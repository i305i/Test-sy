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 ملفات\WP\"/>
    </mc:Choice>
  </mc:AlternateContent>
  <xr:revisionPtr revIDLastSave="0" documentId="13_ncr:1_{8C9CF666-05DF-4708-8268-3C1EC78A68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E75" i="1"/>
  <c r="E12" i="1" s="1"/>
  <c r="D75" i="1"/>
  <c r="D12" i="1" s="1"/>
  <c r="E44" i="1"/>
  <c r="E11" i="1" s="1"/>
  <c r="D44" i="1"/>
  <c r="B133" i="1"/>
  <c r="B102" i="1"/>
  <c r="H160" i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F135" i="1"/>
  <c r="G135" i="1" s="1"/>
  <c r="B16" i="1"/>
  <c r="B47" i="1"/>
  <c r="E48" i="1"/>
  <c r="E47" i="1"/>
  <c r="D47" i="1"/>
  <c r="H12" i="1"/>
  <c r="D11" i="1"/>
  <c r="D13" i="1" s="1"/>
  <c r="E16" i="1"/>
  <c r="D16" i="1"/>
  <c r="H129" i="1"/>
  <c r="H11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D10" i="1"/>
  <c r="D17" i="1" s="1"/>
  <c r="F12" i="1" l="1"/>
  <c r="G12" i="1" s="1"/>
  <c r="I12" i="1"/>
  <c r="E13" i="1"/>
  <c r="D48" i="1"/>
  <c r="F160" i="1"/>
  <c r="G136" i="1"/>
  <c r="G160" i="1" s="1"/>
  <c r="F11" i="1"/>
  <c r="G11" i="1" s="1"/>
  <c r="H13" i="1"/>
  <c r="I13" i="1" s="1"/>
  <c r="G129" i="1"/>
  <c r="I11" i="1"/>
  <c r="F129" i="1"/>
  <c r="F13" i="1" l="1"/>
  <c r="G13" i="1" s="1"/>
</calcChain>
</file>

<file path=xl/sharedStrings.xml><?xml version="1.0" encoding="utf-8"?>
<sst xmlns="http://schemas.openxmlformats.org/spreadsheetml/2006/main" count="385" uniqueCount="65">
  <si>
    <t>Abdullah Mansour Al-Subaie Company, Accountants and Legal Auditors, License No. (1031)</t>
  </si>
  <si>
    <t xml:space="preserve">clint name </t>
  </si>
  <si>
    <t>year</t>
  </si>
  <si>
    <t>Currency</t>
  </si>
  <si>
    <t>SAR</t>
  </si>
  <si>
    <t>Description</t>
  </si>
  <si>
    <t xml:space="preserve">Balance as at </t>
  </si>
  <si>
    <t>Variance</t>
  </si>
  <si>
    <t>Inovice checked</t>
  </si>
  <si>
    <t>%</t>
  </si>
  <si>
    <t>end balance</t>
  </si>
  <si>
    <t>Work Done</t>
  </si>
  <si>
    <t>Assertions</t>
  </si>
  <si>
    <t>Occurance</t>
  </si>
  <si>
    <t>We traced source documents to GL accounts to check completenes</t>
  </si>
  <si>
    <t>Accuracy</t>
  </si>
  <si>
    <t>Checked , invoices are correctly recorded</t>
  </si>
  <si>
    <t>Presentation</t>
  </si>
  <si>
    <t>All relevant classification and presentation disposed properly in FS</t>
  </si>
  <si>
    <t xml:space="preserve">check : </t>
  </si>
  <si>
    <t>w4) Calculation accuracy is checked</t>
  </si>
  <si>
    <t>w6 ) Invoices serial is checked</t>
  </si>
  <si>
    <t>Serial</t>
  </si>
  <si>
    <t>VAT 15%</t>
  </si>
  <si>
    <t>Total  value</t>
  </si>
  <si>
    <t>w1</t>
  </si>
  <si>
    <t>w2</t>
  </si>
  <si>
    <t>w3</t>
  </si>
  <si>
    <t>w4</t>
  </si>
  <si>
    <t>w5</t>
  </si>
  <si>
    <t>w6</t>
  </si>
  <si>
    <t>Summary of the opinion</t>
  </si>
  <si>
    <t>#</t>
  </si>
  <si>
    <t>Name</t>
  </si>
  <si>
    <t>type</t>
  </si>
  <si>
    <t>P</t>
  </si>
  <si>
    <t xml:space="preserve">Prepared By : </t>
  </si>
  <si>
    <t>Reviewed By :</t>
  </si>
  <si>
    <t>saad</t>
  </si>
  <si>
    <t xml:space="preserve">Date </t>
  </si>
  <si>
    <t>w5) cost is charged to suppliers account (account receivables)</t>
  </si>
  <si>
    <t>No exceptions were found</t>
  </si>
  <si>
    <t>EXPENCES</t>
  </si>
  <si>
    <t>Administrative expenses</t>
  </si>
  <si>
    <t>Marketing expenses</t>
  </si>
  <si>
    <t>Invoices amount before VAT</t>
  </si>
  <si>
    <t># Invoices</t>
  </si>
  <si>
    <t xml:space="preserve">1) Agreed with the general ledger and finance statement </t>
  </si>
  <si>
    <t>3) Checked class of transactions above performance materiality.</t>
  </si>
  <si>
    <t>Checked correct classification of accounts</t>
  </si>
  <si>
    <t>2)  Agreed with trail balance</t>
  </si>
  <si>
    <t>5) Checked correct classification of accounts</t>
  </si>
  <si>
    <t>4)We traced source documents to GL accounts to check completenes</t>
  </si>
  <si>
    <t xml:space="preserve">We vouched vouched balances to supporting doc to check occurrence </t>
  </si>
  <si>
    <t>Completeness</t>
  </si>
  <si>
    <t xml:space="preserve">Classification </t>
  </si>
  <si>
    <t>الحدوث</t>
  </si>
  <si>
    <t>الاكتمال</t>
  </si>
  <si>
    <t xml:space="preserve">الدقة </t>
  </si>
  <si>
    <t>التصنيف</t>
  </si>
  <si>
    <t>العرض</t>
  </si>
  <si>
    <t>w1) Checked JV</t>
  </si>
  <si>
    <t>w3) Checked classification</t>
  </si>
  <si>
    <t>w2) Checked invoice and payment</t>
  </si>
  <si>
    <t>sample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</si>
</sst>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indexed="10"/>
      <name val="Wingdings 2"/>
      <family val="1"/>
      <charset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 readingOrder="1"/>
    </xf>
    <xf numFmtId="0" fontId="4" fillId="0" borderId="6" xfId="0" applyFont="1" applyBorder="1" applyAlignment="1">
      <alignment horizontal="center" vertical="center" readingOrder="1"/>
    </xf>
    <xf numFmtId="0" fontId="4" fillId="0" borderId="7" xfId="0" applyFont="1" applyBorder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15" fontId="4" fillId="0" borderId="10" xfId="0" applyNumberFormat="1" applyFont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 readingOrder="1"/>
    </xf>
    <xf numFmtId="9" fontId="0" fillId="0" borderId="11" xfId="2" applyFont="1" applyBorder="1" applyAlignment="1">
      <alignment horizontal="center" readingOrder="1"/>
    </xf>
    <xf numFmtId="9" fontId="0" fillId="0" borderId="11" xfId="2" applyFont="1" applyFill="1" applyBorder="1" applyAlignment="1">
      <alignment horizontal="center" readingOrder="1"/>
    </xf>
    <xf numFmtId="9" fontId="0" fillId="0" borderId="0" xfId="2" applyFont="1" applyFill="1" applyBorder="1" applyAlignment="1">
      <alignment horizontal="center" readingOrder="1"/>
    </xf>
    <xf numFmtId="9" fontId="0" fillId="0" borderId="1" xfId="2" applyFont="1" applyBorder="1" applyAlignment="1">
      <alignment horizontal="center" readingOrder="1"/>
    </xf>
    <xf numFmtId="9" fontId="0" fillId="0" borderId="1" xfId="2" applyFont="1" applyFill="1" applyBorder="1" applyAlignment="1">
      <alignment horizontal="center" readingOrder="1"/>
    </xf>
    <xf numFmtId="0" fontId="5" fillId="0" borderId="7" xfId="0" applyFont="1" applyBorder="1" applyAlignment="1">
      <alignment readingOrder="1"/>
    </xf>
    <xf numFmtId="0" fontId="0" fillId="0" borderId="0" xfId="0" applyAlignment="1">
      <alignment readingOrder="1"/>
    </xf>
    <xf numFmtId="0" fontId="0" fillId="0" borderId="1" xfId="0" applyBorder="1" applyAlignment="1">
      <alignment horizontal="left" readingOrder="1"/>
    </xf>
    <xf numFmtId="0" fontId="0" fillId="0" borderId="0" xfId="0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9" xfId="0" applyFill="1" applyBorder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8" xfId="0" applyFill="1" applyBorder="1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0" xfId="0" applyFill="1" applyBorder="1"/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0" xfId="0" applyFont="1" applyAlignment="1">
      <alignment readingOrder="1"/>
    </xf>
    <xf numFmtId="43" fontId="0" fillId="0" borderId="11" xfId="1" applyFont="1" applyBorder="1" applyAlignment="1">
      <alignment horizontal="center" readingOrder="1"/>
    </xf>
    <xf numFmtId="43" fontId="0" fillId="0" borderId="1" xfId="1" applyFont="1" applyBorder="1" applyAlignment="1">
      <alignment horizontal="center" readingOrder="1"/>
    </xf>
    <xf numFmtId="43" fontId="3" fillId="0" borderId="5" xfId="1" applyFont="1" applyFill="1" applyBorder="1"/>
    <xf numFmtId="43" fontId="3" fillId="0" borderId="7" xfId="1" applyFont="1" applyFill="1" applyBorder="1"/>
    <xf numFmtId="43" fontId="0" fillId="0" borderId="11" xfId="1" applyFont="1" applyBorder="1" applyAlignment="1">
      <alignment horizontal="center"/>
    </xf>
    <xf numFmtId="43" fontId="3" fillId="0" borderId="12" xfId="1" applyFont="1" applyFill="1" applyBorder="1"/>
    <xf numFmtId="43" fontId="3" fillId="0" borderId="11" xfId="1" applyFont="1" applyFill="1" applyBorder="1"/>
    <xf numFmtId="43" fontId="0" fillId="0" borderId="16" xfId="1" applyFont="1" applyBorder="1" applyAlignment="1">
      <alignment horizontal="center"/>
    </xf>
    <xf numFmtId="43" fontId="3" fillId="0" borderId="17" xfId="1" applyFont="1" applyFill="1" applyBorder="1" applyAlignment="1">
      <alignment horizontal="center"/>
    </xf>
    <xf numFmtId="43" fontId="0" fillId="0" borderId="17" xfId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5" fontId="0" fillId="4" borderId="12" xfId="0" applyNumberFormat="1" applyFill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16" xfId="1" applyFon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15" fontId="0" fillId="4" borderId="11" xfId="0" applyNumberFormat="1" applyFill="1" applyBorder="1" applyAlignment="1">
      <alignment horizontal="center" vertical="center"/>
    </xf>
    <xf numFmtId="43" fontId="0" fillId="0" borderId="11" xfId="1" applyFont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0" fontId="0" fillId="0" borderId="11" xfId="0" applyBorder="1"/>
    <xf numFmtId="0" fontId="0" fillId="4" borderId="10" xfId="0" applyFill="1" applyBorder="1"/>
    <xf numFmtId="0" fontId="0" fillId="0" borderId="1" xfId="0" applyBorder="1" applyAlignment="1">
      <alignment readingOrder="1"/>
    </xf>
    <xf numFmtId="0" fontId="0" fillId="0" borderId="1" xfId="0" applyBorder="1" applyAlignment="1">
      <alignment wrapText="1" readingOrder="1"/>
    </xf>
    <xf numFmtId="0" fontId="4" fillId="0" borderId="7" xfId="0" applyFont="1" applyBorder="1"/>
    <xf numFmtId="0" fontId="0" fillId="0" borderId="2" xfId="0" applyBorder="1" applyAlignment="1">
      <alignment vertical="center" readingOrder="1"/>
    </xf>
    <xf numFmtId="0" fontId="0" fillId="0" borderId="3" xfId="0" applyBorder="1" applyAlignment="1">
      <alignment vertical="center" readingOrder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2" xfId="0" applyFont="1" applyBorder="1"/>
    <xf numFmtId="0" fontId="4" fillId="0" borderId="0" xfId="0" applyFont="1"/>
    <xf numFmtId="0" fontId="4" fillId="0" borderId="13" xfId="0" applyFont="1" applyBorder="1"/>
    <xf numFmtId="0" fontId="4" fillId="2" borderId="12" xfId="0" applyFont="1" applyFill="1" applyBorder="1"/>
    <xf numFmtId="0" fontId="4" fillId="2" borderId="0" xfId="0" applyFont="1" applyFill="1"/>
    <xf numFmtId="0" fontId="4" fillId="2" borderId="13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4" fillId="0" borderId="14" xfId="0" applyFont="1" applyBorder="1"/>
    <xf numFmtId="0" fontId="0" fillId="0" borderId="2" xfId="0" applyBorder="1" applyAlignment="1">
      <alignment readingOrder="1"/>
    </xf>
    <xf numFmtId="0" fontId="0" fillId="0" borderId="3" xfId="0" applyBorder="1" applyAlignment="1">
      <alignment readingOrder="1"/>
    </xf>
    <xf numFmtId="0" fontId="0" fillId="0" borderId="4" xfId="0" applyBorder="1" applyAlignment="1">
      <alignment readingOrder="1"/>
    </xf>
    <xf numFmtId="0" fontId="0" fillId="0" borderId="9" xfId="0" applyBorder="1" applyAlignment="1">
      <alignment readingOrder="1"/>
    </xf>
    <xf numFmtId="0" fontId="0" fillId="0" borderId="14" xfId="0" applyBorder="1" applyAlignment="1">
      <alignment readingOrder="1"/>
    </xf>
    <xf numFmtId="0" fontId="4" fillId="0" borderId="5" xfId="0" applyFont="1" applyBorder="1"/>
    <xf numFmtId="0" fontId="4" fillId="0" borderId="6" xfId="0" applyFont="1" applyBorder="1"/>
    <xf numFmtId="0" fontId="4" fillId="0" borderId="15" xfId="0" applyFont="1" applyBorder="1"/>
    <xf numFmtId="0" fontId="0" fillId="0" borderId="12" xfId="0" applyBorder="1" applyAlignment="1">
      <alignment horizontal="left" readingOrder="1"/>
    </xf>
    <xf numFmtId="0" fontId="0" fillId="0" borderId="0" xfId="0" applyAlignment="1">
      <alignment horizontal="left" readingOrder="1"/>
    </xf>
    <xf numFmtId="0" fontId="0" fillId="0" borderId="13" xfId="0" applyBorder="1" applyAlignment="1">
      <alignment horizontal="left" readingOrder="1"/>
    </xf>
    <xf numFmtId="0" fontId="0" fillId="0" borderId="12" xfId="0" applyBorder="1" applyAlignment="1">
      <alignment horizontal="left" wrapText="1" readingOrder="1"/>
    </xf>
    <xf numFmtId="0" fontId="0" fillId="0" borderId="8" xfId="0" applyBorder="1" applyAlignment="1">
      <alignment horizontal="left" readingOrder="1"/>
    </xf>
    <xf numFmtId="0" fontId="0" fillId="0" borderId="9" xfId="0" applyBorder="1" applyAlignment="1">
      <alignment horizontal="left" readingOrder="1"/>
    </xf>
    <xf numFmtId="0" fontId="0" fillId="0" borderId="14" xfId="0" applyBorder="1" applyAlignment="1">
      <alignment horizontal="left" readingOrder="1"/>
    </xf>
    <xf numFmtId="0" fontId="5" fillId="0" borderId="5" xfId="0" applyFont="1" applyBorder="1" applyAlignment="1">
      <alignment horizontal="center" readingOrder="1"/>
    </xf>
    <xf numFmtId="0" fontId="5" fillId="0" borderId="6" xfId="0" applyFont="1" applyBorder="1" applyAlignment="1">
      <alignment horizontal="center" readingOrder="1"/>
    </xf>
    <xf numFmtId="0" fontId="5" fillId="0" borderId="15" xfId="0" applyFont="1" applyBorder="1" applyAlignment="1">
      <alignment horizontal="center" readingOrder="1"/>
    </xf>
    <xf numFmtId="0" fontId="4" fillId="0" borderId="2" xfId="0" applyFont="1" applyBorder="1" applyAlignment="1">
      <alignment vertical="center" readingOrder="1"/>
    </xf>
    <xf numFmtId="0" fontId="4" fillId="0" borderId="3" xfId="0" applyFont="1" applyBorder="1" applyAlignment="1">
      <alignment vertical="center" readingOrder="1"/>
    </xf>
    <xf numFmtId="0" fontId="4" fillId="0" borderId="2" xfId="0" applyFont="1" applyBorder="1" applyAlignment="1">
      <alignment horizontal="center" readingOrder="1"/>
    </xf>
    <xf numFmtId="0" fontId="4" fillId="0" borderId="3" xfId="0" applyFont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0" fillId="0" borderId="2" xfId="0" applyBorder="1" applyAlignment="1">
      <alignment horizontal="center" readingOrder="1"/>
    </xf>
    <xf numFmtId="0" fontId="0" fillId="0" borderId="3" xfId="0" applyBorder="1" applyAlignment="1">
      <alignment horizontal="center" readingOrder="1"/>
    </xf>
    <xf numFmtId="0" fontId="0" fillId="0" borderId="4" xfId="0" applyBorder="1" applyAlignment="1">
      <alignment horizontal="center" readingOrder="1"/>
    </xf>
    <xf numFmtId="15" fontId="0" fillId="0" borderId="2" xfId="0" applyNumberFormat="1" applyBorder="1" applyAlignment="1">
      <alignment horizontal="center" vertical="center" readingOrder="1"/>
    </xf>
    <xf numFmtId="0" fontId="0" fillId="0" borderId="3" xfId="0" applyBorder="1" applyAlignment="1">
      <alignment horizontal="center" vertical="center" readingOrder="1"/>
    </xf>
    <xf numFmtId="0" fontId="0" fillId="0" borderId="4" xfId="0" applyBorder="1" applyAlignment="1">
      <alignment horizontal="center" vertical="center" readingOrder="1"/>
    </xf>
    <xf numFmtId="0" fontId="0" fillId="0" borderId="2" xfId="0" applyBorder="1" applyAlignment="1">
      <alignment horizontal="center" vertical="center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</cellXfs>
  <cellStyles count="3">
    <cellStyle name="Comma" xfId="1" builtinId="3"/>
    <cellStyle name="Percent" xfId="2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7"/>
  <sheetViews>
    <sheetView tabSelected="1" zoomScale="70" zoomScaleNormal="70" workbookViewId="0">
      <selection activeCell="H28" sqref="H28"/>
    </sheetView>
  </sheetViews>
  <sheetFormatPr defaultRowHeight="15" x14ac:dyDescent="0.25"/>
  <cols>
    <col min="2" max="2" width="15.375" customWidth="1"/>
    <col min="3" max="4" width="16.375" customWidth="1"/>
    <col min="5" max="5" width="15.75" customWidth="1"/>
    <col min="6" max="6" width="18.375" customWidth="1"/>
    <col min="7" max="7" width="14.25" customWidth="1"/>
    <col min="8" max="8" width="16.5" bestFit="1" customWidth="1"/>
    <col min="9" max="9" width="12.5" customWidth="1"/>
    <col min="10" max="10" width="7" customWidth="1"/>
    <col min="11" max="14" width="5.5" customWidth="1"/>
    <col min="16" max="16" width="11.875" customWidth="1"/>
    <col min="17" max="22" width="16" customWidth="1"/>
    <col min="23" max="28" width="8.5" customWidth="1"/>
  </cols>
  <sheetData>
    <row r="1" spans="2:11" s="16" customFormat="1" x14ac:dyDescent="0.25">
      <c r="B1" s="1" t="s">
        <v>0</v>
      </c>
      <c r="C1" s="2"/>
      <c r="D1" s="2"/>
      <c r="E1" s="2"/>
      <c r="F1" s="2"/>
      <c r="G1" s="2"/>
      <c r="H1" s="2"/>
      <c r="I1" s="37" t="s">
        <v>36</v>
      </c>
      <c r="J1" s="2" t="s">
        <v>38</v>
      </c>
      <c r="K1" s="3"/>
    </row>
    <row r="2" spans="2:11" s="16" customFormat="1" ht="15.75" thickBot="1" x14ac:dyDescent="0.3">
      <c r="I2" s="16" t="s">
        <v>37</v>
      </c>
    </row>
    <row r="3" spans="2:11" s="16" customFormat="1" ht="15.75" thickBot="1" x14ac:dyDescent="0.3">
      <c r="B3" s="17" t="s">
        <v>1</v>
      </c>
      <c r="C3" s="114"/>
      <c r="D3" s="115"/>
      <c r="E3" s="115"/>
      <c r="F3" s="115"/>
      <c r="G3" s="115"/>
      <c r="H3" s="115"/>
      <c r="I3" s="115"/>
      <c r="J3" s="115"/>
      <c r="K3" s="116"/>
    </row>
    <row r="4" spans="2:11" s="16" customFormat="1" ht="15.75" thickBot="1" x14ac:dyDescent="0.3">
      <c r="B4" s="17" t="s">
        <v>2</v>
      </c>
      <c r="C4" s="117">
        <v>45657</v>
      </c>
      <c r="D4" s="118"/>
      <c r="E4" s="118"/>
      <c r="F4" s="118"/>
      <c r="G4" s="118"/>
      <c r="H4" s="118"/>
      <c r="I4" s="118"/>
      <c r="J4" s="118"/>
      <c r="K4" s="119"/>
    </row>
    <row r="5" spans="2:11" s="16" customFormat="1" ht="15.75" thickBot="1" x14ac:dyDescent="0.3">
      <c r="B5" s="17" t="s">
        <v>3</v>
      </c>
      <c r="C5" s="120" t="s">
        <v>4</v>
      </c>
      <c r="D5" s="118"/>
      <c r="E5" s="118"/>
      <c r="F5" s="118"/>
      <c r="G5" s="118"/>
      <c r="H5" s="118"/>
      <c r="I5" s="118"/>
      <c r="J5" s="118"/>
      <c r="K5" s="119"/>
    </row>
    <row r="6" spans="2:11" s="16" customFormat="1" ht="15.75" thickBot="1" x14ac:dyDescent="0.3">
      <c r="B6" s="18"/>
      <c r="C6" s="19"/>
      <c r="D6" s="19"/>
      <c r="E6" s="19"/>
      <c r="F6" s="19"/>
      <c r="G6" s="19"/>
      <c r="H6" s="19"/>
      <c r="I6" s="19"/>
      <c r="J6" s="19"/>
      <c r="K6" s="19"/>
    </row>
    <row r="7" spans="2:11" s="16" customFormat="1" ht="15.75" thickBot="1" x14ac:dyDescent="0.3">
      <c r="B7" s="69" t="s">
        <v>42</v>
      </c>
      <c r="C7" s="70"/>
      <c r="D7" s="70"/>
      <c r="E7" s="70"/>
      <c r="F7" s="70"/>
      <c r="G7" s="70"/>
      <c r="H7" s="70"/>
      <c r="I7" s="70"/>
      <c r="J7" s="70"/>
      <c r="K7" s="71"/>
    </row>
    <row r="8" spans="2:11" s="16" customFormat="1" ht="15.75" thickBot="1" x14ac:dyDescent="0.3">
      <c r="B8" s="18"/>
      <c r="C8" s="19"/>
      <c r="D8" s="19"/>
      <c r="E8" s="19"/>
      <c r="F8" s="19"/>
      <c r="G8" s="19"/>
      <c r="H8" s="19"/>
      <c r="I8" s="19"/>
      <c r="J8" s="19"/>
      <c r="K8" s="19"/>
    </row>
    <row r="9" spans="2:11" x14ac:dyDescent="0.25">
      <c r="B9" s="121" t="s">
        <v>5</v>
      </c>
      <c r="C9" s="122"/>
      <c r="D9" s="5" t="s">
        <v>6</v>
      </c>
      <c r="E9" s="5" t="s">
        <v>6</v>
      </c>
      <c r="F9" s="5" t="s">
        <v>7</v>
      </c>
      <c r="G9" s="4" t="s">
        <v>7</v>
      </c>
      <c r="H9" s="5" t="s">
        <v>64</v>
      </c>
      <c r="I9" s="5" t="s">
        <v>8</v>
      </c>
      <c r="J9" s="6"/>
      <c r="K9" s="6"/>
    </row>
    <row r="10" spans="2:11" ht="15.75" thickBot="1" x14ac:dyDescent="0.3">
      <c r="B10" s="123"/>
      <c r="C10" s="124"/>
      <c r="D10" s="8">
        <f>C4</f>
        <v>45657</v>
      </c>
      <c r="E10" s="8">
        <v>45291</v>
      </c>
      <c r="F10" s="9" t="s">
        <v>4</v>
      </c>
      <c r="G10" s="7" t="s">
        <v>9</v>
      </c>
      <c r="H10" s="9" t="s">
        <v>4</v>
      </c>
      <c r="I10" s="9" t="s">
        <v>9</v>
      </c>
      <c r="J10" s="6"/>
      <c r="K10" s="6"/>
    </row>
    <row r="11" spans="2:11" ht="15.75" thickBot="1" x14ac:dyDescent="0.3">
      <c r="B11" s="63" t="s">
        <v>43</v>
      </c>
      <c r="C11" s="64"/>
      <c r="D11" s="38">
        <f>D44</f>
        <v>0</v>
      </c>
      <c r="E11" s="38">
        <f>E44</f>
        <v>0</v>
      </c>
      <c r="F11" s="38">
        <f>D11-E11</f>
        <v>0</v>
      </c>
      <c r="G11" s="10" t="e">
        <f>E11/F11</f>
        <v>#DIV/0!</v>
      </c>
      <c r="H11" s="38">
        <f>H129</f>
        <v>0</v>
      </c>
      <c r="I11" s="11" t="e">
        <f>H11/D11</f>
        <v>#DIV/0!</v>
      </c>
      <c r="J11" s="19"/>
      <c r="K11" s="12"/>
    </row>
    <row r="12" spans="2:11" ht="15.75" thickBot="1" x14ac:dyDescent="0.3">
      <c r="B12" s="63" t="s">
        <v>44</v>
      </c>
      <c r="C12" s="64"/>
      <c r="D12" s="38">
        <f>D75</f>
        <v>0</v>
      </c>
      <c r="E12" s="38">
        <f>E75</f>
        <v>0</v>
      </c>
      <c r="F12" s="38">
        <f>D12-E12</f>
        <v>0</v>
      </c>
      <c r="G12" s="10" t="e">
        <f>E12/F12</f>
        <v>#DIV/0!</v>
      </c>
      <c r="H12" s="38">
        <f>H130</f>
        <v>0</v>
      </c>
      <c r="I12" s="11" t="e">
        <f>H12/D12</f>
        <v>#DIV/0!</v>
      </c>
      <c r="J12" s="19"/>
      <c r="K12" s="12"/>
    </row>
    <row r="13" spans="2:11" ht="15.75" thickBot="1" x14ac:dyDescent="0.3">
      <c r="B13" s="109" t="s">
        <v>10</v>
      </c>
      <c r="C13" s="110"/>
      <c r="D13" s="39">
        <f>SUM(D11:D11)</f>
        <v>0</v>
      </c>
      <c r="E13" s="39">
        <f>SUM(E11:E11)</f>
        <v>0</v>
      </c>
      <c r="F13" s="39">
        <f>SUM(F11:F11)</f>
        <v>0</v>
      </c>
      <c r="G13" s="13" t="e">
        <f>E13/F13</f>
        <v>#DIV/0!</v>
      </c>
      <c r="H13" s="39">
        <f>SUM(H11:H11)</f>
        <v>0</v>
      </c>
      <c r="I13" s="14" t="e">
        <f>H13/D13</f>
        <v>#DIV/0!</v>
      </c>
      <c r="J13" s="19"/>
      <c r="K13" s="12"/>
    </row>
    <row r="15" spans="2:11" ht="15.75" thickBot="1" x14ac:dyDescent="0.3"/>
    <row r="16" spans="2:11" x14ac:dyDescent="0.25">
      <c r="B16" s="65" t="str">
        <f>B11</f>
        <v>Administrative expenses</v>
      </c>
      <c r="C16" s="66"/>
      <c r="D16" s="48" t="str">
        <f>D9</f>
        <v xml:space="preserve">Balance as at </v>
      </c>
      <c r="E16" s="26" t="str">
        <f>E9</f>
        <v xml:space="preserve">Balance as at </v>
      </c>
    </row>
    <row r="17" spans="2:5" ht="15.75" thickBot="1" x14ac:dyDescent="0.3">
      <c r="B17" s="67"/>
      <c r="C17" s="68"/>
      <c r="D17" s="54">
        <f>D10</f>
        <v>45657</v>
      </c>
      <c r="E17" s="27">
        <f>E10</f>
        <v>45291</v>
      </c>
    </row>
    <row r="18" spans="2:5" ht="15.75" thickBot="1" x14ac:dyDescent="0.3">
      <c r="B18" s="28" t="s">
        <v>32</v>
      </c>
      <c r="C18" s="20" t="s">
        <v>33</v>
      </c>
      <c r="D18" s="51"/>
      <c r="E18" s="55"/>
    </row>
    <row r="19" spans="2:5" x14ac:dyDescent="0.25">
      <c r="B19" s="29">
        <v>1</v>
      </c>
      <c r="C19" s="58"/>
      <c r="D19" s="52">
        <v>0</v>
      </c>
      <c r="E19" s="56">
        <v>0</v>
      </c>
    </row>
    <row r="20" spans="2:5" x14ac:dyDescent="0.25">
      <c r="B20" s="29">
        <v>2</v>
      </c>
      <c r="C20" s="58"/>
      <c r="D20" s="52">
        <v>0</v>
      </c>
      <c r="E20" s="56">
        <v>0</v>
      </c>
    </row>
    <row r="21" spans="2:5" x14ac:dyDescent="0.25">
      <c r="B21" s="29">
        <v>3</v>
      </c>
      <c r="C21" s="58"/>
      <c r="D21" s="52">
        <v>0</v>
      </c>
      <c r="E21" s="56">
        <v>0</v>
      </c>
    </row>
    <row r="22" spans="2:5" x14ac:dyDescent="0.25">
      <c r="B22" s="29">
        <v>4</v>
      </c>
      <c r="C22" s="58"/>
      <c r="D22" s="52">
        <v>0</v>
      </c>
      <c r="E22" s="56">
        <v>0</v>
      </c>
    </row>
    <row r="23" spans="2:5" x14ac:dyDescent="0.25">
      <c r="B23" s="29">
        <v>5</v>
      </c>
      <c r="C23" s="58"/>
      <c r="D23" s="52">
        <v>0</v>
      </c>
      <c r="E23" s="56">
        <v>0</v>
      </c>
    </row>
    <row r="24" spans="2:5" x14ac:dyDescent="0.25">
      <c r="B24" s="29">
        <v>6</v>
      </c>
      <c r="C24" s="58"/>
      <c r="D24" s="52">
        <v>0</v>
      </c>
      <c r="E24" s="56">
        <v>0</v>
      </c>
    </row>
    <row r="25" spans="2:5" x14ac:dyDescent="0.25">
      <c r="B25" s="29">
        <v>7</v>
      </c>
      <c r="C25" s="58"/>
      <c r="D25" s="52">
        <v>0</v>
      </c>
      <c r="E25" s="56">
        <v>0</v>
      </c>
    </row>
    <row r="26" spans="2:5" x14ac:dyDescent="0.25">
      <c r="B26" s="29">
        <v>8</v>
      </c>
      <c r="C26" s="58"/>
      <c r="D26" s="52">
        <v>0</v>
      </c>
      <c r="E26" s="56">
        <v>0</v>
      </c>
    </row>
    <row r="27" spans="2:5" x14ac:dyDescent="0.25">
      <c r="B27" s="29">
        <v>9</v>
      </c>
      <c r="C27" s="58"/>
      <c r="D27" s="52">
        <v>0</v>
      </c>
      <c r="E27" s="56">
        <v>0</v>
      </c>
    </row>
    <row r="28" spans="2:5" x14ac:dyDescent="0.25">
      <c r="B28" s="29">
        <v>10</v>
      </c>
      <c r="C28" s="58"/>
      <c r="D28" s="52">
        <v>0</v>
      </c>
      <c r="E28" s="56">
        <v>0</v>
      </c>
    </row>
    <row r="29" spans="2:5" x14ac:dyDescent="0.25">
      <c r="B29" s="29">
        <v>11</v>
      </c>
      <c r="C29" s="58"/>
      <c r="D29" s="52">
        <v>0</v>
      </c>
      <c r="E29" s="56">
        <v>0</v>
      </c>
    </row>
    <row r="30" spans="2:5" x14ac:dyDescent="0.25">
      <c r="B30" s="29">
        <v>12</v>
      </c>
      <c r="C30" s="58"/>
      <c r="D30" s="52">
        <v>0</v>
      </c>
      <c r="E30" s="56">
        <v>0</v>
      </c>
    </row>
    <row r="31" spans="2:5" x14ac:dyDescent="0.25">
      <c r="B31" s="29">
        <v>13</v>
      </c>
      <c r="C31" s="58"/>
      <c r="D31" s="52">
        <v>0</v>
      </c>
      <c r="E31" s="56">
        <v>0</v>
      </c>
    </row>
    <row r="32" spans="2:5" x14ac:dyDescent="0.25">
      <c r="B32" s="29">
        <v>14</v>
      </c>
      <c r="C32" s="58"/>
      <c r="D32" s="52">
        <v>0</v>
      </c>
      <c r="E32" s="56">
        <v>0</v>
      </c>
    </row>
    <row r="33" spans="2:5" x14ac:dyDescent="0.25">
      <c r="B33" s="29">
        <v>15</v>
      </c>
      <c r="C33" s="58"/>
      <c r="D33" s="52">
        <v>0</v>
      </c>
      <c r="E33" s="56">
        <v>0</v>
      </c>
    </row>
    <row r="34" spans="2:5" x14ac:dyDescent="0.25">
      <c r="B34" s="29">
        <v>16</v>
      </c>
      <c r="C34" s="58"/>
      <c r="D34" s="52">
        <v>0</v>
      </c>
      <c r="E34" s="56">
        <v>0</v>
      </c>
    </row>
    <row r="35" spans="2:5" x14ac:dyDescent="0.25">
      <c r="B35" s="29">
        <v>17</v>
      </c>
      <c r="C35" s="58"/>
      <c r="D35" s="52">
        <v>0</v>
      </c>
      <c r="E35" s="56">
        <v>0</v>
      </c>
    </row>
    <row r="36" spans="2:5" x14ac:dyDescent="0.25">
      <c r="B36" s="29">
        <v>18</v>
      </c>
      <c r="C36" s="58"/>
      <c r="D36" s="52">
        <v>0</v>
      </c>
      <c r="E36" s="56">
        <v>0</v>
      </c>
    </row>
    <row r="37" spans="2:5" x14ac:dyDescent="0.25">
      <c r="B37" s="29">
        <v>19</v>
      </c>
      <c r="C37" s="58"/>
      <c r="D37" s="52">
        <v>0</v>
      </c>
      <c r="E37" s="56">
        <v>0</v>
      </c>
    </row>
    <row r="38" spans="2:5" x14ac:dyDescent="0.25">
      <c r="B38" s="29">
        <v>20</v>
      </c>
      <c r="C38" s="58"/>
      <c r="D38" s="52">
        <v>0</v>
      </c>
      <c r="E38" s="56">
        <v>0</v>
      </c>
    </row>
    <row r="39" spans="2:5" x14ac:dyDescent="0.25">
      <c r="B39" s="29">
        <v>21</v>
      </c>
      <c r="C39" s="58"/>
      <c r="D39" s="52">
        <v>0</v>
      </c>
      <c r="E39" s="56">
        <v>0</v>
      </c>
    </row>
    <row r="40" spans="2:5" x14ac:dyDescent="0.25">
      <c r="B40" s="29">
        <v>22</v>
      </c>
      <c r="C40" s="58"/>
      <c r="D40" s="52">
        <v>0</v>
      </c>
      <c r="E40" s="56">
        <v>0</v>
      </c>
    </row>
    <row r="41" spans="2:5" x14ac:dyDescent="0.25">
      <c r="B41" s="29">
        <v>23</v>
      </c>
      <c r="C41" s="58"/>
      <c r="D41" s="52">
        <v>0</v>
      </c>
      <c r="E41" s="56">
        <v>0</v>
      </c>
    </row>
    <row r="42" spans="2:5" x14ac:dyDescent="0.25">
      <c r="B42" s="29">
        <v>24</v>
      </c>
      <c r="C42" s="58"/>
      <c r="D42" s="52">
        <v>0</v>
      </c>
      <c r="E42" s="56">
        <v>0</v>
      </c>
    </row>
    <row r="43" spans="2:5" x14ac:dyDescent="0.25">
      <c r="B43" s="29">
        <v>25</v>
      </c>
      <c r="C43" s="58"/>
      <c r="D43" s="52">
        <v>0</v>
      </c>
      <c r="E43" s="56">
        <v>0</v>
      </c>
    </row>
    <row r="44" spans="2:5" ht="15.75" thickBot="1" x14ac:dyDescent="0.3">
      <c r="B44" s="30"/>
      <c r="C44" s="59"/>
      <c r="D44" s="53">
        <f>SUM(D19:D43)</f>
        <v>0</v>
      </c>
      <c r="E44" s="57">
        <f>SUM(E19:E43)</f>
        <v>0</v>
      </c>
    </row>
    <row r="46" spans="2:5" ht="15.75" thickBot="1" x14ac:dyDescent="0.3"/>
    <row r="47" spans="2:5" x14ac:dyDescent="0.25">
      <c r="B47" s="65" t="str">
        <f>B12</f>
        <v>Marketing expenses</v>
      </c>
      <c r="C47" s="66"/>
      <c r="D47" s="48" t="str">
        <f>D9</f>
        <v xml:space="preserve">Balance as at </v>
      </c>
      <c r="E47" s="26" t="str">
        <f>E9</f>
        <v xml:space="preserve">Balance as at </v>
      </c>
    </row>
    <row r="48" spans="2:5" ht="15.75" thickBot="1" x14ac:dyDescent="0.3">
      <c r="B48" s="67"/>
      <c r="C48" s="68"/>
      <c r="D48" s="54">
        <f>D10</f>
        <v>45657</v>
      </c>
      <c r="E48" s="27">
        <f>E10</f>
        <v>45291</v>
      </c>
    </row>
    <row r="49" spans="2:5" ht="15.75" thickBot="1" x14ac:dyDescent="0.3">
      <c r="B49" s="28" t="s">
        <v>32</v>
      </c>
      <c r="C49" s="20" t="s">
        <v>33</v>
      </c>
      <c r="D49" s="51"/>
      <c r="E49" s="55"/>
    </row>
    <row r="50" spans="2:5" x14ac:dyDescent="0.25">
      <c r="B50" s="29">
        <v>1</v>
      </c>
      <c r="C50" s="58"/>
      <c r="D50" s="52">
        <v>0</v>
      </c>
      <c r="E50" s="56">
        <v>0</v>
      </c>
    </row>
    <row r="51" spans="2:5" x14ac:dyDescent="0.25">
      <c r="B51" s="29">
        <v>2</v>
      </c>
      <c r="C51" s="58"/>
      <c r="D51" s="52">
        <v>0</v>
      </c>
      <c r="E51" s="56">
        <v>0</v>
      </c>
    </row>
    <row r="52" spans="2:5" x14ac:dyDescent="0.25">
      <c r="B52" s="29">
        <v>3</v>
      </c>
      <c r="C52" s="58"/>
      <c r="D52" s="52">
        <v>0</v>
      </c>
      <c r="E52" s="56">
        <v>0</v>
      </c>
    </row>
    <row r="53" spans="2:5" x14ac:dyDescent="0.25">
      <c r="B53" s="29">
        <v>4</v>
      </c>
      <c r="C53" s="58"/>
      <c r="D53" s="52">
        <v>0</v>
      </c>
      <c r="E53" s="56">
        <v>0</v>
      </c>
    </row>
    <row r="54" spans="2:5" x14ac:dyDescent="0.25">
      <c r="B54" s="29">
        <v>5</v>
      </c>
      <c r="C54" s="58"/>
      <c r="D54" s="52">
        <v>0</v>
      </c>
      <c r="E54" s="56">
        <v>0</v>
      </c>
    </row>
    <row r="55" spans="2:5" x14ac:dyDescent="0.25">
      <c r="B55" s="29">
        <v>6</v>
      </c>
      <c r="C55" s="58"/>
      <c r="D55" s="52">
        <v>0</v>
      </c>
      <c r="E55" s="56">
        <v>0</v>
      </c>
    </row>
    <row r="56" spans="2:5" x14ac:dyDescent="0.25">
      <c r="B56" s="29">
        <v>7</v>
      </c>
      <c r="C56" s="58"/>
      <c r="D56" s="52">
        <v>0</v>
      </c>
      <c r="E56" s="56">
        <v>0</v>
      </c>
    </row>
    <row r="57" spans="2:5" x14ac:dyDescent="0.25">
      <c r="B57" s="29">
        <v>8</v>
      </c>
      <c r="C57" s="58"/>
      <c r="D57" s="52">
        <v>0</v>
      </c>
      <c r="E57" s="56">
        <v>0</v>
      </c>
    </row>
    <row r="58" spans="2:5" x14ac:dyDescent="0.25">
      <c r="B58" s="29">
        <v>9</v>
      </c>
      <c r="C58" s="58"/>
      <c r="D58" s="52">
        <v>0</v>
      </c>
      <c r="E58" s="56">
        <v>0</v>
      </c>
    </row>
    <row r="59" spans="2:5" x14ac:dyDescent="0.25">
      <c r="B59" s="29">
        <v>10</v>
      </c>
      <c r="C59" s="58"/>
      <c r="D59" s="52">
        <v>0</v>
      </c>
      <c r="E59" s="56">
        <v>0</v>
      </c>
    </row>
    <row r="60" spans="2:5" x14ac:dyDescent="0.25">
      <c r="B60" s="29">
        <v>11</v>
      </c>
      <c r="C60" s="58"/>
      <c r="D60" s="52">
        <v>0</v>
      </c>
      <c r="E60" s="56">
        <v>0</v>
      </c>
    </row>
    <row r="61" spans="2:5" x14ac:dyDescent="0.25">
      <c r="B61" s="29">
        <v>12</v>
      </c>
      <c r="C61" s="58"/>
      <c r="D61" s="52">
        <v>0</v>
      </c>
      <c r="E61" s="56">
        <v>0</v>
      </c>
    </row>
    <row r="62" spans="2:5" x14ac:dyDescent="0.25">
      <c r="B62" s="29">
        <v>13</v>
      </c>
      <c r="C62" s="58"/>
      <c r="D62" s="52">
        <v>0</v>
      </c>
      <c r="E62" s="56">
        <v>0</v>
      </c>
    </row>
    <row r="63" spans="2:5" x14ac:dyDescent="0.25">
      <c r="B63" s="29">
        <v>14</v>
      </c>
      <c r="C63" s="58"/>
      <c r="D63" s="52">
        <v>0</v>
      </c>
      <c r="E63" s="56">
        <v>0</v>
      </c>
    </row>
    <row r="64" spans="2:5" x14ac:dyDescent="0.25">
      <c r="B64" s="29">
        <v>15</v>
      </c>
      <c r="C64" s="58"/>
      <c r="D64" s="52">
        <v>0</v>
      </c>
      <c r="E64" s="56">
        <v>0</v>
      </c>
    </row>
    <row r="65" spans="2:11" x14ac:dyDescent="0.25">
      <c r="B65" s="29">
        <v>16</v>
      </c>
      <c r="C65" s="58"/>
      <c r="D65" s="52">
        <v>0</v>
      </c>
      <c r="E65" s="56">
        <v>0</v>
      </c>
    </row>
    <row r="66" spans="2:11" x14ac:dyDescent="0.25">
      <c r="B66" s="29">
        <v>17</v>
      </c>
      <c r="C66" s="58"/>
      <c r="D66" s="52">
        <v>0</v>
      </c>
      <c r="E66" s="56">
        <v>0</v>
      </c>
    </row>
    <row r="67" spans="2:11" x14ac:dyDescent="0.25">
      <c r="B67" s="29">
        <v>18</v>
      </c>
      <c r="C67" s="58"/>
      <c r="D67" s="52">
        <v>0</v>
      </c>
      <c r="E67" s="56">
        <v>0</v>
      </c>
    </row>
    <row r="68" spans="2:11" x14ac:dyDescent="0.25">
      <c r="B68" s="29">
        <v>19</v>
      </c>
      <c r="C68" s="58"/>
      <c r="D68" s="52">
        <v>0</v>
      </c>
      <c r="E68" s="56">
        <v>0</v>
      </c>
    </row>
    <row r="69" spans="2:11" x14ac:dyDescent="0.25">
      <c r="B69" s="29">
        <v>20</v>
      </c>
      <c r="C69" s="58"/>
      <c r="D69" s="52">
        <v>0</v>
      </c>
      <c r="E69" s="56">
        <v>0</v>
      </c>
    </row>
    <row r="70" spans="2:11" x14ac:dyDescent="0.25">
      <c r="B70" s="29">
        <v>21</v>
      </c>
      <c r="C70" s="58"/>
      <c r="D70" s="52">
        <v>0</v>
      </c>
      <c r="E70" s="56">
        <v>0</v>
      </c>
    </row>
    <row r="71" spans="2:11" x14ac:dyDescent="0.25">
      <c r="B71" s="29">
        <v>22</v>
      </c>
      <c r="C71" s="58"/>
      <c r="D71" s="52">
        <v>0</v>
      </c>
      <c r="E71" s="56">
        <v>0</v>
      </c>
    </row>
    <row r="72" spans="2:11" x14ac:dyDescent="0.25">
      <c r="B72" s="29">
        <v>23</v>
      </c>
      <c r="C72" s="58"/>
      <c r="D72" s="52">
        <v>0</v>
      </c>
      <c r="E72" s="56">
        <v>0</v>
      </c>
    </row>
    <row r="73" spans="2:11" x14ac:dyDescent="0.25">
      <c r="B73" s="29">
        <v>24</v>
      </c>
      <c r="C73" s="58"/>
      <c r="D73" s="52">
        <v>0</v>
      </c>
      <c r="E73" s="56">
        <v>0</v>
      </c>
    </row>
    <row r="74" spans="2:11" x14ac:dyDescent="0.25">
      <c r="B74" s="29">
        <v>25</v>
      </c>
      <c r="C74" s="58"/>
      <c r="D74" s="52">
        <v>0</v>
      </c>
      <c r="E74" s="56">
        <v>0</v>
      </c>
    </row>
    <row r="75" spans="2:11" ht="15.75" thickBot="1" x14ac:dyDescent="0.3">
      <c r="B75" s="30"/>
      <c r="C75" s="59"/>
      <c r="D75" s="53">
        <f>SUM(D50:D74)</f>
        <v>0</v>
      </c>
      <c r="E75" s="57">
        <f>SUM(E50:E74)</f>
        <v>0</v>
      </c>
    </row>
    <row r="77" spans="2:11" ht="15.75" thickBot="1" x14ac:dyDescent="0.3"/>
    <row r="78" spans="2:11" ht="15.75" thickBot="1" x14ac:dyDescent="0.3">
      <c r="B78" s="111" t="s">
        <v>11</v>
      </c>
      <c r="C78" s="112"/>
      <c r="D78" s="112"/>
      <c r="E78" s="112"/>
      <c r="F78" s="112"/>
      <c r="G78" s="112"/>
      <c r="H78" s="112"/>
      <c r="I78" s="112"/>
      <c r="J78" s="112"/>
      <c r="K78" s="113"/>
    </row>
    <row r="79" spans="2:11" x14ac:dyDescent="0.25">
      <c r="B79" s="99" t="s">
        <v>47</v>
      </c>
      <c r="C79" s="100"/>
      <c r="D79" s="100"/>
      <c r="E79" s="100"/>
      <c r="F79" s="100"/>
      <c r="G79" s="100"/>
      <c r="H79" s="100"/>
      <c r="I79" s="100"/>
      <c r="J79" s="100"/>
      <c r="K79" s="101"/>
    </row>
    <row r="80" spans="2:11" x14ac:dyDescent="0.25">
      <c r="B80" s="99" t="s">
        <v>50</v>
      </c>
      <c r="C80" s="100"/>
      <c r="D80" s="100"/>
      <c r="E80" s="100"/>
      <c r="F80" s="100"/>
      <c r="G80" s="100"/>
      <c r="H80" s="100"/>
      <c r="I80" s="100"/>
      <c r="J80" s="100"/>
      <c r="K80" s="101"/>
    </row>
    <row r="81" spans="1:11" x14ac:dyDescent="0.25">
      <c r="B81" s="99" t="s">
        <v>48</v>
      </c>
      <c r="C81" s="100"/>
      <c r="D81" s="100"/>
      <c r="E81" s="100"/>
      <c r="F81" s="100"/>
      <c r="G81" s="100"/>
      <c r="H81" s="100"/>
      <c r="I81" s="100"/>
      <c r="J81" s="100"/>
      <c r="K81" s="101"/>
    </row>
    <row r="82" spans="1:11" x14ac:dyDescent="0.25">
      <c r="B82" s="102" t="s">
        <v>52</v>
      </c>
      <c r="C82" s="100"/>
      <c r="D82" s="100"/>
      <c r="E82" s="100"/>
      <c r="F82" s="100"/>
      <c r="G82" s="100"/>
      <c r="H82" s="100"/>
      <c r="I82" s="100"/>
      <c r="J82" s="100"/>
      <c r="K82" s="101"/>
    </row>
    <row r="83" spans="1:11" ht="15.75" thickBot="1" x14ac:dyDescent="0.3">
      <c r="B83" s="103" t="s">
        <v>51</v>
      </c>
      <c r="C83" s="104"/>
      <c r="D83" s="104"/>
      <c r="E83" s="104"/>
      <c r="F83" s="104"/>
      <c r="G83" s="104"/>
      <c r="H83" s="104"/>
      <c r="I83" s="104"/>
      <c r="J83" s="104"/>
      <c r="K83" s="105"/>
    </row>
    <row r="85" spans="1:11" ht="15.75" thickBot="1" x14ac:dyDescent="0.3"/>
    <row r="86" spans="1:11" ht="15.75" thickBot="1" x14ac:dyDescent="0.3">
      <c r="B86" s="15" t="s">
        <v>12</v>
      </c>
      <c r="C86" s="106" t="s">
        <v>11</v>
      </c>
      <c r="D86" s="107"/>
      <c r="E86" s="107"/>
      <c r="F86" s="107"/>
      <c r="G86" s="107"/>
      <c r="H86" s="107"/>
      <c r="I86" s="107"/>
      <c r="J86" s="107"/>
      <c r="K86" s="108"/>
    </row>
    <row r="87" spans="1:11" ht="15.75" thickBot="1" x14ac:dyDescent="0.3">
      <c r="A87" t="s">
        <v>56</v>
      </c>
      <c r="B87" s="60" t="s">
        <v>13</v>
      </c>
      <c r="C87" s="91" t="s">
        <v>53</v>
      </c>
      <c r="D87" s="92"/>
      <c r="E87" s="92"/>
      <c r="F87" s="92"/>
      <c r="G87" s="92"/>
      <c r="H87" s="92"/>
      <c r="I87" s="92"/>
      <c r="J87" s="92"/>
      <c r="K87" s="93"/>
    </row>
    <row r="88" spans="1:11" ht="15.75" thickBot="1" x14ac:dyDescent="0.3">
      <c r="A88" t="s">
        <v>57</v>
      </c>
      <c r="B88" s="60" t="s">
        <v>54</v>
      </c>
      <c r="C88" s="91" t="s">
        <v>14</v>
      </c>
      <c r="D88" s="92"/>
      <c r="E88" s="92"/>
      <c r="F88" s="92"/>
      <c r="G88" s="92"/>
      <c r="H88" s="92"/>
      <c r="I88" s="92"/>
      <c r="J88" s="92"/>
      <c r="K88" s="93"/>
    </row>
    <row r="89" spans="1:11" ht="15" customHeight="1" thickBot="1" x14ac:dyDescent="0.3">
      <c r="A89" t="s">
        <v>58</v>
      </c>
      <c r="B89" s="61" t="s">
        <v>15</v>
      </c>
      <c r="C89" s="91" t="s">
        <v>16</v>
      </c>
      <c r="D89" s="92"/>
      <c r="E89" s="92"/>
      <c r="F89" s="92"/>
      <c r="G89" s="92"/>
      <c r="H89" s="92"/>
      <c r="I89" s="92"/>
      <c r="J89" s="92"/>
      <c r="K89" s="93"/>
    </row>
    <row r="90" spans="1:11" ht="15.75" thickBot="1" x14ac:dyDescent="0.3">
      <c r="A90" t="s">
        <v>59</v>
      </c>
      <c r="B90" s="60" t="s">
        <v>55</v>
      </c>
      <c r="C90" s="91" t="s">
        <v>49</v>
      </c>
      <c r="D90" s="92"/>
      <c r="E90" s="92"/>
      <c r="F90" s="92"/>
      <c r="G90" s="92"/>
      <c r="H90" s="92"/>
      <c r="I90" s="92"/>
      <c r="J90" s="92"/>
      <c r="K90" s="93"/>
    </row>
    <row r="91" spans="1:11" ht="15.75" thickBot="1" x14ac:dyDescent="0.3">
      <c r="A91" t="s">
        <v>60</v>
      </c>
      <c r="B91" s="60" t="s">
        <v>17</v>
      </c>
      <c r="C91" s="94" t="s">
        <v>18</v>
      </c>
      <c r="D91" s="94"/>
      <c r="E91" s="94"/>
      <c r="F91" s="94"/>
      <c r="G91" s="94"/>
      <c r="H91" s="94"/>
      <c r="I91" s="94"/>
      <c r="J91" s="94"/>
      <c r="K91" s="95"/>
    </row>
    <row r="92" spans="1:11" ht="15.75" thickBot="1" x14ac:dyDescent="0.3"/>
    <row r="93" spans="1:11" ht="15.75" thickBot="1" x14ac:dyDescent="0.3">
      <c r="B93" s="62" t="s">
        <v>19</v>
      </c>
    </row>
    <row r="94" spans="1:11" x14ac:dyDescent="0.25">
      <c r="B94" s="96" t="s">
        <v>61</v>
      </c>
      <c r="C94" s="97"/>
      <c r="D94" s="97"/>
      <c r="E94" s="97"/>
      <c r="F94" s="98"/>
    </row>
    <row r="95" spans="1:11" x14ac:dyDescent="0.25">
      <c r="B95" s="82" t="s">
        <v>63</v>
      </c>
      <c r="C95" s="83"/>
      <c r="D95" s="83"/>
      <c r="E95" s="83"/>
      <c r="F95" s="84"/>
    </row>
    <row r="96" spans="1:11" x14ac:dyDescent="0.25">
      <c r="B96" s="82" t="s">
        <v>62</v>
      </c>
      <c r="C96" s="83"/>
      <c r="D96" s="83"/>
      <c r="E96" s="83"/>
      <c r="F96" s="84"/>
    </row>
    <row r="97" spans="2:15" x14ac:dyDescent="0.25">
      <c r="B97" s="82" t="s">
        <v>20</v>
      </c>
      <c r="C97" s="83"/>
      <c r="D97" s="83"/>
      <c r="E97" s="83"/>
      <c r="F97" s="84"/>
    </row>
    <row r="98" spans="2:15" hidden="1" x14ac:dyDescent="0.25">
      <c r="B98" s="85" t="s">
        <v>40</v>
      </c>
      <c r="C98" s="86"/>
      <c r="D98" s="86"/>
      <c r="E98" s="86"/>
      <c r="F98" s="87"/>
    </row>
    <row r="99" spans="2:15" ht="15.75" thickBot="1" x14ac:dyDescent="0.3">
      <c r="B99" s="88" t="s">
        <v>21</v>
      </c>
      <c r="C99" s="89"/>
      <c r="D99" s="89"/>
      <c r="E99" s="89"/>
      <c r="F99" s="90"/>
    </row>
    <row r="101" spans="2:15" ht="15.75" thickBot="1" x14ac:dyDescent="0.3"/>
    <row r="102" spans="2:15" ht="15.75" thickBot="1" x14ac:dyDescent="0.3">
      <c r="B102" s="69" t="str">
        <f>B11</f>
        <v>Administrative expenses</v>
      </c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1"/>
    </row>
    <row r="103" spans="2:15" ht="30.75" thickBot="1" x14ac:dyDescent="0.3">
      <c r="B103" s="20" t="s">
        <v>22</v>
      </c>
      <c r="C103" s="50" t="s">
        <v>46</v>
      </c>
      <c r="D103" s="20" t="s">
        <v>39</v>
      </c>
      <c r="E103" s="20" t="s">
        <v>34</v>
      </c>
      <c r="F103" s="49" t="s">
        <v>45</v>
      </c>
      <c r="G103" s="20" t="s">
        <v>23</v>
      </c>
      <c r="H103" s="20" t="s">
        <v>24</v>
      </c>
      <c r="I103" s="20" t="s">
        <v>25</v>
      </c>
      <c r="J103" s="20" t="s">
        <v>26</v>
      </c>
      <c r="K103" s="20" t="s">
        <v>27</v>
      </c>
      <c r="L103" s="20" t="s">
        <v>28</v>
      </c>
      <c r="M103" s="20" t="s">
        <v>29</v>
      </c>
      <c r="N103" s="20" t="s">
        <v>30</v>
      </c>
    </row>
    <row r="104" spans="2:15" x14ac:dyDescent="0.25">
      <c r="B104" s="32">
        <v>1</v>
      </c>
      <c r="C104" s="21"/>
      <c r="D104" s="32"/>
      <c r="E104" s="32"/>
      <c r="F104" s="40">
        <f t="shared" ref="F104:F128" si="0">H104*100/115</f>
        <v>0</v>
      </c>
      <c r="G104" s="41">
        <f t="shared" ref="G104:G128" si="1">+F104*0.15</f>
        <v>0</v>
      </c>
      <c r="H104" s="42">
        <v>0</v>
      </c>
      <c r="I104" s="34" t="s">
        <v>35</v>
      </c>
      <c r="J104" s="35" t="s">
        <v>35</v>
      </c>
      <c r="K104" s="35" t="s">
        <v>35</v>
      </c>
      <c r="L104" s="35" t="s">
        <v>35</v>
      </c>
      <c r="M104" s="35" t="s">
        <v>35</v>
      </c>
      <c r="N104" s="36" t="s">
        <v>35</v>
      </c>
      <c r="O104" s="21"/>
    </row>
    <row r="105" spans="2:15" x14ac:dyDescent="0.25">
      <c r="B105" s="32">
        <v>2</v>
      </c>
      <c r="C105" s="21"/>
      <c r="D105" s="32"/>
      <c r="E105" s="32"/>
      <c r="F105" s="43">
        <f t="shared" si="0"/>
        <v>0</v>
      </c>
      <c r="G105" s="44">
        <f t="shared" si="1"/>
        <v>0</v>
      </c>
      <c r="H105" s="42">
        <v>0</v>
      </c>
      <c r="I105" s="34" t="s">
        <v>35</v>
      </c>
      <c r="J105" s="35" t="s">
        <v>35</v>
      </c>
      <c r="K105" s="35" t="s">
        <v>35</v>
      </c>
      <c r="L105" s="35" t="s">
        <v>35</v>
      </c>
      <c r="M105" s="35" t="s">
        <v>35</v>
      </c>
      <c r="N105" s="36" t="s">
        <v>35</v>
      </c>
      <c r="O105" s="21"/>
    </row>
    <row r="106" spans="2:15" x14ac:dyDescent="0.25">
      <c r="B106" s="32">
        <v>3</v>
      </c>
      <c r="C106" s="21"/>
      <c r="D106" s="32"/>
      <c r="E106" s="32"/>
      <c r="F106" s="43">
        <f t="shared" si="0"/>
        <v>0</v>
      </c>
      <c r="G106" s="44">
        <f t="shared" si="1"/>
        <v>0</v>
      </c>
      <c r="H106" s="42">
        <v>0</v>
      </c>
      <c r="I106" s="34" t="s">
        <v>35</v>
      </c>
      <c r="J106" s="35" t="s">
        <v>35</v>
      </c>
      <c r="K106" s="35" t="s">
        <v>35</v>
      </c>
      <c r="L106" s="35" t="s">
        <v>35</v>
      </c>
      <c r="M106" s="35" t="s">
        <v>35</v>
      </c>
      <c r="N106" s="36" t="s">
        <v>35</v>
      </c>
      <c r="O106" s="21"/>
    </row>
    <row r="107" spans="2:15" x14ac:dyDescent="0.25">
      <c r="B107" s="32">
        <v>4</v>
      </c>
      <c r="C107" s="21"/>
      <c r="D107" s="32"/>
      <c r="E107" s="32"/>
      <c r="F107" s="43">
        <f t="shared" si="0"/>
        <v>0</v>
      </c>
      <c r="G107" s="44">
        <f t="shared" si="1"/>
        <v>0</v>
      </c>
      <c r="H107" s="42">
        <v>0</v>
      </c>
      <c r="I107" s="34" t="s">
        <v>35</v>
      </c>
      <c r="J107" s="35" t="s">
        <v>35</v>
      </c>
      <c r="K107" s="35" t="s">
        <v>35</v>
      </c>
      <c r="L107" s="35" t="s">
        <v>35</v>
      </c>
      <c r="M107" s="35" t="s">
        <v>35</v>
      </c>
      <c r="N107" s="36" t="s">
        <v>35</v>
      </c>
      <c r="O107" s="21"/>
    </row>
    <row r="108" spans="2:15" x14ac:dyDescent="0.25">
      <c r="B108" s="32">
        <v>5</v>
      </c>
      <c r="C108" s="21"/>
      <c r="D108" s="32"/>
      <c r="E108" s="32"/>
      <c r="F108" s="43">
        <f t="shared" si="0"/>
        <v>0</v>
      </c>
      <c r="G108" s="44">
        <f t="shared" si="1"/>
        <v>0</v>
      </c>
      <c r="H108" s="42">
        <v>0</v>
      </c>
      <c r="I108" s="34" t="s">
        <v>35</v>
      </c>
      <c r="J108" s="35" t="s">
        <v>35</v>
      </c>
      <c r="K108" s="35" t="s">
        <v>35</v>
      </c>
      <c r="L108" s="35" t="s">
        <v>35</v>
      </c>
      <c r="M108" s="35" t="s">
        <v>35</v>
      </c>
      <c r="N108" s="36" t="s">
        <v>35</v>
      </c>
      <c r="O108" s="21"/>
    </row>
    <row r="109" spans="2:15" x14ac:dyDescent="0.25">
      <c r="B109" s="32">
        <v>6</v>
      </c>
      <c r="C109" s="21"/>
      <c r="D109" s="32"/>
      <c r="E109" s="32"/>
      <c r="F109" s="43">
        <f t="shared" si="0"/>
        <v>0</v>
      </c>
      <c r="G109" s="44">
        <f t="shared" si="1"/>
        <v>0</v>
      </c>
      <c r="H109" s="42">
        <v>0</v>
      </c>
      <c r="I109" s="34" t="s">
        <v>35</v>
      </c>
      <c r="J109" s="35" t="s">
        <v>35</v>
      </c>
      <c r="K109" s="35" t="s">
        <v>35</v>
      </c>
      <c r="L109" s="35" t="s">
        <v>35</v>
      </c>
      <c r="M109" s="35" t="s">
        <v>35</v>
      </c>
      <c r="N109" s="36" t="s">
        <v>35</v>
      </c>
      <c r="O109" s="21"/>
    </row>
    <row r="110" spans="2:15" x14ac:dyDescent="0.25">
      <c r="B110" s="32">
        <v>7</v>
      </c>
      <c r="C110" s="21"/>
      <c r="D110" s="32"/>
      <c r="E110" s="32"/>
      <c r="F110" s="43">
        <f t="shared" si="0"/>
        <v>0</v>
      </c>
      <c r="G110" s="44">
        <f t="shared" si="1"/>
        <v>0</v>
      </c>
      <c r="H110" s="42">
        <v>0</v>
      </c>
      <c r="I110" s="34" t="s">
        <v>35</v>
      </c>
      <c r="J110" s="35" t="s">
        <v>35</v>
      </c>
      <c r="K110" s="35" t="s">
        <v>35</v>
      </c>
      <c r="L110" s="35" t="s">
        <v>35</v>
      </c>
      <c r="M110" s="35" t="s">
        <v>35</v>
      </c>
      <c r="N110" s="36" t="s">
        <v>35</v>
      </c>
      <c r="O110" s="21"/>
    </row>
    <row r="111" spans="2:15" x14ac:dyDescent="0.25">
      <c r="B111" s="32">
        <v>8</v>
      </c>
      <c r="C111" s="21"/>
      <c r="D111" s="32"/>
      <c r="E111" s="32"/>
      <c r="F111" s="43">
        <f t="shared" si="0"/>
        <v>0</v>
      </c>
      <c r="G111" s="44">
        <f t="shared" si="1"/>
        <v>0</v>
      </c>
      <c r="H111" s="42">
        <v>0</v>
      </c>
      <c r="I111" s="34" t="s">
        <v>35</v>
      </c>
      <c r="J111" s="35" t="s">
        <v>35</v>
      </c>
      <c r="K111" s="35" t="s">
        <v>35</v>
      </c>
      <c r="L111" s="35" t="s">
        <v>35</v>
      </c>
      <c r="M111" s="35" t="s">
        <v>35</v>
      </c>
      <c r="N111" s="36" t="s">
        <v>35</v>
      </c>
      <c r="O111" s="21"/>
    </row>
    <row r="112" spans="2:15" x14ac:dyDescent="0.25">
      <c r="B112" s="32">
        <v>9</v>
      </c>
      <c r="C112" s="21"/>
      <c r="D112" s="32"/>
      <c r="E112" s="32"/>
      <c r="F112" s="43">
        <f t="shared" si="0"/>
        <v>0</v>
      </c>
      <c r="G112" s="44">
        <f t="shared" si="1"/>
        <v>0</v>
      </c>
      <c r="H112" s="42">
        <v>0</v>
      </c>
      <c r="I112" s="34" t="s">
        <v>35</v>
      </c>
      <c r="J112" s="35" t="s">
        <v>35</v>
      </c>
      <c r="K112" s="35" t="s">
        <v>35</v>
      </c>
      <c r="L112" s="35" t="s">
        <v>35</v>
      </c>
      <c r="M112" s="35" t="s">
        <v>35</v>
      </c>
      <c r="N112" s="36" t="s">
        <v>35</v>
      </c>
      <c r="O112" s="21"/>
    </row>
    <row r="113" spans="2:15" x14ac:dyDescent="0.25">
      <c r="B113" s="32">
        <v>10</v>
      </c>
      <c r="C113" s="21"/>
      <c r="D113" s="32"/>
      <c r="E113" s="32"/>
      <c r="F113" s="43">
        <f t="shared" si="0"/>
        <v>0</v>
      </c>
      <c r="G113" s="44">
        <f t="shared" si="1"/>
        <v>0</v>
      </c>
      <c r="H113" s="42">
        <v>0</v>
      </c>
      <c r="I113" s="34" t="s">
        <v>35</v>
      </c>
      <c r="J113" s="35" t="s">
        <v>35</v>
      </c>
      <c r="K113" s="35" t="s">
        <v>35</v>
      </c>
      <c r="L113" s="35" t="s">
        <v>35</v>
      </c>
      <c r="M113" s="35" t="s">
        <v>35</v>
      </c>
      <c r="N113" s="36" t="s">
        <v>35</v>
      </c>
      <c r="O113" s="21"/>
    </row>
    <row r="114" spans="2:15" x14ac:dyDescent="0.25">
      <c r="B114" s="32">
        <v>11</v>
      </c>
      <c r="C114" s="21"/>
      <c r="D114" s="32"/>
      <c r="E114" s="32"/>
      <c r="F114" s="43">
        <f t="shared" si="0"/>
        <v>0</v>
      </c>
      <c r="G114" s="44">
        <f t="shared" si="1"/>
        <v>0</v>
      </c>
      <c r="H114" s="42">
        <v>0</v>
      </c>
      <c r="I114" s="34" t="s">
        <v>35</v>
      </c>
      <c r="J114" s="35" t="s">
        <v>35</v>
      </c>
      <c r="K114" s="35" t="s">
        <v>35</v>
      </c>
      <c r="L114" s="35" t="s">
        <v>35</v>
      </c>
      <c r="M114" s="35" t="s">
        <v>35</v>
      </c>
      <c r="N114" s="36" t="s">
        <v>35</v>
      </c>
      <c r="O114" s="21"/>
    </row>
    <row r="115" spans="2:15" x14ac:dyDescent="0.25">
      <c r="B115" s="32">
        <v>12</v>
      </c>
      <c r="C115" s="21"/>
      <c r="D115" s="32"/>
      <c r="E115" s="32"/>
      <c r="F115" s="43">
        <f t="shared" si="0"/>
        <v>0</v>
      </c>
      <c r="G115" s="44">
        <f t="shared" si="1"/>
        <v>0</v>
      </c>
      <c r="H115" s="42">
        <v>0</v>
      </c>
      <c r="I115" s="34" t="s">
        <v>35</v>
      </c>
      <c r="J115" s="35" t="s">
        <v>35</v>
      </c>
      <c r="K115" s="35" t="s">
        <v>35</v>
      </c>
      <c r="L115" s="35" t="s">
        <v>35</v>
      </c>
      <c r="M115" s="35" t="s">
        <v>35</v>
      </c>
      <c r="N115" s="36" t="s">
        <v>35</v>
      </c>
      <c r="O115" s="21"/>
    </row>
    <row r="116" spans="2:15" x14ac:dyDescent="0.25">
      <c r="B116" s="32">
        <v>13</v>
      </c>
      <c r="C116" s="21"/>
      <c r="D116" s="32"/>
      <c r="E116" s="32"/>
      <c r="F116" s="43">
        <f t="shared" si="0"/>
        <v>0</v>
      </c>
      <c r="G116" s="44">
        <f t="shared" si="1"/>
        <v>0</v>
      </c>
      <c r="H116" s="42">
        <v>0</v>
      </c>
      <c r="I116" s="34" t="s">
        <v>35</v>
      </c>
      <c r="J116" s="35" t="s">
        <v>35</v>
      </c>
      <c r="K116" s="35" t="s">
        <v>35</v>
      </c>
      <c r="L116" s="35" t="s">
        <v>35</v>
      </c>
      <c r="M116" s="35" t="s">
        <v>35</v>
      </c>
      <c r="N116" s="36" t="s">
        <v>35</v>
      </c>
      <c r="O116" s="21"/>
    </row>
    <row r="117" spans="2:15" x14ac:dyDescent="0.25">
      <c r="B117" s="32">
        <v>14</v>
      </c>
      <c r="C117" s="21"/>
      <c r="D117" s="32"/>
      <c r="E117" s="32"/>
      <c r="F117" s="43">
        <f t="shared" si="0"/>
        <v>0</v>
      </c>
      <c r="G117" s="44">
        <f t="shared" si="1"/>
        <v>0</v>
      </c>
      <c r="H117" s="42">
        <v>0</v>
      </c>
      <c r="I117" s="34" t="s">
        <v>35</v>
      </c>
      <c r="J117" s="35" t="s">
        <v>35</v>
      </c>
      <c r="K117" s="35" t="s">
        <v>35</v>
      </c>
      <c r="L117" s="35" t="s">
        <v>35</v>
      </c>
      <c r="M117" s="35" t="s">
        <v>35</v>
      </c>
      <c r="N117" s="36" t="s">
        <v>35</v>
      </c>
      <c r="O117" s="21"/>
    </row>
    <row r="118" spans="2:15" x14ac:dyDescent="0.25">
      <c r="B118" s="32">
        <v>15</v>
      </c>
      <c r="C118" s="21"/>
      <c r="D118" s="32"/>
      <c r="E118" s="32"/>
      <c r="F118" s="43">
        <f t="shared" si="0"/>
        <v>0</v>
      </c>
      <c r="G118" s="44">
        <f t="shared" si="1"/>
        <v>0</v>
      </c>
      <c r="H118" s="42">
        <v>0</v>
      </c>
      <c r="I118" s="34" t="s">
        <v>35</v>
      </c>
      <c r="J118" s="35" t="s">
        <v>35</v>
      </c>
      <c r="K118" s="35" t="s">
        <v>35</v>
      </c>
      <c r="L118" s="35" t="s">
        <v>35</v>
      </c>
      <c r="M118" s="35" t="s">
        <v>35</v>
      </c>
      <c r="N118" s="36" t="s">
        <v>35</v>
      </c>
      <c r="O118" s="21"/>
    </row>
    <row r="119" spans="2:15" x14ac:dyDescent="0.25">
      <c r="B119" s="32">
        <v>16</v>
      </c>
      <c r="C119" s="21"/>
      <c r="D119" s="32"/>
      <c r="E119" s="32"/>
      <c r="F119" s="43">
        <f t="shared" si="0"/>
        <v>0</v>
      </c>
      <c r="G119" s="44">
        <f t="shared" si="1"/>
        <v>0</v>
      </c>
      <c r="H119" s="42">
        <v>0</v>
      </c>
      <c r="I119" s="34" t="s">
        <v>35</v>
      </c>
      <c r="J119" s="35" t="s">
        <v>35</v>
      </c>
      <c r="K119" s="35" t="s">
        <v>35</v>
      </c>
      <c r="L119" s="35" t="s">
        <v>35</v>
      </c>
      <c r="M119" s="35" t="s">
        <v>35</v>
      </c>
      <c r="N119" s="36" t="s">
        <v>35</v>
      </c>
      <c r="O119" s="21"/>
    </row>
    <row r="120" spans="2:15" x14ac:dyDescent="0.25">
      <c r="B120" s="32">
        <v>17</v>
      </c>
      <c r="C120" s="21"/>
      <c r="D120" s="32"/>
      <c r="E120" s="32"/>
      <c r="F120" s="43">
        <f t="shared" si="0"/>
        <v>0</v>
      </c>
      <c r="G120" s="44">
        <f t="shared" si="1"/>
        <v>0</v>
      </c>
      <c r="H120" s="42">
        <v>0</v>
      </c>
      <c r="I120" s="34" t="s">
        <v>35</v>
      </c>
      <c r="J120" s="35" t="s">
        <v>35</v>
      </c>
      <c r="K120" s="35" t="s">
        <v>35</v>
      </c>
      <c r="L120" s="35" t="s">
        <v>35</v>
      </c>
      <c r="M120" s="35" t="s">
        <v>35</v>
      </c>
      <c r="N120" s="36" t="s">
        <v>35</v>
      </c>
      <c r="O120" s="21"/>
    </row>
    <row r="121" spans="2:15" x14ac:dyDescent="0.25">
      <c r="B121" s="32">
        <v>18</v>
      </c>
      <c r="C121" s="21"/>
      <c r="D121" s="32"/>
      <c r="E121" s="32"/>
      <c r="F121" s="43">
        <f t="shared" si="0"/>
        <v>0</v>
      </c>
      <c r="G121" s="44">
        <f t="shared" si="1"/>
        <v>0</v>
      </c>
      <c r="H121" s="42">
        <v>0</v>
      </c>
      <c r="I121" s="34" t="s">
        <v>35</v>
      </c>
      <c r="J121" s="35" t="s">
        <v>35</v>
      </c>
      <c r="K121" s="35" t="s">
        <v>35</v>
      </c>
      <c r="L121" s="35" t="s">
        <v>35</v>
      </c>
      <c r="M121" s="35" t="s">
        <v>35</v>
      </c>
      <c r="N121" s="36" t="s">
        <v>35</v>
      </c>
      <c r="O121" s="21"/>
    </row>
    <row r="122" spans="2:15" x14ac:dyDescent="0.25">
      <c r="B122" s="32">
        <v>19</v>
      </c>
      <c r="C122" s="21"/>
      <c r="D122" s="32"/>
      <c r="E122" s="32"/>
      <c r="F122" s="43">
        <f t="shared" si="0"/>
        <v>0</v>
      </c>
      <c r="G122" s="44">
        <f t="shared" si="1"/>
        <v>0</v>
      </c>
      <c r="H122" s="42">
        <v>0</v>
      </c>
      <c r="I122" s="34" t="s">
        <v>35</v>
      </c>
      <c r="J122" s="35" t="s">
        <v>35</v>
      </c>
      <c r="K122" s="35" t="s">
        <v>35</v>
      </c>
      <c r="L122" s="35" t="s">
        <v>35</v>
      </c>
      <c r="M122" s="35" t="s">
        <v>35</v>
      </c>
      <c r="N122" s="36" t="s">
        <v>35</v>
      </c>
      <c r="O122" s="21"/>
    </row>
    <row r="123" spans="2:15" x14ac:dyDescent="0.25">
      <c r="B123" s="32">
        <v>20</v>
      </c>
      <c r="C123" s="21"/>
      <c r="D123" s="32"/>
      <c r="E123" s="32"/>
      <c r="F123" s="43">
        <f t="shared" si="0"/>
        <v>0</v>
      </c>
      <c r="G123" s="44">
        <f t="shared" si="1"/>
        <v>0</v>
      </c>
      <c r="H123" s="42">
        <v>0</v>
      </c>
      <c r="I123" s="34" t="s">
        <v>35</v>
      </c>
      <c r="J123" s="35" t="s">
        <v>35</v>
      </c>
      <c r="K123" s="35" t="s">
        <v>35</v>
      </c>
      <c r="L123" s="35" t="s">
        <v>35</v>
      </c>
      <c r="M123" s="35" t="s">
        <v>35</v>
      </c>
      <c r="N123" s="36" t="s">
        <v>35</v>
      </c>
      <c r="O123" s="21"/>
    </row>
    <row r="124" spans="2:15" x14ac:dyDescent="0.25">
      <c r="B124" s="32">
        <v>21</v>
      </c>
      <c r="C124" s="21"/>
      <c r="D124" s="32"/>
      <c r="E124" s="32"/>
      <c r="F124" s="43">
        <f t="shared" si="0"/>
        <v>0</v>
      </c>
      <c r="G124" s="44">
        <f t="shared" si="1"/>
        <v>0</v>
      </c>
      <c r="H124" s="42">
        <v>0</v>
      </c>
      <c r="I124" s="34" t="s">
        <v>35</v>
      </c>
      <c r="J124" s="35" t="s">
        <v>35</v>
      </c>
      <c r="K124" s="35" t="s">
        <v>35</v>
      </c>
      <c r="L124" s="35" t="s">
        <v>35</v>
      </c>
      <c r="M124" s="35" t="s">
        <v>35</v>
      </c>
      <c r="N124" s="36" t="s">
        <v>35</v>
      </c>
      <c r="O124" s="21"/>
    </row>
    <row r="125" spans="2:15" x14ac:dyDescent="0.25">
      <c r="B125" s="32">
        <v>22</v>
      </c>
      <c r="C125" s="21"/>
      <c r="D125" s="32"/>
      <c r="E125" s="32"/>
      <c r="F125" s="43">
        <f t="shared" si="0"/>
        <v>0</v>
      </c>
      <c r="G125" s="44">
        <f t="shared" si="1"/>
        <v>0</v>
      </c>
      <c r="H125" s="42">
        <v>0</v>
      </c>
      <c r="I125" s="34" t="s">
        <v>35</v>
      </c>
      <c r="J125" s="35" t="s">
        <v>35</v>
      </c>
      <c r="K125" s="35" t="s">
        <v>35</v>
      </c>
      <c r="L125" s="35" t="s">
        <v>35</v>
      </c>
      <c r="M125" s="35" t="s">
        <v>35</v>
      </c>
      <c r="N125" s="36" t="s">
        <v>35</v>
      </c>
      <c r="O125" s="21"/>
    </row>
    <row r="126" spans="2:15" x14ac:dyDescent="0.25">
      <c r="B126" s="32">
        <v>23</v>
      </c>
      <c r="C126" s="21"/>
      <c r="D126" s="32"/>
      <c r="E126" s="32"/>
      <c r="F126" s="43">
        <f t="shared" si="0"/>
        <v>0</v>
      </c>
      <c r="G126" s="44">
        <f t="shared" si="1"/>
        <v>0</v>
      </c>
      <c r="H126" s="42">
        <v>0</v>
      </c>
      <c r="I126" s="34" t="s">
        <v>35</v>
      </c>
      <c r="J126" s="35" t="s">
        <v>35</v>
      </c>
      <c r="K126" s="35" t="s">
        <v>35</v>
      </c>
      <c r="L126" s="35" t="s">
        <v>35</v>
      </c>
      <c r="M126" s="35" t="s">
        <v>35</v>
      </c>
      <c r="N126" s="36" t="s">
        <v>35</v>
      </c>
      <c r="O126" s="21"/>
    </row>
    <row r="127" spans="2:15" x14ac:dyDescent="0.25">
      <c r="B127" s="32">
        <v>24</v>
      </c>
      <c r="C127" s="21"/>
      <c r="D127" s="32"/>
      <c r="E127" s="32"/>
      <c r="F127" s="43">
        <f t="shared" si="0"/>
        <v>0</v>
      </c>
      <c r="G127" s="44">
        <f t="shared" si="1"/>
        <v>0</v>
      </c>
      <c r="H127" s="42">
        <v>0</v>
      </c>
      <c r="I127" s="34" t="s">
        <v>35</v>
      </c>
      <c r="J127" s="35" t="s">
        <v>35</v>
      </c>
      <c r="K127" s="35" t="s">
        <v>35</v>
      </c>
      <c r="L127" s="35" t="s">
        <v>35</v>
      </c>
      <c r="M127" s="35" t="s">
        <v>35</v>
      </c>
      <c r="N127" s="36" t="s">
        <v>35</v>
      </c>
      <c r="O127" s="21"/>
    </row>
    <row r="128" spans="2:15" x14ac:dyDescent="0.25">
      <c r="B128" s="32">
        <v>25</v>
      </c>
      <c r="C128" s="21"/>
      <c r="D128" s="32"/>
      <c r="E128" s="32"/>
      <c r="F128" s="43">
        <f t="shared" si="0"/>
        <v>0</v>
      </c>
      <c r="G128" s="44">
        <f t="shared" si="1"/>
        <v>0</v>
      </c>
      <c r="H128" s="42">
        <v>0</v>
      </c>
      <c r="I128" s="34" t="s">
        <v>35</v>
      </c>
      <c r="J128" s="35" t="s">
        <v>35</v>
      </c>
      <c r="K128" s="35" t="s">
        <v>35</v>
      </c>
      <c r="L128" s="35" t="s">
        <v>35</v>
      </c>
      <c r="M128" s="35" t="s">
        <v>35</v>
      </c>
      <c r="N128" s="36" t="s">
        <v>35</v>
      </c>
      <c r="O128" s="21"/>
    </row>
    <row r="129" spans="2:14" ht="15.75" thickBot="1" x14ac:dyDescent="0.3">
      <c r="B129" s="33"/>
      <c r="C129" s="22"/>
      <c r="D129" s="33"/>
      <c r="E129" s="33"/>
      <c r="F129" s="45">
        <f>SUM(F104:F128)</f>
        <v>0</v>
      </c>
      <c r="G129" s="46">
        <f>SUM(G104:G128)</f>
        <v>0</v>
      </c>
      <c r="H129" s="47">
        <f>SUM(H104:H128)</f>
        <v>0</v>
      </c>
      <c r="I129" s="23"/>
      <c r="J129" s="24"/>
      <c r="K129" s="24"/>
      <c r="L129" s="24"/>
      <c r="M129" s="24"/>
      <c r="N129" s="25"/>
    </row>
    <row r="132" spans="2:14" ht="15.75" thickBot="1" x14ac:dyDescent="0.3"/>
    <row r="133" spans="2:14" ht="15.75" thickBot="1" x14ac:dyDescent="0.3">
      <c r="B133" s="69" t="str">
        <f>B12</f>
        <v>Marketing expenses</v>
      </c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1"/>
    </row>
    <row r="134" spans="2:14" ht="30.75" thickBot="1" x14ac:dyDescent="0.3">
      <c r="B134" s="20" t="s">
        <v>22</v>
      </c>
      <c r="C134" s="50" t="s">
        <v>46</v>
      </c>
      <c r="D134" s="20" t="s">
        <v>39</v>
      </c>
      <c r="E134" s="20" t="s">
        <v>34</v>
      </c>
      <c r="F134" s="49" t="s">
        <v>45</v>
      </c>
      <c r="G134" s="20" t="s">
        <v>23</v>
      </c>
      <c r="H134" s="31" t="s">
        <v>24</v>
      </c>
      <c r="I134" s="20" t="s">
        <v>25</v>
      </c>
      <c r="J134" s="20" t="s">
        <v>26</v>
      </c>
      <c r="K134" s="20" t="s">
        <v>27</v>
      </c>
      <c r="L134" s="20" t="s">
        <v>28</v>
      </c>
      <c r="M134" s="20" t="s">
        <v>29</v>
      </c>
      <c r="N134" s="20" t="s">
        <v>30</v>
      </c>
    </row>
    <row r="135" spans="2:14" x14ac:dyDescent="0.25">
      <c r="B135" s="32">
        <v>1</v>
      </c>
      <c r="C135" s="21"/>
      <c r="D135" s="32"/>
      <c r="E135" s="32"/>
      <c r="F135" s="40">
        <f t="shared" ref="F135:F159" si="2">H135*100/115</f>
        <v>0</v>
      </c>
      <c r="G135" s="41">
        <f t="shared" ref="G135:G159" si="3">+F135*0.15</f>
        <v>0</v>
      </c>
      <c r="H135" s="42">
        <v>0</v>
      </c>
      <c r="I135" s="34" t="s">
        <v>35</v>
      </c>
      <c r="J135" s="35" t="s">
        <v>35</v>
      </c>
      <c r="K135" s="35" t="s">
        <v>35</v>
      </c>
      <c r="L135" s="35" t="s">
        <v>35</v>
      </c>
      <c r="M135" s="35" t="s">
        <v>35</v>
      </c>
      <c r="N135" s="36" t="s">
        <v>35</v>
      </c>
    </row>
    <row r="136" spans="2:14" x14ac:dyDescent="0.25">
      <c r="B136" s="32">
        <v>2</v>
      </c>
      <c r="C136" s="21"/>
      <c r="D136" s="32"/>
      <c r="E136" s="32"/>
      <c r="F136" s="43">
        <f t="shared" si="2"/>
        <v>0</v>
      </c>
      <c r="G136" s="44">
        <f t="shared" si="3"/>
        <v>0</v>
      </c>
      <c r="H136" s="42">
        <v>0</v>
      </c>
      <c r="I136" s="34" t="s">
        <v>35</v>
      </c>
      <c r="J136" s="35" t="s">
        <v>35</v>
      </c>
      <c r="K136" s="35" t="s">
        <v>35</v>
      </c>
      <c r="L136" s="35" t="s">
        <v>35</v>
      </c>
      <c r="M136" s="35" t="s">
        <v>35</v>
      </c>
      <c r="N136" s="36" t="s">
        <v>35</v>
      </c>
    </row>
    <row r="137" spans="2:14" x14ac:dyDescent="0.25">
      <c r="B137" s="32">
        <v>3</v>
      </c>
      <c r="C137" s="21"/>
      <c r="D137" s="32"/>
      <c r="E137" s="32"/>
      <c r="F137" s="43">
        <f t="shared" si="2"/>
        <v>0</v>
      </c>
      <c r="G137" s="44">
        <f t="shared" si="3"/>
        <v>0</v>
      </c>
      <c r="H137" s="42">
        <v>0</v>
      </c>
      <c r="I137" s="34" t="s">
        <v>35</v>
      </c>
      <c r="J137" s="35" t="s">
        <v>35</v>
      </c>
      <c r="K137" s="35" t="s">
        <v>35</v>
      </c>
      <c r="L137" s="35" t="s">
        <v>35</v>
      </c>
      <c r="M137" s="35" t="s">
        <v>35</v>
      </c>
      <c r="N137" s="36" t="s">
        <v>35</v>
      </c>
    </row>
    <row r="138" spans="2:14" x14ac:dyDescent="0.25">
      <c r="B138" s="32">
        <v>4</v>
      </c>
      <c r="C138" s="21"/>
      <c r="D138" s="32"/>
      <c r="E138" s="32"/>
      <c r="F138" s="43">
        <f t="shared" si="2"/>
        <v>0</v>
      </c>
      <c r="G138" s="44">
        <f t="shared" si="3"/>
        <v>0</v>
      </c>
      <c r="H138" s="42">
        <v>0</v>
      </c>
      <c r="I138" s="34" t="s">
        <v>35</v>
      </c>
      <c r="J138" s="35" t="s">
        <v>35</v>
      </c>
      <c r="K138" s="35" t="s">
        <v>35</v>
      </c>
      <c r="L138" s="35" t="s">
        <v>35</v>
      </c>
      <c r="M138" s="35" t="s">
        <v>35</v>
      </c>
      <c r="N138" s="36" t="s">
        <v>35</v>
      </c>
    </row>
    <row r="139" spans="2:14" x14ac:dyDescent="0.25">
      <c r="B139" s="32">
        <v>5</v>
      </c>
      <c r="C139" s="21"/>
      <c r="D139" s="32"/>
      <c r="E139" s="32"/>
      <c r="F139" s="43">
        <f t="shared" si="2"/>
        <v>0</v>
      </c>
      <c r="G139" s="44">
        <f t="shared" si="3"/>
        <v>0</v>
      </c>
      <c r="H139" s="42">
        <v>0</v>
      </c>
      <c r="I139" s="34" t="s">
        <v>35</v>
      </c>
      <c r="J139" s="35" t="s">
        <v>35</v>
      </c>
      <c r="K139" s="35" t="s">
        <v>35</v>
      </c>
      <c r="L139" s="35" t="s">
        <v>35</v>
      </c>
      <c r="M139" s="35" t="s">
        <v>35</v>
      </c>
      <c r="N139" s="36" t="s">
        <v>35</v>
      </c>
    </row>
    <row r="140" spans="2:14" x14ac:dyDescent="0.25">
      <c r="B140" s="32">
        <v>6</v>
      </c>
      <c r="C140" s="21"/>
      <c r="D140" s="32"/>
      <c r="E140" s="32"/>
      <c r="F140" s="43">
        <f t="shared" si="2"/>
        <v>0</v>
      </c>
      <c r="G140" s="44">
        <f t="shared" si="3"/>
        <v>0</v>
      </c>
      <c r="H140" s="42">
        <v>0</v>
      </c>
      <c r="I140" s="34" t="s">
        <v>35</v>
      </c>
      <c r="J140" s="35" t="s">
        <v>35</v>
      </c>
      <c r="K140" s="35" t="s">
        <v>35</v>
      </c>
      <c r="L140" s="35" t="s">
        <v>35</v>
      </c>
      <c r="M140" s="35" t="s">
        <v>35</v>
      </c>
      <c r="N140" s="36" t="s">
        <v>35</v>
      </c>
    </row>
    <row r="141" spans="2:14" x14ac:dyDescent="0.25">
      <c r="B141" s="32">
        <v>7</v>
      </c>
      <c r="C141" s="21"/>
      <c r="D141" s="32"/>
      <c r="E141" s="32"/>
      <c r="F141" s="43">
        <f t="shared" si="2"/>
        <v>0</v>
      </c>
      <c r="G141" s="44">
        <f t="shared" si="3"/>
        <v>0</v>
      </c>
      <c r="H141" s="42">
        <v>0</v>
      </c>
      <c r="I141" s="34" t="s">
        <v>35</v>
      </c>
      <c r="J141" s="35" t="s">
        <v>35</v>
      </c>
      <c r="K141" s="35" t="s">
        <v>35</v>
      </c>
      <c r="L141" s="35" t="s">
        <v>35</v>
      </c>
      <c r="M141" s="35" t="s">
        <v>35</v>
      </c>
      <c r="N141" s="36" t="s">
        <v>35</v>
      </c>
    </row>
    <row r="142" spans="2:14" x14ac:dyDescent="0.25">
      <c r="B142" s="32">
        <v>8</v>
      </c>
      <c r="C142" s="21"/>
      <c r="D142" s="32"/>
      <c r="E142" s="32"/>
      <c r="F142" s="43">
        <f t="shared" si="2"/>
        <v>0</v>
      </c>
      <c r="G142" s="44">
        <f t="shared" si="3"/>
        <v>0</v>
      </c>
      <c r="H142" s="42">
        <v>0</v>
      </c>
      <c r="I142" s="34" t="s">
        <v>35</v>
      </c>
      <c r="J142" s="35" t="s">
        <v>35</v>
      </c>
      <c r="K142" s="35" t="s">
        <v>35</v>
      </c>
      <c r="L142" s="35" t="s">
        <v>35</v>
      </c>
      <c r="M142" s="35" t="s">
        <v>35</v>
      </c>
      <c r="N142" s="36" t="s">
        <v>35</v>
      </c>
    </row>
    <row r="143" spans="2:14" x14ac:dyDescent="0.25">
      <c r="B143" s="32">
        <v>9</v>
      </c>
      <c r="C143" s="21"/>
      <c r="D143" s="32"/>
      <c r="E143" s="32"/>
      <c r="F143" s="43">
        <f t="shared" si="2"/>
        <v>0</v>
      </c>
      <c r="G143" s="44">
        <f t="shared" si="3"/>
        <v>0</v>
      </c>
      <c r="H143" s="42">
        <v>0</v>
      </c>
      <c r="I143" s="34" t="s">
        <v>35</v>
      </c>
      <c r="J143" s="35" t="s">
        <v>35</v>
      </c>
      <c r="K143" s="35" t="s">
        <v>35</v>
      </c>
      <c r="L143" s="35" t="s">
        <v>35</v>
      </c>
      <c r="M143" s="35" t="s">
        <v>35</v>
      </c>
      <c r="N143" s="36" t="s">
        <v>35</v>
      </c>
    </row>
    <row r="144" spans="2:14" x14ac:dyDescent="0.25">
      <c r="B144" s="32">
        <v>10</v>
      </c>
      <c r="C144" s="21"/>
      <c r="D144" s="32"/>
      <c r="E144" s="32"/>
      <c r="F144" s="43">
        <f t="shared" si="2"/>
        <v>0</v>
      </c>
      <c r="G144" s="44">
        <f t="shared" si="3"/>
        <v>0</v>
      </c>
      <c r="H144" s="42">
        <v>0</v>
      </c>
      <c r="I144" s="34" t="s">
        <v>35</v>
      </c>
      <c r="J144" s="35" t="s">
        <v>35</v>
      </c>
      <c r="K144" s="35" t="s">
        <v>35</v>
      </c>
      <c r="L144" s="35" t="s">
        <v>35</v>
      </c>
      <c r="M144" s="35" t="s">
        <v>35</v>
      </c>
      <c r="N144" s="36" t="s">
        <v>35</v>
      </c>
    </row>
    <row r="145" spans="2:14" x14ac:dyDescent="0.25">
      <c r="B145" s="32">
        <v>11</v>
      </c>
      <c r="C145" s="21"/>
      <c r="D145" s="32"/>
      <c r="E145" s="32"/>
      <c r="F145" s="43">
        <f t="shared" si="2"/>
        <v>0</v>
      </c>
      <c r="G145" s="44">
        <f t="shared" si="3"/>
        <v>0</v>
      </c>
      <c r="H145" s="42">
        <v>0</v>
      </c>
      <c r="I145" s="34" t="s">
        <v>35</v>
      </c>
      <c r="J145" s="35" t="s">
        <v>35</v>
      </c>
      <c r="K145" s="35" t="s">
        <v>35</v>
      </c>
      <c r="L145" s="35" t="s">
        <v>35</v>
      </c>
      <c r="M145" s="35" t="s">
        <v>35</v>
      </c>
      <c r="N145" s="36" t="s">
        <v>35</v>
      </c>
    </row>
    <row r="146" spans="2:14" x14ac:dyDescent="0.25">
      <c r="B146" s="32">
        <v>12</v>
      </c>
      <c r="C146" s="21"/>
      <c r="D146" s="32"/>
      <c r="E146" s="32"/>
      <c r="F146" s="43">
        <f t="shared" si="2"/>
        <v>0</v>
      </c>
      <c r="G146" s="44">
        <f t="shared" si="3"/>
        <v>0</v>
      </c>
      <c r="H146" s="42">
        <v>0</v>
      </c>
      <c r="I146" s="34" t="s">
        <v>35</v>
      </c>
      <c r="J146" s="35" t="s">
        <v>35</v>
      </c>
      <c r="K146" s="35" t="s">
        <v>35</v>
      </c>
      <c r="L146" s="35" t="s">
        <v>35</v>
      </c>
      <c r="M146" s="35" t="s">
        <v>35</v>
      </c>
      <c r="N146" s="36" t="s">
        <v>35</v>
      </c>
    </row>
    <row r="147" spans="2:14" x14ac:dyDescent="0.25">
      <c r="B147" s="32">
        <v>13</v>
      </c>
      <c r="C147" s="21"/>
      <c r="D147" s="32"/>
      <c r="E147" s="32"/>
      <c r="F147" s="43">
        <f t="shared" si="2"/>
        <v>0</v>
      </c>
      <c r="G147" s="44">
        <f t="shared" si="3"/>
        <v>0</v>
      </c>
      <c r="H147" s="42">
        <v>0</v>
      </c>
      <c r="I147" s="34" t="s">
        <v>35</v>
      </c>
      <c r="J147" s="35" t="s">
        <v>35</v>
      </c>
      <c r="K147" s="35" t="s">
        <v>35</v>
      </c>
      <c r="L147" s="35" t="s">
        <v>35</v>
      </c>
      <c r="M147" s="35" t="s">
        <v>35</v>
      </c>
      <c r="N147" s="36" t="s">
        <v>35</v>
      </c>
    </row>
    <row r="148" spans="2:14" x14ac:dyDescent="0.25">
      <c r="B148" s="32">
        <v>14</v>
      </c>
      <c r="C148" s="21"/>
      <c r="D148" s="32"/>
      <c r="E148" s="32"/>
      <c r="F148" s="43">
        <f t="shared" si="2"/>
        <v>0</v>
      </c>
      <c r="G148" s="44">
        <f t="shared" si="3"/>
        <v>0</v>
      </c>
      <c r="H148" s="42">
        <v>0</v>
      </c>
      <c r="I148" s="34" t="s">
        <v>35</v>
      </c>
      <c r="J148" s="35" t="s">
        <v>35</v>
      </c>
      <c r="K148" s="35" t="s">
        <v>35</v>
      </c>
      <c r="L148" s="35" t="s">
        <v>35</v>
      </c>
      <c r="M148" s="35" t="s">
        <v>35</v>
      </c>
      <c r="N148" s="36" t="s">
        <v>35</v>
      </c>
    </row>
    <row r="149" spans="2:14" x14ac:dyDescent="0.25">
      <c r="B149" s="32">
        <v>15</v>
      </c>
      <c r="C149" s="21"/>
      <c r="D149" s="32"/>
      <c r="E149" s="32"/>
      <c r="F149" s="43">
        <f t="shared" si="2"/>
        <v>0</v>
      </c>
      <c r="G149" s="44">
        <f t="shared" si="3"/>
        <v>0</v>
      </c>
      <c r="H149" s="42">
        <v>0</v>
      </c>
      <c r="I149" s="34" t="s">
        <v>35</v>
      </c>
      <c r="J149" s="35" t="s">
        <v>35</v>
      </c>
      <c r="K149" s="35" t="s">
        <v>35</v>
      </c>
      <c r="L149" s="35" t="s">
        <v>35</v>
      </c>
      <c r="M149" s="35" t="s">
        <v>35</v>
      </c>
      <c r="N149" s="36" t="s">
        <v>35</v>
      </c>
    </row>
    <row r="150" spans="2:14" x14ac:dyDescent="0.25">
      <c r="B150" s="32">
        <v>16</v>
      </c>
      <c r="C150" s="21"/>
      <c r="D150" s="32"/>
      <c r="E150" s="32"/>
      <c r="F150" s="43">
        <f t="shared" si="2"/>
        <v>0</v>
      </c>
      <c r="G150" s="44">
        <f t="shared" si="3"/>
        <v>0</v>
      </c>
      <c r="H150" s="42">
        <v>0</v>
      </c>
      <c r="I150" s="34" t="s">
        <v>35</v>
      </c>
      <c r="J150" s="35" t="s">
        <v>35</v>
      </c>
      <c r="K150" s="35" t="s">
        <v>35</v>
      </c>
      <c r="L150" s="35" t="s">
        <v>35</v>
      </c>
      <c r="M150" s="35" t="s">
        <v>35</v>
      </c>
      <c r="N150" s="36" t="s">
        <v>35</v>
      </c>
    </row>
    <row r="151" spans="2:14" x14ac:dyDescent="0.25">
      <c r="B151" s="32">
        <v>17</v>
      </c>
      <c r="C151" s="21"/>
      <c r="D151" s="32"/>
      <c r="E151" s="32"/>
      <c r="F151" s="43">
        <f t="shared" si="2"/>
        <v>0</v>
      </c>
      <c r="G151" s="44">
        <f t="shared" si="3"/>
        <v>0</v>
      </c>
      <c r="H151" s="42">
        <v>0</v>
      </c>
      <c r="I151" s="34" t="s">
        <v>35</v>
      </c>
      <c r="J151" s="35" t="s">
        <v>35</v>
      </c>
      <c r="K151" s="35" t="s">
        <v>35</v>
      </c>
      <c r="L151" s="35" t="s">
        <v>35</v>
      </c>
      <c r="M151" s="35" t="s">
        <v>35</v>
      </c>
      <c r="N151" s="36" t="s">
        <v>35</v>
      </c>
    </row>
    <row r="152" spans="2:14" x14ac:dyDescent="0.25">
      <c r="B152" s="32">
        <v>18</v>
      </c>
      <c r="C152" s="21"/>
      <c r="D152" s="32"/>
      <c r="E152" s="32"/>
      <c r="F152" s="43">
        <f t="shared" si="2"/>
        <v>0</v>
      </c>
      <c r="G152" s="44">
        <f t="shared" si="3"/>
        <v>0</v>
      </c>
      <c r="H152" s="42">
        <v>0</v>
      </c>
      <c r="I152" s="34" t="s">
        <v>35</v>
      </c>
      <c r="J152" s="35" t="s">
        <v>35</v>
      </c>
      <c r="K152" s="35" t="s">
        <v>35</v>
      </c>
      <c r="L152" s="35" t="s">
        <v>35</v>
      </c>
      <c r="M152" s="35" t="s">
        <v>35</v>
      </c>
      <c r="N152" s="36" t="s">
        <v>35</v>
      </c>
    </row>
    <row r="153" spans="2:14" x14ac:dyDescent="0.25">
      <c r="B153" s="32">
        <v>19</v>
      </c>
      <c r="C153" s="21"/>
      <c r="D153" s="32"/>
      <c r="E153" s="32"/>
      <c r="F153" s="43">
        <f t="shared" si="2"/>
        <v>0</v>
      </c>
      <c r="G153" s="44">
        <f t="shared" si="3"/>
        <v>0</v>
      </c>
      <c r="H153" s="42">
        <v>0</v>
      </c>
      <c r="I153" s="34" t="s">
        <v>35</v>
      </c>
      <c r="J153" s="35" t="s">
        <v>35</v>
      </c>
      <c r="K153" s="35" t="s">
        <v>35</v>
      </c>
      <c r="L153" s="35" t="s">
        <v>35</v>
      </c>
      <c r="M153" s="35" t="s">
        <v>35</v>
      </c>
      <c r="N153" s="36" t="s">
        <v>35</v>
      </c>
    </row>
    <row r="154" spans="2:14" x14ac:dyDescent="0.25">
      <c r="B154" s="32">
        <v>20</v>
      </c>
      <c r="C154" s="21"/>
      <c r="D154" s="32"/>
      <c r="E154" s="32"/>
      <c r="F154" s="43">
        <f t="shared" si="2"/>
        <v>0</v>
      </c>
      <c r="G154" s="44">
        <f t="shared" si="3"/>
        <v>0</v>
      </c>
      <c r="H154" s="42">
        <v>0</v>
      </c>
      <c r="I154" s="34" t="s">
        <v>35</v>
      </c>
      <c r="J154" s="35" t="s">
        <v>35</v>
      </c>
      <c r="K154" s="35" t="s">
        <v>35</v>
      </c>
      <c r="L154" s="35" t="s">
        <v>35</v>
      </c>
      <c r="M154" s="35" t="s">
        <v>35</v>
      </c>
      <c r="N154" s="36" t="s">
        <v>35</v>
      </c>
    </row>
    <row r="155" spans="2:14" x14ac:dyDescent="0.25">
      <c r="B155" s="32">
        <v>21</v>
      </c>
      <c r="C155" s="21"/>
      <c r="D155" s="32"/>
      <c r="E155" s="32"/>
      <c r="F155" s="43">
        <f t="shared" si="2"/>
        <v>0</v>
      </c>
      <c r="G155" s="44">
        <f t="shared" si="3"/>
        <v>0</v>
      </c>
      <c r="H155" s="42">
        <v>0</v>
      </c>
      <c r="I155" s="34" t="s">
        <v>35</v>
      </c>
      <c r="J155" s="35" t="s">
        <v>35</v>
      </c>
      <c r="K155" s="35" t="s">
        <v>35</v>
      </c>
      <c r="L155" s="35" t="s">
        <v>35</v>
      </c>
      <c r="M155" s="35" t="s">
        <v>35</v>
      </c>
      <c r="N155" s="36" t="s">
        <v>35</v>
      </c>
    </row>
    <row r="156" spans="2:14" x14ac:dyDescent="0.25">
      <c r="B156" s="32">
        <v>22</v>
      </c>
      <c r="C156" s="21"/>
      <c r="D156" s="32"/>
      <c r="E156" s="32"/>
      <c r="F156" s="43">
        <f t="shared" si="2"/>
        <v>0</v>
      </c>
      <c r="G156" s="44">
        <f t="shared" si="3"/>
        <v>0</v>
      </c>
      <c r="H156" s="42">
        <v>0</v>
      </c>
      <c r="I156" s="34" t="s">
        <v>35</v>
      </c>
      <c r="J156" s="35" t="s">
        <v>35</v>
      </c>
      <c r="K156" s="35" t="s">
        <v>35</v>
      </c>
      <c r="L156" s="35" t="s">
        <v>35</v>
      </c>
      <c r="M156" s="35" t="s">
        <v>35</v>
      </c>
      <c r="N156" s="36" t="s">
        <v>35</v>
      </c>
    </row>
    <row r="157" spans="2:14" x14ac:dyDescent="0.25">
      <c r="B157" s="32">
        <v>23</v>
      </c>
      <c r="C157" s="21"/>
      <c r="D157" s="32"/>
      <c r="E157" s="32"/>
      <c r="F157" s="43">
        <f t="shared" si="2"/>
        <v>0</v>
      </c>
      <c r="G157" s="44">
        <f t="shared" si="3"/>
        <v>0</v>
      </c>
      <c r="H157" s="42">
        <v>0</v>
      </c>
      <c r="I157" s="34" t="s">
        <v>35</v>
      </c>
      <c r="J157" s="35" t="s">
        <v>35</v>
      </c>
      <c r="K157" s="35" t="s">
        <v>35</v>
      </c>
      <c r="L157" s="35" t="s">
        <v>35</v>
      </c>
      <c r="M157" s="35" t="s">
        <v>35</v>
      </c>
      <c r="N157" s="36" t="s">
        <v>35</v>
      </c>
    </row>
    <row r="158" spans="2:14" x14ac:dyDescent="0.25">
      <c r="B158" s="32">
        <v>24</v>
      </c>
      <c r="C158" s="21"/>
      <c r="D158" s="32"/>
      <c r="E158" s="32"/>
      <c r="F158" s="43">
        <f t="shared" si="2"/>
        <v>0</v>
      </c>
      <c r="G158" s="44">
        <f t="shared" si="3"/>
        <v>0</v>
      </c>
      <c r="H158" s="42">
        <v>0</v>
      </c>
      <c r="I158" s="34" t="s">
        <v>35</v>
      </c>
      <c r="J158" s="35" t="s">
        <v>35</v>
      </c>
      <c r="K158" s="35" t="s">
        <v>35</v>
      </c>
      <c r="L158" s="35" t="s">
        <v>35</v>
      </c>
      <c r="M158" s="35" t="s">
        <v>35</v>
      </c>
      <c r="N158" s="36" t="s">
        <v>35</v>
      </c>
    </row>
    <row r="159" spans="2:14" x14ac:dyDescent="0.25">
      <c r="B159" s="32">
        <v>25</v>
      </c>
      <c r="C159" s="21"/>
      <c r="D159" s="32"/>
      <c r="E159" s="32"/>
      <c r="F159" s="43">
        <f t="shared" si="2"/>
        <v>0</v>
      </c>
      <c r="G159" s="44">
        <f t="shared" si="3"/>
        <v>0</v>
      </c>
      <c r="H159" s="42">
        <v>0</v>
      </c>
      <c r="I159" s="34" t="s">
        <v>35</v>
      </c>
      <c r="J159" s="35" t="s">
        <v>35</v>
      </c>
      <c r="K159" s="35" t="s">
        <v>35</v>
      </c>
      <c r="L159" s="35" t="s">
        <v>35</v>
      </c>
      <c r="M159" s="35" t="s">
        <v>35</v>
      </c>
      <c r="N159" s="36" t="s">
        <v>35</v>
      </c>
    </row>
    <row r="160" spans="2:14" ht="15.75" thickBot="1" x14ac:dyDescent="0.3">
      <c r="B160" s="33"/>
      <c r="C160" s="22"/>
      <c r="D160" s="33"/>
      <c r="E160" s="33"/>
      <c r="F160" s="45">
        <f>SUM(F135:F159)</f>
        <v>0</v>
      </c>
      <c r="G160" s="46">
        <f>SUM(G135:G159)</f>
        <v>0</v>
      </c>
      <c r="H160" s="47">
        <f>SUM(H135:H159)</f>
        <v>0</v>
      </c>
      <c r="I160" s="23"/>
      <c r="J160" s="24"/>
      <c r="K160" s="24"/>
      <c r="L160" s="24"/>
      <c r="M160" s="24"/>
      <c r="N160" s="25"/>
    </row>
    <row r="163" spans="2:6" ht="15.75" thickBot="1" x14ac:dyDescent="0.3"/>
    <row r="164" spans="2:6" ht="24" customHeight="1" thickBot="1" x14ac:dyDescent="0.3">
      <c r="B164" s="65" t="s">
        <v>31</v>
      </c>
      <c r="C164" s="72"/>
    </row>
    <row r="165" spans="2:6" x14ac:dyDescent="0.25">
      <c r="B165" s="73" t="s">
        <v>41</v>
      </c>
      <c r="C165" s="74"/>
      <c r="D165" s="74"/>
      <c r="E165" s="74"/>
      <c r="F165" s="75"/>
    </row>
    <row r="166" spans="2:6" x14ac:dyDescent="0.25">
      <c r="B166" s="76"/>
      <c r="C166" s="77"/>
      <c r="D166" s="77"/>
      <c r="E166" s="77"/>
      <c r="F166" s="78"/>
    </row>
    <row r="167" spans="2:6" ht="15.75" thickBot="1" x14ac:dyDescent="0.3">
      <c r="B167" s="79"/>
      <c r="C167" s="80"/>
      <c r="D167" s="80"/>
      <c r="E167" s="80"/>
      <c r="F167" s="81"/>
    </row>
  </sheetData>
  <mergeCells count="32">
    <mergeCell ref="B11:C11"/>
    <mergeCell ref="C3:K3"/>
    <mergeCell ref="C4:K4"/>
    <mergeCell ref="C5:K5"/>
    <mergeCell ref="B7:K7"/>
    <mergeCell ref="B9:C10"/>
    <mergeCell ref="C88:K88"/>
    <mergeCell ref="B13:C13"/>
    <mergeCell ref="B78:K78"/>
    <mergeCell ref="B79:K79"/>
    <mergeCell ref="B80:K80"/>
    <mergeCell ref="B81:K81"/>
    <mergeCell ref="B82:K82"/>
    <mergeCell ref="B83:K83"/>
    <mergeCell ref="C86:K86"/>
    <mergeCell ref="C87:K87"/>
    <mergeCell ref="B12:C12"/>
    <mergeCell ref="B47:C48"/>
    <mergeCell ref="B133:N133"/>
    <mergeCell ref="B164:C164"/>
    <mergeCell ref="B165:F167"/>
    <mergeCell ref="B16:C17"/>
    <mergeCell ref="B97:F97"/>
    <mergeCell ref="B98:F98"/>
    <mergeCell ref="B99:F99"/>
    <mergeCell ref="B102:N102"/>
    <mergeCell ref="C89:K89"/>
    <mergeCell ref="C90:K90"/>
    <mergeCell ref="C91:K91"/>
    <mergeCell ref="B94:F94"/>
    <mergeCell ref="B95:F95"/>
    <mergeCell ref="B96:F96"/>
  </mergeCells>
  <dataValidations disablePrompts="1" count="2">
    <dataValidation type="list" allowBlank="1" showInputMessage="1" showErrorMessage="1" sqref="E104:E128" xr:uid="{D8777A83-E9CF-4DE5-99B5-736DC3547B0E}">
      <formula1>$C$19:$C$33</formula1>
    </dataValidation>
    <dataValidation type="list" allowBlank="1" showInputMessage="1" showErrorMessage="1" sqref="E135:E159" xr:uid="{985A4DE5-85A2-4E62-983F-A7F866EB52CD}">
      <formula1>$C$50:$C$64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2025-04-13T07:47:00Z</dcterms:modified>
</cp:coreProperties>
</file>