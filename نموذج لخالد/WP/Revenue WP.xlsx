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DELL\OneDrive\Desktop\audit file\نماذج\AMS WP\"/>
    </mc:Choice>
  </mc:AlternateContent>
  <xr:revisionPtr revIDLastSave="0" documentId="13_ncr:1_{D495D86E-45F5-4CD5-9178-7B2E4E924B7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venu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4" i="1" l="1"/>
  <c r="H13" i="1" s="1"/>
  <c r="H69" i="1"/>
  <c r="H12" i="1" s="1"/>
  <c r="H93" i="1"/>
  <c r="B86" i="1"/>
  <c r="F92" i="1"/>
  <c r="G92" i="1" s="1"/>
  <c r="F91" i="1"/>
  <c r="G91" i="1" s="1"/>
  <c r="F90" i="1"/>
  <c r="G90" i="1" s="1"/>
  <c r="F89" i="1"/>
  <c r="G89" i="1" s="1"/>
  <c r="F88" i="1"/>
  <c r="G88" i="1" s="1"/>
  <c r="F83" i="1"/>
  <c r="G83" i="1" s="1"/>
  <c r="F82" i="1"/>
  <c r="G82" i="1" s="1"/>
  <c r="F81" i="1"/>
  <c r="G81" i="1" s="1"/>
  <c r="F80" i="1"/>
  <c r="G80" i="1" s="1"/>
  <c r="F79" i="1"/>
  <c r="G79" i="1" s="1"/>
  <c r="F78" i="1"/>
  <c r="G78" i="1" s="1"/>
  <c r="G77" i="1"/>
  <c r="F77" i="1"/>
  <c r="F76" i="1"/>
  <c r="G76" i="1" s="1"/>
  <c r="F75" i="1"/>
  <c r="G75" i="1" s="1"/>
  <c r="F74" i="1"/>
  <c r="G74" i="1" s="1"/>
  <c r="F46" i="1"/>
  <c r="G46" i="1" s="1"/>
  <c r="F47" i="1"/>
  <c r="G47" i="1" s="1"/>
  <c r="F48" i="1"/>
  <c r="G48" i="1"/>
  <c r="F49" i="1"/>
  <c r="G49" i="1" s="1"/>
  <c r="F50" i="1"/>
  <c r="G50" i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62" i="1"/>
  <c r="G62" i="1" s="1"/>
  <c r="F63" i="1"/>
  <c r="G63" i="1" s="1"/>
  <c r="F64" i="1"/>
  <c r="G64" i="1"/>
  <c r="F65" i="1"/>
  <c r="G65" i="1" s="1"/>
  <c r="F66" i="1"/>
  <c r="G66" i="1" s="1"/>
  <c r="F67" i="1"/>
  <c r="G67" i="1" s="1"/>
  <c r="F68" i="1"/>
  <c r="G68" i="1" s="1"/>
  <c r="F45" i="1"/>
  <c r="G45" i="1" s="1"/>
  <c r="F44" i="1"/>
  <c r="G44" i="1" s="1"/>
  <c r="G84" i="1" l="1"/>
  <c r="F84" i="1"/>
  <c r="F69" i="1"/>
  <c r="G69" i="1"/>
  <c r="G93" i="1"/>
  <c r="F93" i="1"/>
  <c r="I14" i="1"/>
  <c r="I13" i="1"/>
  <c r="F14" i="1"/>
  <c r="G14" i="1" s="1"/>
  <c r="D11" i="1"/>
  <c r="E15" i="1"/>
  <c r="F13" i="1"/>
  <c r="G13" i="1" s="1"/>
  <c r="H15" i="1"/>
  <c r="D15" i="1"/>
  <c r="I15" i="1" l="1"/>
  <c r="F12" i="1"/>
  <c r="I12" i="1"/>
  <c r="G12" i="1" l="1"/>
  <c r="F15" i="1"/>
  <c r="G15" i="1" s="1"/>
</calcChain>
</file>

<file path=xl/sharedStrings.xml><?xml version="1.0" encoding="utf-8"?>
<sst xmlns="http://schemas.openxmlformats.org/spreadsheetml/2006/main" count="333" uniqueCount="59">
  <si>
    <t>Abdullah Mansour Al-Subaie Company, Accountants and Legal Auditors, License No. (1031)</t>
  </si>
  <si>
    <t xml:space="preserve">clint name </t>
  </si>
  <si>
    <t>year</t>
  </si>
  <si>
    <t>Currency</t>
  </si>
  <si>
    <t>SAR</t>
  </si>
  <si>
    <t xml:space="preserve">Revenue </t>
  </si>
  <si>
    <t>Description</t>
  </si>
  <si>
    <t xml:space="preserve">Balance as at </t>
  </si>
  <si>
    <t>Variance</t>
  </si>
  <si>
    <t>Inovice checked</t>
  </si>
  <si>
    <t>2022at Dec 31</t>
  </si>
  <si>
    <t>%</t>
  </si>
  <si>
    <t>end balance</t>
  </si>
  <si>
    <t>Revenue</t>
  </si>
  <si>
    <t>other Revenue</t>
  </si>
  <si>
    <t>Revenue Return</t>
  </si>
  <si>
    <t>Work Done</t>
  </si>
  <si>
    <t xml:space="preserve">1) The reconciliation of the analytical account statements with the trial balance and financial statements has been verified. </t>
  </si>
  <si>
    <t xml:space="preserve">2)  All relevant classifcation &amp; presentation disclosed properly in FS										</t>
  </si>
  <si>
    <t xml:space="preserve">3) GL of sales for the year for all departments for the year ended 31 December 2023 has been requested.	</t>
  </si>
  <si>
    <t xml:space="preserve">4) Matched invoices from sales GL with Trade Receivable Checked Invoices									</t>
  </si>
  <si>
    <t xml:space="preserve">5) We traced source documents to GL accounts to check completenes									</t>
  </si>
  <si>
    <t>Assertions</t>
  </si>
  <si>
    <t>Occurance</t>
  </si>
  <si>
    <t>We vouched balances in GL to supporting doc to check occurrence</t>
  </si>
  <si>
    <t>Completenes</t>
  </si>
  <si>
    <t>We traced source documents to GL accounts to check completenes</t>
  </si>
  <si>
    <t>Accuracy</t>
  </si>
  <si>
    <t>Classifcation</t>
  </si>
  <si>
    <t>Presentation</t>
  </si>
  <si>
    <t>Checked , invoices are correctly recorded</t>
  </si>
  <si>
    <t>All relevant classification and presentation disposed properly in FS</t>
  </si>
  <si>
    <t>Invoices  (Revenue - Invoices) WP</t>
  </si>
  <si>
    <t>Serial</t>
  </si>
  <si>
    <t>Date of document</t>
  </si>
  <si>
    <t>invoice No</t>
  </si>
  <si>
    <t>Invoice amount before VAT</t>
  </si>
  <si>
    <t>VAT 15%</t>
  </si>
  <si>
    <t>w1) Sales invoice agrees to sales order</t>
  </si>
  <si>
    <t>w2) Sales order agrees to clients purchase order</t>
  </si>
  <si>
    <t>w3) Delivery note agrees to sales invoice and is signed by the client</t>
  </si>
  <si>
    <t>w4) Calculation accuracy is checked</t>
  </si>
  <si>
    <t>w5) Sales is charged to customer account (account receivables)</t>
  </si>
  <si>
    <t>w6 ) Invoices serial is checked</t>
  </si>
  <si>
    <t>w1</t>
  </si>
  <si>
    <t>w2</t>
  </si>
  <si>
    <t>w3</t>
  </si>
  <si>
    <t>w4</t>
  </si>
  <si>
    <t>w5</t>
  </si>
  <si>
    <t>w6</t>
  </si>
  <si>
    <t xml:space="preserve">check : </t>
  </si>
  <si>
    <t>p</t>
  </si>
  <si>
    <t xml:space="preserve">Customer name </t>
  </si>
  <si>
    <t>Total  value</t>
  </si>
  <si>
    <t>Summary of the opinion</t>
  </si>
  <si>
    <t>A reasonable confirmation has been reached that the revenue present fairly</t>
  </si>
  <si>
    <t xml:space="preserve">Prepared By : </t>
  </si>
  <si>
    <t>saad</t>
  </si>
  <si>
    <t>Reviewed By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</si>
</sst>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color indexed="10"/>
      <name val="Bookshelf Symbol 7"/>
      <charset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</cellStyleXfs>
  <cellXfs count="106">
    <xf numFmtId="0" fontId="0" fillId="0" borderId="0" xfId="0"/>
    <xf numFmtId="0" fontId="0" fillId="0" borderId="0" xfId="0" applyAlignment="1">
      <alignment readingOrder="1"/>
    </xf>
    <xf numFmtId="0" fontId="2" fillId="0" borderId="0" xfId="0" applyFont="1"/>
    <xf numFmtId="0" fontId="3" fillId="0" borderId="0" xfId="0" applyFont="1" applyAlignment="1">
      <alignment readingOrder="1"/>
    </xf>
    <xf numFmtId="0" fontId="3" fillId="0" borderId="0" xfId="0" applyFont="1" applyAlignment="1">
      <alignment horizontal="center" readingOrder="1"/>
    </xf>
    <xf numFmtId="0" fontId="0" fillId="0" borderId="1" xfId="0" applyBorder="1" applyAlignment="1">
      <alignment horizontal="left" readingOrder="1"/>
    </xf>
    <xf numFmtId="0" fontId="0" fillId="0" borderId="0" xfId="0" applyAlignment="1">
      <alignment horizontal="center"/>
    </xf>
    <xf numFmtId="0" fontId="4" fillId="0" borderId="6" xfId="0" applyFont="1" applyBorder="1" applyAlignment="1">
      <alignment horizontal="center" vertical="center" readingOrder="1"/>
    </xf>
    <xf numFmtId="0" fontId="4" fillId="0" borderId="7" xfId="0" applyFont="1" applyBorder="1" applyAlignment="1">
      <alignment horizontal="center" vertical="center" readingOrder="1"/>
    </xf>
    <xf numFmtId="0" fontId="4" fillId="0" borderId="10" xfId="0" applyFont="1" applyBorder="1" applyAlignment="1">
      <alignment horizontal="center" vertical="center" readingOrder="1"/>
    </xf>
    <xf numFmtId="15" fontId="4" fillId="0" borderId="11" xfId="0" applyNumberFormat="1" applyFont="1" applyBorder="1" applyAlignment="1">
      <alignment horizontal="center" vertical="center" readingOrder="1"/>
    </xf>
    <xf numFmtId="0" fontId="4" fillId="0" borderId="11" xfId="0" applyFont="1" applyBorder="1" applyAlignment="1">
      <alignment horizontal="center" vertical="center" readingOrder="1"/>
    </xf>
    <xf numFmtId="0" fontId="0" fillId="0" borderId="12" xfId="0" applyBorder="1" applyAlignment="1">
      <alignment horizontal="center" readingOrder="1"/>
    </xf>
    <xf numFmtId="9" fontId="0" fillId="0" borderId="12" xfId="2" applyFont="1" applyBorder="1" applyAlignment="1">
      <alignment horizontal="center" readingOrder="1"/>
    </xf>
    <xf numFmtId="9" fontId="0" fillId="0" borderId="12" xfId="2" applyFont="1" applyFill="1" applyBorder="1" applyAlignment="1">
      <alignment horizontal="center" readingOrder="1"/>
    </xf>
    <xf numFmtId="0" fontId="0" fillId="0" borderId="1" xfId="0" applyBorder="1" applyAlignment="1">
      <alignment horizontal="center" readingOrder="1"/>
    </xf>
    <xf numFmtId="9" fontId="0" fillId="0" borderId="1" xfId="2" applyFont="1" applyBorder="1" applyAlignment="1">
      <alignment horizontal="center" readingOrder="1"/>
    </xf>
    <xf numFmtId="9" fontId="0" fillId="0" borderId="1" xfId="2" applyFont="1" applyFill="1" applyBorder="1" applyAlignment="1">
      <alignment horizontal="center" readingOrder="1"/>
    </xf>
    <xf numFmtId="0" fontId="4" fillId="0" borderId="0" xfId="0" applyFont="1" applyAlignment="1">
      <alignment horizontal="center" vertical="center" readingOrder="1"/>
    </xf>
    <xf numFmtId="0" fontId="0" fillId="0" borderId="0" xfId="0" applyAlignment="1">
      <alignment horizontal="center" vertical="center" readingOrder="1"/>
    </xf>
    <xf numFmtId="9" fontId="0" fillId="0" borderId="0" xfId="2" applyFont="1" applyFill="1" applyBorder="1" applyAlignment="1">
      <alignment horizontal="center" readingOrder="1"/>
    </xf>
    <xf numFmtId="0" fontId="0" fillId="0" borderId="0" xfId="0" applyAlignment="1">
      <alignment horizontal="left" readingOrder="1"/>
    </xf>
    <xf numFmtId="0" fontId="6" fillId="0" borderId="7" xfId="0" applyFont="1" applyBorder="1" applyAlignment="1">
      <alignment readingOrder="1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3" fillId="0" borderId="6" xfId="1" applyNumberFormat="1" applyFont="1" applyFill="1" applyBorder="1"/>
    <xf numFmtId="164" fontId="3" fillId="0" borderId="0" xfId="1" applyNumberFormat="1" applyFont="1" applyFill="1" applyBorder="1"/>
    <xf numFmtId="0" fontId="0" fillId="0" borderId="14" xfId="0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0" fillId="2" borderId="9" xfId="0" applyFill="1" applyBorder="1"/>
    <xf numFmtId="0" fontId="0" fillId="2" borderId="10" xfId="0" applyFill="1" applyBorder="1"/>
    <xf numFmtId="0" fontId="0" fillId="2" borderId="15" xfId="0" applyFill="1" applyBorder="1"/>
    <xf numFmtId="0" fontId="0" fillId="2" borderId="10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7" fillId="0" borderId="14" xfId="0" applyFont="1" applyBorder="1" applyAlignment="1">
      <alignment horizontal="center" vertical="center"/>
    </xf>
    <xf numFmtId="0" fontId="0" fillId="2" borderId="9" xfId="0" applyFill="1" applyBorder="1" applyAlignment="1">
      <alignment horizont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164" fontId="0" fillId="0" borderId="16" xfId="0" applyNumberFormat="1" applyBorder="1"/>
    <xf numFmtId="0" fontId="0" fillId="0" borderId="17" xfId="0" applyBorder="1"/>
    <xf numFmtId="164" fontId="0" fillId="0" borderId="16" xfId="0" applyNumberFormat="1" applyBorder="1" applyAlignment="1">
      <alignment horizontal="center"/>
    </xf>
    <xf numFmtId="164" fontId="3" fillId="0" borderId="16" xfId="1" applyNumberFormat="1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164" fontId="0" fillId="0" borderId="16" xfId="0" applyNumberFormat="1" applyBorder="1" applyAlignment="1">
      <alignment horizontal="center" vertical="center"/>
    </xf>
    <xf numFmtId="0" fontId="4" fillId="0" borderId="7" xfId="0" applyFont="1" applyBorder="1"/>
    <xf numFmtId="0" fontId="0" fillId="0" borderId="9" xfId="0" applyBorder="1" applyAlignment="1">
      <alignment horizontal="left" readingOrder="1"/>
    </xf>
    <xf numFmtId="0" fontId="0" fillId="0" borderId="10" xfId="0" applyBorder="1" applyAlignment="1">
      <alignment horizontal="left" readingOrder="1"/>
    </xf>
    <xf numFmtId="0" fontId="0" fillId="0" borderId="15" xfId="0" applyBorder="1" applyAlignment="1">
      <alignment horizontal="left" readingOrder="1"/>
    </xf>
    <xf numFmtId="0" fontId="0" fillId="0" borderId="2" xfId="0" applyBorder="1" applyAlignment="1">
      <alignment horizontal="center" readingOrder="1"/>
    </xf>
    <xf numFmtId="0" fontId="0" fillId="0" borderId="3" xfId="0" applyBorder="1" applyAlignment="1">
      <alignment horizontal="center" readingOrder="1"/>
    </xf>
    <xf numFmtId="0" fontId="0" fillId="0" borderId="4" xfId="0" applyBorder="1" applyAlignment="1">
      <alignment horizontal="center" readingOrder="1"/>
    </xf>
    <xf numFmtId="15" fontId="0" fillId="0" borderId="2" xfId="0" applyNumberFormat="1" applyBorder="1" applyAlignment="1">
      <alignment horizontal="center" vertical="center" readingOrder="1"/>
    </xf>
    <xf numFmtId="0" fontId="0" fillId="0" borderId="3" xfId="0" applyBorder="1" applyAlignment="1">
      <alignment horizontal="center" vertical="center" readingOrder="1"/>
    </xf>
    <xf numFmtId="0" fontId="0" fillId="0" borderId="4" xfId="0" applyBorder="1" applyAlignment="1">
      <alignment horizontal="center" vertical="center" readingOrder="1"/>
    </xf>
    <xf numFmtId="0" fontId="0" fillId="0" borderId="2" xfId="0" applyBorder="1" applyAlignment="1">
      <alignment horizontal="center" vertical="center" readingOrder="1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 vertical="center" readingOrder="1"/>
    </xf>
    <xf numFmtId="0" fontId="4" fillId="0" borderId="6" xfId="0" applyFont="1" applyBorder="1" applyAlignment="1">
      <alignment horizontal="center" vertical="center" readingOrder="1"/>
    </xf>
    <xf numFmtId="0" fontId="4" fillId="0" borderId="9" xfId="0" applyFont="1" applyBorder="1" applyAlignment="1">
      <alignment horizontal="center" vertical="center" readingOrder="1"/>
    </xf>
    <xf numFmtId="0" fontId="4" fillId="0" borderId="10" xfId="0" applyFont="1" applyBorder="1" applyAlignment="1">
      <alignment horizontal="center" vertical="center" readingOrder="1"/>
    </xf>
    <xf numFmtId="0" fontId="0" fillId="0" borderId="2" xfId="0" applyBorder="1" applyAlignment="1">
      <alignment vertical="center" readingOrder="1"/>
    </xf>
    <xf numFmtId="0" fontId="0" fillId="0" borderId="3" xfId="0" applyBorder="1" applyAlignment="1">
      <alignment vertical="center" readingOrder="1"/>
    </xf>
    <xf numFmtId="0" fontId="4" fillId="0" borderId="2" xfId="0" applyFont="1" applyBorder="1" applyAlignment="1">
      <alignment vertical="center" readingOrder="1"/>
    </xf>
    <xf numFmtId="0" fontId="4" fillId="0" borderId="3" xfId="0" applyFont="1" applyBorder="1" applyAlignment="1">
      <alignment vertical="center" readingOrder="1"/>
    </xf>
    <xf numFmtId="0" fontId="4" fillId="0" borderId="2" xfId="0" applyFont="1" applyBorder="1" applyAlignment="1">
      <alignment horizontal="center" readingOrder="1"/>
    </xf>
    <xf numFmtId="0" fontId="4" fillId="0" borderId="3" xfId="0" applyFont="1" applyBorder="1" applyAlignment="1">
      <alignment horizontal="center" readingOrder="1"/>
    </xf>
    <xf numFmtId="0" fontId="4" fillId="0" borderId="4" xfId="0" applyFont="1" applyBorder="1" applyAlignment="1">
      <alignment horizontal="center" readingOrder="1"/>
    </xf>
    <xf numFmtId="0" fontId="0" fillId="0" borderId="14" xfId="0" applyBorder="1" applyAlignment="1">
      <alignment horizontal="left" readingOrder="1"/>
    </xf>
    <xf numFmtId="0" fontId="0" fillId="0" borderId="0" xfId="0" applyAlignment="1">
      <alignment horizontal="left" readingOrder="1"/>
    </xf>
    <xf numFmtId="0" fontId="0" fillId="0" borderId="13" xfId="0" applyBorder="1" applyAlignment="1">
      <alignment horizontal="left" readingOrder="1"/>
    </xf>
    <xf numFmtId="0" fontId="0" fillId="0" borderId="14" xfId="0" applyBorder="1" applyAlignment="1">
      <alignment horizontal="left" wrapText="1" readingOrder="1"/>
    </xf>
    <xf numFmtId="0" fontId="6" fillId="0" borderId="5" xfId="0" applyFont="1" applyBorder="1" applyAlignment="1">
      <alignment horizontal="center" readingOrder="1"/>
    </xf>
    <xf numFmtId="0" fontId="6" fillId="0" borderId="6" xfId="0" applyFont="1" applyBorder="1" applyAlignment="1">
      <alignment horizontal="center" readingOrder="1"/>
    </xf>
    <xf numFmtId="0" fontId="6" fillId="0" borderId="8" xfId="0" applyFont="1" applyBorder="1" applyAlignment="1">
      <alignment horizontal="center" readingOrder="1"/>
    </xf>
    <xf numFmtId="0" fontId="4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4" fillId="0" borderId="9" xfId="0" applyFont="1" applyBorder="1"/>
    <xf numFmtId="0" fontId="4" fillId="0" borderId="10" xfId="0" applyFont="1" applyBorder="1"/>
    <xf numFmtId="0" fontId="4" fillId="0" borderId="15" xfId="0" applyFont="1" applyBorder="1"/>
    <xf numFmtId="0" fontId="8" fillId="0" borderId="0" xfId="0" applyFont="1" applyAlignment="1">
      <alignment readingOrder="1"/>
    </xf>
    <xf numFmtId="0" fontId="0" fillId="0" borderId="1" xfId="0" applyFill="1" applyBorder="1" applyAlignment="1">
      <alignment readingOrder="1"/>
    </xf>
    <xf numFmtId="0" fontId="0" fillId="0" borderId="2" xfId="0" applyFill="1" applyBorder="1" applyAlignment="1">
      <alignment readingOrder="1"/>
    </xf>
    <xf numFmtId="0" fontId="0" fillId="0" borderId="3" xfId="0" applyFill="1" applyBorder="1" applyAlignment="1">
      <alignment readingOrder="1"/>
    </xf>
    <xf numFmtId="0" fontId="0" fillId="0" borderId="4" xfId="0" applyFill="1" applyBorder="1" applyAlignment="1">
      <alignment readingOrder="1"/>
    </xf>
    <xf numFmtId="0" fontId="0" fillId="0" borderId="1" xfId="0" applyFill="1" applyBorder="1" applyAlignment="1">
      <alignment wrapText="1" readingOrder="1"/>
    </xf>
    <xf numFmtId="0" fontId="0" fillId="0" borderId="10" xfId="0" applyFill="1" applyBorder="1" applyAlignment="1">
      <alignment readingOrder="1"/>
    </xf>
    <xf numFmtId="0" fontId="0" fillId="0" borderId="15" xfId="0" applyFill="1" applyBorder="1" applyAlignment="1">
      <alignment readingOrder="1"/>
    </xf>
    <xf numFmtId="0" fontId="4" fillId="0" borderId="5" xfId="0" applyFont="1" applyFill="1" applyBorder="1"/>
    <xf numFmtId="0" fontId="4" fillId="0" borderId="6" xfId="0" applyFont="1" applyFill="1" applyBorder="1"/>
    <xf numFmtId="0" fontId="4" fillId="0" borderId="8" xfId="0" applyFont="1" applyFill="1" applyBorder="1"/>
    <xf numFmtId="0" fontId="4" fillId="0" borderId="14" xfId="0" applyFont="1" applyFill="1" applyBorder="1"/>
    <xf numFmtId="0" fontId="4" fillId="0" borderId="0" xfId="0" applyFont="1" applyFill="1"/>
    <xf numFmtId="0" fontId="4" fillId="0" borderId="13" xfId="0" applyFont="1" applyFill="1" applyBorder="1"/>
  </cellXfs>
  <cellStyles count="4">
    <cellStyle name="Comma" xfId="1" builtinId="3"/>
    <cellStyle name="Normal 3 2" xfId="3" xr:uid="{11868166-19D9-4C25-A9A7-6BAA38108B34}"/>
    <cellStyle name="Percent" xfId="2" builtinId="5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100"/>
  <sheetViews>
    <sheetView tabSelected="1" topLeftCell="A70" zoomScale="85" zoomScaleNormal="85" workbookViewId="0">
      <selection activeCell="Q75" sqref="Q75"/>
    </sheetView>
  </sheetViews>
  <sheetFormatPr defaultRowHeight="15" x14ac:dyDescent="0.25"/>
  <cols>
    <col min="2" max="2" width="15.375" customWidth="1"/>
    <col min="3" max="3" width="12.25" customWidth="1"/>
    <col min="4" max="4" width="16.375" customWidth="1"/>
    <col min="5" max="5" width="15.75" customWidth="1"/>
    <col min="6" max="6" width="23.5" customWidth="1"/>
    <col min="7" max="7" width="12.25" customWidth="1"/>
    <col min="8" max="8" width="16.5" bestFit="1" customWidth="1"/>
    <col min="9" max="9" width="12.625" customWidth="1"/>
    <col min="10" max="14" width="5.5" customWidth="1"/>
  </cols>
  <sheetData>
    <row r="1" spans="2:11" s="1" customFormat="1" x14ac:dyDescent="0.25">
      <c r="B1" s="2" t="s">
        <v>0</v>
      </c>
      <c r="C1" s="3"/>
      <c r="D1" s="3"/>
      <c r="E1" s="3"/>
      <c r="F1" s="3"/>
      <c r="G1" s="3"/>
      <c r="H1" s="92" t="s">
        <v>56</v>
      </c>
      <c r="I1" s="3" t="s">
        <v>57</v>
      </c>
      <c r="J1" s="3"/>
      <c r="K1" s="4"/>
    </row>
    <row r="2" spans="2:11" s="1" customFormat="1" ht="15.75" thickBot="1" x14ac:dyDescent="0.3">
      <c r="H2" s="1" t="s">
        <v>58</v>
      </c>
    </row>
    <row r="3" spans="2:11" s="1" customFormat="1" ht="15.75" thickBot="1" x14ac:dyDescent="0.3">
      <c r="B3" s="5" t="s">
        <v>1</v>
      </c>
      <c r="C3" s="50"/>
      <c r="D3" s="51"/>
      <c r="E3" s="51"/>
      <c r="F3" s="51"/>
      <c r="G3" s="51"/>
      <c r="H3" s="51"/>
      <c r="I3" s="51"/>
      <c r="J3" s="51"/>
      <c r="K3" s="52"/>
    </row>
    <row r="4" spans="2:11" s="1" customFormat="1" ht="15.75" thickBot="1" x14ac:dyDescent="0.3">
      <c r="B4" s="5" t="s">
        <v>2</v>
      </c>
      <c r="C4" s="53">
        <v>45291</v>
      </c>
      <c r="D4" s="54"/>
      <c r="E4" s="54"/>
      <c r="F4" s="54"/>
      <c r="G4" s="54"/>
      <c r="H4" s="54"/>
      <c r="I4" s="54"/>
      <c r="J4" s="54"/>
      <c r="K4" s="55"/>
    </row>
    <row r="5" spans="2:11" s="1" customFormat="1" ht="15.75" thickBot="1" x14ac:dyDescent="0.3">
      <c r="B5" s="5" t="s">
        <v>3</v>
      </c>
      <c r="C5" s="56" t="s">
        <v>4</v>
      </c>
      <c r="D5" s="54"/>
      <c r="E5" s="54"/>
      <c r="F5" s="54"/>
      <c r="G5" s="54"/>
      <c r="H5" s="54"/>
      <c r="I5" s="54"/>
      <c r="J5" s="54"/>
      <c r="K5" s="55"/>
    </row>
    <row r="6" spans="2:11" s="1" customFormat="1" ht="15.75" thickBot="1" x14ac:dyDescent="0.3">
      <c r="B6" s="21"/>
      <c r="C6" s="19"/>
      <c r="D6" s="19"/>
      <c r="E6" s="19"/>
      <c r="F6" s="19"/>
      <c r="G6" s="19"/>
      <c r="H6" s="19"/>
      <c r="I6" s="19"/>
      <c r="J6" s="19"/>
      <c r="K6" s="19"/>
    </row>
    <row r="7" spans="2:11" s="1" customFormat="1" ht="15.75" thickBot="1" x14ac:dyDescent="0.3">
      <c r="B7" s="57" t="s">
        <v>5</v>
      </c>
      <c r="C7" s="58"/>
      <c r="D7" s="58"/>
      <c r="E7" s="58"/>
      <c r="F7" s="58"/>
      <c r="G7" s="58"/>
      <c r="H7" s="58"/>
      <c r="I7" s="58"/>
      <c r="J7" s="58"/>
      <c r="K7" s="59"/>
    </row>
    <row r="8" spans="2:11" s="1" customFormat="1" x14ac:dyDescent="0.25">
      <c r="B8" s="21"/>
      <c r="C8" s="19"/>
      <c r="D8" s="19"/>
      <c r="E8" s="19"/>
      <c r="F8" s="19"/>
      <c r="G8" s="19"/>
      <c r="H8" s="19"/>
      <c r="I8" s="19"/>
      <c r="J8" s="19"/>
      <c r="K8" s="19"/>
    </row>
    <row r="9" spans="2:11" ht="15.75" thickBot="1" x14ac:dyDescent="0.3"/>
    <row r="10" spans="2:11" x14ac:dyDescent="0.25">
      <c r="B10" s="60" t="s">
        <v>6</v>
      </c>
      <c r="C10" s="61"/>
      <c r="D10" s="8" t="s">
        <v>7</v>
      </c>
      <c r="E10" s="8" t="s">
        <v>7</v>
      </c>
      <c r="F10" s="8" t="s">
        <v>8</v>
      </c>
      <c r="G10" s="7" t="s">
        <v>8</v>
      </c>
      <c r="H10" s="8" t="s">
        <v>9</v>
      </c>
      <c r="I10" s="8" t="s">
        <v>9</v>
      </c>
      <c r="J10" s="18"/>
      <c r="K10" s="18"/>
    </row>
    <row r="11" spans="2:11" ht="15.75" thickBot="1" x14ac:dyDescent="0.3">
      <c r="B11" s="62"/>
      <c r="C11" s="63"/>
      <c r="D11" s="10">
        <f>C4</f>
        <v>45291</v>
      </c>
      <c r="E11" s="11" t="s">
        <v>10</v>
      </c>
      <c r="F11" s="11" t="s">
        <v>4</v>
      </c>
      <c r="G11" s="9" t="s">
        <v>11</v>
      </c>
      <c r="H11" s="11" t="s">
        <v>4</v>
      </c>
      <c r="I11" s="11" t="s">
        <v>11</v>
      </c>
      <c r="J11" s="18"/>
      <c r="K11" s="18"/>
    </row>
    <row r="12" spans="2:11" ht="15.75" thickBot="1" x14ac:dyDescent="0.3">
      <c r="B12" s="64" t="s">
        <v>13</v>
      </c>
      <c r="C12" s="65"/>
      <c r="D12" s="12">
        <v>0</v>
      </c>
      <c r="E12" s="12">
        <v>0</v>
      </c>
      <c r="F12" s="12">
        <f>D12-E12</f>
        <v>0</v>
      </c>
      <c r="G12" s="13" t="e">
        <f>E12/F12</f>
        <v>#DIV/0!</v>
      </c>
      <c r="H12" s="12">
        <f>H69</f>
        <v>0</v>
      </c>
      <c r="I12" s="14" t="e">
        <f>H12/D12</f>
        <v>#DIV/0!</v>
      </c>
      <c r="J12" s="19"/>
      <c r="K12" s="20"/>
    </row>
    <row r="13" spans="2:11" ht="15.75" thickBot="1" x14ac:dyDescent="0.3">
      <c r="B13" s="64" t="s">
        <v>14</v>
      </c>
      <c r="C13" s="65"/>
      <c r="D13" s="12">
        <v>0</v>
      </c>
      <c r="E13" s="12">
        <v>0</v>
      </c>
      <c r="F13" s="12">
        <f>D13-E13</f>
        <v>0</v>
      </c>
      <c r="G13" s="13" t="e">
        <f>E13/F13</f>
        <v>#DIV/0!</v>
      </c>
      <c r="H13" s="12">
        <f>H84</f>
        <v>0</v>
      </c>
      <c r="I13" s="14" t="e">
        <f>H13/D13</f>
        <v>#DIV/0!</v>
      </c>
      <c r="J13" s="19"/>
      <c r="K13" s="20"/>
    </row>
    <row r="14" spans="2:11" ht="15.75" thickBot="1" x14ac:dyDescent="0.3">
      <c r="B14" s="64" t="s">
        <v>15</v>
      </c>
      <c r="C14" s="65"/>
      <c r="D14" s="12">
        <v>0</v>
      </c>
      <c r="E14" s="12">
        <v>0</v>
      </c>
      <c r="F14" s="12">
        <f>D14-E14</f>
        <v>0</v>
      </c>
      <c r="G14" s="13" t="e">
        <f>E14/F14</f>
        <v>#DIV/0!</v>
      </c>
      <c r="H14" s="12">
        <v>0</v>
      </c>
      <c r="I14" s="14" t="e">
        <f>H14/D14</f>
        <v>#DIV/0!</v>
      </c>
      <c r="J14" s="19"/>
      <c r="K14" s="20"/>
    </row>
    <row r="15" spans="2:11" ht="15.75" thickBot="1" x14ac:dyDescent="0.3">
      <c r="B15" s="66" t="s">
        <v>12</v>
      </c>
      <c r="C15" s="67"/>
      <c r="D15" s="15">
        <f>SUM(D12:D13)</f>
        <v>0</v>
      </c>
      <c r="E15" s="15">
        <f>SUM(E12:E13)</f>
        <v>0</v>
      </c>
      <c r="F15" s="15">
        <f>SUM(F12:F13)</f>
        <v>0</v>
      </c>
      <c r="G15" s="16" t="e">
        <f>E15/F15</f>
        <v>#DIV/0!</v>
      </c>
      <c r="H15" s="15">
        <f>SUM(H12:H13)</f>
        <v>0</v>
      </c>
      <c r="I15" s="17" t="e">
        <f>H15/D15</f>
        <v>#DIV/0!</v>
      </c>
      <c r="J15" s="19"/>
      <c r="K15" s="20"/>
    </row>
    <row r="17" spans="2:11" ht="15.75" thickBot="1" x14ac:dyDescent="0.3"/>
    <row r="18" spans="2:11" ht="15.75" thickBot="1" x14ac:dyDescent="0.3">
      <c r="B18" s="68" t="s">
        <v>16</v>
      </c>
      <c r="C18" s="69"/>
      <c r="D18" s="69"/>
      <c r="E18" s="69"/>
      <c r="F18" s="69"/>
      <c r="G18" s="69"/>
      <c r="H18" s="69"/>
      <c r="I18" s="69"/>
      <c r="J18" s="69"/>
      <c r="K18" s="70"/>
    </row>
    <row r="19" spans="2:11" x14ac:dyDescent="0.25">
      <c r="B19" s="71" t="s">
        <v>17</v>
      </c>
      <c r="C19" s="72"/>
      <c r="D19" s="72"/>
      <c r="E19" s="72"/>
      <c r="F19" s="72"/>
      <c r="G19" s="72"/>
      <c r="H19" s="72"/>
      <c r="I19" s="72"/>
      <c r="J19" s="72"/>
      <c r="K19" s="73"/>
    </row>
    <row r="20" spans="2:11" x14ac:dyDescent="0.25">
      <c r="B20" s="71" t="s">
        <v>18</v>
      </c>
      <c r="C20" s="72"/>
      <c r="D20" s="72"/>
      <c r="E20" s="72"/>
      <c r="F20" s="72"/>
      <c r="G20" s="72"/>
      <c r="H20" s="72"/>
      <c r="I20" s="72"/>
      <c r="J20" s="72"/>
      <c r="K20" s="73"/>
    </row>
    <row r="21" spans="2:11" x14ac:dyDescent="0.25">
      <c r="B21" s="71" t="s">
        <v>19</v>
      </c>
      <c r="C21" s="72"/>
      <c r="D21" s="72"/>
      <c r="E21" s="72"/>
      <c r="F21" s="72"/>
      <c r="G21" s="72"/>
      <c r="H21" s="72"/>
      <c r="I21" s="72"/>
      <c r="J21" s="72"/>
      <c r="K21" s="73"/>
    </row>
    <row r="22" spans="2:11" x14ac:dyDescent="0.25">
      <c r="B22" s="74" t="s">
        <v>20</v>
      </c>
      <c r="C22" s="72"/>
      <c r="D22" s="72"/>
      <c r="E22" s="72"/>
      <c r="F22" s="72"/>
      <c r="G22" s="72"/>
      <c r="H22" s="72"/>
      <c r="I22" s="72"/>
      <c r="J22" s="72"/>
      <c r="K22" s="73"/>
    </row>
    <row r="23" spans="2:11" ht="15.75" thickBot="1" x14ac:dyDescent="0.3">
      <c r="B23" s="47" t="s">
        <v>21</v>
      </c>
      <c r="C23" s="48"/>
      <c r="D23" s="48"/>
      <c r="E23" s="48"/>
      <c r="F23" s="48"/>
      <c r="G23" s="48"/>
      <c r="H23" s="48"/>
      <c r="I23" s="48"/>
      <c r="J23" s="48"/>
      <c r="K23" s="49"/>
    </row>
    <row r="25" spans="2:11" ht="15.75" thickBot="1" x14ac:dyDescent="0.3"/>
    <row r="26" spans="2:11" ht="15.75" thickBot="1" x14ac:dyDescent="0.3">
      <c r="B26" s="22" t="s">
        <v>22</v>
      </c>
      <c r="C26" s="75" t="s">
        <v>16</v>
      </c>
      <c r="D26" s="76"/>
      <c r="E26" s="76"/>
      <c r="F26" s="76"/>
      <c r="G26" s="76"/>
      <c r="H26" s="76"/>
      <c r="I26" s="76"/>
      <c r="J26" s="76"/>
      <c r="K26" s="77"/>
    </row>
    <row r="27" spans="2:11" ht="15.75" thickBot="1" x14ac:dyDescent="0.3">
      <c r="B27" s="93" t="s">
        <v>23</v>
      </c>
      <c r="C27" s="94" t="s">
        <v>24</v>
      </c>
      <c r="D27" s="95"/>
      <c r="E27" s="95"/>
      <c r="F27" s="95"/>
      <c r="G27" s="95"/>
      <c r="H27" s="95"/>
      <c r="I27" s="95"/>
      <c r="J27" s="95"/>
      <c r="K27" s="96"/>
    </row>
    <row r="28" spans="2:11" ht="15.75" thickBot="1" x14ac:dyDescent="0.3">
      <c r="B28" s="93" t="s">
        <v>25</v>
      </c>
      <c r="C28" s="94" t="s">
        <v>26</v>
      </c>
      <c r="D28" s="95"/>
      <c r="E28" s="95"/>
      <c r="F28" s="95"/>
      <c r="G28" s="95"/>
      <c r="H28" s="95"/>
      <c r="I28" s="95"/>
      <c r="J28" s="95"/>
      <c r="K28" s="96"/>
    </row>
    <row r="29" spans="2:11" ht="15" customHeight="1" thickBot="1" x14ac:dyDescent="0.3">
      <c r="B29" s="97" t="s">
        <v>27</v>
      </c>
      <c r="C29" s="94" t="s">
        <v>30</v>
      </c>
      <c r="D29" s="95"/>
      <c r="E29" s="95"/>
      <c r="F29" s="95"/>
      <c r="G29" s="95"/>
      <c r="H29" s="95"/>
      <c r="I29" s="95"/>
      <c r="J29" s="95"/>
      <c r="K29" s="96"/>
    </row>
    <row r="30" spans="2:11" ht="15.75" thickBot="1" x14ac:dyDescent="0.3">
      <c r="B30" s="93" t="s">
        <v>28</v>
      </c>
      <c r="C30" s="94" t="s">
        <v>30</v>
      </c>
      <c r="D30" s="95"/>
      <c r="E30" s="95"/>
      <c r="F30" s="95"/>
      <c r="G30" s="95"/>
      <c r="H30" s="95"/>
      <c r="I30" s="95"/>
      <c r="J30" s="95"/>
      <c r="K30" s="96"/>
    </row>
    <row r="31" spans="2:11" ht="15.75" thickBot="1" x14ac:dyDescent="0.3">
      <c r="B31" s="93" t="s">
        <v>29</v>
      </c>
      <c r="C31" s="98" t="s">
        <v>31</v>
      </c>
      <c r="D31" s="98"/>
      <c r="E31" s="98"/>
      <c r="F31" s="98"/>
      <c r="G31" s="98"/>
      <c r="H31" s="98"/>
      <c r="I31" s="98"/>
      <c r="J31" s="98"/>
      <c r="K31" s="99"/>
    </row>
    <row r="32" spans="2:11" ht="15.75" thickBot="1" x14ac:dyDescent="0.3"/>
    <row r="33" spans="2:15" ht="15.75" thickBot="1" x14ac:dyDescent="0.3">
      <c r="B33" s="46" t="s">
        <v>50</v>
      </c>
    </row>
    <row r="34" spans="2:15" x14ac:dyDescent="0.25">
      <c r="B34" s="100" t="s">
        <v>38</v>
      </c>
      <c r="C34" s="101"/>
      <c r="D34" s="101"/>
      <c r="E34" s="101"/>
      <c r="F34" s="102"/>
    </row>
    <row r="35" spans="2:15" x14ac:dyDescent="0.25">
      <c r="B35" s="103" t="s">
        <v>39</v>
      </c>
      <c r="C35" s="104"/>
      <c r="D35" s="104"/>
      <c r="E35" s="104"/>
      <c r="F35" s="105"/>
    </row>
    <row r="36" spans="2:15" x14ac:dyDescent="0.25">
      <c r="B36" s="103" t="s">
        <v>40</v>
      </c>
      <c r="C36" s="104"/>
      <c r="D36" s="104"/>
      <c r="E36" s="104"/>
      <c r="F36" s="105"/>
    </row>
    <row r="37" spans="2:15" x14ac:dyDescent="0.25">
      <c r="B37" s="103" t="s">
        <v>41</v>
      </c>
      <c r="C37" s="104"/>
      <c r="D37" s="104"/>
      <c r="E37" s="104"/>
      <c r="F37" s="105"/>
    </row>
    <row r="38" spans="2:15" x14ac:dyDescent="0.25">
      <c r="B38" s="103" t="s">
        <v>42</v>
      </c>
      <c r="C38" s="104"/>
      <c r="D38" s="104"/>
      <c r="E38" s="104"/>
      <c r="F38" s="105"/>
    </row>
    <row r="39" spans="2:15" ht="15.75" thickBot="1" x14ac:dyDescent="0.3">
      <c r="B39" s="89" t="s">
        <v>43</v>
      </c>
      <c r="C39" s="90"/>
      <c r="D39" s="90"/>
      <c r="E39" s="90"/>
      <c r="F39" s="91"/>
    </row>
    <row r="41" spans="2:15" ht="15.75" thickBot="1" x14ac:dyDescent="0.3"/>
    <row r="42" spans="2:15" ht="15.75" thickBot="1" x14ac:dyDescent="0.3">
      <c r="B42" s="57" t="s">
        <v>32</v>
      </c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9"/>
    </row>
    <row r="43" spans="2:15" ht="15.75" thickBot="1" x14ac:dyDescent="0.3">
      <c r="B43" s="24" t="s">
        <v>33</v>
      </c>
      <c r="C43" s="24" t="s">
        <v>35</v>
      </c>
      <c r="D43" s="24" t="s">
        <v>34</v>
      </c>
      <c r="E43" s="24" t="s">
        <v>52</v>
      </c>
      <c r="F43" s="24" t="s">
        <v>36</v>
      </c>
      <c r="G43" s="24" t="s">
        <v>37</v>
      </c>
      <c r="H43" s="23" t="s">
        <v>53</v>
      </c>
      <c r="I43" s="24" t="s">
        <v>44</v>
      </c>
      <c r="J43" s="24" t="s">
        <v>45</v>
      </c>
      <c r="K43" s="24" t="s">
        <v>46</v>
      </c>
      <c r="L43" s="24" t="s">
        <v>47</v>
      </c>
      <c r="M43" s="24" t="s">
        <v>48</v>
      </c>
      <c r="N43" s="24" t="s">
        <v>49</v>
      </c>
    </row>
    <row r="44" spans="2:15" x14ac:dyDescent="0.25">
      <c r="B44" s="27">
        <v>1</v>
      </c>
      <c r="C44" s="6"/>
      <c r="D44" s="6"/>
      <c r="E44" s="6"/>
      <c r="F44" s="25">
        <f t="shared" ref="F44:F45" si="0">H44*100/115</f>
        <v>0</v>
      </c>
      <c r="G44" s="25">
        <f t="shared" ref="G44:G45" si="1">+F44*0.15</f>
        <v>0</v>
      </c>
      <c r="H44" s="6">
        <v>0</v>
      </c>
      <c r="I44" s="35" t="s">
        <v>51</v>
      </c>
      <c r="J44" s="28" t="s">
        <v>51</v>
      </c>
      <c r="K44" s="28" t="s">
        <v>51</v>
      </c>
      <c r="L44" s="28" t="s">
        <v>51</v>
      </c>
      <c r="M44" s="28" t="s">
        <v>51</v>
      </c>
      <c r="N44" s="29" t="s">
        <v>51</v>
      </c>
      <c r="O44" s="6"/>
    </row>
    <row r="45" spans="2:15" x14ac:dyDescent="0.25">
      <c r="B45" s="27">
        <v>2</v>
      </c>
      <c r="C45" s="6"/>
      <c r="D45" s="6"/>
      <c r="E45" s="6"/>
      <c r="F45" s="26">
        <f t="shared" si="0"/>
        <v>0</v>
      </c>
      <c r="G45" s="26">
        <f t="shared" si="1"/>
        <v>0</v>
      </c>
      <c r="H45" s="6">
        <v>0</v>
      </c>
      <c r="I45" s="35" t="s">
        <v>51</v>
      </c>
      <c r="J45" s="28" t="s">
        <v>51</v>
      </c>
      <c r="K45" s="28" t="s">
        <v>51</v>
      </c>
      <c r="L45" s="28" t="s">
        <v>51</v>
      </c>
      <c r="M45" s="28" t="s">
        <v>51</v>
      </c>
      <c r="N45" s="29" t="s">
        <v>51</v>
      </c>
      <c r="O45" s="6"/>
    </row>
    <row r="46" spans="2:15" x14ac:dyDescent="0.25">
      <c r="B46" s="27">
        <v>3</v>
      </c>
      <c r="C46" s="6"/>
      <c r="D46" s="6"/>
      <c r="E46" s="6"/>
      <c r="F46" s="26">
        <f t="shared" ref="F46:F68" si="2">H46*100/115</f>
        <v>0</v>
      </c>
      <c r="G46" s="26">
        <f t="shared" ref="G46:G68" si="3">+F46*0.15</f>
        <v>0</v>
      </c>
      <c r="H46" s="6">
        <v>0</v>
      </c>
      <c r="I46" s="35" t="s">
        <v>51</v>
      </c>
      <c r="J46" s="28" t="s">
        <v>51</v>
      </c>
      <c r="K46" s="28" t="s">
        <v>51</v>
      </c>
      <c r="L46" s="28" t="s">
        <v>51</v>
      </c>
      <c r="M46" s="28" t="s">
        <v>51</v>
      </c>
      <c r="N46" s="29" t="s">
        <v>51</v>
      </c>
      <c r="O46" s="6"/>
    </row>
    <row r="47" spans="2:15" x14ac:dyDescent="0.25">
      <c r="B47" s="27">
        <v>4</v>
      </c>
      <c r="C47" s="6"/>
      <c r="D47" s="6"/>
      <c r="E47" s="6"/>
      <c r="F47" s="26">
        <f t="shared" si="2"/>
        <v>0</v>
      </c>
      <c r="G47" s="26">
        <f t="shared" si="3"/>
        <v>0</v>
      </c>
      <c r="H47" s="6">
        <v>0</v>
      </c>
      <c r="I47" s="35" t="s">
        <v>51</v>
      </c>
      <c r="J47" s="28" t="s">
        <v>51</v>
      </c>
      <c r="K47" s="28" t="s">
        <v>51</v>
      </c>
      <c r="L47" s="28" t="s">
        <v>51</v>
      </c>
      <c r="M47" s="28" t="s">
        <v>51</v>
      </c>
      <c r="N47" s="29" t="s">
        <v>51</v>
      </c>
      <c r="O47" s="6"/>
    </row>
    <row r="48" spans="2:15" x14ac:dyDescent="0.25">
      <c r="B48" s="27">
        <v>5</v>
      </c>
      <c r="C48" s="6"/>
      <c r="D48" s="6"/>
      <c r="E48" s="6"/>
      <c r="F48" s="26">
        <f t="shared" si="2"/>
        <v>0</v>
      </c>
      <c r="G48" s="26">
        <f t="shared" si="3"/>
        <v>0</v>
      </c>
      <c r="H48" s="6">
        <v>0</v>
      </c>
      <c r="I48" s="35" t="s">
        <v>51</v>
      </c>
      <c r="J48" s="28" t="s">
        <v>51</v>
      </c>
      <c r="K48" s="28" t="s">
        <v>51</v>
      </c>
      <c r="L48" s="28" t="s">
        <v>51</v>
      </c>
      <c r="M48" s="28" t="s">
        <v>51</v>
      </c>
      <c r="N48" s="29" t="s">
        <v>51</v>
      </c>
      <c r="O48" s="6"/>
    </row>
    <row r="49" spans="2:15" x14ac:dyDescent="0.25">
      <c r="B49" s="27">
        <v>6</v>
      </c>
      <c r="C49" s="6"/>
      <c r="D49" s="6"/>
      <c r="E49" s="6"/>
      <c r="F49" s="26">
        <f t="shared" si="2"/>
        <v>0</v>
      </c>
      <c r="G49" s="26">
        <f t="shared" si="3"/>
        <v>0</v>
      </c>
      <c r="H49" s="6">
        <v>0</v>
      </c>
      <c r="I49" s="35" t="s">
        <v>51</v>
      </c>
      <c r="J49" s="28" t="s">
        <v>51</v>
      </c>
      <c r="K49" s="28" t="s">
        <v>51</v>
      </c>
      <c r="L49" s="28" t="s">
        <v>51</v>
      </c>
      <c r="M49" s="28" t="s">
        <v>51</v>
      </c>
      <c r="N49" s="29" t="s">
        <v>51</v>
      </c>
      <c r="O49" s="6"/>
    </row>
    <row r="50" spans="2:15" x14ac:dyDescent="0.25">
      <c r="B50" s="27">
        <v>7</v>
      </c>
      <c r="C50" s="6"/>
      <c r="D50" s="6"/>
      <c r="E50" s="6"/>
      <c r="F50" s="26">
        <f t="shared" si="2"/>
        <v>0</v>
      </c>
      <c r="G50" s="26">
        <f t="shared" si="3"/>
        <v>0</v>
      </c>
      <c r="H50" s="6">
        <v>0</v>
      </c>
      <c r="I50" s="35" t="s">
        <v>51</v>
      </c>
      <c r="J50" s="28" t="s">
        <v>51</v>
      </c>
      <c r="K50" s="28" t="s">
        <v>51</v>
      </c>
      <c r="L50" s="28" t="s">
        <v>51</v>
      </c>
      <c r="M50" s="28" t="s">
        <v>51</v>
      </c>
      <c r="N50" s="29" t="s">
        <v>51</v>
      </c>
      <c r="O50" s="6"/>
    </row>
    <row r="51" spans="2:15" x14ac:dyDescent="0.25">
      <c r="B51" s="27">
        <v>8</v>
      </c>
      <c r="C51" s="6"/>
      <c r="D51" s="6"/>
      <c r="E51" s="6"/>
      <c r="F51" s="26">
        <f t="shared" si="2"/>
        <v>0</v>
      </c>
      <c r="G51" s="26">
        <f t="shared" si="3"/>
        <v>0</v>
      </c>
      <c r="H51" s="6">
        <v>0</v>
      </c>
      <c r="I51" s="35" t="s">
        <v>51</v>
      </c>
      <c r="J51" s="28" t="s">
        <v>51</v>
      </c>
      <c r="K51" s="28" t="s">
        <v>51</v>
      </c>
      <c r="L51" s="28" t="s">
        <v>51</v>
      </c>
      <c r="M51" s="28" t="s">
        <v>51</v>
      </c>
      <c r="N51" s="29" t="s">
        <v>51</v>
      </c>
      <c r="O51" s="6"/>
    </row>
    <row r="52" spans="2:15" x14ac:dyDescent="0.25">
      <c r="B52" s="27">
        <v>9</v>
      </c>
      <c r="C52" s="6"/>
      <c r="D52" s="6"/>
      <c r="E52" s="6"/>
      <c r="F52" s="26">
        <f t="shared" si="2"/>
        <v>0</v>
      </c>
      <c r="G52" s="26">
        <f t="shared" si="3"/>
        <v>0</v>
      </c>
      <c r="H52" s="6">
        <v>0</v>
      </c>
      <c r="I52" s="35" t="s">
        <v>51</v>
      </c>
      <c r="J52" s="28" t="s">
        <v>51</v>
      </c>
      <c r="K52" s="28" t="s">
        <v>51</v>
      </c>
      <c r="L52" s="28" t="s">
        <v>51</v>
      </c>
      <c r="M52" s="28" t="s">
        <v>51</v>
      </c>
      <c r="N52" s="29" t="s">
        <v>51</v>
      </c>
      <c r="O52" s="6"/>
    </row>
    <row r="53" spans="2:15" x14ac:dyDescent="0.25">
      <c r="B53" s="27">
        <v>10</v>
      </c>
      <c r="C53" s="6"/>
      <c r="D53" s="6"/>
      <c r="E53" s="6"/>
      <c r="F53" s="26">
        <f t="shared" si="2"/>
        <v>0</v>
      </c>
      <c r="G53" s="26">
        <f t="shared" si="3"/>
        <v>0</v>
      </c>
      <c r="H53" s="6">
        <v>0</v>
      </c>
      <c r="I53" s="35" t="s">
        <v>51</v>
      </c>
      <c r="J53" s="28" t="s">
        <v>51</v>
      </c>
      <c r="K53" s="28" t="s">
        <v>51</v>
      </c>
      <c r="L53" s="28" t="s">
        <v>51</v>
      </c>
      <c r="M53" s="28" t="s">
        <v>51</v>
      </c>
      <c r="N53" s="29" t="s">
        <v>51</v>
      </c>
      <c r="O53" s="6"/>
    </row>
    <row r="54" spans="2:15" x14ac:dyDescent="0.25">
      <c r="B54" s="27">
        <v>11</v>
      </c>
      <c r="C54" s="6"/>
      <c r="D54" s="6"/>
      <c r="E54" s="6"/>
      <c r="F54" s="26">
        <f t="shared" si="2"/>
        <v>0</v>
      </c>
      <c r="G54" s="26">
        <f t="shared" si="3"/>
        <v>0</v>
      </c>
      <c r="H54" s="6">
        <v>0</v>
      </c>
      <c r="I54" s="35" t="s">
        <v>51</v>
      </c>
      <c r="J54" s="28" t="s">
        <v>51</v>
      </c>
      <c r="K54" s="28" t="s">
        <v>51</v>
      </c>
      <c r="L54" s="28" t="s">
        <v>51</v>
      </c>
      <c r="M54" s="28" t="s">
        <v>51</v>
      </c>
      <c r="N54" s="29" t="s">
        <v>51</v>
      </c>
      <c r="O54" s="6"/>
    </row>
    <row r="55" spans="2:15" x14ac:dyDescent="0.25">
      <c r="B55" s="27">
        <v>12</v>
      </c>
      <c r="C55" s="6"/>
      <c r="D55" s="6"/>
      <c r="E55" s="6"/>
      <c r="F55" s="26">
        <f t="shared" si="2"/>
        <v>0</v>
      </c>
      <c r="G55" s="26">
        <f t="shared" si="3"/>
        <v>0</v>
      </c>
      <c r="H55" s="6">
        <v>0</v>
      </c>
      <c r="I55" s="35" t="s">
        <v>51</v>
      </c>
      <c r="J55" s="28" t="s">
        <v>51</v>
      </c>
      <c r="K55" s="28" t="s">
        <v>51</v>
      </c>
      <c r="L55" s="28" t="s">
        <v>51</v>
      </c>
      <c r="M55" s="28" t="s">
        <v>51</v>
      </c>
      <c r="N55" s="29" t="s">
        <v>51</v>
      </c>
      <c r="O55" s="6"/>
    </row>
    <row r="56" spans="2:15" x14ac:dyDescent="0.25">
      <c r="B56" s="27">
        <v>13</v>
      </c>
      <c r="C56" s="6"/>
      <c r="D56" s="6"/>
      <c r="E56" s="6"/>
      <c r="F56" s="26">
        <f t="shared" si="2"/>
        <v>0</v>
      </c>
      <c r="G56" s="26">
        <f t="shared" si="3"/>
        <v>0</v>
      </c>
      <c r="H56" s="6">
        <v>0</v>
      </c>
      <c r="I56" s="35" t="s">
        <v>51</v>
      </c>
      <c r="J56" s="28" t="s">
        <v>51</v>
      </c>
      <c r="K56" s="28" t="s">
        <v>51</v>
      </c>
      <c r="L56" s="28" t="s">
        <v>51</v>
      </c>
      <c r="M56" s="28" t="s">
        <v>51</v>
      </c>
      <c r="N56" s="29" t="s">
        <v>51</v>
      </c>
      <c r="O56" s="6"/>
    </row>
    <row r="57" spans="2:15" x14ac:dyDescent="0.25">
      <c r="B57" s="27">
        <v>14</v>
      </c>
      <c r="C57" s="6"/>
      <c r="D57" s="6"/>
      <c r="E57" s="6"/>
      <c r="F57" s="26">
        <f t="shared" si="2"/>
        <v>0</v>
      </c>
      <c r="G57" s="26">
        <f t="shared" si="3"/>
        <v>0</v>
      </c>
      <c r="H57" s="6">
        <v>0</v>
      </c>
      <c r="I57" s="35" t="s">
        <v>51</v>
      </c>
      <c r="J57" s="28" t="s">
        <v>51</v>
      </c>
      <c r="K57" s="28" t="s">
        <v>51</v>
      </c>
      <c r="L57" s="28" t="s">
        <v>51</v>
      </c>
      <c r="M57" s="28" t="s">
        <v>51</v>
      </c>
      <c r="N57" s="29" t="s">
        <v>51</v>
      </c>
      <c r="O57" s="6"/>
    </row>
    <row r="58" spans="2:15" x14ac:dyDescent="0.25">
      <c r="B58" s="27">
        <v>15</v>
      </c>
      <c r="C58" s="6"/>
      <c r="D58" s="6"/>
      <c r="E58" s="6"/>
      <c r="F58" s="26">
        <f t="shared" si="2"/>
        <v>0</v>
      </c>
      <c r="G58" s="26">
        <f t="shared" si="3"/>
        <v>0</v>
      </c>
      <c r="H58" s="6">
        <v>0</v>
      </c>
      <c r="I58" s="35" t="s">
        <v>51</v>
      </c>
      <c r="J58" s="28" t="s">
        <v>51</v>
      </c>
      <c r="K58" s="28" t="s">
        <v>51</v>
      </c>
      <c r="L58" s="28" t="s">
        <v>51</v>
      </c>
      <c r="M58" s="28" t="s">
        <v>51</v>
      </c>
      <c r="N58" s="29" t="s">
        <v>51</v>
      </c>
      <c r="O58" s="6"/>
    </row>
    <row r="59" spans="2:15" x14ac:dyDescent="0.25">
      <c r="B59" s="27">
        <v>16</v>
      </c>
      <c r="C59" s="6"/>
      <c r="D59" s="6"/>
      <c r="E59" s="6"/>
      <c r="F59" s="26">
        <f t="shared" si="2"/>
        <v>0</v>
      </c>
      <c r="G59" s="26">
        <f t="shared" si="3"/>
        <v>0</v>
      </c>
      <c r="H59" s="6">
        <v>0</v>
      </c>
      <c r="I59" s="35" t="s">
        <v>51</v>
      </c>
      <c r="J59" s="28" t="s">
        <v>51</v>
      </c>
      <c r="K59" s="28" t="s">
        <v>51</v>
      </c>
      <c r="L59" s="28" t="s">
        <v>51</v>
      </c>
      <c r="M59" s="28" t="s">
        <v>51</v>
      </c>
      <c r="N59" s="29" t="s">
        <v>51</v>
      </c>
      <c r="O59" s="6"/>
    </row>
    <row r="60" spans="2:15" x14ac:dyDescent="0.25">
      <c r="B60" s="27">
        <v>17</v>
      </c>
      <c r="C60" s="6"/>
      <c r="D60" s="6"/>
      <c r="E60" s="6"/>
      <c r="F60" s="26">
        <f t="shared" si="2"/>
        <v>0</v>
      </c>
      <c r="G60" s="26">
        <f t="shared" si="3"/>
        <v>0</v>
      </c>
      <c r="H60" s="6">
        <v>0</v>
      </c>
      <c r="I60" s="35" t="s">
        <v>51</v>
      </c>
      <c r="J60" s="28" t="s">
        <v>51</v>
      </c>
      <c r="K60" s="28" t="s">
        <v>51</v>
      </c>
      <c r="L60" s="28" t="s">
        <v>51</v>
      </c>
      <c r="M60" s="28" t="s">
        <v>51</v>
      </c>
      <c r="N60" s="29" t="s">
        <v>51</v>
      </c>
      <c r="O60" s="6"/>
    </row>
    <row r="61" spans="2:15" x14ac:dyDescent="0.25">
      <c r="B61" s="27">
        <v>18</v>
      </c>
      <c r="C61" s="6"/>
      <c r="D61" s="6"/>
      <c r="E61" s="6"/>
      <c r="F61" s="26">
        <f t="shared" si="2"/>
        <v>0</v>
      </c>
      <c r="G61" s="26">
        <f t="shared" si="3"/>
        <v>0</v>
      </c>
      <c r="H61" s="6">
        <v>0</v>
      </c>
      <c r="I61" s="35" t="s">
        <v>51</v>
      </c>
      <c r="J61" s="28" t="s">
        <v>51</v>
      </c>
      <c r="K61" s="28" t="s">
        <v>51</v>
      </c>
      <c r="L61" s="28" t="s">
        <v>51</v>
      </c>
      <c r="M61" s="28" t="s">
        <v>51</v>
      </c>
      <c r="N61" s="29" t="s">
        <v>51</v>
      </c>
      <c r="O61" s="6"/>
    </row>
    <row r="62" spans="2:15" x14ac:dyDescent="0.25">
      <c r="B62" s="27">
        <v>19</v>
      </c>
      <c r="C62" s="6"/>
      <c r="D62" s="6"/>
      <c r="E62" s="6"/>
      <c r="F62" s="26">
        <f t="shared" si="2"/>
        <v>0</v>
      </c>
      <c r="G62" s="26">
        <f t="shared" si="3"/>
        <v>0</v>
      </c>
      <c r="H62" s="6">
        <v>0</v>
      </c>
      <c r="I62" s="35" t="s">
        <v>51</v>
      </c>
      <c r="J62" s="28" t="s">
        <v>51</v>
      </c>
      <c r="K62" s="28" t="s">
        <v>51</v>
      </c>
      <c r="L62" s="28" t="s">
        <v>51</v>
      </c>
      <c r="M62" s="28" t="s">
        <v>51</v>
      </c>
      <c r="N62" s="29" t="s">
        <v>51</v>
      </c>
      <c r="O62" s="6"/>
    </row>
    <row r="63" spans="2:15" x14ac:dyDescent="0.25">
      <c r="B63" s="27">
        <v>20</v>
      </c>
      <c r="C63" s="6"/>
      <c r="D63" s="6"/>
      <c r="E63" s="6"/>
      <c r="F63" s="26">
        <f t="shared" si="2"/>
        <v>0</v>
      </c>
      <c r="G63" s="26">
        <f t="shared" si="3"/>
        <v>0</v>
      </c>
      <c r="H63" s="6">
        <v>0</v>
      </c>
      <c r="I63" s="35" t="s">
        <v>51</v>
      </c>
      <c r="J63" s="28" t="s">
        <v>51</v>
      </c>
      <c r="K63" s="28" t="s">
        <v>51</v>
      </c>
      <c r="L63" s="28" t="s">
        <v>51</v>
      </c>
      <c r="M63" s="28" t="s">
        <v>51</v>
      </c>
      <c r="N63" s="29" t="s">
        <v>51</v>
      </c>
      <c r="O63" s="6"/>
    </row>
    <row r="64" spans="2:15" x14ac:dyDescent="0.25">
      <c r="B64" s="27">
        <v>21</v>
      </c>
      <c r="C64" s="6"/>
      <c r="D64" s="6"/>
      <c r="E64" s="6"/>
      <c r="F64" s="26">
        <f t="shared" si="2"/>
        <v>0</v>
      </c>
      <c r="G64" s="26">
        <f t="shared" si="3"/>
        <v>0</v>
      </c>
      <c r="H64" s="6">
        <v>0</v>
      </c>
      <c r="I64" s="35" t="s">
        <v>51</v>
      </c>
      <c r="J64" s="28" t="s">
        <v>51</v>
      </c>
      <c r="K64" s="28" t="s">
        <v>51</v>
      </c>
      <c r="L64" s="28" t="s">
        <v>51</v>
      </c>
      <c r="M64" s="28" t="s">
        <v>51</v>
      </c>
      <c r="N64" s="29" t="s">
        <v>51</v>
      </c>
      <c r="O64" s="6"/>
    </row>
    <row r="65" spans="2:15" x14ac:dyDescent="0.25">
      <c r="B65" s="27">
        <v>22</v>
      </c>
      <c r="C65" s="6"/>
      <c r="D65" s="6"/>
      <c r="E65" s="6"/>
      <c r="F65" s="26">
        <f t="shared" si="2"/>
        <v>0</v>
      </c>
      <c r="G65" s="26">
        <f t="shared" si="3"/>
        <v>0</v>
      </c>
      <c r="H65" s="6">
        <v>0</v>
      </c>
      <c r="I65" s="35" t="s">
        <v>51</v>
      </c>
      <c r="J65" s="28" t="s">
        <v>51</v>
      </c>
      <c r="K65" s="28" t="s">
        <v>51</v>
      </c>
      <c r="L65" s="28" t="s">
        <v>51</v>
      </c>
      <c r="M65" s="28" t="s">
        <v>51</v>
      </c>
      <c r="N65" s="29" t="s">
        <v>51</v>
      </c>
      <c r="O65" s="6"/>
    </row>
    <row r="66" spans="2:15" x14ac:dyDescent="0.25">
      <c r="B66" s="27">
        <v>23</v>
      </c>
      <c r="C66" s="6"/>
      <c r="D66" s="6"/>
      <c r="E66" s="6"/>
      <c r="F66" s="26">
        <f t="shared" si="2"/>
        <v>0</v>
      </c>
      <c r="G66" s="26">
        <f t="shared" si="3"/>
        <v>0</v>
      </c>
      <c r="H66" s="6">
        <v>0</v>
      </c>
      <c r="I66" s="35" t="s">
        <v>51</v>
      </c>
      <c r="J66" s="28" t="s">
        <v>51</v>
      </c>
      <c r="K66" s="28" t="s">
        <v>51</v>
      </c>
      <c r="L66" s="28" t="s">
        <v>51</v>
      </c>
      <c r="M66" s="28" t="s">
        <v>51</v>
      </c>
      <c r="N66" s="29" t="s">
        <v>51</v>
      </c>
      <c r="O66" s="6"/>
    </row>
    <row r="67" spans="2:15" x14ac:dyDescent="0.25">
      <c r="B67" s="27">
        <v>24</v>
      </c>
      <c r="C67" s="6"/>
      <c r="D67" s="6"/>
      <c r="E67" s="6"/>
      <c r="F67" s="26">
        <f t="shared" si="2"/>
        <v>0</v>
      </c>
      <c r="G67" s="26">
        <f t="shared" si="3"/>
        <v>0</v>
      </c>
      <c r="H67" s="6">
        <v>0</v>
      </c>
      <c r="I67" s="35" t="s">
        <v>51</v>
      </c>
      <c r="J67" s="28" t="s">
        <v>51</v>
      </c>
      <c r="K67" s="28" t="s">
        <v>51</v>
      </c>
      <c r="L67" s="28" t="s">
        <v>51</v>
      </c>
      <c r="M67" s="28" t="s">
        <v>51</v>
      </c>
      <c r="N67" s="29" t="s">
        <v>51</v>
      </c>
      <c r="O67" s="6"/>
    </row>
    <row r="68" spans="2:15" x14ac:dyDescent="0.25">
      <c r="B68" s="27">
        <v>25</v>
      </c>
      <c r="C68" s="6"/>
      <c r="D68" s="6"/>
      <c r="E68" s="6"/>
      <c r="F68" s="26">
        <f t="shared" si="2"/>
        <v>0</v>
      </c>
      <c r="G68" s="26">
        <f t="shared" si="3"/>
        <v>0</v>
      </c>
      <c r="H68" s="6">
        <v>0</v>
      </c>
      <c r="I68" s="35" t="s">
        <v>51</v>
      </c>
      <c r="J68" s="28" t="s">
        <v>51</v>
      </c>
      <c r="K68" s="28" t="s">
        <v>51</v>
      </c>
      <c r="L68" s="28" t="s">
        <v>51</v>
      </c>
      <c r="M68" s="28" t="s">
        <v>51</v>
      </c>
      <c r="N68" s="29" t="s">
        <v>51</v>
      </c>
      <c r="O68" s="6"/>
    </row>
    <row r="69" spans="2:15" ht="15.75" thickBot="1" x14ac:dyDescent="0.3">
      <c r="B69" s="30"/>
      <c r="C69" s="31"/>
      <c r="D69" s="31"/>
      <c r="E69" s="31"/>
      <c r="F69" s="42">
        <f>SUM(F44:F68)</f>
        <v>0</v>
      </c>
      <c r="G69" s="43">
        <f>SUM(G44:G68)</f>
        <v>0</v>
      </c>
      <c r="H69" s="44">
        <f>SUM(H44:H68)</f>
        <v>0</v>
      </c>
      <c r="I69" s="36"/>
      <c r="J69" s="33"/>
      <c r="K69" s="33"/>
      <c r="L69" s="33"/>
      <c r="M69" s="33"/>
      <c r="N69" s="34"/>
    </row>
    <row r="71" spans="2:15" ht="15.75" thickBot="1" x14ac:dyDescent="0.3"/>
    <row r="72" spans="2:15" ht="15.75" thickBot="1" x14ac:dyDescent="0.3">
      <c r="B72" s="57" t="s">
        <v>14</v>
      </c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9"/>
    </row>
    <row r="73" spans="2:15" ht="15.75" thickBot="1" x14ac:dyDescent="0.3">
      <c r="B73" s="24" t="s">
        <v>33</v>
      </c>
      <c r="C73" s="24" t="s">
        <v>35</v>
      </c>
      <c r="D73" s="24" t="s">
        <v>34</v>
      </c>
      <c r="E73" s="24" t="s">
        <v>52</v>
      </c>
      <c r="F73" s="24" t="s">
        <v>36</v>
      </c>
      <c r="G73" s="24" t="s">
        <v>37</v>
      </c>
      <c r="H73" s="23" t="s">
        <v>53</v>
      </c>
      <c r="I73" s="24" t="s">
        <v>44</v>
      </c>
      <c r="J73" s="24" t="s">
        <v>45</v>
      </c>
      <c r="K73" s="24" t="s">
        <v>46</v>
      </c>
      <c r="L73" s="24" t="s">
        <v>47</v>
      </c>
      <c r="M73" s="24" t="s">
        <v>48</v>
      </c>
      <c r="N73" s="24" t="s">
        <v>49</v>
      </c>
    </row>
    <row r="74" spans="2:15" x14ac:dyDescent="0.25">
      <c r="B74" s="27">
        <v>1</v>
      </c>
      <c r="C74" s="6"/>
      <c r="D74" s="6"/>
      <c r="E74" s="6"/>
      <c r="F74" s="25">
        <f t="shared" ref="F74:F83" si="4">H74*100/115</f>
        <v>0</v>
      </c>
      <c r="G74" s="25">
        <f t="shared" ref="G74:G83" si="5">+F74*0.15</f>
        <v>0</v>
      </c>
      <c r="H74" s="6">
        <v>0</v>
      </c>
      <c r="I74" s="35" t="s">
        <v>51</v>
      </c>
      <c r="J74" s="28" t="s">
        <v>51</v>
      </c>
      <c r="K74" s="28" t="s">
        <v>51</v>
      </c>
      <c r="L74" s="28" t="s">
        <v>51</v>
      </c>
      <c r="M74" s="28" t="s">
        <v>51</v>
      </c>
      <c r="N74" s="29" t="s">
        <v>51</v>
      </c>
    </row>
    <row r="75" spans="2:15" x14ac:dyDescent="0.25">
      <c r="B75" s="27">
        <v>2</v>
      </c>
      <c r="C75" s="6"/>
      <c r="D75" s="6"/>
      <c r="E75" s="6"/>
      <c r="F75" s="26">
        <f t="shared" si="4"/>
        <v>0</v>
      </c>
      <c r="G75" s="26">
        <f t="shared" si="5"/>
        <v>0</v>
      </c>
      <c r="H75" s="6">
        <v>0</v>
      </c>
      <c r="I75" s="35" t="s">
        <v>51</v>
      </c>
      <c r="J75" s="28" t="s">
        <v>51</v>
      </c>
      <c r="K75" s="28" t="s">
        <v>51</v>
      </c>
      <c r="L75" s="28" t="s">
        <v>51</v>
      </c>
      <c r="M75" s="28" t="s">
        <v>51</v>
      </c>
      <c r="N75" s="29" t="s">
        <v>51</v>
      </c>
    </row>
    <row r="76" spans="2:15" x14ac:dyDescent="0.25">
      <c r="B76" s="27">
        <v>3</v>
      </c>
      <c r="C76" s="6"/>
      <c r="D76" s="6"/>
      <c r="E76" s="6"/>
      <c r="F76" s="26">
        <f t="shared" si="4"/>
        <v>0</v>
      </c>
      <c r="G76" s="26">
        <f t="shared" si="5"/>
        <v>0</v>
      </c>
      <c r="H76" s="6">
        <v>0</v>
      </c>
      <c r="I76" s="35" t="s">
        <v>51</v>
      </c>
      <c r="J76" s="28" t="s">
        <v>51</v>
      </c>
      <c r="K76" s="28" t="s">
        <v>51</v>
      </c>
      <c r="L76" s="28" t="s">
        <v>51</v>
      </c>
      <c r="M76" s="28" t="s">
        <v>51</v>
      </c>
      <c r="N76" s="29" t="s">
        <v>51</v>
      </c>
    </row>
    <row r="77" spans="2:15" x14ac:dyDescent="0.25">
      <c r="B77" s="27">
        <v>4</v>
      </c>
      <c r="C77" s="6"/>
      <c r="D77" s="6"/>
      <c r="E77" s="6"/>
      <c r="F77" s="26">
        <f t="shared" si="4"/>
        <v>0</v>
      </c>
      <c r="G77" s="26">
        <f t="shared" si="5"/>
        <v>0</v>
      </c>
      <c r="H77" s="6">
        <v>0</v>
      </c>
      <c r="I77" s="35" t="s">
        <v>51</v>
      </c>
      <c r="J77" s="28" t="s">
        <v>51</v>
      </c>
      <c r="K77" s="28" t="s">
        <v>51</v>
      </c>
      <c r="L77" s="28" t="s">
        <v>51</v>
      </c>
      <c r="M77" s="28" t="s">
        <v>51</v>
      </c>
      <c r="N77" s="29" t="s">
        <v>51</v>
      </c>
    </row>
    <row r="78" spans="2:15" x14ac:dyDescent="0.25">
      <c r="B78" s="27">
        <v>5</v>
      </c>
      <c r="C78" s="6"/>
      <c r="D78" s="6"/>
      <c r="E78" s="6"/>
      <c r="F78" s="26">
        <f t="shared" si="4"/>
        <v>0</v>
      </c>
      <c r="G78" s="26">
        <f t="shared" si="5"/>
        <v>0</v>
      </c>
      <c r="H78" s="6">
        <v>0</v>
      </c>
      <c r="I78" s="35" t="s">
        <v>51</v>
      </c>
      <c r="J78" s="28" t="s">
        <v>51</v>
      </c>
      <c r="K78" s="28" t="s">
        <v>51</v>
      </c>
      <c r="L78" s="28" t="s">
        <v>51</v>
      </c>
      <c r="M78" s="28" t="s">
        <v>51</v>
      </c>
      <c r="N78" s="29" t="s">
        <v>51</v>
      </c>
    </row>
    <row r="79" spans="2:15" x14ac:dyDescent="0.25">
      <c r="B79" s="27">
        <v>6</v>
      </c>
      <c r="C79" s="6"/>
      <c r="D79" s="6"/>
      <c r="E79" s="6"/>
      <c r="F79" s="26">
        <f t="shared" si="4"/>
        <v>0</v>
      </c>
      <c r="G79" s="26">
        <f t="shared" si="5"/>
        <v>0</v>
      </c>
      <c r="H79" s="6">
        <v>0</v>
      </c>
      <c r="I79" s="35" t="s">
        <v>51</v>
      </c>
      <c r="J79" s="28" t="s">
        <v>51</v>
      </c>
      <c r="K79" s="28" t="s">
        <v>51</v>
      </c>
      <c r="L79" s="28" t="s">
        <v>51</v>
      </c>
      <c r="M79" s="28" t="s">
        <v>51</v>
      </c>
      <c r="N79" s="29" t="s">
        <v>51</v>
      </c>
    </row>
    <row r="80" spans="2:15" x14ac:dyDescent="0.25">
      <c r="B80" s="27">
        <v>7</v>
      </c>
      <c r="C80" s="6"/>
      <c r="D80" s="6"/>
      <c r="E80" s="6"/>
      <c r="F80" s="26">
        <f t="shared" si="4"/>
        <v>0</v>
      </c>
      <c r="G80" s="26">
        <f t="shared" si="5"/>
        <v>0</v>
      </c>
      <c r="H80" s="6">
        <v>0</v>
      </c>
      <c r="I80" s="35" t="s">
        <v>51</v>
      </c>
      <c r="J80" s="28" t="s">
        <v>51</v>
      </c>
      <c r="K80" s="28" t="s">
        <v>51</v>
      </c>
      <c r="L80" s="28" t="s">
        <v>51</v>
      </c>
      <c r="M80" s="28" t="s">
        <v>51</v>
      </c>
      <c r="N80" s="29" t="s">
        <v>51</v>
      </c>
    </row>
    <row r="81" spans="2:14" x14ac:dyDescent="0.25">
      <c r="B81" s="27">
        <v>8</v>
      </c>
      <c r="C81" s="6"/>
      <c r="D81" s="6"/>
      <c r="E81" s="6"/>
      <c r="F81" s="26">
        <f t="shared" si="4"/>
        <v>0</v>
      </c>
      <c r="G81" s="26">
        <f t="shared" si="5"/>
        <v>0</v>
      </c>
      <c r="H81" s="6">
        <v>0</v>
      </c>
      <c r="I81" s="35" t="s">
        <v>51</v>
      </c>
      <c r="J81" s="28" t="s">
        <v>51</v>
      </c>
      <c r="K81" s="28" t="s">
        <v>51</v>
      </c>
      <c r="L81" s="28" t="s">
        <v>51</v>
      </c>
      <c r="M81" s="28" t="s">
        <v>51</v>
      </c>
      <c r="N81" s="29" t="s">
        <v>51</v>
      </c>
    </row>
    <row r="82" spans="2:14" x14ac:dyDescent="0.25">
      <c r="B82" s="27">
        <v>9</v>
      </c>
      <c r="C82" s="6"/>
      <c r="D82" s="6"/>
      <c r="E82" s="6"/>
      <c r="F82" s="26">
        <f t="shared" si="4"/>
        <v>0</v>
      </c>
      <c r="G82" s="26">
        <f t="shared" si="5"/>
        <v>0</v>
      </c>
      <c r="H82" s="6">
        <v>0</v>
      </c>
      <c r="I82" s="35" t="s">
        <v>51</v>
      </c>
      <c r="J82" s="28" t="s">
        <v>51</v>
      </c>
      <c r="K82" s="28" t="s">
        <v>51</v>
      </c>
      <c r="L82" s="28" t="s">
        <v>51</v>
      </c>
      <c r="M82" s="28" t="s">
        <v>51</v>
      </c>
      <c r="N82" s="29" t="s">
        <v>51</v>
      </c>
    </row>
    <row r="83" spans="2:14" x14ac:dyDescent="0.25">
      <c r="B83" s="27">
        <v>10</v>
      </c>
      <c r="C83" s="6"/>
      <c r="D83" s="6"/>
      <c r="E83" s="6"/>
      <c r="F83" s="26">
        <f t="shared" si="4"/>
        <v>0</v>
      </c>
      <c r="G83" s="26">
        <f t="shared" si="5"/>
        <v>0</v>
      </c>
      <c r="H83" s="6">
        <v>0</v>
      </c>
      <c r="I83" s="35" t="s">
        <v>51</v>
      </c>
      <c r="J83" s="28" t="s">
        <v>51</v>
      </c>
      <c r="K83" s="28" t="s">
        <v>51</v>
      </c>
      <c r="L83" s="28" t="s">
        <v>51</v>
      </c>
      <c r="M83" s="28" t="s">
        <v>51</v>
      </c>
      <c r="N83" s="29" t="s">
        <v>51</v>
      </c>
    </row>
    <row r="84" spans="2:14" ht="15.75" thickBot="1" x14ac:dyDescent="0.3">
      <c r="B84" s="30"/>
      <c r="C84" s="31"/>
      <c r="D84" s="31"/>
      <c r="E84" s="31"/>
      <c r="F84" s="45">
        <f>SUM(F74:F83)</f>
        <v>0</v>
      </c>
      <c r="G84" s="45">
        <f>SUM(G74:G83)</f>
        <v>0</v>
      </c>
      <c r="H84" s="45">
        <f>SUM(H74:H83)</f>
        <v>0</v>
      </c>
      <c r="I84" s="30"/>
      <c r="J84" s="31"/>
      <c r="K84" s="31"/>
      <c r="L84" s="31"/>
      <c r="M84" s="31"/>
      <c r="N84" s="32"/>
    </row>
    <row r="85" spans="2:14" ht="15.75" thickBot="1" x14ac:dyDescent="0.3"/>
    <row r="86" spans="2:14" ht="15.75" thickBot="1" x14ac:dyDescent="0.3">
      <c r="B86" s="57" t="str">
        <f>B14</f>
        <v>Revenue Return</v>
      </c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9"/>
    </row>
    <row r="87" spans="2:14" ht="15.75" thickBot="1" x14ac:dyDescent="0.3">
      <c r="B87" s="24" t="s">
        <v>33</v>
      </c>
      <c r="C87" s="24" t="s">
        <v>35</v>
      </c>
      <c r="D87" s="24" t="s">
        <v>34</v>
      </c>
      <c r="E87" s="24" t="s">
        <v>52</v>
      </c>
      <c r="F87" s="24" t="s">
        <v>36</v>
      </c>
      <c r="G87" s="24" t="s">
        <v>37</v>
      </c>
      <c r="H87" s="23" t="s">
        <v>53</v>
      </c>
      <c r="I87" s="24" t="s">
        <v>44</v>
      </c>
      <c r="J87" s="24" t="s">
        <v>45</v>
      </c>
      <c r="K87" s="24" t="s">
        <v>46</v>
      </c>
      <c r="L87" s="24" t="s">
        <v>47</v>
      </c>
      <c r="M87" s="24" t="s">
        <v>48</v>
      </c>
      <c r="N87" s="24" t="s">
        <v>49</v>
      </c>
    </row>
    <row r="88" spans="2:14" x14ac:dyDescent="0.25">
      <c r="B88" s="27">
        <v>1</v>
      </c>
      <c r="C88" s="6"/>
      <c r="D88" s="6"/>
      <c r="E88" s="6"/>
      <c r="F88" s="25">
        <f t="shared" ref="F88:F92" si="6">H88*100/115</f>
        <v>0</v>
      </c>
      <c r="G88" s="25">
        <f t="shared" ref="G88:G92" si="7">+F88*0.15</f>
        <v>0</v>
      </c>
      <c r="H88" s="6">
        <v>0</v>
      </c>
      <c r="I88" s="37" t="s">
        <v>51</v>
      </c>
      <c r="J88" s="38" t="s">
        <v>51</v>
      </c>
      <c r="K88" s="38" t="s">
        <v>51</v>
      </c>
      <c r="L88" s="38" t="s">
        <v>51</v>
      </c>
      <c r="M88" s="38" t="s">
        <v>51</v>
      </c>
      <c r="N88" s="39" t="s">
        <v>51</v>
      </c>
    </row>
    <row r="89" spans="2:14" x14ac:dyDescent="0.25">
      <c r="B89" s="27">
        <v>2</v>
      </c>
      <c r="C89" s="6"/>
      <c r="D89" s="6"/>
      <c r="E89" s="6"/>
      <c r="F89" s="26">
        <f t="shared" si="6"/>
        <v>0</v>
      </c>
      <c r="G89" s="26">
        <f t="shared" si="7"/>
        <v>0</v>
      </c>
      <c r="H89" s="6">
        <v>0</v>
      </c>
      <c r="I89" s="35" t="s">
        <v>51</v>
      </c>
      <c r="J89" s="28" t="s">
        <v>51</v>
      </c>
      <c r="K89" s="28" t="s">
        <v>51</v>
      </c>
      <c r="L89" s="28" t="s">
        <v>51</v>
      </c>
      <c r="M89" s="28" t="s">
        <v>51</v>
      </c>
      <c r="N89" s="29" t="s">
        <v>51</v>
      </c>
    </row>
    <row r="90" spans="2:14" x14ac:dyDescent="0.25">
      <c r="B90" s="27">
        <v>3</v>
      </c>
      <c r="C90" s="6"/>
      <c r="D90" s="6"/>
      <c r="E90" s="6"/>
      <c r="F90" s="26">
        <f t="shared" si="6"/>
        <v>0</v>
      </c>
      <c r="G90" s="26">
        <f t="shared" si="7"/>
        <v>0</v>
      </c>
      <c r="H90" s="6">
        <v>0</v>
      </c>
      <c r="I90" s="35" t="s">
        <v>51</v>
      </c>
      <c r="J90" s="28" t="s">
        <v>51</v>
      </c>
      <c r="K90" s="28" t="s">
        <v>51</v>
      </c>
      <c r="L90" s="28" t="s">
        <v>51</v>
      </c>
      <c r="M90" s="28" t="s">
        <v>51</v>
      </c>
      <c r="N90" s="29" t="s">
        <v>51</v>
      </c>
    </row>
    <row r="91" spans="2:14" x14ac:dyDescent="0.25">
      <c r="B91" s="27">
        <v>4</v>
      </c>
      <c r="C91" s="6"/>
      <c r="D91" s="6"/>
      <c r="E91" s="6"/>
      <c r="F91" s="26">
        <f t="shared" si="6"/>
        <v>0</v>
      </c>
      <c r="G91" s="26">
        <f t="shared" si="7"/>
        <v>0</v>
      </c>
      <c r="H91" s="6">
        <v>0</v>
      </c>
      <c r="I91" s="35" t="s">
        <v>51</v>
      </c>
      <c r="J91" s="28" t="s">
        <v>51</v>
      </c>
      <c r="K91" s="28" t="s">
        <v>51</v>
      </c>
      <c r="L91" s="28" t="s">
        <v>51</v>
      </c>
      <c r="M91" s="28" t="s">
        <v>51</v>
      </c>
      <c r="N91" s="29" t="s">
        <v>51</v>
      </c>
    </row>
    <row r="92" spans="2:14" x14ac:dyDescent="0.25">
      <c r="B92" s="27">
        <v>5</v>
      </c>
      <c r="C92" s="6"/>
      <c r="D92" s="6"/>
      <c r="E92" s="6"/>
      <c r="F92" s="26">
        <f t="shared" si="6"/>
        <v>0</v>
      </c>
      <c r="G92" s="26">
        <f t="shared" si="7"/>
        <v>0</v>
      </c>
      <c r="H92" s="6">
        <v>0</v>
      </c>
      <c r="I92" s="35" t="s">
        <v>51</v>
      </c>
      <c r="J92" s="28" t="s">
        <v>51</v>
      </c>
      <c r="K92" s="28" t="s">
        <v>51</v>
      </c>
      <c r="L92" s="28" t="s">
        <v>51</v>
      </c>
      <c r="M92" s="28" t="s">
        <v>51</v>
      </c>
      <c r="N92" s="29" t="s">
        <v>51</v>
      </c>
    </row>
    <row r="93" spans="2:14" ht="15.75" thickBot="1" x14ac:dyDescent="0.3">
      <c r="B93" s="30"/>
      <c r="C93" s="31"/>
      <c r="D93" s="31"/>
      <c r="E93" s="31"/>
      <c r="F93" s="40">
        <f>SUM(F88:F92)</f>
        <v>0</v>
      </c>
      <c r="G93" s="40">
        <f>SUM(G88:G92)</f>
        <v>0</v>
      </c>
      <c r="H93" s="41">
        <f>SUM(H88:H92)</f>
        <v>0</v>
      </c>
      <c r="I93" s="30"/>
      <c r="J93" s="31"/>
      <c r="K93" s="31"/>
      <c r="L93" s="31"/>
      <c r="M93" s="31"/>
      <c r="N93" s="32"/>
    </row>
    <row r="96" spans="2:14" ht="15.75" thickBot="1" x14ac:dyDescent="0.3"/>
    <row r="97" spans="2:6" ht="24" customHeight="1" thickBot="1" x14ac:dyDescent="0.3">
      <c r="B97" s="78" t="s">
        <v>54</v>
      </c>
      <c r="C97" s="79"/>
    </row>
    <row r="98" spans="2:6" x14ac:dyDescent="0.25">
      <c r="B98" s="80" t="s">
        <v>55</v>
      </c>
      <c r="C98" s="81"/>
      <c r="D98" s="81"/>
      <c r="E98" s="81"/>
      <c r="F98" s="82"/>
    </row>
    <row r="99" spans="2:6" x14ac:dyDescent="0.25">
      <c r="B99" s="83"/>
      <c r="C99" s="84"/>
      <c r="D99" s="84"/>
      <c r="E99" s="84"/>
      <c r="F99" s="85"/>
    </row>
    <row r="100" spans="2:6" ht="15.75" thickBot="1" x14ac:dyDescent="0.3">
      <c r="B100" s="86"/>
      <c r="C100" s="87"/>
      <c r="D100" s="87"/>
      <c r="E100" s="87"/>
      <c r="F100" s="88"/>
    </row>
  </sheetData>
  <mergeCells count="32">
    <mergeCell ref="B72:N72"/>
    <mergeCell ref="B86:N86"/>
    <mergeCell ref="B97:C97"/>
    <mergeCell ref="B98:F100"/>
    <mergeCell ref="C31:K31"/>
    <mergeCell ref="B42:N42"/>
    <mergeCell ref="B34:F34"/>
    <mergeCell ref="B35:F35"/>
    <mergeCell ref="B36:F36"/>
    <mergeCell ref="B37:F37"/>
    <mergeCell ref="B38:F38"/>
    <mergeCell ref="B39:F39"/>
    <mergeCell ref="C26:K26"/>
    <mergeCell ref="C27:K27"/>
    <mergeCell ref="C28:K28"/>
    <mergeCell ref="C29:K29"/>
    <mergeCell ref="C30:K30"/>
    <mergeCell ref="B23:K23"/>
    <mergeCell ref="C3:K3"/>
    <mergeCell ref="C4:K4"/>
    <mergeCell ref="C5:K5"/>
    <mergeCell ref="B7:K7"/>
    <mergeCell ref="B10:C11"/>
    <mergeCell ref="B12:C12"/>
    <mergeCell ref="B13:C13"/>
    <mergeCell ref="B15:C15"/>
    <mergeCell ref="B14:C14"/>
    <mergeCell ref="B18:K18"/>
    <mergeCell ref="B19:K19"/>
    <mergeCell ref="B20:K20"/>
    <mergeCell ref="B21:K21"/>
    <mergeCell ref="B22:K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2025-01-01T10:38:53Z</dcterms:modified>
</cp:coreProperties>
</file>