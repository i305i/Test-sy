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 ملفات\WP\"/>
    </mc:Choice>
  </mc:AlternateContent>
  <xr:revisionPtr revIDLastSave="0" documentId="13_ncr:1_{A8572FC1-108D-4FDB-B773-BE0AFC7469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ther 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1" i="1" l="1"/>
  <c r="J15" i="1" s="1"/>
  <c r="B77" i="1"/>
  <c r="H84" i="1"/>
  <c r="H16" i="1" s="1"/>
  <c r="G84" i="1"/>
  <c r="I83" i="1"/>
  <c r="J83" i="1" s="1"/>
  <c r="K83" i="1" s="1"/>
  <c r="I82" i="1"/>
  <c r="J82" i="1" s="1"/>
  <c r="K82" i="1" s="1"/>
  <c r="I81" i="1"/>
  <c r="J81" i="1" s="1"/>
  <c r="K81" i="1" s="1"/>
  <c r="I80" i="1"/>
  <c r="J80" i="1" s="1"/>
  <c r="K80" i="1" s="1"/>
  <c r="I79" i="1"/>
  <c r="J79" i="1" s="1"/>
  <c r="B64" i="1"/>
  <c r="E71" i="1"/>
  <c r="H15" i="1" s="1"/>
  <c r="D71" i="1"/>
  <c r="J84" i="1" l="1"/>
  <c r="K79" i="1"/>
  <c r="I84" i="1"/>
  <c r="J16" i="1" s="1"/>
  <c r="D61" i="1"/>
  <c r="E61" i="1"/>
  <c r="H13" i="1" s="1"/>
  <c r="B54" i="1"/>
  <c r="B42" i="1"/>
  <c r="G49" i="1" l="1"/>
  <c r="H49" i="1"/>
  <c r="H12" i="1" s="1"/>
  <c r="I45" i="1"/>
  <c r="J45" i="1" s="1"/>
  <c r="K45" i="1" s="1"/>
  <c r="I46" i="1"/>
  <c r="J46" i="1" s="1"/>
  <c r="K46" i="1" s="1"/>
  <c r="I47" i="1"/>
  <c r="J47" i="1" s="1"/>
  <c r="K47" i="1" s="1"/>
  <c r="I48" i="1"/>
  <c r="J48" i="1" s="1"/>
  <c r="K48" i="1" s="1"/>
  <c r="I44" i="1"/>
  <c r="J44" i="1" s="1"/>
  <c r="K44" i="1" l="1"/>
  <c r="J49" i="1"/>
  <c r="I49" i="1"/>
  <c r="J12" i="1" s="1"/>
  <c r="F13" i="1" l="1"/>
  <c r="G13" i="1" s="1"/>
  <c r="F14" i="1"/>
  <c r="G14" i="1" s="1"/>
  <c r="F15" i="1"/>
  <c r="G15" i="1" s="1"/>
  <c r="F16" i="1"/>
  <c r="G16" i="1" s="1"/>
  <c r="K14" i="1"/>
  <c r="K15" i="1"/>
  <c r="K16" i="1"/>
  <c r="I13" i="1"/>
  <c r="I14" i="1"/>
  <c r="I15" i="1"/>
  <c r="I16" i="1"/>
  <c r="D11" i="1"/>
  <c r="K12" i="1" l="1"/>
  <c r="K17" i="1" s="1"/>
  <c r="D17" i="1"/>
  <c r="J17" i="1"/>
  <c r="I12" i="1"/>
  <c r="I17" i="1" s="1"/>
  <c r="E17" i="1"/>
  <c r="F12" i="1"/>
  <c r="F17" i="1" s="1"/>
  <c r="H17" i="1"/>
  <c r="G17" i="1" l="1"/>
  <c r="G12" i="1"/>
</calcChain>
</file>

<file path=xl/sharedStrings.xml><?xml version="1.0" encoding="utf-8"?>
<sst xmlns="http://schemas.openxmlformats.org/spreadsheetml/2006/main" count="94" uniqueCount="66">
  <si>
    <t>Abdullah Mansour Al-Subaie Company, Accountants and Legal Auditors, License No. (1031)</t>
  </si>
  <si>
    <t>year</t>
  </si>
  <si>
    <t>Currency</t>
  </si>
  <si>
    <t>SAR</t>
  </si>
  <si>
    <t>Description</t>
  </si>
  <si>
    <t xml:space="preserve">Balance as at </t>
  </si>
  <si>
    <t>Variance</t>
  </si>
  <si>
    <t>Confirmations</t>
  </si>
  <si>
    <t>Subsequent Clearance</t>
  </si>
  <si>
    <t>%</t>
  </si>
  <si>
    <t>SR</t>
  </si>
  <si>
    <t>end balance</t>
  </si>
  <si>
    <t>Work Done</t>
  </si>
  <si>
    <t>1) The matching of the opening balance for the comparative year was verified</t>
  </si>
  <si>
    <t>3) The reconciliation of the analytical general ledger with the trial balance and financial statements has been verified.</t>
  </si>
  <si>
    <t>Alternative procedures</t>
  </si>
  <si>
    <t>Assertions</t>
  </si>
  <si>
    <t>Existence</t>
  </si>
  <si>
    <t>Completenes</t>
  </si>
  <si>
    <t>Rights &amp; Obligation</t>
  </si>
  <si>
    <t>Accuracy</t>
  </si>
  <si>
    <t>Classifcation &amp; Presentation</t>
  </si>
  <si>
    <t xml:space="preserve">client name </t>
  </si>
  <si>
    <t>Accrued expenses</t>
  </si>
  <si>
    <t xml:space="preserve"> Others Payaples</t>
  </si>
  <si>
    <t xml:space="preserve">Employees' Accounts </t>
  </si>
  <si>
    <t>VAT</t>
  </si>
  <si>
    <t>2) A table of other  Payable balances was taken from the client, and the equations and final calculation of the final balance were verified.</t>
  </si>
  <si>
    <t>4) We have traced and agreed the supporting documents of samples selected. As we checked the payments for these balances</t>
  </si>
  <si>
    <t>1) Confirmations were requested for the items, by obtaining gl for subsequent periods and samples such as invoices, bank transfers, or receipt vouchers.</t>
  </si>
  <si>
    <t>Various creditors</t>
  </si>
  <si>
    <t>Name</t>
  </si>
  <si>
    <t xml:space="preserve">date </t>
  </si>
  <si>
    <t xml:space="preserve">amont </t>
  </si>
  <si>
    <t>#</t>
  </si>
  <si>
    <t>NO. JV / invoies</t>
  </si>
  <si>
    <t>different</t>
  </si>
  <si>
    <t>Remarks</t>
  </si>
  <si>
    <t>balance confirmation</t>
  </si>
  <si>
    <t>amont</t>
  </si>
  <si>
    <t>conclusions</t>
  </si>
  <si>
    <t xml:space="preserve">Advance payments from client </t>
  </si>
  <si>
    <t xml:space="preserve">end balance </t>
  </si>
  <si>
    <t>A reasonable confirmation has been reached that the Others payable present fairly</t>
  </si>
  <si>
    <t xml:space="preserve"> The matching of the opening balance for the comparative year was verified</t>
  </si>
  <si>
    <t xml:space="preserve"> A table of other  Payable balances was taken from the client, and the equations and final calculation of the final balance were verified.</t>
  </si>
  <si>
    <t xml:space="preserve"> The reconciliation of the analytical general ledger with the trial balance and financial statements has been verified.</t>
  </si>
  <si>
    <t xml:space="preserve"> We have traced and agreed the supporting documents of samples selected. As we checked the payments for these balances</t>
  </si>
  <si>
    <t xml:space="preserve"> Confirmations were requested for the items, by obtaining gl for subsequent periods and samples such as invoices, bank transfers, or receipt vouchers.</t>
  </si>
  <si>
    <t xml:space="preserve">Prepared By : </t>
  </si>
  <si>
    <t>Reviewed By :</t>
  </si>
  <si>
    <t>saad</t>
  </si>
  <si>
    <t>الوجود</t>
  </si>
  <si>
    <t>الاكتمال</t>
  </si>
  <si>
    <t>الحقوق والالتزامات</t>
  </si>
  <si>
    <t>الدقة</t>
  </si>
  <si>
    <t>التصنيف والعرض</t>
  </si>
  <si>
    <t xml:space="preserve">1) The matching of the opening balance for the comparative year was verified </t>
  </si>
  <si>
    <t xml:space="preserve">2) A table of other  Payable balances was taken from the client, and the equations and final calculation of the final balance were verified.									</t>
  </si>
  <si>
    <t>5) The management was inquired about the unregistered Others Peoples</t>
  </si>
  <si>
    <t xml:space="preserve">4) We have traced and agreed the supporting documents of samples selected. As we checked the payments for these balances									</t>
  </si>
  <si>
    <t>6) Check account classification</t>
  </si>
  <si>
    <t>Subsequent period invoices</t>
  </si>
  <si>
    <t>Subsequent period repayments</t>
  </si>
  <si>
    <t>2024 at Dec 31</t>
  </si>
  <si>
    <t>2023 Dec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</si>
</sst>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3" fillId="0" borderId="0" xfId="0" applyFont="1" applyAlignment="1">
      <alignment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9" fontId="0" fillId="0" borderId="1" xfId="1" applyFont="1" applyBorder="1" applyAlignment="1">
      <alignment horizontal="center" readingOrder="1"/>
    </xf>
    <xf numFmtId="9" fontId="0" fillId="0" borderId="1" xfId="1" applyFont="1" applyFill="1" applyBorder="1" applyAlignment="1">
      <alignment horizontal="center" readingOrder="1"/>
    </xf>
    <xf numFmtId="9" fontId="0" fillId="0" borderId="9" xfId="1" applyFont="1" applyBorder="1" applyAlignment="1">
      <alignment horizontal="center" readingOrder="1"/>
    </xf>
    <xf numFmtId="0" fontId="5" fillId="0" borderId="1" xfId="0" applyFont="1" applyBorder="1" applyAlignment="1">
      <alignment horizontal="center" readingOrder="1"/>
    </xf>
    <xf numFmtId="0" fontId="4" fillId="0" borderId="0" xfId="0" applyFont="1" applyAlignment="1">
      <alignment horizontal="left" readingOrder="1"/>
    </xf>
    <xf numFmtId="0" fontId="0" fillId="0" borderId="0" xfId="0" applyAlignment="1">
      <alignment readingOrder="1"/>
    </xf>
    <xf numFmtId="0" fontId="0" fillId="0" borderId="1" xfId="0" applyBorder="1" applyAlignment="1">
      <alignment horizontal="left" readingOrder="1"/>
    </xf>
    <xf numFmtId="0" fontId="0" fillId="0" borderId="1" xfId="0" applyBorder="1" applyAlignment="1">
      <alignment horizontal="center" readingOrder="1"/>
    </xf>
    <xf numFmtId="0" fontId="0" fillId="0" borderId="1" xfId="0" applyBorder="1" applyAlignment="1">
      <alignment horizontal="center" vertical="center" readingOrder="1"/>
    </xf>
    <xf numFmtId="0" fontId="0" fillId="0" borderId="11" xfId="0" applyBorder="1" applyAlignment="1">
      <alignment horizontal="center" readingOrder="1"/>
    </xf>
    <xf numFmtId="0" fontId="0" fillId="0" borderId="12" xfId="0" applyBorder="1" applyAlignment="1">
      <alignment horizontal="center" vertical="center" readingOrder="1"/>
    </xf>
    <xf numFmtId="0" fontId="0" fillId="0" borderId="4" xfId="0" applyBorder="1" applyAlignment="1">
      <alignment horizontal="center" vertical="center" readingOrder="1"/>
    </xf>
    <xf numFmtId="0" fontId="0" fillId="0" borderId="9" xfId="0" applyBorder="1" applyAlignment="1">
      <alignment horizontal="center" readingOrder="1"/>
    </xf>
    <xf numFmtId="0" fontId="0" fillId="0" borderId="14" xfId="0" applyBorder="1" applyAlignment="1">
      <alignment horizontal="center" vertical="center" readingOrder="1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readingOrder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14" xfId="0" applyFill="1" applyBorder="1"/>
    <xf numFmtId="0" fontId="0" fillId="0" borderId="4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0" xfId="0" applyBorder="1"/>
    <xf numFmtId="0" fontId="0" fillId="0" borderId="14" xfId="0" applyBorder="1"/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0" xfId="0" applyAlignment="1">
      <alignment horizontal="left" wrapText="1" readingOrder="1"/>
    </xf>
    <xf numFmtId="0" fontId="0" fillId="0" borderId="0" xfId="0" applyAlignment="1">
      <alignment horizontal="left" readingOrder="1"/>
    </xf>
    <xf numFmtId="0" fontId="0" fillId="2" borderId="9" xfId="0" applyFill="1" applyBorder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readingOrder="1"/>
    </xf>
    <xf numFmtId="0" fontId="0" fillId="0" borderId="3" xfId="0" applyBorder="1" applyAlignment="1">
      <alignment horizontal="center" readingOrder="1"/>
    </xf>
    <xf numFmtId="0" fontId="0" fillId="0" borderId="4" xfId="0" applyBorder="1" applyAlignment="1">
      <alignment horizontal="center" readingOrder="1"/>
    </xf>
    <xf numFmtId="15" fontId="0" fillId="0" borderId="2" xfId="0" applyNumberFormat="1" applyBorder="1" applyAlignment="1">
      <alignment horizontal="center" vertical="center" readingOrder="1"/>
    </xf>
    <xf numFmtId="15" fontId="0" fillId="0" borderId="3" xfId="0" applyNumberFormat="1" applyBorder="1" applyAlignment="1">
      <alignment horizontal="center" vertical="center" readingOrder="1"/>
    </xf>
    <xf numFmtId="15" fontId="0" fillId="0" borderId="4" xfId="0" applyNumberFormat="1" applyBorder="1" applyAlignment="1">
      <alignment horizontal="center" vertical="center" readingOrder="1"/>
    </xf>
    <xf numFmtId="0" fontId="0" fillId="0" borderId="2" xfId="0" applyBorder="1" applyAlignment="1">
      <alignment horizontal="center" vertical="center" readingOrder="1"/>
    </xf>
    <xf numFmtId="0" fontId="0" fillId="0" borderId="3" xfId="0" applyBorder="1" applyAlignment="1">
      <alignment horizontal="center" vertical="center" readingOrder="1"/>
    </xf>
    <xf numFmtId="0" fontId="0" fillId="0" borderId="4" xfId="0" applyBorder="1" applyAlignment="1">
      <alignment horizontal="center" vertical="center" readingOrder="1"/>
    </xf>
    <xf numFmtId="0" fontId="0" fillId="0" borderId="13" xfId="0" applyBorder="1" applyAlignment="1">
      <alignment horizontal="left" wrapText="1" readingOrder="1"/>
    </xf>
    <xf numFmtId="0" fontId="0" fillId="0" borderId="0" xfId="0" applyAlignment="1">
      <alignment horizontal="left" readingOrder="1"/>
    </xf>
    <xf numFmtId="0" fontId="0" fillId="0" borderId="10" xfId="0" applyBorder="1" applyAlignment="1">
      <alignment horizontal="left" readingOrder="1"/>
    </xf>
    <xf numFmtId="0" fontId="4" fillId="0" borderId="2" xfId="0" applyFont="1" applyBorder="1" applyAlignment="1">
      <alignment horizontal="center" readingOrder="1"/>
    </xf>
    <xf numFmtId="0" fontId="4" fillId="0" borderId="3" xfId="0" applyFont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4" fillId="0" borderId="7" xfId="0" applyFont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0" fillId="0" borderId="2" xfId="0" applyBorder="1" applyAlignment="1">
      <alignment vertical="center" readingOrder="1"/>
    </xf>
    <xf numFmtId="0" fontId="0" fillId="0" borderId="3" xfId="0" applyBorder="1" applyAlignment="1">
      <alignment vertical="center" readingOrder="1"/>
    </xf>
    <xf numFmtId="0" fontId="4" fillId="0" borderId="7" xfId="0" applyFont="1" applyBorder="1" applyAlignment="1">
      <alignment vertical="center" readingOrder="1"/>
    </xf>
    <xf numFmtId="0" fontId="4" fillId="0" borderId="8" xfId="0" applyFont="1" applyBorder="1" applyAlignment="1">
      <alignment vertical="center" readingOrder="1"/>
    </xf>
    <xf numFmtId="0" fontId="0" fillId="0" borderId="5" xfId="0" applyBorder="1" applyAlignment="1">
      <alignment vertical="center" readingOrder="1"/>
    </xf>
    <xf numFmtId="0" fontId="0" fillId="0" borderId="6" xfId="0" applyBorder="1" applyAlignment="1">
      <alignment vertical="center" readingOrder="1"/>
    </xf>
    <xf numFmtId="0" fontId="0" fillId="0" borderId="5" xfId="0" applyBorder="1" applyAlignment="1">
      <alignment horizontal="left" readingOrder="1"/>
    </xf>
    <xf numFmtId="0" fontId="0" fillId="0" borderId="6" xfId="0" applyBorder="1" applyAlignment="1">
      <alignment horizontal="left" readingOrder="1"/>
    </xf>
    <xf numFmtId="0" fontId="0" fillId="0" borderId="12" xfId="0" applyBorder="1" applyAlignment="1">
      <alignment horizontal="left" readingOrder="1"/>
    </xf>
    <xf numFmtId="0" fontId="0" fillId="0" borderId="13" xfId="0" applyBorder="1" applyAlignment="1">
      <alignment horizontal="left" readingOrder="1"/>
    </xf>
    <xf numFmtId="0" fontId="0" fillId="0" borderId="7" xfId="0" applyBorder="1" applyAlignment="1">
      <alignment horizontal="left" wrapText="1" readingOrder="1"/>
    </xf>
    <xf numFmtId="0" fontId="0" fillId="0" borderId="8" xfId="0" applyBorder="1" applyAlignment="1">
      <alignment horizontal="left" readingOrder="1"/>
    </xf>
    <xf numFmtId="0" fontId="0" fillId="0" borderId="14" xfId="0" applyBorder="1" applyAlignment="1">
      <alignment horizontal="left" readingOrder="1"/>
    </xf>
    <xf numFmtId="0" fontId="0" fillId="0" borderId="2" xfId="0" applyBorder="1" applyAlignment="1">
      <alignment readingOrder="1"/>
    </xf>
    <xf numFmtId="0" fontId="0" fillId="0" borderId="3" xfId="0" applyBorder="1" applyAlignment="1">
      <alignment readingOrder="1"/>
    </xf>
    <xf numFmtId="0" fontId="0" fillId="0" borderId="4" xfId="0" applyBorder="1" applyAlignment="1">
      <alignment readingOrder="1"/>
    </xf>
    <xf numFmtId="0" fontId="0" fillId="0" borderId="2" xfId="0" applyBorder="1" applyAlignment="1">
      <alignment horizontal="left" vertical="center" wrapText="1" readingOrder="1"/>
    </xf>
    <xf numFmtId="0" fontId="0" fillId="0" borderId="3" xfId="0" applyBorder="1" applyAlignment="1">
      <alignment horizontal="left" vertical="center" wrapText="1" readingOrder="1"/>
    </xf>
    <xf numFmtId="0" fontId="0" fillId="0" borderId="4" xfId="0" applyBorder="1" applyAlignment="1">
      <alignment horizontal="left" vertical="center" wrapText="1" readingOrder="1"/>
    </xf>
    <xf numFmtId="0" fontId="5" fillId="0" borderId="2" xfId="0" applyFont="1" applyBorder="1" applyAlignment="1">
      <alignment horizontal="center" readingOrder="1"/>
    </xf>
    <xf numFmtId="0" fontId="5" fillId="0" borderId="3" xfId="0" applyFont="1" applyBorder="1" applyAlignment="1">
      <alignment horizontal="center" readingOrder="1"/>
    </xf>
    <xf numFmtId="0" fontId="5" fillId="0" borderId="4" xfId="0" applyFont="1" applyBorder="1" applyAlignment="1">
      <alignment horizontal="center" readingOrder="1"/>
    </xf>
  </cellXfs>
  <cellStyles count="2">
    <cellStyle name="Percent" xfId="1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0"/>
  <sheetViews>
    <sheetView tabSelected="1" topLeftCell="A16" zoomScale="70" zoomScaleNormal="70" workbookViewId="0">
      <selection activeCell="G52" sqref="G52"/>
    </sheetView>
  </sheetViews>
  <sheetFormatPr defaultRowHeight="15" x14ac:dyDescent="0.25"/>
  <cols>
    <col min="2" max="2" width="24" customWidth="1"/>
    <col min="3" max="3" width="13.5" bestFit="1" customWidth="1"/>
    <col min="4" max="4" width="18.875" customWidth="1"/>
    <col min="5" max="5" width="18.625" customWidth="1"/>
    <col min="6" max="6" width="21.5" customWidth="1"/>
    <col min="7" max="7" width="15.125" customWidth="1"/>
    <col min="8" max="8" width="17.5" bestFit="1" customWidth="1"/>
    <col min="9" max="9" width="20.375" customWidth="1"/>
    <col min="10" max="10" width="17.625" customWidth="1"/>
    <col min="11" max="11" width="17.5" bestFit="1" customWidth="1"/>
    <col min="12" max="12" width="25.75" bestFit="1" customWidth="1"/>
    <col min="13" max="13" width="17.25" customWidth="1"/>
  </cols>
  <sheetData>
    <row r="1" spans="2:12" s="10" customForma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9" t="s">
        <v>49</v>
      </c>
      <c r="L1" s="10" t="s">
        <v>51</v>
      </c>
    </row>
    <row r="2" spans="2:12" s="10" customFormat="1" ht="15.75" thickBot="1" x14ac:dyDescent="0.3">
      <c r="K2" s="9" t="s">
        <v>50</v>
      </c>
    </row>
    <row r="3" spans="2:12" s="10" customFormat="1" ht="15.75" thickBot="1" x14ac:dyDescent="0.3">
      <c r="B3" s="11" t="s">
        <v>22</v>
      </c>
      <c r="C3" s="54"/>
      <c r="D3" s="55"/>
      <c r="E3" s="55"/>
      <c r="F3" s="55"/>
      <c r="G3" s="55"/>
      <c r="H3" s="55"/>
      <c r="I3" s="55"/>
      <c r="J3" s="55"/>
      <c r="K3" s="55"/>
      <c r="L3" s="56"/>
    </row>
    <row r="4" spans="2:12" s="10" customFormat="1" ht="15.75" thickBot="1" x14ac:dyDescent="0.3">
      <c r="B4" s="11" t="s">
        <v>1</v>
      </c>
      <c r="C4" s="57" t="s">
        <v>64</v>
      </c>
      <c r="D4" s="58"/>
      <c r="E4" s="58"/>
      <c r="F4" s="58"/>
      <c r="G4" s="58"/>
      <c r="H4" s="58"/>
      <c r="I4" s="58"/>
      <c r="J4" s="58"/>
      <c r="K4" s="58"/>
      <c r="L4" s="59"/>
    </row>
    <row r="5" spans="2:12" s="10" customFormat="1" ht="15.75" thickBot="1" x14ac:dyDescent="0.3">
      <c r="B5" s="11" t="s">
        <v>2</v>
      </c>
      <c r="C5" s="60" t="s">
        <v>3</v>
      </c>
      <c r="D5" s="61"/>
      <c r="E5" s="61"/>
      <c r="F5" s="61"/>
      <c r="G5" s="61"/>
      <c r="H5" s="61"/>
      <c r="I5" s="61"/>
      <c r="J5" s="61"/>
      <c r="K5" s="61"/>
      <c r="L5" s="62"/>
    </row>
    <row r="6" spans="2:12" s="10" customFormat="1" x14ac:dyDescent="0.25"/>
    <row r="7" spans="2:12" s="10" customFormat="1" ht="15.75" thickBot="1" x14ac:dyDescent="0.3"/>
    <row r="8" spans="2:12" s="10" customFormat="1" ht="15.75" thickBot="1" x14ac:dyDescent="0.3">
      <c r="B8" s="66" t="s">
        <v>24</v>
      </c>
      <c r="C8" s="67"/>
      <c r="D8" s="67"/>
      <c r="E8" s="67"/>
      <c r="F8" s="67"/>
      <c r="G8" s="67"/>
      <c r="H8" s="67"/>
      <c r="I8" s="67"/>
      <c r="J8" s="67"/>
      <c r="K8" s="68"/>
    </row>
    <row r="9" spans="2:12" s="10" customFormat="1" ht="15.75" thickBot="1" x14ac:dyDescent="0.3"/>
    <row r="10" spans="2:12" s="10" customFormat="1" ht="15.75" customHeight="1" thickBot="1" x14ac:dyDescent="0.3">
      <c r="B10" s="69" t="s">
        <v>4</v>
      </c>
      <c r="C10" s="70"/>
      <c r="D10" s="73" t="s">
        <v>5</v>
      </c>
      <c r="E10" s="74"/>
      <c r="F10" s="73" t="s">
        <v>6</v>
      </c>
      <c r="G10" s="74"/>
      <c r="H10" s="73" t="s">
        <v>7</v>
      </c>
      <c r="I10" s="74"/>
      <c r="J10" s="73" t="s">
        <v>8</v>
      </c>
      <c r="K10" s="74"/>
    </row>
    <row r="11" spans="2:12" s="10" customFormat="1" ht="15.75" thickBot="1" x14ac:dyDescent="0.3">
      <c r="B11" s="71"/>
      <c r="C11" s="72"/>
      <c r="D11" s="4" t="str">
        <f>C4</f>
        <v>2024 at Dec 31</v>
      </c>
      <c r="E11" s="4" t="s">
        <v>65</v>
      </c>
      <c r="F11" s="4" t="s">
        <v>3</v>
      </c>
      <c r="G11" s="3" t="s">
        <v>9</v>
      </c>
      <c r="H11" s="4" t="s">
        <v>3</v>
      </c>
      <c r="I11" s="4" t="s">
        <v>9</v>
      </c>
      <c r="J11" s="4" t="s">
        <v>10</v>
      </c>
      <c r="K11" s="4" t="s">
        <v>9</v>
      </c>
    </row>
    <row r="12" spans="2:12" s="10" customFormat="1" ht="19.5" customHeight="1" thickBot="1" x14ac:dyDescent="0.3">
      <c r="B12" s="75" t="s">
        <v>23</v>
      </c>
      <c r="C12" s="76"/>
      <c r="D12" s="12">
        <v>0</v>
      </c>
      <c r="E12" s="12">
        <v>0</v>
      </c>
      <c r="F12" s="12">
        <f>D12-E12</f>
        <v>0</v>
      </c>
      <c r="G12" s="5" t="e">
        <f>E12/F12</f>
        <v>#DIV/0!</v>
      </c>
      <c r="H12" s="13">
        <f>H49</f>
        <v>0</v>
      </c>
      <c r="I12" s="6" t="e">
        <f>H12/D12</f>
        <v>#DIV/0!</v>
      </c>
      <c r="J12" s="13">
        <f>I49</f>
        <v>0</v>
      </c>
      <c r="K12" s="6" t="e">
        <f>J12/D12</f>
        <v>#DIV/0!</v>
      </c>
    </row>
    <row r="13" spans="2:12" s="10" customFormat="1" ht="19.5" customHeight="1" thickBot="1" x14ac:dyDescent="0.3">
      <c r="B13" s="79" t="s">
        <v>25</v>
      </c>
      <c r="C13" s="80"/>
      <c r="D13" s="14"/>
      <c r="E13" s="14"/>
      <c r="F13" s="12">
        <f t="shared" ref="F13:F16" si="0">D13-E13</f>
        <v>0</v>
      </c>
      <c r="G13" s="5" t="e">
        <f t="shared" ref="G13:G16" si="1">E13/F13</f>
        <v>#DIV/0!</v>
      </c>
      <c r="H13" s="15">
        <f>E61</f>
        <v>0</v>
      </c>
      <c r="I13" s="6" t="e">
        <f>H13/D13</f>
        <v>#DIV/0!</v>
      </c>
      <c r="J13" s="15"/>
      <c r="K13" s="6"/>
    </row>
    <row r="14" spans="2:12" s="10" customFormat="1" ht="19.5" customHeight="1" thickBot="1" x14ac:dyDescent="0.3">
      <c r="B14" s="75" t="s">
        <v>26</v>
      </c>
      <c r="C14" s="76"/>
      <c r="D14" s="12"/>
      <c r="E14" s="12"/>
      <c r="F14" s="12">
        <f t="shared" si="0"/>
        <v>0</v>
      </c>
      <c r="G14" s="5" t="e">
        <f t="shared" si="1"/>
        <v>#DIV/0!</v>
      </c>
      <c r="H14" s="16"/>
      <c r="I14" s="6" t="e">
        <f>H14/D14</f>
        <v>#DIV/0!</v>
      </c>
      <c r="J14" s="16"/>
      <c r="K14" s="6" t="e">
        <f>J14/D14</f>
        <v>#DIV/0!</v>
      </c>
    </row>
    <row r="15" spans="2:12" s="10" customFormat="1" ht="19.5" customHeight="1" thickBot="1" x14ac:dyDescent="0.3">
      <c r="B15" s="75" t="s">
        <v>30</v>
      </c>
      <c r="C15" s="76"/>
      <c r="D15" s="12"/>
      <c r="E15" s="12"/>
      <c r="F15" s="12">
        <f t="shared" si="0"/>
        <v>0</v>
      </c>
      <c r="G15" s="5" t="e">
        <f t="shared" si="1"/>
        <v>#DIV/0!</v>
      </c>
      <c r="H15" s="16">
        <f>E71</f>
        <v>0</v>
      </c>
      <c r="I15" s="6" t="e">
        <f>H15/D15</f>
        <v>#DIV/0!</v>
      </c>
      <c r="J15" s="16">
        <f>F71</f>
        <v>0</v>
      </c>
      <c r="K15" s="6" t="e">
        <f>J15/D15</f>
        <v>#DIV/0!</v>
      </c>
    </row>
    <row r="16" spans="2:12" s="10" customFormat="1" ht="19.5" customHeight="1" thickBot="1" x14ac:dyDescent="0.3">
      <c r="B16" s="75" t="s">
        <v>41</v>
      </c>
      <c r="C16" s="76"/>
      <c r="D16" s="12"/>
      <c r="E16" s="12"/>
      <c r="F16" s="12">
        <f t="shared" si="0"/>
        <v>0</v>
      </c>
      <c r="G16" s="5" t="e">
        <f t="shared" si="1"/>
        <v>#DIV/0!</v>
      </c>
      <c r="H16" s="16">
        <f>H84</f>
        <v>0</v>
      </c>
      <c r="I16" s="6" t="e">
        <f>H16/D16</f>
        <v>#DIV/0!</v>
      </c>
      <c r="J16" s="16">
        <f>I84</f>
        <v>0</v>
      </c>
      <c r="K16" s="6" t="e">
        <f>J16/D16</f>
        <v>#DIV/0!</v>
      </c>
    </row>
    <row r="17" spans="2:11" s="10" customFormat="1" ht="15.75" thickBot="1" x14ac:dyDescent="0.3">
      <c r="B17" s="77" t="s">
        <v>11</v>
      </c>
      <c r="C17" s="78"/>
      <c r="D17" s="17">
        <f>SUM(D12:D12)</f>
        <v>0</v>
      </c>
      <c r="E17" s="17">
        <f>SUM(E12:E12)</f>
        <v>0</v>
      </c>
      <c r="F17" s="17">
        <f>SUM(F12:F12)</f>
        <v>0</v>
      </c>
      <c r="G17" s="7" t="e">
        <f>E17/F17</f>
        <v>#DIV/0!</v>
      </c>
      <c r="H17" s="18">
        <f>SUM(H12:H12)</f>
        <v>0</v>
      </c>
      <c r="I17" s="18" t="e">
        <f>SUM(I12:I12)</f>
        <v>#DIV/0!</v>
      </c>
      <c r="J17" s="18">
        <f t="shared" ref="J17:K17" si="2">SUM(J12:J12)</f>
        <v>0</v>
      </c>
      <c r="K17" s="18" t="e">
        <f t="shared" si="2"/>
        <v>#DIV/0!</v>
      </c>
    </row>
    <row r="19" spans="2:11" ht="15.75" thickBot="1" x14ac:dyDescent="0.3"/>
    <row r="20" spans="2:11" ht="15.75" thickBot="1" x14ac:dyDescent="0.3">
      <c r="B20" s="66" t="s">
        <v>12</v>
      </c>
      <c r="C20" s="67"/>
      <c r="D20" s="67"/>
      <c r="E20" s="67"/>
      <c r="F20" s="67"/>
      <c r="G20" s="67"/>
      <c r="H20" s="67"/>
      <c r="I20" s="67"/>
      <c r="J20" s="67"/>
      <c r="K20" s="68"/>
    </row>
    <row r="21" spans="2:11" x14ac:dyDescent="0.25">
      <c r="B21" s="81" t="s">
        <v>13</v>
      </c>
      <c r="C21" s="82"/>
      <c r="D21" s="82"/>
      <c r="E21" s="82"/>
      <c r="F21" s="82"/>
      <c r="G21" s="82"/>
      <c r="H21" s="82"/>
      <c r="I21" s="82"/>
      <c r="J21" s="82"/>
      <c r="K21" s="83"/>
    </row>
    <row r="22" spans="2:11" x14ac:dyDescent="0.25">
      <c r="B22" s="84" t="s">
        <v>27</v>
      </c>
      <c r="C22" s="64"/>
      <c r="D22" s="64"/>
      <c r="E22" s="64"/>
      <c r="F22" s="64"/>
      <c r="G22" s="64"/>
      <c r="H22" s="64"/>
      <c r="I22" s="64"/>
      <c r="J22" s="64"/>
      <c r="K22" s="65"/>
    </row>
    <row r="23" spans="2:11" x14ac:dyDescent="0.25">
      <c r="B23" s="84" t="s">
        <v>14</v>
      </c>
      <c r="C23" s="64"/>
      <c r="D23" s="64"/>
      <c r="E23" s="64"/>
      <c r="F23" s="64"/>
      <c r="G23" s="64"/>
      <c r="H23" s="64"/>
      <c r="I23" s="64"/>
      <c r="J23" s="64"/>
      <c r="K23" s="65"/>
    </row>
    <row r="24" spans="2:11" x14ac:dyDescent="0.25">
      <c r="B24" s="63" t="s">
        <v>28</v>
      </c>
      <c r="C24" s="64"/>
      <c r="D24" s="64"/>
      <c r="E24" s="64"/>
      <c r="F24" s="64"/>
      <c r="G24" s="64"/>
      <c r="H24" s="64"/>
      <c r="I24" s="64"/>
      <c r="J24" s="64"/>
      <c r="K24" s="65"/>
    </row>
    <row r="25" spans="2:11" x14ac:dyDescent="0.25">
      <c r="B25" s="63" t="s">
        <v>59</v>
      </c>
      <c r="C25" s="64"/>
      <c r="D25" s="64"/>
      <c r="E25" s="64"/>
      <c r="F25" s="64"/>
      <c r="G25" s="64"/>
      <c r="H25" s="64"/>
      <c r="I25" s="64"/>
      <c r="J25" s="64"/>
      <c r="K25" s="65"/>
    </row>
    <row r="26" spans="2:11" ht="15.75" thickBot="1" x14ac:dyDescent="0.3">
      <c r="B26" s="85" t="s">
        <v>61</v>
      </c>
      <c r="C26" s="86"/>
      <c r="D26" s="86"/>
      <c r="E26" s="86"/>
      <c r="F26" s="86"/>
      <c r="G26" s="86"/>
      <c r="H26" s="86"/>
      <c r="I26" s="86"/>
      <c r="J26" s="86"/>
      <c r="K26" s="87"/>
    </row>
    <row r="27" spans="2:11" x14ac:dyDescent="0.25">
      <c r="B27" s="40"/>
      <c r="C27" s="41"/>
      <c r="D27" s="41"/>
      <c r="E27" s="41"/>
      <c r="F27" s="41"/>
      <c r="G27" s="41"/>
      <c r="H27" s="41"/>
      <c r="I27" s="41"/>
      <c r="J27" s="41"/>
      <c r="K27" s="41"/>
    </row>
    <row r="28" spans="2:11" ht="15.75" thickBot="1" x14ac:dyDescent="0.3"/>
    <row r="29" spans="2:11" ht="15.75" thickBot="1" x14ac:dyDescent="0.3">
      <c r="B29" s="66" t="s">
        <v>15</v>
      </c>
      <c r="C29" s="67"/>
      <c r="D29" s="67"/>
      <c r="E29" s="67"/>
      <c r="F29" s="67"/>
      <c r="G29" s="67"/>
      <c r="H29" s="67"/>
      <c r="I29" s="67"/>
      <c r="J29" s="67"/>
      <c r="K29" s="68"/>
    </row>
    <row r="30" spans="2:11" s="19" customFormat="1" ht="28.5" customHeight="1" thickBot="1" x14ac:dyDescent="0.3">
      <c r="B30" s="91" t="s">
        <v>29</v>
      </c>
      <c r="C30" s="92"/>
      <c r="D30" s="92"/>
      <c r="E30" s="92"/>
      <c r="F30" s="92"/>
      <c r="G30" s="92"/>
      <c r="H30" s="92"/>
      <c r="I30" s="92"/>
      <c r="J30" s="92"/>
      <c r="K30" s="93"/>
    </row>
    <row r="33" spans="1:35" ht="15.75" thickBot="1" x14ac:dyDescent="0.3">
      <c r="AI33" t="s">
        <v>44</v>
      </c>
    </row>
    <row r="34" spans="1:35" ht="15.75" thickBot="1" x14ac:dyDescent="0.3">
      <c r="B34" s="8" t="s">
        <v>16</v>
      </c>
      <c r="C34" s="94" t="s">
        <v>12</v>
      </c>
      <c r="D34" s="95"/>
      <c r="E34" s="95"/>
      <c r="F34" s="95"/>
      <c r="G34" s="95"/>
      <c r="H34" s="95"/>
      <c r="I34" s="95"/>
      <c r="J34" s="95"/>
      <c r="K34" s="96"/>
      <c r="AI34" t="s">
        <v>45</v>
      </c>
    </row>
    <row r="35" spans="1:35" ht="15.75" thickBot="1" x14ac:dyDescent="0.3">
      <c r="A35" t="s">
        <v>52</v>
      </c>
      <c r="B35" s="20" t="s">
        <v>17</v>
      </c>
      <c r="C35" s="88" t="s">
        <v>57</v>
      </c>
      <c r="D35" s="89"/>
      <c r="E35" s="89"/>
      <c r="F35" s="89"/>
      <c r="G35" s="89"/>
      <c r="H35" s="89"/>
      <c r="I35" s="89"/>
      <c r="J35" s="89"/>
      <c r="K35" s="90"/>
      <c r="AI35" t="s">
        <v>46</v>
      </c>
    </row>
    <row r="36" spans="1:35" ht="15.75" thickBot="1" x14ac:dyDescent="0.3">
      <c r="A36" t="s">
        <v>53</v>
      </c>
      <c r="B36" s="11" t="s">
        <v>18</v>
      </c>
      <c r="C36" s="88" t="s">
        <v>58</v>
      </c>
      <c r="D36" s="89"/>
      <c r="E36" s="89"/>
      <c r="F36" s="89"/>
      <c r="G36" s="89"/>
      <c r="H36" s="89"/>
      <c r="I36" s="89"/>
      <c r="J36" s="89"/>
      <c r="K36" s="90"/>
      <c r="AI36" t="s">
        <v>47</v>
      </c>
    </row>
    <row r="37" spans="1:35" ht="15.75" thickBot="1" x14ac:dyDescent="0.3">
      <c r="A37" t="s">
        <v>54</v>
      </c>
      <c r="B37" s="11" t="s">
        <v>19</v>
      </c>
      <c r="C37" s="88" t="s">
        <v>59</v>
      </c>
      <c r="D37" s="89"/>
      <c r="E37" s="89"/>
      <c r="F37" s="89"/>
      <c r="G37" s="89"/>
      <c r="H37" s="89"/>
      <c r="I37" s="89"/>
      <c r="J37" s="89"/>
      <c r="K37" s="90"/>
      <c r="AI37" t="s">
        <v>48</v>
      </c>
    </row>
    <row r="38" spans="1:35" ht="15.75" thickBot="1" x14ac:dyDescent="0.3">
      <c r="A38" t="s">
        <v>55</v>
      </c>
      <c r="B38" s="11" t="s">
        <v>20</v>
      </c>
      <c r="C38" s="88" t="s">
        <v>60</v>
      </c>
      <c r="D38" s="89"/>
      <c r="E38" s="89"/>
      <c r="F38" s="89"/>
      <c r="G38" s="89"/>
      <c r="H38" s="89"/>
      <c r="I38" s="89"/>
      <c r="J38" s="89"/>
      <c r="K38" s="90"/>
    </row>
    <row r="39" spans="1:35" ht="15.75" thickBot="1" x14ac:dyDescent="0.3">
      <c r="A39" t="s">
        <v>56</v>
      </c>
      <c r="B39" s="11" t="s">
        <v>21</v>
      </c>
      <c r="C39" s="88" t="s">
        <v>61</v>
      </c>
      <c r="D39" s="89"/>
      <c r="E39" s="89"/>
      <c r="F39" s="89"/>
      <c r="G39" s="89"/>
      <c r="H39" s="89"/>
      <c r="I39" s="89"/>
      <c r="J39" s="89"/>
      <c r="K39" s="90"/>
    </row>
    <row r="41" spans="1:35" ht="15.75" thickBot="1" x14ac:dyDescent="0.3"/>
    <row r="42" spans="1:35" ht="15.75" thickBot="1" x14ac:dyDescent="0.3">
      <c r="B42" s="51" t="str">
        <f>B12</f>
        <v>Accrued expenses</v>
      </c>
      <c r="C42" s="52"/>
      <c r="D42" s="52"/>
      <c r="E42" s="52"/>
      <c r="F42" s="52"/>
      <c r="G42" s="52"/>
      <c r="H42" s="52"/>
      <c r="I42" s="52"/>
      <c r="J42" s="52"/>
      <c r="K42" s="53"/>
    </row>
    <row r="43" spans="1:35" ht="15.75" thickBot="1" x14ac:dyDescent="0.3">
      <c r="B43" s="21" t="s">
        <v>34</v>
      </c>
      <c r="C43" s="21" t="s">
        <v>35</v>
      </c>
      <c r="D43" s="21" t="s">
        <v>32</v>
      </c>
      <c r="E43" s="21" t="s">
        <v>31</v>
      </c>
      <c r="F43" s="22" t="s">
        <v>4</v>
      </c>
      <c r="G43" s="21" t="s">
        <v>33</v>
      </c>
      <c r="H43" s="21" t="s">
        <v>38</v>
      </c>
      <c r="I43" s="21" t="s">
        <v>63</v>
      </c>
      <c r="J43" s="21" t="s">
        <v>36</v>
      </c>
      <c r="K43" s="21" t="s">
        <v>37</v>
      </c>
    </row>
    <row r="44" spans="1:35" x14ac:dyDescent="0.25">
      <c r="B44" s="23">
        <v>1</v>
      </c>
      <c r="G44" s="23">
        <v>0</v>
      </c>
      <c r="H44" s="24">
        <v>0</v>
      </c>
      <c r="I44" s="25">
        <f>H44-G44</f>
        <v>0</v>
      </c>
      <c r="J44" s="25">
        <f>I44-H44</f>
        <v>0</v>
      </c>
      <c r="K44" s="25">
        <f>J44-I44</f>
        <v>0</v>
      </c>
    </row>
    <row r="45" spans="1:35" x14ac:dyDescent="0.25">
      <c r="B45" s="23">
        <v>2</v>
      </c>
      <c r="G45" s="23">
        <v>0</v>
      </c>
      <c r="H45" s="24">
        <v>0</v>
      </c>
      <c r="I45" s="25">
        <f t="shared" ref="I45:J48" si="3">H45-G45</f>
        <v>0</v>
      </c>
      <c r="J45" s="25">
        <f t="shared" si="3"/>
        <v>0</v>
      </c>
      <c r="K45" s="25">
        <f t="shared" ref="K45:K48" si="4">J45-I45</f>
        <v>0</v>
      </c>
    </row>
    <row r="46" spans="1:35" x14ac:dyDescent="0.25">
      <c r="B46" s="23">
        <v>3</v>
      </c>
      <c r="G46" s="23">
        <v>0</v>
      </c>
      <c r="H46" s="24">
        <v>0</v>
      </c>
      <c r="I46" s="25">
        <f t="shared" si="3"/>
        <v>0</v>
      </c>
      <c r="J46" s="25">
        <f t="shared" si="3"/>
        <v>0</v>
      </c>
      <c r="K46" s="25">
        <f t="shared" si="4"/>
        <v>0</v>
      </c>
    </row>
    <row r="47" spans="1:35" x14ac:dyDescent="0.25">
      <c r="B47" s="23">
        <v>4</v>
      </c>
      <c r="G47" s="23">
        <v>0</v>
      </c>
      <c r="H47" s="24">
        <v>0</v>
      </c>
      <c r="I47" s="25">
        <f t="shared" si="3"/>
        <v>0</v>
      </c>
      <c r="J47" s="25">
        <f t="shared" si="3"/>
        <v>0</v>
      </c>
      <c r="K47" s="25">
        <f t="shared" si="4"/>
        <v>0</v>
      </c>
    </row>
    <row r="48" spans="1:35" x14ac:dyDescent="0.25">
      <c r="B48" s="23">
        <v>5</v>
      </c>
      <c r="G48" s="23">
        <v>0</v>
      </c>
      <c r="H48" s="24">
        <v>0</v>
      </c>
      <c r="I48" s="25">
        <f t="shared" si="3"/>
        <v>0</v>
      </c>
      <c r="J48" s="25">
        <f t="shared" si="3"/>
        <v>0</v>
      </c>
      <c r="K48" s="25">
        <f t="shared" si="4"/>
        <v>0</v>
      </c>
    </row>
    <row r="49" spans="2:11" ht="15.75" thickBot="1" x14ac:dyDescent="0.3">
      <c r="B49" s="26"/>
      <c r="C49" s="27"/>
      <c r="D49" s="27"/>
      <c r="E49" s="27"/>
      <c r="F49" s="27"/>
      <c r="G49" s="28">
        <f t="shared" ref="G49:H49" si="5">SUM(G44:G48)</f>
        <v>0</v>
      </c>
      <c r="H49" s="29">
        <f t="shared" si="5"/>
        <v>0</v>
      </c>
      <c r="I49" s="30">
        <f>SUM(I44:I48)</f>
        <v>0</v>
      </c>
      <c r="J49" s="30">
        <f>SUM(J44:J48)</f>
        <v>0</v>
      </c>
      <c r="K49" s="42"/>
    </row>
    <row r="53" spans="2:11" ht="15.75" thickBot="1" x14ac:dyDescent="0.3"/>
    <row r="54" spans="2:11" ht="15.75" thickBot="1" x14ac:dyDescent="0.3">
      <c r="B54" s="51" t="str">
        <f>B13</f>
        <v xml:space="preserve">Employees' Accounts </v>
      </c>
      <c r="C54" s="52"/>
      <c r="D54" s="52"/>
      <c r="E54" s="52"/>
      <c r="F54" s="53"/>
    </row>
    <row r="55" spans="2:11" ht="15.75" thickBot="1" x14ac:dyDescent="0.3">
      <c r="B55" s="22" t="s">
        <v>34</v>
      </c>
      <c r="C55" s="21" t="s">
        <v>31</v>
      </c>
      <c r="D55" s="21" t="s">
        <v>39</v>
      </c>
      <c r="E55" s="21" t="s">
        <v>38</v>
      </c>
      <c r="F55" s="32" t="s">
        <v>4</v>
      </c>
      <c r="G55" s="24"/>
    </row>
    <row r="56" spans="2:11" x14ac:dyDescent="0.25">
      <c r="B56" s="23">
        <v>1</v>
      </c>
      <c r="C56" s="33"/>
      <c r="D56" s="34"/>
      <c r="E56" s="34"/>
      <c r="F56" s="35"/>
      <c r="G56" s="24"/>
    </row>
    <row r="57" spans="2:11" x14ac:dyDescent="0.25">
      <c r="B57" s="23">
        <v>2</v>
      </c>
      <c r="C57" s="33"/>
      <c r="D57" s="34"/>
      <c r="E57" s="34"/>
      <c r="F57" s="35"/>
      <c r="G57" s="24"/>
    </row>
    <row r="58" spans="2:11" x14ac:dyDescent="0.25">
      <c r="B58" s="23">
        <v>3</v>
      </c>
      <c r="C58" s="33"/>
      <c r="D58" s="34"/>
      <c r="E58" s="34"/>
      <c r="F58" s="35"/>
      <c r="G58" s="24"/>
    </row>
    <row r="59" spans="2:11" x14ac:dyDescent="0.25">
      <c r="B59" s="23">
        <v>4</v>
      </c>
      <c r="C59" s="33"/>
      <c r="D59" s="34"/>
      <c r="E59" s="34"/>
      <c r="F59" s="35"/>
      <c r="G59" s="24"/>
    </row>
    <row r="60" spans="2:11" ht="15.75" thickBot="1" x14ac:dyDescent="0.3">
      <c r="B60" s="23">
        <v>5</v>
      </c>
      <c r="C60" s="33"/>
      <c r="D60" s="34"/>
      <c r="E60" s="34"/>
      <c r="F60" s="36"/>
      <c r="G60" s="24"/>
    </row>
    <row r="61" spans="2:11" ht="15.75" thickBot="1" x14ac:dyDescent="0.3">
      <c r="B61" s="51" t="s">
        <v>42</v>
      </c>
      <c r="C61" s="53"/>
      <c r="D61" s="37">
        <f>SUM(D56:D60)</f>
        <v>0</v>
      </c>
      <c r="E61" s="37">
        <f>SUM(E56:E60)</f>
        <v>0</v>
      </c>
      <c r="F61" s="31"/>
      <c r="G61" s="38"/>
    </row>
    <row r="63" spans="2:11" ht="15.75" thickBot="1" x14ac:dyDescent="0.3"/>
    <row r="64" spans="2:11" ht="15.75" thickBot="1" x14ac:dyDescent="0.3">
      <c r="B64" s="51" t="str">
        <f>B15</f>
        <v>Various creditors</v>
      </c>
      <c r="C64" s="52"/>
      <c r="D64" s="52"/>
      <c r="E64" s="52"/>
      <c r="F64" s="52"/>
      <c r="G64" s="53"/>
    </row>
    <row r="65" spans="2:11" ht="15.75" thickBot="1" x14ac:dyDescent="0.3">
      <c r="B65" s="22" t="s">
        <v>34</v>
      </c>
      <c r="C65" s="21" t="s">
        <v>31</v>
      </c>
      <c r="D65" s="21" t="s">
        <v>39</v>
      </c>
      <c r="E65" s="21" t="s">
        <v>38</v>
      </c>
      <c r="F65" s="32" t="s">
        <v>63</v>
      </c>
      <c r="G65" s="32" t="s">
        <v>4</v>
      </c>
    </row>
    <row r="66" spans="2:11" x14ac:dyDescent="0.25">
      <c r="B66" s="23">
        <v>1</v>
      </c>
      <c r="C66" s="33"/>
      <c r="D66" s="34"/>
      <c r="E66" s="34"/>
      <c r="F66" s="35"/>
      <c r="G66" s="35"/>
    </row>
    <row r="67" spans="2:11" x14ac:dyDescent="0.25">
      <c r="B67" s="23">
        <v>2</v>
      </c>
      <c r="C67" s="33"/>
      <c r="D67" s="34"/>
      <c r="E67" s="34"/>
      <c r="F67" s="35"/>
      <c r="G67" s="35"/>
    </row>
    <row r="68" spans="2:11" x14ac:dyDescent="0.25">
      <c r="B68" s="23">
        <v>3</v>
      </c>
      <c r="C68" s="33"/>
      <c r="D68" s="34"/>
      <c r="E68" s="34"/>
      <c r="F68" s="35"/>
      <c r="G68" s="35"/>
    </row>
    <row r="69" spans="2:11" x14ac:dyDescent="0.25">
      <c r="B69" s="23">
        <v>4</v>
      </c>
      <c r="C69" s="33"/>
      <c r="D69" s="34"/>
      <c r="E69" s="34"/>
      <c r="F69" s="35"/>
      <c r="G69" s="35"/>
    </row>
    <row r="70" spans="2:11" ht="15.75" thickBot="1" x14ac:dyDescent="0.3">
      <c r="B70" s="23">
        <v>5</v>
      </c>
      <c r="C70" s="33"/>
      <c r="D70" s="34"/>
      <c r="E70" s="34"/>
      <c r="F70" s="36"/>
      <c r="G70" s="36"/>
    </row>
    <row r="71" spans="2:11" ht="15.75" thickBot="1" x14ac:dyDescent="0.3">
      <c r="B71" s="51" t="s">
        <v>42</v>
      </c>
      <c r="C71" s="53"/>
      <c r="D71" s="37">
        <f>SUM(D66:D70)</f>
        <v>0</v>
      </c>
      <c r="E71" s="37">
        <f>SUM(E66:E70)</f>
        <v>0</v>
      </c>
      <c r="F71" s="37">
        <f>SUM(F66:F70)</f>
        <v>0</v>
      </c>
      <c r="G71" s="31"/>
    </row>
    <row r="76" spans="2:11" ht="15.75" thickBot="1" x14ac:dyDescent="0.3"/>
    <row r="77" spans="2:11" ht="15.75" thickBot="1" x14ac:dyDescent="0.3">
      <c r="B77" s="51" t="str">
        <f>B16</f>
        <v xml:space="preserve">Advance payments from client </v>
      </c>
      <c r="C77" s="52"/>
      <c r="D77" s="52"/>
      <c r="E77" s="52"/>
      <c r="F77" s="52"/>
      <c r="G77" s="52"/>
      <c r="H77" s="52"/>
      <c r="I77" s="52"/>
      <c r="J77" s="52"/>
      <c r="K77" s="53"/>
    </row>
    <row r="78" spans="2:11" ht="15.75" thickBot="1" x14ac:dyDescent="0.3">
      <c r="B78" s="21" t="s">
        <v>34</v>
      </c>
      <c r="C78" s="21" t="s">
        <v>35</v>
      </c>
      <c r="D78" s="21" t="s">
        <v>32</v>
      </c>
      <c r="E78" s="21" t="s">
        <v>31</v>
      </c>
      <c r="F78" s="22" t="s">
        <v>4</v>
      </c>
      <c r="G78" s="21" t="s">
        <v>33</v>
      </c>
      <c r="H78" s="21" t="s">
        <v>38</v>
      </c>
      <c r="I78" s="21" t="s">
        <v>62</v>
      </c>
      <c r="J78" s="21" t="s">
        <v>36</v>
      </c>
      <c r="K78" s="32" t="s">
        <v>37</v>
      </c>
    </row>
    <row r="79" spans="2:11" x14ac:dyDescent="0.25">
      <c r="B79" s="23">
        <v>1</v>
      </c>
      <c r="G79" s="23">
        <v>0</v>
      </c>
      <c r="H79" s="24">
        <v>0</v>
      </c>
      <c r="I79" s="25">
        <f>H79-G79</f>
        <v>0</v>
      </c>
      <c r="J79" s="43">
        <f>I79-H79</f>
        <v>0</v>
      </c>
      <c r="K79" s="25">
        <f>J79-I79</f>
        <v>0</v>
      </c>
    </row>
    <row r="80" spans="2:11" x14ac:dyDescent="0.25">
      <c r="B80" s="23">
        <v>2</v>
      </c>
      <c r="G80" s="23">
        <v>0</v>
      </c>
      <c r="H80" s="24">
        <v>0</v>
      </c>
      <c r="I80" s="25">
        <f t="shared" ref="I80:K83" si="6">H80-G80</f>
        <v>0</v>
      </c>
      <c r="J80" s="43">
        <f t="shared" si="6"/>
        <v>0</v>
      </c>
      <c r="K80" s="25">
        <f t="shared" si="6"/>
        <v>0</v>
      </c>
    </row>
    <row r="81" spans="2:11" x14ac:dyDescent="0.25">
      <c r="B81" s="23">
        <v>3</v>
      </c>
      <c r="G81" s="23">
        <v>0</v>
      </c>
      <c r="H81" s="24">
        <v>0</v>
      </c>
      <c r="I81" s="25">
        <f t="shared" si="6"/>
        <v>0</v>
      </c>
      <c r="J81" s="43">
        <f t="shared" si="6"/>
        <v>0</v>
      </c>
      <c r="K81" s="25">
        <f t="shared" si="6"/>
        <v>0</v>
      </c>
    </row>
    <row r="82" spans="2:11" x14ac:dyDescent="0.25">
      <c r="B82" s="23">
        <v>4</v>
      </c>
      <c r="G82" s="23">
        <v>0</v>
      </c>
      <c r="H82" s="24">
        <v>0</v>
      </c>
      <c r="I82" s="25">
        <f t="shared" si="6"/>
        <v>0</v>
      </c>
      <c r="J82" s="43">
        <f t="shared" si="6"/>
        <v>0</v>
      </c>
      <c r="K82" s="25">
        <f t="shared" si="6"/>
        <v>0</v>
      </c>
    </row>
    <row r="83" spans="2:11" x14ac:dyDescent="0.25">
      <c r="B83" s="23">
        <v>5</v>
      </c>
      <c r="G83" s="23">
        <v>0</v>
      </c>
      <c r="H83" s="24">
        <v>0</v>
      </c>
      <c r="I83" s="25">
        <f t="shared" si="6"/>
        <v>0</v>
      </c>
      <c r="J83" s="43">
        <f t="shared" si="6"/>
        <v>0</v>
      </c>
      <c r="K83" s="25">
        <f t="shared" si="6"/>
        <v>0</v>
      </c>
    </row>
    <row r="84" spans="2:11" ht="15.75" thickBot="1" x14ac:dyDescent="0.3">
      <c r="B84" s="26"/>
      <c r="C84" s="27"/>
      <c r="D84" s="27"/>
      <c r="E84" s="27"/>
      <c r="F84" s="27"/>
      <c r="G84" s="28">
        <f t="shared" ref="G84:H84" si="7">SUM(G79:G83)</f>
        <v>0</v>
      </c>
      <c r="H84" s="29">
        <f t="shared" si="7"/>
        <v>0</v>
      </c>
      <c r="I84" s="30">
        <f>SUM(I79:I83)</f>
        <v>0</v>
      </c>
      <c r="J84" s="44">
        <f>SUM(J79:J83)</f>
        <v>0</v>
      </c>
      <c r="K84" s="31"/>
    </row>
    <row r="87" spans="2:11" ht="15.75" thickBot="1" x14ac:dyDescent="0.3"/>
    <row r="88" spans="2:11" ht="15.75" thickBot="1" x14ac:dyDescent="0.3">
      <c r="B88" s="39" t="s">
        <v>40</v>
      </c>
    </row>
    <row r="89" spans="2:11" x14ac:dyDescent="0.25">
      <c r="B89" s="45" t="s">
        <v>43</v>
      </c>
      <c r="C89" s="46"/>
      <c r="D89" s="46"/>
      <c r="E89" s="46"/>
      <c r="F89" s="47"/>
    </row>
    <row r="90" spans="2:11" ht="15.75" thickBot="1" x14ac:dyDescent="0.3">
      <c r="B90" s="48"/>
      <c r="C90" s="49"/>
      <c r="D90" s="49"/>
      <c r="E90" s="49"/>
      <c r="F90" s="50"/>
    </row>
  </sheetData>
  <mergeCells count="37">
    <mergeCell ref="B26:K26"/>
    <mergeCell ref="C38:K38"/>
    <mergeCell ref="C39:K39"/>
    <mergeCell ref="B42:K42"/>
    <mergeCell ref="B29:K29"/>
    <mergeCell ref="B30:K30"/>
    <mergeCell ref="C34:K34"/>
    <mergeCell ref="C35:K35"/>
    <mergeCell ref="C36:K36"/>
    <mergeCell ref="C37:K37"/>
    <mergeCell ref="B16:C16"/>
    <mergeCell ref="B20:K20"/>
    <mergeCell ref="B21:K21"/>
    <mergeCell ref="B22:K22"/>
    <mergeCell ref="B23:K23"/>
    <mergeCell ref="C3:L3"/>
    <mergeCell ref="C4:L4"/>
    <mergeCell ref="C5:L5"/>
    <mergeCell ref="B24:K24"/>
    <mergeCell ref="B25:K25"/>
    <mergeCell ref="B8:K8"/>
    <mergeCell ref="B10:C11"/>
    <mergeCell ref="D10:E10"/>
    <mergeCell ref="F10:G10"/>
    <mergeCell ref="H10:I10"/>
    <mergeCell ref="J10:K10"/>
    <mergeCell ref="B12:C12"/>
    <mergeCell ref="B17:C17"/>
    <mergeCell ref="B13:C13"/>
    <mergeCell ref="B14:C14"/>
    <mergeCell ref="B15:C15"/>
    <mergeCell ref="B89:F90"/>
    <mergeCell ref="B77:K77"/>
    <mergeCell ref="B64:G64"/>
    <mergeCell ref="B61:C61"/>
    <mergeCell ref="B71:C71"/>
    <mergeCell ref="B54:F5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other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2025-04-06T11:47:21Z</dcterms:modified>
</cp:coreProperties>
</file>