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\AMS WP\"/>
    </mc:Choice>
  </mc:AlternateContent>
  <xr:revisionPtr revIDLastSave="0" documentId="13_ncr:1_{23A5DFC1-186A-4194-A8E0-E005671E6F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definedNames>
    <definedName name="_xlnm.Print_Area" localSheetId="0">ورقة1!$A$1:$M$27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G32" i="1" s="1"/>
  <c r="G30" i="1"/>
  <c r="H30" i="1"/>
  <c r="I30" i="1"/>
  <c r="J19" i="1"/>
  <c r="K19" i="1"/>
  <c r="H32" i="1" l="1"/>
  <c r="I32" i="1"/>
  <c r="F32" i="1" s="1"/>
  <c r="I19" i="1" l="1"/>
  <c r="L13" i="1" s="1"/>
  <c r="L19" i="1" s="1"/>
  <c r="V13" i="1" l="1"/>
  <c r="V12" i="1"/>
  <c r="X14" i="1"/>
  <c r="X13" i="1"/>
  <c r="V14" i="1"/>
  <c r="X12" i="1"/>
  <c r="X15" i="1" l="1"/>
  <c r="V15" i="1"/>
  <c r="Y15" i="1" l="1"/>
  <c r="I8" i="1" s="1"/>
  <c r="AJ22" i="1" l="1"/>
  <c r="L20" i="1" s="1"/>
  <c r="P19" i="1"/>
  <c r="Q19" i="1"/>
  <c r="L22" i="1"/>
  <c r="L21" i="1"/>
</calcChain>
</file>

<file path=xl/sharedStrings.xml><?xml version="1.0" encoding="utf-8"?>
<sst xmlns="http://schemas.openxmlformats.org/spreadsheetml/2006/main" count="54" uniqueCount="46">
  <si>
    <t>فريق المراجعة</t>
  </si>
  <si>
    <t>الاسم</t>
  </si>
  <si>
    <t>مدير المراجعة</t>
  </si>
  <si>
    <t>المحاسب القانوني</t>
  </si>
  <si>
    <t xml:space="preserve">الساعات التقديرية </t>
  </si>
  <si>
    <t>المجموع</t>
  </si>
  <si>
    <t>ميزان المراجعة و الارصدة الافتتاحية</t>
  </si>
  <si>
    <t>المف الدائم</t>
  </si>
  <si>
    <t>تخطيط المراجعة</t>
  </si>
  <si>
    <t>مراجعة عناصر قائمة المركز المالي</t>
  </si>
  <si>
    <t>مراجعة عناصر قائمة الدخل</t>
  </si>
  <si>
    <t>موافقة  المحاسب القانوني</t>
  </si>
  <si>
    <t xml:space="preserve">تم التأكد من تأهيل فريق المراجعة </t>
  </si>
  <si>
    <t>تم التأكد من استقلالية فريق المراجعة والتوقيع الالكتروني على نموذج الاستقلال</t>
  </si>
  <si>
    <t>الوظيفة</t>
  </si>
  <si>
    <t>محاسب قانوني</t>
  </si>
  <si>
    <t>متناهية الصغر</t>
  </si>
  <si>
    <t>صغيرة</t>
  </si>
  <si>
    <t>متوسطة</t>
  </si>
  <si>
    <t>كبيرة</t>
  </si>
  <si>
    <t>صفرية</t>
  </si>
  <si>
    <t>حجم الإيرادات(مليون)</t>
  </si>
  <si>
    <t>مليون</t>
  </si>
  <si>
    <t>عدد الموظفين</t>
  </si>
  <si>
    <t>موظف</t>
  </si>
  <si>
    <t>لايتم حذف هذا الجزء  ( يستخدم لتحديد لحجم الشركة</t>
  </si>
  <si>
    <t>الرقم الأكبر</t>
  </si>
  <si>
    <t xml:space="preserve">هل القوائم صفرية </t>
  </si>
  <si>
    <t>لا</t>
  </si>
  <si>
    <t xml:space="preserve"> </t>
  </si>
  <si>
    <t>بناء على  دراسة  العميل - تم تقييم العميل ولايوجد ما يمنع من قبولة</t>
  </si>
  <si>
    <t>تم تقدير  ساعات العمل على النحو التالي :</t>
  </si>
  <si>
    <t>تم تشكيل فريق المراجعة كما يلي:</t>
  </si>
  <si>
    <t>مراجعة  الاكتمال والقوائم المالية</t>
  </si>
  <si>
    <t>حجم المؤسسة</t>
  </si>
  <si>
    <t>(نعم)</t>
  </si>
  <si>
    <t>مشرف المراجعة</t>
  </si>
  <si>
    <t>مدير المكتب</t>
  </si>
  <si>
    <t>إسم العميل :</t>
  </si>
  <si>
    <t>الساعات</t>
  </si>
  <si>
    <t>الإجمالي</t>
  </si>
  <si>
    <t xml:space="preserve">شركة عبدالله منصور السبيعي محاسبون و مراجعون قانونيون  </t>
  </si>
  <si>
    <t xml:space="preserve">السنة المنتهية في : 31 ديسمبر 2023م  </t>
  </si>
  <si>
    <t>عبدالله منصور السبيعي</t>
  </si>
  <si>
    <t xml:space="preserve">محمد غانم </t>
  </si>
  <si>
    <t xml:space="preserve">سعد وليد بوعبيد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</si>
</sst>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0" fillId="0" borderId="8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1" xfId="0" applyBorder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0" fillId="2" borderId="21" xfId="0" applyFill="1" applyBorder="1" applyProtection="1">
      <protection hidden="1"/>
    </xf>
    <xf numFmtId="164" fontId="1" fillId="0" borderId="0" xfId="0" applyNumberFormat="1" applyFont="1" applyAlignment="1" applyProtection="1">
      <alignment vertical="center"/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3" fillId="3" borderId="0" xfId="0" applyFont="1" applyFill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4" fillId="0" borderId="0" xfId="0" applyFont="1" applyAlignment="1" applyProtection="1">
      <alignment vertical="center" readingOrder="2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right" vertical="center" readingOrder="2"/>
      <protection hidden="1"/>
    </xf>
    <xf numFmtId="0" fontId="4" fillId="0" borderId="28" xfId="0" applyFont="1" applyBorder="1" applyAlignment="1" applyProtection="1">
      <alignment vertical="center"/>
      <protection locked="0"/>
    </xf>
    <xf numFmtId="0" fontId="4" fillId="0" borderId="26" xfId="0" applyFont="1" applyBorder="1" applyAlignment="1" applyProtection="1">
      <alignment vertical="center"/>
      <protection hidden="1"/>
    </xf>
    <xf numFmtId="0" fontId="4" fillId="0" borderId="29" xfId="0" applyFont="1" applyBorder="1" applyAlignment="1" applyProtection="1">
      <alignment vertical="center"/>
      <protection locked="0"/>
    </xf>
    <xf numFmtId="0" fontId="4" fillId="0" borderId="27" xfId="0" applyFont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7" fillId="0" borderId="0" xfId="0" applyFont="1" applyAlignment="1" applyProtection="1">
      <alignment vertical="center"/>
      <protection hidden="1"/>
    </xf>
    <xf numFmtId="0" fontId="4" fillId="0" borderId="25" xfId="0" applyFont="1" applyBorder="1" applyAlignment="1" applyProtection="1">
      <alignment horizontal="center" vertical="center"/>
      <protection hidden="1"/>
    </xf>
    <xf numFmtId="0" fontId="4" fillId="4" borderId="7" xfId="0" applyFont="1" applyFill="1" applyBorder="1" applyAlignment="1" applyProtection="1">
      <alignment horizontal="center" vertical="center"/>
      <protection locked="0"/>
    </xf>
    <xf numFmtId="165" fontId="4" fillId="4" borderId="7" xfId="1" applyNumberFormat="1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1" fontId="0" fillId="0" borderId="0" xfId="0" applyNumberFormat="1" applyAlignment="1" applyProtection="1">
      <alignment horizontal="center" vertical="center"/>
      <protection hidden="1"/>
    </xf>
    <xf numFmtId="165" fontId="5" fillId="0" borderId="4" xfId="1" applyNumberFormat="1" applyFon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1" fontId="0" fillId="0" borderId="7" xfId="0" applyNumberFormat="1" applyBorder="1" applyAlignment="1" applyProtection="1">
      <alignment horizontal="center" vertical="center"/>
      <protection hidden="1"/>
    </xf>
    <xf numFmtId="165" fontId="4" fillId="0" borderId="30" xfId="1" applyNumberFormat="1" applyFont="1" applyBorder="1" applyAlignment="1" applyProtection="1">
      <alignment horizontal="center" vertical="center"/>
      <protection locked="0"/>
    </xf>
    <xf numFmtId="165" fontId="4" fillId="0" borderId="6" xfId="1" applyNumberFormat="1" applyFont="1" applyBorder="1" applyAlignment="1" applyProtection="1">
      <alignment horizontal="center" vertical="center"/>
      <protection locked="0"/>
    </xf>
    <xf numFmtId="165" fontId="4" fillId="0" borderId="9" xfId="1" applyNumberFormat="1" applyFont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" fontId="0" fillId="0" borderId="18" xfId="0" applyNumberFormat="1" applyBorder="1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165" fontId="4" fillId="0" borderId="32" xfId="1" applyNumberFormat="1" applyFont="1" applyBorder="1" applyAlignment="1" applyProtection="1">
      <alignment horizontal="center" vertical="center"/>
      <protection locked="0"/>
    </xf>
    <xf numFmtId="165" fontId="4" fillId="0" borderId="13" xfId="1" applyNumberFormat="1" applyFont="1" applyBorder="1" applyAlignment="1" applyProtection="1">
      <alignment horizontal="center" vertical="center"/>
      <protection locked="0"/>
    </xf>
    <xf numFmtId="165" fontId="4" fillId="0" borderId="14" xfId="1" applyNumberFormat="1" applyFont="1" applyBorder="1" applyAlignment="1" applyProtection="1">
      <alignment horizontal="center" vertical="center"/>
      <protection locked="0"/>
    </xf>
    <xf numFmtId="165" fontId="4" fillId="0" borderId="31" xfId="1" applyNumberFormat="1" applyFont="1" applyBorder="1" applyAlignment="1" applyProtection="1">
      <alignment horizontal="center" vertical="center"/>
      <protection hidden="1"/>
    </xf>
    <xf numFmtId="165" fontId="4" fillId="0" borderId="15" xfId="1" applyNumberFormat="1" applyFont="1" applyBorder="1" applyAlignment="1" applyProtection="1">
      <alignment horizontal="center" vertical="center"/>
      <protection hidden="1"/>
    </xf>
    <xf numFmtId="165" fontId="4" fillId="0" borderId="16" xfId="1" applyNumberFormat="1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right" vertical="center"/>
      <protection hidden="1"/>
    </xf>
    <xf numFmtId="0" fontId="4" fillId="0" borderId="10" xfId="0" applyFont="1" applyBorder="1" applyAlignment="1" applyProtection="1">
      <alignment horizontal="right" vertical="center"/>
      <protection hidden="1"/>
    </xf>
    <xf numFmtId="0" fontId="4" fillId="0" borderId="26" xfId="0" applyFont="1" applyBorder="1" applyAlignment="1" applyProtection="1">
      <alignment horizontal="right" vertical="center"/>
      <protection hidden="1"/>
    </xf>
    <xf numFmtId="165" fontId="4" fillId="0" borderId="5" xfId="1" applyNumberFormat="1" applyFont="1" applyBorder="1" applyAlignment="1" applyProtection="1">
      <alignment horizontal="center" vertical="center" readingOrder="2"/>
      <protection locked="0"/>
    </xf>
    <xf numFmtId="165" fontId="4" fillId="0" borderId="7" xfId="1" applyNumberFormat="1" applyFont="1" applyBorder="1" applyAlignment="1" applyProtection="1">
      <alignment horizontal="center" vertical="center" readingOrder="2"/>
      <protection locked="0"/>
    </xf>
    <xf numFmtId="165" fontId="4" fillId="0" borderId="7" xfId="1" applyNumberFormat="1" applyFont="1" applyBorder="1" applyAlignment="1" applyProtection="1">
      <alignment horizontal="center" vertical="center"/>
      <protection locked="0"/>
    </xf>
    <xf numFmtId="165" fontId="4" fillId="0" borderId="33" xfId="1" applyNumberFormat="1" applyFont="1" applyBorder="1" applyAlignment="1" applyProtection="1">
      <alignment horizontal="center" vertical="center"/>
      <protection locked="0"/>
    </xf>
    <xf numFmtId="165" fontId="4" fillId="0" borderId="5" xfId="1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/>
      <protection hidden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4"/>
  <sheetViews>
    <sheetView rightToLeft="1" tabSelected="1" view="pageBreakPreview" topLeftCell="A7" zoomScale="90" zoomScaleNormal="90" zoomScaleSheetLayoutView="90" workbookViewId="0">
      <selection activeCell="E22" sqref="E22"/>
    </sheetView>
  </sheetViews>
  <sheetFormatPr defaultColWidth="8.75" defaultRowHeight="15" x14ac:dyDescent="0.25"/>
  <cols>
    <col min="1" max="1" width="8.625" style="1" customWidth="1"/>
    <col min="2" max="2" width="25.125" style="1" customWidth="1"/>
    <col min="3" max="3" width="12.125" style="1" bestFit="1" customWidth="1"/>
    <col min="4" max="4" width="11.125" style="1" customWidth="1"/>
    <col min="5" max="5" width="11.5" style="1" customWidth="1"/>
    <col min="6" max="6" width="9.25" style="1" customWidth="1"/>
    <col min="7" max="7" width="10.125" style="1" customWidth="1"/>
    <col min="8" max="8" width="9.5" style="1" customWidth="1"/>
    <col min="9" max="9" width="13.75" style="1" customWidth="1"/>
    <col min="10" max="10" width="11.875" style="1" customWidth="1"/>
    <col min="11" max="11" width="14.875" style="1" bestFit="1" customWidth="1"/>
    <col min="12" max="14" width="8.75" style="1"/>
    <col min="15" max="15" width="11.5" style="1" bestFit="1" customWidth="1"/>
    <col min="16" max="33" width="8.75" style="1" customWidth="1"/>
    <col min="34" max="39" width="8.75" style="3" customWidth="1"/>
    <col min="40" max="16384" width="8.75" style="1"/>
  </cols>
  <sheetData>
    <row r="1" spans="1:39" ht="15.75" x14ac:dyDescent="0.25">
      <c r="A1" s="71" t="s">
        <v>41</v>
      </c>
      <c r="B1" s="71"/>
      <c r="C1" s="71"/>
      <c r="D1" s="7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9" ht="15.75" x14ac:dyDescent="0.25">
      <c r="A2" s="20" t="s">
        <v>38</v>
      </c>
      <c r="B2" s="71"/>
      <c r="C2" s="71"/>
      <c r="D2" s="7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9" ht="15.75" x14ac:dyDescent="0.25">
      <c r="A3" s="71" t="s">
        <v>42</v>
      </c>
      <c r="B3" s="71"/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9" ht="15.75" x14ac:dyDescent="0.25">
      <c r="A4" s="19" t="s">
        <v>29</v>
      </c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39" ht="15.75" x14ac:dyDescent="0.25">
      <c r="A5" s="19"/>
      <c r="B5" s="21"/>
      <c r="C5" s="22"/>
      <c r="D5" s="22"/>
      <c r="E5" s="22"/>
      <c r="F5" s="22"/>
      <c r="G5" s="22" t="s">
        <v>27</v>
      </c>
      <c r="H5" s="22"/>
      <c r="I5" s="39" t="s">
        <v>28</v>
      </c>
      <c r="J5" s="22"/>
      <c r="K5" s="22"/>
      <c r="L5" s="2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39" ht="15.75" x14ac:dyDescent="0.25">
      <c r="A6" s="22" t="s">
        <v>35</v>
      </c>
      <c r="B6" s="22" t="s">
        <v>30</v>
      </c>
      <c r="C6" s="22"/>
      <c r="D6" s="22"/>
      <c r="E6" s="22"/>
      <c r="F6" s="22"/>
      <c r="G6" s="23" t="s">
        <v>21</v>
      </c>
      <c r="H6" s="20"/>
      <c r="I6" s="37">
        <v>4</v>
      </c>
      <c r="J6" s="23" t="s">
        <v>22</v>
      </c>
      <c r="K6" s="22"/>
      <c r="L6" s="2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39" ht="15.75" x14ac:dyDescent="0.25">
      <c r="A7" s="22"/>
      <c r="B7" s="22"/>
      <c r="C7" s="22"/>
      <c r="D7" s="22"/>
      <c r="E7" s="22"/>
      <c r="F7" s="22"/>
      <c r="G7" s="23" t="s">
        <v>23</v>
      </c>
      <c r="H7" s="19"/>
      <c r="I7" s="36">
        <v>12</v>
      </c>
      <c r="J7" s="23" t="s">
        <v>24</v>
      </c>
      <c r="K7" s="22"/>
      <c r="L7" s="2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39" ht="15.75" x14ac:dyDescent="0.25">
      <c r="A8" s="19"/>
      <c r="B8" s="19"/>
      <c r="C8" s="19"/>
      <c r="D8" s="19"/>
      <c r="E8" s="22"/>
      <c r="F8" s="22"/>
      <c r="G8" s="24" t="s">
        <v>34</v>
      </c>
      <c r="H8" s="19"/>
      <c r="I8" s="38" t="str">
        <f>VLOOKUP(Y15,V17:W20,2,0)</f>
        <v>صغيرة</v>
      </c>
      <c r="J8" s="22"/>
      <c r="K8" s="22"/>
      <c r="L8" s="2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39" ht="15.75" x14ac:dyDescent="0.25">
      <c r="A9" s="19"/>
      <c r="B9" s="19"/>
      <c r="C9" s="22"/>
      <c r="D9" s="22"/>
      <c r="E9" s="22"/>
      <c r="F9" s="22"/>
      <c r="G9" s="22"/>
      <c r="H9" s="22"/>
      <c r="I9" s="22"/>
      <c r="J9" s="22"/>
      <c r="K9" s="22"/>
      <c r="L9" s="22"/>
      <c r="M9" s="2"/>
      <c r="P9" s="2"/>
      <c r="Q9" s="2"/>
      <c r="R9" s="2"/>
      <c r="S9" s="2"/>
      <c r="T9" s="2"/>
      <c r="U9" s="4" t="s">
        <v>25</v>
      </c>
      <c r="V9" s="5"/>
      <c r="W9" s="5"/>
      <c r="X9" s="5"/>
      <c r="Y9" s="6"/>
      <c r="Z9" s="2"/>
      <c r="AA9" s="2"/>
      <c r="AB9" s="2"/>
      <c r="AC9" s="2"/>
    </row>
    <row r="10" spans="1:39" ht="16.5" thickBot="1" x14ac:dyDescent="0.3">
      <c r="A10" s="22"/>
      <c r="B10" s="22" t="s">
        <v>32</v>
      </c>
      <c r="C10" s="19"/>
      <c r="D10" s="19"/>
      <c r="E10" s="22"/>
      <c r="F10" s="22" t="s">
        <v>31</v>
      </c>
      <c r="G10" s="22"/>
      <c r="H10" s="22"/>
      <c r="I10" s="22"/>
      <c r="J10" s="22"/>
      <c r="K10" s="22"/>
      <c r="L10" s="22"/>
      <c r="M10" s="2"/>
      <c r="P10" s="2"/>
      <c r="Q10" s="2"/>
      <c r="R10" s="2"/>
      <c r="S10" s="2"/>
      <c r="T10" s="2"/>
      <c r="U10" s="7"/>
      <c r="V10" s="8"/>
      <c r="W10" s="8"/>
      <c r="X10" s="8"/>
      <c r="Y10" s="9"/>
      <c r="Z10" s="2"/>
      <c r="AA10" s="2"/>
      <c r="AB10" s="2"/>
      <c r="AC10" s="2"/>
    </row>
    <row r="11" spans="1:39" ht="16.5" thickBot="1" x14ac:dyDescent="0.3">
      <c r="A11" s="22"/>
      <c r="B11" s="23" t="s">
        <v>0</v>
      </c>
      <c r="C11" s="25"/>
      <c r="D11" s="19"/>
      <c r="E11" s="22"/>
      <c r="F11" s="22"/>
      <c r="G11" s="22"/>
      <c r="H11" s="22"/>
      <c r="I11" s="54" t="s">
        <v>4</v>
      </c>
      <c r="J11" s="55"/>
      <c r="K11" s="55"/>
      <c r="L11" s="56"/>
      <c r="M11" s="2"/>
      <c r="P11" s="2"/>
      <c r="Q11" s="2"/>
      <c r="R11" s="2"/>
      <c r="S11" s="2"/>
      <c r="T11" s="2"/>
      <c r="U11" s="10"/>
      <c r="V11" s="1">
        <v>0</v>
      </c>
      <c r="X11" s="1">
        <v>0</v>
      </c>
      <c r="Y11" s="11"/>
      <c r="Z11" s="2"/>
      <c r="AA11" s="2"/>
      <c r="AB11" s="2"/>
      <c r="AC11" s="2"/>
    </row>
    <row r="12" spans="1:39" ht="21.6" customHeight="1" thickBot="1" x14ac:dyDescent="0.3">
      <c r="A12" s="22"/>
      <c r="B12" s="26" t="s">
        <v>1</v>
      </c>
      <c r="C12" s="35" t="s">
        <v>14</v>
      </c>
      <c r="D12" s="22"/>
      <c r="E12" s="22"/>
      <c r="F12" s="22"/>
      <c r="G12" s="22"/>
      <c r="H12" s="22"/>
      <c r="I12" s="27" t="s">
        <v>0</v>
      </c>
      <c r="J12" s="28" t="s">
        <v>2</v>
      </c>
      <c r="K12" s="27" t="s">
        <v>3</v>
      </c>
      <c r="L12" s="27" t="s">
        <v>5</v>
      </c>
      <c r="M12" s="2"/>
      <c r="P12" s="2"/>
      <c r="Q12" s="2"/>
      <c r="R12" s="2"/>
      <c r="S12" s="2"/>
      <c r="T12" s="2"/>
      <c r="U12" s="10"/>
      <c r="V12" s="1">
        <f>IF($I$7&gt;W12,1,0)</f>
        <v>1</v>
      </c>
      <c r="W12" s="1">
        <v>5</v>
      </c>
      <c r="X12" s="1">
        <f>IF($I$6&gt;Y12,1,0)</f>
        <v>1</v>
      </c>
      <c r="Y12" s="11">
        <v>3</v>
      </c>
      <c r="Z12" s="2"/>
      <c r="AA12" s="2"/>
      <c r="AB12" s="2"/>
      <c r="AC12" s="2"/>
    </row>
    <row r="13" spans="1:39" ht="15.75" x14ac:dyDescent="0.25">
      <c r="A13" s="25">
        <v>1</v>
      </c>
      <c r="B13" s="29" t="s">
        <v>43</v>
      </c>
      <c r="C13" s="30" t="s">
        <v>15</v>
      </c>
      <c r="D13" s="22"/>
      <c r="E13" s="22"/>
      <c r="F13" s="63" t="s">
        <v>6</v>
      </c>
      <c r="G13" s="64"/>
      <c r="H13" s="65"/>
      <c r="I13" s="47">
        <v>0</v>
      </c>
      <c r="J13" s="66">
        <v>0</v>
      </c>
      <c r="K13" s="57">
        <v>0</v>
      </c>
      <c r="L13" s="60">
        <f>+I19+J19+K19</f>
        <v>0</v>
      </c>
      <c r="M13" s="2"/>
      <c r="P13" s="2"/>
      <c r="Q13" s="2"/>
      <c r="R13" s="2"/>
      <c r="S13" s="2"/>
      <c r="T13" s="2"/>
      <c r="U13" s="10"/>
      <c r="V13" s="1">
        <f>IF($I$7&gt;W13,2,0)</f>
        <v>0</v>
      </c>
      <c r="W13" s="1">
        <v>49</v>
      </c>
      <c r="X13" s="1">
        <f>IF($I$6&gt;Y13,2,0)</f>
        <v>0</v>
      </c>
      <c r="Y13" s="11">
        <v>40</v>
      </c>
      <c r="Z13" s="2"/>
      <c r="AA13" s="2"/>
      <c r="AB13" s="2"/>
      <c r="AC13" s="2"/>
      <c r="AJ13" s="12"/>
      <c r="AK13" s="12"/>
      <c r="AL13" s="12"/>
      <c r="AM13" s="12"/>
    </row>
    <row r="14" spans="1:39" ht="15.75" x14ac:dyDescent="0.25">
      <c r="A14" s="25">
        <v>2</v>
      </c>
      <c r="B14" s="29" t="s">
        <v>44</v>
      </c>
      <c r="C14" s="30" t="s">
        <v>37</v>
      </c>
      <c r="D14" s="22"/>
      <c r="E14" s="19"/>
      <c r="F14" s="63" t="s">
        <v>7</v>
      </c>
      <c r="G14" s="64"/>
      <c r="H14" s="65"/>
      <c r="I14" s="48">
        <v>0</v>
      </c>
      <c r="J14" s="67"/>
      <c r="K14" s="58"/>
      <c r="L14" s="61"/>
      <c r="M14" s="2"/>
      <c r="N14" s="2"/>
      <c r="O14" s="2"/>
      <c r="P14" s="2"/>
      <c r="Q14" s="2"/>
      <c r="R14" s="2"/>
      <c r="S14" s="2"/>
      <c r="T14" s="2"/>
      <c r="U14" s="10"/>
      <c r="V14" s="1">
        <f>IF($I$7&gt;W14,3,0)</f>
        <v>0</v>
      </c>
      <c r="W14" s="1">
        <v>249</v>
      </c>
      <c r="X14" s="1">
        <f>IF($I$6&gt;Y14,3,0)</f>
        <v>0</v>
      </c>
      <c r="Y14" s="11">
        <v>200</v>
      </c>
      <c r="Z14" s="2"/>
      <c r="AA14" s="2"/>
      <c r="AB14" s="2"/>
      <c r="AC14" s="2"/>
      <c r="AJ14" s="12"/>
      <c r="AK14" s="12"/>
      <c r="AL14" s="12"/>
      <c r="AM14" s="12"/>
    </row>
    <row r="15" spans="1:39" ht="16.5" thickBot="1" x14ac:dyDescent="0.3">
      <c r="A15" s="25">
        <v>3</v>
      </c>
      <c r="B15" s="31" t="s">
        <v>45</v>
      </c>
      <c r="C15" s="32" t="s">
        <v>36</v>
      </c>
      <c r="D15" s="22"/>
      <c r="E15" s="19"/>
      <c r="F15" s="63" t="s">
        <v>8</v>
      </c>
      <c r="G15" s="64"/>
      <c r="H15" s="65"/>
      <c r="I15" s="48">
        <v>0</v>
      </c>
      <c r="J15" s="69">
        <v>0</v>
      </c>
      <c r="K15" s="58"/>
      <c r="L15" s="61"/>
      <c r="M15" s="2"/>
      <c r="N15" s="2"/>
      <c r="O15" s="2"/>
      <c r="P15" s="2"/>
      <c r="Q15" s="2"/>
      <c r="R15" s="2"/>
      <c r="S15" s="2"/>
      <c r="T15" s="2"/>
      <c r="U15" s="1" t="s">
        <v>26</v>
      </c>
      <c r="V15" s="3">
        <f>MAX(V11:V14)</f>
        <v>1</v>
      </c>
      <c r="X15" s="3">
        <f>MAX(X11:X14)</f>
        <v>1</v>
      </c>
      <c r="Y15" s="13">
        <f>MAX(V15:X15)</f>
        <v>1</v>
      </c>
      <c r="Z15" s="2"/>
      <c r="AA15" s="2"/>
      <c r="AB15" s="2"/>
      <c r="AC15" s="2"/>
      <c r="AJ15" s="12"/>
      <c r="AK15" s="12"/>
      <c r="AL15" s="12"/>
      <c r="AM15" s="12"/>
    </row>
    <row r="16" spans="1:39" ht="15.75" x14ac:dyDescent="0.25">
      <c r="A16" s="25"/>
      <c r="B16" s="50"/>
      <c r="C16" s="22"/>
      <c r="D16" s="22"/>
      <c r="E16" s="19"/>
      <c r="F16" s="63" t="s">
        <v>9</v>
      </c>
      <c r="G16" s="64"/>
      <c r="H16" s="65"/>
      <c r="I16" s="48">
        <v>0</v>
      </c>
      <c r="J16" s="70"/>
      <c r="K16" s="58"/>
      <c r="L16" s="61"/>
      <c r="M16" s="2"/>
      <c r="N16" s="2"/>
      <c r="O16" s="2"/>
      <c r="P16" s="2"/>
      <c r="Q16" s="2"/>
      <c r="R16" s="2"/>
      <c r="S16" s="2"/>
      <c r="T16" s="2"/>
      <c r="U16" s="10"/>
      <c r="Y16" s="11"/>
      <c r="Z16" s="2"/>
      <c r="AA16" s="2"/>
      <c r="AB16" s="2"/>
      <c r="AC16" s="2"/>
      <c r="AJ16" s="12" t="s">
        <v>20</v>
      </c>
      <c r="AK16" s="12">
        <v>0</v>
      </c>
      <c r="AL16" s="12"/>
      <c r="AM16" s="12"/>
    </row>
    <row r="17" spans="1:39" ht="15.75" x14ac:dyDescent="0.25">
      <c r="A17" s="25"/>
      <c r="B17" s="51"/>
      <c r="C17" s="22"/>
      <c r="D17" s="22"/>
      <c r="E17" s="22"/>
      <c r="F17" s="63" t="s">
        <v>10</v>
      </c>
      <c r="G17" s="64"/>
      <c r="H17" s="65"/>
      <c r="I17" s="48">
        <v>0</v>
      </c>
      <c r="J17" s="68">
        <v>0</v>
      </c>
      <c r="K17" s="58"/>
      <c r="L17" s="61"/>
      <c r="M17" s="2"/>
      <c r="N17" s="2"/>
      <c r="O17" s="2"/>
      <c r="P17" s="2"/>
      <c r="Q17" s="2"/>
      <c r="R17" s="2"/>
      <c r="S17" s="2"/>
      <c r="T17" s="2"/>
      <c r="U17" s="10"/>
      <c r="V17" s="1">
        <v>0</v>
      </c>
      <c r="W17" s="1" t="s">
        <v>16</v>
      </c>
      <c r="Y17" s="11"/>
      <c r="Z17" s="2"/>
      <c r="AA17" s="2"/>
      <c r="AB17" s="2"/>
      <c r="AC17" s="2"/>
      <c r="AJ17" s="12" t="s">
        <v>16</v>
      </c>
      <c r="AK17" s="12">
        <v>30</v>
      </c>
      <c r="AL17" s="12"/>
      <c r="AM17" s="12"/>
    </row>
    <row r="18" spans="1:39" ht="16.5" thickBot="1" x14ac:dyDescent="0.3">
      <c r="A18" s="25"/>
      <c r="B18" s="51"/>
      <c r="C18" s="22"/>
      <c r="D18" s="22"/>
      <c r="E18" s="22"/>
      <c r="F18" s="63" t="s">
        <v>33</v>
      </c>
      <c r="G18" s="64"/>
      <c r="H18" s="65"/>
      <c r="I18" s="49">
        <v>0</v>
      </c>
      <c r="J18" s="68"/>
      <c r="K18" s="59"/>
      <c r="L18" s="62"/>
      <c r="M18" s="2"/>
      <c r="N18" s="2"/>
      <c r="O18" s="2"/>
      <c r="P18" s="2"/>
      <c r="Q18" s="2"/>
      <c r="R18" s="2"/>
      <c r="S18" s="2"/>
      <c r="T18" s="2"/>
      <c r="U18" s="10"/>
      <c r="V18" s="1">
        <v>1</v>
      </c>
      <c r="W18" s="1" t="s">
        <v>17</v>
      </c>
      <c r="Y18" s="11"/>
      <c r="Z18" s="2"/>
      <c r="AA18" s="2"/>
      <c r="AB18" s="2"/>
      <c r="AC18" s="2"/>
      <c r="AJ18" s="12" t="s">
        <v>17</v>
      </c>
      <c r="AK18" s="12">
        <v>40</v>
      </c>
      <c r="AL18" s="12"/>
      <c r="AM18" s="12"/>
    </row>
    <row r="19" spans="1:39" ht="23.45" customHeight="1" thickBot="1" x14ac:dyDescent="0.3">
      <c r="A19" s="19"/>
      <c r="B19" s="19"/>
      <c r="C19" s="22"/>
      <c r="D19" s="22"/>
      <c r="E19" s="22"/>
      <c r="F19" s="22"/>
      <c r="G19" s="22"/>
      <c r="H19" s="22"/>
      <c r="I19" s="43">
        <f>SUM(I13:I18)</f>
        <v>0</v>
      </c>
      <c r="J19" s="43">
        <f>SUM(J13:J18)</f>
        <v>0</v>
      </c>
      <c r="K19" s="43">
        <f>SUM(K13:K18)</f>
        <v>0</v>
      </c>
      <c r="L19" s="43">
        <f>SUM(L13:L18)</f>
        <v>0</v>
      </c>
      <c r="M19" s="2"/>
      <c r="N19" s="2"/>
      <c r="O19" s="2"/>
      <c r="P19" s="14" t="e">
        <f>+K19/L19</f>
        <v>#DIV/0!</v>
      </c>
      <c r="Q19" s="14" t="e">
        <f>+J19/L19</f>
        <v>#DIV/0!</v>
      </c>
      <c r="R19" s="2"/>
      <c r="S19" s="2"/>
      <c r="T19" s="2"/>
      <c r="U19" s="10"/>
      <c r="V19" s="1">
        <v>2</v>
      </c>
      <c r="W19" s="1" t="s">
        <v>18</v>
      </c>
      <c r="Y19" s="11"/>
      <c r="Z19" s="2"/>
      <c r="AA19" s="2"/>
      <c r="AB19" s="2"/>
      <c r="AC19" s="2"/>
      <c r="AJ19" s="12" t="s">
        <v>18</v>
      </c>
      <c r="AK19" s="12">
        <v>50</v>
      </c>
      <c r="AL19" s="12"/>
      <c r="AM19" s="12"/>
    </row>
    <row r="20" spans="1:39" ht="15.75" hidden="1" x14ac:dyDescent="0.25">
      <c r="A20" s="19"/>
      <c r="B20" s="19"/>
      <c r="C20" s="22"/>
      <c r="D20" s="22"/>
      <c r="E20" s="22"/>
      <c r="F20" s="22"/>
      <c r="G20" s="22"/>
      <c r="H20" s="22"/>
      <c r="I20" s="19"/>
      <c r="J20" s="19"/>
      <c r="K20" s="19"/>
      <c r="L20" s="33" t="str">
        <f>IF(L19&lt;AJ22,"خطأ الوقت التقديري اقل من الحد الأدنى المعتمد","")</f>
        <v>خطأ الوقت التقديري اقل من الحد الأدنى المعتمد</v>
      </c>
      <c r="M20" s="2"/>
      <c r="N20" s="2"/>
      <c r="O20" s="2"/>
      <c r="P20" s="2"/>
      <c r="Q20" s="2"/>
      <c r="R20" s="2"/>
      <c r="S20" s="2"/>
      <c r="T20" s="2"/>
      <c r="U20" s="10"/>
      <c r="V20" s="1">
        <v>3</v>
      </c>
      <c r="W20" s="1" t="s">
        <v>19</v>
      </c>
      <c r="Y20" s="11"/>
      <c r="Z20" s="2"/>
      <c r="AA20" s="2"/>
      <c r="AB20" s="2"/>
      <c r="AC20" s="2"/>
      <c r="AJ20" s="12" t="s">
        <v>19</v>
      </c>
      <c r="AK20" s="12">
        <v>70</v>
      </c>
      <c r="AL20" s="12"/>
      <c r="AM20" s="12"/>
    </row>
    <row r="21" spans="1:39" ht="15.75" x14ac:dyDescent="0.25">
      <c r="A21" s="22" t="s">
        <v>35</v>
      </c>
      <c r="B21" s="19" t="s">
        <v>12</v>
      </c>
      <c r="C21" s="22"/>
      <c r="D21" s="22"/>
      <c r="E21" s="22"/>
      <c r="F21" s="22"/>
      <c r="G21" s="22"/>
      <c r="H21" s="22"/>
      <c r="I21" s="19"/>
      <c r="J21" s="19"/>
      <c r="K21" s="19"/>
      <c r="L21" s="33" t="e">
        <f>IF((K19/L19)&lt;0.05,"خطأ -وقت المحاسب القانوني اقل من الوقت المسوح به","")</f>
        <v>#DIV/0!</v>
      </c>
      <c r="M21" s="2"/>
      <c r="N21" s="2"/>
      <c r="O21" s="2"/>
      <c r="P21" s="2"/>
      <c r="Q21" s="2"/>
      <c r="R21" s="2"/>
      <c r="S21" s="2"/>
      <c r="T21" s="2"/>
      <c r="U21" s="15"/>
      <c r="V21" s="16"/>
      <c r="W21" s="16"/>
      <c r="X21" s="16"/>
      <c r="Y21" s="17"/>
      <c r="Z21" s="2"/>
      <c r="AA21" s="2"/>
      <c r="AB21" s="2"/>
      <c r="AC21" s="2"/>
      <c r="AJ21" s="12"/>
      <c r="AK21" s="12"/>
      <c r="AL21" s="12"/>
      <c r="AM21" s="12"/>
    </row>
    <row r="22" spans="1:39" ht="15.75" x14ac:dyDescent="0.25">
      <c r="A22" s="22" t="s">
        <v>35</v>
      </c>
      <c r="B22" s="22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34" t="e">
        <f>IF((J19/L19)&lt;0.15,"خطأ -وقت مشرف المراجعة اقل من الوقت المسوح به","")</f>
        <v>#DIV/0!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J22" s="18">
        <f>IF(I5="نعم",10,VLOOKUP(I8,AJ16:AK20,2,0))</f>
        <v>40</v>
      </c>
      <c r="AK22" s="12"/>
      <c r="AL22" s="12"/>
      <c r="AM22" s="12"/>
    </row>
    <row r="23" spans="1:39" ht="15.75" x14ac:dyDescent="0.25">
      <c r="A23" s="25"/>
      <c r="B23" s="19"/>
      <c r="C23" s="22"/>
      <c r="D23" s="22"/>
      <c r="E23" s="2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J23" s="12"/>
      <c r="AK23" s="12"/>
      <c r="AL23" s="12"/>
      <c r="AM23" s="12"/>
    </row>
    <row r="24" spans="1:39" ht="15.75" x14ac:dyDescent="0.25">
      <c r="A24" s="22"/>
      <c r="B24" s="19"/>
      <c r="C24" s="22"/>
      <c r="D24" s="22"/>
      <c r="E24" s="2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J24" s="12"/>
      <c r="AK24" s="12"/>
      <c r="AL24" s="12"/>
      <c r="AM24" s="12"/>
    </row>
    <row r="25" spans="1:39" ht="15.75" x14ac:dyDescent="0.25">
      <c r="A25" s="19"/>
      <c r="B25" s="19"/>
      <c r="C25" s="22"/>
      <c r="D25" s="22"/>
      <c r="E25" s="22"/>
      <c r="F25" s="53" t="s">
        <v>11</v>
      </c>
      <c r="G25" s="53"/>
      <c r="H25" s="53"/>
      <c r="I25" s="53"/>
      <c r="J25" s="53"/>
      <c r="K25" s="53"/>
      <c r="L25" s="5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J25" s="12"/>
      <c r="AK25" s="12"/>
      <c r="AL25" s="12"/>
      <c r="AM25" s="12"/>
    </row>
    <row r="26" spans="1:39" ht="15.75" x14ac:dyDescent="0.25">
      <c r="A26" s="19"/>
      <c r="B26" s="22"/>
      <c r="C26" s="22"/>
      <c r="D26" s="22"/>
      <c r="E26" s="22"/>
      <c r="F26" s="53" t="s">
        <v>43</v>
      </c>
      <c r="G26" s="53"/>
      <c r="H26" s="53"/>
      <c r="I26" s="53"/>
      <c r="J26" s="53"/>
      <c r="K26" s="53"/>
      <c r="L26" s="5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39" ht="15.75" x14ac:dyDescent="0.25">
      <c r="A27" s="22"/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30" spans="1:39" x14ac:dyDescent="0.25">
      <c r="F30" s="44" t="s">
        <v>40</v>
      </c>
      <c r="G30" s="44" t="str">
        <f>I12</f>
        <v>فريق المراجعة</v>
      </c>
      <c r="H30" s="44" t="str">
        <f>J12</f>
        <v>مدير المراجعة</v>
      </c>
      <c r="I30" s="44" t="str">
        <f>K12</f>
        <v>المحاسب القانوني</v>
      </c>
      <c r="J30" s="44" t="s">
        <v>39</v>
      </c>
      <c r="M30" s="40"/>
      <c r="N30" s="41"/>
    </row>
    <row r="31" spans="1:39" x14ac:dyDescent="0.25">
      <c r="F31" s="45"/>
      <c r="G31" s="45"/>
      <c r="H31" s="45"/>
      <c r="I31" s="45"/>
      <c r="J31" s="45"/>
      <c r="M31" s="40"/>
      <c r="N31" s="41"/>
    </row>
    <row r="32" spans="1:39" x14ac:dyDescent="0.25">
      <c r="F32" s="46">
        <f>SUM(G32:I32)</f>
        <v>27.142857142857146</v>
      </c>
      <c r="G32" s="46">
        <f>J32*70%</f>
        <v>20</v>
      </c>
      <c r="H32" s="46">
        <f>J32*20%</f>
        <v>5.7142857142857153</v>
      </c>
      <c r="I32" s="46">
        <f>J32*5%</f>
        <v>1.4285714285714288</v>
      </c>
      <c r="J32" s="46">
        <f>20000/700</f>
        <v>28.571428571428573</v>
      </c>
      <c r="M32" s="42"/>
      <c r="N32" s="41"/>
    </row>
    <row r="33" spans="6:14" x14ac:dyDescent="0.25">
      <c r="F33" s="52">
        <v>27.142857142857146</v>
      </c>
      <c r="G33" s="52">
        <v>20</v>
      </c>
      <c r="H33" s="52">
        <v>5.7142857142857153</v>
      </c>
      <c r="I33" s="52">
        <v>1.4285714285714288</v>
      </c>
      <c r="J33" s="52">
        <v>28.571428571428573</v>
      </c>
      <c r="M33" s="40"/>
      <c r="N33" s="41"/>
    </row>
    <row r="34" spans="6:14" x14ac:dyDescent="0.25">
      <c r="M34" s="40"/>
      <c r="N34" s="41"/>
    </row>
  </sheetData>
  <sheetProtection formatCells="0" formatColumns="0" formatRows="0" insertColumns="0" insertRows="0" insertHyperlinks="0" deleteColumns="0" deleteRows="0" sort="0" autoFilter="0" pivotTables="0"/>
  <mergeCells count="17">
    <mergeCell ref="A1:D1"/>
    <mergeCell ref="A3:D3"/>
    <mergeCell ref="B2:D2"/>
    <mergeCell ref="F13:H13"/>
    <mergeCell ref="F14:H14"/>
    <mergeCell ref="F25:L25"/>
    <mergeCell ref="F26:L26"/>
    <mergeCell ref="I11:L11"/>
    <mergeCell ref="K13:K18"/>
    <mergeCell ref="L13:L18"/>
    <mergeCell ref="F15:H15"/>
    <mergeCell ref="F16:H16"/>
    <mergeCell ref="F17:H17"/>
    <mergeCell ref="F18:H18"/>
    <mergeCell ref="J13:J14"/>
    <mergeCell ref="J17:J18"/>
    <mergeCell ref="J15:J16"/>
  </mergeCells>
  <dataValidations disablePrompts="1" count="1">
    <dataValidation type="list" allowBlank="1" showInputMessage="1" showErrorMessage="1" sqref="I5" xr:uid="{00000000-0002-0000-0000-000000000000}">
      <formula1>"نعم, لا"</formula1>
    </dataValidation>
  </dataValidation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Al-Mozaini</dc:creator>
  <cp:lastModifiedBy>DELL</cp:lastModifiedBy>
  <cp:lastPrinted>2019-04-23T05:31:59Z</cp:lastPrinted>
  <dcterms:created xsi:type="dcterms:W3CDTF">2019-04-11T06:09:30Z</dcterms:created>
  <dcterms:modified xsi:type="dcterms:W3CDTF">2025-01-01T10:40:40Z</dcterms:modified>
</cp:coreProperties>
</file>