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متطلبات المراجعة\WP\"/>
    </mc:Choice>
  </mc:AlternateContent>
  <xr:revisionPtr revIDLastSave="0" documentId="13_ncr:1_{4C1881C3-523D-4477-9583-81D9C9DC6F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DE WP" sheetId="1" r:id="rId1"/>
    <sheet name="ورقة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4" i="2" l="1"/>
  <c r="E44" i="2"/>
  <c r="C44" i="2"/>
  <c r="D27" i="2"/>
  <c r="C27" i="2"/>
  <c r="E26" i="2"/>
  <c r="I26" i="2"/>
  <c r="J26" i="2"/>
  <c r="I43" i="2"/>
  <c r="J43" i="2"/>
  <c r="E43" i="2"/>
  <c r="I42" i="2"/>
  <c r="J42" i="2"/>
  <c r="E42" i="2"/>
  <c r="I41" i="2"/>
  <c r="J41" i="2"/>
  <c r="E41" i="2"/>
  <c r="I40" i="2"/>
  <c r="J40" i="2"/>
  <c r="E40" i="2"/>
  <c r="I39" i="2"/>
  <c r="J39" i="2"/>
  <c r="E39" i="2"/>
  <c r="I38" i="2"/>
  <c r="J38" i="2"/>
  <c r="E38" i="2"/>
  <c r="I37" i="2"/>
  <c r="J37" i="2"/>
  <c r="E37" i="2"/>
  <c r="I36" i="2"/>
  <c r="J36" i="2"/>
  <c r="E36" i="2"/>
  <c r="I35" i="2"/>
  <c r="J35" i="2"/>
  <c r="E35" i="2"/>
  <c r="I34" i="2"/>
  <c r="J34" i="2"/>
  <c r="E34" i="2"/>
  <c r="I33" i="2"/>
  <c r="J33" i="2"/>
  <c r="E33" i="2"/>
  <c r="J25" i="2"/>
  <c r="I25" i="2"/>
  <c r="E25" i="2"/>
  <c r="I24" i="2"/>
  <c r="J24" i="2"/>
  <c r="E24" i="2"/>
  <c r="I23" i="2"/>
  <c r="J23" i="2"/>
  <c r="E23" i="2"/>
  <c r="J22" i="2"/>
  <c r="I22" i="2"/>
  <c r="E22" i="2"/>
  <c r="J21" i="2"/>
  <c r="I21" i="2"/>
  <c r="E21" i="2"/>
  <c r="I20" i="2"/>
  <c r="J20" i="2"/>
  <c r="E20" i="2"/>
  <c r="I19" i="2"/>
  <c r="J19" i="2"/>
  <c r="E19" i="2"/>
  <c r="J18" i="2"/>
  <c r="I18" i="2"/>
  <c r="E18" i="2"/>
  <c r="J17" i="2"/>
  <c r="I17" i="2"/>
  <c r="E17" i="2"/>
  <c r="I16" i="2"/>
  <c r="J16" i="2"/>
  <c r="E16" i="2"/>
  <c r="I15" i="2"/>
  <c r="J15" i="2"/>
  <c r="E15" i="2"/>
  <c r="J14" i="2"/>
  <c r="I14" i="2"/>
  <c r="E14" i="2"/>
  <c r="J13" i="2"/>
  <c r="I13" i="2"/>
  <c r="E13" i="2"/>
  <c r="I12" i="2"/>
  <c r="J12" i="2"/>
  <c r="E12" i="2"/>
  <c r="I11" i="2"/>
  <c r="J11" i="2"/>
  <c r="E11" i="2"/>
  <c r="J10" i="2"/>
  <c r="I10" i="2"/>
  <c r="E10" i="2"/>
  <c r="I32" i="2"/>
  <c r="J32" i="2"/>
  <c r="E32" i="2"/>
  <c r="I31" i="2"/>
  <c r="J31" i="2"/>
  <c r="E31" i="2"/>
  <c r="I9" i="2"/>
  <c r="J9" i="2"/>
  <c r="E9" i="2"/>
  <c r="I8" i="2"/>
  <c r="J8" i="2"/>
  <c r="E8" i="2"/>
  <c r="I7" i="2"/>
  <c r="J7" i="2"/>
  <c r="E7" i="2"/>
  <c r="F81" i="1"/>
  <c r="H16" i="1" s="1"/>
  <c r="I16" i="1" s="1"/>
  <c r="E69" i="1"/>
  <c r="H15" i="1" s="1"/>
  <c r="H48" i="1"/>
  <c r="J48" i="1" s="1"/>
  <c r="H47" i="1"/>
  <c r="J47" i="1" s="1"/>
  <c r="I42" i="1"/>
  <c r="H44" i="1"/>
  <c r="J44" i="1" s="1"/>
  <c r="H43" i="1"/>
  <c r="J43" i="1" s="1"/>
  <c r="H42" i="1"/>
  <c r="J42" i="1" s="1"/>
  <c r="D18" i="1"/>
  <c r="E18" i="1"/>
  <c r="B74" i="1"/>
  <c r="E81" i="1"/>
  <c r="F13" i="1"/>
  <c r="F14" i="1"/>
  <c r="F15" i="1"/>
  <c r="F16" i="1"/>
  <c r="G16" i="1" s="1"/>
  <c r="F17" i="1"/>
  <c r="D49" i="1"/>
  <c r="C49" i="1"/>
  <c r="C45" i="1"/>
  <c r="D45" i="1"/>
  <c r="E48" i="1"/>
  <c r="I48" i="1"/>
  <c r="E44" i="1"/>
  <c r="I44" i="1"/>
  <c r="E43" i="1"/>
  <c r="I43" i="1"/>
  <c r="E47" i="1"/>
  <c r="E42" i="1"/>
  <c r="I47" i="1"/>
  <c r="E27" i="2" l="1"/>
  <c r="K41" i="2"/>
  <c r="L41" i="2" s="1"/>
  <c r="K26" i="2"/>
  <c r="L26" i="2" s="1"/>
  <c r="K40" i="2"/>
  <c r="L40" i="2" s="1"/>
  <c r="K39" i="2"/>
  <c r="L39" i="2" s="1"/>
  <c r="K35" i="2"/>
  <c r="L35" i="2" s="1"/>
  <c r="K43" i="2"/>
  <c r="L43" i="2" s="1"/>
  <c r="K36" i="2"/>
  <c r="L36" i="2" s="1"/>
  <c r="K37" i="2"/>
  <c r="L37" i="2" s="1"/>
  <c r="K42" i="2"/>
  <c r="L42" i="2" s="1"/>
  <c r="K34" i="2"/>
  <c r="L34" i="2" s="1"/>
  <c r="K38" i="2"/>
  <c r="L38" i="2" s="1"/>
  <c r="K33" i="2"/>
  <c r="L33" i="2" s="1"/>
  <c r="K17" i="2"/>
  <c r="L17" i="2" s="1"/>
  <c r="K21" i="2"/>
  <c r="L21" i="2" s="1"/>
  <c r="K25" i="2"/>
  <c r="L25" i="2" s="1"/>
  <c r="K13" i="2"/>
  <c r="L13" i="2" s="1"/>
  <c r="K20" i="2"/>
  <c r="L20" i="2" s="1"/>
  <c r="K18" i="2"/>
  <c r="L18" i="2" s="1"/>
  <c r="K10" i="2"/>
  <c r="L10" i="2" s="1"/>
  <c r="K14" i="2"/>
  <c r="L14" i="2" s="1"/>
  <c r="K22" i="2"/>
  <c r="L22" i="2" s="1"/>
  <c r="K23" i="2"/>
  <c r="L23" i="2" s="1"/>
  <c r="K12" i="2"/>
  <c r="L12" i="2" s="1"/>
  <c r="K19" i="2"/>
  <c r="L19" i="2" s="1"/>
  <c r="K24" i="2"/>
  <c r="L24" i="2" s="1"/>
  <c r="K11" i="2"/>
  <c r="L11" i="2" s="1"/>
  <c r="K15" i="2"/>
  <c r="L15" i="2" s="1"/>
  <c r="K16" i="2"/>
  <c r="L16" i="2" s="1"/>
  <c r="K9" i="2"/>
  <c r="L9" i="2" s="1"/>
  <c r="K8" i="2"/>
  <c r="L8" i="2" s="1"/>
  <c r="K31" i="2"/>
  <c r="K32" i="2"/>
  <c r="L32" i="2" s="1"/>
  <c r="K7" i="2"/>
  <c r="E49" i="1"/>
  <c r="E45" i="1"/>
  <c r="K44" i="1"/>
  <c r="K48" i="1"/>
  <c r="K43" i="1"/>
  <c r="K47" i="1"/>
  <c r="K42" i="1"/>
  <c r="K27" i="2" l="1"/>
  <c r="K44" i="2"/>
  <c r="L31" i="2"/>
  <c r="L44" i="2" s="1"/>
  <c r="L7" i="2"/>
  <c r="L27" i="2" s="1"/>
  <c r="L48" i="1"/>
  <c r="L43" i="1"/>
  <c r="L44" i="1"/>
  <c r="L42" i="1"/>
  <c r="K45" i="1"/>
  <c r="L47" i="1"/>
  <c r="K49" i="1"/>
  <c r="L49" i="1" l="1"/>
  <c r="L45" i="1"/>
  <c r="B39" i="1" l="1"/>
  <c r="I91" i="1"/>
  <c r="H17" i="1" s="1"/>
  <c r="I17" i="1" s="1"/>
  <c r="H91" i="1"/>
  <c r="J90" i="1"/>
  <c r="K90" i="1" s="1"/>
  <c r="J89" i="1"/>
  <c r="K89" i="1" s="1"/>
  <c r="J88" i="1"/>
  <c r="K88" i="1" s="1"/>
  <c r="J87" i="1"/>
  <c r="K87" i="1" s="1"/>
  <c r="J86" i="1"/>
  <c r="K86" i="1" s="1"/>
  <c r="B84" i="1"/>
  <c r="F69" i="1"/>
  <c r="J16" i="1" s="1"/>
  <c r="K16" i="1" s="1"/>
  <c r="D69" i="1"/>
  <c r="E59" i="1"/>
  <c r="H13" i="1" s="1"/>
  <c r="D59" i="1"/>
  <c r="B62" i="1"/>
  <c r="B52" i="1"/>
  <c r="G17" i="1"/>
  <c r="K15" i="1"/>
  <c r="I15" i="1"/>
  <c r="G15" i="1"/>
  <c r="K14" i="1"/>
  <c r="I14" i="1"/>
  <c r="G14" i="1"/>
  <c r="K13" i="1"/>
  <c r="G13" i="1"/>
  <c r="F12" i="1"/>
  <c r="K91" i="1" l="1"/>
  <c r="I13" i="1"/>
  <c r="H18" i="1"/>
  <c r="F18" i="1"/>
  <c r="G18" i="1" s="1"/>
  <c r="J91" i="1"/>
  <c r="J17" i="1" s="1"/>
  <c r="K18" i="1"/>
  <c r="G12" i="1"/>
  <c r="J18" i="1" l="1"/>
  <c r="K17" i="1"/>
  <c r="I12" i="1"/>
  <c r="I18" i="1" s="1"/>
</calcChain>
</file>

<file path=xl/sharedStrings.xml><?xml version="1.0" encoding="utf-8"?>
<sst xmlns="http://schemas.openxmlformats.org/spreadsheetml/2006/main" count="187" uniqueCount="104">
  <si>
    <t>Abdullah Mansour Al-Subaie Company, Accountants and Legal Auditors, License No. (1031)</t>
  </si>
  <si>
    <t xml:space="preserve">client name </t>
  </si>
  <si>
    <t>year</t>
  </si>
  <si>
    <t>Currency</t>
  </si>
  <si>
    <t>SAR</t>
  </si>
  <si>
    <t>Description</t>
  </si>
  <si>
    <t xml:space="preserve">Balance as at </t>
  </si>
  <si>
    <t>Variance</t>
  </si>
  <si>
    <t>Confirmations</t>
  </si>
  <si>
    <t>Subsequent Clearance</t>
  </si>
  <si>
    <t>%</t>
  </si>
  <si>
    <t>SR</t>
  </si>
  <si>
    <t>end balance</t>
  </si>
  <si>
    <t>Work Done</t>
  </si>
  <si>
    <t>1) The matching of the opening balance for the comparative year was verified</t>
  </si>
  <si>
    <t>2) A table of other  Payable balances was taken from the client, and the equations and final calculation of the final balance were verified.</t>
  </si>
  <si>
    <t>3) The reconciliation of the analytical general ledger with the trial balance and financial statements has been verified.</t>
  </si>
  <si>
    <t>4) We have traced and agreed the supporting documents of samples selected. As we checked the payments for these balances</t>
  </si>
  <si>
    <t>Alternative procedures</t>
  </si>
  <si>
    <t>1) Confirmations were requested for the items, by obtaining gl for subsequent periods and samples such as invoices, bank transfers, or receipt vouchers.</t>
  </si>
  <si>
    <t>Assertions</t>
  </si>
  <si>
    <t xml:space="preserve"> A table of other  Payable balances was taken from the client, and the equations and final calculation of the final balance were verified.</t>
  </si>
  <si>
    <t>Existence</t>
  </si>
  <si>
    <t xml:space="preserve"> The reconciliation of the analytical general ledger with the trial balance and financial statements has been verified.</t>
  </si>
  <si>
    <t>Completenes</t>
  </si>
  <si>
    <t xml:space="preserve"> We have traced and agreed the supporting documents of samples selected. As we checked the payments for these balances</t>
  </si>
  <si>
    <t>Rights &amp; Obligation</t>
  </si>
  <si>
    <t xml:space="preserve"> Confirmations were requested for the items, by obtaining gl for subsequent periods and samples such as invoices, bank transfers, or receipt vouchers.</t>
  </si>
  <si>
    <t>Accuracy</t>
  </si>
  <si>
    <t>Classifcation &amp; Presentation</t>
  </si>
  <si>
    <t>#</t>
  </si>
  <si>
    <t>NO. JV / invoies</t>
  </si>
  <si>
    <t xml:space="preserve">date </t>
  </si>
  <si>
    <t>Name</t>
  </si>
  <si>
    <t xml:space="preserve">amont </t>
  </si>
  <si>
    <t>balance confirmation</t>
  </si>
  <si>
    <t>different</t>
  </si>
  <si>
    <t>Remarks</t>
  </si>
  <si>
    <t>amont</t>
  </si>
  <si>
    <t xml:space="preserve">end balance </t>
  </si>
  <si>
    <t>conclusions</t>
  </si>
  <si>
    <t>A reasonable confirmation has been reached that the Others payable present fairly</t>
  </si>
  <si>
    <t xml:space="preserve">Employees' loans  </t>
  </si>
  <si>
    <t>prepaid expenses</t>
  </si>
  <si>
    <t>Advance payments to vendors</t>
  </si>
  <si>
    <t>Various debitors</t>
  </si>
  <si>
    <t>Letter of Guarantee</t>
  </si>
  <si>
    <t>Office rent</t>
  </si>
  <si>
    <t>Recalculated amount</t>
  </si>
  <si>
    <t>amount in trial balance</t>
  </si>
  <si>
    <t>ENDING DATE</t>
  </si>
  <si>
    <t>STARTING DATE</t>
  </si>
  <si>
    <t>Year end</t>
  </si>
  <si>
    <t xml:space="preserve">Total days </t>
  </si>
  <si>
    <t>Days in 2023</t>
  </si>
  <si>
    <t>advance rent expenses</t>
  </si>
  <si>
    <t xml:space="preserve"> rent expenses</t>
  </si>
  <si>
    <t>Medical insurance</t>
  </si>
  <si>
    <t>Difference</t>
  </si>
  <si>
    <t>#1</t>
  </si>
  <si>
    <t>#2</t>
  </si>
  <si>
    <t>#3</t>
  </si>
  <si>
    <t xml:space="preserve">ending </t>
  </si>
  <si>
    <t xml:space="preserve">advance expense </t>
  </si>
  <si>
    <t>الوجود</t>
  </si>
  <si>
    <t>الاكتمال</t>
  </si>
  <si>
    <t>الحقوق والالتزامات</t>
  </si>
  <si>
    <t>الدقة</t>
  </si>
  <si>
    <t>التصنيف والعرض</t>
  </si>
  <si>
    <t xml:space="preserve">1) The matching of the opening balance for the comparative year was verified &amp; </t>
  </si>
  <si>
    <t>Account reclassification verified</t>
  </si>
  <si>
    <t>5) Account reclassification verified</t>
  </si>
  <si>
    <t>Prepared by:</t>
  </si>
  <si>
    <t>saad</t>
  </si>
  <si>
    <t>Reviewed by:</t>
  </si>
  <si>
    <t>Subsequent period payments</t>
  </si>
  <si>
    <t>inv period payments</t>
  </si>
  <si>
    <t>2023 Dec 31</t>
  </si>
  <si>
    <t>2024 Dec 31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</si>
  <si>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</si>
  <si>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</si>
  <si>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</si>
  <si>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</si>
  <si>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</si>
  <si>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</si>
  <si>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</si>
  <si>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</si>
  <si>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</si>
  <si>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</si>
  <si>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</si>
  <si>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</si>
  <si>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</si>
  <si>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</si>
  <si>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</si>
  <si>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</si>
  <si>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</si>
  <si>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سنة انتهاء عقد الايجار</t>
  </si>
  <si>
    <t>بداية تاريخعقد الايجار</t>
  </si>
  <si>
    <t xml:space="preserve">مبلغ الايجار في كشف الحساب التحليلي </t>
  </si>
  <si>
    <t>مبلغ الايجار في عقد الايجار</t>
  </si>
  <si>
    <t xml:space="preserve">السنة المالية الحالية </t>
  </si>
  <si>
    <t>Days in 2024</t>
  </si>
  <si>
    <t xml:space="preserve">الايجار المدفوع مقما </t>
  </si>
  <si>
    <r>
      <t xml:space="preserve">VAT ( </t>
    </r>
    <r>
      <rPr>
        <sz val="11"/>
        <color rgb="FFFF0000"/>
        <rFont val="Sakkal Majalla"/>
      </rPr>
      <t>other paper</t>
    </r>
    <r>
      <rPr>
        <sz val="11"/>
        <color theme="1"/>
        <rFont val="Sakkal Majalla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</si>
</sst>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9]d\-mmm\-yy;@"/>
    <numFmt numFmtId="165" formatCode="_(* #,##0.00_);_(* \(#,##0.00\);_(* &quot;-&quot;??_);_(@_)"/>
    <numFmt numFmtId="166" formatCode="_(* #,##0_);_(* \(#,##0\);_(* &quot;-&quot;??_);_(@_)"/>
    <numFmt numFmtId="167" formatCode="[$-1020000]B1d\ mmmm\ yyyy;@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8"/>
      <name val="Arial"/>
      <family val="2"/>
      <scheme val="minor"/>
    </font>
    <font>
      <b/>
      <sz val="10"/>
      <name val="Sakkal Majalla"/>
    </font>
    <font>
      <sz val="10"/>
      <name val="Sakkal Majalla"/>
    </font>
    <font>
      <sz val="11"/>
      <color theme="1"/>
      <name val="Sakkal Majalla"/>
    </font>
    <font>
      <b/>
      <sz val="11"/>
      <color theme="1"/>
      <name val="Sakkal Majalla"/>
    </font>
    <font>
      <sz val="11"/>
      <color rgb="FFFF0000"/>
      <name val="Sakkal Majalla"/>
    </font>
    <font>
      <b/>
      <sz val="11"/>
      <color rgb="FFFF0000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7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7" xfId="0" applyFill="1" applyBorder="1"/>
    <xf numFmtId="0" fontId="0" fillId="2" borderId="12" xfId="0" applyFill="1" applyBorder="1"/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2" borderId="9" xfId="0" applyFill="1" applyBorder="1"/>
    <xf numFmtId="0" fontId="0" fillId="2" borderId="1" xfId="0" applyFill="1" applyBorder="1"/>
    <xf numFmtId="43" fontId="0" fillId="0" borderId="18" xfId="1" applyFont="1" applyFill="1" applyBorder="1" applyAlignment="1">
      <alignment horizontal="center" vertical="center"/>
    </xf>
    <xf numFmtId="43" fontId="0" fillId="0" borderId="19" xfId="1" applyFon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43" fontId="1" fillId="0" borderId="18" xfId="1" applyFont="1" applyFill="1" applyBorder="1" applyAlignment="1">
      <alignment horizontal="center" vertical="center"/>
    </xf>
    <xf numFmtId="43" fontId="0" fillId="0" borderId="19" xfId="0" applyNumberFormat="1" applyBorder="1"/>
    <xf numFmtId="43" fontId="0" fillId="0" borderId="0" xfId="1" applyFont="1" applyFill="1" applyBorder="1" applyAlignment="1">
      <alignment horizontal="center" vertical="center"/>
    </xf>
    <xf numFmtId="166" fontId="1" fillId="0" borderId="0" xfId="3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" fillId="0" borderId="19" xfId="3" applyNumberFormat="1" applyFont="1" applyFill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readingOrder="1"/>
    </xf>
    <xf numFmtId="0" fontId="7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readingOrder="1"/>
    </xf>
    <xf numFmtId="0" fontId="7" fillId="0" borderId="0" xfId="0" applyFont="1" applyAlignment="1">
      <alignment readingOrder="1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 readingOrder="1"/>
    </xf>
    <xf numFmtId="0" fontId="7" fillId="0" borderId="2" xfId="0" applyFont="1" applyBorder="1" applyAlignment="1">
      <alignment horizontal="center" readingOrder="1"/>
    </xf>
    <xf numFmtId="0" fontId="7" fillId="0" borderId="3" xfId="0" applyFont="1" applyBorder="1" applyAlignment="1">
      <alignment horizontal="center" readingOrder="1"/>
    </xf>
    <xf numFmtId="0" fontId="7" fillId="0" borderId="4" xfId="0" applyFont="1" applyBorder="1" applyAlignment="1">
      <alignment horizontal="center" readingOrder="1"/>
    </xf>
    <xf numFmtId="0" fontId="7" fillId="0" borderId="0" xfId="0" applyFont="1" applyAlignment="1">
      <alignment horizontal="center" readingOrder="1"/>
    </xf>
    <xf numFmtId="167" fontId="7" fillId="0" borderId="2" xfId="0" applyNumberFormat="1" applyFont="1" applyBorder="1" applyAlignment="1">
      <alignment horizontal="center" vertical="center" readingOrder="1"/>
    </xf>
    <xf numFmtId="167" fontId="7" fillId="0" borderId="3" xfId="0" applyNumberFormat="1" applyFont="1" applyBorder="1" applyAlignment="1">
      <alignment horizontal="center" vertical="center" readingOrder="1"/>
    </xf>
    <xf numFmtId="167" fontId="7" fillId="0" borderId="4" xfId="0" applyNumberFormat="1" applyFont="1" applyBorder="1" applyAlignment="1">
      <alignment horizontal="center" vertical="center" readingOrder="1"/>
    </xf>
    <xf numFmtId="167" fontId="7" fillId="0" borderId="0" xfId="0" applyNumberFormat="1" applyFont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7" fillId="0" borderId="8" xfId="0" applyFont="1" applyBorder="1" applyAlignment="1">
      <alignment horizontal="center" vertical="center" readingOrder="1"/>
    </xf>
    <xf numFmtId="0" fontId="7" fillId="0" borderId="12" xfId="0" applyFont="1" applyBorder="1" applyAlignment="1">
      <alignment horizontal="center" vertical="center" readingOrder="1"/>
    </xf>
    <xf numFmtId="0" fontId="7" fillId="0" borderId="0" xfId="0" applyFont="1" applyAlignment="1">
      <alignment horizontal="center" vertical="center" readingOrder="1"/>
    </xf>
    <xf numFmtId="0" fontId="8" fillId="0" borderId="2" xfId="0" applyFont="1" applyBorder="1" applyAlignment="1">
      <alignment horizontal="center" readingOrder="1"/>
    </xf>
    <xf numFmtId="0" fontId="8" fillId="0" borderId="3" xfId="0" applyFont="1" applyBorder="1" applyAlignment="1">
      <alignment horizontal="center" readingOrder="1"/>
    </xf>
    <xf numFmtId="0" fontId="8" fillId="0" borderId="4" xfId="0" applyFont="1" applyBorder="1" applyAlignment="1">
      <alignment horizontal="center" readingOrder="1"/>
    </xf>
    <xf numFmtId="0" fontId="8" fillId="0" borderId="5" xfId="0" applyFont="1" applyBorder="1" applyAlignment="1">
      <alignment horizontal="center" vertical="center" readingOrder="1"/>
    </xf>
    <xf numFmtId="0" fontId="8" fillId="0" borderId="6" xfId="0" applyFont="1" applyBorder="1" applyAlignment="1">
      <alignment horizontal="center" vertical="center" readingOrder="1"/>
    </xf>
    <xf numFmtId="0" fontId="8" fillId="0" borderId="2" xfId="0" applyFont="1" applyBorder="1" applyAlignment="1">
      <alignment horizontal="center" vertical="center" readingOrder="1"/>
    </xf>
    <xf numFmtId="0" fontId="8" fillId="0" borderId="3" xfId="0" applyFont="1" applyBorder="1" applyAlignment="1">
      <alignment horizontal="center" vertical="center" readingOrder="1"/>
    </xf>
    <xf numFmtId="0" fontId="8" fillId="0" borderId="4" xfId="0" applyFont="1" applyBorder="1" applyAlignment="1">
      <alignment horizontal="center" vertical="center" readingOrder="1"/>
    </xf>
    <xf numFmtId="0" fontId="8" fillId="0" borderId="7" xfId="0" applyFont="1" applyBorder="1" applyAlignment="1">
      <alignment horizontal="center" vertical="center" readingOrder="1"/>
    </xf>
    <xf numFmtId="0" fontId="8" fillId="0" borderId="8" xfId="0" applyFont="1" applyBorder="1" applyAlignment="1">
      <alignment horizontal="center" vertical="center" readingOrder="1"/>
    </xf>
    <xf numFmtId="0" fontId="8" fillId="0" borderId="2" xfId="0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 vertical="center" readingOrder="1"/>
    </xf>
    <xf numFmtId="0" fontId="8" fillId="0" borderId="8" xfId="0" applyFont="1" applyBorder="1" applyAlignment="1">
      <alignment horizontal="center" vertical="center" readingOrder="1"/>
    </xf>
    <xf numFmtId="0" fontId="7" fillId="0" borderId="2" xfId="0" applyFont="1" applyBorder="1" applyAlignment="1">
      <alignment vertical="center" readingOrder="1"/>
    </xf>
    <xf numFmtId="0" fontId="7" fillId="0" borderId="3" xfId="0" applyFont="1" applyBorder="1" applyAlignment="1">
      <alignment vertical="center" readingOrder="1"/>
    </xf>
    <xf numFmtId="43" fontId="7" fillId="0" borderId="1" xfId="1" applyFont="1" applyBorder="1" applyAlignment="1">
      <alignment horizontal="center" readingOrder="1"/>
    </xf>
    <xf numFmtId="43" fontId="7" fillId="0" borderId="5" xfId="1" applyFont="1" applyBorder="1" applyAlignment="1">
      <alignment readingOrder="1"/>
    </xf>
    <xf numFmtId="165" fontId="7" fillId="0" borderId="1" xfId="1" applyNumberFormat="1" applyFont="1" applyBorder="1" applyAlignment="1">
      <alignment horizontal="center" vertical="center" readingOrder="1"/>
    </xf>
    <xf numFmtId="9" fontId="7" fillId="0" borderId="1" xfId="2" applyFont="1" applyBorder="1" applyAlignment="1">
      <alignment horizontal="center" readingOrder="1"/>
    </xf>
    <xf numFmtId="43" fontId="7" fillId="0" borderId="1" xfId="1" applyFont="1" applyFill="1" applyBorder="1" applyAlignment="1">
      <alignment horizontal="center" vertical="center" readingOrder="1"/>
    </xf>
    <xf numFmtId="9" fontId="7" fillId="0" borderId="1" xfId="2" applyFont="1" applyFill="1" applyBorder="1" applyAlignment="1">
      <alignment horizontal="center" readingOrder="1"/>
    </xf>
    <xf numFmtId="43" fontId="7" fillId="0" borderId="1" xfId="1" applyFont="1" applyBorder="1" applyAlignment="1">
      <alignment horizontal="center" vertical="center" readingOrder="1"/>
    </xf>
    <xf numFmtId="0" fontId="7" fillId="0" borderId="5" xfId="0" applyFont="1" applyBorder="1" applyAlignment="1">
      <alignment vertical="center" readingOrder="1"/>
    </xf>
    <xf numFmtId="0" fontId="7" fillId="0" borderId="6" xfId="0" applyFont="1" applyBorder="1" applyAlignment="1">
      <alignment vertical="center" readingOrder="1"/>
    </xf>
    <xf numFmtId="43" fontId="7" fillId="0" borderId="10" xfId="1" applyFont="1" applyBorder="1" applyAlignment="1">
      <alignment horizontal="center" readingOrder="1"/>
    </xf>
    <xf numFmtId="43" fontId="7" fillId="0" borderId="2" xfId="1" applyFont="1" applyBorder="1" applyAlignment="1">
      <alignment readingOrder="1"/>
    </xf>
    <xf numFmtId="43" fontId="7" fillId="0" borderId="11" xfId="1" applyFont="1" applyBorder="1" applyAlignment="1">
      <alignment horizontal="center" vertical="center" readingOrder="1"/>
    </xf>
    <xf numFmtId="43" fontId="7" fillId="0" borderId="4" xfId="1" applyFont="1" applyFill="1" applyBorder="1" applyAlignment="1">
      <alignment horizontal="center" vertical="center" readingOrder="1"/>
    </xf>
    <xf numFmtId="43" fontId="7" fillId="0" borderId="4" xfId="1" applyFont="1" applyBorder="1" applyAlignment="1">
      <alignment horizontal="center" vertical="center" readingOrder="1"/>
    </xf>
    <xf numFmtId="0" fontId="8" fillId="0" borderId="7" xfId="0" applyFont="1" applyBorder="1" applyAlignment="1">
      <alignment vertical="center" readingOrder="1"/>
    </xf>
    <xf numFmtId="0" fontId="8" fillId="0" borderId="8" xfId="0" applyFont="1" applyBorder="1" applyAlignment="1">
      <alignment vertical="center" readingOrder="1"/>
    </xf>
    <xf numFmtId="43" fontId="7" fillId="0" borderId="9" xfId="1" applyFont="1" applyBorder="1" applyAlignment="1">
      <alignment horizontal="center" readingOrder="1"/>
    </xf>
    <xf numFmtId="9" fontId="7" fillId="0" borderId="9" xfId="2" applyFont="1" applyBorder="1" applyAlignment="1">
      <alignment horizontal="center" readingOrder="1"/>
    </xf>
    <xf numFmtId="43" fontId="7" fillId="0" borderId="12" xfId="1" applyFont="1" applyBorder="1" applyAlignment="1">
      <alignment horizontal="center" vertical="center" readingOrder="1"/>
    </xf>
    <xf numFmtId="0" fontId="7" fillId="0" borderId="12" xfId="0" applyFont="1" applyBorder="1" applyAlignment="1">
      <alignment horizontal="center" vertical="center" readingOrder="1"/>
    </xf>
    <xf numFmtId="0" fontId="8" fillId="0" borderId="5" xfId="0" applyFont="1" applyBorder="1" applyAlignment="1">
      <alignment horizontal="center" readingOrder="1"/>
    </xf>
    <xf numFmtId="0" fontId="8" fillId="0" borderId="6" xfId="0" applyFont="1" applyBorder="1" applyAlignment="1">
      <alignment horizontal="center" readingOrder="1"/>
    </xf>
    <xf numFmtId="0" fontId="8" fillId="0" borderId="11" xfId="0" applyFont="1" applyBorder="1" applyAlignment="1">
      <alignment horizontal="center" readingOrder="1"/>
    </xf>
    <xf numFmtId="0" fontId="7" fillId="0" borderId="5" xfId="0" applyFont="1" applyBorder="1" applyAlignment="1">
      <alignment horizontal="left" readingOrder="1"/>
    </xf>
    <xf numFmtId="0" fontId="7" fillId="0" borderId="6" xfId="0" applyFont="1" applyBorder="1" applyAlignment="1">
      <alignment horizontal="left" readingOrder="1"/>
    </xf>
    <xf numFmtId="0" fontId="7" fillId="0" borderId="11" xfId="0" applyFont="1" applyBorder="1" applyAlignment="1">
      <alignment horizontal="left" readingOrder="1"/>
    </xf>
    <xf numFmtId="0" fontId="7" fillId="0" borderId="13" xfId="0" applyFont="1" applyBorder="1" applyAlignment="1">
      <alignment horizontal="left" readingOrder="1"/>
    </xf>
    <xf numFmtId="0" fontId="7" fillId="0" borderId="0" xfId="0" applyFont="1" applyAlignment="1">
      <alignment horizontal="left" readingOrder="1"/>
    </xf>
    <xf numFmtId="0" fontId="7" fillId="0" borderId="14" xfId="0" applyFont="1" applyBorder="1" applyAlignment="1">
      <alignment horizontal="left" readingOrder="1"/>
    </xf>
    <xf numFmtId="0" fontId="7" fillId="0" borderId="13" xfId="0" applyFont="1" applyBorder="1" applyAlignment="1">
      <alignment horizontal="left" wrapText="1" readingOrder="1"/>
    </xf>
    <xf numFmtId="0" fontId="7" fillId="0" borderId="7" xfId="0" applyFont="1" applyBorder="1" applyAlignment="1">
      <alignment horizontal="left" wrapText="1" readingOrder="1"/>
    </xf>
    <xf numFmtId="0" fontId="7" fillId="0" borderId="8" xfId="0" applyFont="1" applyBorder="1" applyAlignment="1">
      <alignment horizontal="left" readingOrder="1"/>
    </xf>
    <xf numFmtId="0" fontId="7" fillId="0" borderId="12" xfId="0" applyFont="1" applyBorder="1" applyAlignment="1">
      <alignment horizontal="left" readingOrder="1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 wrapText="1" readingOrder="1"/>
    </xf>
    <xf numFmtId="0" fontId="7" fillId="0" borderId="3" xfId="0" applyFont="1" applyBorder="1" applyAlignment="1">
      <alignment horizontal="left" vertical="center" wrapText="1" readingOrder="1"/>
    </xf>
    <xf numFmtId="0" fontId="7" fillId="0" borderId="4" xfId="0" applyFont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center" readingOrder="1"/>
    </xf>
    <xf numFmtId="0" fontId="10" fillId="0" borderId="5" xfId="0" applyFont="1" applyBorder="1" applyAlignment="1">
      <alignment horizontal="center" readingOrder="1"/>
    </xf>
    <xf numFmtId="0" fontId="10" fillId="0" borderId="6" xfId="0" applyFont="1" applyBorder="1" applyAlignment="1">
      <alignment horizontal="center" readingOrder="1"/>
    </xf>
    <xf numFmtId="0" fontId="10" fillId="0" borderId="11" xfId="0" applyFont="1" applyBorder="1" applyAlignment="1">
      <alignment horizontal="center" readingOrder="1"/>
    </xf>
    <xf numFmtId="0" fontId="7" fillId="0" borderId="9" xfId="0" applyFont="1" applyBorder="1" applyAlignment="1">
      <alignment horizontal="left" readingOrder="1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1" xfId="0" applyFont="1" applyBorder="1" applyAlignment="1">
      <alignment horizontal="left" readingOrder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43" fontId="7" fillId="0" borderId="18" xfId="1" applyFont="1" applyFill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43" fontId="7" fillId="0" borderId="20" xfId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/>
    </xf>
    <xf numFmtId="166" fontId="7" fillId="0" borderId="20" xfId="3" applyNumberFormat="1" applyFont="1" applyFill="1" applyBorder="1" applyAlignment="1">
      <alignment horizontal="center" vertical="center"/>
    </xf>
    <xf numFmtId="166" fontId="7" fillId="0" borderId="20" xfId="0" applyNumberFormat="1" applyFont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43" fontId="7" fillId="0" borderId="19" xfId="1" applyFont="1" applyFill="1" applyBorder="1" applyAlignment="1">
      <alignment horizontal="center" vertical="center"/>
    </xf>
    <xf numFmtId="0" fontId="7" fillId="2" borderId="12" xfId="0" applyFont="1" applyFill="1" applyBorder="1"/>
    <xf numFmtId="0" fontId="7" fillId="2" borderId="9" xfId="0" applyFont="1" applyFill="1" applyBorder="1"/>
    <xf numFmtId="0" fontId="7" fillId="2" borderId="1" xfId="0" applyFont="1" applyFill="1" applyBorder="1"/>
    <xf numFmtId="0" fontId="7" fillId="2" borderId="7" xfId="0" applyFont="1" applyFill="1" applyBorder="1"/>
    <xf numFmtId="43" fontId="7" fillId="0" borderId="19" xfId="0" applyNumberFormat="1" applyFont="1" applyBorder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8" xfId="0" applyFont="1" applyBorder="1"/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/>
    <xf numFmtId="0" fontId="7" fillId="0" borderId="14" xfId="0" applyFont="1" applyBorder="1"/>
    <xf numFmtId="0" fontId="7" fillId="0" borderId="19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14" xfId="0" applyFont="1" applyBorder="1"/>
    <xf numFmtId="0" fontId="7" fillId="0" borderId="12" xfId="0" applyFont="1" applyBorder="1"/>
    <xf numFmtId="0" fontId="7" fillId="0" borderId="7" xfId="0" applyFont="1" applyBorder="1" applyAlignment="1">
      <alignment horizontal="center" vertical="center"/>
    </xf>
    <xf numFmtId="0" fontId="7" fillId="0" borderId="5" xfId="0" applyFont="1" applyBorder="1"/>
    <xf numFmtId="0" fontId="7" fillId="0" borderId="11" xfId="0" applyFont="1" applyBorder="1"/>
    <xf numFmtId="0" fontId="8" fillId="0" borderId="1" xfId="0" applyFont="1" applyBorder="1" applyAlignment="1">
      <alignment vertical="center" readingOrder="1"/>
    </xf>
    <xf numFmtId="0" fontId="7" fillId="0" borderId="14" xfId="0" applyFont="1" applyBorder="1" applyAlignment="1">
      <alignment horizontal="center"/>
    </xf>
    <xf numFmtId="0" fontId="7" fillId="0" borderId="10" xfId="0" applyFont="1" applyBorder="1"/>
    <xf numFmtId="0" fontId="7" fillId="2" borderId="8" xfId="0" applyFont="1" applyFill="1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4">
    <cellStyle name="Comma" xfId="1" builtinId="3"/>
    <cellStyle name="Comma 13" xfId="3" xr:uid="{66B98AE5-3200-4D32-AE34-356D79463392}"/>
    <cellStyle name="Percent" xfId="2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7"/>
  <sheetViews>
    <sheetView tabSelected="1" topLeftCell="A13" zoomScale="70" zoomScaleNormal="70" workbookViewId="0">
      <selection activeCell="N26" sqref="N26"/>
    </sheetView>
  </sheetViews>
  <sheetFormatPr defaultRowHeight="18" x14ac:dyDescent="0.45"/>
  <cols>
    <col min="1" max="1" width="9" style="36"/>
    <col min="2" max="2" width="24" style="36" customWidth="1"/>
    <col min="3" max="3" width="21.625" style="36" customWidth="1"/>
    <col min="4" max="5" width="18.875" style="36" customWidth="1"/>
    <col min="6" max="6" width="18.625" style="36" customWidth="1"/>
    <col min="7" max="7" width="21.375" style="36" customWidth="1"/>
    <col min="8" max="8" width="15.125" style="36" customWidth="1"/>
    <col min="9" max="9" width="17.375" style="36" bestFit="1" customWidth="1"/>
    <col min="10" max="10" width="23.625" style="36" customWidth="1"/>
    <col min="11" max="11" width="22.375" style="36" customWidth="1"/>
    <col min="12" max="13" width="24" style="36" bestFit="1" customWidth="1"/>
    <col min="14" max="14" width="12.125" style="36" customWidth="1"/>
    <col min="15" max="16384" width="9" style="36"/>
  </cols>
  <sheetData>
    <row r="1" spans="2:17" s="39" customFormat="1" x14ac:dyDescent="0.45">
      <c r="B1" s="34" t="s">
        <v>0</v>
      </c>
      <c r="C1" s="35"/>
      <c r="D1" s="35"/>
      <c r="E1" s="35"/>
      <c r="F1" s="35"/>
      <c r="G1" s="35"/>
      <c r="H1" s="36" t="s">
        <v>72</v>
      </c>
      <c r="I1" s="37" t="s">
        <v>73</v>
      </c>
      <c r="J1" s="35"/>
      <c r="K1" s="35"/>
      <c r="L1" s="38"/>
    </row>
    <row r="2" spans="2:17" s="39" customFormat="1" ht="18.75" thickBot="1" x14ac:dyDescent="0.5">
      <c r="H2" s="36" t="s">
        <v>74</v>
      </c>
      <c r="I2" s="40"/>
    </row>
    <row r="3" spans="2:17" s="39" customFormat="1" ht="18.75" thickBot="1" x14ac:dyDescent="0.5">
      <c r="B3" s="41" t="s">
        <v>1</v>
      </c>
      <c r="C3" s="42"/>
      <c r="D3" s="43"/>
      <c r="E3" s="43"/>
      <c r="F3" s="43"/>
      <c r="G3" s="43"/>
      <c r="H3" s="43"/>
      <c r="I3" s="44"/>
      <c r="J3" s="45"/>
      <c r="K3" s="45"/>
      <c r="L3" s="45"/>
      <c r="M3" s="45"/>
      <c r="N3" s="45"/>
      <c r="O3" s="45"/>
      <c r="P3" s="45"/>
      <c r="Q3" s="45"/>
    </row>
    <row r="4" spans="2:17" s="39" customFormat="1" ht="18.75" thickBot="1" x14ac:dyDescent="0.5">
      <c r="B4" s="41" t="s">
        <v>2</v>
      </c>
      <c r="C4" s="46">
        <v>45657</v>
      </c>
      <c r="D4" s="47"/>
      <c r="E4" s="47"/>
      <c r="F4" s="47"/>
      <c r="G4" s="47"/>
      <c r="H4" s="47"/>
      <c r="I4" s="48"/>
      <c r="J4" s="49"/>
      <c r="K4" s="49"/>
      <c r="L4" s="49"/>
      <c r="M4" s="49"/>
      <c r="N4" s="49"/>
      <c r="O4" s="49"/>
      <c r="P4" s="49"/>
      <c r="Q4" s="49"/>
    </row>
    <row r="5" spans="2:17" s="39" customFormat="1" ht="18.75" thickBot="1" x14ac:dyDescent="0.5">
      <c r="B5" s="41" t="s">
        <v>3</v>
      </c>
      <c r="C5" s="50" t="s">
        <v>4</v>
      </c>
      <c r="D5" s="51"/>
      <c r="E5" s="51"/>
      <c r="F5" s="51"/>
      <c r="G5" s="51"/>
      <c r="H5" s="51"/>
      <c r="I5" s="52"/>
      <c r="J5" s="53"/>
      <c r="K5" s="53"/>
      <c r="L5" s="53"/>
      <c r="M5" s="53"/>
      <c r="N5" s="53"/>
      <c r="O5" s="53"/>
      <c r="P5" s="53"/>
      <c r="Q5" s="53"/>
    </row>
    <row r="6" spans="2:17" s="39" customFormat="1" x14ac:dyDescent="0.45"/>
    <row r="7" spans="2:17" s="39" customFormat="1" ht="18.75" thickBot="1" x14ac:dyDescent="0.5"/>
    <row r="8" spans="2:17" s="39" customFormat="1" ht="18.75" thickBot="1" x14ac:dyDescent="0.5">
      <c r="B8" s="54" t="s">
        <v>63</v>
      </c>
      <c r="C8" s="55"/>
      <c r="D8" s="55"/>
      <c r="E8" s="55"/>
      <c r="F8" s="55"/>
      <c r="G8" s="55"/>
      <c r="H8" s="55"/>
      <c r="I8" s="55"/>
      <c r="J8" s="55"/>
      <c r="K8" s="56"/>
    </row>
    <row r="9" spans="2:17" s="39" customFormat="1" ht="18.75" thickBot="1" x14ac:dyDescent="0.5"/>
    <row r="10" spans="2:17" s="39" customFormat="1" ht="15.75" customHeight="1" thickBot="1" x14ac:dyDescent="0.5">
      <c r="B10" s="57" t="s">
        <v>5</v>
      </c>
      <c r="C10" s="58"/>
      <c r="D10" s="59" t="s">
        <v>6</v>
      </c>
      <c r="E10" s="60"/>
      <c r="F10" s="59" t="s">
        <v>7</v>
      </c>
      <c r="G10" s="61"/>
      <c r="H10" s="59" t="s">
        <v>8</v>
      </c>
      <c r="I10" s="60"/>
      <c r="J10" s="59" t="s">
        <v>9</v>
      </c>
      <c r="K10" s="61"/>
    </row>
    <row r="11" spans="2:17" s="39" customFormat="1" ht="18.75" thickBot="1" x14ac:dyDescent="0.5">
      <c r="B11" s="62"/>
      <c r="C11" s="63"/>
      <c r="D11" s="64" t="s">
        <v>78</v>
      </c>
      <c r="E11" s="64" t="s">
        <v>77</v>
      </c>
      <c r="F11" s="65" t="s">
        <v>4</v>
      </c>
      <c r="G11" s="66" t="s">
        <v>10</v>
      </c>
      <c r="H11" s="65" t="s">
        <v>4</v>
      </c>
      <c r="I11" s="65" t="s">
        <v>10</v>
      </c>
      <c r="J11" s="65" t="s">
        <v>11</v>
      </c>
      <c r="K11" s="65" t="s">
        <v>10</v>
      </c>
    </row>
    <row r="12" spans="2:17" s="39" customFormat="1" ht="19.5" customHeight="1" thickBot="1" x14ac:dyDescent="0.5">
      <c r="B12" s="67" t="s">
        <v>43</v>
      </c>
      <c r="C12" s="68"/>
      <c r="D12" s="69">
        <v>0</v>
      </c>
      <c r="E12" s="70">
        <v>0</v>
      </c>
      <c r="F12" s="71">
        <f t="shared" ref="F12:F18" si="0">D12-E12</f>
        <v>0</v>
      </c>
      <c r="G12" s="72" t="e">
        <f t="shared" ref="G12:G18" si="1">E12/F12</f>
        <v>#DIV/0!</v>
      </c>
      <c r="H12" s="73"/>
      <c r="I12" s="74" t="e">
        <f t="shared" ref="I12:I17" si="2">H12/D12</f>
        <v>#DIV/0!</v>
      </c>
      <c r="J12" s="75"/>
      <c r="K12" s="74"/>
    </row>
    <row r="13" spans="2:17" s="39" customFormat="1" ht="19.5" customHeight="1" thickBot="1" x14ac:dyDescent="0.5">
      <c r="B13" s="76" t="s">
        <v>42</v>
      </c>
      <c r="C13" s="77"/>
      <c r="D13" s="78">
        <v>0</v>
      </c>
      <c r="E13" s="79">
        <v>0</v>
      </c>
      <c r="F13" s="71">
        <f t="shared" si="0"/>
        <v>0</v>
      </c>
      <c r="G13" s="72" t="e">
        <f t="shared" si="1"/>
        <v>#DIV/0!</v>
      </c>
      <c r="H13" s="80">
        <f>E59</f>
        <v>0</v>
      </c>
      <c r="I13" s="74" t="e">
        <f t="shared" si="2"/>
        <v>#DIV/0!</v>
      </c>
      <c r="J13" s="80"/>
      <c r="K13" s="74" t="e">
        <f>J13/D13</f>
        <v>#DIV/0!</v>
      </c>
    </row>
    <row r="14" spans="2:17" s="39" customFormat="1" ht="19.5" customHeight="1" thickBot="1" x14ac:dyDescent="0.5">
      <c r="B14" s="67" t="s">
        <v>103</v>
      </c>
      <c r="C14" s="68"/>
      <c r="D14" s="69">
        <v>0</v>
      </c>
      <c r="E14" s="79">
        <v>0</v>
      </c>
      <c r="F14" s="71">
        <f t="shared" si="0"/>
        <v>0</v>
      </c>
      <c r="G14" s="72" t="e">
        <f t="shared" si="1"/>
        <v>#DIV/0!</v>
      </c>
      <c r="H14" s="81"/>
      <c r="I14" s="74" t="e">
        <f t="shared" si="2"/>
        <v>#DIV/0!</v>
      </c>
      <c r="J14" s="82"/>
      <c r="K14" s="74" t="e">
        <f>J14/D14</f>
        <v>#DIV/0!</v>
      </c>
    </row>
    <row r="15" spans="2:17" s="39" customFormat="1" ht="19.5" customHeight="1" thickBot="1" x14ac:dyDescent="0.5">
      <c r="B15" s="67" t="s">
        <v>45</v>
      </c>
      <c r="C15" s="68"/>
      <c r="D15" s="69">
        <v>0</v>
      </c>
      <c r="E15" s="79">
        <v>0</v>
      </c>
      <c r="F15" s="71">
        <f t="shared" si="0"/>
        <v>0</v>
      </c>
      <c r="G15" s="72" t="e">
        <f t="shared" si="1"/>
        <v>#DIV/0!</v>
      </c>
      <c r="H15" s="82">
        <f>E69</f>
        <v>0</v>
      </c>
      <c r="I15" s="74" t="e">
        <f t="shared" si="2"/>
        <v>#DIV/0!</v>
      </c>
      <c r="J15" s="82"/>
      <c r="K15" s="74" t="e">
        <f>J15/D15</f>
        <v>#DIV/0!</v>
      </c>
    </row>
    <row r="16" spans="2:17" s="39" customFormat="1" ht="19.5" customHeight="1" thickBot="1" x14ac:dyDescent="0.5">
      <c r="B16" s="67" t="s">
        <v>46</v>
      </c>
      <c r="C16" s="68"/>
      <c r="D16" s="69">
        <v>0</v>
      </c>
      <c r="E16" s="79">
        <v>0</v>
      </c>
      <c r="F16" s="71">
        <f t="shared" si="0"/>
        <v>0</v>
      </c>
      <c r="G16" s="72" t="e">
        <f t="shared" si="1"/>
        <v>#DIV/0!</v>
      </c>
      <c r="H16" s="82">
        <f>F81</f>
        <v>0</v>
      </c>
      <c r="I16" s="74" t="e">
        <f t="shared" si="2"/>
        <v>#DIV/0!</v>
      </c>
      <c r="J16" s="82">
        <f>F69</f>
        <v>0</v>
      </c>
      <c r="K16" s="74" t="e">
        <f>J16/D16</f>
        <v>#DIV/0!</v>
      </c>
    </row>
    <row r="17" spans="1:40" s="39" customFormat="1" ht="19.5" customHeight="1" thickBot="1" x14ac:dyDescent="0.5">
      <c r="B17" s="67" t="s">
        <v>44</v>
      </c>
      <c r="C17" s="68"/>
      <c r="D17" s="69">
        <v>0</v>
      </c>
      <c r="E17" s="79">
        <v>0</v>
      </c>
      <c r="F17" s="71">
        <f t="shared" si="0"/>
        <v>0</v>
      </c>
      <c r="G17" s="72" t="e">
        <f t="shared" si="1"/>
        <v>#DIV/0!</v>
      </c>
      <c r="H17" s="82">
        <f>I91</f>
        <v>0</v>
      </c>
      <c r="I17" s="74" t="e">
        <f t="shared" si="2"/>
        <v>#DIV/0!</v>
      </c>
      <c r="J17" s="82">
        <f>J91</f>
        <v>0</v>
      </c>
      <c r="K17" s="74" t="e">
        <f>J17/D17</f>
        <v>#DIV/0!</v>
      </c>
    </row>
    <row r="18" spans="1:40" s="39" customFormat="1" ht="18.75" thickBot="1" x14ac:dyDescent="0.5">
      <c r="B18" s="83" t="s">
        <v>12</v>
      </c>
      <c r="C18" s="84"/>
      <c r="D18" s="85">
        <f>SUM(D12:D17)</f>
        <v>0</v>
      </c>
      <c r="E18" s="79">
        <f>SUM(E12:E17)</f>
        <v>0</v>
      </c>
      <c r="F18" s="71">
        <f t="shared" si="0"/>
        <v>0</v>
      </c>
      <c r="G18" s="86" t="e">
        <f t="shared" si="1"/>
        <v>#DIV/0!</v>
      </c>
      <c r="H18" s="87">
        <f>SUM(H12:H17)</f>
        <v>0</v>
      </c>
      <c r="I18" s="88" t="e">
        <f>SUM(I12:I12)</f>
        <v>#DIV/0!</v>
      </c>
      <c r="J18" s="87">
        <f>SUM(J12:J17)</f>
        <v>0</v>
      </c>
      <c r="K18" s="88">
        <f t="shared" ref="K18" si="3">SUM(K12:K12)</f>
        <v>0</v>
      </c>
    </row>
    <row r="20" spans="1:40" ht="18.75" thickBot="1" x14ac:dyDescent="0.5"/>
    <row r="21" spans="1:40" ht="18.75" thickBot="1" x14ac:dyDescent="0.5">
      <c r="B21" s="89" t="s">
        <v>13</v>
      </c>
      <c r="C21" s="90"/>
      <c r="D21" s="90"/>
      <c r="E21" s="90"/>
      <c r="F21" s="90"/>
      <c r="G21" s="90"/>
      <c r="H21" s="90"/>
      <c r="I21" s="90"/>
      <c r="J21" s="90"/>
      <c r="K21" s="90"/>
      <c r="L21" s="91"/>
    </row>
    <row r="22" spans="1:40" x14ac:dyDescent="0.45">
      <c r="B22" s="92" t="s">
        <v>14</v>
      </c>
      <c r="C22" s="93"/>
      <c r="D22" s="93"/>
      <c r="E22" s="93"/>
      <c r="F22" s="93"/>
      <c r="G22" s="93"/>
      <c r="H22" s="93"/>
      <c r="I22" s="93"/>
      <c r="J22" s="93"/>
      <c r="K22" s="93"/>
      <c r="L22" s="94"/>
    </row>
    <row r="23" spans="1:40" x14ac:dyDescent="0.45">
      <c r="B23" s="95" t="s">
        <v>15</v>
      </c>
      <c r="C23" s="96"/>
      <c r="D23" s="96"/>
      <c r="E23" s="96"/>
      <c r="F23" s="96"/>
      <c r="G23" s="96"/>
      <c r="H23" s="96"/>
      <c r="I23" s="96"/>
      <c r="J23" s="96"/>
      <c r="K23" s="96"/>
      <c r="L23" s="97"/>
    </row>
    <row r="24" spans="1:40" x14ac:dyDescent="0.45">
      <c r="B24" s="95" t="s">
        <v>16</v>
      </c>
      <c r="C24" s="96"/>
      <c r="D24" s="96"/>
      <c r="E24" s="96"/>
      <c r="F24" s="96"/>
      <c r="G24" s="96"/>
      <c r="H24" s="96"/>
      <c r="I24" s="96"/>
      <c r="J24" s="96"/>
      <c r="K24" s="96"/>
      <c r="L24" s="97"/>
    </row>
    <row r="25" spans="1:40" x14ac:dyDescent="0.45">
      <c r="B25" s="98" t="s">
        <v>17</v>
      </c>
      <c r="C25" s="96"/>
      <c r="D25" s="96"/>
      <c r="E25" s="96"/>
      <c r="F25" s="96"/>
      <c r="G25" s="96"/>
      <c r="H25" s="96"/>
      <c r="I25" s="96"/>
      <c r="J25" s="96"/>
      <c r="K25" s="96"/>
      <c r="L25" s="97"/>
    </row>
    <row r="26" spans="1:40" ht="18.75" thickBot="1" x14ac:dyDescent="0.5">
      <c r="B26" s="99" t="s">
        <v>71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40" ht="18.75" thickBot="1" x14ac:dyDescent="0.5"/>
    <row r="28" spans="1:40" ht="18.75" thickBot="1" x14ac:dyDescent="0.5">
      <c r="B28" s="54" t="s">
        <v>18</v>
      </c>
      <c r="C28" s="55"/>
      <c r="D28" s="55"/>
      <c r="E28" s="55"/>
      <c r="F28" s="55"/>
      <c r="G28" s="55"/>
      <c r="H28" s="55"/>
      <c r="I28" s="55"/>
      <c r="J28" s="55"/>
      <c r="K28" s="55"/>
      <c r="L28" s="56"/>
    </row>
    <row r="29" spans="1:40" s="102" customFormat="1" ht="28.5" customHeight="1" thickBot="1" x14ac:dyDescent="0.25">
      <c r="B29" s="103" t="s">
        <v>19</v>
      </c>
      <c r="C29" s="104"/>
      <c r="D29" s="104"/>
      <c r="E29" s="104"/>
      <c r="F29" s="104"/>
      <c r="G29" s="104"/>
      <c r="H29" s="104"/>
      <c r="I29" s="104"/>
      <c r="J29" s="104"/>
      <c r="K29" s="104"/>
      <c r="L29" s="105"/>
    </row>
    <row r="30" spans="1:40" ht="18.75" thickBot="1" x14ac:dyDescent="0.5"/>
    <row r="31" spans="1:40" ht="18.75" thickBot="1" x14ac:dyDescent="0.5">
      <c r="B31" s="106" t="s">
        <v>20</v>
      </c>
      <c r="C31" s="107" t="s">
        <v>13</v>
      </c>
      <c r="D31" s="108"/>
      <c r="E31" s="108"/>
      <c r="F31" s="108"/>
      <c r="G31" s="108"/>
      <c r="H31" s="108"/>
      <c r="I31" s="108"/>
      <c r="J31" s="108"/>
      <c r="K31" s="108"/>
      <c r="L31" s="109"/>
      <c r="AN31" s="36" t="s">
        <v>21</v>
      </c>
    </row>
    <row r="32" spans="1:40" ht="18.75" thickBot="1" x14ac:dyDescent="0.5">
      <c r="A32" s="36" t="s">
        <v>64</v>
      </c>
      <c r="B32" s="110" t="s">
        <v>22</v>
      </c>
      <c r="C32" s="111" t="s">
        <v>69</v>
      </c>
      <c r="D32" s="112"/>
      <c r="E32" s="112"/>
      <c r="F32" s="112"/>
      <c r="G32" s="112"/>
      <c r="H32" s="112"/>
      <c r="I32" s="112"/>
      <c r="J32" s="112"/>
      <c r="K32" s="112"/>
      <c r="L32" s="113"/>
      <c r="AD32" s="36" t="s">
        <v>23</v>
      </c>
    </row>
    <row r="33" spans="1:30" ht="18.75" thickBot="1" x14ac:dyDescent="0.5">
      <c r="A33" s="36" t="s">
        <v>65</v>
      </c>
      <c r="B33" s="114" t="s">
        <v>24</v>
      </c>
      <c r="C33" s="111" t="s">
        <v>17</v>
      </c>
      <c r="D33" s="112"/>
      <c r="E33" s="112"/>
      <c r="F33" s="112"/>
      <c r="G33" s="112"/>
      <c r="H33" s="112"/>
      <c r="I33" s="112"/>
      <c r="J33" s="112"/>
      <c r="K33" s="112"/>
      <c r="L33" s="113"/>
      <c r="AD33" s="36" t="s">
        <v>25</v>
      </c>
    </row>
    <row r="34" spans="1:30" ht="18.75" thickBot="1" x14ac:dyDescent="0.5">
      <c r="A34" s="36" t="s">
        <v>66</v>
      </c>
      <c r="B34" s="114" t="s">
        <v>26</v>
      </c>
      <c r="C34" s="111" t="s">
        <v>19</v>
      </c>
      <c r="D34" s="112"/>
      <c r="E34" s="112"/>
      <c r="F34" s="112"/>
      <c r="G34" s="112"/>
      <c r="H34" s="112"/>
      <c r="I34" s="112"/>
      <c r="J34" s="112"/>
      <c r="K34" s="112"/>
      <c r="L34" s="113"/>
      <c r="AD34" s="36" t="s">
        <v>27</v>
      </c>
    </row>
    <row r="35" spans="1:30" ht="18.75" thickBot="1" x14ac:dyDescent="0.5">
      <c r="A35" s="36" t="s">
        <v>67</v>
      </c>
      <c r="B35" s="114" t="s">
        <v>28</v>
      </c>
      <c r="C35" s="111" t="s">
        <v>15</v>
      </c>
      <c r="D35" s="112"/>
      <c r="E35" s="112"/>
      <c r="F35" s="112"/>
      <c r="G35" s="112"/>
      <c r="H35" s="112"/>
      <c r="I35" s="112"/>
      <c r="J35" s="112"/>
      <c r="K35" s="112"/>
      <c r="L35" s="113"/>
    </row>
    <row r="36" spans="1:30" ht="18.75" thickBot="1" x14ac:dyDescent="0.5">
      <c r="A36" s="36" t="s">
        <v>68</v>
      </c>
      <c r="B36" s="114" t="s">
        <v>29</v>
      </c>
      <c r="C36" s="111" t="s">
        <v>70</v>
      </c>
      <c r="D36" s="112"/>
      <c r="E36" s="112"/>
      <c r="F36" s="112"/>
      <c r="G36" s="112"/>
      <c r="H36" s="112"/>
      <c r="I36" s="112"/>
      <c r="J36" s="112"/>
      <c r="K36" s="112"/>
      <c r="L36" s="113"/>
    </row>
    <row r="38" spans="1:30" ht="18.75" thickBot="1" x14ac:dyDescent="0.5"/>
    <row r="39" spans="1:30" ht="18.75" thickBot="1" x14ac:dyDescent="0.5">
      <c r="B39" s="115" t="str">
        <f>B12</f>
        <v>prepaid expenses</v>
      </c>
      <c r="C39" s="116"/>
      <c r="D39" s="116"/>
      <c r="E39" s="116"/>
      <c r="F39" s="116"/>
      <c r="G39" s="116"/>
      <c r="H39" s="116"/>
      <c r="I39" s="116"/>
      <c r="J39" s="116"/>
      <c r="K39" s="116"/>
      <c r="L39" s="117"/>
    </row>
    <row r="40" spans="1:30" ht="18.75" thickBot="1" x14ac:dyDescent="0.5"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</row>
    <row r="41" spans="1:30" ht="18.75" thickBot="1" x14ac:dyDescent="0.5">
      <c r="B41" s="119" t="s">
        <v>47</v>
      </c>
      <c r="C41" s="120" t="s">
        <v>49</v>
      </c>
      <c r="D41" s="120" t="s">
        <v>48</v>
      </c>
      <c r="E41" s="120" t="s">
        <v>58</v>
      </c>
      <c r="F41" s="121" t="s">
        <v>51</v>
      </c>
      <c r="G41" s="120" t="s">
        <v>50</v>
      </c>
      <c r="H41" s="120" t="s">
        <v>52</v>
      </c>
      <c r="I41" s="120" t="s">
        <v>53</v>
      </c>
      <c r="J41" s="122" t="s">
        <v>54</v>
      </c>
      <c r="K41" s="120" t="s">
        <v>55</v>
      </c>
      <c r="L41" s="120" t="s">
        <v>56</v>
      </c>
      <c r="M41" s="123"/>
    </row>
    <row r="42" spans="1:30" x14ac:dyDescent="0.45">
      <c r="B42" s="124" t="s">
        <v>59</v>
      </c>
      <c r="C42" s="125">
        <v>0</v>
      </c>
      <c r="D42" s="125">
        <v>0</v>
      </c>
      <c r="E42" s="125">
        <f>C42-D42</f>
        <v>0</v>
      </c>
      <c r="F42" s="126">
        <v>45292</v>
      </c>
      <c r="G42" s="127">
        <v>45657</v>
      </c>
      <c r="H42" s="127">
        <f>C4</f>
        <v>45657</v>
      </c>
      <c r="I42" s="128">
        <f>+G42-F42+1</f>
        <v>366</v>
      </c>
      <c r="J42" s="129">
        <f>+H42-F42+1</f>
        <v>366</v>
      </c>
      <c r="K42" s="125">
        <f>+C42/I42*J42</f>
        <v>0</v>
      </c>
      <c r="L42" s="125">
        <f>C42-K42</f>
        <v>0</v>
      </c>
    </row>
    <row r="43" spans="1:30" x14ac:dyDescent="0.45">
      <c r="B43" s="124" t="s">
        <v>60</v>
      </c>
      <c r="C43" s="125">
        <v>0</v>
      </c>
      <c r="D43" s="125">
        <v>0</v>
      </c>
      <c r="E43" s="125">
        <f>C43-D43</f>
        <v>0</v>
      </c>
      <c r="F43" s="126">
        <v>45292</v>
      </c>
      <c r="G43" s="127">
        <v>45657</v>
      </c>
      <c r="H43" s="127">
        <f>C4</f>
        <v>45657</v>
      </c>
      <c r="I43" s="128">
        <f>+G43-F43+1</f>
        <v>366</v>
      </c>
      <c r="J43" s="129">
        <f>+H43-F43+1</f>
        <v>366</v>
      </c>
      <c r="K43" s="125">
        <f>+C43/I43*J43</f>
        <v>0</v>
      </c>
      <c r="L43" s="125">
        <f>C43-K43</f>
        <v>0</v>
      </c>
    </row>
    <row r="44" spans="1:30" ht="18.75" thickBot="1" x14ac:dyDescent="0.5">
      <c r="B44" s="124" t="s">
        <v>61</v>
      </c>
      <c r="C44" s="125">
        <v>0</v>
      </c>
      <c r="D44" s="125">
        <v>0</v>
      </c>
      <c r="E44" s="125">
        <f>C44-D44</f>
        <v>0</v>
      </c>
      <c r="F44" s="126">
        <v>45292</v>
      </c>
      <c r="G44" s="127">
        <v>45657</v>
      </c>
      <c r="H44" s="127">
        <f>C4</f>
        <v>45657</v>
      </c>
      <c r="I44" s="128">
        <f>+G44-F44+1</f>
        <v>366</v>
      </c>
      <c r="J44" s="129">
        <f>+H44-F44+1</f>
        <v>366</v>
      </c>
      <c r="K44" s="125">
        <f>+C44/I44*J44</f>
        <v>0</v>
      </c>
      <c r="L44" s="125">
        <f>C44-K44</f>
        <v>0</v>
      </c>
    </row>
    <row r="45" spans="1:30" ht="18.75" thickBot="1" x14ac:dyDescent="0.5">
      <c r="B45" s="122" t="s">
        <v>62</v>
      </c>
      <c r="C45" s="130">
        <f>SUM(C42:C44)</f>
        <v>0</v>
      </c>
      <c r="D45" s="130">
        <f>SUM(D42:D44)</f>
        <v>0</v>
      </c>
      <c r="E45" s="130">
        <f>SUM(E42:E44)</f>
        <v>0</v>
      </c>
      <c r="F45" s="131"/>
      <c r="G45" s="132"/>
      <c r="H45" s="132"/>
      <c r="I45" s="133"/>
      <c r="J45" s="134"/>
      <c r="K45" s="135">
        <f>SUM(K42:K44)</f>
        <v>0</v>
      </c>
      <c r="L45" s="136">
        <f>SUM(L42:L44)</f>
        <v>0</v>
      </c>
      <c r="M45" s="137"/>
    </row>
    <row r="46" spans="1:30" ht="18.75" thickBot="1" x14ac:dyDescent="0.5">
      <c r="B46" s="119" t="s">
        <v>57</v>
      </c>
      <c r="C46" s="138" t="s">
        <v>49</v>
      </c>
      <c r="D46" s="138" t="s">
        <v>48</v>
      </c>
      <c r="E46" s="138" t="s">
        <v>58</v>
      </c>
      <c r="F46" s="121" t="s">
        <v>51</v>
      </c>
      <c r="G46" s="120" t="s">
        <v>50</v>
      </c>
      <c r="H46" s="120" t="s">
        <v>52</v>
      </c>
      <c r="I46" s="120" t="s">
        <v>53</v>
      </c>
      <c r="J46" s="122" t="s">
        <v>54</v>
      </c>
      <c r="K46" s="138" t="s">
        <v>55</v>
      </c>
      <c r="L46" s="138" t="s">
        <v>56</v>
      </c>
      <c r="M46" s="123"/>
    </row>
    <row r="47" spans="1:30" x14ac:dyDescent="0.45">
      <c r="B47" s="124" t="s">
        <v>59</v>
      </c>
      <c r="C47" s="125">
        <v>0</v>
      </c>
      <c r="D47" s="125">
        <v>0</v>
      </c>
      <c r="E47" s="125">
        <f>C47-D47</f>
        <v>0</v>
      </c>
      <c r="F47" s="126">
        <v>44927</v>
      </c>
      <c r="G47" s="127">
        <v>45291</v>
      </c>
      <c r="H47" s="127">
        <f>C4</f>
        <v>45657</v>
      </c>
      <c r="I47" s="128">
        <f>+G47-F47+1</f>
        <v>365</v>
      </c>
      <c r="J47" s="129">
        <f>+H47-F47+1</f>
        <v>731</v>
      </c>
      <c r="K47" s="125">
        <f>+C47/I47*J47</f>
        <v>0</v>
      </c>
      <c r="L47" s="125">
        <f>C47-K47</f>
        <v>0</v>
      </c>
    </row>
    <row r="48" spans="1:30" ht="18.75" thickBot="1" x14ac:dyDescent="0.5">
      <c r="B48" s="124" t="s">
        <v>60</v>
      </c>
      <c r="C48" s="125">
        <v>0</v>
      </c>
      <c r="D48" s="125">
        <v>0</v>
      </c>
      <c r="E48" s="125">
        <f>C48-D48</f>
        <v>0</v>
      </c>
      <c r="F48" s="126">
        <v>44927</v>
      </c>
      <c r="G48" s="127">
        <v>45291</v>
      </c>
      <c r="H48" s="139">
        <f>C4</f>
        <v>45657</v>
      </c>
      <c r="I48" s="128">
        <f>+G48-F48+1</f>
        <v>365</v>
      </c>
      <c r="J48" s="129">
        <f>+H48-F48+1</f>
        <v>731</v>
      </c>
      <c r="K48" s="125">
        <f>+C48/I48*J48</f>
        <v>0</v>
      </c>
      <c r="L48" s="125">
        <f>C48-K48</f>
        <v>0</v>
      </c>
    </row>
    <row r="49" spans="2:13" ht="18.75" thickBot="1" x14ac:dyDescent="0.5">
      <c r="B49" s="122" t="s">
        <v>62</v>
      </c>
      <c r="C49" s="140">
        <f>SUM(C47:C48)</f>
        <v>0</v>
      </c>
      <c r="D49" s="140">
        <f>SUM(D47:D48)</f>
        <v>0</v>
      </c>
      <c r="E49" s="140">
        <f>SUM(E47:E48)</f>
        <v>0</v>
      </c>
      <c r="F49" s="141"/>
      <c r="G49" s="142"/>
      <c r="H49" s="143"/>
      <c r="I49" s="142"/>
      <c r="J49" s="144"/>
      <c r="K49" s="145">
        <f>SUM(K47:K48)</f>
        <v>0</v>
      </c>
      <c r="L49" s="145">
        <f>SUM(L47:L48)</f>
        <v>0</v>
      </c>
      <c r="M49" s="137"/>
    </row>
    <row r="50" spans="2:13" x14ac:dyDescent="0.45">
      <c r="B50" s="123"/>
      <c r="H50" s="123"/>
      <c r="I50" s="123"/>
      <c r="J50" s="146"/>
      <c r="K50" s="146"/>
      <c r="L50" s="146"/>
    </row>
    <row r="51" spans="2:13" ht="18.75" thickBot="1" x14ac:dyDescent="0.5"/>
    <row r="52" spans="2:13" ht="18.75" thickBot="1" x14ac:dyDescent="0.5">
      <c r="B52" s="147" t="str">
        <f>B13</f>
        <v xml:space="preserve">Employees' loans  </v>
      </c>
      <c r="C52" s="148"/>
      <c r="D52" s="148"/>
      <c r="E52" s="148"/>
      <c r="F52" s="148"/>
      <c r="G52" s="149"/>
    </row>
    <row r="53" spans="2:13" ht="18.75" thickBot="1" x14ac:dyDescent="0.5">
      <c r="B53" s="122" t="s">
        <v>30</v>
      </c>
      <c r="C53" s="120" t="s">
        <v>33</v>
      </c>
      <c r="D53" s="120" t="s">
        <v>38</v>
      </c>
      <c r="E53" s="120" t="s">
        <v>35</v>
      </c>
      <c r="F53" s="150" t="s">
        <v>5</v>
      </c>
      <c r="G53" s="151"/>
      <c r="H53" s="123"/>
    </row>
    <row r="54" spans="2:13" x14ac:dyDescent="0.45">
      <c r="B54" s="124">
        <v>1</v>
      </c>
      <c r="C54" s="152"/>
      <c r="D54" s="153"/>
      <c r="E54" s="153"/>
      <c r="F54" s="154"/>
      <c r="G54" s="155"/>
      <c r="H54" s="123"/>
    </row>
    <row r="55" spans="2:13" x14ac:dyDescent="0.45">
      <c r="B55" s="124">
        <v>2</v>
      </c>
      <c r="C55" s="152"/>
      <c r="D55" s="153"/>
      <c r="E55" s="153"/>
      <c r="F55" s="154"/>
      <c r="G55" s="155"/>
      <c r="H55" s="123"/>
    </row>
    <row r="56" spans="2:13" x14ac:dyDescent="0.45">
      <c r="B56" s="124">
        <v>3</v>
      </c>
      <c r="C56" s="152"/>
      <c r="D56" s="153"/>
      <c r="E56" s="153"/>
      <c r="F56" s="154"/>
      <c r="G56" s="155"/>
      <c r="H56" s="123"/>
    </row>
    <row r="57" spans="2:13" x14ac:dyDescent="0.45">
      <c r="B57" s="124">
        <v>4</v>
      </c>
      <c r="C57" s="152"/>
      <c r="D57" s="153"/>
      <c r="E57" s="153"/>
      <c r="F57" s="154"/>
      <c r="G57" s="155"/>
      <c r="H57" s="123"/>
    </row>
    <row r="58" spans="2:13" ht="18.75" thickBot="1" x14ac:dyDescent="0.5">
      <c r="B58" s="124">
        <v>5</v>
      </c>
      <c r="C58" s="152"/>
      <c r="D58" s="153"/>
      <c r="E58" s="153"/>
      <c r="F58" s="154"/>
      <c r="G58" s="155"/>
      <c r="H58" s="123"/>
    </row>
    <row r="59" spans="2:13" ht="18.75" thickBot="1" x14ac:dyDescent="0.5">
      <c r="B59" s="147" t="s">
        <v>39</v>
      </c>
      <c r="C59" s="149"/>
      <c r="D59" s="156">
        <f>SUM(D54:D58)</f>
        <v>0</v>
      </c>
      <c r="E59" s="156">
        <f>SUM(E54:E58)</f>
        <v>0</v>
      </c>
      <c r="F59" s="157"/>
      <c r="G59" s="158"/>
      <c r="H59" s="146"/>
    </row>
    <row r="60" spans="2:13" x14ac:dyDescent="0.45">
      <c r="B60" s="146"/>
      <c r="C60" s="146"/>
      <c r="D60" s="123"/>
      <c r="E60" s="123"/>
      <c r="F60" s="146"/>
      <c r="G60" s="146"/>
      <c r="H60" s="146"/>
      <c r="I60" s="146"/>
      <c r="J60" s="146"/>
      <c r="K60" s="123"/>
      <c r="L60" s="123"/>
    </row>
    <row r="61" spans="2:13" ht="18.75" thickBot="1" x14ac:dyDescent="0.5">
      <c r="B61" s="146"/>
      <c r="C61" s="146"/>
      <c r="D61" s="123"/>
      <c r="E61" s="123"/>
      <c r="F61" s="146"/>
      <c r="G61" s="146"/>
      <c r="H61" s="146"/>
      <c r="I61" s="146"/>
      <c r="J61" s="146"/>
      <c r="K61" s="123"/>
      <c r="L61" s="123"/>
    </row>
    <row r="62" spans="2:13" ht="18.75" thickBot="1" x14ac:dyDescent="0.5">
      <c r="B62" s="147" t="str">
        <f>B15</f>
        <v>Various debitors</v>
      </c>
      <c r="C62" s="148"/>
      <c r="D62" s="148"/>
      <c r="E62" s="148"/>
      <c r="F62" s="148"/>
      <c r="G62" s="149"/>
      <c r="H62" s="146"/>
      <c r="I62" s="146"/>
      <c r="J62" s="146"/>
      <c r="K62" s="123"/>
      <c r="L62" s="123"/>
    </row>
    <row r="63" spans="2:13" ht="18.75" thickBot="1" x14ac:dyDescent="0.5">
      <c r="B63" s="122" t="s">
        <v>30</v>
      </c>
      <c r="C63" s="120" t="s">
        <v>33</v>
      </c>
      <c r="D63" s="120" t="s">
        <v>38</v>
      </c>
      <c r="E63" s="120" t="s">
        <v>35</v>
      </c>
      <c r="F63" s="120" t="s">
        <v>75</v>
      </c>
      <c r="G63" s="121" t="s">
        <v>5</v>
      </c>
      <c r="H63" s="146"/>
      <c r="I63" s="146"/>
      <c r="J63" s="146"/>
      <c r="K63" s="123"/>
      <c r="L63" s="123"/>
    </row>
    <row r="64" spans="2:13" x14ac:dyDescent="0.45">
      <c r="B64" s="124">
        <v>1</v>
      </c>
      <c r="C64" s="152"/>
      <c r="D64" s="153"/>
      <c r="E64" s="153"/>
      <c r="F64" s="153"/>
      <c r="G64" s="159"/>
      <c r="H64" s="146"/>
      <c r="I64" s="146"/>
      <c r="J64" s="146"/>
      <c r="K64" s="123"/>
      <c r="L64" s="123"/>
    </row>
    <row r="65" spans="2:12" x14ac:dyDescent="0.45">
      <c r="B65" s="124">
        <v>2</v>
      </c>
      <c r="C65" s="152"/>
      <c r="D65" s="153"/>
      <c r="E65" s="153"/>
      <c r="F65" s="153"/>
      <c r="G65" s="159"/>
      <c r="H65" s="146"/>
      <c r="I65" s="146"/>
      <c r="J65" s="146"/>
      <c r="K65" s="123"/>
      <c r="L65" s="123"/>
    </row>
    <row r="66" spans="2:12" x14ac:dyDescent="0.45">
      <c r="B66" s="124">
        <v>3</v>
      </c>
      <c r="C66" s="152"/>
      <c r="D66" s="153"/>
      <c r="E66" s="153"/>
      <c r="F66" s="153"/>
      <c r="G66" s="159"/>
      <c r="H66" s="146"/>
      <c r="I66" s="146"/>
      <c r="J66" s="146"/>
      <c r="K66" s="123"/>
      <c r="L66" s="123"/>
    </row>
    <row r="67" spans="2:12" x14ac:dyDescent="0.45">
      <c r="B67" s="124">
        <v>4</v>
      </c>
      <c r="C67" s="152"/>
      <c r="D67" s="153"/>
      <c r="E67" s="153"/>
      <c r="F67" s="153"/>
      <c r="G67" s="159"/>
      <c r="H67" s="146"/>
      <c r="I67" s="146"/>
      <c r="J67" s="146"/>
      <c r="K67" s="123"/>
      <c r="L67" s="123"/>
    </row>
    <row r="68" spans="2:12" ht="18.75" thickBot="1" x14ac:dyDescent="0.5">
      <c r="B68" s="124">
        <v>5</v>
      </c>
      <c r="C68" s="152"/>
      <c r="D68" s="153"/>
      <c r="E68" s="153"/>
      <c r="F68" s="153"/>
      <c r="G68" s="160"/>
      <c r="H68" s="146"/>
      <c r="I68" s="146"/>
      <c r="J68" s="146"/>
      <c r="K68" s="123"/>
      <c r="L68" s="123"/>
    </row>
    <row r="69" spans="2:12" ht="18.75" thickBot="1" x14ac:dyDescent="0.5">
      <c r="B69" s="147" t="s">
        <v>39</v>
      </c>
      <c r="C69" s="149"/>
      <c r="D69" s="156">
        <f>SUM(D64:D68)</f>
        <v>0</v>
      </c>
      <c r="E69" s="156">
        <f>SUM(E64:E68)</f>
        <v>0</v>
      </c>
      <c r="F69" s="156">
        <f>SUM(F64:F68)</f>
        <v>0</v>
      </c>
      <c r="G69" s="141"/>
      <c r="H69" s="146"/>
      <c r="I69" s="146"/>
      <c r="J69" s="146"/>
      <c r="K69" s="123"/>
      <c r="L69" s="123"/>
    </row>
    <row r="70" spans="2:12" x14ac:dyDescent="0.45">
      <c r="B70" s="146"/>
      <c r="C70" s="146"/>
      <c r="D70" s="123"/>
      <c r="E70" s="123"/>
      <c r="F70" s="146"/>
      <c r="G70" s="146"/>
      <c r="H70" s="146"/>
      <c r="I70" s="146"/>
      <c r="J70" s="146"/>
      <c r="K70" s="123"/>
      <c r="L70" s="123"/>
    </row>
    <row r="71" spans="2:12" x14ac:dyDescent="0.45">
      <c r="B71" s="146"/>
      <c r="C71" s="146"/>
      <c r="D71" s="123"/>
      <c r="E71" s="123"/>
      <c r="F71" s="146"/>
      <c r="G71" s="146"/>
      <c r="H71" s="146"/>
      <c r="I71" s="146"/>
      <c r="J71" s="146"/>
      <c r="K71" s="123"/>
      <c r="L71" s="123"/>
    </row>
    <row r="72" spans="2:12" x14ac:dyDescent="0.45">
      <c r="B72" s="146"/>
      <c r="C72" s="146"/>
      <c r="D72" s="123"/>
      <c r="E72" s="123"/>
      <c r="F72" s="146"/>
      <c r="G72" s="146"/>
      <c r="H72" s="146"/>
      <c r="I72" s="146"/>
      <c r="J72" s="146"/>
      <c r="K72" s="123"/>
      <c r="L72" s="123"/>
    </row>
    <row r="73" spans="2:12" ht="18.75" thickBot="1" x14ac:dyDescent="0.5">
      <c r="B73" s="146"/>
      <c r="C73" s="146"/>
      <c r="D73" s="123"/>
      <c r="E73" s="123"/>
      <c r="F73" s="146"/>
      <c r="G73" s="146"/>
      <c r="H73" s="146"/>
      <c r="I73" s="146"/>
      <c r="J73" s="146"/>
      <c r="K73" s="123"/>
      <c r="L73" s="123"/>
    </row>
    <row r="74" spans="2:12" ht="18.75" thickBot="1" x14ac:dyDescent="0.5">
      <c r="B74" s="147" t="str">
        <f>B16</f>
        <v>Letter of Guarantee</v>
      </c>
      <c r="C74" s="148"/>
      <c r="D74" s="148"/>
      <c r="E74" s="148"/>
      <c r="F74" s="148"/>
      <c r="G74" s="148"/>
      <c r="H74" s="149"/>
      <c r="I74" s="146"/>
      <c r="J74" s="146"/>
      <c r="K74" s="123"/>
      <c r="L74" s="123"/>
    </row>
    <row r="75" spans="2:12" ht="18.75" thickBot="1" x14ac:dyDescent="0.5">
      <c r="B75" s="161" t="s">
        <v>30</v>
      </c>
      <c r="C75" s="138" t="s">
        <v>5</v>
      </c>
      <c r="D75" s="138" t="s">
        <v>32</v>
      </c>
      <c r="E75" s="138" t="s">
        <v>38</v>
      </c>
      <c r="F75" s="138" t="s">
        <v>35</v>
      </c>
      <c r="G75" s="150" t="s">
        <v>5</v>
      </c>
      <c r="H75" s="151"/>
      <c r="I75" s="146"/>
      <c r="J75" s="146"/>
      <c r="K75" s="123"/>
      <c r="L75" s="123"/>
    </row>
    <row r="76" spans="2:12" x14ac:dyDescent="0.45">
      <c r="B76" s="124">
        <v>1</v>
      </c>
      <c r="C76" s="152"/>
      <c r="D76" s="127"/>
      <c r="E76" s="153"/>
      <c r="F76" s="152"/>
      <c r="G76" s="162"/>
      <c r="H76" s="163"/>
      <c r="I76" s="146"/>
      <c r="J76" s="146"/>
      <c r="K76" s="123"/>
      <c r="L76" s="123"/>
    </row>
    <row r="77" spans="2:12" x14ac:dyDescent="0.45">
      <c r="B77" s="124">
        <v>2</v>
      </c>
      <c r="C77" s="152"/>
      <c r="D77" s="127"/>
      <c r="E77" s="153"/>
      <c r="F77" s="152"/>
      <c r="G77" s="154"/>
      <c r="H77" s="155"/>
      <c r="I77" s="146"/>
      <c r="J77" s="146"/>
      <c r="K77" s="123"/>
      <c r="L77" s="123"/>
    </row>
    <row r="78" spans="2:12" x14ac:dyDescent="0.45">
      <c r="B78" s="124">
        <v>3</v>
      </c>
      <c r="C78" s="152"/>
      <c r="D78" s="127"/>
      <c r="E78" s="153"/>
      <c r="F78" s="152"/>
      <c r="G78" s="154"/>
      <c r="H78" s="155"/>
      <c r="I78" s="146"/>
      <c r="J78" s="146"/>
      <c r="K78" s="123"/>
      <c r="L78" s="123"/>
    </row>
    <row r="79" spans="2:12" x14ac:dyDescent="0.45">
      <c r="B79" s="124">
        <v>4</v>
      </c>
      <c r="C79" s="152"/>
      <c r="D79" s="127"/>
      <c r="E79" s="153"/>
      <c r="F79" s="152"/>
      <c r="G79" s="154"/>
      <c r="H79" s="155"/>
      <c r="I79" s="146"/>
      <c r="J79" s="146"/>
      <c r="K79" s="123"/>
      <c r="L79" s="123"/>
    </row>
    <row r="80" spans="2:12" ht="18.75" thickBot="1" x14ac:dyDescent="0.5">
      <c r="B80" s="124">
        <v>5</v>
      </c>
      <c r="C80" s="152"/>
      <c r="D80" s="127"/>
      <c r="E80" s="153"/>
      <c r="F80" s="152"/>
      <c r="G80" s="154"/>
      <c r="H80" s="155"/>
      <c r="I80" s="146"/>
      <c r="J80" s="146"/>
      <c r="K80" s="123"/>
      <c r="L80" s="123"/>
    </row>
    <row r="81" spans="2:12" ht="18.75" thickBot="1" x14ac:dyDescent="0.5">
      <c r="B81" s="147" t="s">
        <v>39</v>
      </c>
      <c r="C81" s="148"/>
      <c r="D81" s="149"/>
      <c r="E81" s="156">
        <f>SUM(E76:E80)</f>
        <v>0</v>
      </c>
      <c r="F81" s="156">
        <f>SUM(F76:F80)</f>
        <v>0</v>
      </c>
      <c r="G81" s="157"/>
      <c r="H81" s="158"/>
      <c r="I81" s="146"/>
      <c r="J81" s="146"/>
      <c r="K81" s="123"/>
      <c r="L81" s="123"/>
    </row>
    <row r="83" spans="2:12" ht="18.75" thickBot="1" x14ac:dyDescent="0.5"/>
    <row r="84" spans="2:12" ht="18.75" thickBot="1" x14ac:dyDescent="0.5">
      <c r="B84" s="147" t="str">
        <f>B17</f>
        <v>Advance payments to vendors</v>
      </c>
      <c r="C84" s="148"/>
      <c r="D84" s="148"/>
      <c r="E84" s="148"/>
      <c r="F84" s="148"/>
      <c r="G84" s="148"/>
      <c r="H84" s="148"/>
      <c r="I84" s="148"/>
      <c r="J84" s="148"/>
      <c r="K84" s="148"/>
      <c r="L84" s="149"/>
    </row>
    <row r="85" spans="2:12" ht="18.75" thickBot="1" x14ac:dyDescent="0.5">
      <c r="B85" s="120" t="s">
        <v>30</v>
      </c>
      <c r="C85" s="120" t="s">
        <v>31</v>
      </c>
      <c r="D85" s="120" t="s">
        <v>32</v>
      </c>
      <c r="E85" s="122" t="s">
        <v>33</v>
      </c>
      <c r="F85" s="150" t="s">
        <v>5</v>
      </c>
      <c r="G85" s="151"/>
      <c r="H85" s="120" t="s">
        <v>34</v>
      </c>
      <c r="I85" s="120" t="s">
        <v>35</v>
      </c>
      <c r="J85" s="120" t="s">
        <v>76</v>
      </c>
      <c r="K85" s="120" t="s">
        <v>36</v>
      </c>
      <c r="L85" s="164" t="s">
        <v>37</v>
      </c>
    </row>
    <row r="86" spans="2:12" ht="18.75" thickBot="1" x14ac:dyDescent="0.5">
      <c r="B86" s="124">
        <v>1</v>
      </c>
      <c r="D86" s="127"/>
      <c r="F86" s="162"/>
      <c r="G86" s="163"/>
      <c r="H86" s="124">
        <v>0</v>
      </c>
      <c r="I86" s="123">
        <v>0</v>
      </c>
      <c r="J86" s="165">
        <f>I86-H86</f>
        <v>0</v>
      </c>
      <c r="K86" s="165">
        <f>J86-I86</f>
        <v>0</v>
      </c>
      <c r="L86" s="166"/>
    </row>
    <row r="87" spans="2:12" ht="18.75" thickBot="1" x14ac:dyDescent="0.5">
      <c r="B87" s="124">
        <v>2</v>
      </c>
      <c r="D87" s="127"/>
      <c r="F87" s="154"/>
      <c r="G87" s="155"/>
      <c r="H87" s="124">
        <v>0</v>
      </c>
      <c r="I87" s="123">
        <v>0</v>
      </c>
      <c r="J87" s="165">
        <f t="shared" ref="J87:K90" si="4">I87-H87</f>
        <v>0</v>
      </c>
      <c r="K87" s="165">
        <f t="shared" si="4"/>
        <v>0</v>
      </c>
      <c r="L87" s="166"/>
    </row>
    <row r="88" spans="2:12" ht="18.75" thickBot="1" x14ac:dyDescent="0.5">
      <c r="B88" s="124">
        <v>3</v>
      </c>
      <c r="D88" s="127"/>
      <c r="F88" s="154"/>
      <c r="G88" s="155"/>
      <c r="H88" s="124">
        <v>0</v>
      </c>
      <c r="I88" s="123">
        <v>0</v>
      </c>
      <c r="J88" s="165">
        <f t="shared" si="4"/>
        <v>0</v>
      </c>
      <c r="K88" s="165">
        <f t="shared" si="4"/>
        <v>0</v>
      </c>
      <c r="L88" s="166"/>
    </row>
    <row r="89" spans="2:12" ht="18.75" thickBot="1" x14ac:dyDescent="0.5">
      <c r="B89" s="124">
        <v>4</v>
      </c>
      <c r="D89" s="127"/>
      <c r="F89" s="154"/>
      <c r="G89" s="155"/>
      <c r="H89" s="124">
        <v>0</v>
      </c>
      <c r="I89" s="123">
        <v>0</v>
      </c>
      <c r="J89" s="165">
        <f t="shared" si="4"/>
        <v>0</v>
      </c>
      <c r="K89" s="165">
        <f t="shared" si="4"/>
        <v>0</v>
      </c>
      <c r="L89" s="166"/>
    </row>
    <row r="90" spans="2:12" x14ac:dyDescent="0.45">
      <c r="B90" s="124">
        <v>5</v>
      </c>
      <c r="D90" s="127"/>
      <c r="F90" s="154"/>
      <c r="G90" s="155"/>
      <c r="H90" s="124">
        <v>0</v>
      </c>
      <c r="I90" s="123">
        <v>0</v>
      </c>
      <c r="J90" s="165">
        <f t="shared" si="4"/>
        <v>0</v>
      </c>
      <c r="K90" s="165">
        <f t="shared" si="4"/>
        <v>0</v>
      </c>
      <c r="L90" s="166"/>
    </row>
    <row r="91" spans="2:12" ht="18.75" thickBot="1" x14ac:dyDescent="0.5">
      <c r="B91" s="144"/>
      <c r="C91" s="167"/>
      <c r="D91" s="167"/>
      <c r="E91" s="167"/>
      <c r="F91" s="157"/>
      <c r="G91" s="158"/>
      <c r="H91" s="168">
        <f t="shared" ref="H91:I91" si="5">SUM(H86:H90)</f>
        <v>0</v>
      </c>
      <c r="I91" s="169">
        <f t="shared" si="5"/>
        <v>0</v>
      </c>
      <c r="J91" s="170">
        <f>SUM(J86:J90)</f>
        <v>0</v>
      </c>
      <c r="K91" s="170">
        <f>SUM(K86:K90)</f>
        <v>0</v>
      </c>
      <c r="L91" s="142"/>
    </row>
    <row r="94" spans="2:12" ht="18.75" thickBot="1" x14ac:dyDescent="0.5"/>
    <row r="95" spans="2:12" ht="18.75" thickBot="1" x14ac:dyDescent="0.5">
      <c r="B95" s="166" t="s">
        <v>40</v>
      </c>
    </row>
    <row r="96" spans="2:12" x14ac:dyDescent="0.45">
      <c r="B96" s="171" t="s">
        <v>41</v>
      </c>
      <c r="C96" s="172"/>
      <c r="D96" s="172"/>
      <c r="E96" s="172"/>
      <c r="F96" s="172"/>
      <c r="G96" s="173"/>
    </row>
    <row r="97" spans="2:7" ht="18.75" thickBot="1" x14ac:dyDescent="0.5">
      <c r="B97" s="174"/>
      <c r="C97" s="175"/>
      <c r="D97" s="175"/>
      <c r="E97" s="175"/>
      <c r="F97" s="175"/>
      <c r="G97" s="176"/>
    </row>
  </sheetData>
  <mergeCells count="60">
    <mergeCell ref="B8:K8"/>
    <mergeCell ref="B10:C11"/>
    <mergeCell ref="B12:C12"/>
    <mergeCell ref="B13:C13"/>
    <mergeCell ref="D10:E10"/>
    <mergeCell ref="F10:G10"/>
    <mergeCell ref="H10:I10"/>
    <mergeCell ref="F58:G58"/>
    <mergeCell ref="B28:L28"/>
    <mergeCell ref="B18:C18"/>
    <mergeCell ref="B21:L21"/>
    <mergeCell ref="B26:L26"/>
    <mergeCell ref="B22:L22"/>
    <mergeCell ref="B23:L23"/>
    <mergeCell ref="B24:L24"/>
    <mergeCell ref="B25:L25"/>
    <mergeCell ref="J10:K10"/>
    <mergeCell ref="B96:G97"/>
    <mergeCell ref="B16:C16"/>
    <mergeCell ref="F53:G53"/>
    <mergeCell ref="F54:G54"/>
    <mergeCell ref="F55:G55"/>
    <mergeCell ref="F56:G56"/>
    <mergeCell ref="B84:L84"/>
    <mergeCell ref="F85:G85"/>
    <mergeCell ref="F86:G86"/>
    <mergeCell ref="F87:G87"/>
    <mergeCell ref="B74:H74"/>
    <mergeCell ref="B52:G52"/>
    <mergeCell ref="B59:C59"/>
    <mergeCell ref="B69:C69"/>
    <mergeCell ref="F57:G57"/>
    <mergeCell ref="F90:G90"/>
    <mergeCell ref="F91:G91"/>
    <mergeCell ref="F59:G59"/>
    <mergeCell ref="G80:H80"/>
    <mergeCell ref="F88:G88"/>
    <mergeCell ref="F89:G89"/>
    <mergeCell ref="G75:H75"/>
    <mergeCell ref="G76:H76"/>
    <mergeCell ref="G77:H77"/>
    <mergeCell ref="G78:H78"/>
    <mergeCell ref="G79:H79"/>
    <mergeCell ref="B62:G62"/>
    <mergeCell ref="C3:I3"/>
    <mergeCell ref="C4:I4"/>
    <mergeCell ref="C5:I5"/>
    <mergeCell ref="B81:D81"/>
    <mergeCell ref="G81:H81"/>
    <mergeCell ref="C36:L36"/>
    <mergeCell ref="B39:L39"/>
    <mergeCell ref="B29:L29"/>
    <mergeCell ref="C31:L31"/>
    <mergeCell ref="C32:L32"/>
    <mergeCell ref="C33:L33"/>
    <mergeCell ref="C34:L34"/>
    <mergeCell ref="C35:L35"/>
    <mergeCell ref="B15:C15"/>
    <mergeCell ref="B17:C17"/>
    <mergeCell ref="B14:C1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9F7A-4B96-4078-8C7C-038C6E131ED1}">
  <dimension ref="B3:L44"/>
  <sheetViews>
    <sheetView workbookViewId="0">
      <selection activeCell="E14" sqref="E14"/>
    </sheetView>
  </sheetViews>
  <sheetFormatPr defaultColWidth="16" defaultRowHeight="14.25" x14ac:dyDescent="0.2"/>
  <cols>
    <col min="2" max="2" width="17.375" bestFit="1" customWidth="1"/>
    <col min="3" max="3" width="30.625" bestFit="1" customWidth="1"/>
    <col min="4" max="4" width="20.75" bestFit="1" customWidth="1"/>
    <col min="6" max="6" width="17.625" bestFit="1" customWidth="1"/>
    <col min="7" max="7" width="17.75" bestFit="1" customWidth="1"/>
    <col min="8" max="8" width="16.625" bestFit="1" customWidth="1"/>
    <col min="11" max="11" width="21.75" bestFit="1" customWidth="1"/>
  </cols>
  <sheetData>
    <row r="3" spans="2:12" ht="15" thickBot="1" x14ac:dyDescent="0.25"/>
    <row r="4" spans="2:12" ht="15.75" thickBot="1" x14ac:dyDescent="0.25">
      <c r="B4" s="31" t="s">
        <v>102</v>
      </c>
      <c r="C4" s="32"/>
      <c r="D4" s="32"/>
      <c r="E4" s="32"/>
      <c r="F4" s="32"/>
      <c r="G4" s="32"/>
      <c r="H4" s="32"/>
      <c r="I4" s="32"/>
      <c r="J4" s="32"/>
      <c r="K4" s="32"/>
      <c r="L4" s="33"/>
    </row>
    <row r="5" spans="2:12" ht="15.75" thickBot="1" x14ac:dyDescent="0.25">
      <c r="B5" s="8"/>
      <c r="C5" s="8" t="s">
        <v>98</v>
      </c>
      <c r="D5" s="8" t="s">
        <v>99</v>
      </c>
      <c r="E5" s="8"/>
      <c r="F5" s="8" t="s">
        <v>97</v>
      </c>
      <c r="G5" s="8" t="s">
        <v>96</v>
      </c>
      <c r="H5" s="8" t="s">
        <v>100</v>
      </c>
      <c r="I5" s="8"/>
      <c r="J5" s="8"/>
      <c r="K5" s="8"/>
      <c r="L5" s="8"/>
    </row>
    <row r="6" spans="2:12" ht="15.75" thickBot="1" x14ac:dyDescent="0.25">
      <c r="B6" s="30" t="s">
        <v>47</v>
      </c>
      <c r="C6" s="1" t="s">
        <v>49</v>
      </c>
      <c r="D6" s="1" t="s">
        <v>48</v>
      </c>
      <c r="E6" s="1" t="s">
        <v>58</v>
      </c>
      <c r="F6" s="7" t="s">
        <v>51</v>
      </c>
      <c r="G6" s="1" t="s">
        <v>50</v>
      </c>
      <c r="H6" s="1" t="s">
        <v>52</v>
      </c>
      <c r="I6" s="1" t="s">
        <v>53</v>
      </c>
      <c r="J6" s="2" t="s">
        <v>101</v>
      </c>
      <c r="K6" s="1" t="s">
        <v>55</v>
      </c>
      <c r="L6" s="1" t="s">
        <v>56</v>
      </c>
    </row>
    <row r="7" spans="2:12" x14ac:dyDescent="0.2">
      <c r="B7" s="3" t="s">
        <v>59</v>
      </c>
      <c r="C7" s="15">
        <v>0</v>
      </c>
      <c r="D7" s="15">
        <v>0</v>
      </c>
      <c r="E7" s="15">
        <f>C7-D7</f>
        <v>0</v>
      </c>
      <c r="F7" s="17">
        <v>45292</v>
      </c>
      <c r="G7" s="11">
        <v>45657</v>
      </c>
      <c r="H7" s="11">
        <v>45657</v>
      </c>
      <c r="I7" s="9">
        <f>+G7-F7+1</f>
        <v>366</v>
      </c>
      <c r="J7" s="19">
        <f>+H7-F7+1</f>
        <v>366</v>
      </c>
      <c r="K7" s="21">
        <f>+C7/I7*J7</f>
        <v>0</v>
      </c>
      <c r="L7" s="15">
        <f>C7-K7</f>
        <v>0</v>
      </c>
    </row>
    <row r="8" spans="2:12" x14ac:dyDescent="0.2">
      <c r="B8" s="3" t="s">
        <v>60</v>
      </c>
      <c r="C8" s="15">
        <v>0</v>
      </c>
      <c r="D8" s="15">
        <v>0</v>
      </c>
      <c r="E8" s="15">
        <f>C8-D8</f>
        <v>0</v>
      </c>
      <c r="F8" s="17">
        <v>45292</v>
      </c>
      <c r="G8" s="11">
        <v>45657</v>
      </c>
      <c r="H8" s="11">
        <v>45657</v>
      </c>
      <c r="I8" s="9">
        <f>+G8-F8+1</f>
        <v>366</v>
      </c>
      <c r="J8" s="19">
        <f>+H8-F8+1</f>
        <v>366</v>
      </c>
      <c r="K8" s="21">
        <f>+C8/I8*J8</f>
        <v>0</v>
      </c>
      <c r="L8" s="15">
        <f>C8-K8</f>
        <v>0</v>
      </c>
    </row>
    <row r="9" spans="2:12" x14ac:dyDescent="0.2">
      <c r="B9" s="3" t="s">
        <v>61</v>
      </c>
      <c r="C9" s="15">
        <v>0</v>
      </c>
      <c r="D9" s="15">
        <v>0</v>
      </c>
      <c r="E9" s="15">
        <f>C9-D9</f>
        <v>0</v>
      </c>
      <c r="F9" s="17">
        <v>45292</v>
      </c>
      <c r="G9" s="11">
        <v>45657</v>
      </c>
      <c r="H9" s="11">
        <v>45657</v>
      </c>
      <c r="I9" s="9">
        <f>+G9-F9+1</f>
        <v>366</v>
      </c>
      <c r="J9" s="19">
        <f>+H9-F9+1</f>
        <v>366</v>
      </c>
      <c r="K9" s="21">
        <f>+C9/I9*J9</f>
        <v>0</v>
      </c>
      <c r="L9" s="15">
        <f>C9-K9</f>
        <v>0</v>
      </c>
    </row>
    <row r="10" spans="2:12" x14ac:dyDescent="0.2">
      <c r="B10" s="3" t="s">
        <v>79</v>
      </c>
      <c r="C10" s="15">
        <v>0</v>
      </c>
      <c r="D10" s="15">
        <v>0</v>
      </c>
      <c r="E10" s="15">
        <f t="shared" ref="E10:E25" si="0">C10-D10</f>
        <v>0</v>
      </c>
      <c r="F10" s="17">
        <v>45292</v>
      </c>
      <c r="G10" s="11">
        <v>45657</v>
      </c>
      <c r="H10" s="11">
        <v>45657</v>
      </c>
      <c r="I10" s="9">
        <f t="shared" ref="I10:I25" si="1">+G10-F10+1</f>
        <v>366</v>
      </c>
      <c r="J10" s="19">
        <f t="shared" ref="J10:J25" si="2">+H10-F10+1</f>
        <v>366</v>
      </c>
      <c r="K10" s="21">
        <f t="shared" ref="K10:K25" si="3">+C10/I10*J10</f>
        <v>0</v>
      </c>
      <c r="L10" s="15">
        <f t="shared" ref="L10:L25" si="4">C10-K10</f>
        <v>0</v>
      </c>
    </row>
    <row r="11" spans="2:12" x14ac:dyDescent="0.2">
      <c r="B11" s="3" t="s">
        <v>80</v>
      </c>
      <c r="C11" s="15">
        <v>0</v>
      </c>
      <c r="D11" s="15">
        <v>0</v>
      </c>
      <c r="E11" s="15">
        <f t="shared" si="0"/>
        <v>0</v>
      </c>
      <c r="F11" s="17">
        <v>45292</v>
      </c>
      <c r="G11" s="11">
        <v>45657</v>
      </c>
      <c r="H11" s="11">
        <v>45657</v>
      </c>
      <c r="I11" s="9">
        <f t="shared" si="1"/>
        <v>366</v>
      </c>
      <c r="J11" s="19">
        <f t="shared" si="2"/>
        <v>366</v>
      </c>
      <c r="K11" s="21">
        <f t="shared" si="3"/>
        <v>0</v>
      </c>
      <c r="L11" s="15">
        <f t="shared" si="4"/>
        <v>0</v>
      </c>
    </row>
    <row r="12" spans="2:12" x14ac:dyDescent="0.2">
      <c r="B12" s="3" t="s">
        <v>81</v>
      </c>
      <c r="C12" s="15">
        <v>0</v>
      </c>
      <c r="D12" s="15">
        <v>0</v>
      </c>
      <c r="E12" s="15">
        <f t="shared" si="0"/>
        <v>0</v>
      </c>
      <c r="F12" s="17">
        <v>45292</v>
      </c>
      <c r="G12" s="11">
        <v>45657</v>
      </c>
      <c r="H12" s="11">
        <v>45657</v>
      </c>
      <c r="I12" s="9">
        <f t="shared" si="1"/>
        <v>366</v>
      </c>
      <c r="J12" s="19">
        <f t="shared" si="2"/>
        <v>366</v>
      </c>
      <c r="K12" s="21">
        <f t="shared" si="3"/>
        <v>0</v>
      </c>
      <c r="L12" s="15">
        <f t="shared" si="4"/>
        <v>0</v>
      </c>
    </row>
    <row r="13" spans="2:12" x14ac:dyDescent="0.2">
      <c r="B13" s="3" t="s">
        <v>82</v>
      </c>
      <c r="C13" s="15">
        <v>0</v>
      </c>
      <c r="D13" s="15">
        <v>0</v>
      </c>
      <c r="E13" s="15">
        <f t="shared" si="0"/>
        <v>0</v>
      </c>
      <c r="F13" s="17">
        <v>45292</v>
      </c>
      <c r="G13" s="11">
        <v>45657</v>
      </c>
      <c r="H13" s="11">
        <v>45657</v>
      </c>
      <c r="I13" s="9">
        <f t="shared" si="1"/>
        <v>366</v>
      </c>
      <c r="J13" s="19">
        <f t="shared" si="2"/>
        <v>366</v>
      </c>
      <c r="K13" s="21">
        <f t="shared" si="3"/>
        <v>0</v>
      </c>
      <c r="L13" s="15">
        <f t="shared" si="4"/>
        <v>0</v>
      </c>
    </row>
    <row r="14" spans="2:12" x14ac:dyDescent="0.2">
      <c r="B14" s="3" t="s">
        <v>83</v>
      </c>
      <c r="C14" s="15">
        <v>0</v>
      </c>
      <c r="D14" s="15">
        <v>0</v>
      </c>
      <c r="E14" s="15">
        <f t="shared" si="0"/>
        <v>0</v>
      </c>
      <c r="F14" s="17">
        <v>45292</v>
      </c>
      <c r="G14" s="11">
        <v>45657</v>
      </c>
      <c r="H14" s="11">
        <v>45657</v>
      </c>
      <c r="I14" s="9">
        <f t="shared" si="1"/>
        <v>366</v>
      </c>
      <c r="J14" s="19">
        <f t="shared" si="2"/>
        <v>366</v>
      </c>
      <c r="K14" s="21">
        <f t="shared" si="3"/>
        <v>0</v>
      </c>
      <c r="L14" s="15">
        <f t="shared" si="4"/>
        <v>0</v>
      </c>
    </row>
    <row r="15" spans="2:12" x14ac:dyDescent="0.2">
      <c r="B15" s="3" t="s">
        <v>84</v>
      </c>
      <c r="C15" s="15">
        <v>0</v>
      </c>
      <c r="D15" s="15">
        <v>0</v>
      </c>
      <c r="E15" s="15">
        <f t="shared" si="0"/>
        <v>0</v>
      </c>
      <c r="F15" s="17">
        <v>45292</v>
      </c>
      <c r="G15" s="11">
        <v>45657</v>
      </c>
      <c r="H15" s="11">
        <v>45657</v>
      </c>
      <c r="I15" s="9">
        <f t="shared" si="1"/>
        <v>366</v>
      </c>
      <c r="J15" s="19">
        <f t="shared" si="2"/>
        <v>366</v>
      </c>
      <c r="K15" s="21">
        <f t="shared" si="3"/>
        <v>0</v>
      </c>
      <c r="L15" s="15">
        <f t="shared" si="4"/>
        <v>0</v>
      </c>
    </row>
    <row r="16" spans="2:12" x14ac:dyDescent="0.2">
      <c r="B16" s="3" t="s">
        <v>85</v>
      </c>
      <c r="C16" s="15">
        <v>0</v>
      </c>
      <c r="D16" s="15">
        <v>0</v>
      </c>
      <c r="E16" s="15">
        <f t="shared" si="0"/>
        <v>0</v>
      </c>
      <c r="F16" s="17">
        <v>45292</v>
      </c>
      <c r="G16" s="11">
        <v>45657</v>
      </c>
      <c r="H16" s="11">
        <v>45657</v>
      </c>
      <c r="I16" s="9">
        <f t="shared" si="1"/>
        <v>366</v>
      </c>
      <c r="J16" s="19">
        <f t="shared" si="2"/>
        <v>366</v>
      </c>
      <c r="K16" s="21">
        <f t="shared" si="3"/>
        <v>0</v>
      </c>
      <c r="L16" s="15">
        <f t="shared" si="4"/>
        <v>0</v>
      </c>
    </row>
    <row r="17" spans="2:12" x14ac:dyDescent="0.2">
      <c r="B17" s="3" t="s">
        <v>86</v>
      </c>
      <c r="C17" s="15">
        <v>0</v>
      </c>
      <c r="D17" s="15">
        <v>0</v>
      </c>
      <c r="E17" s="15">
        <f t="shared" si="0"/>
        <v>0</v>
      </c>
      <c r="F17" s="17">
        <v>45292</v>
      </c>
      <c r="G17" s="11">
        <v>45657</v>
      </c>
      <c r="H17" s="11">
        <v>45657</v>
      </c>
      <c r="I17" s="9">
        <f t="shared" si="1"/>
        <v>366</v>
      </c>
      <c r="J17" s="19">
        <f t="shared" si="2"/>
        <v>366</v>
      </c>
      <c r="K17" s="21">
        <f t="shared" si="3"/>
        <v>0</v>
      </c>
      <c r="L17" s="15">
        <f t="shared" si="4"/>
        <v>0</v>
      </c>
    </row>
    <row r="18" spans="2:12" x14ac:dyDescent="0.2">
      <c r="B18" s="3" t="s">
        <v>87</v>
      </c>
      <c r="C18" s="15">
        <v>0</v>
      </c>
      <c r="D18" s="15">
        <v>0</v>
      </c>
      <c r="E18" s="15">
        <f t="shared" si="0"/>
        <v>0</v>
      </c>
      <c r="F18" s="17">
        <v>45292</v>
      </c>
      <c r="G18" s="11">
        <v>45657</v>
      </c>
      <c r="H18" s="11">
        <v>45657</v>
      </c>
      <c r="I18" s="9">
        <f t="shared" si="1"/>
        <v>366</v>
      </c>
      <c r="J18" s="19">
        <f t="shared" si="2"/>
        <v>366</v>
      </c>
      <c r="K18" s="21">
        <f t="shared" si="3"/>
        <v>0</v>
      </c>
      <c r="L18" s="15">
        <f t="shared" si="4"/>
        <v>0</v>
      </c>
    </row>
    <row r="19" spans="2:12" x14ac:dyDescent="0.2">
      <c r="B19" s="3" t="s">
        <v>88</v>
      </c>
      <c r="C19" s="15">
        <v>0</v>
      </c>
      <c r="D19" s="15">
        <v>0</v>
      </c>
      <c r="E19" s="15">
        <f t="shared" si="0"/>
        <v>0</v>
      </c>
      <c r="F19" s="17">
        <v>45292</v>
      </c>
      <c r="G19" s="11">
        <v>45657</v>
      </c>
      <c r="H19" s="11">
        <v>45657</v>
      </c>
      <c r="I19" s="9">
        <f t="shared" si="1"/>
        <v>366</v>
      </c>
      <c r="J19" s="19">
        <f t="shared" si="2"/>
        <v>366</v>
      </c>
      <c r="K19" s="21">
        <f t="shared" si="3"/>
        <v>0</v>
      </c>
      <c r="L19" s="15">
        <f t="shared" si="4"/>
        <v>0</v>
      </c>
    </row>
    <row r="20" spans="2:12" x14ac:dyDescent="0.2">
      <c r="B20" s="3" t="s">
        <v>89</v>
      </c>
      <c r="C20" s="15">
        <v>0</v>
      </c>
      <c r="D20" s="15">
        <v>0</v>
      </c>
      <c r="E20" s="15">
        <f t="shared" si="0"/>
        <v>0</v>
      </c>
      <c r="F20" s="17">
        <v>45292</v>
      </c>
      <c r="G20" s="11">
        <v>45657</v>
      </c>
      <c r="H20" s="11">
        <v>45657</v>
      </c>
      <c r="I20" s="9">
        <f t="shared" si="1"/>
        <v>366</v>
      </c>
      <c r="J20" s="19">
        <f t="shared" si="2"/>
        <v>366</v>
      </c>
      <c r="K20" s="21">
        <f t="shared" si="3"/>
        <v>0</v>
      </c>
      <c r="L20" s="15">
        <f t="shared" si="4"/>
        <v>0</v>
      </c>
    </row>
    <row r="21" spans="2:12" x14ac:dyDescent="0.2">
      <c r="B21" s="3" t="s">
        <v>90</v>
      </c>
      <c r="C21" s="15">
        <v>0</v>
      </c>
      <c r="D21" s="15">
        <v>0</v>
      </c>
      <c r="E21" s="15">
        <f t="shared" si="0"/>
        <v>0</v>
      </c>
      <c r="F21" s="17">
        <v>45292</v>
      </c>
      <c r="G21" s="11">
        <v>45657</v>
      </c>
      <c r="H21" s="11">
        <v>45657</v>
      </c>
      <c r="I21" s="9">
        <f t="shared" si="1"/>
        <v>366</v>
      </c>
      <c r="J21" s="19">
        <f t="shared" si="2"/>
        <v>366</v>
      </c>
      <c r="K21" s="21">
        <f t="shared" si="3"/>
        <v>0</v>
      </c>
      <c r="L21" s="15">
        <f t="shared" si="4"/>
        <v>0</v>
      </c>
    </row>
    <row r="22" spans="2:12" x14ac:dyDescent="0.2">
      <c r="B22" s="3" t="s">
        <v>91</v>
      </c>
      <c r="C22" s="15">
        <v>0</v>
      </c>
      <c r="D22" s="15">
        <v>0</v>
      </c>
      <c r="E22" s="15">
        <f t="shared" si="0"/>
        <v>0</v>
      </c>
      <c r="F22" s="17">
        <v>45292</v>
      </c>
      <c r="G22" s="11">
        <v>45657</v>
      </c>
      <c r="H22" s="11">
        <v>45657</v>
      </c>
      <c r="I22" s="9">
        <f t="shared" si="1"/>
        <v>366</v>
      </c>
      <c r="J22" s="19">
        <f t="shared" si="2"/>
        <v>366</v>
      </c>
      <c r="K22" s="21">
        <f t="shared" si="3"/>
        <v>0</v>
      </c>
      <c r="L22" s="15">
        <f t="shared" si="4"/>
        <v>0</v>
      </c>
    </row>
    <row r="23" spans="2:12" x14ac:dyDescent="0.2">
      <c r="B23" s="3" t="s">
        <v>92</v>
      </c>
      <c r="C23" s="15">
        <v>0</v>
      </c>
      <c r="D23" s="15">
        <v>0</v>
      </c>
      <c r="E23" s="15">
        <f t="shared" si="0"/>
        <v>0</v>
      </c>
      <c r="F23" s="17">
        <v>45292</v>
      </c>
      <c r="G23" s="11">
        <v>45657</v>
      </c>
      <c r="H23" s="11">
        <v>45657</v>
      </c>
      <c r="I23" s="9">
        <f t="shared" si="1"/>
        <v>366</v>
      </c>
      <c r="J23" s="19">
        <f t="shared" si="2"/>
        <v>366</v>
      </c>
      <c r="K23" s="21">
        <f t="shared" si="3"/>
        <v>0</v>
      </c>
      <c r="L23" s="15">
        <f t="shared" si="4"/>
        <v>0</v>
      </c>
    </row>
    <row r="24" spans="2:12" x14ac:dyDescent="0.2">
      <c r="B24" s="3" t="s">
        <v>93</v>
      </c>
      <c r="C24" s="15">
        <v>0</v>
      </c>
      <c r="D24" s="15">
        <v>0</v>
      </c>
      <c r="E24" s="15">
        <f t="shared" si="0"/>
        <v>0</v>
      </c>
      <c r="F24" s="17">
        <v>45292</v>
      </c>
      <c r="G24" s="11">
        <v>45657</v>
      </c>
      <c r="H24" s="11">
        <v>45657</v>
      </c>
      <c r="I24" s="9">
        <f t="shared" si="1"/>
        <v>366</v>
      </c>
      <c r="J24" s="19">
        <f t="shared" si="2"/>
        <v>366</v>
      </c>
      <c r="K24" s="21">
        <f t="shared" si="3"/>
        <v>0</v>
      </c>
      <c r="L24" s="15">
        <f t="shared" si="4"/>
        <v>0</v>
      </c>
    </row>
    <row r="25" spans="2:12" x14ac:dyDescent="0.2">
      <c r="B25" s="3" t="s">
        <v>94</v>
      </c>
      <c r="C25" s="15">
        <v>0</v>
      </c>
      <c r="D25" s="15">
        <v>0</v>
      </c>
      <c r="E25" s="15">
        <f t="shared" si="0"/>
        <v>0</v>
      </c>
      <c r="F25" s="17">
        <v>45292</v>
      </c>
      <c r="G25" s="11">
        <v>45657</v>
      </c>
      <c r="H25" s="11">
        <v>45657</v>
      </c>
      <c r="I25" s="9">
        <f t="shared" si="1"/>
        <v>366</v>
      </c>
      <c r="J25" s="19">
        <f t="shared" si="2"/>
        <v>366</v>
      </c>
      <c r="K25" s="21">
        <f t="shared" si="3"/>
        <v>0</v>
      </c>
      <c r="L25" s="15">
        <f t="shared" si="4"/>
        <v>0</v>
      </c>
    </row>
    <row r="26" spans="2:12" ht="15" thickBot="1" x14ac:dyDescent="0.25">
      <c r="B26" s="3" t="s">
        <v>95</v>
      </c>
      <c r="C26" s="15">
        <v>0</v>
      </c>
      <c r="D26" s="15">
        <v>0</v>
      </c>
      <c r="E26" s="15">
        <f t="shared" ref="E26" si="5">C26-D26</f>
        <v>0</v>
      </c>
      <c r="F26" s="17">
        <v>45292</v>
      </c>
      <c r="G26" s="11">
        <v>45657</v>
      </c>
      <c r="H26" s="11">
        <v>45657</v>
      </c>
      <c r="I26" s="9">
        <f t="shared" ref="I26" si="6">+G26-F26+1</f>
        <v>366</v>
      </c>
      <c r="J26" s="19">
        <f t="shared" ref="J26" si="7">+H26-F26+1</f>
        <v>366</v>
      </c>
      <c r="K26" s="21">
        <f t="shared" ref="K26" si="8">+C26/I26*J26</f>
        <v>0</v>
      </c>
      <c r="L26" s="15">
        <f t="shared" ref="L26" si="9">C26-K26</f>
        <v>0</v>
      </c>
    </row>
    <row r="27" spans="2:12" ht="15" thickBot="1" x14ac:dyDescent="0.25">
      <c r="B27" s="2" t="s">
        <v>62</v>
      </c>
      <c r="C27" s="16">
        <f>SUM(C7:C26)</f>
        <v>0</v>
      </c>
      <c r="D27" s="16">
        <f>SUM(D7:D26)</f>
        <v>0</v>
      </c>
      <c r="E27" s="16">
        <f>SUM(E7:E26)</f>
        <v>0</v>
      </c>
      <c r="F27" s="18"/>
      <c r="G27" s="12"/>
      <c r="H27" s="12"/>
      <c r="I27" s="10"/>
      <c r="J27" s="20"/>
      <c r="K27" s="28">
        <f>SUM(K7:K26)</f>
        <v>0</v>
      </c>
      <c r="L27" s="29">
        <f>SUM(L7:L26)</f>
        <v>0</v>
      </c>
    </row>
    <row r="28" spans="2:12" x14ac:dyDescent="0.2">
      <c r="B28" s="4"/>
      <c r="C28" s="23"/>
      <c r="D28" s="23"/>
      <c r="E28" s="23"/>
      <c r="F28" s="25"/>
      <c r="G28" s="25"/>
      <c r="H28" s="25"/>
      <c r="I28" s="26"/>
      <c r="J28" s="26"/>
      <c r="K28" s="24"/>
      <c r="L28" s="27"/>
    </row>
    <row r="29" spans="2:12" ht="15.75" thickBot="1" x14ac:dyDescent="0.25">
      <c r="B29" s="4"/>
      <c r="C29" s="8" t="s">
        <v>98</v>
      </c>
      <c r="D29" s="8" t="s">
        <v>99</v>
      </c>
      <c r="E29" s="8"/>
      <c r="F29" s="8" t="s">
        <v>97</v>
      </c>
      <c r="G29" s="8" t="s">
        <v>96</v>
      </c>
      <c r="H29" s="8" t="s">
        <v>100</v>
      </c>
      <c r="I29" s="26"/>
      <c r="J29" s="26"/>
      <c r="K29" s="24"/>
      <c r="L29" s="27"/>
    </row>
    <row r="30" spans="2:12" ht="15.75" thickBot="1" x14ac:dyDescent="0.25">
      <c r="B30" s="30" t="s">
        <v>57</v>
      </c>
      <c r="C30" s="1" t="s">
        <v>49</v>
      </c>
      <c r="D30" s="1" t="s">
        <v>48</v>
      </c>
      <c r="E30" s="1" t="s">
        <v>58</v>
      </c>
      <c r="F30" s="7" t="s">
        <v>51</v>
      </c>
      <c r="G30" s="1" t="s">
        <v>50</v>
      </c>
      <c r="H30" s="1" t="s">
        <v>52</v>
      </c>
      <c r="I30" s="1" t="s">
        <v>53</v>
      </c>
      <c r="J30" s="2" t="s">
        <v>101</v>
      </c>
      <c r="K30" s="1" t="s">
        <v>55</v>
      </c>
      <c r="L30" s="1" t="s">
        <v>56</v>
      </c>
    </row>
    <row r="31" spans="2:12" x14ac:dyDescent="0.2">
      <c r="B31" s="3" t="s">
        <v>59</v>
      </c>
      <c r="C31" s="15">
        <v>0</v>
      </c>
      <c r="D31" s="15">
        <v>0</v>
      </c>
      <c r="E31" s="15">
        <f>C31-D31</f>
        <v>0</v>
      </c>
      <c r="F31" s="17">
        <v>44927</v>
      </c>
      <c r="G31" s="11">
        <v>45291</v>
      </c>
      <c r="H31" s="11">
        <v>45657</v>
      </c>
      <c r="I31" s="9">
        <f>+G31-F31+1</f>
        <v>365</v>
      </c>
      <c r="J31" s="19">
        <f>+H31-F31+1</f>
        <v>731</v>
      </c>
      <c r="K31" s="21">
        <f>+C31/I31*J31</f>
        <v>0</v>
      </c>
      <c r="L31" s="15">
        <f>C31-K31</f>
        <v>0</v>
      </c>
    </row>
    <row r="32" spans="2:12" x14ac:dyDescent="0.2">
      <c r="B32" s="3" t="s">
        <v>60</v>
      </c>
      <c r="C32" s="15">
        <v>0</v>
      </c>
      <c r="D32" s="15">
        <v>0</v>
      </c>
      <c r="E32" s="15">
        <f>C32-D32</f>
        <v>0</v>
      </c>
      <c r="F32" s="17">
        <v>44927</v>
      </c>
      <c r="G32" s="11">
        <v>45291</v>
      </c>
      <c r="H32" s="11">
        <v>45657</v>
      </c>
      <c r="I32" s="9">
        <f>+G32-F32+1</f>
        <v>365</v>
      </c>
      <c r="J32" s="19">
        <f>+H32-F32+1</f>
        <v>731</v>
      </c>
      <c r="K32" s="21">
        <f>+C32/I32*J32</f>
        <v>0</v>
      </c>
      <c r="L32" s="15">
        <f>C32-K32</f>
        <v>0</v>
      </c>
    </row>
    <row r="33" spans="2:12" x14ac:dyDescent="0.2">
      <c r="B33" s="3" t="s">
        <v>60</v>
      </c>
      <c r="C33" s="15">
        <v>0</v>
      </c>
      <c r="D33" s="15">
        <v>0</v>
      </c>
      <c r="E33" s="15">
        <f>C33-D33</f>
        <v>0</v>
      </c>
      <c r="F33" s="17">
        <v>44927</v>
      </c>
      <c r="G33" s="11">
        <v>45291</v>
      </c>
      <c r="H33" s="11">
        <v>45657</v>
      </c>
      <c r="I33" s="9">
        <f>+G33-F33+1</f>
        <v>365</v>
      </c>
      <c r="J33" s="19">
        <f>+H33-F33+1</f>
        <v>731</v>
      </c>
      <c r="K33" s="21">
        <f>+C33/I33*J33</f>
        <v>0</v>
      </c>
      <c r="L33" s="15">
        <f>C33-K33</f>
        <v>0</v>
      </c>
    </row>
    <row r="34" spans="2:12" x14ac:dyDescent="0.2">
      <c r="B34" s="3" t="s">
        <v>60</v>
      </c>
      <c r="C34" s="15">
        <v>0</v>
      </c>
      <c r="D34" s="15">
        <v>0</v>
      </c>
      <c r="E34" s="15">
        <f t="shared" ref="E34:E43" si="10">C34-D34</f>
        <v>0</v>
      </c>
      <c r="F34" s="17">
        <v>44927</v>
      </c>
      <c r="G34" s="11">
        <v>45291</v>
      </c>
      <c r="H34" s="11">
        <v>45657</v>
      </c>
      <c r="I34" s="9">
        <f t="shared" ref="I34:I43" si="11">+G34-F34+1</f>
        <v>365</v>
      </c>
      <c r="J34" s="19">
        <f t="shared" ref="J34:J43" si="12">+H34-F34+1</f>
        <v>731</v>
      </c>
      <c r="K34" s="21">
        <f t="shared" ref="K34:K43" si="13">+C34/I34*J34</f>
        <v>0</v>
      </c>
      <c r="L34" s="15">
        <f t="shared" ref="L34:L43" si="14">C34-K34</f>
        <v>0</v>
      </c>
    </row>
    <row r="35" spans="2:12" x14ac:dyDescent="0.2">
      <c r="B35" s="3" t="s">
        <v>60</v>
      </c>
      <c r="C35" s="15">
        <v>0</v>
      </c>
      <c r="D35" s="15">
        <v>0</v>
      </c>
      <c r="E35" s="15">
        <f t="shared" si="10"/>
        <v>0</v>
      </c>
      <c r="F35" s="17">
        <v>44927</v>
      </c>
      <c r="G35" s="11">
        <v>45291</v>
      </c>
      <c r="H35" s="11">
        <v>45657</v>
      </c>
      <c r="I35" s="9">
        <f t="shared" si="11"/>
        <v>365</v>
      </c>
      <c r="J35" s="19">
        <f t="shared" si="12"/>
        <v>731</v>
      </c>
      <c r="K35" s="21">
        <f t="shared" si="13"/>
        <v>0</v>
      </c>
      <c r="L35" s="15">
        <f t="shared" si="14"/>
        <v>0</v>
      </c>
    </row>
    <row r="36" spans="2:12" x14ac:dyDescent="0.2">
      <c r="B36" s="3" t="s">
        <v>60</v>
      </c>
      <c r="C36" s="15">
        <v>0</v>
      </c>
      <c r="D36" s="15">
        <v>0</v>
      </c>
      <c r="E36" s="15">
        <f t="shared" si="10"/>
        <v>0</v>
      </c>
      <c r="F36" s="17">
        <v>44927</v>
      </c>
      <c r="G36" s="11">
        <v>45291</v>
      </c>
      <c r="H36" s="11">
        <v>45657</v>
      </c>
      <c r="I36" s="9">
        <f t="shared" si="11"/>
        <v>365</v>
      </c>
      <c r="J36" s="19">
        <f t="shared" si="12"/>
        <v>731</v>
      </c>
      <c r="K36" s="21">
        <f t="shared" si="13"/>
        <v>0</v>
      </c>
      <c r="L36" s="15">
        <f t="shared" si="14"/>
        <v>0</v>
      </c>
    </row>
    <row r="37" spans="2:12" x14ac:dyDescent="0.2">
      <c r="B37" s="3" t="s">
        <v>60</v>
      </c>
      <c r="C37" s="15">
        <v>0</v>
      </c>
      <c r="D37" s="15">
        <v>0</v>
      </c>
      <c r="E37" s="15">
        <f t="shared" si="10"/>
        <v>0</v>
      </c>
      <c r="F37" s="17">
        <v>44927</v>
      </c>
      <c r="G37" s="11">
        <v>45291</v>
      </c>
      <c r="H37" s="11">
        <v>45657</v>
      </c>
      <c r="I37" s="9">
        <f t="shared" si="11"/>
        <v>365</v>
      </c>
      <c r="J37" s="19">
        <f t="shared" si="12"/>
        <v>731</v>
      </c>
      <c r="K37" s="21">
        <f t="shared" si="13"/>
        <v>0</v>
      </c>
      <c r="L37" s="15">
        <f t="shared" si="14"/>
        <v>0</v>
      </c>
    </row>
    <row r="38" spans="2:12" x14ac:dyDescent="0.2">
      <c r="B38" s="3" t="s">
        <v>60</v>
      </c>
      <c r="C38" s="15">
        <v>0</v>
      </c>
      <c r="D38" s="15">
        <v>0</v>
      </c>
      <c r="E38" s="15">
        <f t="shared" si="10"/>
        <v>0</v>
      </c>
      <c r="F38" s="17">
        <v>44927</v>
      </c>
      <c r="G38" s="11">
        <v>45291</v>
      </c>
      <c r="H38" s="11">
        <v>45657</v>
      </c>
      <c r="I38" s="9">
        <f t="shared" si="11"/>
        <v>365</v>
      </c>
      <c r="J38" s="19">
        <f t="shared" si="12"/>
        <v>731</v>
      </c>
      <c r="K38" s="21">
        <f t="shared" si="13"/>
        <v>0</v>
      </c>
      <c r="L38" s="15">
        <f t="shared" si="14"/>
        <v>0</v>
      </c>
    </row>
    <row r="39" spans="2:12" x14ac:dyDescent="0.2">
      <c r="B39" s="3" t="s">
        <v>60</v>
      </c>
      <c r="C39" s="15">
        <v>0</v>
      </c>
      <c r="D39" s="15">
        <v>0</v>
      </c>
      <c r="E39" s="15">
        <f t="shared" si="10"/>
        <v>0</v>
      </c>
      <c r="F39" s="17">
        <v>44927</v>
      </c>
      <c r="G39" s="11">
        <v>45291</v>
      </c>
      <c r="H39" s="11">
        <v>45657</v>
      </c>
      <c r="I39" s="9">
        <f t="shared" si="11"/>
        <v>365</v>
      </c>
      <c r="J39" s="19">
        <f t="shared" si="12"/>
        <v>731</v>
      </c>
      <c r="K39" s="21">
        <f t="shared" si="13"/>
        <v>0</v>
      </c>
      <c r="L39" s="15">
        <f t="shared" si="14"/>
        <v>0</v>
      </c>
    </row>
    <row r="40" spans="2:12" x14ac:dyDescent="0.2">
      <c r="B40" s="3" t="s">
        <v>60</v>
      </c>
      <c r="C40" s="15">
        <v>0</v>
      </c>
      <c r="D40" s="15">
        <v>0</v>
      </c>
      <c r="E40" s="15">
        <f t="shared" si="10"/>
        <v>0</v>
      </c>
      <c r="F40" s="17">
        <v>44927</v>
      </c>
      <c r="G40" s="11">
        <v>45291</v>
      </c>
      <c r="H40" s="11">
        <v>45657</v>
      </c>
      <c r="I40" s="9">
        <f t="shared" si="11"/>
        <v>365</v>
      </c>
      <c r="J40" s="19">
        <f t="shared" si="12"/>
        <v>731</v>
      </c>
      <c r="K40" s="21">
        <f t="shared" si="13"/>
        <v>0</v>
      </c>
      <c r="L40" s="15">
        <f t="shared" si="14"/>
        <v>0</v>
      </c>
    </row>
    <row r="41" spans="2:12" x14ac:dyDescent="0.2">
      <c r="B41" s="3" t="s">
        <v>60</v>
      </c>
      <c r="C41" s="15">
        <v>0</v>
      </c>
      <c r="D41" s="15">
        <v>0</v>
      </c>
      <c r="E41" s="15">
        <f t="shared" si="10"/>
        <v>0</v>
      </c>
      <c r="F41" s="17">
        <v>44927</v>
      </c>
      <c r="G41" s="11">
        <v>45291</v>
      </c>
      <c r="H41" s="11">
        <v>45657</v>
      </c>
      <c r="I41" s="9">
        <f t="shared" si="11"/>
        <v>365</v>
      </c>
      <c r="J41" s="19">
        <f t="shared" si="12"/>
        <v>731</v>
      </c>
      <c r="K41" s="21">
        <f t="shared" si="13"/>
        <v>0</v>
      </c>
      <c r="L41" s="15">
        <f t="shared" si="14"/>
        <v>0</v>
      </c>
    </row>
    <row r="42" spans="2:12" x14ac:dyDescent="0.2">
      <c r="B42" s="3" t="s">
        <v>60</v>
      </c>
      <c r="C42" s="15">
        <v>0</v>
      </c>
      <c r="D42" s="15">
        <v>0</v>
      </c>
      <c r="E42" s="15">
        <f t="shared" si="10"/>
        <v>0</v>
      </c>
      <c r="F42" s="17">
        <v>44927</v>
      </c>
      <c r="G42" s="11">
        <v>45291</v>
      </c>
      <c r="H42" s="11">
        <v>45657</v>
      </c>
      <c r="I42" s="9">
        <f t="shared" si="11"/>
        <v>365</v>
      </c>
      <c r="J42" s="19">
        <f t="shared" si="12"/>
        <v>731</v>
      </c>
      <c r="K42" s="21">
        <f t="shared" si="13"/>
        <v>0</v>
      </c>
      <c r="L42" s="15">
        <f t="shared" si="14"/>
        <v>0</v>
      </c>
    </row>
    <row r="43" spans="2:12" ht="15" thickBot="1" x14ac:dyDescent="0.25">
      <c r="B43" s="3" t="s">
        <v>60</v>
      </c>
      <c r="C43" s="15">
        <v>0</v>
      </c>
      <c r="D43" s="15">
        <v>0</v>
      </c>
      <c r="E43" s="15">
        <f t="shared" si="10"/>
        <v>0</v>
      </c>
      <c r="F43" s="17">
        <v>44927</v>
      </c>
      <c r="G43" s="11">
        <v>45291</v>
      </c>
      <c r="H43" s="11">
        <v>45657</v>
      </c>
      <c r="I43" s="9">
        <f t="shared" si="11"/>
        <v>365</v>
      </c>
      <c r="J43" s="19">
        <f t="shared" si="12"/>
        <v>731</v>
      </c>
      <c r="K43" s="21">
        <f t="shared" si="13"/>
        <v>0</v>
      </c>
      <c r="L43" s="15">
        <f t="shared" si="14"/>
        <v>0</v>
      </c>
    </row>
    <row r="44" spans="2:12" ht="15" thickBot="1" x14ac:dyDescent="0.25">
      <c r="B44" s="2" t="s">
        <v>62</v>
      </c>
      <c r="C44" s="16">
        <f>SUM(C31:C43)</f>
        <v>0</v>
      </c>
      <c r="D44" s="16">
        <f t="shared" ref="D44:E44" si="15">SUM(D31:D43)</f>
        <v>0</v>
      </c>
      <c r="E44" s="16">
        <f t="shared" si="15"/>
        <v>0</v>
      </c>
      <c r="F44" s="6"/>
      <c r="G44" s="13"/>
      <c r="H44" s="14"/>
      <c r="I44" s="13"/>
      <c r="J44" s="5"/>
      <c r="K44" s="22">
        <f>SUM(K31:K32)</f>
        <v>0</v>
      </c>
      <c r="L44" s="22">
        <f>SUM(L31:L32)</f>
        <v>0</v>
      </c>
    </row>
  </sheetData>
  <mergeCells count="1">
    <mergeCell ref="B4:L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ODE WP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2025-04-23T06:29:00Z</dcterms:modified>
</cp:coreProperties>
</file>