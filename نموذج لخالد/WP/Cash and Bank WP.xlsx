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متطلبات المراجعة\WP\"/>
    </mc:Choice>
  </mc:AlternateContent>
  <xr:revisionPtr revIDLastSave="0" documentId="13_ncr:1_{11AB607D-E136-43FE-8381-399796F9A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بنوك" sheetId="1" r:id="rId1"/>
    <sheet name="الصندوق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5" i="1" l="1"/>
  <c r="L36" i="1"/>
  <c r="L37" i="1"/>
  <c r="L38" i="1"/>
  <c r="L39" i="1"/>
  <c r="L40" i="1"/>
  <c r="L41" i="1"/>
  <c r="L42" i="1"/>
  <c r="L43" i="1"/>
  <c r="L44" i="1"/>
  <c r="J36" i="1"/>
  <c r="J37" i="1"/>
  <c r="J38" i="1"/>
  <c r="J39" i="1"/>
  <c r="J40" i="1"/>
  <c r="J41" i="1"/>
  <c r="J42" i="1"/>
  <c r="J43" i="1"/>
  <c r="J44" i="1"/>
  <c r="J45" i="1"/>
  <c r="J35" i="1"/>
  <c r="G36" i="1"/>
  <c r="G37" i="1"/>
  <c r="G38" i="1"/>
  <c r="G39" i="1"/>
  <c r="G40" i="1"/>
  <c r="G41" i="1"/>
  <c r="G42" i="1"/>
  <c r="G43" i="1"/>
  <c r="G44" i="1"/>
  <c r="G45" i="1"/>
  <c r="G35" i="1"/>
  <c r="I45" i="1"/>
  <c r="H45" i="1"/>
  <c r="H41" i="2"/>
  <c r="H42" i="2"/>
  <c r="H43" i="2"/>
  <c r="H44" i="2"/>
  <c r="H40" i="2"/>
  <c r="L35" i="1"/>
  <c r="B63" i="2"/>
  <c r="C5" i="2"/>
  <c r="C4" i="2"/>
  <c r="C3" i="2"/>
  <c r="E45" i="2"/>
  <c r="F45" i="2"/>
  <c r="G45" i="2"/>
  <c r="K45" i="1"/>
  <c r="F45" i="1"/>
  <c r="E45" i="1"/>
  <c r="H45" i="2" l="1"/>
</calcChain>
</file>

<file path=xl/sharedStrings.xml><?xml version="1.0" encoding="utf-8"?>
<sst xmlns="http://schemas.openxmlformats.org/spreadsheetml/2006/main" count="116" uniqueCount="82">
  <si>
    <t xml:space="preserve">شركة عبدالله منصور السبيعي محاسبون و مراجعون قانونيون  ترخيص رقم ( 1031) </t>
  </si>
  <si>
    <t xml:space="preserve">العمل المنجز : </t>
  </si>
  <si>
    <t xml:space="preserve">2) تم التحقق من مطابقة الرصيد الافتتاحي للسنة المقارنة </t>
  </si>
  <si>
    <t xml:space="preserve">3) تم التحقق من مطابقة كشوفات الحسابات  من النظام مع ميزان المراجعة و مع  القوائم المالية </t>
  </si>
  <si>
    <t xml:space="preserve">4) تم التحقق من مطابقة الكشوفات البنكية مع المصادقات البنكية </t>
  </si>
  <si>
    <t xml:space="preserve">1) تم الحصول على كشف تحليلي كامل للحسابات البنوك والصناديق و المحافظ  </t>
  </si>
  <si>
    <t>5) تم التأكد من التسويات البنكية وتم طلب جميع المستندات لهذه التسويات</t>
  </si>
  <si>
    <t xml:space="preserve">6) تم الحصول و التحقق من الكشوفات البنكية للفترة الاحقة </t>
  </si>
  <si>
    <t xml:space="preserve">7) الاستفسار من الإدارة عن الحسابات النقد وما في حكمه الغير مسجله </t>
  </si>
  <si>
    <t xml:space="preserve">8) تم تنفيذ إجراءات القطع على النقد وما في حكمه </t>
  </si>
  <si>
    <t xml:space="preserve">التاكيدات </t>
  </si>
  <si>
    <t>الوجود</t>
  </si>
  <si>
    <t>الاكتمال</t>
  </si>
  <si>
    <t>الحقوق والالتزامات</t>
  </si>
  <si>
    <t>الدقة</t>
  </si>
  <si>
    <t>التصنيف والعرض</t>
  </si>
  <si>
    <t xml:space="preserve">إجراءات القطع </t>
  </si>
  <si>
    <t xml:space="preserve">العمله </t>
  </si>
  <si>
    <t>#</t>
  </si>
  <si>
    <t>SAR</t>
  </si>
  <si>
    <t>Cash and cash equivalents:</t>
  </si>
  <si>
    <t>Refers to the total cash value of the company, including (bank accounts, funds, digital wallets)</t>
  </si>
  <si>
    <t>Cash and cash equivalents</t>
  </si>
  <si>
    <t>Client name</t>
  </si>
  <si>
    <t>Financial year</t>
  </si>
  <si>
    <t>The currency</t>
  </si>
  <si>
    <t>1) A complete analytical statement of bank accounts, funds and portfolios was obtained</t>
  </si>
  <si>
    <t>2) The opening balance for the comparative year was verified</t>
  </si>
  <si>
    <t>3) The account statements from the system were verified to match the trial balance and the financial statements</t>
  </si>
  <si>
    <t>4) The bank statements were verified to match the bank approvals</t>
  </si>
  <si>
    <t>5) The bank reconciliations were verified and all documents for these reconciliations were requested</t>
  </si>
  <si>
    <t>6) The bank statements for the subsequent period were obtained and verified</t>
  </si>
  <si>
    <t>7) The management was inquired about the unregistered cash and cash equivalent accounts</t>
  </si>
  <si>
    <t>8) The procedures for cutting off cash and cash equivalents were implemented</t>
  </si>
  <si>
    <t>Work done</t>
  </si>
  <si>
    <t>Assertions</t>
  </si>
  <si>
    <t>Existence</t>
  </si>
  <si>
    <t>Completeness</t>
  </si>
  <si>
    <t>Rights and Obligations</t>
  </si>
  <si>
    <t>Accuracy</t>
  </si>
  <si>
    <t>Classification and Presentation</t>
  </si>
  <si>
    <t>Cutting Procedures</t>
  </si>
  <si>
    <t>Bank Name</t>
  </si>
  <si>
    <t>Bank Account Number</t>
  </si>
  <si>
    <t>The opening balance is according to the trial balance</t>
  </si>
  <si>
    <t>Opening balance by bank</t>
  </si>
  <si>
    <t>Summary of bank and banking accounts</t>
  </si>
  <si>
    <t>Account balance as per trial balance</t>
  </si>
  <si>
    <t>Account balance by bank</t>
  </si>
  <si>
    <t>Matching</t>
  </si>
  <si>
    <t xml:space="preserve"> bank confirmation</t>
  </si>
  <si>
    <t>Comments</t>
  </si>
  <si>
    <t xml:space="preserve">total </t>
  </si>
  <si>
    <t>Conclusion of the opinion:</t>
  </si>
  <si>
    <t>Reasonable assurance has been achieved that bank and financial accounts appear fairly</t>
  </si>
  <si>
    <t>petty cash</t>
  </si>
  <si>
    <t>Analytical summary of the petty cash</t>
  </si>
  <si>
    <t xml:space="preserve">Objective </t>
  </si>
  <si>
    <t>Refers to the cash resources available to the company, which are used to meet day-to-day financial needs.</t>
  </si>
  <si>
    <t>To obtain reasonable assurance that the cash accounts in the Fund are complete for the year ending 12/31/2023</t>
  </si>
  <si>
    <t>Account balance according to the GL</t>
  </si>
  <si>
    <t>The balance is according to the inventory report</t>
  </si>
  <si>
    <t>Please select :</t>
  </si>
  <si>
    <t xml:space="preserve">name of petty cash </t>
  </si>
  <si>
    <t>Receipt vouchers</t>
  </si>
  <si>
    <t>Bills of exchange</t>
  </si>
  <si>
    <t>Registration number</t>
  </si>
  <si>
    <t xml:space="preserve">amount </t>
  </si>
  <si>
    <t>date</t>
  </si>
  <si>
    <t>Description</t>
  </si>
  <si>
    <t>Petty cash disbursement procedures</t>
  </si>
  <si>
    <t>Reasonable assurance has been obtained that the petty cash accounts appear fairly.</t>
  </si>
  <si>
    <t>Abdullah Mansour Al-Subaie Company, Accountants and Legal Auditors, License No. (1031)</t>
  </si>
  <si>
    <t>إجراءات القطع</t>
  </si>
  <si>
    <t xml:space="preserve">1) A complete analytical statement of bank accounts, funds and portfolios was obtained &amp; 2) The opening balance for the comparative year was verified										</t>
  </si>
  <si>
    <t xml:space="preserve">3) The account statements from the system were verified to match the trial balance and the financial statements &amp; 4) The bank statements were verified to match the bank approvals										</t>
  </si>
  <si>
    <t xml:space="preserve">7) The management was inquired about the unregistered cash and cash equivalent accounts										</t>
  </si>
  <si>
    <t xml:space="preserve">3) The account statements from the system were verified to match the trial balance and the financial statements										</t>
  </si>
  <si>
    <t>Check account classification</t>
  </si>
  <si>
    <t>Prepared by:</t>
  </si>
  <si>
    <t>saad</t>
  </si>
  <si>
    <t>Reviewed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</si>
</sst>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20000]B1d\ mmmm\ yyyy;@"/>
  </numFmts>
  <fonts count="15" x14ac:knownFonts="1">
    <font>
      <sz val="11"/>
      <color theme="1"/>
      <name val="Arial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name val="Sakkal Majalla"/>
    </font>
    <font>
      <sz val="10"/>
      <name val="Sakkal Majalla"/>
    </font>
    <font>
      <sz val="11"/>
      <color theme="1"/>
      <name val="Sakkal Majalla"/>
    </font>
    <font>
      <b/>
      <sz val="11"/>
      <color theme="1"/>
      <name val="Sakkal Majalla"/>
    </font>
    <font>
      <b/>
      <sz val="11"/>
      <color rgb="FFFF0000"/>
      <name val="Sakkal Majalla"/>
    </font>
    <font>
      <sz val="11"/>
      <color rgb="FFFF0000"/>
      <name val="Sakkal Majalla"/>
    </font>
    <font>
      <b/>
      <sz val="11"/>
      <name val="Sakkal Majalla"/>
    </font>
    <font>
      <sz val="11"/>
      <name val="Sakkal Majalla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2" fillId="0" borderId="0" xfId="0" applyFont="1" applyAlignment="1">
      <alignment horizontal="center" readingOrder="2"/>
    </xf>
    <xf numFmtId="0" fontId="3" fillId="0" borderId="0" xfId="0" applyFont="1" applyAlignment="1">
      <alignment readingOrder="2"/>
    </xf>
    <xf numFmtId="0" fontId="0" fillId="0" borderId="0" xfId="0" applyAlignment="1">
      <alignment readingOrder="2"/>
    </xf>
    <xf numFmtId="0" fontId="0" fillId="0" borderId="0" xfId="0" applyAlignment="1">
      <alignment horizontal="right" readingOrder="2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 readingOrder="2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26" xfId="0" applyFont="1" applyBorder="1" applyAlignment="1">
      <alignment readingOrder="2"/>
    </xf>
    <xf numFmtId="0" fontId="3" fillId="0" borderId="26" xfId="0" applyFont="1" applyBorder="1" applyAlignment="1">
      <alignment horizontal="left" readingOrder="1"/>
    </xf>
    <xf numFmtId="0" fontId="6" fillId="0" borderId="0" xfId="0" applyFont="1"/>
    <xf numFmtId="0" fontId="0" fillId="0" borderId="1" xfId="0" applyBorder="1" applyAlignment="1">
      <alignment horizontal="left" readingOrder="2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readingOrder="1"/>
    </xf>
    <xf numFmtId="0" fontId="0" fillId="0" borderId="3" xfId="0" applyBorder="1" applyAlignment="1">
      <alignment horizontal="left" readingOrder="1"/>
    </xf>
    <xf numFmtId="0" fontId="0" fillId="0" borderId="4" xfId="0" applyBorder="1" applyAlignment="1">
      <alignment horizontal="left" readingOrder="1"/>
    </xf>
    <xf numFmtId="0" fontId="0" fillId="0" borderId="5" xfId="0" applyBorder="1" applyAlignment="1">
      <alignment horizontal="right" readingOrder="2"/>
    </xf>
    <xf numFmtId="0" fontId="0" fillId="0" borderId="0" xfId="0" applyAlignment="1">
      <alignment horizontal="right" readingOrder="2"/>
    </xf>
    <xf numFmtId="0" fontId="0" fillId="0" borderId="6" xfId="0" applyBorder="1" applyAlignment="1">
      <alignment horizontal="right" readingOrder="2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center" readingOrder="2"/>
    </xf>
    <xf numFmtId="0" fontId="0" fillId="0" borderId="3" xfId="0" applyBorder="1" applyAlignment="1">
      <alignment horizontal="center" readingOrder="2"/>
    </xf>
    <xf numFmtId="0" fontId="0" fillId="0" borderId="4" xfId="0" applyBorder="1" applyAlignment="1">
      <alignment horizontal="center" readingOrder="2"/>
    </xf>
    <xf numFmtId="164" fontId="0" fillId="0" borderId="2" xfId="0" applyNumberFormat="1" applyBorder="1" applyAlignment="1">
      <alignment horizontal="center" vertical="center" readingOrder="2"/>
    </xf>
    <xf numFmtId="164" fontId="0" fillId="0" borderId="3" xfId="0" applyNumberFormat="1" applyBorder="1" applyAlignment="1">
      <alignment horizontal="center" vertical="center" readingOrder="2"/>
    </xf>
    <xf numFmtId="164" fontId="0" fillId="0" borderId="4" xfId="0" applyNumberFormat="1" applyBorder="1" applyAlignment="1">
      <alignment horizontal="center" vertical="center" readingOrder="2"/>
    </xf>
    <xf numFmtId="0" fontId="0" fillId="0" borderId="2" xfId="0" applyBorder="1" applyAlignment="1">
      <alignment horizontal="center" vertical="center" readingOrder="2"/>
    </xf>
    <xf numFmtId="0" fontId="0" fillId="0" borderId="3" xfId="0" applyBorder="1" applyAlignment="1">
      <alignment horizontal="center" vertical="center" readingOrder="2"/>
    </xf>
    <xf numFmtId="0" fontId="0" fillId="0" borderId="4" xfId="0" applyBorder="1" applyAlignment="1">
      <alignment horizontal="center" vertical="center" readingOrder="2"/>
    </xf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readingOrder="2"/>
    </xf>
    <xf numFmtId="0" fontId="4" fillId="0" borderId="3" xfId="0" applyFont="1" applyBorder="1" applyAlignment="1">
      <alignment horizontal="center" readingOrder="2"/>
    </xf>
    <xf numFmtId="0" fontId="4" fillId="0" borderId="4" xfId="0" applyFont="1" applyBorder="1" applyAlignment="1">
      <alignment horizontal="center" readingOrder="2"/>
    </xf>
    <xf numFmtId="0" fontId="0" fillId="0" borderId="7" xfId="0" applyBorder="1" applyAlignment="1">
      <alignment horizontal="right" readingOrder="2"/>
    </xf>
    <xf numFmtId="0" fontId="0" fillId="0" borderId="8" xfId="0" applyBorder="1" applyAlignment="1">
      <alignment horizontal="right" readingOrder="2"/>
    </xf>
    <xf numFmtId="0" fontId="0" fillId="0" borderId="9" xfId="0" applyBorder="1" applyAlignment="1">
      <alignment horizontal="right" readingOrder="2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7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readingOrder="1"/>
    </xf>
    <xf numFmtId="0" fontId="10" fillId="0" borderId="0" xfId="0" applyFont="1" applyAlignment="1">
      <alignment readingOrder="1"/>
    </xf>
    <xf numFmtId="0" fontId="9" fillId="0" borderId="0" xfId="0" applyFont="1" applyAlignment="1">
      <alignment readingOrder="1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right" readingOrder="1"/>
    </xf>
    <xf numFmtId="0" fontId="9" fillId="0" borderId="2" xfId="0" applyFont="1" applyBorder="1" applyAlignment="1">
      <alignment horizontal="center" readingOrder="1"/>
    </xf>
    <xf numFmtId="0" fontId="9" fillId="0" borderId="3" xfId="0" applyFont="1" applyBorder="1" applyAlignment="1">
      <alignment horizontal="center" readingOrder="1"/>
    </xf>
    <xf numFmtId="0" fontId="9" fillId="0" borderId="4" xfId="0" applyFont="1" applyBorder="1" applyAlignment="1">
      <alignment horizontal="center" readingOrder="1"/>
    </xf>
    <xf numFmtId="0" fontId="9" fillId="0" borderId="1" xfId="0" applyFont="1" applyBorder="1" applyAlignment="1">
      <alignment readingOrder="1"/>
    </xf>
    <xf numFmtId="164" fontId="9" fillId="0" borderId="2" xfId="0" applyNumberFormat="1" applyFont="1" applyBorder="1" applyAlignment="1">
      <alignment horizontal="center" vertical="center" readingOrder="1"/>
    </xf>
    <xf numFmtId="164" fontId="9" fillId="0" borderId="3" xfId="0" applyNumberFormat="1" applyFont="1" applyBorder="1" applyAlignment="1">
      <alignment horizontal="center" vertical="center" readingOrder="1"/>
    </xf>
    <xf numFmtId="164" fontId="9" fillId="0" borderId="4" xfId="0" applyNumberFormat="1" applyFont="1" applyBorder="1" applyAlignment="1">
      <alignment horizontal="center" vertical="center" readingOrder="1"/>
    </xf>
    <xf numFmtId="0" fontId="9" fillId="0" borderId="1" xfId="0" applyFont="1" applyBorder="1" applyAlignment="1">
      <alignment wrapText="1" readingOrder="1"/>
    </xf>
    <xf numFmtId="0" fontId="9" fillId="0" borderId="2" xfId="0" applyFont="1" applyBorder="1" applyAlignment="1">
      <alignment horizontal="center" vertical="center" readingOrder="1"/>
    </xf>
    <xf numFmtId="0" fontId="9" fillId="0" borderId="3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readingOrder="1"/>
    </xf>
    <xf numFmtId="0" fontId="9" fillId="0" borderId="0" xfId="0" applyFont="1" applyAlignment="1">
      <alignment horizontal="center" vertical="center" readingOrder="1"/>
    </xf>
    <xf numFmtId="0" fontId="10" fillId="0" borderId="2" xfId="0" applyFont="1" applyBorder="1" applyAlignment="1">
      <alignment horizontal="center" readingOrder="1"/>
    </xf>
    <xf numFmtId="0" fontId="10" fillId="0" borderId="3" xfId="0" applyFont="1" applyBorder="1" applyAlignment="1">
      <alignment horizontal="center" readingOrder="1"/>
    </xf>
    <xf numFmtId="0" fontId="10" fillId="0" borderId="4" xfId="0" applyFont="1" applyBorder="1" applyAlignment="1">
      <alignment horizontal="center" readingOrder="1"/>
    </xf>
    <xf numFmtId="0" fontId="9" fillId="0" borderId="2" xfId="0" applyFont="1" applyBorder="1" applyAlignment="1">
      <alignment horizontal="left" readingOrder="1"/>
    </xf>
    <xf numFmtId="0" fontId="9" fillId="0" borderId="3" xfId="0" applyFont="1" applyBorder="1" applyAlignment="1">
      <alignment horizontal="left" readingOrder="1"/>
    </xf>
    <xf numFmtId="0" fontId="9" fillId="0" borderId="4" xfId="0" applyFont="1" applyBorder="1" applyAlignment="1">
      <alignment horizontal="left" readingOrder="1"/>
    </xf>
    <xf numFmtId="0" fontId="9" fillId="0" borderId="5" xfId="0" applyFont="1" applyBorder="1" applyAlignment="1">
      <alignment horizontal="left" readingOrder="1"/>
    </xf>
    <xf numFmtId="0" fontId="9" fillId="0" borderId="0" xfId="0" applyFont="1" applyAlignment="1">
      <alignment horizontal="left" readingOrder="1"/>
    </xf>
    <xf numFmtId="0" fontId="9" fillId="0" borderId="6" xfId="0" applyFont="1" applyBorder="1" applyAlignment="1">
      <alignment horizontal="left" readingOrder="1"/>
    </xf>
    <xf numFmtId="0" fontId="9" fillId="0" borderId="7" xfId="0" applyFont="1" applyBorder="1" applyAlignment="1">
      <alignment horizontal="left" readingOrder="1"/>
    </xf>
    <xf numFmtId="0" fontId="9" fillId="0" borderId="8" xfId="0" applyFont="1" applyBorder="1" applyAlignment="1">
      <alignment horizontal="left" readingOrder="1"/>
    </xf>
    <xf numFmtId="0" fontId="9" fillId="0" borderId="9" xfId="0" applyFont="1" applyBorder="1" applyAlignment="1">
      <alignment horizontal="left" readingOrder="1"/>
    </xf>
    <xf numFmtId="0" fontId="11" fillId="0" borderId="1" xfId="0" applyFont="1" applyBorder="1" applyAlignment="1">
      <alignment horizontal="center" readingOrder="1"/>
    </xf>
    <xf numFmtId="0" fontId="12" fillId="0" borderId="2" xfId="0" applyFont="1" applyBorder="1" applyAlignment="1">
      <alignment horizontal="center" readingOrder="1"/>
    </xf>
    <xf numFmtId="0" fontId="12" fillId="0" borderId="3" xfId="0" applyFont="1" applyBorder="1" applyAlignment="1">
      <alignment horizontal="center" readingOrder="1"/>
    </xf>
    <xf numFmtId="0" fontId="12" fillId="0" borderId="4" xfId="0" applyFont="1" applyBorder="1" applyAlignment="1">
      <alignment horizontal="center" readingOrder="1"/>
    </xf>
    <xf numFmtId="0" fontId="9" fillId="0" borderId="2" xfId="0" applyFont="1" applyBorder="1" applyAlignment="1">
      <alignment readingOrder="1"/>
    </xf>
    <xf numFmtId="0" fontId="9" fillId="0" borderId="3" xfId="0" applyFont="1" applyBorder="1" applyAlignment="1">
      <alignment readingOrder="1"/>
    </xf>
    <xf numFmtId="0" fontId="9" fillId="0" borderId="4" xfId="0" applyFont="1" applyBorder="1" applyAlignment="1">
      <alignment readingOrder="1"/>
    </xf>
    <xf numFmtId="0" fontId="9" fillId="0" borderId="18" xfId="0" applyFont="1" applyBorder="1" applyAlignment="1">
      <alignment horizontal="center" vertical="center" readingOrder="1"/>
    </xf>
    <xf numFmtId="0" fontId="9" fillId="0" borderId="19" xfId="0" applyFont="1" applyBorder="1" applyAlignment="1">
      <alignment horizontal="center" vertical="center" readingOrder="1"/>
    </xf>
    <xf numFmtId="0" fontId="9" fillId="0" borderId="19" xfId="0" applyFont="1" applyBorder="1" applyAlignment="1">
      <alignment horizontal="center" vertical="center" wrapText="1" readingOrder="1"/>
    </xf>
    <xf numFmtId="0" fontId="10" fillId="0" borderId="24" xfId="0" applyFont="1" applyBorder="1" applyAlignment="1">
      <alignment horizontal="center" vertical="center" readingOrder="1"/>
    </xf>
    <xf numFmtId="0" fontId="9" fillId="0" borderId="20" xfId="0" applyFont="1" applyBorder="1" applyAlignment="1">
      <alignment horizontal="center" vertical="center" readingOrder="1"/>
    </xf>
    <xf numFmtId="0" fontId="9" fillId="0" borderId="5" xfId="0" applyFont="1" applyBorder="1" applyAlignment="1">
      <alignment horizontal="center" readingOrder="1"/>
    </xf>
    <xf numFmtId="0" fontId="9" fillId="0" borderId="0" xfId="0" applyFont="1" applyAlignment="1">
      <alignment horizontal="center" readingOrder="1"/>
    </xf>
    <xf numFmtId="0" fontId="13" fillId="0" borderId="25" xfId="0" applyFont="1" applyBorder="1" applyAlignment="1">
      <alignment horizontal="center" readingOrder="1"/>
    </xf>
    <xf numFmtId="0" fontId="9" fillId="0" borderId="6" xfId="0" applyFont="1" applyBorder="1" applyAlignment="1">
      <alignment readingOrder="1"/>
    </xf>
    <xf numFmtId="0" fontId="10" fillId="0" borderId="2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9" fillId="0" borderId="16" xfId="0" applyFont="1" applyBorder="1" applyAlignment="1">
      <alignment horizontal="center" readingOrder="1"/>
    </xf>
    <xf numFmtId="0" fontId="14" fillId="0" borderId="1" xfId="0" applyFont="1" applyBorder="1" applyAlignment="1">
      <alignment horizontal="center" readingOrder="1"/>
    </xf>
    <xf numFmtId="0" fontId="9" fillId="0" borderId="9" xfId="0" applyFont="1" applyBorder="1" applyAlignment="1">
      <alignment readingOrder="1"/>
    </xf>
    <xf numFmtId="0" fontId="9" fillId="0" borderId="10" xfId="0" applyFont="1" applyBorder="1" applyAlignment="1">
      <alignment horizontal="center" vertical="center" readingOrder="1"/>
    </xf>
    <xf numFmtId="0" fontId="9" fillId="0" borderId="11" xfId="0" applyFont="1" applyBorder="1" applyAlignment="1">
      <alignment horizontal="center" vertical="center" readingOrder="1"/>
    </xf>
    <xf numFmtId="0" fontId="9" fillId="0" borderId="12" xfId="0" applyFont="1" applyBorder="1" applyAlignment="1">
      <alignment horizontal="center" vertical="center" readingOrder="1"/>
    </xf>
    <xf numFmtId="0" fontId="9" fillId="0" borderId="7" xfId="0" applyFont="1" applyBorder="1" applyAlignment="1">
      <alignment horizontal="center" vertical="center" readingOrder="1"/>
    </xf>
    <xf numFmtId="0" fontId="9" fillId="0" borderId="8" xfId="0" applyFont="1" applyBorder="1" applyAlignment="1">
      <alignment horizontal="center" vertical="center" readingOrder="1"/>
    </xf>
    <xf numFmtId="0" fontId="9" fillId="0" borderId="9" xfId="0" applyFont="1" applyBorder="1" applyAlignment="1">
      <alignment horizontal="center" vertical="center"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70" zoomScaleNormal="70" workbookViewId="0">
      <selection activeCell="M25" sqref="M25"/>
    </sheetView>
  </sheetViews>
  <sheetFormatPr defaultRowHeight="18" x14ac:dyDescent="0.45"/>
  <cols>
    <col min="1" max="1" width="9" style="70"/>
    <col min="2" max="2" width="11.875" style="70" customWidth="1"/>
    <col min="3" max="3" width="19.875" style="70" customWidth="1"/>
    <col min="4" max="4" width="24.5" style="70" customWidth="1"/>
    <col min="5" max="5" width="20.25" style="70" bestFit="1" customWidth="1"/>
    <col min="6" max="6" width="20.125" style="70" bestFit="1" customWidth="1"/>
    <col min="7" max="7" width="20.125" style="70" customWidth="1"/>
    <col min="8" max="8" width="24.25" style="70" bestFit="1" customWidth="1"/>
    <col min="9" max="9" width="18" style="70" bestFit="1" customWidth="1"/>
    <col min="10" max="10" width="18" style="70" customWidth="1"/>
    <col min="11" max="11" width="16.25" style="70" bestFit="1" customWidth="1"/>
    <col min="12" max="12" width="14.5" style="70" customWidth="1"/>
    <col min="13" max="13" width="19.75" style="70" customWidth="1"/>
    <col min="14" max="16384" width="9" style="70"/>
  </cols>
  <sheetData>
    <row r="1" spans="1:12" s="65" customFormat="1" x14ac:dyDescent="0.45">
      <c r="A1" s="64"/>
      <c r="B1" s="64" t="s">
        <v>0</v>
      </c>
      <c r="G1" s="66" t="s">
        <v>79</v>
      </c>
      <c r="H1" s="67" t="s">
        <v>80</v>
      </c>
      <c r="L1" s="68"/>
    </row>
    <row r="2" spans="1:12" ht="18.75" thickBot="1" x14ac:dyDescent="0.5">
      <c r="A2" s="69"/>
      <c r="G2" s="66" t="s">
        <v>81</v>
      </c>
      <c r="H2" s="71"/>
    </row>
    <row r="3" spans="1:12" ht="18.75" thickBot="1" x14ac:dyDescent="0.5">
      <c r="A3" s="69"/>
      <c r="B3" s="72" t="s">
        <v>23</v>
      </c>
      <c r="C3" s="73"/>
      <c r="D3" s="74"/>
      <c r="E3" s="74"/>
      <c r="F3" s="74"/>
      <c r="G3" s="74"/>
      <c r="H3" s="74"/>
      <c r="I3" s="74"/>
      <c r="J3" s="74"/>
      <c r="K3" s="74"/>
      <c r="L3" s="75"/>
    </row>
    <row r="4" spans="1:12" ht="18.75" thickBot="1" x14ac:dyDescent="0.5">
      <c r="A4" s="69"/>
      <c r="B4" s="76" t="s">
        <v>24</v>
      </c>
      <c r="C4" s="77">
        <v>45657</v>
      </c>
      <c r="D4" s="78"/>
      <c r="E4" s="78"/>
      <c r="F4" s="78"/>
      <c r="G4" s="78"/>
      <c r="H4" s="78"/>
      <c r="I4" s="78"/>
      <c r="J4" s="78"/>
      <c r="K4" s="78"/>
      <c r="L4" s="79"/>
    </row>
    <row r="5" spans="1:12" ht="18.75" thickBot="1" x14ac:dyDescent="0.5">
      <c r="B5" s="80" t="s">
        <v>25</v>
      </c>
      <c r="C5" s="81" t="s">
        <v>19</v>
      </c>
      <c r="D5" s="82"/>
      <c r="E5" s="82"/>
      <c r="F5" s="82"/>
      <c r="G5" s="82"/>
      <c r="H5" s="82"/>
      <c r="I5" s="82"/>
      <c r="J5" s="82"/>
      <c r="K5" s="82"/>
      <c r="L5" s="83"/>
    </row>
    <row r="6" spans="1:12" x14ac:dyDescent="0.45"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ht="18.75" thickBot="1" x14ac:dyDescent="0.5"/>
    <row r="8" spans="1:12" ht="18.75" thickBot="1" x14ac:dyDescent="0.5">
      <c r="B8" s="85" t="s">
        <v>22</v>
      </c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ht="18.75" thickBot="1" x14ac:dyDescent="0.5"/>
    <row r="10" spans="1:12" ht="18.75" thickBot="1" x14ac:dyDescent="0.5">
      <c r="B10" s="73" t="s">
        <v>20</v>
      </c>
      <c r="C10" s="75"/>
    </row>
    <row r="11" spans="1:12" ht="18.75" thickBot="1" x14ac:dyDescent="0.5">
      <c r="B11" s="88" t="s">
        <v>21</v>
      </c>
      <c r="C11" s="89"/>
      <c r="D11" s="89"/>
      <c r="E11" s="89"/>
      <c r="F11" s="89"/>
      <c r="G11" s="89"/>
      <c r="H11" s="90"/>
    </row>
    <row r="13" spans="1:12" ht="18.75" thickBot="1" x14ac:dyDescent="0.5"/>
    <row r="14" spans="1:12" ht="18.75" thickBot="1" x14ac:dyDescent="0.5">
      <c r="B14" s="85" t="s">
        <v>34</v>
      </c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x14ac:dyDescent="0.45">
      <c r="B15" s="91" t="s">
        <v>26</v>
      </c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x14ac:dyDescent="0.45">
      <c r="B16" s="91" t="s">
        <v>27</v>
      </c>
      <c r="C16" s="92"/>
      <c r="D16" s="92"/>
      <c r="E16" s="92"/>
      <c r="F16" s="92"/>
      <c r="G16" s="92"/>
      <c r="H16" s="92"/>
      <c r="I16" s="92"/>
      <c r="J16" s="92"/>
      <c r="K16" s="92"/>
      <c r="L16" s="93"/>
    </row>
    <row r="17" spans="1:12" x14ac:dyDescent="0.45">
      <c r="B17" s="91" t="s">
        <v>28</v>
      </c>
      <c r="C17" s="92"/>
      <c r="D17" s="92"/>
      <c r="E17" s="92"/>
      <c r="F17" s="92"/>
      <c r="G17" s="92"/>
      <c r="H17" s="92"/>
      <c r="I17" s="92"/>
      <c r="J17" s="92"/>
      <c r="K17" s="92"/>
      <c r="L17" s="93"/>
    </row>
    <row r="18" spans="1:12" x14ac:dyDescent="0.45">
      <c r="B18" s="91" t="s">
        <v>29</v>
      </c>
      <c r="C18" s="92"/>
      <c r="D18" s="92"/>
      <c r="E18" s="92"/>
      <c r="F18" s="92"/>
      <c r="G18" s="92"/>
      <c r="H18" s="92"/>
      <c r="I18" s="92"/>
      <c r="J18" s="92"/>
      <c r="K18" s="92"/>
      <c r="L18" s="93"/>
    </row>
    <row r="19" spans="1:12" x14ac:dyDescent="0.45">
      <c r="B19" s="91" t="s">
        <v>30</v>
      </c>
      <c r="C19" s="92"/>
      <c r="D19" s="92"/>
      <c r="E19" s="92"/>
      <c r="F19" s="92"/>
      <c r="G19" s="92"/>
      <c r="H19" s="92"/>
      <c r="I19" s="92"/>
      <c r="J19" s="92"/>
      <c r="K19" s="92"/>
      <c r="L19" s="93"/>
    </row>
    <row r="20" spans="1:12" x14ac:dyDescent="0.45">
      <c r="B20" s="91" t="s">
        <v>31</v>
      </c>
      <c r="C20" s="92"/>
      <c r="D20" s="92"/>
      <c r="E20" s="92"/>
      <c r="F20" s="92"/>
      <c r="G20" s="92"/>
      <c r="H20" s="92"/>
      <c r="I20" s="92"/>
      <c r="J20" s="92"/>
      <c r="K20" s="92"/>
      <c r="L20" s="93"/>
    </row>
    <row r="21" spans="1:12" x14ac:dyDescent="0.45">
      <c r="B21" s="91" t="s">
        <v>32</v>
      </c>
      <c r="C21" s="92"/>
      <c r="D21" s="92"/>
      <c r="E21" s="92"/>
      <c r="F21" s="92"/>
      <c r="G21" s="92"/>
      <c r="H21" s="92"/>
      <c r="I21" s="92"/>
      <c r="J21" s="92"/>
      <c r="K21" s="92"/>
      <c r="L21" s="93"/>
    </row>
    <row r="22" spans="1:12" ht="18.75" thickBot="1" x14ac:dyDescent="0.5">
      <c r="B22" s="94" t="s">
        <v>33</v>
      </c>
      <c r="C22" s="95"/>
      <c r="D22" s="95"/>
      <c r="E22" s="95"/>
      <c r="F22" s="95"/>
      <c r="G22" s="95"/>
      <c r="H22" s="95"/>
      <c r="I22" s="95"/>
      <c r="J22" s="95"/>
      <c r="K22" s="95"/>
      <c r="L22" s="96"/>
    </row>
    <row r="24" spans="1:12" ht="18.75" thickBot="1" x14ac:dyDescent="0.5"/>
    <row r="25" spans="1:12" ht="18.75" thickBot="1" x14ac:dyDescent="0.5">
      <c r="B25" s="97" t="s">
        <v>35</v>
      </c>
      <c r="C25" s="98" t="s">
        <v>34</v>
      </c>
      <c r="D25" s="99"/>
      <c r="E25" s="99"/>
      <c r="F25" s="99"/>
      <c r="G25" s="99"/>
      <c r="H25" s="99"/>
      <c r="I25" s="99"/>
      <c r="J25" s="99"/>
      <c r="K25" s="99"/>
      <c r="L25" s="100"/>
    </row>
    <row r="26" spans="1:12" ht="18.75" thickBot="1" x14ac:dyDescent="0.5">
      <c r="A26" s="70" t="s">
        <v>11</v>
      </c>
      <c r="B26" s="76" t="s">
        <v>36</v>
      </c>
      <c r="C26" s="101" t="s">
        <v>74</v>
      </c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18.75" thickBot="1" x14ac:dyDescent="0.5">
      <c r="A27" s="70" t="s">
        <v>12</v>
      </c>
      <c r="B27" s="76" t="s">
        <v>37</v>
      </c>
      <c r="C27" s="101" t="s">
        <v>75</v>
      </c>
      <c r="D27" s="102"/>
      <c r="E27" s="102"/>
      <c r="F27" s="102"/>
      <c r="G27" s="102"/>
      <c r="H27" s="102"/>
      <c r="I27" s="102"/>
      <c r="J27" s="102"/>
      <c r="K27" s="102"/>
      <c r="L27" s="103"/>
    </row>
    <row r="28" spans="1:12" ht="36.75" thickBot="1" x14ac:dyDescent="0.5">
      <c r="A28" s="70" t="s">
        <v>13</v>
      </c>
      <c r="B28" s="80" t="s">
        <v>38</v>
      </c>
      <c r="C28" s="101" t="s">
        <v>76</v>
      </c>
      <c r="D28" s="102"/>
      <c r="E28" s="102"/>
      <c r="F28" s="102"/>
      <c r="G28" s="102"/>
      <c r="H28" s="102"/>
      <c r="I28" s="102"/>
      <c r="J28" s="102"/>
      <c r="K28" s="102"/>
      <c r="L28" s="103"/>
    </row>
    <row r="29" spans="1:12" ht="18.75" thickBot="1" x14ac:dyDescent="0.5">
      <c r="A29" s="70" t="s">
        <v>14</v>
      </c>
      <c r="B29" s="76" t="s">
        <v>39</v>
      </c>
      <c r="C29" s="101" t="s">
        <v>77</v>
      </c>
      <c r="D29" s="102"/>
      <c r="E29" s="102"/>
      <c r="F29" s="102"/>
      <c r="G29" s="102"/>
      <c r="H29" s="102"/>
      <c r="I29" s="102"/>
      <c r="J29" s="102"/>
      <c r="K29" s="102"/>
      <c r="L29" s="103"/>
    </row>
    <row r="30" spans="1:12" ht="36.75" thickBot="1" x14ac:dyDescent="0.5">
      <c r="A30" s="70" t="s">
        <v>15</v>
      </c>
      <c r="B30" s="80" t="s">
        <v>40</v>
      </c>
      <c r="C30" s="101" t="s">
        <v>78</v>
      </c>
      <c r="D30" s="102"/>
      <c r="E30" s="102"/>
      <c r="F30" s="102"/>
      <c r="G30" s="102"/>
      <c r="H30" s="102"/>
      <c r="I30" s="102"/>
      <c r="J30" s="102"/>
      <c r="K30" s="102"/>
      <c r="L30" s="103"/>
    </row>
    <row r="31" spans="1:12" ht="18.75" thickBot="1" x14ac:dyDescent="0.5">
      <c r="A31" s="70" t="s">
        <v>73</v>
      </c>
      <c r="B31" s="80" t="s">
        <v>41</v>
      </c>
      <c r="C31" s="88" t="s">
        <v>33</v>
      </c>
      <c r="D31" s="89"/>
      <c r="E31" s="89"/>
      <c r="F31" s="89"/>
      <c r="G31" s="89"/>
      <c r="H31" s="89"/>
      <c r="I31" s="89"/>
      <c r="J31" s="89"/>
      <c r="K31" s="89"/>
      <c r="L31" s="90"/>
    </row>
    <row r="32" spans="1:12" ht="18.75" thickBot="1" x14ac:dyDescent="0.5"/>
    <row r="33" spans="2:13" ht="18.75" thickBot="1" x14ac:dyDescent="0.5">
      <c r="B33" s="85" t="s">
        <v>46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7"/>
    </row>
    <row r="34" spans="2:13" ht="36" x14ac:dyDescent="0.45">
      <c r="B34" s="104" t="s">
        <v>18</v>
      </c>
      <c r="C34" s="105" t="s">
        <v>42</v>
      </c>
      <c r="D34" s="105" t="s">
        <v>43</v>
      </c>
      <c r="E34" s="106" t="s">
        <v>44</v>
      </c>
      <c r="F34" s="105" t="s">
        <v>45</v>
      </c>
      <c r="G34" s="107" t="s">
        <v>49</v>
      </c>
      <c r="H34" s="106" t="s">
        <v>47</v>
      </c>
      <c r="I34" s="106" t="s">
        <v>48</v>
      </c>
      <c r="J34" s="107" t="s">
        <v>49</v>
      </c>
      <c r="K34" s="106" t="s">
        <v>50</v>
      </c>
      <c r="L34" s="107" t="s">
        <v>49</v>
      </c>
      <c r="M34" s="108" t="s">
        <v>51</v>
      </c>
    </row>
    <row r="35" spans="2:13" x14ac:dyDescent="0.45">
      <c r="B35" s="109">
        <v>1</v>
      </c>
      <c r="C35" s="110"/>
      <c r="D35" s="110"/>
      <c r="E35" s="110">
        <v>0</v>
      </c>
      <c r="F35" s="110">
        <v>0</v>
      </c>
      <c r="G35" s="111" t="b">
        <f>E35=F35</f>
        <v>1</v>
      </c>
      <c r="H35" s="110">
        <v>0</v>
      </c>
      <c r="I35" s="110">
        <v>0</v>
      </c>
      <c r="J35" s="111" t="b">
        <f>H35=I35</f>
        <v>1</v>
      </c>
      <c r="K35" s="110">
        <v>0</v>
      </c>
      <c r="L35" s="111" t="b">
        <f>H35=K35</f>
        <v>1</v>
      </c>
      <c r="M35" s="112"/>
    </row>
    <row r="36" spans="2:13" x14ac:dyDescent="0.45">
      <c r="B36" s="109">
        <v>2</v>
      </c>
      <c r="C36" s="110"/>
      <c r="D36" s="110"/>
      <c r="E36" s="110">
        <v>0</v>
      </c>
      <c r="F36" s="110">
        <v>0</v>
      </c>
      <c r="G36" s="111" t="b">
        <f t="shared" ref="G36:G45" si="0">E36=F36</f>
        <v>1</v>
      </c>
      <c r="H36" s="110">
        <v>0</v>
      </c>
      <c r="I36" s="110">
        <v>0</v>
      </c>
      <c r="J36" s="111" t="b">
        <f t="shared" ref="J36:J45" si="1">H36=I36</f>
        <v>1</v>
      </c>
      <c r="K36" s="110">
        <v>0</v>
      </c>
      <c r="L36" s="111" t="b">
        <f t="shared" ref="L36:L45" si="2">H36=K36</f>
        <v>1</v>
      </c>
      <c r="M36" s="112"/>
    </row>
    <row r="37" spans="2:13" x14ac:dyDescent="0.45">
      <c r="B37" s="109">
        <v>3</v>
      </c>
      <c r="C37" s="110"/>
      <c r="D37" s="110"/>
      <c r="E37" s="110">
        <v>0</v>
      </c>
      <c r="F37" s="110">
        <v>0</v>
      </c>
      <c r="G37" s="111" t="b">
        <f t="shared" si="0"/>
        <v>1</v>
      </c>
      <c r="H37" s="110">
        <v>0</v>
      </c>
      <c r="I37" s="110">
        <v>0</v>
      </c>
      <c r="J37" s="111" t="b">
        <f t="shared" si="1"/>
        <v>1</v>
      </c>
      <c r="K37" s="110">
        <v>0</v>
      </c>
      <c r="L37" s="111" t="b">
        <f t="shared" si="2"/>
        <v>1</v>
      </c>
      <c r="M37" s="112"/>
    </row>
    <row r="38" spans="2:13" x14ac:dyDescent="0.45">
      <c r="B38" s="109">
        <v>4</v>
      </c>
      <c r="C38" s="110"/>
      <c r="D38" s="110"/>
      <c r="E38" s="110">
        <v>0</v>
      </c>
      <c r="F38" s="110">
        <v>0</v>
      </c>
      <c r="G38" s="111" t="b">
        <f t="shared" si="0"/>
        <v>1</v>
      </c>
      <c r="H38" s="110">
        <v>0</v>
      </c>
      <c r="I38" s="110">
        <v>0</v>
      </c>
      <c r="J38" s="111" t="b">
        <f t="shared" si="1"/>
        <v>1</v>
      </c>
      <c r="K38" s="110">
        <v>0</v>
      </c>
      <c r="L38" s="111" t="b">
        <f t="shared" si="2"/>
        <v>1</v>
      </c>
      <c r="M38" s="112"/>
    </row>
    <row r="39" spans="2:13" x14ac:dyDescent="0.45">
      <c r="B39" s="109">
        <v>5</v>
      </c>
      <c r="C39" s="110"/>
      <c r="D39" s="110"/>
      <c r="E39" s="110">
        <v>0</v>
      </c>
      <c r="F39" s="110">
        <v>0</v>
      </c>
      <c r="G39" s="111" t="b">
        <f t="shared" si="0"/>
        <v>1</v>
      </c>
      <c r="H39" s="110">
        <v>0</v>
      </c>
      <c r="I39" s="110">
        <v>0</v>
      </c>
      <c r="J39" s="111" t="b">
        <f t="shared" si="1"/>
        <v>1</v>
      </c>
      <c r="K39" s="110">
        <v>0</v>
      </c>
      <c r="L39" s="111" t="b">
        <f t="shared" si="2"/>
        <v>1</v>
      </c>
      <c r="M39" s="112"/>
    </row>
    <row r="40" spans="2:13" x14ac:dyDescent="0.45">
      <c r="B40" s="109">
        <v>6</v>
      </c>
      <c r="C40" s="110"/>
      <c r="D40" s="110"/>
      <c r="E40" s="110">
        <v>0</v>
      </c>
      <c r="F40" s="110">
        <v>0</v>
      </c>
      <c r="G40" s="111" t="b">
        <f t="shared" si="0"/>
        <v>1</v>
      </c>
      <c r="H40" s="110">
        <v>0</v>
      </c>
      <c r="I40" s="110">
        <v>0</v>
      </c>
      <c r="J40" s="111" t="b">
        <f t="shared" si="1"/>
        <v>1</v>
      </c>
      <c r="K40" s="110">
        <v>0</v>
      </c>
      <c r="L40" s="111" t="b">
        <f t="shared" si="2"/>
        <v>1</v>
      </c>
      <c r="M40" s="112"/>
    </row>
    <row r="41" spans="2:13" x14ac:dyDescent="0.45">
      <c r="B41" s="109">
        <v>7</v>
      </c>
      <c r="C41" s="110"/>
      <c r="D41" s="110"/>
      <c r="E41" s="110">
        <v>0</v>
      </c>
      <c r="F41" s="110">
        <v>0</v>
      </c>
      <c r="G41" s="111" t="b">
        <f t="shared" si="0"/>
        <v>1</v>
      </c>
      <c r="H41" s="110">
        <v>0</v>
      </c>
      <c r="I41" s="110">
        <v>0</v>
      </c>
      <c r="J41" s="111" t="b">
        <f t="shared" si="1"/>
        <v>1</v>
      </c>
      <c r="K41" s="110">
        <v>0</v>
      </c>
      <c r="L41" s="111" t="b">
        <f t="shared" si="2"/>
        <v>1</v>
      </c>
      <c r="M41" s="112"/>
    </row>
    <row r="42" spans="2:13" x14ac:dyDescent="0.45">
      <c r="B42" s="109">
        <v>8</v>
      </c>
      <c r="C42" s="110"/>
      <c r="D42" s="110"/>
      <c r="E42" s="110">
        <v>0</v>
      </c>
      <c r="F42" s="110">
        <v>0</v>
      </c>
      <c r="G42" s="111" t="b">
        <f t="shared" si="0"/>
        <v>1</v>
      </c>
      <c r="H42" s="110">
        <v>0</v>
      </c>
      <c r="I42" s="110">
        <v>0</v>
      </c>
      <c r="J42" s="111" t="b">
        <f t="shared" si="1"/>
        <v>1</v>
      </c>
      <c r="K42" s="110">
        <v>0</v>
      </c>
      <c r="L42" s="111" t="b">
        <f t="shared" si="2"/>
        <v>1</v>
      </c>
      <c r="M42" s="112"/>
    </row>
    <row r="43" spans="2:13" x14ac:dyDescent="0.45">
      <c r="B43" s="109">
        <v>9</v>
      </c>
      <c r="C43" s="110"/>
      <c r="D43" s="110"/>
      <c r="E43" s="110">
        <v>0</v>
      </c>
      <c r="F43" s="110">
        <v>0</v>
      </c>
      <c r="G43" s="111" t="b">
        <f t="shared" si="0"/>
        <v>1</v>
      </c>
      <c r="H43" s="110">
        <v>0</v>
      </c>
      <c r="I43" s="110">
        <v>0</v>
      </c>
      <c r="J43" s="111" t="b">
        <f t="shared" si="1"/>
        <v>1</v>
      </c>
      <c r="K43" s="110">
        <v>0</v>
      </c>
      <c r="L43" s="111" t="b">
        <f t="shared" si="2"/>
        <v>1</v>
      </c>
      <c r="M43" s="112"/>
    </row>
    <row r="44" spans="2:13" ht="18.75" thickBot="1" x14ac:dyDescent="0.5">
      <c r="B44" s="109">
        <v>10</v>
      </c>
      <c r="C44" s="110"/>
      <c r="D44" s="110"/>
      <c r="E44" s="110">
        <v>0</v>
      </c>
      <c r="F44" s="110">
        <v>0</v>
      </c>
      <c r="G44" s="111" t="b">
        <f t="shared" si="0"/>
        <v>1</v>
      </c>
      <c r="H44" s="110"/>
      <c r="I44" s="110">
        <v>0</v>
      </c>
      <c r="J44" s="111" t="b">
        <f t="shared" si="1"/>
        <v>1</v>
      </c>
      <c r="K44" s="110">
        <v>0</v>
      </c>
      <c r="L44" s="111" t="b">
        <f t="shared" si="2"/>
        <v>1</v>
      </c>
      <c r="M44" s="112"/>
    </row>
    <row r="45" spans="2:13" ht="18.75" thickBot="1" x14ac:dyDescent="0.5">
      <c r="B45" s="113" t="s">
        <v>52</v>
      </c>
      <c r="C45" s="114"/>
      <c r="D45" s="115"/>
      <c r="E45" s="116">
        <f>SUM(E35:E44)</f>
        <v>0</v>
      </c>
      <c r="F45" s="116">
        <f>SUM(F35:F44)</f>
        <v>0</v>
      </c>
      <c r="G45" s="117" t="b">
        <f t="shared" si="0"/>
        <v>1</v>
      </c>
      <c r="H45" s="116">
        <f>SUM(H35:H44)</f>
        <v>0</v>
      </c>
      <c r="I45" s="116">
        <f>SUM(I35:I44)</f>
        <v>0</v>
      </c>
      <c r="J45" s="117" t="b">
        <f t="shared" si="1"/>
        <v>1</v>
      </c>
      <c r="K45" s="116">
        <f>SUM(K35:K44)</f>
        <v>0</v>
      </c>
      <c r="L45" s="117" t="b">
        <f t="shared" si="2"/>
        <v>1</v>
      </c>
      <c r="M45" s="118"/>
    </row>
    <row r="48" spans="2:13" ht="18.75" thickBot="1" x14ac:dyDescent="0.5"/>
    <row r="49" spans="2:6" ht="18.75" thickBot="1" x14ac:dyDescent="0.5">
      <c r="B49" s="85" t="s">
        <v>53</v>
      </c>
      <c r="C49" s="87"/>
    </row>
    <row r="50" spans="2:6" x14ac:dyDescent="0.45">
      <c r="B50" s="119" t="s">
        <v>54</v>
      </c>
      <c r="C50" s="120"/>
      <c r="D50" s="120"/>
      <c r="E50" s="120"/>
      <c r="F50" s="121"/>
    </row>
    <row r="51" spans="2:6" ht="18.75" thickBot="1" x14ac:dyDescent="0.5">
      <c r="B51" s="122"/>
      <c r="C51" s="123"/>
      <c r="D51" s="123"/>
      <c r="E51" s="123"/>
      <c r="F51" s="124"/>
    </row>
  </sheetData>
  <mergeCells count="26">
    <mergeCell ref="B50:F51"/>
    <mergeCell ref="C30:L30"/>
    <mergeCell ref="C31:L31"/>
    <mergeCell ref="B11:H11"/>
    <mergeCell ref="B33:M33"/>
    <mergeCell ref="C25:L25"/>
    <mergeCell ref="C26:L26"/>
    <mergeCell ref="C27:L27"/>
    <mergeCell ref="C28:L28"/>
    <mergeCell ref="C29:L29"/>
    <mergeCell ref="B18:L18"/>
    <mergeCell ref="B20:L20"/>
    <mergeCell ref="B21:L21"/>
    <mergeCell ref="B22:L22"/>
    <mergeCell ref="B16:L16"/>
    <mergeCell ref="B19:L19"/>
    <mergeCell ref="B17:L17"/>
    <mergeCell ref="B10:C10"/>
    <mergeCell ref="B49:C49"/>
    <mergeCell ref="C3:L3"/>
    <mergeCell ref="C4:L4"/>
    <mergeCell ref="C5:L5"/>
    <mergeCell ref="B14:L14"/>
    <mergeCell ref="B15:L15"/>
    <mergeCell ref="B8:L8"/>
    <mergeCell ref="B45:D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1165-4955-420D-A8AF-2E57A8054D00}">
  <dimension ref="A1:I65"/>
  <sheetViews>
    <sheetView zoomScale="70" zoomScaleNormal="70" workbookViewId="0">
      <selection activeCell="I46" sqref="I46"/>
    </sheetView>
  </sheetViews>
  <sheetFormatPr defaultRowHeight="14.25" x14ac:dyDescent="0.2"/>
  <cols>
    <col min="1" max="1" width="14.75" customWidth="1"/>
    <col min="2" max="2" width="11.875" customWidth="1"/>
    <col min="3" max="3" width="17.375" customWidth="1"/>
    <col min="4" max="4" width="14.5" customWidth="1"/>
    <col min="5" max="5" width="28" customWidth="1"/>
    <col min="6" max="6" width="29" bestFit="1" customWidth="1"/>
    <col min="7" max="7" width="34.875" customWidth="1"/>
    <col min="8" max="8" width="16.25" bestFit="1" customWidth="1"/>
    <col min="9" max="9" width="14.5" customWidth="1"/>
  </cols>
  <sheetData>
    <row r="1" spans="1:9" s="2" customFormat="1" x14ac:dyDescent="0.2">
      <c r="A1" s="1"/>
      <c r="B1" s="1" t="s">
        <v>72</v>
      </c>
      <c r="F1" t="s">
        <v>79</v>
      </c>
      <c r="G1" s="23" t="s">
        <v>80</v>
      </c>
      <c r="I1" s="3"/>
    </row>
    <row r="2" spans="1:9" s="5" customFormat="1" ht="15.75" thickBot="1" x14ac:dyDescent="0.3">
      <c r="A2" s="4"/>
      <c r="F2" t="s">
        <v>81</v>
      </c>
      <c r="G2" s="24"/>
    </row>
    <row r="3" spans="1:9" s="5" customFormat="1" ht="15.75" thickBot="1" x14ac:dyDescent="0.3">
      <c r="A3" s="4"/>
      <c r="B3" s="22" t="s">
        <v>23</v>
      </c>
      <c r="C3" s="39">
        <f>البنوك!C3</f>
        <v>0</v>
      </c>
      <c r="D3" s="40"/>
      <c r="E3" s="40"/>
      <c r="F3" s="40"/>
      <c r="G3" s="40"/>
      <c r="H3" s="40"/>
      <c r="I3" s="41"/>
    </row>
    <row r="4" spans="1:9" s="5" customFormat="1" ht="15.75" thickBot="1" x14ac:dyDescent="0.3">
      <c r="A4" s="4"/>
      <c r="B4" s="22" t="s">
        <v>24</v>
      </c>
      <c r="C4" s="42">
        <f>البنوك!C4</f>
        <v>45657</v>
      </c>
      <c r="D4" s="43"/>
      <c r="E4" s="43"/>
      <c r="F4" s="43"/>
      <c r="G4" s="43"/>
      <c r="H4" s="43"/>
      <c r="I4" s="44"/>
    </row>
    <row r="5" spans="1:9" ht="15" thickBot="1" x14ac:dyDescent="0.25">
      <c r="B5" s="22" t="s">
        <v>25</v>
      </c>
      <c r="C5" s="45" t="str">
        <f>البنوك!C5</f>
        <v>SAR</v>
      </c>
      <c r="D5" s="46"/>
      <c r="E5" s="46"/>
      <c r="F5" s="46"/>
      <c r="G5" s="46"/>
      <c r="H5" s="46"/>
      <c r="I5" s="47"/>
    </row>
    <row r="6" spans="1:9" x14ac:dyDescent="0.2">
      <c r="B6" s="5"/>
      <c r="C6" s="9"/>
      <c r="D6" s="9"/>
      <c r="E6" s="9"/>
      <c r="F6" s="9"/>
      <c r="G6" s="9"/>
      <c r="H6" s="9"/>
      <c r="I6" s="9"/>
    </row>
    <row r="7" spans="1:9" ht="15" thickBot="1" x14ac:dyDescent="0.25"/>
    <row r="8" spans="1:9" ht="15.75" thickBot="1" x14ac:dyDescent="0.3">
      <c r="B8" s="37" t="s">
        <v>55</v>
      </c>
      <c r="C8" s="48"/>
      <c r="D8" s="48"/>
      <c r="E8" s="48"/>
      <c r="F8" s="48"/>
      <c r="G8" s="48"/>
      <c r="H8" s="48"/>
      <c r="I8" s="38"/>
    </row>
    <row r="9" spans="1:9" ht="15" thickBot="1" x14ac:dyDescent="0.25"/>
    <row r="10" spans="1:9" ht="15.75" thickBot="1" x14ac:dyDescent="0.3">
      <c r="B10" s="19" t="s">
        <v>55</v>
      </c>
    </row>
    <row r="11" spans="1:9" ht="15" thickBot="1" x14ac:dyDescent="0.25">
      <c r="B11" s="25" t="s">
        <v>58</v>
      </c>
      <c r="C11" s="26"/>
      <c r="D11" s="26"/>
      <c r="E11" s="26"/>
      <c r="F11" s="27"/>
    </row>
    <row r="12" spans="1:9" ht="15" thickBot="1" x14ac:dyDescent="0.25">
      <c r="B12" s="6"/>
      <c r="C12" s="6"/>
      <c r="D12" s="6"/>
      <c r="E12" s="6"/>
      <c r="F12" s="6"/>
    </row>
    <row r="13" spans="1:9" ht="15.75" thickBot="1" x14ac:dyDescent="0.3">
      <c r="B13" s="20" t="s">
        <v>57</v>
      </c>
      <c r="C13" s="6"/>
      <c r="D13" s="6"/>
      <c r="E13" s="6"/>
      <c r="F13" s="6"/>
    </row>
    <row r="14" spans="1:9" ht="15" thickBot="1" x14ac:dyDescent="0.25">
      <c r="B14" s="25" t="s">
        <v>59</v>
      </c>
      <c r="C14" s="26"/>
      <c r="D14" s="26"/>
      <c r="E14" s="26"/>
      <c r="F14" s="27"/>
    </row>
    <row r="16" spans="1:9" hidden="1" x14ac:dyDescent="0.2"/>
    <row r="17" spans="2:9" ht="15" hidden="1" thickBot="1" x14ac:dyDescent="0.25">
      <c r="B17" s="49" t="s">
        <v>1</v>
      </c>
      <c r="C17" s="50"/>
      <c r="D17" s="50"/>
      <c r="E17" s="50"/>
      <c r="F17" s="50"/>
      <c r="G17" s="50"/>
      <c r="H17" s="50"/>
      <c r="I17" s="51"/>
    </row>
    <row r="18" spans="2:9" hidden="1" x14ac:dyDescent="0.2">
      <c r="B18" s="28" t="s">
        <v>5</v>
      </c>
      <c r="C18" s="29"/>
      <c r="D18" s="29"/>
      <c r="E18" s="29"/>
      <c r="F18" s="29"/>
      <c r="G18" s="29"/>
      <c r="H18" s="29"/>
      <c r="I18" s="30"/>
    </row>
    <row r="19" spans="2:9" hidden="1" x14ac:dyDescent="0.2">
      <c r="B19" s="28" t="s">
        <v>2</v>
      </c>
      <c r="C19" s="29"/>
      <c r="D19" s="29"/>
      <c r="E19" s="29"/>
      <c r="F19" s="29"/>
      <c r="G19" s="29"/>
      <c r="H19" s="29"/>
      <c r="I19" s="30"/>
    </row>
    <row r="20" spans="2:9" hidden="1" x14ac:dyDescent="0.2">
      <c r="B20" s="28" t="s">
        <v>3</v>
      </c>
      <c r="C20" s="29"/>
      <c r="D20" s="29"/>
      <c r="E20" s="29"/>
      <c r="F20" s="29"/>
      <c r="G20" s="29"/>
      <c r="H20" s="29"/>
      <c r="I20" s="30"/>
    </row>
    <row r="21" spans="2:9" hidden="1" x14ac:dyDescent="0.2">
      <c r="B21" s="28" t="s">
        <v>4</v>
      </c>
      <c r="C21" s="29"/>
      <c r="D21" s="29"/>
      <c r="E21" s="29"/>
      <c r="F21" s="29"/>
      <c r="G21" s="29"/>
      <c r="H21" s="29"/>
      <c r="I21" s="30"/>
    </row>
    <row r="22" spans="2:9" hidden="1" x14ac:dyDescent="0.2">
      <c r="B22" s="28" t="s">
        <v>6</v>
      </c>
      <c r="C22" s="29"/>
      <c r="D22" s="29"/>
      <c r="E22" s="29"/>
      <c r="F22" s="29"/>
      <c r="G22" s="29"/>
      <c r="H22" s="29"/>
      <c r="I22" s="30"/>
    </row>
    <row r="23" spans="2:9" hidden="1" x14ac:dyDescent="0.2">
      <c r="B23" s="28" t="s">
        <v>7</v>
      </c>
      <c r="C23" s="29"/>
      <c r="D23" s="29"/>
      <c r="E23" s="29"/>
      <c r="F23" s="29"/>
      <c r="G23" s="29"/>
      <c r="H23" s="29"/>
      <c r="I23" s="30"/>
    </row>
    <row r="24" spans="2:9" hidden="1" x14ac:dyDescent="0.2">
      <c r="B24" s="28" t="s">
        <v>8</v>
      </c>
      <c r="C24" s="29"/>
      <c r="D24" s="29"/>
      <c r="E24" s="29"/>
      <c r="F24" s="29"/>
      <c r="G24" s="29"/>
      <c r="H24" s="29"/>
      <c r="I24" s="30"/>
    </row>
    <row r="25" spans="2:9" ht="15" hidden="1" thickBot="1" x14ac:dyDescent="0.25">
      <c r="B25" s="52" t="s">
        <v>9</v>
      </c>
      <c r="C25" s="53"/>
      <c r="D25" s="53"/>
      <c r="E25" s="53"/>
      <c r="F25" s="53"/>
      <c r="G25" s="53"/>
      <c r="H25" s="53"/>
      <c r="I25" s="54"/>
    </row>
    <row r="26" spans="2:9" hidden="1" x14ac:dyDescent="0.2"/>
    <row r="27" spans="2:9" hidden="1" x14ac:dyDescent="0.2"/>
    <row r="28" spans="2:9" ht="15" hidden="1" thickBot="1" x14ac:dyDescent="0.25">
      <c r="B28" s="8" t="s">
        <v>10</v>
      </c>
      <c r="C28" s="31" t="s">
        <v>1</v>
      </c>
      <c r="D28" s="32"/>
      <c r="E28" s="32"/>
      <c r="F28" s="32"/>
      <c r="G28" s="32"/>
      <c r="H28" s="32"/>
      <c r="I28" s="33"/>
    </row>
    <row r="29" spans="2:9" ht="15" hidden="1" thickBot="1" x14ac:dyDescent="0.25">
      <c r="B29" s="8" t="s">
        <v>11</v>
      </c>
      <c r="C29" s="34"/>
      <c r="D29" s="35"/>
      <c r="E29" s="35"/>
      <c r="F29" s="35"/>
      <c r="G29" s="35"/>
      <c r="H29" s="35"/>
      <c r="I29" s="36"/>
    </row>
    <row r="30" spans="2:9" ht="15" hidden="1" thickBot="1" x14ac:dyDescent="0.25">
      <c r="B30" s="8" t="s">
        <v>12</v>
      </c>
      <c r="C30" s="34"/>
      <c r="D30" s="35"/>
      <c r="E30" s="35"/>
      <c r="F30" s="35"/>
      <c r="G30" s="35"/>
      <c r="H30" s="35"/>
      <c r="I30" s="36"/>
    </row>
    <row r="31" spans="2:9" ht="15" hidden="1" thickBot="1" x14ac:dyDescent="0.25">
      <c r="B31" s="8" t="s">
        <v>13</v>
      </c>
      <c r="C31" s="34"/>
      <c r="D31" s="35"/>
      <c r="E31" s="35"/>
      <c r="F31" s="35"/>
      <c r="G31" s="35"/>
      <c r="H31" s="35"/>
      <c r="I31" s="36"/>
    </row>
    <row r="32" spans="2:9" ht="15" hidden="1" thickBot="1" x14ac:dyDescent="0.25">
      <c r="B32" s="8" t="s">
        <v>14</v>
      </c>
      <c r="C32" s="34"/>
      <c r="D32" s="35"/>
      <c r="E32" s="35"/>
      <c r="F32" s="35"/>
      <c r="G32" s="35"/>
      <c r="H32" s="35"/>
      <c r="I32" s="36"/>
    </row>
    <row r="33" spans="2:9" ht="15" hidden="1" thickBot="1" x14ac:dyDescent="0.25">
      <c r="B33" s="8" t="s">
        <v>15</v>
      </c>
      <c r="C33" s="34"/>
      <c r="D33" s="35"/>
      <c r="E33" s="35"/>
      <c r="F33" s="35"/>
      <c r="G33" s="35"/>
      <c r="H33" s="35"/>
      <c r="I33" s="36"/>
    </row>
    <row r="34" spans="2:9" ht="15" hidden="1" thickBot="1" x14ac:dyDescent="0.25">
      <c r="B34" s="8" t="s">
        <v>16</v>
      </c>
      <c r="C34" s="34"/>
      <c r="D34" s="35"/>
      <c r="E34" s="35"/>
      <c r="F34" s="35"/>
      <c r="G34" s="35"/>
      <c r="H34" s="35"/>
      <c r="I34" s="36"/>
    </row>
    <row r="35" spans="2:9" hidden="1" x14ac:dyDescent="0.2"/>
    <row r="36" spans="2:9" hidden="1" x14ac:dyDescent="0.2"/>
    <row r="37" spans="2:9" ht="15" thickBot="1" x14ac:dyDescent="0.25"/>
    <row r="38" spans="2:9" ht="15" thickBot="1" x14ac:dyDescent="0.25">
      <c r="B38" s="34" t="s">
        <v>56</v>
      </c>
      <c r="C38" s="35"/>
      <c r="D38" s="35"/>
      <c r="E38" s="35"/>
      <c r="F38" s="35"/>
      <c r="G38" s="35"/>
      <c r="H38" s="36"/>
    </row>
    <row r="39" spans="2:9" x14ac:dyDescent="0.2">
      <c r="B39" s="11" t="s">
        <v>18</v>
      </c>
      <c r="C39" s="10" t="s">
        <v>63</v>
      </c>
      <c r="D39" s="10" t="s">
        <v>17</v>
      </c>
      <c r="E39" s="10" t="s">
        <v>47</v>
      </c>
      <c r="F39" s="10" t="s">
        <v>60</v>
      </c>
      <c r="G39" s="10" t="s">
        <v>61</v>
      </c>
      <c r="H39" s="12" t="s">
        <v>49</v>
      </c>
      <c r="I39" s="7"/>
    </row>
    <row r="40" spans="2:9" x14ac:dyDescent="0.2">
      <c r="B40" s="13">
        <v>1</v>
      </c>
      <c r="C40" s="7"/>
      <c r="D40" s="7" t="s">
        <v>19</v>
      </c>
      <c r="E40" s="7">
        <v>0</v>
      </c>
      <c r="F40" s="7">
        <v>0</v>
      </c>
      <c r="G40" s="7">
        <v>0</v>
      </c>
      <c r="H40" s="14" t="b">
        <f>E40=G40</f>
        <v>1</v>
      </c>
      <c r="I40" s="7"/>
    </row>
    <row r="41" spans="2:9" x14ac:dyDescent="0.2">
      <c r="B41" s="13">
        <v>2</v>
      </c>
      <c r="C41" s="7"/>
      <c r="D41" s="7" t="s">
        <v>19</v>
      </c>
      <c r="E41" s="7">
        <v>0</v>
      </c>
      <c r="F41" s="7">
        <v>0</v>
      </c>
      <c r="G41" s="7">
        <v>0</v>
      </c>
      <c r="H41" s="14" t="b">
        <f t="shared" ref="H41:H44" si="0">E41=G41</f>
        <v>1</v>
      </c>
      <c r="I41" s="7"/>
    </row>
    <row r="42" spans="2:9" x14ac:dyDescent="0.2">
      <c r="B42" s="13">
        <v>3</v>
      </c>
      <c r="C42" s="7"/>
      <c r="D42" s="7" t="s">
        <v>19</v>
      </c>
      <c r="E42" s="7">
        <v>0</v>
      </c>
      <c r="F42" s="7">
        <v>0</v>
      </c>
      <c r="G42" s="7">
        <v>0</v>
      </c>
      <c r="H42" s="14" t="b">
        <f t="shared" si="0"/>
        <v>1</v>
      </c>
      <c r="I42" s="7"/>
    </row>
    <row r="43" spans="2:9" x14ac:dyDescent="0.2">
      <c r="B43" s="13">
        <v>4</v>
      </c>
      <c r="C43" s="7"/>
      <c r="D43" s="7" t="s">
        <v>19</v>
      </c>
      <c r="E43" s="7">
        <v>0</v>
      </c>
      <c r="F43" s="7">
        <v>0</v>
      </c>
      <c r="G43" s="7">
        <v>0</v>
      </c>
      <c r="H43" s="14" t="b">
        <f t="shared" si="0"/>
        <v>1</v>
      </c>
      <c r="I43" s="7"/>
    </row>
    <row r="44" spans="2:9" ht="15" thickBot="1" x14ac:dyDescent="0.25">
      <c r="B44" s="13">
        <v>5</v>
      </c>
      <c r="C44" s="7"/>
      <c r="D44" s="7" t="s">
        <v>19</v>
      </c>
      <c r="E44" s="7">
        <v>0</v>
      </c>
      <c r="F44" s="7">
        <v>0</v>
      </c>
      <c r="G44" s="7">
        <v>0</v>
      </c>
      <c r="H44" s="14" t="b">
        <f t="shared" si="0"/>
        <v>1</v>
      </c>
      <c r="I44" s="7"/>
    </row>
    <row r="45" spans="2:9" ht="15" thickBot="1" x14ac:dyDescent="0.25">
      <c r="B45" s="34" t="s">
        <v>52</v>
      </c>
      <c r="C45" s="35"/>
      <c r="D45" s="36"/>
      <c r="E45" s="15">
        <f t="shared" ref="E45:G45" si="1">SUM(E40:E44)</f>
        <v>0</v>
      </c>
      <c r="F45" s="15">
        <f t="shared" si="1"/>
        <v>0</v>
      </c>
      <c r="G45" s="15">
        <f t="shared" si="1"/>
        <v>0</v>
      </c>
      <c r="H45" s="16">
        <f>SUM(H40:H44)</f>
        <v>0</v>
      </c>
      <c r="I45" s="7"/>
    </row>
    <row r="46" spans="2:9" x14ac:dyDescent="0.2">
      <c r="B46" s="7"/>
      <c r="C46" s="7"/>
      <c r="D46" s="7"/>
      <c r="E46" s="7"/>
      <c r="F46" s="7"/>
      <c r="G46" s="7"/>
      <c r="H46" s="7"/>
      <c r="I46" s="7"/>
    </row>
    <row r="47" spans="2:9" x14ac:dyDescent="0.2">
      <c r="B47" s="7"/>
      <c r="C47" s="7"/>
      <c r="D47" s="7"/>
      <c r="E47" s="7"/>
      <c r="F47" s="7"/>
      <c r="G47" s="7"/>
      <c r="H47" s="7"/>
      <c r="I47" s="7"/>
    </row>
    <row r="48" spans="2:9" ht="15.75" thickBot="1" x14ac:dyDescent="0.3">
      <c r="F48" s="21" t="s">
        <v>62</v>
      </c>
    </row>
    <row r="49" spans="1:8" ht="15" thickBot="1" x14ac:dyDescent="0.25">
      <c r="B49" s="34" t="s">
        <v>70</v>
      </c>
      <c r="C49" s="35"/>
      <c r="D49" s="35"/>
      <c r="E49" s="35"/>
      <c r="F49" s="34"/>
      <c r="G49" s="35"/>
      <c r="H49" s="36"/>
    </row>
    <row r="50" spans="1:8" ht="15" thickBot="1" x14ac:dyDescent="0.25">
      <c r="B50" s="7"/>
      <c r="C50" s="7"/>
      <c r="D50" s="7"/>
      <c r="E50" s="7"/>
      <c r="F50" s="7"/>
      <c r="G50" s="7"/>
      <c r="H50" s="7"/>
    </row>
    <row r="51" spans="1:8" ht="15" thickBot="1" x14ac:dyDescent="0.25">
      <c r="A51" s="8" t="s">
        <v>64</v>
      </c>
      <c r="B51" s="18" t="s">
        <v>18</v>
      </c>
      <c r="C51" s="17" t="s">
        <v>66</v>
      </c>
      <c r="D51" s="17" t="s">
        <v>67</v>
      </c>
      <c r="E51" s="17" t="s">
        <v>68</v>
      </c>
      <c r="F51" s="17" t="s">
        <v>69</v>
      </c>
      <c r="G51" s="63" t="s">
        <v>51</v>
      </c>
      <c r="H51" s="63"/>
    </row>
    <row r="52" spans="1:8" x14ac:dyDescent="0.2">
      <c r="B52" s="17">
        <v>1</v>
      </c>
      <c r="C52" s="17"/>
      <c r="D52" s="17"/>
      <c r="E52" s="17"/>
      <c r="F52" s="17"/>
      <c r="G52" s="55"/>
      <c r="H52" s="56"/>
    </row>
    <row r="53" spans="1:8" x14ac:dyDescent="0.2">
      <c r="B53" s="17">
        <v>2</v>
      </c>
      <c r="C53" s="17"/>
      <c r="D53" s="17"/>
      <c r="E53" s="17"/>
      <c r="F53" s="17"/>
      <c r="G53" s="55"/>
      <c r="H53" s="56"/>
    </row>
    <row r="54" spans="1:8" x14ac:dyDescent="0.2">
      <c r="B54" s="7"/>
      <c r="C54" s="7"/>
      <c r="D54" s="7"/>
      <c r="E54" s="7"/>
      <c r="F54" s="7"/>
      <c r="G54" s="7"/>
      <c r="H54" s="7"/>
    </row>
    <row r="55" spans="1:8" ht="15" thickBot="1" x14ac:dyDescent="0.25"/>
    <row r="56" spans="1:8" ht="15" thickBot="1" x14ac:dyDescent="0.25">
      <c r="A56" s="8" t="s">
        <v>65</v>
      </c>
      <c r="B56" s="18" t="s">
        <v>18</v>
      </c>
      <c r="C56" s="17" t="s">
        <v>66</v>
      </c>
      <c r="D56" s="17" t="s">
        <v>67</v>
      </c>
      <c r="E56" s="17" t="s">
        <v>68</v>
      </c>
      <c r="F56" s="17" t="s">
        <v>69</v>
      </c>
      <c r="G56" s="63" t="s">
        <v>51</v>
      </c>
      <c r="H56" s="63"/>
    </row>
    <row r="57" spans="1:8" x14ac:dyDescent="0.2">
      <c r="B57" s="17">
        <v>1</v>
      </c>
      <c r="C57" s="17"/>
      <c r="D57" s="17"/>
      <c r="E57" s="17"/>
      <c r="F57" s="17"/>
      <c r="G57" s="55"/>
      <c r="H57" s="56"/>
    </row>
    <row r="58" spans="1:8" x14ac:dyDescent="0.2">
      <c r="B58" s="17">
        <v>2</v>
      </c>
      <c r="C58" s="17"/>
      <c r="D58" s="17"/>
      <c r="E58" s="17"/>
      <c r="F58" s="17"/>
      <c r="G58" s="55"/>
      <c r="H58" s="56"/>
    </row>
    <row r="62" spans="1:8" ht="15" thickBot="1" x14ac:dyDescent="0.25"/>
    <row r="63" spans="1:8" ht="15.75" thickBot="1" x14ac:dyDescent="0.3">
      <c r="B63" s="37" t="str">
        <f>البنوك!B49</f>
        <v>Conclusion of the opinion:</v>
      </c>
      <c r="C63" s="38"/>
    </row>
    <row r="64" spans="1:8" x14ac:dyDescent="0.2">
      <c r="B64" s="57" t="s">
        <v>71</v>
      </c>
      <c r="C64" s="58"/>
      <c r="D64" s="58"/>
      <c r="E64" s="58"/>
      <c r="F64" s="59"/>
    </row>
    <row r="65" spans="2:6" ht="15" thickBot="1" x14ac:dyDescent="0.25">
      <c r="B65" s="60"/>
      <c r="C65" s="61"/>
      <c r="D65" s="61"/>
      <c r="E65" s="61"/>
      <c r="F65" s="62"/>
    </row>
  </sheetData>
  <mergeCells count="34">
    <mergeCell ref="B21:I21"/>
    <mergeCell ref="B22:I22"/>
    <mergeCell ref="B25:I25"/>
    <mergeCell ref="G58:H58"/>
    <mergeCell ref="B64:F65"/>
    <mergeCell ref="G51:H51"/>
    <mergeCell ref="G56:H56"/>
    <mergeCell ref="B49:E49"/>
    <mergeCell ref="F49:H49"/>
    <mergeCell ref="G52:H52"/>
    <mergeCell ref="G53:H53"/>
    <mergeCell ref="C29:I29"/>
    <mergeCell ref="C30:I30"/>
    <mergeCell ref="C31:I31"/>
    <mergeCell ref="C32:I32"/>
    <mergeCell ref="G57:H57"/>
    <mergeCell ref="B18:I18"/>
    <mergeCell ref="B11:F11"/>
    <mergeCell ref="B14:F14"/>
    <mergeCell ref="B19:I19"/>
    <mergeCell ref="B20:I20"/>
    <mergeCell ref="C3:I3"/>
    <mergeCell ref="C4:I4"/>
    <mergeCell ref="C5:I5"/>
    <mergeCell ref="B8:I8"/>
    <mergeCell ref="B17:I17"/>
    <mergeCell ref="B23:I23"/>
    <mergeCell ref="C28:I28"/>
    <mergeCell ref="B38:H38"/>
    <mergeCell ref="B45:D45"/>
    <mergeCell ref="B63:C63"/>
    <mergeCell ref="B24:I24"/>
    <mergeCell ref="C33:I33"/>
    <mergeCell ref="C34:I34"/>
  </mergeCells>
  <dataValidations disablePrompts="1" count="1">
    <dataValidation type="list" allowBlank="1" showInputMessage="1" showErrorMessage="1" sqref="F49:H50" xr:uid="{642923E7-E676-4A8B-8CEF-1EB75B13A2FD}">
      <formula1>$C$40:$C$44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البنوك</vt:lpstr>
      <vt:lpstr>الصندوق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2025-04-23T06:29:15Z</dcterms:modified>
</cp:coreProperties>
</file>