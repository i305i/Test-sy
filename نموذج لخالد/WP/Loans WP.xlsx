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اوراق عمل\9004 برنامج مراجعة القروض\"/>
    </mc:Choice>
  </mc:AlternateContent>
  <xr:revisionPtr revIDLastSave="0" documentId="13_ncr:1_{E05B3ED4-C2CD-4500-AC35-C2E11A0999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1" l="1"/>
  <c r="K25" i="1"/>
  <c r="I25" i="1"/>
  <c r="J25" i="1"/>
  <c r="M25" i="1" l="1"/>
  <c r="E35" i="1" l="1"/>
  <c r="D12" i="1" s="1"/>
  <c r="D35" i="1"/>
  <c r="E12" i="1" s="1"/>
  <c r="M12" i="1" l="1"/>
  <c r="M13" i="1" s="1"/>
  <c r="K12" i="1"/>
  <c r="K13" i="1" s="1"/>
  <c r="H12" i="1"/>
  <c r="H13" i="1" s="1"/>
  <c r="E13" i="1"/>
  <c r="D13" i="1"/>
  <c r="D11" i="1"/>
  <c r="I12" i="1" l="1"/>
  <c r="L12" i="1"/>
  <c r="L13" i="1" s="1"/>
  <c r="N12" i="1"/>
  <c r="N13" i="1" s="1"/>
  <c r="F12" i="1"/>
  <c r="F13" i="1" s="1"/>
  <c r="G13" i="1" s="1"/>
  <c r="G12" i="1" l="1"/>
</calcChain>
</file>

<file path=xl/sharedStrings.xml><?xml version="1.0" encoding="utf-8"?>
<sst xmlns="http://schemas.openxmlformats.org/spreadsheetml/2006/main" count="43" uniqueCount="37">
  <si>
    <t>Abdullah Mansour Al-Subaie Company, Accountants and Legal Auditors, License No. (1031)</t>
  </si>
  <si>
    <t xml:space="preserve">clint name </t>
  </si>
  <si>
    <t>year</t>
  </si>
  <si>
    <t>Currency</t>
  </si>
  <si>
    <t>SAR</t>
  </si>
  <si>
    <t>Description</t>
  </si>
  <si>
    <t xml:space="preserve">Balance as at </t>
  </si>
  <si>
    <t>Variance</t>
  </si>
  <si>
    <t>Inovice checked</t>
  </si>
  <si>
    <t>Confirmations</t>
  </si>
  <si>
    <t>Subsequent Clearance</t>
  </si>
  <si>
    <t>2022at Dec 31</t>
  </si>
  <si>
    <t>%</t>
  </si>
  <si>
    <t>SR</t>
  </si>
  <si>
    <t>Trade  Payable</t>
  </si>
  <si>
    <t>end balance</t>
  </si>
  <si>
    <t>Work Done</t>
  </si>
  <si>
    <t>1) The matching of the opening balance for the comparative year was verified</t>
  </si>
  <si>
    <t>2) A table of Trade  Payable balances was taken from the client, and the equations and final calculation of the final balance were verified.</t>
  </si>
  <si>
    <t>3) The reconciliation of the analytical general ledger with the trial balance and financial statements has been verified.</t>
  </si>
  <si>
    <t>4) Matching invoices from Trade Payable GL with Supplier  Invoices</t>
  </si>
  <si>
    <t xml:space="preserve">5)The reconciliation of the account statements with the Supplier accounts  confirmations has been verified.  </t>
  </si>
  <si>
    <t>Loans</t>
  </si>
  <si>
    <t>Bank Account Name</t>
  </si>
  <si>
    <t>Bank account number</t>
  </si>
  <si>
    <t>opening balance</t>
  </si>
  <si>
    <t>ending balance</t>
  </si>
  <si>
    <t>STARTING DATE</t>
  </si>
  <si>
    <t>ENDING DATE</t>
  </si>
  <si>
    <t>Year end</t>
  </si>
  <si>
    <t xml:space="preserve">Total days </t>
  </si>
  <si>
    <t>Days in 2023</t>
  </si>
  <si>
    <t>advance rent expenses</t>
  </si>
  <si>
    <t xml:space="preserve"> rent expenses</t>
  </si>
  <si>
    <t>#</t>
  </si>
  <si>
    <t xml:space="preserve">مصرف الانماء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</si>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</sst>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readingOrder="1"/>
    </xf>
    <xf numFmtId="0" fontId="2" fillId="0" borderId="0" xfId="0" applyFo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0" fillId="0" borderId="1" xfId="0" applyBorder="1" applyAlignment="1">
      <alignment horizontal="left" readingOrder="1"/>
    </xf>
    <xf numFmtId="0" fontId="4" fillId="0" borderId="8" xfId="0" applyFont="1" applyBorder="1" applyAlignment="1">
      <alignment horizontal="center" vertical="center" readingOrder="1"/>
    </xf>
    <xf numFmtId="15" fontId="4" fillId="0" borderId="9" xfId="0" applyNumberFormat="1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9" fontId="0" fillId="0" borderId="10" xfId="2" applyFont="1" applyBorder="1" applyAlignment="1">
      <alignment horizontal="center" readingOrder="1"/>
    </xf>
    <xf numFmtId="9" fontId="0" fillId="0" borderId="1" xfId="2" applyFont="1" applyBorder="1" applyAlignment="1">
      <alignment horizontal="center" readingOrder="1"/>
    </xf>
    <xf numFmtId="0" fontId="4" fillId="2" borderId="9" xfId="0" applyFont="1" applyFill="1" applyBorder="1" applyAlignment="1">
      <alignment horizontal="center" vertical="center" readingOrder="1"/>
    </xf>
    <xf numFmtId="0" fontId="0" fillId="2" borderId="10" xfId="0" applyFill="1" applyBorder="1" applyAlignment="1">
      <alignment horizontal="center" readingOrder="1"/>
    </xf>
    <xf numFmtId="9" fontId="0" fillId="2" borderId="10" xfId="2" applyFont="1" applyFill="1" applyBorder="1" applyAlignment="1">
      <alignment horizontal="center" readingOrder="1"/>
    </xf>
    <xf numFmtId="0" fontId="0" fillId="2" borderId="1" xfId="0" applyFill="1" applyBorder="1" applyAlignment="1">
      <alignment horizontal="center" readingOrder="1"/>
    </xf>
    <xf numFmtId="9" fontId="0" fillId="2" borderId="1" xfId="2" applyFont="1" applyFill="1" applyBorder="1" applyAlignment="1">
      <alignment horizontal="center" readingOrder="1"/>
    </xf>
    <xf numFmtId="0" fontId="0" fillId="2" borderId="10" xfId="0" applyFill="1" applyBorder="1" applyAlignment="1">
      <alignment horizontal="center" vertical="center" readingOrder="1"/>
    </xf>
    <xf numFmtId="0" fontId="0" fillId="2" borderId="4" xfId="0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10" xfId="1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43" fontId="1" fillId="0" borderId="10" xfId="1" applyFont="1" applyFill="1" applyBorder="1" applyAlignment="1">
      <alignment horizontal="center" vertical="center"/>
    </xf>
    <xf numFmtId="43" fontId="0" fillId="0" borderId="0" xfId="1" applyFont="1"/>
    <xf numFmtId="0" fontId="0" fillId="2" borderId="1" xfId="0" applyFill="1" applyBorder="1" applyAlignment="1">
      <alignment horizontal="center" vertical="center"/>
    </xf>
    <xf numFmtId="43" fontId="0" fillId="0" borderId="14" xfId="1" applyFont="1" applyBorder="1"/>
    <xf numFmtId="0" fontId="4" fillId="2" borderId="3" xfId="0" applyFont="1" applyFill="1" applyBorder="1" applyAlignment="1">
      <alignment horizontal="center" vertical="center" readingOrder="1"/>
    </xf>
    <xf numFmtId="9" fontId="0" fillId="2" borderId="4" xfId="2" applyFont="1" applyFill="1" applyBorder="1" applyAlignment="1">
      <alignment horizontal="center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0" fillId="2" borderId="11" xfId="0" applyFill="1" applyBorder="1" applyAlignment="1">
      <alignment horizontal="left" readingOrder="1"/>
    </xf>
    <xf numFmtId="0" fontId="0" fillId="2" borderId="0" xfId="0" applyFill="1" applyAlignment="1">
      <alignment horizontal="left" readingOrder="1"/>
    </xf>
    <xf numFmtId="0" fontId="0" fillId="2" borderId="12" xfId="0" applyFill="1" applyBorder="1" applyAlignment="1">
      <alignment horizontal="left" readingOrder="1"/>
    </xf>
    <xf numFmtId="0" fontId="0" fillId="2" borderId="11" xfId="0" applyFill="1" applyBorder="1" applyAlignment="1">
      <alignment horizontal="left" wrapText="1" readingOrder="1"/>
    </xf>
    <xf numFmtId="0" fontId="0" fillId="2" borderId="7" xfId="0" applyFill="1" applyBorder="1" applyAlignment="1">
      <alignment horizontal="left" readingOrder="1"/>
    </xf>
    <xf numFmtId="0" fontId="0" fillId="2" borderId="8" xfId="0" applyFill="1" applyBorder="1" applyAlignment="1">
      <alignment horizontal="left" readingOrder="1"/>
    </xf>
    <xf numFmtId="0" fontId="0" fillId="2" borderId="13" xfId="0" applyFill="1" applyBorder="1" applyAlignment="1">
      <alignment horizontal="left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4" fillId="0" borderId="2" xfId="0" applyFont="1" applyBorder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15" fontId="0" fillId="0" borderId="3" xfId="0" applyNumberFormat="1" applyBorder="1" applyAlignment="1">
      <alignment horizontal="center" vertical="center" readingOrder="1"/>
    </xf>
    <xf numFmtId="15" fontId="0" fillId="0" borderId="4" xfId="0" applyNumberFormat="1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2" borderId="2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readingOrder="1"/>
    </xf>
    <xf numFmtId="43" fontId="0" fillId="0" borderId="10" xfId="1" applyFont="1" applyBorder="1" applyAlignment="1">
      <alignment horizontal="center" readingOrder="1"/>
    </xf>
    <xf numFmtId="43" fontId="0" fillId="0" borderId="1" xfId="1" applyFont="1" applyBorder="1" applyAlignment="1">
      <alignment horizontal="center" readingOrder="1"/>
    </xf>
    <xf numFmtId="0" fontId="0" fillId="0" borderId="10" xfId="1" applyNumberFormat="1" applyFont="1" applyBorder="1" applyAlignment="1">
      <alignment horizontal="center" readingOrder="1"/>
    </xf>
    <xf numFmtId="0" fontId="0" fillId="0" borderId="1" xfId="1" applyNumberFormat="1" applyFont="1" applyBorder="1" applyAlignment="1">
      <alignment horizontal="center" readingOrder="1"/>
    </xf>
  </cellXfs>
  <cellStyles count="3">
    <cellStyle name="Comma" xfId="1" builtinId="3"/>
    <cellStyle name="Percent" xfId="2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6"/>
  <sheetViews>
    <sheetView tabSelected="1" topLeftCell="A16" workbookViewId="0">
      <selection activeCell="F30" sqref="F30"/>
    </sheetView>
  </sheetViews>
  <sheetFormatPr defaultRowHeight="15" x14ac:dyDescent="0.25"/>
  <cols>
    <col min="2" max="2" width="20.5" customWidth="1"/>
    <col min="3" max="3" width="18" customWidth="1"/>
    <col min="4" max="4" width="15" customWidth="1"/>
    <col min="5" max="5" width="13.5" customWidth="1"/>
    <col min="6" max="6" width="15.25" customWidth="1"/>
    <col min="7" max="7" width="12.5" customWidth="1"/>
    <col min="8" max="11" width="11.75" customWidth="1"/>
    <col min="12" max="12" width="18.875" bestFit="1" customWidth="1"/>
    <col min="13" max="13" width="12.25" bestFit="1" customWidth="1"/>
    <col min="14" max="14" width="11.75" customWidth="1"/>
  </cols>
  <sheetData>
    <row r="1" spans="2:17" s="1" customForma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spans="2:17" s="1" customFormat="1" ht="15.75" thickBot="1" x14ac:dyDescent="0.3"/>
    <row r="3" spans="2:17" s="1" customFormat="1" ht="15.75" thickBot="1" x14ac:dyDescent="0.3">
      <c r="B3" s="5" t="s">
        <v>1</v>
      </c>
      <c r="C3" s="46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s="1" customFormat="1" ht="15.75" thickBot="1" x14ac:dyDescent="0.3">
      <c r="B4" s="5" t="s">
        <v>2</v>
      </c>
      <c r="C4" s="49">
        <v>45291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s="1" customFormat="1" ht="15.75" thickBot="1" x14ac:dyDescent="0.3">
      <c r="B5" s="5" t="s">
        <v>3</v>
      </c>
      <c r="C5" s="52" t="s">
        <v>4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4"/>
    </row>
    <row r="7" spans="2:17" ht="15.75" thickBot="1" x14ac:dyDescent="0.3"/>
    <row r="8" spans="2:17" ht="15.75" thickBot="1" x14ac:dyDescent="0.3">
      <c r="B8" s="32" t="s">
        <v>14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2:17" ht="15.75" thickBot="1" x14ac:dyDescent="0.3"/>
    <row r="10" spans="2:17" s="1" customFormat="1" ht="15.75" customHeight="1" thickBot="1" x14ac:dyDescent="0.3">
      <c r="B10" s="55" t="s">
        <v>5</v>
      </c>
      <c r="C10" s="56"/>
      <c r="D10" s="59" t="s">
        <v>6</v>
      </c>
      <c r="E10" s="60"/>
      <c r="F10" s="59" t="s">
        <v>7</v>
      </c>
      <c r="G10" s="60"/>
      <c r="H10" s="61" t="s">
        <v>8</v>
      </c>
      <c r="I10" s="62"/>
      <c r="J10" s="30"/>
      <c r="K10" s="61" t="s">
        <v>9</v>
      </c>
      <c r="L10" s="62"/>
      <c r="M10" s="61" t="s">
        <v>10</v>
      </c>
      <c r="N10" s="62"/>
    </row>
    <row r="11" spans="2:17" s="1" customFormat="1" ht="15.75" thickBot="1" x14ac:dyDescent="0.3">
      <c r="B11" s="57"/>
      <c r="C11" s="58"/>
      <c r="D11" s="7">
        <f>C4</f>
        <v>45291</v>
      </c>
      <c r="E11" s="8" t="s">
        <v>11</v>
      </c>
      <c r="F11" s="8" t="s">
        <v>4</v>
      </c>
      <c r="G11" s="6" t="s">
        <v>12</v>
      </c>
      <c r="H11" s="11" t="s">
        <v>4</v>
      </c>
      <c r="I11" s="11" t="s">
        <v>12</v>
      </c>
      <c r="J11" s="11"/>
      <c r="K11" s="11" t="s">
        <v>4</v>
      </c>
      <c r="L11" s="11" t="s">
        <v>12</v>
      </c>
      <c r="M11" s="11" t="s">
        <v>13</v>
      </c>
      <c r="N11" s="11" t="s">
        <v>12</v>
      </c>
    </row>
    <row r="12" spans="2:17" s="1" customFormat="1" ht="19.5" customHeight="1" thickBot="1" x14ac:dyDescent="0.3">
      <c r="B12" s="42" t="s">
        <v>22</v>
      </c>
      <c r="C12" s="43"/>
      <c r="D12" s="63">
        <f>E35</f>
        <v>50000</v>
      </c>
      <c r="E12" s="63">
        <f>D35</f>
        <v>100000</v>
      </c>
      <c r="F12" s="65">
        <f>D12-E12</f>
        <v>-50000</v>
      </c>
      <c r="G12" s="9">
        <f>E12/F12</f>
        <v>-2</v>
      </c>
      <c r="H12" s="12">
        <f>L116</f>
        <v>0</v>
      </c>
      <c r="I12" s="13">
        <f>H12/D12</f>
        <v>0</v>
      </c>
      <c r="J12" s="13"/>
      <c r="K12" s="16">
        <f>F53</f>
        <v>0</v>
      </c>
      <c r="L12" s="13">
        <f>K12/D12</f>
        <v>0</v>
      </c>
      <c r="M12" s="16">
        <f>E70</f>
        <v>0</v>
      </c>
      <c r="N12" s="13">
        <f>M12/D12</f>
        <v>0</v>
      </c>
    </row>
    <row r="13" spans="2:17" s="1" customFormat="1" ht="15.75" thickBot="1" x14ac:dyDescent="0.3">
      <c r="B13" s="44" t="s">
        <v>15</v>
      </c>
      <c r="C13" s="45"/>
      <c r="D13" s="64">
        <f>SUM(D12:D12)</f>
        <v>50000</v>
      </c>
      <c r="E13" s="64">
        <f>SUM(E12:E12)</f>
        <v>100000</v>
      </c>
      <c r="F13" s="66">
        <f>SUM(F12:F12)</f>
        <v>-50000</v>
      </c>
      <c r="G13" s="10">
        <f>E13/F13</f>
        <v>-2</v>
      </c>
      <c r="H13" s="14">
        <f>SUM(H12:H12)</f>
        <v>0</v>
      </c>
      <c r="I13" s="15">
        <v>0</v>
      </c>
      <c r="J13" s="31"/>
      <c r="K13" s="17">
        <f>SUM(K12:K12)</f>
        <v>0</v>
      </c>
      <c r="L13" s="17">
        <f>SUM(L12:L12)</f>
        <v>0</v>
      </c>
      <c r="M13" s="17">
        <f t="shared" ref="M13:N13" si="0">SUM(M12:M12)</f>
        <v>0</v>
      </c>
      <c r="N13" s="17">
        <f t="shared" si="0"/>
        <v>0</v>
      </c>
    </row>
    <row r="15" spans="2:17" ht="15.75" thickBot="1" x14ac:dyDescent="0.3"/>
    <row r="16" spans="2:17" ht="15.75" thickBot="1" x14ac:dyDescent="0.3">
      <c r="B16" s="32" t="s">
        <v>16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2:14" x14ac:dyDescent="0.25">
      <c r="B17" s="35" t="s">
        <v>17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2:14" x14ac:dyDescent="0.25">
      <c r="B18" s="35" t="s">
        <v>18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2:14" x14ac:dyDescent="0.25">
      <c r="B19" s="35" t="s">
        <v>19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2:14" x14ac:dyDescent="0.25">
      <c r="B20" s="38" t="s">
        <v>20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2:14" ht="15.75" thickBot="1" x14ac:dyDescent="0.3">
      <c r="B21" s="39" t="s">
        <v>21</v>
      </c>
      <c r="C21" s="40"/>
      <c r="D21" s="40"/>
      <c r="E21" s="40"/>
      <c r="F21" s="40"/>
      <c r="G21" s="40"/>
      <c r="H21" s="40"/>
      <c r="I21" s="40"/>
      <c r="J21" s="40"/>
      <c r="K21" s="40"/>
      <c r="L21" s="41"/>
    </row>
    <row r="22" spans="2:14" x14ac:dyDescent="0.25">
      <c r="N22" s="26" t="e">
        <f>+G22/K22*L22</f>
        <v>#DIV/0!</v>
      </c>
    </row>
    <row r="23" spans="2:14" ht="15.75" thickBot="1" x14ac:dyDescent="0.3"/>
    <row r="24" spans="2:14" ht="15.75" thickBot="1" x14ac:dyDescent="0.3">
      <c r="B24" s="20" t="s">
        <v>24</v>
      </c>
      <c r="C24" s="20" t="s">
        <v>23</v>
      </c>
      <c r="D24" s="20" t="s">
        <v>25</v>
      </c>
      <c r="E24" s="20" t="s">
        <v>26</v>
      </c>
      <c r="F24" s="19" t="s">
        <v>27</v>
      </c>
      <c r="G24" s="20" t="s">
        <v>28</v>
      </c>
      <c r="H24" s="20" t="s">
        <v>29</v>
      </c>
      <c r="I24" s="20" t="s">
        <v>30</v>
      </c>
      <c r="J24" s="21" t="s">
        <v>36</v>
      </c>
      <c r="K24" s="21" t="s">
        <v>31</v>
      </c>
      <c r="L24" s="28" t="s">
        <v>32</v>
      </c>
      <c r="M24" s="28" t="s">
        <v>33</v>
      </c>
    </row>
    <row r="25" spans="2:14" x14ac:dyDescent="0.25">
      <c r="B25" s="18" t="s">
        <v>34</v>
      </c>
      <c r="C25" t="s">
        <v>35</v>
      </c>
      <c r="D25" s="27">
        <v>100000</v>
      </c>
      <c r="E25" s="27">
        <v>50000</v>
      </c>
      <c r="F25" s="23">
        <v>44562</v>
      </c>
      <c r="G25" s="23">
        <v>45292</v>
      </c>
      <c r="H25" s="23">
        <v>45291</v>
      </c>
      <c r="I25" s="24">
        <f>+G25-F25+1</f>
        <v>731</v>
      </c>
      <c r="J25" s="25">
        <f>I25/365</f>
        <v>2.0027397260273974</v>
      </c>
      <c r="K25" s="25">
        <f>+G25-H25+1</f>
        <v>2</v>
      </c>
      <c r="L25" s="26"/>
      <c r="M25" s="22">
        <f>L25-E25</f>
        <v>-50000</v>
      </c>
    </row>
    <row r="26" spans="2:14" x14ac:dyDescent="0.25">
      <c r="D26" s="27"/>
      <c r="E26" s="27"/>
    </row>
    <row r="27" spans="2:14" x14ac:dyDescent="0.25">
      <c r="D27" s="27"/>
      <c r="E27" s="27"/>
    </row>
    <row r="28" spans="2:14" x14ac:dyDescent="0.25">
      <c r="D28" s="27"/>
      <c r="E28" s="27"/>
    </row>
    <row r="29" spans="2:14" x14ac:dyDescent="0.25">
      <c r="D29" s="27"/>
      <c r="E29" s="27"/>
    </row>
    <row r="30" spans="2:14" x14ac:dyDescent="0.25">
      <c r="D30" s="27"/>
      <c r="E30" s="27"/>
    </row>
    <row r="31" spans="2:14" x14ac:dyDescent="0.25">
      <c r="D31" s="27"/>
      <c r="E31" s="27"/>
    </row>
    <row r="32" spans="2:14" x14ac:dyDescent="0.25">
      <c r="D32" s="27"/>
      <c r="E32" s="27"/>
    </row>
    <row r="33" spans="2:5" x14ac:dyDescent="0.25">
      <c r="D33" s="27"/>
      <c r="E33" s="27"/>
    </row>
    <row r="34" spans="2:5" x14ac:dyDescent="0.25">
      <c r="D34" s="27"/>
      <c r="E34" s="27"/>
    </row>
    <row r="35" spans="2:5" ht="15.75" thickBot="1" x14ac:dyDescent="0.3">
      <c r="B35">
        <v>0</v>
      </c>
      <c r="D35" s="29">
        <f>SUM(D25:D34)</f>
        <v>100000</v>
      </c>
      <c r="E35" s="29">
        <f>SUM(E25:E34)</f>
        <v>50000</v>
      </c>
    </row>
    <row r="36" spans="2:5" ht="15.75" thickTop="1" x14ac:dyDescent="0.25"/>
  </sheetData>
  <mergeCells count="18">
    <mergeCell ref="B21:L21"/>
    <mergeCell ref="B12:C12"/>
    <mergeCell ref="B13:C13"/>
    <mergeCell ref="B8:N8"/>
    <mergeCell ref="C3:Q3"/>
    <mergeCell ref="C4:Q4"/>
    <mergeCell ref="C5:Q5"/>
    <mergeCell ref="B10:C11"/>
    <mergeCell ref="D10:E10"/>
    <mergeCell ref="F10:G10"/>
    <mergeCell ref="H10:I10"/>
    <mergeCell ref="K10:L10"/>
    <mergeCell ref="M10:N10"/>
    <mergeCell ref="B16:L16"/>
    <mergeCell ref="B17:L17"/>
    <mergeCell ref="B18:L18"/>
    <mergeCell ref="B19:L19"/>
    <mergeCell ref="B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2024-11-10T11:12:54Z</dcterms:modified>
</cp:coreProperties>
</file>