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"/>
    </mc:Choice>
  </mc:AlternateContent>
  <xr:revisionPtr revIDLastSave="0" documentId="13_ncr:1_{53384F2C-7C13-4808-BE51-FD3E288828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ed 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K17" i="1"/>
  <c r="E76" i="1"/>
  <c r="E98" i="1"/>
  <c r="J54" i="1" l="1"/>
  <c r="H17" i="1" s="1"/>
  <c r="D16" i="1" l="1"/>
  <c r="J17" i="1" l="1"/>
  <c r="G54" i="1" l="1"/>
  <c r="B79" i="1" s="1"/>
  <c r="H54" i="1"/>
  <c r="B102" i="1" s="1"/>
  <c r="F54" i="1"/>
  <c r="E17" i="1" s="1"/>
  <c r="E18" i="1" s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39" i="1"/>
  <c r="I54" i="1" l="1"/>
  <c r="D17" i="1" l="1"/>
  <c r="F17" i="1" l="1"/>
  <c r="D18" i="1"/>
  <c r="I17" i="1"/>
  <c r="G17" i="1" l="1"/>
  <c r="H18" i="1"/>
  <c r="I18" i="1" s="1"/>
  <c r="F18" i="1"/>
  <c r="G18" i="1" l="1"/>
  <c r="K18" i="1"/>
</calcChain>
</file>

<file path=xl/sharedStrings.xml><?xml version="1.0" encoding="utf-8"?>
<sst xmlns="http://schemas.openxmlformats.org/spreadsheetml/2006/main" count="260" uniqueCount="81">
  <si>
    <t>تسلسل</t>
  </si>
  <si>
    <t>الاكتمال</t>
  </si>
  <si>
    <t xml:space="preserve">الوجود </t>
  </si>
  <si>
    <t xml:space="preserve"> الحقوق والالتزامات</t>
  </si>
  <si>
    <t xml:space="preserve">الدقة </t>
  </si>
  <si>
    <t xml:space="preserve">التصنيف والعرض </t>
  </si>
  <si>
    <t xml:space="preserve">مدينة </t>
  </si>
  <si>
    <t xml:space="preserve">دائنة </t>
  </si>
  <si>
    <t>√</t>
  </si>
  <si>
    <t xml:space="preserve"> </t>
  </si>
  <si>
    <t>**</t>
  </si>
  <si>
    <t>No exceptions were found.</t>
  </si>
  <si>
    <t>Conclusion of the opinion:</t>
  </si>
  <si>
    <t>The percentage of samples from the total item</t>
  </si>
  <si>
    <t>1) The opening balance was matched with the financial statements of the previous year approved</t>
  </si>
  <si>
    <t>2) The analytical statements and the statement of each account of the related parties were obtained</t>
  </si>
  <si>
    <t>6) The approvals of the related parties were obtained</t>
  </si>
  <si>
    <t>Work done</t>
  </si>
  <si>
    <t>It is a transfer of resources, services or obligations between related parties regardless of the existence of a consideration estimated for this transfer. The parties’ transactions may be of a recurring or non-recurring nature.</t>
  </si>
  <si>
    <t xml:space="preserve">Related party transactions </t>
  </si>
  <si>
    <t xml:space="preserve">Related party </t>
  </si>
  <si>
    <t>It is a person in his capacity (natural or legal) or an establishment linked to the company.</t>
  </si>
  <si>
    <t>Description</t>
  </si>
  <si>
    <t xml:space="preserve">Balance as at </t>
  </si>
  <si>
    <t>Variance</t>
  </si>
  <si>
    <t>Confirmations</t>
  </si>
  <si>
    <t>SAR</t>
  </si>
  <si>
    <t>%</t>
  </si>
  <si>
    <t>3) The balances were verified to match between the account statements, the trial balance, the analytical statement, the draft financial statements and the approvals</t>
  </si>
  <si>
    <t>4) The accuracy of all classifications and presentation of the related parties was verified</t>
  </si>
  <si>
    <t>5) The accuracy of the transactions of the related parties was verified</t>
  </si>
  <si>
    <t>Existence</t>
  </si>
  <si>
    <t>Completenes</t>
  </si>
  <si>
    <t>Rights &amp; Obligation</t>
  </si>
  <si>
    <t>Accuracy</t>
  </si>
  <si>
    <t>Classifcation &amp; Presentation</t>
  </si>
  <si>
    <t>Assertions</t>
  </si>
  <si>
    <t>Name</t>
  </si>
  <si>
    <t>Accont #</t>
  </si>
  <si>
    <t>Type of Relationship</t>
  </si>
  <si>
    <t>Nature</t>
  </si>
  <si>
    <t>Operation transaction</t>
  </si>
  <si>
    <t>Short term financing</t>
  </si>
  <si>
    <t>Dividends</t>
  </si>
  <si>
    <t>Owner</t>
  </si>
  <si>
    <t>Partner</t>
  </si>
  <si>
    <t>Associate</t>
  </si>
  <si>
    <t>Affilate</t>
  </si>
  <si>
    <t>Subsidiary</t>
  </si>
  <si>
    <t>Key management</t>
  </si>
  <si>
    <t>Family member</t>
  </si>
  <si>
    <t xml:space="preserve">Total </t>
  </si>
  <si>
    <t>jv</t>
  </si>
  <si>
    <t>date</t>
  </si>
  <si>
    <t>amount</t>
  </si>
  <si>
    <t>Posting &amp; recording checked</t>
  </si>
  <si>
    <t>calculation accuracy
is checked</t>
  </si>
  <si>
    <t xml:space="preserve">Sufficient document was attached </t>
  </si>
  <si>
    <t>Traced to bank stat</t>
  </si>
  <si>
    <t>Debit side</t>
  </si>
  <si>
    <t>Credit side</t>
  </si>
  <si>
    <t xml:space="preserve">client name </t>
  </si>
  <si>
    <t>year</t>
  </si>
  <si>
    <t>Currency</t>
  </si>
  <si>
    <t>Abdullah Mansour Al-Subaie Company, Accountants and Legal Auditors, License No. (1031)</t>
  </si>
  <si>
    <t xml:space="preserve">debit movment </t>
  </si>
  <si>
    <t>Credit movment</t>
  </si>
  <si>
    <t>opening balance</t>
  </si>
  <si>
    <t>Stakeholder Summary</t>
  </si>
  <si>
    <t xml:space="preserve">end balance </t>
  </si>
  <si>
    <t>Closing balance</t>
  </si>
  <si>
    <t>Balance of confirmation</t>
  </si>
  <si>
    <t>Prepared by:</t>
  </si>
  <si>
    <t>saad</t>
  </si>
  <si>
    <t>Reviewed by:</t>
  </si>
  <si>
    <t>The analytical statements and the statement of each account of the related parties were obtained</t>
  </si>
  <si>
    <t xml:space="preserve">The balances were verified to match between the account statements, the trial balance, the analytical statement, the draft financial statements and the approvals	</t>
  </si>
  <si>
    <t>The approvals of the related parties were obtained</t>
  </si>
  <si>
    <t xml:space="preserve">The accuracy of the transactions of the related parties was verified	</t>
  </si>
  <si>
    <t>The accuracy of all classifications and presentation of the related parties was verified</t>
  </si>
  <si>
    <t xml:space="preserve"> samples from the total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</si>
</sst>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1020000]B1d\ mmmm\ 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7" fillId="0" borderId="0"/>
    <xf numFmtId="0" fontId="1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4" fillId="0" borderId="0" xfId="0" applyFont="1" applyAlignment="1">
      <alignment readingOrder="2"/>
    </xf>
    <xf numFmtId="0" fontId="5" fillId="0" borderId="0" xfId="0" applyFont="1" applyAlignment="1">
      <alignment readingOrder="2"/>
    </xf>
    <xf numFmtId="0" fontId="6" fillId="0" borderId="0" xfId="0" applyFont="1" applyAlignment="1">
      <alignment readingOrder="2"/>
    </xf>
    <xf numFmtId="0" fontId="0" fillId="0" borderId="0" xfId="0" applyAlignment="1">
      <alignment readingOrder="2"/>
    </xf>
    <xf numFmtId="0" fontId="0" fillId="0" borderId="1" xfId="0" applyBorder="1" applyAlignment="1">
      <alignment readingOrder="2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readingOrder="2"/>
    </xf>
    <xf numFmtId="0" fontId="6" fillId="0" borderId="1" xfId="0" applyFont="1" applyBorder="1" applyAlignment="1">
      <alignment horizontal="center" readingOrder="2"/>
    </xf>
    <xf numFmtId="0" fontId="0" fillId="2" borderId="0" xfId="0" applyFill="1"/>
    <xf numFmtId="0" fontId="4" fillId="0" borderId="0" xfId="3" applyFont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6" xfId="0" applyBorder="1"/>
    <xf numFmtId="0" fontId="6" fillId="0" borderId="13" xfId="0" applyFont="1" applyBorder="1" applyAlignment="1">
      <alignment readingOrder="1"/>
    </xf>
    <xf numFmtId="0" fontId="0" fillId="0" borderId="0" xfId="0" applyAlignment="1">
      <alignment readingOrder="1"/>
    </xf>
    <xf numFmtId="0" fontId="6" fillId="0" borderId="14" xfId="0" applyFont="1" applyBorder="1" applyAlignment="1">
      <alignment horizontal="center" vertical="center" readingOrder="1"/>
    </xf>
    <xf numFmtId="43" fontId="0" fillId="0" borderId="1" xfId="1" applyFont="1" applyBorder="1" applyAlignment="1">
      <alignment horizontal="center" readingOrder="1"/>
    </xf>
    <xf numFmtId="164" fontId="0" fillId="0" borderId="1" xfId="1" applyNumberFormat="1" applyFont="1" applyBorder="1" applyAlignment="1">
      <alignment horizontal="center" vertical="center" readingOrder="1"/>
    </xf>
    <xf numFmtId="9" fontId="0" fillId="0" borderId="1" xfId="2" applyFont="1" applyBorder="1" applyAlignment="1">
      <alignment horizontal="center" readingOrder="1"/>
    </xf>
    <xf numFmtId="43" fontId="0" fillId="0" borderId="1" xfId="1" applyFont="1" applyBorder="1" applyAlignment="1">
      <alignment horizontal="center" vertical="center" readingOrder="1"/>
    </xf>
    <xf numFmtId="9" fontId="0" fillId="0" borderId="1" xfId="2" applyFont="1" applyFill="1" applyBorder="1" applyAlignment="1">
      <alignment horizontal="center" readingOrder="1"/>
    </xf>
    <xf numFmtId="0" fontId="6" fillId="0" borderId="9" xfId="0" applyFont="1" applyBorder="1" applyAlignment="1">
      <alignment horizontal="center" vertical="center" readingOrder="1"/>
    </xf>
    <xf numFmtId="43" fontId="0" fillId="0" borderId="1" xfId="1" applyFont="1" applyBorder="1" applyAlignment="1">
      <alignment readingOrder="1"/>
    </xf>
    <xf numFmtId="0" fontId="0" fillId="0" borderId="5" xfId="0" applyBorder="1"/>
    <xf numFmtId="0" fontId="0" fillId="0" borderId="18" xfId="0" applyBorder="1" applyAlignment="1">
      <alignment horizontal="center"/>
    </xf>
    <xf numFmtId="0" fontId="0" fillId="3" borderId="10" xfId="0" applyFill="1" applyBorder="1"/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4" fillId="0" borderId="16" xfId="3" applyFont="1" applyBorder="1" applyAlignment="1">
      <alignment horizontal="center"/>
    </xf>
    <xf numFmtId="0" fontId="0" fillId="3" borderId="14" xfId="0" applyFill="1" applyBorder="1"/>
    <xf numFmtId="165" fontId="6" fillId="0" borderId="14" xfId="0" applyNumberFormat="1" applyFont="1" applyBorder="1" applyAlignment="1">
      <alignment horizontal="center" vertical="center" readingOrder="1"/>
    </xf>
    <xf numFmtId="15" fontId="6" fillId="0" borderId="14" xfId="0" applyNumberFormat="1" applyFont="1" applyBorder="1" applyAlignment="1">
      <alignment horizontal="center" vertical="center" readingOrder="1"/>
    </xf>
    <xf numFmtId="0" fontId="0" fillId="0" borderId="1" xfId="0" applyBorder="1" applyAlignment="1">
      <alignment wrapText="1" readingOrder="2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/>
    <xf numFmtId="0" fontId="6" fillId="0" borderId="1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readingOrder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2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0" fontId="0" fillId="0" borderId="2" xfId="0" applyBorder="1" applyAlignment="1">
      <alignment horizontal="center" readingOrder="2"/>
    </xf>
    <xf numFmtId="0" fontId="0" fillId="0" borderId="3" xfId="0" applyBorder="1" applyAlignment="1">
      <alignment horizontal="center" readingOrder="2"/>
    </xf>
    <xf numFmtId="0" fontId="0" fillId="0" borderId="4" xfId="0" applyBorder="1" applyAlignment="1">
      <alignment horizontal="center" readingOrder="2"/>
    </xf>
    <xf numFmtId="165" fontId="0" fillId="0" borderId="2" xfId="0" applyNumberFormat="1" applyBorder="1" applyAlignment="1">
      <alignment horizontal="center" vertical="center" readingOrder="2"/>
    </xf>
    <xf numFmtId="165" fontId="0" fillId="0" borderId="3" xfId="0" applyNumberFormat="1" applyBorder="1" applyAlignment="1">
      <alignment horizontal="center" vertical="center" readingOrder="2"/>
    </xf>
    <xf numFmtId="165" fontId="0" fillId="0" borderId="4" xfId="0" applyNumberFormat="1" applyBorder="1" applyAlignment="1">
      <alignment horizontal="center" vertical="center" readingOrder="2"/>
    </xf>
    <xf numFmtId="0" fontId="0" fillId="0" borderId="2" xfId="0" applyBorder="1" applyAlignment="1">
      <alignment horizontal="center" vertical="center" readingOrder="2"/>
    </xf>
    <xf numFmtId="0" fontId="0" fillId="0" borderId="3" xfId="0" applyBorder="1" applyAlignment="1">
      <alignment horizontal="center" vertical="center" readingOrder="2"/>
    </xf>
    <xf numFmtId="0" fontId="0" fillId="0" borderId="4" xfId="0" applyBorder="1" applyAlignment="1">
      <alignment horizontal="center" vertical="center" readingOrder="2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2" xfId="0" applyBorder="1" applyAlignment="1">
      <alignment horizontal="left" readingOrder="1"/>
    </xf>
    <xf numFmtId="0" fontId="0" fillId="0" borderId="3" xfId="0" applyBorder="1" applyAlignment="1">
      <alignment horizontal="left" readingOrder="1"/>
    </xf>
    <xf numFmtId="0" fontId="0" fillId="0" borderId="4" xfId="0" applyBorder="1" applyAlignment="1">
      <alignment horizontal="left" readingOrder="1"/>
    </xf>
    <xf numFmtId="0" fontId="0" fillId="0" borderId="2" xfId="0" applyBorder="1" applyAlignment="1">
      <alignment vertical="center" readingOrder="1"/>
    </xf>
    <xf numFmtId="0" fontId="0" fillId="0" borderId="3" xfId="0" applyBorder="1" applyAlignment="1">
      <alignment vertical="center" readingOrder="1"/>
    </xf>
    <xf numFmtId="0" fontId="6" fillId="0" borderId="3" xfId="0" applyFont="1" applyBorder="1" applyAlignment="1">
      <alignment horizontal="center" vertical="center" readingOrder="1"/>
    </xf>
    <xf numFmtId="0" fontId="6" fillId="0" borderId="10" xfId="0" applyFont="1" applyBorder="1" applyAlignment="1">
      <alignment horizontal="center" vertical="center" readingOrder="1"/>
    </xf>
    <xf numFmtId="0" fontId="6" fillId="0" borderId="11" xfId="0" applyFont="1" applyBorder="1" applyAlignment="1">
      <alignment horizontal="center" vertical="center" readingOrder="1"/>
    </xf>
    <xf numFmtId="0" fontId="6" fillId="0" borderId="7" xfId="0" applyFont="1" applyBorder="1" applyAlignment="1">
      <alignment horizontal="center" vertical="center" readingOrder="1"/>
    </xf>
    <xf numFmtId="0" fontId="6" fillId="0" borderId="8" xfId="0" applyFont="1" applyBorder="1" applyAlignment="1">
      <alignment horizontal="center" vertical="center" readingOrder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left" vertical="center" readingOrder="2"/>
    </xf>
    <xf numFmtId="0" fontId="0" fillId="0" borderId="4" xfId="0" applyBorder="1" applyAlignment="1">
      <alignment horizontal="left" vertical="center" readingOrder="2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9" fontId="0" fillId="0" borderId="2" xfId="2" applyFont="1" applyBorder="1" applyAlignment="1">
      <alignment horizontal="center"/>
    </xf>
    <xf numFmtId="9" fontId="0" fillId="0" borderId="4" xfId="2" applyFont="1" applyBorder="1" applyAlignment="1">
      <alignment horizontal="center"/>
    </xf>
    <xf numFmtId="0" fontId="6" fillId="0" borderId="2" xfId="0" applyFont="1" applyBorder="1" applyAlignment="1">
      <alignment vertical="center" readingOrder="1"/>
    </xf>
    <xf numFmtId="0" fontId="6" fillId="0" borderId="3" xfId="0" applyFont="1" applyBorder="1" applyAlignment="1">
      <alignment vertical="center" readingOrder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readingOrder="2"/>
    </xf>
    <xf numFmtId="0" fontId="6" fillId="0" borderId="3" xfId="0" applyFont="1" applyBorder="1" applyAlignment="1">
      <alignment horizontal="center" readingOrder="2"/>
    </xf>
    <xf numFmtId="0" fontId="6" fillId="0" borderId="4" xfId="0" applyFont="1" applyBorder="1" applyAlignment="1">
      <alignment horizontal="center" readingOrder="2"/>
    </xf>
    <xf numFmtId="0" fontId="0" fillId="0" borderId="3" xfId="0" applyBorder="1" applyAlignment="1">
      <alignment horizontal="left" vertical="center" wrapText="1" readingOrder="2"/>
    </xf>
    <xf numFmtId="0" fontId="0" fillId="0" borderId="4" xfId="0" applyBorder="1" applyAlignment="1">
      <alignment horizontal="left" vertical="center" wrapText="1" readingOrder="2"/>
    </xf>
    <xf numFmtId="0" fontId="0" fillId="0" borderId="5" xfId="0" applyBorder="1" applyAlignment="1">
      <alignment horizontal="left" readingOrder="1"/>
    </xf>
    <xf numFmtId="0" fontId="0" fillId="0" borderId="0" xfId="0" applyAlignment="1">
      <alignment horizontal="left" readingOrder="1"/>
    </xf>
    <xf numFmtId="0" fontId="0" fillId="0" borderId="6" xfId="0" applyBorder="1" applyAlignment="1">
      <alignment horizontal="left" readingOrder="1"/>
    </xf>
    <xf numFmtId="0" fontId="0" fillId="0" borderId="7" xfId="0" applyBorder="1" applyAlignment="1">
      <alignment horizontal="left" readingOrder="1"/>
    </xf>
    <xf numFmtId="0" fontId="0" fillId="0" borderId="8" xfId="0" applyBorder="1" applyAlignment="1">
      <alignment horizontal="left" readingOrder="1"/>
    </xf>
    <xf numFmtId="0" fontId="0" fillId="0" borderId="9" xfId="0" applyBorder="1" applyAlignment="1">
      <alignment horizontal="left" readingOrder="1"/>
    </xf>
  </cellXfs>
  <cellStyles count="14">
    <cellStyle name="Comma" xfId="1" builtinId="3"/>
    <cellStyle name="Comma 13" xfId="11" xr:uid="{50BC611F-D315-45B3-8605-3630B18811A6}"/>
    <cellStyle name="Comma 2" xfId="6" xr:uid="{83DE554B-D8D7-49C4-9296-F2BD7D8F474C}"/>
    <cellStyle name="Comma 9" xfId="13" xr:uid="{3B9CC944-E172-42DB-8B80-CA5413014B94}"/>
    <cellStyle name="Normal - Style1" xfId="8" xr:uid="{B69E1203-C37F-4A85-8FF7-4096932722AD}"/>
    <cellStyle name="Normal 11" xfId="3" xr:uid="{8F8EAEAA-8ABA-4CFC-9E0E-2625E97BD024}"/>
    <cellStyle name="Normal 11 2" xfId="5" xr:uid="{8438A5AF-2B6D-48D7-A87A-FDF1D722243E}"/>
    <cellStyle name="Normal 12" xfId="12" xr:uid="{2F636E65-A696-40EB-90D9-0D898C1C703C}"/>
    <cellStyle name="Normal 2 2 2" xfId="9" xr:uid="{D614AC7D-E8DB-4E28-B810-4E9A28DEB2D4}"/>
    <cellStyle name="Normal 2 4" xfId="4" xr:uid="{C5BCE5C2-6649-4CA1-AF71-825C5271A3FA}"/>
    <cellStyle name="Normal 5 3" xfId="10" xr:uid="{41B1F6E2-4ECE-4590-8323-05C01A392245}"/>
    <cellStyle name="Percent" xfId="2" builtinId="5"/>
    <cellStyle name="Percent 2" xfId="7" xr:uid="{1E7AC215-AE23-4FE3-A2E6-B93992F45B03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tabSelected="1" zoomScale="85" zoomScaleNormal="85" workbookViewId="0">
      <selection activeCell="L21" sqref="L21"/>
    </sheetView>
  </sheetViews>
  <sheetFormatPr defaultRowHeight="15" x14ac:dyDescent="0.25"/>
  <cols>
    <col min="1" max="1" width="5.25" customWidth="1"/>
    <col min="2" max="2" width="14.75" customWidth="1"/>
    <col min="3" max="3" width="17.625" customWidth="1"/>
    <col min="4" max="5" width="16.25" customWidth="1"/>
    <col min="6" max="6" width="17" customWidth="1"/>
    <col min="7" max="7" width="19.625" bestFit="1" customWidth="1"/>
    <col min="8" max="8" width="18" customWidth="1"/>
    <col min="9" max="9" width="17.875" bestFit="1" customWidth="1"/>
    <col min="10" max="10" width="12.25" customWidth="1"/>
    <col min="11" max="11" width="13.25" customWidth="1"/>
    <col min="25" max="25" width="11.875" bestFit="1" customWidth="1"/>
  </cols>
  <sheetData>
    <row r="1" spans="1:11" s="2" customFormat="1" x14ac:dyDescent="0.25">
      <c r="A1" s="1"/>
      <c r="B1" s="41" t="s">
        <v>64</v>
      </c>
      <c r="H1" t="s">
        <v>72</v>
      </c>
      <c r="I1" s="51" t="s">
        <v>73</v>
      </c>
    </row>
    <row r="2" spans="1:11" s="4" customFormat="1" ht="15.75" thickBot="1" x14ac:dyDescent="0.3">
      <c r="A2" s="3"/>
      <c r="H2" t="s">
        <v>74</v>
      </c>
      <c r="I2" s="52"/>
    </row>
    <row r="3" spans="1:11" s="4" customFormat="1" ht="15.75" thickBot="1" x14ac:dyDescent="0.3">
      <c r="A3" s="3"/>
      <c r="B3" s="50" t="s">
        <v>61</v>
      </c>
      <c r="C3" s="55"/>
      <c r="D3" s="56"/>
      <c r="E3" s="56"/>
      <c r="F3" s="56"/>
      <c r="G3" s="56"/>
      <c r="H3" s="56"/>
      <c r="I3" s="57"/>
    </row>
    <row r="4" spans="1:11" s="4" customFormat="1" ht="15.75" thickBot="1" x14ac:dyDescent="0.3">
      <c r="A4" s="3"/>
      <c r="B4" s="50" t="s">
        <v>62</v>
      </c>
      <c r="C4" s="58">
        <v>45657</v>
      </c>
      <c r="D4" s="59"/>
      <c r="E4" s="59"/>
      <c r="F4" s="59"/>
      <c r="G4" s="59"/>
      <c r="H4" s="59"/>
      <c r="I4" s="60"/>
    </row>
    <row r="5" spans="1:11" ht="15.75" thickBot="1" x14ac:dyDescent="0.3">
      <c r="B5" s="50" t="s">
        <v>63</v>
      </c>
      <c r="C5" s="61" t="s">
        <v>26</v>
      </c>
      <c r="D5" s="62"/>
      <c r="E5" s="62"/>
      <c r="F5" s="62"/>
      <c r="G5" s="62"/>
      <c r="H5" s="62"/>
      <c r="I5" s="63"/>
    </row>
    <row r="6" spans="1:11" ht="15.75" thickBot="1" x14ac:dyDescent="0.3"/>
    <row r="7" spans="1:11" ht="15.75" thickBot="1" x14ac:dyDescent="0.3">
      <c r="B7" s="17" t="s">
        <v>20</v>
      </c>
    </row>
    <row r="8" spans="1:11" ht="15.75" thickBot="1" x14ac:dyDescent="0.3">
      <c r="B8" s="72" t="s">
        <v>21</v>
      </c>
      <c r="C8" s="73"/>
      <c r="D8" s="73"/>
      <c r="E8" s="73"/>
      <c r="F8" s="74"/>
    </row>
    <row r="9" spans="1:11" ht="15.75" thickBot="1" x14ac:dyDescent="0.3">
      <c r="B9" s="4"/>
    </row>
    <row r="10" spans="1:11" ht="15.75" thickBot="1" x14ac:dyDescent="0.3">
      <c r="B10" s="70" t="s">
        <v>19</v>
      </c>
      <c r="C10" s="71"/>
    </row>
    <row r="11" spans="1:11" x14ac:dyDescent="0.25">
      <c r="B11" s="64" t="s">
        <v>18</v>
      </c>
      <c r="C11" s="65"/>
      <c r="D11" s="65"/>
      <c r="E11" s="65"/>
      <c r="F11" s="65"/>
      <c r="G11" s="65"/>
      <c r="H11" s="65"/>
      <c r="I11" s="66"/>
    </row>
    <row r="12" spans="1:11" ht="15.75" thickBot="1" x14ac:dyDescent="0.3">
      <c r="B12" s="67"/>
      <c r="C12" s="68"/>
      <c r="D12" s="68"/>
      <c r="E12" s="68"/>
      <c r="F12" s="68"/>
      <c r="G12" s="68"/>
      <c r="H12" s="68"/>
      <c r="I12" s="69"/>
    </row>
    <row r="13" spans="1:11" x14ac:dyDescent="0.25">
      <c r="B13" s="7"/>
      <c r="C13" s="7"/>
      <c r="D13" s="7"/>
      <c r="E13" s="7"/>
      <c r="F13" s="7"/>
      <c r="G13" s="7"/>
      <c r="H13" s="7"/>
      <c r="I13" s="7"/>
    </row>
    <row r="14" spans="1:11" ht="15.75" thickBot="1" x14ac:dyDescent="0.3">
      <c r="B14" s="7"/>
      <c r="C14" s="7"/>
      <c r="D14" s="7"/>
      <c r="E14" s="7"/>
      <c r="F14" s="7"/>
      <c r="G14" s="7"/>
      <c r="H14" s="7"/>
      <c r="I14" s="7"/>
    </row>
    <row r="15" spans="1:11" s="18" customFormat="1" ht="15.75" customHeight="1" thickBot="1" x14ac:dyDescent="0.3">
      <c r="B15" s="78" t="s">
        <v>22</v>
      </c>
      <c r="C15" s="79"/>
      <c r="D15" s="53" t="s">
        <v>23</v>
      </c>
      <c r="E15" s="77"/>
      <c r="F15" s="53" t="s">
        <v>24</v>
      </c>
      <c r="G15" s="54"/>
      <c r="H15" s="53" t="s">
        <v>25</v>
      </c>
      <c r="I15" s="54"/>
      <c r="J15" s="53" t="s">
        <v>80</v>
      </c>
      <c r="K15" s="54"/>
    </row>
    <row r="16" spans="1:11" s="18" customFormat="1" ht="15.75" thickBot="1" x14ac:dyDescent="0.3">
      <c r="B16" s="80"/>
      <c r="C16" s="81"/>
      <c r="D16" s="34">
        <f>C4</f>
        <v>45657</v>
      </c>
      <c r="E16" s="35">
        <v>45291</v>
      </c>
      <c r="F16" s="19" t="s">
        <v>26</v>
      </c>
      <c r="G16" s="25" t="s">
        <v>27</v>
      </c>
      <c r="H16" s="19" t="s">
        <v>26</v>
      </c>
      <c r="I16" s="19" t="s">
        <v>27</v>
      </c>
      <c r="J16" s="19" t="s">
        <v>26</v>
      </c>
      <c r="K16" s="19" t="s">
        <v>27</v>
      </c>
    </row>
    <row r="17" spans="1:11" s="18" customFormat="1" ht="19.5" customHeight="1" thickBot="1" x14ac:dyDescent="0.3">
      <c r="B17" s="75" t="s">
        <v>20</v>
      </c>
      <c r="C17" s="76"/>
      <c r="D17" s="20">
        <f>I54</f>
        <v>0</v>
      </c>
      <c r="E17" s="26">
        <f>F54</f>
        <v>0</v>
      </c>
      <c r="F17" s="21">
        <f>D17-E17</f>
        <v>0</v>
      </c>
      <c r="G17" s="22" t="e">
        <f>E17/F17</f>
        <v>#DIV/0!</v>
      </c>
      <c r="H17" s="23">
        <f>J54</f>
        <v>0</v>
      </c>
      <c r="I17" s="24" t="e">
        <f>H17/D17</f>
        <v>#DIV/0!</v>
      </c>
      <c r="J17" s="23">
        <f>E76+E98</f>
        <v>0</v>
      </c>
      <c r="K17" s="24" t="e">
        <f>J17/D17</f>
        <v>#DIV/0!</v>
      </c>
    </row>
    <row r="18" spans="1:11" ht="15.75" thickBot="1" x14ac:dyDescent="0.3">
      <c r="B18" s="100" t="s">
        <v>69</v>
      </c>
      <c r="C18" s="101"/>
      <c r="D18" s="20">
        <f>SUM(D17)</f>
        <v>0</v>
      </c>
      <c r="E18" s="26">
        <f>SUM(E17)</f>
        <v>0</v>
      </c>
      <c r="F18" s="21">
        <f>D18-E18</f>
        <v>0</v>
      </c>
      <c r="G18" s="22" t="e">
        <f>E18/F18</f>
        <v>#DIV/0!</v>
      </c>
      <c r="H18" s="23">
        <f>D18</f>
        <v>0</v>
      </c>
      <c r="I18" s="24" t="e">
        <f>H18/D18</f>
        <v>#DIV/0!</v>
      </c>
      <c r="J18" s="23">
        <f>SUM(J17)</f>
        <v>0</v>
      </c>
      <c r="K18" s="24" t="e">
        <f>J18/F18</f>
        <v>#DIV/0!</v>
      </c>
    </row>
    <row r="19" spans="1:11" x14ac:dyDescent="0.25">
      <c r="B19" s="7"/>
      <c r="C19" s="7"/>
      <c r="D19" s="7"/>
      <c r="E19" s="7"/>
      <c r="F19" s="7"/>
      <c r="G19" s="7"/>
      <c r="H19" s="7"/>
      <c r="I19" s="7"/>
    </row>
    <row r="20" spans="1:11" ht="15.75" thickBot="1" x14ac:dyDescent="0.3">
      <c r="B20" s="7"/>
      <c r="C20" s="7"/>
      <c r="D20" s="7"/>
      <c r="E20" s="7"/>
      <c r="F20" s="7"/>
      <c r="G20" s="7"/>
      <c r="H20" s="7"/>
      <c r="I20" s="7"/>
    </row>
    <row r="21" spans="1:11" ht="15.75" thickBot="1" x14ac:dyDescent="0.3">
      <c r="B21" s="106" t="s">
        <v>17</v>
      </c>
      <c r="C21" s="107"/>
      <c r="D21" s="107"/>
      <c r="E21" s="107"/>
      <c r="F21" s="107"/>
      <c r="G21" s="107"/>
      <c r="H21" s="107"/>
      <c r="I21" s="108"/>
    </row>
    <row r="22" spans="1:11" x14ac:dyDescent="0.25">
      <c r="B22" s="111" t="s">
        <v>14</v>
      </c>
      <c r="C22" s="112"/>
      <c r="D22" s="112"/>
      <c r="E22" s="112"/>
      <c r="F22" s="112"/>
      <c r="G22" s="112"/>
      <c r="H22" s="112"/>
      <c r="I22" s="113"/>
    </row>
    <row r="23" spans="1:11" x14ac:dyDescent="0.25">
      <c r="B23" s="111" t="s">
        <v>15</v>
      </c>
      <c r="C23" s="112"/>
      <c r="D23" s="112"/>
      <c r="E23" s="112"/>
      <c r="F23" s="112"/>
      <c r="G23" s="112"/>
      <c r="H23" s="112"/>
      <c r="I23" s="113"/>
    </row>
    <row r="24" spans="1:11" x14ac:dyDescent="0.25">
      <c r="B24" s="111" t="s">
        <v>28</v>
      </c>
      <c r="C24" s="112"/>
      <c r="D24" s="112"/>
      <c r="E24" s="112"/>
      <c r="F24" s="112"/>
      <c r="G24" s="112"/>
      <c r="H24" s="112"/>
      <c r="I24" s="113"/>
    </row>
    <row r="25" spans="1:11" x14ac:dyDescent="0.25">
      <c r="B25" s="111" t="s">
        <v>29</v>
      </c>
      <c r="C25" s="112"/>
      <c r="D25" s="112"/>
      <c r="E25" s="112"/>
      <c r="F25" s="112"/>
      <c r="G25" s="112"/>
      <c r="H25" s="112"/>
      <c r="I25" s="113"/>
    </row>
    <row r="26" spans="1:11" x14ac:dyDescent="0.25">
      <c r="B26" s="111" t="s">
        <v>30</v>
      </c>
      <c r="C26" s="112"/>
      <c r="D26" s="112"/>
      <c r="E26" s="112"/>
      <c r="F26" s="112"/>
      <c r="G26" s="112"/>
      <c r="H26" s="112"/>
      <c r="I26" s="113"/>
    </row>
    <row r="27" spans="1:11" ht="15.75" thickBot="1" x14ac:dyDescent="0.3">
      <c r="B27" s="114" t="s">
        <v>16</v>
      </c>
      <c r="C27" s="115"/>
      <c r="D27" s="115"/>
      <c r="E27" s="115"/>
      <c r="F27" s="115"/>
      <c r="G27" s="115"/>
      <c r="H27" s="115"/>
      <c r="I27" s="116"/>
    </row>
    <row r="28" spans="1:11" x14ac:dyDescent="0.25">
      <c r="B28" s="8"/>
      <c r="C28" s="8"/>
      <c r="D28" s="8"/>
      <c r="E28" s="8"/>
      <c r="F28" s="8"/>
      <c r="G28" s="8"/>
      <c r="H28" s="8"/>
      <c r="I28" s="8"/>
    </row>
    <row r="29" spans="1:11" ht="15.75" thickBot="1" x14ac:dyDescent="0.3">
      <c r="B29" s="8"/>
      <c r="C29" s="8"/>
      <c r="D29" s="8"/>
      <c r="E29" s="8"/>
      <c r="F29" s="8"/>
      <c r="G29" s="8"/>
      <c r="H29" s="8"/>
      <c r="I29" s="8"/>
    </row>
    <row r="30" spans="1:11" ht="15.75" thickBot="1" x14ac:dyDescent="0.3">
      <c r="B30" s="9" t="s">
        <v>36</v>
      </c>
      <c r="C30" s="106" t="s">
        <v>17</v>
      </c>
      <c r="D30" s="107"/>
      <c r="E30" s="107"/>
      <c r="F30" s="107"/>
      <c r="G30" s="107"/>
      <c r="H30" s="107"/>
      <c r="I30" s="108"/>
    </row>
    <row r="31" spans="1:11" ht="15.75" thickBot="1" x14ac:dyDescent="0.3">
      <c r="A31" t="s">
        <v>2</v>
      </c>
      <c r="B31" s="5" t="s">
        <v>31</v>
      </c>
      <c r="C31" s="91" t="s">
        <v>75</v>
      </c>
      <c r="D31" s="91"/>
      <c r="E31" s="91"/>
      <c r="F31" s="91"/>
      <c r="G31" s="91"/>
      <c r="H31" s="91"/>
      <c r="I31" s="92"/>
    </row>
    <row r="32" spans="1:11" ht="26.25" customHeight="1" thickBot="1" x14ac:dyDescent="0.3">
      <c r="A32" t="s">
        <v>1</v>
      </c>
      <c r="B32" s="5" t="s">
        <v>32</v>
      </c>
      <c r="C32" s="109" t="s">
        <v>76</v>
      </c>
      <c r="D32" s="109"/>
      <c r="E32" s="109"/>
      <c r="F32" s="109"/>
      <c r="G32" s="109"/>
      <c r="H32" s="109"/>
      <c r="I32" s="110"/>
    </row>
    <row r="33" spans="1:25" ht="26.25" customHeight="1" thickBot="1" x14ac:dyDescent="0.3">
      <c r="A33" t="s">
        <v>3</v>
      </c>
      <c r="B33" s="5" t="s">
        <v>33</v>
      </c>
      <c r="C33" s="91" t="s">
        <v>77</v>
      </c>
      <c r="D33" s="91"/>
      <c r="E33" s="91"/>
      <c r="F33" s="91"/>
      <c r="G33" s="91"/>
      <c r="H33" s="91"/>
      <c r="I33" s="92"/>
    </row>
    <row r="34" spans="1:25" ht="15.75" thickBot="1" x14ac:dyDescent="0.3">
      <c r="A34" t="s">
        <v>4</v>
      </c>
      <c r="B34" s="5" t="s">
        <v>34</v>
      </c>
      <c r="C34" s="91" t="s">
        <v>78</v>
      </c>
      <c r="D34" s="91"/>
      <c r="E34" s="91"/>
      <c r="F34" s="91"/>
      <c r="G34" s="91"/>
      <c r="H34" s="91"/>
      <c r="I34" s="92"/>
    </row>
    <row r="35" spans="1:25" ht="30.75" thickBot="1" x14ac:dyDescent="0.3">
      <c r="A35" t="s">
        <v>5</v>
      </c>
      <c r="B35" s="36" t="s">
        <v>35</v>
      </c>
      <c r="C35" s="91" t="s">
        <v>79</v>
      </c>
      <c r="D35" s="91"/>
      <c r="E35" s="91"/>
      <c r="F35" s="91"/>
      <c r="G35" s="91"/>
      <c r="H35" s="91"/>
      <c r="I35" s="92"/>
    </row>
    <row r="36" spans="1:25" ht="15.75" thickBot="1" x14ac:dyDescent="0.3"/>
    <row r="37" spans="1:25" ht="15.75" thickBot="1" x14ac:dyDescent="0.3">
      <c r="A37" s="29"/>
      <c r="B37" s="93" t="s">
        <v>68</v>
      </c>
      <c r="C37" s="94"/>
      <c r="D37" s="94"/>
      <c r="E37" s="94"/>
      <c r="F37" s="94"/>
      <c r="G37" s="94"/>
      <c r="H37" s="94"/>
      <c r="I37" s="94"/>
      <c r="J37" s="95"/>
    </row>
    <row r="38" spans="1:25" ht="30.75" thickBot="1" x14ac:dyDescent="0.3">
      <c r="A38" s="45" t="s">
        <v>0</v>
      </c>
      <c r="B38" s="47" t="s">
        <v>38</v>
      </c>
      <c r="C38" s="47" t="s">
        <v>37</v>
      </c>
      <c r="D38" s="48" t="s">
        <v>39</v>
      </c>
      <c r="E38" s="47" t="s">
        <v>40</v>
      </c>
      <c r="F38" s="47" t="s">
        <v>67</v>
      </c>
      <c r="G38" s="12" t="s">
        <v>65</v>
      </c>
      <c r="H38" s="14" t="s">
        <v>66</v>
      </c>
      <c r="I38" s="47" t="s">
        <v>70</v>
      </c>
      <c r="J38" s="49" t="s">
        <v>71</v>
      </c>
    </row>
    <row r="39" spans="1:25" x14ac:dyDescent="0.25">
      <c r="A39" s="27">
        <v>1</v>
      </c>
      <c r="B39" s="16"/>
      <c r="C39" s="16"/>
      <c r="D39" s="16"/>
      <c r="E39" s="16"/>
      <c r="F39" s="42">
        <v>0</v>
      </c>
      <c r="G39" s="6">
        <v>0</v>
      </c>
      <c r="H39" s="6">
        <v>0</v>
      </c>
      <c r="I39" s="42">
        <f>F39+G39-H39</f>
        <v>0</v>
      </c>
      <c r="J39" s="42">
        <v>0</v>
      </c>
      <c r="Y39" s="10" t="s">
        <v>41</v>
      </c>
    </row>
    <row r="40" spans="1:25" x14ac:dyDescent="0.25">
      <c r="A40" s="27">
        <v>2</v>
      </c>
      <c r="B40" s="16"/>
      <c r="C40" s="16"/>
      <c r="D40" s="16"/>
      <c r="E40" s="16"/>
      <c r="F40" s="42">
        <v>0</v>
      </c>
      <c r="G40" s="6">
        <v>0</v>
      </c>
      <c r="H40" s="6">
        <v>0</v>
      </c>
      <c r="I40" s="42">
        <f t="shared" ref="I40:I53" si="0">F40+G40-H40</f>
        <v>0</v>
      </c>
      <c r="J40" s="42">
        <v>0</v>
      </c>
      <c r="Y40" s="10" t="s">
        <v>42</v>
      </c>
    </row>
    <row r="41" spans="1:25" x14ac:dyDescent="0.25">
      <c r="A41" s="27">
        <v>3</v>
      </c>
      <c r="B41" s="16"/>
      <c r="C41" s="16"/>
      <c r="D41" s="16"/>
      <c r="E41" s="16"/>
      <c r="F41" s="42">
        <v>0</v>
      </c>
      <c r="G41" s="6">
        <v>0</v>
      </c>
      <c r="H41" s="6">
        <v>0</v>
      </c>
      <c r="I41" s="42">
        <f t="shared" si="0"/>
        <v>0</v>
      </c>
      <c r="J41" s="42">
        <v>0</v>
      </c>
      <c r="Y41" s="10" t="s">
        <v>43</v>
      </c>
    </row>
    <row r="42" spans="1:25" x14ac:dyDescent="0.25">
      <c r="A42" s="27">
        <v>4</v>
      </c>
      <c r="B42" s="16"/>
      <c r="C42" s="16"/>
      <c r="D42" s="16"/>
      <c r="E42" s="16"/>
      <c r="F42" s="42">
        <v>0</v>
      </c>
      <c r="G42" s="6">
        <v>0</v>
      </c>
      <c r="H42" s="6">
        <v>0</v>
      </c>
      <c r="I42" s="42">
        <f t="shared" si="0"/>
        <v>0</v>
      </c>
      <c r="J42" s="42">
        <v>0</v>
      </c>
      <c r="Y42" s="10" t="s">
        <v>44</v>
      </c>
    </row>
    <row r="43" spans="1:25" x14ac:dyDescent="0.25">
      <c r="A43" s="27">
        <v>5</v>
      </c>
      <c r="B43" s="16"/>
      <c r="C43" s="16"/>
      <c r="D43" s="16"/>
      <c r="E43" s="16"/>
      <c r="F43" s="42">
        <v>0</v>
      </c>
      <c r="G43" s="6">
        <v>0</v>
      </c>
      <c r="H43" s="6">
        <v>0</v>
      </c>
      <c r="I43" s="42">
        <f t="shared" si="0"/>
        <v>0</v>
      </c>
      <c r="J43" s="42">
        <v>0</v>
      </c>
      <c r="Y43" s="10" t="s">
        <v>45</v>
      </c>
    </row>
    <row r="44" spans="1:25" x14ac:dyDescent="0.25">
      <c r="A44" s="27">
        <v>6</v>
      </c>
      <c r="B44" s="16"/>
      <c r="C44" s="16"/>
      <c r="D44" s="16"/>
      <c r="E44" s="16"/>
      <c r="F44" s="42">
        <v>0</v>
      </c>
      <c r="G44" s="6">
        <v>0</v>
      </c>
      <c r="H44" s="6">
        <v>0</v>
      </c>
      <c r="I44" s="42">
        <f t="shared" si="0"/>
        <v>0</v>
      </c>
      <c r="J44" s="42">
        <v>0</v>
      </c>
      <c r="Y44" s="10" t="s">
        <v>46</v>
      </c>
    </row>
    <row r="45" spans="1:25" x14ac:dyDescent="0.25">
      <c r="A45" s="27">
        <v>7</v>
      </c>
      <c r="B45" s="16"/>
      <c r="C45" s="16"/>
      <c r="D45" s="16"/>
      <c r="E45" s="16"/>
      <c r="F45" s="42">
        <v>0</v>
      </c>
      <c r="G45" s="6">
        <v>0</v>
      </c>
      <c r="H45" s="6">
        <v>0</v>
      </c>
      <c r="I45" s="42">
        <f t="shared" si="0"/>
        <v>0</v>
      </c>
      <c r="J45" s="42">
        <v>0</v>
      </c>
      <c r="Y45" s="10" t="s">
        <v>47</v>
      </c>
    </row>
    <row r="46" spans="1:25" x14ac:dyDescent="0.25">
      <c r="A46" s="27">
        <v>8</v>
      </c>
      <c r="B46" s="16"/>
      <c r="C46" s="16"/>
      <c r="D46" s="16"/>
      <c r="E46" s="16"/>
      <c r="F46" s="42">
        <v>0</v>
      </c>
      <c r="G46" s="6">
        <v>0</v>
      </c>
      <c r="H46" s="6">
        <v>0</v>
      </c>
      <c r="I46" s="42">
        <f t="shared" si="0"/>
        <v>0</v>
      </c>
      <c r="J46" s="42">
        <v>0</v>
      </c>
      <c r="Y46" s="10" t="s">
        <v>48</v>
      </c>
    </row>
    <row r="47" spans="1:25" x14ac:dyDescent="0.25">
      <c r="A47" s="27">
        <v>9</v>
      </c>
      <c r="B47" s="16"/>
      <c r="C47" s="16"/>
      <c r="D47" s="16"/>
      <c r="E47" s="16"/>
      <c r="F47" s="42">
        <v>0</v>
      </c>
      <c r="G47" s="6">
        <v>0</v>
      </c>
      <c r="H47" s="6">
        <v>0</v>
      </c>
      <c r="I47" s="42">
        <f t="shared" si="0"/>
        <v>0</v>
      </c>
      <c r="J47" s="42">
        <v>0</v>
      </c>
      <c r="Y47" s="10" t="s">
        <v>49</v>
      </c>
    </row>
    <row r="48" spans="1:25" x14ac:dyDescent="0.25">
      <c r="A48" s="27">
        <v>10</v>
      </c>
      <c r="B48" s="16"/>
      <c r="C48" s="16"/>
      <c r="D48" s="16"/>
      <c r="E48" s="16"/>
      <c r="F48" s="42">
        <v>0</v>
      </c>
      <c r="G48" s="6">
        <v>0</v>
      </c>
      <c r="H48" s="6">
        <v>0</v>
      </c>
      <c r="I48" s="42">
        <f t="shared" si="0"/>
        <v>0</v>
      </c>
      <c r="J48" s="42">
        <v>0</v>
      </c>
      <c r="Y48" s="10" t="s">
        <v>50</v>
      </c>
    </row>
    <row r="49" spans="1:25" x14ac:dyDescent="0.25">
      <c r="A49" s="27">
        <v>11</v>
      </c>
      <c r="B49" s="16"/>
      <c r="C49" s="16"/>
      <c r="D49" s="16"/>
      <c r="E49" s="16"/>
      <c r="F49" s="42">
        <v>0</v>
      </c>
      <c r="G49" s="6">
        <v>0</v>
      </c>
      <c r="H49" s="6">
        <v>0</v>
      </c>
      <c r="I49" s="42">
        <f t="shared" si="0"/>
        <v>0</v>
      </c>
      <c r="J49" s="42">
        <v>0</v>
      </c>
      <c r="Y49" s="10" t="s">
        <v>6</v>
      </c>
    </row>
    <row r="50" spans="1:25" x14ac:dyDescent="0.25">
      <c r="A50" s="27">
        <v>12</v>
      </c>
      <c r="B50" s="16"/>
      <c r="C50" s="16"/>
      <c r="D50" s="16"/>
      <c r="E50" s="16"/>
      <c r="F50" s="42">
        <v>0</v>
      </c>
      <c r="G50" s="6">
        <v>0</v>
      </c>
      <c r="H50" s="6">
        <v>0</v>
      </c>
      <c r="I50" s="42">
        <f t="shared" si="0"/>
        <v>0</v>
      </c>
      <c r="J50" s="42">
        <v>0</v>
      </c>
      <c r="Y50" s="10" t="s">
        <v>7</v>
      </c>
    </row>
    <row r="51" spans="1:25" x14ac:dyDescent="0.25">
      <c r="A51" s="27">
        <v>13</v>
      </c>
      <c r="B51" s="16"/>
      <c r="C51" s="16"/>
      <c r="D51" s="16"/>
      <c r="E51" s="16"/>
      <c r="F51" s="42">
        <v>0</v>
      </c>
      <c r="G51" s="6">
        <v>0</v>
      </c>
      <c r="H51" s="6">
        <v>0</v>
      </c>
      <c r="I51" s="42">
        <f t="shared" si="0"/>
        <v>0</v>
      </c>
      <c r="J51" s="42">
        <v>0</v>
      </c>
    </row>
    <row r="52" spans="1:25" x14ac:dyDescent="0.25">
      <c r="A52" s="27">
        <v>14</v>
      </c>
      <c r="B52" s="16"/>
      <c r="C52" s="16"/>
      <c r="D52" s="16"/>
      <c r="E52" s="16"/>
      <c r="F52" s="42">
        <v>0</v>
      </c>
      <c r="G52" s="6">
        <v>0</v>
      </c>
      <c r="H52" s="6">
        <v>0</v>
      </c>
      <c r="I52" s="42">
        <f t="shared" si="0"/>
        <v>0</v>
      </c>
      <c r="J52" s="42">
        <v>0</v>
      </c>
    </row>
    <row r="53" spans="1:25" ht="15.75" thickBot="1" x14ac:dyDescent="0.3">
      <c r="A53" s="27">
        <v>15</v>
      </c>
      <c r="B53" s="44"/>
      <c r="C53" s="44"/>
      <c r="D53" s="44"/>
      <c r="E53" s="44"/>
      <c r="F53" s="42">
        <v>0</v>
      </c>
      <c r="G53" s="6">
        <v>0</v>
      </c>
      <c r="H53" s="6">
        <v>0</v>
      </c>
      <c r="I53" s="42">
        <f t="shared" si="0"/>
        <v>0</v>
      </c>
      <c r="J53" s="42">
        <v>0</v>
      </c>
    </row>
    <row r="54" spans="1:25" ht="15.75" thickBot="1" x14ac:dyDescent="0.3">
      <c r="A54" s="30"/>
      <c r="B54" s="93" t="s">
        <v>51</v>
      </c>
      <c r="C54" s="94"/>
      <c r="D54" s="94"/>
      <c r="E54" s="94"/>
      <c r="F54" s="43">
        <f>SUM(F39:F53)</f>
        <v>0</v>
      </c>
      <c r="G54" s="28">
        <f t="shared" ref="G54:I54" si="1">SUM(G39:G53)</f>
        <v>0</v>
      </c>
      <c r="H54" s="28">
        <f t="shared" si="1"/>
        <v>0</v>
      </c>
      <c r="I54" s="43">
        <f t="shared" si="1"/>
        <v>0</v>
      </c>
      <c r="J54" s="43">
        <f>SUM(J39:J53)</f>
        <v>0</v>
      </c>
    </row>
    <row r="56" spans="1:25" ht="15.75" thickBot="1" x14ac:dyDescent="0.3"/>
    <row r="57" spans="1:25" ht="15.75" thickBot="1" x14ac:dyDescent="0.3">
      <c r="A57" s="104" t="s">
        <v>52</v>
      </c>
      <c r="B57" s="93" t="s">
        <v>59</v>
      </c>
      <c r="C57" s="94"/>
      <c r="D57" s="94"/>
      <c r="E57" s="94"/>
      <c r="F57" s="94"/>
      <c r="G57" s="94"/>
      <c r="H57" s="94"/>
      <c r="I57" s="95"/>
    </row>
    <row r="58" spans="1:25" ht="30.75" thickBot="1" x14ac:dyDescent="0.3">
      <c r="A58" s="105"/>
      <c r="B58" s="40" t="s">
        <v>37</v>
      </c>
      <c r="C58" s="40" t="s">
        <v>53</v>
      </c>
      <c r="D58" s="40" t="s">
        <v>22</v>
      </c>
      <c r="E58" s="46" t="s">
        <v>54</v>
      </c>
      <c r="F58" s="38" t="s">
        <v>55</v>
      </c>
      <c r="G58" s="39" t="s">
        <v>58</v>
      </c>
      <c r="H58" s="38" t="s">
        <v>56</v>
      </c>
      <c r="I58" s="38" t="s">
        <v>57</v>
      </c>
    </row>
    <row r="59" spans="1:25" x14ac:dyDescent="0.25">
      <c r="A59" s="15" t="s">
        <v>10</v>
      </c>
      <c r="B59" s="16"/>
      <c r="C59" s="16"/>
      <c r="D59" s="16"/>
      <c r="E59" s="13">
        <v>0</v>
      </c>
      <c r="F59" s="32" t="s">
        <v>8</v>
      </c>
      <c r="G59" s="32" t="s">
        <v>8</v>
      </c>
      <c r="H59" s="32" t="s">
        <v>8</v>
      </c>
      <c r="I59" s="32" t="s">
        <v>8</v>
      </c>
    </row>
    <row r="60" spans="1:25" x14ac:dyDescent="0.25">
      <c r="A60" s="15" t="s">
        <v>10</v>
      </c>
      <c r="B60" s="16"/>
      <c r="C60" s="16"/>
      <c r="D60" s="16"/>
      <c r="E60" s="13">
        <v>0</v>
      </c>
      <c r="F60" s="32" t="s">
        <v>8</v>
      </c>
      <c r="G60" s="32" t="s">
        <v>8</v>
      </c>
      <c r="H60" s="32" t="s">
        <v>8</v>
      </c>
      <c r="I60" s="32" t="s">
        <v>8</v>
      </c>
    </row>
    <row r="61" spans="1:25" x14ac:dyDescent="0.25">
      <c r="A61" s="15" t="s">
        <v>10</v>
      </c>
      <c r="B61" s="16"/>
      <c r="C61" s="16"/>
      <c r="D61" s="16"/>
      <c r="E61" s="13">
        <v>0</v>
      </c>
      <c r="F61" s="32" t="s">
        <v>8</v>
      </c>
      <c r="G61" s="32" t="s">
        <v>8</v>
      </c>
      <c r="H61" s="32" t="s">
        <v>8</v>
      </c>
      <c r="I61" s="32" t="s">
        <v>8</v>
      </c>
    </row>
    <row r="62" spans="1:25" x14ac:dyDescent="0.25">
      <c r="A62" s="15" t="s">
        <v>10</v>
      </c>
      <c r="B62" s="16"/>
      <c r="C62" s="16"/>
      <c r="D62" s="16"/>
      <c r="E62" s="13">
        <v>0</v>
      </c>
      <c r="F62" s="32" t="s">
        <v>8</v>
      </c>
      <c r="G62" s="32" t="s">
        <v>8</v>
      </c>
      <c r="H62" s="32" t="s">
        <v>8</v>
      </c>
      <c r="I62" s="32" t="s">
        <v>8</v>
      </c>
    </row>
    <row r="63" spans="1:25" x14ac:dyDescent="0.25">
      <c r="A63" s="15" t="s">
        <v>10</v>
      </c>
      <c r="B63" s="16"/>
      <c r="C63" s="16"/>
      <c r="D63" s="16"/>
      <c r="E63" s="13">
        <v>0</v>
      </c>
      <c r="F63" s="32" t="s">
        <v>8</v>
      </c>
      <c r="G63" s="32" t="s">
        <v>8</v>
      </c>
      <c r="H63" s="32" t="s">
        <v>8</v>
      </c>
      <c r="I63" s="32" t="s">
        <v>8</v>
      </c>
    </row>
    <row r="64" spans="1:25" x14ac:dyDescent="0.25">
      <c r="A64" s="15" t="s">
        <v>10</v>
      </c>
      <c r="B64" s="16"/>
      <c r="C64" s="16"/>
      <c r="D64" s="16"/>
      <c r="E64" s="13">
        <v>0</v>
      </c>
      <c r="F64" s="32" t="s">
        <v>8</v>
      </c>
      <c r="G64" s="32" t="s">
        <v>8</v>
      </c>
      <c r="H64" s="32" t="s">
        <v>8</v>
      </c>
      <c r="I64" s="32" t="s">
        <v>8</v>
      </c>
    </row>
    <row r="65" spans="1:9" x14ac:dyDescent="0.25">
      <c r="A65" s="15" t="s">
        <v>10</v>
      </c>
      <c r="B65" s="16"/>
      <c r="C65" s="16"/>
      <c r="D65" s="16"/>
      <c r="E65" s="13">
        <v>0</v>
      </c>
      <c r="F65" s="32" t="s">
        <v>8</v>
      </c>
      <c r="G65" s="32" t="s">
        <v>8</v>
      </c>
      <c r="H65" s="32" t="s">
        <v>8</v>
      </c>
      <c r="I65" s="32" t="s">
        <v>8</v>
      </c>
    </row>
    <row r="66" spans="1:9" x14ac:dyDescent="0.25">
      <c r="A66" s="15" t="s">
        <v>10</v>
      </c>
      <c r="B66" s="16"/>
      <c r="C66" s="16"/>
      <c r="D66" s="16"/>
      <c r="E66" s="13">
        <v>0</v>
      </c>
      <c r="F66" s="32" t="s">
        <v>8</v>
      </c>
      <c r="G66" s="32" t="s">
        <v>8</v>
      </c>
      <c r="H66" s="32" t="s">
        <v>8</v>
      </c>
      <c r="I66" s="32" t="s">
        <v>8</v>
      </c>
    </row>
    <row r="67" spans="1:9" x14ac:dyDescent="0.25">
      <c r="A67" s="15" t="s">
        <v>10</v>
      </c>
      <c r="B67" s="16"/>
      <c r="C67" s="16"/>
      <c r="D67" s="16"/>
      <c r="E67" s="13">
        <v>0</v>
      </c>
      <c r="F67" s="32" t="s">
        <v>8</v>
      </c>
      <c r="G67" s="32" t="s">
        <v>8</v>
      </c>
      <c r="H67" s="32" t="s">
        <v>8</v>
      </c>
      <c r="I67" s="32" t="s">
        <v>8</v>
      </c>
    </row>
    <row r="68" spans="1:9" x14ac:dyDescent="0.25">
      <c r="A68" s="15" t="s">
        <v>10</v>
      </c>
      <c r="B68" s="16"/>
      <c r="C68" s="16"/>
      <c r="D68" s="16"/>
      <c r="E68" s="13">
        <v>0</v>
      </c>
      <c r="F68" s="32" t="s">
        <v>8</v>
      </c>
      <c r="G68" s="32" t="s">
        <v>8</v>
      </c>
      <c r="H68" s="32" t="s">
        <v>8</v>
      </c>
      <c r="I68" s="32" t="s">
        <v>8</v>
      </c>
    </row>
    <row r="69" spans="1:9" x14ac:dyDescent="0.25">
      <c r="A69" s="15" t="s">
        <v>10</v>
      </c>
      <c r="B69" s="16"/>
      <c r="C69" s="16"/>
      <c r="D69" s="16"/>
      <c r="E69" s="13">
        <v>0</v>
      </c>
      <c r="F69" s="32" t="s">
        <v>8</v>
      </c>
      <c r="G69" s="32" t="s">
        <v>8</v>
      </c>
      <c r="H69" s="32" t="s">
        <v>8</v>
      </c>
      <c r="I69" s="32" t="s">
        <v>8</v>
      </c>
    </row>
    <row r="70" spans="1:9" x14ac:dyDescent="0.25">
      <c r="A70" s="15" t="s">
        <v>10</v>
      </c>
      <c r="B70" s="16"/>
      <c r="C70" s="16"/>
      <c r="D70" s="16"/>
      <c r="E70" s="13">
        <v>0</v>
      </c>
      <c r="F70" s="32" t="s">
        <v>8</v>
      </c>
      <c r="G70" s="32" t="s">
        <v>8</v>
      </c>
      <c r="H70" s="32" t="s">
        <v>8</v>
      </c>
      <c r="I70" s="32" t="s">
        <v>8</v>
      </c>
    </row>
    <row r="71" spans="1:9" x14ac:dyDescent="0.25">
      <c r="A71" s="15" t="s">
        <v>10</v>
      </c>
      <c r="B71" s="16"/>
      <c r="C71" s="16"/>
      <c r="D71" s="16"/>
      <c r="E71" s="13">
        <v>0</v>
      </c>
      <c r="F71" s="32" t="s">
        <v>8</v>
      </c>
      <c r="G71" s="32" t="s">
        <v>8</v>
      </c>
      <c r="H71" s="32" t="s">
        <v>8</v>
      </c>
      <c r="I71" s="32" t="s">
        <v>8</v>
      </c>
    </row>
    <row r="72" spans="1:9" x14ac:dyDescent="0.25">
      <c r="A72" s="15" t="s">
        <v>10</v>
      </c>
      <c r="B72" s="16"/>
      <c r="C72" s="16"/>
      <c r="D72" s="16"/>
      <c r="E72" s="13">
        <v>0</v>
      </c>
      <c r="F72" s="32" t="s">
        <v>8</v>
      </c>
      <c r="G72" s="32" t="s">
        <v>8</v>
      </c>
      <c r="H72" s="32" t="s">
        <v>8</v>
      </c>
      <c r="I72" s="32" t="s">
        <v>8</v>
      </c>
    </row>
    <row r="73" spans="1:9" x14ac:dyDescent="0.25">
      <c r="A73" s="15" t="s">
        <v>10</v>
      </c>
      <c r="B73" s="16"/>
      <c r="C73" s="16"/>
      <c r="D73" s="16"/>
      <c r="E73" s="13">
        <v>0</v>
      </c>
      <c r="F73" s="32" t="s">
        <v>8</v>
      </c>
      <c r="G73" s="32" t="s">
        <v>8</v>
      </c>
      <c r="H73" s="32" t="s">
        <v>8</v>
      </c>
      <c r="I73" s="32" t="s">
        <v>8</v>
      </c>
    </row>
    <row r="74" spans="1:9" x14ac:dyDescent="0.25">
      <c r="A74" s="15" t="s">
        <v>10</v>
      </c>
      <c r="B74" s="16"/>
      <c r="C74" s="16"/>
      <c r="D74" s="16"/>
      <c r="E74" s="13">
        <v>0</v>
      </c>
      <c r="F74" s="32" t="s">
        <v>8</v>
      </c>
      <c r="G74" s="32" t="s">
        <v>8</v>
      </c>
      <c r="H74" s="32" t="s">
        <v>8</v>
      </c>
      <c r="I74" s="32" t="s">
        <v>8</v>
      </c>
    </row>
    <row r="75" spans="1:9" ht="15.75" thickBot="1" x14ac:dyDescent="0.3">
      <c r="A75" s="15" t="s">
        <v>10</v>
      </c>
      <c r="B75" s="44"/>
      <c r="C75" s="44"/>
      <c r="D75" s="44"/>
      <c r="E75" s="13">
        <v>0</v>
      </c>
      <c r="F75" s="32" t="s">
        <v>8</v>
      </c>
      <c r="G75" s="32" t="s">
        <v>8</v>
      </c>
      <c r="H75" s="32" t="s">
        <v>8</v>
      </c>
      <c r="I75" s="32" t="s">
        <v>8</v>
      </c>
    </row>
    <row r="76" spans="1:9" ht="15.75" thickBot="1" x14ac:dyDescent="0.3">
      <c r="A76" s="31"/>
      <c r="B76" s="93" t="s">
        <v>51</v>
      </c>
      <c r="C76" s="94"/>
      <c r="D76" s="95"/>
      <c r="E76" s="37">
        <f>SUM(E59:E75)</f>
        <v>0</v>
      </c>
      <c r="F76" s="33"/>
      <c r="G76" s="33"/>
      <c r="H76" s="33"/>
      <c r="I76" s="33"/>
    </row>
    <row r="77" spans="1:9" ht="15.75" thickBot="1" x14ac:dyDescent="0.3">
      <c r="A77" s="6"/>
      <c r="G77" s="11"/>
      <c r="H77" s="11"/>
      <c r="I77" s="11"/>
    </row>
    <row r="78" spans="1:9" ht="32.25" customHeight="1" thickBot="1" x14ac:dyDescent="0.3">
      <c r="A78" s="6"/>
      <c r="B78" s="96" t="s">
        <v>13</v>
      </c>
      <c r="C78" s="97"/>
      <c r="G78" s="11"/>
      <c r="H78" s="11"/>
      <c r="I78" s="11"/>
    </row>
    <row r="79" spans="1:9" ht="15.75" thickBot="1" x14ac:dyDescent="0.3">
      <c r="A79" s="6"/>
      <c r="B79" s="98" t="e">
        <f>E76/G54</f>
        <v>#DIV/0!</v>
      </c>
      <c r="C79" s="99"/>
      <c r="G79" s="11"/>
      <c r="H79" s="11"/>
      <c r="I79" s="11"/>
    </row>
    <row r="80" spans="1:9" ht="15.75" thickBot="1" x14ac:dyDescent="0.3">
      <c r="A80" s="6"/>
      <c r="G80" s="11"/>
      <c r="H80" s="11"/>
      <c r="I80" s="11"/>
    </row>
    <row r="81" spans="1:9" ht="15.75" thickBot="1" x14ac:dyDescent="0.3">
      <c r="A81" s="104" t="s">
        <v>52</v>
      </c>
      <c r="B81" s="93" t="s">
        <v>60</v>
      </c>
      <c r="C81" s="94"/>
      <c r="D81" s="94"/>
      <c r="E81" s="94"/>
      <c r="F81" s="94"/>
      <c r="G81" s="94"/>
      <c r="H81" s="94"/>
      <c r="I81" s="95"/>
    </row>
    <row r="82" spans="1:9" ht="30.75" thickBot="1" x14ac:dyDescent="0.3">
      <c r="A82" s="105"/>
      <c r="B82" s="40" t="s">
        <v>37</v>
      </c>
      <c r="C82" s="40" t="s">
        <v>53</v>
      </c>
      <c r="D82" s="40" t="s">
        <v>22</v>
      </c>
      <c r="E82" s="46" t="s">
        <v>54</v>
      </c>
      <c r="F82" s="38" t="s">
        <v>55</v>
      </c>
      <c r="G82" s="39" t="s">
        <v>58</v>
      </c>
      <c r="H82" s="38" t="s">
        <v>56</v>
      </c>
      <c r="I82" s="38" t="s">
        <v>57</v>
      </c>
    </row>
    <row r="83" spans="1:9" x14ac:dyDescent="0.25">
      <c r="A83" s="15" t="s">
        <v>10</v>
      </c>
      <c r="B83" s="16"/>
      <c r="C83" s="16"/>
      <c r="D83" s="16"/>
      <c r="E83" s="13">
        <v>0</v>
      </c>
      <c r="F83" s="32" t="s">
        <v>8</v>
      </c>
      <c r="G83" s="32" t="s">
        <v>8</v>
      </c>
      <c r="H83" s="32" t="s">
        <v>8</v>
      </c>
      <c r="I83" s="32" t="s">
        <v>8</v>
      </c>
    </row>
    <row r="84" spans="1:9" x14ac:dyDescent="0.25">
      <c r="A84" s="15" t="s">
        <v>10</v>
      </c>
      <c r="B84" s="16"/>
      <c r="C84" s="16"/>
      <c r="D84" s="16"/>
      <c r="E84" s="13">
        <v>0</v>
      </c>
      <c r="F84" s="32" t="s">
        <v>8</v>
      </c>
      <c r="G84" s="32" t="s">
        <v>8</v>
      </c>
      <c r="H84" s="32" t="s">
        <v>8</v>
      </c>
      <c r="I84" s="32" t="s">
        <v>8</v>
      </c>
    </row>
    <row r="85" spans="1:9" x14ac:dyDescent="0.25">
      <c r="A85" s="15" t="s">
        <v>10</v>
      </c>
      <c r="B85" s="16"/>
      <c r="C85" s="16"/>
      <c r="D85" s="16"/>
      <c r="E85" s="13">
        <v>0</v>
      </c>
      <c r="F85" s="32" t="s">
        <v>8</v>
      </c>
      <c r="G85" s="32" t="s">
        <v>8</v>
      </c>
      <c r="H85" s="32" t="s">
        <v>8</v>
      </c>
      <c r="I85" s="32" t="s">
        <v>8</v>
      </c>
    </row>
    <row r="86" spans="1:9" x14ac:dyDescent="0.25">
      <c r="A86" s="15" t="s">
        <v>10</v>
      </c>
      <c r="B86" s="16"/>
      <c r="C86" s="16"/>
      <c r="D86" s="16"/>
      <c r="E86" s="13">
        <v>0</v>
      </c>
      <c r="F86" s="32" t="s">
        <v>8</v>
      </c>
      <c r="G86" s="32" t="s">
        <v>8</v>
      </c>
      <c r="H86" s="32" t="s">
        <v>8</v>
      </c>
      <c r="I86" s="32" t="s">
        <v>8</v>
      </c>
    </row>
    <row r="87" spans="1:9" x14ac:dyDescent="0.25">
      <c r="A87" s="15" t="s">
        <v>10</v>
      </c>
      <c r="B87" s="16"/>
      <c r="C87" s="16"/>
      <c r="D87" s="16"/>
      <c r="E87" s="13">
        <v>0</v>
      </c>
      <c r="F87" s="32" t="s">
        <v>8</v>
      </c>
      <c r="G87" s="32" t="s">
        <v>8</v>
      </c>
      <c r="H87" s="32" t="s">
        <v>8</v>
      </c>
      <c r="I87" s="32" t="s">
        <v>8</v>
      </c>
    </row>
    <row r="88" spans="1:9" x14ac:dyDescent="0.25">
      <c r="A88" s="15" t="s">
        <v>10</v>
      </c>
      <c r="B88" s="16"/>
      <c r="C88" s="16"/>
      <c r="D88" s="16"/>
      <c r="E88" s="13">
        <v>0</v>
      </c>
      <c r="F88" s="32" t="s">
        <v>8</v>
      </c>
      <c r="G88" s="32" t="s">
        <v>8</v>
      </c>
      <c r="H88" s="32" t="s">
        <v>8</v>
      </c>
      <c r="I88" s="32" t="s">
        <v>8</v>
      </c>
    </row>
    <row r="89" spans="1:9" x14ac:dyDescent="0.25">
      <c r="A89" s="15" t="s">
        <v>10</v>
      </c>
      <c r="B89" s="16"/>
      <c r="C89" s="16"/>
      <c r="D89" s="16"/>
      <c r="E89" s="13">
        <v>0</v>
      </c>
      <c r="F89" s="32" t="s">
        <v>8</v>
      </c>
      <c r="G89" s="32" t="s">
        <v>8</v>
      </c>
      <c r="H89" s="32" t="s">
        <v>8</v>
      </c>
      <c r="I89" s="32" t="s">
        <v>8</v>
      </c>
    </row>
    <row r="90" spans="1:9" x14ac:dyDescent="0.25">
      <c r="A90" s="15" t="s">
        <v>10</v>
      </c>
      <c r="B90" s="16"/>
      <c r="C90" s="16"/>
      <c r="D90" s="16"/>
      <c r="E90" s="13">
        <v>0</v>
      </c>
      <c r="F90" s="32" t="s">
        <v>8</v>
      </c>
      <c r="G90" s="32" t="s">
        <v>8</v>
      </c>
      <c r="H90" s="32" t="s">
        <v>8</v>
      </c>
      <c r="I90" s="32" t="s">
        <v>8</v>
      </c>
    </row>
    <row r="91" spans="1:9" x14ac:dyDescent="0.25">
      <c r="A91" s="15" t="s">
        <v>10</v>
      </c>
      <c r="B91" s="16"/>
      <c r="C91" s="16"/>
      <c r="D91" s="16"/>
      <c r="E91" s="13">
        <v>0</v>
      </c>
      <c r="F91" s="32" t="s">
        <v>8</v>
      </c>
      <c r="G91" s="32" t="s">
        <v>8</v>
      </c>
      <c r="H91" s="32" t="s">
        <v>8</v>
      </c>
      <c r="I91" s="32" t="s">
        <v>8</v>
      </c>
    </row>
    <row r="92" spans="1:9" x14ac:dyDescent="0.25">
      <c r="A92" s="15" t="s">
        <v>10</v>
      </c>
      <c r="B92" s="16"/>
      <c r="C92" s="16"/>
      <c r="D92" s="16"/>
      <c r="E92" s="13">
        <v>0</v>
      </c>
      <c r="F92" s="32" t="s">
        <v>8</v>
      </c>
      <c r="G92" s="32" t="s">
        <v>8</v>
      </c>
      <c r="H92" s="32" t="s">
        <v>8</v>
      </c>
      <c r="I92" s="32" t="s">
        <v>8</v>
      </c>
    </row>
    <row r="93" spans="1:9" x14ac:dyDescent="0.25">
      <c r="A93" s="15" t="s">
        <v>10</v>
      </c>
      <c r="B93" s="16"/>
      <c r="C93" s="16"/>
      <c r="D93" s="16"/>
      <c r="E93" s="13">
        <v>0</v>
      </c>
      <c r="F93" s="32" t="s">
        <v>8</v>
      </c>
      <c r="G93" s="32" t="s">
        <v>8</v>
      </c>
      <c r="H93" s="32" t="s">
        <v>8</v>
      </c>
      <c r="I93" s="32" t="s">
        <v>8</v>
      </c>
    </row>
    <row r="94" spans="1:9" x14ac:dyDescent="0.25">
      <c r="A94" s="15" t="s">
        <v>10</v>
      </c>
      <c r="B94" s="16"/>
      <c r="C94" s="16"/>
      <c r="D94" s="16"/>
      <c r="E94" s="13">
        <v>0</v>
      </c>
      <c r="F94" s="32" t="s">
        <v>8</v>
      </c>
      <c r="G94" s="32" t="s">
        <v>8</v>
      </c>
      <c r="H94" s="32" t="s">
        <v>8</v>
      </c>
      <c r="I94" s="32" t="s">
        <v>8</v>
      </c>
    </row>
    <row r="95" spans="1:9" x14ac:dyDescent="0.25">
      <c r="A95" s="15" t="s">
        <v>10</v>
      </c>
      <c r="B95" s="16"/>
      <c r="C95" s="16"/>
      <c r="D95" s="16"/>
      <c r="E95" s="13">
        <v>0</v>
      </c>
      <c r="F95" s="32" t="s">
        <v>8</v>
      </c>
      <c r="G95" s="32" t="s">
        <v>8</v>
      </c>
      <c r="H95" s="32" t="s">
        <v>8</v>
      </c>
      <c r="I95" s="32" t="s">
        <v>8</v>
      </c>
    </row>
    <row r="96" spans="1:9" x14ac:dyDescent="0.25">
      <c r="A96" s="15" t="s">
        <v>10</v>
      </c>
      <c r="B96" s="16"/>
      <c r="C96" s="16"/>
      <c r="D96" s="16"/>
      <c r="E96" s="13">
        <v>0</v>
      </c>
      <c r="F96" s="32" t="s">
        <v>8</v>
      </c>
      <c r="G96" s="32" t="s">
        <v>8</v>
      </c>
      <c r="H96" s="32" t="s">
        <v>8</v>
      </c>
      <c r="I96" s="32" t="s">
        <v>8</v>
      </c>
    </row>
    <row r="97" spans="1:9" ht="15.75" thickBot="1" x14ac:dyDescent="0.3">
      <c r="A97" s="15" t="s">
        <v>10</v>
      </c>
      <c r="B97" s="44"/>
      <c r="C97" s="44"/>
      <c r="D97" s="44"/>
      <c r="E97" s="13">
        <v>0</v>
      </c>
      <c r="F97" s="32" t="s">
        <v>8</v>
      </c>
      <c r="G97" s="32" t="s">
        <v>8</v>
      </c>
      <c r="H97" s="32" t="s">
        <v>8</v>
      </c>
      <c r="I97" s="32" t="s">
        <v>8</v>
      </c>
    </row>
    <row r="98" spans="1:9" ht="15.75" thickBot="1" x14ac:dyDescent="0.3">
      <c r="A98" s="31"/>
      <c r="B98" s="93" t="s">
        <v>51</v>
      </c>
      <c r="C98" s="94"/>
      <c r="D98" s="95"/>
      <c r="E98" s="37">
        <f>SUM(E83:E97)</f>
        <v>0</v>
      </c>
      <c r="F98" s="33"/>
      <c r="G98" s="33"/>
      <c r="H98" s="33"/>
      <c r="I98" s="33"/>
    </row>
    <row r="99" spans="1:9" x14ac:dyDescent="0.25">
      <c r="B99" t="s">
        <v>9</v>
      </c>
    </row>
    <row r="100" spans="1:9" ht="15.75" thickBot="1" x14ac:dyDescent="0.3"/>
    <row r="101" spans="1:9" ht="31.5" customHeight="1" thickBot="1" x14ac:dyDescent="0.3">
      <c r="B101" s="96" t="s">
        <v>13</v>
      </c>
      <c r="C101" s="97"/>
    </row>
    <row r="102" spans="1:9" ht="15.75" thickBot="1" x14ac:dyDescent="0.3">
      <c r="B102" s="98" t="e">
        <f>E98/H54</f>
        <v>#DIV/0!</v>
      </c>
      <c r="C102" s="99"/>
    </row>
    <row r="105" spans="1:9" ht="15.75" thickBot="1" x14ac:dyDescent="0.3"/>
    <row r="106" spans="1:9" ht="15.75" thickBot="1" x14ac:dyDescent="0.3">
      <c r="B106" s="102" t="s">
        <v>12</v>
      </c>
      <c r="C106" s="103"/>
    </row>
    <row r="107" spans="1:9" x14ac:dyDescent="0.25">
      <c r="B107" s="82" t="s">
        <v>11</v>
      </c>
      <c r="C107" s="83"/>
      <c r="D107" s="83"/>
      <c r="E107" s="83"/>
      <c r="F107" s="83"/>
      <c r="G107" s="84"/>
    </row>
    <row r="108" spans="1:9" x14ac:dyDescent="0.25">
      <c r="B108" s="85"/>
      <c r="C108" s="86"/>
      <c r="D108" s="86"/>
      <c r="E108" s="86"/>
      <c r="F108" s="86"/>
      <c r="G108" s="87"/>
    </row>
    <row r="109" spans="1:9" ht="15.75" thickBot="1" x14ac:dyDescent="0.3">
      <c r="B109" s="88"/>
      <c r="C109" s="89"/>
      <c r="D109" s="89"/>
      <c r="E109" s="89"/>
      <c r="F109" s="89"/>
      <c r="G109" s="90"/>
    </row>
  </sheetData>
  <mergeCells count="40">
    <mergeCell ref="B18:C18"/>
    <mergeCell ref="B106:C106"/>
    <mergeCell ref="A57:A58"/>
    <mergeCell ref="A81:A82"/>
    <mergeCell ref="B37:J37"/>
    <mergeCell ref="B98:D98"/>
    <mergeCell ref="C30:I30"/>
    <mergeCell ref="C31:I31"/>
    <mergeCell ref="C32:I32"/>
    <mergeCell ref="B21:I21"/>
    <mergeCell ref="B22:I22"/>
    <mergeCell ref="B23:I23"/>
    <mergeCell ref="B24:I24"/>
    <mergeCell ref="B25:I25"/>
    <mergeCell ref="B26:I26"/>
    <mergeCell ref="B27:I27"/>
    <mergeCell ref="B17:C17"/>
    <mergeCell ref="D15:E15"/>
    <mergeCell ref="F15:G15"/>
    <mergeCell ref="B15:C16"/>
    <mergeCell ref="B107:G109"/>
    <mergeCell ref="C33:I33"/>
    <mergeCell ref="C34:I34"/>
    <mergeCell ref="C35:I35"/>
    <mergeCell ref="B57:I57"/>
    <mergeCell ref="B81:I81"/>
    <mergeCell ref="B76:D76"/>
    <mergeCell ref="B54:E54"/>
    <mergeCell ref="B101:C101"/>
    <mergeCell ref="B102:C102"/>
    <mergeCell ref="B79:C79"/>
    <mergeCell ref="B78:C78"/>
    <mergeCell ref="H15:I15"/>
    <mergeCell ref="J15:K15"/>
    <mergeCell ref="C3:I3"/>
    <mergeCell ref="C4:I4"/>
    <mergeCell ref="C5:I5"/>
    <mergeCell ref="B11:I12"/>
    <mergeCell ref="B10:C10"/>
    <mergeCell ref="B8:F8"/>
  </mergeCells>
  <dataValidations disablePrompts="1" count="3">
    <dataValidation type="list" allowBlank="1" showInputMessage="1" showErrorMessage="1" sqref="E39:E53" xr:uid="{E10F39E6-4071-4A15-B4C7-6A01F3885257}">
      <formula1>$Y$39:$Y$41</formula1>
    </dataValidation>
    <dataValidation type="list" allowBlank="1" showInputMessage="1" showErrorMessage="1" sqref="D39:D53" xr:uid="{3C11EF2C-992B-47DB-823C-72489CD23FE0}">
      <formula1>$Y$42:$Y$48</formula1>
    </dataValidation>
    <dataValidation type="list" allowBlank="1" showInputMessage="1" showErrorMessage="1" sqref="C80" xr:uid="{F899FACB-0CF8-4F37-BADB-B7BDE1085C03}">
      <formula1>$Y$49:$Y$50</formula1>
    </dataValidation>
  </dataValidations>
  <pageMargins left="0.7" right="0.7" top="0.75" bottom="0.75" header="0.3" footer="0.3"/>
  <ignoredErrors>
    <ignoredError sqref="B79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related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2025-04-06T11:48:43Z</dcterms:modified>
</cp:coreProperties>
</file>