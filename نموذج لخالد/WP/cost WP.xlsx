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 ملفات\WP\"/>
    </mc:Choice>
  </mc:AlternateContent>
  <xr:revisionPtr revIDLastSave="0" documentId="13_ncr:1_{32017847-188B-424E-8F5E-C9679714E1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H74" i="1"/>
  <c r="H97" i="1" s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73" i="1"/>
  <c r="H72" i="1"/>
  <c r="G76" i="1"/>
  <c r="G77" i="1"/>
  <c r="G78" i="1"/>
  <c r="G79" i="1"/>
  <c r="G80" i="1"/>
  <c r="G87" i="1"/>
  <c r="G92" i="1"/>
  <c r="G93" i="1"/>
  <c r="G94" i="1"/>
  <c r="G95" i="1"/>
  <c r="G96" i="1"/>
  <c r="G84" i="1"/>
  <c r="G85" i="1"/>
  <c r="G86" i="1"/>
  <c r="G88" i="1"/>
  <c r="D43" i="1"/>
  <c r="E43" i="1"/>
  <c r="E11" i="1" s="1"/>
  <c r="E12" i="1" s="1"/>
  <c r="D11" i="1"/>
  <c r="D12" i="1" s="1"/>
  <c r="E15" i="1"/>
  <c r="D15" i="1"/>
  <c r="G91" i="1"/>
  <c r="G90" i="1"/>
  <c r="G89" i="1"/>
  <c r="G83" i="1"/>
  <c r="G82" i="1"/>
  <c r="G81" i="1"/>
  <c r="G75" i="1"/>
  <c r="G74" i="1"/>
  <c r="G73" i="1"/>
  <c r="G72" i="1"/>
  <c r="D10" i="1"/>
  <c r="D16" i="1" s="1"/>
  <c r="F11" i="1" l="1"/>
  <c r="G11" i="1" s="1"/>
  <c r="H12" i="1"/>
  <c r="I12" i="1" s="1"/>
  <c r="G97" i="1"/>
  <c r="I11" i="1"/>
  <c r="F97" i="1"/>
  <c r="F12" i="1" l="1"/>
  <c r="G12" i="1" s="1"/>
</calcChain>
</file>

<file path=xl/sharedStrings.xml><?xml version="1.0" encoding="utf-8"?>
<sst xmlns="http://schemas.openxmlformats.org/spreadsheetml/2006/main" count="216" uniqueCount="58">
  <si>
    <t>Abdullah Mansour Al-Subaie Company, Accountants and Legal Auditors, License No. (1031)</t>
  </si>
  <si>
    <t xml:space="preserve">clint name </t>
  </si>
  <si>
    <t>year</t>
  </si>
  <si>
    <t>Currency</t>
  </si>
  <si>
    <t>SAR</t>
  </si>
  <si>
    <t>Description</t>
  </si>
  <si>
    <t xml:space="preserve">Balance as at </t>
  </si>
  <si>
    <t>Variance</t>
  </si>
  <si>
    <t>Inovice checked</t>
  </si>
  <si>
    <t>%</t>
  </si>
  <si>
    <t>end balance</t>
  </si>
  <si>
    <t>Work Done</t>
  </si>
  <si>
    <t xml:space="preserve">1) The reconciliation of the analytical account statements with the trial balance and financial statements has been verified. </t>
  </si>
  <si>
    <t xml:space="preserve">2)  All relevant classifcation &amp; presentation disclosed properly in FS										</t>
  </si>
  <si>
    <t xml:space="preserve">3) GL of sales for the year for all departments for the year ended 31 December 2023 has been requested.	</t>
  </si>
  <si>
    <t xml:space="preserve">4) Matched invoices from sales GL with Trade Receivable Checked Invoices									</t>
  </si>
  <si>
    <t xml:space="preserve">5) We traced source documents to GL accounts to check completenes									</t>
  </si>
  <si>
    <t>Assertions</t>
  </si>
  <si>
    <t>Occurance</t>
  </si>
  <si>
    <t>We vouched balances in GL to supporting doc to check occurrence</t>
  </si>
  <si>
    <t>Completenes</t>
  </si>
  <si>
    <t>We traced source documents to GL accounts to check completenes</t>
  </si>
  <si>
    <t>Accuracy</t>
  </si>
  <si>
    <t>Checked , invoices are correctly recorded</t>
  </si>
  <si>
    <t>Classifcation</t>
  </si>
  <si>
    <t>Presentation</t>
  </si>
  <si>
    <t>All relevant classification and presentation disposed properly in FS</t>
  </si>
  <si>
    <t xml:space="preserve">check : </t>
  </si>
  <si>
    <t>w3) Delivery note agrees to sales invoice and is signed by the client</t>
  </si>
  <si>
    <t>w4) Calculation accuracy is checked</t>
  </si>
  <si>
    <t>w6 ) Invoices serial is checked</t>
  </si>
  <si>
    <t>Serial</t>
  </si>
  <si>
    <t>VAT 15%</t>
  </si>
  <si>
    <t>Total  value</t>
  </si>
  <si>
    <t>w1</t>
  </si>
  <si>
    <t>w2</t>
  </si>
  <si>
    <t>w3</t>
  </si>
  <si>
    <t>w4</t>
  </si>
  <si>
    <t>w5</t>
  </si>
  <si>
    <t>w6</t>
  </si>
  <si>
    <t>Summary of the opinion</t>
  </si>
  <si>
    <t>Cost</t>
  </si>
  <si>
    <t>#</t>
  </si>
  <si>
    <t>Name</t>
  </si>
  <si>
    <t>cost</t>
  </si>
  <si>
    <t>type</t>
  </si>
  <si>
    <t>P</t>
  </si>
  <si>
    <t xml:space="preserve">Prepared By : </t>
  </si>
  <si>
    <t>Reviewed By :</t>
  </si>
  <si>
    <t>saad</t>
  </si>
  <si>
    <t>Purchas</t>
  </si>
  <si>
    <t xml:space="preserve">Date </t>
  </si>
  <si>
    <t>Purchases amount before VAT</t>
  </si>
  <si>
    <t xml:space="preserve">Purchases  (cost - Purchases ) </t>
  </si>
  <si>
    <t>w1) Purchasing agrees to the purchase order.</t>
  </si>
  <si>
    <t>w5) cost is charged to suppliers account (account receivables)</t>
  </si>
  <si>
    <t>w2) Purchasing order agrees to suppliers purchase order</t>
  </si>
  <si>
    <t>No exceptions were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</si>
</sst>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indexed="10"/>
      <name val="Wingdings 2"/>
      <family val="1"/>
      <charset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 readingOrder="1"/>
    </xf>
    <xf numFmtId="0" fontId="4" fillId="0" borderId="6" xfId="0" applyFont="1" applyBorder="1" applyAlignment="1">
      <alignment horizontal="center" vertical="center" readingOrder="1"/>
    </xf>
    <xf numFmtId="0" fontId="4" fillId="0" borderId="7" xfId="0" applyFont="1" applyBorder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15" fontId="4" fillId="0" borderId="10" xfId="0" applyNumberFormat="1" applyFont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 readingOrder="1"/>
    </xf>
    <xf numFmtId="9" fontId="0" fillId="0" borderId="11" xfId="2" applyFont="1" applyBorder="1" applyAlignment="1">
      <alignment horizontal="center" readingOrder="1"/>
    </xf>
    <xf numFmtId="9" fontId="0" fillId="0" borderId="11" xfId="2" applyFont="1" applyFill="1" applyBorder="1" applyAlignment="1">
      <alignment horizontal="center" readingOrder="1"/>
    </xf>
    <xf numFmtId="9" fontId="0" fillId="0" borderId="0" xfId="2" applyFont="1" applyFill="1" applyBorder="1" applyAlignment="1">
      <alignment horizontal="center" readingOrder="1"/>
    </xf>
    <xf numFmtId="9" fontId="0" fillId="0" borderId="1" xfId="2" applyFont="1" applyBorder="1" applyAlignment="1">
      <alignment horizontal="center" readingOrder="1"/>
    </xf>
    <xf numFmtId="9" fontId="0" fillId="0" borderId="1" xfId="2" applyFont="1" applyFill="1" applyBorder="1" applyAlignment="1">
      <alignment horizontal="center" readingOrder="1"/>
    </xf>
    <xf numFmtId="0" fontId="0" fillId="0" borderId="0" xfId="0" applyAlignment="1">
      <alignment readingOrder="1"/>
    </xf>
    <xf numFmtId="0" fontId="0" fillId="0" borderId="1" xfId="0" applyBorder="1" applyAlignment="1">
      <alignment horizontal="left" readingOrder="1"/>
    </xf>
    <xf numFmtId="0" fontId="0" fillId="0" borderId="0" xfId="0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9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0" fillId="3" borderId="13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8" xfId="0" applyFill="1" applyBorder="1"/>
    <xf numFmtId="0" fontId="0" fillId="3" borderId="9" xfId="0" applyFill="1" applyBorder="1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0" xfId="0" applyFill="1" applyBorder="1"/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0" xfId="0" applyFont="1" applyAlignment="1">
      <alignment readingOrder="1"/>
    </xf>
    <xf numFmtId="43" fontId="0" fillId="0" borderId="13" xfId="1" applyFont="1" applyBorder="1" applyAlignment="1">
      <alignment horizontal="center" vertical="center"/>
    </xf>
    <xf numFmtId="43" fontId="0" fillId="0" borderId="16" xfId="1" applyFont="1" applyBorder="1" applyAlignment="1">
      <alignment horizontal="center" vertical="center"/>
    </xf>
    <xf numFmtId="43" fontId="0" fillId="0" borderId="11" xfId="1" applyFont="1" applyBorder="1" applyAlignment="1">
      <alignment horizontal="center" readingOrder="1"/>
    </xf>
    <xf numFmtId="43" fontId="0" fillId="0" borderId="1" xfId="1" applyFont="1" applyBorder="1" applyAlignment="1">
      <alignment horizontal="center" readingOrder="1"/>
    </xf>
    <xf numFmtId="43" fontId="3" fillId="0" borderId="5" xfId="1" applyFont="1" applyFill="1" applyBorder="1"/>
    <xf numFmtId="43" fontId="3" fillId="0" borderId="7" xfId="1" applyFont="1" applyFill="1" applyBorder="1"/>
    <xf numFmtId="43" fontId="0" fillId="0" borderId="11" xfId="1" applyFont="1" applyBorder="1" applyAlignment="1">
      <alignment horizontal="center"/>
    </xf>
    <xf numFmtId="43" fontId="3" fillId="0" borderId="12" xfId="1" applyFont="1" applyFill="1" applyBorder="1"/>
    <xf numFmtId="43" fontId="3" fillId="0" borderId="11" xfId="1" applyFont="1" applyFill="1" applyBorder="1"/>
    <xf numFmtId="43" fontId="0" fillId="0" borderId="17" xfId="1" applyFont="1" applyBorder="1" applyAlignment="1">
      <alignment horizontal="center"/>
    </xf>
    <xf numFmtId="43" fontId="3" fillId="0" borderId="18" xfId="1" applyFont="1" applyFill="1" applyBorder="1" applyAlignment="1">
      <alignment horizontal="center"/>
    </xf>
    <xf numFmtId="43" fontId="0" fillId="0" borderId="18" xfId="1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5" fontId="0" fillId="3" borderId="12" xfId="0" applyNumberFormat="1" applyFill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0" fontId="5" fillId="0" borderId="7" xfId="0" applyFont="1" applyBorder="1" applyAlignment="1">
      <alignment readingOrder="1"/>
    </xf>
    <xf numFmtId="0" fontId="0" fillId="0" borderId="1" xfId="0" applyBorder="1" applyAlignment="1">
      <alignment readingOrder="1"/>
    </xf>
    <xf numFmtId="0" fontId="0" fillId="0" borderId="1" xfId="0" applyBorder="1" applyAlignment="1">
      <alignment wrapText="1" readingOrder="1"/>
    </xf>
    <xf numFmtId="0" fontId="4" fillId="0" borderId="7" xfId="0" applyFont="1" applyBorder="1"/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/>
    <xf numFmtId="0" fontId="4" fillId="0" borderId="0" xfId="0" applyFont="1"/>
    <xf numFmtId="0" fontId="4" fillId="0" borderId="13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4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readingOrder="1"/>
    </xf>
    <xf numFmtId="0" fontId="0" fillId="0" borderId="3" xfId="0" applyBorder="1" applyAlignment="1">
      <alignment readingOrder="1"/>
    </xf>
    <xf numFmtId="0" fontId="0" fillId="0" borderId="4" xfId="0" applyBorder="1" applyAlignment="1">
      <alignment readingOrder="1"/>
    </xf>
    <xf numFmtId="0" fontId="0" fillId="0" borderId="9" xfId="0" applyBorder="1" applyAlignment="1">
      <alignment readingOrder="1"/>
    </xf>
    <xf numFmtId="0" fontId="0" fillId="0" borderId="14" xfId="0" applyBorder="1" applyAlignment="1">
      <alignment readingOrder="1"/>
    </xf>
    <xf numFmtId="0" fontId="4" fillId="0" borderId="5" xfId="0" applyFont="1" applyBorder="1"/>
    <xf numFmtId="0" fontId="4" fillId="0" borderId="6" xfId="0" applyFont="1" applyBorder="1"/>
    <xf numFmtId="0" fontId="4" fillId="0" borderId="15" xfId="0" applyFont="1" applyBorder="1"/>
    <xf numFmtId="0" fontId="0" fillId="0" borderId="12" xfId="0" applyBorder="1" applyAlignment="1">
      <alignment horizontal="left" readingOrder="1"/>
    </xf>
    <xf numFmtId="0" fontId="0" fillId="0" borderId="0" xfId="0" applyAlignment="1">
      <alignment horizontal="left" readingOrder="1"/>
    </xf>
    <xf numFmtId="0" fontId="0" fillId="0" borderId="13" xfId="0" applyBorder="1" applyAlignment="1">
      <alignment horizontal="left" readingOrder="1"/>
    </xf>
    <xf numFmtId="0" fontId="0" fillId="0" borderId="12" xfId="0" applyBorder="1" applyAlignment="1">
      <alignment horizontal="left" wrapText="1" readingOrder="1"/>
    </xf>
    <xf numFmtId="0" fontId="0" fillId="0" borderId="8" xfId="0" applyBorder="1" applyAlignment="1">
      <alignment horizontal="left" readingOrder="1"/>
    </xf>
    <xf numFmtId="0" fontId="0" fillId="0" borderId="9" xfId="0" applyBorder="1" applyAlignment="1">
      <alignment horizontal="left" readingOrder="1"/>
    </xf>
    <xf numFmtId="0" fontId="0" fillId="0" borderId="14" xfId="0" applyBorder="1" applyAlignment="1">
      <alignment horizontal="left" readingOrder="1"/>
    </xf>
    <xf numFmtId="0" fontId="5" fillId="0" borderId="5" xfId="0" applyFont="1" applyBorder="1" applyAlignment="1">
      <alignment horizontal="center" readingOrder="1"/>
    </xf>
    <xf numFmtId="0" fontId="5" fillId="0" borderId="6" xfId="0" applyFont="1" applyBorder="1" applyAlignment="1">
      <alignment horizontal="center" readingOrder="1"/>
    </xf>
    <xf numFmtId="0" fontId="5" fillId="0" borderId="15" xfId="0" applyFont="1" applyBorder="1" applyAlignment="1">
      <alignment horizontal="center" readingOrder="1"/>
    </xf>
    <xf numFmtId="0" fontId="4" fillId="0" borderId="2" xfId="0" applyFont="1" applyBorder="1" applyAlignment="1">
      <alignment vertical="center" readingOrder="1"/>
    </xf>
    <xf numFmtId="0" fontId="4" fillId="0" borderId="3" xfId="0" applyFont="1" applyBorder="1" applyAlignment="1">
      <alignment vertical="center" readingOrder="1"/>
    </xf>
    <xf numFmtId="0" fontId="4" fillId="0" borderId="2" xfId="0" applyFont="1" applyBorder="1" applyAlignment="1">
      <alignment horizontal="center" readingOrder="1"/>
    </xf>
    <xf numFmtId="0" fontId="4" fillId="0" borderId="3" xfId="0" applyFont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0" fillId="0" borderId="2" xfId="0" applyBorder="1" applyAlignment="1">
      <alignment vertical="center" readingOrder="1"/>
    </xf>
    <xf numFmtId="0" fontId="0" fillId="0" borderId="3" xfId="0" applyBorder="1" applyAlignment="1">
      <alignment vertical="center" readingOrder="1"/>
    </xf>
    <xf numFmtId="0" fontId="0" fillId="0" borderId="2" xfId="0" applyBorder="1" applyAlignment="1">
      <alignment horizontal="center" readingOrder="1"/>
    </xf>
    <xf numFmtId="0" fontId="0" fillId="0" borderId="3" xfId="0" applyBorder="1" applyAlignment="1">
      <alignment horizontal="center" readingOrder="1"/>
    </xf>
    <xf numFmtId="0" fontId="0" fillId="0" borderId="4" xfId="0" applyBorder="1" applyAlignment="1">
      <alignment horizontal="center" readingOrder="1"/>
    </xf>
    <xf numFmtId="15" fontId="0" fillId="0" borderId="2" xfId="0" applyNumberFormat="1" applyBorder="1" applyAlignment="1">
      <alignment horizontal="center" vertical="center" readingOrder="1"/>
    </xf>
    <xf numFmtId="0" fontId="0" fillId="0" borderId="3" xfId="0" applyBorder="1" applyAlignment="1">
      <alignment horizontal="center" vertical="center" readingOrder="1"/>
    </xf>
    <xf numFmtId="0" fontId="0" fillId="0" borderId="4" xfId="0" applyBorder="1" applyAlignment="1">
      <alignment horizontal="center" vertical="center" readingOrder="1"/>
    </xf>
    <xf numFmtId="0" fontId="0" fillId="0" borderId="2" xfId="0" applyBorder="1" applyAlignment="1">
      <alignment horizontal="center" vertical="center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</cellXfs>
  <cellStyles count="3">
    <cellStyle name="Comma" xfId="1" builtinId="3"/>
    <cellStyle name="Percent" xfId="2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6"/>
  <sheetViews>
    <sheetView tabSelected="1" topLeftCell="A12" zoomScale="85" zoomScaleNormal="85" workbookViewId="0">
      <selection activeCell="H32" sqref="H32"/>
    </sheetView>
  </sheetViews>
  <sheetFormatPr defaultRowHeight="15" x14ac:dyDescent="0.25"/>
  <cols>
    <col min="2" max="2" width="15.375" customWidth="1"/>
    <col min="3" max="4" width="16.375" customWidth="1"/>
    <col min="5" max="5" width="15.75" customWidth="1"/>
    <col min="6" max="6" width="18.375" customWidth="1"/>
    <col min="7" max="7" width="12.25" customWidth="1"/>
    <col min="8" max="8" width="16.5" bestFit="1" customWidth="1"/>
    <col min="9" max="9" width="12.625" customWidth="1"/>
    <col min="10" max="10" width="7" customWidth="1"/>
    <col min="11" max="14" width="5.5" customWidth="1"/>
  </cols>
  <sheetData>
    <row r="1" spans="2:11" s="15" customFormat="1" x14ac:dyDescent="0.25">
      <c r="B1" s="1" t="s">
        <v>0</v>
      </c>
      <c r="C1" s="2"/>
      <c r="D1" s="2"/>
      <c r="E1" s="2"/>
      <c r="F1" s="2"/>
      <c r="G1" s="2"/>
      <c r="H1" s="2"/>
      <c r="I1" s="39" t="s">
        <v>47</v>
      </c>
      <c r="J1" s="2" t="s">
        <v>49</v>
      </c>
      <c r="K1" s="3"/>
    </row>
    <row r="2" spans="2:11" s="15" customFormat="1" ht="15.75" thickBot="1" x14ac:dyDescent="0.3">
      <c r="I2" s="15" t="s">
        <v>48</v>
      </c>
    </row>
    <row r="3" spans="2:11" s="15" customFormat="1" ht="15.75" thickBot="1" x14ac:dyDescent="0.3">
      <c r="B3" s="16" t="s">
        <v>1</v>
      </c>
      <c r="C3" s="109"/>
      <c r="D3" s="110"/>
      <c r="E3" s="110"/>
      <c r="F3" s="110"/>
      <c r="G3" s="110"/>
      <c r="H3" s="110"/>
      <c r="I3" s="110"/>
      <c r="J3" s="110"/>
      <c r="K3" s="111"/>
    </row>
    <row r="4" spans="2:11" s="15" customFormat="1" ht="15.75" thickBot="1" x14ac:dyDescent="0.3">
      <c r="B4" s="16" t="s">
        <v>2</v>
      </c>
      <c r="C4" s="112">
        <v>45657</v>
      </c>
      <c r="D4" s="113"/>
      <c r="E4" s="113"/>
      <c r="F4" s="113"/>
      <c r="G4" s="113"/>
      <c r="H4" s="113"/>
      <c r="I4" s="113"/>
      <c r="J4" s="113"/>
      <c r="K4" s="114"/>
    </row>
    <row r="5" spans="2:11" s="15" customFormat="1" ht="15.75" thickBot="1" x14ac:dyDescent="0.3">
      <c r="B5" s="16" t="s">
        <v>3</v>
      </c>
      <c r="C5" s="115" t="s">
        <v>4</v>
      </c>
      <c r="D5" s="113"/>
      <c r="E5" s="113"/>
      <c r="F5" s="113"/>
      <c r="G5" s="113"/>
      <c r="H5" s="113"/>
      <c r="I5" s="113"/>
      <c r="J5" s="113"/>
      <c r="K5" s="114"/>
    </row>
    <row r="6" spans="2:11" s="15" customFormat="1" ht="15.75" thickBot="1" x14ac:dyDescent="0.3">
      <c r="B6" s="17"/>
      <c r="C6" s="18"/>
      <c r="D6" s="18"/>
      <c r="E6" s="18"/>
      <c r="F6" s="18"/>
      <c r="G6" s="18"/>
      <c r="H6" s="18"/>
      <c r="I6" s="18"/>
      <c r="J6" s="18"/>
      <c r="K6" s="18"/>
    </row>
    <row r="7" spans="2:11" s="15" customFormat="1" ht="15.75" thickBot="1" x14ac:dyDescent="0.3">
      <c r="B7" s="81" t="s">
        <v>44</v>
      </c>
      <c r="C7" s="82"/>
      <c r="D7" s="82"/>
      <c r="E7" s="82"/>
      <c r="F7" s="82"/>
      <c r="G7" s="82"/>
      <c r="H7" s="82"/>
      <c r="I7" s="82"/>
      <c r="J7" s="82"/>
      <c r="K7" s="83"/>
    </row>
    <row r="8" spans="2:11" s="15" customFormat="1" ht="15.75" thickBot="1" x14ac:dyDescent="0.3">
      <c r="B8" s="17"/>
      <c r="C8" s="18"/>
      <c r="D8" s="18"/>
      <c r="E8" s="18"/>
      <c r="F8" s="18"/>
      <c r="G8" s="18"/>
      <c r="H8" s="18"/>
      <c r="I8" s="18"/>
      <c r="J8" s="18"/>
      <c r="K8" s="18"/>
    </row>
    <row r="9" spans="2:11" x14ac:dyDescent="0.25">
      <c r="B9" s="116" t="s">
        <v>5</v>
      </c>
      <c r="C9" s="117"/>
      <c r="D9" s="5" t="s">
        <v>6</v>
      </c>
      <c r="E9" s="5" t="s">
        <v>6</v>
      </c>
      <c r="F9" s="5" t="s">
        <v>7</v>
      </c>
      <c r="G9" s="4" t="s">
        <v>7</v>
      </c>
      <c r="H9" s="5" t="s">
        <v>8</v>
      </c>
      <c r="I9" s="5" t="s">
        <v>8</v>
      </c>
      <c r="J9" s="6"/>
      <c r="K9" s="6"/>
    </row>
    <row r="10" spans="2:11" ht="15.75" thickBot="1" x14ac:dyDescent="0.3">
      <c r="B10" s="118"/>
      <c r="C10" s="119"/>
      <c r="D10" s="8">
        <f>C4</f>
        <v>45657</v>
      </c>
      <c r="E10" s="8">
        <v>45291</v>
      </c>
      <c r="F10" s="9" t="s">
        <v>4</v>
      </c>
      <c r="G10" s="7" t="s">
        <v>9</v>
      </c>
      <c r="H10" s="9" t="s">
        <v>4</v>
      </c>
      <c r="I10" s="9" t="s">
        <v>9</v>
      </c>
      <c r="J10" s="6"/>
      <c r="K10" s="6"/>
    </row>
    <row r="11" spans="2:11" ht="15.75" thickBot="1" x14ac:dyDescent="0.3">
      <c r="B11" s="107" t="s">
        <v>44</v>
      </c>
      <c r="C11" s="108"/>
      <c r="D11" s="42">
        <f>D43</f>
        <v>0</v>
      </c>
      <c r="E11" s="42">
        <f>E43</f>
        <v>0</v>
      </c>
      <c r="F11" s="42">
        <f>D11-E11</f>
        <v>0</v>
      </c>
      <c r="G11" s="10" t="e">
        <f>E11/F11</f>
        <v>#DIV/0!</v>
      </c>
      <c r="H11" s="42">
        <f>F97</f>
        <v>0</v>
      </c>
      <c r="I11" s="11" t="e">
        <f>H11/D11</f>
        <v>#DIV/0!</v>
      </c>
      <c r="J11" s="18"/>
      <c r="K11" s="12"/>
    </row>
    <row r="12" spans="2:11" ht="15.75" thickBot="1" x14ac:dyDescent="0.3">
      <c r="B12" s="102" t="s">
        <v>10</v>
      </c>
      <c r="C12" s="103"/>
      <c r="D12" s="43">
        <f>SUM(D11:D11)</f>
        <v>0</v>
      </c>
      <c r="E12" s="43">
        <f>SUM(E11:E11)</f>
        <v>0</v>
      </c>
      <c r="F12" s="43">
        <f>SUM(F11:F11)</f>
        <v>0</v>
      </c>
      <c r="G12" s="13" t="e">
        <f>E12/F12</f>
        <v>#DIV/0!</v>
      </c>
      <c r="H12" s="43">
        <f>SUM(H11:H11)</f>
        <v>0</v>
      </c>
      <c r="I12" s="14" t="e">
        <f>H12/D12</f>
        <v>#DIV/0!</v>
      </c>
      <c r="J12" s="18"/>
      <c r="K12" s="12"/>
    </row>
    <row r="14" spans="2:11" ht="15.75" thickBot="1" x14ac:dyDescent="0.3"/>
    <row r="15" spans="2:11" x14ac:dyDescent="0.25">
      <c r="B15" s="61" t="s">
        <v>41</v>
      </c>
      <c r="C15" s="72"/>
      <c r="D15" s="25" t="str">
        <f>D9</f>
        <v xml:space="preserve">Balance as at </v>
      </c>
      <c r="E15" s="25" t="str">
        <f>E9</f>
        <v xml:space="preserve">Balance as at </v>
      </c>
    </row>
    <row r="16" spans="2:11" ht="15.75" thickBot="1" x14ac:dyDescent="0.3">
      <c r="B16" s="73"/>
      <c r="C16" s="74"/>
      <c r="D16" s="26">
        <f>D10</f>
        <v>45657</v>
      </c>
      <c r="E16" s="26">
        <v>44926</v>
      </c>
    </row>
    <row r="17" spans="2:5" ht="15.75" thickBot="1" x14ac:dyDescent="0.3">
      <c r="B17" s="27" t="s">
        <v>42</v>
      </c>
      <c r="C17" s="53" t="s">
        <v>43</v>
      </c>
      <c r="D17" s="54"/>
      <c r="E17" s="29"/>
    </row>
    <row r="18" spans="2:5" x14ac:dyDescent="0.25">
      <c r="B18" s="30">
        <v>1</v>
      </c>
      <c r="D18" s="55">
        <v>0</v>
      </c>
      <c r="E18" s="40">
        <v>0</v>
      </c>
    </row>
    <row r="19" spans="2:5" x14ac:dyDescent="0.25">
      <c r="B19" s="30">
        <v>2</v>
      </c>
      <c r="D19" s="55">
        <v>0</v>
      </c>
      <c r="E19" s="40">
        <v>0</v>
      </c>
    </row>
    <row r="20" spans="2:5" x14ac:dyDescent="0.25">
      <c r="B20" s="30">
        <v>3</v>
      </c>
      <c r="D20" s="55">
        <v>0</v>
      </c>
      <c r="E20" s="40">
        <v>0</v>
      </c>
    </row>
    <row r="21" spans="2:5" x14ac:dyDescent="0.25">
      <c r="B21" s="30">
        <v>4</v>
      </c>
      <c r="D21" s="55">
        <v>0</v>
      </c>
      <c r="E21" s="40">
        <v>0</v>
      </c>
    </row>
    <row r="22" spans="2:5" x14ac:dyDescent="0.25">
      <c r="B22" s="30">
        <v>5</v>
      </c>
      <c r="D22" s="55">
        <v>0</v>
      </c>
      <c r="E22" s="40">
        <v>0</v>
      </c>
    </row>
    <row r="23" spans="2:5" x14ac:dyDescent="0.25">
      <c r="B23" s="30">
        <v>6</v>
      </c>
      <c r="D23" s="55">
        <v>0</v>
      </c>
      <c r="E23" s="40">
        <v>0</v>
      </c>
    </row>
    <row r="24" spans="2:5" x14ac:dyDescent="0.25">
      <c r="B24" s="30">
        <v>7</v>
      </c>
      <c r="D24" s="55">
        <v>0</v>
      </c>
      <c r="E24" s="40">
        <v>0</v>
      </c>
    </row>
    <row r="25" spans="2:5" x14ac:dyDescent="0.25">
      <c r="B25" s="30">
        <v>8</v>
      </c>
      <c r="D25" s="55">
        <v>0</v>
      </c>
      <c r="E25" s="40">
        <v>0</v>
      </c>
    </row>
    <row r="26" spans="2:5" x14ac:dyDescent="0.25">
      <c r="B26" s="30">
        <v>9</v>
      </c>
      <c r="D26" s="55">
        <v>0</v>
      </c>
      <c r="E26" s="40">
        <v>0</v>
      </c>
    </row>
    <row r="27" spans="2:5" x14ac:dyDescent="0.25">
      <c r="B27" s="30">
        <v>10</v>
      </c>
      <c r="D27" s="55">
        <v>0</v>
      </c>
      <c r="E27" s="40">
        <v>0</v>
      </c>
    </row>
    <row r="28" spans="2:5" x14ac:dyDescent="0.25">
      <c r="B28" s="30">
        <v>11</v>
      </c>
      <c r="D28" s="55">
        <v>0</v>
      </c>
      <c r="E28" s="40">
        <v>0</v>
      </c>
    </row>
    <row r="29" spans="2:5" x14ac:dyDescent="0.25">
      <c r="B29" s="30">
        <v>12</v>
      </c>
      <c r="D29" s="55">
        <v>0</v>
      </c>
      <c r="E29" s="40">
        <v>0</v>
      </c>
    </row>
    <row r="30" spans="2:5" x14ac:dyDescent="0.25">
      <c r="B30" s="30">
        <v>13</v>
      </c>
      <c r="D30" s="55">
        <v>0</v>
      </c>
      <c r="E30" s="40">
        <v>0</v>
      </c>
    </row>
    <row r="31" spans="2:5" x14ac:dyDescent="0.25">
      <c r="B31" s="30">
        <v>14</v>
      </c>
      <c r="D31" s="55">
        <v>0</v>
      </c>
      <c r="E31" s="40">
        <v>0</v>
      </c>
    </row>
    <row r="32" spans="2:5" x14ac:dyDescent="0.25">
      <c r="B32" s="30">
        <v>15</v>
      </c>
      <c r="D32" s="55">
        <v>0</v>
      </c>
      <c r="E32" s="40">
        <v>0</v>
      </c>
    </row>
    <row r="33" spans="2:11" x14ac:dyDescent="0.25">
      <c r="B33" s="30">
        <v>16</v>
      </c>
      <c r="D33" s="55">
        <v>0</v>
      </c>
      <c r="E33" s="40">
        <v>0</v>
      </c>
    </row>
    <row r="34" spans="2:11" x14ac:dyDescent="0.25">
      <c r="B34" s="30">
        <v>17</v>
      </c>
      <c r="D34" s="55">
        <v>0</v>
      </c>
      <c r="E34" s="40">
        <v>0</v>
      </c>
    </row>
    <row r="35" spans="2:11" x14ac:dyDescent="0.25">
      <c r="B35" s="30">
        <v>18</v>
      </c>
      <c r="D35" s="55">
        <v>0</v>
      </c>
      <c r="E35" s="40">
        <v>0</v>
      </c>
    </row>
    <row r="36" spans="2:11" x14ac:dyDescent="0.25">
      <c r="B36" s="30">
        <v>19</v>
      </c>
      <c r="D36" s="55">
        <v>0</v>
      </c>
      <c r="E36" s="40">
        <v>0</v>
      </c>
    </row>
    <row r="37" spans="2:11" x14ac:dyDescent="0.25">
      <c r="B37" s="30">
        <v>20</v>
      </c>
      <c r="D37" s="55">
        <v>0</v>
      </c>
      <c r="E37" s="40">
        <v>0</v>
      </c>
    </row>
    <row r="38" spans="2:11" x14ac:dyDescent="0.25">
      <c r="B38" s="30">
        <v>21</v>
      </c>
      <c r="D38" s="55">
        <v>0</v>
      </c>
      <c r="E38" s="40">
        <v>0</v>
      </c>
    </row>
    <row r="39" spans="2:11" x14ac:dyDescent="0.25">
      <c r="B39" s="30">
        <v>22</v>
      </c>
      <c r="D39" s="55">
        <v>0</v>
      </c>
      <c r="E39" s="40">
        <v>0</v>
      </c>
    </row>
    <row r="40" spans="2:11" x14ac:dyDescent="0.25">
      <c r="B40" s="30">
        <v>23</v>
      </c>
      <c r="D40" s="55">
        <v>0</v>
      </c>
      <c r="E40" s="40">
        <v>0</v>
      </c>
    </row>
    <row r="41" spans="2:11" x14ac:dyDescent="0.25">
      <c r="B41" s="30">
        <v>24</v>
      </c>
      <c r="D41" s="55">
        <v>0</v>
      </c>
      <c r="E41" s="40">
        <v>0</v>
      </c>
    </row>
    <row r="42" spans="2:11" x14ac:dyDescent="0.25">
      <c r="B42" s="30">
        <v>25</v>
      </c>
      <c r="D42" s="55">
        <v>0</v>
      </c>
      <c r="E42" s="40">
        <v>0</v>
      </c>
    </row>
    <row r="43" spans="2:11" ht="15.75" thickBot="1" x14ac:dyDescent="0.3">
      <c r="B43" s="31"/>
      <c r="C43" s="32"/>
      <c r="D43" s="56">
        <f>SUM(D18:D42)</f>
        <v>0</v>
      </c>
      <c r="E43" s="41">
        <f>SUM(E18:E42)</f>
        <v>0</v>
      </c>
    </row>
    <row r="45" spans="2:11" ht="15.75" thickBot="1" x14ac:dyDescent="0.3"/>
    <row r="46" spans="2:11" ht="15.75" thickBot="1" x14ac:dyDescent="0.3">
      <c r="B46" s="104" t="s">
        <v>11</v>
      </c>
      <c r="C46" s="105"/>
      <c r="D46" s="105"/>
      <c r="E46" s="105"/>
      <c r="F46" s="105"/>
      <c r="G46" s="105"/>
      <c r="H46" s="105"/>
      <c r="I46" s="105"/>
      <c r="J46" s="105"/>
      <c r="K46" s="106"/>
    </row>
    <row r="47" spans="2:11" x14ac:dyDescent="0.25">
      <c r="B47" s="92" t="s">
        <v>12</v>
      </c>
      <c r="C47" s="93"/>
      <c r="D47" s="93"/>
      <c r="E47" s="93"/>
      <c r="F47" s="93"/>
      <c r="G47" s="93"/>
      <c r="H47" s="93"/>
      <c r="I47" s="93"/>
      <c r="J47" s="93"/>
      <c r="K47" s="94"/>
    </row>
    <row r="48" spans="2:11" x14ac:dyDescent="0.25">
      <c r="B48" s="92" t="s">
        <v>13</v>
      </c>
      <c r="C48" s="93"/>
      <c r="D48" s="93"/>
      <c r="E48" s="93"/>
      <c r="F48" s="93"/>
      <c r="G48" s="93"/>
      <c r="H48" s="93"/>
      <c r="I48" s="93"/>
      <c r="J48" s="93"/>
      <c r="K48" s="94"/>
    </row>
    <row r="49" spans="2:11" x14ac:dyDescent="0.25">
      <c r="B49" s="92" t="s">
        <v>14</v>
      </c>
      <c r="C49" s="93"/>
      <c r="D49" s="93"/>
      <c r="E49" s="93"/>
      <c r="F49" s="93"/>
      <c r="G49" s="93"/>
      <c r="H49" s="93"/>
      <c r="I49" s="93"/>
      <c r="J49" s="93"/>
      <c r="K49" s="94"/>
    </row>
    <row r="50" spans="2:11" x14ac:dyDescent="0.25">
      <c r="B50" s="95" t="s">
        <v>15</v>
      </c>
      <c r="C50" s="93"/>
      <c r="D50" s="93"/>
      <c r="E50" s="93"/>
      <c r="F50" s="93"/>
      <c r="G50" s="93"/>
      <c r="H50" s="93"/>
      <c r="I50" s="93"/>
      <c r="J50" s="93"/>
      <c r="K50" s="94"/>
    </row>
    <row r="51" spans="2:11" ht="15.75" thickBot="1" x14ac:dyDescent="0.3">
      <c r="B51" s="96" t="s">
        <v>16</v>
      </c>
      <c r="C51" s="97"/>
      <c r="D51" s="97"/>
      <c r="E51" s="97"/>
      <c r="F51" s="97"/>
      <c r="G51" s="97"/>
      <c r="H51" s="97"/>
      <c r="I51" s="97"/>
      <c r="J51" s="97"/>
      <c r="K51" s="98"/>
    </row>
    <row r="53" spans="2:11" ht="15.75" thickBot="1" x14ac:dyDescent="0.3"/>
    <row r="54" spans="2:11" ht="15.75" thickBot="1" x14ac:dyDescent="0.3">
      <c r="B54" s="57" t="s">
        <v>17</v>
      </c>
      <c r="C54" s="99" t="s">
        <v>11</v>
      </c>
      <c r="D54" s="100"/>
      <c r="E54" s="100"/>
      <c r="F54" s="100"/>
      <c r="G54" s="100"/>
      <c r="H54" s="100"/>
      <c r="I54" s="100"/>
      <c r="J54" s="100"/>
      <c r="K54" s="101"/>
    </row>
    <row r="55" spans="2:11" ht="15.75" thickBot="1" x14ac:dyDescent="0.3">
      <c r="B55" s="58" t="s">
        <v>18</v>
      </c>
      <c r="C55" s="84" t="s">
        <v>19</v>
      </c>
      <c r="D55" s="85"/>
      <c r="E55" s="85"/>
      <c r="F55" s="85"/>
      <c r="G55" s="85"/>
      <c r="H55" s="85"/>
      <c r="I55" s="85"/>
      <c r="J55" s="85"/>
      <c r="K55" s="86"/>
    </row>
    <row r="56" spans="2:11" ht="15.75" thickBot="1" x14ac:dyDescent="0.3">
      <c r="B56" s="58" t="s">
        <v>20</v>
      </c>
      <c r="C56" s="84" t="s">
        <v>21</v>
      </c>
      <c r="D56" s="85"/>
      <c r="E56" s="85"/>
      <c r="F56" s="85"/>
      <c r="G56" s="85"/>
      <c r="H56" s="85"/>
      <c r="I56" s="85"/>
      <c r="J56" s="85"/>
      <c r="K56" s="86"/>
    </row>
    <row r="57" spans="2:11" ht="15" customHeight="1" thickBot="1" x14ac:dyDescent="0.3">
      <c r="B57" s="59" t="s">
        <v>22</v>
      </c>
      <c r="C57" s="84" t="s">
        <v>23</v>
      </c>
      <c r="D57" s="85"/>
      <c r="E57" s="85"/>
      <c r="F57" s="85"/>
      <c r="G57" s="85"/>
      <c r="H57" s="85"/>
      <c r="I57" s="85"/>
      <c r="J57" s="85"/>
      <c r="K57" s="86"/>
    </row>
    <row r="58" spans="2:11" ht="15.75" thickBot="1" x14ac:dyDescent="0.3">
      <c r="B58" s="58" t="s">
        <v>24</v>
      </c>
      <c r="C58" s="84" t="s">
        <v>23</v>
      </c>
      <c r="D58" s="85"/>
      <c r="E58" s="85"/>
      <c r="F58" s="85"/>
      <c r="G58" s="85"/>
      <c r="H58" s="85"/>
      <c r="I58" s="85"/>
      <c r="J58" s="85"/>
      <c r="K58" s="86"/>
    </row>
    <row r="59" spans="2:11" ht="15.75" thickBot="1" x14ac:dyDescent="0.3">
      <c r="B59" s="58" t="s">
        <v>25</v>
      </c>
      <c r="C59" s="87" t="s">
        <v>26</v>
      </c>
      <c r="D59" s="87"/>
      <c r="E59" s="87"/>
      <c r="F59" s="87"/>
      <c r="G59" s="87"/>
      <c r="H59" s="87"/>
      <c r="I59" s="87"/>
      <c r="J59" s="87"/>
      <c r="K59" s="88"/>
    </row>
    <row r="60" spans="2:11" ht="15.75" thickBot="1" x14ac:dyDescent="0.3"/>
    <row r="61" spans="2:11" ht="15.75" thickBot="1" x14ac:dyDescent="0.3">
      <c r="B61" s="60" t="s">
        <v>27</v>
      </c>
    </row>
    <row r="62" spans="2:11" x14ac:dyDescent="0.25">
      <c r="B62" s="89" t="s">
        <v>54</v>
      </c>
      <c r="C62" s="90"/>
      <c r="D62" s="90"/>
      <c r="E62" s="90"/>
      <c r="F62" s="91"/>
    </row>
    <row r="63" spans="2:11" x14ac:dyDescent="0.25">
      <c r="B63" s="75" t="s">
        <v>56</v>
      </c>
      <c r="C63" s="76"/>
      <c r="D63" s="76"/>
      <c r="E63" s="76"/>
      <c r="F63" s="77"/>
    </row>
    <row r="64" spans="2:11" x14ac:dyDescent="0.25">
      <c r="B64" s="75" t="s">
        <v>28</v>
      </c>
      <c r="C64" s="76"/>
      <c r="D64" s="76"/>
      <c r="E64" s="76"/>
      <c r="F64" s="77"/>
    </row>
    <row r="65" spans="2:15" x14ac:dyDescent="0.25">
      <c r="B65" s="75" t="s">
        <v>29</v>
      </c>
      <c r="C65" s="76"/>
      <c r="D65" s="76"/>
      <c r="E65" s="76"/>
      <c r="F65" s="77"/>
    </row>
    <row r="66" spans="2:15" x14ac:dyDescent="0.25">
      <c r="B66" s="75" t="s">
        <v>55</v>
      </c>
      <c r="C66" s="76"/>
      <c r="D66" s="76"/>
      <c r="E66" s="76"/>
      <c r="F66" s="77"/>
    </row>
    <row r="67" spans="2:15" ht="15.75" thickBot="1" x14ac:dyDescent="0.3">
      <c r="B67" s="78" t="s">
        <v>30</v>
      </c>
      <c r="C67" s="79"/>
      <c r="D67" s="79"/>
      <c r="E67" s="79"/>
      <c r="F67" s="80"/>
    </row>
    <row r="69" spans="2:15" ht="15.75" thickBot="1" x14ac:dyDescent="0.3"/>
    <row r="70" spans="2:15" ht="15.75" thickBot="1" x14ac:dyDescent="0.3">
      <c r="B70" s="81" t="s">
        <v>53</v>
      </c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3"/>
    </row>
    <row r="71" spans="2:15" ht="30.75" thickBot="1" x14ac:dyDescent="0.3">
      <c r="B71" s="19" t="s">
        <v>31</v>
      </c>
      <c r="C71" s="28" t="s">
        <v>50</v>
      </c>
      <c r="D71" s="27" t="s">
        <v>51</v>
      </c>
      <c r="E71" s="19" t="s">
        <v>45</v>
      </c>
      <c r="F71" s="52" t="s">
        <v>52</v>
      </c>
      <c r="G71" s="19" t="s">
        <v>32</v>
      </c>
      <c r="H71" s="33" t="s">
        <v>33</v>
      </c>
      <c r="I71" s="19" t="s">
        <v>34</v>
      </c>
      <c r="J71" s="19" t="s">
        <v>35</v>
      </c>
      <c r="K71" s="19" t="s">
        <v>36</v>
      </c>
      <c r="L71" s="19" t="s">
        <v>37</v>
      </c>
      <c r="M71" s="19" t="s">
        <v>38</v>
      </c>
      <c r="N71" s="19" t="s">
        <v>39</v>
      </c>
    </row>
    <row r="72" spans="2:15" x14ac:dyDescent="0.25">
      <c r="B72" s="34">
        <v>1</v>
      </c>
      <c r="C72" s="20"/>
      <c r="D72" s="20"/>
      <c r="E72" s="34"/>
      <c r="F72" s="44">
        <v>0</v>
      </c>
      <c r="G72" s="45">
        <f t="shared" ref="G72:G96" si="0">+F72*0.15</f>
        <v>0</v>
      </c>
      <c r="H72" s="46">
        <f>F72+G72</f>
        <v>0</v>
      </c>
      <c r="I72" s="36" t="s">
        <v>46</v>
      </c>
      <c r="J72" s="37" t="s">
        <v>46</v>
      </c>
      <c r="K72" s="37" t="s">
        <v>46</v>
      </c>
      <c r="L72" s="37" t="s">
        <v>46</v>
      </c>
      <c r="M72" s="37" t="s">
        <v>46</v>
      </c>
      <c r="N72" s="38" t="s">
        <v>46</v>
      </c>
      <c r="O72" s="20"/>
    </row>
    <row r="73" spans="2:15" x14ac:dyDescent="0.25">
      <c r="B73" s="34">
        <v>2</v>
      </c>
      <c r="C73" s="20"/>
      <c r="D73" s="20"/>
      <c r="E73" s="34"/>
      <c r="F73" s="47">
        <v>0</v>
      </c>
      <c r="G73" s="48">
        <f t="shared" si="0"/>
        <v>0</v>
      </c>
      <c r="H73" s="46">
        <f>F73+G73</f>
        <v>0</v>
      </c>
      <c r="I73" s="36" t="s">
        <v>46</v>
      </c>
      <c r="J73" s="37" t="s">
        <v>46</v>
      </c>
      <c r="K73" s="37" t="s">
        <v>46</v>
      </c>
      <c r="L73" s="37" t="s">
        <v>46</v>
      </c>
      <c r="M73" s="37" t="s">
        <v>46</v>
      </c>
      <c r="N73" s="38" t="s">
        <v>46</v>
      </c>
      <c r="O73" s="20"/>
    </row>
    <row r="74" spans="2:15" x14ac:dyDescent="0.25">
      <c r="B74" s="34">
        <v>3</v>
      </c>
      <c r="C74" s="20"/>
      <c r="D74" s="20"/>
      <c r="E74" s="34"/>
      <c r="F74" s="47">
        <v>0</v>
      </c>
      <c r="G74" s="48">
        <f t="shared" si="0"/>
        <v>0</v>
      </c>
      <c r="H74" s="46">
        <f t="shared" ref="H74:H96" si="1">F74+G74</f>
        <v>0</v>
      </c>
      <c r="I74" s="36" t="s">
        <v>46</v>
      </c>
      <c r="J74" s="37" t="s">
        <v>46</v>
      </c>
      <c r="K74" s="37" t="s">
        <v>46</v>
      </c>
      <c r="L74" s="37" t="s">
        <v>46</v>
      </c>
      <c r="M74" s="37" t="s">
        <v>46</v>
      </c>
      <c r="N74" s="38" t="s">
        <v>46</v>
      </c>
      <c r="O74" s="20"/>
    </row>
    <row r="75" spans="2:15" x14ac:dyDescent="0.25">
      <c r="B75" s="34">
        <v>4</v>
      </c>
      <c r="C75" s="20"/>
      <c r="D75" s="20"/>
      <c r="E75" s="34"/>
      <c r="F75" s="47">
        <v>0</v>
      </c>
      <c r="G75" s="48">
        <f t="shared" si="0"/>
        <v>0</v>
      </c>
      <c r="H75" s="46">
        <f t="shared" si="1"/>
        <v>0</v>
      </c>
      <c r="I75" s="36" t="s">
        <v>46</v>
      </c>
      <c r="J75" s="37" t="s">
        <v>46</v>
      </c>
      <c r="K75" s="37" t="s">
        <v>46</v>
      </c>
      <c r="L75" s="37" t="s">
        <v>46</v>
      </c>
      <c r="M75" s="37" t="s">
        <v>46</v>
      </c>
      <c r="N75" s="38" t="s">
        <v>46</v>
      </c>
      <c r="O75" s="20"/>
    </row>
    <row r="76" spans="2:15" x14ac:dyDescent="0.25">
      <c r="B76" s="34">
        <v>5</v>
      </c>
      <c r="C76" s="20"/>
      <c r="D76" s="20"/>
      <c r="E76" s="34"/>
      <c r="F76" s="47">
        <v>0</v>
      </c>
      <c r="G76" s="48">
        <f t="shared" si="0"/>
        <v>0</v>
      </c>
      <c r="H76" s="46">
        <f t="shared" si="1"/>
        <v>0</v>
      </c>
      <c r="I76" s="36" t="s">
        <v>46</v>
      </c>
      <c r="J76" s="37" t="s">
        <v>46</v>
      </c>
      <c r="K76" s="37" t="s">
        <v>46</v>
      </c>
      <c r="L76" s="37" t="s">
        <v>46</v>
      </c>
      <c r="M76" s="37" t="s">
        <v>46</v>
      </c>
      <c r="N76" s="38" t="s">
        <v>46</v>
      </c>
      <c r="O76" s="20"/>
    </row>
    <row r="77" spans="2:15" x14ac:dyDescent="0.25">
      <c r="B77" s="34">
        <v>6</v>
      </c>
      <c r="C77" s="20"/>
      <c r="D77" s="20"/>
      <c r="E77" s="34"/>
      <c r="F77" s="47">
        <v>0</v>
      </c>
      <c r="G77" s="48">
        <f t="shared" si="0"/>
        <v>0</v>
      </c>
      <c r="H77" s="46">
        <f t="shared" si="1"/>
        <v>0</v>
      </c>
      <c r="I77" s="36" t="s">
        <v>46</v>
      </c>
      <c r="J77" s="37" t="s">
        <v>46</v>
      </c>
      <c r="K77" s="37" t="s">
        <v>46</v>
      </c>
      <c r="L77" s="37" t="s">
        <v>46</v>
      </c>
      <c r="M77" s="37" t="s">
        <v>46</v>
      </c>
      <c r="N77" s="38" t="s">
        <v>46</v>
      </c>
      <c r="O77" s="20"/>
    </row>
    <row r="78" spans="2:15" x14ac:dyDescent="0.25">
      <c r="B78" s="34">
        <v>7</v>
      </c>
      <c r="C78" s="20"/>
      <c r="D78" s="20"/>
      <c r="E78" s="34"/>
      <c r="F78" s="47">
        <v>0</v>
      </c>
      <c r="G78" s="48">
        <f t="shared" si="0"/>
        <v>0</v>
      </c>
      <c r="H78" s="46">
        <f t="shared" si="1"/>
        <v>0</v>
      </c>
      <c r="I78" s="36" t="s">
        <v>46</v>
      </c>
      <c r="J78" s="37" t="s">
        <v>46</v>
      </c>
      <c r="K78" s="37" t="s">
        <v>46</v>
      </c>
      <c r="L78" s="37" t="s">
        <v>46</v>
      </c>
      <c r="M78" s="37" t="s">
        <v>46</v>
      </c>
      <c r="N78" s="38" t="s">
        <v>46</v>
      </c>
      <c r="O78" s="20"/>
    </row>
    <row r="79" spans="2:15" x14ac:dyDescent="0.25">
      <c r="B79" s="34">
        <v>8</v>
      </c>
      <c r="C79" s="20"/>
      <c r="D79" s="20"/>
      <c r="E79" s="34"/>
      <c r="F79" s="47">
        <v>0</v>
      </c>
      <c r="G79" s="48">
        <f t="shared" si="0"/>
        <v>0</v>
      </c>
      <c r="H79" s="46">
        <f t="shared" si="1"/>
        <v>0</v>
      </c>
      <c r="I79" s="36" t="s">
        <v>46</v>
      </c>
      <c r="J79" s="37" t="s">
        <v>46</v>
      </c>
      <c r="K79" s="37" t="s">
        <v>46</v>
      </c>
      <c r="L79" s="37" t="s">
        <v>46</v>
      </c>
      <c r="M79" s="37" t="s">
        <v>46</v>
      </c>
      <c r="N79" s="38" t="s">
        <v>46</v>
      </c>
      <c r="O79" s="20"/>
    </row>
    <row r="80" spans="2:15" x14ac:dyDescent="0.25">
      <c r="B80" s="34">
        <v>9</v>
      </c>
      <c r="C80" s="20"/>
      <c r="D80" s="20"/>
      <c r="E80" s="34"/>
      <c r="F80" s="47">
        <v>0</v>
      </c>
      <c r="G80" s="48">
        <f t="shared" si="0"/>
        <v>0</v>
      </c>
      <c r="H80" s="46">
        <f t="shared" si="1"/>
        <v>0</v>
      </c>
      <c r="I80" s="36" t="s">
        <v>46</v>
      </c>
      <c r="J80" s="37" t="s">
        <v>46</v>
      </c>
      <c r="K80" s="37" t="s">
        <v>46</v>
      </c>
      <c r="L80" s="37" t="s">
        <v>46</v>
      </c>
      <c r="M80" s="37" t="s">
        <v>46</v>
      </c>
      <c r="N80" s="38" t="s">
        <v>46</v>
      </c>
      <c r="O80" s="20"/>
    </row>
    <row r="81" spans="2:15" x14ac:dyDescent="0.25">
      <c r="B81" s="34">
        <v>10</v>
      </c>
      <c r="C81" s="20"/>
      <c r="D81" s="20"/>
      <c r="E81" s="34"/>
      <c r="F81" s="47">
        <v>0</v>
      </c>
      <c r="G81" s="48">
        <f t="shared" si="0"/>
        <v>0</v>
      </c>
      <c r="H81" s="46">
        <f t="shared" si="1"/>
        <v>0</v>
      </c>
      <c r="I81" s="36" t="s">
        <v>46</v>
      </c>
      <c r="J81" s="37" t="s">
        <v>46</v>
      </c>
      <c r="K81" s="37" t="s">
        <v>46</v>
      </c>
      <c r="L81" s="37" t="s">
        <v>46</v>
      </c>
      <c r="M81" s="37" t="s">
        <v>46</v>
      </c>
      <c r="N81" s="38" t="s">
        <v>46</v>
      </c>
      <c r="O81" s="20"/>
    </row>
    <row r="82" spans="2:15" x14ac:dyDescent="0.25">
      <c r="B82" s="34">
        <v>11</v>
      </c>
      <c r="C82" s="20"/>
      <c r="D82" s="20"/>
      <c r="E82" s="34"/>
      <c r="F82" s="47">
        <v>0</v>
      </c>
      <c r="G82" s="48">
        <f t="shared" si="0"/>
        <v>0</v>
      </c>
      <c r="H82" s="46">
        <f t="shared" si="1"/>
        <v>0</v>
      </c>
      <c r="I82" s="36" t="s">
        <v>46</v>
      </c>
      <c r="J82" s="37" t="s">
        <v>46</v>
      </c>
      <c r="K82" s="37" t="s">
        <v>46</v>
      </c>
      <c r="L82" s="37" t="s">
        <v>46</v>
      </c>
      <c r="M82" s="37" t="s">
        <v>46</v>
      </c>
      <c r="N82" s="38" t="s">
        <v>46</v>
      </c>
      <c r="O82" s="20"/>
    </row>
    <row r="83" spans="2:15" x14ac:dyDescent="0.25">
      <c r="B83" s="34">
        <v>12</v>
      </c>
      <c r="C83" s="20"/>
      <c r="D83" s="20"/>
      <c r="E83" s="34"/>
      <c r="F83" s="47">
        <v>0</v>
      </c>
      <c r="G83" s="48">
        <f t="shared" si="0"/>
        <v>0</v>
      </c>
      <c r="H83" s="46">
        <f t="shared" si="1"/>
        <v>0</v>
      </c>
      <c r="I83" s="36" t="s">
        <v>46</v>
      </c>
      <c r="J83" s="37" t="s">
        <v>46</v>
      </c>
      <c r="K83" s="37" t="s">
        <v>46</v>
      </c>
      <c r="L83" s="37" t="s">
        <v>46</v>
      </c>
      <c r="M83" s="37" t="s">
        <v>46</v>
      </c>
      <c r="N83" s="38" t="s">
        <v>46</v>
      </c>
      <c r="O83" s="20"/>
    </row>
    <row r="84" spans="2:15" x14ac:dyDescent="0.25">
      <c r="B84" s="34">
        <v>13</v>
      </c>
      <c r="C84" s="20"/>
      <c r="D84" s="20"/>
      <c r="E84" s="34"/>
      <c r="F84" s="47">
        <v>0</v>
      </c>
      <c r="G84" s="48">
        <f t="shared" si="0"/>
        <v>0</v>
      </c>
      <c r="H84" s="46">
        <f t="shared" si="1"/>
        <v>0</v>
      </c>
      <c r="I84" s="36" t="s">
        <v>46</v>
      </c>
      <c r="J84" s="37" t="s">
        <v>46</v>
      </c>
      <c r="K84" s="37" t="s">
        <v>46</v>
      </c>
      <c r="L84" s="37" t="s">
        <v>46</v>
      </c>
      <c r="M84" s="37" t="s">
        <v>46</v>
      </c>
      <c r="N84" s="38" t="s">
        <v>46</v>
      </c>
      <c r="O84" s="20"/>
    </row>
    <row r="85" spans="2:15" x14ac:dyDescent="0.25">
      <c r="B85" s="34">
        <v>14</v>
      </c>
      <c r="C85" s="20"/>
      <c r="D85" s="20"/>
      <c r="E85" s="34"/>
      <c r="F85" s="47">
        <v>0</v>
      </c>
      <c r="G85" s="48">
        <f t="shared" si="0"/>
        <v>0</v>
      </c>
      <c r="H85" s="46">
        <f t="shared" si="1"/>
        <v>0</v>
      </c>
      <c r="I85" s="36" t="s">
        <v>46</v>
      </c>
      <c r="J85" s="37" t="s">
        <v>46</v>
      </c>
      <c r="K85" s="37" t="s">
        <v>46</v>
      </c>
      <c r="L85" s="37" t="s">
        <v>46</v>
      </c>
      <c r="M85" s="37" t="s">
        <v>46</v>
      </c>
      <c r="N85" s="38" t="s">
        <v>46</v>
      </c>
      <c r="O85" s="20"/>
    </row>
    <row r="86" spans="2:15" x14ac:dyDescent="0.25">
      <c r="B86" s="34">
        <v>15</v>
      </c>
      <c r="C86" s="20"/>
      <c r="D86" s="20"/>
      <c r="E86" s="34"/>
      <c r="F86" s="47">
        <v>0</v>
      </c>
      <c r="G86" s="48">
        <f t="shared" si="0"/>
        <v>0</v>
      </c>
      <c r="H86" s="46">
        <f t="shared" si="1"/>
        <v>0</v>
      </c>
      <c r="I86" s="36" t="s">
        <v>46</v>
      </c>
      <c r="J86" s="37" t="s">
        <v>46</v>
      </c>
      <c r="K86" s="37" t="s">
        <v>46</v>
      </c>
      <c r="L86" s="37" t="s">
        <v>46</v>
      </c>
      <c r="M86" s="37" t="s">
        <v>46</v>
      </c>
      <c r="N86" s="38" t="s">
        <v>46</v>
      </c>
      <c r="O86" s="20"/>
    </row>
    <row r="87" spans="2:15" x14ac:dyDescent="0.25">
      <c r="B87" s="34">
        <v>16</v>
      </c>
      <c r="C87" s="20"/>
      <c r="D87" s="20"/>
      <c r="E87" s="34"/>
      <c r="F87" s="47">
        <v>0</v>
      </c>
      <c r="G87" s="48">
        <f t="shared" si="0"/>
        <v>0</v>
      </c>
      <c r="H87" s="46">
        <f t="shared" si="1"/>
        <v>0</v>
      </c>
      <c r="I87" s="36" t="s">
        <v>46</v>
      </c>
      <c r="J87" s="37" t="s">
        <v>46</v>
      </c>
      <c r="K87" s="37" t="s">
        <v>46</v>
      </c>
      <c r="L87" s="37" t="s">
        <v>46</v>
      </c>
      <c r="M87" s="37" t="s">
        <v>46</v>
      </c>
      <c r="N87" s="38" t="s">
        <v>46</v>
      </c>
      <c r="O87" s="20"/>
    </row>
    <row r="88" spans="2:15" x14ac:dyDescent="0.25">
      <c r="B88" s="34">
        <v>17</v>
      </c>
      <c r="C88" s="20"/>
      <c r="D88" s="20"/>
      <c r="E88" s="34"/>
      <c r="F88" s="47">
        <v>0</v>
      </c>
      <c r="G88" s="48">
        <f t="shared" si="0"/>
        <v>0</v>
      </c>
      <c r="H88" s="46">
        <f t="shared" si="1"/>
        <v>0</v>
      </c>
      <c r="I88" s="36" t="s">
        <v>46</v>
      </c>
      <c r="J88" s="37" t="s">
        <v>46</v>
      </c>
      <c r="K88" s="37" t="s">
        <v>46</v>
      </c>
      <c r="L88" s="37" t="s">
        <v>46</v>
      </c>
      <c r="M88" s="37" t="s">
        <v>46</v>
      </c>
      <c r="N88" s="38" t="s">
        <v>46</v>
      </c>
      <c r="O88" s="20"/>
    </row>
    <row r="89" spans="2:15" x14ac:dyDescent="0.25">
      <c r="B89" s="34">
        <v>18</v>
      </c>
      <c r="C89" s="20"/>
      <c r="D89" s="20"/>
      <c r="E89" s="34"/>
      <c r="F89" s="47">
        <v>0</v>
      </c>
      <c r="G89" s="48">
        <f t="shared" si="0"/>
        <v>0</v>
      </c>
      <c r="H89" s="46">
        <f t="shared" si="1"/>
        <v>0</v>
      </c>
      <c r="I89" s="36" t="s">
        <v>46</v>
      </c>
      <c r="J89" s="37" t="s">
        <v>46</v>
      </c>
      <c r="K89" s="37" t="s">
        <v>46</v>
      </c>
      <c r="L89" s="37" t="s">
        <v>46</v>
      </c>
      <c r="M89" s="37" t="s">
        <v>46</v>
      </c>
      <c r="N89" s="38" t="s">
        <v>46</v>
      </c>
      <c r="O89" s="20"/>
    </row>
    <row r="90" spans="2:15" x14ac:dyDescent="0.25">
      <c r="B90" s="34">
        <v>19</v>
      </c>
      <c r="C90" s="20"/>
      <c r="D90" s="20"/>
      <c r="E90" s="34"/>
      <c r="F90" s="47">
        <v>0</v>
      </c>
      <c r="G90" s="48">
        <f t="shared" si="0"/>
        <v>0</v>
      </c>
      <c r="H90" s="46">
        <f t="shared" si="1"/>
        <v>0</v>
      </c>
      <c r="I90" s="36" t="s">
        <v>46</v>
      </c>
      <c r="J90" s="37" t="s">
        <v>46</v>
      </c>
      <c r="K90" s="37" t="s">
        <v>46</v>
      </c>
      <c r="L90" s="37" t="s">
        <v>46</v>
      </c>
      <c r="M90" s="37" t="s">
        <v>46</v>
      </c>
      <c r="N90" s="38" t="s">
        <v>46</v>
      </c>
      <c r="O90" s="20"/>
    </row>
    <row r="91" spans="2:15" x14ac:dyDescent="0.25">
      <c r="B91" s="34">
        <v>20</v>
      </c>
      <c r="C91" s="20"/>
      <c r="D91" s="20"/>
      <c r="E91" s="34"/>
      <c r="F91" s="47">
        <v>0</v>
      </c>
      <c r="G91" s="48">
        <f t="shared" si="0"/>
        <v>0</v>
      </c>
      <c r="H91" s="46">
        <f t="shared" si="1"/>
        <v>0</v>
      </c>
      <c r="I91" s="36" t="s">
        <v>46</v>
      </c>
      <c r="J91" s="37" t="s">
        <v>46</v>
      </c>
      <c r="K91" s="37" t="s">
        <v>46</v>
      </c>
      <c r="L91" s="37" t="s">
        <v>46</v>
      </c>
      <c r="M91" s="37" t="s">
        <v>46</v>
      </c>
      <c r="N91" s="38" t="s">
        <v>46</v>
      </c>
      <c r="O91" s="20"/>
    </row>
    <row r="92" spans="2:15" x14ac:dyDescent="0.25">
      <c r="B92" s="34">
        <v>21</v>
      </c>
      <c r="C92" s="20"/>
      <c r="D92" s="20"/>
      <c r="E92" s="34"/>
      <c r="F92" s="47">
        <v>0</v>
      </c>
      <c r="G92" s="48">
        <f t="shared" si="0"/>
        <v>0</v>
      </c>
      <c r="H92" s="46">
        <f t="shared" si="1"/>
        <v>0</v>
      </c>
      <c r="I92" s="36" t="s">
        <v>46</v>
      </c>
      <c r="J92" s="37" t="s">
        <v>46</v>
      </c>
      <c r="K92" s="37" t="s">
        <v>46</v>
      </c>
      <c r="L92" s="37" t="s">
        <v>46</v>
      </c>
      <c r="M92" s="37" t="s">
        <v>46</v>
      </c>
      <c r="N92" s="38" t="s">
        <v>46</v>
      </c>
      <c r="O92" s="20"/>
    </row>
    <row r="93" spans="2:15" x14ac:dyDescent="0.25">
      <c r="B93" s="34">
        <v>22</v>
      </c>
      <c r="C93" s="20"/>
      <c r="D93" s="20"/>
      <c r="E93" s="34"/>
      <c r="F93" s="47">
        <v>0</v>
      </c>
      <c r="G93" s="48">
        <f t="shared" si="0"/>
        <v>0</v>
      </c>
      <c r="H93" s="46">
        <f t="shared" si="1"/>
        <v>0</v>
      </c>
      <c r="I93" s="36" t="s">
        <v>46</v>
      </c>
      <c r="J93" s="37" t="s">
        <v>46</v>
      </c>
      <c r="K93" s="37" t="s">
        <v>46</v>
      </c>
      <c r="L93" s="37" t="s">
        <v>46</v>
      </c>
      <c r="M93" s="37" t="s">
        <v>46</v>
      </c>
      <c r="N93" s="38" t="s">
        <v>46</v>
      </c>
      <c r="O93" s="20"/>
    </row>
    <row r="94" spans="2:15" x14ac:dyDescent="0.25">
      <c r="B94" s="34">
        <v>23</v>
      </c>
      <c r="C94" s="20"/>
      <c r="D94" s="20"/>
      <c r="E94" s="34"/>
      <c r="F94" s="47">
        <v>0</v>
      </c>
      <c r="G94" s="48">
        <f t="shared" si="0"/>
        <v>0</v>
      </c>
      <c r="H94" s="46">
        <f t="shared" si="1"/>
        <v>0</v>
      </c>
      <c r="I94" s="36" t="s">
        <v>46</v>
      </c>
      <c r="J94" s="37" t="s">
        <v>46</v>
      </c>
      <c r="K94" s="37" t="s">
        <v>46</v>
      </c>
      <c r="L94" s="37" t="s">
        <v>46</v>
      </c>
      <c r="M94" s="37" t="s">
        <v>46</v>
      </c>
      <c r="N94" s="38" t="s">
        <v>46</v>
      </c>
      <c r="O94" s="20"/>
    </row>
    <row r="95" spans="2:15" x14ac:dyDescent="0.25">
      <c r="B95" s="34">
        <v>24</v>
      </c>
      <c r="C95" s="20"/>
      <c r="D95" s="20"/>
      <c r="E95" s="34"/>
      <c r="F95" s="47">
        <v>0</v>
      </c>
      <c r="G95" s="48">
        <f t="shared" si="0"/>
        <v>0</v>
      </c>
      <c r="H95" s="46">
        <f t="shared" si="1"/>
        <v>0</v>
      </c>
      <c r="I95" s="36" t="s">
        <v>46</v>
      </c>
      <c r="J95" s="37" t="s">
        <v>46</v>
      </c>
      <c r="K95" s="37" t="s">
        <v>46</v>
      </c>
      <c r="L95" s="37" t="s">
        <v>46</v>
      </c>
      <c r="M95" s="37" t="s">
        <v>46</v>
      </c>
      <c r="N95" s="38" t="s">
        <v>46</v>
      </c>
      <c r="O95" s="20"/>
    </row>
    <row r="96" spans="2:15" x14ac:dyDescent="0.25">
      <c r="B96" s="34">
        <v>25</v>
      </c>
      <c r="C96" s="20"/>
      <c r="D96" s="20"/>
      <c r="E96" s="34"/>
      <c r="F96" s="47">
        <v>0</v>
      </c>
      <c r="G96" s="48">
        <f t="shared" si="0"/>
        <v>0</v>
      </c>
      <c r="H96" s="46">
        <f t="shared" si="1"/>
        <v>0</v>
      </c>
      <c r="I96" s="36" t="s">
        <v>46</v>
      </c>
      <c r="J96" s="37" t="s">
        <v>46</v>
      </c>
      <c r="K96" s="37" t="s">
        <v>46</v>
      </c>
      <c r="L96" s="37" t="s">
        <v>46</v>
      </c>
      <c r="M96" s="37" t="s">
        <v>46</v>
      </c>
      <c r="N96" s="38" t="s">
        <v>46</v>
      </c>
      <c r="O96" s="20"/>
    </row>
    <row r="97" spans="2:14" ht="15.75" thickBot="1" x14ac:dyDescent="0.3">
      <c r="B97" s="35"/>
      <c r="C97" s="21"/>
      <c r="D97" s="21"/>
      <c r="E97" s="35"/>
      <c r="F97" s="49">
        <f>SUM(F72:F96)</f>
        <v>0</v>
      </c>
      <c r="G97" s="50">
        <f>SUM(G72:G96)</f>
        <v>0</v>
      </c>
      <c r="H97" s="51">
        <f>SUM(H72:H96)</f>
        <v>0</v>
      </c>
      <c r="I97" s="22"/>
      <c r="J97" s="23"/>
      <c r="K97" s="23"/>
      <c r="L97" s="23"/>
      <c r="M97" s="23"/>
      <c r="N97" s="24"/>
    </row>
    <row r="102" spans="2:14" ht="15.75" thickBot="1" x14ac:dyDescent="0.3"/>
    <row r="103" spans="2:14" ht="24" customHeight="1" thickBot="1" x14ac:dyDescent="0.3">
      <c r="B103" s="61" t="s">
        <v>40</v>
      </c>
      <c r="C103" s="62"/>
    </row>
    <row r="104" spans="2:14" x14ac:dyDescent="0.25">
      <c r="B104" s="63" t="s">
        <v>57</v>
      </c>
      <c r="C104" s="64"/>
      <c r="D104" s="64"/>
      <c r="E104" s="64"/>
      <c r="F104" s="65"/>
    </row>
    <row r="105" spans="2:14" x14ac:dyDescent="0.25">
      <c r="B105" s="66"/>
      <c r="C105" s="67"/>
      <c r="D105" s="67"/>
      <c r="E105" s="67"/>
      <c r="F105" s="68"/>
    </row>
    <row r="106" spans="2:14" ht="15.75" thickBot="1" x14ac:dyDescent="0.3">
      <c r="B106" s="69"/>
      <c r="C106" s="70"/>
      <c r="D106" s="70"/>
      <c r="E106" s="70"/>
      <c r="F106" s="71"/>
    </row>
  </sheetData>
  <mergeCells count="29">
    <mergeCell ref="B11:C11"/>
    <mergeCell ref="C3:K3"/>
    <mergeCell ref="C4:K4"/>
    <mergeCell ref="C5:K5"/>
    <mergeCell ref="B7:K7"/>
    <mergeCell ref="B9:C10"/>
    <mergeCell ref="C54:K54"/>
    <mergeCell ref="C55:K55"/>
    <mergeCell ref="C56:K56"/>
    <mergeCell ref="B12:C12"/>
    <mergeCell ref="B46:K46"/>
    <mergeCell ref="B47:K47"/>
    <mergeCell ref="B48:K48"/>
    <mergeCell ref="B103:C103"/>
    <mergeCell ref="B104:F106"/>
    <mergeCell ref="B15:C16"/>
    <mergeCell ref="B65:F65"/>
    <mergeCell ref="B66:F66"/>
    <mergeCell ref="B67:F67"/>
    <mergeCell ref="B70:N70"/>
    <mergeCell ref="C57:K57"/>
    <mergeCell ref="C58:K58"/>
    <mergeCell ref="C59:K59"/>
    <mergeCell ref="B62:F62"/>
    <mergeCell ref="B63:F63"/>
    <mergeCell ref="B64:F64"/>
    <mergeCell ref="B49:K49"/>
    <mergeCell ref="B50:K50"/>
    <mergeCell ref="B51:K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2025-04-13T07:42:20Z</dcterms:modified>
</cp:coreProperties>
</file>