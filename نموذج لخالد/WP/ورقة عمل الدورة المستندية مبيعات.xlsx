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اوراق عمل\1000  الملف الدائم\"/>
    </mc:Choice>
  </mc:AlternateContent>
  <xr:revisionPtr revIDLastSave="0" documentId="13_ncr:1_{98369D2A-E91B-43AD-8D58-FF6A30A47E32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TOT-Revenue " sheetId="2" state="hidden" r:id="rId1"/>
    <sheet name="دورة المبيعات " sheetId="3" r:id="rId2"/>
  </sheets>
  <definedNames>
    <definedName name="_xlnm._FilterDatabase" localSheetId="0" hidden="1">'TOT-Revenue '!$B$22:$G$27</definedName>
    <definedName name="_xlnm.Print_Area" localSheetId="0">'TOT-Revenue '!$A$1:$M$38</definedName>
    <definedName name="_xlnm.Print_Area" localSheetId="1">'دورة المبيعات '!$A$1:$L$39</definedName>
  </definedNames>
  <calcPr calcId="191029"/>
</workbook>
</file>

<file path=xl/calcChain.xml><?xml version="1.0" encoding="utf-8"?>
<calcChain xmlns="http://schemas.openxmlformats.org/spreadsheetml/2006/main">
  <c r="B24" i="3" l="1"/>
  <c r="B25" i="3" s="1"/>
  <c r="B26" i="3" s="1"/>
  <c r="B27" i="3" s="1"/>
  <c r="B28" i="3" s="1"/>
  <c r="B29" i="3" s="1"/>
  <c r="B30" i="3" s="1"/>
  <c r="B31" i="3" s="1"/>
  <c r="B32" i="3" s="1"/>
  <c r="G4" i="3"/>
  <c r="B24" i="2"/>
  <c r="B25" i="2" s="1"/>
  <c r="B26" i="2" s="1"/>
  <c r="B27" i="2" s="1"/>
  <c r="B28" i="2" s="1"/>
  <c r="B29" i="2" s="1"/>
  <c r="B30" i="2" s="1"/>
  <c r="B31" i="2" s="1"/>
  <c r="B32" i="2" s="1"/>
  <c r="G6" i="2"/>
</calcChain>
</file>

<file path=xl/sharedStrings.xml><?xml version="1.0" encoding="utf-8"?>
<sst xmlns="http://schemas.openxmlformats.org/spreadsheetml/2006/main" count="131" uniqueCount="52">
  <si>
    <t>NO.</t>
  </si>
  <si>
    <t>CONCLUSION:</t>
  </si>
  <si>
    <t>ENRTY #</t>
  </si>
  <si>
    <t>Amount</t>
  </si>
  <si>
    <t>Based on our understanding of the cycle and test preformed, we noted no exceptions.</t>
  </si>
  <si>
    <t>Work done:</t>
  </si>
  <si>
    <t>Description</t>
  </si>
  <si>
    <t>p</t>
  </si>
  <si>
    <t>TM</t>
  </si>
  <si>
    <t>Tick Mark:</t>
  </si>
  <si>
    <t>We have Agreed the revenue recorded with the contract terms.</t>
  </si>
  <si>
    <t>We have reviewed the Proper recording of the JE.</t>
  </si>
  <si>
    <t>We have matched the amounts recorded the the JV with the amounts recorded in the system.</t>
  </si>
  <si>
    <t>CLIENT:</t>
  </si>
  <si>
    <t>Period-end:</t>
  </si>
  <si>
    <t>Currency/Unit:</t>
  </si>
  <si>
    <t>Reference</t>
  </si>
  <si>
    <t>TOT - TOT-Revenue</t>
  </si>
  <si>
    <t>Conclusion :</t>
  </si>
  <si>
    <t>Customer</t>
  </si>
  <si>
    <t>Date</t>
  </si>
  <si>
    <t>Controls seems effectlively.</t>
  </si>
  <si>
    <t>Customer signed on sales invoice that he received the items</t>
  </si>
  <si>
    <t>We have selected 10 transaction based on the highest value.</t>
  </si>
  <si>
    <t>SR</t>
  </si>
  <si>
    <t>We have obtained the sub ledgers of all resources of revenue from 1/1/2022 to 31/12/2022.</t>
  </si>
  <si>
    <t>العمل المنجز:</t>
  </si>
  <si>
    <t xml:space="preserve">الإيرادات </t>
  </si>
  <si>
    <t xml:space="preserve">المرجع </t>
  </si>
  <si>
    <t>لقد حصلنا على الدفاتر الفرعية لجميع موارد الإيرادات من 1/1/2023 إلى 31/12/2023.</t>
  </si>
  <si>
    <t>لقد اتفقنا على الإيرادات المسجلة وفقًا لشروط العقد.</t>
  </si>
  <si>
    <t>وقع العميل على فاتورة المبيعات التي تفيد بأنه استلم العناصر</t>
  </si>
  <si>
    <t>العلامات</t>
  </si>
  <si>
    <t>العلامات:</t>
  </si>
  <si>
    <t>الاستنتاج:</t>
  </si>
  <si>
    <t>استنادًا إلى فهمنا للدورة والاختبار الذي تم إجراؤه، لم نلاحظ أي استثناءات.</t>
  </si>
  <si>
    <t>العدد</t>
  </si>
  <si>
    <t xml:space="preserve">اسم العميل </t>
  </si>
  <si>
    <t xml:space="preserve">التاريخ </t>
  </si>
  <si>
    <t xml:space="preserve">الوصف </t>
  </si>
  <si>
    <t xml:space="preserve">القيمة </t>
  </si>
  <si>
    <t xml:space="preserve">رقم القيد </t>
  </si>
  <si>
    <t xml:space="preserve">ان الضوابط المتوصل اليها  تعبر بعدل </t>
  </si>
  <si>
    <t xml:space="preserve">العملة </t>
  </si>
  <si>
    <t xml:space="preserve">الريال </t>
  </si>
  <si>
    <t xml:space="preserve">اسم العميل : </t>
  </si>
  <si>
    <t>السنة / الفترة المالية .</t>
  </si>
  <si>
    <t xml:space="preserve">خلاصة الرأي : </t>
  </si>
  <si>
    <t xml:space="preserve">شركة عبدالله منصور السبيعي محاسبون و مراجعون قانونيون  ترخيص رقم ( 1031) </t>
  </si>
  <si>
    <t>لقد قمنا بمطابقة المبالغ المسجلة في القيد المحاسبي مع المبالغ المسجلة في النظام</t>
  </si>
  <si>
    <t>لقد قمنا بمراجعة التسجيل الصحيح لقيد اليومية.</t>
  </si>
  <si>
    <t xml:space="preserve">لقد اخترنا 10 معاملات بناءً على أعلى قيمة بشكل عشوائي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</si>
</sst>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* #,##0_);_(* \(#,##0\);_(* &quot;-&quot;??_);_(@_)"/>
    <numFmt numFmtId="167" formatCode="0.0%"/>
  </numFmts>
  <fonts count="21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Garamond"/>
      <family val="1"/>
    </font>
    <font>
      <b/>
      <sz val="10"/>
      <color rgb="FFFF0000"/>
      <name val="EYInterstate"/>
    </font>
    <font>
      <sz val="10"/>
      <name val="EYInterstate Light"/>
    </font>
    <font>
      <b/>
      <sz val="12"/>
      <color indexed="10"/>
      <name val="Bookshelf Symbol 7"/>
      <charset val="2"/>
    </font>
    <font>
      <sz val="10"/>
      <name val="Arial"/>
      <family val="2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sz val="8"/>
      <name val="EYInterstate Light"/>
    </font>
    <font>
      <b/>
      <sz val="8"/>
      <name val="EYInterstate Light"/>
    </font>
    <font>
      <sz val="8"/>
      <color indexed="8"/>
      <name val="EYInterstate Light"/>
    </font>
    <font>
      <b/>
      <sz val="8"/>
      <color indexed="8"/>
      <name val="EYInterstate Light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8"/>
      <color indexed="8"/>
      <name val="EYInterstate Light"/>
      <charset val="178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0" fontId="1" fillId="0" borderId="0"/>
    <xf numFmtId="164" fontId="10" fillId="0" borderId="0" applyFont="0" applyFill="0" applyBorder="0" applyAlignment="0" applyProtection="0"/>
    <xf numFmtId="0" fontId="17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166" fontId="2" fillId="0" borderId="0" xfId="1" applyNumberFormat="1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8" fillId="3" borderId="0" xfId="3" applyFont="1" applyFill="1"/>
    <xf numFmtId="0" fontId="8" fillId="2" borderId="0" xfId="3" applyFont="1" applyFill="1" applyAlignment="1">
      <alignment vertical="center"/>
    </xf>
    <xf numFmtId="0" fontId="8" fillId="2" borderId="0" xfId="3" applyFont="1" applyFill="1"/>
    <xf numFmtId="0" fontId="1" fillId="0" borderId="0" xfId="4"/>
    <xf numFmtId="0" fontId="2" fillId="0" borderId="0" xfId="4" applyFont="1"/>
    <xf numFmtId="0" fontId="9" fillId="0" borderId="1" xfId="0" applyFont="1" applyBorder="1" applyAlignment="1">
      <alignment horizontal="center"/>
    </xf>
    <xf numFmtId="0" fontId="5" fillId="2" borderId="0" xfId="4" applyFont="1" applyFill="1"/>
    <xf numFmtId="0" fontId="2" fillId="2" borderId="0" xfId="4" applyFont="1" applyFill="1"/>
    <xf numFmtId="0" fontId="7" fillId="2" borderId="0" xfId="3" applyFont="1" applyFill="1"/>
    <xf numFmtId="0" fontId="12" fillId="0" borderId="0" xfId="0" applyFont="1"/>
    <xf numFmtId="0" fontId="13" fillId="2" borderId="3" xfId="3" applyFont="1" applyFill="1" applyBorder="1" applyAlignment="1">
      <alignment horizontal="left"/>
    </xf>
    <xf numFmtId="0" fontId="14" fillId="2" borderId="5" xfId="3" applyFont="1" applyFill="1" applyBorder="1" applyAlignment="1">
      <alignment horizontal="right"/>
    </xf>
    <xf numFmtId="0" fontId="14" fillId="2" borderId="5" xfId="3" applyFont="1" applyFill="1" applyBorder="1"/>
    <xf numFmtId="0" fontId="13" fillId="2" borderId="6" xfId="3" applyFont="1" applyFill="1" applyBorder="1" applyAlignment="1">
      <alignment vertical="center"/>
    </xf>
    <xf numFmtId="0" fontId="13" fillId="2" borderId="2" xfId="3" applyFont="1" applyFill="1" applyBorder="1" applyAlignment="1">
      <alignment horizontal="left"/>
    </xf>
    <xf numFmtId="0" fontId="14" fillId="2" borderId="0" xfId="3" applyFont="1" applyFill="1" applyAlignment="1">
      <alignment horizontal="center"/>
    </xf>
    <xf numFmtId="0" fontId="14" fillId="2" borderId="8" xfId="3" applyFont="1" applyFill="1" applyBorder="1" applyAlignment="1">
      <alignment vertical="center"/>
    </xf>
    <xf numFmtId="0" fontId="14" fillId="2" borderId="9" xfId="3" applyFont="1" applyFill="1" applyBorder="1" applyAlignment="1">
      <alignment vertical="center"/>
    </xf>
    <xf numFmtId="0" fontId="13" fillId="2" borderId="7" xfId="3" applyFont="1" applyFill="1" applyBorder="1" applyAlignment="1">
      <alignment horizontal="right"/>
    </xf>
    <xf numFmtId="0" fontId="14" fillId="2" borderId="0" xfId="3" applyFont="1" applyFill="1" applyAlignment="1">
      <alignment horizontal="right"/>
    </xf>
    <xf numFmtId="0" fontId="13" fillId="2" borderId="10" xfId="3" applyFont="1" applyFill="1" applyBorder="1" applyAlignment="1">
      <alignment horizontal="left"/>
    </xf>
    <xf numFmtId="0" fontId="13" fillId="2" borderId="11" xfId="3" applyFont="1" applyFill="1" applyBorder="1" applyAlignment="1">
      <alignment horizontal="right"/>
    </xf>
    <xf numFmtId="0" fontId="14" fillId="2" borderId="12" xfId="3" applyFont="1" applyFill="1" applyBorder="1" applyAlignment="1">
      <alignment horizontal="right"/>
    </xf>
    <xf numFmtId="0" fontId="14" fillId="2" borderId="12" xfId="3" applyFont="1" applyFill="1" applyBorder="1" applyAlignment="1">
      <alignment horizontal="center"/>
    </xf>
    <xf numFmtId="0" fontId="14" fillId="2" borderId="13" xfId="3" applyFont="1" applyFill="1" applyBorder="1" applyAlignment="1">
      <alignment horizontal="centerContinuous"/>
    </xf>
    <xf numFmtId="0" fontId="16" fillId="2" borderId="4" xfId="3" applyFont="1" applyFill="1" applyBorder="1" applyAlignment="1">
      <alignment horizontal="right"/>
    </xf>
    <xf numFmtId="49" fontId="16" fillId="2" borderId="7" xfId="3" quotePrefix="1" applyNumberFormat="1" applyFont="1" applyFill="1" applyBorder="1" applyAlignment="1">
      <alignment horizontal="right"/>
    </xf>
    <xf numFmtId="0" fontId="11" fillId="0" borderId="0" xfId="0" applyFont="1"/>
    <xf numFmtId="0" fontId="2" fillId="0" borderId="1" xfId="0" applyFont="1" applyBorder="1"/>
    <xf numFmtId="0" fontId="9" fillId="0" borderId="0" xfId="0" applyFont="1" applyAlignment="1">
      <alignment horizontal="center"/>
    </xf>
    <xf numFmtId="0" fontId="18" fillId="0" borderId="0" xfId="6" quotePrefix="1" applyFont="1" applyAlignment="1">
      <alignment horizontal="center"/>
    </xf>
    <xf numFmtId="165" fontId="18" fillId="0" borderId="0" xfId="1" quotePrefix="1" applyFont="1" applyFill="1" applyBorder="1" applyAlignment="1">
      <alignment horizontal="center"/>
    </xf>
    <xf numFmtId="165" fontId="2" fillId="0" borderId="1" xfId="1" applyFont="1" applyBorder="1"/>
    <xf numFmtId="165" fontId="2" fillId="2" borderId="1" xfId="1" applyFont="1" applyFill="1" applyBorder="1"/>
    <xf numFmtId="0" fontId="16" fillId="2" borderId="5" xfId="3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right"/>
    </xf>
    <xf numFmtId="49" fontId="16" fillId="2" borderId="0" xfId="3" quotePrefix="1" applyNumberFormat="1" applyFont="1" applyFill="1" applyAlignment="1">
      <alignment horizontal="right"/>
    </xf>
    <xf numFmtId="0" fontId="13" fillId="2" borderId="0" xfId="3" applyFont="1" applyFill="1" applyAlignment="1">
      <alignment horizontal="right"/>
    </xf>
    <xf numFmtId="0" fontId="13" fillId="2" borderId="12" xfId="3" applyFont="1" applyFill="1" applyBorder="1" applyAlignment="1">
      <alignment horizontal="right"/>
    </xf>
    <xf numFmtId="14" fontId="2" fillId="2" borderId="1" xfId="0" applyNumberFormat="1" applyFont="1" applyFill="1" applyBorder="1"/>
    <xf numFmtId="0" fontId="2" fillId="2" borderId="1" xfId="0" applyFont="1" applyFill="1" applyBorder="1"/>
    <xf numFmtId="14" fontId="19" fillId="2" borderId="7" xfId="3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3" fillId="0" borderId="3" xfId="3" applyFont="1" applyBorder="1" applyAlignment="1">
      <alignment horizontal="left"/>
    </xf>
    <xf numFmtId="0" fontId="16" fillId="0" borderId="5" xfId="3" applyFont="1" applyBorder="1" applyAlignment="1">
      <alignment horizontal="right"/>
    </xf>
    <xf numFmtId="0" fontId="13" fillId="0" borderId="2" xfId="3" applyFont="1" applyBorder="1" applyAlignment="1">
      <alignment horizontal="left"/>
    </xf>
    <xf numFmtId="0" fontId="13" fillId="0" borderId="10" xfId="3" applyFont="1" applyBorder="1" applyAlignment="1">
      <alignment horizontal="left"/>
    </xf>
    <xf numFmtId="0" fontId="13" fillId="0" borderId="12" xfId="3" applyFont="1" applyBorder="1" applyAlignment="1">
      <alignment horizontal="right"/>
    </xf>
    <xf numFmtId="0" fontId="14" fillId="0" borderId="12" xfId="3" applyFont="1" applyBorder="1" applyAlignment="1">
      <alignment horizontal="center"/>
    </xf>
    <xf numFmtId="0" fontId="7" fillId="0" borderId="0" xfId="3" applyFont="1"/>
    <xf numFmtId="0" fontId="8" fillId="0" borderId="0" xfId="3" applyFont="1"/>
    <xf numFmtId="0" fontId="8" fillId="0" borderId="0" xfId="3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/>
    <xf numFmtId="165" fontId="2" fillId="0" borderId="1" xfId="1" applyFont="1" applyFill="1" applyBorder="1"/>
    <xf numFmtId="166" fontId="2" fillId="0" borderId="0" xfId="1" applyNumberFormat="1" applyFont="1" applyFill="1" applyBorder="1"/>
    <xf numFmtId="0" fontId="5" fillId="0" borderId="0" xfId="4" applyFont="1"/>
    <xf numFmtId="14" fontId="15" fillId="0" borderId="0" xfId="3" applyNumberFormat="1" applyFont="1" applyAlignment="1">
      <alignment horizontal="right"/>
    </xf>
    <xf numFmtId="49" fontId="16" fillId="0" borderId="0" xfId="3" quotePrefix="1" applyNumberFormat="1" applyFont="1" applyAlignment="1">
      <alignment horizontal="right"/>
    </xf>
    <xf numFmtId="0" fontId="16" fillId="0" borderId="3" xfId="3" applyFont="1" applyBorder="1" applyAlignment="1">
      <alignment horizontal="right"/>
    </xf>
    <xf numFmtId="14" fontId="19" fillId="0" borderId="2" xfId="3" applyNumberFormat="1" applyFont="1" applyBorder="1" applyAlignment="1">
      <alignment horizontal="right"/>
    </xf>
    <xf numFmtId="49" fontId="16" fillId="0" borderId="2" xfId="3" quotePrefix="1" applyNumberFormat="1" applyFont="1" applyBorder="1" applyAlignment="1">
      <alignment horizontal="right"/>
    </xf>
    <xf numFmtId="0" fontId="13" fillId="0" borderId="10" xfId="3" applyFont="1" applyBorder="1" applyAlignment="1">
      <alignment horizontal="right"/>
    </xf>
    <xf numFmtId="0" fontId="14" fillId="0" borderId="2" xfId="3" applyFont="1" applyBorder="1" applyAlignment="1">
      <alignment horizontal="center"/>
    </xf>
    <xf numFmtId="0" fontId="14" fillId="0" borderId="0" xfId="3" applyFont="1" applyAlignment="1">
      <alignment horizontal="center"/>
    </xf>
    <xf numFmtId="0" fontId="2" fillId="0" borderId="2" xfId="0" applyFont="1" applyBorder="1"/>
    <xf numFmtId="0" fontId="14" fillId="0" borderId="10" xfId="3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14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/>
    </xf>
    <xf numFmtId="0" fontId="14" fillId="0" borderId="7" xfId="3" applyFont="1" applyBorder="1" applyAlignment="1">
      <alignment vertical="center"/>
    </xf>
    <xf numFmtId="0" fontId="16" fillId="2" borderId="0" xfId="3" applyFont="1" applyFill="1" applyAlignment="1">
      <alignment horizontal="center"/>
    </xf>
    <xf numFmtId="0" fontId="16" fillId="2" borderId="7" xfId="3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6" fillId="0" borderId="3" xfId="3" applyFont="1" applyBorder="1" applyAlignment="1">
      <alignment horizontal="center"/>
    </xf>
    <xf numFmtId="0" fontId="16" fillId="0" borderId="5" xfId="3" applyFont="1" applyBorder="1" applyAlignment="1">
      <alignment horizontal="center"/>
    </xf>
  </cellXfs>
  <cellStyles count="7">
    <cellStyle name="Comma" xfId="1" builtinId="3" customBuiltin="1"/>
    <cellStyle name="Currency" xfId="5" builtinId="4" customBuiltin="1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Percent" xfId="2" builtinId="5" customBuiltin="1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view="pageBreakPreview" topLeftCell="A10" zoomScale="80" zoomScaleNormal="80" zoomScaleSheetLayoutView="80" workbookViewId="0">
      <selection activeCell="F19" sqref="F19"/>
    </sheetView>
  </sheetViews>
  <sheetFormatPr defaultColWidth="9.140625" defaultRowHeight="12.75"/>
  <cols>
    <col min="1" max="1" width="2" style="1" bestFit="1" customWidth="1"/>
    <col min="2" max="2" width="17.85546875" style="1" customWidth="1"/>
    <col min="3" max="3" width="28.5703125" style="1" customWidth="1"/>
    <col min="4" max="4" width="37" style="1" bestFit="1" customWidth="1"/>
    <col min="5" max="5" width="13.5703125" style="1" bestFit="1" customWidth="1"/>
    <col min="6" max="6" width="14.85546875" style="1" bestFit="1" customWidth="1"/>
    <col min="7" max="7" width="15.140625" style="6" bestFit="1" customWidth="1"/>
    <col min="8" max="8" width="2" style="1" customWidth="1"/>
    <col min="9" max="11" width="5.5703125" style="1" bestFit="1" customWidth="1"/>
    <col min="12" max="12" width="6.42578125" style="1" customWidth="1"/>
    <col min="13" max="13" width="5.5703125" style="1" customWidth="1"/>
    <col min="14" max="16384" width="9.140625" style="1"/>
  </cols>
  <sheetData>
    <row r="1" spans="1:7" ht="13.5" thickBot="1"/>
    <row r="2" spans="1:7" ht="16.350000000000001" customHeight="1">
      <c r="B2" s="18" t="s">
        <v>13</v>
      </c>
      <c r="C2" s="33"/>
      <c r="D2" s="42"/>
      <c r="E2" s="19"/>
      <c r="F2" s="20"/>
      <c r="G2" s="21"/>
    </row>
    <row r="3" spans="1:7" ht="16.350000000000001" customHeight="1">
      <c r="B3" s="22" t="s">
        <v>14</v>
      </c>
      <c r="C3" s="49">
        <v>44926</v>
      </c>
      <c r="D3" s="43"/>
      <c r="E3" s="23"/>
      <c r="F3" s="23"/>
      <c r="G3" s="24"/>
    </row>
    <row r="4" spans="1:7" ht="16.350000000000001" customHeight="1">
      <c r="B4" s="22" t="s">
        <v>15</v>
      </c>
      <c r="C4" s="34" t="s">
        <v>24</v>
      </c>
      <c r="D4" s="44"/>
      <c r="E4" s="84" t="s">
        <v>17</v>
      </c>
      <c r="F4" s="85"/>
      <c r="G4" s="25"/>
    </row>
    <row r="5" spans="1:7" ht="16.350000000000001" customHeight="1">
      <c r="B5" s="22"/>
      <c r="C5" s="26"/>
      <c r="D5" s="45"/>
      <c r="E5" s="27"/>
      <c r="F5" s="23"/>
      <c r="G5" s="24" t="s">
        <v>16</v>
      </c>
    </row>
    <row r="6" spans="1:7" ht="16.350000000000001" customHeight="1" thickBot="1">
      <c r="B6" s="28"/>
      <c r="C6" s="29"/>
      <c r="D6" s="46"/>
      <c r="E6" s="30"/>
      <c r="F6" s="31"/>
      <c r="G6" s="32" t="str">
        <f>E4</f>
        <v>TOT - TOT-Revenue</v>
      </c>
    </row>
    <row r="8" spans="1:7" ht="15.75">
      <c r="B8" s="2"/>
    </row>
    <row r="9" spans="1:7">
      <c r="B9" s="16" t="s">
        <v>5</v>
      </c>
      <c r="E9" s="10"/>
    </row>
    <row r="10" spans="1:7">
      <c r="B10" s="9" t="s">
        <v>25</v>
      </c>
      <c r="E10" s="10"/>
    </row>
    <row r="11" spans="1:7">
      <c r="B11" s="10" t="s">
        <v>23</v>
      </c>
      <c r="E11" s="10"/>
    </row>
    <row r="12" spans="1:7" ht="15.75">
      <c r="B12" s="2"/>
      <c r="E12" s="10"/>
    </row>
    <row r="13" spans="1:7" ht="15">
      <c r="B13" s="17" t="s">
        <v>9</v>
      </c>
      <c r="E13" s="10"/>
    </row>
    <row r="14" spans="1:7">
      <c r="A14" s="1">
        <v>1</v>
      </c>
      <c r="B14" s="1" t="s">
        <v>10</v>
      </c>
    </row>
    <row r="15" spans="1:7">
      <c r="A15" s="1">
        <v>2</v>
      </c>
      <c r="B15" s="1" t="s">
        <v>12</v>
      </c>
    </row>
    <row r="16" spans="1:7">
      <c r="A16" s="1">
        <v>3</v>
      </c>
      <c r="B16" s="1" t="s">
        <v>11</v>
      </c>
    </row>
    <row r="17" spans="1:12">
      <c r="A17" s="1">
        <v>4</v>
      </c>
      <c r="B17" s="1" t="s">
        <v>22</v>
      </c>
    </row>
    <row r="19" spans="1:12" ht="15">
      <c r="B19" s="17" t="s">
        <v>1</v>
      </c>
    </row>
    <row r="20" spans="1:12">
      <c r="B20" s="1" t="s">
        <v>4</v>
      </c>
    </row>
    <row r="21" spans="1:12">
      <c r="I21" s="86" t="s">
        <v>8</v>
      </c>
      <c r="J21" s="87"/>
      <c r="K21" s="87"/>
      <c r="L21" s="88"/>
    </row>
    <row r="22" spans="1:12" s="54" customFormat="1" ht="21" customHeight="1">
      <c r="B22" s="51" t="s">
        <v>0</v>
      </c>
      <c r="C22" s="51" t="s">
        <v>2</v>
      </c>
      <c r="D22" s="51" t="s">
        <v>19</v>
      </c>
      <c r="E22" s="51" t="s">
        <v>20</v>
      </c>
      <c r="F22" s="51" t="s">
        <v>6</v>
      </c>
      <c r="G22" s="51" t="s">
        <v>3</v>
      </c>
      <c r="H22" s="52"/>
      <c r="I22" s="53">
        <v>1</v>
      </c>
      <c r="J22" s="53">
        <v>2</v>
      </c>
      <c r="K22" s="53">
        <v>3</v>
      </c>
      <c r="L22" s="53">
        <v>4</v>
      </c>
    </row>
    <row r="23" spans="1:12" ht="15">
      <c r="B23" s="36">
        <v>1</v>
      </c>
      <c r="C23" s="50"/>
      <c r="D23" s="55"/>
      <c r="E23" s="47"/>
      <c r="F23" s="48"/>
      <c r="G23" s="41"/>
      <c r="H23" s="5"/>
      <c r="I23" s="13" t="s">
        <v>7</v>
      </c>
      <c r="J23" s="13" t="s">
        <v>7</v>
      </c>
      <c r="K23" s="13" t="s">
        <v>7</v>
      </c>
      <c r="L23" s="13" t="s">
        <v>7</v>
      </c>
    </row>
    <row r="24" spans="1:12" ht="15">
      <c r="B24" s="36">
        <f t="shared" ref="B24:B32" si="0">B23+1</f>
        <v>2</v>
      </c>
      <c r="C24" s="50"/>
      <c r="D24" s="55"/>
      <c r="E24" s="47"/>
      <c r="F24" s="48"/>
      <c r="G24" s="41"/>
      <c r="H24" s="5"/>
      <c r="I24" s="13" t="s">
        <v>7</v>
      </c>
      <c r="J24" s="13" t="s">
        <v>7</v>
      </c>
      <c r="K24" s="13" t="s">
        <v>7</v>
      </c>
      <c r="L24" s="13" t="s">
        <v>7</v>
      </c>
    </row>
    <row r="25" spans="1:12" ht="15">
      <c r="B25" s="36">
        <f t="shared" si="0"/>
        <v>3</v>
      </c>
      <c r="C25" s="50"/>
      <c r="D25" s="55"/>
      <c r="E25" s="47"/>
      <c r="F25" s="48"/>
      <c r="G25" s="41"/>
      <c r="H25" s="5"/>
      <c r="I25" s="13" t="s">
        <v>7</v>
      </c>
      <c r="J25" s="13" t="s">
        <v>7</v>
      </c>
      <c r="K25" s="13" t="s">
        <v>7</v>
      </c>
      <c r="L25" s="13" t="s">
        <v>7</v>
      </c>
    </row>
    <row r="26" spans="1:12" ht="15">
      <c r="B26" s="36">
        <f t="shared" si="0"/>
        <v>4</v>
      </c>
      <c r="C26" s="50"/>
      <c r="D26" s="55"/>
      <c r="E26" s="47"/>
      <c r="F26" s="48"/>
      <c r="G26" s="41"/>
      <c r="H26" s="5"/>
      <c r="I26" s="13" t="s">
        <v>7</v>
      </c>
      <c r="J26" s="13" t="s">
        <v>7</v>
      </c>
      <c r="K26" s="13" t="s">
        <v>7</v>
      </c>
      <c r="L26" s="13" t="s">
        <v>7</v>
      </c>
    </row>
    <row r="27" spans="1:12" ht="15">
      <c r="B27" s="36">
        <f t="shared" si="0"/>
        <v>5</v>
      </c>
      <c r="C27" s="50"/>
      <c r="D27" s="55"/>
      <c r="E27" s="47"/>
      <c r="F27" s="48"/>
      <c r="G27" s="41"/>
      <c r="H27" s="5"/>
      <c r="I27" s="13" t="s">
        <v>7</v>
      </c>
      <c r="J27" s="13" t="s">
        <v>7</v>
      </c>
      <c r="K27" s="13" t="s">
        <v>7</v>
      </c>
      <c r="L27" s="13" t="s">
        <v>7</v>
      </c>
    </row>
    <row r="28" spans="1:12" ht="15">
      <c r="B28" s="36">
        <f t="shared" si="0"/>
        <v>6</v>
      </c>
      <c r="C28" s="50"/>
      <c r="D28" s="55"/>
      <c r="E28" s="47"/>
      <c r="F28" s="48"/>
      <c r="G28" s="41"/>
      <c r="H28" s="5"/>
      <c r="I28" s="13" t="s">
        <v>7</v>
      </c>
      <c r="J28" s="13" t="s">
        <v>7</v>
      </c>
      <c r="K28" s="13" t="s">
        <v>7</v>
      </c>
      <c r="L28" s="13" t="s">
        <v>7</v>
      </c>
    </row>
    <row r="29" spans="1:12" ht="15">
      <c r="B29" s="36">
        <f t="shared" si="0"/>
        <v>7</v>
      </c>
      <c r="C29" s="50"/>
      <c r="D29" s="55"/>
      <c r="E29" s="47"/>
      <c r="F29" s="48"/>
      <c r="G29" s="41"/>
      <c r="H29" s="5"/>
      <c r="I29" s="13" t="s">
        <v>7</v>
      </c>
      <c r="J29" s="13" t="s">
        <v>7</v>
      </c>
      <c r="K29" s="13" t="s">
        <v>7</v>
      </c>
      <c r="L29" s="13" t="s">
        <v>7</v>
      </c>
    </row>
    <row r="30" spans="1:12" ht="15">
      <c r="B30" s="36">
        <f t="shared" si="0"/>
        <v>8</v>
      </c>
      <c r="C30" s="50"/>
      <c r="D30" s="55"/>
      <c r="E30" s="47"/>
      <c r="F30" s="48"/>
      <c r="G30" s="40"/>
      <c r="H30" s="5"/>
      <c r="I30" s="13" t="s">
        <v>7</v>
      </c>
      <c r="J30" s="13" t="s">
        <v>7</v>
      </c>
      <c r="K30" s="13" t="s">
        <v>7</v>
      </c>
      <c r="L30" s="13" t="s">
        <v>7</v>
      </c>
    </row>
    <row r="31" spans="1:12" ht="15">
      <c r="B31" s="36">
        <f t="shared" si="0"/>
        <v>9</v>
      </c>
      <c r="C31" s="51"/>
      <c r="D31" s="55"/>
      <c r="E31" s="47"/>
      <c r="F31" s="48"/>
      <c r="G31" s="40"/>
      <c r="H31" s="5"/>
      <c r="I31" s="13" t="s">
        <v>7</v>
      </c>
      <c r="J31" s="13" t="s">
        <v>7</v>
      </c>
      <c r="K31" s="13" t="s">
        <v>7</v>
      </c>
      <c r="L31" s="13" t="s">
        <v>7</v>
      </c>
    </row>
    <row r="32" spans="1:12" ht="15">
      <c r="B32" s="36">
        <f t="shared" si="0"/>
        <v>10</v>
      </c>
      <c r="C32" s="51"/>
      <c r="D32" s="55"/>
      <c r="E32" s="47"/>
      <c r="F32" s="48"/>
      <c r="G32" s="40"/>
      <c r="H32" s="5"/>
      <c r="I32" s="13" t="s">
        <v>7</v>
      </c>
      <c r="J32" s="13" t="s">
        <v>7</v>
      </c>
      <c r="K32" s="13" t="s">
        <v>7</v>
      </c>
      <c r="L32" s="13" t="s">
        <v>7</v>
      </c>
    </row>
    <row r="33" spans="2:12" ht="15.75">
      <c r="C33" s="38"/>
      <c r="D33" s="38"/>
      <c r="E33" s="38"/>
      <c r="F33" s="38"/>
      <c r="G33" s="39"/>
      <c r="H33" s="5"/>
      <c r="I33" s="37"/>
      <c r="J33" s="37"/>
      <c r="K33" s="37"/>
    </row>
    <row r="34" spans="2:12" ht="15.75">
      <c r="C34" s="38"/>
      <c r="D34" s="38"/>
      <c r="E34" s="38"/>
      <c r="F34" s="38"/>
      <c r="G34" s="39"/>
      <c r="H34" s="5"/>
      <c r="I34" s="37"/>
      <c r="J34" s="37"/>
      <c r="K34" s="37"/>
    </row>
    <row r="35" spans="2:12">
      <c r="B35" s="35" t="s">
        <v>18</v>
      </c>
      <c r="E35" s="8"/>
      <c r="F35" s="8"/>
    </row>
    <row r="36" spans="2:12">
      <c r="B36" s="1" t="s">
        <v>21</v>
      </c>
      <c r="E36" s="8"/>
      <c r="F36" s="8"/>
    </row>
    <row r="37" spans="2:12">
      <c r="E37" s="8"/>
      <c r="F37" s="8"/>
    </row>
    <row r="38" spans="2:12">
      <c r="G38" s="7"/>
    </row>
    <row r="39" spans="2:12" ht="15">
      <c r="E39" s="3"/>
      <c r="G39" s="7"/>
    </row>
    <row r="43" spans="2:12">
      <c r="B43" s="4"/>
    </row>
    <row r="44" spans="2:12" ht="15">
      <c r="B44" s="11"/>
      <c r="C44" s="14"/>
      <c r="D44" s="14"/>
      <c r="E44" s="11"/>
      <c r="F44" s="11"/>
      <c r="G44" s="11"/>
      <c r="H44" s="11"/>
      <c r="I44" s="11"/>
      <c r="J44" s="11"/>
      <c r="K44" s="11"/>
      <c r="L44" s="11"/>
    </row>
    <row r="45" spans="2:12">
      <c r="B45" s="11"/>
      <c r="C45" s="15"/>
      <c r="D45" s="15"/>
      <c r="E45" s="11"/>
      <c r="F45" s="11"/>
      <c r="G45" s="11"/>
      <c r="H45" s="11"/>
      <c r="I45" s="11"/>
      <c r="J45" s="11"/>
      <c r="K45" s="11"/>
      <c r="L45" s="11"/>
    </row>
    <row r="46" spans="2:12">
      <c r="B46" s="11"/>
      <c r="C46" s="12"/>
      <c r="D46" s="12"/>
      <c r="E46" s="11"/>
      <c r="F46" s="11"/>
      <c r="G46" s="11"/>
      <c r="H46" s="11"/>
      <c r="I46" s="11"/>
      <c r="J46" s="11"/>
      <c r="K46" s="11"/>
      <c r="L46" s="11"/>
    </row>
    <row r="47" spans="2:12" ht="15">
      <c r="E47" s="3"/>
    </row>
  </sheetData>
  <autoFilter ref="B22:G27" xr:uid="{00000000-0009-0000-0000-000000000000}">
    <sortState xmlns:xlrd2="http://schemas.microsoft.com/office/spreadsheetml/2017/richdata2" ref="B23:G37">
      <sortCondition descending="1" ref="G22:G27"/>
    </sortState>
  </autoFilter>
  <mergeCells count="2">
    <mergeCell ref="E4:F4"/>
    <mergeCell ref="I21:L21"/>
  </mergeCells>
  <phoneticPr fontId="20" type="noConversion"/>
  <pageMargins left="0.75" right="0.75" top="1" bottom="1" header="0.5" footer="0.5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5335-01AB-455C-97C2-C11AF2869EF0}">
  <dimension ref="A1:L47"/>
  <sheetViews>
    <sheetView rightToLeft="1" tabSelected="1" view="pageBreakPreview" zoomScale="85" zoomScaleNormal="100" zoomScaleSheetLayoutView="85" workbookViewId="0">
      <selection activeCell="E14" sqref="E14"/>
    </sheetView>
  </sheetViews>
  <sheetFormatPr defaultColWidth="9.140625" defaultRowHeight="12.75"/>
  <cols>
    <col min="1" max="1" width="2" style="1" bestFit="1" customWidth="1"/>
    <col min="2" max="2" width="17.85546875" style="1" customWidth="1"/>
    <col min="3" max="3" width="28.5703125" style="1" customWidth="1"/>
    <col min="4" max="4" width="37" style="1" bestFit="1" customWidth="1"/>
    <col min="5" max="5" width="13.5703125" style="1" bestFit="1" customWidth="1"/>
    <col min="6" max="6" width="14.85546875" style="1" bestFit="1" customWidth="1"/>
    <col min="7" max="7" width="15.140625" style="6" bestFit="1" customWidth="1"/>
    <col min="8" max="8" width="2" style="1" customWidth="1"/>
    <col min="9" max="11" width="5.5703125" style="1" bestFit="1" customWidth="1"/>
    <col min="12" max="12" width="6.42578125" style="1" customWidth="1"/>
    <col min="13" max="13" width="5.5703125" style="1" customWidth="1"/>
    <col min="14" max="16384" width="9.140625" style="1"/>
  </cols>
  <sheetData>
    <row r="1" spans="1:7" ht="15">
      <c r="B1" s="3" t="s">
        <v>48</v>
      </c>
    </row>
    <row r="2" spans="1:7" ht="13.5" thickBot="1"/>
    <row r="3" spans="1:7" ht="16.350000000000001" customHeight="1">
      <c r="B3" s="56" t="s">
        <v>45</v>
      </c>
      <c r="C3" s="72"/>
      <c r="D3" s="57"/>
      <c r="E3" s="89" t="s">
        <v>27</v>
      </c>
      <c r="F3" s="90"/>
      <c r="G3" s="81" t="s">
        <v>28</v>
      </c>
    </row>
    <row r="4" spans="1:7" ht="16.350000000000001" customHeight="1">
      <c r="B4" s="58" t="s">
        <v>46</v>
      </c>
      <c r="C4" s="73">
        <v>45291</v>
      </c>
      <c r="D4" s="70"/>
      <c r="E4" s="76"/>
      <c r="F4" s="77"/>
      <c r="G4" s="82" t="str">
        <f>E3</f>
        <v xml:space="preserve">الإيرادات </v>
      </c>
    </row>
    <row r="5" spans="1:7" ht="16.350000000000001" customHeight="1">
      <c r="B5" s="58" t="s">
        <v>43</v>
      </c>
      <c r="C5" s="74" t="s">
        <v>44</v>
      </c>
      <c r="D5" s="71"/>
      <c r="E5" s="78"/>
      <c r="G5" s="83"/>
    </row>
    <row r="6" spans="1:7" ht="16.350000000000001" customHeight="1" thickBot="1">
      <c r="B6" s="59"/>
      <c r="C6" s="75"/>
      <c r="D6" s="60"/>
      <c r="E6" s="79"/>
      <c r="F6" s="61"/>
      <c r="G6" s="80"/>
    </row>
    <row r="8" spans="1:7" ht="15.75">
      <c r="B8" s="2"/>
    </row>
    <row r="9" spans="1:7">
      <c r="B9" s="62" t="s">
        <v>26</v>
      </c>
      <c r="E9" s="63"/>
    </row>
    <row r="10" spans="1:7">
      <c r="B10" s="64" t="s">
        <v>29</v>
      </c>
      <c r="E10" s="63"/>
    </row>
    <row r="11" spans="1:7">
      <c r="B11" s="63" t="s">
        <v>51</v>
      </c>
      <c r="E11" s="63"/>
    </row>
    <row r="12" spans="1:7" ht="15.75">
      <c r="B12" s="2"/>
      <c r="E12" s="63"/>
    </row>
    <row r="13" spans="1:7" ht="15">
      <c r="B13" s="17" t="s">
        <v>33</v>
      </c>
      <c r="E13" s="63"/>
    </row>
    <row r="14" spans="1:7">
      <c r="A14" s="1">
        <v>1</v>
      </c>
      <c r="B14" s="1" t="s">
        <v>30</v>
      </c>
    </row>
    <row r="15" spans="1:7">
      <c r="A15" s="1">
        <v>2</v>
      </c>
      <c r="B15" t="s">
        <v>49</v>
      </c>
    </row>
    <row r="16" spans="1:7">
      <c r="A16" s="1">
        <v>3</v>
      </c>
      <c r="B16" t="s">
        <v>50</v>
      </c>
    </row>
    <row r="17" spans="1:12">
      <c r="A17" s="1">
        <v>4</v>
      </c>
      <c r="B17" s="1" t="s">
        <v>31</v>
      </c>
    </row>
    <row r="19" spans="1:12" ht="15">
      <c r="B19" s="17" t="s">
        <v>34</v>
      </c>
    </row>
    <row r="20" spans="1:12">
      <c r="B20" s="1" t="s">
        <v>35</v>
      </c>
    </row>
    <row r="21" spans="1:12">
      <c r="I21" s="86" t="s">
        <v>32</v>
      </c>
      <c r="J21" s="87"/>
      <c r="K21" s="87"/>
      <c r="L21" s="88"/>
    </row>
    <row r="22" spans="1:12" s="54" customFormat="1" ht="21" customHeight="1">
      <c r="B22" s="51" t="s">
        <v>36</v>
      </c>
      <c r="C22" s="51" t="s">
        <v>41</v>
      </c>
      <c r="D22" s="51" t="s">
        <v>37</v>
      </c>
      <c r="E22" s="51" t="s">
        <v>38</v>
      </c>
      <c r="F22" s="51" t="s">
        <v>39</v>
      </c>
      <c r="G22" s="51" t="s">
        <v>40</v>
      </c>
      <c r="H22" s="52"/>
      <c r="I22" s="53">
        <v>1</v>
      </c>
      <c r="J22" s="53">
        <v>2</v>
      </c>
      <c r="K22" s="53">
        <v>3</v>
      </c>
      <c r="L22" s="53">
        <v>4</v>
      </c>
    </row>
    <row r="23" spans="1:12" ht="15">
      <c r="B23" s="36">
        <v>1</v>
      </c>
      <c r="C23" s="51"/>
      <c r="D23" s="65"/>
      <c r="E23" s="66"/>
      <c r="F23" s="36"/>
      <c r="G23" s="67"/>
      <c r="H23" s="68"/>
      <c r="I23" s="13" t="s">
        <v>7</v>
      </c>
      <c r="J23" s="13" t="s">
        <v>7</v>
      </c>
      <c r="K23" s="13" t="s">
        <v>7</v>
      </c>
      <c r="L23" s="13" t="s">
        <v>7</v>
      </c>
    </row>
    <row r="24" spans="1:12" ht="15">
      <c r="B24" s="36">
        <f t="shared" ref="B24:B32" si="0">B23+1</f>
        <v>2</v>
      </c>
      <c r="C24" s="51"/>
      <c r="D24" s="65"/>
      <c r="E24" s="66"/>
      <c r="F24" s="36"/>
      <c r="G24" s="67"/>
      <c r="H24" s="68"/>
      <c r="I24" s="13" t="s">
        <v>7</v>
      </c>
      <c r="J24" s="13" t="s">
        <v>7</v>
      </c>
      <c r="K24" s="13" t="s">
        <v>7</v>
      </c>
      <c r="L24" s="13" t="s">
        <v>7</v>
      </c>
    </row>
    <row r="25" spans="1:12" ht="15">
      <c r="B25" s="36">
        <f t="shared" si="0"/>
        <v>3</v>
      </c>
      <c r="C25" s="51"/>
      <c r="D25" s="65"/>
      <c r="E25" s="66"/>
      <c r="F25" s="36"/>
      <c r="G25" s="67"/>
      <c r="H25" s="68"/>
      <c r="I25" s="13" t="s">
        <v>7</v>
      </c>
      <c r="J25" s="13" t="s">
        <v>7</v>
      </c>
      <c r="K25" s="13" t="s">
        <v>7</v>
      </c>
      <c r="L25" s="13" t="s">
        <v>7</v>
      </c>
    </row>
    <row r="26" spans="1:12" ht="15">
      <c r="B26" s="36">
        <f t="shared" si="0"/>
        <v>4</v>
      </c>
      <c r="C26" s="51"/>
      <c r="D26" s="65"/>
      <c r="E26" s="66"/>
      <c r="F26" s="36"/>
      <c r="G26" s="67"/>
      <c r="H26" s="68"/>
      <c r="I26" s="13" t="s">
        <v>7</v>
      </c>
      <c r="J26" s="13" t="s">
        <v>7</v>
      </c>
      <c r="K26" s="13" t="s">
        <v>7</v>
      </c>
      <c r="L26" s="13" t="s">
        <v>7</v>
      </c>
    </row>
    <row r="27" spans="1:12" ht="15">
      <c r="B27" s="36">
        <f t="shared" si="0"/>
        <v>5</v>
      </c>
      <c r="C27" s="51"/>
      <c r="D27" s="65"/>
      <c r="E27" s="66"/>
      <c r="F27" s="36"/>
      <c r="G27" s="67"/>
      <c r="H27" s="68"/>
      <c r="I27" s="13" t="s">
        <v>7</v>
      </c>
      <c r="J27" s="13" t="s">
        <v>7</v>
      </c>
      <c r="K27" s="13" t="s">
        <v>7</v>
      </c>
      <c r="L27" s="13" t="s">
        <v>7</v>
      </c>
    </row>
    <row r="28" spans="1:12" ht="15">
      <c r="B28" s="36">
        <f t="shared" si="0"/>
        <v>6</v>
      </c>
      <c r="C28" s="51"/>
      <c r="D28" s="65"/>
      <c r="E28" s="66"/>
      <c r="F28" s="36"/>
      <c r="G28" s="67"/>
      <c r="H28" s="68"/>
      <c r="I28" s="13" t="s">
        <v>7</v>
      </c>
      <c r="J28" s="13" t="s">
        <v>7</v>
      </c>
      <c r="K28" s="13" t="s">
        <v>7</v>
      </c>
      <c r="L28" s="13" t="s">
        <v>7</v>
      </c>
    </row>
    <row r="29" spans="1:12" ht="15">
      <c r="B29" s="36">
        <f t="shared" si="0"/>
        <v>7</v>
      </c>
      <c r="C29" s="51"/>
      <c r="D29" s="65"/>
      <c r="E29" s="66"/>
      <c r="F29" s="36"/>
      <c r="G29" s="67"/>
      <c r="H29" s="68"/>
      <c r="I29" s="13" t="s">
        <v>7</v>
      </c>
      <c r="J29" s="13" t="s">
        <v>7</v>
      </c>
      <c r="K29" s="13" t="s">
        <v>7</v>
      </c>
      <c r="L29" s="13" t="s">
        <v>7</v>
      </c>
    </row>
    <row r="30" spans="1:12" ht="15">
      <c r="B30" s="36">
        <f t="shared" si="0"/>
        <v>8</v>
      </c>
      <c r="C30" s="51"/>
      <c r="D30" s="65"/>
      <c r="E30" s="66"/>
      <c r="F30" s="36"/>
      <c r="G30" s="67"/>
      <c r="H30" s="68"/>
      <c r="I30" s="13" t="s">
        <v>7</v>
      </c>
      <c r="J30" s="13" t="s">
        <v>7</v>
      </c>
      <c r="K30" s="13" t="s">
        <v>7</v>
      </c>
      <c r="L30" s="13" t="s">
        <v>7</v>
      </c>
    </row>
    <row r="31" spans="1:12" ht="15">
      <c r="B31" s="36">
        <f t="shared" si="0"/>
        <v>9</v>
      </c>
      <c r="C31" s="51"/>
      <c r="D31" s="65"/>
      <c r="E31" s="66"/>
      <c r="F31" s="36"/>
      <c r="G31" s="67"/>
      <c r="H31" s="68"/>
      <c r="I31" s="13" t="s">
        <v>7</v>
      </c>
      <c r="J31" s="13" t="s">
        <v>7</v>
      </c>
      <c r="K31" s="13" t="s">
        <v>7</v>
      </c>
      <c r="L31" s="13" t="s">
        <v>7</v>
      </c>
    </row>
    <row r="32" spans="1:12" ht="15">
      <c r="B32" s="36">
        <f t="shared" si="0"/>
        <v>10</v>
      </c>
      <c r="C32" s="51"/>
      <c r="D32" s="65"/>
      <c r="E32" s="66"/>
      <c r="F32" s="36"/>
      <c r="G32" s="67"/>
      <c r="H32" s="68"/>
      <c r="I32" s="13" t="s">
        <v>7</v>
      </c>
      <c r="J32" s="13" t="s">
        <v>7</v>
      </c>
      <c r="K32" s="13" t="s">
        <v>7</v>
      </c>
      <c r="L32" s="13" t="s">
        <v>7</v>
      </c>
    </row>
    <row r="33" spans="2:12" ht="15.75">
      <c r="C33" s="38"/>
      <c r="D33" s="38"/>
      <c r="E33" s="38"/>
      <c r="F33" s="38"/>
      <c r="G33" s="39"/>
      <c r="H33" s="68"/>
      <c r="I33" s="37"/>
      <c r="J33" s="37"/>
      <c r="K33" s="37"/>
    </row>
    <row r="34" spans="2:12" ht="15.75">
      <c r="C34" s="38"/>
      <c r="D34" s="38"/>
      <c r="E34" s="38"/>
      <c r="F34" s="38"/>
      <c r="G34" s="39"/>
      <c r="H34" s="68"/>
      <c r="I34" s="37"/>
      <c r="J34" s="37"/>
      <c r="K34" s="37"/>
    </row>
    <row r="35" spans="2:12">
      <c r="B35" s="35" t="s">
        <v>47</v>
      </c>
      <c r="E35" s="63"/>
      <c r="F35" s="63"/>
    </row>
    <row r="36" spans="2:12">
      <c r="B36" s="1" t="s">
        <v>42</v>
      </c>
      <c r="E36" s="63"/>
      <c r="F36" s="63"/>
    </row>
    <row r="37" spans="2:12">
      <c r="E37" s="63"/>
      <c r="F37" s="63"/>
    </row>
    <row r="38" spans="2:12">
      <c r="G38" s="7"/>
    </row>
    <row r="39" spans="2:12" ht="15">
      <c r="E39" s="3"/>
      <c r="G39" s="7"/>
    </row>
    <row r="43" spans="2:12">
      <c r="B43" s="4"/>
    </row>
    <row r="44" spans="2:12" ht="15">
      <c r="B44" s="11"/>
      <c r="C44" s="69"/>
      <c r="D44" s="69"/>
      <c r="E44" s="11"/>
      <c r="F44" s="11"/>
      <c r="G44" s="11"/>
      <c r="H44" s="11"/>
      <c r="I44" s="11"/>
      <c r="J44" s="11"/>
      <c r="K44" s="11"/>
      <c r="L44" s="11"/>
    </row>
    <row r="45" spans="2:12">
      <c r="B45" s="11"/>
      <c r="C45" s="12"/>
      <c r="D45" s="12"/>
      <c r="E45" s="11"/>
      <c r="F45" s="11"/>
      <c r="G45" s="11"/>
      <c r="H45" s="11"/>
      <c r="I45" s="11"/>
      <c r="J45" s="11"/>
      <c r="K45" s="11"/>
      <c r="L45" s="11"/>
    </row>
    <row r="46" spans="2:12">
      <c r="B46" s="11"/>
      <c r="C46" s="12"/>
      <c r="D46" s="12"/>
      <c r="E46" s="11"/>
      <c r="F46" s="11"/>
      <c r="G46" s="11"/>
      <c r="H46" s="11"/>
      <c r="I46" s="11"/>
      <c r="J46" s="11"/>
      <c r="K46" s="11"/>
      <c r="L46" s="11"/>
    </row>
    <row r="47" spans="2:12" ht="15">
      <c r="E47" s="3"/>
    </row>
  </sheetData>
  <mergeCells count="2">
    <mergeCell ref="E3:F3"/>
    <mergeCell ref="I21:L21"/>
  </mergeCells>
  <pageMargins left="0.7" right="0.7" top="0.75" bottom="0.75" header="0.3" footer="0.3"/>
  <pageSetup paperSize="9" scale="6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TOT-Revenue </vt:lpstr>
      <vt:lpstr>دورة المبيعات </vt:lpstr>
      <vt:lpstr>'TOT-Revenue '!Print_Area</vt:lpstr>
      <vt:lpstr>'دورة المبيعات '!Print_Area</vt:lpstr>
    </vt:vector>
  </TitlesOfParts>
  <Company>Ernst &amp; Young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YourNameHere</dc:creator>
  <cp:lastModifiedBy>DELL</cp:lastModifiedBy>
  <dcterms:created xsi:type="dcterms:W3CDTF">2010-01-06T06:30:30Z</dcterms:created>
  <dcterms:modified xsi:type="dcterms:W3CDTF">2024-10-29T08:42:30Z</dcterms:modified>
</cp:coreProperties>
</file>