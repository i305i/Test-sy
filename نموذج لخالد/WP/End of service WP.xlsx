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DELL\OneDrive\Desktop\audit file\نماذج ملفات\WP\"/>
    </mc:Choice>
  </mc:AlternateContent>
  <xr:revisionPtr revIDLastSave="0" documentId="13_ncr:1_{2F596B94-1577-4AD7-B51E-A8E883D7966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 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16" i="1" l="1"/>
  <c r="D10" i="1" s="1"/>
  <c r="D12" i="1" s="1"/>
  <c r="N23" i="1"/>
  <c r="N31" i="1"/>
  <c r="N39" i="1"/>
  <c r="N47" i="1"/>
  <c r="N55" i="1"/>
  <c r="N63" i="1"/>
  <c r="N71" i="1"/>
  <c r="N79" i="1"/>
  <c r="N87" i="1"/>
  <c r="N95" i="1"/>
  <c r="M19" i="1"/>
  <c r="N19" i="1" s="1"/>
  <c r="M20" i="1"/>
  <c r="N20" i="1" s="1"/>
  <c r="M21" i="1"/>
  <c r="N21" i="1" s="1"/>
  <c r="M23" i="1"/>
  <c r="M27" i="1"/>
  <c r="N27" i="1" s="1"/>
  <c r="M28" i="1"/>
  <c r="N28" i="1" s="1"/>
  <c r="M29" i="1"/>
  <c r="N29" i="1" s="1"/>
  <c r="M31" i="1"/>
  <c r="M35" i="1"/>
  <c r="N35" i="1" s="1"/>
  <c r="M36" i="1"/>
  <c r="N36" i="1" s="1"/>
  <c r="M37" i="1"/>
  <c r="N37" i="1" s="1"/>
  <c r="M39" i="1"/>
  <c r="M43" i="1"/>
  <c r="N43" i="1" s="1"/>
  <c r="M44" i="1"/>
  <c r="N44" i="1" s="1"/>
  <c r="M45" i="1"/>
  <c r="N45" i="1" s="1"/>
  <c r="M47" i="1"/>
  <c r="M51" i="1"/>
  <c r="N51" i="1" s="1"/>
  <c r="M52" i="1"/>
  <c r="N52" i="1" s="1"/>
  <c r="M53" i="1"/>
  <c r="N53" i="1" s="1"/>
  <c r="M55" i="1"/>
  <c r="M59" i="1"/>
  <c r="N59" i="1" s="1"/>
  <c r="M60" i="1"/>
  <c r="N60" i="1" s="1"/>
  <c r="M61" i="1"/>
  <c r="N61" i="1" s="1"/>
  <c r="M63" i="1"/>
  <c r="M67" i="1"/>
  <c r="N67" i="1" s="1"/>
  <c r="M68" i="1"/>
  <c r="N68" i="1" s="1"/>
  <c r="M69" i="1"/>
  <c r="N69" i="1" s="1"/>
  <c r="M71" i="1"/>
  <c r="M75" i="1"/>
  <c r="N75" i="1" s="1"/>
  <c r="M76" i="1"/>
  <c r="N76" i="1" s="1"/>
  <c r="M77" i="1"/>
  <c r="N77" i="1" s="1"/>
  <c r="M79" i="1"/>
  <c r="M83" i="1"/>
  <c r="N83" i="1" s="1"/>
  <c r="M84" i="1"/>
  <c r="N84" i="1" s="1"/>
  <c r="M85" i="1"/>
  <c r="N85" i="1" s="1"/>
  <c r="M87" i="1"/>
  <c r="M91" i="1"/>
  <c r="N91" i="1" s="1"/>
  <c r="M92" i="1"/>
  <c r="N92" i="1" s="1"/>
  <c r="M93" i="1"/>
  <c r="N93" i="1" s="1"/>
  <c r="M95" i="1"/>
  <c r="M99" i="1"/>
  <c r="N99" i="1" s="1"/>
  <c r="M100" i="1"/>
  <c r="N100" i="1" s="1"/>
  <c r="M101" i="1"/>
  <c r="N101" i="1" s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K103" i="1"/>
  <c r="M103" i="1" s="1"/>
  <c r="N103" i="1" s="1"/>
  <c r="K104" i="1"/>
  <c r="M104" i="1" s="1"/>
  <c r="N104" i="1" s="1"/>
  <c r="K105" i="1"/>
  <c r="M105" i="1" s="1"/>
  <c r="N105" i="1" s="1"/>
  <c r="K106" i="1"/>
  <c r="M106" i="1" s="1"/>
  <c r="N106" i="1" s="1"/>
  <c r="K107" i="1"/>
  <c r="M107" i="1" s="1"/>
  <c r="N107" i="1" s="1"/>
  <c r="K108" i="1"/>
  <c r="M108" i="1" s="1"/>
  <c r="N108" i="1" s="1"/>
  <c r="K109" i="1"/>
  <c r="M109" i="1" s="1"/>
  <c r="N109" i="1" s="1"/>
  <c r="K110" i="1"/>
  <c r="M110" i="1" s="1"/>
  <c r="N110" i="1" s="1"/>
  <c r="K111" i="1"/>
  <c r="M111" i="1" s="1"/>
  <c r="N111" i="1" s="1"/>
  <c r="K112" i="1"/>
  <c r="M112" i="1" s="1"/>
  <c r="N112" i="1" s="1"/>
  <c r="K113" i="1"/>
  <c r="M113" i="1" s="1"/>
  <c r="N113" i="1" s="1"/>
  <c r="K114" i="1"/>
  <c r="M114" i="1" s="1"/>
  <c r="N114" i="1" s="1"/>
  <c r="K115" i="1"/>
  <c r="M115" i="1" s="1"/>
  <c r="N115" i="1" s="1"/>
  <c r="K17" i="1"/>
  <c r="M17" i="1" s="1"/>
  <c r="N17" i="1" s="1"/>
  <c r="K18" i="1"/>
  <c r="M18" i="1" s="1"/>
  <c r="N18" i="1" s="1"/>
  <c r="K19" i="1"/>
  <c r="K20" i="1"/>
  <c r="K21" i="1"/>
  <c r="K22" i="1"/>
  <c r="M22" i="1" s="1"/>
  <c r="N22" i="1" s="1"/>
  <c r="K23" i="1"/>
  <c r="K24" i="1"/>
  <c r="M24" i="1" s="1"/>
  <c r="N24" i="1" s="1"/>
  <c r="K25" i="1"/>
  <c r="M25" i="1" s="1"/>
  <c r="N25" i="1" s="1"/>
  <c r="K26" i="1"/>
  <c r="M26" i="1" s="1"/>
  <c r="N26" i="1" s="1"/>
  <c r="K27" i="1"/>
  <c r="K28" i="1"/>
  <c r="K29" i="1"/>
  <c r="K30" i="1"/>
  <c r="M30" i="1" s="1"/>
  <c r="N30" i="1" s="1"/>
  <c r="K31" i="1"/>
  <c r="K32" i="1"/>
  <c r="M32" i="1" s="1"/>
  <c r="N32" i="1" s="1"/>
  <c r="K33" i="1"/>
  <c r="M33" i="1" s="1"/>
  <c r="N33" i="1" s="1"/>
  <c r="K34" i="1"/>
  <c r="M34" i="1" s="1"/>
  <c r="N34" i="1" s="1"/>
  <c r="K35" i="1"/>
  <c r="K36" i="1"/>
  <c r="K37" i="1"/>
  <c r="K38" i="1"/>
  <c r="M38" i="1" s="1"/>
  <c r="N38" i="1" s="1"/>
  <c r="K39" i="1"/>
  <c r="K40" i="1"/>
  <c r="M40" i="1" s="1"/>
  <c r="N40" i="1" s="1"/>
  <c r="K41" i="1"/>
  <c r="M41" i="1" s="1"/>
  <c r="N41" i="1" s="1"/>
  <c r="K42" i="1"/>
  <c r="M42" i="1" s="1"/>
  <c r="N42" i="1" s="1"/>
  <c r="K43" i="1"/>
  <c r="K44" i="1"/>
  <c r="K45" i="1"/>
  <c r="K46" i="1"/>
  <c r="M46" i="1" s="1"/>
  <c r="N46" i="1" s="1"/>
  <c r="K47" i="1"/>
  <c r="K48" i="1"/>
  <c r="M48" i="1" s="1"/>
  <c r="N48" i="1" s="1"/>
  <c r="K49" i="1"/>
  <c r="M49" i="1" s="1"/>
  <c r="N49" i="1" s="1"/>
  <c r="K50" i="1"/>
  <c r="M50" i="1" s="1"/>
  <c r="N50" i="1" s="1"/>
  <c r="K51" i="1"/>
  <c r="K52" i="1"/>
  <c r="K53" i="1"/>
  <c r="K54" i="1"/>
  <c r="M54" i="1" s="1"/>
  <c r="N54" i="1" s="1"/>
  <c r="K55" i="1"/>
  <c r="K56" i="1"/>
  <c r="M56" i="1" s="1"/>
  <c r="N56" i="1" s="1"/>
  <c r="K57" i="1"/>
  <c r="M57" i="1" s="1"/>
  <c r="N57" i="1" s="1"/>
  <c r="K58" i="1"/>
  <c r="M58" i="1" s="1"/>
  <c r="N58" i="1" s="1"/>
  <c r="K59" i="1"/>
  <c r="K60" i="1"/>
  <c r="K61" i="1"/>
  <c r="K62" i="1"/>
  <c r="M62" i="1" s="1"/>
  <c r="N62" i="1" s="1"/>
  <c r="K63" i="1"/>
  <c r="K64" i="1"/>
  <c r="M64" i="1" s="1"/>
  <c r="N64" i="1" s="1"/>
  <c r="K65" i="1"/>
  <c r="M65" i="1" s="1"/>
  <c r="N65" i="1" s="1"/>
  <c r="K66" i="1"/>
  <c r="M66" i="1" s="1"/>
  <c r="N66" i="1" s="1"/>
  <c r="K67" i="1"/>
  <c r="K68" i="1"/>
  <c r="K69" i="1"/>
  <c r="K70" i="1"/>
  <c r="M70" i="1" s="1"/>
  <c r="N70" i="1" s="1"/>
  <c r="K71" i="1"/>
  <c r="K72" i="1"/>
  <c r="M72" i="1" s="1"/>
  <c r="N72" i="1" s="1"/>
  <c r="K73" i="1"/>
  <c r="M73" i="1" s="1"/>
  <c r="N73" i="1" s="1"/>
  <c r="K74" i="1"/>
  <c r="M74" i="1" s="1"/>
  <c r="N74" i="1" s="1"/>
  <c r="K75" i="1"/>
  <c r="K76" i="1"/>
  <c r="K77" i="1"/>
  <c r="K78" i="1"/>
  <c r="M78" i="1" s="1"/>
  <c r="N78" i="1" s="1"/>
  <c r="K79" i="1"/>
  <c r="K80" i="1"/>
  <c r="M80" i="1" s="1"/>
  <c r="N80" i="1" s="1"/>
  <c r="K81" i="1"/>
  <c r="M81" i="1" s="1"/>
  <c r="N81" i="1" s="1"/>
  <c r="K82" i="1"/>
  <c r="M82" i="1" s="1"/>
  <c r="N82" i="1" s="1"/>
  <c r="K83" i="1"/>
  <c r="K84" i="1"/>
  <c r="K85" i="1"/>
  <c r="K86" i="1"/>
  <c r="M86" i="1" s="1"/>
  <c r="N86" i="1" s="1"/>
  <c r="K87" i="1"/>
  <c r="K88" i="1"/>
  <c r="M88" i="1" s="1"/>
  <c r="N88" i="1" s="1"/>
  <c r="K89" i="1"/>
  <c r="M89" i="1" s="1"/>
  <c r="N89" i="1" s="1"/>
  <c r="K90" i="1"/>
  <c r="M90" i="1" s="1"/>
  <c r="N90" i="1" s="1"/>
  <c r="K91" i="1"/>
  <c r="K92" i="1"/>
  <c r="K93" i="1"/>
  <c r="K94" i="1"/>
  <c r="M94" i="1" s="1"/>
  <c r="N94" i="1" s="1"/>
  <c r="K95" i="1"/>
  <c r="K96" i="1"/>
  <c r="M96" i="1" s="1"/>
  <c r="N96" i="1" s="1"/>
  <c r="K97" i="1"/>
  <c r="M97" i="1" s="1"/>
  <c r="N97" i="1" s="1"/>
  <c r="K98" i="1"/>
  <c r="M98" i="1" s="1"/>
  <c r="N98" i="1" s="1"/>
  <c r="K99" i="1"/>
  <c r="K100" i="1"/>
  <c r="K101" i="1"/>
  <c r="K102" i="1"/>
  <c r="M102" i="1" s="1"/>
  <c r="N102" i="1" s="1"/>
  <c r="K16" i="1"/>
  <c r="J16" i="1"/>
  <c r="E12" i="1"/>
  <c r="M16" i="1" l="1"/>
  <c r="D9" i="1"/>
  <c r="I12" i="1"/>
  <c r="F12" i="1"/>
  <c r="G12" i="1" s="1"/>
  <c r="I11" i="1"/>
  <c r="F11" i="1"/>
  <c r="G11" i="1" s="1"/>
  <c r="F10" i="1"/>
  <c r="G10" i="1" s="1"/>
  <c r="M116" i="1" l="1"/>
  <c r="N16" i="1"/>
  <c r="N116" i="1" s="1"/>
  <c r="H10" i="1" s="1"/>
  <c r="I10" i="1" s="1"/>
</calcChain>
</file>

<file path=xl/sharedStrings.xml><?xml version="1.0" encoding="utf-8"?>
<sst xmlns="http://schemas.openxmlformats.org/spreadsheetml/2006/main" count="36" uniqueCount="33">
  <si>
    <t>Abdullah Mansour Al-Subaie Company, Accountants and Legal Auditors, License No. (1031)</t>
  </si>
  <si>
    <t xml:space="preserve">client name </t>
  </si>
  <si>
    <t>year</t>
  </si>
  <si>
    <t>Currency</t>
  </si>
  <si>
    <t>SAR</t>
  </si>
  <si>
    <t>Description</t>
  </si>
  <si>
    <t xml:space="preserve">Balance as at </t>
  </si>
  <si>
    <t>Variance</t>
  </si>
  <si>
    <t>%</t>
  </si>
  <si>
    <t>diff</t>
  </si>
  <si>
    <t>Employee Benefits</t>
  </si>
  <si>
    <t>Payment made during the year</t>
  </si>
  <si>
    <t>ending Balance</t>
  </si>
  <si>
    <t>Employee Name</t>
  </si>
  <si>
    <t xml:space="preserve"> year</t>
  </si>
  <si>
    <t>Basic salary</t>
  </si>
  <si>
    <t>Cash housing allowance</t>
  </si>
  <si>
    <t>Transportation allowance</t>
  </si>
  <si>
    <t>Other allowances</t>
  </si>
  <si>
    <t>total</t>
  </si>
  <si>
    <t>Period</t>
  </si>
  <si>
    <t>client calculation</t>
  </si>
  <si>
    <t>Recalculate end of service</t>
  </si>
  <si>
    <t>Differences</t>
  </si>
  <si>
    <t xml:space="preserve">Date </t>
  </si>
  <si>
    <t>#</t>
  </si>
  <si>
    <t>Prepared by:</t>
  </si>
  <si>
    <t>saad</t>
  </si>
  <si>
    <t>Reviewed by:</t>
  </si>
  <si>
    <t>Conclusion of the opinion:</t>
  </si>
  <si>
    <t>Reasonable assurance of the soundness and safety of Employee Benefits  has been obtained.</t>
  </si>
  <si>
    <t>2024 at Dec 31</t>
  </si>
  <si>
    <t>2023 Dec 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</si>
</sst>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[$-1010000]yyyy/mm/dd;@"/>
    <numFmt numFmtId="165" formatCode="0.00_);\(0.00\)"/>
    <numFmt numFmtId="166" formatCode="_-* #,##0_-;\-* #,##0_-;_-* &quot;-&quot;??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84">
    <xf numFmtId="0" fontId="0" fillId="0" borderId="0" xfId="0"/>
    <xf numFmtId="0" fontId="2" fillId="0" borderId="0" xfId="0" applyFont="1"/>
    <xf numFmtId="0" fontId="3" fillId="0" borderId="0" xfId="0" applyFont="1" applyAlignment="1">
      <alignment readingOrder="1"/>
    </xf>
    <xf numFmtId="0" fontId="3" fillId="0" borderId="0" xfId="0" applyFont="1" applyAlignment="1">
      <alignment horizontal="center" readingOrder="1"/>
    </xf>
    <xf numFmtId="0" fontId="0" fillId="0" borderId="0" xfId="0" applyAlignment="1">
      <alignment readingOrder="1"/>
    </xf>
    <xf numFmtId="0" fontId="4" fillId="0" borderId="8" xfId="0" applyFont="1" applyBorder="1" applyAlignment="1">
      <alignment horizontal="center" vertical="center" readingOrder="1"/>
    </xf>
    <xf numFmtId="0" fontId="4" fillId="0" borderId="9" xfId="0" applyFont="1" applyBorder="1" applyAlignment="1">
      <alignment horizontal="center" vertical="center" readingOrder="1"/>
    </xf>
    <xf numFmtId="0" fontId="0" fillId="0" borderId="1" xfId="0" applyBorder="1" applyAlignment="1">
      <alignment horizontal="center" readingOrder="1"/>
    </xf>
    <xf numFmtId="9" fontId="0" fillId="0" borderId="1" xfId="2" applyFont="1" applyBorder="1" applyAlignment="1">
      <alignment horizontal="center" readingOrder="1"/>
    </xf>
    <xf numFmtId="0" fontId="0" fillId="0" borderId="1" xfId="0" applyBorder="1" applyAlignment="1">
      <alignment horizontal="center" vertical="center" readingOrder="1"/>
    </xf>
    <xf numFmtId="9" fontId="0" fillId="0" borderId="1" xfId="2" applyFont="1" applyFill="1" applyBorder="1" applyAlignment="1">
      <alignment horizontal="center" readingOrder="1"/>
    </xf>
    <xf numFmtId="0" fontId="0" fillId="0" borderId="10" xfId="0" applyBorder="1" applyAlignment="1">
      <alignment horizontal="center" readingOrder="1"/>
    </xf>
    <xf numFmtId="15" fontId="4" fillId="0" borderId="9" xfId="0" applyNumberFormat="1" applyFont="1" applyBorder="1" applyAlignment="1">
      <alignment horizontal="center" vertical="center" readingOrder="1"/>
    </xf>
    <xf numFmtId="0" fontId="4" fillId="0" borderId="0" xfId="0" applyFont="1" applyAlignment="1">
      <alignment horizontal="center" vertical="center" readingOrder="1"/>
    </xf>
    <xf numFmtId="0" fontId="0" fillId="0" borderId="0" xfId="0" applyAlignment="1">
      <alignment horizontal="center" vertical="center" readingOrder="1"/>
    </xf>
    <xf numFmtId="9" fontId="0" fillId="0" borderId="0" xfId="2" applyFont="1" applyFill="1" applyBorder="1" applyAlignment="1">
      <alignment horizontal="center" readingOrder="1"/>
    </xf>
    <xf numFmtId="0" fontId="0" fillId="0" borderId="10" xfId="0" applyBorder="1" applyAlignment="1">
      <alignment horizontal="center" vertical="center" readingOrder="1"/>
    </xf>
    <xf numFmtId="0" fontId="0" fillId="0" borderId="0" xfId="0" applyAlignment="1">
      <alignment horizontal="center" vertical="center"/>
    </xf>
    <xf numFmtId="14" fontId="0" fillId="0" borderId="0" xfId="0" applyNumberFormat="1"/>
    <xf numFmtId="164" fontId="5" fillId="0" borderId="0" xfId="3" applyNumberFormat="1" applyFont="1" applyAlignment="1">
      <alignment horizontal="center" vertical="center"/>
    </xf>
    <xf numFmtId="165" fontId="6" fillId="0" borderId="0" xfId="3" applyNumberFormat="1" applyFont="1" applyAlignment="1">
      <alignment horizontal="center" vertical="center"/>
    </xf>
    <xf numFmtId="3" fontId="7" fillId="0" borderId="0" xfId="3" applyNumberFormat="1" applyFont="1" applyAlignment="1">
      <alignment horizontal="center" vertical="center"/>
    </xf>
    <xf numFmtId="3" fontId="0" fillId="0" borderId="0" xfId="0" applyNumberFormat="1"/>
    <xf numFmtId="166" fontId="0" fillId="0" borderId="0" xfId="1" applyNumberFormat="1" applyFont="1" applyBorder="1"/>
    <xf numFmtId="3" fontId="0" fillId="0" borderId="1" xfId="0" applyNumberFormat="1" applyBorder="1" applyAlignment="1">
      <alignment horizontal="center" vertical="center" readingOrder="1"/>
    </xf>
    <xf numFmtId="0" fontId="0" fillId="2" borderId="0" xfId="0" applyFill="1"/>
    <xf numFmtId="14" fontId="0" fillId="2" borderId="0" xfId="0" applyNumberFormat="1" applyFill="1"/>
    <xf numFmtId="164" fontId="5" fillId="2" borderId="0" xfId="3" applyNumberFormat="1" applyFont="1" applyFill="1" applyAlignment="1">
      <alignment horizontal="center" vertical="center"/>
    </xf>
    <xf numFmtId="166" fontId="0" fillId="2" borderId="0" xfId="1" applyNumberFormat="1" applyFont="1" applyFill="1" applyBorder="1"/>
    <xf numFmtId="165" fontId="6" fillId="2" borderId="0" xfId="3" applyNumberFormat="1" applyFont="1" applyFill="1" applyAlignment="1">
      <alignment horizontal="center" vertical="center"/>
    </xf>
    <xf numFmtId="3" fontId="0" fillId="0" borderId="12" xfId="0" applyNumberFormat="1" applyBorder="1" applyAlignment="1">
      <alignment horizontal="center" vertical="center"/>
    </xf>
    <xf numFmtId="3" fontId="0" fillId="0" borderId="12" xfId="0" applyNumberFormat="1" applyBorder="1"/>
    <xf numFmtId="3" fontId="0" fillId="0" borderId="1" xfId="0" applyNumberFormat="1" applyBorder="1" applyAlignment="1">
      <alignment horizontal="center" readingOrder="1"/>
    </xf>
    <xf numFmtId="0" fontId="0" fillId="0" borderId="11" xfId="0" applyBorder="1" applyAlignment="1">
      <alignment horizontal="center"/>
    </xf>
    <xf numFmtId="14" fontId="0" fillId="0" borderId="11" xfId="0" applyNumberFormat="1" applyBorder="1" applyAlignment="1">
      <alignment horizontal="center"/>
    </xf>
    <xf numFmtId="166" fontId="0" fillId="0" borderId="11" xfId="1" applyNumberFormat="1" applyFont="1" applyBorder="1" applyAlignment="1">
      <alignment horizontal="center"/>
    </xf>
    <xf numFmtId="166" fontId="0" fillId="0" borderId="11" xfId="1" applyNumberFormat="1" applyFont="1" applyFill="1" applyBorder="1" applyAlignment="1">
      <alignment horizontal="center"/>
    </xf>
    <xf numFmtId="3" fontId="0" fillId="0" borderId="11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14" fontId="0" fillId="0" borderId="9" xfId="0" applyNumberFormat="1" applyBorder="1" applyAlignment="1">
      <alignment horizontal="center"/>
    </xf>
    <xf numFmtId="166" fontId="0" fillId="0" borderId="9" xfId="1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/>
    </xf>
    <xf numFmtId="164" fontId="5" fillId="0" borderId="11" xfId="3" applyNumberFormat="1" applyFont="1" applyBorder="1" applyAlignment="1">
      <alignment horizontal="center"/>
    </xf>
    <xf numFmtId="165" fontId="6" fillId="0" borderId="11" xfId="3" applyNumberFormat="1" applyFont="1" applyBorder="1" applyAlignment="1">
      <alignment horizontal="center"/>
    </xf>
    <xf numFmtId="3" fontId="7" fillId="0" borderId="11" xfId="3" applyNumberFormat="1" applyFont="1" applyBorder="1" applyAlignment="1">
      <alignment horizontal="center"/>
    </xf>
    <xf numFmtId="165" fontId="6" fillId="0" borderId="9" xfId="3" applyNumberFormat="1" applyFont="1" applyBorder="1" applyAlignment="1">
      <alignment horizontal="center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2" xfId="0" applyBorder="1" applyAlignment="1">
      <alignment horizontal="left" readingOrder="1"/>
    </xf>
    <xf numFmtId="15" fontId="0" fillId="0" borderId="0" xfId="0" applyNumberFormat="1" applyAlignment="1">
      <alignment vertical="center" readingOrder="1"/>
    </xf>
    <xf numFmtId="0" fontId="0" fillId="0" borderId="0" xfId="0" applyAlignment="1">
      <alignment vertical="center" readingOrder="1"/>
    </xf>
    <xf numFmtId="0" fontId="4" fillId="0" borderId="5" xfId="0" applyFont="1" applyBorder="1" applyAlignment="1">
      <alignment horizontal="left"/>
    </xf>
    <xf numFmtId="0" fontId="4" fillId="0" borderId="13" xfId="0" applyFont="1" applyBorder="1" applyAlignment="1">
      <alignment horizontal="left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4" fillId="0" borderId="2" xfId="0" applyFont="1" applyBorder="1" applyAlignment="1">
      <alignment horizontal="center" vertical="center" readingOrder="1"/>
    </xf>
    <xf numFmtId="0" fontId="4" fillId="0" borderId="4" xfId="0" applyFont="1" applyBorder="1" applyAlignment="1">
      <alignment horizontal="center" vertical="center" readingOrder="1"/>
    </xf>
    <xf numFmtId="0" fontId="4" fillId="0" borderId="0" xfId="0" applyFont="1" applyAlignment="1">
      <alignment horizontal="center" vertical="center" readingOrder="1"/>
    </xf>
    <xf numFmtId="0" fontId="0" fillId="0" borderId="2" xfId="0" applyBorder="1" applyAlignment="1">
      <alignment horizontal="center" readingOrder="1"/>
    </xf>
    <xf numFmtId="0" fontId="0" fillId="0" borderId="3" xfId="0" applyBorder="1" applyAlignment="1">
      <alignment horizontal="center" readingOrder="1"/>
    </xf>
    <xf numFmtId="0" fontId="0" fillId="0" borderId="4" xfId="0" applyBorder="1" applyAlignment="1">
      <alignment horizontal="center" readingOrder="1"/>
    </xf>
    <xf numFmtId="15" fontId="0" fillId="0" borderId="2" xfId="0" applyNumberFormat="1" applyBorder="1" applyAlignment="1">
      <alignment horizontal="center" vertical="center" readingOrder="1"/>
    </xf>
    <xf numFmtId="15" fontId="0" fillId="0" borderId="3" xfId="0" applyNumberFormat="1" applyBorder="1" applyAlignment="1">
      <alignment horizontal="center" vertical="center" readingOrder="1"/>
    </xf>
    <xf numFmtId="15" fontId="0" fillId="0" borderId="4" xfId="0" applyNumberFormat="1" applyBorder="1" applyAlignment="1">
      <alignment horizontal="center" vertical="center" readingOrder="1"/>
    </xf>
    <xf numFmtId="0" fontId="0" fillId="0" borderId="2" xfId="0" applyBorder="1" applyAlignment="1">
      <alignment horizontal="center" vertical="center" readingOrder="1"/>
    </xf>
    <xf numFmtId="0" fontId="0" fillId="0" borderId="3" xfId="0" applyBorder="1" applyAlignment="1">
      <alignment horizontal="center" vertical="center" readingOrder="1"/>
    </xf>
    <xf numFmtId="0" fontId="0" fillId="0" borderId="4" xfId="0" applyBorder="1" applyAlignment="1">
      <alignment horizontal="center" vertical="center" readingOrder="1"/>
    </xf>
    <xf numFmtId="0" fontId="0" fillId="0" borderId="2" xfId="0" applyBorder="1" applyAlignment="1">
      <alignment vertical="center" readingOrder="1"/>
    </xf>
    <xf numFmtId="0" fontId="0" fillId="0" borderId="3" xfId="0" applyBorder="1" applyAlignment="1">
      <alignment vertical="center" readingOrder="1"/>
    </xf>
    <xf numFmtId="0" fontId="0" fillId="0" borderId="5" xfId="0" applyBorder="1" applyAlignment="1">
      <alignment vertical="center" readingOrder="1"/>
    </xf>
    <xf numFmtId="0" fontId="0" fillId="0" borderId="6" xfId="0" applyBorder="1" applyAlignment="1">
      <alignment vertical="center" readingOrder="1"/>
    </xf>
    <xf numFmtId="0" fontId="4" fillId="0" borderId="5" xfId="0" applyFont="1" applyBorder="1" applyAlignment="1">
      <alignment horizontal="center" vertical="center" readingOrder="1"/>
    </xf>
    <xf numFmtId="0" fontId="4" fillId="0" borderId="6" xfId="0" applyFont="1" applyBorder="1" applyAlignment="1">
      <alignment horizontal="center" vertical="center" readingOrder="1"/>
    </xf>
    <xf numFmtId="0" fontId="4" fillId="0" borderId="7" xfId="0" applyFont="1" applyBorder="1" applyAlignment="1">
      <alignment horizontal="center" vertical="center" readingOrder="1"/>
    </xf>
    <xf numFmtId="0" fontId="4" fillId="0" borderId="8" xfId="0" applyFont="1" applyBorder="1" applyAlignment="1">
      <alignment horizontal="center" vertical="center" readingOrder="1"/>
    </xf>
  </cellXfs>
  <cellStyles count="4">
    <cellStyle name="Comma" xfId="1" builtinId="3"/>
    <cellStyle name="Percent" xfId="2" builtinId="5"/>
    <cellStyle name="عادي" xfId="0" builtinId="0"/>
    <cellStyle name="عادي 2" xfId="3" xr:uid="{B5C0C4FD-9D8B-4B02-A261-A06A2B3F12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P123"/>
  <sheetViews>
    <sheetView tabSelected="1" zoomScale="70" zoomScaleNormal="70" workbookViewId="0">
      <selection activeCell="J8" sqref="J8:K8"/>
    </sheetView>
  </sheetViews>
  <sheetFormatPr defaultRowHeight="15" x14ac:dyDescent="0.25"/>
  <cols>
    <col min="2" max="2" width="14.875" customWidth="1"/>
    <col min="3" max="3" width="23.625" customWidth="1"/>
    <col min="4" max="5" width="14.875" customWidth="1"/>
    <col min="6" max="7" width="18.5" customWidth="1"/>
    <col min="8" max="8" width="20.75" bestFit="1" customWidth="1"/>
    <col min="9" max="12" width="14.875" customWidth="1"/>
    <col min="13" max="13" width="21.375" bestFit="1" customWidth="1"/>
    <col min="14" max="14" width="12.875" customWidth="1"/>
  </cols>
  <sheetData>
    <row r="1" spans="2:16" s="4" customFormat="1" x14ac:dyDescent="0.25">
      <c r="B1" s="1" t="s">
        <v>0</v>
      </c>
      <c r="C1" s="2"/>
      <c r="D1" s="2"/>
      <c r="E1" s="2"/>
      <c r="F1" s="2"/>
      <c r="G1" s="2"/>
      <c r="H1" t="s">
        <v>26</v>
      </c>
      <c r="I1" s="48" t="s">
        <v>27</v>
      </c>
      <c r="J1" s="2"/>
      <c r="K1" s="3"/>
    </row>
    <row r="2" spans="2:16" s="4" customFormat="1" ht="15.75" thickBot="1" x14ac:dyDescent="0.3">
      <c r="H2" t="s">
        <v>28</v>
      </c>
      <c r="I2" s="49"/>
    </row>
    <row r="3" spans="2:16" s="4" customFormat="1" ht="15.75" thickBot="1" x14ac:dyDescent="0.3">
      <c r="B3" s="50" t="s">
        <v>1</v>
      </c>
      <c r="C3" s="67"/>
      <c r="D3" s="68"/>
      <c r="E3" s="68"/>
      <c r="F3" s="68"/>
      <c r="G3" s="68"/>
      <c r="H3" s="68"/>
      <c r="I3" s="69"/>
    </row>
    <row r="4" spans="2:16" s="4" customFormat="1" ht="15.75" thickBot="1" x14ac:dyDescent="0.3">
      <c r="B4" s="50" t="s">
        <v>2</v>
      </c>
      <c r="C4" s="70" t="s">
        <v>31</v>
      </c>
      <c r="D4" s="71"/>
      <c r="E4" s="71"/>
      <c r="F4" s="71"/>
      <c r="G4" s="71"/>
      <c r="H4" s="71"/>
      <c r="I4" s="72"/>
      <c r="J4" s="51"/>
      <c r="K4" s="51"/>
      <c r="L4" s="51"/>
      <c r="M4" s="51"/>
      <c r="N4" s="51"/>
      <c r="O4" s="51"/>
      <c r="P4" s="51"/>
    </row>
    <row r="5" spans="2:16" s="4" customFormat="1" ht="15.75" thickBot="1" x14ac:dyDescent="0.3">
      <c r="B5" s="50" t="s">
        <v>3</v>
      </c>
      <c r="C5" s="73" t="s">
        <v>4</v>
      </c>
      <c r="D5" s="74"/>
      <c r="E5" s="74"/>
      <c r="F5" s="74"/>
      <c r="G5" s="74"/>
      <c r="H5" s="74"/>
      <c r="I5" s="75"/>
      <c r="J5" s="52"/>
      <c r="K5" s="52"/>
      <c r="L5" s="52"/>
      <c r="M5" s="52"/>
      <c r="N5" s="52"/>
      <c r="O5" s="52"/>
      <c r="P5" s="52"/>
    </row>
    <row r="7" spans="2:16" ht="15.75" thickBot="1" x14ac:dyDescent="0.3"/>
    <row r="8" spans="2:16" ht="15.75" thickBot="1" x14ac:dyDescent="0.3">
      <c r="B8" s="80" t="s">
        <v>5</v>
      </c>
      <c r="C8" s="81"/>
      <c r="D8" s="64" t="s">
        <v>6</v>
      </c>
      <c r="E8" s="65"/>
      <c r="F8" s="64" t="s">
        <v>7</v>
      </c>
      <c r="G8" s="65"/>
      <c r="H8" s="64" t="s">
        <v>9</v>
      </c>
      <c r="I8" s="65"/>
      <c r="J8" s="66"/>
      <c r="K8" s="66"/>
    </row>
    <row r="9" spans="2:16" ht="15.75" thickBot="1" x14ac:dyDescent="0.3">
      <c r="B9" s="82"/>
      <c r="C9" s="83"/>
      <c r="D9" s="12" t="str">
        <f>C4</f>
        <v>2024 at Dec 31</v>
      </c>
      <c r="E9" s="6" t="s">
        <v>32</v>
      </c>
      <c r="F9" s="6" t="s">
        <v>4</v>
      </c>
      <c r="G9" s="5" t="s">
        <v>8</v>
      </c>
      <c r="H9" s="6" t="s">
        <v>4</v>
      </c>
      <c r="I9" s="6" t="s">
        <v>8</v>
      </c>
      <c r="J9" s="13"/>
      <c r="K9" s="13"/>
    </row>
    <row r="10" spans="2:16" ht="15.75" thickBot="1" x14ac:dyDescent="0.3">
      <c r="B10" s="76" t="s">
        <v>10</v>
      </c>
      <c r="C10" s="77"/>
      <c r="D10" s="32">
        <f>L116</f>
        <v>0</v>
      </c>
      <c r="E10" s="7">
        <v>0</v>
      </c>
      <c r="F10" s="7">
        <f>D10-E10</f>
        <v>0</v>
      </c>
      <c r="G10" s="8" t="e">
        <f>E10/F10</f>
        <v>#DIV/0!</v>
      </c>
      <c r="H10" s="24">
        <f>N116</f>
        <v>0</v>
      </c>
      <c r="I10" s="10" t="e">
        <f>H10/D10</f>
        <v>#DIV/0!</v>
      </c>
      <c r="J10" s="14"/>
      <c r="K10" s="15"/>
    </row>
    <row r="11" spans="2:16" ht="15.75" thickBot="1" x14ac:dyDescent="0.3">
      <c r="B11" s="78" t="s">
        <v>11</v>
      </c>
      <c r="C11" s="79"/>
      <c r="D11" s="11"/>
      <c r="E11" s="11"/>
      <c r="F11" s="7">
        <f t="shared" ref="F11:F12" si="0">D11-E11</f>
        <v>0</v>
      </c>
      <c r="G11" s="8" t="e">
        <f t="shared" ref="G11:G12" si="1">E11/F11</f>
        <v>#DIV/0!</v>
      </c>
      <c r="H11" s="16"/>
      <c r="I11" s="10" t="e">
        <f>H11/D11</f>
        <v>#DIV/0!</v>
      </c>
      <c r="J11" s="14"/>
      <c r="K11" s="15"/>
    </row>
    <row r="12" spans="2:16" ht="15.75" thickBot="1" x14ac:dyDescent="0.3">
      <c r="B12" s="76" t="s">
        <v>12</v>
      </c>
      <c r="C12" s="77"/>
      <c r="D12" s="7">
        <f>D10-D11</f>
        <v>0</v>
      </c>
      <c r="E12" s="7">
        <f>E10-E11</f>
        <v>0</v>
      </c>
      <c r="F12" s="7">
        <f t="shared" si="0"/>
        <v>0</v>
      </c>
      <c r="G12" s="8" t="e">
        <f t="shared" si="1"/>
        <v>#DIV/0!</v>
      </c>
      <c r="H12" s="9"/>
      <c r="I12" s="10" t="e">
        <f>H12/D12</f>
        <v>#DIV/0!</v>
      </c>
      <c r="J12" s="14"/>
      <c r="K12" s="15"/>
    </row>
    <row r="14" spans="2:16" ht="15.75" thickBot="1" x14ac:dyDescent="0.3"/>
    <row r="15" spans="2:16" s="17" customFormat="1" ht="15.75" thickBot="1" x14ac:dyDescent="0.3">
      <c r="B15" s="41" t="s">
        <v>25</v>
      </c>
      <c r="C15" s="41" t="s">
        <v>13</v>
      </c>
      <c r="D15" s="41" t="s">
        <v>24</v>
      </c>
      <c r="E15" s="41" t="s">
        <v>14</v>
      </c>
      <c r="F15" s="41" t="s">
        <v>15</v>
      </c>
      <c r="G15" s="41" t="s">
        <v>16</v>
      </c>
      <c r="H15" s="42" t="s">
        <v>17</v>
      </c>
      <c r="I15" s="43" t="s">
        <v>18</v>
      </c>
      <c r="J15" s="41" t="s">
        <v>19</v>
      </c>
      <c r="K15" s="41" t="s">
        <v>20</v>
      </c>
      <c r="L15" s="41" t="s">
        <v>21</v>
      </c>
      <c r="M15" s="41" t="s">
        <v>22</v>
      </c>
      <c r="N15" s="41" t="s">
        <v>23</v>
      </c>
    </row>
    <row r="16" spans="2:16" ht="15.75" x14ac:dyDescent="0.25">
      <c r="B16" s="33">
        <v>1</v>
      </c>
      <c r="C16" s="33"/>
      <c r="D16" s="34">
        <v>44937</v>
      </c>
      <c r="E16" s="44">
        <v>45657</v>
      </c>
      <c r="F16" s="35">
        <v>0</v>
      </c>
      <c r="G16" s="35">
        <v>0</v>
      </c>
      <c r="H16" s="35">
        <v>0</v>
      </c>
      <c r="I16" s="35">
        <v>0</v>
      </c>
      <c r="J16" s="35">
        <f>SUM(F16:I16)</f>
        <v>0</v>
      </c>
      <c r="K16" s="45">
        <f>DAYS360(D16,E16)/360</f>
        <v>1.9722222222222223</v>
      </c>
      <c r="L16" s="36">
        <v>0</v>
      </c>
      <c r="M16" s="46">
        <f>IF(K16&lt;5,J16/2*K16,J16/24*60+J16*(K16-5))</f>
        <v>0</v>
      </c>
      <c r="N16" s="37">
        <f>M16-L16</f>
        <v>0</v>
      </c>
    </row>
    <row r="17" spans="2:14" ht="15.75" x14ac:dyDescent="0.25">
      <c r="B17" s="33">
        <v>2</v>
      </c>
      <c r="C17" s="33"/>
      <c r="D17" s="34">
        <v>44937</v>
      </c>
      <c r="E17" s="44">
        <v>45657</v>
      </c>
      <c r="F17" s="35">
        <v>0</v>
      </c>
      <c r="G17" s="35">
        <v>0</v>
      </c>
      <c r="H17" s="35">
        <v>0</v>
      </c>
      <c r="I17" s="35">
        <v>0</v>
      </c>
      <c r="J17" s="35">
        <f t="shared" ref="J17:J80" si="2">SUM(F17:I17)</f>
        <v>0</v>
      </c>
      <c r="K17" s="45">
        <f t="shared" ref="K17:K80" si="3">DAYS360(D17,E17)/360</f>
        <v>1.9722222222222223</v>
      </c>
      <c r="L17" s="36">
        <v>0</v>
      </c>
      <c r="M17" s="46">
        <f t="shared" ref="M17:M80" si="4">IF(K17&lt;5,J17/2*K17,J17/24*60+J17*(K17-5))</f>
        <v>0</v>
      </c>
      <c r="N17" s="37">
        <f t="shared" ref="N17:N80" si="5">M17-L17</f>
        <v>0</v>
      </c>
    </row>
    <row r="18" spans="2:14" ht="15.75" x14ac:dyDescent="0.25">
      <c r="B18" s="33">
        <v>3</v>
      </c>
      <c r="C18" s="33"/>
      <c r="D18" s="34">
        <v>44937</v>
      </c>
      <c r="E18" s="44">
        <v>45657</v>
      </c>
      <c r="F18" s="35">
        <v>0</v>
      </c>
      <c r="G18" s="35">
        <v>0</v>
      </c>
      <c r="H18" s="35">
        <v>0</v>
      </c>
      <c r="I18" s="35">
        <v>0</v>
      </c>
      <c r="J18" s="35">
        <f t="shared" si="2"/>
        <v>0</v>
      </c>
      <c r="K18" s="45">
        <f t="shared" si="3"/>
        <v>1.9722222222222223</v>
      </c>
      <c r="L18" s="36">
        <v>0</v>
      </c>
      <c r="M18" s="46">
        <f t="shared" si="4"/>
        <v>0</v>
      </c>
      <c r="N18" s="37">
        <f t="shared" si="5"/>
        <v>0</v>
      </c>
    </row>
    <row r="19" spans="2:14" ht="15.75" x14ac:dyDescent="0.25">
      <c r="B19" s="33">
        <v>4</v>
      </c>
      <c r="C19" s="33"/>
      <c r="D19" s="34">
        <v>44937</v>
      </c>
      <c r="E19" s="44">
        <v>45657</v>
      </c>
      <c r="F19" s="35">
        <v>0</v>
      </c>
      <c r="G19" s="35">
        <v>0</v>
      </c>
      <c r="H19" s="35">
        <v>0</v>
      </c>
      <c r="I19" s="35">
        <v>0</v>
      </c>
      <c r="J19" s="35">
        <f t="shared" si="2"/>
        <v>0</v>
      </c>
      <c r="K19" s="45">
        <f t="shared" si="3"/>
        <v>1.9722222222222223</v>
      </c>
      <c r="L19" s="36">
        <v>0</v>
      </c>
      <c r="M19" s="46">
        <f t="shared" si="4"/>
        <v>0</v>
      </c>
      <c r="N19" s="37">
        <f t="shared" si="5"/>
        <v>0</v>
      </c>
    </row>
    <row r="20" spans="2:14" ht="15.75" x14ac:dyDescent="0.25">
      <c r="B20" s="33">
        <v>5</v>
      </c>
      <c r="C20" s="33"/>
      <c r="D20" s="34">
        <v>44937</v>
      </c>
      <c r="E20" s="44">
        <v>45657</v>
      </c>
      <c r="F20" s="35">
        <v>0</v>
      </c>
      <c r="G20" s="35">
        <v>0</v>
      </c>
      <c r="H20" s="35">
        <v>0</v>
      </c>
      <c r="I20" s="35">
        <v>0</v>
      </c>
      <c r="J20" s="35">
        <f t="shared" si="2"/>
        <v>0</v>
      </c>
      <c r="K20" s="45">
        <f t="shared" si="3"/>
        <v>1.9722222222222223</v>
      </c>
      <c r="L20" s="36">
        <v>0</v>
      </c>
      <c r="M20" s="46">
        <f t="shared" si="4"/>
        <v>0</v>
      </c>
      <c r="N20" s="37">
        <f t="shared" si="5"/>
        <v>0</v>
      </c>
    </row>
    <row r="21" spans="2:14" ht="15.75" x14ac:dyDescent="0.25">
      <c r="B21" s="33">
        <v>6</v>
      </c>
      <c r="C21" s="33"/>
      <c r="D21" s="34">
        <v>44937</v>
      </c>
      <c r="E21" s="44">
        <v>45657</v>
      </c>
      <c r="F21" s="35">
        <v>0</v>
      </c>
      <c r="G21" s="35">
        <v>0</v>
      </c>
      <c r="H21" s="35">
        <v>0</v>
      </c>
      <c r="I21" s="35">
        <v>0</v>
      </c>
      <c r="J21" s="35">
        <f t="shared" si="2"/>
        <v>0</v>
      </c>
      <c r="K21" s="45">
        <f t="shared" si="3"/>
        <v>1.9722222222222223</v>
      </c>
      <c r="L21" s="36">
        <v>0</v>
      </c>
      <c r="M21" s="46">
        <f t="shared" si="4"/>
        <v>0</v>
      </c>
      <c r="N21" s="37">
        <f t="shared" si="5"/>
        <v>0</v>
      </c>
    </row>
    <row r="22" spans="2:14" ht="15.75" x14ac:dyDescent="0.25">
      <c r="B22" s="33">
        <v>7</v>
      </c>
      <c r="C22" s="33"/>
      <c r="D22" s="34">
        <v>44937</v>
      </c>
      <c r="E22" s="44">
        <v>45657</v>
      </c>
      <c r="F22" s="35">
        <v>0</v>
      </c>
      <c r="G22" s="35">
        <v>0</v>
      </c>
      <c r="H22" s="35">
        <v>0</v>
      </c>
      <c r="I22" s="35">
        <v>0</v>
      </c>
      <c r="J22" s="35">
        <f t="shared" si="2"/>
        <v>0</v>
      </c>
      <c r="K22" s="45">
        <f t="shared" si="3"/>
        <v>1.9722222222222223</v>
      </c>
      <c r="L22" s="36">
        <v>0</v>
      </c>
      <c r="M22" s="46">
        <f t="shared" si="4"/>
        <v>0</v>
      </c>
      <c r="N22" s="37">
        <f t="shared" si="5"/>
        <v>0</v>
      </c>
    </row>
    <row r="23" spans="2:14" ht="15.75" x14ac:dyDescent="0.25">
      <c r="B23" s="33">
        <v>8</v>
      </c>
      <c r="C23" s="33"/>
      <c r="D23" s="34">
        <v>44937</v>
      </c>
      <c r="E23" s="44">
        <v>45657</v>
      </c>
      <c r="F23" s="35">
        <v>0</v>
      </c>
      <c r="G23" s="35">
        <v>0</v>
      </c>
      <c r="H23" s="35">
        <v>0</v>
      </c>
      <c r="I23" s="35">
        <v>0</v>
      </c>
      <c r="J23" s="35">
        <f t="shared" si="2"/>
        <v>0</v>
      </c>
      <c r="K23" s="45">
        <f t="shared" si="3"/>
        <v>1.9722222222222223</v>
      </c>
      <c r="L23" s="36">
        <v>0</v>
      </c>
      <c r="M23" s="46">
        <f t="shared" si="4"/>
        <v>0</v>
      </c>
      <c r="N23" s="37">
        <f t="shared" si="5"/>
        <v>0</v>
      </c>
    </row>
    <row r="24" spans="2:14" ht="15.75" x14ac:dyDescent="0.25">
      <c r="B24" s="33">
        <v>9</v>
      </c>
      <c r="C24" s="33"/>
      <c r="D24" s="34">
        <v>44937</v>
      </c>
      <c r="E24" s="44">
        <v>45657</v>
      </c>
      <c r="F24" s="35">
        <v>0</v>
      </c>
      <c r="G24" s="35">
        <v>0</v>
      </c>
      <c r="H24" s="35">
        <v>0</v>
      </c>
      <c r="I24" s="35">
        <v>0</v>
      </c>
      <c r="J24" s="35">
        <f t="shared" si="2"/>
        <v>0</v>
      </c>
      <c r="K24" s="45">
        <f t="shared" si="3"/>
        <v>1.9722222222222223</v>
      </c>
      <c r="L24" s="36">
        <v>0</v>
      </c>
      <c r="M24" s="46">
        <f t="shared" si="4"/>
        <v>0</v>
      </c>
      <c r="N24" s="37">
        <f t="shared" si="5"/>
        <v>0</v>
      </c>
    </row>
    <row r="25" spans="2:14" ht="15.75" x14ac:dyDescent="0.25">
      <c r="B25" s="33">
        <v>10</v>
      </c>
      <c r="C25" s="33"/>
      <c r="D25" s="34">
        <v>44937</v>
      </c>
      <c r="E25" s="44">
        <v>45657</v>
      </c>
      <c r="F25" s="35">
        <v>0</v>
      </c>
      <c r="G25" s="35">
        <v>0</v>
      </c>
      <c r="H25" s="35">
        <v>0</v>
      </c>
      <c r="I25" s="35">
        <v>0</v>
      </c>
      <c r="J25" s="35">
        <f t="shared" si="2"/>
        <v>0</v>
      </c>
      <c r="K25" s="45">
        <f t="shared" si="3"/>
        <v>1.9722222222222223</v>
      </c>
      <c r="L25" s="36">
        <v>0</v>
      </c>
      <c r="M25" s="46">
        <f t="shared" si="4"/>
        <v>0</v>
      </c>
      <c r="N25" s="37">
        <f t="shared" si="5"/>
        <v>0</v>
      </c>
    </row>
    <row r="26" spans="2:14" ht="15.75" x14ac:dyDescent="0.25">
      <c r="B26" s="33">
        <v>11</v>
      </c>
      <c r="C26" s="33"/>
      <c r="D26" s="34">
        <v>44937</v>
      </c>
      <c r="E26" s="44">
        <v>45657</v>
      </c>
      <c r="F26" s="35">
        <v>0</v>
      </c>
      <c r="G26" s="35">
        <v>0</v>
      </c>
      <c r="H26" s="35">
        <v>0</v>
      </c>
      <c r="I26" s="35">
        <v>0</v>
      </c>
      <c r="J26" s="35">
        <f t="shared" si="2"/>
        <v>0</v>
      </c>
      <c r="K26" s="45">
        <f t="shared" si="3"/>
        <v>1.9722222222222223</v>
      </c>
      <c r="L26" s="36">
        <v>0</v>
      </c>
      <c r="M26" s="46">
        <f t="shared" si="4"/>
        <v>0</v>
      </c>
      <c r="N26" s="37">
        <f t="shared" si="5"/>
        <v>0</v>
      </c>
    </row>
    <row r="27" spans="2:14" ht="15.75" x14ac:dyDescent="0.25">
      <c r="B27" s="33">
        <v>12</v>
      </c>
      <c r="C27" s="33"/>
      <c r="D27" s="34">
        <v>44937</v>
      </c>
      <c r="E27" s="44">
        <v>45657</v>
      </c>
      <c r="F27" s="35">
        <v>0</v>
      </c>
      <c r="G27" s="35">
        <v>0</v>
      </c>
      <c r="H27" s="35">
        <v>0</v>
      </c>
      <c r="I27" s="35">
        <v>0</v>
      </c>
      <c r="J27" s="35">
        <f t="shared" si="2"/>
        <v>0</v>
      </c>
      <c r="K27" s="45">
        <f t="shared" si="3"/>
        <v>1.9722222222222223</v>
      </c>
      <c r="L27" s="36">
        <v>0</v>
      </c>
      <c r="M27" s="46">
        <f t="shared" si="4"/>
        <v>0</v>
      </c>
      <c r="N27" s="37">
        <f t="shared" si="5"/>
        <v>0</v>
      </c>
    </row>
    <row r="28" spans="2:14" ht="15.75" x14ac:dyDescent="0.25">
      <c r="B28" s="33">
        <v>13</v>
      </c>
      <c r="C28" s="33"/>
      <c r="D28" s="34">
        <v>44937</v>
      </c>
      <c r="E28" s="44">
        <v>45657</v>
      </c>
      <c r="F28" s="35">
        <v>0</v>
      </c>
      <c r="G28" s="35">
        <v>0</v>
      </c>
      <c r="H28" s="35">
        <v>0</v>
      </c>
      <c r="I28" s="35">
        <v>0</v>
      </c>
      <c r="J28" s="35">
        <f t="shared" si="2"/>
        <v>0</v>
      </c>
      <c r="K28" s="45">
        <f t="shared" si="3"/>
        <v>1.9722222222222223</v>
      </c>
      <c r="L28" s="36">
        <v>0</v>
      </c>
      <c r="M28" s="46">
        <f t="shared" si="4"/>
        <v>0</v>
      </c>
      <c r="N28" s="37">
        <f t="shared" si="5"/>
        <v>0</v>
      </c>
    </row>
    <row r="29" spans="2:14" ht="15.75" x14ac:dyDescent="0.25">
      <c r="B29" s="33">
        <v>14</v>
      </c>
      <c r="C29" s="33"/>
      <c r="D29" s="34">
        <v>44937</v>
      </c>
      <c r="E29" s="44">
        <v>45657</v>
      </c>
      <c r="F29" s="35">
        <v>0</v>
      </c>
      <c r="G29" s="35">
        <v>0</v>
      </c>
      <c r="H29" s="35">
        <v>0</v>
      </c>
      <c r="I29" s="35">
        <v>0</v>
      </c>
      <c r="J29" s="35">
        <f t="shared" si="2"/>
        <v>0</v>
      </c>
      <c r="K29" s="45">
        <f t="shared" si="3"/>
        <v>1.9722222222222223</v>
      </c>
      <c r="L29" s="36">
        <v>0</v>
      </c>
      <c r="M29" s="46">
        <f t="shared" si="4"/>
        <v>0</v>
      </c>
      <c r="N29" s="37">
        <f t="shared" si="5"/>
        <v>0</v>
      </c>
    </row>
    <row r="30" spans="2:14" ht="15.75" x14ac:dyDescent="0.25">
      <c r="B30" s="33">
        <v>15</v>
      </c>
      <c r="C30" s="33"/>
      <c r="D30" s="34">
        <v>44937</v>
      </c>
      <c r="E30" s="44">
        <v>45657</v>
      </c>
      <c r="F30" s="35">
        <v>0</v>
      </c>
      <c r="G30" s="35">
        <v>0</v>
      </c>
      <c r="H30" s="35">
        <v>0</v>
      </c>
      <c r="I30" s="35">
        <v>0</v>
      </c>
      <c r="J30" s="35">
        <f t="shared" si="2"/>
        <v>0</v>
      </c>
      <c r="K30" s="45">
        <f t="shared" si="3"/>
        <v>1.9722222222222223</v>
      </c>
      <c r="L30" s="36">
        <v>0</v>
      </c>
      <c r="M30" s="46">
        <f t="shared" si="4"/>
        <v>0</v>
      </c>
      <c r="N30" s="37">
        <f t="shared" si="5"/>
        <v>0</v>
      </c>
    </row>
    <row r="31" spans="2:14" ht="15.75" x14ac:dyDescent="0.25">
      <c r="B31" s="33">
        <v>16</v>
      </c>
      <c r="C31" s="33"/>
      <c r="D31" s="34">
        <v>44937</v>
      </c>
      <c r="E31" s="44">
        <v>45657</v>
      </c>
      <c r="F31" s="35">
        <v>0</v>
      </c>
      <c r="G31" s="35">
        <v>0</v>
      </c>
      <c r="H31" s="35">
        <v>0</v>
      </c>
      <c r="I31" s="35">
        <v>0</v>
      </c>
      <c r="J31" s="35">
        <f t="shared" si="2"/>
        <v>0</v>
      </c>
      <c r="K31" s="45">
        <f t="shared" si="3"/>
        <v>1.9722222222222223</v>
      </c>
      <c r="L31" s="36">
        <v>0</v>
      </c>
      <c r="M31" s="46">
        <f t="shared" si="4"/>
        <v>0</v>
      </c>
      <c r="N31" s="37">
        <f t="shared" si="5"/>
        <v>0</v>
      </c>
    </row>
    <row r="32" spans="2:14" ht="15.75" x14ac:dyDescent="0.25">
      <c r="B32" s="33">
        <v>17</v>
      </c>
      <c r="C32" s="33"/>
      <c r="D32" s="34">
        <v>44937</v>
      </c>
      <c r="E32" s="44">
        <v>45657</v>
      </c>
      <c r="F32" s="35">
        <v>0</v>
      </c>
      <c r="G32" s="35">
        <v>0</v>
      </c>
      <c r="H32" s="35">
        <v>0</v>
      </c>
      <c r="I32" s="35">
        <v>0</v>
      </c>
      <c r="J32" s="35">
        <f t="shared" si="2"/>
        <v>0</v>
      </c>
      <c r="K32" s="45">
        <f t="shared" si="3"/>
        <v>1.9722222222222223</v>
      </c>
      <c r="L32" s="36">
        <v>0</v>
      </c>
      <c r="M32" s="46">
        <f t="shared" si="4"/>
        <v>0</v>
      </c>
      <c r="N32" s="37">
        <f t="shared" si="5"/>
        <v>0</v>
      </c>
    </row>
    <row r="33" spans="2:14" ht="15.75" x14ac:dyDescent="0.25">
      <c r="B33" s="33">
        <v>18</v>
      </c>
      <c r="C33" s="33"/>
      <c r="D33" s="34">
        <v>44937</v>
      </c>
      <c r="E33" s="44">
        <v>45657</v>
      </c>
      <c r="F33" s="35">
        <v>0</v>
      </c>
      <c r="G33" s="35">
        <v>0</v>
      </c>
      <c r="H33" s="35">
        <v>0</v>
      </c>
      <c r="I33" s="35">
        <v>0</v>
      </c>
      <c r="J33" s="35">
        <f t="shared" si="2"/>
        <v>0</v>
      </c>
      <c r="K33" s="45">
        <f t="shared" si="3"/>
        <v>1.9722222222222223</v>
      </c>
      <c r="L33" s="36">
        <v>0</v>
      </c>
      <c r="M33" s="46">
        <f t="shared" si="4"/>
        <v>0</v>
      </c>
      <c r="N33" s="37">
        <f t="shared" si="5"/>
        <v>0</v>
      </c>
    </row>
    <row r="34" spans="2:14" ht="15.75" x14ac:dyDescent="0.25">
      <c r="B34" s="33">
        <v>19</v>
      </c>
      <c r="C34" s="33"/>
      <c r="D34" s="34">
        <v>44937</v>
      </c>
      <c r="E34" s="44">
        <v>45657</v>
      </c>
      <c r="F34" s="35">
        <v>0</v>
      </c>
      <c r="G34" s="35">
        <v>0</v>
      </c>
      <c r="H34" s="35">
        <v>0</v>
      </c>
      <c r="I34" s="35">
        <v>0</v>
      </c>
      <c r="J34" s="35">
        <f t="shared" si="2"/>
        <v>0</v>
      </c>
      <c r="K34" s="45">
        <f t="shared" si="3"/>
        <v>1.9722222222222223</v>
      </c>
      <c r="L34" s="36">
        <v>0</v>
      </c>
      <c r="M34" s="46">
        <f t="shared" si="4"/>
        <v>0</v>
      </c>
      <c r="N34" s="37">
        <f t="shared" si="5"/>
        <v>0</v>
      </c>
    </row>
    <row r="35" spans="2:14" ht="15.75" x14ac:dyDescent="0.25">
      <c r="B35" s="33">
        <v>20</v>
      </c>
      <c r="C35" s="33"/>
      <c r="D35" s="34">
        <v>44937</v>
      </c>
      <c r="E35" s="44">
        <v>45657</v>
      </c>
      <c r="F35" s="35">
        <v>0</v>
      </c>
      <c r="G35" s="35">
        <v>0</v>
      </c>
      <c r="H35" s="35">
        <v>0</v>
      </c>
      <c r="I35" s="35">
        <v>0</v>
      </c>
      <c r="J35" s="35">
        <f t="shared" si="2"/>
        <v>0</v>
      </c>
      <c r="K35" s="45">
        <f t="shared" si="3"/>
        <v>1.9722222222222223</v>
      </c>
      <c r="L35" s="36">
        <v>0</v>
      </c>
      <c r="M35" s="46">
        <f t="shared" si="4"/>
        <v>0</v>
      </c>
      <c r="N35" s="37">
        <f t="shared" si="5"/>
        <v>0</v>
      </c>
    </row>
    <row r="36" spans="2:14" ht="15.75" x14ac:dyDescent="0.25">
      <c r="B36" s="33">
        <v>21</v>
      </c>
      <c r="C36" s="33"/>
      <c r="D36" s="34">
        <v>44937</v>
      </c>
      <c r="E36" s="44">
        <v>45657</v>
      </c>
      <c r="F36" s="35">
        <v>0</v>
      </c>
      <c r="G36" s="35">
        <v>0</v>
      </c>
      <c r="H36" s="35">
        <v>0</v>
      </c>
      <c r="I36" s="35">
        <v>0</v>
      </c>
      <c r="J36" s="35">
        <f t="shared" si="2"/>
        <v>0</v>
      </c>
      <c r="K36" s="45">
        <f t="shared" si="3"/>
        <v>1.9722222222222223</v>
      </c>
      <c r="L36" s="36">
        <v>0</v>
      </c>
      <c r="M36" s="46">
        <f t="shared" si="4"/>
        <v>0</v>
      </c>
      <c r="N36" s="37">
        <f t="shared" si="5"/>
        <v>0</v>
      </c>
    </row>
    <row r="37" spans="2:14" ht="15.75" x14ac:dyDescent="0.25">
      <c r="B37" s="33">
        <v>22</v>
      </c>
      <c r="C37" s="33"/>
      <c r="D37" s="34">
        <v>44937</v>
      </c>
      <c r="E37" s="44">
        <v>45657</v>
      </c>
      <c r="F37" s="35">
        <v>0</v>
      </c>
      <c r="G37" s="35">
        <v>0</v>
      </c>
      <c r="H37" s="35">
        <v>0</v>
      </c>
      <c r="I37" s="35">
        <v>0</v>
      </c>
      <c r="J37" s="35">
        <f t="shared" si="2"/>
        <v>0</v>
      </c>
      <c r="K37" s="45">
        <f t="shared" si="3"/>
        <v>1.9722222222222223</v>
      </c>
      <c r="L37" s="36">
        <v>0</v>
      </c>
      <c r="M37" s="46">
        <f t="shared" si="4"/>
        <v>0</v>
      </c>
      <c r="N37" s="37">
        <f t="shared" si="5"/>
        <v>0</v>
      </c>
    </row>
    <row r="38" spans="2:14" ht="15.75" x14ac:dyDescent="0.25">
      <c r="B38" s="33">
        <v>23</v>
      </c>
      <c r="C38" s="33"/>
      <c r="D38" s="34">
        <v>44937</v>
      </c>
      <c r="E38" s="44">
        <v>45657</v>
      </c>
      <c r="F38" s="35">
        <v>0</v>
      </c>
      <c r="G38" s="35">
        <v>0</v>
      </c>
      <c r="H38" s="35">
        <v>0</v>
      </c>
      <c r="I38" s="35">
        <v>0</v>
      </c>
      <c r="J38" s="35">
        <f t="shared" si="2"/>
        <v>0</v>
      </c>
      <c r="K38" s="45">
        <f t="shared" si="3"/>
        <v>1.9722222222222223</v>
      </c>
      <c r="L38" s="36">
        <v>0</v>
      </c>
      <c r="M38" s="46">
        <f t="shared" si="4"/>
        <v>0</v>
      </c>
      <c r="N38" s="37">
        <f t="shared" si="5"/>
        <v>0</v>
      </c>
    </row>
    <row r="39" spans="2:14" ht="15.75" x14ac:dyDescent="0.25">
      <c r="B39" s="33">
        <v>24</v>
      </c>
      <c r="C39" s="33"/>
      <c r="D39" s="34">
        <v>44937</v>
      </c>
      <c r="E39" s="44">
        <v>45657</v>
      </c>
      <c r="F39" s="35">
        <v>0</v>
      </c>
      <c r="G39" s="35">
        <v>0</v>
      </c>
      <c r="H39" s="35">
        <v>0</v>
      </c>
      <c r="I39" s="35">
        <v>0</v>
      </c>
      <c r="J39" s="35">
        <f t="shared" si="2"/>
        <v>0</v>
      </c>
      <c r="K39" s="45">
        <f t="shared" si="3"/>
        <v>1.9722222222222223</v>
      </c>
      <c r="L39" s="36">
        <v>0</v>
      </c>
      <c r="M39" s="46">
        <f t="shared" si="4"/>
        <v>0</v>
      </c>
      <c r="N39" s="37">
        <f t="shared" si="5"/>
        <v>0</v>
      </c>
    </row>
    <row r="40" spans="2:14" ht="15.75" x14ac:dyDescent="0.25">
      <c r="B40" s="33">
        <v>25</v>
      </c>
      <c r="C40" s="33"/>
      <c r="D40" s="34">
        <v>44937</v>
      </c>
      <c r="E40" s="44">
        <v>45657</v>
      </c>
      <c r="F40" s="35">
        <v>0</v>
      </c>
      <c r="G40" s="35">
        <v>0</v>
      </c>
      <c r="H40" s="35">
        <v>0</v>
      </c>
      <c r="I40" s="35">
        <v>0</v>
      </c>
      <c r="J40" s="35">
        <f t="shared" si="2"/>
        <v>0</v>
      </c>
      <c r="K40" s="45">
        <f t="shared" si="3"/>
        <v>1.9722222222222223</v>
      </c>
      <c r="L40" s="36">
        <v>0</v>
      </c>
      <c r="M40" s="46">
        <f t="shared" si="4"/>
        <v>0</v>
      </c>
      <c r="N40" s="37">
        <f t="shared" si="5"/>
        <v>0</v>
      </c>
    </row>
    <row r="41" spans="2:14" ht="15.75" x14ac:dyDescent="0.25">
      <c r="B41" s="33">
        <v>26</v>
      </c>
      <c r="C41" s="33"/>
      <c r="D41" s="34">
        <v>44937</v>
      </c>
      <c r="E41" s="44">
        <v>45657</v>
      </c>
      <c r="F41" s="35">
        <v>0</v>
      </c>
      <c r="G41" s="35">
        <v>0</v>
      </c>
      <c r="H41" s="35">
        <v>0</v>
      </c>
      <c r="I41" s="35">
        <v>0</v>
      </c>
      <c r="J41" s="35">
        <f t="shared" si="2"/>
        <v>0</v>
      </c>
      <c r="K41" s="45">
        <f t="shared" si="3"/>
        <v>1.9722222222222223</v>
      </c>
      <c r="L41" s="36">
        <v>0</v>
      </c>
      <c r="M41" s="46">
        <f t="shared" si="4"/>
        <v>0</v>
      </c>
      <c r="N41" s="37">
        <f t="shared" si="5"/>
        <v>0</v>
      </c>
    </row>
    <row r="42" spans="2:14" ht="15.75" x14ac:dyDescent="0.25">
      <c r="B42" s="33">
        <v>27</v>
      </c>
      <c r="C42" s="33"/>
      <c r="D42" s="34">
        <v>44937</v>
      </c>
      <c r="E42" s="44">
        <v>45657</v>
      </c>
      <c r="F42" s="35">
        <v>0</v>
      </c>
      <c r="G42" s="35">
        <v>0</v>
      </c>
      <c r="H42" s="35">
        <v>0</v>
      </c>
      <c r="I42" s="35">
        <v>0</v>
      </c>
      <c r="J42" s="35">
        <f t="shared" si="2"/>
        <v>0</v>
      </c>
      <c r="K42" s="45">
        <f t="shared" si="3"/>
        <v>1.9722222222222223</v>
      </c>
      <c r="L42" s="36">
        <v>0</v>
      </c>
      <c r="M42" s="46">
        <f t="shared" si="4"/>
        <v>0</v>
      </c>
      <c r="N42" s="37">
        <f t="shared" si="5"/>
        <v>0</v>
      </c>
    </row>
    <row r="43" spans="2:14" ht="15.75" x14ac:dyDescent="0.25">
      <c r="B43" s="33">
        <v>28</v>
      </c>
      <c r="C43" s="33"/>
      <c r="D43" s="34">
        <v>44937</v>
      </c>
      <c r="E43" s="44">
        <v>45657</v>
      </c>
      <c r="F43" s="35">
        <v>0</v>
      </c>
      <c r="G43" s="35">
        <v>0</v>
      </c>
      <c r="H43" s="35">
        <v>0</v>
      </c>
      <c r="I43" s="35">
        <v>0</v>
      </c>
      <c r="J43" s="35">
        <f t="shared" si="2"/>
        <v>0</v>
      </c>
      <c r="K43" s="45">
        <f t="shared" si="3"/>
        <v>1.9722222222222223</v>
      </c>
      <c r="L43" s="36">
        <v>0</v>
      </c>
      <c r="M43" s="46">
        <f t="shared" si="4"/>
        <v>0</v>
      </c>
      <c r="N43" s="37">
        <f t="shared" si="5"/>
        <v>0</v>
      </c>
    </row>
    <row r="44" spans="2:14" ht="15.75" x14ac:dyDescent="0.25">
      <c r="B44" s="33">
        <v>29</v>
      </c>
      <c r="C44" s="33"/>
      <c r="D44" s="34">
        <v>44937</v>
      </c>
      <c r="E44" s="44">
        <v>45657</v>
      </c>
      <c r="F44" s="35">
        <v>0</v>
      </c>
      <c r="G44" s="35">
        <v>0</v>
      </c>
      <c r="H44" s="35">
        <v>0</v>
      </c>
      <c r="I44" s="35">
        <v>0</v>
      </c>
      <c r="J44" s="35">
        <f t="shared" si="2"/>
        <v>0</v>
      </c>
      <c r="K44" s="45">
        <f t="shared" si="3"/>
        <v>1.9722222222222223</v>
      </c>
      <c r="L44" s="36">
        <v>0</v>
      </c>
      <c r="M44" s="46">
        <f t="shared" si="4"/>
        <v>0</v>
      </c>
      <c r="N44" s="37">
        <f t="shared" si="5"/>
        <v>0</v>
      </c>
    </row>
    <row r="45" spans="2:14" ht="15.75" x14ac:dyDescent="0.25">
      <c r="B45" s="33">
        <v>30</v>
      </c>
      <c r="C45" s="33"/>
      <c r="D45" s="34">
        <v>44937</v>
      </c>
      <c r="E45" s="44">
        <v>45657</v>
      </c>
      <c r="F45" s="35">
        <v>0</v>
      </c>
      <c r="G45" s="35">
        <v>0</v>
      </c>
      <c r="H45" s="35">
        <v>0</v>
      </c>
      <c r="I45" s="35">
        <v>0</v>
      </c>
      <c r="J45" s="35">
        <f t="shared" si="2"/>
        <v>0</v>
      </c>
      <c r="K45" s="45">
        <f t="shared" si="3"/>
        <v>1.9722222222222223</v>
      </c>
      <c r="L45" s="36">
        <v>0</v>
      </c>
      <c r="M45" s="46">
        <f t="shared" si="4"/>
        <v>0</v>
      </c>
      <c r="N45" s="37">
        <f t="shared" si="5"/>
        <v>0</v>
      </c>
    </row>
    <row r="46" spans="2:14" ht="15.75" x14ac:dyDescent="0.25">
      <c r="B46" s="33">
        <v>31</v>
      </c>
      <c r="C46" s="33"/>
      <c r="D46" s="34">
        <v>44937</v>
      </c>
      <c r="E46" s="44">
        <v>45657</v>
      </c>
      <c r="F46" s="35">
        <v>0</v>
      </c>
      <c r="G46" s="35">
        <v>0</v>
      </c>
      <c r="H46" s="35">
        <v>0</v>
      </c>
      <c r="I46" s="35">
        <v>0</v>
      </c>
      <c r="J46" s="35">
        <f t="shared" si="2"/>
        <v>0</v>
      </c>
      <c r="K46" s="45">
        <f t="shared" si="3"/>
        <v>1.9722222222222223</v>
      </c>
      <c r="L46" s="36">
        <v>0</v>
      </c>
      <c r="M46" s="46">
        <f t="shared" si="4"/>
        <v>0</v>
      </c>
      <c r="N46" s="37">
        <f t="shared" si="5"/>
        <v>0</v>
      </c>
    </row>
    <row r="47" spans="2:14" ht="15.75" x14ac:dyDescent="0.25">
      <c r="B47" s="33">
        <v>32</v>
      </c>
      <c r="C47" s="33"/>
      <c r="D47" s="34">
        <v>44937</v>
      </c>
      <c r="E47" s="44">
        <v>45657</v>
      </c>
      <c r="F47" s="35">
        <v>0</v>
      </c>
      <c r="G47" s="35">
        <v>0</v>
      </c>
      <c r="H47" s="35">
        <v>0</v>
      </c>
      <c r="I47" s="35">
        <v>0</v>
      </c>
      <c r="J47" s="35">
        <f t="shared" si="2"/>
        <v>0</v>
      </c>
      <c r="K47" s="45">
        <f t="shared" si="3"/>
        <v>1.9722222222222223</v>
      </c>
      <c r="L47" s="36">
        <v>0</v>
      </c>
      <c r="M47" s="46">
        <f t="shared" si="4"/>
        <v>0</v>
      </c>
      <c r="N47" s="37">
        <f t="shared" si="5"/>
        <v>0</v>
      </c>
    </row>
    <row r="48" spans="2:14" ht="15.75" x14ac:dyDescent="0.25">
      <c r="B48" s="33">
        <v>33</v>
      </c>
      <c r="C48" s="33"/>
      <c r="D48" s="34">
        <v>44937</v>
      </c>
      <c r="E48" s="44">
        <v>45657</v>
      </c>
      <c r="F48" s="35">
        <v>0</v>
      </c>
      <c r="G48" s="35">
        <v>0</v>
      </c>
      <c r="H48" s="35">
        <v>0</v>
      </c>
      <c r="I48" s="35">
        <v>0</v>
      </c>
      <c r="J48" s="35">
        <f t="shared" si="2"/>
        <v>0</v>
      </c>
      <c r="K48" s="45">
        <f t="shared" si="3"/>
        <v>1.9722222222222223</v>
      </c>
      <c r="L48" s="36">
        <v>0</v>
      </c>
      <c r="M48" s="46">
        <f t="shared" si="4"/>
        <v>0</v>
      </c>
      <c r="N48" s="37">
        <f t="shared" si="5"/>
        <v>0</v>
      </c>
    </row>
    <row r="49" spans="2:14" ht="15.75" x14ac:dyDescent="0.25">
      <c r="B49" s="33">
        <v>34</v>
      </c>
      <c r="C49" s="33"/>
      <c r="D49" s="34">
        <v>44937</v>
      </c>
      <c r="E49" s="44">
        <v>45657</v>
      </c>
      <c r="F49" s="35">
        <v>0</v>
      </c>
      <c r="G49" s="35">
        <v>0</v>
      </c>
      <c r="H49" s="35">
        <v>0</v>
      </c>
      <c r="I49" s="35">
        <v>0</v>
      </c>
      <c r="J49" s="35">
        <f t="shared" si="2"/>
        <v>0</v>
      </c>
      <c r="K49" s="45">
        <f t="shared" si="3"/>
        <v>1.9722222222222223</v>
      </c>
      <c r="L49" s="36">
        <v>0</v>
      </c>
      <c r="M49" s="46">
        <f t="shared" si="4"/>
        <v>0</v>
      </c>
      <c r="N49" s="37">
        <f t="shared" si="5"/>
        <v>0</v>
      </c>
    </row>
    <row r="50" spans="2:14" ht="15.75" x14ac:dyDescent="0.25">
      <c r="B50" s="33">
        <v>35</v>
      </c>
      <c r="C50" s="33"/>
      <c r="D50" s="34">
        <v>44937</v>
      </c>
      <c r="E50" s="44">
        <v>45657</v>
      </c>
      <c r="F50" s="35">
        <v>0</v>
      </c>
      <c r="G50" s="35">
        <v>0</v>
      </c>
      <c r="H50" s="35">
        <v>0</v>
      </c>
      <c r="I50" s="35">
        <v>0</v>
      </c>
      <c r="J50" s="35">
        <f t="shared" si="2"/>
        <v>0</v>
      </c>
      <c r="K50" s="45">
        <f t="shared" si="3"/>
        <v>1.9722222222222223</v>
      </c>
      <c r="L50" s="36">
        <v>0</v>
      </c>
      <c r="M50" s="46">
        <f t="shared" si="4"/>
        <v>0</v>
      </c>
      <c r="N50" s="37">
        <f t="shared" si="5"/>
        <v>0</v>
      </c>
    </row>
    <row r="51" spans="2:14" ht="15.75" x14ac:dyDescent="0.25">
      <c r="B51" s="33">
        <v>36</v>
      </c>
      <c r="C51" s="33"/>
      <c r="D51" s="34">
        <v>44937</v>
      </c>
      <c r="E51" s="44">
        <v>45657</v>
      </c>
      <c r="F51" s="35">
        <v>0</v>
      </c>
      <c r="G51" s="35">
        <v>0</v>
      </c>
      <c r="H51" s="35">
        <v>0</v>
      </c>
      <c r="I51" s="35">
        <v>0</v>
      </c>
      <c r="J51" s="35">
        <f t="shared" si="2"/>
        <v>0</v>
      </c>
      <c r="K51" s="45">
        <f t="shared" si="3"/>
        <v>1.9722222222222223</v>
      </c>
      <c r="L51" s="36">
        <v>0</v>
      </c>
      <c r="M51" s="46">
        <f t="shared" si="4"/>
        <v>0</v>
      </c>
      <c r="N51" s="37">
        <f t="shared" si="5"/>
        <v>0</v>
      </c>
    </row>
    <row r="52" spans="2:14" ht="15.75" x14ac:dyDescent="0.25">
      <c r="B52" s="33">
        <v>37</v>
      </c>
      <c r="C52" s="33"/>
      <c r="D52" s="34">
        <v>44937</v>
      </c>
      <c r="E52" s="44">
        <v>45657</v>
      </c>
      <c r="F52" s="35">
        <v>0</v>
      </c>
      <c r="G52" s="35">
        <v>0</v>
      </c>
      <c r="H52" s="35">
        <v>0</v>
      </c>
      <c r="I52" s="35">
        <v>0</v>
      </c>
      <c r="J52" s="35">
        <f t="shared" si="2"/>
        <v>0</v>
      </c>
      <c r="K52" s="45">
        <f t="shared" si="3"/>
        <v>1.9722222222222223</v>
      </c>
      <c r="L52" s="36">
        <v>0</v>
      </c>
      <c r="M52" s="46">
        <f t="shared" si="4"/>
        <v>0</v>
      </c>
      <c r="N52" s="37">
        <f t="shared" si="5"/>
        <v>0</v>
      </c>
    </row>
    <row r="53" spans="2:14" ht="15.75" x14ac:dyDescent="0.25">
      <c r="B53" s="33">
        <v>38</v>
      </c>
      <c r="C53" s="33"/>
      <c r="D53" s="34">
        <v>44937</v>
      </c>
      <c r="E53" s="44">
        <v>45657</v>
      </c>
      <c r="F53" s="35">
        <v>0</v>
      </c>
      <c r="G53" s="35">
        <v>0</v>
      </c>
      <c r="H53" s="35">
        <v>0</v>
      </c>
      <c r="I53" s="35">
        <v>0</v>
      </c>
      <c r="J53" s="35">
        <f t="shared" si="2"/>
        <v>0</v>
      </c>
      <c r="K53" s="45">
        <f t="shared" si="3"/>
        <v>1.9722222222222223</v>
      </c>
      <c r="L53" s="36">
        <v>0</v>
      </c>
      <c r="M53" s="46">
        <f t="shared" si="4"/>
        <v>0</v>
      </c>
      <c r="N53" s="37">
        <f t="shared" si="5"/>
        <v>0</v>
      </c>
    </row>
    <row r="54" spans="2:14" ht="15.75" x14ac:dyDescent="0.25">
      <c r="B54" s="33">
        <v>39</v>
      </c>
      <c r="C54" s="33"/>
      <c r="D54" s="34">
        <v>44937</v>
      </c>
      <c r="E54" s="44">
        <v>45657</v>
      </c>
      <c r="F54" s="35">
        <v>0</v>
      </c>
      <c r="G54" s="35">
        <v>0</v>
      </c>
      <c r="H54" s="35">
        <v>0</v>
      </c>
      <c r="I54" s="35">
        <v>0</v>
      </c>
      <c r="J54" s="35">
        <f t="shared" si="2"/>
        <v>0</v>
      </c>
      <c r="K54" s="45">
        <f t="shared" si="3"/>
        <v>1.9722222222222223</v>
      </c>
      <c r="L54" s="36">
        <v>0</v>
      </c>
      <c r="M54" s="46">
        <f t="shared" si="4"/>
        <v>0</v>
      </c>
      <c r="N54" s="37">
        <f t="shared" si="5"/>
        <v>0</v>
      </c>
    </row>
    <row r="55" spans="2:14" ht="15.75" x14ac:dyDescent="0.25">
      <c r="B55" s="33">
        <v>40</v>
      </c>
      <c r="C55" s="33"/>
      <c r="D55" s="34">
        <v>44937</v>
      </c>
      <c r="E55" s="44">
        <v>45657</v>
      </c>
      <c r="F55" s="35">
        <v>0</v>
      </c>
      <c r="G55" s="35">
        <v>0</v>
      </c>
      <c r="H55" s="35">
        <v>0</v>
      </c>
      <c r="I55" s="35">
        <v>0</v>
      </c>
      <c r="J55" s="35">
        <f t="shared" si="2"/>
        <v>0</v>
      </c>
      <c r="K55" s="45">
        <f t="shared" si="3"/>
        <v>1.9722222222222223</v>
      </c>
      <c r="L55" s="36">
        <v>0</v>
      </c>
      <c r="M55" s="46">
        <f t="shared" si="4"/>
        <v>0</v>
      </c>
      <c r="N55" s="37">
        <f t="shared" si="5"/>
        <v>0</v>
      </c>
    </row>
    <row r="56" spans="2:14" ht="15.75" x14ac:dyDescent="0.25">
      <c r="B56" s="33">
        <v>41</v>
      </c>
      <c r="C56" s="33"/>
      <c r="D56" s="34">
        <v>44937</v>
      </c>
      <c r="E56" s="44">
        <v>45657</v>
      </c>
      <c r="F56" s="35">
        <v>0</v>
      </c>
      <c r="G56" s="35">
        <v>0</v>
      </c>
      <c r="H56" s="35">
        <v>0</v>
      </c>
      <c r="I56" s="35">
        <v>0</v>
      </c>
      <c r="J56" s="35">
        <f t="shared" si="2"/>
        <v>0</v>
      </c>
      <c r="K56" s="45">
        <f t="shared" si="3"/>
        <v>1.9722222222222223</v>
      </c>
      <c r="L56" s="36">
        <v>0</v>
      </c>
      <c r="M56" s="46">
        <f t="shared" si="4"/>
        <v>0</v>
      </c>
      <c r="N56" s="37">
        <f t="shared" si="5"/>
        <v>0</v>
      </c>
    </row>
    <row r="57" spans="2:14" ht="15.75" x14ac:dyDescent="0.25">
      <c r="B57" s="33">
        <v>42</v>
      </c>
      <c r="C57" s="33"/>
      <c r="D57" s="34">
        <v>44937</v>
      </c>
      <c r="E57" s="44">
        <v>45657</v>
      </c>
      <c r="F57" s="35">
        <v>0</v>
      </c>
      <c r="G57" s="35">
        <v>0</v>
      </c>
      <c r="H57" s="35">
        <v>0</v>
      </c>
      <c r="I57" s="35">
        <v>0</v>
      </c>
      <c r="J57" s="35">
        <f t="shared" si="2"/>
        <v>0</v>
      </c>
      <c r="K57" s="45">
        <f t="shared" si="3"/>
        <v>1.9722222222222223</v>
      </c>
      <c r="L57" s="36">
        <v>0</v>
      </c>
      <c r="M57" s="46">
        <f t="shared" si="4"/>
        <v>0</v>
      </c>
      <c r="N57" s="37">
        <f t="shared" si="5"/>
        <v>0</v>
      </c>
    </row>
    <row r="58" spans="2:14" ht="15.75" x14ac:dyDescent="0.25">
      <c r="B58" s="33">
        <v>43</v>
      </c>
      <c r="C58" s="33"/>
      <c r="D58" s="34">
        <v>44937</v>
      </c>
      <c r="E58" s="44">
        <v>45657</v>
      </c>
      <c r="F58" s="35">
        <v>0</v>
      </c>
      <c r="G58" s="35">
        <v>0</v>
      </c>
      <c r="H58" s="35">
        <v>0</v>
      </c>
      <c r="I58" s="35">
        <v>0</v>
      </c>
      <c r="J58" s="35">
        <f t="shared" si="2"/>
        <v>0</v>
      </c>
      <c r="K58" s="45">
        <f t="shared" si="3"/>
        <v>1.9722222222222223</v>
      </c>
      <c r="L58" s="36">
        <v>0</v>
      </c>
      <c r="M58" s="46">
        <f t="shared" si="4"/>
        <v>0</v>
      </c>
      <c r="N58" s="37">
        <f t="shared" si="5"/>
        <v>0</v>
      </c>
    </row>
    <row r="59" spans="2:14" ht="15.75" x14ac:dyDescent="0.25">
      <c r="B59" s="33">
        <v>44</v>
      </c>
      <c r="C59" s="33"/>
      <c r="D59" s="34">
        <v>44937</v>
      </c>
      <c r="E59" s="44">
        <v>45657</v>
      </c>
      <c r="F59" s="35">
        <v>0</v>
      </c>
      <c r="G59" s="35">
        <v>0</v>
      </c>
      <c r="H59" s="35">
        <v>0</v>
      </c>
      <c r="I59" s="35">
        <v>0</v>
      </c>
      <c r="J59" s="35">
        <f t="shared" si="2"/>
        <v>0</v>
      </c>
      <c r="K59" s="45">
        <f t="shared" si="3"/>
        <v>1.9722222222222223</v>
      </c>
      <c r="L59" s="36">
        <v>0</v>
      </c>
      <c r="M59" s="46">
        <f t="shared" si="4"/>
        <v>0</v>
      </c>
      <c r="N59" s="37">
        <f t="shared" si="5"/>
        <v>0</v>
      </c>
    </row>
    <row r="60" spans="2:14" ht="15.75" x14ac:dyDescent="0.25">
      <c r="B60" s="33">
        <v>45</v>
      </c>
      <c r="C60" s="33"/>
      <c r="D60" s="34">
        <v>44937</v>
      </c>
      <c r="E60" s="44">
        <v>45657</v>
      </c>
      <c r="F60" s="35">
        <v>0</v>
      </c>
      <c r="G60" s="35">
        <v>0</v>
      </c>
      <c r="H60" s="35">
        <v>0</v>
      </c>
      <c r="I60" s="35">
        <v>0</v>
      </c>
      <c r="J60" s="35">
        <f t="shared" si="2"/>
        <v>0</v>
      </c>
      <c r="K60" s="45">
        <f t="shared" si="3"/>
        <v>1.9722222222222223</v>
      </c>
      <c r="L60" s="36">
        <v>0</v>
      </c>
      <c r="M60" s="46">
        <f t="shared" si="4"/>
        <v>0</v>
      </c>
      <c r="N60" s="37">
        <f t="shared" si="5"/>
        <v>0</v>
      </c>
    </row>
    <row r="61" spans="2:14" ht="15.75" x14ac:dyDescent="0.25">
      <c r="B61" s="33">
        <v>46</v>
      </c>
      <c r="C61" s="33"/>
      <c r="D61" s="34">
        <v>44937</v>
      </c>
      <c r="E61" s="44">
        <v>45657</v>
      </c>
      <c r="F61" s="35">
        <v>0</v>
      </c>
      <c r="G61" s="35">
        <v>0</v>
      </c>
      <c r="H61" s="35">
        <v>0</v>
      </c>
      <c r="I61" s="35">
        <v>0</v>
      </c>
      <c r="J61" s="35">
        <f t="shared" si="2"/>
        <v>0</v>
      </c>
      <c r="K61" s="45">
        <f t="shared" si="3"/>
        <v>1.9722222222222223</v>
      </c>
      <c r="L61" s="36">
        <v>0</v>
      </c>
      <c r="M61" s="46">
        <f t="shared" si="4"/>
        <v>0</v>
      </c>
      <c r="N61" s="37">
        <f t="shared" si="5"/>
        <v>0</v>
      </c>
    </row>
    <row r="62" spans="2:14" ht="15.75" x14ac:dyDescent="0.25">
      <c r="B62" s="33">
        <v>47</v>
      </c>
      <c r="C62" s="33"/>
      <c r="D62" s="34">
        <v>44937</v>
      </c>
      <c r="E62" s="44">
        <v>45657</v>
      </c>
      <c r="F62" s="35">
        <v>0</v>
      </c>
      <c r="G62" s="35">
        <v>0</v>
      </c>
      <c r="H62" s="35">
        <v>0</v>
      </c>
      <c r="I62" s="35">
        <v>0</v>
      </c>
      <c r="J62" s="35">
        <f t="shared" si="2"/>
        <v>0</v>
      </c>
      <c r="K62" s="45">
        <f t="shared" si="3"/>
        <v>1.9722222222222223</v>
      </c>
      <c r="L62" s="36">
        <v>0</v>
      </c>
      <c r="M62" s="46">
        <f t="shared" si="4"/>
        <v>0</v>
      </c>
      <c r="N62" s="37">
        <f t="shared" si="5"/>
        <v>0</v>
      </c>
    </row>
    <row r="63" spans="2:14" ht="15.75" x14ac:dyDescent="0.25">
      <c r="B63" s="33">
        <v>48</v>
      </c>
      <c r="C63" s="33"/>
      <c r="D63" s="34">
        <v>44937</v>
      </c>
      <c r="E63" s="44">
        <v>45657</v>
      </c>
      <c r="F63" s="35">
        <v>0</v>
      </c>
      <c r="G63" s="35">
        <v>0</v>
      </c>
      <c r="H63" s="35">
        <v>0</v>
      </c>
      <c r="I63" s="35">
        <v>0</v>
      </c>
      <c r="J63" s="35">
        <f t="shared" si="2"/>
        <v>0</v>
      </c>
      <c r="K63" s="45">
        <f t="shared" si="3"/>
        <v>1.9722222222222223</v>
      </c>
      <c r="L63" s="36">
        <v>0</v>
      </c>
      <c r="M63" s="46">
        <f t="shared" si="4"/>
        <v>0</v>
      </c>
      <c r="N63" s="37">
        <f t="shared" si="5"/>
        <v>0</v>
      </c>
    </row>
    <row r="64" spans="2:14" ht="15.75" x14ac:dyDescent="0.25">
      <c r="B64" s="33">
        <v>49</v>
      </c>
      <c r="C64" s="33"/>
      <c r="D64" s="34">
        <v>44937</v>
      </c>
      <c r="E64" s="44">
        <v>45657</v>
      </c>
      <c r="F64" s="35">
        <v>0</v>
      </c>
      <c r="G64" s="35">
        <v>0</v>
      </c>
      <c r="H64" s="35">
        <v>0</v>
      </c>
      <c r="I64" s="35">
        <v>0</v>
      </c>
      <c r="J64" s="35">
        <f t="shared" si="2"/>
        <v>0</v>
      </c>
      <c r="K64" s="45">
        <f t="shared" si="3"/>
        <v>1.9722222222222223</v>
      </c>
      <c r="L64" s="36">
        <v>0</v>
      </c>
      <c r="M64" s="46">
        <f t="shared" si="4"/>
        <v>0</v>
      </c>
      <c r="N64" s="37">
        <f t="shared" si="5"/>
        <v>0</v>
      </c>
    </row>
    <row r="65" spans="2:14" ht="15.75" x14ac:dyDescent="0.25">
      <c r="B65" s="33">
        <v>50</v>
      </c>
      <c r="C65" s="33"/>
      <c r="D65" s="34">
        <v>44937</v>
      </c>
      <c r="E65" s="44">
        <v>45657</v>
      </c>
      <c r="F65" s="35">
        <v>0</v>
      </c>
      <c r="G65" s="35">
        <v>0</v>
      </c>
      <c r="H65" s="35">
        <v>0</v>
      </c>
      <c r="I65" s="35">
        <v>0</v>
      </c>
      <c r="J65" s="35">
        <f t="shared" si="2"/>
        <v>0</v>
      </c>
      <c r="K65" s="45">
        <f t="shared" si="3"/>
        <v>1.9722222222222223</v>
      </c>
      <c r="L65" s="36">
        <v>0</v>
      </c>
      <c r="M65" s="46">
        <f t="shared" si="4"/>
        <v>0</v>
      </c>
      <c r="N65" s="37">
        <f t="shared" si="5"/>
        <v>0</v>
      </c>
    </row>
    <row r="66" spans="2:14" ht="15.75" x14ac:dyDescent="0.25">
      <c r="B66" s="33">
        <v>51</v>
      </c>
      <c r="C66" s="33"/>
      <c r="D66" s="34">
        <v>44937</v>
      </c>
      <c r="E66" s="44">
        <v>45657</v>
      </c>
      <c r="F66" s="35">
        <v>0</v>
      </c>
      <c r="G66" s="35">
        <v>0</v>
      </c>
      <c r="H66" s="35">
        <v>0</v>
      </c>
      <c r="I66" s="35">
        <v>0</v>
      </c>
      <c r="J66" s="35">
        <f t="shared" si="2"/>
        <v>0</v>
      </c>
      <c r="K66" s="45">
        <f t="shared" si="3"/>
        <v>1.9722222222222223</v>
      </c>
      <c r="L66" s="36">
        <v>0</v>
      </c>
      <c r="M66" s="46">
        <f t="shared" si="4"/>
        <v>0</v>
      </c>
      <c r="N66" s="37">
        <f t="shared" si="5"/>
        <v>0</v>
      </c>
    </row>
    <row r="67" spans="2:14" ht="15.75" x14ac:dyDescent="0.25">
      <c r="B67" s="33">
        <v>52</v>
      </c>
      <c r="C67" s="33"/>
      <c r="D67" s="34">
        <v>44937</v>
      </c>
      <c r="E67" s="44">
        <v>45657</v>
      </c>
      <c r="F67" s="35">
        <v>0</v>
      </c>
      <c r="G67" s="35">
        <v>0</v>
      </c>
      <c r="H67" s="35">
        <v>0</v>
      </c>
      <c r="I67" s="35">
        <v>0</v>
      </c>
      <c r="J67" s="35">
        <f t="shared" si="2"/>
        <v>0</v>
      </c>
      <c r="K67" s="45">
        <f t="shared" si="3"/>
        <v>1.9722222222222223</v>
      </c>
      <c r="L67" s="36">
        <v>0</v>
      </c>
      <c r="M67" s="46">
        <f t="shared" si="4"/>
        <v>0</v>
      </c>
      <c r="N67" s="37">
        <f t="shared" si="5"/>
        <v>0</v>
      </c>
    </row>
    <row r="68" spans="2:14" ht="15.75" x14ac:dyDescent="0.25">
      <c r="B68" s="33">
        <v>53</v>
      </c>
      <c r="C68" s="33"/>
      <c r="D68" s="34">
        <v>44937</v>
      </c>
      <c r="E68" s="44">
        <v>45657</v>
      </c>
      <c r="F68" s="35">
        <v>0</v>
      </c>
      <c r="G68" s="35">
        <v>0</v>
      </c>
      <c r="H68" s="35">
        <v>0</v>
      </c>
      <c r="I68" s="35">
        <v>0</v>
      </c>
      <c r="J68" s="35">
        <f t="shared" si="2"/>
        <v>0</v>
      </c>
      <c r="K68" s="45">
        <f t="shared" si="3"/>
        <v>1.9722222222222223</v>
      </c>
      <c r="L68" s="36">
        <v>0</v>
      </c>
      <c r="M68" s="46">
        <f t="shared" si="4"/>
        <v>0</v>
      </c>
      <c r="N68" s="37">
        <f t="shared" si="5"/>
        <v>0</v>
      </c>
    </row>
    <row r="69" spans="2:14" ht="15.75" x14ac:dyDescent="0.25">
      <c r="B69" s="33">
        <v>54</v>
      </c>
      <c r="C69" s="33"/>
      <c r="D69" s="34">
        <v>44937</v>
      </c>
      <c r="E69" s="44">
        <v>45657</v>
      </c>
      <c r="F69" s="35">
        <v>0</v>
      </c>
      <c r="G69" s="35">
        <v>0</v>
      </c>
      <c r="H69" s="35">
        <v>0</v>
      </c>
      <c r="I69" s="35">
        <v>0</v>
      </c>
      <c r="J69" s="35">
        <f t="shared" si="2"/>
        <v>0</v>
      </c>
      <c r="K69" s="45">
        <f t="shared" si="3"/>
        <v>1.9722222222222223</v>
      </c>
      <c r="L69" s="36">
        <v>0</v>
      </c>
      <c r="M69" s="46">
        <f t="shared" si="4"/>
        <v>0</v>
      </c>
      <c r="N69" s="37">
        <f t="shared" si="5"/>
        <v>0</v>
      </c>
    </row>
    <row r="70" spans="2:14" ht="15.75" x14ac:dyDescent="0.25">
      <c r="B70" s="33">
        <v>55</v>
      </c>
      <c r="C70" s="33"/>
      <c r="D70" s="34">
        <v>44937</v>
      </c>
      <c r="E70" s="44">
        <v>45657</v>
      </c>
      <c r="F70" s="35">
        <v>0</v>
      </c>
      <c r="G70" s="35">
        <v>0</v>
      </c>
      <c r="H70" s="35">
        <v>0</v>
      </c>
      <c r="I70" s="35">
        <v>0</v>
      </c>
      <c r="J70" s="35">
        <f t="shared" si="2"/>
        <v>0</v>
      </c>
      <c r="K70" s="45">
        <f t="shared" si="3"/>
        <v>1.9722222222222223</v>
      </c>
      <c r="L70" s="36">
        <v>0</v>
      </c>
      <c r="M70" s="46">
        <f t="shared" si="4"/>
        <v>0</v>
      </c>
      <c r="N70" s="37">
        <f t="shared" si="5"/>
        <v>0</v>
      </c>
    </row>
    <row r="71" spans="2:14" ht="15.75" x14ac:dyDescent="0.25">
      <c r="B71" s="33">
        <v>56</v>
      </c>
      <c r="C71" s="33"/>
      <c r="D71" s="34">
        <v>44937</v>
      </c>
      <c r="E71" s="44">
        <v>45657</v>
      </c>
      <c r="F71" s="35">
        <v>0</v>
      </c>
      <c r="G71" s="35">
        <v>0</v>
      </c>
      <c r="H71" s="35">
        <v>0</v>
      </c>
      <c r="I71" s="35">
        <v>0</v>
      </c>
      <c r="J71" s="35">
        <f t="shared" si="2"/>
        <v>0</v>
      </c>
      <c r="K71" s="45">
        <f t="shared" si="3"/>
        <v>1.9722222222222223</v>
      </c>
      <c r="L71" s="36">
        <v>0</v>
      </c>
      <c r="M71" s="46">
        <f t="shared" si="4"/>
        <v>0</v>
      </c>
      <c r="N71" s="37">
        <f t="shared" si="5"/>
        <v>0</v>
      </c>
    </row>
    <row r="72" spans="2:14" ht="15.75" x14ac:dyDescent="0.25">
      <c r="B72" s="33">
        <v>57</v>
      </c>
      <c r="C72" s="33"/>
      <c r="D72" s="34">
        <v>44937</v>
      </c>
      <c r="E72" s="44">
        <v>45657</v>
      </c>
      <c r="F72" s="35">
        <v>0</v>
      </c>
      <c r="G72" s="35">
        <v>0</v>
      </c>
      <c r="H72" s="35">
        <v>0</v>
      </c>
      <c r="I72" s="35">
        <v>0</v>
      </c>
      <c r="J72" s="35">
        <f t="shared" si="2"/>
        <v>0</v>
      </c>
      <c r="K72" s="45">
        <f t="shared" si="3"/>
        <v>1.9722222222222223</v>
      </c>
      <c r="L72" s="36">
        <v>0</v>
      </c>
      <c r="M72" s="46">
        <f t="shared" si="4"/>
        <v>0</v>
      </c>
      <c r="N72" s="37">
        <f t="shared" si="5"/>
        <v>0</v>
      </c>
    </row>
    <row r="73" spans="2:14" ht="15.75" x14ac:dyDescent="0.25">
      <c r="B73" s="33">
        <v>58</v>
      </c>
      <c r="C73" s="33"/>
      <c r="D73" s="34">
        <v>44937</v>
      </c>
      <c r="E73" s="44">
        <v>45657</v>
      </c>
      <c r="F73" s="35">
        <v>0</v>
      </c>
      <c r="G73" s="35">
        <v>0</v>
      </c>
      <c r="H73" s="35">
        <v>0</v>
      </c>
      <c r="I73" s="35">
        <v>0</v>
      </c>
      <c r="J73" s="35">
        <f t="shared" si="2"/>
        <v>0</v>
      </c>
      <c r="K73" s="45">
        <f t="shared" si="3"/>
        <v>1.9722222222222223</v>
      </c>
      <c r="L73" s="36">
        <v>0</v>
      </c>
      <c r="M73" s="46">
        <f t="shared" si="4"/>
        <v>0</v>
      </c>
      <c r="N73" s="37">
        <f t="shared" si="5"/>
        <v>0</v>
      </c>
    </row>
    <row r="74" spans="2:14" ht="15.75" x14ac:dyDescent="0.25">
      <c r="B74" s="33">
        <v>59</v>
      </c>
      <c r="C74" s="33"/>
      <c r="D74" s="34">
        <v>44937</v>
      </c>
      <c r="E74" s="44">
        <v>45657</v>
      </c>
      <c r="F74" s="35">
        <v>0</v>
      </c>
      <c r="G74" s="35">
        <v>0</v>
      </c>
      <c r="H74" s="35">
        <v>0</v>
      </c>
      <c r="I74" s="35">
        <v>0</v>
      </c>
      <c r="J74" s="35">
        <f t="shared" si="2"/>
        <v>0</v>
      </c>
      <c r="K74" s="45">
        <f t="shared" si="3"/>
        <v>1.9722222222222223</v>
      </c>
      <c r="L74" s="36">
        <v>0</v>
      </c>
      <c r="M74" s="46">
        <f t="shared" si="4"/>
        <v>0</v>
      </c>
      <c r="N74" s="37">
        <f t="shared" si="5"/>
        <v>0</v>
      </c>
    </row>
    <row r="75" spans="2:14" ht="15.75" x14ac:dyDescent="0.25">
      <c r="B75" s="33">
        <v>60</v>
      </c>
      <c r="C75" s="33"/>
      <c r="D75" s="34">
        <v>44937</v>
      </c>
      <c r="E75" s="44">
        <v>45657</v>
      </c>
      <c r="F75" s="35">
        <v>0</v>
      </c>
      <c r="G75" s="35">
        <v>0</v>
      </c>
      <c r="H75" s="35">
        <v>0</v>
      </c>
      <c r="I75" s="35">
        <v>0</v>
      </c>
      <c r="J75" s="35">
        <f t="shared" si="2"/>
        <v>0</v>
      </c>
      <c r="K75" s="45">
        <f t="shared" si="3"/>
        <v>1.9722222222222223</v>
      </c>
      <c r="L75" s="36">
        <v>0</v>
      </c>
      <c r="M75" s="46">
        <f t="shared" si="4"/>
        <v>0</v>
      </c>
      <c r="N75" s="37">
        <f t="shared" si="5"/>
        <v>0</v>
      </c>
    </row>
    <row r="76" spans="2:14" ht="15.75" x14ac:dyDescent="0.25">
      <c r="B76" s="33">
        <v>61</v>
      </c>
      <c r="C76" s="33"/>
      <c r="D76" s="34">
        <v>44937</v>
      </c>
      <c r="E76" s="44">
        <v>45657</v>
      </c>
      <c r="F76" s="35">
        <v>0</v>
      </c>
      <c r="G76" s="35">
        <v>0</v>
      </c>
      <c r="H76" s="35">
        <v>0</v>
      </c>
      <c r="I76" s="35">
        <v>0</v>
      </c>
      <c r="J76" s="35">
        <f t="shared" si="2"/>
        <v>0</v>
      </c>
      <c r="K76" s="45">
        <f t="shared" si="3"/>
        <v>1.9722222222222223</v>
      </c>
      <c r="L76" s="36">
        <v>0</v>
      </c>
      <c r="M76" s="46">
        <f t="shared" si="4"/>
        <v>0</v>
      </c>
      <c r="N76" s="37">
        <f t="shared" si="5"/>
        <v>0</v>
      </c>
    </row>
    <row r="77" spans="2:14" ht="15.75" x14ac:dyDescent="0.25">
      <c r="B77" s="33">
        <v>62</v>
      </c>
      <c r="C77" s="33"/>
      <c r="D77" s="34">
        <v>44937</v>
      </c>
      <c r="E77" s="44">
        <v>45657</v>
      </c>
      <c r="F77" s="35">
        <v>0</v>
      </c>
      <c r="G77" s="35">
        <v>0</v>
      </c>
      <c r="H77" s="35">
        <v>0</v>
      </c>
      <c r="I77" s="35">
        <v>0</v>
      </c>
      <c r="J77" s="35">
        <f t="shared" si="2"/>
        <v>0</v>
      </c>
      <c r="K77" s="45">
        <f t="shared" si="3"/>
        <v>1.9722222222222223</v>
      </c>
      <c r="L77" s="36">
        <v>0</v>
      </c>
      <c r="M77" s="46">
        <f t="shared" si="4"/>
        <v>0</v>
      </c>
      <c r="N77" s="37">
        <f t="shared" si="5"/>
        <v>0</v>
      </c>
    </row>
    <row r="78" spans="2:14" ht="15.75" x14ac:dyDescent="0.25">
      <c r="B78" s="33">
        <v>63</v>
      </c>
      <c r="C78" s="33"/>
      <c r="D78" s="34">
        <v>44937</v>
      </c>
      <c r="E78" s="44">
        <v>45657</v>
      </c>
      <c r="F78" s="35">
        <v>0</v>
      </c>
      <c r="G78" s="35">
        <v>0</v>
      </c>
      <c r="H78" s="35">
        <v>0</v>
      </c>
      <c r="I78" s="35">
        <v>0</v>
      </c>
      <c r="J78" s="35">
        <f t="shared" si="2"/>
        <v>0</v>
      </c>
      <c r="K78" s="45">
        <f t="shared" si="3"/>
        <v>1.9722222222222223</v>
      </c>
      <c r="L78" s="36">
        <v>0</v>
      </c>
      <c r="M78" s="46">
        <f t="shared" si="4"/>
        <v>0</v>
      </c>
      <c r="N78" s="37">
        <f t="shared" si="5"/>
        <v>0</v>
      </c>
    </row>
    <row r="79" spans="2:14" ht="15.75" x14ac:dyDescent="0.25">
      <c r="B79" s="33">
        <v>64</v>
      </c>
      <c r="C79" s="33"/>
      <c r="D79" s="34">
        <v>44937</v>
      </c>
      <c r="E79" s="44">
        <v>45657</v>
      </c>
      <c r="F79" s="35">
        <v>0</v>
      </c>
      <c r="G79" s="35">
        <v>0</v>
      </c>
      <c r="H79" s="35">
        <v>0</v>
      </c>
      <c r="I79" s="35">
        <v>0</v>
      </c>
      <c r="J79" s="35">
        <f t="shared" si="2"/>
        <v>0</v>
      </c>
      <c r="K79" s="45">
        <f t="shared" si="3"/>
        <v>1.9722222222222223</v>
      </c>
      <c r="L79" s="36">
        <v>0</v>
      </c>
      <c r="M79" s="46">
        <f t="shared" si="4"/>
        <v>0</v>
      </c>
      <c r="N79" s="37">
        <f t="shared" si="5"/>
        <v>0</v>
      </c>
    </row>
    <row r="80" spans="2:14" ht="15.75" x14ac:dyDescent="0.25">
      <c r="B80" s="33">
        <v>65</v>
      </c>
      <c r="C80" s="33"/>
      <c r="D80" s="34">
        <v>44937</v>
      </c>
      <c r="E80" s="44">
        <v>45657</v>
      </c>
      <c r="F80" s="35">
        <v>0</v>
      </c>
      <c r="G80" s="35">
        <v>0</v>
      </c>
      <c r="H80" s="35">
        <v>0</v>
      </c>
      <c r="I80" s="35">
        <v>0</v>
      </c>
      <c r="J80" s="35">
        <f t="shared" si="2"/>
        <v>0</v>
      </c>
      <c r="K80" s="45">
        <f t="shared" si="3"/>
        <v>1.9722222222222223</v>
      </c>
      <c r="L80" s="36">
        <v>0</v>
      </c>
      <c r="M80" s="46">
        <f t="shared" si="4"/>
        <v>0</v>
      </c>
      <c r="N80" s="37">
        <f t="shared" si="5"/>
        <v>0</v>
      </c>
    </row>
    <row r="81" spans="2:14" ht="15.75" x14ac:dyDescent="0.25">
      <c r="B81" s="33">
        <v>66</v>
      </c>
      <c r="C81" s="33"/>
      <c r="D81" s="34">
        <v>44937</v>
      </c>
      <c r="E81" s="44">
        <v>45657</v>
      </c>
      <c r="F81" s="35">
        <v>0</v>
      </c>
      <c r="G81" s="35">
        <v>0</v>
      </c>
      <c r="H81" s="35">
        <v>0</v>
      </c>
      <c r="I81" s="35">
        <v>0</v>
      </c>
      <c r="J81" s="35">
        <f t="shared" ref="J81:J115" si="6">SUM(F81:I81)</f>
        <v>0</v>
      </c>
      <c r="K81" s="45">
        <f t="shared" ref="K81:K102" si="7">DAYS360(D81,E81)/360</f>
        <v>1.9722222222222223</v>
      </c>
      <c r="L81" s="36">
        <v>0</v>
      </c>
      <c r="M81" s="46">
        <f t="shared" ref="M81:M115" si="8">IF(K81&lt;5,J81/2*K81,J81/24*60+J81*(K81-5))</f>
        <v>0</v>
      </c>
      <c r="N81" s="37">
        <f t="shared" ref="N81:N115" si="9">M81-L81</f>
        <v>0</v>
      </c>
    </row>
    <row r="82" spans="2:14" ht="15.75" x14ac:dyDescent="0.25">
      <c r="B82" s="33">
        <v>67</v>
      </c>
      <c r="C82" s="33"/>
      <c r="D82" s="34">
        <v>44937</v>
      </c>
      <c r="E82" s="44">
        <v>45657</v>
      </c>
      <c r="F82" s="35">
        <v>0</v>
      </c>
      <c r="G82" s="35">
        <v>0</v>
      </c>
      <c r="H82" s="35">
        <v>0</v>
      </c>
      <c r="I82" s="35">
        <v>0</v>
      </c>
      <c r="J82" s="35">
        <f t="shared" si="6"/>
        <v>0</v>
      </c>
      <c r="K82" s="45">
        <f t="shared" si="7"/>
        <v>1.9722222222222223</v>
      </c>
      <c r="L82" s="36">
        <v>0</v>
      </c>
      <c r="M82" s="46">
        <f t="shared" si="8"/>
        <v>0</v>
      </c>
      <c r="N82" s="37">
        <f t="shared" si="9"/>
        <v>0</v>
      </c>
    </row>
    <row r="83" spans="2:14" ht="15.75" x14ac:dyDescent="0.25">
      <c r="B83" s="33">
        <v>68</v>
      </c>
      <c r="C83" s="33"/>
      <c r="D83" s="34">
        <v>44937</v>
      </c>
      <c r="E83" s="44">
        <v>45657</v>
      </c>
      <c r="F83" s="35">
        <v>0</v>
      </c>
      <c r="G83" s="35">
        <v>0</v>
      </c>
      <c r="H83" s="35">
        <v>0</v>
      </c>
      <c r="I83" s="35">
        <v>0</v>
      </c>
      <c r="J83" s="35">
        <f t="shared" si="6"/>
        <v>0</v>
      </c>
      <c r="K83" s="45">
        <f t="shared" si="7"/>
        <v>1.9722222222222223</v>
      </c>
      <c r="L83" s="36">
        <v>0</v>
      </c>
      <c r="M83" s="46">
        <f t="shared" si="8"/>
        <v>0</v>
      </c>
      <c r="N83" s="37">
        <f t="shared" si="9"/>
        <v>0</v>
      </c>
    </row>
    <row r="84" spans="2:14" ht="15.75" x14ac:dyDescent="0.25">
      <c r="B84" s="33">
        <v>69</v>
      </c>
      <c r="C84" s="33"/>
      <c r="D84" s="34">
        <v>44937</v>
      </c>
      <c r="E84" s="44">
        <v>45657</v>
      </c>
      <c r="F84" s="35">
        <v>0</v>
      </c>
      <c r="G84" s="35">
        <v>0</v>
      </c>
      <c r="H84" s="35">
        <v>0</v>
      </c>
      <c r="I84" s="35">
        <v>0</v>
      </c>
      <c r="J84" s="35">
        <f t="shared" si="6"/>
        <v>0</v>
      </c>
      <c r="K84" s="45">
        <f t="shared" si="7"/>
        <v>1.9722222222222223</v>
      </c>
      <c r="L84" s="36">
        <v>0</v>
      </c>
      <c r="M84" s="46">
        <f t="shared" si="8"/>
        <v>0</v>
      </c>
      <c r="N84" s="37">
        <f t="shared" si="9"/>
        <v>0</v>
      </c>
    </row>
    <row r="85" spans="2:14" ht="15.75" x14ac:dyDescent="0.25">
      <c r="B85" s="33">
        <v>70</v>
      </c>
      <c r="C85" s="33"/>
      <c r="D85" s="34">
        <v>44937</v>
      </c>
      <c r="E85" s="44">
        <v>45657</v>
      </c>
      <c r="F85" s="35">
        <v>0</v>
      </c>
      <c r="G85" s="35">
        <v>0</v>
      </c>
      <c r="H85" s="35">
        <v>0</v>
      </c>
      <c r="I85" s="35">
        <v>0</v>
      </c>
      <c r="J85" s="35">
        <f t="shared" si="6"/>
        <v>0</v>
      </c>
      <c r="K85" s="45">
        <f t="shared" si="7"/>
        <v>1.9722222222222223</v>
      </c>
      <c r="L85" s="36">
        <v>0</v>
      </c>
      <c r="M85" s="46">
        <f t="shared" si="8"/>
        <v>0</v>
      </c>
      <c r="N85" s="37">
        <f t="shared" si="9"/>
        <v>0</v>
      </c>
    </row>
    <row r="86" spans="2:14" ht="15.75" x14ac:dyDescent="0.25">
      <c r="B86" s="33">
        <v>71</v>
      </c>
      <c r="C86" s="33"/>
      <c r="D86" s="34">
        <v>44937</v>
      </c>
      <c r="E86" s="44">
        <v>45657</v>
      </c>
      <c r="F86" s="35">
        <v>0</v>
      </c>
      <c r="G86" s="35">
        <v>0</v>
      </c>
      <c r="H86" s="35">
        <v>0</v>
      </c>
      <c r="I86" s="35">
        <v>0</v>
      </c>
      <c r="J86" s="35">
        <f t="shared" si="6"/>
        <v>0</v>
      </c>
      <c r="K86" s="45">
        <f t="shared" si="7"/>
        <v>1.9722222222222223</v>
      </c>
      <c r="L86" s="36">
        <v>0</v>
      </c>
      <c r="M86" s="46">
        <f t="shared" si="8"/>
        <v>0</v>
      </c>
      <c r="N86" s="37">
        <f t="shared" si="9"/>
        <v>0</v>
      </c>
    </row>
    <row r="87" spans="2:14" ht="15.75" x14ac:dyDescent="0.25">
      <c r="B87" s="33">
        <v>72</v>
      </c>
      <c r="C87" s="33"/>
      <c r="D87" s="34">
        <v>44937</v>
      </c>
      <c r="E87" s="44">
        <v>45657</v>
      </c>
      <c r="F87" s="35">
        <v>0</v>
      </c>
      <c r="G87" s="35">
        <v>0</v>
      </c>
      <c r="H87" s="35">
        <v>0</v>
      </c>
      <c r="I87" s="35">
        <v>0</v>
      </c>
      <c r="J87" s="35">
        <f t="shared" si="6"/>
        <v>0</v>
      </c>
      <c r="K87" s="45">
        <f t="shared" si="7"/>
        <v>1.9722222222222223</v>
      </c>
      <c r="L87" s="36">
        <v>0</v>
      </c>
      <c r="M87" s="46">
        <f t="shared" si="8"/>
        <v>0</v>
      </c>
      <c r="N87" s="37">
        <f t="shared" si="9"/>
        <v>0</v>
      </c>
    </row>
    <row r="88" spans="2:14" ht="15.75" x14ac:dyDescent="0.25">
      <c r="B88" s="33">
        <v>73</v>
      </c>
      <c r="C88" s="33"/>
      <c r="D88" s="34">
        <v>44937</v>
      </c>
      <c r="E88" s="44">
        <v>45657</v>
      </c>
      <c r="F88" s="35">
        <v>0</v>
      </c>
      <c r="G88" s="35">
        <v>0</v>
      </c>
      <c r="H88" s="35">
        <v>0</v>
      </c>
      <c r="I88" s="35">
        <v>0</v>
      </c>
      <c r="J88" s="35">
        <f t="shared" si="6"/>
        <v>0</v>
      </c>
      <c r="K88" s="45">
        <f t="shared" si="7"/>
        <v>1.9722222222222223</v>
      </c>
      <c r="L88" s="36">
        <v>0</v>
      </c>
      <c r="M88" s="46">
        <f t="shared" si="8"/>
        <v>0</v>
      </c>
      <c r="N88" s="37">
        <f t="shared" si="9"/>
        <v>0</v>
      </c>
    </row>
    <row r="89" spans="2:14" ht="15.75" x14ac:dyDescent="0.25">
      <c r="B89" s="33">
        <v>74</v>
      </c>
      <c r="C89" s="33"/>
      <c r="D89" s="34">
        <v>44937</v>
      </c>
      <c r="E89" s="44">
        <v>45657</v>
      </c>
      <c r="F89" s="35">
        <v>0</v>
      </c>
      <c r="G89" s="35">
        <v>0</v>
      </c>
      <c r="H89" s="35">
        <v>0</v>
      </c>
      <c r="I89" s="35">
        <v>0</v>
      </c>
      <c r="J89" s="35">
        <f t="shared" si="6"/>
        <v>0</v>
      </c>
      <c r="K89" s="45">
        <f t="shared" si="7"/>
        <v>1.9722222222222223</v>
      </c>
      <c r="L89" s="36">
        <v>0</v>
      </c>
      <c r="M89" s="46">
        <f t="shared" si="8"/>
        <v>0</v>
      </c>
      <c r="N89" s="37">
        <f t="shared" si="9"/>
        <v>0</v>
      </c>
    </row>
    <row r="90" spans="2:14" ht="15.75" x14ac:dyDescent="0.25">
      <c r="B90" s="33">
        <v>75</v>
      </c>
      <c r="C90" s="33"/>
      <c r="D90" s="34">
        <v>44937</v>
      </c>
      <c r="E90" s="44">
        <v>45657</v>
      </c>
      <c r="F90" s="35">
        <v>0</v>
      </c>
      <c r="G90" s="35">
        <v>0</v>
      </c>
      <c r="H90" s="35">
        <v>0</v>
      </c>
      <c r="I90" s="35">
        <v>0</v>
      </c>
      <c r="J90" s="35">
        <f t="shared" si="6"/>
        <v>0</v>
      </c>
      <c r="K90" s="45">
        <f t="shared" si="7"/>
        <v>1.9722222222222223</v>
      </c>
      <c r="L90" s="36">
        <v>0</v>
      </c>
      <c r="M90" s="46">
        <f t="shared" si="8"/>
        <v>0</v>
      </c>
      <c r="N90" s="37">
        <f t="shared" si="9"/>
        <v>0</v>
      </c>
    </row>
    <row r="91" spans="2:14" ht="15.75" x14ac:dyDescent="0.25">
      <c r="B91" s="33">
        <v>76</v>
      </c>
      <c r="C91" s="33"/>
      <c r="D91" s="34">
        <v>44937</v>
      </c>
      <c r="E91" s="44">
        <v>45657</v>
      </c>
      <c r="F91" s="35">
        <v>0</v>
      </c>
      <c r="G91" s="35">
        <v>0</v>
      </c>
      <c r="H91" s="35">
        <v>0</v>
      </c>
      <c r="I91" s="35">
        <v>0</v>
      </c>
      <c r="J91" s="35">
        <f t="shared" si="6"/>
        <v>0</v>
      </c>
      <c r="K91" s="45">
        <f t="shared" si="7"/>
        <v>1.9722222222222223</v>
      </c>
      <c r="L91" s="36">
        <v>0</v>
      </c>
      <c r="M91" s="46">
        <f t="shared" si="8"/>
        <v>0</v>
      </c>
      <c r="N91" s="37">
        <f t="shared" si="9"/>
        <v>0</v>
      </c>
    </row>
    <row r="92" spans="2:14" ht="15.75" x14ac:dyDescent="0.25">
      <c r="B92" s="33">
        <v>77</v>
      </c>
      <c r="C92" s="33"/>
      <c r="D92" s="34">
        <v>44937</v>
      </c>
      <c r="E92" s="44">
        <v>45657</v>
      </c>
      <c r="F92" s="35">
        <v>0</v>
      </c>
      <c r="G92" s="35">
        <v>0</v>
      </c>
      <c r="H92" s="35">
        <v>0</v>
      </c>
      <c r="I92" s="35">
        <v>0</v>
      </c>
      <c r="J92" s="35">
        <f t="shared" si="6"/>
        <v>0</v>
      </c>
      <c r="K92" s="45">
        <f t="shared" si="7"/>
        <v>1.9722222222222223</v>
      </c>
      <c r="L92" s="36">
        <v>0</v>
      </c>
      <c r="M92" s="46">
        <f t="shared" si="8"/>
        <v>0</v>
      </c>
      <c r="N92" s="37">
        <f t="shared" si="9"/>
        <v>0</v>
      </c>
    </row>
    <row r="93" spans="2:14" ht="15.75" x14ac:dyDescent="0.25">
      <c r="B93" s="33">
        <v>78</v>
      </c>
      <c r="C93" s="33"/>
      <c r="D93" s="34">
        <v>44937</v>
      </c>
      <c r="E93" s="44">
        <v>45657</v>
      </c>
      <c r="F93" s="35">
        <v>0</v>
      </c>
      <c r="G93" s="35">
        <v>0</v>
      </c>
      <c r="H93" s="35">
        <v>0</v>
      </c>
      <c r="I93" s="35">
        <v>0</v>
      </c>
      <c r="J93" s="35">
        <f t="shared" si="6"/>
        <v>0</v>
      </c>
      <c r="K93" s="45">
        <f t="shared" si="7"/>
        <v>1.9722222222222223</v>
      </c>
      <c r="L93" s="36">
        <v>0</v>
      </c>
      <c r="M93" s="46">
        <f t="shared" si="8"/>
        <v>0</v>
      </c>
      <c r="N93" s="37">
        <f t="shared" si="9"/>
        <v>0</v>
      </c>
    </row>
    <row r="94" spans="2:14" ht="15.75" x14ac:dyDescent="0.25">
      <c r="B94" s="33">
        <v>79</v>
      </c>
      <c r="C94" s="33"/>
      <c r="D94" s="34">
        <v>44937</v>
      </c>
      <c r="E94" s="44">
        <v>45657</v>
      </c>
      <c r="F94" s="35">
        <v>0</v>
      </c>
      <c r="G94" s="35">
        <v>0</v>
      </c>
      <c r="H94" s="35">
        <v>0</v>
      </c>
      <c r="I94" s="35">
        <v>0</v>
      </c>
      <c r="J94" s="35">
        <f t="shared" si="6"/>
        <v>0</v>
      </c>
      <c r="K94" s="45">
        <f t="shared" si="7"/>
        <v>1.9722222222222223</v>
      </c>
      <c r="L94" s="36">
        <v>0</v>
      </c>
      <c r="M94" s="46">
        <f t="shared" si="8"/>
        <v>0</v>
      </c>
      <c r="N94" s="37">
        <f t="shared" si="9"/>
        <v>0</v>
      </c>
    </row>
    <row r="95" spans="2:14" ht="15.75" x14ac:dyDescent="0.25">
      <c r="B95" s="33">
        <v>80</v>
      </c>
      <c r="C95" s="33"/>
      <c r="D95" s="34">
        <v>44937</v>
      </c>
      <c r="E95" s="44">
        <v>45657</v>
      </c>
      <c r="F95" s="35">
        <v>0</v>
      </c>
      <c r="G95" s="35">
        <v>0</v>
      </c>
      <c r="H95" s="35">
        <v>0</v>
      </c>
      <c r="I95" s="35">
        <v>0</v>
      </c>
      <c r="J95" s="35">
        <f t="shared" si="6"/>
        <v>0</v>
      </c>
      <c r="K95" s="45">
        <f t="shared" si="7"/>
        <v>1.9722222222222223</v>
      </c>
      <c r="L95" s="36">
        <v>0</v>
      </c>
      <c r="M95" s="46">
        <f t="shared" si="8"/>
        <v>0</v>
      </c>
      <c r="N95" s="37">
        <f t="shared" si="9"/>
        <v>0</v>
      </c>
    </row>
    <row r="96" spans="2:14" ht="15.75" x14ac:dyDescent="0.25">
      <c r="B96" s="33">
        <v>81</v>
      </c>
      <c r="C96" s="33"/>
      <c r="D96" s="34">
        <v>44937</v>
      </c>
      <c r="E96" s="44">
        <v>45657</v>
      </c>
      <c r="F96" s="35">
        <v>0</v>
      </c>
      <c r="G96" s="35">
        <v>0</v>
      </c>
      <c r="H96" s="35">
        <v>0</v>
      </c>
      <c r="I96" s="35">
        <v>0</v>
      </c>
      <c r="J96" s="35">
        <f t="shared" si="6"/>
        <v>0</v>
      </c>
      <c r="K96" s="45">
        <f t="shared" si="7"/>
        <v>1.9722222222222223</v>
      </c>
      <c r="L96" s="36">
        <v>0</v>
      </c>
      <c r="M96" s="46">
        <f t="shared" si="8"/>
        <v>0</v>
      </c>
      <c r="N96" s="37">
        <f t="shared" si="9"/>
        <v>0</v>
      </c>
    </row>
    <row r="97" spans="2:14" ht="15.75" x14ac:dyDescent="0.25">
      <c r="B97" s="33">
        <v>82</v>
      </c>
      <c r="C97" s="33"/>
      <c r="D97" s="34">
        <v>44937</v>
      </c>
      <c r="E97" s="44">
        <v>45657</v>
      </c>
      <c r="F97" s="35">
        <v>0</v>
      </c>
      <c r="G97" s="35">
        <v>0</v>
      </c>
      <c r="H97" s="35">
        <v>0</v>
      </c>
      <c r="I97" s="35">
        <v>0</v>
      </c>
      <c r="J97" s="35">
        <f t="shared" si="6"/>
        <v>0</v>
      </c>
      <c r="K97" s="45">
        <f t="shared" si="7"/>
        <v>1.9722222222222223</v>
      </c>
      <c r="L97" s="36">
        <v>0</v>
      </c>
      <c r="M97" s="46">
        <f t="shared" si="8"/>
        <v>0</v>
      </c>
      <c r="N97" s="37">
        <f t="shared" si="9"/>
        <v>0</v>
      </c>
    </row>
    <row r="98" spans="2:14" ht="15.75" x14ac:dyDescent="0.25">
      <c r="B98" s="33">
        <v>83</v>
      </c>
      <c r="C98" s="33"/>
      <c r="D98" s="34">
        <v>44937</v>
      </c>
      <c r="E98" s="44">
        <v>45657</v>
      </c>
      <c r="F98" s="35">
        <v>0</v>
      </c>
      <c r="G98" s="35">
        <v>0</v>
      </c>
      <c r="H98" s="35">
        <v>0</v>
      </c>
      <c r="I98" s="35">
        <v>0</v>
      </c>
      <c r="J98" s="35">
        <f t="shared" si="6"/>
        <v>0</v>
      </c>
      <c r="K98" s="45">
        <f t="shared" si="7"/>
        <v>1.9722222222222223</v>
      </c>
      <c r="L98" s="36">
        <v>0</v>
      </c>
      <c r="M98" s="46">
        <f t="shared" si="8"/>
        <v>0</v>
      </c>
      <c r="N98" s="37">
        <f t="shared" si="9"/>
        <v>0</v>
      </c>
    </row>
    <row r="99" spans="2:14" ht="15.75" x14ac:dyDescent="0.25">
      <c r="B99" s="33">
        <v>84</v>
      </c>
      <c r="C99" s="33"/>
      <c r="D99" s="34">
        <v>44937</v>
      </c>
      <c r="E99" s="44">
        <v>45657</v>
      </c>
      <c r="F99" s="35">
        <v>0</v>
      </c>
      <c r="G99" s="35">
        <v>0</v>
      </c>
      <c r="H99" s="35">
        <v>0</v>
      </c>
      <c r="I99" s="35">
        <v>0</v>
      </c>
      <c r="J99" s="35">
        <f t="shared" si="6"/>
        <v>0</v>
      </c>
      <c r="K99" s="45">
        <f t="shared" si="7"/>
        <v>1.9722222222222223</v>
      </c>
      <c r="L99" s="36">
        <v>0</v>
      </c>
      <c r="M99" s="46">
        <f t="shared" si="8"/>
        <v>0</v>
      </c>
      <c r="N99" s="37">
        <f t="shared" si="9"/>
        <v>0</v>
      </c>
    </row>
    <row r="100" spans="2:14" ht="15.75" x14ac:dyDescent="0.25">
      <c r="B100" s="33">
        <v>85</v>
      </c>
      <c r="C100" s="33"/>
      <c r="D100" s="34">
        <v>44937</v>
      </c>
      <c r="E100" s="44">
        <v>45657</v>
      </c>
      <c r="F100" s="35">
        <v>0</v>
      </c>
      <c r="G100" s="35">
        <v>0</v>
      </c>
      <c r="H100" s="35">
        <v>0</v>
      </c>
      <c r="I100" s="35">
        <v>0</v>
      </c>
      <c r="J100" s="35">
        <f t="shared" si="6"/>
        <v>0</v>
      </c>
      <c r="K100" s="45">
        <f t="shared" si="7"/>
        <v>1.9722222222222223</v>
      </c>
      <c r="L100" s="36">
        <v>0</v>
      </c>
      <c r="M100" s="46">
        <f t="shared" si="8"/>
        <v>0</v>
      </c>
      <c r="N100" s="37">
        <f t="shared" si="9"/>
        <v>0</v>
      </c>
    </row>
    <row r="101" spans="2:14" ht="15.75" x14ac:dyDescent="0.25">
      <c r="B101" s="33">
        <v>86</v>
      </c>
      <c r="C101" s="33"/>
      <c r="D101" s="34">
        <v>44937</v>
      </c>
      <c r="E101" s="44">
        <v>45657</v>
      </c>
      <c r="F101" s="35">
        <v>0</v>
      </c>
      <c r="G101" s="35">
        <v>0</v>
      </c>
      <c r="H101" s="35">
        <v>0</v>
      </c>
      <c r="I101" s="35">
        <v>0</v>
      </c>
      <c r="J101" s="35">
        <f t="shared" si="6"/>
        <v>0</v>
      </c>
      <c r="K101" s="45">
        <f t="shared" si="7"/>
        <v>1.9722222222222223</v>
      </c>
      <c r="L101" s="36">
        <v>0</v>
      </c>
      <c r="M101" s="46">
        <f t="shared" si="8"/>
        <v>0</v>
      </c>
      <c r="N101" s="37">
        <f t="shared" si="9"/>
        <v>0</v>
      </c>
    </row>
    <row r="102" spans="2:14" ht="15.75" x14ac:dyDescent="0.25">
      <c r="B102" s="33">
        <v>87</v>
      </c>
      <c r="C102" s="33"/>
      <c r="D102" s="34">
        <v>44937</v>
      </c>
      <c r="E102" s="44">
        <v>45657</v>
      </c>
      <c r="F102" s="35">
        <v>0</v>
      </c>
      <c r="G102" s="35">
        <v>0</v>
      </c>
      <c r="H102" s="35">
        <v>0</v>
      </c>
      <c r="I102" s="35">
        <v>0</v>
      </c>
      <c r="J102" s="35">
        <f t="shared" si="6"/>
        <v>0</v>
      </c>
      <c r="K102" s="45">
        <f t="shared" si="7"/>
        <v>1.9722222222222223</v>
      </c>
      <c r="L102" s="36">
        <v>0</v>
      </c>
      <c r="M102" s="46">
        <f t="shared" si="8"/>
        <v>0</v>
      </c>
      <c r="N102" s="37">
        <f t="shared" si="9"/>
        <v>0</v>
      </c>
    </row>
    <row r="103" spans="2:14" ht="15.75" x14ac:dyDescent="0.25">
      <c r="B103" s="33">
        <v>88</v>
      </c>
      <c r="C103" s="33"/>
      <c r="D103" s="34">
        <v>44937</v>
      </c>
      <c r="E103" s="44">
        <v>45657</v>
      </c>
      <c r="F103" s="35">
        <v>0</v>
      </c>
      <c r="G103" s="35">
        <v>0</v>
      </c>
      <c r="H103" s="35">
        <v>0</v>
      </c>
      <c r="I103" s="35">
        <v>0</v>
      </c>
      <c r="J103" s="35">
        <f t="shared" si="6"/>
        <v>0</v>
      </c>
      <c r="K103" s="45">
        <f t="shared" ref="K103:K115" si="10">DAYS360(D103,E103)/360</f>
        <v>1.9722222222222223</v>
      </c>
      <c r="L103" s="36">
        <v>0</v>
      </c>
      <c r="M103" s="46">
        <f t="shared" si="8"/>
        <v>0</v>
      </c>
      <c r="N103" s="37">
        <f t="shared" si="9"/>
        <v>0</v>
      </c>
    </row>
    <row r="104" spans="2:14" ht="15.75" x14ac:dyDescent="0.25">
      <c r="B104" s="33">
        <v>89</v>
      </c>
      <c r="C104" s="33"/>
      <c r="D104" s="34">
        <v>44937</v>
      </c>
      <c r="E104" s="44">
        <v>45657</v>
      </c>
      <c r="F104" s="35">
        <v>0</v>
      </c>
      <c r="G104" s="35">
        <v>0</v>
      </c>
      <c r="H104" s="35">
        <v>0</v>
      </c>
      <c r="I104" s="35">
        <v>0</v>
      </c>
      <c r="J104" s="35">
        <f t="shared" si="6"/>
        <v>0</v>
      </c>
      <c r="K104" s="45">
        <f t="shared" si="10"/>
        <v>1.9722222222222223</v>
      </c>
      <c r="L104" s="36">
        <v>0</v>
      </c>
      <c r="M104" s="46">
        <f t="shared" si="8"/>
        <v>0</v>
      </c>
      <c r="N104" s="37">
        <f t="shared" si="9"/>
        <v>0</v>
      </c>
    </row>
    <row r="105" spans="2:14" ht="15.75" x14ac:dyDescent="0.25">
      <c r="B105" s="33">
        <v>90</v>
      </c>
      <c r="C105" s="33"/>
      <c r="D105" s="34">
        <v>44937</v>
      </c>
      <c r="E105" s="44">
        <v>45657</v>
      </c>
      <c r="F105" s="35">
        <v>0</v>
      </c>
      <c r="G105" s="35">
        <v>0</v>
      </c>
      <c r="H105" s="35">
        <v>0</v>
      </c>
      <c r="I105" s="35">
        <v>0</v>
      </c>
      <c r="J105" s="35">
        <f t="shared" si="6"/>
        <v>0</v>
      </c>
      <c r="K105" s="45">
        <f t="shared" si="10"/>
        <v>1.9722222222222223</v>
      </c>
      <c r="L105" s="36">
        <v>0</v>
      </c>
      <c r="M105" s="46">
        <f t="shared" si="8"/>
        <v>0</v>
      </c>
      <c r="N105" s="37">
        <f t="shared" si="9"/>
        <v>0</v>
      </c>
    </row>
    <row r="106" spans="2:14" ht="15.75" x14ac:dyDescent="0.25">
      <c r="B106" s="33">
        <v>91</v>
      </c>
      <c r="C106" s="33"/>
      <c r="D106" s="34">
        <v>44937</v>
      </c>
      <c r="E106" s="44">
        <v>45657</v>
      </c>
      <c r="F106" s="35">
        <v>0</v>
      </c>
      <c r="G106" s="35">
        <v>0</v>
      </c>
      <c r="H106" s="35">
        <v>0</v>
      </c>
      <c r="I106" s="35">
        <v>0</v>
      </c>
      <c r="J106" s="35">
        <f t="shared" si="6"/>
        <v>0</v>
      </c>
      <c r="K106" s="45">
        <f t="shared" si="10"/>
        <v>1.9722222222222223</v>
      </c>
      <c r="L106" s="36">
        <v>0</v>
      </c>
      <c r="M106" s="46">
        <f t="shared" si="8"/>
        <v>0</v>
      </c>
      <c r="N106" s="37">
        <f t="shared" si="9"/>
        <v>0</v>
      </c>
    </row>
    <row r="107" spans="2:14" ht="15.75" x14ac:dyDescent="0.25">
      <c r="B107" s="33">
        <v>92</v>
      </c>
      <c r="C107" s="33"/>
      <c r="D107" s="34">
        <v>44937</v>
      </c>
      <c r="E107" s="44">
        <v>45657</v>
      </c>
      <c r="F107" s="35">
        <v>0</v>
      </c>
      <c r="G107" s="35">
        <v>0</v>
      </c>
      <c r="H107" s="35">
        <v>0</v>
      </c>
      <c r="I107" s="35">
        <v>0</v>
      </c>
      <c r="J107" s="35">
        <f t="shared" si="6"/>
        <v>0</v>
      </c>
      <c r="K107" s="45">
        <f t="shared" si="10"/>
        <v>1.9722222222222223</v>
      </c>
      <c r="L107" s="36">
        <v>0</v>
      </c>
      <c r="M107" s="46">
        <f t="shared" si="8"/>
        <v>0</v>
      </c>
      <c r="N107" s="37">
        <f t="shared" si="9"/>
        <v>0</v>
      </c>
    </row>
    <row r="108" spans="2:14" ht="15.75" x14ac:dyDescent="0.25">
      <c r="B108" s="33">
        <v>93</v>
      </c>
      <c r="C108" s="33"/>
      <c r="D108" s="34">
        <v>44937</v>
      </c>
      <c r="E108" s="44">
        <v>45657</v>
      </c>
      <c r="F108" s="35">
        <v>0</v>
      </c>
      <c r="G108" s="35">
        <v>0</v>
      </c>
      <c r="H108" s="35">
        <v>0</v>
      </c>
      <c r="I108" s="35">
        <v>0</v>
      </c>
      <c r="J108" s="35">
        <f t="shared" si="6"/>
        <v>0</v>
      </c>
      <c r="K108" s="45">
        <f t="shared" si="10"/>
        <v>1.9722222222222223</v>
      </c>
      <c r="L108" s="36">
        <v>0</v>
      </c>
      <c r="M108" s="46">
        <f t="shared" si="8"/>
        <v>0</v>
      </c>
      <c r="N108" s="37">
        <f t="shared" si="9"/>
        <v>0</v>
      </c>
    </row>
    <row r="109" spans="2:14" ht="15.75" x14ac:dyDescent="0.25">
      <c r="B109" s="33">
        <v>94</v>
      </c>
      <c r="C109" s="33"/>
      <c r="D109" s="34">
        <v>44937</v>
      </c>
      <c r="E109" s="44">
        <v>45657</v>
      </c>
      <c r="F109" s="35">
        <v>0</v>
      </c>
      <c r="G109" s="35">
        <v>0</v>
      </c>
      <c r="H109" s="35">
        <v>0</v>
      </c>
      <c r="I109" s="35">
        <v>0</v>
      </c>
      <c r="J109" s="35">
        <f t="shared" si="6"/>
        <v>0</v>
      </c>
      <c r="K109" s="45">
        <f t="shared" si="10"/>
        <v>1.9722222222222223</v>
      </c>
      <c r="L109" s="36">
        <v>0</v>
      </c>
      <c r="M109" s="46">
        <f t="shared" si="8"/>
        <v>0</v>
      </c>
      <c r="N109" s="37">
        <f t="shared" si="9"/>
        <v>0</v>
      </c>
    </row>
    <row r="110" spans="2:14" ht="15.75" x14ac:dyDescent="0.25">
      <c r="B110" s="33">
        <v>95</v>
      </c>
      <c r="C110" s="33"/>
      <c r="D110" s="34">
        <v>44937</v>
      </c>
      <c r="E110" s="44">
        <v>45657</v>
      </c>
      <c r="F110" s="35">
        <v>0</v>
      </c>
      <c r="G110" s="35">
        <v>0</v>
      </c>
      <c r="H110" s="35">
        <v>0</v>
      </c>
      <c r="I110" s="35">
        <v>0</v>
      </c>
      <c r="J110" s="35">
        <f t="shared" si="6"/>
        <v>0</v>
      </c>
      <c r="K110" s="45">
        <f t="shared" si="10"/>
        <v>1.9722222222222223</v>
      </c>
      <c r="L110" s="36">
        <v>0</v>
      </c>
      <c r="M110" s="46">
        <f t="shared" si="8"/>
        <v>0</v>
      </c>
      <c r="N110" s="37">
        <f t="shared" si="9"/>
        <v>0</v>
      </c>
    </row>
    <row r="111" spans="2:14" ht="15.75" x14ac:dyDescent="0.25">
      <c r="B111" s="33">
        <v>96</v>
      </c>
      <c r="C111" s="33"/>
      <c r="D111" s="34">
        <v>44937</v>
      </c>
      <c r="E111" s="44">
        <v>45657</v>
      </c>
      <c r="F111" s="35">
        <v>0</v>
      </c>
      <c r="G111" s="35">
        <v>0</v>
      </c>
      <c r="H111" s="35">
        <v>0</v>
      </c>
      <c r="I111" s="35">
        <v>0</v>
      </c>
      <c r="J111" s="35">
        <f t="shared" si="6"/>
        <v>0</v>
      </c>
      <c r="K111" s="45">
        <f t="shared" si="10"/>
        <v>1.9722222222222223</v>
      </c>
      <c r="L111" s="36">
        <v>0</v>
      </c>
      <c r="M111" s="46">
        <f t="shared" si="8"/>
        <v>0</v>
      </c>
      <c r="N111" s="37">
        <f t="shared" si="9"/>
        <v>0</v>
      </c>
    </row>
    <row r="112" spans="2:14" ht="15.75" x14ac:dyDescent="0.25">
      <c r="B112" s="33">
        <v>97</v>
      </c>
      <c r="C112" s="33"/>
      <c r="D112" s="34">
        <v>44937</v>
      </c>
      <c r="E112" s="44">
        <v>45657</v>
      </c>
      <c r="F112" s="35">
        <v>0</v>
      </c>
      <c r="G112" s="35">
        <v>0</v>
      </c>
      <c r="H112" s="35">
        <v>0</v>
      </c>
      <c r="I112" s="35">
        <v>0</v>
      </c>
      <c r="J112" s="35">
        <f t="shared" si="6"/>
        <v>0</v>
      </c>
      <c r="K112" s="45">
        <f t="shared" si="10"/>
        <v>1.9722222222222223</v>
      </c>
      <c r="L112" s="36">
        <v>0</v>
      </c>
      <c r="M112" s="46">
        <f t="shared" si="8"/>
        <v>0</v>
      </c>
      <c r="N112" s="37">
        <f t="shared" si="9"/>
        <v>0</v>
      </c>
    </row>
    <row r="113" spans="2:14" ht="15.75" x14ac:dyDescent="0.25">
      <c r="B113" s="33">
        <v>98</v>
      </c>
      <c r="C113" s="33"/>
      <c r="D113" s="34">
        <v>44937</v>
      </c>
      <c r="E113" s="44">
        <v>45657</v>
      </c>
      <c r="F113" s="35">
        <v>0</v>
      </c>
      <c r="G113" s="35">
        <v>0</v>
      </c>
      <c r="H113" s="35">
        <v>0</v>
      </c>
      <c r="I113" s="35">
        <v>0</v>
      </c>
      <c r="J113" s="35">
        <f t="shared" si="6"/>
        <v>0</v>
      </c>
      <c r="K113" s="45">
        <f t="shared" si="10"/>
        <v>1.9722222222222223</v>
      </c>
      <c r="L113" s="36">
        <v>0</v>
      </c>
      <c r="M113" s="46">
        <f t="shared" si="8"/>
        <v>0</v>
      </c>
      <c r="N113" s="37">
        <f t="shared" si="9"/>
        <v>0</v>
      </c>
    </row>
    <row r="114" spans="2:14" ht="15.75" x14ac:dyDescent="0.25">
      <c r="B114" s="33">
        <v>99</v>
      </c>
      <c r="C114" s="33"/>
      <c r="D114" s="34">
        <v>44937</v>
      </c>
      <c r="E114" s="44">
        <v>45657</v>
      </c>
      <c r="F114" s="35">
        <v>0</v>
      </c>
      <c r="G114" s="35">
        <v>0</v>
      </c>
      <c r="H114" s="35">
        <v>0</v>
      </c>
      <c r="I114" s="35">
        <v>0</v>
      </c>
      <c r="J114" s="35">
        <f t="shared" si="6"/>
        <v>0</v>
      </c>
      <c r="K114" s="45">
        <f t="shared" si="10"/>
        <v>1.9722222222222223</v>
      </c>
      <c r="L114" s="36">
        <v>0</v>
      </c>
      <c r="M114" s="46">
        <f t="shared" si="8"/>
        <v>0</v>
      </c>
      <c r="N114" s="37">
        <f t="shared" si="9"/>
        <v>0</v>
      </c>
    </row>
    <row r="115" spans="2:14" ht="16.5" thickBot="1" x14ac:dyDescent="0.3">
      <c r="B115" s="38">
        <v>100</v>
      </c>
      <c r="C115" s="38"/>
      <c r="D115" s="39">
        <v>44937</v>
      </c>
      <c r="E115" s="44">
        <v>45657</v>
      </c>
      <c r="F115" s="40">
        <v>0</v>
      </c>
      <c r="G115" s="40">
        <v>0</v>
      </c>
      <c r="H115" s="40">
        <v>0</v>
      </c>
      <c r="I115" s="40">
        <v>0</v>
      </c>
      <c r="J115" s="35">
        <f t="shared" si="6"/>
        <v>0</v>
      </c>
      <c r="K115" s="47">
        <f t="shared" si="10"/>
        <v>1.9722222222222223</v>
      </c>
      <c r="L115" s="36">
        <v>0</v>
      </c>
      <c r="M115" s="46">
        <f t="shared" si="8"/>
        <v>0</v>
      </c>
      <c r="N115" s="37">
        <f t="shared" si="9"/>
        <v>0</v>
      </c>
    </row>
    <row r="116" spans="2:14" ht="16.5" thickBot="1" x14ac:dyDescent="0.3">
      <c r="B116" s="25"/>
      <c r="C116" s="25"/>
      <c r="D116" s="26"/>
      <c r="E116" s="27"/>
      <c r="F116" s="28"/>
      <c r="G116" s="28"/>
      <c r="H116" s="28"/>
      <c r="I116" s="28"/>
      <c r="J116" s="28"/>
      <c r="K116" s="29"/>
      <c r="L116" s="31">
        <f>SUM(L16:L115)</f>
        <v>0</v>
      </c>
      <c r="M116" s="30">
        <f>SUM(M16:M115)</f>
        <v>0</v>
      </c>
      <c r="N116" s="30">
        <f>SUM(N16:N115)</f>
        <v>0</v>
      </c>
    </row>
    <row r="117" spans="2:14" ht="16.5" thickTop="1" x14ac:dyDescent="0.25">
      <c r="D117" s="18"/>
      <c r="E117" s="19"/>
      <c r="F117" s="23"/>
      <c r="G117" s="23"/>
      <c r="H117" s="23"/>
      <c r="I117" s="23"/>
      <c r="J117" s="23"/>
      <c r="K117" s="20"/>
      <c r="L117" s="21"/>
      <c r="N117" s="22"/>
    </row>
    <row r="119" spans="2:14" ht="15.75" thickBot="1" x14ac:dyDescent="0.3"/>
    <row r="120" spans="2:14" ht="15.75" thickBot="1" x14ac:dyDescent="0.3">
      <c r="B120" s="53" t="s">
        <v>29</v>
      </c>
      <c r="C120" s="54"/>
      <c r="D120" s="49"/>
      <c r="E120" s="49"/>
      <c r="F120" s="49"/>
    </row>
    <row r="121" spans="2:14" x14ac:dyDescent="0.25">
      <c r="B121" s="55" t="s">
        <v>30</v>
      </c>
      <c r="C121" s="56"/>
      <c r="D121" s="56"/>
      <c r="E121" s="56"/>
      <c r="F121" s="57"/>
    </row>
    <row r="122" spans="2:14" x14ac:dyDescent="0.25">
      <c r="B122" s="58"/>
      <c r="C122" s="59"/>
      <c r="D122" s="59"/>
      <c r="E122" s="59"/>
      <c r="F122" s="60"/>
    </row>
    <row r="123" spans="2:14" ht="15.75" thickBot="1" x14ac:dyDescent="0.3">
      <c r="B123" s="61"/>
      <c r="C123" s="62"/>
      <c r="D123" s="62"/>
      <c r="E123" s="62"/>
      <c r="F123" s="63"/>
    </row>
  </sheetData>
  <mergeCells count="13">
    <mergeCell ref="C3:I3"/>
    <mergeCell ref="C4:I4"/>
    <mergeCell ref="C5:I5"/>
    <mergeCell ref="B10:C10"/>
    <mergeCell ref="B11:C11"/>
    <mergeCell ref="B8:C9"/>
    <mergeCell ref="D8:E8"/>
    <mergeCell ref="B120:C120"/>
    <mergeCell ref="B121:F123"/>
    <mergeCell ref="F8:G8"/>
    <mergeCell ref="H8:I8"/>
    <mergeCell ref="J8:K8"/>
    <mergeCell ref="B12:C12"/>
  </mergeCells>
  <pageMargins left="0.7" right="0.7" top="0.75" bottom="0.75" header="0.3" footer="0.3"/>
  <ignoredErrors>
    <ignoredError sqref="J16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E 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2015-06-05T18:17:20Z</dcterms:created>
  <dcterms:modified xsi:type="dcterms:W3CDTF">2025-04-06T11:46:12Z</dcterms:modified>
</cp:coreProperties>
</file>