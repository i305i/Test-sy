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audit file\متطلبات المراجعة\2- القوائم المالية\"/>
    </mc:Choice>
  </mc:AlternateContent>
  <xr:revisionPtr revIDLastSave="0" documentId="13_ncr:1_{04D58829-8DD6-4A46-8D4D-D3D8096DC37F}" xr6:coauthVersionLast="47" xr6:coauthVersionMax="47" xr10:uidLastSave="{00000000-0000-0000-0000-000000000000}"/>
  <bookViews>
    <workbookView xWindow="-120" yWindow="-120" windowWidth="29040" windowHeight="15720" activeTab="1" xr2:uid="{507404EC-A420-43D4-A9D7-66604D5AE5A5}"/>
  </bookViews>
  <sheets>
    <sheet name="القائمة" sheetId="1" r:id="rId1"/>
    <sheet name="الميزان" sheetId="2" r:id="rId2"/>
    <sheet name="التحليل" sheetId="3" r:id="rId3"/>
    <sheet name="التحليل (دخل)" sheetId="4" r:id="rId4"/>
    <sheet name="ميزان فرعى" sheetId="5" r:id="rId5"/>
    <sheet name="ميزان فرعى (دخل)" sheetId="6" r:id="rId6"/>
    <sheet name="ق م" sheetId="7" r:id="rId7"/>
  </sheets>
  <definedNames>
    <definedName name="_xlnm._FilterDatabase" localSheetId="1" hidden="1">الميزان!$A$2:$S$2001</definedName>
    <definedName name="_Toc255726701">#REF!</definedName>
    <definedName name="_xlnm.Print_Area" localSheetId="0">القائمة!$A$1:$F$112</definedName>
    <definedName name="_xlnm.Print_Area" localSheetId="6">'ق م'!$A$1:$I$61</definedName>
    <definedName name="_xlnm.Print_Area" localSheetId="4">'ميزان فرعى'!$A$1:$J$43</definedName>
    <definedName name="_xlnm.Print_Area" localSheetId="5">'ميزان فرعى (دخل)'!$A$1:$L$53</definedName>
    <definedName name="_xlnm.Print_Area">#N/A</definedName>
    <definedName name="_xlnm.Print_Titles" localSheetId="2">التحليل!$1:$1</definedName>
    <definedName name="_xlnm.Print_Titles" localSheetId="3">'التحليل (دخل)'!$1:$1</definedName>
    <definedName name="_xlnm.Print_Titles" localSheetId="0">القائمة!$1:$3</definedName>
    <definedName name="_xlnm.Print_Titles" localSheetId="4">'ميزان فرعى'!$1:$3</definedName>
    <definedName name="_xlnm.Print_Titles" localSheetId="5">'ميزان فرعى (دخل)'!$1:$3</definedName>
    <definedName name="wrn.قوائم._.المركز._.المالي.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wrn.قوائم._.المركز._.المالي.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ءؤء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ءؤء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ايمن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ايمن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عمر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عمر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فبراير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فبراير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كنكنكنكنكنك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كنكنكنكنكنك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مارس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مارس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مصروفات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مصروفات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ميزان2006" localSheetId="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  <definedName name="ميزان2006" hidden="1">{"ميزان مراجعة",#N/A,FALSE,"ميزان مراجعة";"حساب التشغيل",#N/A,FALSE,"ميزان مراجعة";"حساب المتاجرة",#N/A,FALSE,"ميزان مراجعة";"حساب الارباح و الخسائر",#N/A,FALSE,"ميزان مراجعة";"ميزانية عمومية",#N/A,FALSE,"ميزان مراجعة"}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Q11" i="2" s="1"/>
  <c r="P12" i="2"/>
  <c r="P13" i="2"/>
  <c r="P14" i="2"/>
  <c r="P15" i="2"/>
  <c r="P16" i="2"/>
  <c r="P17" i="2"/>
  <c r="P18" i="2"/>
  <c r="P19" i="2"/>
  <c r="Q19" i="2" s="1"/>
  <c r="P20" i="2"/>
  <c r="P21" i="2"/>
  <c r="P22" i="2"/>
  <c r="P23" i="2"/>
  <c r="P24" i="2"/>
  <c r="P25" i="2"/>
  <c r="P26" i="2"/>
  <c r="P27" i="2"/>
  <c r="Q27" i="2" s="1"/>
  <c r="P28" i="2"/>
  <c r="P29" i="2"/>
  <c r="P30" i="2"/>
  <c r="P31" i="2"/>
  <c r="P32" i="2"/>
  <c r="P33" i="2"/>
  <c r="P34" i="2"/>
  <c r="P35" i="2"/>
  <c r="Q35" i="2" s="1"/>
  <c r="P36" i="2"/>
  <c r="P37" i="2"/>
  <c r="P38" i="2"/>
  <c r="P39" i="2"/>
  <c r="P40" i="2"/>
  <c r="P41" i="2"/>
  <c r="P42" i="2"/>
  <c r="P43" i="2"/>
  <c r="Q43" i="2" s="1"/>
  <c r="P44" i="2"/>
  <c r="P45" i="2"/>
  <c r="P46" i="2"/>
  <c r="P47" i="2"/>
  <c r="P48" i="2"/>
  <c r="P49" i="2"/>
  <c r="P50" i="2"/>
  <c r="P51" i="2"/>
  <c r="Q51" i="2" s="1"/>
  <c r="P52" i="2"/>
  <c r="P53" i="2"/>
  <c r="P54" i="2"/>
  <c r="P55" i="2"/>
  <c r="P56" i="2"/>
  <c r="P57" i="2"/>
  <c r="P58" i="2"/>
  <c r="P59" i="2"/>
  <c r="Q59" i="2" s="1"/>
  <c r="P60" i="2"/>
  <c r="P61" i="2"/>
  <c r="P62" i="2"/>
  <c r="P63" i="2"/>
  <c r="P64" i="2"/>
  <c r="P65" i="2"/>
  <c r="P66" i="2"/>
  <c r="P67" i="2"/>
  <c r="Q67" i="2" s="1"/>
  <c r="P68" i="2"/>
  <c r="P69" i="2"/>
  <c r="P70" i="2"/>
  <c r="P71" i="2"/>
  <c r="P72" i="2"/>
  <c r="P73" i="2"/>
  <c r="P74" i="2"/>
  <c r="P75" i="2"/>
  <c r="Q75" i="2" s="1"/>
  <c r="P76" i="2"/>
  <c r="P77" i="2"/>
  <c r="P78" i="2"/>
  <c r="P79" i="2"/>
  <c r="P80" i="2"/>
  <c r="P81" i="2"/>
  <c r="P82" i="2"/>
  <c r="P83" i="2"/>
  <c r="Q83" i="2" s="1"/>
  <c r="P84" i="2"/>
  <c r="P85" i="2"/>
  <c r="P86" i="2"/>
  <c r="P87" i="2"/>
  <c r="P88" i="2"/>
  <c r="P89" i="2"/>
  <c r="P90" i="2"/>
  <c r="P91" i="2"/>
  <c r="Q91" i="2" s="1"/>
  <c r="P92" i="2"/>
  <c r="P93" i="2"/>
  <c r="P94" i="2"/>
  <c r="P95" i="2"/>
  <c r="P96" i="2"/>
  <c r="P97" i="2"/>
  <c r="P98" i="2"/>
  <c r="P99" i="2"/>
  <c r="Q99" i="2" s="1"/>
  <c r="P100" i="2"/>
  <c r="P101" i="2"/>
  <c r="P102" i="2"/>
  <c r="P103" i="2"/>
  <c r="P104" i="2"/>
  <c r="P105" i="2"/>
  <c r="P106" i="2"/>
  <c r="P107" i="2"/>
  <c r="Q107" i="2" s="1"/>
  <c r="P108" i="2"/>
  <c r="P109" i="2"/>
  <c r="P110" i="2"/>
  <c r="P111" i="2"/>
  <c r="P112" i="2"/>
  <c r="P113" i="2"/>
  <c r="P114" i="2"/>
  <c r="P115" i="2"/>
  <c r="Q115" i="2" s="1"/>
  <c r="P116" i="2"/>
  <c r="P117" i="2"/>
  <c r="P118" i="2"/>
  <c r="P119" i="2"/>
  <c r="P120" i="2"/>
  <c r="P121" i="2"/>
  <c r="P122" i="2"/>
  <c r="P123" i="2"/>
  <c r="Q123" i="2" s="1"/>
  <c r="P124" i="2"/>
  <c r="P125" i="2"/>
  <c r="P126" i="2"/>
  <c r="P127" i="2"/>
  <c r="P128" i="2"/>
  <c r="P129" i="2"/>
  <c r="P130" i="2"/>
  <c r="P131" i="2"/>
  <c r="Q131" i="2" s="1"/>
  <c r="P132" i="2"/>
  <c r="P133" i="2"/>
  <c r="P134" i="2"/>
  <c r="P135" i="2"/>
  <c r="P136" i="2"/>
  <c r="P137" i="2"/>
  <c r="P138" i="2"/>
  <c r="P139" i="2"/>
  <c r="Q139" i="2" s="1"/>
  <c r="P140" i="2"/>
  <c r="P141" i="2"/>
  <c r="P142" i="2"/>
  <c r="P143" i="2"/>
  <c r="P144" i="2"/>
  <c r="P145" i="2"/>
  <c r="P146" i="2"/>
  <c r="P147" i="2"/>
  <c r="Q147" i="2" s="1"/>
  <c r="P148" i="2"/>
  <c r="P149" i="2"/>
  <c r="P150" i="2"/>
  <c r="P151" i="2"/>
  <c r="P152" i="2"/>
  <c r="P153" i="2"/>
  <c r="P154" i="2"/>
  <c r="P155" i="2"/>
  <c r="Q155" i="2" s="1"/>
  <c r="P156" i="2"/>
  <c r="P157" i="2"/>
  <c r="P158" i="2"/>
  <c r="P159" i="2"/>
  <c r="P160" i="2"/>
  <c r="P161" i="2"/>
  <c r="P162" i="2"/>
  <c r="P163" i="2"/>
  <c r="Q163" i="2" s="1"/>
  <c r="P164" i="2"/>
  <c r="P165" i="2"/>
  <c r="P166" i="2"/>
  <c r="P167" i="2"/>
  <c r="P168" i="2"/>
  <c r="P169" i="2"/>
  <c r="P170" i="2"/>
  <c r="P171" i="2"/>
  <c r="Q171" i="2" s="1"/>
  <c r="P172" i="2"/>
  <c r="P173" i="2"/>
  <c r="P174" i="2"/>
  <c r="P175" i="2"/>
  <c r="P176" i="2"/>
  <c r="P177" i="2"/>
  <c r="P178" i="2"/>
  <c r="P179" i="2"/>
  <c r="Q179" i="2" s="1"/>
  <c r="P180" i="2"/>
  <c r="P181" i="2"/>
  <c r="P182" i="2"/>
  <c r="P183" i="2"/>
  <c r="P184" i="2"/>
  <c r="P185" i="2"/>
  <c r="P186" i="2"/>
  <c r="P187" i="2"/>
  <c r="Q187" i="2" s="1"/>
  <c r="P188" i="2"/>
  <c r="P189" i="2"/>
  <c r="P190" i="2"/>
  <c r="P191" i="2"/>
  <c r="P192" i="2"/>
  <c r="P193" i="2"/>
  <c r="P194" i="2"/>
  <c r="P195" i="2"/>
  <c r="Q195" i="2" s="1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3" i="2"/>
  <c r="B4" i="2"/>
  <c r="C4" i="2"/>
  <c r="D4" i="2"/>
  <c r="E4" i="2"/>
  <c r="F4" i="2"/>
  <c r="Q4" i="2"/>
  <c r="B5" i="2"/>
  <c r="C5" i="2"/>
  <c r="D5" i="2"/>
  <c r="E5" i="2"/>
  <c r="F5" i="2"/>
  <c r="Q5" i="2"/>
  <c r="B6" i="2"/>
  <c r="C6" i="2"/>
  <c r="D6" i="2"/>
  <c r="E6" i="2"/>
  <c r="F6" i="2"/>
  <c r="Q6" i="2"/>
  <c r="B7" i="2"/>
  <c r="C7" i="2"/>
  <c r="D7" i="2"/>
  <c r="E7" i="2"/>
  <c r="F7" i="2"/>
  <c r="Q7" i="2"/>
  <c r="B8" i="2"/>
  <c r="C8" i="2"/>
  <c r="D8" i="2"/>
  <c r="E8" i="2"/>
  <c r="F8" i="2"/>
  <c r="Q8" i="2"/>
  <c r="B9" i="2"/>
  <c r="C9" i="2"/>
  <c r="D9" i="2"/>
  <c r="E9" i="2"/>
  <c r="F9" i="2"/>
  <c r="Q9" i="2"/>
  <c r="B10" i="2"/>
  <c r="C10" i="2"/>
  <c r="D10" i="2"/>
  <c r="E10" i="2"/>
  <c r="F10" i="2"/>
  <c r="Q10" i="2"/>
  <c r="B11" i="2"/>
  <c r="C11" i="2"/>
  <c r="D11" i="2"/>
  <c r="E11" i="2"/>
  <c r="F11" i="2"/>
  <c r="B12" i="2"/>
  <c r="C12" i="2"/>
  <c r="D12" i="2"/>
  <c r="E12" i="2"/>
  <c r="F12" i="2"/>
  <c r="Q12" i="2"/>
  <c r="B13" i="2"/>
  <c r="C13" i="2"/>
  <c r="D13" i="2"/>
  <c r="E13" i="2"/>
  <c r="F13" i="2"/>
  <c r="Q13" i="2"/>
  <c r="B14" i="2"/>
  <c r="C14" i="2"/>
  <c r="D14" i="2"/>
  <c r="E14" i="2"/>
  <c r="F14" i="2"/>
  <c r="Q14" i="2"/>
  <c r="B15" i="2"/>
  <c r="C15" i="2"/>
  <c r="D15" i="2"/>
  <c r="E15" i="2"/>
  <c r="F15" i="2"/>
  <c r="Q15" i="2"/>
  <c r="B16" i="2"/>
  <c r="C16" i="2"/>
  <c r="D16" i="2"/>
  <c r="E16" i="2"/>
  <c r="F16" i="2"/>
  <c r="Q16" i="2"/>
  <c r="B17" i="2"/>
  <c r="C17" i="2"/>
  <c r="D17" i="2"/>
  <c r="E17" i="2"/>
  <c r="F17" i="2"/>
  <c r="Q17" i="2"/>
  <c r="B18" i="2"/>
  <c r="C18" i="2"/>
  <c r="D18" i="2"/>
  <c r="E18" i="2"/>
  <c r="F18" i="2"/>
  <c r="Q18" i="2"/>
  <c r="B19" i="2"/>
  <c r="C19" i="2"/>
  <c r="D19" i="2"/>
  <c r="E19" i="2"/>
  <c r="F19" i="2"/>
  <c r="B20" i="2"/>
  <c r="C20" i="2"/>
  <c r="D20" i="2"/>
  <c r="E20" i="2"/>
  <c r="F20" i="2"/>
  <c r="Q20" i="2"/>
  <c r="B21" i="2"/>
  <c r="C21" i="2"/>
  <c r="D21" i="2"/>
  <c r="E21" i="2"/>
  <c r="F21" i="2"/>
  <c r="Q21" i="2"/>
  <c r="B22" i="2"/>
  <c r="C22" i="2"/>
  <c r="D22" i="2"/>
  <c r="E22" i="2"/>
  <c r="F22" i="2"/>
  <c r="Q22" i="2"/>
  <c r="B23" i="2"/>
  <c r="C23" i="2"/>
  <c r="D23" i="2"/>
  <c r="E23" i="2"/>
  <c r="F23" i="2"/>
  <c r="Q23" i="2"/>
  <c r="B24" i="2"/>
  <c r="C24" i="2"/>
  <c r="D24" i="2"/>
  <c r="E24" i="2"/>
  <c r="F24" i="2"/>
  <c r="Q24" i="2"/>
  <c r="B25" i="2"/>
  <c r="C25" i="2"/>
  <c r="D25" i="2"/>
  <c r="E25" i="2"/>
  <c r="F25" i="2"/>
  <c r="Q25" i="2"/>
  <c r="B26" i="2"/>
  <c r="C26" i="2"/>
  <c r="D26" i="2"/>
  <c r="E26" i="2"/>
  <c r="F26" i="2"/>
  <c r="Q26" i="2"/>
  <c r="B27" i="2"/>
  <c r="C27" i="2"/>
  <c r="D27" i="2"/>
  <c r="E27" i="2"/>
  <c r="F27" i="2"/>
  <c r="B28" i="2"/>
  <c r="C28" i="2"/>
  <c r="D28" i="2"/>
  <c r="E28" i="2"/>
  <c r="F28" i="2"/>
  <c r="Q28" i="2"/>
  <c r="B29" i="2"/>
  <c r="C29" i="2"/>
  <c r="D29" i="2"/>
  <c r="E29" i="2"/>
  <c r="F29" i="2"/>
  <c r="Q29" i="2"/>
  <c r="B30" i="2"/>
  <c r="C30" i="2"/>
  <c r="D30" i="2"/>
  <c r="E30" i="2"/>
  <c r="F30" i="2"/>
  <c r="Q30" i="2"/>
  <c r="B31" i="2"/>
  <c r="C31" i="2"/>
  <c r="D31" i="2"/>
  <c r="E31" i="2"/>
  <c r="F31" i="2"/>
  <c r="Q31" i="2"/>
  <c r="B32" i="2"/>
  <c r="C32" i="2"/>
  <c r="D32" i="2"/>
  <c r="E32" i="2"/>
  <c r="F32" i="2"/>
  <c r="Q32" i="2"/>
  <c r="B33" i="2"/>
  <c r="C33" i="2"/>
  <c r="D33" i="2"/>
  <c r="E33" i="2"/>
  <c r="F33" i="2"/>
  <c r="Q33" i="2"/>
  <c r="B34" i="2"/>
  <c r="C34" i="2"/>
  <c r="D34" i="2"/>
  <c r="E34" i="2"/>
  <c r="F34" i="2"/>
  <c r="Q34" i="2"/>
  <c r="B35" i="2"/>
  <c r="C35" i="2"/>
  <c r="D35" i="2"/>
  <c r="E35" i="2"/>
  <c r="F35" i="2"/>
  <c r="B36" i="2"/>
  <c r="C36" i="2"/>
  <c r="D36" i="2"/>
  <c r="E36" i="2"/>
  <c r="F36" i="2"/>
  <c r="Q36" i="2"/>
  <c r="B37" i="2"/>
  <c r="C37" i="2"/>
  <c r="D37" i="2"/>
  <c r="E37" i="2"/>
  <c r="F37" i="2"/>
  <c r="Q37" i="2"/>
  <c r="B38" i="2"/>
  <c r="C38" i="2"/>
  <c r="D38" i="2"/>
  <c r="E38" i="2"/>
  <c r="F38" i="2"/>
  <c r="Q38" i="2"/>
  <c r="B39" i="2"/>
  <c r="C39" i="2"/>
  <c r="D39" i="2"/>
  <c r="E39" i="2"/>
  <c r="F39" i="2"/>
  <c r="Q39" i="2"/>
  <c r="B40" i="2"/>
  <c r="C40" i="2"/>
  <c r="D40" i="2"/>
  <c r="E40" i="2"/>
  <c r="F40" i="2"/>
  <c r="Q40" i="2"/>
  <c r="B41" i="2"/>
  <c r="C41" i="2"/>
  <c r="D41" i="2"/>
  <c r="E41" i="2"/>
  <c r="F41" i="2"/>
  <c r="Q41" i="2"/>
  <c r="B42" i="2"/>
  <c r="C42" i="2"/>
  <c r="D42" i="2"/>
  <c r="E42" i="2"/>
  <c r="F42" i="2"/>
  <c r="Q42" i="2"/>
  <c r="B43" i="2"/>
  <c r="C43" i="2"/>
  <c r="D43" i="2"/>
  <c r="E43" i="2"/>
  <c r="F43" i="2"/>
  <c r="B44" i="2"/>
  <c r="C44" i="2"/>
  <c r="D44" i="2"/>
  <c r="E44" i="2"/>
  <c r="F44" i="2"/>
  <c r="Q44" i="2"/>
  <c r="B45" i="2"/>
  <c r="C45" i="2"/>
  <c r="D45" i="2"/>
  <c r="E45" i="2"/>
  <c r="F45" i="2"/>
  <c r="Q45" i="2"/>
  <c r="B46" i="2"/>
  <c r="C46" i="2"/>
  <c r="D46" i="2"/>
  <c r="E46" i="2"/>
  <c r="F46" i="2"/>
  <c r="Q46" i="2"/>
  <c r="B47" i="2"/>
  <c r="C47" i="2"/>
  <c r="D47" i="2"/>
  <c r="E47" i="2"/>
  <c r="F47" i="2"/>
  <c r="Q47" i="2"/>
  <c r="B48" i="2"/>
  <c r="C48" i="2"/>
  <c r="D48" i="2"/>
  <c r="E48" i="2"/>
  <c r="F48" i="2"/>
  <c r="Q48" i="2"/>
  <c r="B49" i="2"/>
  <c r="C49" i="2"/>
  <c r="D49" i="2"/>
  <c r="E49" i="2"/>
  <c r="F49" i="2"/>
  <c r="Q49" i="2"/>
  <c r="B50" i="2"/>
  <c r="C50" i="2"/>
  <c r="D50" i="2"/>
  <c r="E50" i="2"/>
  <c r="F50" i="2"/>
  <c r="Q50" i="2"/>
  <c r="B51" i="2"/>
  <c r="C51" i="2"/>
  <c r="D51" i="2"/>
  <c r="E51" i="2"/>
  <c r="F51" i="2"/>
  <c r="B52" i="2"/>
  <c r="C52" i="2"/>
  <c r="D52" i="2"/>
  <c r="E52" i="2"/>
  <c r="F52" i="2"/>
  <c r="Q52" i="2"/>
  <c r="B53" i="2"/>
  <c r="C53" i="2"/>
  <c r="D53" i="2"/>
  <c r="E53" i="2"/>
  <c r="F53" i="2"/>
  <c r="Q53" i="2"/>
  <c r="B54" i="2"/>
  <c r="C54" i="2"/>
  <c r="D54" i="2"/>
  <c r="E54" i="2"/>
  <c r="F54" i="2"/>
  <c r="Q54" i="2"/>
  <c r="B55" i="2"/>
  <c r="C55" i="2"/>
  <c r="D55" i="2"/>
  <c r="E55" i="2"/>
  <c r="F55" i="2"/>
  <c r="Q55" i="2"/>
  <c r="B56" i="2"/>
  <c r="C56" i="2"/>
  <c r="D56" i="2"/>
  <c r="E56" i="2"/>
  <c r="F56" i="2"/>
  <c r="Q56" i="2"/>
  <c r="B57" i="2"/>
  <c r="C57" i="2"/>
  <c r="D57" i="2"/>
  <c r="E57" i="2"/>
  <c r="F57" i="2"/>
  <c r="Q57" i="2"/>
  <c r="B58" i="2"/>
  <c r="C58" i="2"/>
  <c r="D58" i="2"/>
  <c r="E58" i="2"/>
  <c r="F58" i="2"/>
  <c r="Q58" i="2"/>
  <c r="B59" i="2"/>
  <c r="C59" i="2"/>
  <c r="D59" i="2"/>
  <c r="E59" i="2"/>
  <c r="F59" i="2"/>
  <c r="B60" i="2"/>
  <c r="C60" i="2"/>
  <c r="D60" i="2"/>
  <c r="E60" i="2"/>
  <c r="F60" i="2"/>
  <c r="Q60" i="2"/>
  <c r="B61" i="2"/>
  <c r="C61" i="2"/>
  <c r="D61" i="2"/>
  <c r="E61" i="2"/>
  <c r="F61" i="2"/>
  <c r="Q61" i="2"/>
  <c r="B62" i="2"/>
  <c r="C62" i="2"/>
  <c r="D62" i="2"/>
  <c r="E62" i="2"/>
  <c r="F62" i="2"/>
  <c r="Q62" i="2"/>
  <c r="B63" i="2"/>
  <c r="C63" i="2"/>
  <c r="D63" i="2"/>
  <c r="E63" i="2"/>
  <c r="F63" i="2"/>
  <c r="Q63" i="2"/>
  <c r="B64" i="2"/>
  <c r="C64" i="2"/>
  <c r="D64" i="2"/>
  <c r="E64" i="2"/>
  <c r="F64" i="2"/>
  <c r="Q64" i="2"/>
  <c r="B65" i="2"/>
  <c r="C65" i="2"/>
  <c r="D65" i="2"/>
  <c r="E65" i="2"/>
  <c r="F65" i="2"/>
  <c r="Q65" i="2"/>
  <c r="B66" i="2"/>
  <c r="C66" i="2"/>
  <c r="D66" i="2"/>
  <c r="E66" i="2"/>
  <c r="F66" i="2"/>
  <c r="Q66" i="2"/>
  <c r="B67" i="2"/>
  <c r="C67" i="2"/>
  <c r="D67" i="2"/>
  <c r="E67" i="2"/>
  <c r="F67" i="2"/>
  <c r="B68" i="2"/>
  <c r="C68" i="2"/>
  <c r="D68" i="2"/>
  <c r="E68" i="2"/>
  <c r="F68" i="2"/>
  <c r="Q68" i="2"/>
  <c r="B69" i="2"/>
  <c r="C69" i="2"/>
  <c r="D69" i="2"/>
  <c r="E69" i="2"/>
  <c r="F69" i="2"/>
  <c r="Q69" i="2"/>
  <c r="B70" i="2"/>
  <c r="C70" i="2"/>
  <c r="D70" i="2"/>
  <c r="E70" i="2"/>
  <c r="F70" i="2"/>
  <c r="Q70" i="2"/>
  <c r="B71" i="2"/>
  <c r="C71" i="2"/>
  <c r="D71" i="2"/>
  <c r="E71" i="2"/>
  <c r="F71" i="2"/>
  <c r="Q71" i="2"/>
  <c r="B72" i="2"/>
  <c r="C72" i="2"/>
  <c r="D72" i="2"/>
  <c r="E72" i="2"/>
  <c r="F72" i="2"/>
  <c r="Q72" i="2"/>
  <c r="B73" i="2"/>
  <c r="C73" i="2"/>
  <c r="D73" i="2"/>
  <c r="E73" i="2"/>
  <c r="F73" i="2"/>
  <c r="Q73" i="2"/>
  <c r="B74" i="2"/>
  <c r="C74" i="2"/>
  <c r="D74" i="2"/>
  <c r="E74" i="2"/>
  <c r="F74" i="2"/>
  <c r="Q74" i="2"/>
  <c r="B75" i="2"/>
  <c r="C75" i="2"/>
  <c r="D75" i="2"/>
  <c r="E75" i="2"/>
  <c r="F75" i="2"/>
  <c r="B76" i="2"/>
  <c r="C76" i="2"/>
  <c r="D76" i="2"/>
  <c r="E76" i="2"/>
  <c r="F76" i="2"/>
  <c r="Q76" i="2"/>
  <c r="B77" i="2"/>
  <c r="C77" i="2"/>
  <c r="D77" i="2"/>
  <c r="E77" i="2"/>
  <c r="F77" i="2"/>
  <c r="Q77" i="2"/>
  <c r="B78" i="2"/>
  <c r="C78" i="2"/>
  <c r="D78" i="2"/>
  <c r="E78" i="2"/>
  <c r="F78" i="2"/>
  <c r="Q78" i="2"/>
  <c r="B79" i="2"/>
  <c r="C79" i="2"/>
  <c r="D79" i="2"/>
  <c r="E79" i="2"/>
  <c r="F79" i="2"/>
  <c r="Q79" i="2"/>
  <c r="B80" i="2"/>
  <c r="C80" i="2"/>
  <c r="D80" i="2"/>
  <c r="E80" i="2"/>
  <c r="F80" i="2"/>
  <c r="Q80" i="2"/>
  <c r="B81" i="2"/>
  <c r="C81" i="2"/>
  <c r="D81" i="2"/>
  <c r="E81" i="2"/>
  <c r="F81" i="2"/>
  <c r="Q81" i="2"/>
  <c r="B82" i="2"/>
  <c r="C82" i="2"/>
  <c r="D82" i="2"/>
  <c r="E82" i="2"/>
  <c r="F82" i="2"/>
  <c r="Q82" i="2"/>
  <c r="B83" i="2"/>
  <c r="C83" i="2"/>
  <c r="D83" i="2"/>
  <c r="E83" i="2"/>
  <c r="F83" i="2"/>
  <c r="B84" i="2"/>
  <c r="C84" i="2"/>
  <c r="D84" i="2"/>
  <c r="E84" i="2"/>
  <c r="F84" i="2"/>
  <c r="Q84" i="2"/>
  <c r="B85" i="2"/>
  <c r="C85" i="2"/>
  <c r="D85" i="2"/>
  <c r="E85" i="2"/>
  <c r="F85" i="2"/>
  <c r="Q85" i="2"/>
  <c r="B86" i="2"/>
  <c r="C86" i="2"/>
  <c r="D86" i="2"/>
  <c r="E86" i="2"/>
  <c r="F86" i="2"/>
  <c r="Q86" i="2"/>
  <c r="B87" i="2"/>
  <c r="C87" i="2"/>
  <c r="D87" i="2"/>
  <c r="E87" i="2"/>
  <c r="F87" i="2"/>
  <c r="Q87" i="2"/>
  <c r="B88" i="2"/>
  <c r="C88" i="2"/>
  <c r="D88" i="2"/>
  <c r="E88" i="2"/>
  <c r="F88" i="2"/>
  <c r="Q88" i="2"/>
  <c r="B89" i="2"/>
  <c r="C89" i="2"/>
  <c r="D89" i="2"/>
  <c r="E89" i="2"/>
  <c r="F89" i="2"/>
  <c r="Q89" i="2"/>
  <c r="B90" i="2"/>
  <c r="C90" i="2"/>
  <c r="D90" i="2"/>
  <c r="E90" i="2"/>
  <c r="F90" i="2"/>
  <c r="Q90" i="2"/>
  <c r="B91" i="2"/>
  <c r="C91" i="2"/>
  <c r="D91" i="2"/>
  <c r="E91" i="2"/>
  <c r="F91" i="2"/>
  <c r="B92" i="2"/>
  <c r="C92" i="2"/>
  <c r="D92" i="2"/>
  <c r="E92" i="2"/>
  <c r="F92" i="2"/>
  <c r="Q92" i="2"/>
  <c r="B93" i="2"/>
  <c r="C93" i="2"/>
  <c r="D93" i="2"/>
  <c r="E93" i="2"/>
  <c r="F93" i="2"/>
  <c r="Q93" i="2"/>
  <c r="B94" i="2"/>
  <c r="C94" i="2"/>
  <c r="D94" i="2"/>
  <c r="E94" i="2"/>
  <c r="F94" i="2"/>
  <c r="Q94" i="2"/>
  <c r="B95" i="2"/>
  <c r="C95" i="2"/>
  <c r="D95" i="2"/>
  <c r="E95" i="2"/>
  <c r="F95" i="2"/>
  <c r="Q95" i="2"/>
  <c r="B96" i="2"/>
  <c r="C96" i="2"/>
  <c r="D96" i="2"/>
  <c r="E96" i="2"/>
  <c r="F96" i="2"/>
  <c r="Q96" i="2"/>
  <c r="B97" i="2"/>
  <c r="C97" i="2"/>
  <c r="D97" i="2"/>
  <c r="E97" i="2"/>
  <c r="F97" i="2"/>
  <c r="Q97" i="2"/>
  <c r="B98" i="2"/>
  <c r="C98" i="2"/>
  <c r="D98" i="2"/>
  <c r="E98" i="2"/>
  <c r="F98" i="2"/>
  <c r="Q98" i="2"/>
  <c r="B99" i="2"/>
  <c r="C99" i="2"/>
  <c r="D99" i="2"/>
  <c r="E99" i="2"/>
  <c r="F99" i="2"/>
  <c r="B100" i="2"/>
  <c r="C100" i="2"/>
  <c r="D100" i="2"/>
  <c r="E100" i="2"/>
  <c r="F100" i="2"/>
  <c r="Q100" i="2"/>
  <c r="B101" i="2"/>
  <c r="C101" i="2"/>
  <c r="D101" i="2"/>
  <c r="E101" i="2"/>
  <c r="F101" i="2"/>
  <c r="Q101" i="2"/>
  <c r="B102" i="2"/>
  <c r="C102" i="2"/>
  <c r="D102" i="2"/>
  <c r="E102" i="2"/>
  <c r="F102" i="2"/>
  <c r="Q102" i="2"/>
  <c r="B103" i="2"/>
  <c r="C103" i="2"/>
  <c r="D103" i="2"/>
  <c r="E103" i="2"/>
  <c r="F103" i="2"/>
  <c r="Q103" i="2"/>
  <c r="B104" i="2"/>
  <c r="C104" i="2"/>
  <c r="D104" i="2"/>
  <c r="E104" i="2"/>
  <c r="F104" i="2"/>
  <c r="Q104" i="2"/>
  <c r="B105" i="2"/>
  <c r="C105" i="2"/>
  <c r="D105" i="2"/>
  <c r="E105" i="2"/>
  <c r="F105" i="2"/>
  <c r="Q105" i="2"/>
  <c r="B106" i="2"/>
  <c r="C106" i="2"/>
  <c r="D106" i="2"/>
  <c r="E106" i="2"/>
  <c r="F106" i="2"/>
  <c r="Q106" i="2"/>
  <c r="B107" i="2"/>
  <c r="C107" i="2"/>
  <c r="D107" i="2"/>
  <c r="E107" i="2"/>
  <c r="F107" i="2"/>
  <c r="B108" i="2"/>
  <c r="C108" i="2"/>
  <c r="D108" i="2"/>
  <c r="E108" i="2"/>
  <c r="F108" i="2"/>
  <c r="Q108" i="2"/>
  <c r="B109" i="2"/>
  <c r="C109" i="2"/>
  <c r="D109" i="2"/>
  <c r="E109" i="2"/>
  <c r="F109" i="2"/>
  <c r="Q109" i="2"/>
  <c r="B110" i="2"/>
  <c r="C110" i="2"/>
  <c r="D110" i="2"/>
  <c r="E110" i="2"/>
  <c r="F110" i="2"/>
  <c r="Q110" i="2"/>
  <c r="B111" i="2"/>
  <c r="C111" i="2"/>
  <c r="D111" i="2"/>
  <c r="E111" i="2"/>
  <c r="F111" i="2"/>
  <c r="Q111" i="2"/>
  <c r="B112" i="2"/>
  <c r="C112" i="2"/>
  <c r="D112" i="2"/>
  <c r="E112" i="2"/>
  <c r="F112" i="2"/>
  <c r="Q112" i="2"/>
  <c r="B113" i="2"/>
  <c r="C113" i="2"/>
  <c r="D113" i="2"/>
  <c r="E113" i="2"/>
  <c r="F113" i="2"/>
  <c r="Q113" i="2"/>
  <c r="B114" i="2"/>
  <c r="C114" i="2"/>
  <c r="D114" i="2"/>
  <c r="E114" i="2"/>
  <c r="F114" i="2"/>
  <c r="Q114" i="2"/>
  <c r="B115" i="2"/>
  <c r="C115" i="2"/>
  <c r="D115" i="2"/>
  <c r="E115" i="2"/>
  <c r="F115" i="2"/>
  <c r="B116" i="2"/>
  <c r="C116" i="2"/>
  <c r="D116" i="2"/>
  <c r="E116" i="2"/>
  <c r="F116" i="2"/>
  <c r="Q116" i="2"/>
  <c r="B117" i="2"/>
  <c r="C117" i="2"/>
  <c r="D117" i="2"/>
  <c r="E117" i="2"/>
  <c r="F117" i="2"/>
  <c r="Q117" i="2"/>
  <c r="B118" i="2"/>
  <c r="C118" i="2"/>
  <c r="D118" i="2"/>
  <c r="E118" i="2"/>
  <c r="F118" i="2"/>
  <c r="Q118" i="2"/>
  <c r="B119" i="2"/>
  <c r="C119" i="2"/>
  <c r="D119" i="2"/>
  <c r="E119" i="2"/>
  <c r="F119" i="2"/>
  <c r="Q119" i="2"/>
  <c r="B120" i="2"/>
  <c r="C120" i="2"/>
  <c r="D120" i="2"/>
  <c r="E120" i="2"/>
  <c r="F120" i="2"/>
  <c r="Q120" i="2"/>
  <c r="B121" i="2"/>
  <c r="C121" i="2"/>
  <c r="D121" i="2"/>
  <c r="E121" i="2"/>
  <c r="F121" i="2"/>
  <c r="Q121" i="2"/>
  <c r="B122" i="2"/>
  <c r="C122" i="2"/>
  <c r="D122" i="2"/>
  <c r="E122" i="2"/>
  <c r="F122" i="2"/>
  <c r="Q122" i="2"/>
  <c r="B123" i="2"/>
  <c r="C123" i="2"/>
  <c r="D123" i="2"/>
  <c r="E123" i="2"/>
  <c r="F123" i="2"/>
  <c r="B124" i="2"/>
  <c r="C124" i="2"/>
  <c r="D124" i="2"/>
  <c r="E124" i="2"/>
  <c r="F124" i="2"/>
  <c r="Q124" i="2"/>
  <c r="B125" i="2"/>
  <c r="C125" i="2"/>
  <c r="D125" i="2"/>
  <c r="E125" i="2"/>
  <c r="F125" i="2"/>
  <c r="Q125" i="2"/>
  <c r="B126" i="2"/>
  <c r="C126" i="2"/>
  <c r="D126" i="2"/>
  <c r="E126" i="2"/>
  <c r="F126" i="2"/>
  <c r="Q126" i="2"/>
  <c r="B127" i="2"/>
  <c r="C127" i="2"/>
  <c r="D127" i="2"/>
  <c r="E127" i="2"/>
  <c r="F127" i="2"/>
  <c r="Q127" i="2"/>
  <c r="B128" i="2"/>
  <c r="C128" i="2"/>
  <c r="D128" i="2"/>
  <c r="E128" i="2"/>
  <c r="F128" i="2"/>
  <c r="Q128" i="2"/>
  <c r="B129" i="2"/>
  <c r="C129" i="2"/>
  <c r="D129" i="2"/>
  <c r="E129" i="2"/>
  <c r="F129" i="2"/>
  <c r="Q129" i="2"/>
  <c r="B130" i="2"/>
  <c r="C130" i="2"/>
  <c r="D130" i="2"/>
  <c r="E130" i="2"/>
  <c r="F130" i="2"/>
  <c r="Q130" i="2"/>
  <c r="B131" i="2"/>
  <c r="C131" i="2"/>
  <c r="D131" i="2"/>
  <c r="E131" i="2"/>
  <c r="F131" i="2"/>
  <c r="B132" i="2"/>
  <c r="C132" i="2"/>
  <c r="D132" i="2"/>
  <c r="E132" i="2"/>
  <c r="F132" i="2"/>
  <c r="Q132" i="2"/>
  <c r="B133" i="2"/>
  <c r="C133" i="2"/>
  <c r="D133" i="2"/>
  <c r="E133" i="2"/>
  <c r="F133" i="2"/>
  <c r="Q133" i="2"/>
  <c r="B134" i="2"/>
  <c r="C134" i="2"/>
  <c r="D134" i="2"/>
  <c r="E134" i="2"/>
  <c r="F134" i="2"/>
  <c r="Q134" i="2"/>
  <c r="B135" i="2"/>
  <c r="C135" i="2"/>
  <c r="D135" i="2"/>
  <c r="E135" i="2"/>
  <c r="F135" i="2"/>
  <c r="Q135" i="2"/>
  <c r="B136" i="2"/>
  <c r="C136" i="2"/>
  <c r="D136" i="2"/>
  <c r="E136" i="2"/>
  <c r="F136" i="2"/>
  <c r="Q136" i="2"/>
  <c r="B137" i="2"/>
  <c r="C137" i="2"/>
  <c r="D137" i="2"/>
  <c r="E137" i="2"/>
  <c r="F137" i="2"/>
  <c r="Q137" i="2"/>
  <c r="B138" i="2"/>
  <c r="C138" i="2"/>
  <c r="D138" i="2"/>
  <c r="E138" i="2"/>
  <c r="F138" i="2"/>
  <c r="Q138" i="2"/>
  <c r="B139" i="2"/>
  <c r="C139" i="2"/>
  <c r="D139" i="2"/>
  <c r="E139" i="2"/>
  <c r="F139" i="2"/>
  <c r="B140" i="2"/>
  <c r="C140" i="2"/>
  <c r="D140" i="2"/>
  <c r="E140" i="2"/>
  <c r="F140" i="2"/>
  <c r="Q140" i="2"/>
  <c r="B141" i="2"/>
  <c r="C141" i="2"/>
  <c r="D141" i="2"/>
  <c r="E141" i="2"/>
  <c r="F141" i="2"/>
  <c r="Q141" i="2"/>
  <c r="B142" i="2"/>
  <c r="C142" i="2"/>
  <c r="D142" i="2"/>
  <c r="E142" i="2"/>
  <c r="F142" i="2"/>
  <c r="Q142" i="2"/>
  <c r="B143" i="2"/>
  <c r="C143" i="2"/>
  <c r="D143" i="2"/>
  <c r="E143" i="2"/>
  <c r="F143" i="2"/>
  <c r="Q143" i="2"/>
  <c r="B144" i="2"/>
  <c r="C144" i="2"/>
  <c r="D144" i="2"/>
  <c r="E144" i="2"/>
  <c r="F144" i="2"/>
  <c r="Q144" i="2"/>
  <c r="B145" i="2"/>
  <c r="C145" i="2"/>
  <c r="D145" i="2"/>
  <c r="E145" i="2"/>
  <c r="F145" i="2"/>
  <c r="Q145" i="2"/>
  <c r="B146" i="2"/>
  <c r="C146" i="2"/>
  <c r="D146" i="2"/>
  <c r="E146" i="2"/>
  <c r="F146" i="2"/>
  <c r="Q146" i="2"/>
  <c r="B147" i="2"/>
  <c r="C147" i="2"/>
  <c r="D147" i="2"/>
  <c r="E147" i="2"/>
  <c r="F147" i="2"/>
  <c r="B148" i="2"/>
  <c r="C148" i="2"/>
  <c r="D148" i="2"/>
  <c r="E148" i="2"/>
  <c r="F148" i="2"/>
  <c r="Q148" i="2"/>
  <c r="B149" i="2"/>
  <c r="C149" i="2"/>
  <c r="D149" i="2"/>
  <c r="E149" i="2"/>
  <c r="F149" i="2"/>
  <c r="Q149" i="2"/>
  <c r="B150" i="2"/>
  <c r="C150" i="2"/>
  <c r="D150" i="2"/>
  <c r="E150" i="2"/>
  <c r="F150" i="2"/>
  <c r="Q150" i="2"/>
  <c r="B151" i="2"/>
  <c r="C151" i="2"/>
  <c r="D151" i="2"/>
  <c r="E151" i="2"/>
  <c r="F151" i="2"/>
  <c r="Q151" i="2"/>
  <c r="B152" i="2"/>
  <c r="C152" i="2"/>
  <c r="D152" i="2"/>
  <c r="E152" i="2"/>
  <c r="F152" i="2"/>
  <c r="Q152" i="2"/>
  <c r="B153" i="2"/>
  <c r="C153" i="2"/>
  <c r="D153" i="2"/>
  <c r="E153" i="2"/>
  <c r="F153" i="2"/>
  <c r="Q153" i="2"/>
  <c r="B154" i="2"/>
  <c r="C154" i="2"/>
  <c r="D154" i="2"/>
  <c r="E154" i="2"/>
  <c r="F154" i="2"/>
  <c r="Q154" i="2"/>
  <c r="B155" i="2"/>
  <c r="C155" i="2"/>
  <c r="D155" i="2"/>
  <c r="E155" i="2"/>
  <c r="F155" i="2"/>
  <c r="B156" i="2"/>
  <c r="C156" i="2"/>
  <c r="D156" i="2"/>
  <c r="E156" i="2"/>
  <c r="F156" i="2"/>
  <c r="Q156" i="2"/>
  <c r="B157" i="2"/>
  <c r="C157" i="2"/>
  <c r="D157" i="2"/>
  <c r="E157" i="2"/>
  <c r="F157" i="2"/>
  <c r="Q157" i="2"/>
  <c r="B158" i="2"/>
  <c r="C158" i="2"/>
  <c r="D158" i="2"/>
  <c r="E158" i="2"/>
  <c r="F158" i="2"/>
  <c r="Q158" i="2"/>
  <c r="B159" i="2"/>
  <c r="C159" i="2"/>
  <c r="D159" i="2"/>
  <c r="E159" i="2"/>
  <c r="F159" i="2"/>
  <c r="Q159" i="2"/>
  <c r="B160" i="2"/>
  <c r="C160" i="2"/>
  <c r="D160" i="2"/>
  <c r="E160" i="2"/>
  <c r="F160" i="2"/>
  <c r="Q160" i="2"/>
  <c r="B161" i="2"/>
  <c r="C161" i="2"/>
  <c r="D161" i="2"/>
  <c r="E161" i="2"/>
  <c r="F161" i="2"/>
  <c r="Q161" i="2"/>
  <c r="B162" i="2"/>
  <c r="C162" i="2"/>
  <c r="D162" i="2"/>
  <c r="E162" i="2"/>
  <c r="F162" i="2"/>
  <c r="Q162" i="2"/>
  <c r="B163" i="2"/>
  <c r="C163" i="2"/>
  <c r="D163" i="2"/>
  <c r="E163" i="2"/>
  <c r="F163" i="2"/>
  <c r="B164" i="2"/>
  <c r="C164" i="2"/>
  <c r="D164" i="2"/>
  <c r="E164" i="2"/>
  <c r="F164" i="2"/>
  <c r="Q164" i="2"/>
  <c r="B165" i="2"/>
  <c r="C165" i="2"/>
  <c r="D165" i="2"/>
  <c r="E165" i="2"/>
  <c r="F165" i="2"/>
  <c r="Q165" i="2"/>
  <c r="B166" i="2"/>
  <c r="C166" i="2"/>
  <c r="D166" i="2"/>
  <c r="E166" i="2"/>
  <c r="F166" i="2"/>
  <c r="Q166" i="2"/>
  <c r="B167" i="2"/>
  <c r="C167" i="2"/>
  <c r="D167" i="2"/>
  <c r="E167" i="2"/>
  <c r="F167" i="2"/>
  <c r="Q167" i="2"/>
  <c r="B168" i="2"/>
  <c r="C168" i="2"/>
  <c r="D168" i="2"/>
  <c r="E168" i="2"/>
  <c r="F168" i="2"/>
  <c r="Q168" i="2"/>
  <c r="B169" i="2"/>
  <c r="C169" i="2"/>
  <c r="D169" i="2"/>
  <c r="E169" i="2"/>
  <c r="F169" i="2"/>
  <c r="Q169" i="2"/>
  <c r="B170" i="2"/>
  <c r="C170" i="2"/>
  <c r="D170" i="2"/>
  <c r="E170" i="2"/>
  <c r="F170" i="2"/>
  <c r="Q170" i="2"/>
  <c r="B171" i="2"/>
  <c r="C171" i="2"/>
  <c r="D171" i="2"/>
  <c r="E171" i="2"/>
  <c r="F171" i="2"/>
  <c r="B172" i="2"/>
  <c r="C172" i="2"/>
  <c r="D172" i="2"/>
  <c r="E172" i="2"/>
  <c r="F172" i="2"/>
  <c r="Q172" i="2"/>
  <c r="B173" i="2"/>
  <c r="C173" i="2"/>
  <c r="D173" i="2"/>
  <c r="E173" i="2"/>
  <c r="F173" i="2"/>
  <c r="Q173" i="2"/>
  <c r="B174" i="2"/>
  <c r="C174" i="2"/>
  <c r="D174" i="2"/>
  <c r="E174" i="2"/>
  <c r="F174" i="2"/>
  <c r="Q174" i="2"/>
  <c r="B175" i="2"/>
  <c r="C175" i="2"/>
  <c r="D175" i="2"/>
  <c r="E175" i="2"/>
  <c r="F175" i="2"/>
  <c r="Q175" i="2"/>
  <c r="B176" i="2"/>
  <c r="C176" i="2"/>
  <c r="D176" i="2"/>
  <c r="E176" i="2"/>
  <c r="F176" i="2"/>
  <c r="Q176" i="2"/>
  <c r="B177" i="2"/>
  <c r="C177" i="2"/>
  <c r="D177" i="2"/>
  <c r="E177" i="2"/>
  <c r="F177" i="2"/>
  <c r="Q177" i="2"/>
  <c r="B178" i="2"/>
  <c r="C178" i="2"/>
  <c r="D178" i="2"/>
  <c r="E178" i="2"/>
  <c r="F178" i="2"/>
  <c r="Q178" i="2"/>
  <c r="B179" i="2"/>
  <c r="C179" i="2"/>
  <c r="D179" i="2"/>
  <c r="E179" i="2"/>
  <c r="F179" i="2"/>
  <c r="B180" i="2"/>
  <c r="C180" i="2"/>
  <c r="D180" i="2"/>
  <c r="E180" i="2"/>
  <c r="F180" i="2"/>
  <c r="Q180" i="2"/>
  <c r="B181" i="2"/>
  <c r="C181" i="2"/>
  <c r="D181" i="2"/>
  <c r="E181" i="2"/>
  <c r="F181" i="2"/>
  <c r="Q181" i="2"/>
  <c r="B182" i="2"/>
  <c r="C182" i="2"/>
  <c r="D182" i="2"/>
  <c r="E182" i="2"/>
  <c r="F182" i="2"/>
  <c r="Q182" i="2"/>
  <c r="B183" i="2"/>
  <c r="C183" i="2"/>
  <c r="D183" i="2"/>
  <c r="E183" i="2"/>
  <c r="F183" i="2"/>
  <c r="Q183" i="2"/>
  <c r="B184" i="2"/>
  <c r="C184" i="2"/>
  <c r="D184" i="2"/>
  <c r="E184" i="2"/>
  <c r="F184" i="2"/>
  <c r="Q184" i="2"/>
  <c r="B185" i="2"/>
  <c r="C185" i="2"/>
  <c r="D185" i="2"/>
  <c r="E185" i="2"/>
  <c r="F185" i="2"/>
  <c r="Q185" i="2"/>
  <c r="B186" i="2"/>
  <c r="C186" i="2"/>
  <c r="D186" i="2"/>
  <c r="E186" i="2"/>
  <c r="F186" i="2"/>
  <c r="Q186" i="2"/>
  <c r="B187" i="2"/>
  <c r="C187" i="2"/>
  <c r="D187" i="2"/>
  <c r="E187" i="2"/>
  <c r="F187" i="2"/>
  <c r="B188" i="2"/>
  <c r="C188" i="2"/>
  <c r="D188" i="2"/>
  <c r="E188" i="2"/>
  <c r="F188" i="2"/>
  <c r="Q188" i="2"/>
  <c r="B189" i="2"/>
  <c r="C189" i="2"/>
  <c r="D189" i="2"/>
  <c r="E189" i="2"/>
  <c r="F189" i="2"/>
  <c r="Q189" i="2"/>
  <c r="B190" i="2"/>
  <c r="C190" i="2"/>
  <c r="D190" i="2"/>
  <c r="E190" i="2"/>
  <c r="F190" i="2"/>
  <c r="Q190" i="2"/>
  <c r="B191" i="2"/>
  <c r="C191" i="2"/>
  <c r="D191" i="2"/>
  <c r="E191" i="2"/>
  <c r="F191" i="2"/>
  <c r="Q191" i="2"/>
  <c r="B192" i="2"/>
  <c r="C192" i="2"/>
  <c r="D192" i="2"/>
  <c r="E192" i="2"/>
  <c r="F192" i="2"/>
  <c r="Q192" i="2"/>
  <c r="B193" i="2"/>
  <c r="C193" i="2"/>
  <c r="D193" i="2"/>
  <c r="E193" i="2"/>
  <c r="F193" i="2"/>
  <c r="Q193" i="2"/>
  <c r="B194" i="2"/>
  <c r="C194" i="2"/>
  <c r="D194" i="2"/>
  <c r="E194" i="2"/>
  <c r="F194" i="2"/>
  <c r="Q194" i="2"/>
  <c r="B195" i="2"/>
  <c r="C195" i="2"/>
  <c r="D195" i="2"/>
  <c r="E195" i="2"/>
  <c r="F195" i="2"/>
  <c r="B196" i="2"/>
  <c r="C196" i="2"/>
  <c r="D196" i="2"/>
  <c r="E196" i="2"/>
  <c r="F196" i="2"/>
  <c r="Q196" i="2"/>
  <c r="C3" i="2"/>
  <c r="H60" i="7" l="1"/>
  <c r="G60" i="7"/>
  <c r="E60" i="7"/>
  <c r="C60" i="7"/>
  <c r="H59" i="7"/>
  <c r="G59" i="7"/>
  <c r="E59" i="7"/>
  <c r="C59" i="7"/>
  <c r="G58" i="7"/>
  <c r="E58" i="7"/>
  <c r="C58" i="7"/>
  <c r="H58" i="7" s="1"/>
  <c r="H57" i="7"/>
  <c r="G57" i="7"/>
  <c r="E57" i="7"/>
  <c r="C57" i="7"/>
  <c r="G56" i="7"/>
  <c r="I41" i="7" s="1"/>
  <c r="E56" i="7"/>
  <c r="C56" i="7"/>
  <c r="H56" i="7" s="1"/>
  <c r="G55" i="7"/>
  <c r="E55" i="7"/>
  <c r="C55" i="7"/>
  <c r="H55" i="7" s="1"/>
  <c r="G54" i="7"/>
  <c r="I39" i="7" s="1"/>
  <c r="E54" i="7"/>
  <c r="H54" i="7" s="1"/>
  <c r="C54" i="7"/>
  <c r="G53" i="7"/>
  <c r="E53" i="7"/>
  <c r="H53" i="7" s="1"/>
  <c r="C53" i="7"/>
  <c r="H52" i="7"/>
  <c r="G52" i="7"/>
  <c r="E52" i="7"/>
  <c r="C52" i="7"/>
  <c r="H51" i="7"/>
  <c r="G51" i="7"/>
  <c r="E51" i="7"/>
  <c r="C51" i="7"/>
  <c r="G50" i="7"/>
  <c r="E50" i="7"/>
  <c r="C50" i="7"/>
  <c r="H50" i="7" s="1"/>
  <c r="H49" i="7"/>
  <c r="G49" i="7"/>
  <c r="G61" i="7" s="1"/>
  <c r="E49" i="7"/>
  <c r="C49" i="7"/>
  <c r="H45" i="7"/>
  <c r="G45" i="7"/>
  <c r="I45" i="7" s="1"/>
  <c r="E45" i="7"/>
  <c r="C45" i="7"/>
  <c r="G44" i="7"/>
  <c r="I44" i="7" s="1"/>
  <c r="E44" i="7"/>
  <c r="C44" i="7"/>
  <c r="H44" i="7" s="1"/>
  <c r="H43" i="7"/>
  <c r="G43" i="7"/>
  <c r="I43" i="7" s="1"/>
  <c r="E43" i="7"/>
  <c r="C43" i="7"/>
  <c r="G42" i="7"/>
  <c r="I42" i="7" s="1"/>
  <c r="E42" i="7"/>
  <c r="C42" i="7"/>
  <c r="H42" i="7" s="1"/>
  <c r="G41" i="7"/>
  <c r="E41" i="7"/>
  <c r="C41" i="7"/>
  <c r="H41" i="7" s="1"/>
  <c r="I40" i="7"/>
  <c r="G40" i="7"/>
  <c r="E40" i="7"/>
  <c r="H40" i="7" s="1"/>
  <c r="C40" i="7"/>
  <c r="G39" i="7"/>
  <c r="E39" i="7"/>
  <c r="C39" i="7"/>
  <c r="H39" i="7" s="1"/>
  <c r="I38" i="7"/>
  <c r="H38" i="7"/>
  <c r="G38" i="7"/>
  <c r="E38" i="7"/>
  <c r="C38" i="7"/>
  <c r="H37" i="7"/>
  <c r="G37" i="7"/>
  <c r="I37" i="7" s="1"/>
  <c r="E37" i="7"/>
  <c r="C37" i="7"/>
  <c r="G36" i="7"/>
  <c r="I36" i="7" s="1"/>
  <c r="E36" i="7"/>
  <c r="C36" i="7"/>
  <c r="H36" i="7" s="1"/>
  <c r="H35" i="7"/>
  <c r="G35" i="7"/>
  <c r="I35" i="7" s="1"/>
  <c r="E35" i="7"/>
  <c r="C35" i="7"/>
  <c r="G34" i="7"/>
  <c r="G46" i="7" s="1"/>
  <c r="E34" i="7"/>
  <c r="C34" i="7"/>
  <c r="H34" i="7" s="1"/>
  <c r="G29" i="7"/>
  <c r="G28" i="7"/>
  <c r="G27" i="7"/>
  <c r="G26" i="7"/>
  <c r="G25" i="7"/>
  <c r="G24" i="7"/>
  <c r="G23" i="7"/>
  <c r="G22" i="7"/>
  <c r="G21" i="7"/>
  <c r="G20" i="7"/>
  <c r="G19" i="7"/>
  <c r="G18" i="7"/>
  <c r="G30" i="7" s="1"/>
  <c r="I14" i="7"/>
  <c r="H14" i="7"/>
  <c r="I60" i="7" s="1"/>
  <c r="G14" i="7"/>
  <c r="E14" i="7"/>
  <c r="C14" i="7"/>
  <c r="H13" i="7"/>
  <c r="G13" i="7"/>
  <c r="I13" i="7" s="1"/>
  <c r="E13" i="7"/>
  <c r="C13" i="7"/>
  <c r="G12" i="7"/>
  <c r="I12" i="7" s="1"/>
  <c r="E12" i="7"/>
  <c r="C12" i="7"/>
  <c r="H12" i="7" s="1"/>
  <c r="I58" i="7" s="1"/>
  <c r="H11" i="7"/>
  <c r="G11" i="7"/>
  <c r="I11" i="7" s="1"/>
  <c r="E11" i="7"/>
  <c r="C11" i="7"/>
  <c r="G10" i="7"/>
  <c r="I10" i="7" s="1"/>
  <c r="E10" i="7"/>
  <c r="C10" i="7"/>
  <c r="H10" i="7" s="1"/>
  <c r="I56" i="7" s="1"/>
  <c r="I9" i="7"/>
  <c r="G9" i="7"/>
  <c r="E9" i="7"/>
  <c r="H9" i="7" s="1"/>
  <c r="C9" i="7"/>
  <c r="I8" i="7"/>
  <c r="G8" i="7"/>
  <c r="E8" i="7"/>
  <c r="H8" i="7" s="1"/>
  <c r="C8" i="7"/>
  <c r="I7" i="7"/>
  <c r="G7" i="7"/>
  <c r="E7" i="7"/>
  <c r="C7" i="7"/>
  <c r="H7" i="7" s="1"/>
  <c r="I53" i="7" s="1"/>
  <c r="I6" i="7"/>
  <c r="H6" i="7"/>
  <c r="I52" i="7" s="1"/>
  <c r="G6" i="7"/>
  <c r="E6" i="7"/>
  <c r="C6" i="7"/>
  <c r="H5" i="7"/>
  <c r="I51" i="7" s="1"/>
  <c r="G5" i="7"/>
  <c r="I5" i="7" s="1"/>
  <c r="E5" i="7"/>
  <c r="C5" i="7"/>
  <c r="G4" i="7"/>
  <c r="I4" i="7" s="1"/>
  <c r="E4" i="7"/>
  <c r="C4" i="7"/>
  <c r="H4" i="7" s="1"/>
  <c r="I50" i="7" s="1"/>
  <c r="H3" i="7"/>
  <c r="I49" i="7" s="1"/>
  <c r="G3" i="7"/>
  <c r="G15" i="7" s="1"/>
  <c r="I1" i="7" s="1"/>
  <c r="E3" i="7"/>
  <c r="C3" i="7"/>
  <c r="Q3" i="2"/>
  <c r="F3" i="2"/>
  <c r="E3" i="2"/>
  <c r="D3" i="2"/>
  <c r="B3" i="2"/>
  <c r="Q2001" i="2"/>
  <c r="F2001" i="2"/>
  <c r="E2001" i="2"/>
  <c r="D2001" i="2"/>
  <c r="C2001" i="2"/>
  <c r="B2001" i="2"/>
  <c r="Q2000" i="2"/>
  <c r="F2000" i="2"/>
  <c r="E2000" i="2"/>
  <c r="D2000" i="2"/>
  <c r="C2000" i="2"/>
  <c r="B2000" i="2"/>
  <c r="Q1999" i="2"/>
  <c r="F1999" i="2"/>
  <c r="E1999" i="2"/>
  <c r="D1999" i="2"/>
  <c r="C1999" i="2"/>
  <c r="B1999" i="2"/>
  <c r="Q1998" i="2"/>
  <c r="F1998" i="2"/>
  <c r="E1998" i="2"/>
  <c r="D1998" i="2"/>
  <c r="C1998" i="2"/>
  <c r="B1998" i="2"/>
  <c r="Q1997" i="2"/>
  <c r="F1997" i="2"/>
  <c r="E1997" i="2"/>
  <c r="D1997" i="2"/>
  <c r="C1997" i="2"/>
  <c r="B1997" i="2"/>
  <c r="Q1996" i="2"/>
  <c r="F1996" i="2"/>
  <c r="E1996" i="2"/>
  <c r="D1996" i="2"/>
  <c r="C1996" i="2"/>
  <c r="B1996" i="2"/>
  <c r="Q1995" i="2"/>
  <c r="F1995" i="2"/>
  <c r="E1995" i="2"/>
  <c r="D1995" i="2"/>
  <c r="C1995" i="2"/>
  <c r="B1995" i="2"/>
  <c r="Q1994" i="2"/>
  <c r="F1994" i="2"/>
  <c r="E1994" i="2"/>
  <c r="D1994" i="2"/>
  <c r="C1994" i="2"/>
  <c r="B1994" i="2"/>
  <c r="Q1993" i="2"/>
  <c r="F1993" i="2"/>
  <c r="E1993" i="2"/>
  <c r="D1993" i="2"/>
  <c r="C1993" i="2"/>
  <c r="B1993" i="2"/>
  <c r="Q1992" i="2"/>
  <c r="F1992" i="2"/>
  <c r="E1992" i="2"/>
  <c r="D1992" i="2"/>
  <c r="C1992" i="2"/>
  <c r="B1992" i="2"/>
  <c r="Q1991" i="2"/>
  <c r="F1991" i="2"/>
  <c r="E1991" i="2"/>
  <c r="D1991" i="2"/>
  <c r="C1991" i="2"/>
  <c r="B1991" i="2"/>
  <c r="Q1990" i="2"/>
  <c r="F1990" i="2"/>
  <c r="E1990" i="2"/>
  <c r="D1990" i="2"/>
  <c r="C1990" i="2"/>
  <c r="B1990" i="2"/>
  <c r="Q1989" i="2"/>
  <c r="F1989" i="2"/>
  <c r="E1989" i="2"/>
  <c r="D1989" i="2"/>
  <c r="C1989" i="2"/>
  <c r="B1989" i="2"/>
  <c r="Q1988" i="2"/>
  <c r="F1988" i="2"/>
  <c r="E1988" i="2"/>
  <c r="D1988" i="2"/>
  <c r="C1988" i="2"/>
  <c r="B1988" i="2"/>
  <c r="Q1987" i="2"/>
  <c r="F1987" i="2"/>
  <c r="E1987" i="2"/>
  <c r="D1987" i="2"/>
  <c r="C1987" i="2"/>
  <c r="B1987" i="2"/>
  <c r="Q1986" i="2"/>
  <c r="F1986" i="2"/>
  <c r="E1986" i="2"/>
  <c r="D1986" i="2"/>
  <c r="C1986" i="2"/>
  <c r="B1986" i="2"/>
  <c r="Q1985" i="2"/>
  <c r="F1985" i="2"/>
  <c r="E1985" i="2"/>
  <c r="D1985" i="2"/>
  <c r="C1985" i="2"/>
  <c r="B1985" i="2"/>
  <c r="Q1984" i="2"/>
  <c r="F1984" i="2"/>
  <c r="E1984" i="2"/>
  <c r="D1984" i="2"/>
  <c r="C1984" i="2"/>
  <c r="B1984" i="2"/>
  <c r="Q1983" i="2"/>
  <c r="F1983" i="2"/>
  <c r="E1983" i="2"/>
  <c r="D1983" i="2"/>
  <c r="C1983" i="2"/>
  <c r="B1983" i="2"/>
  <c r="Q1982" i="2"/>
  <c r="F1982" i="2"/>
  <c r="E1982" i="2"/>
  <c r="D1982" i="2"/>
  <c r="C1982" i="2"/>
  <c r="B1982" i="2"/>
  <c r="Q1981" i="2"/>
  <c r="F1981" i="2"/>
  <c r="E1981" i="2"/>
  <c r="D1981" i="2"/>
  <c r="C1981" i="2"/>
  <c r="B1981" i="2"/>
  <c r="Q1980" i="2"/>
  <c r="F1980" i="2"/>
  <c r="E1980" i="2"/>
  <c r="D1980" i="2"/>
  <c r="C1980" i="2"/>
  <c r="B1980" i="2"/>
  <c r="Q1979" i="2"/>
  <c r="F1979" i="2"/>
  <c r="E1979" i="2"/>
  <c r="D1979" i="2"/>
  <c r="C1979" i="2"/>
  <c r="B1979" i="2"/>
  <c r="Q1978" i="2"/>
  <c r="F1978" i="2"/>
  <c r="E1978" i="2"/>
  <c r="D1978" i="2"/>
  <c r="C1978" i="2"/>
  <c r="B1978" i="2"/>
  <c r="Q1977" i="2"/>
  <c r="F1977" i="2"/>
  <c r="E1977" i="2"/>
  <c r="D1977" i="2"/>
  <c r="C1977" i="2"/>
  <c r="B1977" i="2"/>
  <c r="Q1976" i="2"/>
  <c r="F1976" i="2"/>
  <c r="E1976" i="2"/>
  <c r="D1976" i="2"/>
  <c r="C1976" i="2"/>
  <c r="B1976" i="2"/>
  <c r="Q1975" i="2"/>
  <c r="F1975" i="2"/>
  <c r="E1975" i="2"/>
  <c r="D1975" i="2"/>
  <c r="C1975" i="2"/>
  <c r="B1975" i="2"/>
  <c r="Q1974" i="2"/>
  <c r="F1974" i="2"/>
  <c r="E1974" i="2"/>
  <c r="D1974" i="2"/>
  <c r="C1974" i="2"/>
  <c r="B1974" i="2"/>
  <c r="Q1973" i="2"/>
  <c r="F1973" i="2"/>
  <c r="E1973" i="2"/>
  <c r="D1973" i="2"/>
  <c r="C1973" i="2"/>
  <c r="B1973" i="2"/>
  <c r="Q1972" i="2"/>
  <c r="F1972" i="2"/>
  <c r="E1972" i="2"/>
  <c r="D1972" i="2"/>
  <c r="C1972" i="2"/>
  <c r="B1972" i="2"/>
  <c r="Q1971" i="2"/>
  <c r="F1971" i="2"/>
  <c r="E1971" i="2"/>
  <c r="D1971" i="2"/>
  <c r="C1971" i="2"/>
  <c r="B1971" i="2"/>
  <c r="Q1970" i="2"/>
  <c r="F1970" i="2"/>
  <c r="E1970" i="2"/>
  <c r="D1970" i="2"/>
  <c r="C1970" i="2"/>
  <c r="B1970" i="2"/>
  <c r="Q1969" i="2"/>
  <c r="F1969" i="2"/>
  <c r="E1969" i="2"/>
  <c r="D1969" i="2"/>
  <c r="C1969" i="2"/>
  <c r="B1969" i="2"/>
  <c r="Q1968" i="2"/>
  <c r="F1968" i="2"/>
  <c r="E1968" i="2"/>
  <c r="D1968" i="2"/>
  <c r="C1968" i="2"/>
  <c r="B1968" i="2"/>
  <c r="Q1967" i="2"/>
  <c r="F1967" i="2"/>
  <c r="E1967" i="2"/>
  <c r="D1967" i="2"/>
  <c r="C1967" i="2"/>
  <c r="B1967" i="2"/>
  <c r="Q1966" i="2"/>
  <c r="F1966" i="2"/>
  <c r="E1966" i="2"/>
  <c r="D1966" i="2"/>
  <c r="C1966" i="2"/>
  <c r="B1966" i="2"/>
  <c r="Q1965" i="2"/>
  <c r="F1965" i="2"/>
  <c r="E1965" i="2"/>
  <c r="D1965" i="2"/>
  <c r="C1965" i="2"/>
  <c r="B1965" i="2"/>
  <c r="Q1964" i="2"/>
  <c r="F1964" i="2"/>
  <c r="E1964" i="2"/>
  <c r="D1964" i="2"/>
  <c r="C1964" i="2"/>
  <c r="B1964" i="2"/>
  <c r="Q1963" i="2"/>
  <c r="F1963" i="2"/>
  <c r="E1963" i="2"/>
  <c r="D1963" i="2"/>
  <c r="C1963" i="2"/>
  <c r="B1963" i="2"/>
  <c r="Q1962" i="2"/>
  <c r="F1962" i="2"/>
  <c r="E1962" i="2"/>
  <c r="D1962" i="2"/>
  <c r="C1962" i="2"/>
  <c r="B1962" i="2"/>
  <c r="Q1961" i="2"/>
  <c r="F1961" i="2"/>
  <c r="E1961" i="2"/>
  <c r="D1961" i="2"/>
  <c r="C1961" i="2"/>
  <c r="B1961" i="2"/>
  <c r="Q1960" i="2"/>
  <c r="F1960" i="2"/>
  <c r="E1960" i="2"/>
  <c r="D1960" i="2"/>
  <c r="C1960" i="2"/>
  <c r="B1960" i="2"/>
  <c r="Q1959" i="2"/>
  <c r="F1959" i="2"/>
  <c r="E1959" i="2"/>
  <c r="D1959" i="2"/>
  <c r="C1959" i="2"/>
  <c r="B1959" i="2"/>
  <c r="Q1958" i="2"/>
  <c r="F1958" i="2"/>
  <c r="E1958" i="2"/>
  <c r="D1958" i="2"/>
  <c r="C1958" i="2"/>
  <c r="B1958" i="2"/>
  <c r="Q1957" i="2"/>
  <c r="F1957" i="2"/>
  <c r="E1957" i="2"/>
  <c r="D1957" i="2"/>
  <c r="C1957" i="2"/>
  <c r="B1957" i="2"/>
  <c r="Q1956" i="2"/>
  <c r="F1956" i="2"/>
  <c r="E1956" i="2"/>
  <c r="D1956" i="2"/>
  <c r="C1956" i="2"/>
  <c r="B1956" i="2"/>
  <c r="Q1955" i="2"/>
  <c r="F1955" i="2"/>
  <c r="E1955" i="2"/>
  <c r="D1955" i="2"/>
  <c r="C1955" i="2"/>
  <c r="B1955" i="2"/>
  <c r="Q1954" i="2"/>
  <c r="F1954" i="2"/>
  <c r="E1954" i="2"/>
  <c r="D1954" i="2"/>
  <c r="C1954" i="2"/>
  <c r="B1954" i="2"/>
  <c r="Q1953" i="2"/>
  <c r="F1953" i="2"/>
  <c r="E1953" i="2"/>
  <c r="D1953" i="2"/>
  <c r="C1953" i="2"/>
  <c r="B1953" i="2"/>
  <c r="Q1952" i="2"/>
  <c r="F1952" i="2"/>
  <c r="E1952" i="2"/>
  <c r="D1952" i="2"/>
  <c r="C1952" i="2"/>
  <c r="B1952" i="2"/>
  <c r="Q1951" i="2"/>
  <c r="F1951" i="2"/>
  <c r="E1951" i="2"/>
  <c r="D1951" i="2"/>
  <c r="C1951" i="2"/>
  <c r="B1951" i="2"/>
  <c r="Q1950" i="2"/>
  <c r="F1950" i="2"/>
  <c r="E1950" i="2"/>
  <c r="D1950" i="2"/>
  <c r="C1950" i="2"/>
  <c r="B1950" i="2"/>
  <c r="Q1949" i="2"/>
  <c r="F1949" i="2"/>
  <c r="E1949" i="2"/>
  <c r="D1949" i="2"/>
  <c r="C1949" i="2"/>
  <c r="B1949" i="2"/>
  <c r="Q1948" i="2"/>
  <c r="F1948" i="2"/>
  <c r="E1948" i="2"/>
  <c r="D1948" i="2"/>
  <c r="C1948" i="2"/>
  <c r="B1948" i="2"/>
  <c r="Q1947" i="2"/>
  <c r="F1947" i="2"/>
  <c r="E1947" i="2"/>
  <c r="D1947" i="2"/>
  <c r="C1947" i="2"/>
  <c r="B1947" i="2"/>
  <c r="Q1946" i="2"/>
  <c r="F1946" i="2"/>
  <c r="E1946" i="2"/>
  <c r="D1946" i="2"/>
  <c r="C1946" i="2"/>
  <c r="B1946" i="2"/>
  <c r="Q1945" i="2"/>
  <c r="F1945" i="2"/>
  <c r="E1945" i="2"/>
  <c r="D1945" i="2"/>
  <c r="C1945" i="2"/>
  <c r="B1945" i="2"/>
  <c r="Q1944" i="2"/>
  <c r="F1944" i="2"/>
  <c r="E1944" i="2"/>
  <c r="D1944" i="2"/>
  <c r="C1944" i="2"/>
  <c r="B1944" i="2"/>
  <c r="Q1943" i="2"/>
  <c r="F1943" i="2"/>
  <c r="E1943" i="2"/>
  <c r="D1943" i="2"/>
  <c r="C1943" i="2"/>
  <c r="B1943" i="2"/>
  <c r="Q1942" i="2"/>
  <c r="F1942" i="2"/>
  <c r="E1942" i="2"/>
  <c r="D1942" i="2"/>
  <c r="C1942" i="2"/>
  <c r="B1942" i="2"/>
  <c r="Q1941" i="2"/>
  <c r="F1941" i="2"/>
  <c r="E1941" i="2"/>
  <c r="D1941" i="2"/>
  <c r="C1941" i="2"/>
  <c r="B1941" i="2"/>
  <c r="Q1940" i="2"/>
  <c r="F1940" i="2"/>
  <c r="E1940" i="2"/>
  <c r="D1940" i="2"/>
  <c r="C1940" i="2"/>
  <c r="B1940" i="2"/>
  <c r="Q1939" i="2"/>
  <c r="F1939" i="2"/>
  <c r="E1939" i="2"/>
  <c r="D1939" i="2"/>
  <c r="C1939" i="2"/>
  <c r="B1939" i="2"/>
  <c r="Q1938" i="2"/>
  <c r="F1938" i="2"/>
  <c r="E1938" i="2"/>
  <c r="D1938" i="2"/>
  <c r="C1938" i="2"/>
  <c r="B1938" i="2"/>
  <c r="Q1937" i="2"/>
  <c r="F1937" i="2"/>
  <c r="E1937" i="2"/>
  <c r="D1937" i="2"/>
  <c r="C1937" i="2"/>
  <c r="B1937" i="2"/>
  <c r="Q1936" i="2"/>
  <c r="F1936" i="2"/>
  <c r="E1936" i="2"/>
  <c r="D1936" i="2"/>
  <c r="C1936" i="2"/>
  <c r="B1936" i="2"/>
  <c r="Q1935" i="2"/>
  <c r="F1935" i="2"/>
  <c r="E1935" i="2"/>
  <c r="D1935" i="2"/>
  <c r="C1935" i="2"/>
  <c r="B1935" i="2"/>
  <c r="Q1934" i="2"/>
  <c r="F1934" i="2"/>
  <c r="E1934" i="2"/>
  <c r="D1934" i="2"/>
  <c r="C1934" i="2"/>
  <c r="B1934" i="2"/>
  <c r="Q1933" i="2"/>
  <c r="F1933" i="2"/>
  <c r="E1933" i="2"/>
  <c r="D1933" i="2"/>
  <c r="C1933" i="2"/>
  <c r="B1933" i="2"/>
  <c r="Q1932" i="2"/>
  <c r="F1932" i="2"/>
  <c r="E1932" i="2"/>
  <c r="D1932" i="2"/>
  <c r="C1932" i="2"/>
  <c r="B1932" i="2"/>
  <c r="Q1931" i="2"/>
  <c r="F1931" i="2"/>
  <c r="E1931" i="2"/>
  <c r="D1931" i="2"/>
  <c r="C1931" i="2"/>
  <c r="B1931" i="2"/>
  <c r="Q1930" i="2"/>
  <c r="F1930" i="2"/>
  <c r="E1930" i="2"/>
  <c r="D1930" i="2"/>
  <c r="C1930" i="2"/>
  <c r="B1930" i="2"/>
  <c r="Q1929" i="2"/>
  <c r="F1929" i="2"/>
  <c r="E1929" i="2"/>
  <c r="D1929" i="2"/>
  <c r="C1929" i="2"/>
  <c r="B1929" i="2"/>
  <c r="Q1928" i="2"/>
  <c r="F1928" i="2"/>
  <c r="E1928" i="2"/>
  <c r="D1928" i="2"/>
  <c r="C1928" i="2"/>
  <c r="B1928" i="2"/>
  <c r="Q1927" i="2"/>
  <c r="F1927" i="2"/>
  <c r="E1927" i="2"/>
  <c r="D1927" i="2"/>
  <c r="C1927" i="2"/>
  <c r="B1927" i="2"/>
  <c r="Q1926" i="2"/>
  <c r="F1926" i="2"/>
  <c r="E1926" i="2"/>
  <c r="D1926" i="2"/>
  <c r="C1926" i="2"/>
  <c r="B1926" i="2"/>
  <c r="Q1925" i="2"/>
  <c r="F1925" i="2"/>
  <c r="E1925" i="2"/>
  <c r="D1925" i="2"/>
  <c r="C1925" i="2"/>
  <c r="B1925" i="2"/>
  <c r="Q1924" i="2"/>
  <c r="F1924" i="2"/>
  <c r="E1924" i="2"/>
  <c r="D1924" i="2"/>
  <c r="C1924" i="2"/>
  <c r="B1924" i="2"/>
  <c r="Q1923" i="2"/>
  <c r="F1923" i="2"/>
  <c r="E1923" i="2"/>
  <c r="D1923" i="2"/>
  <c r="C1923" i="2"/>
  <c r="B1923" i="2"/>
  <c r="Q1922" i="2"/>
  <c r="F1922" i="2"/>
  <c r="E1922" i="2"/>
  <c r="D1922" i="2"/>
  <c r="C1922" i="2"/>
  <c r="B1922" i="2"/>
  <c r="Q1921" i="2"/>
  <c r="F1921" i="2"/>
  <c r="E1921" i="2"/>
  <c r="D1921" i="2"/>
  <c r="C1921" i="2"/>
  <c r="B1921" i="2"/>
  <c r="Q1920" i="2"/>
  <c r="F1920" i="2"/>
  <c r="E1920" i="2"/>
  <c r="D1920" i="2"/>
  <c r="C1920" i="2"/>
  <c r="B1920" i="2"/>
  <c r="Q1919" i="2"/>
  <c r="F1919" i="2"/>
  <c r="E1919" i="2"/>
  <c r="D1919" i="2"/>
  <c r="C1919" i="2"/>
  <c r="B1919" i="2"/>
  <c r="Q1918" i="2"/>
  <c r="F1918" i="2"/>
  <c r="E1918" i="2"/>
  <c r="D1918" i="2"/>
  <c r="C1918" i="2"/>
  <c r="B1918" i="2"/>
  <c r="Q1917" i="2"/>
  <c r="F1917" i="2"/>
  <c r="E1917" i="2"/>
  <c r="D1917" i="2"/>
  <c r="C1917" i="2"/>
  <c r="B1917" i="2"/>
  <c r="Q1916" i="2"/>
  <c r="F1916" i="2"/>
  <c r="E1916" i="2"/>
  <c r="D1916" i="2"/>
  <c r="C1916" i="2"/>
  <c r="B1916" i="2"/>
  <c r="Q1915" i="2"/>
  <c r="F1915" i="2"/>
  <c r="E1915" i="2"/>
  <c r="D1915" i="2"/>
  <c r="C1915" i="2"/>
  <c r="B1915" i="2"/>
  <c r="Q1914" i="2"/>
  <c r="F1914" i="2"/>
  <c r="E1914" i="2"/>
  <c r="D1914" i="2"/>
  <c r="C1914" i="2"/>
  <c r="B1914" i="2"/>
  <c r="Q1913" i="2"/>
  <c r="F1913" i="2"/>
  <c r="E1913" i="2"/>
  <c r="D1913" i="2"/>
  <c r="C1913" i="2"/>
  <c r="B1913" i="2"/>
  <c r="Q1912" i="2"/>
  <c r="F1912" i="2"/>
  <c r="E1912" i="2"/>
  <c r="D1912" i="2"/>
  <c r="C1912" i="2"/>
  <c r="B1912" i="2"/>
  <c r="Q1911" i="2"/>
  <c r="F1911" i="2"/>
  <c r="E1911" i="2"/>
  <c r="D1911" i="2"/>
  <c r="C1911" i="2"/>
  <c r="B1911" i="2"/>
  <c r="Q1910" i="2"/>
  <c r="F1910" i="2"/>
  <c r="E1910" i="2"/>
  <c r="D1910" i="2"/>
  <c r="C1910" i="2"/>
  <c r="B1910" i="2"/>
  <c r="Q1909" i="2"/>
  <c r="F1909" i="2"/>
  <c r="E1909" i="2"/>
  <c r="D1909" i="2"/>
  <c r="C1909" i="2"/>
  <c r="B1909" i="2"/>
  <c r="Q1908" i="2"/>
  <c r="F1908" i="2"/>
  <c r="E1908" i="2"/>
  <c r="D1908" i="2"/>
  <c r="C1908" i="2"/>
  <c r="B1908" i="2"/>
  <c r="Q1907" i="2"/>
  <c r="F1907" i="2"/>
  <c r="E1907" i="2"/>
  <c r="D1907" i="2"/>
  <c r="C1907" i="2"/>
  <c r="B1907" i="2"/>
  <c r="Q1906" i="2"/>
  <c r="F1906" i="2"/>
  <c r="E1906" i="2"/>
  <c r="D1906" i="2"/>
  <c r="C1906" i="2"/>
  <c r="B1906" i="2"/>
  <c r="Q1905" i="2"/>
  <c r="F1905" i="2"/>
  <c r="E1905" i="2"/>
  <c r="D1905" i="2"/>
  <c r="C1905" i="2"/>
  <c r="B1905" i="2"/>
  <c r="Q1904" i="2"/>
  <c r="F1904" i="2"/>
  <c r="E1904" i="2"/>
  <c r="D1904" i="2"/>
  <c r="C1904" i="2"/>
  <c r="B1904" i="2"/>
  <c r="Q1903" i="2"/>
  <c r="F1903" i="2"/>
  <c r="E1903" i="2"/>
  <c r="D1903" i="2"/>
  <c r="C1903" i="2"/>
  <c r="B1903" i="2"/>
  <c r="Q1902" i="2"/>
  <c r="F1902" i="2"/>
  <c r="E1902" i="2"/>
  <c r="D1902" i="2"/>
  <c r="C1902" i="2"/>
  <c r="B1902" i="2"/>
  <c r="Q1901" i="2"/>
  <c r="F1901" i="2"/>
  <c r="E1901" i="2"/>
  <c r="D1901" i="2"/>
  <c r="C1901" i="2"/>
  <c r="B1901" i="2"/>
  <c r="Q1900" i="2"/>
  <c r="F1900" i="2"/>
  <c r="E1900" i="2"/>
  <c r="D1900" i="2"/>
  <c r="C1900" i="2"/>
  <c r="B1900" i="2"/>
  <c r="Q1899" i="2"/>
  <c r="F1899" i="2"/>
  <c r="E1899" i="2"/>
  <c r="D1899" i="2"/>
  <c r="C1899" i="2"/>
  <c r="B1899" i="2"/>
  <c r="Q1898" i="2"/>
  <c r="F1898" i="2"/>
  <c r="E1898" i="2"/>
  <c r="D1898" i="2"/>
  <c r="C1898" i="2"/>
  <c r="B1898" i="2"/>
  <c r="Q1897" i="2"/>
  <c r="F1897" i="2"/>
  <c r="E1897" i="2"/>
  <c r="D1897" i="2"/>
  <c r="C1897" i="2"/>
  <c r="B1897" i="2"/>
  <c r="Q1896" i="2"/>
  <c r="F1896" i="2"/>
  <c r="E1896" i="2"/>
  <c r="D1896" i="2"/>
  <c r="C1896" i="2"/>
  <c r="B1896" i="2"/>
  <c r="Q1895" i="2"/>
  <c r="F1895" i="2"/>
  <c r="E1895" i="2"/>
  <c r="D1895" i="2"/>
  <c r="C1895" i="2"/>
  <c r="B1895" i="2"/>
  <c r="Q1894" i="2"/>
  <c r="F1894" i="2"/>
  <c r="E1894" i="2"/>
  <c r="D1894" i="2"/>
  <c r="C1894" i="2"/>
  <c r="B1894" i="2"/>
  <c r="Q1893" i="2"/>
  <c r="F1893" i="2"/>
  <c r="E1893" i="2"/>
  <c r="D1893" i="2"/>
  <c r="C1893" i="2"/>
  <c r="B1893" i="2"/>
  <c r="Q1892" i="2"/>
  <c r="F1892" i="2"/>
  <c r="E1892" i="2"/>
  <c r="D1892" i="2"/>
  <c r="C1892" i="2"/>
  <c r="B1892" i="2"/>
  <c r="Q1891" i="2"/>
  <c r="F1891" i="2"/>
  <c r="E1891" i="2"/>
  <c r="D1891" i="2"/>
  <c r="C1891" i="2"/>
  <c r="B1891" i="2"/>
  <c r="Q1890" i="2"/>
  <c r="F1890" i="2"/>
  <c r="E1890" i="2"/>
  <c r="D1890" i="2"/>
  <c r="C1890" i="2"/>
  <c r="B1890" i="2"/>
  <c r="Q1889" i="2"/>
  <c r="F1889" i="2"/>
  <c r="E1889" i="2"/>
  <c r="D1889" i="2"/>
  <c r="C1889" i="2"/>
  <c r="B1889" i="2"/>
  <c r="Q1888" i="2"/>
  <c r="F1888" i="2"/>
  <c r="E1888" i="2"/>
  <c r="D1888" i="2"/>
  <c r="C1888" i="2"/>
  <c r="B1888" i="2"/>
  <c r="Q1887" i="2"/>
  <c r="F1887" i="2"/>
  <c r="E1887" i="2"/>
  <c r="D1887" i="2"/>
  <c r="C1887" i="2"/>
  <c r="B1887" i="2"/>
  <c r="Q1886" i="2"/>
  <c r="F1886" i="2"/>
  <c r="E1886" i="2"/>
  <c r="D1886" i="2"/>
  <c r="C1886" i="2"/>
  <c r="B1886" i="2"/>
  <c r="Q1885" i="2"/>
  <c r="F1885" i="2"/>
  <c r="E1885" i="2"/>
  <c r="D1885" i="2"/>
  <c r="C1885" i="2"/>
  <c r="B1885" i="2"/>
  <c r="Q1884" i="2"/>
  <c r="F1884" i="2"/>
  <c r="E1884" i="2"/>
  <c r="D1884" i="2"/>
  <c r="C1884" i="2"/>
  <c r="B1884" i="2"/>
  <c r="Q1883" i="2"/>
  <c r="F1883" i="2"/>
  <c r="E1883" i="2"/>
  <c r="D1883" i="2"/>
  <c r="C1883" i="2"/>
  <c r="B1883" i="2"/>
  <c r="Q1882" i="2"/>
  <c r="F1882" i="2"/>
  <c r="E1882" i="2"/>
  <c r="D1882" i="2"/>
  <c r="C1882" i="2"/>
  <c r="B1882" i="2"/>
  <c r="Q1881" i="2"/>
  <c r="F1881" i="2"/>
  <c r="E1881" i="2"/>
  <c r="D1881" i="2"/>
  <c r="C1881" i="2"/>
  <c r="B1881" i="2"/>
  <c r="Q1880" i="2"/>
  <c r="F1880" i="2"/>
  <c r="E1880" i="2"/>
  <c r="D1880" i="2"/>
  <c r="C1880" i="2"/>
  <c r="B1880" i="2"/>
  <c r="Q1879" i="2"/>
  <c r="F1879" i="2"/>
  <c r="E1879" i="2"/>
  <c r="D1879" i="2"/>
  <c r="C1879" i="2"/>
  <c r="B1879" i="2"/>
  <c r="Q1878" i="2"/>
  <c r="F1878" i="2"/>
  <c r="E1878" i="2"/>
  <c r="D1878" i="2"/>
  <c r="C1878" i="2"/>
  <c r="B1878" i="2"/>
  <c r="Q1877" i="2"/>
  <c r="F1877" i="2"/>
  <c r="E1877" i="2"/>
  <c r="D1877" i="2"/>
  <c r="C1877" i="2"/>
  <c r="B1877" i="2"/>
  <c r="Q1876" i="2"/>
  <c r="F1876" i="2"/>
  <c r="E1876" i="2"/>
  <c r="D1876" i="2"/>
  <c r="C1876" i="2"/>
  <c r="B1876" i="2"/>
  <c r="Q1875" i="2"/>
  <c r="F1875" i="2"/>
  <c r="E1875" i="2"/>
  <c r="D1875" i="2"/>
  <c r="C1875" i="2"/>
  <c r="B1875" i="2"/>
  <c r="Q1874" i="2"/>
  <c r="F1874" i="2"/>
  <c r="E1874" i="2"/>
  <c r="D1874" i="2"/>
  <c r="C1874" i="2"/>
  <c r="B1874" i="2"/>
  <c r="Q1873" i="2"/>
  <c r="F1873" i="2"/>
  <c r="E1873" i="2"/>
  <c r="D1873" i="2"/>
  <c r="C1873" i="2"/>
  <c r="B1873" i="2"/>
  <c r="Q1872" i="2"/>
  <c r="F1872" i="2"/>
  <c r="E1872" i="2"/>
  <c r="D1872" i="2"/>
  <c r="C1872" i="2"/>
  <c r="B1872" i="2"/>
  <c r="Q1871" i="2"/>
  <c r="F1871" i="2"/>
  <c r="E1871" i="2"/>
  <c r="D1871" i="2"/>
  <c r="C1871" i="2"/>
  <c r="B1871" i="2"/>
  <c r="Q1870" i="2"/>
  <c r="F1870" i="2"/>
  <c r="E1870" i="2"/>
  <c r="D1870" i="2"/>
  <c r="C1870" i="2"/>
  <c r="B1870" i="2"/>
  <c r="Q1869" i="2"/>
  <c r="F1869" i="2"/>
  <c r="E1869" i="2"/>
  <c r="D1869" i="2"/>
  <c r="C1869" i="2"/>
  <c r="B1869" i="2"/>
  <c r="Q1868" i="2"/>
  <c r="F1868" i="2"/>
  <c r="E1868" i="2"/>
  <c r="D1868" i="2"/>
  <c r="C1868" i="2"/>
  <c r="B1868" i="2"/>
  <c r="Q1867" i="2"/>
  <c r="F1867" i="2"/>
  <c r="E1867" i="2"/>
  <c r="D1867" i="2"/>
  <c r="C1867" i="2"/>
  <c r="B1867" i="2"/>
  <c r="Q1866" i="2"/>
  <c r="F1866" i="2"/>
  <c r="E1866" i="2"/>
  <c r="D1866" i="2"/>
  <c r="C1866" i="2"/>
  <c r="B1866" i="2"/>
  <c r="Q1865" i="2"/>
  <c r="F1865" i="2"/>
  <c r="E1865" i="2"/>
  <c r="D1865" i="2"/>
  <c r="C1865" i="2"/>
  <c r="B1865" i="2"/>
  <c r="Q1864" i="2"/>
  <c r="F1864" i="2"/>
  <c r="E1864" i="2"/>
  <c r="D1864" i="2"/>
  <c r="C1864" i="2"/>
  <c r="B1864" i="2"/>
  <c r="Q1863" i="2"/>
  <c r="F1863" i="2"/>
  <c r="E1863" i="2"/>
  <c r="D1863" i="2"/>
  <c r="C1863" i="2"/>
  <c r="B1863" i="2"/>
  <c r="Q1862" i="2"/>
  <c r="F1862" i="2"/>
  <c r="E1862" i="2"/>
  <c r="D1862" i="2"/>
  <c r="C1862" i="2"/>
  <c r="B1862" i="2"/>
  <c r="Q1861" i="2"/>
  <c r="F1861" i="2"/>
  <c r="E1861" i="2"/>
  <c r="D1861" i="2"/>
  <c r="C1861" i="2"/>
  <c r="B1861" i="2"/>
  <c r="Q1860" i="2"/>
  <c r="F1860" i="2"/>
  <c r="E1860" i="2"/>
  <c r="D1860" i="2"/>
  <c r="C1860" i="2"/>
  <c r="B1860" i="2"/>
  <c r="Q1859" i="2"/>
  <c r="F1859" i="2"/>
  <c r="E1859" i="2"/>
  <c r="D1859" i="2"/>
  <c r="C1859" i="2"/>
  <c r="B1859" i="2"/>
  <c r="Q1858" i="2"/>
  <c r="F1858" i="2"/>
  <c r="E1858" i="2"/>
  <c r="D1858" i="2"/>
  <c r="C1858" i="2"/>
  <c r="B1858" i="2"/>
  <c r="Q1857" i="2"/>
  <c r="F1857" i="2"/>
  <c r="E1857" i="2"/>
  <c r="D1857" i="2"/>
  <c r="C1857" i="2"/>
  <c r="B1857" i="2"/>
  <c r="Q1856" i="2"/>
  <c r="F1856" i="2"/>
  <c r="E1856" i="2"/>
  <c r="D1856" i="2"/>
  <c r="C1856" i="2"/>
  <c r="B1856" i="2"/>
  <c r="Q1855" i="2"/>
  <c r="F1855" i="2"/>
  <c r="E1855" i="2"/>
  <c r="D1855" i="2"/>
  <c r="C1855" i="2"/>
  <c r="B1855" i="2"/>
  <c r="Q1854" i="2"/>
  <c r="F1854" i="2"/>
  <c r="E1854" i="2"/>
  <c r="D1854" i="2"/>
  <c r="C1854" i="2"/>
  <c r="B1854" i="2"/>
  <c r="Q1853" i="2"/>
  <c r="F1853" i="2"/>
  <c r="E1853" i="2"/>
  <c r="D1853" i="2"/>
  <c r="C1853" i="2"/>
  <c r="B1853" i="2"/>
  <c r="Q1852" i="2"/>
  <c r="F1852" i="2"/>
  <c r="E1852" i="2"/>
  <c r="D1852" i="2"/>
  <c r="C1852" i="2"/>
  <c r="B1852" i="2"/>
  <c r="Q1851" i="2"/>
  <c r="F1851" i="2"/>
  <c r="E1851" i="2"/>
  <c r="D1851" i="2"/>
  <c r="C1851" i="2"/>
  <c r="B1851" i="2"/>
  <c r="Q1850" i="2"/>
  <c r="F1850" i="2"/>
  <c r="E1850" i="2"/>
  <c r="D1850" i="2"/>
  <c r="C1850" i="2"/>
  <c r="B1850" i="2"/>
  <c r="Q1849" i="2"/>
  <c r="F1849" i="2"/>
  <c r="E1849" i="2"/>
  <c r="D1849" i="2"/>
  <c r="C1849" i="2"/>
  <c r="B1849" i="2"/>
  <c r="Q1848" i="2"/>
  <c r="F1848" i="2"/>
  <c r="E1848" i="2"/>
  <c r="D1848" i="2"/>
  <c r="C1848" i="2"/>
  <c r="B1848" i="2"/>
  <c r="Q1847" i="2"/>
  <c r="F1847" i="2"/>
  <c r="E1847" i="2"/>
  <c r="D1847" i="2"/>
  <c r="C1847" i="2"/>
  <c r="B1847" i="2"/>
  <c r="Q1846" i="2"/>
  <c r="F1846" i="2"/>
  <c r="E1846" i="2"/>
  <c r="D1846" i="2"/>
  <c r="C1846" i="2"/>
  <c r="B1846" i="2"/>
  <c r="Q1845" i="2"/>
  <c r="F1845" i="2"/>
  <c r="E1845" i="2"/>
  <c r="D1845" i="2"/>
  <c r="C1845" i="2"/>
  <c r="B1845" i="2"/>
  <c r="Q1844" i="2"/>
  <c r="F1844" i="2"/>
  <c r="E1844" i="2"/>
  <c r="D1844" i="2"/>
  <c r="C1844" i="2"/>
  <c r="B1844" i="2"/>
  <c r="Q1843" i="2"/>
  <c r="F1843" i="2"/>
  <c r="E1843" i="2"/>
  <c r="D1843" i="2"/>
  <c r="C1843" i="2"/>
  <c r="B1843" i="2"/>
  <c r="Q1842" i="2"/>
  <c r="F1842" i="2"/>
  <c r="E1842" i="2"/>
  <c r="D1842" i="2"/>
  <c r="C1842" i="2"/>
  <c r="B1842" i="2"/>
  <c r="Q1841" i="2"/>
  <c r="F1841" i="2"/>
  <c r="E1841" i="2"/>
  <c r="D1841" i="2"/>
  <c r="C1841" i="2"/>
  <c r="B1841" i="2"/>
  <c r="Q1840" i="2"/>
  <c r="F1840" i="2"/>
  <c r="E1840" i="2"/>
  <c r="D1840" i="2"/>
  <c r="C1840" i="2"/>
  <c r="B1840" i="2"/>
  <c r="Q1839" i="2"/>
  <c r="F1839" i="2"/>
  <c r="E1839" i="2"/>
  <c r="D1839" i="2"/>
  <c r="C1839" i="2"/>
  <c r="B1839" i="2"/>
  <c r="Q1838" i="2"/>
  <c r="F1838" i="2"/>
  <c r="E1838" i="2"/>
  <c r="D1838" i="2"/>
  <c r="C1838" i="2"/>
  <c r="B1838" i="2"/>
  <c r="Q1837" i="2"/>
  <c r="F1837" i="2"/>
  <c r="E1837" i="2"/>
  <c r="D1837" i="2"/>
  <c r="C1837" i="2"/>
  <c r="B1837" i="2"/>
  <c r="Q1836" i="2"/>
  <c r="F1836" i="2"/>
  <c r="E1836" i="2"/>
  <c r="D1836" i="2"/>
  <c r="C1836" i="2"/>
  <c r="B1836" i="2"/>
  <c r="Q1835" i="2"/>
  <c r="F1835" i="2"/>
  <c r="E1835" i="2"/>
  <c r="D1835" i="2"/>
  <c r="C1835" i="2"/>
  <c r="B1835" i="2"/>
  <c r="Q1834" i="2"/>
  <c r="F1834" i="2"/>
  <c r="E1834" i="2"/>
  <c r="D1834" i="2"/>
  <c r="C1834" i="2"/>
  <c r="B1834" i="2"/>
  <c r="Q1833" i="2"/>
  <c r="F1833" i="2"/>
  <c r="E1833" i="2"/>
  <c r="D1833" i="2"/>
  <c r="C1833" i="2"/>
  <c r="B1833" i="2"/>
  <c r="Q1832" i="2"/>
  <c r="F1832" i="2"/>
  <c r="E1832" i="2"/>
  <c r="D1832" i="2"/>
  <c r="C1832" i="2"/>
  <c r="B1832" i="2"/>
  <c r="Q1831" i="2"/>
  <c r="F1831" i="2"/>
  <c r="E1831" i="2"/>
  <c r="D1831" i="2"/>
  <c r="C1831" i="2"/>
  <c r="B1831" i="2"/>
  <c r="Q1830" i="2"/>
  <c r="F1830" i="2"/>
  <c r="E1830" i="2"/>
  <c r="D1830" i="2"/>
  <c r="C1830" i="2"/>
  <c r="B1830" i="2"/>
  <c r="Q1829" i="2"/>
  <c r="F1829" i="2"/>
  <c r="E1829" i="2"/>
  <c r="D1829" i="2"/>
  <c r="C1829" i="2"/>
  <c r="B1829" i="2"/>
  <c r="Q1828" i="2"/>
  <c r="F1828" i="2"/>
  <c r="E1828" i="2"/>
  <c r="D1828" i="2"/>
  <c r="C1828" i="2"/>
  <c r="B1828" i="2"/>
  <c r="Q1827" i="2"/>
  <c r="F1827" i="2"/>
  <c r="E1827" i="2"/>
  <c r="D1827" i="2"/>
  <c r="C1827" i="2"/>
  <c r="B1827" i="2"/>
  <c r="Q1826" i="2"/>
  <c r="F1826" i="2"/>
  <c r="E1826" i="2"/>
  <c r="D1826" i="2"/>
  <c r="C1826" i="2"/>
  <c r="B1826" i="2"/>
  <c r="Q1825" i="2"/>
  <c r="F1825" i="2"/>
  <c r="E1825" i="2"/>
  <c r="D1825" i="2"/>
  <c r="C1825" i="2"/>
  <c r="B1825" i="2"/>
  <c r="Q1824" i="2"/>
  <c r="F1824" i="2"/>
  <c r="E1824" i="2"/>
  <c r="D1824" i="2"/>
  <c r="C1824" i="2"/>
  <c r="B1824" i="2"/>
  <c r="Q1823" i="2"/>
  <c r="F1823" i="2"/>
  <c r="E1823" i="2"/>
  <c r="D1823" i="2"/>
  <c r="C1823" i="2"/>
  <c r="B1823" i="2"/>
  <c r="Q1822" i="2"/>
  <c r="F1822" i="2"/>
  <c r="E1822" i="2"/>
  <c r="D1822" i="2"/>
  <c r="C1822" i="2"/>
  <c r="B1822" i="2"/>
  <c r="Q1821" i="2"/>
  <c r="F1821" i="2"/>
  <c r="E1821" i="2"/>
  <c r="D1821" i="2"/>
  <c r="C1821" i="2"/>
  <c r="B1821" i="2"/>
  <c r="Q1820" i="2"/>
  <c r="F1820" i="2"/>
  <c r="E1820" i="2"/>
  <c r="D1820" i="2"/>
  <c r="C1820" i="2"/>
  <c r="B1820" i="2"/>
  <c r="Q1819" i="2"/>
  <c r="F1819" i="2"/>
  <c r="E1819" i="2"/>
  <c r="D1819" i="2"/>
  <c r="C1819" i="2"/>
  <c r="B1819" i="2"/>
  <c r="Q1818" i="2"/>
  <c r="F1818" i="2"/>
  <c r="E1818" i="2"/>
  <c r="D1818" i="2"/>
  <c r="C1818" i="2"/>
  <c r="B1818" i="2"/>
  <c r="Q1817" i="2"/>
  <c r="F1817" i="2"/>
  <c r="E1817" i="2"/>
  <c r="D1817" i="2"/>
  <c r="C1817" i="2"/>
  <c r="B1817" i="2"/>
  <c r="Q1816" i="2"/>
  <c r="F1816" i="2"/>
  <c r="E1816" i="2"/>
  <c r="D1816" i="2"/>
  <c r="C1816" i="2"/>
  <c r="B1816" i="2"/>
  <c r="Q1815" i="2"/>
  <c r="F1815" i="2"/>
  <c r="E1815" i="2"/>
  <c r="D1815" i="2"/>
  <c r="C1815" i="2"/>
  <c r="B1815" i="2"/>
  <c r="Q1814" i="2"/>
  <c r="F1814" i="2"/>
  <c r="E1814" i="2"/>
  <c r="D1814" i="2"/>
  <c r="C1814" i="2"/>
  <c r="B1814" i="2"/>
  <c r="Q1813" i="2"/>
  <c r="F1813" i="2"/>
  <c r="E1813" i="2"/>
  <c r="D1813" i="2"/>
  <c r="C1813" i="2"/>
  <c r="B1813" i="2"/>
  <c r="Q1812" i="2"/>
  <c r="F1812" i="2"/>
  <c r="E1812" i="2"/>
  <c r="D1812" i="2"/>
  <c r="C1812" i="2"/>
  <c r="B1812" i="2"/>
  <c r="Q1811" i="2"/>
  <c r="F1811" i="2"/>
  <c r="E1811" i="2"/>
  <c r="D1811" i="2"/>
  <c r="C1811" i="2"/>
  <c r="B1811" i="2"/>
  <c r="Q1810" i="2"/>
  <c r="F1810" i="2"/>
  <c r="E1810" i="2"/>
  <c r="D1810" i="2"/>
  <c r="C1810" i="2"/>
  <c r="B1810" i="2"/>
  <c r="Q1809" i="2"/>
  <c r="F1809" i="2"/>
  <c r="E1809" i="2"/>
  <c r="D1809" i="2"/>
  <c r="C1809" i="2"/>
  <c r="B1809" i="2"/>
  <c r="Q1808" i="2"/>
  <c r="F1808" i="2"/>
  <c r="E1808" i="2"/>
  <c r="D1808" i="2"/>
  <c r="C1808" i="2"/>
  <c r="B1808" i="2"/>
  <c r="Q1807" i="2"/>
  <c r="F1807" i="2"/>
  <c r="E1807" i="2"/>
  <c r="D1807" i="2"/>
  <c r="C1807" i="2"/>
  <c r="B1807" i="2"/>
  <c r="Q1806" i="2"/>
  <c r="F1806" i="2"/>
  <c r="E1806" i="2"/>
  <c r="D1806" i="2"/>
  <c r="C1806" i="2"/>
  <c r="B1806" i="2"/>
  <c r="Q1805" i="2"/>
  <c r="F1805" i="2"/>
  <c r="E1805" i="2"/>
  <c r="D1805" i="2"/>
  <c r="C1805" i="2"/>
  <c r="B1805" i="2"/>
  <c r="Q1804" i="2"/>
  <c r="F1804" i="2"/>
  <c r="E1804" i="2"/>
  <c r="D1804" i="2"/>
  <c r="C1804" i="2"/>
  <c r="B1804" i="2"/>
  <c r="Q1803" i="2"/>
  <c r="F1803" i="2"/>
  <c r="E1803" i="2"/>
  <c r="D1803" i="2"/>
  <c r="C1803" i="2"/>
  <c r="B1803" i="2"/>
  <c r="Q1802" i="2"/>
  <c r="F1802" i="2"/>
  <c r="E1802" i="2"/>
  <c r="D1802" i="2"/>
  <c r="C1802" i="2"/>
  <c r="B1802" i="2"/>
  <c r="Q1801" i="2"/>
  <c r="F1801" i="2"/>
  <c r="E1801" i="2"/>
  <c r="D1801" i="2"/>
  <c r="C1801" i="2"/>
  <c r="B1801" i="2"/>
  <c r="Q1800" i="2"/>
  <c r="F1800" i="2"/>
  <c r="E1800" i="2"/>
  <c r="D1800" i="2"/>
  <c r="C1800" i="2"/>
  <c r="B1800" i="2"/>
  <c r="Q1799" i="2"/>
  <c r="F1799" i="2"/>
  <c r="E1799" i="2"/>
  <c r="D1799" i="2"/>
  <c r="C1799" i="2"/>
  <c r="B1799" i="2"/>
  <c r="Q1798" i="2"/>
  <c r="F1798" i="2"/>
  <c r="E1798" i="2"/>
  <c r="D1798" i="2"/>
  <c r="C1798" i="2"/>
  <c r="B1798" i="2"/>
  <c r="Q1797" i="2"/>
  <c r="F1797" i="2"/>
  <c r="E1797" i="2"/>
  <c r="D1797" i="2"/>
  <c r="C1797" i="2"/>
  <c r="B1797" i="2"/>
  <c r="Q1796" i="2"/>
  <c r="F1796" i="2"/>
  <c r="E1796" i="2"/>
  <c r="D1796" i="2"/>
  <c r="C1796" i="2"/>
  <c r="B1796" i="2"/>
  <c r="Q1795" i="2"/>
  <c r="F1795" i="2"/>
  <c r="E1795" i="2"/>
  <c r="D1795" i="2"/>
  <c r="C1795" i="2"/>
  <c r="B1795" i="2"/>
  <c r="Q1794" i="2"/>
  <c r="F1794" i="2"/>
  <c r="E1794" i="2"/>
  <c r="D1794" i="2"/>
  <c r="C1794" i="2"/>
  <c r="B1794" i="2"/>
  <c r="Q1793" i="2"/>
  <c r="F1793" i="2"/>
  <c r="E1793" i="2"/>
  <c r="D1793" i="2"/>
  <c r="C1793" i="2"/>
  <c r="B1793" i="2"/>
  <c r="Q1792" i="2"/>
  <c r="F1792" i="2"/>
  <c r="E1792" i="2"/>
  <c r="D1792" i="2"/>
  <c r="C1792" i="2"/>
  <c r="B1792" i="2"/>
  <c r="Q1791" i="2"/>
  <c r="F1791" i="2"/>
  <c r="E1791" i="2"/>
  <c r="D1791" i="2"/>
  <c r="C1791" i="2"/>
  <c r="B1791" i="2"/>
  <c r="Q1790" i="2"/>
  <c r="F1790" i="2"/>
  <c r="E1790" i="2"/>
  <c r="D1790" i="2"/>
  <c r="C1790" i="2"/>
  <c r="B1790" i="2"/>
  <c r="Q1789" i="2"/>
  <c r="F1789" i="2"/>
  <c r="E1789" i="2"/>
  <c r="D1789" i="2"/>
  <c r="C1789" i="2"/>
  <c r="B1789" i="2"/>
  <c r="Q1788" i="2"/>
  <c r="F1788" i="2"/>
  <c r="E1788" i="2"/>
  <c r="D1788" i="2"/>
  <c r="C1788" i="2"/>
  <c r="B1788" i="2"/>
  <c r="Q1787" i="2"/>
  <c r="F1787" i="2"/>
  <c r="E1787" i="2"/>
  <c r="D1787" i="2"/>
  <c r="C1787" i="2"/>
  <c r="B1787" i="2"/>
  <c r="Q1786" i="2"/>
  <c r="F1786" i="2"/>
  <c r="E1786" i="2"/>
  <c r="D1786" i="2"/>
  <c r="C1786" i="2"/>
  <c r="B1786" i="2"/>
  <c r="Q1785" i="2"/>
  <c r="F1785" i="2"/>
  <c r="E1785" i="2"/>
  <c r="D1785" i="2"/>
  <c r="C1785" i="2"/>
  <c r="B1785" i="2"/>
  <c r="Q1784" i="2"/>
  <c r="F1784" i="2"/>
  <c r="E1784" i="2"/>
  <c r="D1784" i="2"/>
  <c r="C1784" i="2"/>
  <c r="B1784" i="2"/>
  <c r="Q1783" i="2"/>
  <c r="F1783" i="2"/>
  <c r="E1783" i="2"/>
  <c r="D1783" i="2"/>
  <c r="C1783" i="2"/>
  <c r="B1783" i="2"/>
  <c r="Q1782" i="2"/>
  <c r="F1782" i="2"/>
  <c r="E1782" i="2"/>
  <c r="D1782" i="2"/>
  <c r="C1782" i="2"/>
  <c r="B1782" i="2"/>
  <c r="Q1781" i="2"/>
  <c r="F1781" i="2"/>
  <c r="E1781" i="2"/>
  <c r="D1781" i="2"/>
  <c r="C1781" i="2"/>
  <c r="B1781" i="2"/>
  <c r="Q1780" i="2"/>
  <c r="F1780" i="2"/>
  <c r="E1780" i="2"/>
  <c r="D1780" i="2"/>
  <c r="C1780" i="2"/>
  <c r="B1780" i="2"/>
  <c r="Q1779" i="2"/>
  <c r="F1779" i="2"/>
  <c r="E1779" i="2"/>
  <c r="D1779" i="2"/>
  <c r="C1779" i="2"/>
  <c r="B1779" i="2"/>
  <c r="Q1778" i="2"/>
  <c r="F1778" i="2"/>
  <c r="E1778" i="2"/>
  <c r="D1778" i="2"/>
  <c r="C1778" i="2"/>
  <c r="B1778" i="2"/>
  <c r="Q1777" i="2"/>
  <c r="F1777" i="2"/>
  <c r="E1777" i="2"/>
  <c r="D1777" i="2"/>
  <c r="C1777" i="2"/>
  <c r="B1777" i="2"/>
  <c r="Q1776" i="2"/>
  <c r="F1776" i="2"/>
  <c r="E1776" i="2"/>
  <c r="D1776" i="2"/>
  <c r="C1776" i="2"/>
  <c r="B1776" i="2"/>
  <c r="Q1775" i="2"/>
  <c r="F1775" i="2"/>
  <c r="E1775" i="2"/>
  <c r="D1775" i="2"/>
  <c r="C1775" i="2"/>
  <c r="B1775" i="2"/>
  <c r="Q1774" i="2"/>
  <c r="F1774" i="2"/>
  <c r="E1774" i="2"/>
  <c r="D1774" i="2"/>
  <c r="C1774" i="2"/>
  <c r="B1774" i="2"/>
  <c r="Q1773" i="2"/>
  <c r="F1773" i="2"/>
  <c r="E1773" i="2"/>
  <c r="D1773" i="2"/>
  <c r="C1773" i="2"/>
  <c r="B1773" i="2"/>
  <c r="Q1772" i="2"/>
  <c r="F1772" i="2"/>
  <c r="E1772" i="2"/>
  <c r="D1772" i="2"/>
  <c r="C1772" i="2"/>
  <c r="B1772" i="2"/>
  <c r="Q1771" i="2"/>
  <c r="F1771" i="2"/>
  <c r="E1771" i="2"/>
  <c r="D1771" i="2"/>
  <c r="C1771" i="2"/>
  <c r="B1771" i="2"/>
  <c r="Q1770" i="2"/>
  <c r="F1770" i="2"/>
  <c r="E1770" i="2"/>
  <c r="D1770" i="2"/>
  <c r="C1770" i="2"/>
  <c r="B1770" i="2"/>
  <c r="Q1769" i="2"/>
  <c r="F1769" i="2"/>
  <c r="E1769" i="2"/>
  <c r="D1769" i="2"/>
  <c r="C1769" i="2"/>
  <c r="B1769" i="2"/>
  <c r="Q1768" i="2"/>
  <c r="F1768" i="2"/>
  <c r="E1768" i="2"/>
  <c r="D1768" i="2"/>
  <c r="C1768" i="2"/>
  <c r="B1768" i="2"/>
  <c r="Q1767" i="2"/>
  <c r="F1767" i="2"/>
  <c r="E1767" i="2"/>
  <c r="D1767" i="2"/>
  <c r="C1767" i="2"/>
  <c r="B1767" i="2"/>
  <c r="Q1766" i="2"/>
  <c r="F1766" i="2"/>
  <c r="E1766" i="2"/>
  <c r="D1766" i="2"/>
  <c r="C1766" i="2"/>
  <c r="B1766" i="2"/>
  <c r="Q1765" i="2"/>
  <c r="F1765" i="2"/>
  <c r="E1765" i="2"/>
  <c r="D1765" i="2"/>
  <c r="C1765" i="2"/>
  <c r="B1765" i="2"/>
  <c r="Q1764" i="2"/>
  <c r="F1764" i="2"/>
  <c r="E1764" i="2"/>
  <c r="D1764" i="2"/>
  <c r="C1764" i="2"/>
  <c r="B1764" i="2"/>
  <c r="Q1763" i="2"/>
  <c r="F1763" i="2"/>
  <c r="E1763" i="2"/>
  <c r="D1763" i="2"/>
  <c r="C1763" i="2"/>
  <c r="B1763" i="2"/>
  <c r="Q1762" i="2"/>
  <c r="F1762" i="2"/>
  <c r="E1762" i="2"/>
  <c r="D1762" i="2"/>
  <c r="C1762" i="2"/>
  <c r="B1762" i="2"/>
  <c r="Q1761" i="2"/>
  <c r="F1761" i="2"/>
  <c r="E1761" i="2"/>
  <c r="D1761" i="2"/>
  <c r="C1761" i="2"/>
  <c r="B1761" i="2"/>
  <c r="Q1760" i="2"/>
  <c r="F1760" i="2"/>
  <c r="E1760" i="2"/>
  <c r="D1760" i="2"/>
  <c r="C1760" i="2"/>
  <c r="B1760" i="2"/>
  <c r="Q1759" i="2"/>
  <c r="F1759" i="2"/>
  <c r="E1759" i="2"/>
  <c r="D1759" i="2"/>
  <c r="C1759" i="2"/>
  <c r="B1759" i="2"/>
  <c r="Q1758" i="2"/>
  <c r="F1758" i="2"/>
  <c r="E1758" i="2"/>
  <c r="D1758" i="2"/>
  <c r="C1758" i="2"/>
  <c r="B1758" i="2"/>
  <c r="Q1757" i="2"/>
  <c r="F1757" i="2"/>
  <c r="E1757" i="2"/>
  <c r="D1757" i="2"/>
  <c r="C1757" i="2"/>
  <c r="B1757" i="2"/>
  <c r="Q1756" i="2"/>
  <c r="F1756" i="2"/>
  <c r="E1756" i="2"/>
  <c r="D1756" i="2"/>
  <c r="C1756" i="2"/>
  <c r="B1756" i="2"/>
  <c r="Q1755" i="2"/>
  <c r="F1755" i="2"/>
  <c r="E1755" i="2"/>
  <c r="D1755" i="2"/>
  <c r="C1755" i="2"/>
  <c r="B1755" i="2"/>
  <c r="Q1754" i="2"/>
  <c r="F1754" i="2"/>
  <c r="E1754" i="2"/>
  <c r="D1754" i="2"/>
  <c r="C1754" i="2"/>
  <c r="B1754" i="2"/>
  <c r="Q1753" i="2"/>
  <c r="F1753" i="2"/>
  <c r="E1753" i="2"/>
  <c r="D1753" i="2"/>
  <c r="C1753" i="2"/>
  <c r="B1753" i="2"/>
  <c r="Q1752" i="2"/>
  <c r="F1752" i="2"/>
  <c r="E1752" i="2"/>
  <c r="D1752" i="2"/>
  <c r="C1752" i="2"/>
  <c r="B1752" i="2"/>
  <c r="Q1751" i="2"/>
  <c r="F1751" i="2"/>
  <c r="E1751" i="2"/>
  <c r="D1751" i="2"/>
  <c r="C1751" i="2"/>
  <c r="B1751" i="2"/>
  <c r="Q1750" i="2"/>
  <c r="F1750" i="2"/>
  <c r="E1750" i="2"/>
  <c r="D1750" i="2"/>
  <c r="C1750" i="2"/>
  <c r="B1750" i="2"/>
  <c r="Q1749" i="2"/>
  <c r="F1749" i="2"/>
  <c r="E1749" i="2"/>
  <c r="D1749" i="2"/>
  <c r="C1749" i="2"/>
  <c r="B1749" i="2"/>
  <c r="Q1748" i="2"/>
  <c r="F1748" i="2"/>
  <c r="E1748" i="2"/>
  <c r="D1748" i="2"/>
  <c r="C1748" i="2"/>
  <c r="B1748" i="2"/>
  <c r="Q1747" i="2"/>
  <c r="F1747" i="2"/>
  <c r="E1747" i="2"/>
  <c r="D1747" i="2"/>
  <c r="C1747" i="2"/>
  <c r="B1747" i="2"/>
  <c r="Q1746" i="2"/>
  <c r="F1746" i="2"/>
  <c r="E1746" i="2"/>
  <c r="D1746" i="2"/>
  <c r="C1746" i="2"/>
  <c r="B1746" i="2"/>
  <c r="Q1745" i="2"/>
  <c r="F1745" i="2"/>
  <c r="E1745" i="2"/>
  <c r="D1745" i="2"/>
  <c r="C1745" i="2"/>
  <c r="B1745" i="2"/>
  <c r="Q1744" i="2"/>
  <c r="F1744" i="2"/>
  <c r="E1744" i="2"/>
  <c r="D1744" i="2"/>
  <c r="C1744" i="2"/>
  <c r="B1744" i="2"/>
  <c r="Q1743" i="2"/>
  <c r="F1743" i="2"/>
  <c r="E1743" i="2"/>
  <c r="D1743" i="2"/>
  <c r="C1743" i="2"/>
  <c r="B1743" i="2"/>
  <c r="Q1742" i="2"/>
  <c r="F1742" i="2"/>
  <c r="E1742" i="2"/>
  <c r="D1742" i="2"/>
  <c r="C1742" i="2"/>
  <c r="B1742" i="2"/>
  <c r="Q1741" i="2"/>
  <c r="F1741" i="2"/>
  <c r="E1741" i="2"/>
  <c r="D1741" i="2"/>
  <c r="C1741" i="2"/>
  <c r="B1741" i="2"/>
  <c r="Q1740" i="2"/>
  <c r="F1740" i="2"/>
  <c r="E1740" i="2"/>
  <c r="D1740" i="2"/>
  <c r="C1740" i="2"/>
  <c r="B1740" i="2"/>
  <c r="Q1739" i="2"/>
  <c r="F1739" i="2"/>
  <c r="E1739" i="2"/>
  <c r="D1739" i="2"/>
  <c r="C1739" i="2"/>
  <c r="B1739" i="2"/>
  <c r="Q1738" i="2"/>
  <c r="F1738" i="2"/>
  <c r="E1738" i="2"/>
  <c r="D1738" i="2"/>
  <c r="C1738" i="2"/>
  <c r="B1738" i="2"/>
  <c r="Q1737" i="2"/>
  <c r="F1737" i="2"/>
  <c r="E1737" i="2"/>
  <c r="D1737" i="2"/>
  <c r="C1737" i="2"/>
  <c r="B1737" i="2"/>
  <c r="Q1736" i="2"/>
  <c r="F1736" i="2"/>
  <c r="E1736" i="2"/>
  <c r="D1736" i="2"/>
  <c r="C1736" i="2"/>
  <c r="B1736" i="2"/>
  <c r="Q1735" i="2"/>
  <c r="F1735" i="2"/>
  <c r="E1735" i="2"/>
  <c r="D1735" i="2"/>
  <c r="C1735" i="2"/>
  <c r="B1735" i="2"/>
  <c r="Q1734" i="2"/>
  <c r="F1734" i="2"/>
  <c r="E1734" i="2"/>
  <c r="D1734" i="2"/>
  <c r="C1734" i="2"/>
  <c r="B1734" i="2"/>
  <c r="Q1733" i="2"/>
  <c r="F1733" i="2"/>
  <c r="E1733" i="2"/>
  <c r="D1733" i="2"/>
  <c r="C1733" i="2"/>
  <c r="B1733" i="2"/>
  <c r="Q1732" i="2"/>
  <c r="F1732" i="2"/>
  <c r="E1732" i="2"/>
  <c r="D1732" i="2"/>
  <c r="C1732" i="2"/>
  <c r="B1732" i="2"/>
  <c r="Q1731" i="2"/>
  <c r="F1731" i="2"/>
  <c r="E1731" i="2"/>
  <c r="D1731" i="2"/>
  <c r="C1731" i="2"/>
  <c r="B1731" i="2"/>
  <c r="Q1730" i="2"/>
  <c r="F1730" i="2"/>
  <c r="E1730" i="2"/>
  <c r="D1730" i="2"/>
  <c r="C1730" i="2"/>
  <c r="B1730" i="2"/>
  <c r="Q1729" i="2"/>
  <c r="F1729" i="2"/>
  <c r="E1729" i="2"/>
  <c r="D1729" i="2"/>
  <c r="C1729" i="2"/>
  <c r="B1729" i="2"/>
  <c r="Q1728" i="2"/>
  <c r="F1728" i="2"/>
  <c r="E1728" i="2"/>
  <c r="D1728" i="2"/>
  <c r="C1728" i="2"/>
  <c r="B1728" i="2"/>
  <c r="Q1727" i="2"/>
  <c r="F1727" i="2"/>
  <c r="E1727" i="2"/>
  <c r="D1727" i="2"/>
  <c r="C1727" i="2"/>
  <c r="B1727" i="2"/>
  <c r="Q1726" i="2"/>
  <c r="F1726" i="2"/>
  <c r="E1726" i="2"/>
  <c r="D1726" i="2"/>
  <c r="C1726" i="2"/>
  <c r="B1726" i="2"/>
  <c r="Q1725" i="2"/>
  <c r="F1725" i="2"/>
  <c r="E1725" i="2"/>
  <c r="D1725" i="2"/>
  <c r="C1725" i="2"/>
  <c r="B1725" i="2"/>
  <c r="Q1724" i="2"/>
  <c r="F1724" i="2"/>
  <c r="E1724" i="2"/>
  <c r="D1724" i="2"/>
  <c r="C1724" i="2"/>
  <c r="B1724" i="2"/>
  <c r="Q1723" i="2"/>
  <c r="F1723" i="2"/>
  <c r="E1723" i="2"/>
  <c r="D1723" i="2"/>
  <c r="C1723" i="2"/>
  <c r="B1723" i="2"/>
  <c r="Q1722" i="2"/>
  <c r="F1722" i="2"/>
  <c r="E1722" i="2"/>
  <c r="D1722" i="2"/>
  <c r="C1722" i="2"/>
  <c r="B1722" i="2"/>
  <c r="Q1721" i="2"/>
  <c r="F1721" i="2"/>
  <c r="E1721" i="2"/>
  <c r="D1721" i="2"/>
  <c r="C1721" i="2"/>
  <c r="B1721" i="2"/>
  <c r="Q1720" i="2"/>
  <c r="F1720" i="2"/>
  <c r="E1720" i="2"/>
  <c r="D1720" i="2"/>
  <c r="C1720" i="2"/>
  <c r="B1720" i="2"/>
  <c r="Q1719" i="2"/>
  <c r="F1719" i="2"/>
  <c r="E1719" i="2"/>
  <c r="D1719" i="2"/>
  <c r="C1719" i="2"/>
  <c r="B1719" i="2"/>
  <c r="Q1718" i="2"/>
  <c r="F1718" i="2"/>
  <c r="E1718" i="2"/>
  <c r="D1718" i="2"/>
  <c r="C1718" i="2"/>
  <c r="B1718" i="2"/>
  <c r="Q1717" i="2"/>
  <c r="F1717" i="2"/>
  <c r="E1717" i="2"/>
  <c r="D1717" i="2"/>
  <c r="C1717" i="2"/>
  <c r="B1717" i="2"/>
  <c r="Q1716" i="2"/>
  <c r="F1716" i="2"/>
  <c r="E1716" i="2"/>
  <c r="D1716" i="2"/>
  <c r="C1716" i="2"/>
  <c r="B1716" i="2"/>
  <c r="Q1715" i="2"/>
  <c r="F1715" i="2"/>
  <c r="E1715" i="2"/>
  <c r="D1715" i="2"/>
  <c r="C1715" i="2"/>
  <c r="B1715" i="2"/>
  <c r="Q1714" i="2"/>
  <c r="F1714" i="2"/>
  <c r="E1714" i="2"/>
  <c r="D1714" i="2"/>
  <c r="C1714" i="2"/>
  <c r="B1714" i="2"/>
  <c r="Q1713" i="2"/>
  <c r="F1713" i="2"/>
  <c r="E1713" i="2"/>
  <c r="D1713" i="2"/>
  <c r="C1713" i="2"/>
  <c r="B1713" i="2"/>
  <c r="Q1712" i="2"/>
  <c r="F1712" i="2"/>
  <c r="E1712" i="2"/>
  <c r="D1712" i="2"/>
  <c r="C1712" i="2"/>
  <c r="B1712" i="2"/>
  <c r="Q1711" i="2"/>
  <c r="F1711" i="2"/>
  <c r="E1711" i="2"/>
  <c r="D1711" i="2"/>
  <c r="C1711" i="2"/>
  <c r="B1711" i="2"/>
  <c r="Q1710" i="2"/>
  <c r="F1710" i="2"/>
  <c r="E1710" i="2"/>
  <c r="D1710" i="2"/>
  <c r="C1710" i="2"/>
  <c r="B1710" i="2"/>
  <c r="Q1709" i="2"/>
  <c r="F1709" i="2"/>
  <c r="E1709" i="2"/>
  <c r="D1709" i="2"/>
  <c r="C1709" i="2"/>
  <c r="B1709" i="2"/>
  <c r="Q1708" i="2"/>
  <c r="F1708" i="2"/>
  <c r="E1708" i="2"/>
  <c r="D1708" i="2"/>
  <c r="C1708" i="2"/>
  <c r="B1708" i="2"/>
  <c r="Q1707" i="2"/>
  <c r="F1707" i="2"/>
  <c r="E1707" i="2"/>
  <c r="D1707" i="2"/>
  <c r="C1707" i="2"/>
  <c r="B1707" i="2"/>
  <c r="Q1706" i="2"/>
  <c r="F1706" i="2"/>
  <c r="E1706" i="2"/>
  <c r="D1706" i="2"/>
  <c r="C1706" i="2"/>
  <c r="B1706" i="2"/>
  <c r="Q1705" i="2"/>
  <c r="F1705" i="2"/>
  <c r="E1705" i="2"/>
  <c r="D1705" i="2"/>
  <c r="C1705" i="2"/>
  <c r="B1705" i="2"/>
  <c r="Q1704" i="2"/>
  <c r="F1704" i="2"/>
  <c r="E1704" i="2"/>
  <c r="D1704" i="2"/>
  <c r="C1704" i="2"/>
  <c r="B1704" i="2"/>
  <c r="Q1703" i="2"/>
  <c r="F1703" i="2"/>
  <c r="E1703" i="2"/>
  <c r="D1703" i="2"/>
  <c r="C1703" i="2"/>
  <c r="B1703" i="2"/>
  <c r="Q1702" i="2"/>
  <c r="F1702" i="2"/>
  <c r="E1702" i="2"/>
  <c r="D1702" i="2"/>
  <c r="C1702" i="2"/>
  <c r="B1702" i="2"/>
  <c r="Q1701" i="2"/>
  <c r="F1701" i="2"/>
  <c r="E1701" i="2"/>
  <c r="D1701" i="2"/>
  <c r="C1701" i="2"/>
  <c r="B1701" i="2"/>
  <c r="Q1700" i="2"/>
  <c r="F1700" i="2"/>
  <c r="E1700" i="2"/>
  <c r="D1700" i="2"/>
  <c r="C1700" i="2"/>
  <c r="B1700" i="2"/>
  <c r="Q1699" i="2"/>
  <c r="F1699" i="2"/>
  <c r="E1699" i="2"/>
  <c r="D1699" i="2"/>
  <c r="C1699" i="2"/>
  <c r="B1699" i="2"/>
  <c r="Q1698" i="2"/>
  <c r="F1698" i="2"/>
  <c r="E1698" i="2"/>
  <c r="D1698" i="2"/>
  <c r="C1698" i="2"/>
  <c r="B1698" i="2"/>
  <c r="Q1697" i="2"/>
  <c r="F1697" i="2"/>
  <c r="E1697" i="2"/>
  <c r="D1697" i="2"/>
  <c r="C1697" i="2"/>
  <c r="B1697" i="2"/>
  <c r="Q1696" i="2"/>
  <c r="F1696" i="2"/>
  <c r="E1696" i="2"/>
  <c r="D1696" i="2"/>
  <c r="C1696" i="2"/>
  <c r="B1696" i="2"/>
  <c r="Q1695" i="2"/>
  <c r="F1695" i="2"/>
  <c r="E1695" i="2"/>
  <c r="D1695" i="2"/>
  <c r="C1695" i="2"/>
  <c r="B1695" i="2"/>
  <c r="Q1694" i="2"/>
  <c r="F1694" i="2"/>
  <c r="E1694" i="2"/>
  <c r="D1694" i="2"/>
  <c r="C1694" i="2"/>
  <c r="B1694" i="2"/>
  <c r="Q1693" i="2"/>
  <c r="F1693" i="2"/>
  <c r="E1693" i="2"/>
  <c r="D1693" i="2"/>
  <c r="C1693" i="2"/>
  <c r="B1693" i="2"/>
  <c r="Q1692" i="2"/>
  <c r="F1692" i="2"/>
  <c r="E1692" i="2"/>
  <c r="D1692" i="2"/>
  <c r="C1692" i="2"/>
  <c r="B1692" i="2"/>
  <c r="Q1691" i="2"/>
  <c r="F1691" i="2"/>
  <c r="E1691" i="2"/>
  <c r="D1691" i="2"/>
  <c r="C1691" i="2"/>
  <c r="B1691" i="2"/>
  <c r="Q1690" i="2"/>
  <c r="F1690" i="2"/>
  <c r="E1690" i="2"/>
  <c r="D1690" i="2"/>
  <c r="C1690" i="2"/>
  <c r="B1690" i="2"/>
  <c r="Q1689" i="2"/>
  <c r="F1689" i="2"/>
  <c r="E1689" i="2"/>
  <c r="D1689" i="2"/>
  <c r="C1689" i="2"/>
  <c r="B1689" i="2"/>
  <c r="Q1688" i="2"/>
  <c r="F1688" i="2"/>
  <c r="E1688" i="2"/>
  <c r="D1688" i="2"/>
  <c r="C1688" i="2"/>
  <c r="B1688" i="2"/>
  <c r="Q1687" i="2"/>
  <c r="F1687" i="2"/>
  <c r="E1687" i="2"/>
  <c r="D1687" i="2"/>
  <c r="C1687" i="2"/>
  <c r="B1687" i="2"/>
  <c r="Q1686" i="2"/>
  <c r="F1686" i="2"/>
  <c r="E1686" i="2"/>
  <c r="D1686" i="2"/>
  <c r="C1686" i="2"/>
  <c r="B1686" i="2"/>
  <c r="Q1685" i="2"/>
  <c r="F1685" i="2"/>
  <c r="E1685" i="2"/>
  <c r="D1685" i="2"/>
  <c r="C1685" i="2"/>
  <c r="B1685" i="2"/>
  <c r="Q1684" i="2"/>
  <c r="F1684" i="2"/>
  <c r="E1684" i="2"/>
  <c r="D1684" i="2"/>
  <c r="C1684" i="2"/>
  <c r="B1684" i="2"/>
  <c r="Q1683" i="2"/>
  <c r="F1683" i="2"/>
  <c r="E1683" i="2"/>
  <c r="D1683" i="2"/>
  <c r="C1683" i="2"/>
  <c r="B1683" i="2"/>
  <c r="Q1682" i="2"/>
  <c r="F1682" i="2"/>
  <c r="E1682" i="2"/>
  <c r="D1682" i="2"/>
  <c r="C1682" i="2"/>
  <c r="B1682" i="2"/>
  <c r="Q1681" i="2"/>
  <c r="F1681" i="2"/>
  <c r="E1681" i="2"/>
  <c r="D1681" i="2"/>
  <c r="C1681" i="2"/>
  <c r="B1681" i="2"/>
  <c r="Q1680" i="2"/>
  <c r="F1680" i="2"/>
  <c r="E1680" i="2"/>
  <c r="D1680" i="2"/>
  <c r="C1680" i="2"/>
  <c r="B1680" i="2"/>
  <c r="Q1679" i="2"/>
  <c r="F1679" i="2"/>
  <c r="E1679" i="2"/>
  <c r="D1679" i="2"/>
  <c r="C1679" i="2"/>
  <c r="B1679" i="2"/>
  <c r="Q1678" i="2"/>
  <c r="F1678" i="2"/>
  <c r="E1678" i="2"/>
  <c r="D1678" i="2"/>
  <c r="C1678" i="2"/>
  <c r="B1678" i="2"/>
  <c r="Q1677" i="2"/>
  <c r="F1677" i="2"/>
  <c r="E1677" i="2"/>
  <c r="D1677" i="2"/>
  <c r="C1677" i="2"/>
  <c r="B1677" i="2"/>
  <c r="Q1676" i="2"/>
  <c r="F1676" i="2"/>
  <c r="E1676" i="2"/>
  <c r="D1676" i="2"/>
  <c r="C1676" i="2"/>
  <c r="B1676" i="2"/>
  <c r="Q1675" i="2"/>
  <c r="F1675" i="2"/>
  <c r="E1675" i="2"/>
  <c r="D1675" i="2"/>
  <c r="C1675" i="2"/>
  <c r="B1675" i="2"/>
  <c r="Q1674" i="2"/>
  <c r="F1674" i="2"/>
  <c r="E1674" i="2"/>
  <c r="D1674" i="2"/>
  <c r="C1674" i="2"/>
  <c r="B1674" i="2"/>
  <c r="Q1673" i="2"/>
  <c r="F1673" i="2"/>
  <c r="E1673" i="2"/>
  <c r="D1673" i="2"/>
  <c r="C1673" i="2"/>
  <c r="B1673" i="2"/>
  <c r="Q1672" i="2"/>
  <c r="F1672" i="2"/>
  <c r="E1672" i="2"/>
  <c r="D1672" i="2"/>
  <c r="C1672" i="2"/>
  <c r="B1672" i="2"/>
  <c r="Q1671" i="2"/>
  <c r="F1671" i="2"/>
  <c r="E1671" i="2"/>
  <c r="D1671" i="2"/>
  <c r="C1671" i="2"/>
  <c r="B1671" i="2"/>
  <c r="Q1670" i="2"/>
  <c r="F1670" i="2"/>
  <c r="E1670" i="2"/>
  <c r="D1670" i="2"/>
  <c r="C1670" i="2"/>
  <c r="B1670" i="2"/>
  <c r="Q1669" i="2"/>
  <c r="F1669" i="2"/>
  <c r="E1669" i="2"/>
  <c r="D1669" i="2"/>
  <c r="C1669" i="2"/>
  <c r="B1669" i="2"/>
  <c r="Q1668" i="2"/>
  <c r="F1668" i="2"/>
  <c r="E1668" i="2"/>
  <c r="D1668" i="2"/>
  <c r="C1668" i="2"/>
  <c r="B1668" i="2"/>
  <c r="Q1667" i="2"/>
  <c r="F1667" i="2"/>
  <c r="E1667" i="2"/>
  <c r="D1667" i="2"/>
  <c r="C1667" i="2"/>
  <c r="B1667" i="2"/>
  <c r="Q1666" i="2"/>
  <c r="F1666" i="2"/>
  <c r="E1666" i="2"/>
  <c r="D1666" i="2"/>
  <c r="C1666" i="2"/>
  <c r="B1666" i="2"/>
  <c r="Q1665" i="2"/>
  <c r="F1665" i="2"/>
  <c r="E1665" i="2"/>
  <c r="D1665" i="2"/>
  <c r="C1665" i="2"/>
  <c r="B1665" i="2"/>
  <c r="Q1664" i="2"/>
  <c r="F1664" i="2"/>
  <c r="E1664" i="2"/>
  <c r="D1664" i="2"/>
  <c r="C1664" i="2"/>
  <c r="B1664" i="2"/>
  <c r="Q1663" i="2"/>
  <c r="F1663" i="2"/>
  <c r="E1663" i="2"/>
  <c r="D1663" i="2"/>
  <c r="C1663" i="2"/>
  <c r="B1663" i="2"/>
  <c r="Q1662" i="2"/>
  <c r="F1662" i="2"/>
  <c r="E1662" i="2"/>
  <c r="D1662" i="2"/>
  <c r="C1662" i="2"/>
  <c r="B1662" i="2"/>
  <c r="Q1661" i="2"/>
  <c r="F1661" i="2"/>
  <c r="E1661" i="2"/>
  <c r="D1661" i="2"/>
  <c r="C1661" i="2"/>
  <c r="B1661" i="2"/>
  <c r="Q1660" i="2"/>
  <c r="F1660" i="2"/>
  <c r="E1660" i="2"/>
  <c r="D1660" i="2"/>
  <c r="C1660" i="2"/>
  <c r="B1660" i="2"/>
  <c r="Q1659" i="2"/>
  <c r="F1659" i="2"/>
  <c r="E1659" i="2"/>
  <c r="D1659" i="2"/>
  <c r="C1659" i="2"/>
  <c r="B1659" i="2"/>
  <c r="Q1658" i="2"/>
  <c r="F1658" i="2"/>
  <c r="E1658" i="2"/>
  <c r="D1658" i="2"/>
  <c r="C1658" i="2"/>
  <c r="B1658" i="2"/>
  <c r="Q1657" i="2"/>
  <c r="F1657" i="2"/>
  <c r="E1657" i="2"/>
  <c r="D1657" i="2"/>
  <c r="C1657" i="2"/>
  <c r="B1657" i="2"/>
  <c r="Q1656" i="2"/>
  <c r="F1656" i="2"/>
  <c r="E1656" i="2"/>
  <c r="D1656" i="2"/>
  <c r="C1656" i="2"/>
  <c r="B1656" i="2"/>
  <c r="Q1655" i="2"/>
  <c r="F1655" i="2"/>
  <c r="E1655" i="2"/>
  <c r="D1655" i="2"/>
  <c r="C1655" i="2"/>
  <c r="B1655" i="2"/>
  <c r="Q1654" i="2"/>
  <c r="F1654" i="2"/>
  <c r="E1654" i="2"/>
  <c r="D1654" i="2"/>
  <c r="C1654" i="2"/>
  <c r="B1654" i="2"/>
  <c r="Q1653" i="2"/>
  <c r="F1653" i="2"/>
  <c r="E1653" i="2"/>
  <c r="D1653" i="2"/>
  <c r="C1653" i="2"/>
  <c r="B1653" i="2"/>
  <c r="Q1652" i="2"/>
  <c r="F1652" i="2"/>
  <c r="E1652" i="2"/>
  <c r="D1652" i="2"/>
  <c r="C1652" i="2"/>
  <c r="B1652" i="2"/>
  <c r="Q1651" i="2"/>
  <c r="F1651" i="2"/>
  <c r="E1651" i="2"/>
  <c r="D1651" i="2"/>
  <c r="C1651" i="2"/>
  <c r="B1651" i="2"/>
  <c r="Q1650" i="2"/>
  <c r="F1650" i="2"/>
  <c r="E1650" i="2"/>
  <c r="D1650" i="2"/>
  <c r="C1650" i="2"/>
  <c r="B1650" i="2"/>
  <c r="Q1649" i="2"/>
  <c r="F1649" i="2"/>
  <c r="E1649" i="2"/>
  <c r="D1649" i="2"/>
  <c r="C1649" i="2"/>
  <c r="B1649" i="2"/>
  <c r="Q1648" i="2"/>
  <c r="F1648" i="2"/>
  <c r="E1648" i="2"/>
  <c r="D1648" i="2"/>
  <c r="C1648" i="2"/>
  <c r="B1648" i="2"/>
  <c r="Q1647" i="2"/>
  <c r="F1647" i="2"/>
  <c r="E1647" i="2"/>
  <c r="D1647" i="2"/>
  <c r="C1647" i="2"/>
  <c r="B1647" i="2"/>
  <c r="Q1646" i="2"/>
  <c r="F1646" i="2"/>
  <c r="E1646" i="2"/>
  <c r="D1646" i="2"/>
  <c r="C1646" i="2"/>
  <c r="B1646" i="2"/>
  <c r="Q1645" i="2"/>
  <c r="F1645" i="2"/>
  <c r="E1645" i="2"/>
  <c r="D1645" i="2"/>
  <c r="C1645" i="2"/>
  <c r="B1645" i="2"/>
  <c r="Q1644" i="2"/>
  <c r="F1644" i="2"/>
  <c r="E1644" i="2"/>
  <c r="D1644" i="2"/>
  <c r="C1644" i="2"/>
  <c r="B1644" i="2"/>
  <c r="Q1643" i="2"/>
  <c r="F1643" i="2"/>
  <c r="E1643" i="2"/>
  <c r="D1643" i="2"/>
  <c r="C1643" i="2"/>
  <c r="B1643" i="2"/>
  <c r="Q1642" i="2"/>
  <c r="F1642" i="2"/>
  <c r="E1642" i="2"/>
  <c r="D1642" i="2"/>
  <c r="C1642" i="2"/>
  <c r="B1642" i="2"/>
  <c r="Q1641" i="2"/>
  <c r="F1641" i="2"/>
  <c r="E1641" i="2"/>
  <c r="D1641" i="2"/>
  <c r="C1641" i="2"/>
  <c r="B1641" i="2"/>
  <c r="Q1640" i="2"/>
  <c r="F1640" i="2"/>
  <c r="E1640" i="2"/>
  <c r="D1640" i="2"/>
  <c r="C1640" i="2"/>
  <c r="B1640" i="2"/>
  <c r="Q1639" i="2"/>
  <c r="F1639" i="2"/>
  <c r="E1639" i="2"/>
  <c r="D1639" i="2"/>
  <c r="C1639" i="2"/>
  <c r="B1639" i="2"/>
  <c r="Q1638" i="2"/>
  <c r="F1638" i="2"/>
  <c r="E1638" i="2"/>
  <c r="D1638" i="2"/>
  <c r="C1638" i="2"/>
  <c r="B1638" i="2"/>
  <c r="Q1637" i="2"/>
  <c r="F1637" i="2"/>
  <c r="E1637" i="2"/>
  <c r="D1637" i="2"/>
  <c r="C1637" i="2"/>
  <c r="B1637" i="2"/>
  <c r="Q1636" i="2"/>
  <c r="F1636" i="2"/>
  <c r="E1636" i="2"/>
  <c r="D1636" i="2"/>
  <c r="C1636" i="2"/>
  <c r="B1636" i="2"/>
  <c r="Q1635" i="2"/>
  <c r="F1635" i="2"/>
  <c r="E1635" i="2"/>
  <c r="D1635" i="2"/>
  <c r="C1635" i="2"/>
  <c r="B1635" i="2"/>
  <c r="Q1634" i="2"/>
  <c r="F1634" i="2"/>
  <c r="E1634" i="2"/>
  <c r="D1634" i="2"/>
  <c r="C1634" i="2"/>
  <c r="B1634" i="2"/>
  <c r="Q1633" i="2"/>
  <c r="F1633" i="2"/>
  <c r="E1633" i="2"/>
  <c r="D1633" i="2"/>
  <c r="C1633" i="2"/>
  <c r="B1633" i="2"/>
  <c r="Q1632" i="2"/>
  <c r="F1632" i="2"/>
  <c r="E1632" i="2"/>
  <c r="D1632" i="2"/>
  <c r="C1632" i="2"/>
  <c r="B1632" i="2"/>
  <c r="Q1631" i="2"/>
  <c r="F1631" i="2"/>
  <c r="E1631" i="2"/>
  <c r="D1631" i="2"/>
  <c r="C1631" i="2"/>
  <c r="B1631" i="2"/>
  <c r="Q1630" i="2"/>
  <c r="F1630" i="2"/>
  <c r="E1630" i="2"/>
  <c r="D1630" i="2"/>
  <c r="C1630" i="2"/>
  <c r="B1630" i="2"/>
  <c r="Q1629" i="2"/>
  <c r="F1629" i="2"/>
  <c r="E1629" i="2"/>
  <c r="D1629" i="2"/>
  <c r="C1629" i="2"/>
  <c r="B1629" i="2"/>
  <c r="Q1628" i="2"/>
  <c r="F1628" i="2"/>
  <c r="E1628" i="2"/>
  <c r="D1628" i="2"/>
  <c r="C1628" i="2"/>
  <c r="B1628" i="2"/>
  <c r="Q1627" i="2"/>
  <c r="F1627" i="2"/>
  <c r="E1627" i="2"/>
  <c r="D1627" i="2"/>
  <c r="C1627" i="2"/>
  <c r="B1627" i="2"/>
  <c r="Q1626" i="2"/>
  <c r="F1626" i="2"/>
  <c r="E1626" i="2"/>
  <c r="D1626" i="2"/>
  <c r="C1626" i="2"/>
  <c r="B1626" i="2"/>
  <c r="Q1625" i="2"/>
  <c r="F1625" i="2"/>
  <c r="E1625" i="2"/>
  <c r="D1625" i="2"/>
  <c r="C1625" i="2"/>
  <c r="B1625" i="2"/>
  <c r="Q1624" i="2"/>
  <c r="F1624" i="2"/>
  <c r="E1624" i="2"/>
  <c r="D1624" i="2"/>
  <c r="C1624" i="2"/>
  <c r="B1624" i="2"/>
  <c r="Q1623" i="2"/>
  <c r="F1623" i="2"/>
  <c r="E1623" i="2"/>
  <c r="D1623" i="2"/>
  <c r="C1623" i="2"/>
  <c r="B1623" i="2"/>
  <c r="Q1622" i="2"/>
  <c r="F1622" i="2"/>
  <c r="E1622" i="2"/>
  <c r="D1622" i="2"/>
  <c r="C1622" i="2"/>
  <c r="B1622" i="2"/>
  <c r="Q1621" i="2"/>
  <c r="F1621" i="2"/>
  <c r="E1621" i="2"/>
  <c r="D1621" i="2"/>
  <c r="C1621" i="2"/>
  <c r="B1621" i="2"/>
  <c r="Q1620" i="2"/>
  <c r="F1620" i="2"/>
  <c r="E1620" i="2"/>
  <c r="D1620" i="2"/>
  <c r="C1620" i="2"/>
  <c r="B1620" i="2"/>
  <c r="Q1619" i="2"/>
  <c r="F1619" i="2"/>
  <c r="E1619" i="2"/>
  <c r="D1619" i="2"/>
  <c r="C1619" i="2"/>
  <c r="B1619" i="2"/>
  <c r="Q1618" i="2"/>
  <c r="F1618" i="2"/>
  <c r="E1618" i="2"/>
  <c r="D1618" i="2"/>
  <c r="C1618" i="2"/>
  <c r="B1618" i="2"/>
  <c r="Q1617" i="2"/>
  <c r="F1617" i="2"/>
  <c r="E1617" i="2"/>
  <c r="D1617" i="2"/>
  <c r="C1617" i="2"/>
  <c r="B1617" i="2"/>
  <c r="Q1616" i="2"/>
  <c r="F1616" i="2"/>
  <c r="E1616" i="2"/>
  <c r="D1616" i="2"/>
  <c r="C1616" i="2"/>
  <c r="B1616" i="2"/>
  <c r="Q1615" i="2"/>
  <c r="F1615" i="2"/>
  <c r="E1615" i="2"/>
  <c r="D1615" i="2"/>
  <c r="C1615" i="2"/>
  <c r="B1615" i="2"/>
  <c r="Q1614" i="2"/>
  <c r="F1614" i="2"/>
  <c r="E1614" i="2"/>
  <c r="D1614" i="2"/>
  <c r="C1614" i="2"/>
  <c r="B1614" i="2"/>
  <c r="Q1613" i="2"/>
  <c r="F1613" i="2"/>
  <c r="E1613" i="2"/>
  <c r="D1613" i="2"/>
  <c r="C1613" i="2"/>
  <c r="B1613" i="2"/>
  <c r="Q1612" i="2"/>
  <c r="F1612" i="2"/>
  <c r="E1612" i="2"/>
  <c r="D1612" i="2"/>
  <c r="C1612" i="2"/>
  <c r="B1612" i="2"/>
  <c r="Q1611" i="2"/>
  <c r="F1611" i="2"/>
  <c r="E1611" i="2"/>
  <c r="D1611" i="2"/>
  <c r="C1611" i="2"/>
  <c r="B1611" i="2"/>
  <c r="Q1610" i="2"/>
  <c r="F1610" i="2"/>
  <c r="E1610" i="2"/>
  <c r="D1610" i="2"/>
  <c r="C1610" i="2"/>
  <c r="B1610" i="2"/>
  <c r="Q1609" i="2"/>
  <c r="F1609" i="2"/>
  <c r="E1609" i="2"/>
  <c r="D1609" i="2"/>
  <c r="C1609" i="2"/>
  <c r="B1609" i="2"/>
  <c r="Q1608" i="2"/>
  <c r="F1608" i="2"/>
  <c r="E1608" i="2"/>
  <c r="D1608" i="2"/>
  <c r="C1608" i="2"/>
  <c r="B1608" i="2"/>
  <c r="Q1607" i="2"/>
  <c r="F1607" i="2"/>
  <c r="E1607" i="2"/>
  <c r="D1607" i="2"/>
  <c r="C1607" i="2"/>
  <c r="B1607" i="2"/>
  <c r="Q1606" i="2"/>
  <c r="F1606" i="2"/>
  <c r="E1606" i="2"/>
  <c r="D1606" i="2"/>
  <c r="C1606" i="2"/>
  <c r="B1606" i="2"/>
  <c r="Q1605" i="2"/>
  <c r="F1605" i="2"/>
  <c r="E1605" i="2"/>
  <c r="D1605" i="2"/>
  <c r="C1605" i="2"/>
  <c r="B1605" i="2"/>
  <c r="Q1604" i="2"/>
  <c r="F1604" i="2"/>
  <c r="E1604" i="2"/>
  <c r="D1604" i="2"/>
  <c r="C1604" i="2"/>
  <c r="B1604" i="2"/>
  <c r="Q1603" i="2"/>
  <c r="F1603" i="2"/>
  <c r="E1603" i="2"/>
  <c r="D1603" i="2"/>
  <c r="C1603" i="2"/>
  <c r="B1603" i="2"/>
  <c r="Q1602" i="2"/>
  <c r="F1602" i="2"/>
  <c r="E1602" i="2"/>
  <c r="D1602" i="2"/>
  <c r="C1602" i="2"/>
  <c r="B1602" i="2"/>
  <c r="Q1601" i="2"/>
  <c r="F1601" i="2"/>
  <c r="E1601" i="2"/>
  <c r="D1601" i="2"/>
  <c r="C1601" i="2"/>
  <c r="B1601" i="2"/>
  <c r="Q1600" i="2"/>
  <c r="F1600" i="2"/>
  <c r="E1600" i="2"/>
  <c r="D1600" i="2"/>
  <c r="C1600" i="2"/>
  <c r="B1600" i="2"/>
  <c r="Q1599" i="2"/>
  <c r="F1599" i="2"/>
  <c r="E1599" i="2"/>
  <c r="D1599" i="2"/>
  <c r="C1599" i="2"/>
  <c r="B1599" i="2"/>
  <c r="Q1598" i="2"/>
  <c r="F1598" i="2"/>
  <c r="E1598" i="2"/>
  <c r="D1598" i="2"/>
  <c r="C1598" i="2"/>
  <c r="B1598" i="2"/>
  <c r="Q1597" i="2"/>
  <c r="F1597" i="2"/>
  <c r="E1597" i="2"/>
  <c r="D1597" i="2"/>
  <c r="C1597" i="2"/>
  <c r="B1597" i="2"/>
  <c r="Q1596" i="2"/>
  <c r="F1596" i="2"/>
  <c r="E1596" i="2"/>
  <c r="D1596" i="2"/>
  <c r="C1596" i="2"/>
  <c r="B1596" i="2"/>
  <c r="Q1595" i="2"/>
  <c r="F1595" i="2"/>
  <c r="E1595" i="2"/>
  <c r="D1595" i="2"/>
  <c r="C1595" i="2"/>
  <c r="B1595" i="2"/>
  <c r="Q1594" i="2"/>
  <c r="F1594" i="2"/>
  <c r="E1594" i="2"/>
  <c r="D1594" i="2"/>
  <c r="C1594" i="2"/>
  <c r="B1594" i="2"/>
  <c r="Q1593" i="2"/>
  <c r="F1593" i="2"/>
  <c r="E1593" i="2"/>
  <c r="D1593" i="2"/>
  <c r="C1593" i="2"/>
  <c r="B1593" i="2"/>
  <c r="Q1592" i="2"/>
  <c r="F1592" i="2"/>
  <c r="E1592" i="2"/>
  <c r="D1592" i="2"/>
  <c r="C1592" i="2"/>
  <c r="B1592" i="2"/>
  <c r="Q1591" i="2"/>
  <c r="F1591" i="2"/>
  <c r="E1591" i="2"/>
  <c r="D1591" i="2"/>
  <c r="C1591" i="2"/>
  <c r="B1591" i="2"/>
  <c r="Q1590" i="2"/>
  <c r="F1590" i="2"/>
  <c r="E1590" i="2"/>
  <c r="D1590" i="2"/>
  <c r="C1590" i="2"/>
  <c r="B1590" i="2"/>
  <c r="Q1589" i="2"/>
  <c r="F1589" i="2"/>
  <c r="E1589" i="2"/>
  <c r="D1589" i="2"/>
  <c r="C1589" i="2"/>
  <c r="B1589" i="2"/>
  <c r="Q1588" i="2"/>
  <c r="F1588" i="2"/>
  <c r="E1588" i="2"/>
  <c r="D1588" i="2"/>
  <c r="C1588" i="2"/>
  <c r="B1588" i="2"/>
  <c r="Q1587" i="2"/>
  <c r="F1587" i="2"/>
  <c r="E1587" i="2"/>
  <c r="D1587" i="2"/>
  <c r="C1587" i="2"/>
  <c r="B1587" i="2"/>
  <c r="Q1586" i="2"/>
  <c r="F1586" i="2"/>
  <c r="E1586" i="2"/>
  <c r="D1586" i="2"/>
  <c r="C1586" i="2"/>
  <c r="B1586" i="2"/>
  <c r="Q1585" i="2"/>
  <c r="F1585" i="2"/>
  <c r="E1585" i="2"/>
  <c r="D1585" i="2"/>
  <c r="C1585" i="2"/>
  <c r="B1585" i="2"/>
  <c r="Q1584" i="2"/>
  <c r="F1584" i="2"/>
  <c r="E1584" i="2"/>
  <c r="D1584" i="2"/>
  <c r="C1584" i="2"/>
  <c r="B1584" i="2"/>
  <c r="Q1583" i="2"/>
  <c r="F1583" i="2"/>
  <c r="E1583" i="2"/>
  <c r="D1583" i="2"/>
  <c r="C1583" i="2"/>
  <c r="B1583" i="2"/>
  <c r="Q1582" i="2"/>
  <c r="F1582" i="2"/>
  <c r="E1582" i="2"/>
  <c r="D1582" i="2"/>
  <c r="C1582" i="2"/>
  <c r="B1582" i="2"/>
  <c r="Q1581" i="2"/>
  <c r="F1581" i="2"/>
  <c r="E1581" i="2"/>
  <c r="D1581" i="2"/>
  <c r="C1581" i="2"/>
  <c r="B1581" i="2"/>
  <c r="Q1580" i="2"/>
  <c r="F1580" i="2"/>
  <c r="E1580" i="2"/>
  <c r="D1580" i="2"/>
  <c r="C1580" i="2"/>
  <c r="B1580" i="2"/>
  <c r="Q1579" i="2"/>
  <c r="F1579" i="2"/>
  <c r="E1579" i="2"/>
  <c r="D1579" i="2"/>
  <c r="C1579" i="2"/>
  <c r="B1579" i="2"/>
  <c r="Q1578" i="2"/>
  <c r="F1578" i="2"/>
  <c r="E1578" i="2"/>
  <c r="D1578" i="2"/>
  <c r="C1578" i="2"/>
  <c r="B1578" i="2"/>
  <c r="Q1577" i="2"/>
  <c r="F1577" i="2"/>
  <c r="E1577" i="2"/>
  <c r="D1577" i="2"/>
  <c r="C1577" i="2"/>
  <c r="B1577" i="2"/>
  <c r="Q1576" i="2"/>
  <c r="F1576" i="2"/>
  <c r="E1576" i="2"/>
  <c r="D1576" i="2"/>
  <c r="C1576" i="2"/>
  <c r="B1576" i="2"/>
  <c r="Q1575" i="2"/>
  <c r="F1575" i="2"/>
  <c r="E1575" i="2"/>
  <c r="D1575" i="2"/>
  <c r="C1575" i="2"/>
  <c r="B1575" i="2"/>
  <c r="Q1574" i="2"/>
  <c r="F1574" i="2"/>
  <c r="E1574" i="2"/>
  <c r="D1574" i="2"/>
  <c r="C1574" i="2"/>
  <c r="B1574" i="2"/>
  <c r="Q1573" i="2"/>
  <c r="F1573" i="2"/>
  <c r="E1573" i="2"/>
  <c r="D1573" i="2"/>
  <c r="C1573" i="2"/>
  <c r="B1573" i="2"/>
  <c r="Q1572" i="2"/>
  <c r="F1572" i="2"/>
  <c r="E1572" i="2"/>
  <c r="D1572" i="2"/>
  <c r="C1572" i="2"/>
  <c r="B1572" i="2"/>
  <c r="Q1571" i="2"/>
  <c r="F1571" i="2"/>
  <c r="E1571" i="2"/>
  <c r="D1571" i="2"/>
  <c r="C1571" i="2"/>
  <c r="B1571" i="2"/>
  <c r="Q1570" i="2"/>
  <c r="F1570" i="2"/>
  <c r="E1570" i="2"/>
  <c r="D1570" i="2"/>
  <c r="C1570" i="2"/>
  <c r="B1570" i="2"/>
  <c r="Q1569" i="2"/>
  <c r="F1569" i="2"/>
  <c r="E1569" i="2"/>
  <c r="D1569" i="2"/>
  <c r="C1569" i="2"/>
  <c r="B1569" i="2"/>
  <c r="Q1568" i="2"/>
  <c r="F1568" i="2"/>
  <c r="E1568" i="2"/>
  <c r="D1568" i="2"/>
  <c r="C1568" i="2"/>
  <c r="B1568" i="2"/>
  <c r="Q1567" i="2"/>
  <c r="F1567" i="2"/>
  <c r="E1567" i="2"/>
  <c r="D1567" i="2"/>
  <c r="C1567" i="2"/>
  <c r="B1567" i="2"/>
  <c r="Q1566" i="2"/>
  <c r="F1566" i="2"/>
  <c r="E1566" i="2"/>
  <c r="D1566" i="2"/>
  <c r="C1566" i="2"/>
  <c r="B1566" i="2"/>
  <c r="Q1565" i="2"/>
  <c r="F1565" i="2"/>
  <c r="E1565" i="2"/>
  <c r="D1565" i="2"/>
  <c r="C1565" i="2"/>
  <c r="B1565" i="2"/>
  <c r="Q1564" i="2"/>
  <c r="F1564" i="2"/>
  <c r="E1564" i="2"/>
  <c r="D1564" i="2"/>
  <c r="C1564" i="2"/>
  <c r="B1564" i="2"/>
  <c r="Q1563" i="2"/>
  <c r="F1563" i="2"/>
  <c r="E1563" i="2"/>
  <c r="D1563" i="2"/>
  <c r="C1563" i="2"/>
  <c r="B1563" i="2"/>
  <c r="Q1562" i="2"/>
  <c r="F1562" i="2"/>
  <c r="E1562" i="2"/>
  <c r="D1562" i="2"/>
  <c r="C1562" i="2"/>
  <c r="B1562" i="2"/>
  <c r="Q1561" i="2"/>
  <c r="F1561" i="2"/>
  <c r="E1561" i="2"/>
  <c r="D1561" i="2"/>
  <c r="C1561" i="2"/>
  <c r="B1561" i="2"/>
  <c r="Q1560" i="2"/>
  <c r="F1560" i="2"/>
  <c r="E1560" i="2"/>
  <c r="D1560" i="2"/>
  <c r="C1560" i="2"/>
  <c r="B1560" i="2"/>
  <c r="Q1559" i="2"/>
  <c r="F1559" i="2"/>
  <c r="E1559" i="2"/>
  <c r="D1559" i="2"/>
  <c r="C1559" i="2"/>
  <c r="B1559" i="2"/>
  <c r="Q1558" i="2"/>
  <c r="F1558" i="2"/>
  <c r="E1558" i="2"/>
  <c r="D1558" i="2"/>
  <c r="C1558" i="2"/>
  <c r="B1558" i="2"/>
  <c r="Q1557" i="2"/>
  <c r="F1557" i="2"/>
  <c r="E1557" i="2"/>
  <c r="D1557" i="2"/>
  <c r="C1557" i="2"/>
  <c r="B1557" i="2"/>
  <c r="Q1556" i="2"/>
  <c r="F1556" i="2"/>
  <c r="E1556" i="2"/>
  <c r="D1556" i="2"/>
  <c r="C1556" i="2"/>
  <c r="B1556" i="2"/>
  <c r="Q1555" i="2"/>
  <c r="F1555" i="2"/>
  <c r="E1555" i="2"/>
  <c r="D1555" i="2"/>
  <c r="C1555" i="2"/>
  <c r="B1555" i="2"/>
  <c r="Q1554" i="2"/>
  <c r="F1554" i="2"/>
  <c r="E1554" i="2"/>
  <c r="D1554" i="2"/>
  <c r="C1554" i="2"/>
  <c r="B1554" i="2"/>
  <c r="Q1553" i="2"/>
  <c r="F1553" i="2"/>
  <c r="E1553" i="2"/>
  <c r="D1553" i="2"/>
  <c r="C1553" i="2"/>
  <c r="B1553" i="2"/>
  <c r="Q1552" i="2"/>
  <c r="F1552" i="2"/>
  <c r="E1552" i="2"/>
  <c r="D1552" i="2"/>
  <c r="C1552" i="2"/>
  <c r="B1552" i="2"/>
  <c r="Q1551" i="2"/>
  <c r="F1551" i="2"/>
  <c r="E1551" i="2"/>
  <c r="D1551" i="2"/>
  <c r="C1551" i="2"/>
  <c r="B1551" i="2"/>
  <c r="Q1550" i="2"/>
  <c r="F1550" i="2"/>
  <c r="E1550" i="2"/>
  <c r="D1550" i="2"/>
  <c r="C1550" i="2"/>
  <c r="B1550" i="2"/>
  <c r="Q1549" i="2"/>
  <c r="F1549" i="2"/>
  <c r="E1549" i="2"/>
  <c r="D1549" i="2"/>
  <c r="C1549" i="2"/>
  <c r="B1549" i="2"/>
  <c r="Q1548" i="2"/>
  <c r="F1548" i="2"/>
  <c r="E1548" i="2"/>
  <c r="D1548" i="2"/>
  <c r="C1548" i="2"/>
  <c r="B1548" i="2"/>
  <c r="Q1547" i="2"/>
  <c r="F1547" i="2"/>
  <c r="E1547" i="2"/>
  <c r="D1547" i="2"/>
  <c r="C1547" i="2"/>
  <c r="B1547" i="2"/>
  <c r="Q1546" i="2"/>
  <c r="F1546" i="2"/>
  <c r="E1546" i="2"/>
  <c r="D1546" i="2"/>
  <c r="C1546" i="2"/>
  <c r="B1546" i="2"/>
  <c r="Q1545" i="2"/>
  <c r="F1545" i="2"/>
  <c r="E1545" i="2"/>
  <c r="D1545" i="2"/>
  <c r="C1545" i="2"/>
  <c r="B1545" i="2"/>
  <c r="Q1544" i="2"/>
  <c r="F1544" i="2"/>
  <c r="E1544" i="2"/>
  <c r="D1544" i="2"/>
  <c r="C1544" i="2"/>
  <c r="B1544" i="2"/>
  <c r="Q1543" i="2"/>
  <c r="F1543" i="2"/>
  <c r="E1543" i="2"/>
  <c r="D1543" i="2"/>
  <c r="C1543" i="2"/>
  <c r="B1543" i="2"/>
  <c r="Q1542" i="2"/>
  <c r="F1542" i="2"/>
  <c r="E1542" i="2"/>
  <c r="D1542" i="2"/>
  <c r="C1542" i="2"/>
  <c r="B1542" i="2"/>
  <c r="Q1541" i="2"/>
  <c r="F1541" i="2"/>
  <c r="E1541" i="2"/>
  <c r="D1541" i="2"/>
  <c r="C1541" i="2"/>
  <c r="B1541" i="2"/>
  <c r="Q1540" i="2"/>
  <c r="F1540" i="2"/>
  <c r="E1540" i="2"/>
  <c r="D1540" i="2"/>
  <c r="C1540" i="2"/>
  <c r="B1540" i="2"/>
  <c r="Q1539" i="2"/>
  <c r="F1539" i="2"/>
  <c r="E1539" i="2"/>
  <c r="D1539" i="2"/>
  <c r="C1539" i="2"/>
  <c r="B1539" i="2"/>
  <c r="Q1538" i="2"/>
  <c r="F1538" i="2"/>
  <c r="E1538" i="2"/>
  <c r="D1538" i="2"/>
  <c r="C1538" i="2"/>
  <c r="B1538" i="2"/>
  <c r="Q1537" i="2"/>
  <c r="F1537" i="2"/>
  <c r="E1537" i="2"/>
  <c r="D1537" i="2"/>
  <c r="C1537" i="2"/>
  <c r="B1537" i="2"/>
  <c r="Q1536" i="2"/>
  <c r="F1536" i="2"/>
  <c r="E1536" i="2"/>
  <c r="D1536" i="2"/>
  <c r="C1536" i="2"/>
  <c r="B1536" i="2"/>
  <c r="Q1535" i="2"/>
  <c r="F1535" i="2"/>
  <c r="E1535" i="2"/>
  <c r="D1535" i="2"/>
  <c r="C1535" i="2"/>
  <c r="B1535" i="2"/>
  <c r="Q1534" i="2"/>
  <c r="F1534" i="2"/>
  <c r="E1534" i="2"/>
  <c r="D1534" i="2"/>
  <c r="C1534" i="2"/>
  <c r="B1534" i="2"/>
  <c r="Q1533" i="2"/>
  <c r="F1533" i="2"/>
  <c r="E1533" i="2"/>
  <c r="D1533" i="2"/>
  <c r="C1533" i="2"/>
  <c r="B1533" i="2"/>
  <c r="Q1532" i="2"/>
  <c r="F1532" i="2"/>
  <c r="E1532" i="2"/>
  <c r="D1532" i="2"/>
  <c r="C1532" i="2"/>
  <c r="B1532" i="2"/>
  <c r="Q1531" i="2"/>
  <c r="F1531" i="2"/>
  <c r="E1531" i="2"/>
  <c r="D1531" i="2"/>
  <c r="C1531" i="2"/>
  <c r="B1531" i="2"/>
  <c r="Q1530" i="2"/>
  <c r="F1530" i="2"/>
  <c r="E1530" i="2"/>
  <c r="D1530" i="2"/>
  <c r="C1530" i="2"/>
  <c r="B1530" i="2"/>
  <c r="Q1529" i="2"/>
  <c r="F1529" i="2"/>
  <c r="E1529" i="2"/>
  <c r="D1529" i="2"/>
  <c r="C1529" i="2"/>
  <c r="B1529" i="2"/>
  <c r="Q1528" i="2"/>
  <c r="F1528" i="2"/>
  <c r="E1528" i="2"/>
  <c r="D1528" i="2"/>
  <c r="C1528" i="2"/>
  <c r="B1528" i="2"/>
  <c r="Q1527" i="2"/>
  <c r="F1527" i="2"/>
  <c r="E1527" i="2"/>
  <c r="D1527" i="2"/>
  <c r="C1527" i="2"/>
  <c r="B1527" i="2"/>
  <c r="Q1526" i="2"/>
  <c r="F1526" i="2"/>
  <c r="E1526" i="2"/>
  <c r="D1526" i="2"/>
  <c r="C1526" i="2"/>
  <c r="B1526" i="2"/>
  <c r="Q1525" i="2"/>
  <c r="F1525" i="2"/>
  <c r="E1525" i="2"/>
  <c r="D1525" i="2"/>
  <c r="C1525" i="2"/>
  <c r="B1525" i="2"/>
  <c r="Q1524" i="2"/>
  <c r="F1524" i="2"/>
  <c r="E1524" i="2"/>
  <c r="D1524" i="2"/>
  <c r="C1524" i="2"/>
  <c r="B1524" i="2"/>
  <c r="Q1523" i="2"/>
  <c r="F1523" i="2"/>
  <c r="E1523" i="2"/>
  <c r="D1523" i="2"/>
  <c r="C1523" i="2"/>
  <c r="B1523" i="2"/>
  <c r="Q1522" i="2"/>
  <c r="F1522" i="2"/>
  <c r="E1522" i="2"/>
  <c r="D1522" i="2"/>
  <c r="C1522" i="2"/>
  <c r="B1522" i="2"/>
  <c r="Q1521" i="2"/>
  <c r="F1521" i="2"/>
  <c r="E1521" i="2"/>
  <c r="D1521" i="2"/>
  <c r="C1521" i="2"/>
  <c r="B1521" i="2"/>
  <c r="Q1520" i="2"/>
  <c r="F1520" i="2"/>
  <c r="E1520" i="2"/>
  <c r="D1520" i="2"/>
  <c r="C1520" i="2"/>
  <c r="B1520" i="2"/>
  <c r="Q1519" i="2"/>
  <c r="F1519" i="2"/>
  <c r="E1519" i="2"/>
  <c r="D1519" i="2"/>
  <c r="C1519" i="2"/>
  <c r="B1519" i="2"/>
  <c r="Q1518" i="2"/>
  <c r="F1518" i="2"/>
  <c r="E1518" i="2"/>
  <c r="D1518" i="2"/>
  <c r="C1518" i="2"/>
  <c r="B1518" i="2"/>
  <c r="Q1517" i="2"/>
  <c r="F1517" i="2"/>
  <c r="E1517" i="2"/>
  <c r="D1517" i="2"/>
  <c r="C1517" i="2"/>
  <c r="B1517" i="2"/>
  <c r="Q1516" i="2"/>
  <c r="F1516" i="2"/>
  <c r="E1516" i="2"/>
  <c r="D1516" i="2"/>
  <c r="C1516" i="2"/>
  <c r="B1516" i="2"/>
  <c r="Q1515" i="2"/>
  <c r="F1515" i="2"/>
  <c r="E1515" i="2"/>
  <c r="D1515" i="2"/>
  <c r="C1515" i="2"/>
  <c r="B1515" i="2"/>
  <c r="Q1514" i="2"/>
  <c r="F1514" i="2"/>
  <c r="E1514" i="2"/>
  <c r="D1514" i="2"/>
  <c r="C1514" i="2"/>
  <c r="B1514" i="2"/>
  <c r="Q1513" i="2"/>
  <c r="F1513" i="2"/>
  <c r="E1513" i="2"/>
  <c r="D1513" i="2"/>
  <c r="C1513" i="2"/>
  <c r="B1513" i="2"/>
  <c r="Q1512" i="2"/>
  <c r="F1512" i="2"/>
  <c r="E1512" i="2"/>
  <c r="D1512" i="2"/>
  <c r="C1512" i="2"/>
  <c r="B1512" i="2"/>
  <c r="Q1511" i="2"/>
  <c r="F1511" i="2"/>
  <c r="E1511" i="2"/>
  <c r="D1511" i="2"/>
  <c r="C1511" i="2"/>
  <c r="B1511" i="2"/>
  <c r="Q1510" i="2"/>
  <c r="F1510" i="2"/>
  <c r="E1510" i="2"/>
  <c r="D1510" i="2"/>
  <c r="C1510" i="2"/>
  <c r="B1510" i="2"/>
  <c r="Q1509" i="2"/>
  <c r="F1509" i="2"/>
  <c r="E1509" i="2"/>
  <c r="D1509" i="2"/>
  <c r="C1509" i="2"/>
  <c r="B1509" i="2"/>
  <c r="Q1508" i="2"/>
  <c r="F1508" i="2"/>
  <c r="E1508" i="2"/>
  <c r="D1508" i="2"/>
  <c r="C1508" i="2"/>
  <c r="B1508" i="2"/>
  <c r="Q1507" i="2"/>
  <c r="F1507" i="2"/>
  <c r="E1507" i="2"/>
  <c r="D1507" i="2"/>
  <c r="C1507" i="2"/>
  <c r="B1507" i="2"/>
  <c r="Q1506" i="2"/>
  <c r="F1506" i="2"/>
  <c r="E1506" i="2"/>
  <c r="D1506" i="2"/>
  <c r="C1506" i="2"/>
  <c r="B1506" i="2"/>
  <c r="Q1505" i="2"/>
  <c r="F1505" i="2"/>
  <c r="E1505" i="2"/>
  <c r="D1505" i="2"/>
  <c r="C1505" i="2"/>
  <c r="B1505" i="2"/>
  <c r="Q1504" i="2"/>
  <c r="F1504" i="2"/>
  <c r="E1504" i="2"/>
  <c r="D1504" i="2"/>
  <c r="C1504" i="2"/>
  <c r="B1504" i="2"/>
  <c r="Q1503" i="2"/>
  <c r="F1503" i="2"/>
  <c r="E1503" i="2"/>
  <c r="D1503" i="2"/>
  <c r="C1503" i="2"/>
  <c r="B1503" i="2"/>
  <c r="Q1502" i="2"/>
  <c r="F1502" i="2"/>
  <c r="E1502" i="2"/>
  <c r="D1502" i="2"/>
  <c r="C1502" i="2"/>
  <c r="B1502" i="2"/>
  <c r="Q1501" i="2"/>
  <c r="F1501" i="2"/>
  <c r="E1501" i="2"/>
  <c r="D1501" i="2"/>
  <c r="C1501" i="2"/>
  <c r="B1501" i="2"/>
  <c r="Q1500" i="2"/>
  <c r="F1500" i="2"/>
  <c r="E1500" i="2"/>
  <c r="D1500" i="2"/>
  <c r="C1500" i="2"/>
  <c r="B1500" i="2"/>
  <c r="Q1499" i="2"/>
  <c r="F1499" i="2"/>
  <c r="E1499" i="2"/>
  <c r="D1499" i="2"/>
  <c r="C1499" i="2"/>
  <c r="B1499" i="2"/>
  <c r="Q1498" i="2"/>
  <c r="F1498" i="2"/>
  <c r="E1498" i="2"/>
  <c r="D1498" i="2"/>
  <c r="C1498" i="2"/>
  <c r="B1498" i="2"/>
  <c r="Q1497" i="2"/>
  <c r="F1497" i="2"/>
  <c r="E1497" i="2"/>
  <c r="D1497" i="2"/>
  <c r="C1497" i="2"/>
  <c r="B1497" i="2"/>
  <c r="Q1496" i="2"/>
  <c r="F1496" i="2"/>
  <c r="E1496" i="2"/>
  <c r="D1496" i="2"/>
  <c r="C1496" i="2"/>
  <c r="B1496" i="2"/>
  <c r="Q1495" i="2"/>
  <c r="F1495" i="2"/>
  <c r="E1495" i="2"/>
  <c r="D1495" i="2"/>
  <c r="C1495" i="2"/>
  <c r="B1495" i="2"/>
  <c r="Q1494" i="2"/>
  <c r="F1494" i="2"/>
  <c r="E1494" i="2"/>
  <c r="D1494" i="2"/>
  <c r="C1494" i="2"/>
  <c r="B1494" i="2"/>
  <c r="Q1493" i="2"/>
  <c r="F1493" i="2"/>
  <c r="E1493" i="2"/>
  <c r="D1493" i="2"/>
  <c r="C1493" i="2"/>
  <c r="B1493" i="2"/>
  <c r="Q1492" i="2"/>
  <c r="F1492" i="2"/>
  <c r="E1492" i="2"/>
  <c r="D1492" i="2"/>
  <c r="C1492" i="2"/>
  <c r="B1492" i="2"/>
  <c r="Q1491" i="2"/>
  <c r="F1491" i="2"/>
  <c r="E1491" i="2"/>
  <c r="D1491" i="2"/>
  <c r="C1491" i="2"/>
  <c r="B1491" i="2"/>
  <c r="Q1490" i="2"/>
  <c r="F1490" i="2"/>
  <c r="E1490" i="2"/>
  <c r="D1490" i="2"/>
  <c r="C1490" i="2"/>
  <c r="B1490" i="2"/>
  <c r="Q1489" i="2"/>
  <c r="F1489" i="2"/>
  <c r="E1489" i="2"/>
  <c r="D1489" i="2"/>
  <c r="C1489" i="2"/>
  <c r="B1489" i="2"/>
  <c r="Q1488" i="2"/>
  <c r="F1488" i="2"/>
  <c r="E1488" i="2"/>
  <c r="D1488" i="2"/>
  <c r="C1488" i="2"/>
  <c r="B1488" i="2"/>
  <c r="Q1487" i="2"/>
  <c r="F1487" i="2"/>
  <c r="E1487" i="2"/>
  <c r="D1487" i="2"/>
  <c r="C1487" i="2"/>
  <c r="B1487" i="2"/>
  <c r="Q1486" i="2"/>
  <c r="F1486" i="2"/>
  <c r="E1486" i="2"/>
  <c r="D1486" i="2"/>
  <c r="C1486" i="2"/>
  <c r="B1486" i="2"/>
  <c r="Q1485" i="2"/>
  <c r="F1485" i="2"/>
  <c r="E1485" i="2"/>
  <c r="D1485" i="2"/>
  <c r="C1485" i="2"/>
  <c r="B1485" i="2"/>
  <c r="Q1484" i="2"/>
  <c r="F1484" i="2"/>
  <c r="E1484" i="2"/>
  <c r="D1484" i="2"/>
  <c r="C1484" i="2"/>
  <c r="B1484" i="2"/>
  <c r="Q1483" i="2"/>
  <c r="F1483" i="2"/>
  <c r="E1483" i="2"/>
  <c r="D1483" i="2"/>
  <c r="C1483" i="2"/>
  <c r="B1483" i="2"/>
  <c r="Q1482" i="2"/>
  <c r="F1482" i="2"/>
  <c r="E1482" i="2"/>
  <c r="D1482" i="2"/>
  <c r="C1482" i="2"/>
  <c r="B1482" i="2"/>
  <c r="Q1481" i="2"/>
  <c r="F1481" i="2"/>
  <c r="E1481" i="2"/>
  <c r="D1481" i="2"/>
  <c r="C1481" i="2"/>
  <c r="B1481" i="2"/>
  <c r="Q1480" i="2"/>
  <c r="F1480" i="2"/>
  <c r="E1480" i="2"/>
  <c r="D1480" i="2"/>
  <c r="C1480" i="2"/>
  <c r="B1480" i="2"/>
  <c r="Q1479" i="2"/>
  <c r="F1479" i="2"/>
  <c r="E1479" i="2"/>
  <c r="D1479" i="2"/>
  <c r="C1479" i="2"/>
  <c r="B1479" i="2"/>
  <c r="Q1478" i="2"/>
  <c r="F1478" i="2"/>
  <c r="E1478" i="2"/>
  <c r="D1478" i="2"/>
  <c r="C1478" i="2"/>
  <c r="B1478" i="2"/>
  <c r="Q1477" i="2"/>
  <c r="F1477" i="2"/>
  <c r="E1477" i="2"/>
  <c r="D1477" i="2"/>
  <c r="C1477" i="2"/>
  <c r="B1477" i="2"/>
  <c r="Q1476" i="2"/>
  <c r="F1476" i="2"/>
  <c r="E1476" i="2"/>
  <c r="D1476" i="2"/>
  <c r="C1476" i="2"/>
  <c r="B1476" i="2"/>
  <c r="Q1475" i="2"/>
  <c r="F1475" i="2"/>
  <c r="E1475" i="2"/>
  <c r="D1475" i="2"/>
  <c r="C1475" i="2"/>
  <c r="B1475" i="2"/>
  <c r="Q1474" i="2"/>
  <c r="F1474" i="2"/>
  <c r="E1474" i="2"/>
  <c r="D1474" i="2"/>
  <c r="C1474" i="2"/>
  <c r="B1474" i="2"/>
  <c r="Q1473" i="2"/>
  <c r="F1473" i="2"/>
  <c r="E1473" i="2"/>
  <c r="D1473" i="2"/>
  <c r="C1473" i="2"/>
  <c r="B1473" i="2"/>
  <c r="Q1472" i="2"/>
  <c r="F1472" i="2"/>
  <c r="E1472" i="2"/>
  <c r="D1472" i="2"/>
  <c r="C1472" i="2"/>
  <c r="B1472" i="2"/>
  <c r="Q1471" i="2"/>
  <c r="F1471" i="2"/>
  <c r="E1471" i="2"/>
  <c r="D1471" i="2"/>
  <c r="C1471" i="2"/>
  <c r="B1471" i="2"/>
  <c r="Q1470" i="2"/>
  <c r="F1470" i="2"/>
  <c r="E1470" i="2"/>
  <c r="D1470" i="2"/>
  <c r="C1470" i="2"/>
  <c r="B1470" i="2"/>
  <c r="Q1469" i="2"/>
  <c r="F1469" i="2"/>
  <c r="E1469" i="2"/>
  <c r="D1469" i="2"/>
  <c r="C1469" i="2"/>
  <c r="B1469" i="2"/>
  <c r="Q1468" i="2"/>
  <c r="F1468" i="2"/>
  <c r="E1468" i="2"/>
  <c r="D1468" i="2"/>
  <c r="C1468" i="2"/>
  <c r="B1468" i="2"/>
  <c r="Q1467" i="2"/>
  <c r="F1467" i="2"/>
  <c r="E1467" i="2"/>
  <c r="D1467" i="2"/>
  <c r="C1467" i="2"/>
  <c r="B1467" i="2"/>
  <c r="Q1466" i="2"/>
  <c r="F1466" i="2"/>
  <c r="E1466" i="2"/>
  <c r="D1466" i="2"/>
  <c r="C1466" i="2"/>
  <c r="B1466" i="2"/>
  <c r="Q1465" i="2"/>
  <c r="F1465" i="2"/>
  <c r="E1465" i="2"/>
  <c r="D1465" i="2"/>
  <c r="C1465" i="2"/>
  <c r="B1465" i="2"/>
  <c r="Q1464" i="2"/>
  <c r="F1464" i="2"/>
  <c r="E1464" i="2"/>
  <c r="D1464" i="2"/>
  <c r="C1464" i="2"/>
  <c r="B1464" i="2"/>
  <c r="Q1463" i="2"/>
  <c r="F1463" i="2"/>
  <c r="E1463" i="2"/>
  <c r="D1463" i="2"/>
  <c r="C1463" i="2"/>
  <c r="B1463" i="2"/>
  <c r="Q1462" i="2"/>
  <c r="F1462" i="2"/>
  <c r="E1462" i="2"/>
  <c r="D1462" i="2"/>
  <c r="C1462" i="2"/>
  <c r="B1462" i="2"/>
  <c r="Q1461" i="2"/>
  <c r="F1461" i="2"/>
  <c r="E1461" i="2"/>
  <c r="D1461" i="2"/>
  <c r="C1461" i="2"/>
  <c r="B1461" i="2"/>
  <c r="Q1460" i="2"/>
  <c r="F1460" i="2"/>
  <c r="E1460" i="2"/>
  <c r="D1460" i="2"/>
  <c r="C1460" i="2"/>
  <c r="B1460" i="2"/>
  <c r="Q1459" i="2"/>
  <c r="F1459" i="2"/>
  <c r="E1459" i="2"/>
  <c r="D1459" i="2"/>
  <c r="C1459" i="2"/>
  <c r="B1459" i="2"/>
  <c r="Q1458" i="2"/>
  <c r="F1458" i="2"/>
  <c r="E1458" i="2"/>
  <c r="D1458" i="2"/>
  <c r="C1458" i="2"/>
  <c r="B1458" i="2"/>
  <c r="Q1457" i="2"/>
  <c r="F1457" i="2"/>
  <c r="E1457" i="2"/>
  <c r="D1457" i="2"/>
  <c r="C1457" i="2"/>
  <c r="B1457" i="2"/>
  <c r="Q1456" i="2"/>
  <c r="F1456" i="2"/>
  <c r="E1456" i="2"/>
  <c r="D1456" i="2"/>
  <c r="C1456" i="2"/>
  <c r="B1456" i="2"/>
  <c r="Q1455" i="2"/>
  <c r="F1455" i="2"/>
  <c r="E1455" i="2"/>
  <c r="D1455" i="2"/>
  <c r="C1455" i="2"/>
  <c r="B1455" i="2"/>
  <c r="Q1454" i="2"/>
  <c r="F1454" i="2"/>
  <c r="E1454" i="2"/>
  <c r="D1454" i="2"/>
  <c r="C1454" i="2"/>
  <c r="B1454" i="2"/>
  <c r="Q1453" i="2"/>
  <c r="F1453" i="2"/>
  <c r="E1453" i="2"/>
  <c r="D1453" i="2"/>
  <c r="C1453" i="2"/>
  <c r="B1453" i="2"/>
  <c r="Q1452" i="2"/>
  <c r="F1452" i="2"/>
  <c r="E1452" i="2"/>
  <c r="D1452" i="2"/>
  <c r="C1452" i="2"/>
  <c r="B1452" i="2"/>
  <c r="Q1451" i="2"/>
  <c r="F1451" i="2"/>
  <c r="E1451" i="2"/>
  <c r="D1451" i="2"/>
  <c r="C1451" i="2"/>
  <c r="B1451" i="2"/>
  <c r="Q1450" i="2"/>
  <c r="F1450" i="2"/>
  <c r="E1450" i="2"/>
  <c r="D1450" i="2"/>
  <c r="C1450" i="2"/>
  <c r="B1450" i="2"/>
  <c r="Q1449" i="2"/>
  <c r="F1449" i="2"/>
  <c r="E1449" i="2"/>
  <c r="D1449" i="2"/>
  <c r="C1449" i="2"/>
  <c r="B1449" i="2"/>
  <c r="Q1448" i="2"/>
  <c r="F1448" i="2"/>
  <c r="E1448" i="2"/>
  <c r="D1448" i="2"/>
  <c r="C1448" i="2"/>
  <c r="B1448" i="2"/>
  <c r="Q1447" i="2"/>
  <c r="F1447" i="2"/>
  <c r="E1447" i="2"/>
  <c r="D1447" i="2"/>
  <c r="C1447" i="2"/>
  <c r="B1447" i="2"/>
  <c r="Q1446" i="2"/>
  <c r="F1446" i="2"/>
  <c r="E1446" i="2"/>
  <c r="D1446" i="2"/>
  <c r="C1446" i="2"/>
  <c r="B1446" i="2"/>
  <c r="Q1445" i="2"/>
  <c r="F1445" i="2"/>
  <c r="E1445" i="2"/>
  <c r="D1445" i="2"/>
  <c r="C1445" i="2"/>
  <c r="B1445" i="2"/>
  <c r="Q1444" i="2"/>
  <c r="F1444" i="2"/>
  <c r="E1444" i="2"/>
  <c r="D1444" i="2"/>
  <c r="C1444" i="2"/>
  <c r="B1444" i="2"/>
  <c r="Q1443" i="2"/>
  <c r="F1443" i="2"/>
  <c r="E1443" i="2"/>
  <c r="D1443" i="2"/>
  <c r="C1443" i="2"/>
  <c r="B1443" i="2"/>
  <c r="Q1442" i="2"/>
  <c r="F1442" i="2"/>
  <c r="E1442" i="2"/>
  <c r="D1442" i="2"/>
  <c r="C1442" i="2"/>
  <c r="B1442" i="2"/>
  <c r="Q1441" i="2"/>
  <c r="F1441" i="2"/>
  <c r="E1441" i="2"/>
  <c r="D1441" i="2"/>
  <c r="C1441" i="2"/>
  <c r="B1441" i="2"/>
  <c r="Q1440" i="2"/>
  <c r="F1440" i="2"/>
  <c r="E1440" i="2"/>
  <c r="D1440" i="2"/>
  <c r="C1440" i="2"/>
  <c r="B1440" i="2"/>
  <c r="Q1439" i="2"/>
  <c r="F1439" i="2"/>
  <c r="E1439" i="2"/>
  <c r="D1439" i="2"/>
  <c r="C1439" i="2"/>
  <c r="B1439" i="2"/>
  <c r="Q1438" i="2"/>
  <c r="F1438" i="2"/>
  <c r="E1438" i="2"/>
  <c r="D1438" i="2"/>
  <c r="C1438" i="2"/>
  <c r="B1438" i="2"/>
  <c r="Q1437" i="2"/>
  <c r="F1437" i="2"/>
  <c r="E1437" i="2"/>
  <c r="D1437" i="2"/>
  <c r="C1437" i="2"/>
  <c r="B1437" i="2"/>
  <c r="Q1436" i="2"/>
  <c r="F1436" i="2"/>
  <c r="E1436" i="2"/>
  <c r="D1436" i="2"/>
  <c r="C1436" i="2"/>
  <c r="B1436" i="2"/>
  <c r="Q1435" i="2"/>
  <c r="F1435" i="2"/>
  <c r="E1435" i="2"/>
  <c r="D1435" i="2"/>
  <c r="C1435" i="2"/>
  <c r="B1435" i="2"/>
  <c r="Q1434" i="2"/>
  <c r="F1434" i="2"/>
  <c r="E1434" i="2"/>
  <c r="D1434" i="2"/>
  <c r="C1434" i="2"/>
  <c r="B1434" i="2"/>
  <c r="Q1433" i="2"/>
  <c r="F1433" i="2"/>
  <c r="E1433" i="2"/>
  <c r="D1433" i="2"/>
  <c r="C1433" i="2"/>
  <c r="B1433" i="2"/>
  <c r="Q1432" i="2"/>
  <c r="F1432" i="2"/>
  <c r="E1432" i="2"/>
  <c r="D1432" i="2"/>
  <c r="C1432" i="2"/>
  <c r="B1432" i="2"/>
  <c r="Q1431" i="2"/>
  <c r="F1431" i="2"/>
  <c r="E1431" i="2"/>
  <c r="D1431" i="2"/>
  <c r="C1431" i="2"/>
  <c r="B1431" i="2"/>
  <c r="Q1430" i="2"/>
  <c r="F1430" i="2"/>
  <c r="E1430" i="2"/>
  <c r="D1430" i="2"/>
  <c r="C1430" i="2"/>
  <c r="B1430" i="2"/>
  <c r="Q1429" i="2"/>
  <c r="F1429" i="2"/>
  <c r="E1429" i="2"/>
  <c r="D1429" i="2"/>
  <c r="C1429" i="2"/>
  <c r="B1429" i="2"/>
  <c r="Q1428" i="2"/>
  <c r="F1428" i="2"/>
  <c r="E1428" i="2"/>
  <c r="D1428" i="2"/>
  <c r="C1428" i="2"/>
  <c r="B1428" i="2"/>
  <c r="Q1427" i="2"/>
  <c r="F1427" i="2"/>
  <c r="E1427" i="2"/>
  <c r="D1427" i="2"/>
  <c r="C1427" i="2"/>
  <c r="B1427" i="2"/>
  <c r="Q1426" i="2"/>
  <c r="F1426" i="2"/>
  <c r="E1426" i="2"/>
  <c r="D1426" i="2"/>
  <c r="C1426" i="2"/>
  <c r="B1426" i="2"/>
  <c r="Q1425" i="2"/>
  <c r="F1425" i="2"/>
  <c r="E1425" i="2"/>
  <c r="D1425" i="2"/>
  <c r="C1425" i="2"/>
  <c r="B1425" i="2"/>
  <c r="Q1424" i="2"/>
  <c r="F1424" i="2"/>
  <c r="E1424" i="2"/>
  <c r="D1424" i="2"/>
  <c r="C1424" i="2"/>
  <c r="B1424" i="2"/>
  <c r="Q1423" i="2"/>
  <c r="F1423" i="2"/>
  <c r="E1423" i="2"/>
  <c r="D1423" i="2"/>
  <c r="C1423" i="2"/>
  <c r="B1423" i="2"/>
  <c r="Q1422" i="2"/>
  <c r="F1422" i="2"/>
  <c r="E1422" i="2"/>
  <c r="D1422" i="2"/>
  <c r="C1422" i="2"/>
  <c r="B1422" i="2"/>
  <c r="Q1421" i="2"/>
  <c r="F1421" i="2"/>
  <c r="E1421" i="2"/>
  <c r="D1421" i="2"/>
  <c r="C1421" i="2"/>
  <c r="B1421" i="2"/>
  <c r="Q1420" i="2"/>
  <c r="F1420" i="2"/>
  <c r="E1420" i="2"/>
  <c r="D1420" i="2"/>
  <c r="C1420" i="2"/>
  <c r="B1420" i="2"/>
  <c r="Q1419" i="2"/>
  <c r="F1419" i="2"/>
  <c r="E1419" i="2"/>
  <c r="D1419" i="2"/>
  <c r="C1419" i="2"/>
  <c r="B1419" i="2"/>
  <c r="Q1418" i="2"/>
  <c r="F1418" i="2"/>
  <c r="E1418" i="2"/>
  <c r="D1418" i="2"/>
  <c r="C1418" i="2"/>
  <c r="B1418" i="2"/>
  <c r="Q1417" i="2"/>
  <c r="F1417" i="2"/>
  <c r="E1417" i="2"/>
  <c r="D1417" i="2"/>
  <c r="C1417" i="2"/>
  <c r="B1417" i="2"/>
  <c r="Q1416" i="2"/>
  <c r="F1416" i="2"/>
  <c r="E1416" i="2"/>
  <c r="D1416" i="2"/>
  <c r="C1416" i="2"/>
  <c r="B1416" i="2"/>
  <c r="Q1415" i="2"/>
  <c r="F1415" i="2"/>
  <c r="E1415" i="2"/>
  <c r="D1415" i="2"/>
  <c r="C1415" i="2"/>
  <c r="B1415" i="2"/>
  <c r="Q1414" i="2"/>
  <c r="F1414" i="2"/>
  <c r="E1414" i="2"/>
  <c r="D1414" i="2"/>
  <c r="C1414" i="2"/>
  <c r="B1414" i="2"/>
  <c r="Q1413" i="2"/>
  <c r="F1413" i="2"/>
  <c r="E1413" i="2"/>
  <c r="D1413" i="2"/>
  <c r="C1413" i="2"/>
  <c r="B1413" i="2"/>
  <c r="Q1412" i="2"/>
  <c r="F1412" i="2"/>
  <c r="E1412" i="2"/>
  <c r="D1412" i="2"/>
  <c r="C1412" i="2"/>
  <c r="B1412" i="2"/>
  <c r="Q1411" i="2"/>
  <c r="F1411" i="2"/>
  <c r="E1411" i="2"/>
  <c r="D1411" i="2"/>
  <c r="C1411" i="2"/>
  <c r="B1411" i="2"/>
  <c r="Q1410" i="2"/>
  <c r="F1410" i="2"/>
  <c r="E1410" i="2"/>
  <c r="D1410" i="2"/>
  <c r="C1410" i="2"/>
  <c r="B1410" i="2"/>
  <c r="Q1409" i="2"/>
  <c r="F1409" i="2"/>
  <c r="E1409" i="2"/>
  <c r="D1409" i="2"/>
  <c r="C1409" i="2"/>
  <c r="B1409" i="2"/>
  <c r="Q1408" i="2"/>
  <c r="F1408" i="2"/>
  <c r="E1408" i="2"/>
  <c r="D1408" i="2"/>
  <c r="C1408" i="2"/>
  <c r="B1408" i="2"/>
  <c r="Q1407" i="2"/>
  <c r="F1407" i="2"/>
  <c r="E1407" i="2"/>
  <c r="D1407" i="2"/>
  <c r="C1407" i="2"/>
  <c r="B1407" i="2"/>
  <c r="Q1406" i="2"/>
  <c r="F1406" i="2"/>
  <c r="E1406" i="2"/>
  <c r="D1406" i="2"/>
  <c r="C1406" i="2"/>
  <c r="B1406" i="2"/>
  <c r="Q1405" i="2"/>
  <c r="F1405" i="2"/>
  <c r="E1405" i="2"/>
  <c r="D1405" i="2"/>
  <c r="C1405" i="2"/>
  <c r="B1405" i="2"/>
  <c r="Q1404" i="2"/>
  <c r="F1404" i="2"/>
  <c r="E1404" i="2"/>
  <c r="D1404" i="2"/>
  <c r="C1404" i="2"/>
  <c r="B1404" i="2"/>
  <c r="Q1403" i="2"/>
  <c r="F1403" i="2"/>
  <c r="E1403" i="2"/>
  <c r="D1403" i="2"/>
  <c r="C1403" i="2"/>
  <c r="B1403" i="2"/>
  <c r="Q1402" i="2"/>
  <c r="F1402" i="2"/>
  <c r="E1402" i="2"/>
  <c r="D1402" i="2"/>
  <c r="C1402" i="2"/>
  <c r="B1402" i="2"/>
  <c r="Q1401" i="2"/>
  <c r="F1401" i="2"/>
  <c r="E1401" i="2"/>
  <c r="D1401" i="2"/>
  <c r="C1401" i="2"/>
  <c r="B1401" i="2"/>
  <c r="Q1400" i="2"/>
  <c r="F1400" i="2"/>
  <c r="E1400" i="2"/>
  <c r="D1400" i="2"/>
  <c r="C1400" i="2"/>
  <c r="B1400" i="2"/>
  <c r="Q1399" i="2"/>
  <c r="F1399" i="2"/>
  <c r="E1399" i="2"/>
  <c r="D1399" i="2"/>
  <c r="C1399" i="2"/>
  <c r="B1399" i="2"/>
  <c r="Q1398" i="2"/>
  <c r="F1398" i="2"/>
  <c r="E1398" i="2"/>
  <c r="D1398" i="2"/>
  <c r="C1398" i="2"/>
  <c r="B1398" i="2"/>
  <c r="Q1397" i="2"/>
  <c r="F1397" i="2"/>
  <c r="E1397" i="2"/>
  <c r="D1397" i="2"/>
  <c r="C1397" i="2"/>
  <c r="B1397" i="2"/>
  <c r="Q1396" i="2"/>
  <c r="F1396" i="2"/>
  <c r="E1396" i="2"/>
  <c r="D1396" i="2"/>
  <c r="C1396" i="2"/>
  <c r="B1396" i="2"/>
  <c r="Q1395" i="2"/>
  <c r="F1395" i="2"/>
  <c r="E1395" i="2"/>
  <c r="D1395" i="2"/>
  <c r="C1395" i="2"/>
  <c r="B1395" i="2"/>
  <c r="Q1394" i="2"/>
  <c r="F1394" i="2"/>
  <c r="E1394" i="2"/>
  <c r="D1394" i="2"/>
  <c r="C1394" i="2"/>
  <c r="B1394" i="2"/>
  <c r="Q1393" i="2"/>
  <c r="F1393" i="2"/>
  <c r="E1393" i="2"/>
  <c r="D1393" i="2"/>
  <c r="C1393" i="2"/>
  <c r="B1393" i="2"/>
  <c r="Q1392" i="2"/>
  <c r="F1392" i="2"/>
  <c r="E1392" i="2"/>
  <c r="D1392" i="2"/>
  <c r="C1392" i="2"/>
  <c r="B1392" i="2"/>
  <c r="Q1391" i="2"/>
  <c r="F1391" i="2"/>
  <c r="E1391" i="2"/>
  <c r="D1391" i="2"/>
  <c r="C1391" i="2"/>
  <c r="B1391" i="2"/>
  <c r="Q1390" i="2"/>
  <c r="F1390" i="2"/>
  <c r="E1390" i="2"/>
  <c r="D1390" i="2"/>
  <c r="C1390" i="2"/>
  <c r="B1390" i="2"/>
  <c r="Q1389" i="2"/>
  <c r="F1389" i="2"/>
  <c r="E1389" i="2"/>
  <c r="D1389" i="2"/>
  <c r="C1389" i="2"/>
  <c r="B1389" i="2"/>
  <c r="Q1388" i="2"/>
  <c r="F1388" i="2"/>
  <c r="E1388" i="2"/>
  <c r="D1388" i="2"/>
  <c r="C1388" i="2"/>
  <c r="B1388" i="2"/>
  <c r="Q1387" i="2"/>
  <c r="F1387" i="2"/>
  <c r="E1387" i="2"/>
  <c r="D1387" i="2"/>
  <c r="C1387" i="2"/>
  <c r="B1387" i="2"/>
  <c r="Q1386" i="2"/>
  <c r="F1386" i="2"/>
  <c r="E1386" i="2"/>
  <c r="D1386" i="2"/>
  <c r="C1386" i="2"/>
  <c r="B1386" i="2"/>
  <c r="Q1385" i="2"/>
  <c r="F1385" i="2"/>
  <c r="E1385" i="2"/>
  <c r="D1385" i="2"/>
  <c r="C1385" i="2"/>
  <c r="B1385" i="2"/>
  <c r="Q1384" i="2"/>
  <c r="F1384" i="2"/>
  <c r="E1384" i="2"/>
  <c r="D1384" i="2"/>
  <c r="C1384" i="2"/>
  <c r="B1384" i="2"/>
  <c r="Q1383" i="2"/>
  <c r="F1383" i="2"/>
  <c r="E1383" i="2"/>
  <c r="D1383" i="2"/>
  <c r="C1383" i="2"/>
  <c r="B1383" i="2"/>
  <c r="Q1382" i="2"/>
  <c r="F1382" i="2"/>
  <c r="E1382" i="2"/>
  <c r="D1382" i="2"/>
  <c r="C1382" i="2"/>
  <c r="B1382" i="2"/>
  <c r="Q1381" i="2"/>
  <c r="F1381" i="2"/>
  <c r="E1381" i="2"/>
  <c r="D1381" i="2"/>
  <c r="C1381" i="2"/>
  <c r="B1381" i="2"/>
  <c r="Q1380" i="2"/>
  <c r="F1380" i="2"/>
  <c r="E1380" i="2"/>
  <c r="D1380" i="2"/>
  <c r="C1380" i="2"/>
  <c r="B1380" i="2"/>
  <c r="Q1379" i="2"/>
  <c r="F1379" i="2"/>
  <c r="E1379" i="2"/>
  <c r="D1379" i="2"/>
  <c r="C1379" i="2"/>
  <c r="B1379" i="2"/>
  <c r="Q1378" i="2"/>
  <c r="F1378" i="2"/>
  <c r="E1378" i="2"/>
  <c r="D1378" i="2"/>
  <c r="C1378" i="2"/>
  <c r="B1378" i="2"/>
  <c r="Q1377" i="2"/>
  <c r="F1377" i="2"/>
  <c r="E1377" i="2"/>
  <c r="D1377" i="2"/>
  <c r="C1377" i="2"/>
  <c r="B1377" i="2"/>
  <c r="Q1376" i="2"/>
  <c r="F1376" i="2"/>
  <c r="E1376" i="2"/>
  <c r="D1376" i="2"/>
  <c r="C1376" i="2"/>
  <c r="B1376" i="2"/>
  <c r="Q1375" i="2"/>
  <c r="F1375" i="2"/>
  <c r="E1375" i="2"/>
  <c r="D1375" i="2"/>
  <c r="C1375" i="2"/>
  <c r="B1375" i="2"/>
  <c r="Q1374" i="2"/>
  <c r="F1374" i="2"/>
  <c r="E1374" i="2"/>
  <c r="D1374" i="2"/>
  <c r="C1374" i="2"/>
  <c r="B1374" i="2"/>
  <c r="Q1373" i="2"/>
  <c r="F1373" i="2"/>
  <c r="E1373" i="2"/>
  <c r="D1373" i="2"/>
  <c r="C1373" i="2"/>
  <c r="B1373" i="2"/>
  <c r="Q1372" i="2"/>
  <c r="F1372" i="2"/>
  <c r="E1372" i="2"/>
  <c r="D1372" i="2"/>
  <c r="C1372" i="2"/>
  <c r="B1372" i="2"/>
  <c r="Q1371" i="2"/>
  <c r="F1371" i="2"/>
  <c r="E1371" i="2"/>
  <c r="D1371" i="2"/>
  <c r="C1371" i="2"/>
  <c r="B1371" i="2"/>
  <c r="Q1370" i="2"/>
  <c r="F1370" i="2"/>
  <c r="E1370" i="2"/>
  <c r="D1370" i="2"/>
  <c r="C1370" i="2"/>
  <c r="B1370" i="2"/>
  <c r="Q1369" i="2"/>
  <c r="F1369" i="2"/>
  <c r="E1369" i="2"/>
  <c r="D1369" i="2"/>
  <c r="C1369" i="2"/>
  <c r="B1369" i="2"/>
  <c r="Q1368" i="2"/>
  <c r="F1368" i="2"/>
  <c r="E1368" i="2"/>
  <c r="D1368" i="2"/>
  <c r="C1368" i="2"/>
  <c r="B1368" i="2"/>
  <c r="Q1367" i="2"/>
  <c r="F1367" i="2"/>
  <c r="E1367" i="2"/>
  <c r="D1367" i="2"/>
  <c r="C1367" i="2"/>
  <c r="B1367" i="2"/>
  <c r="Q1366" i="2"/>
  <c r="F1366" i="2"/>
  <c r="E1366" i="2"/>
  <c r="D1366" i="2"/>
  <c r="C1366" i="2"/>
  <c r="B1366" i="2"/>
  <c r="Q1365" i="2"/>
  <c r="F1365" i="2"/>
  <c r="E1365" i="2"/>
  <c r="D1365" i="2"/>
  <c r="C1365" i="2"/>
  <c r="B1365" i="2"/>
  <c r="Q1364" i="2"/>
  <c r="F1364" i="2"/>
  <c r="E1364" i="2"/>
  <c r="D1364" i="2"/>
  <c r="C1364" i="2"/>
  <c r="B1364" i="2"/>
  <c r="Q1363" i="2"/>
  <c r="F1363" i="2"/>
  <c r="E1363" i="2"/>
  <c r="D1363" i="2"/>
  <c r="C1363" i="2"/>
  <c r="B1363" i="2"/>
  <c r="Q1362" i="2"/>
  <c r="F1362" i="2"/>
  <c r="E1362" i="2"/>
  <c r="D1362" i="2"/>
  <c r="C1362" i="2"/>
  <c r="B1362" i="2"/>
  <c r="Q1361" i="2"/>
  <c r="F1361" i="2"/>
  <c r="E1361" i="2"/>
  <c r="D1361" i="2"/>
  <c r="C1361" i="2"/>
  <c r="B1361" i="2"/>
  <c r="Q1360" i="2"/>
  <c r="F1360" i="2"/>
  <c r="E1360" i="2"/>
  <c r="D1360" i="2"/>
  <c r="C1360" i="2"/>
  <c r="B1360" i="2"/>
  <c r="Q1359" i="2"/>
  <c r="F1359" i="2"/>
  <c r="E1359" i="2"/>
  <c r="D1359" i="2"/>
  <c r="C1359" i="2"/>
  <c r="B1359" i="2"/>
  <c r="Q1358" i="2"/>
  <c r="F1358" i="2"/>
  <c r="E1358" i="2"/>
  <c r="D1358" i="2"/>
  <c r="C1358" i="2"/>
  <c r="B1358" i="2"/>
  <c r="Q1357" i="2"/>
  <c r="F1357" i="2"/>
  <c r="E1357" i="2"/>
  <c r="D1357" i="2"/>
  <c r="C1357" i="2"/>
  <c r="B1357" i="2"/>
  <c r="Q1356" i="2"/>
  <c r="F1356" i="2"/>
  <c r="E1356" i="2"/>
  <c r="D1356" i="2"/>
  <c r="C1356" i="2"/>
  <c r="B1356" i="2"/>
  <c r="Q1355" i="2"/>
  <c r="F1355" i="2"/>
  <c r="E1355" i="2"/>
  <c r="D1355" i="2"/>
  <c r="C1355" i="2"/>
  <c r="B1355" i="2"/>
  <c r="Q1354" i="2"/>
  <c r="F1354" i="2"/>
  <c r="E1354" i="2"/>
  <c r="D1354" i="2"/>
  <c r="C1354" i="2"/>
  <c r="B1354" i="2"/>
  <c r="Q1353" i="2"/>
  <c r="F1353" i="2"/>
  <c r="E1353" i="2"/>
  <c r="D1353" i="2"/>
  <c r="C1353" i="2"/>
  <c r="B1353" i="2"/>
  <c r="Q1352" i="2"/>
  <c r="F1352" i="2"/>
  <c r="E1352" i="2"/>
  <c r="D1352" i="2"/>
  <c r="C1352" i="2"/>
  <c r="B1352" i="2"/>
  <c r="Q1351" i="2"/>
  <c r="F1351" i="2"/>
  <c r="E1351" i="2"/>
  <c r="D1351" i="2"/>
  <c r="C1351" i="2"/>
  <c r="B1351" i="2"/>
  <c r="Q1350" i="2"/>
  <c r="F1350" i="2"/>
  <c r="E1350" i="2"/>
  <c r="D1350" i="2"/>
  <c r="C1350" i="2"/>
  <c r="B1350" i="2"/>
  <c r="Q1349" i="2"/>
  <c r="F1349" i="2"/>
  <c r="E1349" i="2"/>
  <c r="D1349" i="2"/>
  <c r="C1349" i="2"/>
  <c r="B1349" i="2"/>
  <c r="Q1348" i="2"/>
  <c r="F1348" i="2"/>
  <c r="E1348" i="2"/>
  <c r="D1348" i="2"/>
  <c r="C1348" i="2"/>
  <c r="B1348" i="2"/>
  <c r="Q1347" i="2"/>
  <c r="F1347" i="2"/>
  <c r="E1347" i="2"/>
  <c r="D1347" i="2"/>
  <c r="C1347" i="2"/>
  <c r="B1347" i="2"/>
  <c r="Q1346" i="2"/>
  <c r="F1346" i="2"/>
  <c r="E1346" i="2"/>
  <c r="D1346" i="2"/>
  <c r="C1346" i="2"/>
  <c r="B1346" i="2"/>
  <c r="Q1345" i="2"/>
  <c r="F1345" i="2"/>
  <c r="E1345" i="2"/>
  <c r="D1345" i="2"/>
  <c r="C1345" i="2"/>
  <c r="B1345" i="2"/>
  <c r="Q1344" i="2"/>
  <c r="F1344" i="2"/>
  <c r="E1344" i="2"/>
  <c r="D1344" i="2"/>
  <c r="C1344" i="2"/>
  <c r="B1344" i="2"/>
  <c r="Q1343" i="2"/>
  <c r="F1343" i="2"/>
  <c r="E1343" i="2"/>
  <c r="D1343" i="2"/>
  <c r="C1343" i="2"/>
  <c r="B1343" i="2"/>
  <c r="Q1342" i="2"/>
  <c r="F1342" i="2"/>
  <c r="E1342" i="2"/>
  <c r="D1342" i="2"/>
  <c r="C1342" i="2"/>
  <c r="B1342" i="2"/>
  <c r="Q1341" i="2"/>
  <c r="F1341" i="2"/>
  <c r="E1341" i="2"/>
  <c r="D1341" i="2"/>
  <c r="C1341" i="2"/>
  <c r="B1341" i="2"/>
  <c r="Q1340" i="2"/>
  <c r="F1340" i="2"/>
  <c r="E1340" i="2"/>
  <c r="D1340" i="2"/>
  <c r="C1340" i="2"/>
  <c r="B1340" i="2"/>
  <c r="Q1339" i="2"/>
  <c r="F1339" i="2"/>
  <c r="E1339" i="2"/>
  <c r="D1339" i="2"/>
  <c r="C1339" i="2"/>
  <c r="B1339" i="2"/>
  <c r="Q1338" i="2"/>
  <c r="F1338" i="2"/>
  <c r="E1338" i="2"/>
  <c r="D1338" i="2"/>
  <c r="C1338" i="2"/>
  <c r="B1338" i="2"/>
  <c r="Q1337" i="2"/>
  <c r="F1337" i="2"/>
  <c r="E1337" i="2"/>
  <c r="D1337" i="2"/>
  <c r="C1337" i="2"/>
  <c r="B1337" i="2"/>
  <c r="Q1336" i="2"/>
  <c r="F1336" i="2"/>
  <c r="E1336" i="2"/>
  <c r="D1336" i="2"/>
  <c r="C1336" i="2"/>
  <c r="B1336" i="2"/>
  <c r="Q1335" i="2"/>
  <c r="F1335" i="2"/>
  <c r="E1335" i="2"/>
  <c r="D1335" i="2"/>
  <c r="C1335" i="2"/>
  <c r="B1335" i="2"/>
  <c r="Q1334" i="2"/>
  <c r="F1334" i="2"/>
  <c r="E1334" i="2"/>
  <c r="D1334" i="2"/>
  <c r="C1334" i="2"/>
  <c r="B1334" i="2"/>
  <c r="Q1333" i="2"/>
  <c r="F1333" i="2"/>
  <c r="E1333" i="2"/>
  <c r="D1333" i="2"/>
  <c r="C1333" i="2"/>
  <c r="B1333" i="2"/>
  <c r="Q1332" i="2"/>
  <c r="F1332" i="2"/>
  <c r="E1332" i="2"/>
  <c r="D1332" i="2"/>
  <c r="C1332" i="2"/>
  <c r="B1332" i="2"/>
  <c r="Q1331" i="2"/>
  <c r="F1331" i="2"/>
  <c r="E1331" i="2"/>
  <c r="D1331" i="2"/>
  <c r="C1331" i="2"/>
  <c r="B1331" i="2"/>
  <c r="Q1330" i="2"/>
  <c r="F1330" i="2"/>
  <c r="E1330" i="2"/>
  <c r="D1330" i="2"/>
  <c r="C1330" i="2"/>
  <c r="B1330" i="2"/>
  <c r="Q1329" i="2"/>
  <c r="F1329" i="2"/>
  <c r="E1329" i="2"/>
  <c r="D1329" i="2"/>
  <c r="C1329" i="2"/>
  <c r="B1329" i="2"/>
  <c r="Q1328" i="2"/>
  <c r="F1328" i="2"/>
  <c r="E1328" i="2"/>
  <c r="D1328" i="2"/>
  <c r="C1328" i="2"/>
  <c r="B1328" i="2"/>
  <c r="Q1327" i="2"/>
  <c r="F1327" i="2"/>
  <c r="E1327" i="2"/>
  <c r="D1327" i="2"/>
  <c r="C1327" i="2"/>
  <c r="B1327" i="2"/>
  <c r="Q1326" i="2"/>
  <c r="F1326" i="2"/>
  <c r="E1326" i="2"/>
  <c r="D1326" i="2"/>
  <c r="C1326" i="2"/>
  <c r="B1326" i="2"/>
  <c r="Q1325" i="2"/>
  <c r="F1325" i="2"/>
  <c r="E1325" i="2"/>
  <c r="D1325" i="2"/>
  <c r="C1325" i="2"/>
  <c r="B1325" i="2"/>
  <c r="Q1324" i="2"/>
  <c r="F1324" i="2"/>
  <c r="E1324" i="2"/>
  <c r="D1324" i="2"/>
  <c r="C1324" i="2"/>
  <c r="B1324" i="2"/>
  <c r="Q1323" i="2"/>
  <c r="F1323" i="2"/>
  <c r="E1323" i="2"/>
  <c r="D1323" i="2"/>
  <c r="C1323" i="2"/>
  <c r="B1323" i="2"/>
  <c r="Q1322" i="2"/>
  <c r="F1322" i="2"/>
  <c r="E1322" i="2"/>
  <c r="D1322" i="2"/>
  <c r="C1322" i="2"/>
  <c r="B1322" i="2"/>
  <c r="Q1321" i="2"/>
  <c r="F1321" i="2"/>
  <c r="E1321" i="2"/>
  <c r="D1321" i="2"/>
  <c r="C1321" i="2"/>
  <c r="B1321" i="2"/>
  <c r="Q1320" i="2"/>
  <c r="F1320" i="2"/>
  <c r="E1320" i="2"/>
  <c r="D1320" i="2"/>
  <c r="C1320" i="2"/>
  <c r="B1320" i="2"/>
  <c r="Q1319" i="2"/>
  <c r="F1319" i="2"/>
  <c r="E1319" i="2"/>
  <c r="D1319" i="2"/>
  <c r="C1319" i="2"/>
  <c r="B1319" i="2"/>
  <c r="Q1318" i="2"/>
  <c r="F1318" i="2"/>
  <c r="E1318" i="2"/>
  <c r="D1318" i="2"/>
  <c r="C1318" i="2"/>
  <c r="B1318" i="2"/>
  <c r="Q1317" i="2"/>
  <c r="F1317" i="2"/>
  <c r="E1317" i="2"/>
  <c r="D1317" i="2"/>
  <c r="C1317" i="2"/>
  <c r="B1317" i="2"/>
  <c r="Q1316" i="2"/>
  <c r="F1316" i="2"/>
  <c r="E1316" i="2"/>
  <c r="D1316" i="2"/>
  <c r="C1316" i="2"/>
  <c r="B1316" i="2"/>
  <c r="Q1315" i="2"/>
  <c r="F1315" i="2"/>
  <c r="E1315" i="2"/>
  <c r="D1315" i="2"/>
  <c r="C1315" i="2"/>
  <c r="B1315" i="2"/>
  <c r="Q1314" i="2"/>
  <c r="F1314" i="2"/>
  <c r="E1314" i="2"/>
  <c r="D1314" i="2"/>
  <c r="C1314" i="2"/>
  <c r="B1314" i="2"/>
  <c r="Q1313" i="2"/>
  <c r="F1313" i="2"/>
  <c r="E1313" i="2"/>
  <c r="D1313" i="2"/>
  <c r="C1313" i="2"/>
  <c r="B1313" i="2"/>
  <c r="Q1312" i="2"/>
  <c r="F1312" i="2"/>
  <c r="E1312" i="2"/>
  <c r="D1312" i="2"/>
  <c r="C1312" i="2"/>
  <c r="B1312" i="2"/>
  <c r="Q1311" i="2"/>
  <c r="F1311" i="2"/>
  <c r="E1311" i="2"/>
  <c r="D1311" i="2"/>
  <c r="C1311" i="2"/>
  <c r="B1311" i="2"/>
  <c r="Q1310" i="2"/>
  <c r="F1310" i="2"/>
  <c r="E1310" i="2"/>
  <c r="D1310" i="2"/>
  <c r="C1310" i="2"/>
  <c r="B1310" i="2"/>
  <c r="Q1309" i="2"/>
  <c r="F1309" i="2"/>
  <c r="E1309" i="2"/>
  <c r="D1309" i="2"/>
  <c r="C1309" i="2"/>
  <c r="B1309" i="2"/>
  <c r="Q1308" i="2"/>
  <c r="F1308" i="2"/>
  <c r="E1308" i="2"/>
  <c r="D1308" i="2"/>
  <c r="C1308" i="2"/>
  <c r="B1308" i="2"/>
  <c r="Q1307" i="2"/>
  <c r="F1307" i="2"/>
  <c r="E1307" i="2"/>
  <c r="D1307" i="2"/>
  <c r="C1307" i="2"/>
  <c r="B1307" i="2"/>
  <c r="Q1306" i="2"/>
  <c r="F1306" i="2"/>
  <c r="E1306" i="2"/>
  <c r="D1306" i="2"/>
  <c r="C1306" i="2"/>
  <c r="B1306" i="2"/>
  <c r="Q1305" i="2"/>
  <c r="F1305" i="2"/>
  <c r="E1305" i="2"/>
  <c r="D1305" i="2"/>
  <c r="C1305" i="2"/>
  <c r="B1305" i="2"/>
  <c r="Q1304" i="2"/>
  <c r="F1304" i="2"/>
  <c r="E1304" i="2"/>
  <c r="D1304" i="2"/>
  <c r="C1304" i="2"/>
  <c r="B1304" i="2"/>
  <c r="Q1303" i="2"/>
  <c r="F1303" i="2"/>
  <c r="E1303" i="2"/>
  <c r="D1303" i="2"/>
  <c r="C1303" i="2"/>
  <c r="B1303" i="2"/>
  <c r="Q1302" i="2"/>
  <c r="F1302" i="2"/>
  <c r="E1302" i="2"/>
  <c r="D1302" i="2"/>
  <c r="C1302" i="2"/>
  <c r="B1302" i="2"/>
  <c r="Q1301" i="2"/>
  <c r="F1301" i="2"/>
  <c r="E1301" i="2"/>
  <c r="D1301" i="2"/>
  <c r="C1301" i="2"/>
  <c r="B1301" i="2"/>
  <c r="Q1300" i="2"/>
  <c r="F1300" i="2"/>
  <c r="E1300" i="2"/>
  <c r="D1300" i="2"/>
  <c r="C1300" i="2"/>
  <c r="B1300" i="2"/>
  <c r="Q1299" i="2"/>
  <c r="F1299" i="2"/>
  <c r="E1299" i="2"/>
  <c r="D1299" i="2"/>
  <c r="C1299" i="2"/>
  <c r="B1299" i="2"/>
  <c r="Q1298" i="2"/>
  <c r="F1298" i="2"/>
  <c r="E1298" i="2"/>
  <c r="D1298" i="2"/>
  <c r="C1298" i="2"/>
  <c r="B1298" i="2"/>
  <c r="Q1297" i="2"/>
  <c r="F1297" i="2"/>
  <c r="E1297" i="2"/>
  <c r="D1297" i="2"/>
  <c r="C1297" i="2"/>
  <c r="B1297" i="2"/>
  <c r="Q1296" i="2"/>
  <c r="F1296" i="2"/>
  <c r="E1296" i="2"/>
  <c r="D1296" i="2"/>
  <c r="C1296" i="2"/>
  <c r="B1296" i="2"/>
  <c r="Q1295" i="2"/>
  <c r="F1295" i="2"/>
  <c r="E1295" i="2"/>
  <c r="D1295" i="2"/>
  <c r="C1295" i="2"/>
  <c r="B1295" i="2"/>
  <c r="Q1294" i="2"/>
  <c r="F1294" i="2"/>
  <c r="E1294" i="2"/>
  <c r="D1294" i="2"/>
  <c r="C1294" i="2"/>
  <c r="B1294" i="2"/>
  <c r="Q1293" i="2"/>
  <c r="F1293" i="2"/>
  <c r="E1293" i="2"/>
  <c r="D1293" i="2"/>
  <c r="C1293" i="2"/>
  <c r="B1293" i="2"/>
  <c r="Q1292" i="2"/>
  <c r="F1292" i="2"/>
  <c r="E1292" i="2"/>
  <c r="D1292" i="2"/>
  <c r="C1292" i="2"/>
  <c r="B1292" i="2"/>
  <c r="Q1291" i="2"/>
  <c r="F1291" i="2"/>
  <c r="E1291" i="2"/>
  <c r="D1291" i="2"/>
  <c r="C1291" i="2"/>
  <c r="B1291" i="2"/>
  <c r="Q1290" i="2"/>
  <c r="F1290" i="2"/>
  <c r="E1290" i="2"/>
  <c r="D1290" i="2"/>
  <c r="C1290" i="2"/>
  <c r="B1290" i="2"/>
  <c r="Q1289" i="2"/>
  <c r="F1289" i="2"/>
  <c r="E1289" i="2"/>
  <c r="D1289" i="2"/>
  <c r="C1289" i="2"/>
  <c r="B1289" i="2"/>
  <c r="Q1288" i="2"/>
  <c r="F1288" i="2"/>
  <c r="E1288" i="2"/>
  <c r="D1288" i="2"/>
  <c r="C1288" i="2"/>
  <c r="B1288" i="2"/>
  <c r="Q1287" i="2"/>
  <c r="F1287" i="2"/>
  <c r="E1287" i="2"/>
  <c r="D1287" i="2"/>
  <c r="C1287" i="2"/>
  <c r="B1287" i="2"/>
  <c r="Q1286" i="2"/>
  <c r="F1286" i="2"/>
  <c r="E1286" i="2"/>
  <c r="D1286" i="2"/>
  <c r="C1286" i="2"/>
  <c r="B1286" i="2"/>
  <c r="Q1285" i="2"/>
  <c r="F1285" i="2"/>
  <c r="E1285" i="2"/>
  <c r="D1285" i="2"/>
  <c r="C1285" i="2"/>
  <c r="B1285" i="2"/>
  <c r="Q1284" i="2"/>
  <c r="F1284" i="2"/>
  <c r="E1284" i="2"/>
  <c r="D1284" i="2"/>
  <c r="C1284" i="2"/>
  <c r="B1284" i="2"/>
  <c r="Q1283" i="2"/>
  <c r="F1283" i="2"/>
  <c r="E1283" i="2"/>
  <c r="D1283" i="2"/>
  <c r="C1283" i="2"/>
  <c r="B1283" i="2"/>
  <c r="Q1282" i="2"/>
  <c r="F1282" i="2"/>
  <c r="E1282" i="2"/>
  <c r="D1282" i="2"/>
  <c r="C1282" i="2"/>
  <c r="B1282" i="2"/>
  <c r="Q1281" i="2"/>
  <c r="F1281" i="2"/>
  <c r="E1281" i="2"/>
  <c r="D1281" i="2"/>
  <c r="C1281" i="2"/>
  <c r="B1281" i="2"/>
  <c r="Q1280" i="2"/>
  <c r="F1280" i="2"/>
  <c r="E1280" i="2"/>
  <c r="D1280" i="2"/>
  <c r="C1280" i="2"/>
  <c r="B1280" i="2"/>
  <c r="Q1279" i="2"/>
  <c r="F1279" i="2"/>
  <c r="E1279" i="2"/>
  <c r="D1279" i="2"/>
  <c r="C1279" i="2"/>
  <c r="B1279" i="2"/>
  <c r="Q1278" i="2"/>
  <c r="F1278" i="2"/>
  <c r="E1278" i="2"/>
  <c r="D1278" i="2"/>
  <c r="C1278" i="2"/>
  <c r="B1278" i="2"/>
  <c r="Q1277" i="2"/>
  <c r="F1277" i="2"/>
  <c r="E1277" i="2"/>
  <c r="D1277" i="2"/>
  <c r="C1277" i="2"/>
  <c r="B1277" i="2"/>
  <c r="Q1276" i="2"/>
  <c r="F1276" i="2"/>
  <c r="E1276" i="2"/>
  <c r="D1276" i="2"/>
  <c r="C1276" i="2"/>
  <c r="B1276" i="2"/>
  <c r="Q1275" i="2"/>
  <c r="F1275" i="2"/>
  <c r="E1275" i="2"/>
  <c r="D1275" i="2"/>
  <c r="C1275" i="2"/>
  <c r="B1275" i="2"/>
  <c r="Q1274" i="2"/>
  <c r="F1274" i="2"/>
  <c r="E1274" i="2"/>
  <c r="D1274" i="2"/>
  <c r="C1274" i="2"/>
  <c r="B1274" i="2"/>
  <c r="Q1273" i="2"/>
  <c r="F1273" i="2"/>
  <c r="E1273" i="2"/>
  <c r="D1273" i="2"/>
  <c r="C1273" i="2"/>
  <c r="B1273" i="2"/>
  <c r="Q1272" i="2"/>
  <c r="F1272" i="2"/>
  <c r="E1272" i="2"/>
  <c r="D1272" i="2"/>
  <c r="C1272" i="2"/>
  <c r="B1272" i="2"/>
  <c r="Q1271" i="2"/>
  <c r="F1271" i="2"/>
  <c r="E1271" i="2"/>
  <c r="D1271" i="2"/>
  <c r="C1271" i="2"/>
  <c r="B1271" i="2"/>
  <c r="Q1270" i="2"/>
  <c r="F1270" i="2"/>
  <c r="E1270" i="2"/>
  <c r="D1270" i="2"/>
  <c r="C1270" i="2"/>
  <c r="B1270" i="2"/>
  <c r="Q1269" i="2"/>
  <c r="F1269" i="2"/>
  <c r="E1269" i="2"/>
  <c r="D1269" i="2"/>
  <c r="C1269" i="2"/>
  <c r="B1269" i="2"/>
  <c r="Q1268" i="2"/>
  <c r="F1268" i="2"/>
  <c r="E1268" i="2"/>
  <c r="D1268" i="2"/>
  <c r="C1268" i="2"/>
  <c r="B1268" i="2"/>
  <c r="Q1267" i="2"/>
  <c r="F1267" i="2"/>
  <c r="E1267" i="2"/>
  <c r="D1267" i="2"/>
  <c r="C1267" i="2"/>
  <c r="B1267" i="2"/>
  <c r="Q1266" i="2"/>
  <c r="F1266" i="2"/>
  <c r="E1266" i="2"/>
  <c r="D1266" i="2"/>
  <c r="C1266" i="2"/>
  <c r="B1266" i="2"/>
  <c r="Q1265" i="2"/>
  <c r="F1265" i="2"/>
  <c r="E1265" i="2"/>
  <c r="D1265" i="2"/>
  <c r="C1265" i="2"/>
  <c r="B1265" i="2"/>
  <c r="Q1264" i="2"/>
  <c r="F1264" i="2"/>
  <c r="E1264" i="2"/>
  <c r="D1264" i="2"/>
  <c r="C1264" i="2"/>
  <c r="B1264" i="2"/>
  <c r="Q1263" i="2"/>
  <c r="F1263" i="2"/>
  <c r="E1263" i="2"/>
  <c r="D1263" i="2"/>
  <c r="C1263" i="2"/>
  <c r="B1263" i="2"/>
  <c r="Q1262" i="2"/>
  <c r="F1262" i="2"/>
  <c r="E1262" i="2"/>
  <c r="D1262" i="2"/>
  <c r="C1262" i="2"/>
  <c r="B1262" i="2"/>
  <c r="Q1261" i="2"/>
  <c r="F1261" i="2"/>
  <c r="E1261" i="2"/>
  <c r="D1261" i="2"/>
  <c r="C1261" i="2"/>
  <c r="B1261" i="2"/>
  <c r="Q1260" i="2"/>
  <c r="F1260" i="2"/>
  <c r="E1260" i="2"/>
  <c r="D1260" i="2"/>
  <c r="C1260" i="2"/>
  <c r="B1260" i="2"/>
  <c r="Q1259" i="2"/>
  <c r="F1259" i="2"/>
  <c r="E1259" i="2"/>
  <c r="D1259" i="2"/>
  <c r="C1259" i="2"/>
  <c r="B1259" i="2"/>
  <c r="Q1258" i="2"/>
  <c r="F1258" i="2"/>
  <c r="E1258" i="2"/>
  <c r="D1258" i="2"/>
  <c r="C1258" i="2"/>
  <c r="B1258" i="2"/>
  <c r="Q1257" i="2"/>
  <c r="F1257" i="2"/>
  <c r="E1257" i="2"/>
  <c r="D1257" i="2"/>
  <c r="C1257" i="2"/>
  <c r="B1257" i="2"/>
  <c r="Q1256" i="2"/>
  <c r="F1256" i="2"/>
  <c r="E1256" i="2"/>
  <c r="D1256" i="2"/>
  <c r="C1256" i="2"/>
  <c r="B1256" i="2"/>
  <c r="Q1255" i="2"/>
  <c r="F1255" i="2"/>
  <c r="E1255" i="2"/>
  <c r="D1255" i="2"/>
  <c r="C1255" i="2"/>
  <c r="B1255" i="2"/>
  <c r="Q1254" i="2"/>
  <c r="F1254" i="2"/>
  <c r="E1254" i="2"/>
  <c r="D1254" i="2"/>
  <c r="C1254" i="2"/>
  <c r="B1254" i="2"/>
  <c r="Q1253" i="2"/>
  <c r="F1253" i="2"/>
  <c r="E1253" i="2"/>
  <c r="D1253" i="2"/>
  <c r="C1253" i="2"/>
  <c r="B1253" i="2"/>
  <c r="Q1252" i="2"/>
  <c r="F1252" i="2"/>
  <c r="E1252" i="2"/>
  <c r="D1252" i="2"/>
  <c r="C1252" i="2"/>
  <c r="B1252" i="2"/>
  <c r="Q1251" i="2"/>
  <c r="F1251" i="2"/>
  <c r="E1251" i="2"/>
  <c r="D1251" i="2"/>
  <c r="C1251" i="2"/>
  <c r="B1251" i="2"/>
  <c r="Q1250" i="2"/>
  <c r="F1250" i="2"/>
  <c r="E1250" i="2"/>
  <c r="D1250" i="2"/>
  <c r="C1250" i="2"/>
  <c r="B1250" i="2"/>
  <c r="Q1249" i="2"/>
  <c r="F1249" i="2"/>
  <c r="E1249" i="2"/>
  <c r="D1249" i="2"/>
  <c r="C1249" i="2"/>
  <c r="B1249" i="2"/>
  <c r="Q1248" i="2"/>
  <c r="F1248" i="2"/>
  <c r="E1248" i="2"/>
  <c r="D1248" i="2"/>
  <c r="C1248" i="2"/>
  <c r="B1248" i="2"/>
  <c r="Q1247" i="2"/>
  <c r="F1247" i="2"/>
  <c r="E1247" i="2"/>
  <c r="D1247" i="2"/>
  <c r="C1247" i="2"/>
  <c r="B1247" i="2"/>
  <c r="Q1246" i="2"/>
  <c r="F1246" i="2"/>
  <c r="E1246" i="2"/>
  <c r="D1246" i="2"/>
  <c r="C1246" i="2"/>
  <c r="B1246" i="2"/>
  <c r="Q1245" i="2"/>
  <c r="F1245" i="2"/>
  <c r="E1245" i="2"/>
  <c r="D1245" i="2"/>
  <c r="C1245" i="2"/>
  <c r="B1245" i="2"/>
  <c r="Q1244" i="2"/>
  <c r="F1244" i="2"/>
  <c r="E1244" i="2"/>
  <c r="D1244" i="2"/>
  <c r="C1244" i="2"/>
  <c r="B1244" i="2"/>
  <c r="Q1243" i="2"/>
  <c r="F1243" i="2"/>
  <c r="E1243" i="2"/>
  <c r="D1243" i="2"/>
  <c r="C1243" i="2"/>
  <c r="B1243" i="2"/>
  <c r="Q1242" i="2"/>
  <c r="F1242" i="2"/>
  <c r="E1242" i="2"/>
  <c r="D1242" i="2"/>
  <c r="C1242" i="2"/>
  <c r="B1242" i="2"/>
  <c r="Q1241" i="2"/>
  <c r="F1241" i="2"/>
  <c r="E1241" i="2"/>
  <c r="D1241" i="2"/>
  <c r="C1241" i="2"/>
  <c r="B1241" i="2"/>
  <c r="Q1240" i="2"/>
  <c r="F1240" i="2"/>
  <c r="E1240" i="2"/>
  <c r="D1240" i="2"/>
  <c r="C1240" i="2"/>
  <c r="B1240" i="2"/>
  <c r="Q1239" i="2"/>
  <c r="F1239" i="2"/>
  <c r="E1239" i="2"/>
  <c r="D1239" i="2"/>
  <c r="C1239" i="2"/>
  <c r="B1239" i="2"/>
  <c r="Q1238" i="2"/>
  <c r="F1238" i="2"/>
  <c r="E1238" i="2"/>
  <c r="D1238" i="2"/>
  <c r="C1238" i="2"/>
  <c r="B1238" i="2"/>
  <c r="Q1237" i="2"/>
  <c r="F1237" i="2"/>
  <c r="E1237" i="2"/>
  <c r="D1237" i="2"/>
  <c r="C1237" i="2"/>
  <c r="B1237" i="2"/>
  <c r="Q1236" i="2"/>
  <c r="F1236" i="2"/>
  <c r="E1236" i="2"/>
  <c r="D1236" i="2"/>
  <c r="C1236" i="2"/>
  <c r="B1236" i="2"/>
  <c r="Q1235" i="2"/>
  <c r="F1235" i="2"/>
  <c r="E1235" i="2"/>
  <c r="D1235" i="2"/>
  <c r="C1235" i="2"/>
  <c r="B1235" i="2"/>
  <c r="Q1234" i="2"/>
  <c r="F1234" i="2"/>
  <c r="E1234" i="2"/>
  <c r="D1234" i="2"/>
  <c r="C1234" i="2"/>
  <c r="B1234" i="2"/>
  <c r="Q1233" i="2"/>
  <c r="F1233" i="2"/>
  <c r="E1233" i="2"/>
  <c r="D1233" i="2"/>
  <c r="C1233" i="2"/>
  <c r="B1233" i="2"/>
  <c r="Q1232" i="2"/>
  <c r="F1232" i="2"/>
  <c r="E1232" i="2"/>
  <c r="D1232" i="2"/>
  <c r="C1232" i="2"/>
  <c r="B1232" i="2"/>
  <c r="Q1231" i="2"/>
  <c r="F1231" i="2"/>
  <c r="E1231" i="2"/>
  <c r="D1231" i="2"/>
  <c r="C1231" i="2"/>
  <c r="B1231" i="2"/>
  <c r="Q1230" i="2"/>
  <c r="F1230" i="2"/>
  <c r="E1230" i="2"/>
  <c r="D1230" i="2"/>
  <c r="C1230" i="2"/>
  <c r="B1230" i="2"/>
  <c r="Q1229" i="2"/>
  <c r="F1229" i="2"/>
  <c r="E1229" i="2"/>
  <c r="D1229" i="2"/>
  <c r="C1229" i="2"/>
  <c r="B1229" i="2"/>
  <c r="Q1228" i="2"/>
  <c r="F1228" i="2"/>
  <c r="E1228" i="2"/>
  <c r="D1228" i="2"/>
  <c r="C1228" i="2"/>
  <c r="B1228" i="2"/>
  <c r="Q1227" i="2"/>
  <c r="F1227" i="2"/>
  <c r="E1227" i="2"/>
  <c r="D1227" i="2"/>
  <c r="C1227" i="2"/>
  <c r="B1227" i="2"/>
  <c r="Q1226" i="2"/>
  <c r="F1226" i="2"/>
  <c r="E1226" i="2"/>
  <c r="D1226" i="2"/>
  <c r="C1226" i="2"/>
  <c r="B1226" i="2"/>
  <c r="Q1225" i="2"/>
  <c r="F1225" i="2"/>
  <c r="E1225" i="2"/>
  <c r="D1225" i="2"/>
  <c r="C1225" i="2"/>
  <c r="B1225" i="2"/>
  <c r="Q1224" i="2"/>
  <c r="F1224" i="2"/>
  <c r="E1224" i="2"/>
  <c r="D1224" i="2"/>
  <c r="C1224" i="2"/>
  <c r="B1224" i="2"/>
  <c r="Q1223" i="2"/>
  <c r="F1223" i="2"/>
  <c r="E1223" i="2"/>
  <c r="D1223" i="2"/>
  <c r="C1223" i="2"/>
  <c r="B1223" i="2"/>
  <c r="Q1222" i="2"/>
  <c r="F1222" i="2"/>
  <c r="E1222" i="2"/>
  <c r="D1222" i="2"/>
  <c r="C1222" i="2"/>
  <c r="B1222" i="2"/>
  <c r="Q1221" i="2"/>
  <c r="F1221" i="2"/>
  <c r="E1221" i="2"/>
  <c r="D1221" i="2"/>
  <c r="C1221" i="2"/>
  <c r="B1221" i="2"/>
  <c r="Q1220" i="2"/>
  <c r="F1220" i="2"/>
  <c r="E1220" i="2"/>
  <c r="D1220" i="2"/>
  <c r="C1220" i="2"/>
  <c r="B1220" i="2"/>
  <c r="Q1219" i="2"/>
  <c r="F1219" i="2"/>
  <c r="E1219" i="2"/>
  <c r="D1219" i="2"/>
  <c r="C1219" i="2"/>
  <c r="B1219" i="2"/>
  <c r="Q1218" i="2"/>
  <c r="F1218" i="2"/>
  <c r="E1218" i="2"/>
  <c r="D1218" i="2"/>
  <c r="C1218" i="2"/>
  <c r="B1218" i="2"/>
  <c r="Q1217" i="2"/>
  <c r="F1217" i="2"/>
  <c r="E1217" i="2"/>
  <c r="D1217" i="2"/>
  <c r="C1217" i="2"/>
  <c r="B1217" i="2"/>
  <c r="Q1216" i="2"/>
  <c r="F1216" i="2"/>
  <c r="E1216" i="2"/>
  <c r="D1216" i="2"/>
  <c r="C1216" i="2"/>
  <c r="B1216" i="2"/>
  <c r="Q1215" i="2"/>
  <c r="F1215" i="2"/>
  <c r="E1215" i="2"/>
  <c r="D1215" i="2"/>
  <c r="C1215" i="2"/>
  <c r="B1215" i="2"/>
  <c r="Q1214" i="2"/>
  <c r="F1214" i="2"/>
  <c r="E1214" i="2"/>
  <c r="D1214" i="2"/>
  <c r="C1214" i="2"/>
  <c r="B1214" i="2"/>
  <c r="Q1213" i="2"/>
  <c r="F1213" i="2"/>
  <c r="E1213" i="2"/>
  <c r="D1213" i="2"/>
  <c r="C1213" i="2"/>
  <c r="B1213" i="2"/>
  <c r="Q1212" i="2"/>
  <c r="F1212" i="2"/>
  <c r="E1212" i="2"/>
  <c r="D1212" i="2"/>
  <c r="C1212" i="2"/>
  <c r="B1212" i="2"/>
  <c r="Q1211" i="2"/>
  <c r="F1211" i="2"/>
  <c r="E1211" i="2"/>
  <c r="D1211" i="2"/>
  <c r="C1211" i="2"/>
  <c r="B1211" i="2"/>
  <c r="Q1210" i="2"/>
  <c r="F1210" i="2"/>
  <c r="E1210" i="2"/>
  <c r="D1210" i="2"/>
  <c r="C1210" i="2"/>
  <c r="B1210" i="2"/>
  <c r="Q1209" i="2"/>
  <c r="F1209" i="2"/>
  <c r="E1209" i="2"/>
  <c r="D1209" i="2"/>
  <c r="C1209" i="2"/>
  <c r="B1209" i="2"/>
  <c r="Q1208" i="2"/>
  <c r="F1208" i="2"/>
  <c r="E1208" i="2"/>
  <c r="D1208" i="2"/>
  <c r="C1208" i="2"/>
  <c r="B1208" i="2"/>
  <c r="Q1207" i="2"/>
  <c r="F1207" i="2"/>
  <c r="E1207" i="2"/>
  <c r="D1207" i="2"/>
  <c r="C1207" i="2"/>
  <c r="B1207" i="2"/>
  <c r="Q1206" i="2"/>
  <c r="F1206" i="2"/>
  <c r="E1206" i="2"/>
  <c r="D1206" i="2"/>
  <c r="C1206" i="2"/>
  <c r="B1206" i="2"/>
  <c r="Q1205" i="2"/>
  <c r="F1205" i="2"/>
  <c r="E1205" i="2"/>
  <c r="D1205" i="2"/>
  <c r="C1205" i="2"/>
  <c r="B1205" i="2"/>
  <c r="Q1204" i="2"/>
  <c r="F1204" i="2"/>
  <c r="E1204" i="2"/>
  <c r="D1204" i="2"/>
  <c r="C1204" i="2"/>
  <c r="B1204" i="2"/>
  <c r="Q1203" i="2"/>
  <c r="F1203" i="2"/>
  <c r="E1203" i="2"/>
  <c r="D1203" i="2"/>
  <c r="C1203" i="2"/>
  <c r="B1203" i="2"/>
  <c r="Q1202" i="2"/>
  <c r="F1202" i="2"/>
  <c r="E1202" i="2"/>
  <c r="D1202" i="2"/>
  <c r="C1202" i="2"/>
  <c r="B1202" i="2"/>
  <c r="Q1201" i="2"/>
  <c r="F1201" i="2"/>
  <c r="E1201" i="2"/>
  <c r="D1201" i="2"/>
  <c r="C1201" i="2"/>
  <c r="B1201" i="2"/>
  <c r="Q1200" i="2"/>
  <c r="F1200" i="2"/>
  <c r="E1200" i="2"/>
  <c r="D1200" i="2"/>
  <c r="C1200" i="2"/>
  <c r="B1200" i="2"/>
  <c r="Q1199" i="2"/>
  <c r="F1199" i="2"/>
  <c r="E1199" i="2"/>
  <c r="D1199" i="2"/>
  <c r="C1199" i="2"/>
  <c r="B1199" i="2"/>
  <c r="Q1198" i="2"/>
  <c r="F1198" i="2"/>
  <c r="E1198" i="2"/>
  <c r="D1198" i="2"/>
  <c r="C1198" i="2"/>
  <c r="B1198" i="2"/>
  <c r="Q1197" i="2"/>
  <c r="F1197" i="2"/>
  <c r="E1197" i="2"/>
  <c r="D1197" i="2"/>
  <c r="C1197" i="2"/>
  <c r="B1197" i="2"/>
  <c r="Q1196" i="2"/>
  <c r="F1196" i="2"/>
  <c r="E1196" i="2"/>
  <c r="D1196" i="2"/>
  <c r="C1196" i="2"/>
  <c r="B1196" i="2"/>
  <c r="Q1195" i="2"/>
  <c r="F1195" i="2"/>
  <c r="E1195" i="2"/>
  <c r="D1195" i="2"/>
  <c r="C1195" i="2"/>
  <c r="B1195" i="2"/>
  <c r="Q1194" i="2"/>
  <c r="F1194" i="2"/>
  <c r="E1194" i="2"/>
  <c r="D1194" i="2"/>
  <c r="C1194" i="2"/>
  <c r="B1194" i="2"/>
  <c r="Q1193" i="2"/>
  <c r="F1193" i="2"/>
  <c r="E1193" i="2"/>
  <c r="D1193" i="2"/>
  <c r="C1193" i="2"/>
  <c r="B1193" i="2"/>
  <c r="Q1192" i="2"/>
  <c r="F1192" i="2"/>
  <c r="E1192" i="2"/>
  <c r="D1192" i="2"/>
  <c r="C1192" i="2"/>
  <c r="B1192" i="2"/>
  <c r="Q1191" i="2"/>
  <c r="F1191" i="2"/>
  <c r="E1191" i="2"/>
  <c r="D1191" i="2"/>
  <c r="C1191" i="2"/>
  <c r="B1191" i="2"/>
  <c r="Q1190" i="2"/>
  <c r="F1190" i="2"/>
  <c r="E1190" i="2"/>
  <c r="D1190" i="2"/>
  <c r="C1190" i="2"/>
  <c r="B1190" i="2"/>
  <c r="Q1189" i="2"/>
  <c r="F1189" i="2"/>
  <c r="E1189" i="2"/>
  <c r="D1189" i="2"/>
  <c r="C1189" i="2"/>
  <c r="B1189" i="2"/>
  <c r="Q1188" i="2"/>
  <c r="F1188" i="2"/>
  <c r="E1188" i="2"/>
  <c r="D1188" i="2"/>
  <c r="C1188" i="2"/>
  <c r="B1188" i="2"/>
  <c r="Q1187" i="2"/>
  <c r="F1187" i="2"/>
  <c r="E1187" i="2"/>
  <c r="D1187" i="2"/>
  <c r="C1187" i="2"/>
  <c r="B1187" i="2"/>
  <c r="Q1186" i="2"/>
  <c r="F1186" i="2"/>
  <c r="E1186" i="2"/>
  <c r="D1186" i="2"/>
  <c r="C1186" i="2"/>
  <c r="B1186" i="2"/>
  <c r="Q1185" i="2"/>
  <c r="F1185" i="2"/>
  <c r="E1185" i="2"/>
  <c r="D1185" i="2"/>
  <c r="C1185" i="2"/>
  <c r="B1185" i="2"/>
  <c r="Q1184" i="2"/>
  <c r="F1184" i="2"/>
  <c r="E1184" i="2"/>
  <c r="D1184" i="2"/>
  <c r="C1184" i="2"/>
  <c r="B1184" i="2"/>
  <c r="Q1183" i="2"/>
  <c r="F1183" i="2"/>
  <c r="E1183" i="2"/>
  <c r="D1183" i="2"/>
  <c r="C1183" i="2"/>
  <c r="B1183" i="2"/>
  <c r="Q1182" i="2"/>
  <c r="F1182" i="2"/>
  <c r="E1182" i="2"/>
  <c r="D1182" i="2"/>
  <c r="C1182" i="2"/>
  <c r="B1182" i="2"/>
  <c r="Q1181" i="2"/>
  <c r="F1181" i="2"/>
  <c r="E1181" i="2"/>
  <c r="D1181" i="2"/>
  <c r="C1181" i="2"/>
  <c r="B1181" i="2"/>
  <c r="Q1180" i="2"/>
  <c r="F1180" i="2"/>
  <c r="E1180" i="2"/>
  <c r="D1180" i="2"/>
  <c r="C1180" i="2"/>
  <c r="B1180" i="2"/>
  <c r="Q1179" i="2"/>
  <c r="F1179" i="2"/>
  <c r="E1179" i="2"/>
  <c r="D1179" i="2"/>
  <c r="C1179" i="2"/>
  <c r="B1179" i="2"/>
  <c r="Q1178" i="2"/>
  <c r="F1178" i="2"/>
  <c r="E1178" i="2"/>
  <c r="D1178" i="2"/>
  <c r="C1178" i="2"/>
  <c r="B1178" i="2"/>
  <c r="Q1177" i="2"/>
  <c r="F1177" i="2"/>
  <c r="E1177" i="2"/>
  <c r="D1177" i="2"/>
  <c r="C1177" i="2"/>
  <c r="B1177" i="2"/>
  <c r="Q1176" i="2"/>
  <c r="F1176" i="2"/>
  <c r="E1176" i="2"/>
  <c r="D1176" i="2"/>
  <c r="C1176" i="2"/>
  <c r="B1176" i="2"/>
  <c r="Q1175" i="2"/>
  <c r="F1175" i="2"/>
  <c r="E1175" i="2"/>
  <c r="D1175" i="2"/>
  <c r="C1175" i="2"/>
  <c r="B1175" i="2"/>
  <c r="Q1174" i="2"/>
  <c r="F1174" i="2"/>
  <c r="E1174" i="2"/>
  <c r="D1174" i="2"/>
  <c r="C1174" i="2"/>
  <c r="B1174" i="2"/>
  <c r="Q1173" i="2"/>
  <c r="F1173" i="2"/>
  <c r="E1173" i="2"/>
  <c r="D1173" i="2"/>
  <c r="C1173" i="2"/>
  <c r="B1173" i="2"/>
  <c r="Q1172" i="2"/>
  <c r="F1172" i="2"/>
  <c r="E1172" i="2"/>
  <c r="D1172" i="2"/>
  <c r="C1172" i="2"/>
  <c r="B1172" i="2"/>
  <c r="Q1171" i="2"/>
  <c r="F1171" i="2"/>
  <c r="E1171" i="2"/>
  <c r="D1171" i="2"/>
  <c r="C1171" i="2"/>
  <c r="B1171" i="2"/>
  <c r="Q1170" i="2"/>
  <c r="F1170" i="2"/>
  <c r="E1170" i="2"/>
  <c r="D1170" i="2"/>
  <c r="C1170" i="2"/>
  <c r="B1170" i="2"/>
  <c r="Q1169" i="2"/>
  <c r="F1169" i="2"/>
  <c r="E1169" i="2"/>
  <c r="D1169" i="2"/>
  <c r="C1169" i="2"/>
  <c r="B1169" i="2"/>
  <c r="Q1168" i="2"/>
  <c r="F1168" i="2"/>
  <c r="E1168" i="2"/>
  <c r="D1168" i="2"/>
  <c r="C1168" i="2"/>
  <c r="B1168" i="2"/>
  <c r="Q1167" i="2"/>
  <c r="F1167" i="2"/>
  <c r="E1167" i="2"/>
  <c r="D1167" i="2"/>
  <c r="C1167" i="2"/>
  <c r="B1167" i="2"/>
  <c r="Q1166" i="2"/>
  <c r="F1166" i="2"/>
  <c r="E1166" i="2"/>
  <c r="D1166" i="2"/>
  <c r="C1166" i="2"/>
  <c r="B1166" i="2"/>
  <c r="Q1165" i="2"/>
  <c r="F1165" i="2"/>
  <c r="E1165" i="2"/>
  <c r="D1165" i="2"/>
  <c r="C1165" i="2"/>
  <c r="B1165" i="2"/>
  <c r="Q1164" i="2"/>
  <c r="F1164" i="2"/>
  <c r="E1164" i="2"/>
  <c r="D1164" i="2"/>
  <c r="C1164" i="2"/>
  <c r="B1164" i="2"/>
  <c r="Q1163" i="2"/>
  <c r="F1163" i="2"/>
  <c r="E1163" i="2"/>
  <c r="D1163" i="2"/>
  <c r="C1163" i="2"/>
  <c r="B1163" i="2"/>
  <c r="Q1162" i="2"/>
  <c r="F1162" i="2"/>
  <c r="E1162" i="2"/>
  <c r="D1162" i="2"/>
  <c r="C1162" i="2"/>
  <c r="B1162" i="2"/>
  <c r="Q1161" i="2"/>
  <c r="F1161" i="2"/>
  <c r="E1161" i="2"/>
  <c r="D1161" i="2"/>
  <c r="C1161" i="2"/>
  <c r="B1161" i="2"/>
  <c r="Q1160" i="2"/>
  <c r="F1160" i="2"/>
  <c r="E1160" i="2"/>
  <c r="D1160" i="2"/>
  <c r="C1160" i="2"/>
  <c r="B1160" i="2"/>
  <c r="Q1159" i="2"/>
  <c r="F1159" i="2"/>
  <c r="E1159" i="2"/>
  <c r="D1159" i="2"/>
  <c r="C1159" i="2"/>
  <c r="B1159" i="2"/>
  <c r="Q1158" i="2"/>
  <c r="F1158" i="2"/>
  <c r="E1158" i="2"/>
  <c r="D1158" i="2"/>
  <c r="C1158" i="2"/>
  <c r="B1158" i="2"/>
  <c r="Q1157" i="2"/>
  <c r="F1157" i="2"/>
  <c r="E1157" i="2"/>
  <c r="D1157" i="2"/>
  <c r="C1157" i="2"/>
  <c r="B1157" i="2"/>
  <c r="Q1156" i="2"/>
  <c r="F1156" i="2"/>
  <c r="E1156" i="2"/>
  <c r="D1156" i="2"/>
  <c r="C1156" i="2"/>
  <c r="B1156" i="2"/>
  <c r="Q1155" i="2"/>
  <c r="F1155" i="2"/>
  <c r="E1155" i="2"/>
  <c r="D1155" i="2"/>
  <c r="C1155" i="2"/>
  <c r="B1155" i="2"/>
  <c r="Q1154" i="2"/>
  <c r="F1154" i="2"/>
  <c r="E1154" i="2"/>
  <c r="D1154" i="2"/>
  <c r="C1154" i="2"/>
  <c r="B1154" i="2"/>
  <c r="Q1153" i="2"/>
  <c r="F1153" i="2"/>
  <c r="E1153" i="2"/>
  <c r="D1153" i="2"/>
  <c r="C1153" i="2"/>
  <c r="B1153" i="2"/>
  <c r="Q1152" i="2"/>
  <c r="F1152" i="2"/>
  <c r="E1152" i="2"/>
  <c r="D1152" i="2"/>
  <c r="C1152" i="2"/>
  <c r="B1152" i="2"/>
  <c r="Q1151" i="2"/>
  <c r="F1151" i="2"/>
  <c r="E1151" i="2"/>
  <c r="D1151" i="2"/>
  <c r="C1151" i="2"/>
  <c r="B1151" i="2"/>
  <c r="Q1150" i="2"/>
  <c r="F1150" i="2"/>
  <c r="E1150" i="2"/>
  <c r="D1150" i="2"/>
  <c r="C1150" i="2"/>
  <c r="B1150" i="2"/>
  <c r="Q1149" i="2"/>
  <c r="F1149" i="2"/>
  <c r="E1149" i="2"/>
  <c r="D1149" i="2"/>
  <c r="C1149" i="2"/>
  <c r="B1149" i="2"/>
  <c r="Q1148" i="2"/>
  <c r="F1148" i="2"/>
  <c r="E1148" i="2"/>
  <c r="D1148" i="2"/>
  <c r="C1148" i="2"/>
  <c r="B1148" i="2"/>
  <c r="Q1147" i="2"/>
  <c r="F1147" i="2"/>
  <c r="E1147" i="2"/>
  <c r="D1147" i="2"/>
  <c r="C1147" i="2"/>
  <c r="B1147" i="2"/>
  <c r="Q1146" i="2"/>
  <c r="F1146" i="2"/>
  <c r="E1146" i="2"/>
  <c r="D1146" i="2"/>
  <c r="C1146" i="2"/>
  <c r="B1146" i="2"/>
  <c r="Q1145" i="2"/>
  <c r="F1145" i="2"/>
  <c r="E1145" i="2"/>
  <c r="D1145" i="2"/>
  <c r="C1145" i="2"/>
  <c r="B1145" i="2"/>
  <c r="Q1144" i="2"/>
  <c r="F1144" i="2"/>
  <c r="E1144" i="2"/>
  <c r="D1144" i="2"/>
  <c r="C1144" i="2"/>
  <c r="B1144" i="2"/>
  <c r="Q1143" i="2"/>
  <c r="F1143" i="2"/>
  <c r="E1143" i="2"/>
  <c r="D1143" i="2"/>
  <c r="C1143" i="2"/>
  <c r="B1143" i="2"/>
  <c r="Q1142" i="2"/>
  <c r="F1142" i="2"/>
  <c r="E1142" i="2"/>
  <c r="D1142" i="2"/>
  <c r="C1142" i="2"/>
  <c r="B1142" i="2"/>
  <c r="Q1141" i="2"/>
  <c r="F1141" i="2"/>
  <c r="E1141" i="2"/>
  <c r="D1141" i="2"/>
  <c r="C1141" i="2"/>
  <c r="B1141" i="2"/>
  <c r="Q1140" i="2"/>
  <c r="F1140" i="2"/>
  <c r="E1140" i="2"/>
  <c r="D1140" i="2"/>
  <c r="C1140" i="2"/>
  <c r="B1140" i="2"/>
  <c r="Q1139" i="2"/>
  <c r="F1139" i="2"/>
  <c r="E1139" i="2"/>
  <c r="D1139" i="2"/>
  <c r="C1139" i="2"/>
  <c r="B1139" i="2"/>
  <c r="Q1138" i="2"/>
  <c r="F1138" i="2"/>
  <c r="E1138" i="2"/>
  <c r="D1138" i="2"/>
  <c r="C1138" i="2"/>
  <c r="B1138" i="2"/>
  <c r="Q1137" i="2"/>
  <c r="F1137" i="2"/>
  <c r="E1137" i="2"/>
  <c r="D1137" i="2"/>
  <c r="C1137" i="2"/>
  <c r="B1137" i="2"/>
  <c r="Q1136" i="2"/>
  <c r="F1136" i="2"/>
  <c r="E1136" i="2"/>
  <c r="D1136" i="2"/>
  <c r="C1136" i="2"/>
  <c r="B1136" i="2"/>
  <c r="Q1135" i="2"/>
  <c r="F1135" i="2"/>
  <c r="E1135" i="2"/>
  <c r="D1135" i="2"/>
  <c r="C1135" i="2"/>
  <c r="B1135" i="2"/>
  <c r="Q1134" i="2"/>
  <c r="F1134" i="2"/>
  <c r="E1134" i="2"/>
  <c r="D1134" i="2"/>
  <c r="C1134" i="2"/>
  <c r="B1134" i="2"/>
  <c r="Q1133" i="2"/>
  <c r="F1133" i="2"/>
  <c r="E1133" i="2"/>
  <c r="D1133" i="2"/>
  <c r="C1133" i="2"/>
  <c r="B1133" i="2"/>
  <c r="Q1132" i="2"/>
  <c r="F1132" i="2"/>
  <c r="E1132" i="2"/>
  <c r="D1132" i="2"/>
  <c r="C1132" i="2"/>
  <c r="B1132" i="2"/>
  <c r="Q1131" i="2"/>
  <c r="F1131" i="2"/>
  <c r="E1131" i="2"/>
  <c r="D1131" i="2"/>
  <c r="C1131" i="2"/>
  <c r="B1131" i="2"/>
  <c r="Q1130" i="2"/>
  <c r="F1130" i="2"/>
  <c r="E1130" i="2"/>
  <c r="D1130" i="2"/>
  <c r="C1130" i="2"/>
  <c r="B1130" i="2"/>
  <c r="Q1129" i="2"/>
  <c r="F1129" i="2"/>
  <c r="E1129" i="2"/>
  <c r="D1129" i="2"/>
  <c r="C1129" i="2"/>
  <c r="B1129" i="2"/>
  <c r="Q1128" i="2"/>
  <c r="F1128" i="2"/>
  <c r="E1128" i="2"/>
  <c r="D1128" i="2"/>
  <c r="C1128" i="2"/>
  <c r="B1128" i="2"/>
  <c r="Q1127" i="2"/>
  <c r="F1127" i="2"/>
  <c r="E1127" i="2"/>
  <c r="D1127" i="2"/>
  <c r="C1127" i="2"/>
  <c r="B1127" i="2"/>
  <c r="Q1126" i="2"/>
  <c r="F1126" i="2"/>
  <c r="E1126" i="2"/>
  <c r="D1126" i="2"/>
  <c r="C1126" i="2"/>
  <c r="B1126" i="2"/>
  <c r="Q1125" i="2"/>
  <c r="F1125" i="2"/>
  <c r="E1125" i="2"/>
  <c r="D1125" i="2"/>
  <c r="C1125" i="2"/>
  <c r="B1125" i="2"/>
  <c r="Q1124" i="2"/>
  <c r="F1124" i="2"/>
  <c r="E1124" i="2"/>
  <c r="D1124" i="2"/>
  <c r="C1124" i="2"/>
  <c r="B1124" i="2"/>
  <c r="Q1123" i="2"/>
  <c r="F1123" i="2"/>
  <c r="E1123" i="2"/>
  <c r="D1123" i="2"/>
  <c r="C1123" i="2"/>
  <c r="B1123" i="2"/>
  <c r="Q1122" i="2"/>
  <c r="F1122" i="2"/>
  <c r="E1122" i="2"/>
  <c r="D1122" i="2"/>
  <c r="C1122" i="2"/>
  <c r="B1122" i="2"/>
  <c r="Q1121" i="2"/>
  <c r="F1121" i="2"/>
  <c r="E1121" i="2"/>
  <c r="D1121" i="2"/>
  <c r="C1121" i="2"/>
  <c r="B1121" i="2"/>
  <c r="Q1120" i="2"/>
  <c r="F1120" i="2"/>
  <c r="E1120" i="2"/>
  <c r="D1120" i="2"/>
  <c r="C1120" i="2"/>
  <c r="B1120" i="2"/>
  <c r="Q1119" i="2"/>
  <c r="F1119" i="2"/>
  <c r="E1119" i="2"/>
  <c r="D1119" i="2"/>
  <c r="C1119" i="2"/>
  <c r="B1119" i="2"/>
  <c r="Q1118" i="2"/>
  <c r="F1118" i="2"/>
  <c r="E1118" i="2"/>
  <c r="D1118" i="2"/>
  <c r="C1118" i="2"/>
  <c r="B1118" i="2"/>
  <c r="Q1117" i="2"/>
  <c r="F1117" i="2"/>
  <c r="E1117" i="2"/>
  <c r="D1117" i="2"/>
  <c r="C1117" i="2"/>
  <c r="B1117" i="2"/>
  <c r="Q1116" i="2"/>
  <c r="F1116" i="2"/>
  <c r="E1116" i="2"/>
  <c r="D1116" i="2"/>
  <c r="C1116" i="2"/>
  <c r="B1116" i="2"/>
  <c r="Q1115" i="2"/>
  <c r="F1115" i="2"/>
  <c r="E1115" i="2"/>
  <c r="D1115" i="2"/>
  <c r="C1115" i="2"/>
  <c r="B1115" i="2"/>
  <c r="Q1114" i="2"/>
  <c r="F1114" i="2"/>
  <c r="E1114" i="2"/>
  <c r="D1114" i="2"/>
  <c r="C1114" i="2"/>
  <c r="B1114" i="2"/>
  <c r="Q1113" i="2"/>
  <c r="F1113" i="2"/>
  <c r="E1113" i="2"/>
  <c r="D1113" i="2"/>
  <c r="C1113" i="2"/>
  <c r="B1113" i="2"/>
  <c r="Q1112" i="2"/>
  <c r="F1112" i="2"/>
  <c r="E1112" i="2"/>
  <c r="D1112" i="2"/>
  <c r="C1112" i="2"/>
  <c r="B1112" i="2"/>
  <c r="Q1111" i="2"/>
  <c r="F1111" i="2"/>
  <c r="E1111" i="2"/>
  <c r="D1111" i="2"/>
  <c r="C1111" i="2"/>
  <c r="B1111" i="2"/>
  <c r="Q1110" i="2"/>
  <c r="F1110" i="2"/>
  <c r="E1110" i="2"/>
  <c r="D1110" i="2"/>
  <c r="C1110" i="2"/>
  <c r="B1110" i="2"/>
  <c r="Q1109" i="2"/>
  <c r="F1109" i="2"/>
  <c r="E1109" i="2"/>
  <c r="D1109" i="2"/>
  <c r="C1109" i="2"/>
  <c r="B1109" i="2"/>
  <c r="Q1108" i="2"/>
  <c r="F1108" i="2"/>
  <c r="E1108" i="2"/>
  <c r="D1108" i="2"/>
  <c r="C1108" i="2"/>
  <c r="B1108" i="2"/>
  <c r="Q1107" i="2"/>
  <c r="F1107" i="2"/>
  <c r="E1107" i="2"/>
  <c r="D1107" i="2"/>
  <c r="C1107" i="2"/>
  <c r="B1107" i="2"/>
  <c r="Q1106" i="2"/>
  <c r="F1106" i="2"/>
  <c r="E1106" i="2"/>
  <c r="D1106" i="2"/>
  <c r="C1106" i="2"/>
  <c r="B1106" i="2"/>
  <c r="Q1105" i="2"/>
  <c r="F1105" i="2"/>
  <c r="E1105" i="2"/>
  <c r="D1105" i="2"/>
  <c r="C1105" i="2"/>
  <c r="B1105" i="2"/>
  <c r="Q1104" i="2"/>
  <c r="F1104" i="2"/>
  <c r="E1104" i="2"/>
  <c r="D1104" i="2"/>
  <c r="C1104" i="2"/>
  <c r="B1104" i="2"/>
  <c r="Q1103" i="2"/>
  <c r="F1103" i="2"/>
  <c r="E1103" i="2"/>
  <c r="D1103" i="2"/>
  <c r="C1103" i="2"/>
  <c r="B1103" i="2"/>
  <c r="Q1102" i="2"/>
  <c r="F1102" i="2"/>
  <c r="E1102" i="2"/>
  <c r="D1102" i="2"/>
  <c r="C1102" i="2"/>
  <c r="B1102" i="2"/>
  <c r="Q1101" i="2"/>
  <c r="F1101" i="2"/>
  <c r="E1101" i="2"/>
  <c r="D1101" i="2"/>
  <c r="C1101" i="2"/>
  <c r="B1101" i="2"/>
  <c r="Q1100" i="2"/>
  <c r="F1100" i="2"/>
  <c r="E1100" i="2"/>
  <c r="D1100" i="2"/>
  <c r="C1100" i="2"/>
  <c r="B1100" i="2"/>
  <c r="Q1099" i="2"/>
  <c r="F1099" i="2"/>
  <c r="E1099" i="2"/>
  <c r="D1099" i="2"/>
  <c r="C1099" i="2"/>
  <c r="B1099" i="2"/>
  <c r="Q1098" i="2"/>
  <c r="F1098" i="2"/>
  <c r="E1098" i="2"/>
  <c r="D1098" i="2"/>
  <c r="C1098" i="2"/>
  <c r="B1098" i="2"/>
  <c r="Q1097" i="2"/>
  <c r="F1097" i="2"/>
  <c r="E1097" i="2"/>
  <c r="D1097" i="2"/>
  <c r="C1097" i="2"/>
  <c r="B1097" i="2"/>
  <c r="Q1096" i="2"/>
  <c r="F1096" i="2"/>
  <c r="E1096" i="2"/>
  <c r="D1096" i="2"/>
  <c r="C1096" i="2"/>
  <c r="B1096" i="2"/>
  <c r="Q1095" i="2"/>
  <c r="F1095" i="2"/>
  <c r="E1095" i="2"/>
  <c r="D1095" i="2"/>
  <c r="C1095" i="2"/>
  <c r="B1095" i="2"/>
  <c r="Q1094" i="2"/>
  <c r="F1094" i="2"/>
  <c r="E1094" i="2"/>
  <c r="D1094" i="2"/>
  <c r="C1094" i="2"/>
  <c r="B1094" i="2"/>
  <c r="Q1093" i="2"/>
  <c r="F1093" i="2"/>
  <c r="E1093" i="2"/>
  <c r="D1093" i="2"/>
  <c r="C1093" i="2"/>
  <c r="B1093" i="2"/>
  <c r="Q1092" i="2"/>
  <c r="F1092" i="2"/>
  <c r="E1092" i="2"/>
  <c r="D1092" i="2"/>
  <c r="C1092" i="2"/>
  <c r="B1092" i="2"/>
  <c r="Q1091" i="2"/>
  <c r="F1091" i="2"/>
  <c r="E1091" i="2"/>
  <c r="D1091" i="2"/>
  <c r="C1091" i="2"/>
  <c r="B1091" i="2"/>
  <c r="Q1090" i="2"/>
  <c r="F1090" i="2"/>
  <c r="E1090" i="2"/>
  <c r="D1090" i="2"/>
  <c r="C1090" i="2"/>
  <c r="B1090" i="2"/>
  <c r="Q1089" i="2"/>
  <c r="F1089" i="2"/>
  <c r="E1089" i="2"/>
  <c r="D1089" i="2"/>
  <c r="C1089" i="2"/>
  <c r="B1089" i="2"/>
  <c r="Q1088" i="2"/>
  <c r="F1088" i="2"/>
  <c r="E1088" i="2"/>
  <c r="D1088" i="2"/>
  <c r="C1088" i="2"/>
  <c r="B1088" i="2"/>
  <c r="Q1087" i="2"/>
  <c r="F1087" i="2"/>
  <c r="E1087" i="2"/>
  <c r="D1087" i="2"/>
  <c r="C1087" i="2"/>
  <c r="B1087" i="2"/>
  <c r="Q1086" i="2"/>
  <c r="F1086" i="2"/>
  <c r="E1086" i="2"/>
  <c r="D1086" i="2"/>
  <c r="C1086" i="2"/>
  <c r="B1086" i="2"/>
  <c r="Q1085" i="2"/>
  <c r="F1085" i="2"/>
  <c r="E1085" i="2"/>
  <c r="D1085" i="2"/>
  <c r="C1085" i="2"/>
  <c r="B1085" i="2"/>
  <c r="Q1084" i="2"/>
  <c r="F1084" i="2"/>
  <c r="E1084" i="2"/>
  <c r="D1084" i="2"/>
  <c r="C1084" i="2"/>
  <c r="B1084" i="2"/>
  <c r="Q1083" i="2"/>
  <c r="F1083" i="2"/>
  <c r="E1083" i="2"/>
  <c r="D1083" i="2"/>
  <c r="C1083" i="2"/>
  <c r="B1083" i="2"/>
  <c r="Q1082" i="2"/>
  <c r="F1082" i="2"/>
  <c r="E1082" i="2"/>
  <c r="D1082" i="2"/>
  <c r="C1082" i="2"/>
  <c r="B1082" i="2"/>
  <c r="Q1081" i="2"/>
  <c r="F1081" i="2"/>
  <c r="E1081" i="2"/>
  <c r="D1081" i="2"/>
  <c r="C1081" i="2"/>
  <c r="B1081" i="2"/>
  <c r="Q1080" i="2"/>
  <c r="F1080" i="2"/>
  <c r="E1080" i="2"/>
  <c r="D1080" i="2"/>
  <c r="C1080" i="2"/>
  <c r="B1080" i="2"/>
  <c r="Q1079" i="2"/>
  <c r="F1079" i="2"/>
  <c r="E1079" i="2"/>
  <c r="D1079" i="2"/>
  <c r="C1079" i="2"/>
  <c r="B1079" i="2"/>
  <c r="Q1078" i="2"/>
  <c r="F1078" i="2"/>
  <c r="E1078" i="2"/>
  <c r="D1078" i="2"/>
  <c r="C1078" i="2"/>
  <c r="B1078" i="2"/>
  <c r="Q1077" i="2"/>
  <c r="F1077" i="2"/>
  <c r="E1077" i="2"/>
  <c r="D1077" i="2"/>
  <c r="C1077" i="2"/>
  <c r="B1077" i="2"/>
  <c r="Q1076" i="2"/>
  <c r="F1076" i="2"/>
  <c r="E1076" i="2"/>
  <c r="D1076" i="2"/>
  <c r="C1076" i="2"/>
  <c r="B1076" i="2"/>
  <c r="Q1075" i="2"/>
  <c r="F1075" i="2"/>
  <c r="E1075" i="2"/>
  <c r="D1075" i="2"/>
  <c r="C1075" i="2"/>
  <c r="B1075" i="2"/>
  <c r="Q1074" i="2"/>
  <c r="F1074" i="2"/>
  <c r="E1074" i="2"/>
  <c r="D1074" i="2"/>
  <c r="C1074" i="2"/>
  <c r="B1074" i="2"/>
  <c r="Q1073" i="2"/>
  <c r="F1073" i="2"/>
  <c r="E1073" i="2"/>
  <c r="D1073" i="2"/>
  <c r="C1073" i="2"/>
  <c r="B1073" i="2"/>
  <c r="Q1072" i="2"/>
  <c r="F1072" i="2"/>
  <c r="E1072" i="2"/>
  <c r="D1072" i="2"/>
  <c r="C1072" i="2"/>
  <c r="B1072" i="2"/>
  <c r="Q1071" i="2"/>
  <c r="F1071" i="2"/>
  <c r="E1071" i="2"/>
  <c r="D1071" i="2"/>
  <c r="C1071" i="2"/>
  <c r="B1071" i="2"/>
  <c r="Q1070" i="2"/>
  <c r="F1070" i="2"/>
  <c r="E1070" i="2"/>
  <c r="D1070" i="2"/>
  <c r="C1070" i="2"/>
  <c r="B1070" i="2"/>
  <c r="Q1069" i="2"/>
  <c r="F1069" i="2"/>
  <c r="E1069" i="2"/>
  <c r="D1069" i="2"/>
  <c r="C1069" i="2"/>
  <c r="B1069" i="2"/>
  <c r="Q1068" i="2"/>
  <c r="F1068" i="2"/>
  <c r="E1068" i="2"/>
  <c r="D1068" i="2"/>
  <c r="C1068" i="2"/>
  <c r="B1068" i="2"/>
  <c r="Q1067" i="2"/>
  <c r="F1067" i="2"/>
  <c r="E1067" i="2"/>
  <c r="D1067" i="2"/>
  <c r="C1067" i="2"/>
  <c r="B1067" i="2"/>
  <c r="Q1066" i="2"/>
  <c r="F1066" i="2"/>
  <c r="E1066" i="2"/>
  <c r="D1066" i="2"/>
  <c r="C1066" i="2"/>
  <c r="B1066" i="2"/>
  <c r="Q1065" i="2"/>
  <c r="F1065" i="2"/>
  <c r="E1065" i="2"/>
  <c r="D1065" i="2"/>
  <c r="C1065" i="2"/>
  <c r="B1065" i="2"/>
  <c r="Q1064" i="2"/>
  <c r="F1064" i="2"/>
  <c r="E1064" i="2"/>
  <c r="D1064" i="2"/>
  <c r="C1064" i="2"/>
  <c r="B1064" i="2"/>
  <c r="Q1063" i="2"/>
  <c r="F1063" i="2"/>
  <c r="E1063" i="2"/>
  <c r="D1063" i="2"/>
  <c r="C1063" i="2"/>
  <c r="B1063" i="2"/>
  <c r="Q1062" i="2"/>
  <c r="F1062" i="2"/>
  <c r="E1062" i="2"/>
  <c r="D1062" i="2"/>
  <c r="C1062" i="2"/>
  <c r="B1062" i="2"/>
  <c r="Q1061" i="2"/>
  <c r="F1061" i="2"/>
  <c r="E1061" i="2"/>
  <c r="D1061" i="2"/>
  <c r="C1061" i="2"/>
  <c r="B1061" i="2"/>
  <c r="Q1060" i="2"/>
  <c r="F1060" i="2"/>
  <c r="E1060" i="2"/>
  <c r="D1060" i="2"/>
  <c r="C1060" i="2"/>
  <c r="B1060" i="2"/>
  <c r="Q1059" i="2"/>
  <c r="F1059" i="2"/>
  <c r="E1059" i="2"/>
  <c r="D1059" i="2"/>
  <c r="C1059" i="2"/>
  <c r="B1059" i="2"/>
  <c r="Q1058" i="2"/>
  <c r="F1058" i="2"/>
  <c r="E1058" i="2"/>
  <c r="D1058" i="2"/>
  <c r="C1058" i="2"/>
  <c r="B1058" i="2"/>
  <c r="Q1057" i="2"/>
  <c r="F1057" i="2"/>
  <c r="E1057" i="2"/>
  <c r="D1057" i="2"/>
  <c r="C1057" i="2"/>
  <c r="B1057" i="2"/>
  <c r="Q1056" i="2"/>
  <c r="F1056" i="2"/>
  <c r="E1056" i="2"/>
  <c r="D1056" i="2"/>
  <c r="C1056" i="2"/>
  <c r="B1056" i="2"/>
  <c r="Q1055" i="2"/>
  <c r="F1055" i="2"/>
  <c r="E1055" i="2"/>
  <c r="D1055" i="2"/>
  <c r="C1055" i="2"/>
  <c r="B1055" i="2"/>
  <c r="Q1054" i="2"/>
  <c r="F1054" i="2"/>
  <c r="E1054" i="2"/>
  <c r="D1054" i="2"/>
  <c r="C1054" i="2"/>
  <c r="B1054" i="2"/>
  <c r="Q1053" i="2"/>
  <c r="F1053" i="2"/>
  <c r="E1053" i="2"/>
  <c r="D1053" i="2"/>
  <c r="C1053" i="2"/>
  <c r="B1053" i="2"/>
  <c r="Q1052" i="2"/>
  <c r="F1052" i="2"/>
  <c r="E1052" i="2"/>
  <c r="D1052" i="2"/>
  <c r="C1052" i="2"/>
  <c r="B1052" i="2"/>
  <c r="Q1051" i="2"/>
  <c r="F1051" i="2"/>
  <c r="E1051" i="2"/>
  <c r="D1051" i="2"/>
  <c r="C1051" i="2"/>
  <c r="B1051" i="2"/>
  <c r="Q1050" i="2"/>
  <c r="F1050" i="2"/>
  <c r="E1050" i="2"/>
  <c r="D1050" i="2"/>
  <c r="C1050" i="2"/>
  <c r="B1050" i="2"/>
  <c r="Q1049" i="2"/>
  <c r="F1049" i="2"/>
  <c r="E1049" i="2"/>
  <c r="D1049" i="2"/>
  <c r="C1049" i="2"/>
  <c r="B1049" i="2"/>
  <c r="Q1048" i="2"/>
  <c r="F1048" i="2"/>
  <c r="E1048" i="2"/>
  <c r="D1048" i="2"/>
  <c r="C1048" i="2"/>
  <c r="B1048" i="2"/>
  <c r="Q1047" i="2"/>
  <c r="F1047" i="2"/>
  <c r="E1047" i="2"/>
  <c r="D1047" i="2"/>
  <c r="C1047" i="2"/>
  <c r="B1047" i="2"/>
  <c r="Q1046" i="2"/>
  <c r="F1046" i="2"/>
  <c r="E1046" i="2"/>
  <c r="D1046" i="2"/>
  <c r="C1046" i="2"/>
  <c r="B1046" i="2"/>
  <c r="Q1045" i="2"/>
  <c r="F1045" i="2"/>
  <c r="E1045" i="2"/>
  <c r="D1045" i="2"/>
  <c r="C1045" i="2"/>
  <c r="B1045" i="2"/>
  <c r="Q1044" i="2"/>
  <c r="F1044" i="2"/>
  <c r="E1044" i="2"/>
  <c r="D1044" i="2"/>
  <c r="C1044" i="2"/>
  <c r="B1044" i="2"/>
  <c r="Q1043" i="2"/>
  <c r="F1043" i="2"/>
  <c r="E1043" i="2"/>
  <c r="D1043" i="2"/>
  <c r="C1043" i="2"/>
  <c r="B1043" i="2"/>
  <c r="Q1042" i="2"/>
  <c r="F1042" i="2"/>
  <c r="E1042" i="2"/>
  <c r="D1042" i="2"/>
  <c r="C1042" i="2"/>
  <c r="B1042" i="2"/>
  <c r="Q1041" i="2"/>
  <c r="F1041" i="2"/>
  <c r="E1041" i="2"/>
  <c r="D1041" i="2"/>
  <c r="C1041" i="2"/>
  <c r="B1041" i="2"/>
  <c r="Q1040" i="2"/>
  <c r="F1040" i="2"/>
  <c r="E1040" i="2"/>
  <c r="D1040" i="2"/>
  <c r="C1040" i="2"/>
  <c r="B1040" i="2"/>
  <c r="Q1039" i="2"/>
  <c r="F1039" i="2"/>
  <c r="E1039" i="2"/>
  <c r="D1039" i="2"/>
  <c r="C1039" i="2"/>
  <c r="B1039" i="2"/>
  <c r="Q1038" i="2"/>
  <c r="F1038" i="2"/>
  <c r="E1038" i="2"/>
  <c r="D1038" i="2"/>
  <c r="C1038" i="2"/>
  <c r="B1038" i="2"/>
  <c r="Q1037" i="2"/>
  <c r="F1037" i="2"/>
  <c r="E1037" i="2"/>
  <c r="D1037" i="2"/>
  <c r="C1037" i="2"/>
  <c r="B1037" i="2"/>
  <c r="Q1036" i="2"/>
  <c r="F1036" i="2"/>
  <c r="E1036" i="2"/>
  <c r="D1036" i="2"/>
  <c r="C1036" i="2"/>
  <c r="B1036" i="2"/>
  <c r="Q1035" i="2"/>
  <c r="F1035" i="2"/>
  <c r="E1035" i="2"/>
  <c r="D1035" i="2"/>
  <c r="C1035" i="2"/>
  <c r="B1035" i="2"/>
  <c r="Q1034" i="2"/>
  <c r="F1034" i="2"/>
  <c r="E1034" i="2"/>
  <c r="D1034" i="2"/>
  <c r="C1034" i="2"/>
  <c r="B1034" i="2"/>
  <c r="Q1033" i="2"/>
  <c r="F1033" i="2"/>
  <c r="E1033" i="2"/>
  <c r="D1033" i="2"/>
  <c r="C1033" i="2"/>
  <c r="B1033" i="2"/>
  <c r="Q1032" i="2"/>
  <c r="F1032" i="2"/>
  <c r="E1032" i="2"/>
  <c r="D1032" i="2"/>
  <c r="C1032" i="2"/>
  <c r="B1032" i="2"/>
  <c r="Q1031" i="2"/>
  <c r="F1031" i="2"/>
  <c r="E1031" i="2"/>
  <c r="D1031" i="2"/>
  <c r="C1031" i="2"/>
  <c r="B1031" i="2"/>
  <c r="Q1030" i="2"/>
  <c r="F1030" i="2"/>
  <c r="E1030" i="2"/>
  <c r="D1030" i="2"/>
  <c r="C1030" i="2"/>
  <c r="B1030" i="2"/>
  <c r="Q1029" i="2"/>
  <c r="F1029" i="2"/>
  <c r="E1029" i="2"/>
  <c r="D1029" i="2"/>
  <c r="C1029" i="2"/>
  <c r="B1029" i="2"/>
  <c r="Q1028" i="2"/>
  <c r="F1028" i="2"/>
  <c r="E1028" i="2"/>
  <c r="D1028" i="2"/>
  <c r="C1028" i="2"/>
  <c r="B1028" i="2"/>
  <c r="Q1027" i="2"/>
  <c r="F1027" i="2"/>
  <c r="E1027" i="2"/>
  <c r="D1027" i="2"/>
  <c r="C1027" i="2"/>
  <c r="B1027" i="2"/>
  <c r="Q1026" i="2"/>
  <c r="F1026" i="2"/>
  <c r="E1026" i="2"/>
  <c r="D1026" i="2"/>
  <c r="C1026" i="2"/>
  <c r="B1026" i="2"/>
  <c r="Q1025" i="2"/>
  <c r="F1025" i="2"/>
  <c r="E1025" i="2"/>
  <c r="D1025" i="2"/>
  <c r="C1025" i="2"/>
  <c r="B1025" i="2"/>
  <c r="Q1024" i="2"/>
  <c r="F1024" i="2"/>
  <c r="E1024" i="2"/>
  <c r="D1024" i="2"/>
  <c r="C1024" i="2"/>
  <c r="B1024" i="2"/>
  <c r="Q1023" i="2"/>
  <c r="F1023" i="2"/>
  <c r="E1023" i="2"/>
  <c r="D1023" i="2"/>
  <c r="C1023" i="2"/>
  <c r="B1023" i="2"/>
  <c r="Q1022" i="2"/>
  <c r="F1022" i="2"/>
  <c r="E1022" i="2"/>
  <c r="D1022" i="2"/>
  <c r="C1022" i="2"/>
  <c r="B1022" i="2"/>
  <c r="Q1021" i="2"/>
  <c r="F1021" i="2"/>
  <c r="E1021" i="2"/>
  <c r="D1021" i="2"/>
  <c r="C1021" i="2"/>
  <c r="B1021" i="2"/>
  <c r="Q1020" i="2"/>
  <c r="F1020" i="2"/>
  <c r="E1020" i="2"/>
  <c r="D1020" i="2"/>
  <c r="C1020" i="2"/>
  <c r="B1020" i="2"/>
  <c r="Q1019" i="2"/>
  <c r="F1019" i="2"/>
  <c r="E1019" i="2"/>
  <c r="D1019" i="2"/>
  <c r="C1019" i="2"/>
  <c r="B1019" i="2"/>
  <c r="Q1018" i="2"/>
  <c r="F1018" i="2"/>
  <c r="E1018" i="2"/>
  <c r="D1018" i="2"/>
  <c r="C1018" i="2"/>
  <c r="B1018" i="2"/>
  <c r="Q1017" i="2"/>
  <c r="F1017" i="2"/>
  <c r="E1017" i="2"/>
  <c r="D1017" i="2"/>
  <c r="C1017" i="2"/>
  <c r="B1017" i="2"/>
  <c r="Q1016" i="2"/>
  <c r="F1016" i="2"/>
  <c r="E1016" i="2"/>
  <c r="D1016" i="2"/>
  <c r="C1016" i="2"/>
  <c r="B1016" i="2"/>
  <c r="Q1015" i="2"/>
  <c r="F1015" i="2"/>
  <c r="E1015" i="2"/>
  <c r="D1015" i="2"/>
  <c r="C1015" i="2"/>
  <c r="B1015" i="2"/>
  <c r="Q1014" i="2"/>
  <c r="F1014" i="2"/>
  <c r="E1014" i="2"/>
  <c r="D1014" i="2"/>
  <c r="C1014" i="2"/>
  <c r="B1014" i="2"/>
  <c r="Q1013" i="2"/>
  <c r="F1013" i="2"/>
  <c r="E1013" i="2"/>
  <c r="D1013" i="2"/>
  <c r="C1013" i="2"/>
  <c r="B1013" i="2"/>
  <c r="Q1012" i="2"/>
  <c r="F1012" i="2"/>
  <c r="E1012" i="2"/>
  <c r="D1012" i="2"/>
  <c r="C1012" i="2"/>
  <c r="B1012" i="2"/>
  <c r="Q1011" i="2"/>
  <c r="F1011" i="2"/>
  <c r="E1011" i="2"/>
  <c r="D1011" i="2"/>
  <c r="C1011" i="2"/>
  <c r="B1011" i="2"/>
  <c r="Q1010" i="2"/>
  <c r="F1010" i="2"/>
  <c r="E1010" i="2"/>
  <c r="D1010" i="2"/>
  <c r="C1010" i="2"/>
  <c r="B1010" i="2"/>
  <c r="Q1009" i="2"/>
  <c r="F1009" i="2"/>
  <c r="E1009" i="2"/>
  <c r="D1009" i="2"/>
  <c r="C1009" i="2"/>
  <c r="B1009" i="2"/>
  <c r="Q1008" i="2"/>
  <c r="F1008" i="2"/>
  <c r="E1008" i="2"/>
  <c r="D1008" i="2"/>
  <c r="C1008" i="2"/>
  <c r="B1008" i="2"/>
  <c r="Q1007" i="2"/>
  <c r="F1007" i="2"/>
  <c r="E1007" i="2"/>
  <c r="D1007" i="2"/>
  <c r="C1007" i="2"/>
  <c r="B1007" i="2"/>
  <c r="Q1006" i="2"/>
  <c r="F1006" i="2"/>
  <c r="E1006" i="2"/>
  <c r="D1006" i="2"/>
  <c r="C1006" i="2"/>
  <c r="B1006" i="2"/>
  <c r="Q1005" i="2"/>
  <c r="F1005" i="2"/>
  <c r="E1005" i="2"/>
  <c r="D1005" i="2"/>
  <c r="C1005" i="2"/>
  <c r="B1005" i="2"/>
  <c r="Q1004" i="2"/>
  <c r="F1004" i="2"/>
  <c r="E1004" i="2"/>
  <c r="D1004" i="2"/>
  <c r="C1004" i="2"/>
  <c r="B1004" i="2"/>
  <c r="Q1003" i="2"/>
  <c r="F1003" i="2"/>
  <c r="E1003" i="2"/>
  <c r="D1003" i="2"/>
  <c r="C1003" i="2"/>
  <c r="B1003" i="2"/>
  <c r="Q1002" i="2"/>
  <c r="F1002" i="2"/>
  <c r="E1002" i="2"/>
  <c r="D1002" i="2"/>
  <c r="C1002" i="2"/>
  <c r="B1002" i="2"/>
  <c r="Q1001" i="2"/>
  <c r="F1001" i="2"/>
  <c r="E1001" i="2"/>
  <c r="D1001" i="2"/>
  <c r="C1001" i="2"/>
  <c r="B1001" i="2"/>
  <c r="Q1000" i="2"/>
  <c r="F1000" i="2"/>
  <c r="E1000" i="2"/>
  <c r="D1000" i="2"/>
  <c r="C1000" i="2"/>
  <c r="B1000" i="2"/>
  <c r="Q999" i="2"/>
  <c r="F999" i="2"/>
  <c r="E999" i="2"/>
  <c r="D999" i="2"/>
  <c r="C999" i="2"/>
  <c r="B999" i="2"/>
  <c r="Q998" i="2"/>
  <c r="F998" i="2"/>
  <c r="E998" i="2"/>
  <c r="D998" i="2"/>
  <c r="C998" i="2"/>
  <c r="B998" i="2"/>
  <c r="Q997" i="2"/>
  <c r="F997" i="2"/>
  <c r="E997" i="2"/>
  <c r="D997" i="2"/>
  <c r="C997" i="2"/>
  <c r="B997" i="2"/>
  <c r="Q996" i="2"/>
  <c r="F996" i="2"/>
  <c r="E996" i="2"/>
  <c r="D996" i="2"/>
  <c r="C996" i="2"/>
  <c r="B996" i="2"/>
  <c r="Q995" i="2"/>
  <c r="F995" i="2"/>
  <c r="E995" i="2"/>
  <c r="D995" i="2"/>
  <c r="C995" i="2"/>
  <c r="B995" i="2"/>
  <c r="Q994" i="2"/>
  <c r="F994" i="2"/>
  <c r="E994" i="2"/>
  <c r="D994" i="2"/>
  <c r="C994" i="2"/>
  <c r="B994" i="2"/>
  <c r="Q993" i="2"/>
  <c r="F993" i="2"/>
  <c r="E993" i="2"/>
  <c r="D993" i="2"/>
  <c r="C993" i="2"/>
  <c r="B993" i="2"/>
  <c r="Q992" i="2"/>
  <c r="F992" i="2"/>
  <c r="E992" i="2"/>
  <c r="D992" i="2"/>
  <c r="C992" i="2"/>
  <c r="B992" i="2"/>
  <c r="Q991" i="2"/>
  <c r="F991" i="2"/>
  <c r="E991" i="2"/>
  <c r="D991" i="2"/>
  <c r="C991" i="2"/>
  <c r="B991" i="2"/>
  <c r="Q990" i="2"/>
  <c r="F990" i="2"/>
  <c r="E990" i="2"/>
  <c r="D990" i="2"/>
  <c r="C990" i="2"/>
  <c r="B990" i="2"/>
  <c r="Q989" i="2"/>
  <c r="F989" i="2"/>
  <c r="E989" i="2"/>
  <c r="D989" i="2"/>
  <c r="C989" i="2"/>
  <c r="B989" i="2"/>
  <c r="Q988" i="2"/>
  <c r="F988" i="2"/>
  <c r="E988" i="2"/>
  <c r="D988" i="2"/>
  <c r="C988" i="2"/>
  <c r="B988" i="2"/>
  <c r="Q987" i="2"/>
  <c r="F987" i="2"/>
  <c r="E987" i="2"/>
  <c r="D987" i="2"/>
  <c r="C987" i="2"/>
  <c r="B987" i="2"/>
  <c r="Q986" i="2"/>
  <c r="F986" i="2"/>
  <c r="E986" i="2"/>
  <c r="D986" i="2"/>
  <c r="C986" i="2"/>
  <c r="B986" i="2"/>
  <c r="Q985" i="2"/>
  <c r="F985" i="2"/>
  <c r="E985" i="2"/>
  <c r="D985" i="2"/>
  <c r="C985" i="2"/>
  <c r="B985" i="2"/>
  <c r="Q984" i="2"/>
  <c r="F984" i="2"/>
  <c r="E984" i="2"/>
  <c r="D984" i="2"/>
  <c r="C984" i="2"/>
  <c r="B984" i="2"/>
  <c r="Q983" i="2"/>
  <c r="F983" i="2"/>
  <c r="E983" i="2"/>
  <c r="D983" i="2"/>
  <c r="C983" i="2"/>
  <c r="B983" i="2"/>
  <c r="Q982" i="2"/>
  <c r="F982" i="2"/>
  <c r="E982" i="2"/>
  <c r="D982" i="2"/>
  <c r="C982" i="2"/>
  <c r="B982" i="2"/>
  <c r="Q981" i="2"/>
  <c r="F981" i="2"/>
  <c r="E981" i="2"/>
  <c r="D981" i="2"/>
  <c r="C981" i="2"/>
  <c r="B981" i="2"/>
  <c r="Q980" i="2"/>
  <c r="F980" i="2"/>
  <c r="E980" i="2"/>
  <c r="D980" i="2"/>
  <c r="C980" i="2"/>
  <c r="B980" i="2"/>
  <c r="Q979" i="2"/>
  <c r="F979" i="2"/>
  <c r="E979" i="2"/>
  <c r="D979" i="2"/>
  <c r="C979" i="2"/>
  <c r="B979" i="2"/>
  <c r="Q978" i="2"/>
  <c r="F978" i="2"/>
  <c r="E978" i="2"/>
  <c r="D978" i="2"/>
  <c r="C978" i="2"/>
  <c r="B978" i="2"/>
  <c r="Q977" i="2"/>
  <c r="F977" i="2"/>
  <c r="E977" i="2"/>
  <c r="D977" i="2"/>
  <c r="C977" i="2"/>
  <c r="B977" i="2"/>
  <c r="Q976" i="2"/>
  <c r="F976" i="2"/>
  <c r="E976" i="2"/>
  <c r="D976" i="2"/>
  <c r="C976" i="2"/>
  <c r="B976" i="2"/>
  <c r="Q975" i="2"/>
  <c r="F975" i="2"/>
  <c r="E975" i="2"/>
  <c r="D975" i="2"/>
  <c r="C975" i="2"/>
  <c r="B975" i="2"/>
  <c r="Q974" i="2"/>
  <c r="F974" i="2"/>
  <c r="E974" i="2"/>
  <c r="D974" i="2"/>
  <c r="C974" i="2"/>
  <c r="B974" i="2"/>
  <c r="Q973" i="2"/>
  <c r="F973" i="2"/>
  <c r="E973" i="2"/>
  <c r="D973" i="2"/>
  <c r="C973" i="2"/>
  <c r="B973" i="2"/>
  <c r="Q972" i="2"/>
  <c r="F972" i="2"/>
  <c r="E972" i="2"/>
  <c r="D972" i="2"/>
  <c r="C972" i="2"/>
  <c r="B972" i="2"/>
  <c r="Q971" i="2"/>
  <c r="F971" i="2"/>
  <c r="E971" i="2"/>
  <c r="D971" i="2"/>
  <c r="C971" i="2"/>
  <c r="B971" i="2"/>
  <c r="Q970" i="2"/>
  <c r="F970" i="2"/>
  <c r="E970" i="2"/>
  <c r="D970" i="2"/>
  <c r="C970" i="2"/>
  <c r="B970" i="2"/>
  <c r="Q969" i="2"/>
  <c r="F969" i="2"/>
  <c r="E969" i="2"/>
  <c r="D969" i="2"/>
  <c r="C969" i="2"/>
  <c r="B969" i="2"/>
  <c r="Q968" i="2"/>
  <c r="F968" i="2"/>
  <c r="E968" i="2"/>
  <c r="D968" i="2"/>
  <c r="C968" i="2"/>
  <c r="B968" i="2"/>
  <c r="Q967" i="2"/>
  <c r="F967" i="2"/>
  <c r="E967" i="2"/>
  <c r="D967" i="2"/>
  <c r="C967" i="2"/>
  <c r="B967" i="2"/>
  <c r="Q966" i="2"/>
  <c r="F966" i="2"/>
  <c r="E966" i="2"/>
  <c r="D966" i="2"/>
  <c r="C966" i="2"/>
  <c r="B966" i="2"/>
  <c r="Q965" i="2"/>
  <c r="F965" i="2"/>
  <c r="E965" i="2"/>
  <c r="D965" i="2"/>
  <c r="C965" i="2"/>
  <c r="B965" i="2"/>
  <c r="Q964" i="2"/>
  <c r="F964" i="2"/>
  <c r="E964" i="2"/>
  <c r="D964" i="2"/>
  <c r="C964" i="2"/>
  <c r="B964" i="2"/>
  <c r="Q963" i="2"/>
  <c r="F963" i="2"/>
  <c r="E963" i="2"/>
  <c r="D963" i="2"/>
  <c r="C963" i="2"/>
  <c r="B963" i="2"/>
  <c r="Q962" i="2"/>
  <c r="F962" i="2"/>
  <c r="E962" i="2"/>
  <c r="D962" i="2"/>
  <c r="C962" i="2"/>
  <c r="B962" i="2"/>
  <c r="Q961" i="2"/>
  <c r="F961" i="2"/>
  <c r="E961" i="2"/>
  <c r="D961" i="2"/>
  <c r="C961" i="2"/>
  <c r="B961" i="2"/>
  <c r="Q960" i="2"/>
  <c r="F960" i="2"/>
  <c r="E960" i="2"/>
  <c r="D960" i="2"/>
  <c r="C960" i="2"/>
  <c r="B960" i="2"/>
  <c r="Q959" i="2"/>
  <c r="F959" i="2"/>
  <c r="E959" i="2"/>
  <c r="D959" i="2"/>
  <c r="C959" i="2"/>
  <c r="B959" i="2"/>
  <c r="Q958" i="2"/>
  <c r="F958" i="2"/>
  <c r="E958" i="2"/>
  <c r="D958" i="2"/>
  <c r="C958" i="2"/>
  <c r="B958" i="2"/>
  <c r="Q957" i="2"/>
  <c r="F957" i="2"/>
  <c r="E957" i="2"/>
  <c r="D957" i="2"/>
  <c r="C957" i="2"/>
  <c r="B957" i="2"/>
  <c r="Q956" i="2"/>
  <c r="F956" i="2"/>
  <c r="E956" i="2"/>
  <c r="D956" i="2"/>
  <c r="C956" i="2"/>
  <c r="B956" i="2"/>
  <c r="Q955" i="2"/>
  <c r="F955" i="2"/>
  <c r="E955" i="2"/>
  <c r="D955" i="2"/>
  <c r="C955" i="2"/>
  <c r="B955" i="2"/>
  <c r="Q954" i="2"/>
  <c r="F954" i="2"/>
  <c r="E954" i="2"/>
  <c r="D954" i="2"/>
  <c r="C954" i="2"/>
  <c r="B954" i="2"/>
  <c r="Q953" i="2"/>
  <c r="F953" i="2"/>
  <c r="E953" i="2"/>
  <c r="D953" i="2"/>
  <c r="C953" i="2"/>
  <c r="B953" i="2"/>
  <c r="Q952" i="2"/>
  <c r="F952" i="2"/>
  <c r="E952" i="2"/>
  <c r="D952" i="2"/>
  <c r="C952" i="2"/>
  <c r="B952" i="2"/>
  <c r="Q951" i="2"/>
  <c r="F951" i="2"/>
  <c r="E951" i="2"/>
  <c r="D951" i="2"/>
  <c r="C951" i="2"/>
  <c r="B951" i="2"/>
  <c r="Q950" i="2"/>
  <c r="F950" i="2"/>
  <c r="E950" i="2"/>
  <c r="D950" i="2"/>
  <c r="C950" i="2"/>
  <c r="B950" i="2"/>
  <c r="Q949" i="2"/>
  <c r="F949" i="2"/>
  <c r="E949" i="2"/>
  <c r="D949" i="2"/>
  <c r="C949" i="2"/>
  <c r="B949" i="2"/>
  <c r="Q948" i="2"/>
  <c r="F948" i="2"/>
  <c r="E948" i="2"/>
  <c r="D948" i="2"/>
  <c r="C948" i="2"/>
  <c r="B948" i="2"/>
  <c r="Q947" i="2"/>
  <c r="F947" i="2"/>
  <c r="E947" i="2"/>
  <c r="D947" i="2"/>
  <c r="C947" i="2"/>
  <c r="B947" i="2"/>
  <c r="Q946" i="2"/>
  <c r="F946" i="2"/>
  <c r="E946" i="2"/>
  <c r="D946" i="2"/>
  <c r="C946" i="2"/>
  <c r="B946" i="2"/>
  <c r="Q945" i="2"/>
  <c r="F945" i="2"/>
  <c r="E945" i="2"/>
  <c r="D945" i="2"/>
  <c r="C945" i="2"/>
  <c r="B945" i="2"/>
  <c r="Q944" i="2"/>
  <c r="F944" i="2"/>
  <c r="E944" i="2"/>
  <c r="D944" i="2"/>
  <c r="C944" i="2"/>
  <c r="B944" i="2"/>
  <c r="Q943" i="2"/>
  <c r="F943" i="2"/>
  <c r="E943" i="2"/>
  <c r="D943" i="2"/>
  <c r="C943" i="2"/>
  <c r="B943" i="2"/>
  <c r="Q942" i="2"/>
  <c r="F942" i="2"/>
  <c r="E942" i="2"/>
  <c r="D942" i="2"/>
  <c r="C942" i="2"/>
  <c r="B942" i="2"/>
  <c r="Q941" i="2"/>
  <c r="F941" i="2"/>
  <c r="E941" i="2"/>
  <c r="D941" i="2"/>
  <c r="C941" i="2"/>
  <c r="B941" i="2"/>
  <c r="Q940" i="2"/>
  <c r="F940" i="2"/>
  <c r="E940" i="2"/>
  <c r="D940" i="2"/>
  <c r="C940" i="2"/>
  <c r="B940" i="2"/>
  <c r="Q939" i="2"/>
  <c r="F939" i="2"/>
  <c r="E939" i="2"/>
  <c r="D939" i="2"/>
  <c r="C939" i="2"/>
  <c r="B939" i="2"/>
  <c r="Q938" i="2"/>
  <c r="F938" i="2"/>
  <c r="E938" i="2"/>
  <c r="D938" i="2"/>
  <c r="C938" i="2"/>
  <c r="B938" i="2"/>
  <c r="Q937" i="2"/>
  <c r="F937" i="2"/>
  <c r="E937" i="2"/>
  <c r="D937" i="2"/>
  <c r="C937" i="2"/>
  <c r="B937" i="2"/>
  <c r="Q936" i="2"/>
  <c r="F936" i="2"/>
  <c r="E936" i="2"/>
  <c r="D936" i="2"/>
  <c r="C936" i="2"/>
  <c r="B936" i="2"/>
  <c r="Q935" i="2"/>
  <c r="F935" i="2"/>
  <c r="E935" i="2"/>
  <c r="D935" i="2"/>
  <c r="C935" i="2"/>
  <c r="B935" i="2"/>
  <c r="Q934" i="2"/>
  <c r="F934" i="2"/>
  <c r="E934" i="2"/>
  <c r="D934" i="2"/>
  <c r="C934" i="2"/>
  <c r="B934" i="2"/>
  <c r="Q933" i="2"/>
  <c r="F933" i="2"/>
  <c r="E933" i="2"/>
  <c r="D933" i="2"/>
  <c r="C933" i="2"/>
  <c r="B933" i="2"/>
  <c r="Q932" i="2"/>
  <c r="F932" i="2"/>
  <c r="E932" i="2"/>
  <c r="D932" i="2"/>
  <c r="C932" i="2"/>
  <c r="B932" i="2"/>
  <c r="Q931" i="2"/>
  <c r="F931" i="2"/>
  <c r="E931" i="2"/>
  <c r="D931" i="2"/>
  <c r="C931" i="2"/>
  <c r="B931" i="2"/>
  <c r="Q930" i="2"/>
  <c r="F930" i="2"/>
  <c r="E930" i="2"/>
  <c r="D930" i="2"/>
  <c r="C930" i="2"/>
  <c r="B930" i="2"/>
  <c r="Q929" i="2"/>
  <c r="F929" i="2"/>
  <c r="E929" i="2"/>
  <c r="D929" i="2"/>
  <c r="C929" i="2"/>
  <c r="B929" i="2"/>
  <c r="Q928" i="2"/>
  <c r="F928" i="2"/>
  <c r="E928" i="2"/>
  <c r="D928" i="2"/>
  <c r="C928" i="2"/>
  <c r="B928" i="2"/>
  <c r="Q927" i="2"/>
  <c r="F927" i="2"/>
  <c r="E927" i="2"/>
  <c r="D927" i="2"/>
  <c r="C927" i="2"/>
  <c r="B927" i="2"/>
  <c r="Q926" i="2"/>
  <c r="F926" i="2"/>
  <c r="E926" i="2"/>
  <c r="D926" i="2"/>
  <c r="C926" i="2"/>
  <c r="B926" i="2"/>
  <c r="Q925" i="2"/>
  <c r="F925" i="2"/>
  <c r="E925" i="2"/>
  <c r="D925" i="2"/>
  <c r="C925" i="2"/>
  <c r="B925" i="2"/>
  <c r="Q924" i="2"/>
  <c r="F924" i="2"/>
  <c r="E924" i="2"/>
  <c r="D924" i="2"/>
  <c r="C924" i="2"/>
  <c r="B924" i="2"/>
  <c r="Q923" i="2"/>
  <c r="F923" i="2"/>
  <c r="E923" i="2"/>
  <c r="D923" i="2"/>
  <c r="C923" i="2"/>
  <c r="B923" i="2"/>
  <c r="Q922" i="2"/>
  <c r="F922" i="2"/>
  <c r="E922" i="2"/>
  <c r="D922" i="2"/>
  <c r="C922" i="2"/>
  <c r="B922" i="2"/>
  <c r="Q921" i="2"/>
  <c r="F921" i="2"/>
  <c r="E921" i="2"/>
  <c r="D921" i="2"/>
  <c r="C921" i="2"/>
  <c r="B921" i="2"/>
  <c r="Q920" i="2"/>
  <c r="F920" i="2"/>
  <c r="E920" i="2"/>
  <c r="D920" i="2"/>
  <c r="C920" i="2"/>
  <c r="B920" i="2"/>
  <c r="Q919" i="2"/>
  <c r="F919" i="2"/>
  <c r="E919" i="2"/>
  <c r="D919" i="2"/>
  <c r="C919" i="2"/>
  <c r="B919" i="2"/>
  <c r="Q918" i="2"/>
  <c r="F918" i="2"/>
  <c r="E918" i="2"/>
  <c r="D918" i="2"/>
  <c r="C918" i="2"/>
  <c r="B918" i="2"/>
  <c r="Q917" i="2"/>
  <c r="F917" i="2"/>
  <c r="E917" i="2"/>
  <c r="D917" i="2"/>
  <c r="C917" i="2"/>
  <c r="B917" i="2"/>
  <c r="Q916" i="2"/>
  <c r="F916" i="2"/>
  <c r="E916" i="2"/>
  <c r="D916" i="2"/>
  <c r="C916" i="2"/>
  <c r="B916" i="2"/>
  <c r="Q915" i="2"/>
  <c r="F915" i="2"/>
  <c r="E915" i="2"/>
  <c r="D915" i="2"/>
  <c r="C915" i="2"/>
  <c r="B915" i="2"/>
  <c r="Q914" i="2"/>
  <c r="F914" i="2"/>
  <c r="E914" i="2"/>
  <c r="D914" i="2"/>
  <c r="C914" i="2"/>
  <c r="B914" i="2"/>
  <c r="Q913" i="2"/>
  <c r="F913" i="2"/>
  <c r="E913" i="2"/>
  <c r="D913" i="2"/>
  <c r="C913" i="2"/>
  <c r="B913" i="2"/>
  <c r="Q912" i="2"/>
  <c r="F912" i="2"/>
  <c r="E912" i="2"/>
  <c r="D912" i="2"/>
  <c r="C912" i="2"/>
  <c r="B912" i="2"/>
  <c r="Q911" i="2"/>
  <c r="F911" i="2"/>
  <c r="E911" i="2"/>
  <c r="D911" i="2"/>
  <c r="C911" i="2"/>
  <c r="B911" i="2"/>
  <c r="Q910" i="2"/>
  <c r="F910" i="2"/>
  <c r="E910" i="2"/>
  <c r="D910" i="2"/>
  <c r="C910" i="2"/>
  <c r="B910" i="2"/>
  <c r="Q909" i="2"/>
  <c r="F909" i="2"/>
  <c r="E909" i="2"/>
  <c r="D909" i="2"/>
  <c r="C909" i="2"/>
  <c r="B909" i="2"/>
  <c r="Q908" i="2"/>
  <c r="F908" i="2"/>
  <c r="E908" i="2"/>
  <c r="D908" i="2"/>
  <c r="C908" i="2"/>
  <c r="B908" i="2"/>
  <c r="Q907" i="2"/>
  <c r="F907" i="2"/>
  <c r="E907" i="2"/>
  <c r="D907" i="2"/>
  <c r="C907" i="2"/>
  <c r="B907" i="2"/>
  <c r="Q906" i="2"/>
  <c r="F906" i="2"/>
  <c r="E906" i="2"/>
  <c r="D906" i="2"/>
  <c r="C906" i="2"/>
  <c r="B906" i="2"/>
  <c r="Q905" i="2"/>
  <c r="F905" i="2"/>
  <c r="E905" i="2"/>
  <c r="D905" i="2"/>
  <c r="C905" i="2"/>
  <c r="B905" i="2"/>
  <c r="Q904" i="2"/>
  <c r="F904" i="2"/>
  <c r="E904" i="2"/>
  <c r="D904" i="2"/>
  <c r="C904" i="2"/>
  <c r="B904" i="2"/>
  <c r="Q903" i="2"/>
  <c r="F903" i="2"/>
  <c r="E903" i="2"/>
  <c r="D903" i="2"/>
  <c r="C903" i="2"/>
  <c r="B903" i="2"/>
  <c r="Q902" i="2"/>
  <c r="F902" i="2"/>
  <c r="E902" i="2"/>
  <c r="D902" i="2"/>
  <c r="C902" i="2"/>
  <c r="B902" i="2"/>
  <c r="Q901" i="2"/>
  <c r="F901" i="2"/>
  <c r="E901" i="2"/>
  <c r="D901" i="2"/>
  <c r="C901" i="2"/>
  <c r="B901" i="2"/>
  <c r="Q900" i="2"/>
  <c r="F900" i="2"/>
  <c r="E900" i="2"/>
  <c r="D900" i="2"/>
  <c r="C900" i="2"/>
  <c r="B900" i="2"/>
  <c r="Q899" i="2"/>
  <c r="F899" i="2"/>
  <c r="E899" i="2"/>
  <c r="D899" i="2"/>
  <c r="C899" i="2"/>
  <c r="B899" i="2"/>
  <c r="Q898" i="2"/>
  <c r="F898" i="2"/>
  <c r="E898" i="2"/>
  <c r="D898" i="2"/>
  <c r="C898" i="2"/>
  <c r="B898" i="2"/>
  <c r="Q897" i="2"/>
  <c r="F897" i="2"/>
  <c r="E897" i="2"/>
  <c r="D897" i="2"/>
  <c r="C897" i="2"/>
  <c r="B897" i="2"/>
  <c r="Q896" i="2"/>
  <c r="F896" i="2"/>
  <c r="E896" i="2"/>
  <c r="D896" i="2"/>
  <c r="C896" i="2"/>
  <c r="B896" i="2"/>
  <c r="Q895" i="2"/>
  <c r="F895" i="2"/>
  <c r="E895" i="2"/>
  <c r="D895" i="2"/>
  <c r="C895" i="2"/>
  <c r="B895" i="2"/>
  <c r="Q894" i="2"/>
  <c r="F894" i="2"/>
  <c r="E894" i="2"/>
  <c r="D894" i="2"/>
  <c r="C894" i="2"/>
  <c r="B894" i="2"/>
  <c r="Q893" i="2"/>
  <c r="F893" i="2"/>
  <c r="E893" i="2"/>
  <c r="D893" i="2"/>
  <c r="C893" i="2"/>
  <c r="B893" i="2"/>
  <c r="Q892" i="2"/>
  <c r="F892" i="2"/>
  <c r="E892" i="2"/>
  <c r="D892" i="2"/>
  <c r="C892" i="2"/>
  <c r="B892" i="2"/>
  <c r="Q891" i="2"/>
  <c r="F891" i="2"/>
  <c r="E891" i="2"/>
  <c r="D891" i="2"/>
  <c r="C891" i="2"/>
  <c r="B891" i="2"/>
  <c r="Q890" i="2"/>
  <c r="F890" i="2"/>
  <c r="E890" i="2"/>
  <c r="D890" i="2"/>
  <c r="C890" i="2"/>
  <c r="B890" i="2"/>
  <c r="Q889" i="2"/>
  <c r="F889" i="2"/>
  <c r="E889" i="2"/>
  <c r="D889" i="2"/>
  <c r="C889" i="2"/>
  <c r="B889" i="2"/>
  <c r="Q888" i="2"/>
  <c r="F888" i="2"/>
  <c r="E888" i="2"/>
  <c r="D888" i="2"/>
  <c r="C888" i="2"/>
  <c r="B888" i="2"/>
  <c r="Q887" i="2"/>
  <c r="F887" i="2"/>
  <c r="E887" i="2"/>
  <c r="D887" i="2"/>
  <c r="C887" i="2"/>
  <c r="B887" i="2"/>
  <c r="Q886" i="2"/>
  <c r="F886" i="2"/>
  <c r="E886" i="2"/>
  <c r="D886" i="2"/>
  <c r="C886" i="2"/>
  <c r="B886" i="2"/>
  <c r="Q885" i="2"/>
  <c r="F885" i="2"/>
  <c r="E885" i="2"/>
  <c r="D885" i="2"/>
  <c r="C885" i="2"/>
  <c r="B885" i="2"/>
  <c r="Q884" i="2"/>
  <c r="F884" i="2"/>
  <c r="E884" i="2"/>
  <c r="D884" i="2"/>
  <c r="C884" i="2"/>
  <c r="B884" i="2"/>
  <c r="Q883" i="2"/>
  <c r="F883" i="2"/>
  <c r="E883" i="2"/>
  <c r="D883" i="2"/>
  <c r="C883" i="2"/>
  <c r="B883" i="2"/>
  <c r="Q882" i="2"/>
  <c r="F882" i="2"/>
  <c r="E882" i="2"/>
  <c r="D882" i="2"/>
  <c r="C882" i="2"/>
  <c r="B882" i="2"/>
  <c r="Q881" i="2"/>
  <c r="F881" i="2"/>
  <c r="E881" i="2"/>
  <c r="D881" i="2"/>
  <c r="C881" i="2"/>
  <c r="B881" i="2"/>
  <c r="Q880" i="2"/>
  <c r="F880" i="2"/>
  <c r="E880" i="2"/>
  <c r="D880" i="2"/>
  <c r="C880" i="2"/>
  <c r="B880" i="2"/>
  <c r="Q879" i="2"/>
  <c r="F879" i="2"/>
  <c r="E879" i="2"/>
  <c r="D879" i="2"/>
  <c r="C879" i="2"/>
  <c r="B879" i="2"/>
  <c r="Q878" i="2"/>
  <c r="F878" i="2"/>
  <c r="E878" i="2"/>
  <c r="D878" i="2"/>
  <c r="C878" i="2"/>
  <c r="B878" i="2"/>
  <c r="Q877" i="2"/>
  <c r="F877" i="2"/>
  <c r="E877" i="2"/>
  <c r="D877" i="2"/>
  <c r="C877" i="2"/>
  <c r="B877" i="2"/>
  <c r="Q876" i="2"/>
  <c r="F876" i="2"/>
  <c r="E876" i="2"/>
  <c r="D876" i="2"/>
  <c r="C876" i="2"/>
  <c r="B876" i="2"/>
  <c r="Q875" i="2"/>
  <c r="F875" i="2"/>
  <c r="E875" i="2"/>
  <c r="D875" i="2"/>
  <c r="C875" i="2"/>
  <c r="B875" i="2"/>
  <c r="Q874" i="2"/>
  <c r="F874" i="2"/>
  <c r="E874" i="2"/>
  <c r="D874" i="2"/>
  <c r="C874" i="2"/>
  <c r="B874" i="2"/>
  <c r="Q873" i="2"/>
  <c r="F873" i="2"/>
  <c r="E873" i="2"/>
  <c r="D873" i="2"/>
  <c r="C873" i="2"/>
  <c r="B873" i="2"/>
  <c r="Q872" i="2"/>
  <c r="F872" i="2"/>
  <c r="E872" i="2"/>
  <c r="D872" i="2"/>
  <c r="C872" i="2"/>
  <c r="B872" i="2"/>
  <c r="Q871" i="2"/>
  <c r="F871" i="2"/>
  <c r="E871" i="2"/>
  <c r="D871" i="2"/>
  <c r="C871" i="2"/>
  <c r="B871" i="2"/>
  <c r="Q870" i="2"/>
  <c r="F870" i="2"/>
  <c r="E870" i="2"/>
  <c r="D870" i="2"/>
  <c r="C870" i="2"/>
  <c r="B870" i="2"/>
  <c r="Q869" i="2"/>
  <c r="F869" i="2"/>
  <c r="E869" i="2"/>
  <c r="D869" i="2"/>
  <c r="C869" i="2"/>
  <c r="B869" i="2"/>
  <c r="Q868" i="2"/>
  <c r="F868" i="2"/>
  <c r="E868" i="2"/>
  <c r="D868" i="2"/>
  <c r="C868" i="2"/>
  <c r="B868" i="2"/>
  <c r="Q867" i="2"/>
  <c r="F867" i="2"/>
  <c r="E867" i="2"/>
  <c r="D867" i="2"/>
  <c r="C867" i="2"/>
  <c r="B867" i="2"/>
  <c r="Q866" i="2"/>
  <c r="F866" i="2"/>
  <c r="E866" i="2"/>
  <c r="D866" i="2"/>
  <c r="C866" i="2"/>
  <c r="B866" i="2"/>
  <c r="Q865" i="2"/>
  <c r="F865" i="2"/>
  <c r="E865" i="2"/>
  <c r="D865" i="2"/>
  <c r="C865" i="2"/>
  <c r="B865" i="2"/>
  <c r="Q864" i="2"/>
  <c r="F864" i="2"/>
  <c r="E864" i="2"/>
  <c r="D864" i="2"/>
  <c r="C864" i="2"/>
  <c r="B864" i="2"/>
  <c r="Q863" i="2"/>
  <c r="F863" i="2"/>
  <c r="E863" i="2"/>
  <c r="D863" i="2"/>
  <c r="C863" i="2"/>
  <c r="B863" i="2"/>
  <c r="Q862" i="2"/>
  <c r="F862" i="2"/>
  <c r="E862" i="2"/>
  <c r="D862" i="2"/>
  <c r="C862" i="2"/>
  <c r="B862" i="2"/>
  <c r="Q861" i="2"/>
  <c r="F861" i="2"/>
  <c r="E861" i="2"/>
  <c r="D861" i="2"/>
  <c r="C861" i="2"/>
  <c r="B861" i="2"/>
  <c r="Q860" i="2"/>
  <c r="F860" i="2"/>
  <c r="E860" i="2"/>
  <c r="D860" i="2"/>
  <c r="C860" i="2"/>
  <c r="B860" i="2"/>
  <c r="Q859" i="2"/>
  <c r="F859" i="2"/>
  <c r="E859" i="2"/>
  <c r="D859" i="2"/>
  <c r="C859" i="2"/>
  <c r="B859" i="2"/>
  <c r="Q858" i="2"/>
  <c r="F858" i="2"/>
  <c r="E858" i="2"/>
  <c r="D858" i="2"/>
  <c r="C858" i="2"/>
  <c r="B858" i="2"/>
  <c r="Q857" i="2"/>
  <c r="F857" i="2"/>
  <c r="E857" i="2"/>
  <c r="D857" i="2"/>
  <c r="C857" i="2"/>
  <c r="B857" i="2"/>
  <c r="Q856" i="2"/>
  <c r="F856" i="2"/>
  <c r="E856" i="2"/>
  <c r="D856" i="2"/>
  <c r="C856" i="2"/>
  <c r="B856" i="2"/>
  <c r="Q855" i="2"/>
  <c r="F855" i="2"/>
  <c r="E855" i="2"/>
  <c r="D855" i="2"/>
  <c r="C855" i="2"/>
  <c r="B855" i="2"/>
  <c r="Q854" i="2"/>
  <c r="F854" i="2"/>
  <c r="E854" i="2"/>
  <c r="D854" i="2"/>
  <c r="C854" i="2"/>
  <c r="B854" i="2"/>
  <c r="Q853" i="2"/>
  <c r="F853" i="2"/>
  <c r="E853" i="2"/>
  <c r="D853" i="2"/>
  <c r="C853" i="2"/>
  <c r="B853" i="2"/>
  <c r="Q852" i="2"/>
  <c r="F852" i="2"/>
  <c r="E852" i="2"/>
  <c r="D852" i="2"/>
  <c r="C852" i="2"/>
  <c r="B852" i="2"/>
  <c r="Q851" i="2"/>
  <c r="F851" i="2"/>
  <c r="E851" i="2"/>
  <c r="D851" i="2"/>
  <c r="C851" i="2"/>
  <c r="B851" i="2"/>
  <c r="Q850" i="2"/>
  <c r="F850" i="2"/>
  <c r="E850" i="2"/>
  <c r="D850" i="2"/>
  <c r="C850" i="2"/>
  <c r="B850" i="2"/>
  <c r="Q849" i="2"/>
  <c r="F849" i="2"/>
  <c r="E849" i="2"/>
  <c r="D849" i="2"/>
  <c r="C849" i="2"/>
  <c r="B849" i="2"/>
  <c r="Q848" i="2"/>
  <c r="F848" i="2"/>
  <c r="E848" i="2"/>
  <c r="D848" i="2"/>
  <c r="C848" i="2"/>
  <c r="B848" i="2"/>
  <c r="Q847" i="2"/>
  <c r="F847" i="2"/>
  <c r="E847" i="2"/>
  <c r="D847" i="2"/>
  <c r="C847" i="2"/>
  <c r="B847" i="2"/>
  <c r="Q846" i="2"/>
  <c r="F846" i="2"/>
  <c r="E846" i="2"/>
  <c r="D846" i="2"/>
  <c r="C846" i="2"/>
  <c r="B846" i="2"/>
  <c r="Q845" i="2"/>
  <c r="F845" i="2"/>
  <c r="E845" i="2"/>
  <c r="D845" i="2"/>
  <c r="C845" i="2"/>
  <c r="B845" i="2"/>
  <c r="Q844" i="2"/>
  <c r="F844" i="2"/>
  <c r="E844" i="2"/>
  <c r="D844" i="2"/>
  <c r="C844" i="2"/>
  <c r="B844" i="2"/>
  <c r="Q843" i="2"/>
  <c r="F843" i="2"/>
  <c r="E843" i="2"/>
  <c r="D843" i="2"/>
  <c r="C843" i="2"/>
  <c r="B843" i="2"/>
  <c r="Q842" i="2"/>
  <c r="F842" i="2"/>
  <c r="E842" i="2"/>
  <c r="D842" i="2"/>
  <c r="C842" i="2"/>
  <c r="B842" i="2"/>
  <c r="Q841" i="2"/>
  <c r="F841" i="2"/>
  <c r="E841" i="2"/>
  <c r="D841" i="2"/>
  <c r="C841" i="2"/>
  <c r="B841" i="2"/>
  <c r="Q840" i="2"/>
  <c r="F840" i="2"/>
  <c r="E840" i="2"/>
  <c r="D840" i="2"/>
  <c r="C840" i="2"/>
  <c r="B840" i="2"/>
  <c r="Q839" i="2"/>
  <c r="F839" i="2"/>
  <c r="E839" i="2"/>
  <c r="D839" i="2"/>
  <c r="C839" i="2"/>
  <c r="B839" i="2"/>
  <c r="Q838" i="2"/>
  <c r="F838" i="2"/>
  <c r="E838" i="2"/>
  <c r="D838" i="2"/>
  <c r="C838" i="2"/>
  <c r="B838" i="2"/>
  <c r="Q837" i="2"/>
  <c r="F837" i="2"/>
  <c r="E837" i="2"/>
  <c r="D837" i="2"/>
  <c r="C837" i="2"/>
  <c r="B837" i="2"/>
  <c r="Q836" i="2"/>
  <c r="F836" i="2"/>
  <c r="E836" i="2"/>
  <c r="D836" i="2"/>
  <c r="C836" i="2"/>
  <c r="B836" i="2"/>
  <c r="Q835" i="2"/>
  <c r="F835" i="2"/>
  <c r="E835" i="2"/>
  <c r="D835" i="2"/>
  <c r="C835" i="2"/>
  <c r="B835" i="2"/>
  <c r="Q834" i="2"/>
  <c r="F834" i="2"/>
  <c r="E834" i="2"/>
  <c r="D834" i="2"/>
  <c r="C834" i="2"/>
  <c r="B834" i="2"/>
  <c r="Q833" i="2"/>
  <c r="F833" i="2"/>
  <c r="E833" i="2"/>
  <c r="D833" i="2"/>
  <c r="C833" i="2"/>
  <c r="B833" i="2"/>
  <c r="Q832" i="2"/>
  <c r="F832" i="2"/>
  <c r="E832" i="2"/>
  <c r="D832" i="2"/>
  <c r="C832" i="2"/>
  <c r="B832" i="2"/>
  <c r="Q831" i="2"/>
  <c r="F831" i="2"/>
  <c r="E831" i="2"/>
  <c r="D831" i="2"/>
  <c r="C831" i="2"/>
  <c r="B831" i="2"/>
  <c r="Q830" i="2"/>
  <c r="F830" i="2"/>
  <c r="E830" i="2"/>
  <c r="D830" i="2"/>
  <c r="C830" i="2"/>
  <c r="B830" i="2"/>
  <c r="Q829" i="2"/>
  <c r="F829" i="2"/>
  <c r="E829" i="2"/>
  <c r="D829" i="2"/>
  <c r="C829" i="2"/>
  <c r="B829" i="2"/>
  <c r="Q828" i="2"/>
  <c r="F828" i="2"/>
  <c r="E828" i="2"/>
  <c r="D828" i="2"/>
  <c r="C828" i="2"/>
  <c r="B828" i="2"/>
  <c r="Q827" i="2"/>
  <c r="F827" i="2"/>
  <c r="E827" i="2"/>
  <c r="D827" i="2"/>
  <c r="C827" i="2"/>
  <c r="B827" i="2"/>
  <c r="Q826" i="2"/>
  <c r="F826" i="2"/>
  <c r="E826" i="2"/>
  <c r="D826" i="2"/>
  <c r="C826" i="2"/>
  <c r="B826" i="2"/>
  <c r="Q825" i="2"/>
  <c r="F825" i="2"/>
  <c r="E825" i="2"/>
  <c r="D825" i="2"/>
  <c r="C825" i="2"/>
  <c r="B825" i="2"/>
  <c r="Q824" i="2"/>
  <c r="F824" i="2"/>
  <c r="E824" i="2"/>
  <c r="D824" i="2"/>
  <c r="C824" i="2"/>
  <c r="B824" i="2"/>
  <c r="Q823" i="2"/>
  <c r="F823" i="2"/>
  <c r="E823" i="2"/>
  <c r="D823" i="2"/>
  <c r="C823" i="2"/>
  <c r="B823" i="2"/>
  <c r="Q822" i="2"/>
  <c r="F822" i="2"/>
  <c r="E822" i="2"/>
  <c r="D822" i="2"/>
  <c r="C822" i="2"/>
  <c r="B822" i="2"/>
  <c r="Q821" i="2"/>
  <c r="F821" i="2"/>
  <c r="E821" i="2"/>
  <c r="D821" i="2"/>
  <c r="C821" i="2"/>
  <c r="B821" i="2"/>
  <c r="Q820" i="2"/>
  <c r="F820" i="2"/>
  <c r="E820" i="2"/>
  <c r="D820" i="2"/>
  <c r="C820" i="2"/>
  <c r="B820" i="2"/>
  <c r="Q819" i="2"/>
  <c r="F819" i="2"/>
  <c r="E819" i="2"/>
  <c r="D819" i="2"/>
  <c r="C819" i="2"/>
  <c r="B819" i="2"/>
  <c r="Q818" i="2"/>
  <c r="F818" i="2"/>
  <c r="E818" i="2"/>
  <c r="D818" i="2"/>
  <c r="C818" i="2"/>
  <c r="B818" i="2"/>
  <c r="Q817" i="2"/>
  <c r="F817" i="2"/>
  <c r="E817" i="2"/>
  <c r="D817" i="2"/>
  <c r="C817" i="2"/>
  <c r="B817" i="2"/>
  <c r="Q816" i="2"/>
  <c r="F816" i="2"/>
  <c r="E816" i="2"/>
  <c r="D816" i="2"/>
  <c r="C816" i="2"/>
  <c r="B816" i="2"/>
  <c r="Q815" i="2"/>
  <c r="F815" i="2"/>
  <c r="E815" i="2"/>
  <c r="D815" i="2"/>
  <c r="C815" i="2"/>
  <c r="B815" i="2"/>
  <c r="Q814" i="2"/>
  <c r="F814" i="2"/>
  <c r="E814" i="2"/>
  <c r="D814" i="2"/>
  <c r="C814" i="2"/>
  <c r="B814" i="2"/>
  <c r="Q813" i="2"/>
  <c r="F813" i="2"/>
  <c r="E813" i="2"/>
  <c r="D813" i="2"/>
  <c r="C813" i="2"/>
  <c r="B813" i="2"/>
  <c r="Q812" i="2"/>
  <c r="F812" i="2"/>
  <c r="E812" i="2"/>
  <c r="D812" i="2"/>
  <c r="C812" i="2"/>
  <c r="B812" i="2"/>
  <c r="Q811" i="2"/>
  <c r="F811" i="2"/>
  <c r="E811" i="2"/>
  <c r="D811" i="2"/>
  <c r="C811" i="2"/>
  <c r="B811" i="2"/>
  <c r="Q810" i="2"/>
  <c r="F810" i="2"/>
  <c r="E810" i="2"/>
  <c r="D810" i="2"/>
  <c r="C810" i="2"/>
  <c r="B810" i="2"/>
  <c r="Q809" i="2"/>
  <c r="F809" i="2"/>
  <c r="E809" i="2"/>
  <c r="D809" i="2"/>
  <c r="C809" i="2"/>
  <c r="B809" i="2"/>
  <c r="Q808" i="2"/>
  <c r="F808" i="2"/>
  <c r="E808" i="2"/>
  <c r="D808" i="2"/>
  <c r="C808" i="2"/>
  <c r="B808" i="2"/>
  <c r="Q807" i="2"/>
  <c r="F807" i="2"/>
  <c r="E807" i="2"/>
  <c r="D807" i="2"/>
  <c r="C807" i="2"/>
  <c r="B807" i="2"/>
  <c r="Q806" i="2"/>
  <c r="F806" i="2"/>
  <c r="E806" i="2"/>
  <c r="D806" i="2"/>
  <c r="C806" i="2"/>
  <c r="B806" i="2"/>
  <c r="Q805" i="2"/>
  <c r="F805" i="2"/>
  <c r="E805" i="2"/>
  <c r="D805" i="2"/>
  <c r="C805" i="2"/>
  <c r="B805" i="2"/>
  <c r="Q804" i="2"/>
  <c r="F804" i="2"/>
  <c r="E804" i="2"/>
  <c r="D804" i="2"/>
  <c r="C804" i="2"/>
  <c r="B804" i="2"/>
  <c r="Q803" i="2"/>
  <c r="F803" i="2"/>
  <c r="E803" i="2"/>
  <c r="D803" i="2"/>
  <c r="C803" i="2"/>
  <c r="B803" i="2"/>
  <c r="Q802" i="2"/>
  <c r="F802" i="2"/>
  <c r="E802" i="2"/>
  <c r="D802" i="2"/>
  <c r="C802" i="2"/>
  <c r="B802" i="2"/>
  <c r="Q801" i="2"/>
  <c r="F801" i="2"/>
  <c r="E801" i="2"/>
  <c r="D801" i="2"/>
  <c r="C801" i="2"/>
  <c r="B801" i="2"/>
  <c r="Q800" i="2"/>
  <c r="F800" i="2"/>
  <c r="E800" i="2"/>
  <c r="D800" i="2"/>
  <c r="C800" i="2"/>
  <c r="B800" i="2"/>
  <c r="Q799" i="2"/>
  <c r="F799" i="2"/>
  <c r="E799" i="2"/>
  <c r="D799" i="2"/>
  <c r="C799" i="2"/>
  <c r="B799" i="2"/>
  <c r="Q798" i="2"/>
  <c r="F798" i="2"/>
  <c r="E798" i="2"/>
  <c r="D798" i="2"/>
  <c r="C798" i="2"/>
  <c r="B798" i="2"/>
  <c r="Q797" i="2"/>
  <c r="F797" i="2"/>
  <c r="E797" i="2"/>
  <c r="D797" i="2"/>
  <c r="C797" i="2"/>
  <c r="B797" i="2"/>
  <c r="Q796" i="2"/>
  <c r="F796" i="2"/>
  <c r="E796" i="2"/>
  <c r="D796" i="2"/>
  <c r="C796" i="2"/>
  <c r="B796" i="2"/>
  <c r="Q795" i="2"/>
  <c r="F795" i="2"/>
  <c r="E795" i="2"/>
  <c r="D795" i="2"/>
  <c r="C795" i="2"/>
  <c r="B795" i="2"/>
  <c r="Q794" i="2"/>
  <c r="F794" i="2"/>
  <c r="E794" i="2"/>
  <c r="D794" i="2"/>
  <c r="C794" i="2"/>
  <c r="B794" i="2"/>
  <c r="Q793" i="2"/>
  <c r="F793" i="2"/>
  <c r="E793" i="2"/>
  <c r="D793" i="2"/>
  <c r="C793" i="2"/>
  <c r="B793" i="2"/>
  <c r="Q792" i="2"/>
  <c r="F792" i="2"/>
  <c r="E792" i="2"/>
  <c r="D792" i="2"/>
  <c r="C792" i="2"/>
  <c r="B792" i="2"/>
  <c r="Q791" i="2"/>
  <c r="F791" i="2"/>
  <c r="E791" i="2"/>
  <c r="D791" i="2"/>
  <c r="C791" i="2"/>
  <c r="B791" i="2"/>
  <c r="Q790" i="2"/>
  <c r="F790" i="2"/>
  <c r="E790" i="2"/>
  <c r="D790" i="2"/>
  <c r="C790" i="2"/>
  <c r="B790" i="2"/>
  <c r="Q789" i="2"/>
  <c r="F789" i="2"/>
  <c r="E789" i="2"/>
  <c r="D789" i="2"/>
  <c r="C789" i="2"/>
  <c r="B789" i="2"/>
  <c r="Q788" i="2"/>
  <c r="F788" i="2"/>
  <c r="E788" i="2"/>
  <c r="D788" i="2"/>
  <c r="C788" i="2"/>
  <c r="B788" i="2"/>
  <c r="Q787" i="2"/>
  <c r="F787" i="2"/>
  <c r="E787" i="2"/>
  <c r="D787" i="2"/>
  <c r="C787" i="2"/>
  <c r="B787" i="2"/>
  <c r="Q786" i="2"/>
  <c r="F786" i="2"/>
  <c r="E786" i="2"/>
  <c r="D786" i="2"/>
  <c r="C786" i="2"/>
  <c r="B786" i="2"/>
  <c r="Q785" i="2"/>
  <c r="F785" i="2"/>
  <c r="E785" i="2"/>
  <c r="D785" i="2"/>
  <c r="C785" i="2"/>
  <c r="B785" i="2"/>
  <c r="Q784" i="2"/>
  <c r="F784" i="2"/>
  <c r="E784" i="2"/>
  <c r="D784" i="2"/>
  <c r="C784" i="2"/>
  <c r="B784" i="2"/>
  <c r="Q783" i="2"/>
  <c r="F783" i="2"/>
  <c r="E783" i="2"/>
  <c r="D783" i="2"/>
  <c r="C783" i="2"/>
  <c r="B783" i="2"/>
  <c r="Q782" i="2"/>
  <c r="F782" i="2"/>
  <c r="E782" i="2"/>
  <c r="D782" i="2"/>
  <c r="C782" i="2"/>
  <c r="B782" i="2"/>
  <c r="Q781" i="2"/>
  <c r="F781" i="2"/>
  <c r="E781" i="2"/>
  <c r="D781" i="2"/>
  <c r="C781" i="2"/>
  <c r="B781" i="2"/>
  <c r="Q780" i="2"/>
  <c r="F780" i="2"/>
  <c r="E780" i="2"/>
  <c r="D780" i="2"/>
  <c r="C780" i="2"/>
  <c r="B780" i="2"/>
  <c r="Q779" i="2"/>
  <c r="F779" i="2"/>
  <c r="E779" i="2"/>
  <c r="D779" i="2"/>
  <c r="C779" i="2"/>
  <c r="B779" i="2"/>
  <c r="Q778" i="2"/>
  <c r="F778" i="2"/>
  <c r="E778" i="2"/>
  <c r="D778" i="2"/>
  <c r="C778" i="2"/>
  <c r="B778" i="2"/>
  <c r="Q777" i="2"/>
  <c r="F777" i="2"/>
  <c r="E777" i="2"/>
  <c r="D777" i="2"/>
  <c r="C777" i="2"/>
  <c r="B777" i="2"/>
  <c r="Q776" i="2"/>
  <c r="F776" i="2"/>
  <c r="E776" i="2"/>
  <c r="D776" i="2"/>
  <c r="C776" i="2"/>
  <c r="B776" i="2"/>
  <c r="Q775" i="2"/>
  <c r="F775" i="2"/>
  <c r="E775" i="2"/>
  <c r="D775" i="2"/>
  <c r="C775" i="2"/>
  <c r="B775" i="2"/>
  <c r="Q774" i="2"/>
  <c r="F774" i="2"/>
  <c r="E774" i="2"/>
  <c r="D774" i="2"/>
  <c r="C774" i="2"/>
  <c r="B774" i="2"/>
  <c r="Q773" i="2"/>
  <c r="F773" i="2"/>
  <c r="E773" i="2"/>
  <c r="D773" i="2"/>
  <c r="C773" i="2"/>
  <c r="B773" i="2"/>
  <c r="Q772" i="2"/>
  <c r="F772" i="2"/>
  <c r="E772" i="2"/>
  <c r="D772" i="2"/>
  <c r="C772" i="2"/>
  <c r="B772" i="2"/>
  <c r="Q771" i="2"/>
  <c r="F771" i="2"/>
  <c r="E771" i="2"/>
  <c r="D771" i="2"/>
  <c r="C771" i="2"/>
  <c r="B771" i="2"/>
  <c r="Q770" i="2"/>
  <c r="F770" i="2"/>
  <c r="E770" i="2"/>
  <c r="D770" i="2"/>
  <c r="C770" i="2"/>
  <c r="B770" i="2"/>
  <c r="Q769" i="2"/>
  <c r="F769" i="2"/>
  <c r="E769" i="2"/>
  <c r="D769" i="2"/>
  <c r="C769" i="2"/>
  <c r="B769" i="2"/>
  <c r="Q768" i="2"/>
  <c r="F768" i="2"/>
  <c r="E768" i="2"/>
  <c r="D768" i="2"/>
  <c r="C768" i="2"/>
  <c r="B768" i="2"/>
  <c r="Q767" i="2"/>
  <c r="F767" i="2"/>
  <c r="E767" i="2"/>
  <c r="D767" i="2"/>
  <c r="C767" i="2"/>
  <c r="B767" i="2"/>
  <c r="Q766" i="2"/>
  <c r="F766" i="2"/>
  <c r="E766" i="2"/>
  <c r="D766" i="2"/>
  <c r="C766" i="2"/>
  <c r="B766" i="2"/>
  <c r="Q765" i="2"/>
  <c r="F765" i="2"/>
  <c r="E765" i="2"/>
  <c r="D765" i="2"/>
  <c r="C765" i="2"/>
  <c r="B765" i="2"/>
  <c r="Q764" i="2"/>
  <c r="F764" i="2"/>
  <c r="E764" i="2"/>
  <c r="D764" i="2"/>
  <c r="C764" i="2"/>
  <c r="B764" i="2"/>
  <c r="Q763" i="2"/>
  <c r="F763" i="2"/>
  <c r="E763" i="2"/>
  <c r="D763" i="2"/>
  <c r="C763" i="2"/>
  <c r="B763" i="2"/>
  <c r="Q762" i="2"/>
  <c r="F762" i="2"/>
  <c r="E762" i="2"/>
  <c r="D762" i="2"/>
  <c r="C762" i="2"/>
  <c r="B762" i="2"/>
  <c r="Q761" i="2"/>
  <c r="F761" i="2"/>
  <c r="E761" i="2"/>
  <c r="D761" i="2"/>
  <c r="C761" i="2"/>
  <c r="B761" i="2"/>
  <c r="Q760" i="2"/>
  <c r="F760" i="2"/>
  <c r="E760" i="2"/>
  <c r="D760" i="2"/>
  <c r="C760" i="2"/>
  <c r="B760" i="2"/>
  <c r="Q759" i="2"/>
  <c r="F759" i="2"/>
  <c r="E759" i="2"/>
  <c r="D759" i="2"/>
  <c r="C759" i="2"/>
  <c r="B759" i="2"/>
  <c r="Q758" i="2"/>
  <c r="F758" i="2"/>
  <c r="E758" i="2"/>
  <c r="D758" i="2"/>
  <c r="C758" i="2"/>
  <c r="B758" i="2"/>
  <c r="Q757" i="2"/>
  <c r="F757" i="2"/>
  <c r="E757" i="2"/>
  <c r="D757" i="2"/>
  <c r="C757" i="2"/>
  <c r="B757" i="2"/>
  <c r="Q756" i="2"/>
  <c r="F756" i="2"/>
  <c r="E756" i="2"/>
  <c r="D756" i="2"/>
  <c r="C756" i="2"/>
  <c r="B756" i="2"/>
  <c r="Q755" i="2"/>
  <c r="F755" i="2"/>
  <c r="E755" i="2"/>
  <c r="D755" i="2"/>
  <c r="C755" i="2"/>
  <c r="B755" i="2"/>
  <c r="Q754" i="2"/>
  <c r="F754" i="2"/>
  <c r="E754" i="2"/>
  <c r="D754" i="2"/>
  <c r="C754" i="2"/>
  <c r="B754" i="2"/>
  <c r="Q753" i="2"/>
  <c r="F753" i="2"/>
  <c r="E753" i="2"/>
  <c r="D753" i="2"/>
  <c r="C753" i="2"/>
  <c r="B753" i="2"/>
  <c r="Q752" i="2"/>
  <c r="F752" i="2"/>
  <c r="E752" i="2"/>
  <c r="D752" i="2"/>
  <c r="C752" i="2"/>
  <c r="B752" i="2"/>
  <c r="Q751" i="2"/>
  <c r="F751" i="2"/>
  <c r="E751" i="2"/>
  <c r="D751" i="2"/>
  <c r="C751" i="2"/>
  <c r="B751" i="2"/>
  <c r="Q750" i="2"/>
  <c r="F750" i="2"/>
  <c r="E750" i="2"/>
  <c r="D750" i="2"/>
  <c r="C750" i="2"/>
  <c r="B750" i="2"/>
  <c r="Q749" i="2"/>
  <c r="F749" i="2"/>
  <c r="E749" i="2"/>
  <c r="D749" i="2"/>
  <c r="C749" i="2"/>
  <c r="B749" i="2"/>
  <c r="Q748" i="2"/>
  <c r="F748" i="2"/>
  <c r="E748" i="2"/>
  <c r="D748" i="2"/>
  <c r="C748" i="2"/>
  <c r="B748" i="2"/>
  <c r="Q747" i="2"/>
  <c r="F747" i="2"/>
  <c r="E747" i="2"/>
  <c r="D747" i="2"/>
  <c r="C747" i="2"/>
  <c r="B747" i="2"/>
  <c r="Q746" i="2"/>
  <c r="F746" i="2"/>
  <c r="E746" i="2"/>
  <c r="D746" i="2"/>
  <c r="C746" i="2"/>
  <c r="B746" i="2"/>
  <c r="Q745" i="2"/>
  <c r="F745" i="2"/>
  <c r="E745" i="2"/>
  <c r="D745" i="2"/>
  <c r="C745" i="2"/>
  <c r="B745" i="2"/>
  <c r="Q744" i="2"/>
  <c r="F744" i="2"/>
  <c r="E744" i="2"/>
  <c r="D744" i="2"/>
  <c r="C744" i="2"/>
  <c r="B744" i="2"/>
  <c r="Q743" i="2"/>
  <c r="F743" i="2"/>
  <c r="E743" i="2"/>
  <c r="D743" i="2"/>
  <c r="C743" i="2"/>
  <c r="B743" i="2"/>
  <c r="Q742" i="2"/>
  <c r="F742" i="2"/>
  <c r="E742" i="2"/>
  <c r="D742" i="2"/>
  <c r="C742" i="2"/>
  <c r="B742" i="2"/>
  <c r="Q741" i="2"/>
  <c r="F741" i="2"/>
  <c r="E741" i="2"/>
  <c r="D741" i="2"/>
  <c r="C741" i="2"/>
  <c r="B741" i="2"/>
  <c r="Q740" i="2"/>
  <c r="F740" i="2"/>
  <c r="E740" i="2"/>
  <c r="D740" i="2"/>
  <c r="C740" i="2"/>
  <c r="B740" i="2"/>
  <c r="Q739" i="2"/>
  <c r="F739" i="2"/>
  <c r="E739" i="2"/>
  <c r="D739" i="2"/>
  <c r="C739" i="2"/>
  <c r="B739" i="2"/>
  <c r="Q738" i="2"/>
  <c r="F738" i="2"/>
  <c r="E738" i="2"/>
  <c r="D738" i="2"/>
  <c r="C738" i="2"/>
  <c r="B738" i="2"/>
  <c r="Q737" i="2"/>
  <c r="F737" i="2"/>
  <c r="E737" i="2"/>
  <c r="D737" i="2"/>
  <c r="C737" i="2"/>
  <c r="B737" i="2"/>
  <c r="Q736" i="2"/>
  <c r="F736" i="2"/>
  <c r="E736" i="2"/>
  <c r="D736" i="2"/>
  <c r="C736" i="2"/>
  <c r="B736" i="2"/>
  <c r="Q735" i="2"/>
  <c r="F735" i="2"/>
  <c r="E735" i="2"/>
  <c r="D735" i="2"/>
  <c r="C735" i="2"/>
  <c r="B735" i="2"/>
  <c r="Q734" i="2"/>
  <c r="F734" i="2"/>
  <c r="E734" i="2"/>
  <c r="D734" i="2"/>
  <c r="C734" i="2"/>
  <c r="B734" i="2"/>
  <c r="Q733" i="2"/>
  <c r="F733" i="2"/>
  <c r="E733" i="2"/>
  <c r="D733" i="2"/>
  <c r="C733" i="2"/>
  <c r="B733" i="2"/>
  <c r="Q732" i="2"/>
  <c r="F732" i="2"/>
  <c r="E732" i="2"/>
  <c r="D732" i="2"/>
  <c r="C732" i="2"/>
  <c r="B732" i="2"/>
  <c r="Q731" i="2"/>
  <c r="F731" i="2"/>
  <c r="E731" i="2"/>
  <c r="D731" i="2"/>
  <c r="C731" i="2"/>
  <c r="B731" i="2"/>
  <c r="Q730" i="2"/>
  <c r="F730" i="2"/>
  <c r="E730" i="2"/>
  <c r="D730" i="2"/>
  <c r="C730" i="2"/>
  <c r="B730" i="2"/>
  <c r="Q729" i="2"/>
  <c r="F729" i="2"/>
  <c r="E729" i="2"/>
  <c r="D729" i="2"/>
  <c r="C729" i="2"/>
  <c r="B729" i="2"/>
  <c r="Q728" i="2"/>
  <c r="F728" i="2"/>
  <c r="E728" i="2"/>
  <c r="D728" i="2"/>
  <c r="C728" i="2"/>
  <c r="B728" i="2"/>
  <c r="Q727" i="2"/>
  <c r="F727" i="2"/>
  <c r="E727" i="2"/>
  <c r="D727" i="2"/>
  <c r="C727" i="2"/>
  <c r="B727" i="2"/>
  <c r="Q726" i="2"/>
  <c r="F726" i="2"/>
  <c r="E726" i="2"/>
  <c r="D726" i="2"/>
  <c r="C726" i="2"/>
  <c r="B726" i="2"/>
  <c r="Q725" i="2"/>
  <c r="F725" i="2"/>
  <c r="E725" i="2"/>
  <c r="D725" i="2"/>
  <c r="C725" i="2"/>
  <c r="B725" i="2"/>
  <c r="Q724" i="2"/>
  <c r="F724" i="2"/>
  <c r="E724" i="2"/>
  <c r="D724" i="2"/>
  <c r="C724" i="2"/>
  <c r="B724" i="2"/>
  <c r="Q723" i="2"/>
  <c r="F723" i="2"/>
  <c r="E723" i="2"/>
  <c r="D723" i="2"/>
  <c r="C723" i="2"/>
  <c r="B723" i="2"/>
  <c r="Q722" i="2"/>
  <c r="F722" i="2"/>
  <c r="E722" i="2"/>
  <c r="D722" i="2"/>
  <c r="C722" i="2"/>
  <c r="B722" i="2"/>
  <c r="Q721" i="2"/>
  <c r="F721" i="2"/>
  <c r="E721" i="2"/>
  <c r="D721" i="2"/>
  <c r="C721" i="2"/>
  <c r="B721" i="2"/>
  <c r="Q720" i="2"/>
  <c r="F720" i="2"/>
  <c r="E720" i="2"/>
  <c r="D720" i="2"/>
  <c r="C720" i="2"/>
  <c r="B720" i="2"/>
  <c r="Q719" i="2"/>
  <c r="F719" i="2"/>
  <c r="E719" i="2"/>
  <c r="D719" i="2"/>
  <c r="C719" i="2"/>
  <c r="B719" i="2"/>
  <c r="Q718" i="2"/>
  <c r="F718" i="2"/>
  <c r="E718" i="2"/>
  <c r="D718" i="2"/>
  <c r="C718" i="2"/>
  <c r="B718" i="2"/>
  <c r="Q717" i="2"/>
  <c r="F717" i="2"/>
  <c r="E717" i="2"/>
  <c r="D717" i="2"/>
  <c r="C717" i="2"/>
  <c r="B717" i="2"/>
  <c r="Q716" i="2"/>
  <c r="F716" i="2"/>
  <c r="E716" i="2"/>
  <c r="D716" i="2"/>
  <c r="C716" i="2"/>
  <c r="B716" i="2"/>
  <c r="Q715" i="2"/>
  <c r="F715" i="2"/>
  <c r="E715" i="2"/>
  <c r="D715" i="2"/>
  <c r="C715" i="2"/>
  <c r="B715" i="2"/>
  <c r="Q714" i="2"/>
  <c r="F714" i="2"/>
  <c r="E714" i="2"/>
  <c r="D714" i="2"/>
  <c r="C714" i="2"/>
  <c r="B714" i="2"/>
  <c r="Q713" i="2"/>
  <c r="F713" i="2"/>
  <c r="E713" i="2"/>
  <c r="D713" i="2"/>
  <c r="C713" i="2"/>
  <c r="B713" i="2"/>
  <c r="Q712" i="2"/>
  <c r="F712" i="2"/>
  <c r="E712" i="2"/>
  <c r="D712" i="2"/>
  <c r="C712" i="2"/>
  <c r="B712" i="2"/>
  <c r="Q711" i="2"/>
  <c r="F711" i="2"/>
  <c r="E711" i="2"/>
  <c r="D711" i="2"/>
  <c r="C711" i="2"/>
  <c r="B711" i="2"/>
  <c r="Q710" i="2"/>
  <c r="F710" i="2"/>
  <c r="E710" i="2"/>
  <c r="D710" i="2"/>
  <c r="C710" i="2"/>
  <c r="B710" i="2"/>
  <c r="Q709" i="2"/>
  <c r="F709" i="2"/>
  <c r="E709" i="2"/>
  <c r="D709" i="2"/>
  <c r="C709" i="2"/>
  <c r="B709" i="2"/>
  <c r="Q708" i="2"/>
  <c r="F708" i="2"/>
  <c r="E708" i="2"/>
  <c r="D708" i="2"/>
  <c r="C708" i="2"/>
  <c r="B708" i="2"/>
  <c r="Q707" i="2"/>
  <c r="F707" i="2"/>
  <c r="E707" i="2"/>
  <c r="D707" i="2"/>
  <c r="C707" i="2"/>
  <c r="B707" i="2"/>
  <c r="Q706" i="2"/>
  <c r="F706" i="2"/>
  <c r="E706" i="2"/>
  <c r="D706" i="2"/>
  <c r="C706" i="2"/>
  <c r="B706" i="2"/>
  <c r="Q705" i="2"/>
  <c r="F705" i="2"/>
  <c r="E705" i="2"/>
  <c r="D705" i="2"/>
  <c r="C705" i="2"/>
  <c r="B705" i="2"/>
  <c r="Q704" i="2"/>
  <c r="F704" i="2"/>
  <c r="E704" i="2"/>
  <c r="D704" i="2"/>
  <c r="C704" i="2"/>
  <c r="B704" i="2"/>
  <c r="Q703" i="2"/>
  <c r="F703" i="2"/>
  <c r="E703" i="2"/>
  <c r="D703" i="2"/>
  <c r="C703" i="2"/>
  <c r="B703" i="2"/>
  <c r="Q702" i="2"/>
  <c r="F702" i="2"/>
  <c r="E702" i="2"/>
  <c r="D702" i="2"/>
  <c r="C702" i="2"/>
  <c r="B702" i="2"/>
  <c r="Q701" i="2"/>
  <c r="F701" i="2"/>
  <c r="E701" i="2"/>
  <c r="D701" i="2"/>
  <c r="C701" i="2"/>
  <c r="B701" i="2"/>
  <c r="Q700" i="2"/>
  <c r="F700" i="2"/>
  <c r="E700" i="2"/>
  <c r="D700" i="2"/>
  <c r="C700" i="2"/>
  <c r="B700" i="2"/>
  <c r="Q699" i="2"/>
  <c r="F699" i="2"/>
  <c r="E699" i="2"/>
  <c r="D699" i="2"/>
  <c r="C699" i="2"/>
  <c r="B699" i="2"/>
  <c r="Q698" i="2"/>
  <c r="F698" i="2"/>
  <c r="E698" i="2"/>
  <c r="D698" i="2"/>
  <c r="C698" i="2"/>
  <c r="B698" i="2"/>
  <c r="Q697" i="2"/>
  <c r="F697" i="2"/>
  <c r="E697" i="2"/>
  <c r="D697" i="2"/>
  <c r="C697" i="2"/>
  <c r="B697" i="2"/>
  <c r="Q696" i="2"/>
  <c r="F696" i="2"/>
  <c r="E696" i="2"/>
  <c r="D696" i="2"/>
  <c r="C696" i="2"/>
  <c r="B696" i="2"/>
  <c r="Q695" i="2"/>
  <c r="F695" i="2"/>
  <c r="E695" i="2"/>
  <c r="D695" i="2"/>
  <c r="C695" i="2"/>
  <c r="B695" i="2"/>
  <c r="Q694" i="2"/>
  <c r="F694" i="2"/>
  <c r="E694" i="2"/>
  <c r="D694" i="2"/>
  <c r="C694" i="2"/>
  <c r="B694" i="2"/>
  <c r="Q693" i="2"/>
  <c r="F693" i="2"/>
  <c r="E693" i="2"/>
  <c r="D693" i="2"/>
  <c r="C693" i="2"/>
  <c r="B693" i="2"/>
  <c r="Q692" i="2"/>
  <c r="F692" i="2"/>
  <c r="E692" i="2"/>
  <c r="D692" i="2"/>
  <c r="C692" i="2"/>
  <c r="B692" i="2"/>
  <c r="Q691" i="2"/>
  <c r="F691" i="2"/>
  <c r="E691" i="2"/>
  <c r="D691" i="2"/>
  <c r="C691" i="2"/>
  <c r="B691" i="2"/>
  <c r="Q690" i="2"/>
  <c r="F690" i="2"/>
  <c r="E690" i="2"/>
  <c r="D690" i="2"/>
  <c r="C690" i="2"/>
  <c r="B690" i="2"/>
  <c r="Q689" i="2"/>
  <c r="F689" i="2"/>
  <c r="E689" i="2"/>
  <c r="D689" i="2"/>
  <c r="C689" i="2"/>
  <c r="B689" i="2"/>
  <c r="Q688" i="2"/>
  <c r="F688" i="2"/>
  <c r="E688" i="2"/>
  <c r="D688" i="2"/>
  <c r="C688" i="2"/>
  <c r="B688" i="2"/>
  <c r="Q687" i="2"/>
  <c r="F687" i="2"/>
  <c r="E687" i="2"/>
  <c r="D687" i="2"/>
  <c r="C687" i="2"/>
  <c r="B687" i="2"/>
  <c r="Q686" i="2"/>
  <c r="F686" i="2"/>
  <c r="E686" i="2"/>
  <c r="D686" i="2"/>
  <c r="C686" i="2"/>
  <c r="B686" i="2"/>
  <c r="Q685" i="2"/>
  <c r="F685" i="2"/>
  <c r="E685" i="2"/>
  <c r="D685" i="2"/>
  <c r="C685" i="2"/>
  <c r="B685" i="2"/>
  <c r="Q684" i="2"/>
  <c r="F684" i="2"/>
  <c r="E684" i="2"/>
  <c r="D684" i="2"/>
  <c r="C684" i="2"/>
  <c r="B684" i="2"/>
  <c r="Q683" i="2"/>
  <c r="F683" i="2"/>
  <c r="E683" i="2"/>
  <c r="D683" i="2"/>
  <c r="C683" i="2"/>
  <c r="B683" i="2"/>
  <c r="Q682" i="2"/>
  <c r="F682" i="2"/>
  <c r="E682" i="2"/>
  <c r="D682" i="2"/>
  <c r="C682" i="2"/>
  <c r="B682" i="2"/>
  <c r="Q681" i="2"/>
  <c r="F681" i="2"/>
  <c r="E681" i="2"/>
  <c r="D681" i="2"/>
  <c r="C681" i="2"/>
  <c r="B681" i="2"/>
  <c r="Q680" i="2"/>
  <c r="F680" i="2"/>
  <c r="E680" i="2"/>
  <c r="D680" i="2"/>
  <c r="C680" i="2"/>
  <c r="B680" i="2"/>
  <c r="Q679" i="2"/>
  <c r="F679" i="2"/>
  <c r="E679" i="2"/>
  <c r="D679" i="2"/>
  <c r="C679" i="2"/>
  <c r="B679" i="2"/>
  <c r="Q678" i="2"/>
  <c r="F678" i="2"/>
  <c r="E678" i="2"/>
  <c r="D678" i="2"/>
  <c r="C678" i="2"/>
  <c r="B678" i="2"/>
  <c r="Q677" i="2"/>
  <c r="F677" i="2"/>
  <c r="E677" i="2"/>
  <c r="D677" i="2"/>
  <c r="C677" i="2"/>
  <c r="B677" i="2"/>
  <c r="Q676" i="2"/>
  <c r="F676" i="2"/>
  <c r="E676" i="2"/>
  <c r="D676" i="2"/>
  <c r="C676" i="2"/>
  <c r="B676" i="2"/>
  <c r="Q675" i="2"/>
  <c r="F675" i="2"/>
  <c r="E675" i="2"/>
  <c r="D675" i="2"/>
  <c r="C675" i="2"/>
  <c r="B675" i="2"/>
  <c r="Q674" i="2"/>
  <c r="F674" i="2"/>
  <c r="E674" i="2"/>
  <c r="D674" i="2"/>
  <c r="C674" i="2"/>
  <c r="B674" i="2"/>
  <c r="Q673" i="2"/>
  <c r="F673" i="2"/>
  <c r="E673" i="2"/>
  <c r="D673" i="2"/>
  <c r="C673" i="2"/>
  <c r="B673" i="2"/>
  <c r="Q672" i="2"/>
  <c r="F672" i="2"/>
  <c r="E672" i="2"/>
  <c r="D672" i="2"/>
  <c r="C672" i="2"/>
  <c r="B672" i="2"/>
  <c r="Q671" i="2"/>
  <c r="F671" i="2"/>
  <c r="E671" i="2"/>
  <c r="D671" i="2"/>
  <c r="C671" i="2"/>
  <c r="B671" i="2"/>
  <c r="Q670" i="2"/>
  <c r="F670" i="2"/>
  <c r="E670" i="2"/>
  <c r="D670" i="2"/>
  <c r="C670" i="2"/>
  <c r="B670" i="2"/>
  <c r="Q669" i="2"/>
  <c r="F669" i="2"/>
  <c r="E669" i="2"/>
  <c r="D669" i="2"/>
  <c r="C669" i="2"/>
  <c r="B669" i="2"/>
  <c r="Q668" i="2"/>
  <c r="F668" i="2"/>
  <c r="E668" i="2"/>
  <c r="D668" i="2"/>
  <c r="C668" i="2"/>
  <c r="B668" i="2"/>
  <c r="Q667" i="2"/>
  <c r="F667" i="2"/>
  <c r="E667" i="2"/>
  <c r="D667" i="2"/>
  <c r="C667" i="2"/>
  <c r="B667" i="2"/>
  <c r="Q666" i="2"/>
  <c r="F666" i="2"/>
  <c r="E666" i="2"/>
  <c r="D666" i="2"/>
  <c r="C666" i="2"/>
  <c r="B666" i="2"/>
  <c r="Q665" i="2"/>
  <c r="F665" i="2"/>
  <c r="E665" i="2"/>
  <c r="D665" i="2"/>
  <c r="C665" i="2"/>
  <c r="B665" i="2"/>
  <c r="Q664" i="2"/>
  <c r="F664" i="2"/>
  <c r="E664" i="2"/>
  <c r="D664" i="2"/>
  <c r="C664" i="2"/>
  <c r="B664" i="2"/>
  <c r="Q663" i="2"/>
  <c r="F663" i="2"/>
  <c r="E663" i="2"/>
  <c r="D663" i="2"/>
  <c r="C663" i="2"/>
  <c r="B663" i="2"/>
  <c r="Q662" i="2"/>
  <c r="F662" i="2"/>
  <c r="E662" i="2"/>
  <c r="D662" i="2"/>
  <c r="C662" i="2"/>
  <c r="B662" i="2"/>
  <c r="Q661" i="2"/>
  <c r="F661" i="2"/>
  <c r="E661" i="2"/>
  <c r="D661" i="2"/>
  <c r="C661" i="2"/>
  <c r="B661" i="2"/>
  <c r="Q660" i="2"/>
  <c r="F660" i="2"/>
  <c r="E660" i="2"/>
  <c r="D660" i="2"/>
  <c r="C660" i="2"/>
  <c r="B660" i="2"/>
  <c r="Q659" i="2"/>
  <c r="F659" i="2"/>
  <c r="E659" i="2"/>
  <c r="D659" i="2"/>
  <c r="C659" i="2"/>
  <c r="B659" i="2"/>
  <c r="Q658" i="2"/>
  <c r="F658" i="2"/>
  <c r="E658" i="2"/>
  <c r="D658" i="2"/>
  <c r="C658" i="2"/>
  <c r="B658" i="2"/>
  <c r="Q657" i="2"/>
  <c r="F657" i="2"/>
  <c r="E657" i="2"/>
  <c r="D657" i="2"/>
  <c r="C657" i="2"/>
  <c r="B657" i="2"/>
  <c r="Q656" i="2"/>
  <c r="F656" i="2"/>
  <c r="E656" i="2"/>
  <c r="D656" i="2"/>
  <c r="C656" i="2"/>
  <c r="B656" i="2"/>
  <c r="Q655" i="2"/>
  <c r="F655" i="2"/>
  <c r="E655" i="2"/>
  <c r="D655" i="2"/>
  <c r="C655" i="2"/>
  <c r="B655" i="2"/>
  <c r="Q654" i="2"/>
  <c r="F654" i="2"/>
  <c r="E654" i="2"/>
  <c r="D654" i="2"/>
  <c r="C654" i="2"/>
  <c r="B654" i="2"/>
  <c r="Q653" i="2"/>
  <c r="F653" i="2"/>
  <c r="E653" i="2"/>
  <c r="D653" i="2"/>
  <c r="C653" i="2"/>
  <c r="B653" i="2"/>
  <c r="Q652" i="2"/>
  <c r="F652" i="2"/>
  <c r="E652" i="2"/>
  <c r="D652" i="2"/>
  <c r="C652" i="2"/>
  <c r="B652" i="2"/>
  <c r="Q651" i="2"/>
  <c r="F651" i="2"/>
  <c r="E651" i="2"/>
  <c r="D651" i="2"/>
  <c r="C651" i="2"/>
  <c r="B651" i="2"/>
  <c r="Q650" i="2"/>
  <c r="F650" i="2"/>
  <c r="E650" i="2"/>
  <c r="D650" i="2"/>
  <c r="C650" i="2"/>
  <c r="B650" i="2"/>
  <c r="Q649" i="2"/>
  <c r="F649" i="2"/>
  <c r="E649" i="2"/>
  <c r="D649" i="2"/>
  <c r="C649" i="2"/>
  <c r="B649" i="2"/>
  <c r="Q648" i="2"/>
  <c r="F648" i="2"/>
  <c r="E648" i="2"/>
  <c r="D648" i="2"/>
  <c r="C648" i="2"/>
  <c r="B648" i="2"/>
  <c r="Q647" i="2"/>
  <c r="F647" i="2"/>
  <c r="E647" i="2"/>
  <c r="D647" i="2"/>
  <c r="C647" i="2"/>
  <c r="B647" i="2"/>
  <c r="Q646" i="2"/>
  <c r="F646" i="2"/>
  <c r="E646" i="2"/>
  <c r="D646" i="2"/>
  <c r="C646" i="2"/>
  <c r="B646" i="2"/>
  <c r="Q645" i="2"/>
  <c r="F645" i="2"/>
  <c r="E645" i="2"/>
  <c r="D645" i="2"/>
  <c r="C645" i="2"/>
  <c r="B645" i="2"/>
  <c r="Q644" i="2"/>
  <c r="F644" i="2"/>
  <c r="E644" i="2"/>
  <c r="D644" i="2"/>
  <c r="C644" i="2"/>
  <c r="B644" i="2"/>
  <c r="Q643" i="2"/>
  <c r="F643" i="2"/>
  <c r="E643" i="2"/>
  <c r="D643" i="2"/>
  <c r="C643" i="2"/>
  <c r="B643" i="2"/>
  <c r="Q642" i="2"/>
  <c r="F642" i="2"/>
  <c r="E642" i="2"/>
  <c r="D642" i="2"/>
  <c r="C642" i="2"/>
  <c r="B642" i="2"/>
  <c r="Q641" i="2"/>
  <c r="F641" i="2"/>
  <c r="E641" i="2"/>
  <c r="D641" i="2"/>
  <c r="C641" i="2"/>
  <c r="B641" i="2"/>
  <c r="Q640" i="2"/>
  <c r="F640" i="2"/>
  <c r="E640" i="2"/>
  <c r="D640" i="2"/>
  <c r="C640" i="2"/>
  <c r="B640" i="2"/>
  <c r="Q639" i="2"/>
  <c r="F639" i="2"/>
  <c r="E639" i="2"/>
  <c r="D639" i="2"/>
  <c r="C639" i="2"/>
  <c r="B639" i="2"/>
  <c r="Q638" i="2"/>
  <c r="F638" i="2"/>
  <c r="E638" i="2"/>
  <c r="D638" i="2"/>
  <c r="C638" i="2"/>
  <c r="B638" i="2"/>
  <c r="Q637" i="2"/>
  <c r="F637" i="2"/>
  <c r="E637" i="2"/>
  <c r="D637" i="2"/>
  <c r="C637" i="2"/>
  <c r="B637" i="2"/>
  <c r="Q636" i="2"/>
  <c r="F636" i="2"/>
  <c r="E636" i="2"/>
  <c r="D636" i="2"/>
  <c r="C636" i="2"/>
  <c r="B636" i="2"/>
  <c r="Q635" i="2"/>
  <c r="F635" i="2"/>
  <c r="E635" i="2"/>
  <c r="D635" i="2"/>
  <c r="C635" i="2"/>
  <c r="B635" i="2"/>
  <c r="Q634" i="2"/>
  <c r="F634" i="2"/>
  <c r="E634" i="2"/>
  <c r="D634" i="2"/>
  <c r="C634" i="2"/>
  <c r="B634" i="2"/>
  <c r="Q633" i="2"/>
  <c r="F633" i="2"/>
  <c r="E633" i="2"/>
  <c r="D633" i="2"/>
  <c r="C633" i="2"/>
  <c r="B633" i="2"/>
  <c r="Q632" i="2"/>
  <c r="F632" i="2"/>
  <c r="E632" i="2"/>
  <c r="D632" i="2"/>
  <c r="C632" i="2"/>
  <c r="B632" i="2"/>
  <c r="Q631" i="2"/>
  <c r="F631" i="2"/>
  <c r="E631" i="2"/>
  <c r="D631" i="2"/>
  <c r="C631" i="2"/>
  <c r="B631" i="2"/>
  <c r="Q630" i="2"/>
  <c r="F630" i="2"/>
  <c r="E630" i="2"/>
  <c r="D630" i="2"/>
  <c r="C630" i="2"/>
  <c r="B630" i="2"/>
  <c r="Q629" i="2"/>
  <c r="F629" i="2"/>
  <c r="E629" i="2"/>
  <c r="D629" i="2"/>
  <c r="C629" i="2"/>
  <c r="B629" i="2"/>
  <c r="Q628" i="2"/>
  <c r="F628" i="2"/>
  <c r="E628" i="2"/>
  <c r="D628" i="2"/>
  <c r="C628" i="2"/>
  <c r="B628" i="2"/>
  <c r="Q627" i="2"/>
  <c r="F627" i="2"/>
  <c r="E627" i="2"/>
  <c r="D627" i="2"/>
  <c r="C627" i="2"/>
  <c r="B627" i="2"/>
  <c r="Q626" i="2"/>
  <c r="F626" i="2"/>
  <c r="E626" i="2"/>
  <c r="D626" i="2"/>
  <c r="C626" i="2"/>
  <c r="B626" i="2"/>
  <c r="Q625" i="2"/>
  <c r="F625" i="2"/>
  <c r="E625" i="2"/>
  <c r="D625" i="2"/>
  <c r="C625" i="2"/>
  <c r="B625" i="2"/>
  <c r="Q624" i="2"/>
  <c r="F624" i="2"/>
  <c r="E624" i="2"/>
  <c r="D624" i="2"/>
  <c r="C624" i="2"/>
  <c r="B624" i="2"/>
  <c r="Q623" i="2"/>
  <c r="F623" i="2"/>
  <c r="E623" i="2"/>
  <c r="D623" i="2"/>
  <c r="C623" i="2"/>
  <c r="B623" i="2"/>
  <c r="Q622" i="2"/>
  <c r="F622" i="2"/>
  <c r="E622" i="2"/>
  <c r="D622" i="2"/>
  <c r="C622" i="2"/>
  <c r="B622" i="2"/>
  <c r="Q621" i="2"/>
  <c r="F621" i="2"/>
  <c r="E621" i="2"/>
  <c r="D621" i="2"/>
  <c r="C621" i="2"/>
  <c r="B621" i="2"/>
  <c r="Q620" i="2"/>
  <c r="F620" i="2"/>
  <c r="E620" i="2"/>
  <c r="D620" i="2"/>
  <c r="C620" i="2"/>
  <c r="B620" i="2"/>
  <c r="Q619" i="2"/>
  <c r="F619" i="2"/>
  <c r="E619" i="2"/>
  <c r="D619" i="2"/>
  <c r="C619" i="2"/>
  <c r="B619" i="2"/>
  <c r="Q618" i="2"/>
  <c r="F618" i="2"/>
  <c r="E618" i="2"/>
  <c r="D618" i="2"/>
  <c r="C618" i="2"/>
  <c r="B618" i="2"/>
  <c r="Q617" i="2"/>
  <c r="F617" i="2"/>
  <c r="E617" i="2"/>
  <c r="D617" i="2"/>
  <c r="C617" i="2"/>
  <c r="B617" i="2"/>
  <c r="Q616" i="2"/>
  <c r="F616" i="2"/>
  <c r="E616" i="2"/>
  <c r="D616" i="2"/>
  <c r="C616" i="2"/>
  <c r="B616" i="2"/>
  <c r="Q615" i="2"/>
  <c r="F615" i="2"/>
  <c r="E615" i="2"/>
  <c r="D615" i="2"/>
  <c r="C615" i="2"/>
  <c r="B615" i="2"/>
  <c r="Q614" i="2"/>
  <c r="F614" i="2"/>
  <c r="E614" i="2"/>
  <c r="D614" i="2"/>
  <c r="C614" i="2"/>
  <c r="B614" i="2"/>
  <c r="Q613" i="2"/>
  <c r="F613" i="2"/>
  <c r="E613" i="2"/>
  <c r="D613" i="2"/>
  <c r="C613" i="2"/>
  <c r="B613" i="2"/>
  <c r="Q612" i="2"/>
  <c r="F612" i="2"/>
  <c r="E612" i="2"/>
  <c r="D612" i="2"/>
  <c r="C612" i="2"/>
  <c r="B612" i="2"/>
  <c r="Q611" i="2"/>
  <c r="F611" i="2"/>
  <c r="E611" i="2"/>
  <c r="D611" i="2"/>
  <c r="C611" i="2"/>
  <c r="B611" i="2"/>
  <c r="Q610" i="2"/>
  <c r="F610" i="2"/>
  <c r="E610" i="2"/>
  <c r="D610" i="2"/>
  <c r="C610" i="2"/>
  <c r="B610" i="2"/>
  <c r="Q609" i="2"/>
  <c r="F609" i="2"/>
  <c r="E609" i="2"/>
  <c r="D609" i="2"/>
  <c r="C609" i="2"/>
  <c r="B609" i="2"/>
  <c r="Q608" i="2"/>
  <c r="F608" i="2"/>
  <c r="E608" i="2"/>
  <c r="D608" i="2"/>
  <c r="C608" i="2"/>
  <c r="B608" i="2"/>
  <c r="Q607" i="2"/>
  <c r="F607" i="2"/>
  <c r="E607" i="2"/>
  <c r="D607" i="2"/>
  <c r="C607" i="2"/>
  <c r="B607" i="2"/>
  <c r="Q606" i="2"/>
  <c r="F606" i="2"/>
  <c r="E606" i="2"/>
  <c r="D606" i="2"/>
  <c r="C606" i="2"/>
  <c r="B606" i="2"/>
  <c r="Q605" i="2"/>
  <c r="F605" i="2"/>
  <c r="E605" i="2"/>
  <c r="D605" i="2"/>
  <c r="C605" i="2"/>
  <c r="B605" i="2"/>
  <c r="Q604" i="2"/>
  <c r="F604" i="2"/>
  <c r="E604" i="2"/>
  <c r="D604" i="2"/>
  <c r="C604" i="2"/>
  <c r="B604" i="2"/>
  <c r="Q603" i="2"/>
  <c r="F603" i="2"/>
  <c r="E603" i="2"/>
  <c r="D603" i="2"/>
  <c r="C603" i="2"/>
  <c r="B603" i="2"/>
  <c r="Q602" i="2"/>
  <c r="F602" i="2"/>
  <c r="E602" i="2"/>
  <c r="D602" i="2"/>
  <c r="C602" i="2"/>
  <c r="B602" i="2"/>
  <c r="Q601" i="2"/>
  <c r="F601" i="2"/>
  <c r="E601" i="2"/>
  <c r="D601" i="2"/>
  <c r="C601" i="2"/>
  <c r="B601" i="2"/>
  <c r="Q600" i="2"/>
  <c r="F600" i="2"/>
  <c r="E600" i="2"/>
  <c r="D600" i="2"/>
  <c r="C600" i="2"/>
  <c r="B600" i="2"/>
  <c r="Q599" i="2"/>
  <c r="F599" i="2"/>
  <c r="E599" i="2"/>
  <c r="D599" i="2"/>
  <c r="C599" i="2"/>
  <c r="B599" i="2"/>
  <c r="Q598" i="2"/>
  <c r="F598" i="2"/>
  <c r="E598" i="2"/>
  <c r="D598" i="2"/>
  <c r="C598" i="2"/>
  <c r="B598" i="2"/>
  <c r="Q597" i="2"/>
  <c r="F597" i="2"/>
  <c r="E597" i="2"/>
  <c r="D597" i="2"/>
  <c r="C597" i="2"/>
  <c r="B597" i="2"/>
  <c r="Q596" i="2"/>
  <c r="F596" i="2"/>
  <c r="E596" i="2"/>
  <c r="D596" i="2"/>
  <c r="C596" i="2"/>
  <c r="B596" i="2"/>
  <c r="Q595" i="2"/>
  <c r="F595" i="2"/>
  <c r="E595" i="2"/>
  <c r="D595" i="2"/>
  <c r="C595" i="2"/>
  <c r="B595" i="2"/>
  <c r="Q594" i="2"/>
  <c r="F594" i="2"/>
  <c r="E594" i="2"/>
  <c r="D594" i="2"/>
  <c r="C594" i="2"/>
  <c r="B594" i="2"/>
  <c r="Q593" i="2"/>
  <c r="F593" i="2"/>
  <c r="E593" i="2"/>
  <c r="D593" i="2"/>
  <c r="C593" i="2"/>
  <c r="B593" i="2"/>
  <c r="Q592" i="2"/>
  <c r="F592" i="2"/>
  <c r="E592" i="2"/>
  <c r="D592" i="2"/>
  <c r="C592" i="2"/>
  <c r="B592" i="2"/>
  <c r="Q591" i="2"/>
  <c r="F591" i="2"/>
  <c r="E591" i="2"/>
  <c r="D591" i="2"/>
  <c r="C591" i="2"/>
  <c r="B591" i="2"/>
  <c r="Q590" i="2"/>
  <c r="F590" i="2"/>
  <c r="E590" i="2"/>
  <c r="D590" i="2"/>
  <c r="C590" i="2"/>
  <c r="B590" i="2"/>
  <c r="Q589" i="2"/>
  <c r="F589" i="2"/>
  <c r="E589" i="2"/>
  <c r="D589" i="2"/>
  <c r="C589" i="2"/>
  <c r="B589" i="2"/>
  <c r="Q588" i="2"/>
  <c r="F588" i="2"/>
  <c r="E588" i="2"/>
  <c r="D588" i="2"/>
  <c r="C588" i="2"/>
  <c r="B588" i="2"/>
  <c r="Q587" i="2"/>
  <c r="F587" i="2"/>
  <c r="E587" i="2"/>
  <c r="D587" i="2"/>
  <c r="C587" i="2"/>
  <c r="B587" i="2"/>
  <c r="Q586" i="2"/>
  <c r="F586" i="2"/>
  <c r="E586" i="2"/>
  <c r="D586" i="2"/>
  <c r="C586" i="2"/>
  <c r="B586" i="2"/>
  <c r="Q585" i="2"/>
  <c r="F585" i="2"/>
  <c r="E585" i="2"/>
  <c r="D585" i="2"/>
  <c r="C585" i="2"/>
  <c r="B585" i="2"/>
  <c r="Q584" i="2"/>
  <c r="F584" i="2"/>
  <c r="E584" i="2"/>
  <c r="D584" i="2"/>
  <c r="C584" i="2"/>
  <c r="B584" i="2"/>
  <c r="Q583" i="2"/>
  <c r="F583" i="2"/>
  <c r="E583" i="2"/>
  <c r="D583" i="2"/>
  <c r="C583" i="2"/>
  <c r="B583" i="2"/>
  <c r="Q582" i="2"/>
  <c r="F582" i="2"/>
  <c r="E582" i="2"/>
  <c r="D582" i="2"/>
  <c r="C582" i="2"/>
  <c r="B582" i="2"/>
  <c r="Q581" i="2"/>
  <c r="F581" i="2"/>
  <c r="E581" i="2"/>
  <c r="D581" i="2"/>
  <c r="C581" i="2"/>
  <c r="B581" i="2"/>
  <c r="Q580" i="2"/>
  <c r="F580" i="2"/>
  <c r="E580" i="2"/>
  <c r="D580" i="2"/>
  <c r="C580" i="2"/>
  <c r="B580" i="2"/>
  <c r="Q579" i="2"/>
  <c r="F579" i="2"/>
  <c r="E579" i="2"/>
  <c r="D579" i="2"/>
  <c r="C579" i="2"/>
  <c r="B579" i="2"/>
  <c r="Q578" i="2"/>
  <c r="F578" i="2"/>
  <c r="E578" i="2"/>
  <c r="D578" i="2"/>
  <c r="C578" i="2"/>
  <c r="B578" i="2"/>
  <c r="Q577" i="2"/>
  <c r="F577" i="2"/>
  <c r="E577" i="2"/>
  <c r="D577" i="2"/>
  <c r="C577" i="2"/>
  <c r="B577" i="2"/>
  <c r="Q576" i="2"/>
  <c r="F576" i="2"/>
  <c r="E576" i="2"/>
  <c r="D576" i="2"/>
  <c r="C576" i="2"/>
  <c r="B576" i="2"/>
  <c r="Q575" i="2"/>
  <c r="F575" i="2"/>
  <c r="E575" i="2"/>
  <c r="D575" i="2"/>
  <c r="C575" i="2"/>
  <c r="B575" i="2"/>
  <c r="Q574" i="2"/>
  <c r="F574" i="2"/>
  <c r="E574" i="2"/>
  <c r="D574" i="2"/>
  <c r="C574" i="2"/>
  <c r="B574" i="2"/>
  <c r="Q573" i="2"/>
  <c r="F573" i="2"/>
  <c r="E573" i="2"/>
  <c r="D573" i="2"/>
  <c r="C573" i="2"/>
  <c r="B573" i="2"/>
  <c r="Q572" i="2"/>
  <c r="F572" i="2"/>
  <c r="E572" i="2"/>
  <c r="D572" i="2"/>
  <c r="C572" i="2"/>
  <c r="B572" i="2"/>
  <c r="Q571" i="2"/>
  <c r="F571" i="2"/>
  <c r="E571" i="2"/>
  <c r="D571" i="2"/>
  <c r="C571" i="2"/>
  <c r="B571" i="2"/>
  <c r="Q570" i="2"/>
  <c r="F570" i="2"/>
  <c r="E570" i="2"/>
  <c r="D570" i="2"/>
  <c r="C570" i="2"/>
  <c r="B570" i="2"/>
  <c r="Q569" i="2"/>
  <c r="F569" i="2"/>
  <c r="E569" i="2"/>
  <c r="D569" i="2"/>
  <c r="C569" i="2"/>
  <c r="B569" i="2"/>
  <c r="Q568" i="2"/>
  <c r="F568" i="2"/>
  <c r="E568" i="2"/>
  <c r="D568" i="2"/>
  <c r="C568" i="2"/>
  <c r="B568" i="2"/>
  <c r="Q567" i="2"/>
  <c r="F567" i="2"/>
  <c r="E567" i="2"/>
  <c r="D567" i="2"/>
  <c r="C567" i="2"/>
  <c r="B567" i="2"/>
  <c r="Q566" i="2"/>
  <c r="F566" i="2"/>
  <c r="E566" i="2"/>
  <c r="D566" i="2"/>
  <c r="C566" i="2"/>
  <c r="B566" i="2"/>
  <c r="Q565" i="2"/>
  <c r="F565" i="2"/>
  <c r="E565" i="2"/>
  <c r="D565" i="2"/>
  <c r="C565" i="2"/>
  <c r="B565" i="2"/>
  <c r="Q564" i="2"/>
  <c r="F564" i="2"/>
  <c r="E564" i="2"/>
  <c r="D564" i="2"/>
  <c r="C564" i="2"/>
  <c r="B564" i="2"/>
  <c r="Q563" i="2"/>
  <c r="F563" i="2"/>
  <c r="E563" i="2"/>
  <c r="D563" i="2"/>
  <c r="C563" i="2"/>
  <c r="B563" i="2"/>
  <c r="Q562" i="2"/>
  <c r="F562" i="2"/>
  <c r="E562" i="2"/>
  <c r="D562" i="2"/>
  <c r="C562" i="2"/>
  <c r="B562" i="2"/>
  <c r="Q561" i="2"/>
  <c r="F561" i="2"/>
  <c r="E561" i="2"/>
  <c r="D561" i="2"/>
  <c r="C561" i="2"/>
  <c r="B561" i="2"/>
  <c r="Q560" i="2"/>
  <c r="F560" i="2"/>
  <c r="E560" i="2"/>
  <c r="D560" i="2"/>
  <c r="C560" i="2"/>
  <c r="B560" i="2"/>
  <c r="Q559" i="2"/>
  <c r="F559" i="2"/>
  <c r="E559" i="2"/>
  <c r="D559" i="2"/>
  <c r="C559" i="2"/>
  <c r="B559" i="2"/>
  <c r="Q558" i="2"/>
  <c r="F558" i="2"/>
  <c r="E558" i="2"/>
  <c r="D558" i="2"/>
  <c r="C558" i="2"/>
  <c r="B558" i="2"/>
  <c r="Q557" i="2"/>
  <c r="F557" i="2"/>
  <c r="E557" i="2"/>
  <c r="D557" i="2"/>
  <c r="C557" i="2"/>
  <c r="B557" i="2"/>
  <c r="Q556" i="2"/>
  <c r="F556" i="2"/>
  <c r="E556" i="2"/>
  <c r="D556" i="2"/>
  <c r="C556" i="2"/>
  <c r="B556" i="2"/>
  <c r="Q555" i="2"/>
  <c r="F555" i="2"/>
  <c r="E555" i="2"/>
  <c r="D555" i="2"/>
  <c r="C555" i="2"/>
  <c r="B555" i="2"/>
  <c r="Q554" i="2"/>
  <c r="F554" i="2"/>
  <c r="E554" i="2"/>
  <c r="D554" i="2"/>
  <c r="C554" i="2"/>
  <c r="B554" i="2"/>
  <c r="Q553" i="2"/>
  <c r="F553" i="2"/>
  <c r="E553" i="2"/>
  <c r="D553" i="2"/>
  <c r="C553" i="2"/>
  <c r="B553" i="2"/>
  <c r="Q552" i="2"/>
  <c r="F552" i="2"/>
  <c r="E552" i="2"/>
  <c r="D552" i="2"/>
  <c r="C552" i="2"/>
  <c r="B552" i="2"/>
  <c r="Q551" i="2"/>
  <c r="F551" i="2"/>
  <c r="E551" i="2"/>
  <c r="D551" i="2"/>
  <c r="C551" i="2"/>
  <c r="B551" i="2"/>
  <c r="Q550" i="2"/>
  <c r="F550" i="2"/>
  <c r="E550" i="2"/>
  <c r="D550" i="2"/>
  <c r="C550" i="2"/>
  <c r="B550" i="2"/>
  <c r="Q549" i="2"/>
  <c r="F549" i="2"/>
  <c r="E549" i="2"/>
  <c r="D549" i="2"/>
  <c r="C549" i="2"/>
  <c r="B549" i="2"/>
  <c r="Q548" i="2"/>
  <c r="F548" i="2"/>
  <c r="E548" i="2"/>
  <c r="D548" i="2"/>
  <c r="C548" i="2"/>
  <c r="B548" i="2"/>
  <c r="Q547" i="2"/>
  <c r="F547" i="2"/>
  <c r="E547" i="2"/>
  <c r="D547" i="2"/>
  <c r="C547" i="2"/>
  <c r="B547" i="2"/>
  <c r="Q546" i="2"/>
  <c r="F546" i="2"/>
  <c r="E546" i="2"/>
  <c r="D546" i="2"/>
  <c r="C546" i="2"/>
  <c r="B546" i="2"/>
  <c r="Q545" i="2"/>
  <c r="F545" i="2"/>
  <c r="E545" i="2"/>
  <c r="D545" i="2"/>
  <c r="C545" i="2"/>
  <c r="B545" i="2"/>
  <c r="Q544" i="2"/>
  <c r="F544" i="2"/>
  <c r="E544" i="2"/>
  <c r="D544" i="2"/>
  <c r="C544" i="2"/>
  <c r="B544" i="2"/>
  <c r="Q543" i="2"/>
  <c r="F543" i="2"/>
  <c r="E543" i="2"/>
  <c r="D543" i="2"/>
  <c r="C543" i="2"/>
  <c r="B543" i="2"/>
  <c r="Q542" i="2"/>
  <c r="F542" i="2"/>
  <c r="E542" i="2"/>
  <c r="D542" i="2"/>
  <c r="C542" i="2"/>
  <c r="B542" i="2"/>
  <c r="Q541" i="2"/>
  <c r="F541" i="2"/>
  <c r="E541" i="2"/>
  <c r="D541" i="2"/>
  <c r="C541" i="2"/>
  <c r="B541" i="2"/>
  <c r="Q540" i="2"/>
  <c r="F540" i="2"/>
  <c r="E540" i="2"/>
  <c r="D540" i="2"/>
  <c r="C540" i="2"/>
  <c r="B540" i="2"/>
  <c r="Q539" i="2"/>
  <c r="F539" i="2"/>
  <c r="E539" i="2"/>
  <c r="D539" i="2"/>
  <c r="C539" i="2"/>
  <c r="B539" i="2"/>
  <c r="Q538" i="2"/>
  <c r="F538" i="2"/>
  <c r="E538" i="2"/>
  <c r="D538" i="2"/>
  <c r="C538" i="2"/>
  <c r="B538" i="2"/>
  <c r="Q537" i="2"/>
  <c r="F537" i="2"/>
  <c r="E537" i="2"/>
  <c r="D537" i="2"/>
  <c r="C537" i="2"/>
  <c r="B537" i="2"/>
  <c r="Q536" i="2"/>
  <c r="F536" i="2"/>
  <c r="E536" i="2"/>
  <c r="D536" i="2"/>
  <c r="C536" i="2"/>
  <c r="B536" i="2"/>
  <c r="Q535" i="2"/>
  <c r="F535" i="2"/>
  <c r="E535" i="2"/>
  <c r="D535" i="2"/>
  <c r="C535" i="2"/>
  <c r="B535" i="2"/>
  <c r="Q534" i="2"/>
  <c r="F534" i="2"/>
  <c r="E534" i="2"/>
  <c r="D534" i="2"/>
  <c r="C534" i="2"/>
  <c r="B534" i="2"/>
  <c r="Q533" i="2"/>
  <c r="F533" i="2"/>
  <c r="E533" i="2"/>
  <c r="D533" i="2"/>
  <c r="C533" i="2"/>
  <c r="B533" i="2"/>
  <c r="Q532" i="2"/>
  <c r="F532" i="2"/>
  <c r="E532" i="2"/>
  <c r="D532" i="2"/>
  <c r="C532" i="2"/>
  <c r="B532" i="2"/>
  <c r="Q531" i="2"/>
  <c r="F531" i="2"/>
  <c r="E531" i="2"/>
  <c r="D531" i="2"/>
  <c r="C531" i="2"/>
  <c r="B531" i="2"/>
  <c r="Q530" i="2"/>
  <c r="F530" i="2"/>
  <c r="E530" i="2"/>
  <c r="D530" i="2"/>
  <c r="C530" i="2"/>
  <c r="B530" i="2"/>
  <c r="Q529" i="2"/>
  <c r="F529" i="2"/>
  <c r="E529" i="2"/>
  <c r="D529" i="2"/>
  <c r="C529" i="2"/>
  <c r="B529" i="2"/>
  <c r="Q528" i="2"/>
  <c r="F528" i="2"/>
  <c r="E528" i="2"/>
  <c r="D528" i="2"/>
  <c r="C528" i="2"/>
  <c r="B528" i="2"/>
  <c r="Q527" i="2"/>
  <c r="F527" i="2"/>
  <c r="E527" i="2"/>
  <c r="D527" i="2"/>
  <c r="C527" i="2"/>
  <c r="B527" i="2"/>
  <c r="Q526" i="2"/>
  <c r="F526" i="2"/>
  <c r="E526" i="2"/>
  <c r="D526" i="2"/>
  <c r="C526" i="2"/>
  <c r="B526" i="2"/>
  <c r="Q525" i="2"/>
  <c r="F525" i="2"/>
  <c r="E525" i="2"/>
  <c r="D525" i="2"/>
  <c r="C525" i="2"/>
  <c r="B525" i="2"/>
  <c r="Q524" i="2"/>
  <c r="F524" i="2"/>
  <c r="E524" i="2"/>
  <c r="D524" i="2"/>
  <c r="C524" i="2"/>
  <c r="B524" i="2"/>
  <c r="Q523" i="2"/>
  <c r="F523" i="2"/>
  <c r="E523" i="2"/>
  <c r="D523" i="2"/>
  <c r="C523" i="2"/>
  <c r="B523" i="2"/>
  <c r="Q522" i="2"/>
  <c r="F522" i="2"/>
  <c r="E522" i="2"/>
  <c r="D522" i="2"/>
  <c r="C522" i="2"/>
  <c r="B522" i="2"/>
  <c r="Q521" i="2"/>
  <c r="F521" i="2"/>
  <c r="E521" i="2"/>
  <c r="D521" i="2"/>
  <c r="C521" i="2"/>
  <c r="B521" i="2"/>
  <c r="Q520" i="2"/>
  <c r="F520" i="2"/>
  <c r="E520" i="2"/>
  <c r="D520" i="2"/>
  <c r="C520" i="2"/>
  <c r="B520" i="2"/>
  <c r="Q519" i="2"/>
  <c r="F519" i="2"/>
  <c r="E519" i="2"/>
  <c r="D519" i="2"/>
  <c r="C519" i="2"/>
  <c r="B519" i="2"/>
  <c r="Q518" i="2"/>
  <c r="F518" i="2"/>
  <c r="E518" i="2"/>
  <c r="D518" i="2"/>
  <c r="C518" i="2"/>
  <c r="B518" i="2"/>
  <c r="Q517" i="2"/>
  <c r="F517" i="2"/>
  <c r="E517" i="2"/>
  <c r="D517" i="2"/>
  <c r="C517" i="2"/>
  <c r="B517" i="2"/>
  <c r="Q516" i="2"/>
  <c r="F516" i="2"/>
  <c r="E516" i="2"/>
  <c r="D516" i="2"/>
  <c r="C516" i="2"/>
  <c r="B516" i="2"/>
  <c r="Q515" i="2"/>
  <c r="F515" i="2"/>
  <c r="E515" i="2"/>
  <c r="D515" i="2"/>
  <c r="C515" i="2"/>
  <c r="B515" i="2"/>
  <c r="Q514" i="2"/>
  <c r="F514" i="2"/>
  <c r="E514" i="2"/>
  <c r="D514" i="2"/>
  <c r="C514" i="2"/>
  <c r="B514" i="2"/>
  <c r="Q513" i="2"/>
  <c r="F513" i="2"/>
  <c r="E513" i="2"/>
  <c r="D513" i="2"/>
  <c r="C513" i="2"/>
  <c r="B513" i="2"/>
  <c r="Q512" i="2"/>
  <c r="F512" i="2"/>
  <c r="E512" i="2"/>
  <c r="D512" i="2"/>
  <c r="C512" i="2"/>
  <c r="B512" i="2"/>
  <c r="Q511" i="2"/>
  <c r="F511" i="2"/>
  <c r="E511" i="2"/>
  <c r="D511" i="2"/>
  <c r="C511" i="2"/>
  <c r="B511" i="2"/>
  <c r="Q510" i="2"/>
  <c r="F510" i="2"/>
  <c r="E510" i="2"/>
  <c r="D510" i="2"/>
  <c r="C510" i="2"/>
  <c r="B510" i="2"/>
  <c r="Q509" i="2"/>
  <c r="F509" i="2"/>
  <c r="E509" i="2"/>
  <c r="D509" i="2"/>
  <c r="C509" i="2"/>
  <c r="B509" i="2"/>
  <c r="Q508" i="2"/>
  <c r="F508" i="2"/>
  <c r="E508" i="2"/>
  <c r="D508" i="2"/>
  <c r="C508" i="2"/>
  <c r="B508" i="2"/>
  <c r="Q507" i="2"/>
  <c r="F507" i="2"/>
  <c r="E507" i="2"/>
  <c r="D507" i="2"/>
  <c r="C507" i="2"/>
  <c r="B507" i="2"/>
  <c r="Q506" i="2"/>
  <c r="F506" i="2"/>
  <c r="E506" i="2"/>
  <c r="D506" i="2"/>
  <c r="C506" i="2"/>
  <c r="B506" i="2"/>
  <c r="Q505" i="2"/>
  <c r="F505" i="2"/>
  <c r="E505" i="2"/>
  <c r="D505" i="2"/>
  <c r="C505" i="2"/>
  <c r="B505" i="2"/>
  <c r="Q504" i="2"/>
  <c r="F504" i="2"/>
  <c r="E504" i="2"/>
  <c r="D504" i="2"/>
  <c r="C504" i="2"/>
  <c r="B504" i="2"/>
  <c r="Q503" i="2"/>
  <c r="F503" i="2"/>
  <c r="E503" i="2"/>
  <c r="D503" i="2"/>
  <c r="C503" i="2"/>
  <c r="B503" i="2"/>
  <c r="Q502" i="2"/>
  <c r="F502" i="2"/>
  <c r="E502" i="2"/>
  <c r="D502" i="2"/>
  <c r="C502" i="2"/>
  <c r="B502" i="2"/>
  <c r="Q501" i="2"/>
  <c r="F501" i="2"/>
  <c r="E501" i="2"/>
  <c r="D501" i="2"/>
  <c r="C501" i="2"/>
  <c r="B501" i="2"/>
  <c r="Q500" i="2"/>
  <c r="F500" i="2"/>
  <c r="E500" i="2"/>
  <c r="D500" i="2"/>
  <c r="C500" i="2"/>
  <c r="B500" i="2"/>
  <c r="Q499" i="2"/>
  <c r="F499" i="2"/>
  <c r="E499" i="2"/>
  <c r="D499" i="2"/>
  <c r="C499" i="2"/>
  <c r="B499" i="2"/>
  <c r="Q498" i="2"/>
  <c r="F498" i="2"/>
  <c r="E498" i="2"/>
  <c r="D498" i="2"/>
  <c r="C498" i="2"/>
  <c r="B498" i="2"/>
  <c r="Q497" i="2"/>
  <c r="F497" i="2"/>
  <c r="E497" i="2"/>
  <c r="D497" i="2"/>
  <c r="C497" i="2"/>
  <c r="B497" i="2"/>
  <c r="Q496" i="2"/>
  <c r="F496" i="2"/>
  <c r="E496" i="2"/>
  <c r="D496" i="2"/>
  <c r="C496" i="2"/>
  <c r="B496" i="2"/>
  <c r="Q495" i="2"/>
  <c r="F495" i="2"/>
  <c r="E495" i="2"/>
  <c r="D495" i="2"/>
  <c r="C495" i="2"/>
  <c r="B495" i="2"/>
  <c r="Q494" i="2"/>
  <c r="F494" i="2"/>
  <c r="E494" i="2"/>
  <c r="D494" i="2"/>
  <c r="C494" i="2"/>
  <c r="B494" i="2"/>
  <c r="Q493" i="2"/>
  <c r="F493" i="2"/>
  <c r="E493" i="2"/>
  <c r="D493" i="2"/>
  <c r="C493" i="2"/>
  <c r="B493" i="2"/>
  <c r="Q492" i="2"/>
  <c r="F492" i="2"/>
  <c r="E492" i="2"/>
  <c r="D492" i="2"/>
  <c r="C492" i="2"/>
  <c r="B492" i="2"/>
  <c r="Q491" i="2"/>
  <c r="F491" i="2"/>
  <c r="E491" i="2"/>
  <c r="D491" i="2"/>
  <c r="C491" i="2"/>
  <c r="B491" i="2"/>
  <c r="Q490" i="2"/>
  <c r="F490" i="2"/>
  <c r="E490" i="2"/>
  <c r="D490" i="2"/>
  <c r="C490" i="2"/>
  <c r="B490" i="2"/>
  <c r="Q489" i="2"/>
  <c r="F489" i="2"/>
  <c r="E489" i="2"/>
  <c r="D489" i="2"/>
  <c r="C489" i="2"/>
  <c r="B489" i="2"/>
  <c r="Q488" i="2"/>
  <c r="F488" i="2"/>
  <c r="E488" i="2"/>
  <c r="D488" i="2"/>
  <c r="C488" i="2"/>
  <c r="B488" i="2"/>
  <c r="Q487" i="2"/>
  <c r="F487" i="2"/>
  <c r="E487" i="2"/>
  <c r="D487" i="2"/>
  <c r="C487" i="2"/>
  <c r="B487" i="2"/>
  <c r="Q486" i="2"/>
  <c r="F486" i="2"/>
  <c r="E486" i="2"/>
  <c r="D486" i="2"/>
  <c r="C486" i="2"/>
  <c r="B486" i="2"/>
  <c r="Q485" i="2"/>
  <c r="F485" i="2"/>
  <c r="E485" i="2"/>
  <c r="D485" i="2"/>
  <c r="C485" i="2"/>
  <c r="B485" i="2"/>
  <c r="Q484" i="2"/>
  <c r="F484" i="2"/>
  <c r="E484" i="2"/>
  <c r="D484" i="2"/>
  <c r="C484" i="2"/>
  <c r="B484" i="2"/>
  <c r="Q483" i="2"/>
  <c r="F483" i="2"/>
  <c r="E483" i="2"/>
  <c r="D483" i="2"/>
  <c r="C483" i="2"/>
  <c r="B483" i="2"/>
  <c r="Q482" i="2"/>
  <c r="F482" i="2"/>
  <c r="E482" i="2"/>
  <c r="D482" i="2"/>
  <c r="C482" i="2"/>
  <c r="B482" i="2"/>
  <c r="Q481" i="2"/>
  <c r="F481" i="2"/>
  <c r="E481" i="2"/>
  <c r="D481" i="2"/>
  <c r="C481" i="2"/>
  <c r="B481" i="2"/>
  <c r="Q480" i="2"/>
  <c r="F480" i="2"/>
  <c r="E480" i="2"/>
  <c r="D480" i="2"/>
  <c r="C480" i="2"/>
  <c r="B480" i="2"/>
  <c r="Q479" i="2"/>
  <c r="F479" i="2"/>
  <c r="E479" i="2"/>
  <c r="D479" i="2"/>
  <c r="C479" i="2"/>
  <c r="B479" i="2"/>
  <c r="Q478" i="2"/>
  <c r="F478" i="2"/>
  <c r="E478" i="2"/>
  <c r="D478" i="2"/>
  <c r="C478" i="2"/>
  <c r="B478" i="2"/>
  <c r="Q477" i="2"/>
  <c r="F477" i="2"/>
  <c r="E477" i="2"/>
  <c r="D477" i="2"/>
  <c r="C477" i="2"/>
  <c r="B477" i="2"/>
  <c r="Q476" i="2"/>
  <c r="F476" i="2"/>
  <c r="E476" i="2"/>
  <c r="D476" i="2"/>
  <c r="C476" i="2"/>
  <c r="B476" i="2"/>
  <c r="Q475" i="2"/>
  <c r="F475" i="2"/>
  <c r="E475" i="2"/>
  <c r="D475" i="2"/>
  <c r="C475" i="2"/>
  <c r="B475" i="2"/>
  <c r="Q474" i="2"/>
  <c r="F474" i="2"/>
  <c r="E474" i="2"/>
  <c r="D474" i="2"/>
  <c r="C474" i="2"/>
  <c r="B474" i="2"/>
  <c r="Q473" i="2"/>
  <c r="F473" i="2"/>
  <c r="E473" i="2"/>
  <c r="D473" i="2"/>
  <c r="C473" i="2"/>
  <c r="B473" i="2"/>
  <c r="Q472" i="2"/>
  <c r="F472" i="2"/>
  <c r="E472" i="2"/>
  <c r="D472" i="2"/>
  <c r="C472" i="2"/>
  <c r="B472" i="2"/>
  <c r="Q471" i="2"/>
  <c r="F471" i="2"/>
  <c r="E471" i="2"/>
  <c r="D471" i="2"/>
  <c r="C471" i="2"/>
  <c r="B471" i="2"/>
  <c r="Q470" i="2"/>
  <c r="F470" i="2"/>
  <c r="E470" i="2"/>
  <c r="D470" i="2"/>
  <c r="C470" i="2"/>
  <c r="B470" i="2"/>
  <c r="Q469" i="2"/>
  <c r="F469" i="2"/>
  <c r="E469" i="2"/>
  <c r="D469" i="2"/>
  <c r="C469" i="2"/>
  <c r="B469" i="2"/>
  <c r="Q468" i="2"/>
  <c r="F468" i="2"/>
  <c r="E468" i="2"/>
  <c r="D468" i="2"/>
  <c r="C468" i="2"/>
  <c r="B468" i="2"/>
  <c r="Q467" i="2"/>
  <c r="F467" i="2"/>
  <c r="E467" i="2"/>
  <c r="D467" i="2"/>
  <c r="C467" i="2"/>
  <c r="B467" i="2"/>
  <c r="Q466" i="2"/>
  <c r="F466" i="2"/>
  <c r="E466" i="2"/>
  <c r="D466" i="2"/>
  <c r="C466" i="2"/>
  <c r="B466" i="2"/>
  <c r="Q465" i="2"/>
  <c r="F465" i="2"/>
  <c r="E465" i="2"/>
  <c r="D465" i="2"/>
  <c r="C465" i="2"/>
  <c r="B465" i="2"/>
  <c r="Q464" i="2"/>
  <c r="F464" i="2"/>
  <c r="E464" i="2"/>
  <c r="D464" i="2"/>
  <c r="C464" i="2"/>
  <c r="B464" i="2"/>
  <c r="Q463" i="2"/>
  <c r="F463" i="2"/>
  <c r="E463" i="2"/>
  <c r="D463" i="2"/>
  <c r="C463" i="2"/>
  <c r="B463" i="2"/>
  <c r="Q462" i="2"/>
  <c r="F462" i="2"/>
  <c r="E462" i="2"/>
  <c r="D462" i="2"/>
  <c r="C462" i="2"/>
  <c r="B462" i="2"/>
  <c r="Q461" i="2"/>
  <c r="F461" i="2"/>
  <c r="E461" i="2"/>
  <c r="D461" i="2"/>
  <c r="C461" i="2"/>
  <c r="B461" i="2"/>
  <c r="Q460" i="2"/>
  <c r="F460" i="2"/>
  <c r="E460" i="2"/>
  <c r="D460" i="2"/>
  <c r="C460" i="2"/>
  <c r="B460" i="2"/>
  <c r="Q459" i="2"/>
  <c r="F459" i="2"/>
  <c r="E459" i="2"/>
  <c r="D459" i="2"/>
  <c r="C459" i="2"/>
  <c r="B459" i="2"/>
  <c r="Q458" i="2"/>
  <c r="F458" i="2"/>
  <c r="E458" i="2"/>
  <c r="D458" i="2"/>
  <c r="C458" i="2"/>
  <c r="B458" i="2"/>
  <c r="Q457" i="2"/>
  <c r="F457" i="2"/>
  <c r="E457" i="2"/>
  <c r="D457" i="2"/>
  <c r="C457" i="2"/>
  <c r="B457" i="2"/>
  <c r="Q456" i="2"/>
  <c r="F456" i="2"/>
  <c r="E456" i="2"/>
  <c r="D456" i="2"/>
  <c r="C456" i="2"/>
  <c r="B456" i="2"/>
  <c r="Q455" i="2"/>
  <c r="F455" i="2"/>
  <c r="E455" i="2"/>
  <c r="D455" i="2"/>
  <c r="C455" i="2"/>
  <c r="B455" i="2"/>
  <c r="Q454" i="2"/>
  <c r="F454" i="2"/>
  <c r="E454" i="2"/>
  <c r="D454" i="2"/>
  <c r="C454" i="2"/>
  <c r="B454" i="2"/>
  <c r="Q453" i="2"/>
  <c r="F453" i="2"/>
  <c r="E453" i="2"/>
  <c r="D453" i="2"/>
  <c r="C453" i="2"/>
  <c r="B453" i="2"/>
  <c r="Q452" i="2"/>
  <c r="F452" i="2"/>
  <c r="E452" i="2"/>
  <c r="D452" i="2"/>
  <c r="C452" i="2"/>
  <c r="B452" i="2"/>
  <c r="Q451" i="2"/>
  <c r="F451" i="2"/>
  <c r="E451" i="2"/>
  <c r="D451" i="2"/>
  <c r="C451" i="2"/>
  <c r="B451" i="2"/>
  <c r="Q450" i="2"/>
  <c r="F450" i="2"/>
  <c r="E450" i="2"/>
  <c r="D450" i="2"/>
  <c r="C450" i="2"/>
  <c r="B450" i="2"/>
  <c r="Q449" i="2"/>
  <c r="F449" i="2"/>
  <c r="E449" i="2"/>
  <c r="D449" i="2"/>
  <c r="C449" i="2"/>
  <c r="B449" i="2"/>
  <c r="Q448" i="2"/>
  <c r="F448" i="2"/>
  <c r="E448" i="2"/>
  <c r="D448" i="2"/>
  <c r="C448" i="2"/>
  <c r="B448" i="2"/>
  <c r="Q447" i="2"/>
  <c r="F447" i="2"/>
  <c r="E447" i="2"/>
  <c r="D447" i="2"/>
  <c r="C447" i="2"/>
  <c r="B447" i="2"/>
  <c r="Q446" i="2"/>
  <c r="F446" i="2"/>
  <c r="E446" i="2"/>
  <c r="D446" i="2"/>
  <c r="C446" i="2"/>
  <c r="B446" i="2"/>
  <c r="Q445" i="2"/>
  <c r="F445" i="2"/>
  <c r="E445" i="2"/>
  <c r="D445" i="2"/>
  <c r="C445" i="2"/>
  <c r="B445" i="2"/>
  <c r="Q444" i="2"/>
  <c r="F444" i="2"/>
  <c r="E444" i="2"/>
  <c r="D444" i="2"/>
  <c r="C444" i="2"/>
  <c r="B444" i="2"/>
  <c r="Q443" i="2"/>
  <c r="F443" i="2"/>
  <c r="E443" i="2"/>
  <c r="D443" i="2"/>
  <c r="C443" i="2"/>
  <c r="B443" i="2"/>
  <c r="Q442" i="2"/>
  <c r="F442" i="2"/>
  <c r="E442" i="2"/>
  <c r="D442" i="2"/>
  <c r="C442" i="2"/>
  <c r="B442" i="2"/>
  <c r="Q441" i="2"/>
  <c r="F441" i="2"/>
  <c r="E441" i="2"/>
  <c r="D441" i="2"/>
  <c r="C441" i="2"/>
  <c r="B441" i="2"/>
  <c r="Q440" i="2"/>
  <c r="F440" i="2"/>
  <c r="E440" i="2"/>
  <c r="D440" i="2"/>
  <c r="C440" i="2"/>
  <c r="B440" i="2"/>
  <c r="Q439" i="2"/>
  <c r="F439" i="2"/>
  <c r="E439" i="2"/>
  <c r="D439" i="2"/>
  <c r="C439" i="2"/>
  <c r="B439" i="2"/>
  <c r="Q438" i="2"/>
  <c r="F438" i="2"/>
  <c r="E438" i="2"/>
  <c r="D438" i="2"/>
  <c r="C438" i="2"/>
  <c r="B438" i="2"/>
  <c r="Q437" i="2"/>
  <c r="F437" i="2"/>
  <c r="E437" i="2"/>
  <c r="D437" i="2"/>
  <c r="C437" i="2"/>
  <c r="B437" i="2"/>
  <c r="Q436" i="2"/>
  <c r="F436" i="2"/>
  <c r="E436" i="2"/>
  <c r="D436" i="2"/>
  <c r="C436" i="2"/>
  <c r="B436" i="2"/>
  <c r="Q435" i="2"/>
  <c r="F435" i="2"/>
  <c r="E435" i="2"/>
  <c r="D435" i="2"/>
  <c r="C435" i="2"/>
  <c r="B435" i="2"/>
  <c r="Q434" i="2"/>
  <c r="F434" i="2"/>
  <c r="E434" i="2"/>
  <c r="D434" i="2"/>
  <c r="C434" i="2"/>
  <c r="B434" i="2"/>
  <c r="Q433" i="2"/>
  <c r="F433" i="2"/>
  <c r="E433" i="2"/>
  <c r="D433" i="2"/>
  <c r="C433" i="2"/>
  <c r="B433" i="2"/>
  <c r="Q432" i="2"/>
  <c r="F432" i="2"/>
  <c r="E432" i="2"/>
  <c r="D432" i="2"/>
  <c r="C432" i="2"/>
  <c r="B432" i="2"/>
  <c r="Q431" i="2"/>
  <c r="F431" i="2"/>
  <c r="E431" i="2"/>
  <c r="D431" i="2"/>
  <c r="C431" i="2"/>
  <c r="B431" i="2"/>
  <c r="Q430" i="2"/>
  <c r="F430" i="2"/>
  <c r="E430" i="2"/>
  <c r="D430" i="2"/>
  <c r="C430" i="2"/>
  <c r="B430" i="2"/>
  <c r="Q429" i="2"/>
  <c r="F429" i="2"/>
  <c r="E429" i="2"/>
  <c r="D429" i="2"/>
  <c r="C429" i="2"/>
  <c r="B429" i="2"/>
  <c r="Q428" i="2"/>
  <c r="F428" i="2"/>
  <c r="E428" i="2"/>
  <c r="D428" i="2"/>
  <c r="C428" i="2"/>
  <c r="B428" i="2"/>
  <c r="Q427" i="2"/>
  <c r="F427" i="2"/>
  <c r="E427" i="2"/>
  <c r="D427" i="2"/>
  <c r="C427" i="2"/>
  <c r="B427" i="2"/>
  <c r="Q426" i="2"/>
  <c r="F426" i="2"/>
  <c r="E426" i="2"/>
  <c r="D426" i="2"/>
  <c r="C426" i="2"/>
  <c r="B426" i="2"/>
  <c r="Q425" i="2"/>
  <c r="F425" i="2"/>
  <c r="E425" i="2"/>
  <c r="D425" i="2"/>
  <c r="C425" i="2"/>
  <c r="B425" i="2"/>
  <c r="Q424" i="2"/>
  <c r="F424" i="2"/>
  <c r="E424" i="2"/>
  <c r="D424" i="2"/>
  <c r="C424" i="2"/>
  <c r="B424" i="2"/>
  <c r="Q423" i="2"/>
  <c r="F423" i="2"/>
  <c r="E423" i="2"/>
  <c r="D423" i="2"/>
  <c r="C423" i="2"/>
  <c r="B423" i="2"/>
  <c r="Q422" i="2"/>
  <c r="F422" i="2"/>
  <c r="E422" i="2"/>
  <c r="D422" i="2"/>
  <c r="C422" i="2"/>
  <c r="B422" i="2"/>
  <c r="Q421" i="2"/>
  <c r="F421" i="2"/>
  <c r="E421" i="2"/>
  <c r="D421" i="2"/>
  <c r="C421" i="2"/>
  <c r="B421" i="2"/>
  <c r="Q420" i="2"/>
  <c r="F420" i="2"/>
  <c r="E420" i="2"/>
  <c r="D420" i="2"/>
  <c r="C420" i="2"/>
  <c r="B420" i="2"/>
  <c r="Q419" i="2"/>
  <c r="F419" i="2"/>
  <c r="E419" i="2"/>
  <c r="D419" i="2"/>
  <c r="C419" i="2"/>
  <c r="B419" i="2"/>
  <c r="Q418" i="2"/>
  <c r="F418" i="2"/>
  <c r="E418" i="2"/>
  <c r="D418" i="2"/>
  <c r="C418" i="2"/>
  <c r="B418" i="2"/>
  <c r="Q417" i="2"/>
  <c r="F417" i="2"/>
  <c r="E417" i="2"/>
  <c r="D417" i="2"/>
  <c r="C417" i="2"/>
  <c r="B417" i="2"/>
  <c r="Q416" i="2"/>
  <c r="F416" i="2"/>
  <c r="E416" i="2"/>
  <c r="D416" i="2"/>
  <c r="C416" i="2"/>
  <c r="B416" i="2"/>
  <c r="Q415" i="2"/>
  <c r="F415" i="2"/>
  <c r="E415" i="2"/>
  <c r="D415" i="2"/>
  <c r="C415" i="2"/>
  <c r="B415" i="2"/>
  <c r="Q414" i="2"/>
  <c r="F414" i="2"/>
  <c r="E414" i="2"/>
  <c r="D414" i="2"/>
  <c r="C414" i="2"/>
  <c r="B414" i="2"/>
  <c r="Q413" i="2"/>
  <c r="F413" i="2"/>
  <c r="E413" i="2"/>
  <c r="D413" i="2"/>
  <c r="C413" i="2"/>
  <c r="B413" i="2"/>
  <c r="Q412" i="2"/>
  <c r="F412" i="2"/>
  <c r="E412" i="2"/>
  <c r="D412" i="2"/>
  <c r="C412" i="2"/>
  <c r="B412" i="2"/>
  <c r="Q411" i="2"/>
  <c r="F411" i="2"/>
  <c r="E411" i="2"/>
  <c r="D411" i="2"/>
  <c r="C411" i="2"/>
  <c r="B411" i="2"/>
  <c r="Q410" i="2"/>
  <c r="F410" i="2"/>
  <c r="E410" i="2"/>
  <c r="D410" i="2"/>
  <c r="C410" i="2"/>
  <c r="B410" i="2"/>
  <c r="Q409" i="2"/>
  <c r="F409" i="2"/>
  <c r="E409" i="2"/>
  <c r="D409" i="2"/>
  <c r="C409" i="2"/>
  <c r="B409" i="2"/>
  <c r="Q408" i="2"/>
  <c r="F408" i="2"/>
  <c r="E408" i="2"/>
  <c r="D408" i="2"/>
  <c r="C408" i="2"/>
  <c r="B408" i="2"/>
  <c r="Q407" i="2"/>
  <c r="F407" i="2"/>
  <c r="E407" i="2"/>
  <c r="D407" i="2"/>
  <c r="C407" i="2"/>
  <c r="B407" i="2"/>
  <c r="Q406" i="2"/>
  <c r="F406" i="2"/>
  <c r="E406" i="2"/>
  <c r="D406" i="2"/>
  <c r="C406" i="2"/>
  <c r="B406" i="2"/>
  <c r="Q405" i="2"/>
  <c r="F405" i="2"/>
  <c r="E405" i="2"/>
  <c r="D405" i="2"/>
  <c r="C405" i="2"/>
  <c r="B405" i="2"/>
  <c r="Q404" i="2"/>
  <c r="F404" i="2"/>
  <c r="E404" i="2"/>
  <c r="D404" i="2"/>
  <c r="C404" i="2"/>
  <c r="B404" i="2"/>
  <c r="Q403" i="2"/>
  <c r="F403" i="2"/>
  <c r="E403" i="2"/>
  <c r="D403" i="2"/>
  <c r="C403" i="2"/>
  <c r="B403" i="2"/>
  <c r="Q402" i="2"/>
  <c r="F402" i="2"/>
  <c r="E402" i="2"/>
  <c r="D402" i="2"/>
  <c r="C402" i="2"/>
  <c r="B402" i="2"/>
  <c r="Q401" i="2"/>
  <c r="F401" i="2"/>
  <c r="E401" i="2"/>
  <c r="D401" i="2"/>
  <c r="C401" i="2"/>
  <c r="B401" i="2"/>
  <c r="Q400" i="2"/>
  <c r="F400" i="2"/>
  <c r="E400" i="2"/>
  <c r="D400" i="2"/>
  <c r="C400" i="2"/>
  <c r="B400" i="2"/>
  <c r="Q399" i="2"/>
  <c r="F399" i="2"/>
  <c r="E399" i="2"/>
  <c r="D399" i="2"/>
  <c r="C399" i="2"/>
  <c r="B399" i="2"/>
  <c r="Q398" i="2"/>
  <c r="F398" i="2"/>
  <c r="E398" i="2"/>
  <c r="D398" i="2"/>
  <c r="C398" i="2"/>
  <c r="B398" i="2"/>
  <c r="Q397" i="2"/>
  <c r="F397" i="2"/>
  <c r="E397" i="2"/>
  <c r="D397" i="2"/>
  <c r="C397" i="2"/>
  <c r="B397" i="2"/>
  <c r="Q396" i="2"/>
  <c r="F396" i="2"/>
  <c r="E396" i="2"/>
  <c r="D396" i="2"/>
  <c r="C396" i="2"/>
  <c r="B396" i="2"/>
  <c r="Q395" i="2"/>
  <c r="F395" i="2"/>
  <c r="E395" i="2"/>
  <c r="D395" i="2"/>
  <c r="C395" i="2"/>
  <c r="B395" i="2"/>
  <c r="Q394" i="2"/>
  <c r="F394" i="2"/>
  <c r="E394" i="2"/>
  <c r="D394" i="2"/>
  <c r="C394" i="2"/>
  <c r="B394" i="2"/>
  <c r="Q393" i="2"/>
  <c r="F393" i="2"/>
  <c r="E393" i="2"/>
  <c r="D393" i="2"/>
  <c r="C393" i="2"/>
  <c r="B393" i="2"/>
  <c r="Q392" i="2"/>
  <c r="F392" i="2"/>
  <c r="E392" i="2"/>
  <c r="D392" i="2"/>
  <c r="C392" i="2"/>
  <c r="B392" i="2"/>
  <c r="Q391" i="2"/>
  <c r="F391" i="2"/>
  <c r="E391" i="2"/>
  <c r="D391" i="2"/>
  <c r="C391" i="2"/>
  <c r="B391" i="2"/>
  <c r="Q390" i="2"/>
  <c r="F390" i="2"/>
  <c r="E390" i="2"/>
  <c r="D390" i="2"/>
  <c r="C390" i="2"/>
  <c r="B390" i="2"/>
  <c r="Q389" i="2"/>
  <c r="F389" i="2"/>
  <c r="E389" i="2"/>
  <c r="D389" i="2"/>
  <c r="C389" i="2"/>
  <c r="B389" i="2"/>
  <c r="Q388" i="2"/>
  <c r="F388" i="2"/>
  <c r="E388" i="2"/>
  <c r="D388" i="2"/>
  <c r="C388" i="2"/>
  <c r="B388" i="2"/>
  <c r="Q387" i="2"/>
  <c r="F387" i="2"/>
  <c r="E387" i="2"/>
  <c r="D387" i="2"/>
  <c r="C387" i="2"/>
  <c r="B387" i="2"/>
  <c r="Q386" i="2"/>
  <c r="F386" i="2"/>
  <c r="E386" i="2"/>
  <c r="D386" i="2"/>
  <c r="C386" i="2"/>
  <c r="B386" i="2"/>
  <c r="Q385" i="2"/>
  <c r="F385" i="2"/>
  <c r="E385" i="2"/>
  <c r="D385" i="2"/>
  <c r="C385" i="2"/>
  <c r="B385" i="2"/>
  <c r="Q384" i="2"/>
  <c r="F384" i="2"/>
  <c r="E384" i="2"/>
  <c r="D384" i="2"/>
  <c r="C384" i="2"/>
  <c r="B384" i="2"/>
  <c r="Q383" i="2"/>
  <c r="F383" i="2"/>
  <c r="E383" i="2"/>
  <c r="D383" i="2"/>
  <c r="C383" i="2"/>
  <c r="B383" i="2"/>
  <c r="Q382" i="2"/>
  <c r="F382" i="2"/>
  <c r="E382" i="2"/>
  <c r="D382" i="2"/>
  <c r="C382" i="2"/>
  <c r="B382" i="2"/>
  <c r="Q381" i="2"/>
  <c r="F381" i="2"/>
  <c r="E381" i="2"/>
  <c r="D381" i="2"/>
  <c r="C381" i="2"/>
  <c r="B381" i="2"/>
  <c r="Q380" i="2"/>
  <c r="F380" i="2"/>
  <c r="E380" i="2"/>
  <c r="D380" i="2"/>
  <c r="C380" i="2"/>
  <c r="B380" i="2"/>
  <c r="Q379" i="2"/>
  <c r="F379" i="2"/>
  <c r="E379" i="2"/>
  <c r="D379" i="2"/>
  <c r="C379" i="2"/>
  <c r="B379" i="2"/>
  <c r="Q378" i="2"/>
  <c r="F378" i="2"/>
  <c r="E378" i="2"/>
  <c r="D378" i="2"/>
  <c r="C378" i="2"/>
  <c r="B378" i="2"/>
  <c r="Q377" i="2"/>
  <c r="F377" i="2"/>
  <c r="E377" i="2"/>
  <c r="D377" i="2"/>
  <c r="C377" i="2"/>
  <c r="B377" i="2"/>
  <c r="Q376" i="2"/>
  <c r="F376" i="2"/>
  <c r="E376" i="2"/>
  <c r="D376" i="2"/>
  <c r="C376" i="2"/>
  <c r="B376" i="2"/>
  <c r="Q375" i="2"/>
  <c r="F375" i="2"/>
  <c r="E375" i="2"/>
  <c r="D375" i="2"/>
  <c r="C375" i="2"/>
  <c r="B375" i="2"/>
  <c r="Q374" i="2"/>
  <c r="F374" i="2"/>
  <c r="E374" i="2"/>
  <c r="D374" i="2"/>
  <c r="C374" i="2"/>
  <c r="B374" i="2"/>
  <c r="Q373" i="2"/>
  <c r="F373" i="2"/>
  <c r="E373" i="2"/>
  <c r="D373" i="2"/>
  <c r="C373" i="2"/>
  <c r="B373" i="2"/>
  <c r="Q372" i="2"/>
  <c r="F372" i="2"/>
  <c r="E372" i="2"/>
  <c r="D372" i="2"/>
  <c r="C372" i="2"/>
  <c r="B372" i="2"/>
  <c r="Q371" i="2"/>
  <c r="F371" i="2"/>
  <c r="E371" i="2"/>
  <c r="D371" i="2"/>
  <c r="C371" i="2"/>
  <c r="B371" i="2"/>
  <c r="Q370" i="2"/>
  <c r="F370" i="2"/>
  <c r="E370" i="2"/>
  <c r="D370" i="2"/>
  <c r="C370" i="2"/>
  <c r="B370" i="2"/>
  <c r="Q369" i="2"/>
  <c r="F369" i="2"/>
  <c r="E369" i="2"/>
  <c r="D369" i="2"/>
  <c r="C369" i="2"/>
  <c r="B369" i="2"/>
  <c r="Q368" i="2"/>
  <c r="F368" i="2"/>
  <c r="E368" i="2"/>
  <c r="D368" i="2"/>
  <c r="C368" i="2"/>
  <c r="B368" i="2"/>
  <c r="Q367" i="2"/>
  <c r="F367" i="2"/>
  <c r="E367" i="2"/>
  <c r="D367" i="2"/>
  <c r="C367" i="2"/>
  <c r="B367" i="2"/>
  <c r="Q366" i="2"/>
  <c r="F366" i="2"/>
  <c r="E366" i="2"/>
  <c r="D366" i="2"/>
  <c r="C366" i="2"/>
  <c r="B366" i="2"/>
  <c r="Q365" i="2"/>
  <c r="F365" i="2"/>
  <c r="E365" i="2"/>
  <c r="D365" i="2"/>
  <c r="C365" i="2"/>
  <c r="B365" i="2"/>
  <c r="Q364" i="2"/>
  <c r="F364" i="2"/>
  <c r="E364" i="2"/>
  <c r="D364" i="2"/>
  <c r="C364" i="2"/>
  <c r="B364" i="2"/>
  <c r="Q363" i="2"/>
  <c r="F363" i="2"/>
  <c r="E363" i="2"/>
  <c r="D363" i="2"/>
  <c r="C363" i="2"/>
  <c r="B363" i="2"/>
  <c r="Q362" i="2"/>
  <c r="F362" i="2"/>
  <c r="E362" i="2"/>
  <c r="D362" i="2"/>
  <c r="C362" i="2"/>
  <c r="B362" i="2"/>
  <c r="Q361" i="2"/>
  <c r="F361" i="2"/>
  <c r="E361" i="2"/>
  <c r="D361" i="2"/>
  <c r="C361" i="2"/>
  <c r="B361" i="2"/>
  <c r="Q360" i="2"/>
  <c r="F360" i="2"/>
  <c r="E360" i="2"/>
  <c r="D360" i="2"/>
  <c r="C360" i="2"/>
  <c r="B360" i="2"/>
  <c r="Q359" i="2"/>
  <c r="F359" i="2"/>
  <c r="E359" i="2"/>
  <c r="D359" i="2"/>
  <c r="C359" i="2"/>
  <c r="B359" i="2"/>
  <c r="Q358" i="2"/>
  <c r="F358" i="2"/>
  <c r="E358" i="2"/>
  <c r="D358" i="2"/>
  <c r="C358" i="2"/>
  <c r="B358" i="2"/>
  <c r="Q357" i="2"/>
  <c r="F357" i="2"/>
  <c r="E357" i="2"/>
  <c r="D357" i="2"/>
  <c r="C357" i="2"/>
  <c r="B357" i="2"/>
  <c r="Q356" i="2"/>
  <c r="F356" i="2"/>
  <c r="E356" i="2"/>
  <c r="D356" i="2"/>
  <c r="C356" i="2"/>
  <c r="B356" i="2"/>
  <c r="Q355" i="2"/>
  <c r="F355" i="2"/>
  <c r="E355" i="2"/>
  <c r="D355" i="2"/>
  <c r="C355" i="2"/>
  <c r="B355" i="2"/>
  <c r="Q354" i="2"/>
  <c r="F354" i="2"/>
  <c r="E354" i="2"/>
  <c r="D354" i="2"/>
  <c r="C354" i="2"/>
  <c r="B354" i="2"/>
  <c r="Q353" i="2"/>
  <c r="F353" i="2"/>
  <c r="E353" i="2"/>
  <c r="D353" i="2"/>
  <c r="C353" i="2"/>
  <c r="B353" i="2"/>
  <c r="Q352" i="2"/>
  <c r="F352" i="2"/>
  <c r="E352" i="2"/>
  <c r="D352" i="2"/>
  <c r="C352" i="2"/>
  <c r="B352" i="2"/>
  <c r="Q351" i="2"/>
  <c r="F351" i="2"/>
  <c r="E351" i="2"/>
  <c r="D351" i="2"/>
  <c r="C351" i="2"/>
  <c r="B351" i="2"/>
  <c r="Q350" i="2"/>
  <c r="F350" i="2"/>
  <c r="E350" i="2"/>
  <c r="D350" i="2"/>
  <c r="C350" i="2"/>
  <c r="B350" i="2"/>
  <c r="Q349" i="2"/>
  <c r="F349" i="2"/>
  <c r="E349" i="2"/>
  <c r="D349" i="2"/>
  <c r="C349" i="2"/>
  <c r="B349" i="2"/>
  <c r="Q348" i="2"/>
  <c r="F348" i="2"/>
  <c r="E348" i="2"/>
  <c r="D348" i="2"/>
  <c r="C348" i="2"/>
  <c r="B348" i="2"/>
  <c r="Q347" i="2"/>
  <c r="F347" i="2"/>
  <c r="E347" i="2"/>
  <c r="D347" i="2"/>
  <c r="C347" i="2"/>
  <c r="B347" i="2"/>
  <c r="Q346" i="2"/>
  <c r="F346" i="2"/>
  <c r="E346" i="2"/>
  <c r="D346" i="2"/>
  <c r="C346" i="2"/>
  <c r="B346" i="2"/>
  <c r="Q345" i="2"/>
  <c r="F345" i="2"/>
  <c r="E345" i="2"/>
  <c r="D345" i="2"/>
  <c r="C345" i="2"/>
  <c r="B345" i="2"/>
  <c r="Q344" i="2"/>
  <c r="F344" i="2"/>
  <c r="E344" i="2"/>
  <c r="D344" i="2"/>
  <c r="C344" i="2"/>
  <c r="B344" i="2"/>
  <c r="Q343" i="2"/>
  <c r="F343" i="2"/>
  <c r="E343" i="2"/>
  <c r="D343" i="2"/>
  <c r="C343" i="2"/>
  <c r="B343" i="2"/>
  <c r="Q342" i="2"/>
  <c r="F342" i="2"/>
  <c r="E342" i="2"/>
  <c r="D342" i="2"/>
  <c r="C342" i="2"/>
  <c r="B342" i="2"/>
  <c r="Q341" i="2"/>
  <c r="F341" i="2"/>
  <c r="E341" i="2"/>
  <c r="D341" i="2"/>
  <c r="C341" i="2"/>
  <c r="B341" i="2"/>
  <c r="Q340" i="2"/>
  <c r="F340" i="2"/>
  <c r="E340" i="2"/>
  <c r="D340" i="2"/>
  <c r="C340" i="2"/>
  <c r="B340" i="2"/>
  <c r="Q339" i="2"/>
  <c r="F339" i="2"/>
  <c r="E339" i="2"/>
  <c r="D339" i="2"/>
  <c r="C339" i="2"/>
  <c r="B339" i="2"/>
  <c r="Q338" i="2"/>
  <c r="F338" i="2"/>
  <c r="E338" i="2"/>
  <c r="D338" i="2"/>
  <c r="C338" i="2"/>
  <c r="B338" i="2"/>
  <c r="Q337" i="2"/>
  <c r="F337" i="2"/>
  <c r="E337" i="2"/>
  <c r="D337" i="2"/>
  <c r="C337" i="2"/>
  <c r="B337" i="2"/>
  <c r="Q336" i="2"/>
  <c r="F336" i="2"/>
  <c r="E336" i="2"/>
  <c r="D336" i="2"/>
  <c r="C336" i="2"/>
  <c r="B336" i="2"/>
  <c r="Q335" i="2"/>
  <c r="F335" i="2"/>
  <c r="E335" i="2"/>
  <c r="D335" i="2"/>
  <c r="C335" i="2"/>
  <c r="B335" i="2"/>
  <c r="Q334" i="2"/>
  <c r="F334" i="2"/>
  <c r="E334" i="2"/>
  <c r="D334" i="2"/>
  <c r="C334" i="2"/>
  <c r="B334" i="2"/>
  <c r="Q333" i="2"/>
  <c r="F333" i="2"/>
  <c r="E333" i="2"/>
  <c r="D333" i="2"/>
  <c r="C333" i="2"/>
  <c r="B333" i="2"/>
  <c r="Q332" i="2"/>
  <c r="F332" i="2"/>
  <c r="E332" i="2"/>
  <c r="D332" i="2"/>
  <c r="C332" i="2"/>
  <c r="B332" i="2"/>
  <c r="Q331" i="2"/>
  <c r="F331" i="2"/>
  <c r="E331" i="2"/>
  <c r="D331" i="2"/>
  <c r="C331" i="2"/>
  <c r="B331" i="2"/>
  <c r="Q330" i="2"/>
  <c r="F330" i="2"/>
  <c r="E330" i="2"/>
  <c r="D330" i="2"/>
  <c r="C330" i="2"/>
  <c r="B330" i="2"/>
  <c r="Q329" i="2"/>
  <c r="F329" i="2"/>
  <c r="E329" i="2"/>
  <c r="D329" i="2"/>
  <c r="C329" i="2"/>
  <c r="B329" i="2"/>
  <c r="Q328" i="2"/>
  <c r="F328" i="2"/>
  <c r="E328" i="2"/>
  <c r="D328" i="2"/>
  <c r="C328" i="2"/>
  <c r="B328" i="2"/>
  <c r="Q327" i="2"/>
  <c r="F327" i="2"/>
  <c r="E327" i="2"/>
  <c r="D327" i="2"/>
  <c r="C327" i="2"/>
  <c r="B327" i="2"/>
  <c r="Q326" i="2"/>
  <c r="F326" i="2"/>
  <c r="E326" i="2"/>
  <c r="D326" i="2"/>
  <c r="C326" i="2"/>
  <c r="B326" i="2"/>
  <c r="Q325" i="2"/>
  <c r="F325" i="2"/>
  <c r="E325" i="2"/>
  <c r="D325" i="2"/>
  <c r="C325" i="2"/>
  <c r="B325" i="2"/>
  <c r="Q324" i="2"/>
  <c r="F324" i="2"/>
  <c r="E324" i="2"/>
  <c r="D324" i="2"/>
  <c r="C324" i="2"/>
  <c r="B324" i="2"/>
  <c r="Q323" i="2"/>
  <c r="F323" i="2"/>
  <c r="E323" i="2"/>
  <c r="D323" i="2"/>
  <c r="C323" i="2"/>
  <c r="B323" i="2"/>
  <c r="Q322" i="2"/>
  <c r="F322" i="2"/>
  <c r="E322" i="2"/>
  <c r="D322" i="2"/>
  <c r="C322" i="2"/>
  <c r="B322" i="2"/>
  <c r="Q321" i="2"/>
  <c r="F321" i="2"/>
  <c r="E321" i="2"/>
  <c r="D321" i="2"/>
  <c r="C321" i="2"/>
  <c r="B321" i="2"/>
  <c r="Q320" i="2"/>
  <c r="F320" i="2"/>
  <c r="E320" i="2"/>
  <c r="D320" i="2"/>
  <c r="C320" i="2"/>
  <c r="B320" i="2"/>
  <c r="Q319" i="2"/>
  <c r="F319" i="2"/>
  <c r="E319" i="2"/>
  <c r="D319" i="2"/>
  <c r="C319" i="2"/>
  <c r="B319" i="2"/>
  <c r="Q318" i="2"/>
  <c r="F318" i="2"/>
  <c r="E318" i="2"/>
  <c r="D318" i="2"/>
  <c r="C318" i="2"/>
  <c r="B318" i="2"/>
  <c r="Q317" i="2"/>
  <c r="F317" i="2"/>
  <c r="E317" i="2"/>
  <c r="D317" i="2"/>
  <c r="C317" i="2"/>
  <c r="B317" i="2"/>
  <c r="Q316" i="2"/>
  <c r="F316" i="2"/>
  <c r="E316" i="2"/>
  <c r="D316" i="2"/>
  <c r="C316" i="2"/>
  <c r="B316" i="2"/>
  <c r="Q315" i="2"/>
  <c r="F315" i="2"/>
  <c r="E315" i="2"/>
  <c r="D315" i="2"/>
  <c r="C315" i="2"/>
  <c r="B315" i="2"/>
  <c r="Q314" i="2"/>
  <c r="F314" i="2"/>
  <c r="E314" i="2"/>
  <c r="D314" i="2"/>
  <c r="C314" i="2"/>
  <c r="B314" i="2"/>
  <c r="Q313" i="2"/>
  <c r="F313" i="2"/>
  <c r="E313" i="2"/>
  <c r="D313" i="2"/>
  <c r="C313" i="2"/>
  <c r="B313" i="2"/>
  <c r="Q312" i="2"/>
  <c r="F312" i="2"/>
  <c r="E312" i="2"/>
  <c r="D312" i="2"/>
  <c r="C312" i="2"/>
  <c r="B312" i="2"/>
  <c r="Q311" i="2"/>
  <c r="F311" i="2"/>
  <c r="E311" i="2"/>
  <c r="D311" i="2"/>
  <c r="C311" i="2"/>
  <c r="B311" i="2"/>
  <c r="Q310" i="2"/>
  <c r="F310" i="2"/>
  <c r="E310" i="2"/>
  <c r="D310" i="2"/>
  <c r="C310" i="2"/>
  <c r="B310" i="2"/>
  <c r="Q309" i="2"/>
  <c r="F309" i="2"/>
  <c r="E309" i="2"/>
  <c r="D309" i="2"/>
  <c r="C309" i="2"/>
  <c r="B309" i="2"/>
  <c r="Q308" i="2"/>
  <c r="F308" i="2"/>
  <c r="E308" i="2"/>
  <c r="D308" i="2"/>
  <c r="C308" i="2"/>
  <c r="B308" i="2"/>
  <c r="Q307" i="2"/>
  <c r="F307" i="2"/>
  <c r="E307" i="2"/>
  <c r="D307" i="2"/>
  <c r="C307" i="2"/>
  <c r="B307" i="2"/>
  <c r="Q306" i="2"/>
  <c r="F306" i="2"/>
  <c r="E306" i="2"/>
  <c r="D306" i="2"/>
  <c r="C306" i="2"/>
  <c r="B306" i="2"/>
  <c r="Q305" i="2"/>
  <c r="F305" i="2"/>
  <c r="E305" i="2"/>
  <c r="D305" i="2"/>
  <c r="C305" i="2"/>
  <c r="B305" i="2"/>
  <c r="Q304" i="2"/>
  <c r="F304" i="2"/>
  <c r="E304" i="2"/>
  <c r="D304" i="2"/>
  <c r="C304" i="2"/>
  <c r="B304" i="2"/>
  <c r="Q303" i="2"/>
  <c r="F303" i="2"/>
  <c r="E303" i="2"/>
  <c r="D303" i="2"/>
  <c r="C303" i="2"/>
  <c r="B303" i="2"/>
  <c r="Q302" i="2"/>
  <c r="F302" i="2"/>
  <c r="E302" i="2"/>
  <c r="D302" i="2"/>
  <c r="C302" i="2"/>
  <c r="B302" i="2"/>
  <c r="Q301" i="2"/>
  <c r="F301" i="2"/>
  <c r="E301" i="2"/>
  <c r="D301" i="2"/>
  <c r="C301" i="2"/>
  <c r="B301" i="2"/>
  <c r="Q300" i="2"/>
  <c r="F300" i="2"/>
  <c r="E300" i="2"/>
  <c r="D300" i="2"/>
  <c r="C300" i="2"/>
  <c r="B300" i="2"/>
  <c r="Q299" i="2"/>
  <c r="F299" i="2"/>
  <c r="E299" i="2"/>
  <c r="D299" i="2"/>
  <c r="C299" i="2"/>
  <c r="B299" i="2"/>
  <c r="Q298" i="2"/>
  <c r="F298" i="2"/>
  <c r="E298" i="2"/>
  <c r="D298" i="2"/>
  <c r="C298" i="2"/>
  <c r="B298" i="2"/>
  <c r="Q297" i="2"/>
  <c r="F297" i="2"/>
  <c r="E297" i="2"/>
  <c r="D297" i="2"/>
  <c r="C297" i="2"/>
  <c r="B297" i="2"/>
  <c r="Q296" i="2"/>
  <c r="F296" i="2"/>
  <c r="E296" i="2"/>
  <c r="D296" i="2"/>
  <c r="C296" i="2"/>
  <c r="B296" i="2"/>
  <c r="Q295" i="2"/>
  <c r="F295" i="2"/>
  <c r="E295" i="2"/>
  <c r="D295" i="2"/>
  <c r="C295" i="2"/>
  <c r="B295" i="2"/>
  <c r="Q294" i="2"/>
  <c r="F294" i="2"/>
  <c r="E294" i="2"/>
  <c r="D294" i="2"/>
  <c r="C294" i="2"/>
  <c r="B294" i="2"/>
  <c r="Q293" i="2"/>
  <c r="F293" i="2"/>
  <c r="E293" i="2"/>
  <c r="D293" i="2"/>
  <c r="C293" i="2"/>
  <c r="B293" i="2"/>
  <c r="Q292" i="2"/>
  <c r="F292" i="2"/>
  <c r="E292" i="2"/>
  <c r="D292" i="2"/>
  <c r="C292" i="2"/>
  <c r="B292" i="2"/>
  <c r="Q291" i="2"/>
  <c r="F291" i="2"/>
  <c r="E291" i="2"/>
  <c r="D291" i="2"/>
  <c r="C291" i="2"/>
  <c r="B291" i="2"/>
  <c r="Q290" i="2"/>
  <c r="F290" i="2"/>
  <c r="E290" i="2"/>
  <c r="D290" i="2"/>
  <c r="C290" i="2"/>
  <c r="B290" i="2"/>
  <c r="Q289" i="2"/>
  <c r="F289" i="2"/>
  <c r="E289" i="2"/>
  <c r="D289" i="2"/>
  <c r="C289" i="2"/>
  <c r="B289" i="2"/>
  <c r="Q288" i="2"/>
  <c r="F288" i="2"/>
  <c r="E288" i="2"/>
  <c r="D288" i="2"/>
  <c r="C288" i="2"/>
  <c r="B288" i="2"/>
  <c r="Q287" i="2"/>
  <c r="F287" i="2"/>
  <c r="E287" i="2"/>
  <c r="D287" i="2"/>
  <c r="C287" i="2"/>
  <c r="B287" i="2"/>
  <c r="Q286" i="2"/>
  <c r="F286" i="2"/>
  <c r="E286" i="2"/>
  <c r="D286" i="2"/>
  <c r="C286" i="2"/>
  <c r="B286" i="2"/>
  <c r="Q285" i="2"/>
  <c r="F285" i="2"/>
  <c r="E285" i="2"/>
  <c r="D285" i="2"/>
  <c r="C285" i="2"/>
  <c r="B285" i="2"/>
  <c r="Q284" i="2"/>
  <c r="F284" i="2"/>
  <c r="E284" i="2"/>
  <c r="D284" i="2"/>
  <c r="C284" i="2"/>
  <c r="B284" i="2"/>
  <c r="Q283" i="2"/>
  <c r="F283" i="2"/>
  <c r="E283" i="2"/>
  <c r="D283" i="2"/>
  <c r="C283" i="2"/>
  <c r="B283" i="2"/>
  <c r="Q282" i="2"/>
  <c r="F282" i="2"/>
  <c r="E282" i="2"/>
  <c r="D282" i="2"/>
  <c r="C282" i="2"/>
  <c r="B282" i="2"/>
  <c r="Q281" i="2"/>
  <c r="F281" i="2"/>
  <c r="E281" i="2"/>
  <c r="D281" i="2"/>
  <c r="C281" i="2"/>
  <c r="B281" i="2"/>
  <c r="Q280" i="2"/>
  <c r="F280" i="2"/>
  <c r="E280" i="2"/>
  <c r="D280" i="2"/>
  <c r="C280" i="2"/>
  <c r="B280" i="2"/>
  <c r="Q279" i="2"/>
  <c r="F279" i="2"/>
  <c r="E279" i="2"/>
  <c r="D279" i="2"/>
  <c r="C279" i="2"/>
  <c r="B279" i="2"/>
  <c r="Q278" i="2"/>
  <c r="F278" i="2"/>
  <c r="E278" i="2"/>
  <c r="D278" i="2"/>
  <c r="C278" i="2"/>
  <c r="B278" i="2"/>
  <c r="Q277" i="2"/>
  <c r="F277" i="2"/>
  <c r="E277" i="2"/>
  <c r="D277" i="2"/>
  <c r="C277" i="2"/>
  <c r="B277" i="2"/>
  <c r="Q276" i="2"/>
  <c r="F276" i="2"/>
  <c r="E276" i="2"/>
  <c r="D276" i="2"/>
  <c r="C276" i="2"/>
  <c r="B276" i="2"/>
  <c r="Q275" i="2"/>
  <c r="F275" i="2"/>
  <c r="E275" i="2"/>
  <c r="D275" i="2"/>
  <c r="C275" i="2"/>
  <c r="B275" i="2"/>
  <c r="Q274" i="2"/>
  <c r="F274" i="2"/>
  <c r="E274" i="2"/>
  <c r="D274" i="2"/>
  <c r="C274" i="2"/>
  <c r="B274" i="2"/>
  <c r="Q273" i="2"/>
  <c r="F273" i="2"/>
  <c r="E273" i="2"/>
  <c r="D273" i="2"/>
  <c r="C273" i="2"/>
  <c r="B273" i="2"/>
  <c r="Q272" i="2"/>
  <c r="F272" i="2"/>
  <c r="E272" i="2"/>
  <c r="D272" i="2"/>
  <c r="C272" i="2"/>
  <c r="B272" i="2"/>
  <c r="Q271" i="2"/>
  <c r="F271" i="2"/>
  <c r="E271" i="2"/>
  <c r="D271" i="2"/>
  <c r="C271" i="2"/>
  <c r="B271" i="2"/>
  <c r="Q270" i="2"/>
  <c r="F270" i="2"/>
  <c r="E270" i="2"/>
  <c r="D270" i="2"/>
  <c r="C270" i="2"/>
  <c r="B270" i="2"/>
  <c r="Q269" i="2"/>
  <c r="F269" i="2"/>
  <c r="E269" i="2"/>
  <c r="D269" i="2"/>
  <c r="C269" i="2"/>
  <c r="B269" i="2"/>
  <c r="Q268" i="2"/>
  <c r="F268" i="2"/>
  <c r="E268" i="2"/>
  <c r="D268" i="2"/>
  <c r="C268" i="2"/>
  <c r="B268" i="2"/>
  <c r="Q267" i="2"/>
  <c r="F267" i="2"/>
  <c r="E267" i="2"/>
  <c r="D267" i="2"/>
  <c r="C267" i="2"/>
  <c r="B267" i="2"/>
  <c r="Q266" i="2"/>
  <c r="F266" i="2"/>
  <c r="E266" i="2"/>
  <c r="D266" i="2"/>
  <c r="C266" i="2"/>
  <c r="B266" i="2"/>
  <c r="Q265" i="2"/>
  <c r="F265" i="2"/>
  <c r="E265" i="2"/>
  <c r="D265" i="2"/>
  <c r="C265" i="2"/>
  <c r="B265" i="2"/>
  <c r="Q264" i="2"/>
  <c r="F264" i="2"/>
  <c r="E264" i="2"/>
  <c r="D264" i="2"/>
  <c r="C264" i="2"/>
  <c r="B264" i="2"/>
  <c r="Q263" i="2"/>
  <c r="F263" i="2"/>
  <c r="E263" i="2"/>
  <c r="D263" i="2"/>
  <c r="C263" i="2"/>
  <c r="B263" i="2"/>
  <c r="Q262" i="2"/>
  <c r="F262" i="2"/>
  <c r="E262" i="2"/>
  <c r="D262" i="2"/>
  <c r="C262" i="2"/>
  <c r="B262" i="2"/>
  <c r="Q261" i="2"/>
  <c r="F261" i="2"/>
  <c r="E261" i="2"/>
  <c r="D261" i="2"/>
  <c r="C261" i="2"/>
  <c r="B261" i="2"/>
  <c r="Q260" i="2"/>
  <c r="F260" i="2"/>
  <c r="E260" i="2"/>
  <c r="D260" i="2"/>
  <c r="C260" i="2"/>
  <c r="B260" i="2"/>
  <c r="Q259" i="2"/>
  <c r="F259" i="2"/>
  <c r="E259" i="2"/>
  <c r="D259" i="2"/>
  <c r="C259" i="2"/>
  <c r="B259" i="2"/>
  <c r="Q258" i="2"/>
  <c r="F258" i="2"/>
  <c r="E258" i="2"/>
  <c r="D258" i="2"/>
  <c r="C258" i="2"/>
  <c r="B258" i="2"/>
  <c r="Q257" i="2"/>
  <c r="F257" i="2"/>
  <c r="E257" i="2"/>
  <c r="D257" i="2"/>
  <c r="C257" i="2"/>
  <c r="B257" i="2"/>
  <c r="Q256" i="2"/>
  <c r="F256" i="2"/>
  <c r="E256" i="2"/>
  <c r="D256" i="2"/>
  <c r="C256" i="2"/>
  <c r="B256" i="2"/>
  <c r="Q255" i="2"/>
  <c r="F255" i="2"/>
  <c r="E255" i="2"/>
  <c r="D255" i="2"/>
  <c r="C255" i="2"/>
  <c r="B255" i="2"/>
  <c r="Q254" i="2"/>
  <c r="F254" i="2"/>
  <c r="E254" i="2"/>
  <c r="D254" i="2"/>
  <c r="C254" i="2"/>
  <c r="B254" i="2"/>
  <c r="Q253" i="2"/>
  <c r="F253" i="2"/>
  <c r="E253" i="2"/>
  <c r="D253" i="2"/>
  <c r="C253" i="2"/>
  <c r="B253" i="2"/>
  <c r="Q252" i="2"/>
  <c r="F252" i="2"/>
  <c r="E252" i="2"/>
  <c r="D252" i="2"/>
  <c r="C252" i="2"/>
  <c r="B252" i="2"/>
  <c r="Q251" i="2"/>
  <c r="F251" i="2"/>
  <c r="E251" i="2"/>
  <c r="D251" i="2"/>
  <c r="C251" i="2"/>
  <c r="B251" i="2"/>
  <c r="Q250" i="2"/>
  <c r="F250" i="2"/>
  <c r="E250" i="2"/>
  <c r="D250" i="2"/>
  <c r="C250" i="2"/>
  <c r="B250" i="2"/>
  <c r="Q249" i="2"/>
  <c r="F249" i="2"/>
  <c r="E249" i="2"/>
  <c r="D249" i="2"/>
  <c r="C249" i="2"/>
  <c r="B249" i="2"/>
  <c r="Q248" i="2"/>
  <c r="F248" i="2"/>
  <c r="E248" i="2"/>
  <c r="D248" i="2"/>
  <c r="C248" i="2"/>
  <c r="B248" i="2"/>
  <c r="Q247" i="2"/>
  <c r="F247" i="2"/>
  <c r="E247" i="2"/>
  <c r="D247" i="2"/>
  <c r="C247" i="2"/>
  <c r="B247" i="2"/>
  <c r="Q246" i="2"/>
  <c r="F246" i="2"/>
  <c r="E246" i="2"/>
  <c r="D246" i="2"/>
  <c r="C246" i="2"/>
  <c r="B246" i="2"/>
  <c r="Q245" i="2"/>
  <c r="F245" i="2"/>
  <c r="E245" i="2"/>
  <c r="D245" i="2"/>
  <c r="C245" i="2"/>
  <c r="B245" i="2"/>
  <c r="Q244" i="2"/>
  <c r="F244" i="2"/>
  <c r="E244" i="2"/>
  <c r="D244" i="2"/>
  <c r="C244" i="2"/>
  <c r="B244" i="2"/>
  <c r="Q243" i="2"/>
  <c r="F243" i="2"/>
  <c r="E243" i="2"/>
  <c r="D243" i="2"/>
  <c r="C243" i="2"/>
  <c r="B243" i="2"/>
  <c r="Q242" i="2"/>
  <c r="F242" i="2"/>
  <c r="E242" i="2"/>
  <c r="D242" i="2"/>
  <c r="C242" i="2"/>
  <c r="B242" i="2"/>
  <c r="Q241" i="2"/>
  <c r="F241" i="2"/>
  <c r="E241" i="2"/>
  <c r="D241" i="2"/>
  <c r="C241" i="2"/>
  <c r="B241" i="2"/>
  <c r="Q240" i="2"/>
  <c r="F240" i="2"/>
  <c r="E240" i="2"/>
  <c r="D240" i="2"/>
  <c r="C240" i="2"/>
  <c r="B240" i="2"/>
  <c r="Q239" i="2"/>
  <c r="F239" i="2"/>
  <c r="E239" i="2"/>
  <c r="D239" i="2"/>
  <c r="C239" i="2"/>
  <c r="B239" i="2"/>
  <c r="Q238" i="2"/>
  <c r="F238" i="2"/>
  <c r="E238" i="2"/>
  <c r="D238" i="2"/>
  <c r="C238" i="2"/>
  <c r="B238" i="2"/>
  <c r="Q237" i="2"/>
  <c r="F237" i="2"/>
  <c r="E237" i="2"/>
  <c r="D237" i="2"/>
  <c r="C237" i="2"/>
  <c r="B237" i="2"/>
  <c r="Q236" i="2"/>
  <c r="F236" i="2"/>
  <c r="E236" i="2"/>
  <c r="D236" i="2"/>
  <c r="C236" i="2"/>
  <c r="B236" i="2"/>
  <c r="Q235" i="2"/>
  <c r="F235" i="2"/>
  <c r="E235" i="2"/>
  <c r="D235" i="2"/>
  <c r="C235" i="2"/>
  <c r="B235" i="2"/>
  <c r="Q234" i="2"/>
  <c r="F234" i="2"/>
  <c r="E234" i="2"/>
  <c r="D234" i="2"/>
  <c r="C234" i="2"/>
  <c r="B234" i="2"/>
  <c r="Q233" i="2"/>
  <c r="F233" i="2"/>
  <c r="E233" i="2"/>
  <c r="D233" i="2"/>
  <c r="C233" i="2"/>
  <c r="B233" i="2"/>
  <c r="Q232" i="2"/>
  <c r="F232" i="2"/>
  <c r="E232" i="2"/>
  <c r="D232" i="2"/>
  <c r="C232" i="2"/>
  <c r="B232" i="2"/>
  <c r="Q231" i="2"/>
  <c r="F231" i="2"/>
  <c r="E231" i="2"/>
  <c r="D231" i="2"/>
  <c r="C231" i="2"/>
  <c r="B231" i="2"/>
  <c r="Q230" i="2"/>
  <c r="F230" i="2"/>
  <c r="E230" i="2"/>
  <c r="D230" i="2"/>
  <c r="C230" i="2"/>
  <c r="B230" i="2"/>
  <c r="Q229" i="2"/>
  <c r="F229" i="2"/>
  <c r="E229" i="2"/>
  <c r="D229" i="2"/>
  <c r="C229" i="2"/>
  <c r="B229" i="2"/>
  <c r="Q228" i="2"/>
  <c r="F228" i="2"/>
  <c r="E228" i="2"/>
  <c r="D228" i="2"/>
  <c r="C228" i="2"/>
  <c r="B228" i="2"/>
  <c r="Q227" i="2"/>
  <c r="F227" i="2"/>
  <c r="E227" i="2"/>
  <c r="D227" i="2"/>
  <c r="C227" i="2"/>
  <c r="B227" i="2"/>
  <c r="Q226" i="2"/>
  <c r="F226" i="2"/>
  <c r="E226" i="2"/>
  <c r="D226" i="2"/>
  <c r="C226" i="2"/>
  <c r="B226" i="2"/>
  <c r="Q225" i="2"/>
  <c r="F225" i="2"/>
  <c r="E225" i="2"/>
  <c r="D225" i="2"/>
  <c r="C225" i="2"/>
  <c r="B225" i="2"/>
  <c r="Q224" i="2"/>
  <c r="F224" i="2"/>
  <c r="E224" i="2"/>
  <c r="D224" i="2"/>
  <c r="C224" i="2"/>
  <c r="B224" i="2"/>
  <c r="Q223" i="2"/>
  <c r="F223" i="2"/>
  <c r="E223" i="2"/>
  <c r="D223" i="2"/>
  <c r="C223" i="2"/>
  <c r="B223" i="2"/>
  <c r="Q222" i="2"/>
  <c r="F222" i="2"/>
  <c r="E222" i="2"/>
  <c r="D222" i="2"/>
  <c r="C222" i="2"/>
  <c r="B222" i="2"/>
  <c r="Q221" i="2"/>
  <c r="F221" i="2"/>
  <c r="E221" i="2"/>
  <c r="D221" i="2"/>
  <c r="C221" i="2"/>
  <c r="B221" i="2"/>
  <c r="Q220" i="2"/>
  <c r="F220" i="2"/>
  <c r="E220" i="2"/>
  <c r="D220" i="2"/>
  <c r="C220" i="2"/>
  <c r="B220" i="2"/>
  <c r="Q219" i="2"/>
  <c r="F219" i="2"/>
  <c r="E219" i="2"/>
  <c r="D219" i="2"/>
  <c r="C219" i="2"/>
  <c r="B219" i="2"/>
  <c r="Q218" i="2"/>
  <c r="F218" i="2"/>
  <c r="E218" i="2"/>
  <c r="D218" i="2"/>
  <c r="C218" i="2"/>
  <c r="B218" i="2"/>
  <c r="Q217" i="2"/>
  <c r="F217" i="2"/>
  <c r="E217" i="2"/>
  <c r="D217" i="2"/>
  <c r="C217" i="2"/>
  <c r="B217" i="2"/>
  <c r="Q216" i="2"/>
  <c r="F216" i="2"/>
  <c r="E216" i="2"/>
  <c r="D216" i="2"/>
  <c r="C216" i="2"/>
  <c r="B216" i="2"/>
  <c r="Q215" i="2"/>
  <c r="F215" i="2"/>
  <c r="E215" i="2"/>
  <c r="D215" i="2"/>
  <c r="C215" i="2"/>
  <c r="B215" i="2"/>
  <c r="Q214" i="2"/>
  <c r="F214" i="2"/>
  <c r="E214" i="2"/>
  <c r="D214" i="2"/>
  <c r="C214" i="2"/>
  <c r="B214" i="2"/>
  <c r="Q213" i="2"/>
  <c r="F213" i="2"/>
  <c r="E213" i="2"/>
  <c r="D213" i="2"/>
  <c r="C213" i="2"/>
  <c r="B213" i="2"/>
  <c r="Q212" i="2"/>
  <c r="F212" i="2"/>
  <c r="E212" i="2"/>
  <c r="D212" i="2"/>
  <c r="C212" i="2"/>
  <c r="B212" i="2"/>
  <c r="Q211" i="2"/>
  <c r="F211" i="2"/>
  <c r="E211" i="2"/>
  <c r="D211" i="2"/>
  <c r="C211" i="2"/>
  <c r="B211" i="2"/>
  <c r="Q210" i="2"/>
  <c r="F210" i="2"/>
  <c r="E210" i="2"/>
  <c r="D210" i="2"/>
  <c r="C210" i="2"/>
  <c r="B210" i="2"/>
  <c r="Q209" i="2"/>
  <c r="F209" i="2"/>
  <c r="E209" i="2"/>
  <c r="D209" i="2"/>
  <c r="C209" i="2"/>
  <c r="B209" i="2"/>
  <c r="Q208" i="2"/>
  <c r="F208" i="2"/>
  <c r="E208" i="2"/>
  <c r="D208" i="2"/>
  <c r="C208" i="2"/>
  <c r="B208" i="2"/>
  <c r="Q207" i="2"/>
  <c r="F207" i="2"/>
  <c r="E207" i="2"/>
  <c r="D207" i="2"/>
  <c r="C207" i="2"/>
  <c r="B207" i="2"/>
  <c r="Q206" i="2"/>
  <c r="F206" i="2"/>
  <c r="E206" i="2"/>
  <c r="D206" i="2"/>
  <c r="C206" i="2"/>
  <c r="B206" i="2"/>
  <c r="Q205" i="2"/>
  <c r="F205" i="2"/>
  <c r="E205" i="2"/>
  <c r="D205" i="2"/>
  <c r="C205" i="2"/>
  <c r="B205" i="2"/>
  <c r="Q204" i="2"/>
  <c r="F204" i="2"/>
  <c r="E204" i="2"/>
  <c r="D204" i="2"/>
  <c r="C204" i="2"/>
  <c r="B204" i="2"/>
  <c r="Q203" i="2"/>
  <c r="F203" i="2"/>
  <c r="E203" i="2"/>
  <c r="D203" i="2"/>
  <c r="C203" i="2"/>
  <c r="B203" i="2"/>
  <c r="Q202" i="2"/>
  <c r="F202" i="2"/>
  <c r="E202" i="2"/>
  <c r="D202" i="2"/>
  <c r="C202" i="2"/>
  <c r="B202" i="2"/>
  <c r="Q201" i="2"/>
  <c r="F201" i="2"/>
  <c r="E201" i="2"/>
  <c r="D201" i="2"/>
  <c r="C201" i="2"/>
  <c r="B201" i="2"/>
  <c r="Q200" i="2"/>
  <c r="F200" i="2"/>
  <c r="E200" i="2"/>
  <c r="D200" i="2"/>
  <c r="C200" i="2"/>
  <c r="B200" i="2"/>
  <c r="Q199" i="2"/>
  <c r="F199" i="2"/>
  <c r="E199" i="2"/>
  <c r="D199" i="2"/>
  <c r="C199" i="2"/>
  <c r="B199" i="2"/>
  <c r="Q198" i="2"/>
  <c r="F198" i="2"/>
  <c r="E198" i="2"/>
  <c r="D198" i="2"/>
  <c r="C198" i="2"/>
  <c r="B198" i="2"/>
  <c r="Q197" i="2"/>
  <c r="F197" i="2"/>
  <c r="E197" i="2"/>
  <c r="D197" i="2"/>
  <c r="C197" i="2"/>
  <c r="B197" i="2"/>
  <c r="I55" i="7" l="1"/>
  <c r="I59" i="7"/>
  <c r="I57" i="7"/>
  <c r="I54" i="7"/>
  <c r="I33" i="7"/>
  <c r="I34" i="7"/>
  <c r="I3" i="7"/>
</calcChain>
</file>

<file path=xl/sharedStrings.xml><?xml version="1.0" encoding="utf-8"?>
<sst xmlns="http://schemas.openxmlformats.org/spreadsheetml/2006/main" count="663" uniqueCount="229">
  <si>
    <t>CODE</t>
  </si>
  <si>
    <t>التصنيف الفرعى</t>
  </si>
  <si>
    <t>التصنيف الرئيسى</t>
  </si>
  <si>
    <t xml:space="preserve">التبويب </t>
  </si>
  <si>
    <t>القائمة</t>
  </si>
  <si>
    <t>م</t>
  </si>
  <si>
    <t>الصندوق</t>
  </si>
  <si>
    <t>النقدية ومافي حكمها</t>
  </si>
  <si>
    <t>مركز مالى</t>
  </si>
  <si>
    <t>البنوك</t>
  </si>
  <si>
    <t>شيكات تحت التحصيل</t>
  </si>
  <si>
    <t>ذمم العملاء</t>
  </si>
  <si>
    <t>الذمم المدينة</t>
  </si>
  <si>
    <t>الانخفاض فى قيمة العملاء</t>
  </si>
  <si>
    <t>المدينون المتنوعون</t>
  </si>
  <si>
    <t>أرصدة مدينة أخري</t>
  </si>
  <si>
    <t>ايرادات مستحقة</t>
  </si>
  <si>
    <t>المصروفات المدفوعة مقدماً</t>
  </si>
  <si>
    <t>ذمم العاملين</t>
  </si>
  <si>
    <t>عهد عاملين</t>
  </si>
  <si>
    <t>تأمينات لدى الغير</t>
  </si>
  <si>
    <t>خطابات الضمان</t>
  </si>
  <si>
    <t>المخزون</t>
  </si>
  <si>
    <t>استثمارت قصيرة الاجل</t>
  </si>
  <si>
    <t>اراضى</t>
  </si>
  <si>
    <t>عقارات والات و معدات (بالصافى)</t>
  </si>
  <si>
    <t>مبانى</t>
  </si>
  <si>
    <t>سيارات</t>
  </si>
  <si>
    <t>الات و معدات</t>
  </si>
  <si>
    <t>عدد و ادوات</t>
  </si>
  <si>
    <t xml:space="preserve">أثاث
 ومفروشات
</t>
  </si>
  <si>
    <t>أجهزة كمبيوتر وبرامج</t>
  </si>
  <si>
    <t>اجهزة كهربائية و مكيفات</t>
  </si>
  <si>
    <t>معدات مكتبية</t>
  </si>
  <si>
    <t>تحسينات على اصول مستاجرة</t>
  </si>
  <si>
    <t>تجهيزات وديكورات</t>
  </si>
  <si>
    <t>موجودات غير ملموسة</t>
  </si>
  <si>
    <t>الموجودات الثابتة المستاجرة (بالصافى)</t>
  </si>
  <si>
    <t>عقارات استثمارية</t>
  </si>
  <si>
    <t>مشروعات تحت التنفيذ</t>
  </si>
  <si>
    <t>استثمارات في شركات زميلة</t>
  </si>
  <si>
    <t>ذمم الموردين</t>
  </si>
  <si>
    <t>الذمم الدائنة</t>
  </si>
  <si>
    <t>الدائنون المتنوعون</t>
  </si>
  <si>
    <t>ارصدة دائنة اخرى</t>
  </si>
  <si>
    <t>المصروفات المستحقة</t>
  </si>
  <si>
    <t>ضريبة القيمة المضافة</t>
  </si>
  <si>
    <t>قروض</t>
  </si>
  <si>
    <t>قروض و تسهيلات</t>
  </si>
  <si>
    <t>دائنو التزامات تاجير قصيرة الاجل</t>
  </si>
  <si>
    <t>دائنو التزامات تاجير طويلة الاجل</t>
  </si>
  <si>
    <t xml:space="preserve">مخصص الزكاة الشرعية </t>
  </si>
  <si>
    <t>مخصص الزكاة الشرعية والضريبة</t>
  </si>
  <si>
    <t>مخصص ضريبة الدخل</t>
  </si>
  <si>
    <t>ايراد مؤجل</t>
  </si>
  <si>
    <t>مخصص مكافأة نهاية الخدمة</t>
  </si>
  <si>
    <t>أطراف ذات علاقة دائنة</t>
  </si>
  <si>
    <t xml:space="preserve">أطراف ذات علاقة  </t>
  </si>
  <si>
    <t>اطراف ذات علاقة مدينة</t>
  </si>
  <si>
    <t>راس المال</t>
  </si>
  <si>
    <t>احتياطي نظامي</t>
  </si>
  <si>
    <t>أرباح مبقاه مقترح توزيعها</t>
  </si>
  <si>
    <t>الارباح المبقاه</t>
  </si>
  <si>
    <t>اجمالى الايرادات</t>
  </si>
  <si>
    <t>الايرادات</t>
  </si>
  <si>
    <t>دخل</t>
  </si>
  <si>
    <t>خصم مسموح به</t>
  </si>
  <si>
    <t>مردودات مبيعات</t>
  </si>
  <si>
    <t>تكلفة البضاعة المباعة</t>
  </si>
  <si>
    <t>تكلفة الايرادات</t>
  </si>
  <si>
    <t>المشتريات</t>
  </si>
  <si>
    <t>خصم مكتسب</t>
  </si>
  <si>
    <t>مردودات مشتريات</t>
  </si>
  <si>
    <t>رواتب وأجور وما في حكمها</t>
  </si>
  <si>
    <t>مصاريف التشغيل</t>
  </si>
  <si>
    <t>تأمينات إجتماعية</t>
  </si>
  <si>
    <t>تأمين طبي وعلاج</t>
  </si>
  <si>
    <t xml:space="preserve">مكافأة نهاية الخدمة </t>
  </si>
  <si>
    <t>الإيجارات</t>
  </si>
  <si>
    <t xml:space="preserve">رسوم حكومية واشتراكات </t>
  </si>
  <si>
    <t>كهرباء ومياه و مرافق</t>
  </si>
  <si>
    <t>بريد وهاتف وانترنت</t>
  </si>
  <si>
    <t>زيوت ومحروقات</t>
  </si>
  <si>
    <t>ضيافة ونظافة</t>
  </si>
  <si>
    <t>مصاريف متنوعة</t>
  </si>
  <si>
    <t>مصروفات بيعية وتسويقية</t>
  </si>
  <si>
    <t>سفر ونقل وانتقالات</t>
  </si>
  <si>
    <t>قرطاسية ومطبوعات</t>
  </si>
  <si>
    <t>صيانة وإصلاح</t>
  </si>
  <si>
    <t>دعاية وإعلان</t>
  </si>
  <si>
    <t>عمولات ومكافآت</t>
  </si>
  <si>
    <t>المصروفات العمومية والادارية</t>
  </si>
  <si>
    <t>الإنخفاض في قيمة الذمم</t>
  </si>
  <si>
    <t>أتعاب مهنية واستشارات</t>
  </si>
  <si>
    <t xml:space="preserve">عمولات و رسوم بنكية </t>
  </si>
  <si>
    <t>ايرادات متنوعة</t>
  </si>
  <si>
    <t>ايرادات اخرى</t>
  </si>
  <si>
    <t>ارباح او خسائر بيع اصول</t>
  </si>
  <si>
    <t>مخصصات انتفى الغرض منها</t>
  </si>
  <si>
    <t xml:space="preserve"> استهلاك العقارات والآلات والمعدات</t>
  </si>
  <si>
    <t>اكتب كود الحساب</t>
  </si>
  <si>
    <t>لا يتم تغييرها</t>
  </si>
  <si>
    <t>التصنيف الفرعى العام الحالى</t>
  </si>
  <si>
    <t>التصنيف الرئيسى العام الحالى</t>
  </si>
  <si>
    <t>التبويب العام الحالى</t>
  </si>
  <si>
    <t>الفرع</t>
  </si>
  <si>
    <t>الكود</t>
  </si>
  <si>
    <t>اسم الحساب</t>
  </si>
  <si>
    <t>مدين اول</t>
  </si>
  <si>
    <t>دائن اول</t>
  </si>
  <si>
    <t>حركة مدينة</t>
  </si>
  <si>
    <t>حركة دائنة</t>
  </si>
  <si>
    <t>مدين اخر</t>
  </si>
  <si>
    <t>دائن اخر</t>
  </si>
  <si>
    <t>رصيد اول</t>
  </si>
  <si>
    <t>رصيد اخر</t>
  </si>
  <si>
    <t>-</t>
  </si>
  <si>
    <t xml:space="preserve"> رصيد اخر</t>
  </si>
  <si>
    <t xml:space="preserve"> رصيد اول</t>
  </si>
  <si>
    <t xml:space="preserve"> مدين اخر</t>
  </si>
  <si>
    <t xml:space="preserve"> دائن اخر</t>
  </si>
  <si>
    <t xml:space="preserve"> حركة مدينة</t>
  </si>
  <si>
    <t xml:space="preserve"> حركة دائنة</t>
  </si>
  <si>
    <t xml:space="preserve"> مدين اول</t>
  </si>
  <si>
    <t xml:space="preserve"> دائن اول</t>
  </si>
  <si>
    <t>الاجمالى</t>
  </si>
  <si>
    <t>رواتب وأجور وما في حكمها Total</t>
  </si>
  <si>
    <t>تأمينات إجتماعية Total</t>
  </si>
  <si>
    <t>تأمين طبي وعلاج Total</t>
  </si>
  <si>
    <t>سفر ونقل وانتقالات Total</t>
  </si>
  <si>
    <t>رسوم حكومية واشتراكات  Total</t>
  </si>
  <si>
    <t>قرطاسية ومطبوعات Total</t>
  </si>
  <si>
    <t>بريد وهاتف وانترنت Total</t>
  </si>
  <si>
    <t>أتعاب مهنية واستشارات Total</t>
  </si>
  <si>
    <t>ضيافة ونظافة Total</t>
  </si>
  <si>
    <t>عمولات و رسوم بنكية  Total</t>
  </si>
  <si>
    <t>مصاريف متنوعة Total</t>
  </si>
  <si>
    <t>كهرباء ومياه و مرافق Total</t>
  </si>
  <si>
    <t>الإيجارات Total</t>
  </si>
  <si>
    <t>مكافأة نهاية الخدمة  Total</t>
  </si>
  <si>
    <t>عمولات ومكافآت Total</t>
  </si>
  <si>
    <t>مبيعات محلية</t>
  </si>
  <si>
    <t>معفاه</t>
  </si>
  <si>
    <t xml:space="preserve">صادرات </t>
  </si>
  <si>
    <t>مشتريات محلية</t>
  </si>
  <si>
    <t>استيراد</t>
  </si>
  <si>
    <t>12000</t>
  </si>
  <si>
    <t>42000</t>
  </si>
  <si>
    <t>61001001</t>
  </si>
  <si>
    <t>61001003</t>
  </si>
  <si>
    <t>61001004</t>
  </si>
  <si>
    <t>61001005</t>
  </si>
  <si>
    <t>61001006</t>
  </si>
  <si>
    <t>61001008</t>
  </si>
  <si>
    <t>61001009</t>
  </si>
  <si>
    <t>61001010</t>
  </si>
  <si>
    <t>61001011</t>
  </si>
  <si>
    <t>62001001</t>
  </si>
  <si>
    <t>62001002</t>
  </si>
  <si>
    <t>62001003</t>
  </si>
  <si>
    <t>62001004</t>
  </si>
  <si>
    <t>62001005</t>
  </si>
  <si>
    <t>62001006</t>
  </si>
  <si>
    <t>62001007</t>
  </si>
  <si>
    <t>62001008</t>
  </si>
  <si>
    <t>62001009</t>
  </si>
  <si>
    <t>62001010</t>
  </si>
  <si>
    <t>62001011</t>
  </si>
  <si>
    <t>62001013</t>
  </si>
  <si>
    <t>62001016</t>
  </si>
  <si>
    <t>62001017</t>
  </si>
  <si>
    <t>62001018</t>
  </si>
  <si>
    <t>64001001</t>
  </si>
  <si>
    <t>64001002</t>
  </si>
  <si>
    <t>64001003</t>
  </si>
  <si>
    <t>64001004</t>
  </si>
  <si>
    <t>64001007</t>
  </si>
  <si>
    <t>64001012</t>
  </si>
  <si>
    <t>حسابات العملاء</t>
  </si>
  <si>
    <t>ايرادات اخري</t>
  </si>
  <si>
    <t>الراتب الاساسي</t>
  </si>
  <si>
    <t>بدل السكن</t>
  </si>
  <si>
    <t>بدلات اخري</t>
  </si>
  <si>
    <t>م التامينات الاجتماعية</t>
  </si>
  <si>
    <t>بدل تذاكر الموظفين</t>
  </si>
  <si>
    <t>مكافاة نهاية الخدمة</t>
  </si>
  <si>
    <t>مكافات وحوافز الموظفين</t>
  </si>
  <si>
    <t>م اجور ورواتب عمالة خارجية وما في حكمها</t>
  </si>
  <si>
    <t>م التامين الطبي للموظفين</t>
  </si>
  <si>
    <t>م ضيافة واعاشة</t>
  </si>
  <si>
    <t>م نظافة للمكتب</t>
  </si>
  <si>
    <t>م شراء مستلزمات كومبيوتر</t>
  </si>
  <si>
    <t>م ايجارات - سكن موظفين - مكاتب ادارية</t>
  </si>
  <si>
    <t>مصروفات وعمولات بنكية</t>
  </si>
  <si>
    <t>مصروفات مهنية (محاسبة ومراجعة)</t>
  </si>
  <si>
    <t>م تجديد الاقامات وملحقاتها</t>
  </si>
  <si>
    <t>مصروفات تدريب ودورات</t>
  </si>
  <si>
    <t>م اشتراكات ومواقع انترنت</t>
  </si>
  <si>
    <t>م مكتبية وقرطاسية ومطبوعات</t>
  </si>
  <si>
    <t>م مستلزمات سكن موظفين</t>
  </si>
  <si>
    <t>م الخروج والعوده</t>
  </si>
  <si>
    <t>مصروف تأمين</t>
  </si>
  <si>
    <t>مصروف فوائد تأجير تمويلى</t>
  </si>
  <si>
    <t>م تمويل</t>
  </si>
  <si>
    <t>م كهرباء -مياه</t>
  </si>
  <si>
    <t>مصروفات البريد والمراسلات</t>
  </si>
  <si>
    <t>رسوم غرفة تجارية</t>
  </si>
  <si>
    <t>م هاتف وانترنت المكتب</t>
  </si>
  <si>
    <t>مصروفات ورسوم حكومية</t>
  </si>
  <si>
    <t>رسوم ادارية</t>
  </si>
  <si>
    <t>الإنخفاض في قيمة الذمم Total</t>
  </si>
  <si>
    <t>النقدية ومافي حكمها الإجمالي</t>
  </si>
  <si>
    <t>الذمم المدينة الإجمالي</t>
  </si>
  <si>
    <t>أرصدة مدينة أخري الإجمالي</t>
  </si>
  <si>
    <t>عقارات والات و معدات (بالصافى) الإجمالي</t>
  </si>
  <si>
    <t>الذمم الدائنة الإجمالي</t>
  </si>
  <si>
    <t>ارصدة دائنة اخرى الإجمالي</t>
  </si>
  <si>
    <t>مخصص الزكاة الشرعية والضريبة الإجمالي</t>
  </si>
  <si>
    <t>مخصص مكافأة نهاية الخدمة الإجمالي</t>
  </si>
  <si>
    <t>أطراف ذات علاقة   الإجمالي</t>
  </si>
  <si>
    <t>راس المال الإجمالي</t>
  </si>
  <si>
    <t>الارباح المبقاه الإجمالي</t>
  </si>
  <si>
    <t>خصم مسموح به الإجمالي</t>
  </si>
  <si>
    <t>الايرادات الإجمالي</t>
  </si>
  <si>
    <t>تكلفة الايرادات الإجمالي</t>
  </si>
  <si>
    <t>المصروفات العمومية والادارية الإجمالي</t>
  </si>
  <si>
    <t xml:space="preserve"> استهلاك العقارات والآلات والمعدات الإجمالي</t>
  </si>
  <si>
    <t>الإجمالي الكلي</t>
  </si>
  <si>
    <t>مصاريف التشغيل 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</si>
</sst>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_-;\(#,##0\)"/>
  </numFmts>
  <fonts count="6" x14ac:knownFonts="1">
    <font>
      <sz val="10"/>
      <name val="Arial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1"/>
      <color theme="1"/>
      <name val="Sakkal Majalla"/>
    </font>
    <font>
      <sz val="14"/>
      <color theme="1"/>
      <name val="Sakkal Majalla"/>
    </font>
    <font>
      <sz val="10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2"/>
    <xf numFmtId="0" fontId="1" fillId="0" borderId="1" xfId="2" applyBorder="1"/>
    <xf numFmtId="0" fontId="0" fillId="0" borderId="0" xfId="0" applyAlignment="1">
      <alignment horizontal="right"/>
    </xf>
    <xf numFmtId="166" fontId="0" fillId="0" borderId="0" xfId="0" applyNumberFormat="1"/>
    <xf numFmtId="3" fontId="0" fillId="0" borderId="0" xfId="0" applyNumberFormat="1"/>
    <xf numFmtId="0" fontId="1" fillId="2" borderId="0" xfId="2" applyFill="1" applyAlignment="1">
      <alignment horizontal="center"/>
    </xf>
    <xf numFmtId="0" fontId="1" fillId="0" borderId="0" xfId="2" applyAlignment="1">
      <alignment horizontal="center"/>
    </xf>
    <xf numFmtId="166" fontId="0" fillId="2" borderId="0" xfId="3" applyNumberFormat="1" applyFont="1" applyFill="1" applyAlignment="1">
      <alignment horizontal="center"/>
    </xf>
    <xf numFmtId="9" fontId="1" fillId="2" borderId="1" xfId="2" applyNumberFormat="1" applyFill="1" applyBorder="1" applyAlignment="1">
      <alignment horizontal="center" readingOrder="2"/>
    </xf>
    <xf numFmtId="0" fontId="1" fillId="2" borderId="1" xfId="2" applyFill="1" applyBorder="1" applyAlignment="1">
      <alignment horizontal="center"/>
    </xf>
    <xf numFmtId="0" fontId="1" fillId="0" borderId="1" xfId="2" applyBorder="1" applyAlignment="1">
      <alignment horizontal="center"/>
    </xf>
    <xf numFmtId="166" fontId="0" fillId="0" borderId="1" xfId="3" applyNumberFormat="1" applyFont="1" applyBorder="1" applyAlignment="1">
      <alignment horizontal="center"/>
    </xf>
    <xf numFmtId="166" fontId="1" fillId="3" borderId="1" xfId="2" applyNumberFormat="1" applyFill="1" applyBorder="1" applyAlignment="1">
      <alignment horizontal="center"/>
    </xf>
    <xf numFmtId="166" fontId="1" fillId="4" borderId="1" xfId="2" applyNumberFormat="1" applyFill="1" applyBorder="1" applyAlignment="1">
      <alignment horizontal="center"/>
    </xf>
    <xf numFmtId="43" fontId="0" fillId="0" borderId="0" xfId="3" applyFont="1" applyAlignment="1">
      <alignment horizontal="center"/>
    </xf>
    <xf numFmtId="166" fontId="1" fillId="0" borderId="0" xfId="2" applyNumberFormat="1" applyAlignment="1">
      <alignment horizontal="center"/>
    </xf>
    <xf numFmtId="166" fontId="0" fillId="0" borderId="0" xfId="3" applyNumberFormat="1" applyFont="1" applyAlignment="1">
      <alignment horizontal="center"/>
    </xf>
    <xf numFmtId="166" fontId="0" fillId="2" borderId="1" xfId="3" applyNumberFormat="1" applyFont="1" applyFill="1" applyBorder="1" applyAlignment="1">
      <alignment horizontal="center"/>
    </xf>
    <xf numFmtId="0" fontId="0" fillId="0" borderId="0" xfId="0" pivotButton="1"/>
    <xf numFmtId="0" fontId="3" fillId="2" borderId="1" xfId="2" applyFont="1" applyFill="1" applyBorder="1"/>
    <xf numFmtId="0" fontId="3" fillId="0" borderId="0" xfId="2" applyFont="1"/>
    <xf numFmtId="0" fontId="3" fillId="0" borderId="1" xfId="2" applyFont="1" applyBorder="1"/>
    <xf numFmtId="0" fontId="3" fillId="3" borderId="1" xfId="2" applyFont="1" applyFill="1" applyBorder="1"/>
    <xf numFmtId="0" fontId="3" fillId="3" borderId="0" xfId="2" applyFont="1" applyFill="1"/>
    <xf numFmtId="0" fontId="4" fillId="0" borderId="0" xfId="2" applyFont="1" applyAlignment="1">
      <alignment horizontal="right" vertical="center" wrapText="1" readingOrder="2"/>
    </xf>
    <xf numFmtId="1" fontId="3" fillId="3" borderId="0" xfId="1" applyNumberFormat="1" applyFont="1" applyFill="1" applyAlignment="1">
      <alignment wrapText="1"/>
    </xf>
    <xf numFmtId="164" fontId="3" fillId="0" borderId="0" xfId="1" applyFont="1"/>
    <xf numFmtId="165" fontId="3" fillId="0" borderId="0" xfId="1" applyNumberFormat="1" applyFont="1"/>
    <xf numFmtId="1" fontId="3" fillId="0" borderId="0" xfId="1" applyNumberFormat="1" applyFont="1" applyAlignment="1">
      <alignment horizontal="center" vertical="center"/>
    </xf>
    <xf numFmtId="164" fontId="3" fillId="3" borderId="0" xfId="1" applyFont="1" applyFill="1" applyAlignment="1">
      <alignment horizontal="center" vertical="center"/>
    </xf>
    <xf numFmtId="165" fontId="3" fillId="3" borderId="0" xfId="1" applyNumberFormat="1" applyFont="1" applyFill="1" applyAlignment="1">
      <alignment horizontal="center" vertical="center"/>
    </xf>
    <xf numFmtId="164" fontId="3" fillId="0" borderId="0" xfId="1" applyFont="1" applyAlignment="1">
      <alignment horizontal="center" vertical="center" wrapText="1"/>
    </xf>
    <xf numFmtId="164" fontId="3" fillId="3" borderId="0" xfId="1" applyFont="1" applyFill="1" applyAlignment="1">
      <alignment horizontal="center" vertical="center" wrapText="1"/>
    </xf>
    <xf numFmtId="164" fontId="3" fillId="0" borderId="0" xfId="1" applyFont="1" applyAlignment="1">
      <alignment horizontal="center" vertical="center"/>
    </xf>
    <xf numFmtId="1" fontId="3" fillId="0" borderId="0" xfId="1" applyNumberFormat="1" applyFont="1"/>
    <xf numFmtId="164" fontId="3" fillId="0" borderId="0" xfId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0" borderId="0" xfId="1" applyNumberFormat="1" applyFont="1"/>
    <xf numFmtId="2" fontId="3" fillId="0" borderId="0" xfId="1" applyNumberFormat="1" applyFont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right"/>
    </xf>
    <xf numFmtId="166" fontId="5" fillId="0" borderId="0" xfId="0" applyNumberFormat="1" applyFont="1"/>
    <xf numFmtId="3" fontId="5" fillId="0" borderId="0" xfId="0" applyNumberFormat="1" applyFont="1"/>
    <xf numFmtId="0" fontId="5" fillId="0" borderId="0" xfId="0" applyFont="1" applyFill="1" applyAlignment="1">
      <alignment horizontal="right"/>
    </xf>
  </cellXfs>
  <cellStyles count="4">
    <cellStyle name="Comma" xfId="1" builtinId="3"/>
    <cellStyle name="Comma 2 3" xfId="3" xr:uid="{D8998754-0702-4D00-9934-75DF8DC648AC}"/>
    <cellStyle name="Normal 8" xfId="2" xr:uid="{959FFF56-348D-47C7-998D-BBD0A624FECF}"/>
    <cellStyle name="عادي" xfId="0" builtinId="0"/>
  </cellStyles>
  <dxfs count="308"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numFmt numFmtId="166" formatCode="#,##0_-;\(#,##0\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numFmt numFmtId="166" formatCode="#,##0_-;\(#,##0\)"/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font>
        <name val="Sakkal Majalla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#,##0_-;\(#,##0\)"/>
    </dxf>
    <dxf>
      <numFmt numFmtId="166" formatCode="#,##0_-;\(#,##0\)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#,##0_-;\(#,##0\)"/>
    </dxf>
    <dxf>
      <numFmt numFmtId="166" formatCode="#,##0_-;\(#,##0\)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#,##0_-;\(#,##0\)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6" formatCode="#,##0_-;\(#,##0\)"/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#,##0_-;\(#,##0\)"/>
    </dxf>
    <dxf>
      <numFmt numFmtId="166" formatCode="#,##0_-;\(#,##0\)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  <dxf>
      <numFmt numFmtId="167" formatCode="_-* #,##0.00_-;_-* #,##0.00\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stafa" refreshedDate="45120.515831944445" createdVersion="8" refreshedVersion="8" minRefreshableVersion="3" recordCount="1998" xr:uid="{2AF28C8A-BCD5-4107-8270-7C48453B2F34}">
  <cacheSource type="worksheet">
    <worksheetSource ref="A2:Q2000" sheet="الميزان"/>
  </cacheSource>
  <cacheFields count="17">
    <cacheField name="CODE" numFmtId="1">
      <sharedItems containsString="0" containsBlank="1" containsNumber="1" containsInteger="1" minValue="101" maxValue="3001" count="45">
        <n v="101"/>
        <n v="102"/>
        <n v="201"/>
        <n v="304"/>
        <n v="305"/>
        <n v="307"/>
        <n v="303"/>
        <n v="1303"/>
        <n v="610"/>
        <n v="607"/>
        <n v="603"/>
        <n v="605"/>
        <n v="1201"/>
        <n v="1302"/>
        <n v="1901"/>
        <n v="1701"/>
        <n v="2101"/>
        <n v="2001"/>
        <n v="2401"/>
        <n v="2501"/>
        <n v="2502"/>
        <n v="2620"/>
        <n v="2602"/>
        <n v="2608"/>
        <n v="2613"/>
        <n v="2615"/>
        <n v="2616"/>
        <n v="2801"/>
        <n v="2802"/>
        <n v="2806"/>
        <n v="2805"/>
        <n v="2816"/>
        <n v="2803"/>
        <n v="2817"/>
        <n v="2810"/>
        <n v="2807"/>
        <n v="2818"/>
        <n v="2815"/>
        <n v="2808"/>
        <n v="2819"/>
        <n v="2804"/>
        <n v="3001"/>
        <n v="2809"/>
        <n v="2811"/>
        <m/>
      </sharedItems>
    </cacheField>
    <cacheField name="التصنيف الفرعى العام الحالى" numFmtId="164">
      <sharedItems containsMixedTypes="1" containsNumber="1" containsInteger="1" minValue="0" maxValue="0" count="20">
        <n v="0"/>
        <s v="مصاريف متنوعة"/>
        <s v="سفر ونقل وانتقالات"/>
        <s v="قرطاسية ومطبوعات"/>
        <s v="زيوت ومحروقات"/>
        <s v="صيانة وإصلاح"/>
        <s v="رواتب وأجور وما في حكمها"/>
        <s v="تأمينات إجتماعية"/>
        <s v="الإنخفاض في قيمة الذمم"/>
        <s v="مكافأة نهاية الخدمة "/>
        <s v="عمولات ومكافآت"/>
        <s v="تأمين طبي وعلاج"/>
        <s v="ضيافة ونظافة"/>
        <s v="الإيجارات"/>
        <s v="عمولات و رسوم بنكية "/>
        <s v="أتعاب مهنية واستشارات"/>
        <s v="رسوم حكومية واشتراكات "/>
        <s v="كهرباء ومياه و مرافق"/>
        <s v="بريد وهاتف وانترنت"/>
        <s v=""/>
      </sharedItems>
    </cacheField>
    <cacheField name="التصنيف الرئيسى العام الحالى" numFmtId="164">
      <sharedItems count="26">
        <s v="الصندوق"/>
        <s v="البنوك"/>
        <s v="ذمم العملاء"/>
        <s v="ذمم العاملين"/>
        <s v="عهد عاملين"/>
        <s v="خطابات الضمان"/>
        <s v="المصروفات المدفوعة مقدماً"/>
        <s v="ضريبة القيمة المضافة"/>
        <s v="معدات مكتبية"/>
        <s v="أثاث_x000a_ ومفروشات_x000a_"/>
        <s v="سيارات"/>
        <s v="عدد و ادوات"/>
        <s v="ذمم الموردين"/>
        <s v="المصروفات المستحقة"/>
        <s v="مخصص مكافأة نهاية الخدمة"/>
        <s v="مخصص الزكاة الشرعية "/>
        <s v="راس المال"/>
        <s v="أطراف ذات علاقة دائنة"/>
        <s v="الارباح المبقاه"/>
        <s v="اجمالى الايرادات"/>
        <s v="خصم مسموح به"/>
        <s v="مصاريف التشغيل"/>
        <s v="المشتريات"/>
        <s v="المصروفات العمومية والادارية"/>
        <s v=" استهلاك العقارات والآلات والمعدات"/>
        <s v=""/>
      </sharedItems>
    </cacheField>
    <cacheField name="التبويب العام الحالى" numFmtId="164">
      <sharedItems count="16">
        <s v="النقدية ومافي حكمها"/>
        <s v="الذمم المدينة"/>
        <s v="أرصدة مدينة أخري"/>
        <s v="ارصدة دائنة اخرى"/>
        <s v="عقارات والات و معدات (بالصافى)"/>
        <s v="الذمم الدائنة"/>
        <s v="مخصص مكافأة نهاية الخدمة"/>
        <s v="مخصص الزكاة الشرعية والضريبة"/>
        <s v="راس المال"/>
        <s v="أطراف ذات علاقة  "/>
        <s v="الارباح المبقاه"/>
        <s v="الايرادات"/>
        <s v="تكلفة الايرادات"/>
        <s v="المصروفات العمومية والادارية"/>
        <s v=" استهلاك العقارات والآلات والمعدات"/>
        <s v=""/>
      </sharedItems>
    </cacheField>
    <cacheField name="القائمة" numFmtId="164">
      <sharedItems count="3">
        <s v="مركز مالى"/>
        <s v="دخل"/>
        <s v=""/>
      </sharedItems>
    </cacheField>
    <cacheField name="م" numFmtId="165">
      <sharedItems containsMixedTypes="1" containsNumber="1" containsInteger="1" minValue="1" maxValue="30" count="16">
        <n v="1"/>
        <n v="2"/>
        <n v="3"/>
        <n v="13"/>
        <n v="6"/>
        <n v="12"/>
        <n v="19"/>
        <n v="17"/>
        <n v="21"/>
        <n v="20"/>
        <n v="24"/>
        <n v="25"/>
        <n v="26"/>
        <n v="28"/>
        <n v="30"/>
        <s v=""/>
      </sharedItems>
    </cacheField>
    <cacheField name="الفرع" numFmtId="164">
      <sharedItems containsNonDate="0" containsString="0" containsBlank="1"/>
    </cacheField>
    <cacheField name="الكود" numFmtId="0">
      <sharedItems containsBlank="1" count="195">
        <s v="10000"/>
        <s v="10001"/>
        <s v="10002"/>
        <s v="12000"/>
        <s v="13001006"/>
        <s v="13001008"/>
        <s v="13001009"/>
        <s v="13001010"/>
        <s v="13001017"/>
        <s v="13001021"/>
        <s v="13001024"/>
        <s v="13001026"/>
        <s v="13001027"/>
        <s v="13001028"/>
        <s v="13001029"/>
        <s v="13001031"/>
        <s v="13001032"/>
        <s v="13001033"/>
        <s v="13001034"/>
        <s v="13001035"/>
        <s v="13001036"/>
        <s v="13001041"/>
        <s v="13001043"/>
        <s v="13001044"/>
        <s v="13001045"/>
        <s v="13001046"/>
        <s v="13001047"/>
        <s v="13001048"/>
        <s v="13001049"/>
        <s v="13001050"/>
        <s v="13001051"/>
        <s v="13001052"/>
        <s v="13001053"/>
        <s v="13001054"/>
        <s v="13001055"/>
        <s v="13001057"/>
        <s v="13001058"/>
        <s v="13001059"/>
        <s v="13001060"/>
        <s v="13001061"/>
        <s v="13001062"/>
        <s v="13001063"/>
        <s v="13001064"/>
        <s v="13001065"/>
        <s v="13001066"/>
        <s v="13001067"/>
        <s v="13001068"/>
        <s v="13002001"/>
        <s v="13002002"/>
        <s v="13002005"/>
        <s v="13002006"/>
        <s v="13002008"/>
        <s v="13002009"/>
        <s v="13002012"/>
        <s v="13002017"/>
        <s v="13002018"/>
        <s v="13002019"/>
        <s v="13002021"/>
        <s v="13002026"/>
        <s v="13002027"/>
        <s v="13002028"/>
        <s v="13002029"/>
        <s v="13002030"/>
        <s v="13002031"/>
        <s v="13002032"/>
        <s v="13002033"/>
        <s v="13002034"/>
        <s v="13002035"/>
        <s v="13002036"/>
        <s v="13002037"/>
        <s v="13002038"/>
        <s v="13002039"/>
        <s v="13002040"/>
        <s v="13002041"/>
        <s v="13002042"/>
        <s v="13002044"/>
        <s v="13002048"/>
        <s v="13002049"/>
        <s v="13002050"/>
        <s v="13002051"/>
        <s v="13002052"/>
        <s v="13002053"/>
        <s v="14000"/>
        <s v="140002"/>
        <s v="150001"/>
        <s v="150002"/>
        <s v="150004"/>
        <s v="150005"/>
        <s v="150006"/>
        <s v="150007"/>
        <s v="17001001"/>
        <s v="17001002"/>
        <s v="17002001"/>
        <s v="17002002"/>
        <s v="17003001"/>
        <s v="17003002"/>
        <s v="17003003"/>
        <s v="17003004"/>
        <s v="17004001"/>
        <s v="17004002"/>
        <s v="17004003"/>
        <s v="17004004"/>
        <s v="21002"/>
        <s v="22000"/>
        <s v="23001002"/>
        <s v="23001012"/>
        <s v="23001014"/>
        <s v="23001015"/>
        <s v="23001016"/>
        <s v="23001017"/>
        <s v="23001018"/>
        <s v="23001019"/>
        <s v="23001020"/>
        <s v="23001021"/>
        <s v="23001022"/>
        <s v="23001023"/>
        <s v="23001024"/>
        <s v="23001025"/>
        <s v="23001026"/>
        <s v="23001027"/>
        <s v="23001028"/>
        <s v="23002001"/>
        <s v="23004001"/>
        <s v="23005001"/>
        <s v="23005002"/>
        <s v="23005004"/>
        <s v="30000"/>
        <s v="31000"/>
        <s v="310001"/>
        <s v="32000"/>
        <s v="40001"/>
        <s v="42000"/>
        <s v="50001001"/>
        <s v="50001002"/>
        <s v="50001003"/>
        <s v="50001004"/>
        <s v="50001005"/>
        <s v="50001006"/>
        <s v="50001007"/>
        <s v="50001008"/>
        <s v="50001009"/>
        <s v="50001010"/>
        <s v="50001011"/>
        <s v="50001012"/>
        <s v="50001013"/>
        <s v="50001014"/>
        <s v="50001015"/>
        <s v="50001016"/>
        <s v="50001017"/>
        <s v="50001018"/>
        <s v="50001019"/>
        <s v="52001001"/>
        <s v="52001002"/>
        <s v="52001003"/>
        <s v="61001001"/>
        <s v="61001003"/>
        <s v="61001004"/>
        <s v="61001005"/>
        <s v="61001006"/>
        <s v="61001008"/>
        <s v="61001009"/>
        <s v="61001010"/>
        <s v="61001011"/>
        <s v="62001001"/>
        <s v="62001002"/>
        <s v="62001003"/>
        <s v="62001004"/>
        <s v="62001005"/>
        <s v="62001006"/>
        <s v="62001007"/>
        <s v="62001008"/>
        <s v="62001009"/>
        <s v="62001010"/>
        <s v="62001011"/>
        <s v="62001013"/>
        <s v="62001016"/>
        <s v="62001017"/>
        <s v="62001018"/>
        <s v="63001001"/>
        <s v="63001002"/>
        <s v="63001003"/>
        <s v="63001004"/>
        <s v="64001001"/>
        <s v="64001002"/>
        <s v="64001003"/>
        <s v="64001004"/>
        <s v="64001005"/>
        <s v="64001006"/>
        <s v="64001007"/>
        <s v="64001008"/>
        <s v="64001009"/>
        <s v="64001010"/>
        <s v="64001011"/>
        <s v="64001012"/>
        <m/>
      </sharedItems>
    </cacheField>
    <cacheField name="اسم الحساب" numFmtId="164">
      <sharedItems containsBlank="1" count="195">
        <s v="النقدية بالصندوق الرئيسي"/>
        <s v="حساب البنك الاهلي"/>
        <s v="حساب بنك الرياض"/>
        <s v="حسابات العملاء"/>
        <s v="سلفة الموظف /محمد عادل"/>
        <s v="سلفة الموظف / احمد ايوان"/>
        <s v="سلفة الموظف / محمد نعيم"/>
        <s v="سلفة الموظف / عبدالروؤف كامل"/>
        <s v="سلفة الموظف / أنس محمد عبدالرحمن"/>
        <s v="سلفة الموظف / محمد جودة"/>
        <s v="سلفة الموظف / ضياء الدين الامين"/>
        <s v="سلفة الموظف / عمر فاروق"/>
        <s v="سلفة الموظف - ياسر عمر"/>
        <s v="سلفه الموظف/ عبدالله جبر السبيعى"/>
        <s v="سلفه الموظف/ محمد دسوقي"/>
        <s v="سلفه الموظف /عرفه الزبداني"/>
        <s v="سلفة الموظف / فيصل علي"/>
        <s v="سلفة الموظف / محمد عمر"/>
        <s v="سلفة الموظف / محمود صابر جبل"/>
        <s v="سلفة الموظف / عز الدين غبوش"/>
        <s v="سلفة الموظف/ عمر كبير كبير احمد"/>
        <s v="سلفة الموظف / حازم الشناوي"/>
        <s v="سلفة الموظف / زين العابدين"/>
        <s v="سلفة الموظف / سمير مجدي"/>
        <s v="سلفة الموظف  / محمد فرحات"/>
        <s v="سلفة الموظف / عمرو الداوودي"/>
        <s v="سلفة الموظف / محمد الشاعر"/>
        <s v="سلفه الموظف / ايهاب الامين"/>
        <s v="سلفة الموظف / علي رازا"/>
        <s v="سلفة الموظف / ارشد سعيد"/>
        <s v="سلفة الموظف / محمد زهيد"/>
        <s v="سلفة الموظف/ زيشان ساروار"/>
        <s v="سلفة الموظف/ عبد الوهاب حمدي"/>
        <s v="سلفة الموظف/ احمد الشرقاوي"/>
        <s v="سلفة الموظف/ عبد القادر محمد"/>
        <s v="سلفة الموظف/ برهان خان"/>
        <s v="سلفة الموظف/ زاهر خان"/>
        <s v="سلفة الموظف/ جاسم الدين"/>
        <s v="سلفه الموظف / محمد عرفان"/>
        <s v="سلفه الموظف /مدثر منير"/>
        <s v="سلفه الموظف / محمد تنفير"/>
        <s v="سلفه الموظف / عمير احمد عابد"/>
        <s v="سلفه الموظف / رضوان علي ازاد"/>
        <s v="سلفه الموظف / محمد علي"/>
        <s v="سلفه الموظف / عاطف محي الدين"/>
        <s v="سلفه الموظف / أيمن بري"/>
        <s v="سلفة الموظف / محمد فاروق"/>
        <s v="عهدة الموظف / احمد ابراهيم"/>
        <s v="عهدة م / عرفة الزبداني"/>
        <s v="عهدة الموظف / محمد عادل"/>
        <s v="عهدة الموظف  /احمد رضا"/>
        <s v="عهدة  م / حاتم صفوت"/>
        <s v="عهدة م / معوض علي"/>
        <s v="عهدة الموظف / عمر فاروق"/>
        <s v="عهدة الموظف / هيثم جمال"/>
        <s v="عهدة الموظف / سمير ابراهيم احمد"/>
        <s v="عهده الموظف / عاصف علي"/>
        <s v="عهدة م / وائل طلبة"/>
        <s v="عهده الموظف / محمد جودة"/>
        <s v="عهده الموظف / أنس محمد عبد الرحمن"/>
        <s v="عهدة الموظف / عبدالله السبيعى"/>
        <s v="عهدة الموظف / حازم الشناوي"/>
        <s v="عهدة الموظف / عبدالوهاب حمدي عبدالوهاب"/>
        <s v="عهدة الموظف / سمير مجدي"/>
        <s v="عهدة الموظف / احمد عماد"/>
        <s v="عهدة الموظف / زيشان ساروار"/>
        <s v="عهدة الموظف / علي رازا"/>
        <s v="عهده الموظف ارشد سعيد"/>
        <s v="عهده الموظف / عاطف محي الدين"/>
        <s v="عهده الموظف / احمد جمعه"/>
        <s v="عهدة الموظف / محمد فاروق"/>
        <s v="عهدة الموظف / محمد تنفير"/>
        <s v="عهدة الموظف / محمد عرفان"/>
        <s v="عهدة الموظف / رضوان علي"/>
        <s v="عهدة الموظف / كمران محمد"/>
        <s v="عهدة الموظف / محمد زهيد"/>
        <s v="عهدة الموظف / زهير خان"/>
        <s v="عهده الموظف / محمد علي"/>
        <s v="عهدة الموظف / ايهاب الامين"/>
        <s v="عهدة الموظف /مدثر منير"/>
        <s v="عهدة/ م خالد السبيعي"/>
        <s v="عهدة الموظف /عمير احمد"/>
        <s v="خطابات الضمان"/>
        <s v="خطابات الضمان النهائية"/>
        <s v="م ايجار مقدم"/>
        <s v="م تامين - سكن- مسترد"/>
        <s v="مصروفات مدفوعه مقدما - تامين طبي"/>
        <s v="تأمين تاجير تمويلي مؤجل"/>
        <s v="فوائد تاجير تمويلى مؤجلة"/>
        <s v="ضريبة القيمة المضافة-مؤجل"/>
        <s v="اجهزة الكومبيوتر والطابعات"/>
        <s v="مجمع اهلاك اجهزة الكومبيوتر والطابعات"/>
        <s v="الاثاث المكتبي والمفروشات"/>
        <s v="مجمع اهلاك الاثاث المكتبي والمفروشات"/>
        <s v="اصول ثابتة ( سيارات )-دوكر-نفارا-م 200"/>
        <s v="مجمع اهلاك اصول ثابتة ( سيارات )-دوكر-نفارا-م 200"/>
        <s v="اصول ثابتة ( سيارات )-نفارا  2020"/>
        <s v="مجمع اهلاك اصول ثابتة ( سيارات )-نفارا 2020"/>
        <s v="اصول ثابتة سيارات -بي ام دبليو"/>
        <s v="مجمع اهلاك اصول ثابتة سيارات -بي ام دبليو"/>
        <s v="معدات"/>
        <s v="مجمع اهلاك معدات"/>
        <s v="ضريبة القيمة المضافة"/>
        <s v="الموردين"/>
        <s v="مصروفات مستحقة - اجور ورواتب شهر فبراير 2021"/>
        <s v="2021 مستحقة اجور ورواتب شهر ديسمبر"/>
        <s v="مصروفات مستحقه ( تذاكر موظفين 2021)"/>
        <s v="مصروفات مستحقه - بدلات اجازه موظفين 2021"/>
        <s v="مصروفات مستحقه - مكافات موظفين - 2021"/>
        <s v="مصروفات مستحقة - اجور ورواتب شهر يناير"/>
        <s v="مصروفات مستحقة - اجور ورواتب شهر فبراير"/>
        <s v="مصروفات مستحقة - اجور ورواتب شهر مارس"/>
        <s v="مصروفات مستحقة - اجور ورواتب شهر أبريل"/>
        <s v="مصروفات مستحقة - اجور ورواتب شهر مايو"/>
        <s v="مصروفات مستحقة - اجور ورواتب شهر يونيو"/>
        <s v="مصروفات مستحقة - اجور ورواتب شهر يوليو"/>
        <s v="مصروفات مستحقة - اجور ورواتب شهر اغسطس"/>
        <s v="مصروفات مستحقة - اجور ورواتب شهر سبتمبر"/>
        <s v="مصروفات مستحقة - اجور ورواتب شهر اكتوبر"/>
        <s v="مصروفات مستحقة - اجور ورواتب شهر نوفمبر"/>
        <s v="مصروفات مستحقة - اجور ورواتب شهر ديسمبر"/>
        <s v="م ايجارات مستحقة"/>
        <s v="مصروفات مستحقة - اتعاب مهنية ومراجعة"/>
        <s v="مخصص مكافأة نهاية الخدمة -"/>
        <s v="مخصص الزكاة"/>
        <s v="مصروفات مستحقة - التأمينات الاجتماعية"/>
        <s v="رأس مال الشركة"/>
        <s v="جاري المالك م / خالد السبيعي"/>
        <s v="دعم مؤقت جاري المالك"/>
        <s v="الارباح المحتجزة"/>
        <s v="ايرادات النشاط الرئيسي"/>
        <s v="ايرادات اخري"/>
        <s v="م تقديم خدمات دعم فني وبرمجة وشبكات"/>
        <s v="غرامات وتعويضات ( غير المرورية)"/>
        <s v="م تحليل  وتشغيل نظم الكترونية"/>
        <s v="م شراء وتوريد مواد كهرباء"/>
        <s v="م انتقالات وسفر - مشاريع"/>
        <s v="م اقامات وفنادق - مشاريع"/>
        <s v="م شراء كابلات - كبائن - وملحقاتها"/>
        <s v="م شراء عدد وادوات للمشاريع"/>
        <s v="م تاجير معدات -عدد -ادوات"/>
        <s v="م حجز تذاكر طيران - المشاريع"/>
        <s v="م شراء مواد للمشروع"/>
        <s v="م شراء مواد سباكة"/>
        <s v="م خرسانه جاهزه"/>
        <s v="م حديد والمويتال وقطع معدنيه"/>
        <s v="م شراء مواد سلامه"/>
        <s v="مصروفات ترجمة"/>
        <s v="م توريد أجهزة للمشاريع"/>
        <s v="م اصدار تصاريح دخول"/>
        <s v="م الشحن والنقل"/>
        <s v="م ايجار السيارات"/>
        <s v="م بنزين - ديزل - زيوت"/>
        <s v="م صيانة السيارات"/>
        <s v="الراتب الاساسي"/>
        <s v="بدل السكن"/>
        <s v="بدلات اخري"/>
        <s v="م التامينات الاجتماعية"/>
        <s v="بدل تذاكر الموظفين"/>
        <s v="مكافاة نهاية الخدمة"/>
        <s v="مكافات وحوافز الموظفين"/>
        <s v="م اجور ورواتب عمالة خارجية وما في حكمها"/>
        <s v="م التامين الطبي للموظفين"/>
        <s v="م ضيافة واعاشة"/>
        <s v="م نظافة للمكتب"/>
        <s v="م شراء مستلزمات كومبيوتر"/>
        <s v="م ايجارات - سكن موظفين - مكاتب ادارية"/>
        <s v="مصروفات وعمولات بنكية"/>
        <s v="مصروفات مهنية (محاسبة ومراجعة)"/>
        <s v="م تجديد الاقامات وملحقاتها"/>
        <s v="مصروفات تدريب ودورات"/>
        <s v="م اشتراكات ومواقع انترنت"/>
        <s v="م مكتبية وقرطاسية ومطبوعات"/>
        <s v="م مستلزمات سكن موظفين"/>
        <s v="م الخروج والعوده"/>
        <s v="مصروف تأمين"/>
        <s v="مصروف فوائد تأجير تمويلى"/>
        <s v="م تمويل"/>
        <s v="م اهلاك الاصول الثابتة - كومبيوتر وملحقاته"/>
        <s v="م اهلاك السيارات"/>
        <s v="م اهلاك الاثاث المكتبي والمفروشات"/>
        <s v="م اهلاك معدات"/>
        <s v="م كهرباء -مياه"/>
        <s v="مصروفات البريد والمراسلات"/>
        <s v="رسوم غرفة تجارية"/>
        <s v="م هاتف وانترنت المكتب"/>
        <s v="الزكاة الشرعية"/>
        <s v="م المناقصات والعطاءات"/>
        <s v="مصروفات ورسوم حكومية"/>
        <s v="م -صيانة واصلاح سكن العمال"/>
        <s v="م فروق زكوية"/>
        <s v="م فروق تقييم العملة"/>
        <s v="مصروف السعي"/>
        <s v="رسوم ادارية"/>
        <m/>
      </sharedItems>
    </cacheField>
    <cacheField name="مدين اول" numFmtId="0">
      <sharedItems containsNonDate="0" containsString="0" containsBlank="1"/>
    </cacheField>
    <cacheField name="دائن اول" numFmtId="0">
      <sharedItems containsNonDate="0" containsString="0" containsBlank="1"/>
    </cacheField>
    <cacheField name="حركة مدينة" numFmtId="164">
      <sharedItems containsString="0" containsBlank="1" containsNumber="1" minValue="0" maxValue="15717003.49"/>
    </cacheField>
    <cacheField name="حركة دائنة" numFmtId="164">
      <sharedItems containsString="0" containsBlank="1" containsNumber="1" minValue="0" maxValue="16006903.609999999"/>
    </cacheField>
    <cacheField name="مدين اخر" numFmtId="164">
      <sharedItems containsString="0" containsBlank="1" containsNumber="1" minValue="-13178070.65" maxValue="3199796.84"/>
    </cacheField>
    <cacheField name="دائن اخر" numFmtId="164">
      <sharedItems containsNonDate="0" containsString="0" containsBlank="1"/>
    </cacheField>
    <cacheField name="رصيد اول" numFmtId="164">
      <sharedItems containsSemiMixedTypes="0" containsString="0" containsNumber="1" minValue="-4094482.1100000041" maxValue="3472424.7"/>
    </cacheField>
    <cacheField name="رصيد اخر" numFmtId="164">
      <sharedItems containsSemiMixedTypes="0" containsString="0" containsNumber="1" minValue="-13178070.649999999" maxValue="3199796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8">
  <r>
    <x v="0"/>
    <x v="0"/>
    <x v="0"/>
    <x v="0"/>
    <x v="0"/>
    <x v="0"/>
    <m/>
    <x v="0"/>
    <x v="0"/>
    <m/>
    <m/>
    <n v="220700"/>
    <n v="217063.71"/>
    <n v="3636.29"/>
    <m/>
    <n v="0"/>
    <n v="3636.2900000000081"/>
  </r>
  <r>
    <x v="1"/>
    <x v="0"/>
    <x v="1"/>
    <x v="0"/>
    <x v="0"/>
    <x v="0"/>
    <m/>
    <x v="1"/>
    <x v="1"/>
    <m/>
    <m/>
    <n v="6448472.6900000004"/>
    <n v="6646323.5099999998"/>
    <n v="5568.4700000000012"/>
    <m/>
    <n v="203419.29"/>
    <n v="5568.4700000006706"/>
  </r>
  <r>
    <x v="1"/>
    <x v="0"/>
    <x v="1"/>
    <x v="0"/>
    <x v="0"/>
    <x v="0"/>
    <m/>
    <x v="2"/>
    <x v="2"/>
    <m/>
    <m/>
    <n v="13141148.26"/>
    <n v="13043776.83"/>
    <n v="868784.59000000008"/>
    <m/>
    <n v="771413.16"/>
    <n v="868784.58999999985"/>
  </r>
  <r>
    <x v="2"/>
    <x v="0"/>
    <x v="2"/>
    <x v="1"/>
    <x v="0"/>
    <x v="1"/>
    <m/>
    <x v="3"/>
    <x v="3"/>
    <m/>
    <m/>
    <n v="15717003.49"/>
    <n v="16006903.609999999"/>
    <n v="3182524.58"/>
    <m/>
    <n v="3472424.7"/>
    <n v="3182524.5800000019"/>
  </r>
  <r>
    <x v="3"/>
    <x v="0"/>
    <x v="3"/>
    <x v="2"/>
    <x v="0"/>
    <x v="2"/>
    <m/>
    <x v="4"/>
    <x v="4"/>
    <m/>
    <m/>
    <n v="6626"/>
    <n v="4100"/>
    <n v="2526"/>
    <m/>
    <n v="0"/>
    <n v="2526"/>
  </r>
  <r>
    <x v="3"/>
    <x v="0"/>
    <x v="3"/>
    <x v="2"/>
    <x v="0"/>
    <x v="2"/>
    <m/>
    <x v="5"/>
    <x v="5"/>
    <m/>
    <m/>
    <n v="0"/>
    <n v="0"/>
    <n v="6000"/>
    <m/>
    <n v="6000"/>
    <n v="6000"/>
  </r>
  <r>
    <x v="3"/>
    <x v="0"/>
    <x v="3"/>
    <x v="2"/>
    <x v="0"/>
    <x v="2"/>
    <m/>
    <x v="6"/>
    <x v="6"/>
    <m/>
    <m/>
    <n v="1000"/>
    <n v="1000"/>
    <n v="0"/>
    <m/>
    <n v="0"/>
    <n v="0"/>
  </r>
  <r>
    <x v="3"/>
    <x v="0"/>
    <x v="3"/>
    <x v="2"/>
    <x v="0"/>
    <x v="2"/>
    <m/>
    <x v="7"/>
    <x v="7"/>
    <m/>
    <m/>
    <n v="503"/>
    <n v="503"/>
    <n v="0"/>
    <m/>
    <n v="0"/>
    <n v="0"/>
  </r>
  <r>
    <x v="3"/>
    <x v="0"/>
    <x v="3"/>
    <x v="2"/>
    <x v="0"/>
    <x v="2"/>
    <m/>
    <x v="8"/>
    <x v="8"/>
    <m/>
    <m/>
    <n v="1650"/>
    <n v="1450"/>
    <n v="200"/>
    <m/>
    <n v="0"/>
    <n v="200"/>
  </r>
  <r>
    <x v="3"/>
    <x v="0"/>
    <x v="3"/>
    <x v="2"/>
    <x v="0"/>
    <x v="2"/>
    <m/>
    <x v="9"/>
    <x v="9"/>
    <m/>
    <m/>
    <n v="3500"/>
    <n v="3500"/>
    <n v="0"/>
    <m/>
    <n v="0"/>
    <n v="0"/>
  </r>
  <r>
    <x v="3"/>
    <x v="0"/>
    <x v="3"/>
    <x v="2"/>
    <x v="0"/>
    <x v="2"/>
    <m/>
    <x v="10"/>
    <x v="10"/>
    <m/>
    <m/>
    <n v="8333"/>
    <n v="8333"/>
    <n v="0"/>
    <m/>
    <n v="0"/>
    <n v="0"/>
  </r>
  <r>
    <x v="3"/>
    <x v="0"/>
    <x v="3"/>
    <x v="2"/>
    <x v="0"/>
    <x v="2"/>
    <m/>
    <x v="11"/>
    <x v="11"/>
    <m/>
    <m/>
    <n v="2050"/>
    <n v="2050"/>
    <n v="0"/>
    <m/>
    <n v="0"/>
    <n v="0"/>
  </r>
  <r>
    <x v="3"/>
    <x v="0"/>
    <x v="3"/>
    <x v="2"/>
    <x v="0"/>
    <x v="2"/>
    <m/>
    <x v="12"/>
    <x v="12"/>
    <m/>
    <m/>
    <n v="0"/>
    <n v="249"/>
    <n v="0"/>
    <m/>
    <n v="249"/>
    <n v="0"/>
  </r>
  <r>
    <x v="3"/>
    <x v="0"/>
    <x v="3"/>
    <x v="2"/>
    <x v="0"/>
    <x v="2"/>
    <m/>
    <x v="13"/>
    <x v="13"/>
    <m/>
    <m/>
    <n v="3000"/>
    <n v="3000"/>
    <n v="0"/>
    <m/>
    <n v="0"/>
    <n v="0"/>
  </r>
  <r>
    <x v="3"/>
    <x v="0"/>
    <x v="3"/>
    <x v="2"/>
    <x v="0"/>
    <x v="2"/>
    <m/>
    <x v="14"/>
    <x v="14"/>
    <m/>
    <m/>
    <n v="0"/>
    <n v="750"/>
    <n v="0"/>
    <m/>
    <n v="750"/>
    <n v="0"/>
  </r>
  <r>
    <x v="3"/>
    <x v="0"/>
    <x v="3"/>
    <x v="2"/>
    <x v="0"/>
    <x v="2"/>
    <m/>
    <x v="15"/>
    <x v="15"/>
    <m/>
    <m/>
    <n v="22114"/>
    <n v="0"/>
    <n v="22114"/>
    <m/>
    <n v="0"/>
    <n v="22114"/>
  </r>
  <r>
    <x v="3"/>
    <x v="0"/>
    <x v="3"/>
    <x v="2"/>
    <x v="0"/>
    <x v="2"/>
    <m/>
    <x v="16"/>
    <x v="16"/>
    <m/>
    <m/>
    <n v="50"/>
    <n v="50"/>
    <n v="0"/>
    <m/>
    <n v="0"/>
    <n v="0"/>
  </r>
  <r>
    <x v="3"/>
    <x v="0"/>
    <x v="3"/>
    <x v="2"/>
    <x v="0"/>
    <x v="2"/>
    <m/>
    <x v="17"/>
    <x v="17"/>
    <m/>
    <m/>
    <n v="35710.5"/>
    <n v="35710.5"/>
    <n v="0"/>
    <m/>
    <n v="0"/>
    <n v="0"/>
  </r>
  <r>
    <x v="3"/>
    <x v="0"/>
    <x v="3"/>
    <x v="2"/>
    <x v="0"/>
    <x v="2"/>
    <m/>
    <x v="18"/>
    <x v="18"/>
    <m/>
    <m/>
    <n v="4950"/>
    <n v="800"/>
    <n v="4950"/>
    <m/>
    <n v="800"/>
    <n v="4950"/>
  </r>
  <r>
    <x v="3"/>
    <x v="0"/>
    <x v="3"/>
    <x v="2"/>
    <x v="0"/>
    <x v="2"/>
    <m/>
    <x v="19"/>
    <x v="19"/>
    <m/>
    <m/>
    <n v="0"/>
    <n v="4050"/>
    <n v="0"/>
    <m/>
    <n v="4050"/>
    <n v="0"/>
  </r>
  <r>
    <x v="3"/>
    <x v="0"/>
    <x v="3"/>
    <x v="2"/>
    <x v="0"/>
    <x v="2"/>
    <m/>
    <x v="20"/>
    <x v="20"/>
    <m/>
    <m/>
    <n v="0"/>
    <n v="2500"/>
    <n v="0"/>
    <m/>
    <n v="2500"/>
    <n v="0"/>
  </r>
  <r>
    <x v="3"/>
    <x v="0"/>
    <x v="3"/>
    <x v="2"/>
    <x v="0"/>
    <x v="2"/>
    <m/>
    <x v="21"/>
    <x v="21"/>
    <m/>
    <m/>
    <n v="0"/>
    <n v="2000"/>
    <n v="0"/>
    <m/>
    <n v="2000"/>
    <n v="0"/>
  </r>
  <r>
    <x v="3"/>
    <x v="0"/>
    <x v="3"/>
    <x v="2"/>
    <x v="0"/>
    <x v="2"/>
    <m/>
    <x v="22"/>
    <x v="22"/>
    <m/>
    <m/>
    <n v="500"/>
    <n v="500"/>
    <n v="0"/>
    <m/>
    <n v="0"/>
    <n v="0"/>
  </r>
  <r>
    <x v="3"/>
    <x v="0"/>
    <x v="3"/>
    <x v="2"/>
    <x v="0"/>
    <x v="2"/>
    <m/>
    <x v="23"/>
    <x v="23"/>
    <m/>
    <m/>
    <n v="1500"/>
    <n v="1500"/>
    <n v="0"/>
    <m/>
    <n v="0"/>
    <n v="0"/>
  </r>
  <r>
    <x v="3"/>
    <x v="0"/>
    <x v="3"/>
    <x v="2"/>
    <x v="0"/>
    <x v="2"/>
    <m/>
    <x v="24"/>
    <x v="24"/>
    <m/>
    <m/>
    <n v="2050"/>
    <n v="2050"/>
    <n v="0"/>
    <m/>
    <n v="0"/>
    <n v="0"/>
  </r>
  <r>
    <x v="3"/>
    <x v="0"/>
    <x v="3"/>
    <x v="2"/>
    <x v="0"/>
    <x v="2"/>
    <m/>
    <x v="25"/>
    <x v="25"/>
    <m/>
    <m/>
    <n v="35425"/>
    <n v="35425"/>
    <n v="0"/>
    <m/>
    <n v="0"/>
    <n v="0"/>
  </r>
  <r>
    <x v="3"/>
    <x v="0"/>
    <x v="3"/>
    <x v="2"/>
    <x v="0"/>
    <x v="2"/>
    <m/>
    <x v="26"/>
    <x v="26"/>
    <m/>
    <m/>
    <n v="2800"/>
    <n v="2800"/>
    <n v="0"/>
    <m/>
    <n v="0"/>
    <n v="0"/>
  </r>
  <r>
    <x v="3"/>
    <x v="0"/>
    <x v="3"/>
    <x v="2"/>
    <x v="0"/>
    <x v="2"/>
    <m/>
    <x v="27"/>
    <x v="27"/>
    <m/>
    <m/>
    <n v="7800"/>
    <n v="3300"/>
    <n v="4500"/>
    <m/>
    <n v="0"/>
    <n v="4500"/>
  </r>
  <r>
    <x v="3"/>
    <x v="0"/>
    <x v="3"/>
    <x v="2"/>
    <x v="0"/>
    <x v="2"/>
    <m/>
    <x v="28"/>
    <x v="28"/>
    <m/>
    <m/>
    <n v="2700"/>
    <n v="2700"/>
    <n v="0"/>
    <m/>
    <n v="0"/>
    <n v="0"/>
  </r>
  <r>
    <x v="3"/>
    <x v="0"/>
    <x v="3"/>
    <x v="2"/>
    <x v="0"/>
    <x v="2"/>
    <m/>
    <x v="29"/>
    <x v="29"/>
    <m/>
    <m/>
    <n v="2200"/>
    <n v="2200"/>
    <n v="0"/>
    <m/>
    <n v="0"/>
    <n v="0"/>
  </r>
  <r>
    <x v="3"/>
    <x v="0"/>
    <x v="3"/>
    <x v="2"/>
    <x v="0"/>
    <x v="2"/>
    <m/>
    <x v="30"/>
    <x v="30"/>
    <m/>
    <m/>
    <n v="2000"/>
    <n v="2000"/>
    <n v="0"/>
    <m/>
    <n v="0"/>
    <n v="0"/>
  </r>
  <r>
    <x v="3"/>
    <x v="0"/>
    <x v="3"/>
    <x v="2"/>
    <x v="0"/>
    <x v="2"/>
    <m/>
    <x v="31"/>
    <x v="31"/>
    <m/>
    <m/>
    <n v="2200"/>
    <n v="2200"/>
    <n v="0"/>
    <m/>
    <n v="0"/>
    <n v="0"/>
  </r>
  <r>
    <x v="3"/>
    <x v="0"/>
    <x v="3"/>
    <x v="2"/>
    <x v="0"/>
    <x v="2"/>
    <m/>
    <x v="32"/>
    <x v="32"/>
    <m/>
    <m/>
    <n v="5350"/>
    <n v="5350"/>
    <n v="0"/>
    <m/>
    <n v="0"/>
    <n v="0"/>
  </r>
  <r>
    <x v="3"/>
    <x v="0"/>
    <x v="3"/>
    <x v="2"/>
    <x v="0"/>
    <x v="2"/>
    <m/>
    <x v="33"/>
    <x v="33"/>
    <m/>
    <m/>
    <n v="4650"/>
    <n v="4650"/>
    <n v="0"/>
    <m/>
    <n v="0"/>
    <n v="0"/>
  </r>
  <r>
    <x v="3"/>
    <x v="0"/>
    <x v="3"/>
    <x v="2"/>
    <x v="0"/>
    <x v="2"/>
    <m/>
    <x v="34"/>
    <x v="34"/>
    <m/>
    <m/>
    <n v="2000"/>
    <n v="2000"/>
    <n v="0"/>
    <m/>
    <n v="0"/>
    <n v="0"/>
  </r>
  <r>
    <x v="3"/>
    <x v="0"/>
    <x v="3"/>
    <x v="2"/>
    <x v="0"/>
    <x v="2"/>
    <m/>
    <x v="35"/>
    <x v="35"/>
    <m/>
    <m/>
    <n v="50"/>
    <n v="50"/>
    <n v="0"/>
    <m/>
    <n v="0"/>
    <n v="0"/>
  </r>
  <r>
    <x v="3"/>
    <x v="0"/>
    <x v="3"/>
    <x v="2"/>
    <x v="0"/>
    <x v="2"/>
    <m/>
    <x v="36"/>
    <x v="36"/>
    <m/>
    <m/>
    <n v="50"/>
    <n v="50"/>
    <n v="0"/>
    <m/>
    <n v="0"/>
    <n v="0"/>
  </r>
  <r>
    <x v="3"/>
    <x v="0"/>
    <x v="3"/>
    <x v="2"/>
    <x v="0"/>
    <x v="2"/>
    <m/>
    <x v="37"/>
    <x v="37"/>
    <m/>
    <m/>
    <n v="50"/>
    <n v="50"/>
    <n v="0"/>
    <m/>
    <n v="0"/>
    <n v="0"/>
  </r>
  <r>
    <x v="3"/>
    <x v="0"/>
    <x v="3"/>
    <x v="2"/>
    <x v="0"/>
    <x v="2"/>
    <m/>
    <x v="38"/>
    <x v="38"/>
    <m/>
    <m/>
    <n v="2500"/>
    <n v="2500"/>
    <n v="0"/>
    <m/>
    <n v="0"/>
    <n v="0"/>
  </r>
  <r>
    <x v="3"/>
    <x v="0"/>
    <x v="3"/>
    <x v="2"/>
    <x v="0"/>
    <x v="2"/>
    <m/>
    <x v="39"/>
    <x v="39"/>
    <m/>
    <m/>
    <n v="2000"/>
    <n v="2000"/>
    <n v="0"/>
    <m/>
    <n v="0"/>
    <n v="0"/>
  </r>
  <r>
    <x v="3"/>
    <x v="0"/>
    <x v="3"/>
    <x v="2"/>
    <x v="0"/>
    <x v="2"/>
    <m/>
    <x v="40"/>
    <x v="40"/>
    <m/>
    <m/>
    <n v="2000"/>
    <n v="2000"/>
    <n v="0"/>
    <m/>
    <n v="0"/>
    <n v="0"/>
  </r>
  <r>
    <x v="3"/>
    <x v="0"/>
    <x v="3"/>
    <x v="2"/>
    <x v="0"/>
    <x v="2"/>
    <m/>
    <x v="41"/>
    <x v="41"/>
    <m/>
    <m/>
    <n v="2000"/>
    <n v="2000"/>
    <n v="0"/>
    <m/>
    <n v="0"/>
    <n v="0"/>
  </r>
  <r>
    <x v="3"/>
    <x v="0"/>
    <x v="3"/>
    <x v="2"/>
    <x v="0"/>
    <x v="2"/>
    <m/>
    <x v="42"/>
    <x v="42"/>
    <m/>
    <m/>
    <n v="2000"/>
    <n v="2000"/>
    <n v="0"/>
    <m/>
    <n v="0"/>
    <n v="0"/>
  </r>
  <r>
    <x v="3"/>
    <x v="0"/>
    <x v="3"/>
    <x v="2"/>
    <x v="0"/>
    <x v="2"/>
    <m/>
    <x v="43"/>
    <x v="43"/>
    <m/>
    <m/>
    <n v="2000"/>
    <n v="2000"/>
    <n v="0"/>
    <m/>
    <n v="0"/>
    <n v="0"/>
  </r>
  <r>
    <x v="3"/>
    <x v="0"/>
    <x v="3"/>
    <x v="2"/>
    <x v="0"/>
    <x v="2"/>
    <m/>
    <x v="44"/>
    <x v="44"/>
    <m/>
    <m/>
    <n v="2000"/>
    <n v="2000"/>
    <n v="0"/>
    <m/>
    <n v="0"/>
    <n v="0"/>
  </r>
  <r>
    <x v="3"/>
    <x v="0"/>
    <x v="3"/>
    <x v="2"/>
    <x v="0"/>
    <x v="2"/>
    <m/>
    <x v="45"/>
    <x v="45"/>
    <m/>
    <m/>
    <n v="6957"/>
    <n v="0"/>
    <n v="6957"/>
    <m/>
    <n v="0"/>
    <n v="6957"/>
  </r>
  <r>
    <x v="3"/>
    <x v="0"/>
    <x v="3"/>
    <x v="2"/>
    <x v="0"/>
    <x v="2"/>
    <m/>
    <x v="46"/>
    <x v="46"/>
    <m/>
    <m/>
    <n v="1550"/>
    <n v="1550"/>
    <n v="0"/>
    <m/>
    <n v="0"/>
    <n v="0"/>
  </r>
  <r>
    <x v="4"/>
    <x v="0"/>
    <x v="4"/>
    <x v="2"/>
    <x v="0"/>
    <x v="2"/>
    <m/>
    <x v="47"/>
    <x v="47"/>
    <m/>
    <m/>
    <n v="108736.75"/>
    <n v="108736.75"/>
    <n v="0"/>
    <m/>
    <n v="0"/>
    <n v="0"/>
  </r>
  <r>
    <x v="4"/>
    <x v="0"/>
    <x v="4"/>
    <x v="2"/>
    <x v="0"/>
    <x v="2"/>
    <m/>
    <x v="48"/>
    <x v="48"/>
    <m/>
    <m/>
    <n v="41250"/>
    <n v="45054.84"/>
    <n v="256.61999999999989"/>
    <m/>
    <n v="4061.46"/>
    <n v="256.62000000000262"/>
  </r>
  <r>
    <x v="4"/>
    <x v="0"/>
    <x v="4"/>
    <x v="2"/>
    <x v="0"/>
    <x v="2"/>
    <m/>
    <x v="49"/>
    <x v="49"/>
    <m/>
    <m/>
    <n v="73843.929999999993"/>
    <n v="72956.320000000007"/>
    <n v="887.61"/>
    <m/>
    <n v="0"/>
    <n v="887.60999999998603"/>
  </r>
  <r>
    <x v="4"/>
    <x v="0"/>
    <x v="4"/>
    <x v="2"/>
    <x v="0"/>
    <x v="2"/>
    <m/>
    <x v="50"/>
    <x v="50"/>
    <m/>
    <m/>
    <n v="0"/>
    <n v="3415.61"/>
    <n v="-3415.61"/>
    <m/>
    <n v="0"/>
    <n v="-3415.61"/>
  </r>
  <r>
    <x v="4"/>
    <x v="0"/>
    <x v="4"/>
    <x v="2"/>
    <x v="0"/>
    <x v="2"/>
    <m/>
    <x v="51"/>
    <x v="51"/>
    <m/>
    <m/>
    <n v="445761.14"/>
    <n v="405380.57"/>
    <n v="0"/>
    <m/>
    <n v="-40380.57"/>
    <n v="0"/>
  </r>
  <r>
    <x v="4"/>
    <x v="0"/>
    <x v="4"/>
    <x v="2"/>
    <x v="0"/>
    <x v="2"/>
    <m/>
    <x v="52"/>
    <x v="52"/>
    <m/>
    <m/>
    <n v="526761.41"/>
    <n v="526761.41"/>
    <n v="0"/>
    <m/>
    <n v="0"/>
    <n v="0"/>
  </r>
  <r>
    <x v="4"/>
    <x v="0"/>
    <x v="4"/>
    <x v="2"/>
    <x v="0"/>
    <x v="2"/>
    <m/>
    <x v="53"/>
    <x v="53"/>
    <m/>
    <m/>
    <n v="6500"/>
    <n v="7373.45"/>
    <n v="-625.26"/>
    <m/>
    <n v="248.19"/>
    <n v="-625.26000000000022"/>
  </r>
  <r>
    <x v="4"/>
    <x v="0"/>
    <x v="4"/>
    <x v="2"/>
    <x v="0"/>
    <x v="2"/>
    <m/>
    <x v="54"/>
    <x v="54"/>
    <m/>
    <m/>
    <n v="17550"/>
    <n v="17550"/>
    <n v="0"/>
    <m/>
    <n v="0"/>
    <n v="0"/>
  </r>
  <r>
    <x v="4"/>
    <x v="0"/>
    <x v="4"/>
    <x v="2"/>
    <x v="0"/>
    <x v="2"/>
    <m/>
    <x v="55"/>
    <x v="55"/>
    <m/>
    <m/>
    <n v="0"/>
    <n v="129.30000000000001"/>
    <n v="-129.30000000000001"/>
    <m/>
    <n v="0"/>
    <n v="-129.30000000000001"/>
  </r>
  <r>
    <x v="4"/>
    <x v="0"/>
    <x v="4"/>
    <x v="2"/>
    <x v="0"/>
    <x v="2"/>
    <m/>
    <x v="56"/>
    <x v="56"/>
    <m/>
    <m/>
    <n v="30000"/>
    <n v="30124.59"/>
    <n v="-74.930000000000007"/>
    <m/>
    <n v="49.66"/>
    <n v="-74.930000000000291"/>
  </r>
  <r>
    <x v="4"/>
    <x v="0"/>
    <x v="4"/>
    <x v="2"/>
    <x v="0"/>
    <x v="2"/>
    <m/>
    <x v="57"/>
    <x v="57"/>
    <m/>
    <m/>
    <n v="94950"/>
    <n v="106406.09"/>
    <n v="-11456.09"/>
    <m/>
    <n v="0"/>
    <n v="-11456.089999999997"/>
  </r>
  <r>
    <x v="4"/>
    <x v="0"/>
    <x v="4"/>
    <x v="2"/>
    <x v="0"/>
    <x v="2"/>
    <m/>
    <x v="58"/>
    <x v="58"/>
    <m/>
    <m/>
    <n v="2825"/>
    <n v="2906.75"/>
    <n v="-81.75"/>
    <m/>
    <n v="0"/>
    <n v="-81.75"/>
  </r>
  <r>
    <x v="4"/>
    <x v="0"/>
    <x v="4"/>
    <x v="2"/>
    <x v="0"/>
    <x v="2"/>
    <m/>
    <x v="59"/>
    <x v="59"/>
    <m/>
    <m/>
    <n v="59500"/>
    <n v="57666.8"/>
    <n v="2235.71"/>
    <m/>
    <n v="402.51"/>
    <n v="2235.7099999999991"/>
  </r>
  <r>
    <x v="4"/>
    <x v="0"/>
    <x v="4"/>
    <x v="2"/>
    <x v="0"/>
    <x v="2"/>
    <m/>
    <x v="60"/>
    <x v="60"/>
    <m/>
    <m/>
    <n v="2200"/>
    <n v="1545.92"/>
    <n v="654.08000000000004"/>
    <m/>
    <n v="0"/>
    <n v="654.07999999999993"/>
  </r>
  <r>
    <x v="4"/>
    <x v="0"/>
    <x v="4"/>
    <x v="2"/>
    <x v="0"/>
    <x v="2"/>
    <m/>
    <x v="61"/>
    <x v="61"/>
    <m/>
    <m/>
    <n v="43030"/>
    <n v="42249.85"/>
    <n v="780.15"/>
    <m/>
    <n v="0"/>
    <n v="780.15000000000146"/>
  </r>
  <r>
    <x v="4"/>
    <x v="0"/>
    <x v="4"/>
    <x v="2"/>
    <x v="0"/>
    <x v="2"/>
    <m/>
    <x v="62"/>
    <x v="62"/>
    <m/>
    <m/>
    <n v="510.81"/>
    <n v="510.81"/>
    <n v="0"/>
    <m/>
    <n v="0"/>
    <n v="0"/>
  </r>
  <r>
    <x v="4"/>
    <x v="0"/>
    <x v="4"/>
    <x v="2"/>
    <x v="0"/>
    <x v="2"/>
    <m/>
    <x v="63"/>
    <x v="63"/>
    <m/>
    <m/>
    <n v="20500"/>
    <n v="18170.78"/>
    <n v="2329.2199999999998"/>
    <m/>
    <n v="0"/>
    <n v="2329.2200000000012"/>
  </r>
  <r>
    <x v="4"/>
    <x v="0"/>
    <x v="4"/>
    <x v="2"/>
    <x v="0"/>
    <x v="2"/>
    <m/>
    <x v="64"/>
    <x v="64"/>
    <m/>
    <m/>
    <n v="872.5"/>
    <n v="922.69"/>
    <n v="-50.19"/>
    <m/>
    <n v="0"/>
    <n v="-50.190000000000055"/>
  </r>
  <r>
    <x v="4"/>
    <x v="0"/>
    <x v="4"/>
    <x v="2"/>
    <x v="0"/>
    <x v="2"/>
    <m/>
    <x v="65"/>
    <x v="65"/>
    <m/>
    <m/>
    <n v="9250"/>
    <n v="11347.78"/>
    <n v="-2097.7800000000002"/>
    <m/>
    <n v="0"/>
    <n v="-2097.7800000000007"/>
  </r>
  <r>
    <x v="4"/>
    <x v="0"/>
    <x v="4"/>
    <x v="2"/>
    <x v="0"/>
    <x v="2"/>
    <m/>
    <x v="66"/>
    <x v="66"/>
    <m/>
    <m/>
    <n v="1450"/>
    <n v="1778.54"/>
    <n v="-328.54"/>
    <m/>
    <n v="0"/>
    <n v="-328.53999999999996"/>
  </r>
  <r>
    <x v="4"/>
    <x v="0"/>
    <x v="4"/>
    <x v="2"/>
    <x v="0"/>
    <x v="2"/>
    <m/>
    <x v="67"/>
    <x v="67"/>
    <m/>
    <m/>
    <n v="10666"/>
    <n v="11048"/>
    <n v="-382"/>
    <m/>
    <n v="0"/>
    <n v="-382"/>
  </r>
  <r>
    <x v="4"/>
    <x v="0"/>
    <x v="4"/>
    <x v="2"/>
    <x v="0"/>
    <x v="2"/>
    <m/>
    <x v="68"/>
    <x v="68"/>
    <m/>
    <m/>
    <n v="27354"/>
    <n v="23828.28"/>
    <n v="3525.72"/>
    <m/>
    <n v="0"/>
    <n v="3525.7200000000012"/>
  </r>
  <r>
    <x v="4"/>
    <x v="0"/>
    <x v="4"/>
    <x v="2"/>
    <x v="0"/>
    <x v="2"/>
    <m/>
    <x v="69"/>
    <x v="69"/>
    <m/>
    <m/>
    <n v="3500"/>
    <n v="4838.7700000000004"/>
    <n v="-1338.77"/>
    <m/>
    <n v="0"/>
    <n v="-1338.7700000000004"/>
  </r>
  <r>
    <x v="4"/>
    <x v="0"/>
    <x v="4"/>
    <x v="2"/>
    <x v="0"/>
    <x v="2"/>
    <m/>
    <x v="70"/>
    <x v="70"/>
    <m/>
    <m/>
    <n v="9500"/>
    <n v="9621"/>
    <n v="-121"/>
    <m/>
    <n v="0"/>
    <n v="-121"/>
  </r>
  <r>
    <x v="4"/>
    <x v="0"/>
    <x v="4"/>
    <x v="2"/>
    <x v="0"/>
    <x v="2"/>
    <m/>
    <x v="71"/>
    <x v="71"/>
    <m/>
    <m/>
    <n v="1100"/>
    <n v="1170"/>
    <n v="-70"/>
    <m/>
    <n v="0"/>
    <n v="-70"/>
  </r>
  <r>
    <x v="4"/>
    <x v="0"/>
    <x v="4"/>
    <x v="2"/>
    <x v="0"/>
    <x v="2"/>
    <m/>
    <x v="72"/>
    <x v="72"/>
    <m/>
    <m/>
    <n v="3000"/>
    <n v="4782"/>
    <n v="-1782"/>
    <m/>
    <n v="0"/>
    <n v="-1782"/>
  </r>
  <r>
    <x v="4"/>
    <x v="0"/>
    <x v="4"/>
    <x v="2"/>
    <x v="0"/>
    <x v="2"/>
    <m/>
    <x v="73"/>
    <x v="73"/>
    <m/>
    <m/>
    <n v="4000"/>
    <n v="5359.01"/>
    <n v="-1359.01"/>
    <m/>
    <n v="0"/>
    <n v="-1359.0100000000002"/>
  </r>
  <r>
    <x v="4"/>
    <x v="0"/>
    <x v="4"/>
    <x v="2"/>
    <x v="0"/>
    <x v="2"/>
    <m/>
    <x v="74"/>
    <x v="74"/>
    <m/>
    <m/>
    <n v="1000"/>
    <n v="1107"/>
    <n v="-107"/>
    <m/>
    <n v="0"/>
    <n v="-107"/>
  </r>
  <r>
    <x v="4"/>
    <x v="0"/>
    <x v="4"/>
    <x v="2"/>
    <x v="0"/>
    <x v="2"/>
    <m/>
    <x v="75"/>
    <x v="75"/>
    <m/>
    <m/>
    <n v="11800"/>
    <n v="11023.02"/>
    <n v="776.98"/>
    <m/>
    <n v="0"/>
    <n v="776.97999999999956"/>
  </r>
  <r>
    <x v="4"/>
    <x v="0"/>
    <x v="4"/>
    <x v="2"/>
    <x v="0"/>
    <x v="2"/>
    <m/>
    <x v="76"/>
    <x v="76"/>
    <m/>
    <m/>
    <n v="0"/>
    <n v="50"/>
    <n v="-50"/>
    <m/>
    <n v="0"/>
    <n v="-50"/>
  </r>
  <r>
    <x v="4"/>
    <x v="0"/>
    <x v="4"/>
    <x v="2"/>
    <x v="0"/>
    <x v="2"/>
    <m/>
    <x v="77"/>
    <x v="77"/>
    <m/>
    <m/>
    <n v="22465"/>
    <n v="21251.24"/>
    <n v="1213.76"/>
    <m/>
    <n v="0"/>
    <n v="1213.7599999999984"/>
  </r>
  <r>
    <x v="4"/>
    <x v="0"/>
    <x v="4"/>
    <x v="2"/>
    <x v="0"/>
    <x v="2"/>
    <m/>
    <x v="78"/>
    <x v="78"/>
    <m/>
    <m/>
    <n v="3300"/>
    <n v="2287.17"/>
    <n v="1012.83"/>
    <m/>
    <n v="0"/>
    <n v="1012.8299999999999"/>
  </r>
  <r>
    <x v="4"/>
    <x v="0"/>
    <x v="4"/>
    <x v="2"/>
    <x v="0"/>
    <x v="2"/>
    <m/>
    <x v="79"/>
    <x v="79"/>
    <m/>
    <m/>
    <n v="0"/>
    <n v="130"/>
    <n v="-130"/>
    <m/>
    <n v="0"/>
    <n v="-130"/>
  </r>
  <r>
    <x v="4"/>
    <x v="0"/>
    <x v="4"/>
    <x v="2"/>
    <x v="0"/>
    <x v="2"/>
    <m/>
    <x v="80"/>
    <x v="80"/>
    <m/>
    <m/>
    <n v="315363.26"/>
    <n v="354403.78"/>
    <n v="-39040.519999999997"/>
    <m/>
    <n v="0"/>
    <n v="-39040.520000000019"/>
  </r>
  <r>
    <x v="4"/>
    <x v="0"/>
    <x v="4"/>
    <x v="2"/>
    <x v="0"/>
    <x v="2"/>
    <m/>
    <x v="81"/>
    <x v="81"/>
    <m/>
    <m/>
    <n v="6500"/>
    <n v="9677.3799999999992"/>
    <n v="-3177.38"/>
    <m/>
    <n v="0"/>
    <n v="-3177.3799999999992"/>
  </r>
  <r>
    <x v="5"/>
    <x v="0"/>
    <x v="5"/>
    <x v="2"/>
    <x v="0"/>
    <x v="2"/>
    <m/>
    <x v="82"/>
    <x v="82"/>
    <m/>
    <m/>
    <n v="3237200"/>
    <n v="3237200"/>
    <n v="0"/>
    <m/>
    <n v="0"/>
    <n v="0"/>
  </r>
  <r>
    <x v="6"/>
    <x v="0"/>
    <x v="6"/>
    <x v="2"/>
    <x v="0"/>
    <x v="2"/>
    <m/>
    <x v="83"/>
    <x v="83"/>
    <m/>
    <m/>
    <n v="18687.5"/>
    <n v="315715"/>
    <n v="521833.68999999989"/>
    <m/>
    <n v="818861.19"/>
    <n v="521833.68999999994"/>
  </r>
  <r>
    <x v="6"/>
    <x v="0"/>
    <x v="6"/>
    <x v="2"/>
    <x v="0"/>
    <x v="2"/>
    <m/>
    <x v="84"/>
    <x v="84"/>
    <m/>
    <m/>
    <n v="169028"/>
    <n v="139970"/>
    <n v="37931"/>
    <m/>
    <n v="8873"/>
    <n v="37931"/>
  </r>
  <r>
    <x v="6"/>
    <x v="0"/>
    <x v="6"/>
    <x v="2"/>
    <x v="0"/>
    <x v="2"/>
    <m/>
    <x v="85"/>
    <x v="85"/>
    <m/>
    <m/>
    <n v="5500"/>
    <n v="0"/>
    <n v="16150"/>
    <m/>
    <n v="10650"/>
    <n v="16150"/>
  </r>
  <r>
    <x v="6"/>
    <x v="0"/>
    <x v="6"/>
    <x v="2"/>
    <x v="0"/>
    <x v="2"/>
    <m/>
    <x v="86"/>
    <x v="86"/>
    <m/>
    <m/>
    <n v="228834.1"/>
    <n v="208803.46"/>
    <n v="139234"/>
    <m/>
    <n v="119203.36"/>
    <n v="139234.00000000003"/>
  </r>
  <r>
    <x v="6"/>
    <x v="0"/>
    <x v="6"/>
    <x v="2"/>
    <x v="0"/>
    <x v="2"/>
    <m/>
    <x v="87"/>
    <x v="87"/>
    <m/>
    <m/>
    <n v="61993.2"/>
    <n v="15594.73"/>
    <n v="75478.91"/>
    <m/>
    <n v="29080.44"/>
    <n v="75478.91"/>
  </r>
  <r>
    <x v="6"/>
    <x v="0"/>
    <x v="6"/>
    <x v="2"/>
    <x v="0"/>
    <x v="2"/>
    <m/>
    <x v="88"/>
    <x v="88"/>
    <m/>
    <m/>
    <n v="114499"/>
    <n v="17838.7"/>
    <n v="126968.55"/>
    <m/>
    <n v="30308.25"/>
    <n v="126968.55"/>
  </r>
  <r>
    <x v="7"/>
    <x v="0"/>
    <x v="7"/>
    <x v="3"/>
    <x v="0"/>
    <x v="3"/>
    <m/>
    <x v="89"/>
    <x v="89"/>
    <m/>
    <m/>
    <n v="9165.68"/>
    <n v="0"/>
    <n v="9165.68"/>
    <m/>
    <n v="0"/>
    <n v="9165.68"/>
  </r>
  <r>
    <x v="8"/>
    <x v="0"/>
    <x v="8"/>
    <x v="4"/>
    <x v="0"/>
    <x v="4"/>
    <m/>
    <x v="90"/>
    <x v="90"/>
    <m/>
    <m/>
    <n v="14759.88"/>
    <n v="0"/>
    <n v="84370.880000000005"/>
    <m/>
    <n v="69611"/>
    <n v="84370.880000000005"/>
  </r>
  <r>
    <x v="8"/>
    <x v="0"/>
    <x v="8"/>
    <x v="4"/>
    <x v="0"/>
    <x v="4"/>
    <m/>
    <x v="91"/>
    <x v="91"/>
    <m/>
    <m/>
    <n v="0"/>
    <n v="18919.419999999998"/>
    <n v="-49787.72"/>
    <m/>
    <n v="-30868.3"/>
    <n v="-49787.72"/>
  </r>
  <r>
    <x v="9"/>
    <x v="0"/>
    <x v="9"/>
    <x v="4"/>
    <x v="0"/>
    <x v="4"/>
    <m/>
    <x v="92"/>
    <x v="92"/>
    <m/>
    <m/>
    <n v="0"/>
    <n v="0"/>
    <n v="28183"/>
    <m/>
    <n v="28183"/>
    <n v="28183"/>
  </r>
  <r>
    <x v="9"/>
    <x v="0"/>
    <x v="9"/>
    <x v="4"/>
    <x v="0"/>
    <x v="4"/>
    <m/>
    <x v="93"/>
    <x v="93"/>
    <m/>
    <m/>
    <n v="0"/>
    <n v="2818.57"/>
    <n v="-8699.33"/>
    <m/>
    <n v="-5880.76"/>
    <n v="-8699.33"/>
  </r>
  <r>
    <x v="10"/>
    <x v="0"/>
    <x v="10"/>
    <x v="4"/>
    <x v="0"/>
    <x v="4"/>
    <m/>
    <x v="94"/>
    <x v="94"/>
    <m/>
    <m/>
    <n v="0"/>
    <n v="0"/>
    <n v="191414.91"/>
    <m/>
    <n v="191414.91"/>
    <n v="191414.91"/>
  </r>
  <r>
    <x v="10"/>
    <x v="0"/>
    <x v="10"/>
    <x v="4"/>
    <x v="0"/>
    <x v="4"/>
    <m/>
    <x v="95"/>
    <x v="95"/>
    <m/>
    <m/>
    <n v="0"/>
    <n v="38282.99"/>
    <n v="-65972.600000000006"/>
    <m/>
    <n v="-27689.61"/>
    <n v="-65972.600000000006"/>
  </r>
  <r>
    <x v="10"/>
    <x v="0"/>
    <x v="10"/>
    <x v="4"/>
    <x v="0"/>
    <x v="4"/>
    <m/>
    <x v="96"/>
    <x v="96"/>
    <m/>
    <m/>
    <n v="561400"/>
    <n v="0"/>
    <n v="561400"/>
    <m/>
    <n v="0"/>
    <n v="561400"/>
  </r>
  <r>
    <x v="10"/>
    <x v="0"/>
    <x v="10"/>
    <x v="4"/>
    <x v="0"/>
    <x v="4"/>
    <m/>
    <x v="97"/>
    <x v="97"/>
    <m/>
    <m/>
    <n v="0"/>
    <n v="9972.6"/>
    <n v="-9972.6"/>
    <m/>
    <n v="0"/>
    <n v="-9972.6"/>
  </r>
  <r>
    <x v="10"/>
    <x v="0"/>
    <x v="10"/>
    <x v="4"/>
    <x v="0"/>
    <x v="4"/>
    <m/>
    <x v="98"/>
    <x v="98"/>
    <m/>
    <m/>
    <n v="0"/>
    <n v="211900"/>
    <n v="0"/>
    <m/>
    <n v="211900"/>
    <n v="0"/>
  </r>
  <r>
    <x v="10"/>
    <x v="0"/>
    <x v="10"/>
    <x v="4"/>
    <x v="0"/>
    <x v="4"/>
    <m/>
    <x v="99"/>
    <x v="99"/>
    <m/>
    <m/>
    <n v="74455.22"/>
    <n v="40086.78"/>
    <n v="0"/>
    <m/>
    <n v="-34368.44"/>
    <n v="0"/>
  </r>
  <r>
    <x v="11"/>
    <x v="0"/>
    <x v="11"/>
    <x v="4"/>
    <x v="0"/>
    <x v="4"/>
    <m/>
    <x v="100"/>
    <x v="100"/>
    <m/>
    <m/>
    <n v="9210.7099999999991"/>
    <n v="0"/>
    <n v="119210.71"/>
    <m/>
    <n v="110000"/>
    <n v="119210.70999999999"/>
  </r>
  <r>
    <x v="11"/>
    <x v="0"/>
    <x v="11"/>
    <x v="4"/>
    <x v="0"/>
    <x v="4"/>
    <m/>
    <x v="101"/>
    <x v="101"/>
    <m/>
    <m/>
    <n v="0"/>
    <n v="28925.4"/>
    <n v="-28925.4"/>
    <m/>
    <n v="0"/>
    <n v="-28925.4"/>
  </r>
  <r>
    <x v="7"/>
    <x v="0"/>
    <x v="7"/>
    <x v="3"/>
    <x v="0"/>
    <x v="3"/>
    <m/>
    <x v="102"/>
    <x v="102"/>
    <m/>
    <m/>
    <n v="2388167.9700000002"/>
    <n v="2051993.98"/>
    <n v="-486899.19000000012"/>
    <m/>
    <n v="-823073.18"/>
    <n v="-486899.18999999994"/>
  </r>
  <r>
    <x v="12"/>
    <x v="0"/>
    <x v="12"/>
    <x v="5"/>
    <x v="0"/>
    <x v="5"/>
    <m/>
    <x v="103"/>
    <x v="103"/>
    <m/>
    <m/>
    <n v="3738636.6"/>
    <n v="4677177.5599999996"/>
    <n v="-2831768.22"/>
    <m/>
    <n v="-1893227.26"/>
    <n v="-2831768.2199999997"/>
  </r>
  <r>
    <x v="13"/>
    <x v="0"/>
    <x v="13"/>
    <x v="3"/>
    <x v="0"/>
    <x v="3"/>
    <m/>
    <x v="104"/>
    <x v="104"/>
    <m/>
    <m/>
    <n v="32000"/>
    <n v="32000"/>
    <n v="0"/>
    <m/>
    <n v="0"/>
    <n v="0"/>
  </r>
  <r>
    <x v="13"/>
    <x v="0"/>
    <x v="13"/>
    <x v="3"/>
    <x v="0"/>
    <x v="3"/>
    <m/>
    <x v="105"/>
    <x v="105"/>
    <m/>
    <m/>
    <n v="66278"/>
    <n v="0"/>
    <n v="0"/>
    <m/>
    <n v="-66278"/>
    <n v="0"/>
  </r>
  <r>
    <x v="13"/>
    <x v="0"/>
    <x v="13"/>
    <x v="3"/>
    <x v="0"/>
    <x v="3"/>
    <m/>
    <x v="106"/>
    <x v="106"/>
    <m/>
    <m/>
    <n v="47609"/>
    <n v="0"/>
    <n v="0"/>
    <m/>
    <n v="-47609"/>
    <n v="0"/>
  </r>
  <r>
    <x v="13"/>
    <x v="0"/>
    <x v="13"/>
    <x v="3"/>
    <x v="0"/>
    <x v="3"/>
    <m/>
    <x v="107"/>
    <x v="107"/>
    <m/>
    <m/>
    <n v="20000"/>
    <n v="0"/>
    <n v="0"/>
    <m/>
    <n v="-20000"/>
    <n v="0"/>
  </r>
  <r>
    <x v="13"/>
    <x v="0"/>
    <x v="13"/>
    <x v="3"/>
    <x v="0"/>
    <x v="3"/>
    <m/>
    <x v="108"/>
    <x v="108"/>
    <m/>
    <m/>
    <n v="374595"/>
    <n v="0"/>
    <n v="-20000"/>
    <m/>
    <n v="-394595"/>
    <n v="-20000"/>
  </r>
  <r>
    <x v="13"/>
    <x v="0"/>
    <x v="13"/>
    <x v="3"/>
    <x v="0"/>
    <x v="3"/>
    <m/>
    <x v="109"/>
    <x v="109"/>
    <m/>
    <m/>
    <n v="527625"/>
    <n v="527625"/>
    <n v="0"/>
    <m/>
    <n v="0"/>
    <n v="0"/>
  </r>
  <r>
    <x v="13"/>
    <x v="0"/>
    <x v="13"/>
    <x v="3"/>
    <x v="0"/>
    <x v="3"/>
    <m/>
    <x v="110"/>
    <x v="110"/>
    <m/>
    <m/>
    <n v="495575"/>
    <n v="495575"/>
    <n v="0"/>
    <m/>
    <n v="0"/>
    <n v="0"/>
  </r>
  <r>
    <x v="13"/>
    <x v="0"/>
    <x v="13"/>
    <x v="3"/>
    <x v="0"/>
    <x v="3"/>
    <m/>
    <x v="111"/>
    <x v="111"/>
    <m/>
    <m/>
    <n v="554506"/>
    <n v="554506"/>
    <n v="0"/>
    <m/>
    <n v="0"/>
    <n v="0"/>
  </r>
  <r>
    <x v="13"/>
    <x v="0"/>
    <x v="13"/>
    <x v="3"/>
    <x v="0"/>
    <x v="3"/>
    <m/>
    <x v="112"/>
    <x v="112"/>
    <m/>
    <m/>
    <n v="554445"/>
    <n v="554445"/>
    <n v="0"/>
    <m/>
    <n v="0"/>
    <n v="0"/>
  </r>
  <r>
    <x v="13"/>
    <x v="0"/>
    <x v="13"/>
    <x v="3"/>
    <x v="0"/>
    <x v="3"/>
    <m/>
    <x v="113"/>
    <x v="113"/>
    <m/>
    <m/>
    <n v="550825"/>
    <n v="550825"/>
    <n v="0"/>
    <m/>
    <n v="0"/>
    <n v="0"/>
  </r>
  <r>
    <x v="13"/>
    <x v="0"/>
    <x v="13"/>
    <x v="3"/>
    <x v="0"/>
    <x v="3"/>
    <m/>
    <x v="114"/>
    <x v="114"/>
    <m/>
    <m/>
    <n v="548186"/>
    <n v="568186"/>
    <n v="-20000"/>
    <m/>
    <n v="0"/>
    <n v="-20000"/>
  </r>
  <r>
    <x v="13"/>
    <x v="0"/>
    <x v="13"/>
    <x v="3"/>
    <x v="0"/>
    <x v="3"/>
    <m/>
    <x v="115"/>
    <x v="115"/>
    <m/>
    <m/>
    <n v="583575"/>
    <n v="583575"/>
    <n v="0"/>
    <m/>
    <n v="0"/>
    <n v="0"/>
  </r>
  <r>
    <x v="13"/>
    <x v="0"/>
    <x v="13"/>
    <x v="3"/>
    <x v="0"/>
    <x v="3"/>
    <m/>
    <x v="116"/>
    <x v="116"/>
    <m/>
    <m/>
    <n v="545255"/>
    <n v="551255"/>
    <n v="-6000"/>
    <m/>
    <n v="0"/>
    <n v="-6000"/>
  </r>
  <r>
    <x v="13"/>
    <x v="0"/>
    <x v="13"/>
    <x v="3"/>
    <x v="0"/>
    <x v="3"/>
    <m/>
    <x v="117"/>
    <x v="117"/>
    <m/>
    <m/>
    <n v="654083"/>
    <n v="654083"/>
    <n v="0"/>
    <m/>
    <n v="0"/>
    <n v="0"/>
  </r>
  <r>
    <x v="13"/>
    <x v="0"/>
    <x v="13"/>
    <x v="3"/>
    <x v="0"/>
    <x v="3"/>
    <m/>
    <x v="118"/>
    <x v="118"/>
    <m/>
    <m/>
    <n v="578525"/>
    <n v="674025"/>
    <n v="-95500"/>
    <m/>
    <n v="0"/>
    <n v="-95500"/>
  </r>
  <r>
    <x v="13"/>
    <x v="0"/>
    <x v="13"/>
    <x v="3"/>
    <x v="0"/>
    <x v="3"/>
    <m/>
    <x v="119"/>
    <x v="119"/>
    <m/>
    <m/>
    <n v="668382"/>
    <n v="668382"/>
    <n v="0"/>
    <m/>
    <n v="0"/>
    <n v="0"/>
  </r>
  <r>
    <x v="13"/>
    <x v="0"/>
    <x v="13"/>
    <x v="3"/>
    <x v="0"/>
    <x v="3"/>
    <m/>
    <x v="120"/>
    <x v="120"/>
    <m/>
    <m/>
    <n v="0"/>
    <n v="665394"/>
    <n v="-665394"/>
    <m/>
    <n v="0"/>
    <n v="-665394"/>
  </r>
  <r>
    <x v="13"/>
    <x v="0"/>
    <x v="13"/>
    <x v="3"/>
    <x v="0"/>
    <x v="3"/>
    <m/>
    <x v="121"/>
    <x v="121"/>
    <m/>
    <m/>
    <n v="0"/>
    <n v="5600"/>
    <n v="-5600"/>
    <m/>
    <n v="0"/>
    <n v="-5600"/>
  </r>
  <r>
    <x v="13"/>
    <x v="0"/>
    <x v="13"/>
    <x v="3"/>
    <x v="0"/>
    <x v="3"/>
    <m/>
    <x v="122"/>
    <x v="122"/>
    <m/>
    <m/>
    <n v="7000"/>
    <n v="14000"/>
    <n v="-7000"/>
    <m/>
    <n v="0"/>
    <n v="-7000"/>
  </r>
  <r>
    <x v="14"/>
    <x v="0"/>
    <x v="14"/>
    <x v="6"/>
    <x v="0"/>
    <x v="6"/>
    <m/>
    <x v="123"/>
    <x v="123"/>
    <m/>
    <m/>
    <n v="51006.84"/>
    <n v="114117.68"/>
    <n v="-334861.58"/>
    <m/>
    <n v="-271750.74"/>
    <n v="-334861.57999999996"/>
  </r>
  <r>
    <x v="15"/>
    <x v="0"/>
    <x v="15"/>
    <x v="7"/>
    <x v="0"/>
    <x v="7"/>
    <m/>
    <x v="124"/>
    <x v="124"/>
    <m/>
    <m/>
    <n v="105349"/>
    <n v="96081"/>
    <n v="-96081"/>
    <m/>
    <n v="-105349"/>
    <n v="-96081"/>
  </r>
  <r>
    <x v="13"/>
    <x v="0"/>
    <x v="13"/>
    <x v="3"/>
    <x v="0"/>
    <x v="3"/>
    <m/>
    <x v="125"/>
    <x v="125"/>
    <m/>
    <m/>
    <n v="29589.439999999999"/>
    <n v="70886.83"/>
    <n v="-41297.39"/>
    <m/>
    <n v="0"/>
    <n v="-41297.39"/>
  </r>
  <r>
    <x v="16"/>
    <x v="0"/>
    <x v="16"/>
    <x v="8"/>
    <x v="0"/>
    <x v="8"/>
    <m/>
    <x v="126"/>
    <x v="126"/>
    <m/>
    <m/>
    <n v="20000"/>
    <n v="50000"/>
    <n v="-100000"/>
    <m/>
    <n v="-70000"/>
    <n v="-100000"/>
  </r>
  <r>
    <x v="17"/>
    <x v="0"/>
    <x v="17"/>
    <x v="9"/>
    <x v="0"/>
    <x v="9"/>
    <m/>
    <x v="127"/>
    <x v="127"/>
    <m/>
    <m/>
    <n v="1354730.15"/>
    <n v="656467.28"/>
    <n v="2958146.37"/>
    <m/>
    <n v="2259883.5"/>
    <n v="2958146.37"/>
  </r>
  <r>
    <x v="17"/>
    <x v="0"/>
    <x v="17"/>
    <x v="9"/>
    <x v="0"/>
    <x v="9"/>
    <m/>
    <x v="128"/>
    <x v="128"/>
    <m/>
    <m/>
    <n v="1074004.3"/>
    <n v="856229.47"/>
    <n v="-213009.82"/>
    <m/>
    <n v="-430784.65"/>
    <n v="-213009.81999999995"/>
  </r>
  <r>
    <x v="18"/>
    <x v="0"/>
    <x v="18"/>
    <x v="10"/>
    <x v="0"/>
    <x v="10"/>
    <m/>
    <x v="129"/>
    <x v="129"/>
    <m/>
    <m/>
    <n v="0"/>
    <n v="0"/>
    <n v="-4094482.1100000041"/>
    <m/>
    <n v="-4094482.1100000041"/>
    <n v="-4094482.1100000041"/>
  </r>
  <r>
    <x v="19"/>
    <x v="0"/>
    <x v="19"/>
    <x v="11"/>
    <x v="1"/>
    <x v="11"/>
    <m/>
    <x v="130"/>
    <x v="130"/>
    <m/>
    <m/>
    <n v="488888.88"/>
    <n v="13666959.529999999"/>
    <n v="-13178070.65"/>
    <m/>
    <n v="0"/>
    <n v="-13178070.649999999"/>
  </r>
  <r>
    <x v="20"/>
    <x v="0"/>
    <x v="20"/>
    <x v="11"/>
    <x v="1"/>
    <x v="11"/>
    <m/>
    <x v="131"/>
    <x v="131"/>
    <m/>
    <m/>
    <n v="0"/>
    <n v="21104.65"/>
    <n v="-21104.65"/>
    <m/>
    <n v="0"/>
    <n v="-21104.65"/>
  </r>
  <r>
    <x v="21"/>
    <x v="1"/>
    <x v="21"/>
    <x v="12"/>
    <x v="1"/>
    <x v="12"/>
    <m/>
    <x v="132"/>
    <x v="132"/>
    <m/>
    <m/>
    <n v="235676.95"/>
    <n v="2887.5"/>
    <n v="232789.45"/>
    <m/>
    <n v="0"/>
    <n v="232789.45"/>
  </r>
  <r>
    <x v="21"/>
    <x v="1"/>
    <x v="21"/>
    <x v="12"/>
    <x v="1"/>
    <x v="12"/>
    <m/>
    <x v="133"/>
    <x v="133"/>
    <m/>
    <m/>
    <n v="1000"/>
    <n v="0"/>
    <n v="1000"/>
    <m/>
    <n v="0"/>
    <n v="1000"/>
  </r>
  <r>
    <x v="22"/>
    <x v="0"/>
    <x v="22"/>
    <x v="12"/>
    <x v="1"/>
    <x v="12"/>
    <m/>
    <x v="134"/>
    <x v="134"/>
    <m/>
    <m/>
    <n v="1354320.46"/>
    <n v="0"/>
    <n v="1354320.46"/>
    <m/>
    <n v="0"/>
    <n v="1354320.46"/>
  </r>
  <r>
    <x v="22"/>
    <x v="0"/>
    <x v="22"/>
    <x v="12"/>
    <x v="1"/>
    <x v="12"/>
    <m/>
    <x v="135"/>
    <x v="135"/>
    <m/>
    <m/>
    <n v="106058.66"/>
    <n v="0"/>
    <n v="106058.66"/>
    <m/>
    <n v="0"/>
    <n v="106058.66"/>
  </r>
  <r>
    <x v="23"/>
    <x v="2"/>
    <x v="21"/>
    <x v="12"/>
    <x v="1"/>
    <x v="12"/>
    <m/>
    <x v="136"/>
    <x v="136"/>
    <m/>
    <m/>
    <n v="39147.730000000003"/>
    <n v="40"/>
    <n v="39107.730000000003"/>
    <m/>
    <n v="0"/>
    <n v="39107.730000000003"/>
  </r>
  <r>
    <x v="23"/>
    <x v="2"/>
    <x v="21"/>
    <x v="12"/>
    <x v="1"/>
    <x v="12"/>
    <m/>
    <x v="137"/>
    <x v="137"/>
    <m/>
    <m/>
    <n v="85004.26"/>
    <n v="0"/>
    <n v="85004.26"/>
    <m/>
    <n v="0"/>
    <n v="85004.26"/>
  </r>
  <r>
    <x v="22"/>
    <x v="0"/>
    <x v="22"/>
    <x v="12"/>
    <x v="1"/>
    <x v="12"/>
    <m/>
    <x v="138"/>
    <x v="138"/>
    <m/>
    <m/>
    <n v="921924.69"/>
    <n v="0"/>
    <n v="921924.69"/>
    <m/>
    <n v="0"/>
    <n v="921924.69"/>
  </r>
  <r>
    <x v="22"/>
    <x v="0"/>
    <x v="22"/>
    <x v="12"/>
    <x v="1"/>
    <x v="12"/>
    <m/>
    <x v="139"/>
    <x v="139"/>
    <m/>
    <m/>
    <n v="7833.49"/>
    <n v="0"/>
    <n v="7833.49"/>
    <m/>
    <n v="0"/>
    <n v="7833.49"/>
  </r>
  <r>
    <x v="21"/>
    <x v="1"/>
    <x v="21"/>
    <x v="12"/>
    <x v="1"/>
    <x v="12"/>
    <m/>
    <x v="140"/>
    <x v="140"/>
    <m/>
    <m/>
    <n v="8586.5"/>
    <n v="0"/>
    <n v="8586.5"/>
    <m/>
    <n v="0"/>
    <n v="8586.5"/>
  </r>
  <r>
    <x v="23"/>
    <x v="2"/>
    <x v="21"/>
    <x v="12"/>
    <x v="1"/>
    <x v="12"/>
    <m/>
    <x v="141"/>
    <x v="141"/>
    <m/>
    <m/>
    <n v="55468.13"/>
    <n v="0"/>
    <n v="55468.13"/>
    <m/>
    <n v="0"/>
    <n v="55468.13"/>
  </r>
  <r>
    <x v="22"/>
    <x v="0"/>
    <x v="22"/>
    <x v="12"/>
    <x v="1"/>
    <x v="12"/>
    <m/>
    <x v="142"/>
    <x v="142"/>
    <m/>
    <m/>
    <n v="11989.08"/>
    <n v="0"/>
    <n v="11989.08"/>
    <m/>
    <n v="0"/>
    <n v="11989.08"/>
  </r>
  <r>
    <x v="22"/>
    <x v="0"/>
    <x v="22"/>
    <x v="12"/>
    <x v="1"/>
    <x v="12"/>
    <m/>
    <x v="143"/>
    <x v="143"/>
    <m/>
    <m/>
    <n v="529.83000000000004"/>
    <n v="0"/>
    <n v="529.83000000000004"/>
    <m/>
    <n v="0"/>
    <n v="529.83000000000004"/>
  </r>
  <r>
    <x v="22"/>
    <x v="0"/>
    <x v="22"/>
    <x v="12"/>
    <x v="1"/>
    <x v="12"/>
    <m/>
    <x v="144"/>
    <x v="144"/>
    <m/>
    <m/>
    <n v="57480"/>
    <n v="0"/>
    <n v="57480"/>
    <m/>
    <n v="0"/>
    <n v="57480"/>
  </r>
  <r>
    <x v="22"/>
    <x v="0"/>
    <x v="22"/>
    <x v="12"/>
    <x v="1"/>
    <x v="12"/>
    <m/>
    <x v="145"/>
    <x v="145"/>
    <m/>
    <m/>
    <n v="100"/>
    <n v="0"/>
    <n v="100"/>
    <m/>
    <n v="0"/>
    <n v="100"/>
  </r>
  <r>
    <x v="22"/>
    <x v="0"/>
    <x v="22"/>
    <x v="12"/>
    <x v="1"/>
    <x v="12"/>
    <m/>
    <x v="146"/>
    <x v="146"/>
    <m/>
    <m/>
    <n v="16270.51"/>
    <n v="0"/>
    <n v="16270.51"/>
    <m/>
    <n v="0"/>
    <n v="16270.51"/>
  </r>
  <r>
    <x v="24"/>
    <x v="3"/>
    <x v="21"/>
    <x v="12"/>
    <x v="1"/>
    <x v="12"/>
    <m/>
    <x v="147"/>
    <x v="147"/>
    <m/>
    <m/>
    <n v="1400"/>
    <n v="0"/>
    <n v="1400"/>
    <m/>
    <n v="0"/>
    <n v="1400"/>
  </r>
  <r>
    <x v="21"/>
    <x v="1"/>
    <x v="21"/>
    <x v="12"/>
    <x v="1"/>
    <x v="12"/>
    <m/>
    <x v="148"/>
    <x v="148"/>
    <m/>
    <m/>
    <n v="137043.6"/>
    <n v="0"/>
    <n v="137043.6"/>
    <m/>
    <n v="0"/>
    <n v="137043.6"/>
  </r>
  <r>
    <x v="21"/>
    <x v="1"/>
    <x v="21"/>
    <x v="12"/>
    <x v="1"/>
    <x v="12"/>
    <m/>
    <x v="149"/>
    <x v="149"/>
    <m/>
    <m/>
    <n v="5878.2"/>
    <n v="0"/>
    <n v="5878.2"/>
    <m/>
    <n v="0"/>
    <n v="5878.2"/>
  </r>
  <r>
    <x v="21"/>
    <x v="1"/>
    <x v="21"/>
    <x v="12"/>
    <x v="1"/>
    <x v="12"/>
    <m/>
    <x v="150"/>
    <x v="150"/>
    <m/>
    <m/>
    <n v="1808.7"/>
    <n v="0"/>
    <n v="1808.7"/>
    <m/>
    <n v="0"/>
    <n v="1808.7"/>
  </r>
  <r>
    <x v="21"/>
    <x v="1"/>
    <x v="21"/>
    <x v="12"/>
    <x v="1"/>
    <x v="12"/>
    <m/>
    <x v="151"/>
    <x v="151"/>
    <m/>
    <m/>
    <n v="65508.84"/>
    <n v="0"/>
    <n v="65508.84"/>
    <m/>
    <n v="0"/>
    <n v="65508.84"/>
  </r>
  <r>
    <x v="25"/>
    <x v="4"/>
    <x v="21"/>
    <x v="12"/>
    <x v="1"/>
    <x v="12"/>
    <m/>
    <x v="152"/>
    <x v="152"/>
    <m/>
    <m/>
    <n v="43802.33"/>
    <n v="0"/>
    <n v="43802.33"/>
    <m/>
    <n v="0"/>
    <n v="43802.33"/>
  </r>
  <r>
    <x v="26"/>
    <x v="5"/>
    <x v="21"/>
    <x v="12"/>
    <x v="1"/>
    <x v="12"/>
    <m/>
    <x v="153"/>
    <x v="153"/>
    <m/>
    <m/>
    <n v="21132.02"/>
    <n v="0"/>
    <n v="21132.02"/>
    <m/>
    <n v="0"/>
    <n v="21132.02"/>
  </r>
  <r>
    <x v="27"/>
    <x v="6"/>
    <x v="23"/>
    <x v="13"/>
    <x v="1"/>
    <x v="13"/>
    <m/>
    <x v="154"/>
    <x v="154"/>
    <m/>
    <m/>
    <n v="3199796.84"/>
    <n v="0"/>
    <n v="3199796.84"/>
    <m/>
    <n v="0"/>
    <n v="3199796.84"/>
  </r>
  <r>
    <x v="27"/>
    <x v="6"/>
    <x v="23"/>
    <x v="13"/>
    <x v="1"/>
    <x v="13"/>
    <m/>
    <x v="155"/>
    <x v="155"/>
    <m/>
    <m/>
    <n v="818000"/>
    <n v="0"/>
    <n v="818000"/>
    <m/>
    <n v="0"/>
    <n v="818000"/>
  </r>
  <r>
    <x v="27"/>
    <x v="6"/>
    <x v="23"/>
    <x v="13"/>
    <x v="1"/>
    <x v="13"/>
    <m/>
    <x v="156"/>
    <x v="156"/>
    <m/>
    <m/>
    <n v="3166783.07"/>
    <n v="0"/>
    <n v="3166783.07"/>
    <m/>
    <n v="0"/>
    <n v="3166783.07"/>
  </r>
  <r>
    <x v="28"/>
    <x v="7"/>
    <x v="23"/>
    <x v="13"/>
    <x v="1"/>
    <x v="13"/>
    <m/>
    <x v="157"/>
    <x v="157"/>
    <m/>
    <m/>
    <n v="419930.69"/>
    <n v="0"/>
    <n v="419930.69"/>
    <m/>
    <n v="0"/>
    <n v="419930.69"/>
  </r>
  <r>
    <x v="29"/>
    <x v="8"/>
    <x v="23"/>
    <x v="13"/>
    <x v="1"/>
    <x v="13"/>
    <m/>
    <x v="158"/>
    <x v="158"/>
    <m/>
    <m/>
    <n v="63190.65"/>
    <n v="0"/>
    <n v="63190.65"/>
    <m/>
    <n v="0"/>
    <n v="63190.65"/>
  </r>
  <r>
    <x v="30"/>
    <x v="9"/>
    <x v="23"/>
    <x v="13"/>
    <x v="1"/>
    <x v="13"/>
    <m/>
    <x v="159"/>
    <x v="159"/>
    <m/>
    <m/>
    <n v="114117.68"/>
    <n v="0"/>
    <n v="114117.68"/>
    <m/>
    <n v="0"/>
    <n v="114117.68"/>
  </r>
  <r>
    <x v="31"/>
    <x v="10"/>
    <x v="23"/>
    <x v="13"/>
    <x v="1"/>
    <x v="13"/>
    <m/>
    <x v="160"/>
    <x v="160"/>
    <m/>
    <m/>
    <n v="173863.82"/>
    <n v="0"/>
    <n v="173863.82"/>
    <m/>
    <n v="0"/>
    <n v="173863.82"/>
  </r>
  <r>
    <x v="27"/>
    <x v="6"/>
    <x v="23"/>
    <x v="13"/>
    <x v="1"/>
    <x v="13"/>
    <m/>
    <x v="161"/>
    <x v="161"/>
    <m/>
    <m/>
    <n v="407142"/>
    <n v="0"/>
    <n v="407142"/>
    <m/>
    <n v="0"/>
    <n v="407142"/>
  </r>
  <r>
    <x v="32"/>
    <x v="11"/>
    <x v="23"/>
    <x v="13"/>
    <x v="1"/>
    <x v="13"/>
    <m/>
    <x v="162"/>
    <x v="162"/>
    <m/>
    <m/>
    <n v="330935.92"/>
    <n v="28181.43"/>
    <n v="302754.49"/>
    <m/>
    <n v="0"/>
    <n v="302754.49"/>
  </r>
  <r>
    <x v="33"/>
    <x v="12"/>
    <x v="23"/>
    <x v="13"/>
    <x v="1"/>
    <x v="13"/>
    <m/>
    <x v="163"/>
    <x v="163"/>
    <m/>
    <m/>
    <n v="57079.81"/>
    <n v="0"/>
    <n v="57079.81"/>
    <m/>
    <n v="0"/>
    <n v="57079.81"/>
  </r>
  <r>
    <x v="33"/>
    <x v="12"/>
    <x v="23"/>
    <x v="13"/>
    <x v="1"/>
    <x v="13"/>
    <m/>
    <x v="164"/>
    <x v="164"/>
    <m/>
    <m/>
    <n v="7214.74"/>
    <n v="0"/>
    <n v="7214.74"/>
    <m/>
    <n v="0"/>
    <n v="7214.74"/>
  </r>
  <r>
    <x v="34"/>
    <x v="3"/>
    <x v="23"/>
    <x v="13"/>
    <x v="1"/>
    <x v="13"/>
    <m/>
    <x v="165"/>
    <x v="165"/>
    <m/>
    <m/>
    <n v="15400.1"/>
    <n v="0"/>
    <n v="15400.1"/>
    <m/>
    <n v="0"/>
    <n v="15400.1"/>
  </r>
  <r>
    <x v="35"/>
    <x v="13"/>
    <x v="23"/>
    <x v="13"/>
    <x v="1"/>
    <x v="13"/>
    <m/>
    <x v="166"/>
    <x v="166"/>
    <m/>
    <m/>
    <n v="203270.26"/>
    <n v="0"/>
    <n v="203270.26"/>
    <m/>
    <n v="0"/>
    <n v="203270.26"/>
  </r>
  <r>
    <x v="36"/>
    <x v="14"/>
    <x v="23"/>
    <x v="13"/>
    <x v="1"/>
    <x v="13"/>
    <m/>
    <x v="167"/>
    <x v="167"/>
    <m/>
    <m/>
    <n v="34893.43"/>
    <n v="533.35"/>
    <n v="34360.080000000002"/>
    <m/>
    <n v="0"/>
    <n v="34360.080000000002"/>
  </r>
  <r>
    <x v="37"/>
    <x v="15"/>
    <x v="23"/>
    <x v="13"/>
    <x v="1"/>
    <x v="13"/>
    <m/>
    <x v="168"/>
    <x v="168"/>
    <m/>
    <m/>
    <n v="19999.560000000001"/>
    <n v="0"/>
    <n v="19999.560000000001"/>
    <m/>
    <n v="0"/>
    <n v="19999.560000000001"/>
  </r>
  <r>
    <x v="38"/>
    <x v="16"/>
    <x v="23"/>
    <x v="13"/>
    <x v="1"/>
    <x v="13"/>
    <m/>
    <x v="169"/>
    <x v="169"/>
    <m/>
    <m/>
    <n v="520045"/>
    <n v="4726"/>
    <n v="515319"/>
    <m/>
    <n v="0"/>
    <n v="515319"/>
  </r>
  <r>
    <x v="38"/>
    <x v="16"/>
    <x v="23"/>
    <x v="13"/>
    <x v="1"/>
    <x v="13"/>
    <m/>
    <x v="170"/>
    <x v="170"/>
    <m/>
    <m/>
    <n v="42734"/>
    <n v="0"/>
    <n v="42734"/>
    <m/>
    <n v="0"/>
    <n v="42734"/>
  </r>
  <r>
    <x v="38"/>
    <x v="16"/>
    <x v="23"/>
    <x v="13"/>
    <x v="1"/>
    <x v="13"/>
    <m/>
    <x v="171"/>
    <x v="171"/>
    <m/>
    <m/>
    <n v="235119.34"/>
    <n v="0"/>
    <n v="235119.34"/>
    <m/>
    <n v="0"/>
    <n v="235119.34"/>
  </r>
  <r>
    <x v="34"/>
    <x v="3"/>
    <x v="23"/>
    <x v="13"/>
    <x v="1"/>
    <x v="13"/>
    <m/>
    <x v="172"/>
    <x v="172"/>
    <m/>
    <m/>
    <n v="8384.09"/>
    <n v="0"/>
    <n v="8384.09"/>
    <m/>
    <n v="0"/>
    <n v="8384.09"/>
  </r>
  <r>
    <x v="39"/>
    <x v="1"/>
    <x v="23"/>
    <x v="13"/>
    <x v="1"/>
    <x v="13"/>
    <m/>
    <x v="173"/>
    <x v="173"/>
    <m/>
    <m/>
    <n v="22180.12"/>
    <n v="0"/>
    <n v="22180.12"/>
    <m/>
    <n v="0"/>
    <n v="22180.12"/>
  </r>
  <r>
    <x v="40"/>
    <x v="2"/>
    <x v="23"/>
    <x v="13"/>
    <x v="1"/>
    <x v="13"/>
    <m/>
    <x v="174"/>
    <x v="174"/>
    <m/>
    <m/>
    <n v="6803"/>
    <n v="0"/>
    <n v="6803"/>
    <m/>
    <n v="0"/>
    <n v="6803"/>
  </r>
  <r>
    <x v="32"/>
    <x v="11"/>
    <x v="23"/>
    <x v="13"/>
    <x v="1"/>
    <x v="13"/>
    <m/>
    <x v="175"/>
    <x v="175"/>
    <m/>
    <m/>
    <n v="15594.73"/>
    <n v="0"/>
    <n v="15594.73"/>
    <m/>
    <n v="0"/>
    <n v="15594.73"/>
  </r>
  <r>
    <x v="39"/>
    <x v="1"/>
    <x v="23"/>
    <x v="13"/>
    <x v="1"/>
    <x v="13"/>
    <m/>
    <x v="176"/>
    <x v="176"/>
    <m/>
    <m/>
    <n v="17838.7"/>
    <n v="0"/>
    <n v="17838.7"/>
    <m/>
    <n v="0"/>
    <n v="17838.7"/>
  </r>
  <r>
    <x v="39"/>
    <x v="1"/>
    <x v="23"/>
    <x v="13"/>
    <x v="1"/>
    <x v="13"/>
    <m/>
    <x v="177"/>
    <x v="177"/>
    <m/>
    <m/>
    <n v="69000"/>
    <n v="9000"/>
    <n v="60000"/>
    <m/>
    <n v="0"/>
    <n v="60000"/>
  </r>
  <r>
    <x v="41"/>
    <x v="0"/>
    <x v="24"/>
    <x v="14"/>
    <x v="1"/>
    <x v="14"/>
    <m/>
    <x v="178"/>
    <x v="178"/>
    <m/>
    <m/>
    <n v="18919.419999999998"/>
    <n v="0"/>
    <n v="18919.419999999998"/>
    <m/>
    <n v="0"/>
    <n v="18919.419999999998"/>
  </r>
  <r>
    <x v="41"/>
    <x v="0"/>
    <x v="24"/>
    <x v="14"/>
    <x v="1"/>
    <x v="14"/>
    <m/>
    <x v="179"/>
    <x v="179"/>
    <m/>
    <m/>
    <n v="88342.37"/>
    <n v="40086.78"/>
    <n v="48255.59"/>
    <m/>
    <n v="0"/>
    <n v="48255.59"/>
  </r>
  <r>
    <x v="41"/>
    <x v="0"/>
    <x v="24"/>
    <x v="14"/>
    <x v="1"/>
    <x v="14"/>
    <m/>
    <x v="180"/>
    <x v="180"/>
    <m/>
    <m/>
    <n v="2818.57"/>
    <n v="0"/>
    <n v="2818.57"/>
    <m/>
    <n v="0"/>
    <n v="2818.57"/>
  </r>
  <r>
    <x v="41"/>
    <x v="0"/>
    <x v="24"/>
    <x v="14"/>
    <x v="1"/>
    <x v="14"/>
    <m/>
    <x v="181"/>
    <x v="181"/>
    <m/>
    <m/>
    <n v="28925.4"/>
    <n v="0"/>
    <n v="28925.4"/>
    <m/>
    <n v="0"/>
    <n v="28925.4"/>
  </r>
  <r>
    <x v="42"/>
    <x v="17"/>
    <x v="23"/>
    <x v="13"/>
    <x v="1"/>
    <x v="13"/>
    <m/>
    <x v="182"/>
    <x v="182"/>
    <m/>
    <m/>
    <n v="30351.040000000001"/>
    <n v="0"/>
    <n v="30351.040000000001"/>
    <m/>
    <n v="0"/>
    <n v="30351.040000000001"/>
  </r>
  <r>
    <x v="43"/>
    <x v="18"/>
    <x v="23"/>
    <x v="13"/>
    <x v="1"/>
    <x v="13"/>
    <m/>
    <x v="183"/>
    <x v="183"/>
    <m/>
    <m/>
    <n v="3126.61"/>
    <n v="0"/>
    <n v="3126.61"/>
    <m/>
    <n v="0"/>
    <n v="3126.61"/>
  </r>
  <r>
    <x v="38"/>
    <x v="16"/>
    <x v="23"/>
    <x v="13"/>
    <x v="1"/>
    <x v="13"/>
    <m/>
    <x v="184"/>
    <x v="184"/>
    <m/>
    <m/>
    <n v="1120"/>
    <n v="0"/>
    <n v="1120"/>
    <m/>
    <n v="0"/>
    <n v="1120"/>
  </r>
  <r>
    <x v="43"/>
    <x v="18"/>
    <x v="23"/>
    <x v="13"/>
    <x v="1"/>
    <x v="13"/>
    <m/>
    <x v="185"/>
    <x v="185"/>
    <m/>
    <m/>
    <n v="26722.13"/>
    <n v="1435.45"/>
    <n v="25286.68"/>
    <m/>
    <n v="0"/>
    <n v="25286.68"/>
  </r>
  <r>
    <x v="21"/>
    <x v="1"/>
    <x v="21"/>
    <x v="12"/>
    <x v="1"/>
    <x v="12"/>
    <m/>
    <x v="186"/>
    <x v="186"/>
    <m/>
    <m/>
    <n v="96081"/>
    <n v="0"/>
    <n v="96081"/>
    <m/>
    <n v="0"/>
    <n v="96081"/>
  </r>
  <r>
    <x v="21"/>
    <x v="1"/>
    <x v="21"/>
    <x v="12"/>
    <x v="1"/>
    <x v="12"/>
    <m/>
    <x v="187"/>
    <x v="187"/>
    <m/>
    <m/>
    <n v="35100"/>
    <n v="0"/>
    <n v="35100"/>
    <m/>
    <n v="0"/>
    <n v="35100"/>
  </r>
  <r>
    <x v="38"/>
    <x v="16"/>
    <x v="23"/>
    <x v="13"/>
    <x v="1"/>
    <x v="13"/>
    <m/>
    <x v="188"/>
    <x v="188"/>
    <m/>
    <m/>
    <n v="40652.36"/>
    <n v="0"/>
    <n v="40652.36"/>
    <m/>
    <n v="0"/>
    <n v="40652.36"/>
  </r>
  <r>
    <x v="21"/>
    <x v="1"/>
    <x v="21"/>
    <x v="12"/>
    <x v="1"/>
    <x v="12"/>
    <m/>
    <x v="189"/>
    <x v="189"/>
    <m/>
    <m/>
    <n v="2431.7399999999998"/>
    <n v="0"/>
    <n v="2431.7399999999998"/>
    <m/>
    <n v="0"/>
    <n v="2431.7399999999998"/>
  </r>
  <r>
    <x v="21"/>
    <x v="1"/>
    <x v="21"/>
    <x v="12"/>
    <x v="1"/>
    <x v="12"/>
    <m/>
    <x v="190"/>
    <x v="190"/>
    <m/>
    <m/>
    <n v="3162.36"/>
    <n v="0"/>
    <n v="3162.36"/>
    <m/>
    <n v="0"/>
    <n v="3162.36"/>
  </r>
  <r>
    <x v="21"/>
    <x v="1"/>
    <x v="21"/>
    <x v="12"/>
    <x v="1"/>
    <x v="12"/>
    <m/>
    <x v="191"/>
    <x v="191"/>
    <m/>
    <m/>
    <n v="2375.79"/>
    <n v="0"/>
    <n v="2375.79"/>
    <m/>
    <n v="0"/>
    <n v="2375.79"/>
  </r>
  <r>
    <x v="21"/>
    <x v="1"/>
    <x v="21"/>
    <x v="12"/>
    <x v="1"/>
    <x v="12"/>
    <m/>
    <x v="192"/>
    <x v="192"/>
    <m/>
    <m/>
    <n v="6000"/>
    <n v="0"/>
    <n v="6000"/>
    <m/>
    <n v="0"/>
    <n v="6000"/>
  </r>
  <r>
    <x v="39"/>
    <x v="1"/>
    <x v="23"/>
    <x v="13"/>
    <x v="1"/>
    <x v="13"/>
    <m/>
    <x v="193"/>
    <x v="193"/>
    <m/>
    <m/>
    <n v="8802.27"/>
    <n v="0"/>
    <n v="8802.27"/>
    <m/>
    <n v="0"/>
    <n v="8802.27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  <r>
    <x v="44"/>
    <x v="19"/>
    <x v="25"/>
    <x v="15"/>
    <x v="2"/>
    <x v="15"/>
    <m/>
    <x v="194"/>
    <x v="194"/>
    <m/>
    <m/>
    <m/>
    <m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D7D7E-4043-411C-8C62-ED0DC7937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-">
  <location ref="A1:M43" firstHeaderRow="0" firstDataRow="1" firstDataCol="5"/>
  <pivotFields count="17">
    <pivotField showAll="0"/>
    <pivotField outline="0" showAll="0" defaultSubtotal="0"/>
    <pivotField axis="axisRow" outline="0" showAll="0">
      <items count="27">
        <item sd="0" x="9"/>
        <item sd="0" x="17"/>
        <item sd="0" x="1"/>
        <item sd="0" x="0"/>
        <item sd="0" x="23"/>
        <item sd="0" x="2"/>
        <item sd="0" x="16"/>
        <item sd="0" x="10"/>
        <item sd="0" x="14"/>
        <item sd="0" x="15"/>
        <item sd="0" x="6"/>
        <item sd="0" x="13"/>
        <item sd="0" x="25"/>
        <item sd="0" x="3"/>
        <item sd="0" x="5"/>
        <item sd="0" x="7"/>
        <item sd="0" x="8"/>
        <item sd="0" x="18"/>
        <item sd="0" x="12"/>
        <item sd="0" x="21"/>
        <item sd="0" x="24"/>
        <item sd="0" x="19"/>
        <item sd="0" x="4"/>
        <item sd="0" x="22"/>
        <item sd="0" x="11"/>
        <item x="20"/>
        <item t="default"/>
      </items>
    </pivotField>
    <pivotField axis="axisRow" outline="0" showAll="0">
      <items count="17">
        <item x="15"/>
        <item x="11"/>
        <item x="5"/>
        <item x="1"/>
        <item x="13"/>
        <item x="0"/>
        <item x="12"/>
        <item x="8"/>
        <item x="6"/>
        <item x="7"/>
        <item x="4"/>
        <item x="2"/>
        <item x="3"/>
        <item x="9"/>
        <item x="10"/>
        <item x="14"/>
        <item t="default"/>
      </items>
    </pivotField>
    <pivotField showAll="0"/>
    <pivotField axis="axisRow" outline="0" showAll="0" sortType="ascending" defaultSubtotal="0">
      <items count="16">
        <item x="0"/>
        <item x="1"/>
        <item x="2"/>
        <item x="4"/>
        <item x="5"/>
        <item x="3"/>
        <item x="7"/>
        <item x="6"/>
        <item x="9"/>
        <item x="8"/>
        <item x="10"/>
        <item x="11"/>
        <item x="12"/>
        <item x="13"/>
        <item x="14"/>
        <item h="1" x="15"/>
      </items>
    </pivotField>
    <pivotField showAll="0" defaultSubtotal="0"/>
    <pivotField axis="axisRow" outline="0" showAll="0" defaultSubtotal="0">
      <items count="195">
        <item n="0"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</items>
    </pivotField>
    <pivotField axis="axisRow" showAll="0">
      <items count="196">
        <item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5">
    <field x="5"/>
    <field x="3"/>
    <field x="2"/>
    <field x="7"/>
    <field x="8"/>
  </rowFields>
  <rowItems count="42">
    <i>
      <x/>
      <x v="5"/>
      <x v="2"/>
    </i>
    <i r="2">
      <x v="3"/>
    </i>
    <i t="default" r="1">
      <x v="5"/>
    </i>
    <i>
      <x v="1"/>
      <x v="3"/>
      <x v="5"/>
    </i>
    <i t="default" r="1">
      <x v="3"/>
    </i>
    <i>
      <x v="2"/>
      <x v="11"/>
      <x v="10"/>
    </i>
    <i r="2">
      <x v="13"/>
    </i>
    <i r="2">
      <x v="14"/>
    </i>
    <i r="2">
      <x v="22"/>
    </i>
    <i t="default" r="1">
      <x v="11"/>
    </i>
    <i>
      <x v="3"/>
      <x v="10"/>
      <x/>
    </i>
    <i r="2">
      <x v="7"/>
    </i>
    <i r="2">
      <x v="16"/>
    </i>
    <i r="2">
      <x v="24"/>
    </i>
    <i t="default" r="1">
      <x v="10"/>
    </i>
    <i>
      <x v="4"/>
      <x v="2"/>
      <x v="18"/>
    </i>
    <i t="default" r="1">
      <x v="2"/>
    </i>
    <i>
      <x v="5"/>
      <x v="12"/>
      <x v="11"/>
    </i>
    <i r="2">
      <x v="15"/>
    </i>
    <i t="default" r="1">
      <x v="12"/>
    </i>
    <i>
      <x v="6"/>
      <x v="9"/>
      <x v="9"/>
    </i>
    <i t="default" r="1">
      <x v="9"/>
    </i>
    <i>
      <x v="7"/>
      <x v="8"/>
      <x v="8"/>
    </i>
    <i t="default" r="1">
      <x v="8"/>
    </i>
    <i>
      <x v="8"/>
      <x v="13"/>
      <x v="1"/>
    </i>
    <i t="default" r="1">
      <x v="13"/>
    </i>
    <i>
      <x v="9"/>
      <x v="7"/>
      <x v="6"/>
    </i>
    <i t="default" r="1">
      <x v="7"/>
    </i>
    <i>
      <x v="10"/>
      <x v="14"/>
      <x v="17"/>
    </i>
    <i t="default" r="1">
      <x v="14"/>
    </i>
    <i>
      <x v="11"/>
      <x v="1"/>
      <x v="21"/>
    </i>
    <i r="2">
      <x v="25"/>
      <x v="132"/>
      <x v="132"/>
    </i>
    <i t="default" r="2">
      <x v="25"/>
    </i>
    <i t="default" r="1">
      <x v="1"/>
    </i>
    <i>
      <x v="12"/>
      <x v="6"/>
      <x v="19"/>
    </i>
    <i r="2">
      <x v="23"/>
    </i>
    <i t="default" r="1">
      <x v="6"/>
    </i>
    <i>
      <x v="13"/>
      <x v="4"/>
      <x v="4"/>
    </i>
    <i t="default" r="1">
      <x v="4"/>
    </i>
    <i>
      <x v="14"/>
      <x v="15"/>
      <x v="20"/>
    </i>
    <i t="default" r="1">
      <x v="1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 رصيد اخر" fld="16" baseField="3" baseItem="19" numFmtId="166"/>
    <dataField name=" رصيد اول" fld="15" baseField="3" baseItem="19" numFmtId="166"/>
    <dataField name=" مدين اخر" fld="13" baseField="3" baseItem="7" numFmtId="3"/>
    <dataField name=" دائن اخر" fld="14" baseField="3" baseItem="7" numFmtId="3"/>
    <dataField name=" حركة مدينة" fld="11" baseField="3" baseItem="7" numFmtId="3"/>
    <dataField name=" حركة دائنة" fld="12" baseField="3" baseItem="7" numFmtId="3"/>
    <dataField name=" مدين اول" fld="9" baseField="3" baseItem="7" numFmtId="3"/>
    <dataField name=" دائن اول" fld="10" baseField="3" baseItem="7" numFmtId="3"/>
  </dataFields>
  <formats count="76">
    <format dxfId="307">
      <pivotArea field="3" grandRow="1" outline="0" collapsedLevelsAreSubtotals="1" axis="axisRow" fieldPosition="1">
        <references count="1">
          <reference field="4294967294" count="1" selected="0">
            <x v="1"/>
          </reference>
        </references>
      </pivotArea>
    </format>
    <format dxfId="306">
      <pivotArea field="3" grandRow="1" outline="0" collapsedLevelsAreSubtotals="1" axis="axisRow" fieldPosition="1">
        <references count="1">
          <reference field="4294967294" count="1" selected="0">
            <x v="0"/>
          </reference>
        </references>
      </pivotArea>
    </format>
    <format dxfId="305">
      <pivotArea field="3" grandRow="1" outline="0" collapsedLevelsAreSubtotals="1" axis="axisRow" fieldPosition="1">
        <references count="1">
          <reference field="4294967294" count="1" selected="0">
            <x v="2"/>
          </reference>
        </references>
      </pivotArea>
    </format>
    <format dxfId="304">
      <pivotArea field="3" grandRow="1" outline="0" collapsedLevelsAreSubtotals="1" axis="axisRow" fieldPosition="1">
        <references count="1">
          <reference field="4294967294" count="1" selected="0">
            <x v="3"/>
          </reference>
        </references>
      </pivotArea>
    </format>
    <format dxfId="303">
      <pivotArea outline="0" fieldPosition="0">
        <references count="1">
          <reference field="4294967294" count="1">
            <x v="0"/>
          </reference>
        </references>
      </pivotArea>
    </format>
    <format dxfId="302">
      <pivotArea outline="0" fieldPosition="0">
        <references count="1">
          <reference field="4294967294" count="1">
            <x v="1"/>
          </reference>
        </references>
      </pivotArea>
    </format>
    <format dxfId="301">
      <pivotArea outline="0" fieldPosition="0">
        <references count="1">
          <reference field="4294967294" count="1">
            <x v="2"/>
          </reference>
        </references>
      </pivotArea>
    </format>
    <format dxfId="300">
      <pivotArea outline="0" fieldPosition="0">
        <references count="1">
          <reference field="4294967294" count="1">
            <x v="3"/>
          </reference>
        </references>
      </pivotArea>
    </format>
    <format dxfId="299">
      <pivotArea outline="0" fieldPosition="0">
        <references count="1">
          <reference field="4294967294" count="1">
            <x v="4"/>
          </reference>
        </references>
      </pivotArea>
    </format>
    <format dxfId="298">
      <pivotArea outline="0" fieldPosition="0">
        <references count="1">
          <reference field="4294967294" count="1">
            <x v="5"/>
          </reference>
        </references>
      </pivotArea>
    </format>
    <format dxfId="297">
      <pivotArea outline="0" fieldPosition="0">
        <references count="1">
          <reference field="4294967294" count="1">
            <x v="6"/>
          </reference>
        </references>
      </pivotArea>
    </format>
    <format dxfId="296">
      <pivotArea outline="0" fieldPosition="0">
        <references count="1">
          <reference field="4294967294" count="1">
            <x v="7"/>
          </reference>
        </references>
      </pivotArea>
    </format>
    <format dxfId="295">
      <pivotArea dataOnly="0" labelOnly="1" offset="A256" fieldPosition="0">
        <references count="3">
          <reference field="2" count="1">
            <x v="8"/>
          </reference>
          <reference field="3" count="1" selected="0">
            <x v="8"/>
          </reference>
          <reference field="5" count="1" selected="0">
            <x v="7"/>
          </reference>
        </references>
      </pivotArea>
    </format>
    <format dxfId="294">
      <pivotArea field="5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5" type="button" dataOnly="0" labelOnly="1" outline="0" axis="axisRow" fieldPosition="0"/>
    </format>
    <format dxfId="258">
      <pivotArea field="3" type="button" dataOnly="0" labelOnly="1" outline="0" axis="axisRow" fieldPosition="1"/>
    </format>
    <format dxfId="257">
      <pivotArea field="2" type="button" dataOnly="0" labelOnly="1" outline="0" axis="axisRow" fieldPosition="2"/>
    </format>
    <format dxfId="256">
      <pivotArea field="7" type="button" dataOnly="0" labelOnly="1" outline="0" axis="axisRow" fieldPosition="3"/>
    </format>
    <format dxfId="255">
      <pivotArea field="8" type="button" dataOnly="0" labelOnly="1" outline="0" axis="axisRow" fieldPosition="4"/>
    </format>
    <format dxfId="254">
      <pivotArea dataOnly="0" labelOnly="1" fieldPosition="0">
        <references count="1">
          <reference field="5" count="0"/>
        </references>
      </pivotArea>
    </format>
    <format dxfId="253">
      <pivotArea dataOnly="0" labelOnly="1" grandRow="1" outline="0" fieldPosition="0"/>
    </format>
    <format dxfId="252">
      <pivotArea dataOnly="0" labelOnly="1" fieldPosition="0">
        <references count="2">
          <reference field="3" count="1">
            <x v="5"/>
          </reference>
          <reference field="5" count="1" selected="0">
            <x v="0"/>
          </reference>
        </references>
      </pivotArea>
    </format>
    <format dxfId="251">
      <pivotArea dataOnly="0" labelOnly="1" fieldPosition="0">
        <references count="2">
          <reference field="3" count="1" defaultSubtotal="1">
            <x v="5"/>
          </reference>
          <reference field="5" count="1" selected="0">
            <x v="0"/>
          </reference>
        </references>
      </pivotArea>
    </format>
    <format dxfId="250">
      <pivotArea dataOnly="0" labelOnly="1" fieldPosition="0">
        <references count="2">
          <reference field="3" count="1">
            <x v="3"/>
          </reference>
          <reference field="5" count="1" selected="0">
            <x v="1"/>
          </reference>
        </references>
      </pivotArea>
    </format>
    <format dxfId="249">
      <pivotArea dataOnly="0" labelOnly="1" fieldPosition="0">
        <references count="2">
          <reference field="3" count="1" defaultSubtotal="1">
            <x v="3"/>
          </reference>
          <reference field="5" count="1" selected="0">
            <x v="1"/>
          </reference>
        </references>
      </pivotArea>
    </format>
    <format dxfId="248">
      <pivotArea dataOnly="0" labelOnly="1" fieldPosition="0">
        <references count="2">
          <reference field="3" count="1">
            <x v="11"/>
          </reference>
          <reference field="5" count="1" selected="0">
            <x v="2"/>
          </reference>
        </references>
      </pivotArea>
    </format>
    <format dxfId="247">
      <pivotArea dataOnly="0" labelOnly="1" fieldPosition="0">
        <references count="2">
          <reference field="3" count="1" defaultSubtotal="1">
            <x v="11"/>
          </reference>
          <reference field="5" count="1" selected="0">
            <x v="2"/>
          </reference>
        </references>
      </pivotArea>
    </format>
    <format dxfId="246">
      <pivotArea dataOnly="0" labelOnly="1" fieldPosition="0">
        <references count="2">
          <reference field="3" count="1">
            <x v="10"/>
          </reference>
          <reference field="5" count="1" selected="0">
            <x v="3"/>
          </reference>
        </references>
      </pivotArea>
    </format>
    <format dxfId="245">
      <pivotArea dataOnly="0" labelOnly="1" fieldPosition="0">
        <references count="2">
          <reference field="3" count="1" defaultSubtotal="1">
            <x v="10"/>
          </reference>
          <reference field="5" count="1" selected="0">
            <x v="3"/>
          </reference>
        </references>
      </pivotArea>
    </format>
    <format dxfId="244">
      <pivotArea dataOnly="0" labelOnly="1" fieldPosition="0">
        <references count="2">
          <reference field="3" count="1">
            <x v="2"/>
          </reference>
          <reference field="5" count="1" selected="0">
            <x v="4"/>
          </reference>
        </references>
      </pivotArea>
    </format>
    <format dxfId="243">
      <pivotArea dataOnly="0" labelOnly="1" fieldPosition="0">
        <references count="2">
          <reference field="3" count="1" defaultSubtotal="1">
            <x v="2"/>
          </reference>
          <reference field="5" count="1" selected="0">
            <x v="4"/>
          </reference>
        </references>
      </pivotArea>
    </format>
    <format dxfId="242">
      <pivotArea dataOnly="0" labelOnly="1" fieldPosition="0">
        <references count="2">
          <reference field="3" count="1">
            <x v="12"/>
          </reference>
          <reference field="5" count="1" selected="0">
            <x v="5"/>
          </reference>
        </references>
      </pivotArea>
    </format>
    <format dxfId="241">
      <pivotArea dataOnly="0" labelOnly="1" fieldPosition="0">
        <references count="2">
          <reference field="3" count="1" defaultSubtotal="1">
            <x v="12"/>
          </reference>
          <reference field="5" count="1" selected="0">
            <x v="5"/>
          </reference>
        </references>
      </pivotArea>
    </format>
    <format dxfId="240">
      <pivotArea dataOnly="0" labelOnly="1" fieldPosition="0">
        <references count="2">
          <reference field="3" count="1">
            <x v="9"/>
          </reference>
          <reference field="5" count="1" selected="0">
            <x v="6"/>
          </reference>
        </references>
      </pivotArea>
    </format>
    <format dxfId="239">
      <pivotArea dataOnly="0" labelOnly="1" fieldPosition="0">
        <references count="2">
          <reference field="3" count="1" defaultSubtotal="1">
            <x v="9"/>
          </reference>
          <reference field="5" count="1" selected="0">
            <x v="6"/>
          </reference>
        </references>
      </pivotArea>
    </format>
    <format dxfId="238">
      <pivotArea dataOnly="0" labelOnly="1" fieldPosition="0">
        <references count="2">
          <reference field="3" count="1">
            <x v="8"/>
          </reference>
          <reference field="5" count="1" selected="0">
            <x v="7"/>
          </reference>
        </references>
      </pivotArea>
    </format>
    <format dxfId="237">
      <pivotArea dataOnly="0" labelOnly="1" fieldPosition="0">
        <references count="2">
          <reference field="3" count="1" defaultSubtotal="1">
            <x v="8"/>
          </reference>
          <reference field="5" count="1" selected="0">
            <x v="7"/>
          </reference>
        </references>
      </pivotArea>
    </format>
    <format dxfId="236">
      <pivotArea dataOnly="0" labelOnly="1" fieldPosition="0">
        <references count="2">
          <reference field="3" count="1">
            <x v="13"/>
          </reference>
          <reference field="5" count="1" selected="0">
            <x v="8"/>
          </reference>
        </references>
      </pivotArea>
    </format>
    <format dxfId="235">
      <pivotArea dataOnly="0" labelOnly="1" fieldPosition="0">
        <references count="2">
          <reference field="3" count="1" defaultSubtotal="1">
            <x v="13"/>
          </reference>
          <reference field="5" count="1" selected="0">
            <x v="8"/>
          </reference>
        </references>
      </pivotArea>
    </format>
    <format dxfId="234">
      <pivotArea dataOnly="0" labelOnly="1" fieldPosition="0">
        <references count="2">
          <reference field="3" count="1">
            <x v="7"/>
          </reference>
          <reference field="5" count="1" selected="0">
            <x v="9"/>
          </reference>
        </references>
      </pivotArea>
    </format>
    <format dxfId="233">
      <pivotArea dataOnly="0" labelOnly="1" fieldPosition="0">
        <references count="2">
          <reference field="3" count="1" defaultSubtotal="1">
            <x v="7"/>
          </reference>
          <reference field="5" count="1" selected="0">
            <x v="9"/>
          </reference>
        </references>
      </pivotArea>
    </format>
    <format dxfId="232">
      <pivotArea dataOnly="0" labelOnly="1" fieldPosition="0">
        <references count="2">
          <reference field="3" count="1">
            <x v="14"/>
          </reference>
          <reference field="5" count="1" selected="0">
            <x v="10"/>
          </reference>
        </references>
      </pivotArea>
    </format>
    <format dxfId="231">
      <pivotArea dataOnly="0" labelOnly="1" fieldPosition="0">
        <references count="2">
          <reference field="3" count="1" defaultSubtotal="1">
            <x v="14"/>
          </reference>
          <reference field="5" count="1" selected="0">
            <x v="10"/>
          </reference>
        </references>
      </pivotArea>
    </format>
    <format dxfId="230">
      <pivotArea dataOnly="0" labelOnly="1" fieldPosition="0">
        <references count="2">
          <reference field="3" count="1">
            <x v="1"/>
          </reference>
          <reference field="5" count="1" selected="0">
            <x v="11"/>
          </reference>
        </references>
      </pivotArea>
    </format>
    <format dxfId="229">
      <pivotArea dataOnly="0" labelOnly="1" fieldPosition="0">
        <references count="2">
          <reference field="3" count="1" defaultSubtotal="1">
            <x v="1"/>
          </reference>
          <reference field="5" count="1" selected="0">
            <x v="11"/>
          </reference>
        </references>
      </pivotArea>
    </format>
    <format dxfId="228">
      <pivotArea dataOnly="0" labelOnly="1" fieldPosition="0">
        <references count="2">
          <reference field="3" count="1">
            <x v="6"/>
          </reference>
          <reference field="5" count="1" selected="0">
            <x v="12"/>
          </reference>
        </references>
      </pivotArea>
    </format>
    <format dxfId="227">
      <pivotArea dataOnly="0" labelOnly="1" fieldPosition="0">
        <references count="2">
          <reference field="3" count="1" defaultSubtotal="1">
            <x v="6"/>
          </reference>
          <reference field="5" count="1" selected="0">
            <x v="12"/>
          </reference>
        </references>
      </pivotArea>
    </format>
    <format dxfId="226">
      <pivotArea dataOnly="0" labelOnly="1" fieldPosition="0">
        <references count="2">
          <reference field="3" count="1">
            <x v="4"/>
          </reference>
          <reference field="5" count="1" selected="0">
            <x v="13"/>
          </reference>
        </references>
      </pivotArea>
    </format>
    <format dxfId="225">
      <pivotArea dataOnly="0" labelOnly="1" fieldPosition="0">
        <references count="2">
          <reference field="3" count="1" defaultSubtotal="1">
            <x v="4"/>
          </reference>
          <reference field="5" count="1" selected="0">
            <x v="13"/>
          </reference>
        </references>
      </pivotArea>
    </format>
    <format dxfId="224">
      <pivotArea dataOnly="0" labelOnly="1" fieldPosition="0">
        <references count="2">
          <reference field="3" count="1">
            <x v="15"/>
          </reference>
          <reference field="5" count="1" selected="0">
            <x v="14"/>
          </reference>
        </references>
      </pivotArea>
    </format>
    <format dxfId="223">
      <pivotArea dataOnly="0" labelOnly="1" fieldPosition="0">
        <references count="2">
          <reference field="3" count="1" defaultSubtotal="1">
            <x v="15"/>
          </reference>
          <reference field="5" count="1" selected="0">
            <x v="14"/>
          </reference>
        </references>
      </pivotArea>
    </format>
    <format dxfId="222">
      <pivotArea dataOnly="0" labelOnly="1" fieldPosition="0">
        <references count="3">
          <reference field="2" count="2">
            <x v="2"/>
            <x v="3"/>
          </reference>
          <reference field="3" count="1" selected="0">
            <x v="5"/>
          </reference>
          <reference field="5" count="1" selected="0">
            <x v="0"/>
          </reference>
        </references>
      </pivotArea>
    </format>
    <format dxfId="221">
      <pivotArea dataOnly="0" labelOnly="1" fieldPosition="0">
        <references count="3">
          <reference field="2" count="1">
            <x v="5"/>
          </reference>
          <reference field="3" count="1" selected="0">
            <x v="3"/>
          </reference>
          <reference field="5" count="1" selected="0">
            <x v="1"/>
          </reference>
        </references>
      </pivotArea>
    </format>
    <format dxfId="220">
      <pivotArea dataOnly="0" labelOnly="1" fieldPosition="0">
        <references count="3">
          <reference field="2" count="4">
            <x v="10"/>
            <x v="13"/>
            <x v="14"/>
            <x v="22"/>
          </reference>
          <reference field="3" count="1" selected="0">
            <x v="11"/>
          </reference>
          <reference field="5" count="1" selected="0">
            <x v="2"/>
          </reference>
        </references>
      </pivotArea>
    </format>
    <format dxfId="219">
      <pivotArea dataOnly="0" labelOnly="1" fieldPosition="0">
        <references count="3">
          <reference field="2" count="4">
            <x v="0"/>
            <x v="7"/>
            <x v="16"/>
            <x v="24"/>
          </reference>
          <reference field="3" count="1" selected="0">
            <x v="10"/>
          </reference>
          <reference field="5" count="1" selected="0">
            <x v="3"/>
          </reference>
        </references>
      </pivotArea>
    </format>
    <format dxfId="218">
      <pivotArea dataOnly="0" labelOnly="1" fieldPosition="0">
        <references count="3">
          <reference field="2" count="1" defaultSubtotal="1">
            <x v="24"/>
          </reference>
          <reference field="3" count="1" selected="0">
            <x v="10"/>
          </reference>
          <reference field="5" count="1" selected="0">
            <x v="3"/>
          </reference>
        </references>
      </pivotArea>
    </format>
    <format dxfId="217">
      <pivotArea dataOnly="0" labelOnly="1" fieldPosition="0">
        <references count="3">
          <reference field="2" count="1">
            <x v="18"/>
          </reference>
          <reference field="3" count="1" selected="0">
            <x v="2"/>
          </reference>
          <reference field="5" count="1" selected="0">
            <x v="4"/>
          </reference>
        </references>
      </pivotArea>
    </format>
    <format dxfId="216">
      <pivotArea dataOnly="0" labelOnly="1" fieldPosition="0">
        <references count="3">
          <reference field="2" count="2">
            <x v="11"/>
            <x v="15"/>
          </reference>
          <reference field="3" count="1" selected="0">
            <x v="12"/>
          </reference>
          <reference field="5" count="1" selected="0">
            <x v="5"/>
          </reference>
        </references>
      </pivotArea>
    </format>
    <format dxfId="215">
      <pivotArea dataOnly="0" labelOnly="1" fieldPosition="0">
        <references count="3">
          <reference field="2" count="1">
            <x v="9"/>
          </reference>
          <reference field="3" count="1" selected="0">
            <x v="9"/>
          </reference>
          <reference field="5" count="1" selected="0">
            <x v="6"/>
          </reference>
        </references>
      </pivotArea>
    </format>
    <format dxfId="214">
      <pivotArea dataOnly="0" labelOnly="1" fieldPosition="0">
        <references count="3">
          <reference field="2" count="1">
            <x v="8"/>
          </reference>
          <reference field="3" count="1" selected="0">
            <x v="8"/>
          </reference>
          <reference field="5" count="1" selected="0">
            <x v="7"/>
          </reference>
        </references>
      </pivotArea>
    </format>
    <format dxfId="213">
      <pivotArea dataOnly="0" labelOnly="1" fieldPosition="0">
        <references count="3">
          <reference field="2" count="1">
            <x v="1"/>
          </reference>
          <reference field="3" count="1" selected="0">
            <x v="13"/>
          </reference>
          <reference field="5" count="1" selected="0">
            <x v="8"/>
          </reference>
        </references>
      </pivotArea>
    </format>
    <format dxfId="212">
      <pivotArea dataOnly="0" labelOnly="1" fieldPosition="0">
        <references count="3">
          <reference field="2" count="1">
            <x v="6"/>
          </reference>
          <reference field="3" count="1" selected="0">
            <x v="7"/>
          </reference>
          <reference field="5" count="1" selected="0">
            <x v="9"/>
          </reference>
        </references>
      </pivotArea>
    </format>
    <format dxfId="211">
      <pivotArea dataOnly="0" labelOnly="1" fieldPosition="0">
        <references count="3">
          <reference field="2" count="1">
            <x v="17"/>
          </reference>
          <reference field="3" count="1" selected="0">
            <x v="14"/>
          </reference>
          <reference field="5" count="1" selected="0">
            <x v="10"/>
          </reference>
        </references>
      </pivotArea>
    </format>
    <format dxfId="210">
      <pivotArea dataOnly="0" labelOnly="1" fieldPosition="0">
        <references count="3">
          <reference field="2" count="2">
            <x v="21"/>
            <x v="25"/>
          </reference>
          <reference field="3" count="1" selected="0">
            <x v="1"/>
          </reference>
          <reference field="5" count="1" selected="0">
            <x v="11"/>
          </reference>
        </references>
      </pivotArea>
    </format>
    <format dxfId="209">
      <pivotArea dataOnly="0" labelOnly="1" fieldPosition="0">
        <references count="3">
          <reference field="2" count="1" defaultSubtotal="1">
            <x v="25"/>
          </reference>
          <reference field="3" count="1" selected="0">
            <x v="1"/>
          </reference>
          <reference field="5" count="1" selected="0">
            <x v="11"/>
          </reference>
        </references>
      </pivotArea>
    </format>
    <format dxfId="208">
      <pivotArea dataOnly="0" labelOnly="1" fieldPosition="0">
        <references count="3">
          <reference field="2" count="2">
            <x v="19"/>
            <x v="23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207">
      <pivotArea dataOnly="0" labelOnly="1" fieldPosition="0">
        <references count="3">
          <reference field="2" count="1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206">
      <pivotArea dataOnly="0" labelOnly="1" fieldPosition="0">
        <references count="3">
          <reference field="2" count="1">
            <x v="20"/>
          </reference>
          <reference field="3" count="1" selected="0">
            <x v="15"/>
          </reference>
          <reference field="5" count="1" selected="0">
            <x v="14"/>
          </reference>
        </references>
      </pivotArea>
    </format>
    <format dxfId="205">
      <pivotArea dataOnly="0" labelOnly="1" fieldPosition="0">
        <references count="4">
          <reference field="2" count="1" selected="0">
            <x v="24"/>
          </reference>
          <reference field="3" count="1" selected="0">
            <x v="10"/>
          </reference>
          <reference field="5" count="1" selected="0">
            <x v="3"/>
          </reference>
          <reference field="7" count="2">
            <x v="101"/>
            <x v="102"/>
          </reference>
        </references>
      </pivotArea>
    </format>
    <format dxfId="204">
      <pivotArea dataOnly="0" labelOnly="1" fieldPosition="0">
        <references count="4">
          <reference field="2" count="1" selected="0">
            <x v="25"/>
          </reference>
          <reference field="3" count="1" selected="0">
            <x v="1"/>
          </reference>
          <reference field="5" count="1" selected="0">
            <x v="11"/>
          </reference>
          <reference field="7" count="1">
            <x v="132"/>
          </reference>
        </references>
      </pivotArea>
    </format>
    <format dxfId="203">
      <pivotArea dataOnly="0" labelOnly="1" fieldPosition="0">
        <references count="5">
          <reference field="2" count="1" selected="0">
            <x v="24"/>
          </reference>
          <reference field="3" count="1" selected="0">
            <x v="10"/>
          </reference>
          <reference field="5" count="1" selected="0">
            <x v="3"/>
          </reference>
          <reference field="7" count="1" selected="0">
            <x v="101"/>
          </reference>
          <reference field="8" count="1">
            <x v="101"/>
          </reference>
        </references>
      </pivotArea>
    </format>
    <format dxfId="202">
      <pivotArea dataOnly="0" labelOnly="1" fieldPosition="0">
        <references count="5">
          <reference field="2" count="1" selected="0">
            <x v="24"/>
          </reference>
          <reference field="3" count="1" selected="0">
            <x v="10"/>
          </reference>
          <reference field="5" count="1" selected="0">
            <x v="3"/>
          </reference>
          <reference field="7" count="1" selected="0">
            <x v="102"/>
          </reference>
          <reference field="8" count="1">
            <x v="102"/>
          </reference>
        </references>
      </pivotArea>
    </format>
    <format dxfId="201">
      <pivotArea dataOnly="0" labelOnly="1" fieldPosition="0">
        <references count="5">
          <reference field="2" count="1" selected="0">
            <x v="25"/>
          </reference>
          <reference field="3" count="1" selected="0">
            <x v="1"/>
          </reference>
          <reference field="5" count="1" selected="0">
            <x v="11"/>
          </reference>
          <reference field="7" count="1" selected="0">
            <x v="132"/>
          </reference>
          <reference field="8" count="1">
            <x v="132"/>
          </reference>
        </references>
      </pivotArea>
    </format>
    <format dxfId="20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221D1-AC87-4089-AEEB-ADBD1BA772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 rowHeaderCaption="-">
  <location ref="A3:L36" firstHeaderRow="0" firstDataRow="1" firstDataCol="7" rowPageCount="1" colPageCount="1"/>
  <pivotFields count="17">
    <pivotField axis="axisRow" outline="0" showAll="0" sortType="ascending" defaultSubtotal="0">
      <items count="45">
        <item x="0"/>
        <item x="1"/>
        <item x="2"/>
        <item x="6"/>
        <item x="3"/>
        <item x="4"/>
        <item x="5"/>
        <item x="10"/>
        <item x="11"/>
        <item x="9"/>
        <item x="8"/>
        <item x="12"/>
        <item x="13"/>
        <item x="7"/>
        <item x="15"/>
        <item x="14"/>
        <item x="17"/>
        <item x="16"/>
        <item x="18"/>
        <item x="19"/>
        <item x="20"/>
        <item x="22"/>
        <item x="23"/>
        <item x="24"/>
        <item x="25"/>
        <item x="26"/>
        <item x="21"/>
        <item x="27"/>
        <item x="28"/>
        <item x="32"/>
        <item x="40"/>
        <item x="30"/>
        <item x="29"/>
        <item x="35"/>
        <item x="38"/>
        <item x="42"/>
        <item x="34"/>
        <item x="43"/>
        <item x="37"/>
        <item x="31"/>
        <item x="33"/>
        <item x="36"/>
        <item x="39"/>
        <item x="41"/>
        <item x="44"/>
      </items>
    </pivotField>
    <pivotField axis="axisRow" outline="0" showAll="0" defaultSubtotal="0">
      <items count="20">
        <item sd="0" x="0"/>
        <item x="19"/>
        <item sd="0" x="18"/>
        <item sd="0" x="7"/>
        <item sd="0" x="16"/>
        <item sd="0" x="6"/>
        <item sd="0" x="3"/>
        <item sd="0" x="1"/>
        <item sd="0" x="14"/>
        <item sd="0" x="15"/>
        <item sd="0" x="11"/>
        <item sd="0" x="2"/>
        <item sd="0" x="17"/>
        <item sd="0" x="13"/>
        <item sd="0" x="12"/>
        <item sd="0" x="9"/>
        <item sd="0" x="10"/>
        <item sd="0" x="4"/>
        <item sd="0" x="5"/>
        <item sd="0" x="8"/>
      </items>
    </pivotField>
    <pivotField axis="axisRow" outline="0" showAll="0">
      <items count="27">
        <item sd="0" x="9"/>
        <item sd="0" x="17"/>
        <item sd="0" x="1"/>
        <item sd="0" x="0"/>
        <item x="23"/>
        <item sd="0" x="2"/>
        <item sd="0" x="16"/>
        <item sd="0" x="10"/>
        <item sd="0" x="14"/>
        <item sd="0" x="15"/>
        <item sd="0" x="6"/>
        <item sd="0" x="13"/>
        <item sd="0" x="25"/>
        <item sd="0" x="3"/>
        <item sd="0" x="5"/>
        <item sd="0" x="7"/>
        <item sd="0" x="8"/>
        <item sd="0" x="18"/>
        <item sd="0" x="12"/>
        <item x="21"/>
        <item sd="0" x="24"/>
        <item sd="0" x="19"/>
        <item x="4"/>
        <item sd="0" x="22"/>
        <item x="11"/>
        <item x="20"/>
        <item t="default"/>
      </items>
    </pivotField>
    <pivotField axis="axisRow" outline="0" showAll="0">
      <items count="17">
        <item x="15"/>
        <item x="11"/>
        <item x="5"/>
        <item x="1"/>
        <item x="13"/>
        <item x="0"/>
        <item x="12"/>
        <item x="8"/>
        <item x="6"/>
        <item x="7"/>
        <item x="4"/>
        <item x="2"/>
        <item x="3"/>
        <item x="9"/>
        <item x="10"/>
        <item x="14"/>
        <item t="default"/>
      </items>
    </pivotField>
    <pivotField axis="axisPage" multipleItemSelectionAllowed="1" showAll="0">
      <items count="4">
        <item h="1" x="2"/>
        <item x="1"/>
        <item h="1" x="0"/>
        <item t="default"/>
      </items>
    </pivotField>
    <pivotField axis="axisRow" outline="0" showAll="0" sortType="ascending" defaultSubtotal="0">
      <items count="16">
        <item x="0"/>
        <item x="1"/>
        <item x="2"/>
        <item x="4"/>
        <item x="5"/>
        <item x="3"/>
        <item x="7"/>
        <item x="6"/>
        <item x="9"/>
        <item x="8"/>
        <item x="10"/>
        <item x="11"/>
        <item x="12"/>
        <item x="13"/>
        <item x="14"/>
        <item x="15"/>
      </items>
    </pivotField>
    <pivotField showAll="0" defaultSubtotal="0"/>
    <pivotField axis="axisRow" outline="0" showAll="0" defaultSubtotal="0">
      <items count="195">
        <item n="0"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</items>
    </pivotField>
    <pivotField axis="axisRow" showAll="0">
      <items count="196">
        <item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7">
    <field x="5"/>
    <field x="3"/>
    <field x="2"/>
    <field x="0"/>
    <field x="1"/>
    <field x="7"/>
    <field x="8"/>
  </rowFields>
  <rowItems count="33">
    <i>
      <x v="11"/>
      <x v="1"/>
      <x v="21"/>
    </i>
    <i r="2">
      <x v="25"/>
      <x v="20"/>
      <x/>
    </i>
    <i t="default" r="2">
      <x v="25"/>
    </i>
    <i t="default" r="1">
      <x v="1"/>
    </i>
    <i>
      <x v="12"/>
      <x v="6"/>
      <x v="19"/>
      <x v="22"/>
      <x v="11"/>
    </i>
    <i r="3">
      <x v="23"/>
      <x v="6"/>
    </i>
    <i r="3">
      <x v="24"/>
      <x v="17"/>
    </i>
    <i r="3">
      <x v="25"/>
      <x v="18"/>
    </i>
    <i r="3">
      <x v="26"/>
      <x v="7"/>
    </i>
    <i t="default" r="2">
      <x v="19"/>
    </i>
    <i r="2">
      <x v="23"/>
    </i>
    <i t="default" r="1">
      <x v="6"/>
    </i>
    <i>
      <x v="13"/>
      <x v="4"/>
      <x v="4"/>
      <x v="27"/>
      <x v="5"/>
    </i>
    <i r="3">
      <x v="28"/>
      <x v="3"/>
    </i>
    <i r="3">
      <x v="29"/>
      <x v="10"/>
    </i>
    <i r="3">
      <x v="30"/>
      <x v="11"/>
    </i>
    <i r="3">
      <x v="31"/>
      <x v="15"/>
    </i>
    <i r="3">
      <x v="32"/>
      <x v="19"/>
    </i>
    <i r="3">
      <x v="33"/>
      <x v="13"/>
    </i>
    <i r="3">
      <x v="34"/>
      <x v="4"/>
    </i>
    <i r="3">
      <x v="35"/>
      <x v="12"/>
    </i>
    <i r="3">
      <x v="36"/>
      <x v="6"/>
    </i>
    <i r="3">
      <x v="37"/>
      <x v="2"/>
    </i>
    <i r="3">
      <x v="38"/>
      <x v="9"/>
    </i>
    <i r="3">
      <x v="39"/>
      <x v="16"/>
    </i>
    <i r="3">
      <x v="40"/>
      <x v="14"/>
    </i>
    <i r="3">
      <x v="41"/>
      <x v="8"/>
    </i>
    <i r="3">
      <x v="42"/>
      <x v="7"/>
    </i>
    <i t="default" r="2">
      <x v="4"/>
    </i>
    <i t="default" r="1">
      <x v="4"/>
    </i>
    <i>
      <x v="14"/>
      <x v="15"/>
      <x v="20"/>
    </i>
    <i t="default" r="1"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" hier="-1"/>
  </pageFields>
  <dataFields count="5">
    <dataField name=" رصيد اخر" fld="16" baseField="3" baseItem="19" numFmtId="166"/>
    <dataField name=" حركة مدينة" fld="11" baseField="3" baseItem="7" numFmtId="3"/>
    <dataField name=" حركة دائنة" fld="12" baseField="3" baseItem="7" numFmtId="3"/>
    <dataField name=" مدين اخر" fld="13" baseField="3" baseItem="7" numFmtId="3"/>
    <dataField name=" دائن اخر" fld="14" baseField="3" baseItem="7" numFmtId="3"/>
  </dataFields>
  <formats count="60">
    <format dxfId="293">
      <pivotArea field="3" grandRow="1" outline="0" collapsedLevelsAreSubtotals="1" axis="axisRow" fieldPosition="1">
        <references count="1">
          <reference field="4294967294" count="1" selected="0">
            <x v="0"/>
          </reference>
        </references>
      </pivotArea>
    </format>
    <format dxfId="292">
      <pivotArea field="3" grandRow="1" outline="0" collapsedLevelsAreSubtotals="1" axis="axisRow" fieldPosition="1">
        <references count="1">
          <reference field="4294967294" count="1" selected="0">
            <x v="3"/>
          </reference>
        </references>
      </pivotArea>
    </format>
    <format dxfId="291">
      <pivotArea field="3" grandRow="1" outline="0" collapsedLevelsAreSubtotals="1" axis="axisRow" fieldPosition="1">
        <references count="1">
          <reference field="4294967294" count="1" selected="0">
            <x v="4"/>
          </reference>
        </references>
      </pivotArea>
    </format>
    <format dxfId="290">
      <pivotArea outline="0" fieldPosition="0">
        <references count="1">
          <reference field="4294967294" count="1">
            <x v="0"/>
          </reference>
        </references>
      </pivotArea>
    </format>
    <format dxfId="289">
      <pivotArea outline="0" fieldPosition="0">
        <references count="1">
          <reference field="4294967294" count="1">
            <x v="3"/>
          </reference>
        </references>
      </pivotArea>
    </format>
    <format dxfId="288">
      <pivotArea outline="0" fieldPosition="0">
        <references count="1">
          <reference field="4294967294" count="1">
            <x v="4"/>
          </reference>
        </references>
      </pivotArea>
    </format>
    <format dxfId="287">
      <pivotArea outline="0" fieldPosition="0">
        <references count="1">
          <reference field="4294967294" count="1">
            <x v="1"/>
          </reference>
        </references>
      </pivotArea>
    </format>
    <format dxfId="286">
      <pivotArea outline="0" fieldPosition="0">
        <references count="1">
          <reference field="4294967294" count="1">
            <x v="2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5" type="button" dataOnly="0" labelOnly="1" outline="0" axis="axisRow" fieldPosition="0"/>
    </format>
    <format dxfId="48">
      <pivotArea field="3" type="button" dataOnly="0" labelOnly="1" outline="0" axis="axisRow" fieldPosition="1"/>
    </format>
    <format dxfId="47">
      <pivotArea field="2" type="button" dataOnly="0" labelOnly="1" outline="0" axis="axisRow" fieldPosition="2"/>
    </format>
    <format dxfId="46">
      <pivotArea field="0" type="button" dataOnly="0" labelOnly="1" outline="0" axis="axisRow" fieldPosition="3"/>
    </format>
    <format dxfId="45">
      <pivotArea field="1" type="button" dataOnly="0" labelOnly="1" outline="0" axis="axisRow" fieldPosition="4"/>
    </format>
    <format dxfId="44">
      <pivotArea field="7" type="button" dataOnly="0" labelOnly="1" outline="0" axis="axisRow" fieldPosition="5"/>
    </format>
    <format dxfId="43">
      <pivotArea field="8" type="button" dataOnly="0" labelOnly="1" outline="0" axis="axisRow" fieldPosition="6"/>
    </format>
    <format dxfId="42">
      <pivotArea dataOnly="0" labelOnly="1" fieldPosition="0">
        <references count="1">
          <reference field="5" count="4">
            <x v="11"/>
            <x v="12"/>
            <x v="13"/>
            <x v="14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3" count="1">
            <x v="1"/>
          </reference>
          <reference field="5" count="1" selected="0">
            <x v="11"/>
          </reference>
        </references>
      </pivotArea>
    </format>
    <format dxfId="39">
      <pivotArea dataOnly="0" labelOnly="1" fieldPosition="0">
        <references count="2">
          <reference field="3" count="1" defaultSubtotal="1">
            <x v="1"/>
          </reference>
          <reference field="5" count="1" selected="0">
            <x v="11"/>
          </reference>
        </references>
      </pivotArea>
    </format>
    <format dxfId="38">
      <pivotArea dataOnly="0" labelOnly="1" fieldPosition="0">
        <references count="2">
          <reference field="3" count="1">
            <x v="6"/>
          </reference>
          <reference field="5" count="1" selected="0">
            <x v="12"/>
          </reference>
        </references>
      </pivotArea>
    </format>
    <format dxfId="37">
      <pivotArea dataOnly="0" labelOnly="1" fieldPosition="0">
        <references count="2">
          <reference field="3" count="1" defaultSubtotal="1">
            <x v="6"/>
          </reference>
          <reference field="5" count="1" selected="0">
            <x v="12"/>
          </reference>
        </references>
      </pivotArea>
    </format>
    <format dxfId="36">
      <pivotArea dataOnly="0" labelOnly="1" fieldPosition="0">
        <references count="2">
          <reference field="3" count="1">
            <x v="4"/>
          </reference>
          <reference field="5" count="1" selected="0">
            <x v="13"/>
          </reference>
        </references>
      </pivotArea>
    </format>
    <format dxfId="35">
      <pivotArea dataOnly="0" labelOnly="1" fieldPosition="0">
        <references count="2">
          <reference field="3" count="1" defaultSubtotal="1">
            <x v="4"/>
          </reference>
          <reference field="5" count="1" selected="0">
            <x v="13"/>
          </reference>
        </references>
      </pivotArea>
    </format>
    <format dxfId="34">
      <pivotArea dataOnly="0" labelOnly="1" fieldPosition="0">
        <references count="2">
          <reference field="3" count="1">
            <x v="15"/>
          </reference>
          <reference field="5" count="1" selected="0">
            <x v="14"/>
          </reference>
        </references>
      </pivotArea>
    </format>
    <format dxfId="33">
      <pivotArea dataOnly="0" labelOnly="1" fieldPosition="0">
        <references count="2">
          <reference field="3" count="1" defaultSubtotal="1">
            <x v="15"/>
          </reference>
          <reference field="5" count="1" selected="0">
            <x v="14"/>
          </reference>
        </references>
      </pivotArea>
    </format>
    <format dxfId="32">
      <pivotArea dataOnly="0" labelOnly="1" fieldPosition="0">
        <references count="3">
          <reference field="2" count="2">
            <x v="21"/>
            <x v="25"/>
          </reference>
          <reference field="3" count="1" selected="0">
            <x v="1"/>
          </reference>
          <reference field="5" count="1" selected="0">
            <x v="11"/>
          </reference>
        </references>
      </pivotArea>
    </format>
    <format dxfId="31">
      <pivotArea dataOnly="0" labelOnly="1" fieldPosition="0">
        <references count="3">
          <reference field="2" count="1" defaultSubtotal="1">
            <x v="25"/>
          </reference>
          <reference field="3" count="1" selected="0">
            <x v="1"/>
          </reference>
          <reference field="5" count="1" selected="0">
            <x v="11"/>
          </reference>
        </references>
      </pivotArea>
    </format>
    <format dxfId="30">
      <pivotArea dataOnly="0" labelOnly="1" fieldPosition="0">
        <references count="3">
          <reference field="2" count="2">
            <x v="19"/>
            <x v="23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29">
      <pivotArea dataOnly="0" labelOnly="1" fieldPosition="0">
        <references count="3">
          <reference field="2" count="1" defaultSubtotal="1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28">
      <pivotArea dataOnly="0" labelOnly="1" fieldPosition="0">
        <references count="3">
          <reference field="2" count="1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27">
      <pivotArea dataOnly="0" labelOnly="1" fieldPosition="0">
        <references count="3">
          <reference field="2" count="1" defaultSubtotal="1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26">
      <pivotArea dataOnly="0" labelOnly="1" fieldPosition="0">
        <references count="3">
          <reference field="2" count="1">
            <x v="20"/>
          </reference>
          <reference field="3" count="1" selected="0">
            <x v="15"/>
          </reference>
          <reference field="5" count="1" selected="0">
            <x v="14"/>
          </reference>
        </references>
      </pivotArea>
    </format>
    <format dxfId="25">
      <pivotArea dataOnly="0" labelOnly="1" fieldPosition="0">
        <references count="4">
          <reference field="0" count="1">
            <x v="20"/>
          </reference>
          <reference field="2" count="1" selected="0">
            <x v="25"/>
          </reference>
          <reference field="3" count="1" selected="0">
            <x v="1"/>
          </reference>
          <reference field="5" count="1" selected="0">
            <x v="11"/>
          </reference>
        </references>
      </pivotArea>
    </format>
    <format dxfId="24">
      <pivotArea dataOnly="0" labelOnly="1" fieldPosition="0">
        <references count="4">
          <reference field="0" count="5">
            <x v="22"/>
            <x v="23"/>
            <x v="24"/>
            <x v="25"/>
            <x v="26"/>
          </reference>
          <reference field="2" count="1" selected="0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23">
      <pivotArea dataOnly="0" labelOnly="1" fieldPosition="0">
        <references count="4">
          <reference field="0" count="16"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22">
      <pivotArea dataOnly="0" labelOnly="1" fieldPosition="0">
        <references count="5">
          <reference field="0" count="1" selected="0">
            <x v="20"/>
          </reference>
          <reference field="1" count="1">
            <x v="0"/>
          </reference>
          <reference field="2" count="1" selected="0">
            <x v="25"/>
          </reference>
          <reference field="3" count="1" selected="0">
            <x v="1"/>
          </reference>
          <reference field="5" count="1" selected="0">
            <x v="11"/>
          </reference>
        </references>
      </pivotArea>
    </format>
    <format dxfId="21">
      <pivotArea dataOnly="0" labelOnly="1" fieldPosition="0">
        <references count="5">
          <reference field="0" count="1" selected="0">
            <x v="22"/>
          </reference>
          <reference field="1" count="1">
            <x v="11"/>
          </reference>
          <reference field="2" count="1" selected="0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20">
      <pivotArea dataOnly="0" labelOnly="1" fieldPosition="0">
        <references count="5">
          <reference field="0" count="1" selected="0">
            <x v="23"/>
          </reference>
          <reference field="1" count="1">
            <x v="6"/>
          </reference>
          <reference field="2" count="1" selected="0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19">
      <pivotArea dataOnly="0" labelOnly="1" fieldPosition="0">
        <references count="5">
          <reference field="0" count="1" selected="0">
            <x v="24"/>
          </reference>
          <reference field="1" count="1">
            <x v="17"/>
          </reference>
          <reference field="2" count="1" selected="0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18">
      <pivotArea dataOnly="0" labelOnly="1" fieldPosition="0">
        <references count="5">
          <reference field="0" count="1" selected="0">
            <x v="25"/>
          </reference>
          <reference field="1" count="1">
            <x v="18"/>
          </reference>
          <reference field="2" count="1" selected="0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17">
      <pivotArea dataOnly="0" labelOnly="1" fieldPosition="0">
        <references count="5">
          <reference field="0" count="1" selected="0">
            <x v="26"/>
          </reference>
          <reference field="1" count="1">
            <x v="7"/>
          </reference>
          <reference field="2" count="1" selected="0">
            <x v="19"/>
          </reference>
          <reference field="3" count="1" selected="0">
            <x v="6"/>
          </reference>
          <reference field="5" count="1" selected="0">
            <x v="12"/>
          </reference>
        </references>
      </pivotArea>
    </format>
    <format dxfId="16">
      <pivotArea dataOnly="0" labelOnly="1" fieldPosition="0">
        <references count="5">
          <reference field="0" count="1" selected="0">
            <x v="27"/>
          </reference>
          <reference field="1" count="1">
            <x v="5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5">
      <pivotArea dataOnly="0" labelOnly="1" fieldPosition="0">
        <references count="5">
          <reference field="0" count="1" selected="0">
            <x v="28"/>
          </reference>
          <reference field="1" count="1">
            <x v="3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4">
      <pivotArea dataOnly="0" labelOnly="1" fieldPosition="0">
        <references count="5">
          <reference field="0" count="1" selected="0">
            <x v="29"/>
          </reference>
          <reference field="1" count="1">
            <x v="10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3">
      <pivotArea dataOnly="0" labelOnly="1" fieldPosition="0">
        <references count="5">
          <reference field="0" count="1" selected="0">
            <x v="30"/>
          </reference>
          <reference field="1" count="1">
            <x v="11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2">
      <pivotArea dataOnly="0" labelOnly="1" fieldPosition="0">
        <references count="5">
          <reference field="0" count="1" selected="0">
            <x v="31"/>
          </reference>
          <reference field="1" count="1">
            <x v="15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1">
      <pivotArea dataOnly="0" labelOnly="1" fieldPosition="0">
        <references count="5">
          <reference field="0" count="1" selected="0">
            <x v="32"/>
          </reference>
          <reference field="1" count="1">
            <x v="19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0">
      <pivotArea dataOnly="0" labelOnly="1" fieldPosition="0">
        <references count="5">
          <reference field="0" count="1" selected="0">
            <x v="33"/>
          </reference>
          <reference field="1" count="1">
            <x v="13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9">
      <pivotArea dataOnly="0" labelOnly="1" fieldPosition="0">
        <references count="5">
          <reference field="0" count="1" selected="0">
            <x v="34"/>
          </reference>
          <reference field="1" count="1">
            <x v="4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8">
      <pivotArea dataOnly="0" labelOnly="1" fieldPosition="0">
        <references count="5">
          <reference field="0" count="1" selected="0">
            <x v="35"/>
          </reference>
          <reference field="1" count="1">
            <x v="12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7">
      <pivotArea dataOnly="0" labelOnly="1" fieldPosition="0">
        <references count="5">
          <reference field="0" count="1" selected="0">
            <x v="36"/>
          </reference>
          <reference field="1" count="1">
            <x v="6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6">
      <pivotArea dataOnly="0" labelOnly="1" fieldPosition="0">
        <references count="5">
          <reference field="0" count="1" selected="0">
            <x v="37"/>
          </reference>
          <reference field="1" count="1">
            <x v="2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5">
      <pivotArea dataOnly="0" labelOnly="1" fieldPosition="0">
        <references count="5">
          <reference field="0" count="1" selected="0">
            <x v="38"/>
          </reference>
          <reference field="1" count="1">
            <x v="9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4">
      <pivotArea dataOnly="0" labelOnly="1" fieldPosition="0">
        <references count="5">
          <reference field="0" count="1" selected="0">
            <x v="39"/>
          </reference>
          <reference field="1" count="1">
            <x v="16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3">
      <pivotArea dataOnly="0" labelOnly="1" fieldPosition="0">
        <references count="5">
          <reference field="0" count="1" selected="0">
            <x v="40"/>
          </reference>
          <reference field="1" count="1">
            <x v="14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2">
      <pivotArea dataOnly="0" labelOnly="1" fieldPosition="0">
        <references count="5">
          <reference field="0" count="1" selected="0">
            <x v="41"/>
          </reference>
          <reference field="1" count="1">
            <x v="8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1">
      <pivotArea dataOnly="0" labelOnly="1" fieldPosition="0">
        <references count="5">
          <reference field="0" count="1" selected="0">
            <x v="42"/>
          </reference>
          <reference field="1" count="1">
            <x v="7"/>
          </reference>
          <reference field="2" count="1" selected="0">
            <x v="4"/>
          </reference>
          <reference field="3" count="1" selected="0">
            <x v="4"/>
          </reference>
          <reference field="5" count="1" selected="0">
            <x v="13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535DB-F3E6-4B77-8F31-C634C0D1FF71}" name="PivotTable1" cacheId="0" applyNumberFormats="0" applyBorderFormats="0" applyFontFormats="0" applyPatternFormats="0" applyAlignmentFormats="0" applyWidthHeightFormats="1" dataCaption="Values" grandTotalCaption="الاجمالى" updatedVersion="8" minRefreshableVersion="3" useAutoFormatting="1" itemPrintTitles="1" createdVersion="4" indent="0" outline="1" outlineData="1" multipleFieldFilters="0" rowHeaderCaption="-">
  <location ref="A3:J5" firstHeaderRow="0" firstDataRow="1" firstDataCol="2" rowPageCount="1" colPageCount="1"/>
  <pivotFields count="17">
    <pivotField showAll="0"/>
    <pivotField outline="0" showAll="0" defaultSubtotal="0"/>
    <pivotField name="-" axis="axisPage" outline="0" multipleItemSelectionAllowed="1" showAll="0">
      <items count="27">
        <item h="1" sd="0" x="9"/>
        <item h="1" sd="0" x="17"/>
        <item h="1" sd="0" x="1"/>
        <item h="1" sd="0" x="0"/>
        <item h="1" sd="0" x="23"/>
        <item sd="0" x="2"/>
        <item h="1" sd="0" x="16"/>
        <item h="1" sd="0" x="10"/>
        <item h="1" sd="0" x="14"/>
        <item h="1" sd="0" x="15"/>
        <item h="1" sd="0" x="6"/>
        <item h="1" sd="0" x="13"/>
        <item h="1" sd="0" x="25"/>
        <item h="1" sd="0" x="3"/>
        <item h="1" sd="0" x="5"/>
        <item h="1" sd="0" x="7"/>
        <item h="1" sd="0" x="8"/>
        <item h="1" sd="0" x="18"/>
        <item h="1" sd="0" x="12"/>
        <item h="1" sd="0" x="21"/>
        <item h="1" sd="0" x="24"/>
        <item h="1" sd="0" x="19"/>
        <item h="1" x="4"/>
        <item h="1" x="22"/>
        <item h="1" x="11"/>
        <item h="1" x="20"/>
        <item t="default"/>
      </items>
    </pivotField>
    <pivotField outline="0" showAll="0"/>
    <pivotField showAll="0"/>
    <pivotField outline="0" showAll="0" sortType="ascending" defaultSubtotal="0"/>
    <pivotField showAll="0" defaultSubtotal="0"/>
    <pivotField axis="axisRow" outline="0" showAll="0" defaultSubtotal="0">
      <items count="195">
        <item n="0"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</items>
    </pivotField>
    <pivotField axis="axisRow" showAll="0">
      <items count="196">
        <item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7"/>
    <field x="8"/>
  </rowFields>
  <rowItems count="2">
    <i>
      <x v="4"/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2" hier="-1"/>
  </pageFields>
  <dataFields count="8">
    <dataField name=" مدين اول" fld="9" baseField="3" baseItem="7" numFmtId="3"/>
    <dataField name=" دائن اول" fld="10" baseField="3" baseItem="7" numFmtId="3"/>
    <dataField name=" حركة مدينة" fld="11" baseField="3" baseItem="7" numFmtId="3"/>
    <dataField name=" حركة دائنة" fld="12" baseField="3" baseItem="7" numFmtId="3"/>
    <dataField name=" مدين اخر" fld="13" baseField="3" baseItem="7" numFmtId="3"/>
    <dataField name=" دائن اخر" fld="14" baseField="3" baseItem="7" numFmtId="3"/>
    <dataField name=" رصيد اخر" fld="16" baseField="3" baseItem="19" numFmtId="166"/>
    <dataField name=" رصيد اول" fld="15" baseField="3" baseItem="19" numFmtId="166"/>
  </dataFields>
  <formats count="12">
    <format dxfId="285">
      <pivotArea field="3" grandRow="1" outline="0" collapsedLevelsAreSubtotals="1">
        <references count="1">
          <reference field="4294967294" count="1" selected="0">
            <x v="7"/>
          </reference>
        </references>
      </pivotArea>
    </format>
    <format dxfId="284">
      <pivotArea field="3" grandRow="1" outline="0" collapsedLevelsAreSubtotals="1">
        <references count="1">
          <reference field="4294967294" count="1" selected="0">
            <x v="6"/>
          </reference>
        </references>
      </pivotArea>
    </format>
    <format dxfId="283">
      <pivotArea field="3" grandRow="1" outline="0" collapsedLevelsAreSubtotals="1">
        <references count="1">
          <reference field="4294967294" count="1" selected="0">
            <x v="4"/>
          </reference>
        </references>
      </pivotArea>
    </format>
    <format dxfId="282">
      <pivotArea field="3" grandRow="1" outline="0" collapsedLevelsAreSubtotals="1">
        <references count="1">
          <reference field="4294967294" count="1" selected="0">
            <x v="5"/>
          </reference>
        </references>
      </pivotArea>
    </format>
    <format dxfId="281">
      <pivotArea outline="0" fieldPosition="0">
        <references count="1">
          <reference field="4294967294" count="1">
            <x v="6"/>
          </reference>
        </references>
      </pivotArea>
    </format>
    <format dxfId="280">
      <pivotArea outline="0" fieldPosition="0">
        <references count="1">
          <reference field="4294967294" count="1">
            <x v="7"/>
          </reference>
        </references>
      </pivotArea>
    </format>
    <format dxfId="279">
      <pivotArea outline="0" fieldPosition="0">
        <references count="1">
          <reference field="4294967294" count="1">
            <x v="4"/>
          </reference>
        </references>
      </pivotArea>
    </format>
    <format dxfId="278">
      <pivotArea outline="0" fieldPosition="0">
        <references count="1">
          <reference field="4294967294" count="1">
            <x v="5"/>
          </reference>
        </references>
      </pivotArea>
    </format>
    <format dxfId="277">
      <pivotArea outline="0" fieldPosition="0">
        <references count="1">
          <reference field="4294967294" count="1">
            <x v="2"/>
          </reference>
        </references>
      </pivotArea>
    </format>
    <format dxfId="276">
      <pivotArea outline="0" fieldPosition="0">
        <references count="1">
          <reference field="4294967294" count="1">
            <x v="3"/>
          </reference>
        </references>
      </pivotArea>
    </format>
    <format dxfId="275">
      <pivotArea outline="0" fieldPosition="0">
        <references count="1">
          <reference field="4294967294" count="1">
            <x v="0"/>
          </reference>
        </references>
      </pivotArea>
    </format>
    <format dxfId="27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B9400-FC47-4F4D-878B-E29A1DD63289}" name="PivotTable1" cacheId="0" applyNumberFormats="0" applyBorderFormats="0" applyFontFormats="0" applyPatternFormats="0" applyAlignmentFormats="0" applyWidthHeightFormats="1" dataCaption="Values" grandTotalCaption="الاجمالى" updatedVersion="8" minRefreshableVersion="3" useAutoFormatting="1" itemPrintTitles="1" createdVersion="4" indent="0" outline="1" outlineData="1" multipleFieldFilters="0" rowHeaderCaption="-">
  <location ref="A3:L50" firstHeaderRow="0" firstDataRow="1" firstDataCol="4" rowPageCount="1" colPageCount="1"/>
  <pivotFields count="17">
    <pivotField axis="axisRow" outline="0" showAll="0" defaultSubtotal="0">
      <items count="45">
        <item x="0"/>
        <item x="1"/>
        <item x="2"/>
        <item x="6"/>
        <item x="3"/>
        <item x="5"/>
        <item x="10"/>
        <item x="9"/>
        <item x="8"/>
        <item x="12"/>
        <item x="13"/>
        <item x="7"/>
        <item x="15"/>
        <item x="14"/>
        <item x="17"/>
        <item x="16"/>
        <item x="18"/>
        <item x="19"/>
        <item x="21"/>
        <item x="27"/>
        <item x="28"/>
        <item x="32"/>
        <item x="40"/>
        <item x="38"/>
        <item x="34"/>
        <item x="43"/>
        <item x="37"/>
        <item x="33"/>
        <item x="36"/>
        <item x="39"/>
        <item x="41"/>
        <item x="44"/>
        <item x="42"/>
        <item x="35"/>
        <item x="26"/>
        <item x="25"/>
        <item x="4"/>
        <item x="22"/>
        <item x="30"/>
        <item x="24"/>
        <item x="31"/>
        <item x="11"/>
        <item x="20"/>
        <item x="23"/>
        <item x="29"/>
      </items>
    </pivotField>
    <pivotField axis="axisRow" outline="0" showAll="0">
      <items count="21">
        <item x="0"/>
        <item x="19"/>
        <item x="15"/>
        <item x="18"/>
        <item x="11"/>
        <item x="7"/>
        <item x="16"/>
        <item x="6"/>
        <item x="2"/>
        <item x="14"/>
        <item x="3"/>
        <item x="1"/>
        <item x="17"/>
        <item x="13"/>
        <item x="12"/>
        <item x="9"/>
        <item x="10"/>
        <item x="4"/>
        <item x="5"/>
        <item x="8"/>
        <item t="default"/>
      </items>
    </pivotField>
    <pivotField name="-" axis="axisPage" outline="0" multipleItemSelectionAllowed="1" showAll="0">
      <items count="27">
        <item h="1" sd="0" x="9"/>
        <item h="1" sd="0" x="17"/>
        <item h="1" sd="0" x="1"/>
        <item h="1" sd="0" x="0"/>
        <item sd="0" x="23"/>
        <item h="1" sd="0" x="2"/>
        <item h="1" sd="0" x="16"/>
        <item h="1" sd="0" x="10"/>
        <item h="1" sd="0" x="14"/>
        <item h="1" sd="0" x="15"/>
        <item h="1" sd="0" x="6"/>
        <item h="1" sd="0" x="13"/>
        <item h="1" sd="0" x="25"/>
        <item h="1" sd="0" x="3"/>
        <item h="1" sd="0" x="5"/>
        <item h="1" sd="0" x="7"/>
        <item h="1" sd="0" x="8"/>
        <item h="1" sd="0" x="18"/>
        <item h="1" sd="0" x="12"/>
        <item h="1" sd="0" x="21"/>
        <item h="1" sd="0" x="24"/>
        <item h="1" sd="0" x="19"/>
        <item h="1" x="4"/>
        <item h="1" x="22"/>
        <item h="1" x="11"/>
        <item h="1" x="20"/>
        <item t="default"/>
      </items>
    </pivotField>
    <pivotField outline="0" showAll="0"/>
    <pivotField showAll="0"/>
    <pivotField outline="0" showAll="0" sortType="ascending" defaultSubtotal="0"/>
    <pivotField showAll="0" defaultSubtotal="0"/>
    <pivotField axis="axisRow" outline="0" showAll="0" defaultSubtotal="0">
      <items count="195">
        <item n="0"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</items>
    </pivotField>
    <pivotField axis="axisRow" showAll="0">
      <items count="196">
        <item x="19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4">
    <field x="0"/>
    <field x="1"/>
    <field x="7"/>
    <field x="8"/>
  </rowFields>
  <rowItems count="47">
    <i>
      <x v="19"/>
      <x v="7"/>
      <x v="155"/>
      <x v="155"/>
    </i>
    <i r="2">
      <x v="156"/>
      <x v="156"/>
    </i>
    <i r="2">
      <x v="157"/>
      <x v="157"/>
    </i>
    <i r="2">
      <x v="162"/>
      <x v="162"/>
    </i>
    <i t="default" r="1">
      <x v="7"/>
    </i>
    <i>
      <x v="20"/>
      <x v="5"/>
      <x v="158"/>
      <x v="158"/>
    </i>
    <i t="default" r="1">
      <x v="5"/>
    </i>
    <i>
      <x v="21"/>
      <x v="4"/>
      <x v="163"/>
      <x v="163"/>
    </i>
    <i r="2">
      <x v="176"/>
      <x v="176"/>
    </i>
    <i t="default" r="1">
      <x v="4"/>
    </i>
    <i>
      <x v="22"/>
      <x v="8"/>
      <x v="175"/>
      <x v="175"/>
    </i>
    <i t="default" r="1">
      <x v="8"/>
    </i>
    <i>
      <x v="23"/>
      <x v="6"/>
      <x v="170"/>
      <x v="170"/>
    </i>
    <i r="2">
      <x v="171"/>
      <x v="171"/>
    </i>
    <i r="2">
      <x v="172"/>
      <x v="172"/>
    </i>
    <i r="2">
      <x v="185"/>
      <x v="185"/>
    </i>
    <i r="2">
      <x v="189"/>
      <x v="189"/>
    </i>
    <i t="default" r="1">
      <x v="6"/>
    </i>
    <i>
      <x v="24"/>
      <x v="10"/>
      <x v="166"/>
      <x v="166"/>
    </i>
    <i r="2">
      <x v="173"/>
      <x v="173"/>
    </i>
    <i t="default" r="1">
      <x v="10"/>
    </i>
    <i>
      <x v="25"/>
      <x v="3"/>
      <x v="184"/>
      <x v="184"/>
    </i>
    <i r="2">
      <x v="186"/>
      <x v="186"/>
    </i>
    <i t="default" r="1">
      <x v="3"/>
    </i>
    <i>
      <x v="26"/>
      <x v="2"/>
      <x v="169"/>
      <x v="169"/>
    </i>
    <i t="default" r="1">
      <x v="2"/>
    </i>
    <i>
      <x v="27"/>
      <x v="14"/>
      <x v="164"/>
      <x v="164"/>
    </i>
    <i r="2">
      <x v="165"/>
      <x v="165"/>
    </i>
    <i t="default" r="1">
      <x v="14"/>
    </i>
    <i>
      <x v="28"/>
      <x v="9"/>
      <x v="168"/>
      <x v="168"/>
    </i>
    <i t="default" r="1">
      <x v="9"/>
    </i>
    <i>
      <x v="29"/>
      <x v="11"/>
      <x v="174"/>
      <x v="174"/>
    </i>
    <i r="2">
      <x v="177"/>
      <x v="177"/>
    </i>
    <i r="2">
      <x v="178"/>
      <x v="178"/>
    </i>
    <i r="2">
      <x v="194"/>
      <x v="194"/>
    </i>
    <i t="default" r="1">
      <x v="11"/>
    </i>
    <i>
      <x v="32"/>
      <x v="12"/>
      <x v="183"/>
      <x v="183"/>
    </i>
    <i t="default" r="1">
      <x v="12"/>
    </i>
    <i>
      <x v="33"/>
      <x v="13"/>
      <x v="167"/>
      <x v="167"/>
    </i>
    <i t="default" r="1">
      <x v="13"/>
    </i>
    <i>
      <x v="38"/>
      <x v="15"/>
      <x v="160"/>
      <x v="160"/>
    </i>
    <i t="default" r="1">
      <x v="15"/>
    </i>
    <i>
      <x v="40"/>
      <x v="16"/>
      <x v="161"/>
      <x v="161"/>
    </i>
    <i t="default" r="1">
      <x v="16"/>
    </i>
    <i>
      <x v="44"/>
      <x v="19"/>
      <x v="159"/>
      <x v="159"/>
    </i>
    <i t="default" r="1">
      <x v="1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2" hier="-1"/>
  </pageFields>
  <dataFields count="8">
    <dataField name=" مدين اول" fld="9" baseField="3" baseItem="7" numFmtId="3"/>
    <dataField name=" دائن اول" fld="10" baseField="3" baseItem="7" numFmtId="3"/>
    <dataField name=" حركة مدينة" fld="11" baseField="3" baseItem="7" numFmtId="3"/>
    <dataField name=" حركة دائنة" fld="12" baseField="3" baseItem="7" numFmtId="3"/>
    <dataField name=" مدين اخر" fld="13" baseField="3" baseItem="7" numFmtId="3"/>
    <dataField name=" دائن اخر" fld="14" baseField="3" baseItem="7" numFmtId="3"/>
    <dataField name=" رصيد اخر" fld="16" baseField="3" baseItem="19" numFmtId="166"/>
    <dataField name=" رصيد اول" fld="15" baseField="3" baseItem="19" numFmtId="166"/>
  </dataFields>
  <formats count="12">
    <format dxfId="273">
      <pivotArea field="3" grandRow="1" outline="0" collapsedLevelsAreSubtotals="1">
        <references count="1">
          <reference field="4294967294" count="1" selected="0">
            <x v="7"/>
          </reference>
        </references>
      </pivotArea>
    </format>
    <format dxfId="272">
      <pivotArea field="3" grandRow="1" outline="0" collapsedLevelsAreSubtotals="1">
        <references count="1">
          <reference field="4294967294" count="1" selected="0">
            <x v="6"/>
          </reference>
        </references>
      </pivotArea>
    </format>
    <format dxfId="271">
      <pivotArea field="3" grandRow="1" outline="0" collapsedLevelsAreSubtotals="1">
        <references count="1">
          <reference field="4294967294" count="1" selected="0">
            <x v="4"/>
          </reference>
        </references>
      </pivotArea>
    </format>
    <format dxfId="270">
      <pivotArea field="3" grandRow="1" outline="0" collapsedLevelsAreSubtotals="1">
        <references count="1">
          <reference field="4294967294" count="1" selected="0">
            <x v="5"/>
          </reference>
        </references>
      </pivotArea>
    </format>
    <format dxfId="269">
      <pivotArea outline="0" fieldPosition="0">
        <references count="1">
          <reference field="4294967294" count="1">
            <x v="6"/>
          </reference>
        </references>
      </pivotArea>
    </format>
    <format dxfId="268">
      <pivotArea outline="0" fieldPosition="0">
        <references count="1">
          <reference field="4294967294" count="1">
            <x v="7"/>
          </reference>
        </references>
      </pivotArea>
    </format>
    <format dxfId="267">
      <pivotArea outline="0" fieldPosition="0">
        <references count="1">
          <reference field="4294967294" count="1">
            <x v="4"/>
          </reference>
        </references>
      </pivotArea>
    </format>
    <format dxfId="266">
      <pivotArea outline="0" fieldPosition="0">
        <references count="1">
          <reference field="4294967294" count="1">
            <x v="5"/>
          </reference>
        </references>
      </pivotArea>
    </format>
    <format dxfId="265">
      <pivotArea outline="0" fieldPosition="0">
        <references count="1">
          <reference field="4294967294" count="1">
            <x v="2"/>
          </reference>
        </references>
      </pivotArea>
    </format>
    <format dxfId="264">
      <pivotArea outline="0" fieldPosition="0">
        <references count="1">
          <reference field="4294967294" count="1">
            <x v="3"/>
          </reference>
        </references>
      </pivotArea>
    </format>
    <format dxfId="263">
      <pivotArea outline="0" fieldPosition="0">
        <references count="1">
          <reference field="4294967294" count="1">
            <x v="0"/>
          </reference>
        </references>
      </pivotArea>
    </format>
    <format dxfId="26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9293-DD28-44B7-8F89-7AF2DCEA18BD}">
  <dimension ref="A3:G132"/>
  <sheetViews>
    <sheetView rightToLeft="1" view="pageBreakPreview" zoomScaleNormal="100" zoomScaleSheetLayoutView="100" workbookViewId="0">
      <pane xSplit="1" ySplit="3" topLeftCell="B73" activePane="bottomRight" state="frozen"/>
      <selection activeCell="A105" sqref="A105"/>
      <selection pane="topRight" activeCell="A105" sqref="A105"/>
      <selection pane="bottomLeft" activeCell="A105" sqref="A105"/>
      <selection pane="bottomRight" activeCell="H89" sqref="H89"/>
    </sheetView>
  </sheetViews>
  <sheetFormatPr defaultColWidth="8.85546875" defaultRowHeight="18" x14ac:dyDescent="0.45"/>
  <cols>
    <col min="1" max="1" width="8.85546875" style="21" customWidth="1"/>
    <col min="2" max="2" width="26.140625" style="21" customWidth="1"/>
    <col min="3" max="3" width="25.85546875" style="21" customWidth="1"/>
    <col min="4" max="4" width="26.5703125" style="21" customWidth="1"/>
    <col min="5" max="5" width="8" style="21" customWidth="1"/>
    <col min="6" max="6" width="3" style="21" customWidth="1"/>
    <col min="7" max="16384" width="8.85546875" style="21"/>
  </cols>
  <sheetData>
    <row r="3" spans="1:6" x14ac:dyDescent="0.45">
      <c r="A3" s="20" t="s">
        <v>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</row>
    <row r="4" spans="1:6" x14ac:dyDescent="0.45">
      <c r="A4" s="22">
        <v>101</v>
      </c>
      <c r="B4" s="22"/>
      <c r="C4" s="22" t="s">
        <v>6</v>
      </c>
      <c r="D4" s="22" t="s">
        <v>7</v>
      </c>
      <c r="E4" s="22" t="s">
        <v>8</v>
      </c>
      <c r="F4" s="22">
        <v>1</v>
      </c>
    </row>
    <row r="5" spans="1:6" x14ac:dyDescent="0.45">
      <c r="A5" s="22">
        <v>102</v>
      </c>
      <c r="B5" s="22"/>
      <c r="C5" s="22" t="s">
        <v>9</v>
      </c>
      <c r="D5" s="22" t="s">
        <v>7</v>
      </c>
      <c r="E5" s="22" t="s">
        <v>8</v>
      </c>
      <c r="F5" s="22">
        <v>1</v>
      </c>
    </row>
    <row r="6" spans="1:6" x14ac:dyDescent="0.45">
      <c r="A6" s="22">
        <v>103</v>
      </c>
      <c r="B6" s="22"/>
      <c r="C6" s="22" t="s">
        <v>10</v>
      </c>
      <c r="D6" s="22" t="s">
        <v>7</v>
      </c>
      <c r="E6" s="22" t="s">
        <v>8</v>
      </c>
      <c r="F6" s="22">
        <v>1</v>
      </c>
    </row>
    <row r="7" spans="1:6" x14ac:dyDescent="0.45">
      <c r="A7" s="22">
        <v>201</v>
      </c>
      <c r="B7" s="22"/>
      <c r="C7" s="22" t="s">
        <v>11</v>
      </c>
      <c r="D7" s="22" t="s">
        <v>12</v>
      </c>
      <c r="E7" s="22" t="s">
        <v>8</v>
      </c>
      <c r="F7" s="22">
        <v>2</v>
      </c>
    </row>
    <row r="8" spans="1:6" x14ac:dyDescent="0.45">
      <c r="A8" s="22">
        <v>202</v>
      </c>
      <c r="B8" s="22"/>
      <c r="C8" s="22" t="s">
        <v>13</v>
      </c>
      <c r="D8" s="22" t="s">
        <v>12</v>
      </c>
      <c r="E8" s="22" t="s">
        <v>8</v>
      </c>
      <c r="F8" s="22">
        <v>2</v>
      </c>
    </row>
    <row r="9" spans="1:6" x14ac:dyDescent="0.45">
      <c r="A9" s="22">
        <v>301</v>
      </c>
      <c r="B9" s="22"/>
      <c r="C9" s="22" t="s">
        <v>14</v>
      </c>
      <c r="D9" s="22" t="s">
        <v>15</v>
      </c>
      <c r="E9" s="22" t="s">
        <v>8</v>
      </c>
      <c r="F9" s="22">
        <v>3</v>
      </c>
    </row>
    <row r="10" spans="1:6" x14ac:dyDescent="0.45">
      <c r="A10" s="22">
        <v>302</v>
      </c>
      <c r="B10" s="22"/>
      <c r="C10" s="22" t="s">
        <v>16</v>
      </c>
      <c r="D10" s="22" t="s">
        <v>15</v>
      </c>
      <c r="E10" s="22" t="s">
        <v>8</v>
      </c>
      <c r="F10" s="22">
        <v>3</v>
      </c>
    </row>
    <row r="11" spans="1:6" x14ac:dyDescent="0.45">
      <c r="A11" s="22">
        <v>303</v>
      </c>
      <c r="B11" s="22"/>
      <c r="C11" s="22" t="s">
        <v>17</v>
      </c>
      <c r="D11" s="22" t="s">
        <v>15</v>
      </c>
      <c r="E11" s="22" t="s">
        <v>8</v>
      </c>
      <c r="F11" s="22">
        <v>3</v>
      </c>
    </row>
    <row r="12" spans="1:6" x14ac:dyDescent="0.45">
      <c r="A12" s="22">
        <v>304</v>
      </c>
      <c r="B12" s="22"/>
      <c r="C12" s="22" t="s">
        <v>18</v>
      </c>
      <c r="D12" s="22" t="s">
        <v>15</v>
      </c>
      <c r="E12" s="22" t="s">
        <v>8</v>
      </c>
      <c r="F12" s="22">
        <v>3</v>
      </c>
    </row>
    <row r="13" spans="1:6" x14ac:dyDescent="0.45">
      <c r="A13" s="22">
        <v>305</v>
      </c>
      <c r="B13" s="22"/>
      <c r="C13" s="22" t="s">
        <v>19</v>
      </c>
      <c r="D13" s="22" t="s">
        <v>15</v>
      </c>
      <c r="E13" s="22" t="s">
        <v>8</v>
      </c>
      <c r="F13" s="22">
        <v>3</v>
      </c>
    </row>
    <row r="14" spans="1:6" x14ac:dyDescent="0.45">
      <c r="A14" s="22">
        <v>306</v>
      </c>
      <c r="B14" s="22"/>
      <c r="C14" s="22" t="s">
        <v>20</v>
      </c>
      <c r="D14" s="22" t="s">
        <v>15</v>
      </c>
      <c r="E14" s="22" t="s">
        <v>8</v>
      </c>
      <c r="F14" s="22">
        <v>3</v>
      </c>
    </row>
    <row r="15" spans="1:6" x14ac:dyDescent="0.45">
      <c r="A15" s="22">
        <v>307</v>
      </c>
      <c r="B15" s="22"/>
      <c r="C15" s="22" t="s">
        <v>21</v>
      </c>
      <c r="D15" s="22" t="s">
        <v>15</v>
      </c>
      <c r="E15" s="22" t="s">
        <v>8</v>
      </c>
      <c r="F15" s="22">
        <v>3</v>
      </c>
    </row>
    <row r="16" spans="1:6" x14ac:dyDescent="0.45">
      <c r="A16" s="22">
        <v>401</v>
      </c>
      <c r="B16" s="22"/>
      <c r="C16" s="22" t="s">
        <v>22</v>
      </c>
      <c r="D16" s="22" t="s">
        <v>22</v>
      </c>
      <c r="E16" s="22" t="s">
        <v>8</v>
      </c>
      <c r="F16" s="22">
        <v>4</v>
      </c>
    </row>
    <row r="17" spans="1:6" x14ac:dyDescent="0.45">
      <c r="A17" s="22">
        <v>501</v>
      </c>
      <c r="B17" s="22"/>
      <c r="C17" s="22" t="s">
        <v>23</v>
      </c>
      <c r="D17" s="22" t="s">
        <v>23</v>
      </c>
      <c r="E17" s="22" t="s">
        <v>8</v>
      </c>
      <c r="F17" s="22">
        <v>5</v>
      </c>
    </row>
    <row r="18" spans="1:6" x14ac:dyDescent="0.45">
      <c r="A18" s="22">
        <v>601</v>
      </c>
      <c r="B18" s="22"/>
      <c r="C18" s="22" t="s">
        <v>24</v>
      </c>
      <c r="D18" s="22" t="s">
        <v>25</v>
      </c>
      <c r="E18" s="22" t="s">
        <v>8</v>
      </c>
      <c r="F18" s="22">
        <v>6</v>
      </c>
    </row>
    <row r="19" spans="1:6" x14ac:dyDescent="0.45">
      <c r="A19" s="22">
        <v>602</v>
      </c>
      <c r="B19" s="22"/>
      <c r="C19" s="22" t="s">
        <v>26</v>
      </c>
      <c r="D19" s="22" t="s">
        <v>25</v>
      </c>
      <c r="E19" s="22" t="s">
        <v>8</v>
      </c>
      <c r="F19" s="22">
        <v>6</v>
      </c>
    </row>
    <row r="20" spans="1:6" x14ac:dyDescent="0.45">
      <c r="A20" s="22">
        <v>603</v>
      </c>
      <c r="B20" s="22"/>
      <c r="C20" s="22" t="s">
        <v>27</v>
      </c>
      <c r="D20" s="22" t="s">
        <v>25</v>
      </c>
      <c r="E20" s="22" t="s">
        <v>8</v>
      </c>
      <c r="F20" s="22">
        <v>6</v>
      </c>
    </row>
    <row r="21" spans="1:6" x14ac:dyDescent="0.45">
      <c r="A21" s="22">
        <v>604</v>
      </c>
      <c r="B21" s="22"/>
      <c r="C21" s="22" t="s">
        <v>28</v>
      </c>
      <c r="D21" s="22" t="s">
        <v>25</v>
      </c>
      <c r="E21" s="22" t="s">
        <v>8</v>
      </c>
      <c r="F21" s="22">
        <v>6</v>
      </c>
    </row>
    <row r="22" spans="1:6" x14ac:dyDescent="0.45">
      <c r="A22" s="22">
        <v>605</v>
      </c>
      <c r="B22" s="22"/>
      <c r="C22" s="22" t="s">
        <v>29</v>
      </c>
      <c r="D22" s="22" t="s">
        <v>25</v>
      </c>
      <c r="E22" s="22" t="s">
        <v>8</v>
      </c>
      <c r="F22" s="22">
        <v>6</v>
      </c>
    </row>
    <row r="23" spans="1:6" x14ac:dyDescent="0.45">
      <c r="A23" s="22">
        <v>607</v>
      </c>
      <c r="B23" s="22"/>
      <c r="C23" s="22" t="s">
        <v>30</v>
      </c>
      <c r="D23" s="22" t="s">
        <v>25</v>
      </c>
      <c r="E23" s="22" t="s">
        <v>8</v>
      </c>
      <c r="F23" s="22">
        <v>6</v>
      </c>
    </row>
    <row r="24" spans="1:6" x14ac:dyDescent="0.45">
      <c r="A24" s="22">
        <v>608</v>
      </c>
      <c r="B24" s="22"/>
      <c r="C24" s="22" t="s">
        <v>31</v>
      </c>
      <c r="D24" s="22" t="s">
        <v>25</v>
      </c>
      <c r="E24" s="22" t="s">
        <v>8</v>
      </c>
      <c r="F24" s="22">
        <v>6</v>
      </c>
    </row>
    <row r="25" spans="1:6" x14ac:dyDescent="0.45">
      <c r="A25" s="22">
        <v>609</v>
      </c>
      <c r="B25" s="22"/>
      <c r="C25" s="22" t="s">
        <v>32</v>
      </c>
      <c r="D25" s="22" t="s">
        <v>25</v>
      </c>
      <c r="E25" s="22" t="s">
        <v>8</v>
      </c>
      <c r="F25" s="22">
        <v>6</v>
      </c>
    </row>
    <row r="26" spans="1:6" x14ac:dyDescent="0.45">
      <c r="A26" s="22">
        <v>610</v>
      </c>
      <c r="B26" s="22"/>
      <c r="C26" s="22" t="s">
        <v>33</v>
      </c>
      <c r="D26" s="22" t="s">
        <v>25</v>
      </c>
      <c r="E26" s="22" t="s">
        <v>8</v>
      </c>
      <c r="F26" s="22">
        <v>6</v>
      </c>
    </row>
    <row r="27" spans="1:6" x14ac:dyDescent="0.45">
      <c r="A27" s="22">
        <v>611</v>
      </c>
      <c r="B27" s="22"/>
      <c r="C27" s="22" t="s">
        <v>34</v>
      </c>
      <c r="D27" s="22" t="s">
        <v>25</v>
      </c>
      <c r="E27" s="22" t="s">
        <v>8</v>
      </c>
      <c r="F27" s="22">
        <v>6</v>
      </c>
    </row>
    <row r="28" spans="1:6" x14ac:dyDescent="0.45">
      <c r="A28" s="22">
        <v>612</v>
      </c>
      <c r="B28" s="22"/>
      <c r="C28" s="22" t="s">
        <v>35</v>
      </c>
      <c r="D28" s="22" t="s">
        <v>25</v>
      </c>
      <c r="E28" s="22" t="s">
        <v>8</v>
      </c>
      <c r="F28" s="22">
        <v>6</v>
      </c>
    </row>
    <row r="29" spans="1:6" x14ac:dyDescent="0.45">
      <c r="A29" s="22">
        <v>701</v>
      </c>
      <c r="B29" s="22"/>
      <c r="C29" s="22" t="s">
        <v>36</v>
      </c>
      <c r="D29" s="22" t="s">
        <v>36</v>
      </c>
      <c r="E29" s="22" t="s">
        <v>8</v>
      </c>
      <c r="F29" s="22">
        <v>7</v>
      </c>
    </row>
    <row r="30" spans="1:6" x14ac:dyDescent="0.45">
      <c r="A30" s="22">
        <v>801</v>
      </c>
      <c r="B30" s="22"/>
      <c r="C30" s="22" t="s">
        <v>37</v>
      </c>
      <c r="D30" s="22" t="s">
        <v>37</v>
      </c>
      <c r="E30" s="22" t="s">
        <v>8</v>
      </c>
      <c r="F30" s="22">
        <v>8</v>
      </c>
    </row>
    <row r="31" spans="1:6" x14ac:dyDescent="0.45">
      <c r="A31" s="22">
        <v>901</v>
      </c>
      <c r="B31" s="22"/>
      <c r="C31" s="22" t="s">
        <v>38</v>
      </c>
      <c r="D31" s="22" t="s">
        <v>38</v>
      </c>
      <c r="E31" s="22" t="s">
        <v>8</v>
      </c>
      <c r="F31" s="22">
        <v>9</v>
      </c>
    </row>
    <row r="32" spans="1:6" x14ac:dyDescent="0.45">
      <c r="A32" s="22">
        <v>1001</v>
      </c>
      <c r="B32" s="22"/>
      <c r="C32" s="22" t="s">
        <v>39</v>
      </c>
      <c r="D32" s="22" t="s">
        <v>39</v>
      </c>
      <c r="E32" s="22" t="s">
        <v>8</v>
      </c>
      <c r="F32" s="22">
        <v>10</v>
      </c>
    </row>
    <row r="33" spans="1:6" x14ac:dyDescent="0.45">
      <c r="A33" s="22">
        <v>1101</v>
      </c>
      <c r="B33" s="22"/>
      <c r="C33" s="22" t="s">
        <v>40</v>
      </c>
      <c r="D33" s="22" t="s">
        <v>40</v>
      </c>
      <c r="E33" s="22" t="s">
        <v>8</v>
      </c>
      <c r="F33" s="22">
        <v>11</v>
      </c>
    </row>
    <row r="34" spans="1:6" x14ac:dyDescent="0.45">
      <c r="A34" s="22">
        <v>1201</v>
      </c>
      <c r="B34" s="22"/>
      <c r="C34" s="22" t="s">
        <v>41</v>
      </c>
      <c r="D34" s="22" t="s">
        <v>42</v>
      </c>
      <c r="E34" s="22" t="s">
        <v>8</v>
      </c>
      <c r="F34" s="22">
        <v>12</v>
      </c>
    </row>
    <row r="35" spans="1:6" x14ac:dyDescent="0.45">
      <c r="A35" s="22">
        <v>1301</v>
      </c>
      <c r="B35" s="22"/>
      <c r="C35" s="22" t="s">
        <v>43</v>
      </c>
      <c r="D35" s="22" t="s">
        <v>44</v>
      </c>
      <c r="E35" s="22" t="s">
        <v>8</v>
      </c>
      <c r="F35" s="22">
        <v>13</v>
      </c>
    </row>
    <row r="36" spans="1:6" x14ac:dyDescent="0.45">
      <c r="A36" s="22">
        <v>1302</v>
      </c>
      <c r="B36" s="22"/>
      <c r="C36" s="22" t="s">
        <v>45</v>
      </c>
      <c r="D36" s="22" t="s">
        <v>44</v>
      </c>
      <c r="E36" s="22" t="s">
        <v>8</v>
      </c>
      <c r="F36" s="22">
        <v>13</v>
      </c>
    </row>
    <row r="37" spans="1:6" x14ac:dyDescent="0.45">
      <c r="A37" s="22">
        <v>1303</v>
      </c>
      <c r="B37" s="22"/>
      <c r="C37" s="22" t="s">
        <v>46</v>
      </c>
      <c r="D37" s="22" t="s">
        <v>44</v>
      </c>
      <c r="E37" s="22" t="s">
        <v>8</v>
      </c>
      <c r="F37" s="22">
        <v>13</v>
      </c>
    </row>
    <row r="38" spans="1:6" x14ac:dyDescent="0.45">
      <c r="A38" s="22">
        <v>1401</v>
      </c>
      <c r="B38" s="22"/>
      <c r="C38" s="22" t="s">
        <v>47</v>
      </c>
      <c r="D38" s="22" t="s">
        <v>48</v>
      </c>
      <c r="E38" s="22" t="s">
        <v>8</v>
      </c>
      <c r="F38" s="22">
        <v>14</v>
      </c>
    </row>
    <row r="39" spans="1:6" x14ac:dyDescent="0.45">
      <c r="A39" s="22">
        <v>1501</v>
      </c>
      <c r="B39" s="22"/>
      <c r="C39" s="22" t="s">
        <v>49</v>
      </c>
      <c r="D39" s="22" t="s">
        <v>49</v>
      </c>
      <c r="E39" s="22" t="s">
        <v>8</v>
      </c>
      <c r="F39" s="22">
        <v>15</v>
      </c>
    </row>
    <row r="40" spans="1:6" x14ac:dyDescent="0.45">
      <c r="A40" s="22">
        <v>1601</v>
      </c>
      <c r="B40" s="22"/>
      <c r="C40" s="22" t="s">
        <v>50</v>
      </c>
      <c r="D40" s="22" t="s">
        <v>50</v>
      </c>
      <c r="E40" s="22" t="s">
        <v>8</v>
      </c>
      <c r="F40" s="22">
        <v>16</v>
      </c>
    </row>
    <row r="41" spans="1:6" x14ac:dyDescent="0.45">
      <c r="A41" s="22">
        <v>1701</v>
      </c>
      <c r="B41" s="22"/>
      <c r="C41" s="22" t="s">
        <v>51</v>
      </c>
      <c r="D41" s="22" t="s">
        <v>52</v>
      </c>
      <c r="E41" s="22" t="s">
        <v>8</v>
      </c>
      <c r="F41" s="22">
        <v>17</v>
      </c>
    </row>
    <row r="42" spans="1:6" x14ac:dyDescent="0.45">
      <c r="A42" s="22">
        <v>1702</v>
      </c>
      <c r="B42" s="22"/>
      <c r="C42" s="22" t="s">
        <v>53</v>
      </c>
      <c r="D42" s="22" t="s">
        <v>52</v>
      </c>
      <c r="E42" s="22" t="s">
        <v>8</v>
      </c>
      <c r="F42" s="22">
        <v>17</v>
      </c>
    </row>
    <row r="43" spans="1:6" x14ac:dyDescent="0.45">
      <c r="A43" s="22">
        <v>1801</v>
      </c>
      <c r="B43" s="22"/>
      <c r="C43" s="22" t="s">
        <v>54</v>
      </c>
      <c r="D43" s="22" t="s">
        <v>54</v>
      </c>
      <c r="E43" s="22" t="s">
        <v>8</v>
      </c>
      <c r="F43" s="22">
        <v>18</v>
      </c>
    </row>
    <row r="44" spans="1:6" x14ac:dyDescent="0.45">
      <c r="A44" s="22">
        <v>1901</v>
      </c>
      <c r="B44" s="22"/>
      <c r="C44" s="22" t="s">
        <v>55</v>
      </c>
      <c r="D44" s="22" t="s">
        <v>55</v>
      </c>
      <c r="E44" s="22" t="s">
        <v>8</v>
      </c>
      <c r="F44" s="22">
        <v>19</v>
      </c>
    </row>
    <row r="45" spans="1:6" x14ac:dyDescent="0.45">
      <c r="A45" s="22">
        <v>2001</v>
      </c>
      <c r="B45" s="22"/>
      <c r="C45" s="22" t="s">
        <v>56</v>
      </c>
      <c r="D45" s="22" t="s">
        <v>57</v>
      </c>
      <c r="E45" s="22" t="s">
        <v>8</v>
      </c>
      <c r="F45" s="22">
        <v>20</v>
      </c>
    </row>
    <row r="46" spans="1:6" x14ac:dyDescent="0.45">
      <c r="A46" s="22">
        <v>2002</v>
      </c>
      <c r="B46" s="22"/>
      <c r="C46" s="22" t="s">
        <v>58</v>
      </c>
      <c r="D46" s="22" t="s">
        <v>57</v>
      </c>
      <c r="E46" s="22" t="s">
        <v>8</v>
      </c>
      <c r="F46" s="22">
        <v>20</v>
      </c>
    </row>
    <row r="47" spans="1:6" x14ac:dyDescent="0.45">
      <c r="A47" s="22">
        <v>2101</v>
      </c>
      <c r="B47" s="22"/>
      <c r="C47" s="22" t="s">
        <v>59</v>
      </c>
      <c r="D47" s="22" t="s">
        <v>59</v>
      </c>
      <c r="E47" s="22" t="s">
        <v>8</v>
      </c>
      <c r="F47" s="22">
        <v>21</v>
      </c>
    </row>
    <row r="48" spans="1:6" x14ac:dyDescent="0.45">
      <c r="A48" s="22">
        <v>2201</v>
      </c>
      <c r="B48" s="22"/>
      <c r="C48" s="22" t="s">
        <v>60</v>
      </c>
      <c r="D48" s="22" t="s">
        <v>60</v>
      </c>
      <c r="E48" s="22" t="s">
        <v>8</v>
      </c>
      <c r="F48" s="22">
        <v>22</v>
      </c>
    </row>
    <row r="49" spans="1:6" x14ac:dyDescent="0.45">
      <c r="A49" s="22">
        <v>2301</v>
      </c>
      <c r="B49" s="22"/>
      <c r="C49" s="22" t="s">
        <v>61</v>
      </c>
      <c r="D49" s="22" t="s">
        <v>61</v>
      </c>
      <c r="E49" s="22" t="s">
        <v>8</v>
      </c>
      <c r="F49" s="22">
        <v>23</v>
      </c>
    </row>
    <row r="50" spans="1:6" x14ac:dyDescent="0.45">
      <c r="A50" s="22">
        <v>2401</v>
      </c>
      <c r="B50" s="22"/>
      <c r="C50" s="22" t="s">
        <v>62</v>
      </c>
      <c r="D50" s="22" t="s">
        <v>62</v>
      </c>
      <c r="E50" s="22" t="s">
        <v>8</v>
      </c>
      <c r="F50" s="22">
        <v>24</v>
      </c>
    </row>
    <row r="51" spans="1:6" x14ac:dyDescent="0.45">
      <c r="A51" s="22">
        <v>2501</v>
      </c>
      <c r="B51" s="22"/>
      <c r="C51" s="22" t="s">
        <v>63</v>
      </c>
      <c r="D51" s="22" t="s">
        <v>64</v>
      </c>
      <c r="E51" s="22" t="s">
        <v>65</v>
      </c>
      <c r="F51" s="22">
        <v>25</v>
      </c>
    </row>
    <row r="52" spans="1:6" x14ac:dyDescent="0.45">
      <c r="A52" s="22">
        <v>2502</v>
      </c>
      <c r="B52" s="22"/>
      <c r="C52" s="22" t="s">
        <v>66</v>
      </c>
      <c r="D52" s="22" t="s">
        <v>64</v>
      </c>
      <c r="E52" s="22" t="s">
        <v>65</v>
      </c>
      <c r="F52" s="22">
        <v>25</v>
      </c>
    </row>
    <row r="53" spans="1:6" x14ac:dyDescent="0.45">
      <c r="A53" s="22">
        <v>2503</v>
      </c>
      <c r="B53" s="22"/>
      <c r="C53" s="22" t="s">
        <v>67</v>
      </c>
      <c r="D53" s="22" t="s">
        <v>64</v>
      </c>
      <c r="E53" s="22" t="s">
        <v>65</v>
      </c>
      <c r="F53" s="22">
        <v>25</v>
      </c>
    </row>
    <row r="54" spans="1:6" x14ac:dyDescent="0.45">
      <c r="A54" s="22">
        <v>2601</v>
      </c>
      <c r="B54" s="22"/>
      <c r="C54" s="22" t="s">
        <v>68</v>
      </c>
      <c r="D54" s="22" t="s">
        <v>69</v>
      </c>
      <c r="E54" s="22" t="s">
        <v>65</v>
      </c>
      <c r="F54" s="22">
        <v>26</v>
      </c>
    </row>
    <row r="55" spans="1:6" x14ac:dyDescent="0.45">
      <c r="A55" s="22">
        <v>2602</v>
      </c>
      <c r="B55" s="22"/>
      <c r="C55" s="22" t="s">
        <v>70</v>
      </c>
      <c r="D55" s="22" t="s">
        <v>69</v>
      </c>
      <c r="E55" s="22" t="s">
        <v>65</v>
      </c>
      <c r="F55" s="22">
        <v>26</v>
      </c>
    </row>
    <row r="56" spans="1:6" x14ac:dyDescent="0.45">
      <c r="A56" s="22">
        <v>2603</v>
      </c>
      <c r="B56" s="22"/>
      <c r="C56" s="22" t="s">
        <v>71</v>
      </c>
      <c r="D56" s="22" t="s">
        <v>69</v>
      </c>
      <c r="E56" s="22" t="s">
        <v>65</v>
      </c>
      <c r="F56" s="22">
        <v>26</v>
      </c>
    </row>
    <row r="57" spans="1:6" x14ac:dyDescent="0.45">
      <c r="A57" s="22">
        <v>2604</v>
      </c>
      <c r="B57" s="22"/>
      <c r="C57" s="22" t="s">
        <v>72</v>
      </c>
      <c r="D57" s="22" t="s">
        <v>69</v>
      </c>
      <c r="E57" s="22" t="s">
        <v>65</v>
      </c>
      <c r="F57" s="22">
        <v>26</v>
      </c>
    </row>
    <row r="58" spans="1:6" x14ac:dyDescent="0.45">
      <c r="A58" s="22">
        <v>2605</v>
      </c>
      <c r="B58" s="22" t="s">
        <v>73</v>
      </c>
      <c r="C58" s="22" t="s">
        <v>74</v>
      </c>
      <c r="D58" s="22" t="s">
        <v>69</v>
      </c>
      <c r="E58" s="22" t="s">
        <v>65</v>
      </c>
      <c r="F58" s="22">
        <v>26</v>
      </c>
    </row>
    <row r="59" spans="1:6" x14ac:dyDescent="0.45">
      <c r="A59" s="22">
        <v>2606</v>
      </c>
      <c r="B59" s="22" t="s">
        <v>75</v>
      </c>
      <c r="C59" s="22" t="s">
        <v>74</v>
      </c>
      <c r="D59" s="22" t="s">
        <v>69</v>
      </c>
      <c r="E59" s="22" t="s">
        <v>65</v>
      </c>
      <c r="F59" s="22">
        <v>26</v>
      </c>
    </row>
    <row r="60" spans="1:6" x14ac:dyDescent="0.45">
      <c r="A60" s="22">
        <v>2607</v>
      </c>
      <c r="B60" s="22" t="s">
        <v>76</v>
      </c>
      <c r="C60" s="22" t="s">
        <v>74</v>
      </c>
      <c r="D60" s="22" t="s">
        <v>69</v>
      </c>
      <c r="E60" s="22" t="s">
        <v>65</v>
      </c>
      <c r="F60" s="22">
        <v>26</v>
      </c>
    </row>
    <row r="61" spans="1:6" x14ac:dyDescent="0.45">
      <c r="A61" s="22">
        <v>2608</v>
      </c>
      <c r="B61" s="22" t="s">
        <v>86</v>
      </c>
      <c r="C61" s="22" t="s">
        <v>74</v>
      </c>
      <c r="D61" s="22" t="s">
        <v>69</v>
      </c>
      <c r="E61" s="22" t="s">
        <v>65</v>
      </c>
      <c r="F61" s="22">
        <v>26</v>
      </c>
    </row>
    <row r="62" spans="1:6" x14ac:dyDescent="0.45">
      <c r="A62" s="22">
        <v>2609</v>
      </c>
      <c r="B62" s="22" t="s">
        <v>77</v>
      </c>
      <c r="C62" s="22" t="s">
        <v>74</v>
      </c>
      <c r="D62" s="22" t="s">
        <v>69</v>
      </c>
      <c r="E62" s="22" t="s">
        <v>65</v>
      </c>
      <c r="F62" s="22">
        <v>26</v>
      </c>
    </row>
    <row r="63" spans="1:6" x14ac:dyDescent="0.45">
      <c r="A63" s="22">
        <v>2610</v>
      </c>
      <c r="B63" s="22" t="s">
        <v>78</v>
      </c>
      <c r="C63" s="22" t="s">
        <v>74</v>
      </c>
      <c r="D63" s="22" t="s">
        <v>69</v>
      </c>
      <c r="E63" s="22" t="s">
        <v>65</v>
      </c>
      <c r="F63" s="22">
        <v>26</v>
      </c>
    </row>
    <row r="64" spans="1:6" x14ac:dyDescent="0.45">
      <c r="A64" s="22">
        <v>2611</v>
      </c>
      <c r="B64" s="22" t="s">
        <v>79</v>
      </c>
      <c r="C64" s="22" t="s">
        <v>74</v>
      </c>
      <c r="D64" s="22" t="s">
        <v>69</v>
      </c>
      <c r="E64" s="22" t="s">
        <v>65</v>
      </c>
      <c r="F64" s="22">
        <v>26</v>
      </c>
    </row>
    <row r="65" spans="1:6" x14ac:dyDescent="0.45">
      <c r="A65" s="22">
        <v>2612</v>
      </c>
      <c r="B65" s="22" t="s">
        <v>80</v>
      </c>
      <c r="C65" s="22" t="s">
        <v>74</v>
      </c>
      <c r="D65" s="22" t="s">
        <v>69</v>
      </c>
      <c r="E65" s="22" t="s">
        <v>65</v>
      </c>
      <c r="F65" s="22">
        <v>26</v>
      </c>
    </row>
    <row r="66" spans="1:6" x14ac:dyDescent="0.45">
      <c r="A66" s="22">
        <v>2613</v>
      </c>
      <c r="B66" s="22" t="s">
        <v>87</v>
      </c>
      <c r="C66" s="22" t="s">
        <v>74</v>
      </c>
      <c r="D66" s="22" t="s">
        <v>69</v>
      </c>
      <c r="E66" s="22" t="s">
        <v>65</v>
      </c>
      <c r="F66" s="22">
        <v>26</v>
      </c>
    </row>
    <row r="67" spans="1:6" x14ac:dyDescent="0.45">
      <c r="A67" s="22">
        <v>2614</v>
      </c>
      <c r="B67" s="22" t="s">
        <v>81</v>
      </c>
      <c r="C67" s="22" t="s">
        <v>74</v>
      </c>
      <c r="D67" s="22" t="s">
        <v>69</v>
      </c>
      <c r="E67" s="22" t="s">
        <v>65</v>
      </c>
      <c r="F67" s="22">
        <v>26</v>
      </c>
    </row>
    <row r="68" spans="1:6" x14ac:dyDescent="0.45">
      <c r="A68" s="22">
        <v>2615</v>
      </c>
      <c r="B68" s="22" t="s">
        <v>82</v>
      </c>
      <c r="C68" s="22" t="s">
        <v>74</v>
      </c>
      <c r="D68" s="22" t="s">
        <v>69</v>
      </c>
      <c r="E68" s="22" t="s">
        <v>65</v>
      </c>
      <c r="F68" s="22">
        <v>26</v>
      </c>
    </row>
    <row r="69" spans="1:6" x14ac:dyDescent="0.45">
      <c r="A69" s="22">
        <v>2616</v>
      </c>
      <c r="B69" s="22" t="s">
        <v>88</v>
      </c>
      <c r="C69" s="22" t="s">
        <v>74</v>
      </c>
      <c r="D69" s="22" t="s">
        <v>69</v>
      </c>
      <c r="E69" s="22" t="s">
        <v>65</v>
      </c>
      <c r="F69" s="22">
        <v>26</v>
      </c>
    </row>
    <row r="70" spans="1:6" x14ac:dyDescent="0.45">
      <c r="A70" s="22">
        <v>2617</v>
      </c>
      <c r="B70" s="22" t="s">
        <v>89</v>
      </c>
      <c r="C70" s="22" t="s">
        <v>74</v>
      </c>
      <c r="D70" s="22" t="s">
        <v>69</v>
      </c>
      <c r="E70" s="22" t="s">
        <v>65</v>
      </c>
      <c r="F70" s="22">
        <v>26</v>
      </c>
    </row>
    <row r="71" spans="1:6" x14ac:dyDescent="0.45">
      <c r="A71" s="22">
        <v>2618</v>
      </c>
      <c r="B71" s="22" t="s">
        <v>90</v>
      </c>
      <c r="C71" s="22" t="s">
        <v>74</v>
      </c>
      <c r="D71" s="22" t="s">
        <v>69</v>
      </c>
      <c r="E71" s="22" t="s">
        <v>65</v>
      </c>
      <c r="F71" s="22">
        <v>26</v>
      </c>
    </row>
    <row r="72" spans="1:6" x14ac:dyDescent="0.45">
      <c r="A72" s="22">
        <v>2619</v>
      </c>
      <c r="B72" s="22" t="s">
        <v>83</v>
      </c>
      <c r="C72" s="22" t="s">
        <v>74</v>
      </c>
      <c r="D72" s="22" t="s">
        <v>69</v>
      </c>
      <c r="E72" s="22" t="s">
        <v>65</v>
      </c>
      <c r="F72" s="22">
        <v>26</v>
      </c>
    </row>
    <row r="73" spans="1:6" x14ac:dyDescent="0.45">
      <c r="A73" s="22">
        <v>2620</v>
      </c>
      <c r="B73" s="22" t="s">
        <v>84</v>
      </c>
      <c r="C73" s="22" t="s">
        <v>74</v>
      </c>
      <c r="D73" s="22" t="s">
        <v>69</v>
      </c>
      <c r="E73" s="22" t="s">
        <v>65</v>
      </c>
      <c r="F73" s="22">
        <v>26</v>
      </c>
    </row>
    <row r="74" spans="1:6" x14ac:dyDescent="0.45">
      <c r="A74" s="22">
        <v>2701</v>
      </c>
      <c r="B74" s="22" t="s">
        <v>73</v>
      </c>
      <c r="C74" s="22" t="s">
        <v>85</v>
      </c>
      <c r="D74" s="22" t="s">
        <v>85</v>
      </c>
      <c r="E74" s="22" t="s">
        <v>65</v>
      </c>
      <c r="F74" s="22">
        <v>27</v>
      </c>
    </row>
    <row r="75" spans="1:6" x14ac:dyDescent="0.45">
      <c r="A75" s="22">
        <v>2702</v>
      </c>
      <c r="B75" s="22" t="s">
        <v>75</v>
      </c>
      <c r="C75" s="22" t="s">
        <v>85</v>
      </c>
      <c r="D75" s="22" t="s">
        <v>85</v>
      </c>
      <c r="E75" s="22" t="s">
        <v>65</v>
      </c>
      <c r="F75" s="22">
        <v>27</v>
      </c>
    </row>
    <row r="76" spans="1:6" x14ac:dyDescent="0.45">
      <c r="A76" s="22">
        <v>2703</v>
      </c>
      <c r="B76" s="22" t="s">
        <v>76</v>
      </c>
      <c r="C76" s="22" t="s">
        <v>85</v>
      </c>
      <c r="D76" s="22" t="s">
        <v>85</v>
      </c>
      <c r="E76" s="22" t="s">
        <v>65</v>
      </c>
      <c r="F76" s="22">
        <v>27</v>
      </c>
    </row>
    <row r="77" spans="1:6" x14ac:dyDescent="0.45">
      <c r="A77" s="22">
        <v>2704</v>
      </c>
      <c r="B77" s="22" t="s">
        <v>86</v>
      </c>
      <c r="C77" s="22" t="s">
        <v>85</v>
      </c>
      <c r="D77" s="22" t="s">
        <v>85</v>
      </c>
      <c r="E77" s="22" t="s">
        <v>65</v>
      </c>
      <c r="F77" s="22">
        <v>27</v>
      </c>
    </row>
    <row r="78" spans="1:6" x14ac:dyDescent="0.45">
      <c r="A78" s="22">
        <v>2705</v>
      </c>
      <c r="B78" s="22" t="s">
        <v>77</v>
      </c>
      <c r="C78" s="22" t="s">
        <v>85</v>
      </c>
      <c r="D78" s="22" t="s">
        <v>85</v>
      </c>
      <c r="E78" s="22" t="s">
        <v>65</v>
      </c>
      <c r="F78" s="22">
        <v>27</v>
      </c>
    </row>
    <row r="79" spans="1:6" x14ac:dyDescent="0.45">
      <c r="A79" s="22">
        <v>2706</v>
      </c>
      <c r="B79" s="22" t="s">
        <v>78</v>
      </c>
      <c r="C79" s="22" t="s">
        <v>85</v>
      </c>
      <c r="D79" s="22" t="s">
        <v>85</v>
      </c>
      <c r="E79" s="22" t="s">
        <v>65</v>
      </c>
      <c r="F79" s="22">
        <v>27</v>
      </c>
    </row>
    <row r="80" spans="1:6" x14ac:dyDescent="0.45">
      <c r="A80" s="22">
        <v>2707</v>
      </c>
      <c r="B80" s="22" t="s">
        <v>79</v>
      </c>
      <c r="C80" s="22" t="s">
        <v>85</v>
      </c>
      <c r="D80" s="22" t="s">
        <v>85</v>
      </c>
      <c r="E80" s="22" t="s">
        <v>65</v>
      </c>
      <c r="F80" s="22">
        <v>27</v>
      </c>
    </row>
    <row r="81" spans="1:6" x14ac:dyDescent="0.45">
      <c r="A81" s="22">
        <v>2708</v>
      </c>
      <c r="B81" s="22" t="s">
        <v>80</v>
      </c>
      <c r="C81" s="22" t="s">
        <v>85</v>
      </c>
      <c r="D81" s="22" t="s">
        <v>85</v>
      </c>
      <c r="E81" s="22" t="s">
        <v>65</v>
      </c>
      <c r="F81" s="22">
        <v>27</v>
      </c>
    </row>
    <row r="82" spans="1:6" x14ac:dyDescent="0.45">
      <c r="A82" s="22">
        <v>2709</v>
      </c>
      <c r="B82" s="22" t="s">
        <v>87</v>
      </c>
      <c r="C82" s="22" t="s">
        <v>85</v>
      </c>
      <c r="D82" s="22" t="s">
        <v>85</v>
      </c>
      <c r="E82" s="22" t="s">
        <v>65</v>
      </c>
      <c r="F82" s="22">
        <v>27</v>
      </c>
    </row>
    <row r="83" spans="1:6" x14ac:dyDescent="0.45">
      <c r="A83" s="22">
        <v>2710</v>
      </c>
      <c r="B83" s="22" t="s">
        <v>81</v>
      </c>
      <c r="C83" s="22" t="s">
        <v>85</v>
      </c>
      <c r="D83" s="22" t="s">
        <v>85</v>
      </c>
      <c r="E83" s="22" t="s">
        <v>65</v>
      </c>
      <c r="F83" s="22">
        <v>27</v>
      </c>
    </row>
    <row r="84" spans="1:6" x14ac:dyDescent="0.45">
      <c r="A84" s="22">
        <v>2711</v>
      </c>
      <c r="B84" s="22" t="s">
        <v>82</v>
      </c>
      <c r="C84" s="22" t="s">
        <v>85</v>
      </c>
      <c r="D84" s="22" t="s">
        <v>85</v>
      </c>
      <c r="E84" s="22" t="s">
        <v>65</v>
      </c>
      <c r="F84" s="22">
        <v>27</v>
      </c>
    </row>
    <row r="85" spans="1:6" x14ac:dyDescent="0.45">
      <c r="A85" s="22">
        <v>2712</v>
      </c>
      <c r="B85" s="22" t="s">
        <v>88</v>
      </c>
      <c r="C85" s="22" t="s">
        <v>85</v>
      </c>
      <c r="D85" s="22" t="s">
        <v>85</v>
      </c>
      <c r="E85" s="22" t="s">
        <v>65</v>
      </c>
      <c r="F85" s="22">
        <v>27</v>
      </c>
    </row>
    <row r="86" spans="1:6" x14ac:dyDescent="0.45">
      <c r="A86" s="22">
        <v>2713</v>
      </c>
      <c r="B86" s="22" t="s">
        <v>89</v>
      </c>
      <c r="C86" s="22" t="s">
        <v>85</v>
      </c>
      <c r="D86" s="22" t="s">
        <v>85</v>
      </c>
      <c r="E86" s="22" t="s">
        <v>65</v>
      </c>
      <c r="F86" s="22">
        <v>27</v>
      </c>
    </row>
    <row r="87" spans="1:6" x14ac:dyDescent="0.45">
      <c r="A87" s="22">
        <v>2714</v>
      </c>
      <c r="B87" s="22" t="s">
        <v>90</v>
      </c>
      <c r="C87" s="22" t="s">
        <v>85</v>
      </c>
      <c r="D87" s="22" t="s">
        <v>85</v>
      </c>
      <c r="E87" s="22" t="s">
        <v>65</v>
      </c>
      <c r="F87" s="22">
        <v>27</v>
      </c>
    </row>
    <row r="88" spans="1:6" x14ac:dyDescent="0.45">
      <c r="A88" s="22">
        <v>2715</v>
      </c>
      <c r="B88" s="22" t="s">
        <v>83</v>
      </c>
      <c r="C88" s="22" t="s">
        <v>85</v>
      </c>
      <c r="D88" s="22" t="s">
        <v>85</v>
      </c>
      <c r="E88" s="22" t="s">
        <v>65</v>
      </c>
      <c r="F88" s="22">
        <v>27</v>
      </c>
    </row>
    <row r="89" spans="1:6" x14ac:dyDescent="0.45">
      <c r="A89" s="22">
        <v>2716</v>
      </c>
      <c r="B89" s="22" t="s">
        <v>84</v>
      </c>
      <c r="C89" s="22" t="s">
        <v>85</v>
      </c>
      <c r="D89" s="22" t="s">
        <v>85</v>
      </c>
      <c r="E89" s="22" t="s">
        <v>65</v>
      </c>
      <c r="F89" s="22">
        <v>27</v>
      </c>
    </row>
    <row r="90" spans="1:6" x14ac:dyDescent="0.45">
      <c r="A90" s="22">
        <v>2801</v>
      </c>
      <c r="B90" s="22" t="s">
        <v>73</v>
      </c>
      <c r="C90" s="22" t="s">
        <v>91</v>
      </c>
      <c r="D90" s="22" t="s">
        <v>91</v>
      </c>
      <c r="E90" s="22" t="s">
        <v>65</v>
      </c>
      <c r="F90" s="22">
        <v>28</v>
      </c>
    </row>
    <row r="91" spans="1:6" x14ac:dyDescent="0.45">
      <c r="A91" s="22">
        <v>2802</v>
      </c>
      <c r="B91" s="22" t="s">
        <v>75</v>
      </c>
      <c r="C91" s="22" t="s">
        <v>91</v>
      </c>
      <c r="D91" s="22" t="s">
        <v>91</v>
      </c>
      <c r="E91" s="22" t="s">
        <v>65</v>
      </c>
      <c r="F91" s="22">
        <v>28</v>
      </c>
    </row>
    <row r="92" spans="1:6" x14ac:dyDescent="0.45">
      <c r="A92" s="22">
        <v>2803</v>
      </c>
      <c r="B92" s="22" t="s">
        <v>76</v>
      </c>
      <c r="C92" s="22" t="s">
        <v>91</v>
      </c>
      <c r="D92" s="22" t="s">
        <v>91</v>
      </c>
      <c r="E92" s="22" t="s">
        <v>65</v>
      </c>
      <c r="F92" s="22">
        <v>28</v>
      </c>
    </row>
    <row r="93" spans="1:6" x14ac:dyDescent="0.45">
      <c r="A93" s="22">
        <v>2804</v>
      </c>
      <c r="B93" s="22" t="s">
        <v>86</v>
      </c>
      <c r="C93" s="22" t="s">
        <v>91</v>
      </c>
      <c r="D93" s="22" t="s">
        <v>91</v>
      </c>
      <c r="E93" s="22" t="s">
        <v>65</v>
      </c>
      <c r="F93" s="22">
        <v>28</v>
      </c>
    </row>
    <row r="94" spans="1:6" x14ac:dyDescent="0.45">
      <c r="A94" s="22">
        <v>2805</v>
      </c>
      <c r="B94" s="22" t="s">
        <v>77</v>
      </c>
      <c r="C94" s="22" t="s">
        <v>91</v>
      </c>
      <c r="D94" s="22" t="s">
        <v>91</v>
      </c>
      <c r="E94" s="22" t="s">
        <v>65</v>
      </c>
      <c r="F94" s="22">
        <v>28</v>
      </c>
    </row>
    <row r="95" spans="1:6" x14ac:dyDescent="0.45">
      <c r="A95" s="22">
        <v>2806</v>
      </c>
      <c r="B95" s="22" t="s">
        <v>92</v>
      </c>
      <c r="C95" s="22" t="s">
        <v>91</v>
      </c>
      <c r="D95" s="22" t="s">
        <v>91</v>
      </c>
      <c r="E95" s="22" t="s">
        <v>65</v>
      </c>
      <c r="F95" s="22">
        <v>28</v>
      </c>
    </row>
    <row r="96" spans="1:6" x14ac:dyDescent="0.45">
      <c r="A96" s="22">
        <v>2807</v>
      </c>
      <c r="B96" s="22" t="s">
        <v>78</v>
      </c>
      <c r="C96" s="22" t="s">
        <v>91</v>
      </c>
      <c r="D96" s="22" t="s">
        <v>91</v>
      </c>
      <c r="E96" s="22" t="s">
        <v>65</v>
      </c>
      <c r="F96" s="22">
        <v>28</v>
      </c>
    </row>
    <row r="97" spans="1:7" x14ac:dyDescent="0.45">
      <c r="A97" s="22">
        <v>2808</v>
      </c>
      <c r="B97" s="22" t="s">
        <v>79</v>
      </c>
      <c r="C97" s="22" t="s">
        <v>91</v>
      </c>
      <c r="D97" s="22" t="s">
        <v>91</v>
      </c>
      <c r="E97" s="22" t="s">
        <v>65</v>
      </c>
      <c r="F97" s="22">
        <v>28</v>
      </c>
    </row>
    <row r="98" spans="1:7" x14ac:dyDescent="0.45">
      <c r="A98" s="22">
        <v>2809</v>
      </c>
      <c r="B98" s="22" t="s">
        <v>80</v>
      </c>
      <c r="C98" s="22" t="s">
        <v>91</v>
      </c>
      <c r="D98" s="22" t="s">
        <v>91</v>
      </c>
      <c r="E98" s="22" t="s">
        <v>65</v>
      </c>
      <c r="F98" s="22">
        <v>28</v>
      </c>
    </row>
    <row r="99" spans="1:7" x14ac:dyDescent="0.45">
      <c r="A99" s="22">
        <v>2810</v>
      </c>
      <c r="B99" s="22" t="s">
        <v>87</v>
      </c>
      <c r="C99" s="22" t="s">
        <v>91</v>
      </c>
      <c r="D99" s="22" t="s">
        <v>91</v>
      </c>
      <c r="E99" s="22" t="s">
        <v>65</v>
      </c>
      <c r="F99" s="22">
        <v>28</v>
      </c>
    </row>
    <row r="100" spans="1:7" x14ac:dyDescent="0.45">
      <c r="A100" s="22">
        <v>2811</v>
      </c>
      <c r="B100" s="22" t="s">
        <v>81</v>
      </c>
      <c r="C100" s="22" t="s">
        <v>91</v>
      </c>
      <c r="D100" s="22" t="s">
        <v>91</v>
      </c>
      <c r="E100" s="22" t="s">
        <v>65</v>
      </c>
      <c r="F100" s="22">
        <v>28</v>
      </c>
    </row>
    <row r="101" spans="1:7" x14ac:dyDescent="0.45">
      <c r="A101" s="22">
        <v>2812</v>
      </c>
      <c r="B101" s="22" t="s">
        <v>82</v>
      </c>
      <c r="C101" s="22" t="s">
        <v>91</v>
      </c>
      <c r="D101" s="22" t="s">
        <v>91</v>
      </c>
      <c r="E101" s="22" t="s">
        <v>65</v>
      </c>
      <c r="F101" s="22">
        <v>28</v>
      </c>
    </row>
    <row r="102" spans="1:7" x14ac:dyDescent="0.45">
      <c r="A102" s="22">
        <v>2813</v>
      </c>
      <c r="B102" s="22" t="s">
        <v>88</v>
      </c>
      <c r="C102" s="22" t="s">
        <v>91</v>
      </c>
      <c r="D102" s="22" t="s">
        <v>91</v>
      </c>
      <c r="E102" s="22" t="s">
        <v>65</v>
      </c>
      <c r="F102" s="22">
        <v>28</v>
      </c>
    </row>
    <row r="103" spans="1:7" x14ac:dyDescent="0.45">
      <c r="A103" s="22">
        <v>2814</v>
      </c>
      <c r="B103" s="22" t="s">
        <v>89</v>
      </c>
      <c r="C103" s="22" t="s">
        <v>91</v>
      </c>
      <c r="D103" s="22" t="s">
        <v>91</v>
      </c>
      <c r="E103" s="22" t="s">
        <v>65</v>
      </c>
      <c r="F103" s="22">
        <v>28</v>
      </c>
    </row>
    <row r="104" spans="1:7" x14ac:dyDescent="0.45">
      <c r="A104" s="22">
        <v>2815</v>
      </c>
      <c r="B104" s="22" t="s">
        <v>93</v>
      </c>
      <c r="C104" s="22" t="s">
        <v>91</v>
      </c>
      <c r="D104" s="22" t="s">
        <v>91</v>
      </c>
      <c r="E104" s="22" t="s">
        <v>65</v>
      </c>
      <c r="F104" s="22">
        <v>28</v>
      </c>
    </row>
    <row r="105" spans="1:7" x14ac:dyDescent="0.45">
      <c r="A105" s="22">
        <v>2816</v>
      </c>
      <c r="B105" s="22" t="s">
        <v>90</v>
      </c>
      <c r="C105" s="22" t="s">
        <v>91</v>
      </c>
      <c r="D105" s="22" t="s">
        <v>91</v>
      </c>
      <c r="E105" s="22" t="s">
        <v>65</v>
      </c>
      <c r="F105" s="22">
        <v>28</v>
      </c>
    </row>
    <row r="106" spans="1:7" x14ac:dyDescent="0.45">
      <c r="A106" s="22">
        <v>2817</v>
      </c>
      <c r="B106" s="22" t="s">
        <v>83</v>
      </c>
      <c r="C106" s="22" t="s">
        <v>91</v>
      </c>
      <c r="D106" s="22" t="s">
        <v>91</v>
      </c>
      <c r="E106" s="22" t="s">
        <v>65</v>
      </c>
      <c r="F106" s="22">
        <v>28</v>
      </c>
    </row>
    <row r="107" spans="1:7" x14ac:dyDescent="0.45">
      <c r="A107" s="22">
        <v>2818</v>
      </c>
      <c r="B107" s="22" t="s">
        <v>94</v>
      </c>
      <c r="C107" s="22" t="s">
        <v>91</v>
      </c>
      <c r="D107" s="22" t="s">
        <v>91</v>
      </c>
      <c r="E107" s="22" t="s">
        <v>65</v>
      </c>
      <c r="F107" s="22">
        <v>28</v>
      </c>
    </row>
    <row r="108" spans="1:7" x14ac:dyDescent="0.45">
      <c r="A108" s="22">
        <v>2819</v>
      </c>
      <c r="B108" s="22" t="s">
        <v>84</v>
      </c>
      <c r="C108" s="22" t="s">
        <v>91</v>
      </c>
      <c r="D108" s="22" t="s">
        <v>91</v>
      </c>
      <c r="E108" s="22" t="s">
        <v>65</v>
      </c>
      <c r="F108" s="22">
        <v>28</v>
      </c>
    </row>
    <row r="109" spans="1:7" x14ac:dyDescent="0.45">
      <c r="A109" s="22">
        <v>2901</v>
      </c>
      <c r="B109" s="22"/>
      <c r="C109" s="22" t="s">
        <v>95</v>
      </c>
      <c r="D109" s="22" t="s">
        <v>96</v>
      </c>
      <c r="E109" s="22" t="s">
        <v>65</v>
      </c>
      <c r="F109" s="22">
        <v>29</v>
      </c>
    </row>
    <row r="110" spans="1:7" x14ac:dyDescent="0.45">
      <c r="A110" s="22">
        <v>2902</v>
      </c>
      <c r="B110" s="22"/>
      <c r="C110" s="22" t="s">
        <v>97</v>
      </c>
      <c r="D110" s="22" t="s">
        <v>96</v>
      </c>
      <c r="E110" s="22" t="s">
        <v>65</v>
      </c>
      <c r="F110" s="22">
        <v>29</v>
      </c>
    </row>
    <row r="111" spans="1:7" x14ac:dyDescent="0.45">
      <c r="A111" s="22">
        <v>2903</v>
      </c>
      <c r="B111" s="22"/>
      <c r="C111" s="22" t="s">
        <v>98</v>
      </c>
      <c r="D111" s="22" t="s">
        <v>96</v>
      </c>
      <c r="E111" s="22" t="s">
        <v>65</v>
      </c>
      <c r="F111" s="22">
        <v>29</v>
      </c>
    </row>
    <row r="112" spans="1:7" x14ac:dyDescent="0.45">
      <c r="A112" s="22">
        <v>3001</v>
      </c>
      <c r="B112" s="23"/>
      <c r="C112" s="23" t="s">
        <v>99</v>
      </c>
      <c r="D112" s="23" t="s">
        <v>99</v>
      </c>
      <c r="E112" s="23" t="s">
        <v>65</v>
      </c>
      <c r="F112" s="23">
        <v>30</v>
      </c>
      <c r="G112" s="24"/>
    </row>
    <row r="114" spans="3:3" ht="21.75" x14ac:dyDescent="0.45">
      <c r="C114" s="25"/>
    </row>
    <row r="115" spans="3:3" ht="21.75" x14ac:dyDescent="0.45">
      <c r="C115" s="25"/>
    </row>
    <row r="116" spans="3:3" ht="21.75" x14ac:dyDescent="0.45">
      <c r="C116" s="25"/>
    </row>
    <row r="117" spans="3:3" ht="21.75" x14ac:dyDescent="0.45">
      <c r="C117" s="25"/>
    </row>
    <row r="118" spans="3:3" ht="21.75" x14ac:dyDescent="0.45">
      <c r="C118" s="25"/>
    </row>
    <row r="119" spans="3:3" ht="21.75" x14ac:dyDescent="0.45">
      <c r="C119" s="25"/>
    </row>
    <row r="120" spans="3:3" ht="21.75" x14ac:dyDescent="0.45">
      <c r="C120" s="25"/>
    </row>
    <row r="121" spans="3:3" ht="21.75" x14ac:dyDescent="0.45">
      <c r="C121" s="25"/>
    </row>
    <row r="122" spans="3:3" ht="21.75" x14ac:dyDescent="0.45">
      <c r="C122" s="25"/>
    </row>
    <row r="123" spans="3:3" ht="21.75" x14ac:dyDescent="0.45">
      <c r="C123" s="25"/>
    </row>
    <row r="124" spans="3:3" ht="21.75" x14ac:dyDescent="0.45">
      <c r="C124" s="25"/>
    </row>
    <row r="125" spans="3:3" ht="21.75" x14ac:dyDescent="0.45">
      <c r="C125" s="25"/>
    </row>
    <row r="126" spans="3:3" ht="21.75" x14ac:dyDescent="0.45">
      <c r="C126" s="25"/>
    </row>
    <row r="127" spans="3:3" ht="21.75" x14ac:dyDescent="0.45">
      <c r="C127" s="25"/>
    </row>
    <row r="128" spans="3:3" ht="21.75" x14ac:dyDescent="0.45">
      <c r="C128" s="25"/>
    </row>
    <row r="129" spans="3:3" ht="21.75" x14ac:dyDescent="0.45">
      <c r="C129" s="25"/>
    </row>
    <row r="130" spans="3:3" ht="21.75" x14ac:dyDescent="0.45">
      <c r="C130" s="25"/>
    </row>
    <row r="131" spans="3:3" ht="21.75" x14ac:dyDescent="0.45">
      <c r="C131" s="25"/>
    </row>
    <row r="132" spans="3:3" ht="21.75" x14ac:dyDescent="0.45">
      <c r="C132" s="25"/>
    </row>
  </sheetData>
  <printOptions horizontalCentered="1"/>
  <pageMargins left="0.19685039370078741" right="0.19685039370078741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9CA-6C8F-4FE2-84FF-D9AD15FA5A69}">
  <dimension ref="A1:Q2001"/>
  <sheetViews>
    <sheetView rightToLeft="1" tabSelected="1" workbookViewId="0">
      <pane xSplit="1" ySplit="2" topLeftCell="B3" activePane="bottomRight" state="frozen"/>
      <selection activeCell="A105" sqref="A105"/>
      <selection pane="topRight" activeCell="A105" sqref="A105"/>
      <selection pane="bottomLeft" activeCell="A105" sqref="A105"/>
      <selection pane="bottomRight" activeCell="I11" sqref="I11"/>
    </sheetView>
  </sheetViews>
  <sheetFormatPr defaultColWidth="8.85546875" defaultRowHeight="18" x14ac:dyDescent="0.45"/>
  <cols>
    <col min="1" max="1" width="12.7109375" style="35" customWidth="1"/>
    <col min="2" max="2" width="25.7109375" style="27" bestFit="1" customWidth="1"/>
    <col min="3" max="3" width="23.85546875" style="27" customWidth="1"/>
    <col min="4" max="4" width="25.28515625" style="36" hidden="1" customWidth="1"/>
    <col min="5" max="5" width="9.28515625" style="36" hidden="1" customWidth="1"/>
    <col min="6" max="6" width="10.28515625" style="37" hidden="1" customWidth="1"/>
    <col min="7" max="7" width="9.7109375" style="36" hidden="1" customWidth="1"/>
    <col min="8" max="8" width="9.42578125" style="27" bestFit="1" customWidth="1"/>
    <col min="9" max="9" width="23.5703125" style="27" customWidth="1"/>
    <col min="10" max="10" width="12.42578125" style="27" bestFit="1" customWidth="1"/>
    <col min="11" max="11" width="12" style="27" bestFit="1" customWidth="1"/>
    <col min="12" max="12" width="14.140625" style="27" bestFit="1" customWidth="1"/>
    <col min="13" max="13" width="13.7109375" style="27" bestFit="1" customWidth="1"/>
    <col min="14" max="14" width="12.5703125" style="27" bestFit="1" customWidth="1"/>
    <col min="15" max="15" width="12.140625" style="27" bestFit="1" customWidth="1"/>
    <col min="16" max="16" width="14.140625" style="27" bestFit="1" customWidth="1"/>
    <col min="17" max="17" width="16.42578125" style="27" bestFit="1" customWidth="1"/>
    <col min="18" max="16384" width="8.85546875" style="27"/>
  </cols>
  <sheetData>
    <row r="1" spans="1:17" ht="30.6" customHeight="1" x14ac:dyDescent="0.45">
      <c r="A1" s="26" t="s">
        <v>100</v>
      </c>
      <c r="B1" s="27" t="s">
        <v>101</v>
      </c>
      <c r="C1" s="27" t="s">
        <v>101</v>
      </c>
      <c r="D1" s="27" t="s">
        <v>101</v>
      </c>
      <c r="E1" s="27" t="s">
        <v>101</v>
      </c>
      <c r="F1" s="28" t="s">
        <v>101</v>
      </c>
      <c r="G1" s="27"/>
      <c r="P1" s="27" t="s">
        <v>101</v>
      </c>
      <c r="Q1" s="27" t="s">
        <v>101</v>
      </c>
    </row>
    <row r="2" spans="1:17" s="34" customFormat="1" ht="44.25" customHeight="1" x14ac:dyDescent="0.2">
      <c r="A2" s="29" t="s">
        <v>0</v>
      </c>
      <c r="B2" s="30" t="s">
        <v>102</v>
      </c>
      <c r="C2" s="30" t="s">
        <v>103</v>
      </c>
      <c r="D2" s="30" t="s">
        <v>104</v>
      </c>
      <c r="E2" s="30" t="s">
        <v>4</v>
      </c>
      <c r="F2" s="31" t="s">
        <v>5</v>
      </c>
      <c r="G2" s="32" t="s">
        <v>105</v>
      </c>
      <c r="H2" s="32" t="s">
        <v>106</v>
      </c>
      <c r="I2" s="32" t="s">
        <v>107</v>
      </c>
      <c r="J2" s="32" t="s">
        <v>108</v>
      </c>
      <c r="K2" s="32" t="s">
        <v>109</v>
      </c>
      <c r="L2" s="32" t="s">
        <v>110</v>
      </c>
      <c r="M2" s="32" t="s">
        <v>111</v>
      </c>
      <c r="N2" s="32" t="s">
        <v>112</v>
      </c>
      <c r="O2" s="32" t="s">
        <v>113</v>
      </c>
      <c r="P2" s="33" t="s">
        <v>114</v>
      </c>
      <c r="Q2" s="33" t="s">
        <v>115</v>
      </c>
    </row>
    <row r="3" spans="1:17" x14ac:dyDescent="0.45">
      <c r="B3" s="27" t="str">
        <f>IFERROR(VLOOKUP(A3,القائمة!$A$3:$F$112,2,FALSE),"")</f>
        <v/>
      </c>
      <c r="C3" s="27" t="str">
        <f>IFERROR(VLOOKUP(A3,القائمة!$A$3:$F$112,3,FALSE),"")</f>
        <v/>
      </c>
      <c r="D3" s="36" t="str">
        <f>IFERROR(VLOOKUP(A3,القائمة!$A$3:$F$112,4,FALSE),"")</f>
        <v/>
      </c>
      <c r="E3" s="36" t="str">
        <f>IFERROR(VLOOKUP(A3,القائمة!$A$3:$F$112,5,FALSE),"")</f>
        <v/>
      </c>
      <c r="F3" s="37" t="str">
        <f>IFERROR(VLOOKUP(A3,القائمة!$A$3:$F$112,6,FALSE),"")</f>
        <v/>
      </c>
      <c r="H3" s="38"/>
      <c r="I3" s="36"/>
      <c r="J3" s="39"/>
      <c r="K3" s="39"/>
      <c r="P3" s="27">
        <f>J3-K3</f>
        <v>0</v>
      </c>
      <c r="Q3" s="27">
        <f t="shared" ref="Q3" si="0">+P3+L3-M3</f>
        <v>0</v>
      </c>
    </row>
    <row r="4" spans="1:17" x14ac:dyDescent="0.45">
      <c r="B4" s="27" t="str">
        <f>IFERROR(VLOOKUP(A4,القائمة!$A$3:$F$112,2,FALSE),"")</f>
        <v/>
      </c>
      <c r="C4" s="27" t="str">
        <f>IFERROR(VLOOKUP(A4,القائمة!$A$3:$F$112,3,FALSE),"")</f>
        <v/>
      </c>
      <c r="D4" s="36" t="str">
        <f>IFERROR(VLOOKUP(A4,القائمة!$A$3:$F$112,4,FALSE),"")</f>
        <v/>
      </c>
      <c r="E4" s="36" t="str">
        <f>IFERROR(VLOOKUP(A4,القائمة!$A$3:$F$112,5,FALSE),"")</f>
        <v/>
      </c>
      <c r="F4" s="37" t="str">
        <f>IFERROR(VLOOKUP(A4,القائمة!$A$3:$F$112,6,FALSE),"")</f>
        <v/>
      </c>
      <c r="H4" s="38"/>
      <c r="I4" s="36"/>
      <c r="J4" s="39"/>
      <c r="K4" s="39"/>
      <c r="P4" s="27">
        <f t="shared" ref="P4:P67" si="1">J4-K4</f>
        <v>0</v>
      </c>
      <c r="Q4" s="27">
        <f t="shared" ref="Q4:Q67" si="2">+P4+L4-M4</f>
        <v>0</v>
      </c>
    </row>
    <row r="5" spans="1:17" x14ac:dyDescent="0.45">
      <c r="B5" s="27" t="str">
        <f>IFERROR(VLOOKUP(A5,القائمة!$A$3:$F$112,2,FALSE),"")</f>
        <v/>
      </c>
      <c r="C5" s="27" t="str">
        <f>IFERROR(VLOOKUP(A5,القائمة!$A$3:$F$112,3,FALSE),"")</f>
        <v/>
      </c>
      <c r="D5" s="36" t="str">
        <f>IFERROR(VLOOKUP(A5,القائمة!$A$3:$F$112,4,FALSE),"")</f>
        <v/>
      </c>
      <c r="E5" s="36" t="str">
        <f>IFERROR(VLOOKUP(A5,القائمة!$A$3:$F$112,5,FALSE),"")</f>
        <v/>
      </c>
      <c r="F5" s="37" t="str">
        <f>IFERROR(VLOOKUP(A5,القائمة!$A$3:$F$112,6,FALSE),"")</f>
        <v/>
      </c>
      <c r="H5" s="38"/>
      <c r="I5" s="36"/>
      <c r="J5" s="39"/>
      <c r="K5" s="39"/>
      <c r="P5" s="27">
        <f t="shared" si="1"/>
        <v>0</v>
      </c>
      <c r="Q5" s="27">
        <f t="shared" si="2"/>
        <v>0</v>
      </c>
    </row>
    <row r="6" spans="1:17" x14ac:dyDescent="0.45">
      <c r="B6" s="27" t="str">
        <f>IFERROR(VLOOKUP(A6,القائمة!$A$3:$F$112,2,FALSE),"")</f>
        <v/>
      </c>
      <c r="C6" s="27" t="str">
        <f>IFERROR(VLOOKUP(A6,القائمة!$A$3:$F$112,3,FALSE),"")</f>
        <v/>
      </c>
      <c r="D6" s="36" t="str">
        <f>IFERROR(VLOOKUP(A6,القائمة!$A$3:$F$112,4,FALSE),"")</f>
        <v/>
      </c>
      <c r="E6" s="36" t="str">
        <f>IFERROR(VLOOKUP(A6,القائمة!$A$3:$F$112,5,FALSE),"")</f>
        <v/>
      </c>
      <c r="F6" s="37" t="str">
        <f>IFERROR(VLOOKUP(A6,القائمة!$A$3:$F$112,6,FALSE),"")</f>
        <v/>
      </c>
      <c r="H6" s="38"/>
      <c r="I6" s="36"/>
      <c r="J6" s="39"/>
      <c r="K6" s="39"/>
      <c r="P6" s="27">
        <f t="shared" si="1"/>
        <v>0</v>
      </c>
      <c r="Q6" s="27">
        <f t="shared" si="2"/>
        <v>0</v>
      </c>
    </row>
    <row r="7" spans="1:17" x14ac:dyDescent="0.45">
      <c r="B7" s="27" t="str">
        <f>IFERROR(VLOOKUP(A7,القائمة!$A$3:$F$112,2,FALSE),"")</f>
        <v/>
      </c>
      <c r="C7" s="27" t="str">
        <f>IFERROR(VLOOKUP(A7,القائمة!$A$3:$F$112,3,FALSE),"")</f>
        <v/>
      </c>
      <c r="D7" s="36" t="str">
        <f>IFERROR(VLOOKUP(A7,القائمة!$A$3:$F$112,4,FALSE),"")</f>
        <v/>
      </c>
      <c r="E7" s="36" t="str">
        <f>IFERROR(VLOOKUP(A7,القائمة!$A$3:$F$112,5,FALSE),"")</f>
        <v/>
      </c>
      <c r="F7" s="37" t="str">
        <f>IFERROR(VLOOKUP(A7,القائمة!$A$3:$F$112,6,FALSE),"")</f>
        <v/>
      </c>
      <c r="H7" s="38"/>
      <c r="I7" s="36"/>
      <c r="J7" s="39"/>
      <c r="K7" s="39"/>
      <c r="P7" s="27">
        <f t="shared" si="1"/>
        <v>0</v>
      </c>
      <c r="Q7" s="27">
        <f t="shared" si="2"/>
        <v>0</v>
      </c>
    </row>
    <row r="8" spans="1:17" x14ac:dyDescent="0.45">
      <c r="B8" s="27" t="str">
        <f>IFERROR(VLOOKUP(A8,القائمة!$A$3:$F$112,2,FALSE),"")</f>
        <v/>
      </c>
      <c r="C8" s="27" t="str">
        <f>IFERROR(VLOOKUP(A8,القائمة!$A$3:$F$112,3,FALSE),"")</f>
        <v/>
      </c>
      <c r="D8" s="36" t="str">
        <f>IFERROR(VLOOKUP(A8,القائمة!$A$3:$F$112,4,FALSE),"")</f>
        <v/>
      </c>
      <c r="E8" s="36" t="str">
        <f>IFERROR(VLOOKUP(A8,القائمة!$A$3:$F$112,5,FALSE),"")</f>
        <v/>
      </c>
      <c r="F8" s="37" t="str">
        <f>IFERROR(VLOOKUP(A8,القائمة!$A$3:$F$112,6,FALSE),"")</f>
        <v/>
      </c>
      <c r="H8" s="38"/>
      <c r="I8" s="36"/>
      <c r="J8" s="39"/>
      <c r="K8" s="39"/>
      <c r="P8" s="27">
        <f t="shared" si="1"/>
        <v>0</v>
      </c>
      <c r="Q8" s="27">
        <f t="shared" si="2"/>
        <v>0</v>
      </c>
    </row>
    <row r="9" spans="1:17" x14ac:dyDescent="0.45">
      <c r="B9" s="27" t="str">
        <f>IFERROR(VLOOKUP(A9,القائمة!$A$3:$F$112,2,FALSE),"")</f>
        <v/>
      </c>
      <c r="C9" s="27" t="str">
        <f>IFERROR(VLOOKUP(A9,القائمة!$A$3:$F$112,3,FALSE),"")</f>
        <v/>
      </c>
      <c r="D9" s="36" t="str">
        <f>IFERROR(VLOOKUP(A9,القائمة!$A$3:$F$112,4,FALSE),"")</f>
        <v/>
      </c>
      <c r="E9" s="36" t="str">
        <f>IFERROR(VLOOKUP(A9,القائمة!$A$3:$F$112,5,FALSE),"")</f>
        <v/>
      </c>
      <c r="F9" s="37" t="str">
        <f>IFERROR(VLOOKUP(A9,القائمة!$A$3:$F$112,6,FALSE),"")</f>
        <v/>
      </c>
      <c r="H9" s="38"/>
      <c r="I9" s="36"/>
      <c r="J9" s="39"/>
      <c r="K9" s="39"/>
      <c r="P9" s="27">
        <f t="shared" si="1"/>
        <v>0</v>
      </c>
      <c r="Q9" s="27">
        <f t="shared" si="2"/>
        <v>0</v>
      </c>
    </row>
    <row r="10" spans="1:17" x14ac:dyDescent="0.45">
      <c r="B10" s="27" t="str">
        <f>IFERROR(VLOOKUP(A10,القائمة!$A$3:$F$112,2,FALSE),"")</f>
        <v/>
      </c>
      <c r="C10" s="27" t="str">
        <f>IFERROR(VLOOKUP(A10,القائمة!$A$3:$F$112,3,FALSE),"")</f>
        <v/>
      </c>
      <c r="D10" s="36" t="str">
        <f>IFERROR(VLOOKUP(A10,القائمة!$A$3:$F$112,4,FALSE),"")</f>
        <v/>
      </c>
      <c r="E10" s="36" t="str">
        <f>IFERROR(VLOOKUP(A10,القائمة!$A$3:$F$112,5,FALSE),"")</f>
        <v/>
      </c>
      <c r="F10" s="37" t="str">
        <f>IFERROR(VLOOKUP(A10,القائمة!$A$3:$F$112,6,FALSE),"")</f>
        <v/>
      </c>
      <c r="H10" s="38"/>
      <c r="I10" s="36"/>
      <c r="J10" s="39"/>
      <c r="K10" s="39"/>
      <c r="P10" s="27">
        <f t="shared" si="1"/>
        <v>0</v>
      </c>
      <c r="Q10" s="27">
        <f t="shared" si="2"/>
        <v>0</v>
      </c>
    </row>
    <row r="11" spans="1:17" x14ac:dyDescent="0.45">
      <c r="B11" s="27" t="str">
        <f>IFERROR(VLOOKUP(A11,القائمة!$A$3:$F$112,2,FALSE),"")</f>
        <v/>
      </c>
      <c r="C11" s="27" t="str">
        <f>IFERROR(VLOOKUP(A11,القائمة!$A$3:$F$112,3,FALSE),"")</f>
        <v/>
      </c>
      <c r="D11" s="36" t="str">
        <f>IFERROR(VLOOKUP(A11,القائمة!$A$3:$F$112,4,FALSE),"")</f>
        <v/>
      </c>
      <c r="E11" s="36" t="str">
        <f>IFERROR(VLOOKUP(A11,القائمة!$A$3:$F$112,5,FALSE),"")</f>
        <v/>
      </c>
      <c r="F11" s="37" t="str">
        <f>IFERROR(VLOOKUP(A11,القائمة!$A$3:$F$112,6,FALSE),"")</f>
        <v/>
      </c>
      <c r="H11" s="38"/>
      <c r="I11" s="36"/>
      <c r="J11" s="39"/>
      <c r="K11" s="39"/>
      <c r="P11" s="27">
        <f t="shared" si="1"/>
        <v>0</v>
      </c>
      <c r="Q11" s="27">
        <f t="shared" si="2"/>
        <v>0</v>
      </c>
    </row>
    <row r="12" spans="1:17" x14ac:dyDescent="0.45">
      <c r="B12" s="27" t="str">
        <f>IFERROR(VLOOKUP(A12,القائمة!$A$3:$F$112,2,FALSE),"")</f>
        <v/>
      </c>
      <c r="C12" s="27" t="str">
        <f>IFERROR(VLOOKUP(A12,القائمة!$A$3:$F$112,3,FALSE),"")</f>
        <v/>
      </c>
      <c r="D12" s="36" t="str">
        <f>IFERROR(VLOOKUP(A12,القائمة!$A$3:$F$112,4,FALSE),"")</f>
        <v/>
      </c>
      <c r="E12" s="36" t="str">
        <f>IFERROR(VLOOKUP(A12,القائمة!$A$3:$F$112,5,FALSE),"")</f>
        <v/>
      </c>
      <c r="F12" s="37" t="str">
        <f>IFERROR(VLOOKUP(A12,القائمة!$A$3:$F$112,6,FALSE),"")</f>
        <v/>
      </c>
      <c r="H12" s="38"/>
      <c r="I12" s="36"/>
      <c r="J12" s="39"/>
      <c r="K12" s="39"/>
      <c r="P12" s="27">
        <f t="shared" si="1"/>
        <v>0</v>
      </c>
      <c r="Q12" s="27">
        <f t="shared" si="2"/>
        <v>0</v>
      </c>
    </row>
    <row r="13" spans="1:17" x14ac:dyDescent="0.45">
      <c r="B13" s="27" t="str">
        <f>IFERROR(VLOOKUP(A13,القائمة!$A$3:$F$112,2,FALSE),"")</f>
        <v/>
      </c>
      <c r="C13" s="27" t="str">
        <f>IFERROR(VLOOKUP(A13,القائمة!$A$3:$F$112,3,FALSE),"")</f>
        <v/>
      </c>
      <c r="D13" s="36" t="str">
        <f>IFERROR(VLOOKUP(A13,القائمة!$A$3:$F$112,4,FALSE),"")</f>
        <v/>
      </c>
      <c r="E13" s="36" t="str">
        <f>IFERROR(VLOOKUP(A13,القائمة!$A$3:$F$112,5,FALSE),"")</f>
        <v/>
      </c>
      <c r="F13" s="37" t="str">
        <f>IFERROR(VLOOKUP(A13,القائمة!$A$3:$F$112,6,FALSE),"")</f>
        <v/>
      </c>
      <c r="H13" s="38"/>
      <c r="I13" s="36"/>
      <c r="J13" s="39"/>
      <c r="K13" s="39"/>
      <c r="P13" s="27">
        <f t="shared" si="1"/>
        <v>0</v>
      </c>
      <c r="Q13" s="27">
        <f t="shared" si="2"/>
        <v>0</v>
      </c>
    </row>
    <row r="14" spans="1:17" x14ac:dyDescent="0.45">
      <c r="B14" s="27" t="str">
        <f>IFERROR(VLOOKUP(A14,القائمة!$A$3:$F$112,2,FALSE),"")</f>
        <v/>
      </c>
      <c r="C14" s="27" t="str">
        <f>IFERROR(VLOOKUP(A14,القائمة!$A$3:$F$112,3,FALSE),"")</f>
        <v/>
      </c>
      <c r="D14" s="36" t="str">
        <f>IFERROR(VLOOKUP(A14,القائمة!$A$3:$F$112,4,FALSE),"")</f>
        <v/>
      </c>
      <c r="E14" s="36" t="str">
        <f>IFERROR(VLOOKUP(A14,القائمة!$A$3:$F$112,5,FALSE),"")</f>
        <v/>
      </c>
      <c r="F14" s="37" t="str">
        <f>IFERROR(VLOOKUP(A14,القائمة!$A$3:$F$112,6,FALSE),"")</f>
        <v/>
      </c>
      <c r="H14" s="38"/>
      <c r="I14" s="36"/>
      <c r="J14" s="39"/>
      <c r="K14" s="39"/>
      <c r="P14" s="27">
        <f t="shared" si="1"/>
        <v>0</v>
      </c>
      <c r="Q14" s="27">
        <f t="shared" si="2"/>
        <v>0</v>
      </c>
    </row>
    <row r="15" spans="1:17" x14ac:dyDescent="0.45">
      <c r="B15" s="27" t="str">
        <f>IFERROR(VLOOKUP(A15,القائمة!$A$3:$F$112,2,FALSE),"")</f>
        <v/>
      </c>
      <c r="C15" s="27" t="str">
        <f>IFERROR(VLOOKUP(A15,القائمة!$A$3:$F$112,3,FALSE),"")</f>
        <v/>
      </c>
      <c r="D15" s="36" t="str">
        <f>IFERROR(VLOOKUP(A15,القائمة!$A$3:$F$112,4,FALSE),"")</f>
        <v/>
      </c>
      <c r="E15" s="36" t="str">
        <f>IFERROR(VLOOKUP(A15,القائمة!$A$3:$F$112,5,FALSE),"")</f>
        <v/>
      </c>
      <c r="F15" s="37" t="str">
        <f>IFERROR(VLOOKUP(A15,القائمة!$A$3:$F$112,6,FALSE),"")</f>
        <v/>
      </c>
      <c r="H15" s="38"/>
      <c r="I15" s="36"/>
      <c r="J15" s="39"/>
      <c r="K15" s="39"/>
      <c r="P15" s="27">
        <f t="shared" si="1"/>
        <v>0</v>
      </c>
      <c r="Q15" s="27">
        <f t="shared" si="2"/>
        <v>0</v>
      </c>
    </row>
    <row r="16" spans="1:17" x14ac:dyDescent="0.45">
      <c r="B16" s="27" t="str">
        <f>IFERROR(VLOOKUP(A16,القائمة!$A$3:$F$112,2,FALSE),"")</f>
        <v/>
      </c>
      <c r="C16" s="27" t="str">
        <f>IFERROR(VLOOKUP(A16,القائمة!$A$3:$F$112,3,FALSE),"")</f>
        <v/>
      </c>
      <c r="D16" s="36" t="str">
        <f>IFERROR(VLOOKUP(A16,القائمة!$A$3:$F$112,4,FALSE),"")</f>
        <v/>
      </c>
      <c r="E16" s="36" t="str">
        <f>IFERROR(VLOOKUP(A16,القائمة!$A$3:$F$112,5,FALSE),"")</f>
        <v/>
      </c>
      <c r="F16" s="37" t="str">
        <f>IFERROR(VLOOKUP(A16,القائمة!$A$3:$F$112,6,FALSE),"")</f>
        <v/>
      </c>
      <c r="H16" s="38"/>
      <c r="I16" s="36"/>
      <c r="J16" s="39"/>
      <c r="K16" s="39"/>
      <c r="P16" s="27">
        <f t="shared" si="1"/>
        <v>0</v>
      </c>
      <c r="Q16" s="27">
        <f t="shared" si="2"/>
        <v>0</v>
      </c>
    </row>
    <row r="17" spans="2:17" x14ac:dyDescent="0.45">
      <c r="B17" s="27" t="str">
        <f>IFERROR(VLOOKUP(A17,القائمة!$A$3:$F$112,2,FALSE),"")</f>
        <v/>
      </c>
      <c r="C17" s="27" t="str">
        <f>IFERROR(VLOOKUP(A17,القائمة!$A$3:$F$112,3,FALSE),"")</f>
        <v/>
      </c>
      <c r="D17" s="36" t="str">
        <f>IFERROR(VLOOKUP(A17,القائمة!$A$3:$F$112,4,FALSE),"")</f>
        <v/>
      </c>
      <c r="E17" s="36" t="str">
        <f>IFERROR(VLOOKUP(A17,القائمة!$A$3:$F$112,5,FALSE),"")</f>
        <v/>
      </c>
      <c r="F17" s="37" t="str">
        <f>IFERROR(VLOOKUP(A17,القائمة!$A$3:$F$112,6,FALSE),"")</f>
        <v/>
      </c>
      <c r="H17" s="38"/>
      <c r="I17" s="36"/>
      <c r="J17" s="39"/>
      <c r="K17" s="39"/>
      <c r="P17" s="27">
        <f t="shared" si="1"/>
        <v>0</v>
      </c>
      <c r="Q17" s="27">
        <f t="shared" si="2"/>
        <v>0</v>
      </c>
    </row>
    <row r="18" spans="2:17" x14ac:dyDescent="0.45">
      <c r="B18" s="27" t="str">
        <f>IFERROR(VLOOKUP(A18,القائمة!$A$3:$F$112,2,FALSE),"")</f>
        <v/>
      </c>
      <c r="C18" s="27" t="str">
        <f>IFERROR(VLOOKUP(A18,القائمة!$A$3:$F$112,3,FALSE),"")</f>
        <v/>
      </c>
      <c r="D18" s="36" t="str">
        <f>IFERROR(VLOOKUP(A18,القائمة!$A$3:$F$112,4,FALSE),"")</f>
        <v/>
      </c>
      <c r="E18" s="36" t="str">
        <f>IFERROR(VLOOKUP(A18,القائمة!$A$3:$F$112,5,FALSE),"")</f>
        <v/>
      </c>
      <c r="F18" s="37" t="str">
        <f>IFERROR(VLOOKUP(A18,القائمة!$A$3:$F$112,6,FALSE),"")</f>
        <v/>
      </c>
      <c r="H18" s="38"/>
      <c r="I18" s="36"/>
      <c r="J18" s="39"/>
      <c r="K18" s="39"/>
      <c r="P18" s="27">
        <f t="shared" si="1"/>
        <v>0</v>
      </c>
      <c r="Q18" s="27">
        <f t="shared" si="2"/>
        <v>0</v>
      </c>
    </row>
    <row r="19" spans="2:17" x14ac:dyDescent="0.45">
      <c r="B19" s="27" t="str">
        <f>IFERROR(VLOOKUP(A19,القائمة!$A$3:$F$112,2,FALSE),"")</f>
        <v/>
      </c>
      <c r="C19" s="27" t="str">
        <f>IFERROR(VLOOKUP(A19,القائمة!$A$3:$F$112,3,FALSE),"")</f>
        <v/>
      </c>
      <c r="D19" s="36" t="str">
        <f>IFERROR(VLOOKUP(A19,القائمة!$A$3:$F$112,4,FALSE),"")</f>
        <v/>
      </c>
      <c r="E19" s="36" t="str">
        <f>IFERROR(VLOOKUP(A19,القائمة!$A$3:$F$112,5,FALSE),"")</f>
        <v/>
      </c>
      <c r="F19" s="37" t="str">
        <f>IFERROR(VLOOKUP(A19,القائمة!$A$3:$F$112,6,FALSE),"")</f>
        <v/>
      </c>
      <c r="H19" s="38"/>
      <c r="I19" s="36"/>
      <c r="J19" s="39"/>
      <c r="K19" s="39"/>
      <c r="P19" s="27">
        <f t="shared" si="1"/>
        <v>0</v>
      </c>
      <c r="Q19" s="27">
        <f t="shared" si="2"/>
        <v>0</v>
      </c>
    </row>
    <row r="20" spans="2:17" x14ac:dyDescent="0.45">
      <c r="B20" s="27" t="str">
        <f>IFERROR(VLOOKUP(A20,القائمة!$A$3:$F$112,2,FALSE),"")</f>
        <v/>
      </c>
      <c r="C20" s="27" t="str">
        <f>IFERROR(VLOOKUP(A20,القائمة!$A$3:$F$112,3,FALSE),"")</f>
        <v/>
      </c>
      <c r="D20" s="36" t="str">
        <f>IFERROR(VLOOKUP(A20,القائمة!$A$3:$F$112,4,FALSE),"")</f>
        <v/>
      </c>
      <c r="E20" s="36" t="str">
        <f>IFERROR(VLOOKUP(A20,القائمة!$A$3:$F$112,5,FALSE),"")</f>
        <v/>
      </c>
      <c r="F20" s="37" t="str">
        <f>IFERROR(VLOOKUP(A20,القائمة!$A$3:$F$112,6,FALSE),"")</f>
        <v/>
      </c>
      <c r="H20" s="38"/>
      <c r="I20" s="36"/>
      <c r="J20" s="39"/>
      <c r="K20" s="39"/>
      <c r="P20" s="27">
        <f t="shared" si="1"/>
        <v>0</v>
      </c>
      <c r="Q20" s="27">
        <f t="shared" si="2"/>
        <v>0</v>
      </c>
    </row>
    <row r="21" spans="2:17" x14ac:dyDescent="0.45">
      <c r="B21" s="27" t="str">
        <f>IFERROR(VLOOKUP(A21,القائمة!$A$3:$F$112,2,FALSE),"")</f>
        <v/>
      </c>
      <c r="C21" s="27" t="str">
        <f>IFERROR(VLOOKUP(A21,القائمة!$A$3:$F$112,3,FALSE),"")</f>
        <v/>
      </c>
      <c r="D21" s="36" t="str">
        <f>IFERROR(VLOOKUP(A21,القائمة!$A$3:$F$112,4,FALSE),"")</f>
        <v/>
      </c>
      <c r="E21" s="36" t="str">
        <f>IFERROR(VLOOKUP(A21,القائمة!$A$3:$F$112,5,FALSE),"")</f>
        <v/>
      </c>
      <c r="F21" s="37" t="str">
        <f>IFERROR(VLOOKUP(A21,القائمة!$A$3:$F$112,6,FALSE),"")</f>
        <v/>
      </c>
      <c r="H21" s="38"/>
      <c r="I21" s="36"/>
      <c r="J21" s="39"/>
      <c r="K21" s="39"/>
      <c r="P21" s="27">
        <f t="shared" si="1"/>
        <v>0</v>
      </c>
      <c r="Q21" s="27">
        <f t="shared" si="2"/>
        <v>0</v>
      </c>
    </row>
    <row r="22" spans="2:17" x14ac:dyDescent="0.45">
      <c r="B22" s="27" t="str">
        <f>IFERROR(VLOOKUP(A22,القائمة!$A$3:$F$112,2,FALSE),"")</f>
        <v/>
      </c>
      <c r="C22" s="27" t="str">
        <f>IFERROR(VLOOKUP(A22,القائمة!$A$3:$F$112,3,FALSE),"")</f>
        <v/>
      </c>
      <c r="D22" s="36" t="str">
        <f>IFERROR(VLOOKUP(A22,القائمة!$A$3:$F$112,4,FALSE),"")</f>
        <v/>
      </c>
      <c r="E22" s="36" t="str">
        <f>IFERROR(VLOOKUP(A22,القائمة!$A$3:$F$112,5,FALSE),"")</f>
        <v/>
      </c>
      <c r="F22" s="37" t="str">
        <f>IFERROR(VLOOKUP(A22,القائمة!$A$3:$F$112,6,FALSE),"")</f>
        <v/>
      </c>
      <c r="H22" s="38"/>
      <c r="I22" s="36"/>
      <c r="J22" s="39"/>
      <c r="K22" s="39"/>
      <c r="P22" s="27">
        <f t="shared" si="1"/>
        <v>0</v>
      </c>
      <c r="Q22" s="27">
        <f t="shared" si="2"/>
        <v>0</v>
      </c>
    </row>
    <row r="23" spans="2:17" x14ac:dyDescent="0.45">
      <c r="B23" s="27" t="str">
        <f>IFERROR(VLOOKUP(A23,القائمة!$A$3:$F$112,2,FALSE),"")</f>
        <v/>
      </c>
      <c r="C23" s="27" t="str">
        <f>IFERROR(VLOOKUP(A23,القائمة!$A$3:$F$112,3,FALSE),"")</f>
        <v/>
      </c>
      <c r="D23" s="36" t="str">
        <f>IFERROR(VLOOKUP(A23,القائمة!$A$3:$F$112,4,FALSE),"")</f>
        <v/>
      </c>
      <c r="E23" s="36" t="str">
        <f>IFERROR(VLOOKUP(A23,القائمة!$A$3:$F$112,5,FALSE),"")</f>
        <v/>
      </c>
      <c r="F23" s="37" t="str">
        <f>IFERROR(VLOOKUP(A23,القائمة!$A$3:$F$112,6,FALSE),"")</f>
        <v/>
      </c>
      <c r="H23" s="38"/>
      <c r="I23" s="36"/>
      <c r="J23" s="39"/>
      <c r="K23" s="39"/>
      <c r="P23" s="27">
        <f t="shared" si="1"/>
        <v>0</v>
      </c>
      <c r="Q23" s="27">
        <f t="shared" si="2"/>
        <v>0</v>
      </c>
    </row>
    <row r="24" spans="2:17" x14ac:dyDescent="0.45">
      <c r="B24" s="27" t="str">
        <f>IFERROR(VLOOKUP(A24,القائمة!$A$3:$F$112,2,FALSE),"")</f>
        <v/>
      </c>
      <c r="C24" s="27" t="str">
        <f>IFERROR(VLOOKUP(A24,القائمة!$A$3:$F$112,3,FALSE),"")</f>
        <v/>
      </c>
      <c r="D24" s="36" t="str">
        <f>IFERROR(VLOOKUP(A24,القائمة!$A$3:$F$112,4,FALSE),"")</f>
        <v/>
      </c>
      <c r="E24" s="36" t="str">
        <f>IFERROR(VLOOKUP(A24,القائمة!$A$3:$F$112,5,FALSE),"")</f>
        <v/>
      </c>
      <c r="F24" s="37" t="str">
        <f>IFERROR(VLOOKUP(A24,القائمة!$A$3:$F$112,6,FALSE),"")</f>
        <v/>
      </c>
      <c r="H24" s="38"/>
      <c r="I24" s="36"/>
      <c r="J24" s="39"/>
      <c r="K24" s="39"/>
      <c r="P24" s="27">
        <f t="shared" si="1"/>
        <v>0</v>
      </c>
      <c r="Q24" s="27">
        <f t="shared" si="2"/>
        <v>0</v>
      </c>
    </row>
    <row r="25" spans="2:17" x14ac:dyDescent="0.45">
      <c r="B25" s="27" t="str">
        <f>IFERROR(VLOOKUP(A25,القائمة!$A$3:$F$112,2,FALSE),"")</f>
        <v/>
      </c>
      <c r="C25" s="27" t="str">
        <f>IFERROR(VLOOKUP(A25,القائمة!$A$3:$F$112,3,FALSE),"")</f>
        <v/>
      </c>
      <c r="D25" s="36" t="str">
        <f>IFERROR(VLOOKUP(A25,القائمة!$A$3:$F$112,4,FALSE),"")</f>
        <v/>
      </c>
      <c r="E25" s="36" t="str">
        <f>IFERROR(VLOOKUP(A25,القائمة!$A$3:$F$112,5,FALSE),"")</f>
        <v/>
      </c>
      <c r="F25" s="37" t="str">
        <f>IFERROR(VLOOKUP(A25,القائمة!$A$3:$F$112,6,FALSE),"")</f>
        <v/>
      </c>
      <c r="H25" s="38"/>
      <c r="I25" s="36"/>
      <c r="J25" s="39"/>
      <c r="K25" s="39"/>
      <c r="P25" s="27">
        <f t="shared" si="1"/>
        <v>0</v>
      </c>
      <c r="Q25" s="27">
        <f t="shared" si="2"/>
        <v>0</v>
      </c>
    </row>
    <row r="26" spans="2:17" x14ac:dyDescent="0.45">
      <c r="B26" s="27" t="str">
        <f>IFERROR(VLOOKUP(A26,القائمة!$A$3:$F$112,2,FALSE),"")</f>
        <v/>
      </c>
      <c r="C26" s="27" t="str">
        <f>IFERROR(VLOOKUP(A26,القائمة!$A$3:$F$112,3,FALSE),"")</f>
        <v/>
      </c>
      <c r="D26" s="36" t="str">
        <f>IFERROR(VLOOKUP(A26,القائمة!$A$3:$F$112,4,FALSE),"")</f>
        <v/>
      </c>
      <c r="E26" s="36" t="str">
        <f>IFERROR(VLOOKUP(A26,القائمة!$A$3:$F$112,5,FALSE),"")</f>
        <v/>
      </c>
      <c r="F26" s="37" t="str">
        <f>IFERROR(VLOOKUP(A26,القائمة!$A$3:$F$112,6,FALSE),"")</f>
        <v/>
      </c>
      <c r="H26" s="38"/>
      <c r="I26" s="36"/>
      <c r="J26" s="39"/>
      <c r="K26" s="39"/>
      <c r="P26" s="27">
        <f t="shared" si="1"/>
        <v>0</v>
      </c>
      <c r="Q26" s="27">
        <f t="shared" si="2"/>
        <v>0</v>
      </c>
    </row>
    <row r="27" spans="2:17" x14ac:dyDescent="0.45">
      <c r="B27" s="27" t="str">
        <f>IFERROR(VLOOKUP(A27,القائمة!$A$3:$F$112,2,FALSE),"")</f>
        <v/>
      </c>
      <c r="C27" s="27" t="str">
        <f>IFERROR(VLOOKUP(A27,القائمة!$A$3:$F$112,3,FALSE),"")</f>
        <v/>
      </c>
      <c r="D27" s="36" t="str">
        <f>IFERROR(VLOOKUP(A27,القائمة!$A$3:$F$112,4,FALSE),"")</f>
        <v/>
      </c>
      <c r="E27" s="36" t="str">
        <f>IFERROR(VLOOKUP(A27,القائمة!$A$3:$F$112,5,FALSE),"")</f>
        <v/>
      </c>
      <c r="F27" s="37" t="str">
        <f>IFERROR(VLOOKUP(A27,القائمة!$A$3:$F$112,6,FALSE),"")</f>
        <v/>
      </c>
      <c r="H27" s="38"/>
      <c r="I27" s="36"/>
      <c r="J27" s="39"/>
      <c r="K27" s="39"/>
      <c r="P27" s="27">
        <f t="shared" si="1"/>
        <v>0</v>
      </c>
      <c r="Q27" s="27">
        <f t="shared" si="2"/>
        <v>0</v>
      </c>
    </row>
    <row r="28" spans="2:17" x14ac:dyDescent="0.45">
      <c r="B28" s="27" t="str">
        <f>IFERROR(VLOOKUP(A28,القائمة!$A$3:$F$112,2,FALSE),"")</f>
        <v/>
      </c>
      <c r="C28" s="27" t="str">
        <f>IFERROR(VLOOKUP(A28,القائمة!$A$3:$F$112,3,FALSE),"")</f>
        <v/>
      </c>
      <c r="D28" s="36" t="str">
        <f>IFERROR(VLOOKUP(A28,القائمة!$A$3:$F$112,4,FALSE),"")</f>
        <v/>
      </c>
      <c r="E28" s="36" t="str">
        <f>IFERROR(VLOOKUP(A28,القائمة!$A$3:$F$112,5,FALSE),"")</f>
        <v/>
      </c>
      <c r="F28" s="37" t="str">
        <f>IFERROR(VLOOKUP(A28,القائمة!$A$3:$F$112,6,FALSE),"")</f>
        <v/>
      </c>
      <c r="H28" s="38"/>
      <c r="I28" s="36"/>
      <c r="J28" s="39"/>
      <c r="K28" s="39"/>
      <c r="P28" s="27">
        <f t="shared" si="1"/>
        <v>0</v>
      </c>
      <c r="Q28" s="27">
        <f t="shared" si="2"/>
        <v>0</v>
      </c>
    </row>
    <row r="29" spans="2:17" x14ac:dyDescent="0.45">
      <c r="B29" s="27" t="str">
        <f>IFERROR(VLOOKUP(A29,القائمة!$A$3:$F$112,2,FALSE),"")</f>
        <v/>
      </c>
      <c r="C29" s="27" t="str">
        <f>IFERROR(VLOOKUP(A29,القائمة!$A$3:$F$112,3,FALSE),"")</f>
        <v/>
      </c>
      <c r="D29" s="36" t="str">
        <f>IFERROR(VLOOKUP(A29,القائمة!$A$3:$F$112,4,FALSE),"")</f>
        <v/>
      </c>
      <c r="E29" s="36" t="str">
        <f>IFERROR(VLOOKUP(A29,القائمة!$A$3:$F$112,5,FALSE),"")</f>
        <v/>
      </c>
      <c r="F29" s="37" t="str">
        <f>IFERROR(VLOOKUP(A29,القائمة!$A$3:$F$112,6,FALSE),"")</f>
        <v/>
      </c>
      <c r="H29" s="38"/>
      <c r="I29" s="36"/>
      <c r="J29" s="39"/>
      <c r="K29" s="39"/>
      <c r="P29" s="27">
        <f t="shared" si="1"/>
        <v>0</v>
      </c>
      <c r="Q29" s="27">
        <f t="shared" si="2"/>
        <v>0</v>
      </c>
    </row>
    <row r="30" spans="2:17" x14ac:dyDescent="0.45">
      <c r="B30" s="27" t="str">
        <f>IFERROR(VLOOKUP(A30,القائمة!$A$3:$F$112,2,FALSE),"")</f>
        <v/>
      </c>
      <c r="C30" s="27" t="str">
        <f>IFERROR(VLOOKUP(A30,القائمة!$A$3:$F$112,3,FALSE),"")</f>
        <v/>
      </c>
      <c r="D30" s="36" t="str">
        <f>IFERROR(VLOOKUP(A30,القائمة!$A$3:$F$112,4,FALSE),"")</f>
        <v/>
      </c>
      <c r="E30" s="36" t="str">
        <f>IFERROR(VLOOKUP(A30,القائمة!$A$3:$F$112,5,FALSE),"")</f>
        <v/>
      </c>
      <c r="F30" s="37" t="str">
        <f>IFERROR(VLOOKUP(A30,القائمة!$A$3:$F$112,6,FALSE),"")</f>
        <v/>
      </c>
      <c r="H30" s="38"/>
      <c r="I30" s="36"/>
      <c r="J30" s="39"/>
      <c r="K30" s="39"/>
      <c r="P30" s="27">
        <f t="shared" si="1"/>
        <v>0</v>
      </c>
      <c r="Q30" s="27">
        <f t="shared" si="2"/>
        <v>0</v>
      </c>
    </row>
    <row r="31" spans="2:17" x14ac:dyDescent="0.45">
      <c r="B31" s="27" t="str">
        <f>IFERROR(VLOOKUP(A31,القائمة!$A$3:$F$112,2,FALSE),"")</f>
        <v/>
      </c>
      <c r="C31" s="27" t="str">
        <f>IFERROR(VLOOKUP(A31,القائمة!$A$3:$F$112,3,FALSE),"")</f>
        <v/>
      </c>
      <c r="D31" s="36" t="str">
        <f>IFERROR(VLOOKUP(A31,القائمة!$A$3:$F$112,4,FALSE),"")</f>
        <v/>
      </c>
      <c r="E31" s="36" t="str">
        <f>IFERROR(VLOOKUP(A31,القائمة!$A$3:$F$112,5,FALSE),"")</f>
        <v/>
      </c>
      <c r="F31" s="37" t="str">
        <f>IFERROR(VLOOKUP(A31,القائمة!$A$3:$F$112,6,FALSE),"")</f>
        <v/>
      </c>
      <c r="H31" s="38"/>
      <c r="I31" s="36"/>
      <c r="J31" s="39"/>
      <c r="K31" s="39"/>
      <c r="P31" s="27">
        <f t="shared" si="1"/>
        <v>0</v>
      </c>
      <c r="Q31" s="27">
        <f t="shared" si="2"/>
        <v>0</v>
      </c>
    </row>
    <row r="32" spans="2:17" x14ac:dyDescent="0.45">
      <c r="B32" s="27" t="str">
        <f>IFERROR(VLOOKUP(A32,القائمة!$A$3:$F$112,2,FALSE),"")</f>
        <v/>
      </c>
      <c r="C32" s="27" t="str">
        <f>IFERROR(VLOOKUP(A32,القائمة!$A$3:$F$112,3,FALSE),"")</f>
        <v/>
      </c>
      <c r="D32" s="36" t="str">
        <f>IFERROR(VLOOKUP(A32,القائمة!$A$3:$F$112,4,FALSE),"")</f>
        <v/>
      </c>
      <c r="E32" s="36" t="str">
        <f>IFERROR(VLOOKUP(A32,القائمة!$A$3:$F$112,5,FALSE),"")</f>
        <v/>
      </c>
      <c r="F32" s="37" t="str">
        <f>IFERROR(VLOOKUP(A32,القائمة!$A$3:$F$112,6,FALSE),"")</f>
        <v/>
      </c>
      <c r="H32" s="38"/>
      <c r="I32" s="36"/>
      <c r="J32" s="39"/>
      <c r="K32" s="39"/>
      <c r="P32" s="27">
        <f t="shared" si="1"/>
        <v>0</v>
      </c>
      <c r="Q32" s="27">
        <f t="shared" si="2"/>
        <v>0</v>
      </c>
    </row>
    <row r="33" spans="2:17" x14ac:dyDescent="0.45">
      <c r="B33" s="27" t="str">
        <f>IFERROR(VLOOKUP(A33,القائمة!$A$3:$F$112,2,FALSE),"")</f>
        <v/>
      </c>
      <c r="C33" s="27" t="str">
        <f>IFERROR(VLOOKUP(A33,القائمة!$A$3:$F$112,3,FALSE),"")</f>
        <v/>
      </c>
      <c r="D33" s="36" t="str">
        <f>IFERROR(VLOOKUP(A33,القائمة!$A$3:$F$112,4,FALSE),"")</f>
        <v/>
      </c>
      <c r="E33" s="36" t="str">
        <f>IFERROR(VLOOKUP(A33,القائمة!$A$3:$F$112,5,FALSE),"")</f>
        <v/>
      </c>
      <c r="F33" s="37" t="str">
        <f>IFERROR(VLOOKUP(A33,القائمة!$A$3:$F$112,6,FALSE),"")</f>
        <v/>
      </c>
      <c r="H33" s="38"/>
      <c r="I33" s="36"/>
      <c r="J33" s="39"/>
      <c r="K33" s="39"/>
      <c r="P33" s="27">
        <f t="shared" si="1"/>
        <v>0</v>
      </c>
      <c r="Q33" s="27">
        <f t="shared" si="2"/>
        <v>0</v>
      </c>
    </row>
    <row r="34" spans="2:17" x14ac:dyDescent="0.45">
      <c r="B34" s="27" t="str">
        <f>IFERROR(VLOOKUP(A34,القائمة!$A$3:$F$112,2,FALSE),"")</f>
        <v/>
      </c>
      <c r="C34" s="27" t="str">
        <f>IFERROR(VLOOKUP(A34,القائمة!$A$3:$F$112,3,FALSE),"")</f>
        <v/>
      </c>
      <c r="D34" s="36" t="str">
        <f>IFERROR(VLOOKUP(A34,القائمة!$A$3:$F$112,4,FALSE),"")</f>
        <v/>
      </c>
      <c r="E34" s="36" t="str">
        <f>IFERROR(VLOOKUP(A34,القائمة!$A$3:$F$112,5,FALSE),"")</f>
        <v/>
      </c>
      <c r="F34" s="37" t="str">
        <f>IFERROR(VLOOKUP(A34,القائمة!$A$3:$F$112,6,FALSE),"")</f>
        <v/>
      </c>
      <c r="H34" s="38"/>
      <c r="I34" s="36"/>
      <c r="J34" s="39"/>
      <c r="K34" s="39"/>
      <c r="P34" s="27">
        <f t="shared" si="1"/>
        <v>0</v>
      </c>
      <c r="Q34" s="27">
        <f t="shared" si="2"/>
        <v>0</v>
      </c>
    </row>
    <row r="35" spans="2:17" x14ac:dyDescent="0.45">
      <c r="B35" s="27" t="str">
        <f>IFERROR(VLOOKUP(A35,القائمة!$A$3:$F$112,2,FALSE),"")</f>
        <v/>
      </c>
      <c r="C35" s="27" t="str">
        <f>IFERROR(VLOOKUP(A35,القائمة!$A$3:$F$112,3,FALSE),"")</f>
        <v/>
      </c>
      <c r="D35" s="36" t="str">
        <f>IFERROR(VLOOKUP(A35,القائمة!$A$3:$F$112,4,FALSE),"")</f>
        <v/>
      </c>
      <c r="E35" s="36" t="str">
        <f>IFERROR(VLOOKUP(A35,القائمة!$A$3:$F$112,5,FALSE),"")</f>
        <v/>
      </c>
      <c r="F35" s="37" t="str">
        <f>IFERROR(VLOOKUP(A35,القائمة!$A$3:$F$112,6,FALSE),"")</f>
        <v/>
      </c>
      <c r="H35" s="38"/>
      <c r="I35" s="36"/>
      <c r="J35" s="39"/>
      <c r="K35" s="39"/>
      <c r="P35" s="27">
        <f t="shared" si="1"/>
        <v>0</v>
      </c>
      <c r="Q35" s="27">
        <f t="shared" si="2"/>
        <v>0</v>
      </c>
    </row>
    <row r="36" spans="2:17" x14ac:dyDescent="0.45">
      <c r="B36" s="27" t="str">
        <f>IFERROR(VLOOKUP(A36,القائمة!$A$3:$F$112,2,FALSE),"")</f>
        <v/>
      </c>
      <c r="C36" s="27" t="str">
        <f>IFERROR(VLOOKUP(A36,القائمة!$A$3:$F$112,3,FALSE),"")</f>
        <v/>
      </c>
      <c r="D36" s="36" t="str">
        <f>IFERROR(VLOOKUP(A36,القائمة!$A$3:$F$112,4,FALSE),"")</f>
        <v/>
      </c>
      <c r="E36" s="36" t="str">
        <f>IFERROR(VLOOKUP(A36,القائمة!$A$3:$F$112,5,FALSE),"")</f>
        <v/>
      </c>
      <c r="F36" s="37" t="str">
        <f>IFERROR(VLOOKUP(A36,القائمة!$A$3:$F$112,6,FALSE),"")</f>
        <v/>
      </c>
      <c r="H36" s="38"/>
      <c r="I36" s="36"/>
      <c r="J36" s="39"/>
      <c r="K36" s="39"/>
      <c r="P36" s="27">
        <f t="shared" si="1"/>
        <v>0</v>
      </c>
      <c r="Q36" s="27">
        <f t="shared" si="2"/>
        <v>0</v>
      </c>
    </row>
    <row r="37" spans="2:17" x14ac:dyDescent="0.45">
      <c r="B37" s="27" t="str">
        <f>IFERROR(VLOOKUP(A37,القائمة!$A$3:$F$112,2,FALSE),"")</f>
        <v/>
      </c>
      <c r="C37" s="27" t="str">
        <f>IFERROR(VLOOKUP(A37,القائمة!$A$3:$F$112,3,FALSE),"")</f>
        <v/>
      </c>
      <c r="D37" s="36" t="str">
        <f>IFERROR(VLOOKUP(A37,القائمة!$A$3:$F$112,4,FALSE),"")</f>
        <v/>
      </c>
      <c r="E37" s="36" t="str">
        <f>IFERROR(VLOOKUP(A37,القائمة!$A$3:$F$112,5,FALSE),"")</f>
        <v/>
      </c>
      <c r="F37" s="37" t="str">
        <f>IFERROR(VLOOKUP(A37,القائمة!$A$3:$F$112,6,FALSE),"")</f>
        <v/>
      </c>
      <c r="H37" s="38"/>
      <c r="I37" s="36"/>
      <c r="J37" s="39"/>
      <c r="K37" s="39"/>
      <c r="P37" s="27">
        <f t="shared" si="1"/>
        <v>0</v>
      </c>
      <c r="Q37" s="27">
        <f t="shared" si="2"/>
        <v>0</v>
      </c>
    </row>
    <row r="38" spans="2:17" x14ac:dyDescent="0.45">
      <c r="B38" s="27" t="str">
        <f>IFERROR(VLOOKUP(A38,القائمة!$A$3:$F$112,2,FALSE),"")</f>
        <v/>
      </c>
      <c r="C38" s="27" t="str">
        <f>IFERROR(VLOOKUP(A38,القائمة!$A$3:$F$112,3,FALSE),"")</f>
        <v/>
      </c>
      <c r="D38" s="36" t="str">
        <f>IFERROR(VLOOKUP(A38,القائمة!$A$3:$F$112,4,FALSE),"")</f>
        <v/>
      </c>
      <c r="E38" s="36" t="str">
        <f>IFERROR(VLOOKUP(A38,القائمة!$A$3:$F$112,5,FALSE),"")</f>
        <v/>
      </c>
      <c r="F38" s="37" t="str">
        <f>IFERROR(VLOOKUP(A38,القائمة!$A$3:$F$112,6,FALSE),"")</f>
        <v/>
      </c>
      <c r="H38" s="38"/>
      <c r="I38" s="36"/>
      <c r="J38" s="39"/>
      <c r="K38" s="39"/>
      <c r="P38" s="27">
        <f t="shared" si="1"/>
        <v>0</v>
      </c>
      <c r="Q38" s="27">
        <f t="shared" si="2"/>
        <v>0</v>
      </c>
    </row>
    <row r="39" spans="2:17" x14ac:dyDescent="0.45">
      <c r="B39" s="27" t="str">
        <f>IFERROR(VLOOKUP(A39,القائمة!$A$3:$F$112,2,FALSE),"")</f>
        <v/>
      </c>
      <c r="C39" s="27" t="str">
        <f>IFERROR(VLOOKUP(A39,القائمة!$A$3:$F$112,3,FALSE),"")</f>
        <v/>
      </c>
      <c r="D39" s="36" t="str">
        <f>IFERROR(VLOOKUP(A39,القائمة!$A$3:$F$112,4,FALSE),"")</f>
        <v/>
      </c>
      <c r="E39" s="36" t="str">
        <f>IFERROR(VLOOKUP(A39,القائمة!$A$3:$F$112,5,FALSE),"")</f>
        <v/>
      </c>
      <c r="F39" s="37" t="str">
        <f>IFERROR(VLOOKUP(A39,القائمة!$A$3:$F$112,6,FALSE),"")</f>
        <v/>
      </c>
      <c r="H39" s="38"/>
      <c r="I39" s="36"/>
      <c r="J39" s="39"/>
      <c r="K39" s="39"/>
      <c r="P39" s="27">
        <f t="shared" si="1"/>
        <v>0</v>
      </c>
      <c r="Q39" s="27">
        <f t="shared" si="2"/>
        <v>0</v>
      </c>
    </row>
    <row r="40" spans="2:17" x14ac:dyDescent="0.45">
      <c r="B40" s="27" t="str">
        <f>IFERROR(VLOOKUP(A40,القائمة!$A$3:$F$112,2,FALSE),"")</f>
        <v/>
      </c>
      <c r="C40" s="27" t="str">
        <f>IFERROR(VLOOKUP(A40,القائمة!$A$3:$F$112,3,FALSE),"")</f>
        <v/>
      </c>
      <c r="D40" s="36" t="str">
        <f>IFERROR(VLOOKUP(A40,القائمة!$A$3:$F$112,4,FALSE),"")</f>
        <v/>
      </c>
      <c r="E40" s="36" t="str">
        <f>IFERROR(VLOOKUP(A40,القائمة!$A$3:$F$112,5,FALSE),"")</f>
        <v/>
      </c>
      <c r="F40" s="37" t="str">
        <f>IFERROR(VLOOKUP(A40,القائمة!$A$3:$F$112,6,FALSE),"")</f>
        <v/>
      </c>
      <c r="H40" s="38"/>
      <c r="I40" s="36"/>
      <c r="J40" s="39"/>
      <c r="K40" s="39"/>
      <c r="P40" s="27">
        <f t="shared" si="1"/>
        <v>0</v>
      </c>
      <c r="Q40" s="27">
        <f t="shared" si="2"/>
        <v>0</v>
      </c>
    </row>
    <row r="41" spans="2:17" x14ac:dyDescent="0.45">
      <c r="B41" s="27" t="str">
        <f>IFERROR(VLOOKUP(A41,القائمة!$A$3:$F$112,2,FALSE),"")</f>
        <v/>
      </c>
      <c r="C41" s="27" t="str">
        <f>IFERROR(VLOOKUP(A41,القائمة!$A$3:$F$112,3,FALSE),"")</f>
        <v/>
      </c>
      <c r="D41" s="36" t="str">
        <f>IFERROR(VLOOKUP(A41,القائمة!$A$3:$F$112,4,FALSE),"")</f>
        <v/>
      </c>
      <c r="E41" s="36" t="str">
        <f>IFERROR(VLOOKUP(A41,القائمة!$A$3:$F$112,5,FALSE),"")</f>
        <v/>
      </c>
      <c r="F41" s="37" t="str">
        <f>IFERROR(VLOOKUP(A41,القائمة!$A$3:$F$112,6,FALSE),"")</f>
        <v/>
      </c>
      <c r="H41" s="38"/>
      <c r="I41" s="36"/>
      <c r="J41" s="39"/>
      <c r="K41" s="39"/>
      <c r="P41" s="27">
        <f t="shared" si="1"/>
        <v>0</v>
      </c>
      <c r="Q41" s="27">
        <f t="shared" si="2"/>
        <v>0</v>
      </c>
    </row>
    <row r="42" spans="2:17" x14ac:dyDescent="0.45">
      <c r="B42" s="27" t="str">
        <f>IFERROR(VLOOKUP(A42,القائمة!$A$3:$F$112,2,FALSE),"")</f>
        <v/>
      </c>
      <c r="C42" s="27" t="str">
        <f>IFERROR(VLOOKUP(A42,القائمة!$A$3:$F$112,3,FALSE),"")</f>
        <v/>
      </c>
      <c r="D42" s="36" t="str">
        <f>IFERROR(VLOOKUP(A42,القائمة!$A$3:$F$112,4,FALSE),"")</f>
        <v/>
      </c>
      <c r="E42" s="36" t="str">
        <f>IFERROR(VLOOKUP(A42,القائمة!$A$3:$F$112,5,FALSE),"")</f>
        <v/>
      </c>
      <c r="F42" s="37" t="str">
        <f>IFERROR(VLOOKUP(A42,القائمة!$A$3:$F$112,6,FALSE),"")</f>
        <v/>
      </c>
      <c r="H42" s="38"/>
      <c r="I42" s="36"/>
      <c r="J42" s="39"/>
      <c r="K42" s="39"/>
      <c r="P42" s="27">
        <f t="shared" si="1"/>
        <v>0</v>
      </c>
      <c r="Q42" s="27">
        <f t="shared" si="2"/>
        <v>0</v>
      </c>
    </row>
    <row r="43" spans="2:17" x14ac:dyDescent="0.45">
      <c r="B43" s="27" t="str">
        <f>IFERROR(VLOOKUP(A43,القائمة!$A$3:$F$112,2,FALSE),"")</f>
        <v/>
      </c>
      <c r="C43" s="27" t="str">
        <f>IFERROR(VLOOKUP(A43,القائمة!$A$3:$F$112,3,FALSE),"")</f>
        <v/>
      </c>
      <c r="D43" s="36" t="str">
        <f>IFERROR(VLOOKUP(A43,القائمة!$A$3:$F$112,4,FALSE),"")</f>
        <v/>
      </c>
      <c r="E43" s="36" t="str">
        <f>IFERROR(VLOOKUP(A43,القائمة!$A$3:$F$112,5,FALSE),"")</f>
        <v/>
      </c>
      <c r="F43" s="37" t="str">
        <f>IFERROR(VLOOKUP(A43,القائمة!$A$3:$F$112,6,FALSE),"")</f>
        <v/>
      </c>
      <c r="H43" s="38"/>
      <c r="I43" s="36"/>
      <c r="J43" s="39"/>
      <c r="K43" s="39"/>
      <c r="P43" s="27">
        <f t="shared" si="1"/>
        <v>0</v>
      </c>
      <c r="Q43" s="27">
        <f t="shared" si="2"/>
        <v>0</v>
      </c>
    </row>
    <row r="44" spans="2:17" x14ac:dyDescent="0.45">
      <c r="B44" s="27" t="str">
        <f>IFERROR(VLOOKUP(A44,القائمة!$A$3:$F$112,2,FALSE),"")</f>
        <v/>
      </c>
      <c r="C44" s="27" t="str">
        <f>IFERROR(VLOOKUP(A44,القائمة!$A$3:$F$112,3,FALSE),"")</f>
        <v/>
      </c>
      <c r="D44" s="36" t="str">
        <f>IFERROR(VLOOKUP(A44,القائمة!$A$3:$F$112,4,FALSE),"")</f>
        <v/>
      </c>
      <c r="E44" s="36" t="str">
        <f>IFERROR(VLOOKUP(A44,القائمة!$A$3:$F$112,5,FALSE),"")</f>
        <v/>
      </c>
      <c r="F44" s="37" t="str">
        <f>IFERROR(VLOOKUP(A44,القائمة!$A$3:$F$112,6,FALSE),"")</f>
        <v/>
      </c>
      <c r="H44" s="38"/>
      <c r="I44" s="36"/>
      <c r="J44" s="39"/>
      <c r="K44" s="39"/>
      <c r="P44" s="27">
        <f t="shared" si="1"/>
        <v>0</v>
      </c>
      <c r="Q44" s="27">
        <f t="shared" si="2"/>
        <v>0</v>
      </c>
    </row>
    <row r="45" spans="2:17" x14ac:dyDescent="0.45">
      <c r="B45" s="27" t="str">
        <f>IFERROR(VLOOKUP(A45,القائمة!$A$3:$F$112,2,FALSE),"")</f>
        <v/>
      </c>
      <c r="C45" s="27" t="str">
        <f>IFERROR(VLOOKUP(A45,القائمة!$A$3:$F$112,3,FALSE),"")</f>
        <v/>
      </c>
      <c r="D45" s="36" t="str">
        <f>IFERROR(VLOOKUP(A45,القائمة!$A$3:$F$112,4,FALSE),"")</f>
        <v/>
      </c>
      <c r="E45" s="36" t="str">
        <f>IFERROR(VLOOKUP(A45,القائمة!$A$3:$F$112,5,FALSE),"")</f>
        <v/>
      </c>
      <c r="F45" s="37" t="str">
        <f>IFERROR(VLOOKUP(A45,القائمة!$A$3:$F$112,6,FALSE),"")</f>
        <v/>
      </c>
      <c r="H45" s="38"/>
      <c r="I45" s="36"/>
      <c r="J45" s="39"/>
      <c r="K45" s="39"/>
      <c r="P45" s="27">
        <f t="shared" si="1"/>
        <v>0</v>
      </c>
      <c r="Q45" s="27">
        <f t="shared" si="2"/>
        <v>0</v>
      </c>
    </row>
    <row r="46" spans="2:17" x14ac:dyDescent="0.45">
      <c r="B46" s="27" t="str">
        <f>IFERROR(VLOOKUP(A46,القائمة!$A$3:$F$112,2,FALSE),"")</f>
        <v/>
      </c>
      <c r="C46" s="27" t="str">
        <f>IFERROR(VLOOKUP(A46,القائمة!$A$3:$F$112,3,FALSE),"")</f>
        <v/>
      </c>
      <c r="D46" s="36" t="str">
        <f>IFERROR(VLOOKUP(A46,القائمة!$A$3:$F$112,4,FALSE),"")</f>
        <v/>
      </c>
      <c r="E46" s="36" t="str">
        <f>IFERROR(VLOOKUP(A46,القائمة!$A$3:$F$112,5,FALSE),"")</f>
        <v/>
      </c>
      <c r="F46" s="37" t="str">
        <f>IFERROR(VLOOKUP(A46,القائمة!$A$3:$F$112,6,FALSE),"")</f>
        <v/>
      </c>
      <c r="H46" s="38"/>
      <c r="I46" s="36"/>
      <c r="J46" s="39"/>
      <c r="K46" s="39"/>
      <c r="P46" s="27">
        <f t="shared" si="1"/>
        <v>0</v>
      </c>
      <c r="Q46" s="27">
        <f t="shared" si="2"/>
        <v>0</v>
      </c>
    </row>
    <row r="47" spans="2:17" x14ac:dyDescent="0.45">
      <c r="B47" s="27" t="str">
        <f>IFERROR(VLOOKUP(A47,القائمة!$A$3:$F$112,2,FALSE),"")</f>
        <v/>
      </c>
      <c r="C47" s="27" t="str">
        <f>IFERROR(VLOOKUP(A47,القائمة!$A$3:$F$112,3,FALSE),"")</f>
        <v/>
      </c>
      <c r="D47" s="36" t="str">
        <f>IFERROR(VLOOKUP(A47,القائمة!$A$3:$F$112,4,FALSE),"")</f>
        <v/>
      </c>
      <c r="E47" s="36" t="str">
        <f>IFERROR(VLOOKUP(A47,القائمة!$A$3:$F$112,5,FALSE),"")</f>
        <v/>
      </c>
      <c r="F47" s="37" t="str">
        <f>IFERROR(VLOOKUP(A47,القائمة!$A$3:$F$112,6,FALSE),"")</f>
        <v/>
      </c>
      <c r="H47" s="38"/>
      <c r="I47" s="36"/>
      <c r="J47" s="39"/>
      <c r="K47" s="39"/>
      <c r="P47" s="27">
        <f t="shared" si="1"/>
        <v>0</v>
      </c>
      <c r="Q47" s="27">
        <f t="shared" si="2"/>
        <v>0</v>
      </c>
    </row>
    <row r="48" spans="2:17" x14ac:dyDescent="0.45">
      <c r="B48" s="27" t="str">
        <f>IFERROR(VLOOKUP(A48,القائمة!$A$3:$F$112,2,FALSE),"")</f>
        <v/>
      </c>
      <c r="C48" s="27" t="str">
        <f>IFERROR(VLOOKUP(A48,القائمة!$A$3:$F$112,3,FALSE),"")</f>
        <v/>
      </c>
      <c r="D48" s="36" t="str">
        <f>IFERROR(VLOOKUP(A48,القائمة!$A$3:$F$112,4,FALSE),"")</f>
        <v/>
      </c>
      <c r="E48" s="36" t="str">
        <f>IFERROR(VLOOKUP(A48,القائمة!$A$3:$F$112,5,FALSE),"")</f>
        <v/>
      </c>
      <c r="F48" s="37" t="str">
        <f>IFERROR(VLOOKUP(A48,القائمة!$A$3:$F$112,6,FALSE),"")</f>
        <v/>
      </c>
      <c r="H48" s="38"/>
      <c r="I48" s="36"/>
      <c r="J48" s="39"/>
      <c r="K48" s="39"/>
      <c r="P48" s="27">
        <f t="shared" si="1"/>
        <v>0</v>
      </c>
      <c r="Q48" s="27">
        <f t="shared" si="2"/>
        <v>0</v>
      </c>
    </row>
    <row r="49" spans="2:17" x14ac:dyDescent="0.45">
      <c r="B49" s="27" t="str">
        <f>IFERROR(VLOOKUP(A49,القائمة!$A$3:$F$112,2,FALSE),"")</f>
        <v/>
      </c>
      <c r="C49" s="27" t="str">
        <f>IFERROR(VLOOKUP(A49,القائمة!$A$3:$F$112,3,FALSE),"")</f>
        <v/>
      </c>
      <c r="D49" s="36" t="str">
        <f>IFERROR(VLOOKUP(A49,القائمة!$A$3:$F$112,4,FALSE),"")</f>
        <v/>
      </c>
      <c r="E49" s="36" t="str">
        <f>IFERROR(VLOOKUP(A49,القائمة!$A$3:$F$112,5,FALSE),"")</f>
        <v/>
      </c>
      <c r="F49" s="37" t="str">
        <f>IFERROR(VLOOKUP(A49,القائمة!$A$3:$F$112,6,FALSE),"")</f>
        <v/>
      </c>
      <c r="H49" s="38"/>
      <c r="I49" s="36"/>
      <c r="J49" s="39"/>
      <c r="K49" s="39"/>
      <c r="P49" s="27">
        <f t="shared" si="1"/>
        <v>0</v>
      </c>
      <c r="Q49" s="27">
        <f t="shared" si="2"/>
        <v>0</v>
      </c>
    </row>
    <row r="50" spans="2:17" x14ac:dyDescent="0.45">
      <c r="B50" s="27" t="str">
        <f>IFERROR(VLOOKUP(A50,القائمة!$A$3:$F$112,2,FALSE),"")</f>
        <v/>
      </c>
      <c r="C50" s="27" t="str">
        <f>IFERROR(VLOOKUP(A50,القائمة!$A$3:$F$112,3,FALSE),"")</f>
        <v/>
      </c>
      <c r="D50" s="36" t="str">
        <f>IFERROR(VLOOKUP(A50,القائمة!$A$3:$F$112,4,FALSE),"")</f>
        <v/>
      </c>
      <c r="E50" s="36" t="str">
        <f>IFERROR(VLOOKUP(A50,القائمة!$A$3:$F$112,5,FALSE),"")</f>
        <v/>
      </c>
      <c r="F50" s="37" t="str">
        <f>IFERROR(VLOOKUP(A50,القائمة!$A$3:$F$112,6,FALSE),"")</f>
        <v/>
      </c>
      <c r="H50" s="38"/>
      <c r="I50" s="36"/>
      <c r="J50" s="39"/>
      <c r="K50" s="39"/>
      <c r="P50" s="27">
        <f t="shared" si="1"/>
        <v>0</v>
      </c>
      <c r="Q50" s="27">
        <f t="shared" si="2"/>
        <v>0</v>
      </c>
    </row>
    <row r="51" spans="2:17" x14ac:dyDescent="0.45">
      <c r="B51" s="27" t="str">
        <f>IFERROR(VLOOKUP(A51,القائمة!$A$3:$F$112,2,FALSE),"")</f>
        <v/>
      </c>
      <c r="C51" s="27" t="str">
        <f>IFERROR(VLOOKUP(A51,القائمة!$A$3:$F$112,3,FALSE),"")</f>
        <v/>
      </c>
      <c r="D51" s="36" t="str">
        <f>IFERROR(VLOOKUP(A51,القائمة!$A$3:$F$112,4,FALSE),"")</f>
        <v/>
      </c>
      <c r="E51" s="36" t="str">
        <f>IFERROR(VLOOKUP(A51,القائمة!$A$3:$F$112,5,FALSE),"")</f>
        <v/>
      </c>
      <c r="F51" s="37" t="str">
        <f>IFERROR(VLOOKUP(A51,القائمة!$A$3:$F$112,6,FALSE),"")</f>
        <v/>
      </c>
      <c r="H51" s="38"/>
      <c r="I51" s="36"/>
      <c r="J51" s="39"/>
      <c r="K51" s="39"/>
      <c r="P51" s="27">
        <f t="shared" si="1"/>
        <v>0</v>
      </c>
      <c r="Q51" s="27">
        <f t="shared" si="2"/>
        <v>0</v>
      </c>
    </row>
    <row r="52" spans="2:17" x14ac:dyDescent="0.45">
      <c r="B52" s="27" t="str">
        <f>IFERROR(VLOOKUP(A52,القائمة!$A$3:$F$112,2,FALSE),"")</f>
        <v/>
      </c>
      <c r="C52" s="27" t="str">
        <f>IFERROR(VLOOKUP(A52,القائمة!$A$3:$F$112,3,FALSE),"")</f>
        <v/>
      </c>
      <c r="D52" s="36" t="str">
        <f>IFERROR(VLOOKUP(A52,القائمة!$A$3:$F$112,4,FALSE),"")</f>
        <v/>
      </c>
      <c r="E52" s="36" t="str">
        <f>IFERROR(VLOOKUP(A52,القائمة!$A$3:$F$112,5,FALSE),"")</f>
        <v/>
      </c>
      <c r="F52" s="37" t="str">
        <f>IFERROR(VLOOKUP(A52,القائمة!$A$3:$F$112,6,FALSE),"")</f>
        <v/>
      </c>
      <c r="H52" s="38"/>
      <c r="I52" s="36"/>
      <c r="J52" s="39"/>
      <c r="K52" s="39"/>
      <c r="P52" s="27">
        <f t="shared" si="1"/>
        <v>0</v>
      </c>
      <c r="Q52" s="27">
        <f t="shared" si="2"/>
        <v>0</v>
      </c>
    </row>
    <row r="53" spans="2:17" x14ac:dyDescent="0.45">
      <c r="B53" s="27" t="str">
        <f>IFERROR(VLOOKUP(A53,القائمة!$A$3:$F$112,2,FALSE),"")</f>
        <v/>
      </c>
      <c r="C53" s="27" t="str">
        <f>IFERROR(VLOOKUP(A53,القائمة!$A$3:$F$112,3,FALSE),"")</f>
        <v/>
      </c>
      <c r="D53" s="36" t="str">
        <f>IFERROR(VLOOKUP(A53,القائمة!$A$3:$F$112,4,FALSE),"")</f>
        <v/>
      </c>
      <c r="E53" s="36" t="str">
        <f>IFERROR(VLOOKUP(A53,القائمة!$A$3:$F$112,5,FALSE),"")</f>
        <v/>
      </c>
      <c r="F53" s="37" t="str">
        <f>IFERROR(VLOOKUP(A53,القائمة!$A$3:$F$112,6,FALSE),"")</f>
        <v/>
      </c>
      <c r="H53" s="38"/>
      <c r="I53" s="36"/>
      <c r="J53" s="39"/>
      <c r="K53" s="39"/>
      <c r="P53" s="27">
        <f t="shared" si="1"/>
        <v>0</v>
      </c>
      <c r="Q53" s="27">
        <f t="shared" si="2"/>
        <v>0</v>
      </c>
    </row>
    <row r="54" spans="2:17" x14ac:dyDescent="0.45">
      <c r="B54" s="27" t="str">
        <f>IFERROR(VLOOKUP(A54,القائمة!$A$3:$F$112,2,FALSE),"")</f>
        <v/>
      </c>
      <c r="C54" s="27" t="str">
        <f>IFERROR(VLOOKUP(A54,القائمة!$A$3:$F$112,3,FALSE),"")</f>
        <v/>
      </c>
      <c r="D54" s="36" t="str">
        <f>IFERROR(VLOOKUP(A54,القائمة!$A$3:$F$112,4,FALSE),"")</f>
        <v/>
      </c>
      <c r="E54" s="36" t="str">
        <f>IFERROR(VLOOKUP(A54,القائمة!$A$3:$F$112,5,FALSE),"")</f>
        <v/>
      </c>
      <c r="F54" s="37" t="str">
        <f>IFERROR(VLOOKUP(A54,القائمة!$A$3:$F$112,6,FALSE),"")</f>
        <v/>
      </c>
      <c r="H54" s="38"/>
      <c r="I54" s="36"/>
      <c r="J54" s="39"/>
      <c r="K54" s="39"/>
      <c r="P54" s="27">
        <f t="shared" si="1"/>
        <v>0</v>
      </c>
      <c r="Q54" s="27">
        <f t="shared" si="2"/>
        <v>0</v>
      </c>
    </row>
    <row r="55" spans="2:17" x14ac:dyDescent="0.45">
      <c r="B55" s="27" t="str">
        <f>IFERROR(VLOOKUP(A55,القائمة!$A$3:$F$112,2,FALSE),"")</f>
        <v/>
      </c>
      <c r="C55" s="27" t="str">
        <f>IFERROR(VLOOKUP(A55,القائمة!$A$3:$F$112,3,FALSE),"")</f>
        <v/>
      </c>
      <c r="D55" s="36" t="str">
        <f>IFERROR(VLOOKUP(A55,القائمة!$A$3:$F$112,4,FALSE),"")</f>
        <v/>
      </c>
      <c r="E55" s="36" t="str">
        <f>IFERROR(VLOOKUP(A55,القائمة!$A$3:$F$112,5,FALSE),"")</f>
        <v/>
      </c>
      <c r="F55" s="37" t="str">
        <f>IFERROR(VLOOKUP(A55,القائمة!$A$3:$F$112,6,FALSE),"")</f>
        <v/>
      </c>
      <c r="H55" s="38"/>
      <c r="I55" s="36"/>
      <c r="J55" s="39"/>
      <c r="K55" s="39"/>
      <c r="P55" s="27">
        <f t="shared" si="1"/>
        <v>0</v>
      </c>
      <c r="Q55" s="27">
        <f t="shared" si="2"/>
        <v>0</v>
      </c>
    </row>
    <row r="56" spans="2:17" x14ac:dyDescent="0.45">
      <c r="B56" s="27" t="str">
        <f>IFERROR(VLOOKUP(A56,القائمة!$A$3:$F$112,2,FALSE),"")</f>
        <v/>
      </c>
      <c r="C56" s="27" t="str">
        <f>IFERROR(VLOOKUP(A56,القائمة!$A$3:$F$112,3,FALSE),"")</f>
        <v/>
      </c>
      <c r="D56" s="36" t="str">
        <f>IFERROR(VLOOKUP(A56,القائمة!$A$3:$F$112,4,FALSE),"")</f>
        <v/>
      </c>
      <c r="E56" s="36" t="str">
        <f>IFERROR(VLOOKUP(A56,القائمة!$A$3:$F$112,5,FALSE),"")</f>
        <v/>
      </c>
      <c r="F56" s="37" t="str">
        <f>IFERROR(VLOOKUP(A56,القائمة!$A$3:$F$112,6,FALSE),"")</f>
        <v/>
      </c>
      <c r="H56" s="38"/>
      <c r="I56" s="36"/>
      <c r="J56" s="39"/>
      <c r="K56" s="39"/>
      <c r="P56" s="27">
        <f t="shared" si="1"/>
        <v>0</v>
      </c>
      <c r="Q56" s="27">
        <f t="shared" si="2"/>
        <v>0</v>
      </c>
    </row>
    <row r="57" spans="2:17" x14ac:dyDescent="0.45">
      <c r="B57" s="27" t="str">
        <f>IFERROR(VLOOKUP(A57,القائمة!$A$3:$F$112,2,FALSE),"")</f>
        <v/>
      </c>
      <c r="C57" s="27" t="str">
        <f>IFERROR(VLOOKUP(A57,القائمة!$A$3:$F$112,3,FALSE),"")</f>
        <v/>
      </c>
      <c r="D57" s="36" t="str">
        <f>IFERROR(VLOOKUP(A57,القائمة!$A$3:$F$112,4,FALSE),"")</f>
        <v/>
      </c>
      <c r="E57" s="36" t="str">
        <f>IFERROR(VLOOKUP(A57,القائمة!$A$3:$F$112,5,FALSE),"")</f>
        <v/>
      </c>
      <c r="F57" s="37" t="str">
        <f>IFERROR(VLOOKUP(A57,القائمة!$A$3:$F$112,6,FALSE),"")</f>
        <v/>
      </c>
      <c r="H57" s="38"/>
      <c r="I57" s="36"/>
      <c r="J57" s="39"/>
      <c r="K57" s="39"/>
      <c r="P57" s="27">
        <f t="shared" si="1"/>
        <v>0</v>
      </c>
      <c r="Q57" s="27">
        <f t="shared" si="2"/>
        <v>0</v>
      </c>
    </row>
    <row r="58" spans="2:17" x14ac:dyDescent="0.45">
      <c r="B58" s="27" t="str">
        <f>IFERROR(VLOOKUP(A58,القائمة!$A$3:$F$112,2,FALSE),"")</f>
        <v/>
      </c>
      <c r="C58" s="27" t="str">
        <f>IFERROR(VLOOKUP(A58,القائمة!$A$3:$F$112,3,FALSE),"")</f>
        <v/>
      </c>
      <c r="D58" s="36" t="str">
        <f>IFERROR(VLOOKUP(A58,القائمة!$A$3:$F$112,4,FALSE),"")</f>
        <v/>
      </c>
      <c r="E58" s="36" t="str">
        <f>IFERROR(VLOOKUP(A58,القائمة!$A$3:$F$112,5,FALSE),"")</f>
        <v/>
      </c>
      <c r="F58" s="37" t="str">
        <f>IFERROR(VLOOKUP(A58,القائمة!$A$3:$F$112,6,FALSE),"")</f>
        <v/>
      </c>
      <c r="H58" s="38"/>
      <c r="I58" s="36"/>
      <c r="J58" s="39"/>
      <c r="K58" s="39"/>
      <c r="P58" s="27">
        <f t="shared" si="1"/>
        <v>0</v>
      </c>
      <c r="Q58" s="27">
        <f t="shared" si="2"/>
        <v>0</v>
      </c>
    </row>
    <row r="59" spans="2:17" x14ac:dyDescent="0.45">
      <c r="B59" s="27" t="str">
        <f>IFERROR(VLOOKUP(A59,القائمة!$A$3:$F$112,2,FALSE),"")</f>
        <v/>
      </c>
      <c r="C59" s="27" t="str">
        <f>IFERROR(VLOOKUP(A59,القائمة!$A$3:$F$112,3,FALSE),"")</f>
        <v/>
      </c>
      <c r="D59" s="36" t="str">
        <f>IFERROR(VLOOKUP(A59,القائمة!$A$3:$F$112,4,FALSE),"")</f>
        <v/>
      </c>
      <c r="E59" s="36" t="str">
        <f>IFERROR(VLOOKUP(A59,القائمة!$A$3:$F$112,5,FALSE),"")</f>
        <v/>
      </c>
      <c r="F59" s="37" t="str">
        <f>IFERROR(VLOOKUP(A59,القائمة!$A$3:$F$112,6,FALSE),"")</f>
        <v/>
      </c>
      <c r="H59" s="38"/>
      <c r="I59" s="36"/>
      <c r="J59" s="39"/>
      <c r="K59" s="39"/>
      <c r="P59" s="27">
        <f t="shared" si="1"/>
        <v>0</v>
      </c>
      <c r="Q59" s="27">
        <f t="shared" si="2"/>
        <v>0</v>
      </c>
    </row>
    <row r="60" spans="2:17" x14ac:dyDescent="0.45">
      <c r="B60" s="27" t="str">
        <f>IFERROR(VLOOKUP(A60,القائمة!$A$3:$F$112,2,FALSE),"")</f>
        <v/>
      </c>
      <c r="C60" s="27" t="str">
        <f>IFERROR(VLOOKUP(A60,القائمة!$A$3:$F$112,3,FALSE),"")</f>
        <v/>
      </c>
      <c r="D60" s="36" t="str">
        <f>IFERROR(VLOOKUP(A60,القائمة!$A$3:$F$112,4,FALSE),"")</f>
        <v/>
      </c>
      <c r="E60" s="36" t="str">
        <f>IFERROR(VLOOKUP(A60,القائمة!$A$3:$F$112,5,FALSE),"")</f>
        <v/>
      </c>
      <c r="F60" s="37" t="str">
        <f>IFERROR(VLOOKUP(A60,القائمة!$A$3:$F$112,6,FALSE),"")</f>
        <v/>
      </c>
      <c r="H60" s="38"/>
      <c r="I60" s="36"/>
      <c r="J60" s="39"/>
      <c r="K60" s="39"/>
      <c r="P60" s="27">
        <f t="shared" si="1"/>
        <v>0</v>
      </c>
      <c r="Q60" s="27">
        <f t="shared" si="2"/>
        <v>0</v>
      </c>
    </row>
    <row r="61" spans="2:17" x14ac:dyDescent="0.45">
      <c r="B61" s="27" t="str">
        <f>IFERROR(VLOOKUP(A61,القائمة!$A$3:$F$112,2,FALSE),"")</f>
        <v/>
      </c>
      <c r="C61" s="27" t="str">
        <f>IFERROR(VLOOKUP(A61,القائمة!$A$3:$F$112,3,FALSE),"")</f>
        <v/>
      </c>
      <c r="D61" s="36" t="str">
        <f>IFERROR(VLOOKUP(A61,القائمة!$A$3:$F$112,4,FALSE),"")</f>
        <v/>
      </c>
      <c r="E61" s="36" t="str">
        <f>IFERROR(VLOOKUP(A61,القائمة!$A$3:$F$112,5,FALSE),"")</f>
        <v/>
      </c>
      <c r="F61" s="37" t="str">
        <f>IFERROR(VLOOKUP(A61,القائمة!$A$3:$F$112,6,FALSE),"")</f>
        <v/>
      </c>
      <c r="H61" s="38"/>
      <c r="I61" s="36"/>
      <c r="J61" s="39"/>
      <c r="K61" s="39"/>
      <c r="P61" s="27">
        <f t="shared" si="1"/>
        <v>0</v>
      </c>
      <c r="Q61" s="27">
        <f t="shared" si="2"/>
        <v>0</v>
      </c>
    </row>
    <row r="62" spans="2:17" x14ac:dyDescent="0.45">
      <c r="B62" s="27" t="str">
        <f>IFERROR(VLOOKUP(A62,القائمة!$A$3:$F$112,2,FALSE),"")</f>
        <v/>
      </c>
      <c r="C62" s="27" t="str">
        <f>IFERROR(VLOOKUP(A62,القائمة!$A$3:$F$112,3,FALSE),"")</f>
        <v/>
      </c>
      <c r="D62" s="36" t="str">
        <f>IFERROR(VLOOKUP(A62,القائمة!$A$3:$F$112,4,FALSE),"")</f>
        <v/>
      </c>
      <c r="E62" s="36" t="str">
        <f>IFERROR(VLOOKUP(A62,القائمة!$A$3:$F$112,5,FALSE),"")</f>
        <v/>
      </c>
      <c r="F62" s="37" t="str">
        <f>IFERROR(VLOOKUP(A62,القائمة!$A$3:$F$112,6,FALSE),"")</f>
        <v/>
      </c>
      <c r="H62" s="38"/>
      <c r="I62" s="36"/>
      <c r="J62" s="39"/>
      <c r="K62" s="39"/>
      <c r="P62" s="27">
        <f t="shared" si="1"/>
        <v>0</v>
      </c>
      <c r="Q62" s="27">
        <f t="shared" si="2"/>
        <v>0</v>
      </c>
    </row>
    <row r="63" spans="2:17" x14ac:dyDescent="0.45">
      <c r="B63" s="27" t="str">
        <f>IFERROR(VLOOKUP(A63,القائمة!$A$3:$F$112,2,FALSE),"")</f>
        <v/>
      </c>
      <c r="C63" s="27" t="str">
        <f>IFERROR(VLOOKUP(A63,القائمة!$A$3:$F$112,3,FALSE),"")</f>
        <v/>
      </c>
      <c r="D63" s="36" t="str">
        <f>IFERROR(VLOOKUP(A63,القائمة!$A$3:$F$112,4,FALSE),"")</f>
        <v/>
      </c>
      <c r="E63" s="36" t="str">
        <f>IFERROR(VLOOKUP(A63,القائمة!$A$3:$F$112,5,FALSE),"")</f>
        <v/>
      </c>
      <c r="F63" s="37" t="str">
        <f>IFERROR(VLOOKUP(A63,القائمة!$A$3:$F$112,6,FALSE),"")</f>
        <v/>
      </c>
      <c r="H63" s="38"/>
      <c r="I63" s="36"/>
      <c r="J63" s="39"/>
      <c r="K63" s="39"/>
      <c r="P63" s="27">
        <f t="shared" si="1"/>
        <v>0</v>
      </c>
      <c r="Q63" s="27">
        <f t="shared" si="2"/>
        <v>0</v>
      </c>
    </row>
    <row r="64" spans="2:17" x14ac:dyDescent="0.45">
      <c r="B64" s="27" t="str">
        <f>IFERROR(VLOOKUP(A64,القائمة!$A$3:$F$112,2,FALSE),"")</f>
        <v/>
      </c>
      <c r="C64" s="27" t="str">
        <f>IFERROR(VLOOKUP(A64,القائمة!$A$3:$F$112,3,FALSE),"")</f>
        <v/>
      </c>
      <c r="D64" s="36" t="str">
        <f>IFERROR(VLOOKUP(A64,القائمة!$A$3:$F$112,4,FALSE),"")</f>
        <v/>
      </c>
      <c r="E64" s="36" t="str">
        <f>IFERROR(VLOOKUP(A64,القائمة!$A$3:$F$112,5,FALSE),"")</f>
        <v/>
      </c>
      <c r="F64" s="37" t="str">
        <f>IFERROR(VLOOKUP(A64,القائمة!$A$3:$F$112,6,FALSE),"")</f>
        <v/>
      </c>
      <c r="H64" s="38"/>
      <c r="I64" s="36"/>
      <c r="J64" s="39"/>
      <c r="K64" s="39"/>
      <c r="P64" s="27">
        <f t="shared" si="1"/>
        <v>0</v>
      </c>
      <c r="Q64" s="27">
        <f t="shared" si="2"/>
        <v>0</v>
      </c>
    </row>
    <row r="65" spans="2:17" x14ac:dyDescent="0.45">
      <c r="B65" s="27" t="str">
        <f>IFERROR(VLOOKUP(A65,القائمة!$A$3:$F$112,2,FALSE),"")</f>
        <v/>
      </c>
      <c r="C65" s="27" t="str">
        <f>IFERROR(VLOOKUP(A65,القائمة!$A$3:$F$112,3,FALSE),"")</f>
        <v/>
      </c>
      <c r="D65" s="36" t="str">
        <f>IFERROR(VLOOKUP(A65,القائمة!$A$3:$F$112,4,FALSE),"")</f>
        <v/>
      </c>
      <c r="E65" s="36" t="str">
        <f>IFERROR(VLOOKUP(A65,القائمة!$A$3:$F$112,5,FALSE),"")</f>
        <v/>
      </c>
      <c r="F65" s="37" t="str">
        <f>IFERROR(VLOOKUP(A65,القائمة!$A$3:$F$112,6,FALSE),"")</f>
        <v/>
      </c>
      <c r="H65" s="38"/>
      <c r="I65" s="36"/>
      <c r="J65" s="39"/>
      <c r="K65" s="39"/>
      <c r="P65" s="27">
        <f t="shared" si="1"/>
        <v>0</v>
      </c>
      <c r="Q65" s="27">
        <f t="shared" si="2"/>
        <v>0</v>
      </c>
    </row>
    <row r="66" spans="2:17" x14ac:dyDescent="0.45">
      <c r="B66" s="27" t="str">
        <f>IFERROR(VLOOKUP(A66,القائمة!$A$3:$F$112,2,FALSE),"")</f>
        <v/>
      </c>
      <c r="C66" s="27" t="str">
        <f>IFERROR(VLOOKUP(A66,القائمة!$A$3:$F$112,3,FALSE),"")</f>
        <v/>
      </c>
      <c r="D66" s="36" t="str">
        <f>IFERROR(VLOOKUP(A66,القائمة!$A$3:$F$112,4,FALSE),"")</f>
        <v/>
      </c>
      <c r="E66" s="36" t="str">
        <f>IFERROR(VLOOKUP(A66,القائمة!$A$3:$F$112,5,FALSE),"")</f>
        <v/>
      </c>
      <c r="F66" s="37" t="str">
        <f>IFERROR(VLOOKUP(A66,القائمة!$A$3:$F$112,6,FALSE),"")</f>
        <v/>
      </c>
      <c r="H66" s="38"/>
      <c r="I66" s="36"/>
      <c r="J66" s="39"/>
      <c r="K66" s="39"/>
      <c r="P66" s="27">
        <f t="shared" si="1"/>
        <v>0</v>
      </c>
      <c r="Q66" s="27">
        <f t="shared" si="2"/>
        <v>0</v>
      </c>
    </row>
    <row r="67" spans="2:17" x14ac:dyDescent="0.45">
      <c r="B67" s="27" t="str">
        <f>IFERROR(VLOOKUP(A67,القائمة!$A$3:$F$112,2,FALSE),"")</f>
        <v/>
      </c>
      <c r="C67" s="27" t="str">
        <f>IFERROR(VLOOKUP(A67,القائمة!$A$3:$F$112,3,FALSE),"")</f>
        <v/>
      </c>
      <c r="D67" s="36" t="str">
        <f>IFERROR(VLOOKUP(A67,القائمة!$A$3:$F$112,4,FALSE),"")</f>
        <v/>
      </c>
      <c r="E67" s="36" t="str">
        <f>IFERROR(VLOOKUP(A67,القائمة!$A$3:$F$112,5,FALSE),"")</f>
        <v/>
      </c>
      <c r="F67" s="37" t="str">
        <f>IFERROR(VLOOKUP(A67,القائمة!$A$3:$F$112,6,FALSE),"")</f>
        <v/>
      </c>
      <c r="H67" s="38"/>
      <c r="I67" s="36"/>
      <c r="J67" s="39"/>
      <c r="K67" s="39"/>
      <c r="P67" s="27">
        <f t="shared" si="1"/>
        <v>0</v>
      </c>
      <c r="Q67" s="27">
        <f t="shared" si="2"/>
        <v>0</v>
      </c>
    </row>
    <row r="68" spans="2:17" x14ac:dyDescent="0.45">
      <c r="B68" s="27" t="str">
        <f>IFERROR(VLOOKUP(A68,القائمة!$A$3:$F$112,2,FALSE),"")</f>
        <v/>
      </c>
      <c r="C68" s="27" t="str">
        <f>IFERROR(VLOOKUP(A68,القائمة!$A$3:$F$112,3,FALSE),"")</f>
        <v/>
      </c>
      <c r="D68" s="36" t="str">
        <f>IFERROR(VLOOKUP(A68,القائمة!$A$3:$F$112,4,FALSE),"")</f>
        <v/>
      </c>
      <c r="E68" s="36" t="str">
        <f>IFERROR(VLOOKUP(A68,القائمة!$A$3:$F$112,5,FALSE),"")</f>
        <v/>
      </c>
      <c r="F68" s="37" t="str">
        <f>IFERROR(VLOOKUP(A68,القائمة!$A$3:$F$112,6,FALSE),"")</f>
        <v/>
      </c>
      <c r="H68" s="38"/>
      <c r="I68" s="36"/>
      <c r="J68" s="39"/>
      <c r="K68" s="39"/>
      <c r="P68" s="27">
        <f t="shared" ref="P68:P131" si="3">J68-K68</f>
        <v>0</v>
      </c>
      <c r="Q68" s="27">
        <f t="shared" ref="Q68:Q131" si="4">+P68+L68-M68</f>
        <v>0</v>
      </c>
    </row>
    <row r="69" spans="2:17" x14ac:dyDescent="0.45">
      <c r="B69" s="27" t="str">
        <f>IFERROR(VLOOKUP(A69,القائمة!$A$3:$F$112,2,FALSE),"")</f>
        <v/>
      </c>
      <c r="C69" s="27" t="str">
        <f>IFERROR(VLOOKUP(A69,القائمة!$A$3:$F$112,3,FALSE),"")</f>
        <v/>
      </c>
      <c r="D69" s="36" t="str">
        <f>IFERROR(VLOOKUP(A69,القائمة!$A$3:$F$112,4,FALSE),"")</f>
        <v/>
      </c>
      <c r="E69" s="36" t="str">
        <f>IFERROR(VLOOKUP(A69,القائمة!$A$3:$F$112,5,FALSE),"")</f>
        <v/>
      </c>
      <c r="F69" s="37" t="str">
        <f>IFERROR(VLOOKUP(A69,القائمة!$A$3:$F$112,6,FALSE),"")</f>
        <v/>
      </c>
      <c r="H69" s="38"/>
      <c r="I69" s="36"/>
      <c r="J69" s="39"/>
      <c r="K69" s="39"/>
      <c r="P69" s="27">
        <f t="shared" si="3"/>
        <v>0</v>
      </c>
      <c r="Q69" s="27">
        <f t="shared" si="4"/>
        <v>0</v>
      </c>
    </row>
    <row r="70" spans="2:17" x14ac:dyDescent="0.45">
      <c r="B70" s="27" t="str">
        <f>IFERROR(VLOOKUP(A70,القائمة!$A$3:$F$112,2,FALSE),"")</f>
        <v/>
      </c>
      <c r="C70" s="27" t="str">
        <f>IFERROR(VLOOKUP(A70,القائمة!$A$3:$F$112,3,FALSE),"")</f>
        <v/>
      </c>
      <c r="D70" s="36" t="str">
        <f>IFERROR(VLOOKUP(A70,القائمة!$A$3:$F$112,4,FALSE),"")</f>
        <v/>
      </c>
      <c r="E70" s="36" t="str">
        <f>IFERROR(VLOOKUP(A70,القائمة!$A$3:$F$112,5,FALSE),"")</f>
        <v/>
      </c>
      <c r="F70" s="37" t="str">
        <f>IFERROR(VLOOKUP(A70,القائمة!$A$3:$F$112,6,FALSE),"")</f>
        <v/>
      </c>
      <c r="H70" s="38"/>
      <c r="I70" s="36"/>
      <c r="J70" s="39"/>
      <c r="K70" s="39"/>
      <c r="P70" s="27">
        <f t="shared" si="3"/>
        <v>0</v>
      </c>
      <c r="Q70" s="27">
        <f t="shared" si="4"/>
        <v>0</v>
      </c>
    </row>
    <row r="71" spans="2:17" x14ac:dyDescent="0.45">
      <c r="B71" s="27" t="str">
        <f>IFERROR(VLOOKUP(A71,القائمة!$A$3:$F$112,2,FALSE),"")</f>
        <v/>
      </c>
      <c r="C71" s="27" t="str">
        <f>IFERROR(VLOOKUP(A71,القائمة!$A$3:$F$112,3,FALSE),"")</f>
        <v/>
      </c>
      <c r="D71" s="36" t="str">
        <f>IFERROR(VLOOKUP(A71,القائمة!$A$3:$F$112,4,FALSE),"")</f>
        <v/>
      </c>
      <c r="E71" s="36" t="str">
        <f>IFERROR(VLOOKUP(A71,القائمة!$A$3:$F$112,5,FALSE),"")</f>
        <v/>
      </c>
      <c r="F71" s="37" t="str">
        <f>IFERROR(VLOOKUP(A71,القائمة!$A$3:$F$112,6,FALSE),"")</f>
        <v/>
      </c>
      <c r="H71" s="38"/>
      <c r="I71" s="36"/>
      <c r="J71" s="39"/>
      <c r="K71" s="39"/>
      <c r="P71" s="27">
        <f t="shared" si="3"/>
        <v>0</v>
      </c>
      <c r="Q71" s="27">
        <f t="shared" si="4"/>
        <v>0</v>
      </c>
    </row>
    <row r="72" spans="2:17" x14ac:dyDescent="0.45">
      <c r="B72" s="27" t="str">
        <f>IFERROR(VLOOKUP(A72,القائمة!$A$3:$F$112,2,FALSE),"")</f>
        <v/>
      </c>
      <c r="C72" s="27" t="str">
        <f>IFERROR(VLOOKUP(A72,القائمة!$A$3:$F$112,3,FALSE),"")</f>
        <v/>
      </c>
      <c r="D72" s="36" t="str">
        <f>IFERROR(VLOOKUP(A72,القائمة!$A$3:$F$112,4,FALSE),"")</f>
        <v/>
      </c>
      <c r="E72" s="36" t="str">
        <f>IFERROR(VLOOKUP(A72,القائمة!$A$3:$F$112,5,FALSE),"")</f>
        <v/>
      </c>
      <c r="F72" s="37" t="str">
        <f>IFERROR(VLOOKUP(A72,القائمة!$A$3:$F$112,6,FALSE),"")</f>
        <v/>
      </c>
      <c r="H72" s="38"/>
      <c r="I72" s="36"/>
      <c r="J72" s="39"/>
      <c r="K72" s="39"/>
      <c r="P72" s="27">
        <f t="shared" si="3"/>
        <v>0</v>
      </c>
      <c r="Q72" s="27">
        <f t="shared" si="4"/>
        <v>0</v>
      </c>
    </row>
    <row r="73" spans="2:17" x14ac:dyDescent="0.45">
      <c r="B73" s="27" t="str">
        <f>IFERROR(VLOOKUP(A73,القائمة!$A$3:$F$112,2,FALSE),"")</f>
        <v/>
      </c>
      <c r="C73" s="27" t="str">
        <f>IFERROR(VLOOKUP(A73,القائمة!$A$3:$F$112,3,FALSE),"")</f>
        <v/>
      </c>
      <c r="D73" s="36" t="str">
        <f>IFERROR(VLOOKUP(A73,القائمة!$A$3:$F$112,4,FALSE),"")</f>
        <v/>
      </c>
      <c r="E73" s="36" t="str">
        <f>IFERROR(VLOOKUP(A73,القائمة!$A$3:$F$112,5,FALSE),"")</f>
        <v/>
      </c>
      <c r="F73" s="37" t="str">
        <f>IFERROR(VLOOKUP(A73,القائمة!$A$3:$F$112,6,FALSE),"")</f>
        <v/>
      </c>
      <c r="H73" s="38"/>
      <c r="I73" s="36"/>
      <c r="J73" s="39"/>
      <c r="K73" s="39"/>
      <c r="P73" s="27">
        <f t="shared" si="3"/>
        <v>0</v>
      </c>
      <c r="Q73" s="27">
        <f t="shared" si="4"/>
        <v>0</v>
      </c>
    </row>
    <row r="74" spans="2:17" x14ac:dyDescent="0.45">
      <c r="B74" s="27" t="str">
        <f>IFERROR(VLOOKUP(A74,القائمة!$A$3:$F$112,2,FALSE),"")</f>
        <v/>
      </c>
      <c r="C74" s="27" t="str">
        <f>IFERROR(VLOOKUP(A74,القائمة!$A$3:$F$112,3,FALSE),"")</f>
        <v/>
      </c>
      <c r="D74" s="36" t="str">
        <f>IFERROR(VLOOKUP(A74,القائمة!$A$3:$F$112,4,FALSE),"")</f>
        <v/>
      </c>
      <c r="E74" s="36" t="str">
        <f>IFERROR(VLOOKUP(A74,القائمة!$A$3:$F$112,5,FALSE),"")</f>
        <v/>
      </c>
      <c r="F74" s="37" t="str">
        <f>IFERROR(VLOOKUP(A74,القائمة!$A$3:$F$112,6,FALSE),"")</f>
        <v/>
      </c>
      <c r="H74" s="38"/>
      <c r="I74" s="36"/>
      <c r="J74" s="39"/>
      <c r="K74" s="39"/>
      <c r="P74" s="27">
        <f t="shared" si="3"/>
        <v>0</v>
      </c>
      <c r="Q74" s="27">
        <f t="shared" si="4"/>
        <v>0</v>
      </c>
    </row>
    <row r="75" spans="2:17" x14ac:dyDescent="0.45">
      <c r="B75" s="27" t="str">
        <f>IFERROR(VLOOKUP(A75,القائمة!$A$3:$F$112,2,FALSE),"")</f>
        <v/>
      </c>
      <c r="C75" s="27" t="str">
        <f>IFERROR(VLOOKUP(A75,القائمة!$A$3:$F$112,3,FALSE),"")</f>
        <v/>
      </c>
      <c r="D75" s="36" t="str">
        <f>IFERROR(VLOOKUP(A75,القائمة!$A$3:$F$112,4,FALSE),"")</f>
        <v/>
      </c>
      <c r="E75" s="36" t="str">
        <f>IFERROR(VLOOKUP(A75,القائمة!$A$3:$F$112,5,FALSE),"")</f>
        <v/>
      </c>
      <c r="F75" s="37" t="str">
        <f>IFERROR(VLOOKUP(A75,القائمة!$A$3:$F$112,6,FALSE),"")</f>
        <v/>
      </c>
      <c r="H75" s="38"/>
      <c r="I75" s="36"/>
      <c r="J75" s="39"/>
      <c r="K75" s="39"/>
      <c r="P75" s="27">
        <f t="shared" si="3"/>
        <v>0</v>
      </c>
      <c r="Q75" s="27">
        <f t="shared" si="4"/>
        <v>0</v>
      </c>
    </row>
    <row r="76" spans="2:17" x14ac:dyDescent="0.45">
      <c r="B76" s="27" t="str">
        <f>IFERROR(VLOOKUP(A76,القائمة!$A$3:$F$112,2,FALSE),"")</f>
        <v/>
      </c>
      <c r="C76" s="27" t="str">
        <f>IFERROR(VLOOKUP(A76,القائمة!$A$3:$F$112,3,FALSE),"")</f>
        <v/>
      </c>
      <c r="D76" s="36" t="str">
        <f>IFERROR(VLOOKUP(A76,القائمة!$A$3:$F$112,4,FALSE),"")</f>
        <v/>
      </c>
      <c r="E76" s="36" t="str">
        <f>IFERROR(VLOOKUP(A76,القائمة!$A$3:$F$112,5,FALSE),"")</f>
        <v/>
      </c>
      <c r="F76" s="37" t="str">
        <f>IFERROR(VLOOKUP(A76,القائمة!$A$3:$F$112,6,FALSE),"")</f>
        <v/>
      </c>
      <c r="H76" s="38"/>
      <c r="I76" s="36"/>
      <c r="J76" s="39"/>
      <c r="K76" s="39"/>
      <c r="P76" s="27">
        <f t="shared" si="3"/>
        <v>0</v>
      </c>
      <c r="Q76" s="27">
        <f t="shared" si="4"/>
        <v>0</v>
      </c>
    </row>
    <row r="77" spans="2:17" x14ac:dyDescent="0.45">
      <c r="B77" s="27" t="str">
        <f>IFERROR(VLOOKUP(A77,القائمة!$A$3:$F$112,2,FALSE),"")</f>
        <v/>
      </c>
      <c r="C77" s="27" t="str">
        <f>IFERROR(VLOOKUP(A77,القائمة!$A$3:$F$112,3,FALSE),"")</f>
        <v/>
      </c>
      <c r="D77" s="36" t="str">
        <f>IFERROR(VLOOKUP(A77,القائمة!$A$3:$F$112,4,FALSE),"")</f>
        <v/>
      </c>
      <c r="E77" s="36" t="str">
        <f>IFERROR(VLOOKUP(A77,القائمة!$A$3:$F$112,5,FALSE),"")</f>
        <v/>
      </c>
      <c r="F77" s="37" t="str">
        <f>IFERROR(VLOOKUP(A77,القائمة!$A$3:$F$112,6,FALSE),"")</f>
        <v/>
      </c>
      <c r="H77" s="38"/>
      <c r="I77" s="36"/>
      <c r="J77" s="39"/>
      <c r="K77" s="39"/>
      <c r="P77" s="27">
        <f t="shared" si="3"/>
        <v>0</v>
      </c>
      <c r="Q77" s="27">
        <f t="shared" si="4"/>
        <v>0</v>
      </c>
    </row>
    <row r="78" spans="2:17" x14ac:dyDescent="0.45">
      <c r="B78" s="27" t="str">
        <f>IFERROR(VLOOKUP(A78,القائمة!$A$3:$F$112,2,FALSE),"")</f>
        <v/>
      </c>
      <c r="C78" s="27" t="str">
        <f>IFERROR(VLOOKUP(A78,القائمة!$A$3:$F$112,3,FALSE),"")</f>
        <v/>
      </c>
      <c r="D78" s="36" t="str">
        <f>IFERROR(VLOOKUP(A78,القائمة!$A$3:$F$112,4,FALSE),"")</f>
        <v/>
      </c>
      <c r="E78" s="36" t="str">
        <f>IFERROR(VLOOKUP(A78,القائمة!$A$3:$F$112,5,FALSE),"")</f>
        <v/>
      </c>
      <c r="F78" s="37" t="str">
        <f>IFERROR(VLOOKUP(A78,القائمة!$A$3:$F$112,6,FALSE),"")</f>
        <v/>
      </c>
      <c r="H78" s="38"/>
      <c r="I78" s="36"/>
      <c r="J78" s="39"/>
      <c r="K78" s="39"/>
      <c r="P78" s="27">
        <f t="shared" si="3"/>
        <v>0</v>
      </c>
      <c r="Q78" s="27">
        <f t="shared" si="4"/>
        <v>0</v>
      </c>
    </row>
    <row r="79" spans="2:17" x14ac:dyDescent="0.45">
      <c r="B79" s="27" t="str">
        <f>IFERROR(VLOOKUP(A79,القائمة!$A$3:$F$112,2,FALSE),"")</f>
        <v/>
      </c>
      <c r="C79" s="27" t="str">
        <f>IFERROR(VLOOKUP(A79,القائمة!$A$3:$F$112,3,FALSE),"")</f>
        <v/>
      </c>
      <c r="D79" s="36" t="str">
        <f>IFERROR(VLOOKUP(A79,القائمة!$A$3:$F$112,4,FALSE),"")</f>
        <v/>
      </c>
      <c r="E79" s="36" t="str">
        <f>IFERROR(VLOOKUP(A79,القائمة!$A$3:$F$112,5,FALSE),"")</f>
        <v/>
      </c>
      <c r="F79" s="37" t="str">
        <f>IFERROR(VLOOKUP(A79,القائمة!$A$3:$F$112,6,FALSE),"")</f>
        <v/>
      </c>
      <c r="H79" s="38"/>
      <c r="I79" s="36"/>
      <c r="J79" s="39"/>
      <c r="K79" s="39"/>
      <c r="P79" s="27">
        <f t="shared" si="3"/>
        <v>0</v>
      </c>
      <c r="Q79" s="27">
        <f t="shared" si="4"/>
        <v>0</v>
      </c>
    </row>
    <row r="80" spans="2:17" x14ac:dyDescent="0.45">
      <c r="B80" s="27" t="str">
        <f>IFERROR(VLOOKUP(A80,القائمة!$A$3:$F$112,2,FALSE),"")</f>
        <v/>
      </c>
      <c r="C80" s="27" t="str">
        <f>IFERROR(VLOOKUP(A80,القائمة!$A$3:$F$112,3,FALSE),"")</f>
        <v/>
      </c>
      <c r="D80" s="36" t="str">
        <f>IFERROR(VLOOKUP(A80,القائمة!$A$3:$F$112,4,FALSE),"")</f>
        <v/>
      </c>
      <c r="E80" s="36" t="str">
        <f>IFERROR(VLOOKUP(A80,القائمة!$A$3:$F$112,5,FALSE),"")</f>
        <v/>
      </c>
      <c r="F80" s="37" t="str">
        <f>IFERROR(VLOOKUP(A80,القائمة!$A$3:$F$112,6,FALSE),"")</f>
        <v/>
      </c>
      <c r="H80" s="38"/>
      <c r="I80" s="36"/>
      <c r="J80" s="39"/>
      <c r="K80" s="39"/>
      <c r="P80" s="27">
        <f t="shared" si="3"/>
        <v>0</v>
      </c>
      <c r="Q80" s="27">
        <f t="shared" si="4"/>
        <v>0</v>
      </c>
    </row>
    <row r="81" spans="2:17" x14ac:dyDescent="0.45">
      <c r="B81" s="27" t="str">
        <f>IFERROR(VLOOKUP(A81,القائمة!$A$3:$F$112,2,FALSE),"")</f>
        <v/>
      </c>
      <c r="C81" s="27" t="str">
        <f>IFERROR(VLOOKUP(A81,القائمة!$A$3:$F$112,3,FALSE),"")</f>
        <v/>
      </c>
      <c r="D81" s="36" t="str">
        <f>IFERROR(VLOOKUP(A81,القائمة!$A$3:$F$112,4,FALSE),"")</f>
        <v/>
      </c>
      <c r="E81" s="36" t="str">
        <f>IFERROR(VLOOKUP(A81,القائمة!$A$3:$F$112,5,FALSE),"")</f>
        <v/>
      </c>
      <c r="F81" s="37" t="str">
        <f>IFERROR(VLOOKUP(A81,القائمة!$A$3:$F$112,6,FALSE),"")</f>
        <v/>
      </c>
      <c r="H81" s="38"/>
      <c r="I81" s="36"/>
      <c r="J81" s="39"/>
      <c r="K81" s="39"/>
      <c r="P81" s="27">
        <f t="shared" si="3"/>
        <v>0</v>
      </c>
      <c r="Q81" s="27">
        <f t="shared" si="4"/>
        <v>0</v>
      </c>
    </row>
    <row r="82" spans="2:17" x14ac:dyDescent="0.45">
      <c r="B82" s="27" t="str">
        <f>IFERROR(VLOOKUP(A82,القائمة!$A$3:$F$112,2,FALSE),"")</f>
        <v/>
      </c>
      <c r="C82" s="27" t="str">
        <f>IFERROR(VLOOKUP(A82,القائمة!$A$3:$F$112,3,FALSE),"")</f>
        <v/>
      </c>
      <c r="D82" s="36" t="str">
        <f>IFERROR(VLOOKUP(A82,القائمة!$A$3:$F$112,4,FALSE),"")</f>
        <v/>
      </c>
      <c r="E82" s="36" t="str">
        <f>IFERROR(VLOOKUP(A82,القائمة!$A$3:$F$112,5,FALSE),"")</f>
        <v/>
      </c>
      <c r="F82" s="37" t="str">
        <f>IFERROR(VLOOKUP(A82,القائمة!$A$3:$F$112,6,FALSE),"")</f>
        <v/>
      </c>
      <c r="H82" s="38"/>
      <c r="I82" s="36"/>
      <c r="J82" s="39"/>
      <c r="K82" s="39"/>
      <c r="P82" s="27">
        <f t="shared" si="3"/>
        <v>0</v>
      </c>
      <c r="Q82" s="27">
        <f t="shared" si="4"/>
        <v>0</v>
      </c>
    </row>
    <row r="83" spans="2:17" x14ac:dyDescent="0.45">
      <c r="B83" s="27" t="str">
        <f>IFERROR(VLOOKUP(A83,القائمة!$A$3:$F$112,2,FALSE),"")</f>
        <v/>
      </c>
      <c r="C83" s="27" t="str">
        <f>IFERROR(VLOOKUP(A83,القائمة!$A$3:$F$112,3,FALSE),"")</f>
        <v/>
      </c>
      <c r="D83" s="36" t="str">
        <f>IFERROR(VLOOKUP(A83,القائمة!$A$3:$F$112,4,FALSE),"")</f>
        <v/>
      </c>
      <c r="E83" s="36" t="str">
        <f>IFERROR(VLOOKUP(A83,القائمة!$A$3:$F$112,5,FALSE),"")</f>
        <v/>
      </c>
      <c r="F83" s="37" t="str">
        <f>IFERROR(VLOOKUP(A83,القائمة!$A$3:$F$112,6,FALSE),"")</f>
        <v/>
      </c>
      <c r="H83" s="38"/>
      <c r="I83" s="36"/>
      <c r="J83" s="39"/>
      <c r="K83" s="39"/>
      <c r="P83" s="27">
        <f t="shared" si="3"/>
        <v>0</v>
      </c>
      <c r="Q83" s="27">
        <f t="shared" si="4"/>
        <v>0</v>
      </c>
    </row>
    <row r="84" spans="2:17" x14ac:dyDescent="0.45">
      <c r="B84" s="27" t="str">
        <f>IFERROR(VLOOKUP(A84,القائمة!$A$3:$F$112,2,FALSE),"")</f>
        <v/>
      </c>
      <c r="C84" s="27" t="str">
        <f>IFERROR(VLOOKUP(A84,القائمة!$A$3:$F$112,3,FALSE),"")</f>
        <v/>
      </c>
      <c r="D84" s="36" t="str">
        <f>IFERROR(VLOOKUP(A84,القائمة!$A$3:$F$112,4,FALSE),"")</f>
        <v/>
      </c>
      <c r="E84" s="36" t="str">
        <f>IFERROR(VLOOKUP(A84,القائمة!$A$3:$F$112,5,FALSE),"")</f>
        <v/>
      </c>
      <c r="F84" s="37" t="str">
        <f>IFERROR(VLOOKUP(A84,القائمة!$A$3:$F$112,6,FALSE),"")</f>
        <v/>
      </c>
      <c r="H84" s="38"/>
      <c r="I84" s="36"/>
      <c r="J84" s="39"/>
      <c r="K84" s="39"/>
      <c r="P84" s="27">
        <f t="shared" si="3"/>
        <v>0</v>
      </c>
      <c r="Q84" s="27">
        <f t="shared" si="4"/>
        <v>0</v>
      </c>
    </row>
    <row r="85" spans="2:17" x14ac:dyDescent="0.45">
      <c r="B85" s="27" t="str">
        <f>IFERROR(VLOOKUP(A85,القائمة!$A$3:$F$112,2,FALSE),"")</f>
        <v/>
      </c>
      <c r="C85" s="27" t="str">
        <f>IFERROR(VLOOKUP(A85,القائمة!$A$3:$F$112,3,FALSE),"")</f>
        <v/>
      </c>
      <c r="D85" s="36" t="str">
        <f>IFERROR(VLOOKUP(A85,القائمة!$A$3:$F$112,4,FALSE),"")</f>
        <v/>
      </c>
      <c r="E85" s="36" t="str">
        <f>IFERROR(VLOOKUP(A85,القائمة!$A$3:$F$112,5,FALSE),"")</f>
        <v/>
      </c>
      <c r="F85" s="37" t="str">
        <f>IFERROR(VLOOKUP(A85,القائمة!$A$3:$F$112,6,FALSE),"")</f>
        <v/>
      </c>
      <c r="H85" s="38"/>
      <c r="I85" s="36"/>
      <c r="J85" s="39"/>
      <c r="K85" s="39"/>
      <c r="P85" s="27">
        <f t="shared" si="3"/>
        <v>0</v>
      </c>
      <c r="Q85" s="27">
        <f t="shared" si="4"/>
        <v>0</v>
      </c>
    </row>
    <row r="86" spans="2:17" x14ac:dyDescent="0.45">
      <c r="B86" s="27" t="str">
        <f>IFERROR(VLOOKUP(A86,القائمة!$A$3:$F$112,2,FALSE),"")</f>
        <v/>
      </c>
      <c r="C86" s="27" t="str">
        <f>IFERROR(VLOOKUP(A86,القائمة!$A$3:$F$112,3,FALSE),"")</f>
        <v/>
      </c>
      <c r="D86" s="36" t="str">
        <f>IFERROR(VLOOKUP(A86,القائمة!$A$3:$F$112,4,FALSE),"")</f>
        <v/>
      </c>
      <c r="E86" s="36" t="str">
        <f>IFERROR(VLOOKUP(A86,القائمة!$A$3:$F$112,5,FALSE),"")</f>
        <v/>
      </c>
      <c r="F86" s="37" t="str">
        <f>IFERROR(VLOOKUP(A86,القائمة!$A$3:$F$112,6,FALSE),"")</f>
        <v/>
      </c>
      <c r="H86" s="38"/>
      <c r="I86" s="36"/>
      <c r="J86" s="39"/>
      <c r="K86" s="39"/>
      <c r="P86" s="27">
        <f t="shared" si="3"/>
        <v>0</v>
      </c>
      <c r="Q86" s="27">
        <f t="shared" si="4"/>
        <v>0</v>
      </c>
    </row>
    <row r="87" spans="2:17" x14ac:dyDescent="0.45">
      <c r="B87" s="27" t="str">
        <f>IFERROR(VLOOKUP(A87,القائمة!$A$3:$F$112,2,FALSE),"")</f>
        <v/>
      </c>
      <c r="C87" s="27" t="str">
        <f>IFERROR(VLOOKUP(A87,القائمة!$A$3:$F$112,3,FALSE),"")</f>
        <v/>
      </c>
      <c r="D87" s="36" t="str">
        <f>IFERROR(VLOOKUP(A87,القائمة!$A$3:$F$112,4,FALSE),"")</f>
        <v/>
      </c>
      <c r="E87" s="36" t="str">
        <f>IFERROR(VLOOKUP(A87,القائمة!$A$3:$F$112,5,FALSE),"")</f>
        <v/>
      </c>
      <c r="F87" s="37" t="str">
        <f>IFERROR(VLOOKUP(A87,القائمة!$A$3:$F$112,6,FALSE),"")</f>
        <v/>
      </c>
      <c r="H87" s="38"/>
      <c r="I87" s="36"/>
      <c r="J87" s="39"/>
      <c r="K87" s="39"/>
      <c r="P87" s="27">
        <f t="shared" si="3"/>
        <v>0</v>
      </c>
      <c r="Q87" s="27">
        <f t="shared" si="4"/>
        <v>0</v>
      </c>
    </row>
    <row r="88" spans="2:17" x14ac:dyDescent="0.45">
      <c r="B88" s="27" t="str">
        <f>IFERROR(VLOOKUP(A88,القائمة!$A$3:$F$112,2,FALSE),"")</f>
        <v/>
      </c>
      <c r="C88" s="27" t="str">
        <f>IFERROR(VLOOKUP(A88,القائمة!$A$3:$F$112,3,FALSE),"")</f>
        <v/>
      </c>
      <c r="D88" s="36" t="str">
        <f>IFERROR(VLOOKUP(A88,القائمة!$A$3:$F$112,4,FALSE),"")</f>
        <v/>
      </c>
      <c r="E88" s="36" t="str">
        <f>IFERROR(VLOOKUP(A88,القائمة!$A$3:$F$112,5,FALSE),"")</f>
        <v/>
      </c>
      <c r="F88" s="37" t="str">
        <f>IFERROR(VLOOKUP(A88,القائمة!$A$3:$F$112,6,FALSE),"")</f>
        <v/>
      </c>
      <c r="H88" s="38"/>
      <c r="I88" s="36"/>
      <c r="J88" s="39"/>
      <c r="K88" s="39"/>
      <c r="P88" s="27">
        <f t="shared" si="3"/>
        <v>0</v>
      </c>
      <c r="Q88" s="27">
        <f t="shared" si="4"/>
        <v>0</v>
      </c>
    </row>
    <row r="89" spans="2:17" x14ac:dyDescent="0.45">
      <c r="B89" s="27" t="str">
        <f>IFERROR(VLOOKUP(A89,القائمة!$A$3:$F$112,2,FALSE),"")</f>
        <v/>
      </c>
      <c r="C89" s="27" t="str">
        <f>IFERROR(VLOOKUP(A89,القائمة!$A$3:$F$112,3,FALSE),"")</f>
        <v/>
      </c>
      <c r="D89" s="36" t="str">
        <f>IFERROR(VLOOKUP(A89,القائمة!$A$3:$F$112,4,FALSE),"")</f>
        <v/>
      </c>
      <c r="E89" s="36" t="str">
        <f>IFERROR(VLOOKUP(A89,القائمة!$A$3:$F$112,5,FALSE),"")</f>
        <v/>
      </c>
      <c r="F89" s="37" t="str">
        <f>IFERROR(VLOOKUP(A89,القائمة!$A$3:$F$112,6,FALSE),"")</f>
        <v/>
      </c>
      <c r="H89" s="38"/>
      <c r="I89" s="36"/>
      <c r="J89" s="39"/>
      <c r="K89" s="39"/>
      <c r="P89" s="27">
        <f t="shared" si="3"/>
        <v>0</v>
      </c>
      <c r="Q89" s="27">
        <f t="shared" si="4"/>
        <v>0</v>
      </c>
    </row>
    <row r="90" spans="2:17" x14ac:dyDescent="0.45">
      <c r="B90" s="27" t="str">
        <f>IFERROR(VLOOKUP(A90,القائمة!$A$3:$F$112,2,FALSE),"")</f>
        <v/>
      </c>
      <c r="C90" s="27" t="str">
        <f>IFERROR(VLOOKUP(A90,القائمة!$A$3:$F$112,3,FALSE),"")</f>
        <v/>
      </c>
      <c r="D90" s="36" t="str">
        <f>IFERROR(VLOOKUP(A90,القائمة!$A$3:$F$112,4,FALSE),"")</f>
        <v/>
      </c>
      <c r="E90" s="36" t="str">
        <f>IFERROR(VLOOKUP(A90,القائمة!$A$3:$F$112,5,FALSE),"")</f>
        <v/>
      </c>
      <c r="F90" s="37" t="str">
        <f>IFERROR(VLOOKUP(A90,القائمة!$A$3:$F$112,6,FALSE),"")</f>
        <v/>
      </c>
      <c r="H90" s="38"/>
      <c r="I90" s="36"/>
      <c r="J90" s="39"/>
      <c r="K90" s="39"/>
      <c r="P90" s="27">
        <f t="shared" si="3"/>
        <v>0</v>
      </c>
      <c r="Q90" s="27">
        <f t="shared" si="4"/>
        <v>0</v>
      </c>
    </row>
    <row r="91" spans="2:17" x14ac:dyDescent="0.45">
      <c r="B91" s="27" t="str">
        <f>IFERROR(VLOOKUP(A91,القائمة!$A$3:$F$112,2,FALSE),"")</f>
        <v/>
      </c>
      <c r="C91" s="27" t="str">
        <f>IFERROR(VLOOKUP(A91,القائمة!$A$3:$F$112,3,FALSE),"")</f>
        <v/>
      </c>
      <c r="D91" s="36" t="str">
        <f>IFERROR(VLOOKUP(A91,القائمة!$A$3:$F$112,4,FALSE),"")</f>
        <v/>
      </c>
      <c r="E91" s="36" t="str">
        <f>IFERROR(VLOOKUP(A91,القائمة!$A$3:$F$112,5,FALSE),"")</f>
        <v/>
      </c>
      <c r="F91" s="37" t="str">
        <f>IFERROR(VLOOKUP(A91,القائمة!$A$3:$F$112,6,FALSE),"")</f>
        <v/>
      </c>
      <c r="H91" s="38"/>
      <c r="I91" s="36"/>
      <c r="J91" s="39"/>
      <c r="K91" s="39"/>
      <c r="P91" s="27">
        <f t="shared" si="3"/>
        <v>0</v>
      </c>
      <c r="Q91" s="27">
        <f t="shared" si="4"/>
        <v>0</v>
      </c>
    </row>
    <row r="92" spans="2:17" x14ac:dyDescent="0.45">
      <c r="B92" s="27" t="str">
        <f>IFERROR(VLOOKUP(A92,القائمة!$A$3:$F$112,2,FALSE),"")</f>
        <v/>
      </c>
      <c r="C92" s="27" t="str">
        <f>IFERROR(VLOOKUP(A92,القائمة!$A$3:$F$112,3,FALSE),"")</f>
        <v/>
      </c>
      <c r="D92" s="36" t="str">
        <f>IFERROR(VLOOKUP(A92,القائمة!$A$3:$F$112,4,FALSE),"")</f>
        <v/>
      </c>
      <c r="E92" s="36" t="str">
        <f>IFERROR(VLOOKUP(A92,القائمة!$A$3:$F$112,5,FALSE),"")</f>
        <v/>
      </c>
      <c r="F92" s="37" t="str">
        <f>IFERROR(VLOOKUP(A92,القائمة!$A$3:$F$112,6,FALSE),"")</f>
        <v/>
      </c>
      <c r="H92" s="38"/>
      <c r="I92" s="36"/>
      <c r="J92" s="39"/>
      <c r="K92" s="39"/>
      <c r="P92" s="27">
        <f t="shared" si="3"/>
        <v>0</v>
      </c>
      <c r="Q92" s="27">
        <f t="shared" si="4"/>
        <v>0</v>
      </c>
    </row>
    <row r="93" spans="2:17" x14ac:dyDescent="0.45">
      <c r="B93" s="27" t="str">
        <f>IFERROR(VLOOKUP(A93,القائمة!$A$3:$F$112,2,FALSE),"")</f>
        <v/>
      </c>
      <c r="C93" s="27" t="str">
        <f>IFERROR(VLOOKUP(A93,القائمة!$A$3:$F$112,3,FALSE),"")</f>
        <v/>
      </c>
      <c r="D93" s="36" t="str">
        <f>IFERROR(VLOOKUP(A93,القائمة!$A$3:$F$112,4,FALSE),"")</f>
        <v/>
      </c>
      <c r="E93" s="36" t="str">
        <f>IFERROR(VLOOKUP(A93,القائمة!$A$3:$F$112,5,FALSE),"")</f>
        <v/>
      </c>
      <c r="F93" s="37" t="str">
        <f>IFERROR(VLOOKUP(A93,القائمة!$A$3:$F$112,6,FALSE),"")</f>
        <v/>
      </c>
      <c r="H93" s="38"/>
      <c r="I93" s="36"/>
      <c r="J93" s="39"/>
      <c r="K93" s="39"/>
      <c r="P93" s="27">
        <f t="shared" si="3"/>
        <v>0</v>
      </c>
      <c r="Q93" s="27">
        <f t="shared" si="4"/>
        <v>0</v>
      </c>
    </row>
    <row r="94" spans="2:17" x14ac:dyDescent="0.45">
      <c r="B94" s="27" t="str">
        <f>IFERROR(VLOOKUP(A94,القائمة!$A$3:$F$112,2,FALSE),"")</f>
        <v/>
      </c>
      <c r="C94" s="27" t="str">
        <f>IFERROR(VLOOKUP(A94,القائمة!$A$3:$F$112,3,FALSE),"")</f>
        <v/>
      </c>
      <c r="D94" s="36" t="str">
        <f>IFERROR(VLOOKUP(A94,القائمة!$A$3:$F$112,4,FALSE),"")</f>
        <v/>
      </c>
      <c r="E94" s="36" t="str">
        <f>IFERROR(VLOOKUP(A94,القائمة!$A$3:$F$112,5,FALSE),"")</f>
        <v/>
      </c>
      <c r="F94" s="37" t="str">
        <f>IFERROR(VLOOKUP(A94,القائمة!$A$3:$F$112,6,FALSE),"")</f>
        <v/>
      </c>
      <c r="H94" s="38"/>
      <c r="I94" s="36"/>
      <c r="J94" s="39"/>
      <c r="K94" s="39"/>
      <c r="P94" s="27">
        <f t="shared" si="3"/>
        <v>0</v>
      </c>
      <c r="Q94" s="27">
        <f t="shared" si="4"/>
        <v>0</v>
      </c>
    </row>
    <row r="95" spans="2:17" x14ac:dyDescent="0.45">
      <c r="B95" s="27" t="str">
        <f>IFERROR(VLOOKUP(A95,القائمة!$A$3:$F$112,2,FALSE),"")</f>
        <v/>
      </c>
      <c r="C95" s="27" t="str">
        <f>IFERROR(VLOOKUP(A95,القائمة!$A$3:$F$112,3,FALSE),"")</f>
        <v/>
      </c>
      <c r="D95" s="36" t="str">
        <f>IFERROR(VLOOKUP(A95,القائمة!$A$3:$F$112,4,FALSE),"")</f>
        <v/>
      </c>
      <c r="E95" s="36" t="str">
        <f>IFERROR(VLOOKUP(A95,القائمة!$A$3:$F$112,5,FALSE),"")</f>
        <v/>
      </c>
      <c r="F95" s="37" t="str">
        <f>IFERROR(VLOOKUP(A95,القائمة!$A$3:$F$112,6,FALSE),"")</f>
        <v/>
      </c>
      <c r="H95" s="38"/>
      <c r="I95" s="36"/>
      <c r="J95" s="39"/>
      <c r="K95" s="39"/>
      <c r="P95" s="27">
        <f t="shared" si="3"/>
        <v>0</v>
      </c>
      <c r="Q95" s="27">
        <f t="shared" si="4"/>
        <v>0</v>
      </c>
    </row>
    <row r="96" spans="2:17" x14ac:dyDescent="0.45">
      <c r="B96" s="27" t="str">
        <f>IFERROR(VLOOKUP(A96,القائمة!$A$3:$F$112,2,FALSE),"")</f>
        <v/>
      </c>
      <c r="C96" s="27" t="str">
        <f>IFERROR(VLOOKUP(A96,القائمة!$A$3:$F$112,3,FALSE),"")</f>
        <v/>
      </c>
      <c r="D96" s="36" t="str">
        <f>IFERROR(VLOOKUP(A96,القائمة!$A$3:$F$112,4,FALSE),"")</f>
        <v/>
      </c>
      <c r="E96" s="36" t="str">
        <f>IFERROR(VLOOKUP(A96,القائمة!$A$3:$F$112,5,FALSE),"")</f>
        <v/>
      </c>
      <c r="F96" s="37" t="str">
        <f>IFERROR(VLOOKUP(A96,القائمة!$A$3:$F$112,6,FALSE),"")</f>
        <v/>
      </c>
      <c r="H96" s="38"/>
      <c r="I96" s="36"/>
      <c r="J96" s="39"/>
      <c r="K96" s="39"/>
      <c r="P96" s="27">
        <f t="shared" si="3"/>
        <v>0</v>
      </c>
      <c r="Q96" s="27">
        <f t="shared" si="4"/>
        <v>0</v>
      </c>
    </row>
    <row r="97" spans="2:17" x14ac:dyDescent="0.45">
      <c r="B97" s="27" t="str">
        <f>IFERROR(VLOOKUP(A97,القائمة!$A$3:$F$112,2,FALSE),"")</f>
        <v/>
      </c>
      <c r="C97" s="27" t="str">
        <f>IFERROR(VLOOKUP(A97,القائمة!$A$3:$F$112,3,FALSE),"")</f>
        <v/>
      </c>
      <c r="D97" s="36" t="str">
        <f>IFERROR(VLOOKUP(A97,القائمة!$A$3:$F$112,4,FALSE),"")</f>
        <v/>
      </c>
      <c r="E97" s="36" t="str">
        <f>IFERROR(VLOOKUP(A97,القائمة!$A$3:$F$112,5,FALSE),"")</f>
        <v/>
      </c>
      <c r="F97" s="37" t="str">
        <f>IFERROR(VLOOKUP(A97,القائمة!$A$3:$F$112,6,FALSE),"")</f>
        <v/>
      </c>
      <c r="H97" s="38"/>
      <c r="I97" s="36"/>
      <c r="J97" s="39"/>
      <c r="K97" s="39"/>
      <c r="P97" s="27">
        <f t="shared" si="3"/>
        <v>0</v>
      </c>
      <c r="Q97" s="27">
        <f t="shared" si="4"/>
        <v>0</v>
      </c>
    </row>
    <row r="98" spans="2:17" x14ac:dyDescent="0.45">
      <c r="B98" s="27" t="str">
        <f>IFERROR(VLOOKUP(A98,القائمة!$A$3:$F$112,2,FALSE),"")</f>
        <v/>
      </c>
      <c r="C98" s="27" t="str">
        <f>IFERROR(VLOOKUP(A98,القائمة!$A$3:$F$112,3,FALSE),"")</f>
        <v/>
      </c>
      <c r="D98" s="36" t="str">
        <f>IFERROR(VLOOKUP(A98,القائمة!$A$3:$F$112,4,FALSE),"")</f>
        <v/>
      </c>
      <c r="E98" s="36" t="str">
        <f>IFERROR(VLOOKUP(A98,القائمة!$A$3:$F$112,5,FALSE),"")</f>
        <v/>
      </c>
      <c r="F98" s="37" t="str">
        <f>IFERROR(VLOOKUP(A98,القائمة!$A$3:$F$112,6,FALSE),"")</f>
        <v/>
      </c>
      <c r="H98" s="38"/>
      <c r="I98" s="36"/>
      <c r="J98" s="39"/>
      <c r="K98" s="39"/>
      <c r="P98" s="27">
        <f t="shared" si="3"/>
        <v>0</v>
      </c>
      <c r="Q98" s="27">
        <f t="shared" si="4"/>
        <v>0</v>
      </c>
    </row>
    <row r="99" spans="2:17" x14ac:dyDescent="0.45">
      <c r="B99" s="27" t="str">
        <f>IFERROR(VLOOKUP(A99,القائمة!$A$3:$F$112,2,FALSE),"")</f>
        <v/>
      </c>
      <c r="C99" s="27" t="str">
        <f>IFERROR(VLOOKUP(A99,القائمة!$A$3:$F$112,3,FALSE),"")</f>
        <v/>
      </c>
      <c r="D99" s="36" t="str">
        <f>IFERROR(VLOOKUP(A99,القائمة!$A$3:$F$112,4,FALSE),"")</f>
        <v/>
      </c>
      <c r="E99" s="36" t="str">
        <f>IFERROR(VLOOKUP(A99,القائمة!$A$3:$F$112,5,FALSE),"")</f>
        <v/>
      </c>
      <c r="F99" s="37" t="str">
        <f>IFERROR(VLOOKUP(A99,القائمة!$A$3:$F$112,6,FALSE),"")</f>
        <v/>
      </c>
      <c r="H99" s="38"/>
      <c r="I99" s="36"/>
      <c r="J99" s="39"/>
      <c r="K99" s="39"/>
      <c r="P99" s="27">
        <f t="shared" si="3"/>
        <v>0</v>
      </c>
      <c r="Q99" s="27">
        <f t="shared" si="4"/>
        <v>0</v>
      </c>
    </row>
    <row r="100" spans="2:17" x14ac:dyDescent="0.45">
      <c r="B100" s="27" t="str">
        <f>IFERROR(VLOOKUP(A100,القائمة!$A$3:$F$112,2,FALSE),"")</f>
        <v/>
      </c>
      <c r="C100" s="27" t="str">
        <f>IFERROR(VLOOKUP(A100,القائمة!$A$3:$F$112,3,FALSE),"")</f>
        <v/>
      </c>
      <c r="D100" s="36" t="str">
        <f>IFERROR(VLOOKUP(A100,القائمة!$A$3:$F$112,4,FALSE),"")</f>
        <v/>
      </c>
      <c r="E100" s="36" t="str">
        <f>IFERROR(VLOOKUP(A100,القائمة!$A$3:$F$112,5,FALSE),"")</f>
        <v/>
      </c>
      <c r="F100" s="37" t="str">
        <f>IFERROR(VLOOKUP(A100,القائمة!$A$3:$F$112,6,FALSE),"")</f>
        <v/>
      </c>
      <c r="H100" s="38"/>
      <c r="I100" s="36"/>
      <c r="J100" s="39"/>
      <c r="K100" s="39"/>
      <c r="P100" s="27">
        <f t="shared" si="3"/>
        <v>0</v>
      </c>
      <c r="Q100" s="27">
        <f t="shared" si="4"/>
        <v>0</v>
      </c>
    </row>
    <row r="101" spans="2:17" x14ac:dyDescent="0.45">
      <c r="B101" s="27" t="str">
        <f>IFERROR(VLOOKUP(A101,القائمة!$A$3:$F$112,2,FALSE),"")</f>
        <v/>
      </c>
      <c r="C101" s="27" t="str">
        <f>IFERROR(VLOOKUP(A101,القائمة!$A$3:$F$112,3,FALSE),"")</f>
        <v/>
      </c>
      <c r="D101" s="36" t="str">
        <f>IFERROR(VLOOKUP(A101,القائمة!$A$3:$F$112,4,FALSE),"")</f>
        <v/>
      </c>
      <c r="E101" s="36" t="str">
        <f>IFERROR(VLOOKUP(A101,القائمة!$A$3:$F$112,5,FALSE),"")</f>
        <v/>
      </c>
      <c r="F101" s="37" t="str">
        <f>IFERROR(VLOOKUP(A101,القائمة!$A$3:$F$112,6,FALSE),"")</f>
        <v/>
      </c>
      <c r="H101" s="38"/>
      <c r="I101" s="36"/>
      <c r="J101" s="39"/>
      <c r="K101" s="39"/>
      <c r="P101" s="27">
        <f t="shared" si="3"/>
        <v>0</v>
      </c>
      <c r="Q101" s="27">
        <f t="shared" si="4"/>
        <v>0</v>
      </c>
    </row>
    <row r="102" spans="2:17" x14ac:dyDescent="0.45">
      <c r="B102" s="27" t="str">
        <f>IFERROR(VLOOKUP(A102,القائمة!$A$3:$F$112,2,FALSE),"")</f>
        <v/>
      </c>
      <c r="C102" s="27" t="str">
        <f>IFERROR(VLOOKUP(A102,القائمة!$A$3:$F$112,3,FALSE),"")</f>
        <v/>
      </c>
      <c r="D102" s="36" t="str">
        <f>IFERROR(VLOOKUP(A102,القائمة!$A$3:$F$112,4,FALSE),"")</f>
        <v/>
      </c>
      <c r="E102" s="36" t="str">
        <f>IFERROR(VLOOKUP(A102,القائمة!$A$3:$F$112,5,FALSE),"")</f>
        <v/>
      </c>
      <c r="F102" s="37" t="str">
        <f>IFERROR(VLOOKUP(A102,القائمة!$A$3:$F$112,6,FALSE),"")</f>
        <v/>
      </c>
      <c r="H102" s="38"/>
      <c r="I102" s="36"/>
      <c r="J102" s="39"/>
      <c r="K102" s="39"/>
      <c r="P102" s="27">
        <f t="shared" si="3"/>
        <v>0</v>
      </c>
      <c r="Q102" s="27">
        <f t="shared" si="4"/>
        <v>0</v>
      </c>
    </row>
    <row r="103" spans="2:17" x14ac:dyDescent="0.45">
      <c r="B103" s="27" t="str">
        <f>IFERROR(VLOOKUP(A103,القائمة!$A$3:$F$112,2,FALSE),"")</f>
        <v/>
      </c>
      <c r="C103" s="27" t="str">
        <f>IFERROR(VLOOKUP(A103,القائمة!$A$3:$F$112,3,FALSE),"")</f>
        <v/>
      </c>
      <c r="D103" s="36" t="str">
        <f>IFERROR(VLOOKUP(A103,القائمة!$A$3:$F$112,4,FALSE),"")</f>
        <v/>
      </c>
      <c r="E103" s="36" t="str">
        <f>IFERROR(VLOOKUP(A103,القائمة!$A$3:$F$112,5,FALSE),"")</f>
        <v/>
      </c>
      <c r="F103" s="37" t="str">
        <f>IFERROR(VLOOKUP(A103,القائمة!$A$3:$F$112,6,FALSE),"")</f>
        <v/>
      </c>
      <c r="H103" s="38"/>
      <c r="I103" s="36"/>
      <c r="J103" s="39"/>
      <c r="K103" s="39"/>
      <c r="P103" s="27">
        <f t="shared" si="3"/>
        <v>0</v>
      </c>
      <c r="Q103" s="27">
        <f t="shared" si="4"/>
        <v>0</v>
      </c>
    </row>
    <row r="104" spans="2:17" x14ac:dyDescent="0.45">
      <c r="B104" s="27" t="str">
        <f>IFERROR(VLOOKUP(A104,القائمة!$A$3:$F$112,2,FALSE),"")</f>
        <v/>
      </c>
      <c r="C104" s="27" t="str">
        <f>IFERROR(VLOOKUP(A104,القائمة!$A$3:$F$112,3,FALSE),"")</f>
        <v/>
      </c>
      <c r="D104" s="36" t="str">
        <f>IFERROR(VLOOKUP(A104,القائمة!$A$3:$F$112,4,FALSE),"")</f>
        <v/>
      </c>
      <c r="E104" s="36" t="str">
        <f>IFERROR(VLOOKUP(A104,القائمة!$A$3:$F$112,5,FALSE),"")</f>
        <v/>
      </c>
      <c r="F104" s="37" t="str">
        <f>IFERROR(VLOOKUP(A104,القائمة!$A$3:$F$112,6,FALSE),"")</f>
        <v/>
      </c>
      <c r="H104" s="38"/>
      <c r="I104" s="36"/>
      <c r="J104" s="39"/>
      <c r="K104" s="39"/>
      <c r="P104" s="27">
        <f t="shared" si="3"/>
        <v>0</v>
      </c>
      <c r="Q104" s="27">
        <f t="shared" si="4"/>
        <v>0</v>
      </c>
    </row>
    <row r="105" spans="2:17" x14ac:dyDescent="0.45">
      <c r="B105" s="27" t="str">
        <f>IFERROR(VLOOKUP(A105,القائمة!$A$3:$F$112,2,FALSE),"")</f>
        <v/>
      </c>
      <c r="C105" s="27" t="str">
        <f>IFERROR(VLOOKUP(A105,القائمة!$A$3:$F$112,3,FALSE),"")</f>
        <v/>
      </c>
      <c r="D105" s="36" t="str">
        <f>IFERROR(VLOOKUP(A105,القائمة!$A$3:$F$112,4,FALSE),"")</f>
        <v/>
      </c>
      <c r="E105" s="36" t="str">
        <f>IFERROR(VLOOKUP(A105,القائمة!$A$3:$F$112,5,FALSE),"")</f>
        <v/>
      </c>
      <c r="F105" s="37" t="str">
        <f>IFERROR(VLOOKUP(A105,القائمة!$A$3:$F$112,6,FALSE),"")</f>
        <v/>
      </c>
      <c r="H105" s="38"/>
      <c r="I105" s="36"/>
      <c r="J105" s="39"/>
      <c r="K105" s="39"/>
      <c r="P105" s="27">
        <f t="shared" si="3"/>
        <v>0</v>
      </c>
      <c r="Q105" s="27">
        <f t="shared" si="4"/>
        <v>0</v>
      </c>
    </row>
    <row r="106" spans="2:17" x14ac:dyDescent="0.45">
      <c r="B106" s="27" t="str">
        <f>IFERROR(VLOOKUP(A106,القائمة!$A$3:$F$112,2,FALSE),"")</f>
        <v/>
      </c>
      <c r="C106" s="27" t="str">
        <f>IFERROR(VLOOKUP(A106,القائمة!$A$3:$F$112,3,FALSE),"")</f>
        <v/>
      </c>
      <c r="D106" s="36" t="str">
        <f>IFERROR(VLOOKUP(A106,القائمة!$A$3:$F$112,4,FALSE),"")</f>
        <v/>
      </c>
      <c r="E106" s="36" t="str">
        <f>IFERROR(VLOOKUP(A106,القائمة!$A$3:$F$112,5,FALSE),"")</f>
        <v/>
      </c>
      <c r="F106" s="37" t="str">
        <f>IFERROR(VLOOKUP(A106,القائمة!$A$3:$F$112,6,FALSE),"")</f>
        <v/>
      </c>
      <c r="H106" s="38"/>
      <c r="I106" s="36"/>
      <c r="J106" s="39"/>
      <c r="K106" s="39"/>
      <c r="P106" s="27">
        <f t="shared" si="3"/>
        <v>0</v>
      </c>
      <c r="Q106" s="27">
        <f t="shared" si="4"/>
        <v>0</v>
      </c>
    </row>
    <row r="107" spans="2:17" x14ac:dyDescent="0.45">
      <c r="B107" s="27" t="str">
        <f>IFERROR(VLOOKUP(A107,القائمة!$A$3:$F$112,2,FALSE),"")</f>
        <v/>
      </c>
      <c r="C107" s="27" t="str">
        <f>IFERROR(VLOOKUP(A107,القائمة!$A$3:$F$112,3,FALSE),"")</f>
        <v/>
      </c>
      <c r="D107" s="36" t="str">
        <f>IFERROR(VLOOKUP(A107,القائمة!$A$3:$F$112,4,FALSE),"")</f>
        <v/>
      </c>
      <c r="E107" s="36" t="str">
        <f>IFERROR(VLOOKUP(A107,القائمة!$A$3:$F$112,5,FALSE),"")</f>
        <v/>
      </c>
      <c r="F107" s="37" t="str">
        <f>IFERROR(VLOOKUP(A107,القائمة!$A$3:$F$112,6,FALSE),"")</f>
        <v/>
      </c>
      <c r="H107" s="38"/>
      <c r="I107" s="36"/>
      <c r="J107" s="39"/>
      <c r="K107" s="39"/>
      <c r="P107" s="27">
        <f t="shared" si="3"/>
        <v>0</v>
      </c>
      <c r="Q107" s="27">
        <f t="shared" si="4"/>
        <v>0</v>
      </c>
    </row>
    <row r="108" spans="2:17" x14ac:dyDescent="0.45">
      <c r="B108" s="27" t="str">
        <f>IFERROR(VLOOKUP(A108,القائمة!$A$3:$F$112,2,FALSE),"")</f>
        <v/>
      </c>
      <c r="C108" s="27" t="str">
        <f>IFERROR(VLOOKUP(A108,القائمة!$A$3:$F$112,3,FALSE),"")</f>
        <v/>
      </c>
      <c r="D108" s="36" t="str">
        <f>IFERROR(VLOOKUP(A108,القائمة!$A$3:$F$112,4,FALSE),"")</f>
        <v/>
      </c>
      <c r="E108" s="36" t="str">
        <f>IFERROR(VLOOKUP(A108,القائمة!$A$3:$F$112,5,FALSE),"")</f>
        <v/>
      </c>
      <c r="F108" s="37" t="str">
        <f>IFERROR(VLOOKUP(A108,القائمة!$A$3:$F$112,6,FALSE),"")</f>
        <v/>
      </c>
      <c r="H108" s="38"/>
      <c r="I108" s="36"/>
      <c r="J108" s="39"/>
      <c r="K108" s="39"/>
      <c r="P108" s="27">
        <f t="shared" si="3"/>
        <v>0</v>
      </c>
      <c r="Q108" s="27">
        <f t="shared" si="4"/>
        <v>0</v>
      </c>
    </row>
    <row r="109" spans="2:17" x14ac:dyDescent="0.45">
      <c r="B109" s="27" t="str">
        <f>IFERROR(VLOOKUP(A109,القائمة!$A$3:$F$112,2,FALSE),"")</f>
        <v/>
      </c>
      <c r="C109" s="27" t="str">
        <f>IFERROR(VLOOKUP(A109,القائمة!$A$3:$F$112,3,FALSE),"")</f>
        <v/>
      </c>
      <c r="D109" s="36" t="str">
        <f>IFERROR(VLOOKUP(A109,القائمة!$A$3:$F$112,4,FALSE),"")</f>
        <v/>
      </c>
      <c r="E109" s="36" t="str">
        <f>IFERROR(VLOOKUP(A109,القائمة!$A$3:$F$112,5,FALSE),"")</f>
        <v/>
      </c>
      <c r="F109" s="37" t="str">
        <f>IFERROR(VLOOKUP(A109,القائمة!$A$3:$F$112,6,FALSE),"")</f>
        <v/>
      </c>
      <c r="H109" s="38"/>
      <c r="I109" s="36"/>
      <c r="J109" s="39"/>
      <c r="K109" s="39"/>
      <c r="P109" s="27">
        <f t="shared" si="3"/>
        <v>0</v>
      </c>
      <c r="Q109" s="27">
        <f t="shared" si="4"/>
        <v>0</v>
      </c>
    </row>
    <row r="110" spans="2:17" x14ac:dyDescent="0.45">
      <c r="B110" s="27" t="str">
        <f>IFERROR(VLOOKUP(A110,القائمة!$A$3:$F$112,2,FALSE),"")</f>
        <v/>
      </c>
      <c r="C110" s="27" t="str">
        <f>IFERROR(VLOOKUP(A110,القائمة!$A$3:$F$112,3,FALSE),"")</f>
        <v/>
      </c>
      <c r="D110" s="36" t="str">
        <f>IFERROR(VLOOKUP(A110,القائمة!$A$3:$F$112,4,FALSE),"")</f>
        <v/>
      </c>
      <c r="E110" s="36" t="str">
        <f>IFERROR(VLOOKUP(A110,القائمة!$A$3:$F$112,5,FALSE),"")</f>
        <v/>
      </c>
      <c r="F110" s="37" t="str">
        <f>IFERROR(VLOOKUP(A110,القائمة!$A$3:$F$112,6,FALSE),"")</f>
        <v/>
      </c>
      <c r="H110" s="38"/>
      <c r="I110" s="36"/>
      <c r="J110" s="39"/>
      <c r="K110" s="39"/>
      <c r="P110" s="27">
        <f t="shared" si="3"/>
        <v>0</v>
      </c>
      <c r="Q110" s="27">
        <f t="shared" si="4"/>
        <v>0</v>
      </c>
    </row>
    <row r="111" spans="2:17" x14ac:dyDescent="0.45">
      <c r="B111" s="27" t="str">
        <f>IFERROR(VLOOKUP(A111,القائمة!$A$3:$F$112,2,FALSE),"")</f>
        <v/>
      </c>
      <c r="C111" s="27" t="str">
        <f>IFERROR(VLOOKUP(A111,القائمة!$A$3:$F$112,3,FALSE),"")</f>
        <v/>
      </c>
      <c r="D111" s="36" t="str">
        <f>IFERROR(VLOOKUP(A111,القائمة!$A$3:$F$112,4,FALSE),"")</f>
        <v/>
      </c>
      <c r="E111" s="36" t="str">
        <f>IFERROR(VLOOKUP(A111,القائمة!$A$3:$F$112,5,FALSE),"")</f>
        <v/>
      </c>
      <c r="F111" s="37" t="str">
        <f>IFERROR(VLOOKUP(A111,القائمة!$A$3:$F$112,6,FALSE),"")</f>
        <v/>
      </c>
      <c r="H111" s="38"/>
      <c r="I111" s="36"/>
      <c r="J111" s="39"/>
      <c r="K111" s="39"/>
      <c r="P111" s="27">
        <f t="shared" si="3"/>
        <v>0</v>
      </c>
      <c r="Q111" s="27">
        <f t="shared" si="4"/>
        <v>0</v>
      </c>
    </row>
    <row r="112" spans="2:17" x14ac:dyDescent="0.45">
      <c r="B112" s="27" t="str">
        <f>IFERROR(VLOOKUP(A112,القائمة!$A$3:$F$112,2,FALSE),"")</f>
        <v/>
      </c>
      <c r="C112" s="27" t="str">
        <f>IFERROR(VLOOKUP(A112,القائمة!$A$3:$F$112,3,FALSE),"")</f>
        <v/>
      </c>
      <c r="D112" s="36" t="str">
        <f>IFERROR(VLOOKUP(A112,القائمة!$A$3:$F$112,4,FALSE),"")</f>
        <v/>
      </c>
      <c r="E112" s="36" t="str">
        <f>IFERROR(VLOOKUP(A112,القائمة!$A$3:$F$112,5,FALSE),"")</f>
        <v/>
      </c>
      <c r="F112" s="37" t="str">
        <f>IFERROR(VLOOKUP(A112,القائمة!$A$3:$F$112,6,FALSE),"")</f>
        <v/>
      </c>
      <c r="H112" s="38"/>
      <c r="I112" s="36"/>
      <c r="J112" s="39"/>
      <c r="K112" s="39"/>
      <c r="P112" s="27">
        <f t="shared" si="3"/>
        <v>0</v>
      </c>
      <c r="Q112" s="27">
        <f t="shared" si="4"/>
        <v>0</v>
      </c>
    </row>
    <row r="113" spans="2:17" x14ac:dyDescent="0.45">
      <c r="B113" s="27" t="str">
        <f>IFERROR(VLOOKUP(A113,القائمة!$A$3:$F$112,2,FALSE),"")</f>
        <v/>
      </c>
      <c r="C113" s="27" t="str">
        <f>IFERROR(VLOOKUP(A113,القائمة!$A$3:$F$112,3,FALSE),"")</f>
        <v/>
      </c>
      <c r="D113" s="36" t="str">
        <f>IFERROR(VLOOKUP(A113,القائمة!$A$3:$F$112,4,FALSE),"")</f>
        <v/>
      </c>
      <c r="E113" s="36" t="str">
        <f>IFERROR(VLOOKUP(A113,القائمة!$A$3:$F$112,5,FALSE),"")</f>
        <v/>
      </c>
      <c r="F113" s="37" t="str">
        <f>IFERROR(VLOOKUP(A113,القائمة!$A$3:$F$112,6,FALSE),"")</f>
        <v/>
      </c>
      <c r="H113" s="38"/>
      <c r="I113" s="36"/>
      <c r="J113" s="39"/>
      <c r="K113" s="39"/>
      <c r="P113" s="27">
        <f t="shared" si="3"/>
        <v>0</v>
      </c>
      <c r="Q113" s="27">
        <f t="shared" si="4"/>
        <v>0</v>
      </c>
    </row>
    <row r="114" spans="2:17" x14ac:dyDescent="0.45">
      <c r="B114" s="27" t="str">
        <f>IFERROR(VLOOKUP(A114,القائمة!$A$3:$F$112,2,FALSE),"")</f>
        <v/>
      </c>
      <c r="C114" s="27" t="str">
        <f>IFERROR(VLOOKUP(A114,القائمة!$A$3:$F$112,3,FALSE),"")</f>
        <v/>
      </c>
      <c r="D114" s="36" t="str">
        <f>IFERROR(VLOOKUP(A114,القائمة!$A$3:$F$112,4,FALSE),"")</f>
        <v/>
      </c>
      <c r="E114" s="36" t="str">
        <f>IFERROR(VLOOKUP(A114,القائمة!$A$3:$F$112,5,FALSE),"")</f>
        <v/>
      </c>
      <c r="F114" s="37" t="str">
        <f>IFERROR(VLOOKUP(A114,القائمة!$A$3:$F$112,6,FALSE),"")</f>
        <v/>
      </c>
      <c r="H114" s="38"/>
      <c r="I114" s="36"/>
      <c r="J114" s="39"/>
      <c r="K114" s="39"/>
      <c r="P114" s="27">
        <f t="shared" si="3"/>
        <v>0</v>
      </c>
      <c r="Q114" s="27">
        <f t="shared" si="4"/>
        <v>0</v>
      </c>
    </row>
    <row r="115" spans="2:17" x14ac:dyDescent="0.45">
      <c r="B115" s="27" t="str">
        <f>IFERROR(VLOOKUP(A115,القائمة!$A$3:$F$112,2,FALSE),"")</f>
        <v/>
      </c>
      <c r="C115" s="27" t="str">
        <f>IFERROR(VLOOKUP(A115,القائمة!$A$3:$F$112,3,FALSE),"")</f>
        <v/>
      </c>
      <c r="D115" s="36" t="str">
        <f>IFERROR(VLOOKUP(A115,القائمة!$A$3:$F$112,4,FALSE),"")</f>
        <v/>
      </c>
      <c r="E115" s="36" t="str">
        <f>IFERROR(VLOOKUP(A115,القائمة!$A$3:$F$112,5,FALSE),"")</f>
        <v/>
      </c>
      <c r="F115" s="37" t="str">
        <f>IFERROR(VLOOKUP(A115,القائمة!$A$3:$F$112,6,FALSE),"")</f>
        <v/>
      </c>
      <c r="H115" s="38"/>
      <c r="I115" s="36"/>
      <c r="J115" s="39"/>
      <c r="K115" s="39"/>
      <c r="P115" s="27">
        <f t="shared" si="3"/>
        <v>0</v>
      </c>
      <c r="Q115" s="27">
        <f t="shared" si="4"/>
        <v>0</v>
      </c>
    </row>
    <row r="116" spans="2:17" x14ac:dyDescent="0.45">
      <c r="B116" s="27" t="str">
        <f>IFERROR(VLOOKUP(A116,القائمة!$A$3:$F$112,2,FALSE),"")</f>
        <v/>
      </c>
      <c r="C116" s="27" t="str">
        <f>IFERROR(VLOOKUP(A116,القائمة!$A$3:$F$112,3,FALSE),"")</f>
        <v/>
      </c>
      <c r="D116" s="36" t="str">
        <f>IFERROR(VLOOKUP(A116,القائمة!$A$3:$F$112,4,FALSE),"")</f>
        <v/>
      </c>
      <c r="E116" s="36" t="str">
        <f>IFERROR(VLOOKUP(A116,القائمة!$A$3:$F$112,5,FALSE),"")</f>
        <v/>
      </c>
      <c r="F116" s="37" t="str">
        <f>IFERROR(VLOOKUP(A116,القائمة!$A$3:$F$112,6,FALSE),"")</f>
        <v/>
      </c>
      <c r="H116" s="38"/>
      <c r="I116" s="36"/>
      <c r="J116" s="39"/>
      <c r="K116" s="39"/>
      <c r="P116" s="27">
        <f t="shared" si="3"/>
        <v>0</v>
      </c>
      <c r="Q116" s="27">
        <f t="shared" si="4"/>
        <v>0</v>
      </c>
    </row>
    <row r="117" spans="2:17" x14ac:dyDescent="0.45">
      <c r="B117" s="27" t="str">
        <f>IFERROR(VLOOKUP(A117,القائمة!$A$3:$F$112,2,FALSE),"")</f>
        <v/>
      </c>
      <c r="C117" s="27" t="str">
        <f>IFERROR(VLOOKUP(A117,القائمة!$A$3:$F$112,3,FALSE),"")</f>
        <v/>
      </c>
      <c r="D117" s="36" t="str">
        <f>IFERROR(VLOOKUP(A117,القائمة!$A$3:$F$112,4,FALSE),"")</f>
        <v/>
      </c>
      <c r="E117" s="36" t="str">
        <f>IFERROR(VLOOKUP(A117,القائمة!$A$3:$F$112,5,FALSE),"")</f>
        <v/>
      </c>
      <c r="F117" s="37" t="str">
        <f>IFERROR(VLOOKUP(A117,القائمة!$A$3:$F$112,6,FALSE),"")</f>
        <v/>
      </c>
      <c r="H117" s="38"/>
      <c r="I117" s="36"/>
      <c r="J117" s="39"/>
      <c r="K117" s="39"/>
      <c r="P117" s="27">
        <f t="shared" si="3"/>
        <v>0</v>
      </c>
      <c r="Q117" s="27">
        <f t="shared" si="4"/>
        <v>0</v>
      </c>
    </row>
    <row r="118" spans="2:17" x14ac:dyDescent="0.45">
      <c r="B118" s="27" t="str">
        <f>IFERROR(VLOOKUP(A118,القائمة!$A$3:$F$112,2,FALSE),"")</f>
        <v/>
      </c>
      <c r="C118" s="27" t="str">
        <f>IFERROR(VLOOKUP(A118,القائمة!$A$3:$F$112,3,FALSE),"")</f>
        <v/>
      </c>
      <c r="D118" s="36" t="str">
        <f>IFERROR(VLOOKUP(A118,القائمة!$A$3:$F$112,4,FALSE),"")</f>
        <v/>
      </c>
      <c r="E118" s="36" t="str">
        <f>IFERROR(VLOOKUP(A118,القائمة!$A$3:$F$112,5,FALSE),"")</f>
        <v/>
      </c>
      <c r="F118" s="37" t="str">
        <f>IFERROR(VLOOKUP(A118,القائمة!$A$3:$F$112,6,FALSE),"")</f>
        <v/>
      </c>
      <c r="H118" s="38"/>
      <c r="I118" s="36"/>
      <c r="J118" s="39"/>
      <c r="K118" s="39"/>
      <c r="P118" s="27">
        <f t="shared" si="3"/>
        <v>0</v>
      </c>
      <c r="Q118" s="27">
        <f t="shared" si="4"/>
        <v>0</v>
      </c>
    </row>
    <row r="119" spans="2:17" x14ac:dyDescent="0.45">
      <c r="B119" s="27" t="str">
        <f>IFERROR(VLOOKUP(A119,القائمة!$A$3:$F$112,2,FALSE),"")</f>
        <v/>
      </c>
      <c r="C119" s="27" t="str">
        <f>IFERROR(VLOOKUP(A119,القائمة!$A$3:$F$112,3,FALSE),"")</f>
        <v/>
      </c>
      <c r="D119" s="36" t="str">
        <f>IFERROR(VLOOKUP(A119,القائمة!$A$3:$F$112,4,FALSE),"")</f>
        <v/>
      </c>
      <c r="E119" s="36" t="str">
        <f>IFERROR(VLOOKUP(A119,القائمة!$A$3:$F$112,5,FALSE),"")</f>
        <v/>
      </c>
      <c r="F119" s="37" t="str">
        <f>IFERROR(VLOOKUP(A119,القائمة!$A$3:$F$112,6,FALSE),"")</f>
        <v/>
      </c>
      <c r="H119" s="38"/>
      <c r="I119" s="36"/>
      <c r="J119" s="39"/>
      <c r="K119" s="39"/>
      <c r="P119" s="27">
        <f t="shared" si="3"/>
        <v>0</v>
      </c>
      <c r="Q119" s="27">
        <f t="shared" si="4"/>
        <v>0</v>
      </c>
    </row>
    <row r="120" spans="2:17" x14ac:dyDescent="0.45">
      <c r="B120" s="27" t="str">
        <f>IFERROR(VLOOKUP(A120,القائمة!$A$3:$F$112,2,FALSE),"")</f>
        <v/>
      </c>
      <c r="C120" s="27" t="str">
        <f>IFERROR(VLOOKUP(A120,القائمة!$A$3:$F$112,3,FALSE),"")</f>
        <v/>
      </c>
      <c r="D120" s="36" t="str">
        <f>IFERROR(VLOOKUP(A120,القائمة!$A$3:$F$112,4,FALSE),"")</f>
        <v/>
      </c>
      <c r="E120" s="36" t="str">
        <f>IFERROR(VLOOKUP(A120,القائمة!$A$3:$F$112,5,FALSE),"")</f>
        <v/>
      </c>
      <c r="F120" s="37" t="str">
        <f>IFERROR(VLOOKUP(A120,القائمة!$A$3:$F$112,6,FALSE),"")</f>
        <v/>
      </c>
      <c r="H120" s="38"/>
      <c r="I120" s="36"/>
      <c r="J120" s="39"/>
      <c r="K120" s="39"/>
      <c r="P120" s="27">
        <f t="shared" si="3"/>
        <v>0</v>
      </c>
      <c r="Q120" s="27">
        <f t="shared" si="4"/>
        <v>0</v>
      </c>
    </row>
    <row r="121" spans="2:17" x14ac:dyDescent="0.45">
      <c r="B121" s="27" t="str">
        <f>IFERROR(VLOOKUP(A121,القائمة!$A$3:$F$112,2,FALSE),"")</f>
        <v/>
      </c>
      <c r="C121" s="27" t="str">
        <f>IFERROR(VLOOKUP(A121,القائمة!$A$3:$F$112,3,FALSE),"")</f>
        <v/>
      </c>
      <c r="D121" s="36" t="str">
        <f>IFERROR(VLOOKUP(A121,القائمة!$A$3:$F$112,4,FALSE),"")</f>
        <v/>
      </c>
      <c r="E121" s="36" t="str">
        <f>IFERROR(VLOOKUP(A121,القائمة!$A$3:$F$112,5,FALSE),"")</f>
        <v/>
      </c>
      <c r="F121" s="37" t="str">
        <f>IFERROR(VLOOKUP(A121,القائمة!$A$3:$F$112,6,FALSE),"")</f>
        <v/>
      </c>
      <c r="H121" s="38"/>
      <c r="I121" s="36"/>
      <c r="J121" s="39"/>
      <c r="K121" s="39"/>
      <c r="P121" s="27">
        <f t="shared" si="3"/>
        <v>0</v>
      </c>
      <c r="Q121" s="27">
        <f t="shared" si="4"/>
        <v>0</v>
      </c>
    </row>
    <row r="122" spans="2:17" x14ac:dyDescent="0.45">
      <c r="B122" s="27" t="str">
        <f>IFERROR(VLOOKUP(A122,القائمة!$A$3:$F$112,2,FALSE),"")</f>
        <v/>
      </c>
      <c r="C122" s="27" t="str">
        <f>IFERROR(VLOOKUP(A122,القائمة!$A$3:$F$112,3,FALSE),"")</f>
        <v/>
      </c>
      <c r="D122" s="36" t="str">
        <f>IFERROR(VLOOKUP(A122,القائمة!$A$3:$F$112,4,FALSE),"")</f>
        <v/>
      </c>
      <c r="E122" s="36" t="str">
        <f>IFERROR(VLOOKUP(A122,القائمة!$A$3:$F$112,5,FALSE),"")</f>
        <v/>
      </c>
      <c r="F122" s="37" t="str">
        <f>IFERROR(VLOOKUP(A122,القائمة!$A$3:$F$112,6,FALSE),"")</f>
        <v/>
      </c>
      <c r="H122" s="38"/>
      <c r="I122" s="36"/>
      <c r="J122" s="39"/>
      <c r="K122" s="39"/>
      <c r="P122" s="27">
        <f t="shared" si="3"/>
        <v>0</v>
      </c>
      <c r="Q122" s="27">
        <f t="shared" si="4"/>
        <v>0</v>
      </c>
    </row>
    <row r="123" spans="2:17" x14ac:dyDescent="0.45">
      <c r="B123" s="27" t="str">
        <f>IFERROR(VLOOKUP(A123,القائمة!$A$3:$F$112,2,FALSE),"")</f>
        <v/>
      </c>
      <c r="C123" s="27" t="str">
        <f>IFERROR(VLOOKUP(A123,القائمة!$A$3:$F$112,3,FALSE),"")</f>
        <v/>
      </c>
      <c r="D123" s="36" t="str">
        <f>IFERROR(VLOOKUP(A123,القائمة!$A$3:$F$112,4,FALSE),"")</f>
        <v/>
      </c>
      <c r="E123" s="36" t="str">
        <f>IFERROR(VLOOKUP(A123,القائمة!$A$3:$F$112,5,FALSE),"")</f>
        <v/>
      </c>
      <c r="F123" s="37" t="str">
        <f>IFERROR(VLOOKUP(A123,القائمة!$A$3:$F$112,6,FALSE),"")</f>
        <v/>
      </c>
      <c r="H123" s="38"/>
      <c r="I123" s="36"/>
      <c r="J123" s="39"/>
      <c r="K123" s="39"/>
      <c r="P123" s="27">
        <f t="shared" si="3"/>
        <v>0</v>
      </c>
      <c r="Q123" s="27">
        <f t="shared" si="4"/>
        <v>0</v>
      </c>
    </row>
    <row r="124" spans="2:17" x14ac:dyDescent="0.45">
      <c r="B124" s="27" t="str">
        <f>IFERROR(VLOOKUP(A124,القائمة!$A$3:$F$112,2,FALSE),"")</f>
        <v/>
      </c>
      <c r="C124" s="27" t="str">
        <f>IFERROR(VLOOKUP(A124,القائمة!$A$3:$F$112,3,FALSE),"")</f>
        <v/>
      </c>
      <c r="D124" s="36" t="str">
        <f>IFERROR(VLOOKUP(A124,القائمة!$A$3:$F$112,4,FALSE),"")</f>
        <v/>
      </c>
      <c r="E124" s="36" t="str">
        <f>IFERROR(VLOOKUP(A124,القائمة!$A$3:$F$112,5,FALSE),"")</f>
        <v/>
      </c>
      <c r="F124" s="37" t="str">
        <f>IFERROR(VLOOKUP(A124,القائمة!$A$3:$F$112,6,FALSE),"")</f>
        <v/>
      </c>
      <c r="H124" s="38"/>
      <c r="I124" s="36"/>
      <c r="J124" s="39"/>
      <c r="K124" s="39"/>
      <c r="P124" s="27">
        <f t="shared" si="3"/>
        <v>0</v>
      </c>
      <c r="Q124" s="27">
        <f t="shared" si="4"/>
        <v>0</v>
      </c>
    </row>
    <row r="125" spans="2:17" x14ac:dyDescent="0.45">
      <c r="B125" s="27" t="str">
        <f>IFERROR(VLOOKUP(A125,القائمة!$A$3:$F$112,2,FALSE),"")</f>
        <v/>
      </c>
      <c r="C125" s="27" t="str">
        <f>IFERROR(VLOOKUP(A125,القائمة!$A$3:$F$112,3,FALSE),"")</f>
        <v/>
      </c>
      <c r="D125" s="36" t="str">
        <f>IFERROR(VLOOKUP(A125,القائمة!$A$3:$F$112,4,FALSE),"")</f>
        <v/>
      </c>
      <c r="E125" s="36" t="str">
        <f>IFERROR(VLOOKUP(A125,القائمة!$A$3:$F$112,5,FALSE),"")</f>
        <v/>
      </c>
      <c r="F125" s="37" t="str">
        <f>IFERROR(VLOOKUP(A125,القائمة!$A$3:$F$112,6,FALSE),"")</f>
        <v/>
      </c>
      <c r="H125" s="38"/>
      <c r="I125" s="36"/>
      <c r="J125" s="39"/>
      <c r="K125" s="39"/>
      <c r="P125" s="27">
        <f t="shared" si="3"/>
        <v>0</v>
      </c>
      <c r="Q125" s="27">
        <f t="shared" si="4"/>
        <v>0</v>
      </c>
    </row>
    <row r="126" spans="2:17" x14ac:dyDescent="0.45">
      <c r="B126" s="27" t="str">
        <f>IFERROR(VLOOKUP(A126,القائمة!$A$3:$F$112,2,FALSE),"")</f>
        <v/>
      </c>
      <c r="C126" s="27" t="str">
        <f>IFERROR(VLOOKUP(A126,القائمة!$A$3:$F$112,3,FALSE),"")</f>
        <v/>
      </c>
      <c r="D126" s="36" t="str">
        <f>IFERROR(VLOOKUP(A126,القائمة!$A$3:$F$112,4,FALSE),"")</f>
        <v/>
      </c>
      <c r="E126" s="36" t="str">
        <f>IFERROR(VLOOKUP(A126,القائمة!$A$3:$F$112,5,FALSE),"")</f>
        <v/>
      </c>
      <c r="F126" s="37" t="str">
        <f>IFERROR(VLOOKUP(A126,القائمة!$A$3:$F$112,6,FALSE),"")</f>
        <v/>
      </c>
      <c r="H126" s="38"/>
      <c r="I126" s="36"/>
      <c r="J126" s="39"/>
      <c r="K126" s="39"/>
      <c r="P126" s="27">
        <f t="shared" si="3"/>
        <v>0</v>
      </c>
      <c r="Q126" s="27">
        <f t="shared" si="4"/>
        <v>0</v>
      </c>
    </row>
    <row r="127" spans="2:17" x14ac:dyDescent="0.45">
      <c r="B127" s="27" t="str">
        <f>IFERROR(VLOOKUP(A127,القائمة!$A$3:$F$112,2,FALSE),"")</f>
        <v/>
      </c>
      <c r="C127" s="27" t="str">
        <f>IFERROR(VLOOKUP(A127,القائمة!$A$3:$F$112,3,FALSE),"")</f>
        <v/>
      </c>
      <c r="D127" s="36" t="str">
        <f>IFERROR(VLOOKUP(A127,القائمة!$A$3:$F$112,4,FALSE),"")</f>
        <v/>
      </c>
      <c r="E127" s="36" t="str">
        <f>IFERROR(VLOOKUP(A127,القائمة!$A$3:$F$112,5,FALSE),"")</f>
        <v/>
      </c>
      <c r="F127" s="37" t="str">
        <f>IFERROR(VLOOKUP(A127,القائمة!$A$3:$F$112,6,FALSE),"")</f>
        <v/>
      </c>
      <c r="H127" s="38"/>
      <c r="I127" s="36"/>
      <c r="J127" s="39"/>
      <c r="K127" s="39"/>
      <c r="P127" s="27">
        <f t="shared" si="3"/>
        <v>0</v>
      </c>
      <c r="Q127" s="27">
        <f t="shared" si="4"/>
        <v>0</v>
      </c>
    </row>
    <row r="128" spans="2:17" x14ac:dyDescent="0.45">
      <c r="B128" s="27" t="str">
        <f>IFERROR(VLOOKUP(A128,القائمة!$A$3:$F$112,2,FALSE),"")</f>
        <v/>
      </c>
      <c r="C128" s="27" t="str">
        <f>IFERROR(VLOOKUP(A128,القائمة!$A$3:$F$112,3,FALSE),"")</f>
        <v/>
      </c>
      <c r="D128" s="36" t="str">
        <f>IFERROR(VLOOKUP(A128,القائمة!$A$3:$F$112,4,FALSE),"")</f>
        <v/>
      </c>
      <c r="E128" s="36" t="str">
        <f>IFERROR(VLOOKUP(A128,القائمة!$A$3:$F$112,5,FALSE),"")</f>
        <v/>
      </c>
      <c r="F128" s="37" t="str">
        <f>IFERROR(VLOOKUP(A128,القائمة!$A$3:$F$112,6,FALSE),"")</f>
        <v/>
      </c>
      <c r="H128" s="38"/>
      <c r="I128" s="36"/>
      <c r="J128" s="39"/>
      <c r="K128" s="39"/>
      <c r="P128" s="27">
        <f t="shared" si="3"/>
        <v>0</v>
      </c>
      <c r="Q128" s="27">
        <f t="shared" si="4"/>
        <v>0</v>
      </c>
    </row>
    <row r="129" spans="2:17" x14ac:dyDescent="0.45">
      <c r="B129" s="27" t="str">
        <f>IFERROR(VLOOKUP(A129,القائمة!$A$3:$F$112,2,FALSE),"")</f>
        <v/>
      </c>
      <c r="C129" s="27" t="str">
        <f>IFERROR(VLOOKUP(A129,القائمة!$A$3:$F$112,3,FALSE),"")</f>
        <v/>
      </c>
      <c r="D129" s="36" t="str">
        <f>IFERROR(VLOOKUP(A129,القائمة!$A$3:$F$112,4,FALSE),"")</f>
        <v/>
      </c>
      <c r="E129" s="36" t="str">
        <f>IFERROR(VLOOKUP(A129,القائمة!$A$3:$F$112,5,FALSE),"")</f>
        <v/>
      </c>
      <c r="F129" s="37" t="str">
        <f>IFERROR(VLOOKUP(A129,القائمة!$A$3:$F$112,6,FALSE),"")</f>
        <v/>
      </c>
      <c r="H129" s="38"/>
      <c r="I129" s="36"/>
      <c r="J129" s="39"/>
      <c r="K129" s="39"/>
      <c r="P129" s="27">
        <f t="shared" si="3"/>
        <v>0</v>
      </c>
      <c r="Q129" s="27">
        <f t="shared" si="4"/>
        <v>0</v>
      </c>
    </row>
    <row r="130" spans="2:17" x14ac:dyDescent="0.45">
      <c r="B130" s="27" t="str">
        <f>IFERROR(VLOOKUP(A130,القائمة!$A$3:$F$112,2,FALSE),"")</f>
        <v/>
      </c>
      <c r="C130" s="27" t="str">
        <f>IFERROR(VLOOKUP(A130,القائمة!$A$3:$F$112,3,FALSE),"")</f>
        <v/>
      </c>
      <c r="D130" s="36" t="str">
        <f>IFERROR(VLOOKUP(A130,القائمة!$A$3:$F$112,4,FALSE),"")</f>
        <v/>
      </c>
      <c r="E130" s="36" t="str">
        <f>IFERROR(VLOOKUP(A130,القائمة!$A$3:$F$112,5,FALSE),"")</f>
        <v/>
      </c>
      <c r="F130" s="37" t="str">
        <f>IFERROR(VLOOKUP(A130,القائمة!$A$3:$F$112,6,FALSE),"")</f>
        <v/>
      </c>
      <c r="H130" s="38"/>
      <c r="I130" s="36"/>
      <c r="J130" s="39"/>
      <c r="K130" s="39"/>
      <c r="P130" s="27">
        <f t="shared" si="3"/>
        <v>0</v>
      </c>
      <c r="Q130" s="27">
        <f t="shared" si="4"/>
        <v>0</v>
      </c>
    </row>
    <row r="131" spans="2:17" x14ac:dyDescent="0.45">
      <c r="B131" s="27" t="str">
        <f>IFERROR(VLOOKUP(A131,القائمة!$A$3:$F$112,2,FALSE),"")</f>
        <v/>
      </c>
      <c r="C131" s="27" t="str">
        <f>IFERROR(VLOOKUP(A131,القائمة!$A$3:$F$112,3,FALSE),"")</f>
        <v/>
      </c>
      <c r="D131" s="36" t="str">
        <f>IFERROR(VLOOKUP(A131,القائمة!$A$3:$F$112,4,FALSE),"")</f>
        <v/>
      </c>
      <c r="E131" s="36" t="str">
        <f>IFERROR(VLOOKUP(A131,القائمة!$A$3:$F$112,5,FALSE),"")</f>
        <v/>
      </c>
      <c r="F131" s="37" t="str">
        <f>IFERROR(VLOOKUP(A131,القائمة!$A$3:$F$112,6,FALSE),"")</f>
        <v/>
      </c>
      <c r="H131" s="38"/>
      <c r="I131" s="36"/>
      <c r="J131" s="39"/>
      <c r="K131" s="39"/>
      <c r="P131" s="27">
        <f t="shared" si="3"/>
        <v>0</v>
      </c>
      <c r="Q131" s="27">
        <f t="shared" si="4"/>
        <v>0</v>
      </c>
    </row>
    <row r="132" spans="2:17" x14ac:dyDescent="0.45">
      <c r="B132" s="27" t="str">
        <f>IFERROR(VLOOKUP(A132,القائمة!$A$3:$F$112,2,FALSE),"")</f>
        <v/>
      </c>
      <c r="C132" s="27" t="str">
        <f>IFERROR(VLOOKUP(A132,القائمة!$A$3:$F$112,3,FALSE),"")</f>
        <v/>
      </c>
      <c r="D132" s="36" t="str">
        <f>IFERROR(VLOOKUP(A132,القائمة!$A$3:$F$112,4,FALSE),"")</f>
        <v/>
      </c>
      <c r="E132" s="36" t="str">
        <f>IFERROR(VLOOKUP(A132,القائمة!$A$3:$F$112,5,FALSE),"")</f>
        <v/>
      </c>
      <c r="F132" s="37" t="str">
        <f>IFERROR(VLOOKUP(A132,القائمة!$A$3:$F$112,6,FALSE),"")</f>
        <v/>
      </c>
      <c r="H132" s="38"/>
      <c r="I132" s="36"/>
      <c r="J132" s="39"/>
      <c r="K132" s="39"/>
      <c r="P132" s="27">
        <f t="shared" ref="P132:P195" si="5">J132-K132</f>
        <v>0</v>
      </c>
      <c r="Q132" s="27">
        <f t="shared" ref="Q132:Q195" si="6">+P132+L132-M132</f>
        <v>0</v>
      </c>
    </row>
    <row r="133" spans="2:17" x14ac:dyDescent="0.45">
      <c r="B133" s="27" t="str">
        <f>IFERROR(VLOOKUP(A133,القائمة!$A$3:$F$112,2,FALSE),"")</f>
        <v/>
      </c>
      <c r="C133" s="27" t="str">
        <f>IFERROR(VLOOKUP(A133,القائمة!$A$3:$F$112,3,FALSE),"")</f>
        <v/>
      </c>
      <c r="D133" s="36" t="str">
        <f>IFERROR(VLOOKUP(A133,القائمة!$A$3:$F$112,4,FALSE),"")</f>
        <v/>
      </c>
      <c r="E133" s="36" t="str">
        <f>IFERROR(VLOOKUP(A133,القائمة!$A$3:$F$112,5,FALSE),"")</f>
        <v/>
      </c>
      <c r="F133" s="37" t="str">
        <f>IFERROR(VLOOKUP(A133,القائمة!$A$3:$F$112,6,FALSE),"")</f>
        <v/>
      </c>
      <c r="H133" s="38"/>
      <c r="I133" s="36"/>
      <c r="J133" s="39"/>
      <c r="K133" s="39"/>
      <c r="P133" s="27">
        <f t="shared" si="5"/>
        <v>0</v>
      </c>
      <c r="Q133" s="27">
        <f t="shared" si="6"/>
        <v>0</v>
      </c>
    </row>
    <row r="134" spans="2:17" x14ac:dyDescent="0.45">
      <c r="B134" s="27" t="str">
        <f>IFERROR(VLOOKUP(A134,القائمة!$A$3:$F$112,2,FALSE),"")</f>
        <v/>
      </c>
      <c r="C134" s="27" t="str">
        <f>IFERROR(VLOOKUP(A134,القائمة!$A$3:$F$112,3,FALSE),"")</f>
        <v/>
      </c>
      <c r="D134" s="36" t="str">
        <f>IFERROR(VLOOKUP(A134,القائمة!$A$3:$F$112,4,FALSE),"")</f>
        <v/>
      </c>
      <c r="E134" s="36" t="str">
        <f>IFERROR(VLOOKUP(A134,القائمة!$A$3:$F$112,5,FALSE),"")</f>
        <v/>
      </c>
      <c r="F134" s="37" t="str">
        <f>IFERROR(VLOOKUP(A134,القائمة!$A$3:$F$112,6,FALSE),"")</f>
        <v/>
      </c>
      <c r="H134" s="38"/>
      <c r="I134" s="36"/>
      <c r="J134" s="39"/>
      <c r="K134" s="39"/>
      <c r="P134" s="27">
        <f t="shared" si="5"/>
        <v>0</v>
      </c>
      <c r="Q134" s="27">
        <f t="shared" si="6"/>
        <v>0</v>
      </c>
    </row>
    <row r="135" spans="2:17" x14ac:dyDescent="0.45">
      <c r="B135" s="27" t="str">
        <f>IFERROR(VLOOKUP(A135,القائمة!$A$3:$F$112,2,FALSE),"")</f>
        <v/>
      </c>
      <c r="C135" s="27" t="str">
        <f>IFERROR(VLOOKUP(A135,القائمة!$A$3:$F$112,3,FALSE),"")</f>
        <v/>
      </c>
      <c r="D135" s="36" t="str">
        <f>IFERROR(VLOOKUP(A135,القائمة!$A$3:$F$112,4,FALSE),"")</f>
        <v/>
      </c>
      <c r="E135" s="36" t="str">
        <f>IFERROR(VLOOKUP(A135,القائمة!$A$3:$F$112,5,FALSE),"")</f>
        <v/>
      </c>
      <c r="F135" s="37" t="str">
        <f>IFERROR(VLOOKUP(A135,القائمة!$A$3:$F$112,6,FALSE),"")</f>
        <v/>
      </c>
      <c r="H135" s="38"/>
      <c r="I135" s="36"/>
      <c r="J135" s="39"/>
      <c r="K135" s="39"/>
      <c r="P135" s="27">
        <f t="shared" si="5"/>
        <v>0</v>
      </c>
      <c r="Q135" s="27">
        <f t="shared" si="6"/>
        <v>0</v>
      </c>
    </row>
    <row r="136" spans="2:17" x14ac:dyDescent="0.45">
      <c r="B136" s="27" t="str">
        <f>IFERROR(VLOOKUP(A136,القائمة!$A$3:$F$112,2,FALSE),"")</f>
        <v/>
      </c>
      <c r="C136" s="27" t="str">
        <f>IFERROR(VLOOKUP(A136,القائمة!$A$3:$F$112,3,FALSE),"")</f>
        <v/>
      </c>
      <c r="D136" s="36" t="str">
        <f>IFERROR(VLOOKUP(A136,القائمة!$A$3:$F$112,4,FALSE),"")</f>
        <v/>
      </c>
      <c r="E136" s="36" t="str">
        <f>IFERROR(VLOOKUP(A136,القائمة!$A$3:$F$112,5,FALSE),"")</f>
        <v/>
      </c>
      <c r="F136" s="37" t="str">
        <f>IFERROR(VLOOKUP(A136,القائمة!$A$3:$F$112,6,FALSE),"")</f>
        <v/>
      </c>
      <c r="H136" s="38"/>
      <c r="I136" s="36"/>
      <c r="J136" s="39"/>
      <c r="K136" s="39"/>
      <c r="P136" s="27">
        <f t="shared" si="5"/>
        <v>0</v>
      </c>
      <c r="Q136" s="27">
        <f t="shared" si="6"/>
        <v>0</v>
      </c>
    </row>
    <row r="137" spans="2:17" x14ac:dyDescent="0.45">
      <c r="B137" s="27" t="str">
        <f>IFERROR(VLOOKUP(A137,القائمة!$A$3:$F$112,2,FALSE),"")</f>
        <v/>
      </c>
      <c r="C137" s="27" t="str">
        <f>IFERROR(VLOOKUP(A137,القائمة!$A$3:$F$112,3,FALSE),"")</f>
        <v/>
      </c>
      <c r="D137" s="36" t="str">
        <f>IFERROR(VLOOKUP(A137,القائمة!$A$3:$F$112,4,FALSE),"")</f>
        <v/>
      </c>
      <c r="E137" s="36" t="str">
        <f>IFERROR(VLOOKUP(A137,القائمة!$A$3:$F$112,5,FALSE),"")</f>
        <v/>
      </c>
      <c r="F137" s="37" t="str">
        <f>IFERROR(VLOOKUP(A137,القائمة!$A$3:$F$112,6,FALSE),"")</f>
        <v/>
      </c>
      <c r="H137" s="38"/>
      <c r="I137" s="36"/>
      <c r="J137" s="39"/>
      <c r="K137" s="39"/>
      <c r="P137" s="27">
        <f t="shared" si="5"/>
        <v>0</v>
      </c>
      <c r="Q137" s="27">
        <f t="shared" si="6"/>
        <v>0</v>
      </c>
    </row>
    <row r="138" spans="2:17" x14ac:dyDescent="0.45">
      <c r="B138" s="27" t="str">
        <f>IFERROR(VLOOKUP(A138,القائمة!$A$3:$F$112,2,FALSE),"")</f>
        <v/>
      </c>
      <c r="C138" s="27" t="str">
        <f>IFERROR(VLOOKUP(A138,القائمة!$A$3:$F$112,3,FALSE),"")</f>
        <v/>
      </c>
      <c r="D138" s="36" t="str">
        <f>IFERROR(VLOOKUP(A138,القائمة!$A$3:$F$112,4,FALSE),"")</f>
        <v/>
      </c>
      <c r="E138" s="36" t="str">
        <f>IFERROR(VLOOKUP(A138,القائمة!$A$3:$F$112,5,FALSE),"")</f>
        <v/>
      </c>
      <c r="F138" s="37" t="str">
        <f>IFERROR(VLOOKUP(A138,القائمة!$A$3:$F$112,6,FALSE),"")</f>
        <v/>
      </c>
      <c r="H138" s="38"/>
      <c r="I138" s="36"/>
      <c r="J138" s="39"/>
      <c r="K138" s="39"/>
      <c r="P138" s="27">
        <f t="shared" si="5"/>
        <v>0</v>
      </c>
      <c r="Q138" s="27">
        <f t="shared" si="6"/>
        <v>0</v>
      </c>
    </row>
    <row r="139" spans="2:17" x14ac:dyDescent="0.45">
      <c r="B139" s="27" t="str">
        <f>IFERROR(VLOOKUP(A139,القائمة!$A$3:$F$112,2,FALSE),"")</f>
        <v/>
      </c>
      <c r="C139" s="27" t="str">
        <f>IFERROR(VLOOKUP(A139,القائمة!$A$3:$F$112,3,FALSE),"")</f>
        <v/>
      </c>
      <c r="D139" s="36" t="str">
        <f>IFERROR(VLOOKUP(A139,القائمة!$A$3:$F$112,4,FALSE),"")</f>
        <v/>
      </c>
      <c r="E139" s="36" t="str">
        <f>IFERROR(VLOOKUP(A139,القائمة!$A$3:$F$112,5,FALSE),"")</f>
        <v/>
      </c>
      <c r="F139" s="37" t="str">
        <f>IFERROR(VLOOKUP(A139,القائمة!$A$3:$F$112,6,FALSE),"")</f>
        <v/>
      </c>
      <c r="H139" s="38"/>
      <c r="I139" s="36"/>
      <c r="J139" s="39"/>
      <c r="K139" s="39"/>
      <c r="P139" s="27">
        <f t="shared" si="5"/>
        <v>0</v>
      </c>
      <c r="Q139" s="27">
        <f t="shared" si="6"/>
        <v>0</v>
      </c>
    </row>
    <row r="140" spans="2:17" x14ac:dyDescent="0.45">
      <c r="B140" s="27" t="str">
        <f>IFERROR(VLOOKUP(A140,القائمة!$A$3:$F$112,2,FALSE),"")</f>
        <v/>
      </c>
      <c r="C140" s="27" t="str">
        <f>IFERROR(VLOOKUP(A140,القائمة!$A$3:$F$112,3,FALSE),"")</f>
        <v/>
      </c>
      <c r="D140" s="36" t="str">
        <f>IFERROR(VLOOKUP(A140,القائمة!$A$3:$F$112,4,FALSE),"")</f>
        <v/>
      </c>
      <c r="E140" s="36" t="str">
        <f>IFERROR(VLOOKUP(A140,القائمة!$A$3:$F$112,5,FALSE),"")</f>
        <v/>
      </c>
      <c r="F140" s="37" t="str">
        <f>IFERROR(VLOOKUP(A140,القائمة!$A$3:$F$112,6,FALSE),"")</f>
        <v/>
      </c>
      <c r="H140" s="38"/>
      <c r="I140" s="36"/>
      <c r="J140" s="39"/>
      <c r="K140" s="39"/>
      <c r="P140" s="27">
        <f t="shared" si="5"/>
        <v>0</v>
      </c>
      <c r="Q140" s="27">
        <f t="shared" si="6"/>
        <v>0</v>
      </c>
    </row>
    <row r="141" spans="2:17" x14ac:dyDescent="0.45">
      <c r="B141" s="27" t="str">
        <f>IFERROR(VLOOKUP(A141,القائمة!$A$3:$F$112,2,FALSE),"")</f>
        <v/>
      </c>
      <c r="C141" s="27" t="str">
        <f>IFERROR(VLOOKUP(A141,القائمة!$A$3:$F$112,3,FALSE),"")</f>
        <v/>
      </c>
      <c r="D141" s="36" t="str">
        <f>IFERROR(VLOOKUP(A141,القائمة!$A$3:$F$112,4,FALSE),"")</f>
        <v/>
      </c>
      <c r="E141" s="36" t="str">
        <f>IFERROR(VLOOKUP(A141,القائمة!$A$3:$F$112,5,FALSE),"")</f>
        <v/>
      </c>
      <c r="F141" s="37" t="str">
        <f>IFERROR(VLOOKUP(A141,القائمة!$A$3:$F$112,6,FALSE),"")</f>
        <v/>
      </c>
      <c r="H141" s="38"/>
      <c r="I141" s="36"/>
      <c r="J141" s="39"/>
      <c r="K141" s="39"/>
      <c r="P141" s="27">
        <f t="shared" si="5"/>
        <v>0</v>
      </c>
      <c r="Q141" s="27">
        <f t="shared" si="6"/>
        <v>0</v>
      </c>
    </row>
    <row r="142" spans="2:17" x14ac:dyDescent="0.45">
      <c r="B142" s="27" t="str">
        <f>IFERROR(VLOOKUP(A142,القائمة!$A$3:$F$112,2,FALSE),"")</f>
        <v/>
      </c>
      <c r="C142" s="27" t="str">
        <f>IFERROR(VLOOKUP(A142,القائمة!$A$3:$F$112,3,FALSE),"")</f>
        <v/>
      </c>
      <c r="D142" s="36" t="str">
        <f>IFERROR(VLOOKUP(A142,القائمة!$A$3:$F$112,4,FALSE),"")</f>
        <v/>
      </c>
      <c r="E142" s="36" t="str">
        <f>IFERROR(VLOOKUP(A142,القائمة!$A$3:$F$112,5,FALSE),"")</f>
        <v/>
      </c>
      <c r="F142" s="37" t="str">
        <f>IFERROR(VLOOKUP(A142,القائمة!$A$3:$F$112,6,FALSE),"")</f>
        <v/>
      </c>
      <c r="H142" s="38"/>
      <c r="I142" s="36"/>
      <c r="J142" s="39"/>
      <c r="K142" s="39"/>
      <c r="P142" s="27">
        <f t="shared" si="5"/>
        <v>0</v>
      </c>
      <c r="Q142" s="27">
        <f t="shared" si="6"/>
        <v>0</v>
      </c>
    </row>
    <row r="143" spans="2:17" x14ac:dyDescent="0.45">
      <c r="B143" s="27" t="str">
        <f>IFERROR(VLOOKUP(A143,القائمة!$A$3:$F$112,2,FALSE),"")</f>
        <v/>
      </c>
      <c r="C143" s="27" t="str">
        <f>IFERROR(VLOOKUP(A143,القائمة!$A$3:$F$112,3,FALSE),"")</f>
        <v/>
      </c>
      <c r="D143" s="36" t="str">
        <f>IFERROR(VLOOKUP(A143,القائمة!$A$3:$F$112,4,FALSE),"")</f>
        <v/>
      </c>
      <c r="E143" s="36" t="str">
        <f>IFERROR(VLOOKUP(A143,القائمة!$A$3:$F$112,5,FALSE),"")</f>
        <v/>
      </c>
      <c r="F143" s="37" t="str">
        <f>IFERROR(VLOOKUP(A143,القائمة!$A$3:$F$112,6,FALSE),"")</f>
        <v/>
      </c>
      <c r="H143" s="38"/>
      <c r="I143" s="36"/>
      <c r="J143" s="39"/>
      <c r="K143" s="39"/>
      <c r="P143" s="27">
        <f t="shared" si="5"/>
        <v>0</v>
      </c>
      <c r="Q143" s="27">
        <f t="shared" si="6"/>
        <v>0</v>
      </c>
    </row>
    <row r="144" spans="2:17" x14ac:dyDescent="0.45">
      <c r="B144" s="27" t="str">
        <f>IFERROR(VLOOKUP(A144,القائمة!$A$3:$F$112,2,FALSE),"")</f>
        <v/>
      </c>
      <c r="C144" s="27" t="str">
        <f>IFERROR(VLOOKUP(A144,القائمة!$A$3:$F$112,3,FALSE),"")</f>
        <v/>
      </c>
      <c r="D144" s="36" t="str">
        <f>IFERROR(VLOOKUP(A144,القائمة!$A$3:$F$112,4,FALSE),"")</f>
        <v/>
      </c>
      <c r="E144" s="36" t="str">
        <f>IFERROR(VLOOKUP(A144,القائمة!$A$3:$F$112,5,FALSE),"")</f>
        <v/>
      </c>
      <c r="F144" s="37" t="str">
        <f>IFERROR(VLOOKUP(A144,القائمة!$A$3:$F$112,6,FALSE),"")</f>
        <v/>
      </c>
      <c r="H144" s="38"/>
      <c r="I144" s="36"/>
      <c r="J144" s="39"/>
      <c r="K144" s="39"/>
      <c r="P144" s="27">
        <f t="shared" si="5"/>
        <v>0</v>
      </c>
      <c r="Q144" s="27">
        <f t="shared" si="6"/>
        <v>0</v>
      </c>
    </row>
    <row r="145" spans="2:17" x14ac:dyDescent="0.45">
      <c r="B145" s="27" t="str">
        <f>IFERROR(VLOOKUP(A145,القائمة!$A$3:$F$112,2,FALSE),"")</f>
        <v/>
      </c>
      <c r="C145" s="27" t="str">
        <f>IFERROR(VLOOKUP(A145,القائمة!$A$3:$F$112,3,FALSE),"")</f>
        <v/>
      </c>
      <c r="D145" s="36" t="str">
        <f>IFERROR(VLOOKUP(A145,القائمة!$A$3:$F$112,4,FALSE),"")</f>
        <v/>
      </c>
      <c r="E145" s="36" t="str">
        <f>IFERROR(VLOOKUP(A145,القائمة!$A$3:$F$112,5,FALSE),"")</f>
        <v/>
      </c>
      <c r="F145" s="37" t="str">
        <f>IFERROR(VLOOKUP(A145,القائمة!$A$3:$F$112,6,FALSE),"")</f>
        <v/>
      </c>
      <c r="H145" s="38"/>
      <c r="I145" s="36"/>
      <c r="J145" s="39"/>
      <c r="K145" s="39"/>
      <c r="P145" s="27">
        <f t="shared" si="5"/>
        <v>0</v>
      </c>
      <c r="Q145" s="27">
        <f t="shared" si="6"/>
        <v>0</v>
      </c>
    </row>
    <row r="146" spans="2:17" x14ac:dyDescent="0.45">
      <c r="B146" s="27" t="str">
        <f>IFERROR(VLOOKUP(A146,القائمة!$A$3:$F$112,2,FALSE),"")</f>
        <v/>
      </c>
      <c r="C146" s="27" t="str">
        <f>IFERROR(VLOOKUP(A146,القائمة!$A$3:$F$112,3,FALSE),"")</f>
        <v/>
      </c>
      <c r="D146" s="36" t="str">
        <f>IFERROR(VLOOKUP(A146,القائمة!$A$3:$F$112,4,FALSE),"")</f>
        <v/>
      </c>
      <c r="E146" s="36" t="str">
        <f>IFERROR(VLOOKUP(A146,القائمة!$A$3:$F$112,5,FALSE),"")</f>
        <v/>
      </c>
      <c r="F146" s="37" t="str">
        <f>IFERROR(VLOOKUP(A146,القائمة!$A$3:$F$112,6,FALSE),"")</f>
        <v/>
      </c>
      <c r="H146" s="38"/>
      <c r="I146" s="36"/>
      <c r="J146" s="39"/>
      <c r="K146" s="39"/>
      <c r="P146" s="27">
        <f t="shared" si="5"/>
        <v>0</v>
      </c>
      <c r="Q146" s="27">
        <f t="shared" si="6"/>
        <v>0</v>
      </c>
    </row>
    <row r="147" spans="2:17" x14ac:dyDescent="0.45">
      <c r="B147" s="27" t="str">
        <f>IFERROR(VLOOKUP(A147,القائمة!$A$3:$F$112,2,FALSE),"")</f>
        <v/>
      </c>
      <c r="C147" s="27" t="str">
        <f>IFERROR(VLOOKUP(A147,القائمة!$A$3:$F$112,3,FALSE),"")</f>
        <v/>
      </c>
      <c r="D147" s="36" t="str">
        <f>IFERROR(VLOOKUP(A147,القائمة!$A$3:$F$112,4,FALSE),"")</f>
        <v/>
      </c>
      <c r="E147" s="36" t="str">
        <f>IFERROR(VLOOKUP(A147,القائمة!$A$3:$F$112,5,FALSE),"")</f>
        <v/>
      </c>
      <c r="F147" s="37" t="str">
        <f>IFERROR(VLOOKUP(A147,القائمة!$A$3:$F$112,6,FALSE),"")</f>
        <v/>
      </c>
      <c r="H147" s="38"/>
      <c r="I147" s="36"/>
      <c r="J147" s="39"/>
      <c r="K147" s="39"/>
      <c r="P147" s="27">
        <f t="shared" si="5"/>
        <v>0</v>
      </c>
      <c r="Q147" s="27">
        <f t="shared" si="6"/>
        <v>0</v>
      </c>
    </row>
    <row r="148" spans="2:17" x14ac:dyDescent="0.45">
      <c r="B148" s="27" t="str">
        <f>IFERROR(VLOOKUP(A148,القائمة!$A$3:$F$112,2,FALSE),"")</f>
        <v/>
      </c>
      <c r="C148" s="27" t="str">
        <f>IFERROR(VLOOKUP(A148,القائمة!$A$3:$F$112,3,FALSE),"")</f>
        <v/>
      </c>
      <c r="D148" s="36" t="str">
        <f>IFERROR(VLOOKUP(A148,القائمة!$A$3:$F$112,4,FALSE),"")</f>
        <v/>
      </c>
      <c r="E148" s="36" t="str">
        <f>IFERROR(VLOOKUP(A148,القائمة!$A$3:$F$112,5,FALSE),"")</f>
        <v/>
      </c>
      <c r="F148" s="37" t="str">
        <f>IFERROR(VLOOKUP(A148,القائمة!$A$3:$F$112,6,FALSE),"")</f>
        <v/>
      </c>
      <c r="H148" s="38"/>
      <c r="I148" s="36"/>
      <c r="J148" s="39"/>
      <c r="K148" s="39"/>
      <c r="P148" s="27">
        <f t="shared" si="5"/>
        <v>0</v>
      </c>
      <c r="Q148" s="27">
        <f t="shared" si="6"/>
        <v>0</v>
      </c>
    </row>
    <row r="149" spans="2:17" x14ac:dyDescent="0.45">
      <c r="B149" s="27" t="str">
        <f>IFERROR(VLOOKUP(A149,القائمة!$A$3:$F$112,2,FALSE),"")</f>
        <v/>
      </c>
      <c r="C149" s="27" t="str">
        <f>IFERROR(VLOOKUP(A149,القائمة!$A$3:$F$112,3,FALSE),"")</f>
        <v/>
      </c>
      <c r="D149" s="36" t="str">
        <f>IFERROR(VLOOKUP(A149,القائمة!$A$3:$F$112,4,FALSE),"")</f>
        <v/>
      </c>
      <c r="E149" s="36" t="str">
        <f>IFERROR(VLOOKUP(A149,القائمة!$A$3:$F$112,5,FALSE),"")</f>
        <v/>
      </c>
      <c r="F149" s="37" t="str">
        <f>IFERROR(VLOOKUP(A149,القائمة!$A$3:$F$112,6,FALSE),"")</f>
        <v/>
      </c>
      <c r="H149" s="38"/>
      <c r="I149" s="36"/>
      <c r="J149" s="39"/>
      <c r="K149" s="39"/>
      <c r="P149" s="27">
        <f t="shared" si="5"/>
        <v>0</v>
      </c>
      <c r="Q149" s="27">
        <f t="shared" si="6"/>
        <v>0</v>
      </c>
    </row>
    <row r="150" spans="2:17" x14ac:dyDescent="0.45">
      <c r="B150" s="27" t="str">
        <f>IFERROR(VLOOKUP(A150,القائمة!$A$3:$F$112,2,FALSE),"")</f>
        <v/>
      </c>
      <c r="C150" s="27" t="str">
        <f>IFERROR(VLOOKUP(A150,القائمة!$A$3:$F$112,3,FALSE),"")</f>
        <v/>
      </c>
      <c r="D150" s="36" t="str">
        <f>IFERROR(VLOOKUP(A150,القائمة!$A$3:$F$112,4,FALSE),"")</f>
        <v/>
      </c>
      <c r="E150" s="36" t="str">
        <f>IFERROR(VLOOKUP(A150,القائمة!$A$3:$F$112,5,FALSE),"")</f>
        <v/>
      </c>
      <c r="F150" s="37" t="str">
        <f>IFERROR(VLOOKUP(A150,القائمة!$A$3:$F$112,6,FALSE),"")</f>
        <v/>
      </c>
      <c r="H150" s="38"/>
      <c r="I150" s="36"/>
      <c r="J150" s="39"/>
      <c r="K150" s="39"/>
      <c r="P150" s="27">
        <f t="shared" si="5"/>
        <v>0</v>
      </c>
      <c r="Q150" s="27">
        <f t="shared" si="6"/>
        <v>0</v>
      </c>
    </row>
    <row r="151" spans="2:17" x14ac:dyDescent="0.45">
      <c r="B151" s="27" t="str">
        <f>IFERROR(VLOOKUP(A151,القائمة!$A$3:$F$112,2,FALSE),"")</f>
        <v/>
      </c>
      <c r="C151" s="27" t="str">
        <f>IFERROR(VLOOKUP(A151,القائمة!$A$3:$F$112,3,FALSE),"")</f>
        <v/>
      </c>
      <c r="D151" s="36" t="str">
        <f>IFERROR(VLOOKUP(A151,القائمة!$A$3:$F$112,4,FALSE),"")</f>
        <v/>
      </c>
      <c r="E151" s="36" t="str">
        <f>IFERROR(VLOOKUP(A151,القائمة!$A$3:$F$112,5,FALSE),"")</f>
        <v/>
      </c>
      <c r="F151" s="37" t="str">
        <f>IFERROR(VLOOKUP(A151,القائمة!$A$3:$F$112,6,FALSE),"")</f>
        <v/>
      </c>
      <c r="H151" s="38"/>
      <c r="I151" s="36"/>
      <c r="J151" s="39"/>
      <c r="K151" s="39"/>
      <c r="P151" s="27">
        <f t="shared" si="5"/>
        <v>0</v>
      </c>
      <c r="Q151" s="27">
        <f t="shared" si="6"/>
        <v>0</v>
      </c>
    </row>
    <row r="152" spans="2:17" x14ac:dyDescent="0.45">
      <c r="B152" s="27" t="str">
        <f>IFERROR(VLOOKUP(A152,القائمة!$A$3:$F$112,2,FALSE),"")</f>
        <v/>
      </c>
      <c r="C152" s="27" t="str">
        <f>IFERROR(VLOOKUP(A152,القائمة!$A$3:$F$112,3,FALSE),"")</f>
        <v/>
      </c>
      <c r="D152" s="36" t="str">
        <f>IFERROR(VLOOKUP(A152,القائمة!$A$3:$F$112,4,FALSE),"")</f>
        <v/>
      </c>
      <c r="E152" s="36" t="str">
        <f>IFERROR(VLOOKUP(A152,القائمة!$A$3:$F$112,5,FALSE),"")</f>
        <v/>
      </c>
      <c r="F152" s="37" t="str">
        <f>IFERROR(VLOOKUP(A152,القائمة!$A$3:$F$112,6,FALSE),"")</f>
        <v/>
      </c>
      <c r="H152" s="38"/>
      <c r="I152" s="36"/>
      <c r="J152" s="39"/>
      <c r="K152" s="39"/>
      <c r="P152" s="27">
        <f t="shared" si="5"/>
        <v>0</v>
      </c>
      <c r="Q152" s="27">
        <f t="shared" si="6"/>
        <v>0</v>
      </c>
    </row>
    <row r="153" spans="2:17" x14ac:dyDescent="0.45">
      <c r="B153" s="27" t="str">
        <f>IFERROR(VLOOKUP(A153,القائمة!$A$3:$F$112,2,FALSE),"")</f>
        <v/>
      </c>
      <c r="C153" s="27" t="str">
        <f>IFERROR(VLOOKUP(A153,القائمة!$A$3:$F$112,3,FALSE),"")</f>
        <v/>
      </c>
      <c r="D153" s="36" t="str">
        <f>IFERROR(VLOOKUP(A153,القائمة!$A$3:$F$112,4,FALSE),"")</f>
        <v/>
      </c>
      <c r="E153" s="36" t="str">
        <f>IFERROR(VLOOKUP(A153,القائمة!$A$3:$F$112,5,FALSE),"")</f>
        <v/>
      </c>
      <c r="F153" s="37" t="str">
        <f>IFERROR(VLOOKUP(A153,القائمة!$A$3:$F$112,6,FALSE),"")</f>
        <v/>
      </c>
      <c r="H153" s="38"/>
      <c r="I153" s="36"/>
      <c r="J153" s="39"/>
      <c r="K153" s="39"/>
      <c r="P153" s="27">
        <f t="shared" si="5"/>
        <v>0</v>
      </c>
      <c r="Q153" s="27">
        <f t="shared" si="6"/>
        <v>0</v>
      </c>
    </row>
    <row r="154" spans="2:17" x14ac:dyDescent="0.45">
      <c r="B154" s="27" t="str">
        <f>IFERROR(VLOOKUP(A154,القائمة!$A$3:$F$112,2,FALSE),"")</f>
        <v/>
      </c>
      <c r="C154" s="27" t="str">
        <f>IFERROR(VLOOKUP(A154,القائمة!$A$3:$F$112,3,FALSE),"")</f>
        <v/>
      </c>
      <c r="D154" s="36" t="str">
        <f>IFERROR(VLOOKUP(A154,القائمة!$A$3:$F$112,4,FALSE),"")</f>
        <v/>
      </c>
      <c r="E154" s="36" t="str">
        <f>IFERROR(VLOOKUP(A154,القائمة!$A$3:$F$112,5,FALSE),"")</f>
        <v/>
      </c>
      <c r="F154" s="37" t="str">
        <f>IFERROR(VLOOKUP(A154,القائمة!$A$3:$F$112,6,FALSE),"")</f>
        <v/>
      </c>
      <c r="H154" s="38"/>
      <c r="I154" s="36"/>
      <c r="J154" s="39"/>
      <c r="K154" s="39"/>
      <c r="P154" s="27">
        <f t="shared" si="5"/>
        <v>0</v>
      </c>
      <c r="Q154" s="27">
        <f t="shared" si="6"/>
        <v>0</v>
      </c>
    </row>
    <row r="155" spans="2:17" x14ac:dyDescent="0.45">
      <c r="B155" s="27" t="str">
        <f>IFERROR(VLOOKUP(A155,القائمة!$A$3:$F$112,2,FALSE),"")</f>
        <v/>
      </c>
      <c r="C155" s="27" t="str">
        <f>IFERROR(VLOOKUP(A155,القائمة!$A$3:$F$112,3,FALSE),"")</f>
        <v/>
      </c>
      <c r="D155" s="36" t="str">
        <f>IFERROR(VLOOKUP(A155,القائمة!$A$3:$F$112,4,FALSE),"")</f>
        <v/>
      </c>
      <c r="E155" s="36" t="str">
        <f>IFERROR(VLOOKUP(A155,القائمة!$A$3:$F$112,5,FALSE),"")</f>
        <v/>
      </c>
      <c r="F155" s="37" t="str">
        <f>IFERROR(VLOOKUP(A155,القائمة!$A$3:$F$112,6,FALSE),"")</f>
        <v/>
      </c>
      <c r="H155" s="38"/>
      <c r="I155" s="36"/>
      <c r="J155" s="39"/>
      <c r="K155" s="39"/>
      <c r="P155" s="27">
        <f t="shared" si="5"/>
        <v>0</v>
      </c>
      <c r="Q155" s="27">
        <f t="shared" si="6"/>
        <v>0</v>
      </c>
    </row>
    <row r="156" spans="2:17" x14ac:dyDescent="0.45">
      <c r="B156" s="27" t="str">
        <f>IFERROR(VLOOKUP(A156,القائمة!$A$3:$F$112,2,FALSE),"")</f>
        <v/>
      </c>
      <c r="C156" s="27" t="str">
        <f>IFERROR(VLOOKUP(A156,القائمة!$A$3:$F$112,3,FALSE),"")</f>
        <v/>
      </c>
      <c r="D156" s="36" t="str">
        <f>IFERROR(VLOOKUP(A156,القائمة!$A$3:$F$112,4,FALSE),"")</f>
        <v/>
      </c>
      <c r="E156" s="36" t="str">
        <f>IFERROR(VLOOKUP(A156,القائمة!$A$3:$F$112,5,FALSE),"")</f>
        <v/>
      </c>
      <c r="F156" s="37" t="str">
        <f>IFERROR(VLOOKUP(A156,القائمة!$A$3:$F$112,6,FALSE),"")</f>
        <v/>
      </c>
      <c r="H156" s="38"/>
      <c r="I156" s="36"/>
      <c r="J156" s="39"/>
      <c r="K156" s="39"/>
      <c r="P156" s="27">
        <f t="shared" si="5"/>
        <v>0</v>
      </c>
      <c r="Q156" s="27">
        <f t="shared" si="6"/>
        <v>0</v>
      </c>
    </row>
    <row r="157" spans="2:17" x14ac:dyDescent="0.45">
      <c r="B157" s="27" t="str">
        <f>IFERROR(VLOOKUP(A157,القائمة!$A$3:$F$112,2,FALSE),"")</f>
        <v/>
      </c>
      <c r="C157" s="27" t="str">
        <f>IFERROR(VLOOKUP(A157,القائمة!$A$3:$F$112,3,FALSE),"")</f>
        <v/>
      </c>
      <c r="D157" s="36" t="str">
        <f>IFERROR(VLOOKUP(A157,القائمة!$A$3:$F$112,4,FALSE),"")</f>
        <v/>
      </c>
      <c r="E157" s="36" t="str">
        <f>IFERROR(VLOOKUP(A157,القائمة!$A$3:$F$112,5,FALSE),"")</f>
        <v/>
      </c>
      <c r="F157" s="37" t="str">
        <f>IFERROR(VLOOKUP(A157,القائمة!$A$3:$F$112,6,FALSE),"")</f>
        <v/>
      </c>
      <c r="H157" s="38"/>
      <c r="I157" s="36"/>
      <c r="J157" s="39"/>
      <c r="K157" s="39"/>
      <c r="P157" s="27">
        <f t="shared" si="5"/>
        <v>0</v>
      </c>
      <c r="Q157" s="27">
        <f t="shared" si="6"/>
        <v>0</v>
      </c>
    </row>
    <row r="158" spans="2:17" x14ac:dyDescent="0.45">
      <c r="B158" s="27" t="str">
        <f>IFERROR(VLOOKUP(A158,القائمة!$A$3:$F$112,2,FALSE),"")</f>
        <v/>
      </c>
      <c r="C158" s="27" t="str">
        <f>IFERROR(VLOOKUP(A158,القائمة!$A$3:$F$112,3,FALSE),"")</f>
        <v/>
      </c>
      <c r="D158" s="36" t="str">
        <f>IFERROR(VLOOKUP(A158,القائمة!$A$3:$F$112,4,FALSE),"")</f>
        <v/>
      </c>
      <c r="E158" s="36" t="str">
        <f>IFERROR(VLOOKUP(A158,القائمة!$A$3:$F$112,5,FALSE),"")</f>
        <v/>
      </c>
      <c r="F158" s="37" t="str">
        <f>IFERROR(VLOOKUP(A158,القائمة!$A$3:$F$112,6,FALSE),"")</f>
        <v/>
      </c>
      <c r="H158" s="38"/>
      <c r="I158" s="36"/>
      <c r="J158" s="39"/>
      <c r="K158" s="39"/>
      <c r="P158" s="27">
        <f t="shared" si="5"/>
        <v>0</v>
      </c>
      <c r="Q158" s="27">
        <f t="shared" si="6"/>
        <v>0</v>
      </c>
    </row>
    <row r="159" spans="2:17" x14ac:dyDescent="0.45">
      <c r="B159" s="27" t="str">
        <f>IFERROR(VLOOKUP(A159,القائمة!$A$3:$F$112,2,FALSE),"")</f>
        <v/>
      </c>
      <c r="C159" s="27" t="str">
        <f>IFERROR(VLOOKUP(A159,القائمة!$A$3:$F$112,3,FALSE),"")</f>
        <v/>
      </c>
      <c r="D159" s="36" t="str">
        <f>IFERROR(VLOOKUP(A159,القائمة!$A$3:$F$112,4,FALSE),"")</f>
        <v/>
      </c>
      <c r="E159" s="36" t="str">
        <f>IFERROR(VLOOKUP(A159,القائمة!$A$3:$F$112,5,FALSE),"")</f>
        <v/>
      </c>
      <c r="F159" s="37" t="str">
        <f>IFERROR(VLOOKUP(A159,القائمة!$A$3:$F$112,6,FALSE),"")</f>
        <v/>
      </c>
      <c r="H159" s="38"/>
      <c r="I159" s="36"/>
      <c r="J159" s="39"/>
      <c r="K159" s="39"/>
      <c r="P159" s="27">
        <f t="shared" si="5"/>
        <v>0</v>
      </c>
      <c r="Q159" s="27">
        <f t="shared" si="6"/>
        <v>0</v>
      </c>
    </row>
    <row r="160" spans="2:17" x14ac:dyDescent="0.45">
      <c r="B160" s="27" t="str">
        <f>IFERROR(VLOOKUP(A160,القائمة!$A$3:$F$112,2,FALSE),"")</f>
        <v/>
      </c>
      <c r="C160" s="27" t="str">
        <f>IFERROR(VLOOKUP(A160,القائمة!$A$3:$F$112,3,FALSE),"")</f>
        <v/>
      </c>
      <c r="D160" s="36" t="str">
        <f>IFERROR(VLOOKUP(A160,القائمة!$A$3:$F$112,4,FALSE),"")</f>
        <v/>
      </c>
      <c r="E160" s="36" t="str">
        <f>IFERROR(VLOOKUP(A160,القائمة!$A$3:$F$112,5,FALSE),"")</f>
        <v/>
      </c>
      <c r="F160" s="37" t="str">
        <f>IFERROR(VLOOKUP(A160,القائمة!$A$3:$F$112,6,FALSE),"")</f>
        <v/>
      </c>
      <c r="H160" s="38"/>
      <c r="I160" s="36"/>
      <c r="J160" s="39"/>
      <c r="K160" s="39"/>
      <c r="P160" s="27">
        <f t="shared" si="5"/>
        <v>0</v>
      </c>
      <c r="Q160" s="27">
        <f t="shared" si="6"/>
        <v>0</v>
      </c>
    </row>
    <row r="161" spans="2:17" x14ac:dyDescent="0.45">
      <c r="B161" s="27" t="str">
        <f>IFERROR(VLOOKUP(A161,القائمة!$A$3:$F$112,2,FALSE),"")</f>
        <v/>
      </c>
      <c r="C161" s="27" t="str">
        <f>IFERROR(VLOOKUP(A161,القائمة!$A$3:$F$112,3,FALSE),"")</f>
        <v/>
      </c>
      <c r="D161" s="36" t="str">
        <f>IFERROR(VLOOKUP(A161,القائمة!$A$3:$F$112,4,FALSE),"")</f>
        <v/>
      </c>
      <c r="E161" s="36" t="str">
        <f>IFERROR(VLOOKUP(A161,القائمة!$A$3:$F$112,5,FALSE),"")</f>
        <v/>
      </c>
      <c r="F161" s="37" t="str">
        <f>IFERROR(VLOOKUP(A161,القائمة!$A$3:$F$112,6,FALSE),"")</f>
        <v/>
      </c>
      <c r="H161" s="38"/>
      <c r="I161" s="36"/>
      <c r="J161" s="39"/>
      <c r="K161" s="39"/>
      <c r="P161" s="27">
        <f t="shared" si="5"/>
        <v>0</v>
      </c>
      <c r="Q161" s="27">
        <f t="shared" si="6"/>
        <v>0</v>
      </c>
    </row>
    <row r="162" spans="2:17" x14ac:dyDescent="0.45">
      <c r="B162" s="27" t="str">
        <f>IFERROR(VLOOKUP(A162,القائمة!$A$3:$F$112,2,FALSE),"")</f>
        <v/>
      </c>
      <c r="C162" s="27" t="str">
        <f>IFERROR(VLOOKUP(A162,القائمة!$A$3:$F$112,3,FALSE),"")</f>
        <v/>
      </c>
      <c r="D162" s="36" t="str">
        <f>IFERROR(VLOOKUP(A162,القائمة!$A$3:$F$112,4,FALSE),"")</f>
        <v/>
      </c>
      <c r="E162" s="36" t="str">
        <f>IFERROR(VLOOKUP(A162,القائمة!$A$3:$F$112,5,FALSE),"")</f>
        <v/>
      </c>
      <c r="F162" s="37" t="str">
        <f>IFERROR(VLOOKUP(A162,القائمة!$A$3:$F$112,6,FALSE),"")</f>
        <v/>
      </c>
      <c r="H162" s="38"/>
      <c r="I162" s="36"/>
      <c r="J162" s="39"/>
      <c r="K162" s="39"/>
      <c r="P162" s="27">
        <f t="shared" si="5"/>
        <v>0</v>
      </c>
      <c r="Q162" s="27">
        <f t="shared" si="6"/>
        <v>0</v>
      </c>
    </row>
    <row r="163" spans="2:17" x14ac:dyDescent="0.45">
      <c r="B163" s="27" t="str">
        <f>IFERROR(VLOOKUP(A163,القائمة!$A$3:$F$112,2,FALSE),"")</f>
        <v/>
      </c>
      <c r="C163" s="27" t="str">
        <f>IFERROR(VLOOKUP(A163,القائمة!$A$3:$F$112,3,FALSE),"")</f>
        <v/>
      </c>
      <c r="D163" s="36" t="str">
        <f>IFERROR(VLOOKUP(A163,القائمة!$A$3:$F$112,4,FALSE),"")</f>
        <v/>
      </c>
      <c r="E163" s="36" t="str">
        <f>IFERROR(VLOOKUP(A163,القائمة!$A$3:$F$112,5,FALSE),"")</f>
        <v/>
      </c>
      <c r="F163" s="37" t="str">
        <f>IFERROR(VLOOKUP(A163,القائمة!$A$3:$F$112,6,FALSE),"")</f>
        <v/>
      </c>
      <c r="H163" s="38"/>
      <c r="I163" s="36"/>
      <c r="J163" s="39"/>
      <c r="K163" s="39"/>
      <c r="P163" s="27">
        <f t="shared" si="5"/>
        <v>0</v>
      </c>
      <c r="Q163" s="27">
        <f t="shared" si="6"/>
        <v>0</v>
      </c>
    </row>
    <row r="164" spans="2:17" x14ac:dyDescent="0.45">
      <c r="B164" s="27" t="str">
        <f>IFERROR(VLOOKUP(A164,القائمة!$A$3:$F$112,2,FALSE),"")</f>
        <v/>
      </c>
      <c r="C164" s="27" t="str">
        <f>IFERROR(VLOOKUP(A164,القائمة!$A$3:$F$112,3,FALSE),"")</f>
        <v/>
      </c>
      <c r="D164" s="36" t="str">
        <f>IFERROR(VLOOKUP(A164,القائمة!$A$3:$F$112,4,FALSE),"")</f>
        <v/>
      </c>
      <c r="E164" s="36" t="str">
        <f>IFERROR(VLOOKUP(A164,القائمة!$A$3:$F$112,5,FALSE),"")</f>
        <v/>
      </c>
      <c r="F164" s="37" t="str">
        <f>IFERROR(VLOOKUP(A164,القائمة!$A$3:$F$112,6,FALSE),"")</f>
        <v/>
      </c>
      <c r="H164" s="38"/>
      <c r="I164" s="36"/>
      <c r="J164" s="39"/>
      <c r="K164" s="39"/>
      <c r="P164" s="27">
        <f t="shared" si="5"/>
        <v>0</v>
      </c>
      <c r="Q164" s="27">
        <f t="shared" si="6"/>
        <v>0</v>
      </c>
    </row>
    <row r="165" spans="2:17" x14ac:dyDescent="0.45">
      <c r="B165" s="27" t="str">
        <f>IFERROR(VLOOKUP(A165,القائمة!$A$3:$F$112,2,FALSE),"")</f>
        <v/>
      </c>
      <c r="C165" s="27" t="str">
        <f>IFERROR(VLOOKUP(A165,القائمة!$A$3:$F$112,3,FALSE),"")</f>
        <v/>
      </c>
      <c r="D165" s="36" t="str">
        <f>IFERROR(VLOOKUP(A165,القائمة!$A$3:$F$112,4,FALSE),"")</f>
        <v/>
      </c>
      <c r="E165" s="36" t="str">
        <f>IFERROR(VLOOKUP(A165,القائمة!$A$3:$F$112,5,FALSE),"")</f>
        <v/>
      </c>
      <c r="F165" s="37" t="str">
        <f>IFERROR(VLOOKUP(A165,القائمة!$A$3:$F$112,6,FALSE),"")</f>
        <v/>
      </c>
      <c r="H165" s="38"/>
      <c r="I165" s="36"/>
      <c r="J165" s="39"/>
      <c r="K165" s="39"/>
      <c r="P165" s="27">
        <f t="shared" si="5"/>
        <v>0</v>
      </c>
      <c r="Q165" s="27">
        <f t="shared" si="6"/>
        <v>0</v>
      </c>
    </row>
    <row r="166" spans="2:17" x14ac:dyDescent="0.45">
      <c r="B166" s="27" t="str">
        <f>IFERROR(VLOOKUP(A166,القائمة!$A$3:$F$112,2,FALSE),"")</f>
        <v/>
      </c>
      <c r="C166" s="27" t="str">
        <f>IFERROR(VLOOKUP(A166,القائمة!$A$3:$F$112,3,FALSE),"")</f>
        <v/>
      </c>
      <c r="D166" s="36" t="str">
        <f>IFERROR(VLOOKUP(A166,القائمة!$A$3:$F$112,4,FALSE),"")</f>
        <v/>
      </c>
      <c r="E166" s="36" t="str">
        <f>IFERROR(VLOOKUP(A166,القائمة!$A$3:$F$112,5,FALSE),"")</f>
        <v/>
      </c>
      <c r="F166" s="37" t="str">
        <f>IFERROR(VLOOKUP(A166,القائمة!$A$3:$F$112,6,FALSE),"")</f>
        <v/>
      </c>
      <c r="H166" s="38"/>
      <c r="I166" s="36"/>
      <c r="J166" s="39"/>
      <c r="K166" s="39"/>
      <c r="P166" s="27">
        <f t="shared" si="5"/>
        <v>0</v>
      </c>
      <c r="Q166" s="27">
        <f t="shared" si="6"/>
        <v>0</v>
      </c>
    </row>
    <row r="167" spans="2:17" x14ac:dyDescent="0.45">
      <c r="B167" s="27" t="str">
        <f>IFERROR(VLOOKUP(A167,القائمة!$A$3:$F$112,2,FALSE),"")</f>
        <v/>
      </c>
      <c r="C167" s="27" t="str">
        <f>IFERROR(VLOOKUP(A167,القائمة!$A$3:$F$112,3,FALSE),"")</f>
        <v/>
      </c>
      <c r="D167" s="36" t="str">
        <f>IFERROR(VLOOKUP(A167,القائمة!$A$3:$F$112,4,FALSE),"")</f>
        <v/>
      </c>
      <c r="E167" s="36" t="str">
        <f>IFERROR(VLOOKUP(A167,القائمة!$A$3:$F$112,5,FALSE),"")</f>
        <v/>
      </c>
      <c r="F167" s="37" t="str">
        <f>IFERROR(VLOOKUP(A167,القائمة!$A$3:$F$112,6,FALSE),"")</f>
        <v/>
      </c>
      <c r="H167" s="38"/>
      <c r="I167" s="36"/>
      <c r="J167" s="39"/>
      <c r="K167" s="39"/>
      <c r="P167" s="27">
        <f t="shared" si="5"/>
        <v>0</v>
      </c>
      <c r="Q167" s="27">
        <f t="shared" si="6"/>
        <v>0</v>
      </c>
    </row>
    <row r="168" spans="2:17" x14ac:dyDescent="0.45">
      <c r="B168" s="27" t="str">
        <f>IFERROR(VLOOKUP(A168,القائمة!$A$3:$F$112,2,FALSE),"")</f>
        <v/>
      </c>
      <c r="C168" s="27" t="str">
        <f>IFERROR(VLOOKUP(A168,القائمة!$A$3:$F$112,3,FALSE),"")</f>
        <v/>
      </c>
      <c r="D168" s="36" t="str">
        <f>IFERROR(VLOOKUP(A168,القائمة!$A$3:$F$112,4,FALSE),"")</f>
        <v/>
      </c>
      <c r="E168" s="36" t="str">
        <f>IFERROR(VLOOKUP(A168,القائمة!$A$3:$F$112,5,FALSE),"")</f>
        <v/>
      </c>
      <c r="F168" s="37" t="str">
        <f>IFERROR(VLOOKUP(A168,القائمة!$A$3:$F$112,6,FALSE),"")</f>
        <v/>
      </c>
      <c r="H168" s="38"/>
      <c r="I168" s="36"/>
      <c r="J168" s="39"/>
      <c r="K168" s="39"/>
      <c r="P168" s="27">
        <f t="shared" si="5"/>
        <v>0</v>
      </c>
      <c r="Q168" s="27">
        <f t="shared" si="6"/>
        <v>0</v>
      </c>
    </row>
    <row r="169" spans="2:17" x14ac:dyDescent="0.45">
      <c r="B169" s="27" t="str">
        <f>IFERROR(VLOOKUP(A169,القائمة!$A$3:$F$112,2,FALSE),"")</f>
        <v/>
      </c>
      <c r="C169" s="27" t="str">
        <f>IFERROR(VLOOKUP(A169,القائمة!$A$3:$F$112,3,FALSE),"")</f>
        <v/>
      </c>
      <c r="D169" s="36" t="str">
        <f>IFERROR(VLOOKUP(A169,القائمة!$A$3:$F$112,4,FALSE),"")</f>
        <v/>
      </c>
      <c r="E169" s="36" t="str">
        <f>IFERROR(VLOOKUP(A169,القائمة!$A$3:$F$112,5,FALSE),"")</f>
        <v/>
      </c>
      <c r="F169" s="37" t="str">
        <f>IFERROR(VLOOKUP(A169,القائمة!$A$3:$F$112,6,FALSE),"")</f>
        <v/>
      </c>
      <c r="H169" s="38"/>
      <c r="I169" s="36"/>
      <c r="J169" s="39"/>
      <c r="K169" s="39"/>
      <c r="P169" s="27">
        <f t="shared" si="5"/>
        <v>0</v>
      </c>
      <c r="Q169" s="27">
        <f t="shared" si="6"/>
        <v>0</v>
      </c>
    </row>
    <row r="170" spans="2:17" x14ac:dyDescent="0.45">
      <c r="B170" s="27" t="str">
        <f>IFERROR(VLOOKUP(A170,القائمة!$A$3:$F$112,2,FALSE),"")</f>
        <v/>
      </c>
      <c r="C170" s="27" t="str">
        <f>IFERROR(VLOOKUP(A170,القائمة!$A$3:$F$112,3,FALSE),"")</f>
        <v/>
      </c>
      <c r="D170" s="36" t="str">
        <f>IFERROR(VLOOKUP(A170,القائمة!$A$3:$F$112,4,FALSE),"")</f>
        <v/>
      </c>
      <c r="E170" s="36" t="str">
        <f>IFERROR(VLOOKUP(A170,القائمة!$A$3:$F$112,5,FALSE),"")</f>
        <v/>
      </c>
      <c r="F170" s="37" t="str">
        <f>IFERROR(VLOOKUP(A170,القائمة!$A$3:$F$112,6,FALSE),"")</f>
        <v/>
      </c>
      <c r="H170" s="38"/>
      <c r="I170" s="36"/>
      <c r="J170" s="39"/>
      <c r="K170" s="39"/>
      <c r="P170" s="27">
        <f t="shared" si="5"/>
        <v>0</v>
      </c>
      <c r="Q170" s="27">
        <f t="shared" si="6"/>
        <v>0</v>
      </c>
    </row>
    <row r="171" spans="2:17" x14ac:dyDescent="0.45">
      <c r="B171" s="27" t="str">
        <f>IFERROR(VLOOKUP(A171,القائمة!$A$3:$F$112,2,FALSE),"")</f>
        <v/>
      </c>
      <c r="C171" s="27" t="str">
        <f>IFERROR(VLOOKUP(A171,القائمة!$A$3:$F$112,3,FALSE),"")</f>
        <v/>
      </c>
      <c r="D171" s="36" t="str">
        <f>IFERROR(VLOOKUP(A171,القائمة!$A$3:$F$112,4,FALSE),"")</f>
        <v/>
      </c>
      <c r="E171" s="36" t="str">
        <f>IFERROR(VLOOKUP(A171,القائمة!$A$3:$F$112,5,FALSE),"")</f>
        <v/>
      </c>
      <c r="F171" s="37" t="str">
        <f>IFERROR(VLOOKUP(A171,القائمة!$A$3:$F$112,6,FALSE),"")</f>
        <v/>
      </c>
      <c r="H171" s="38"/>
      <c r="I171" s="36"/>
      <c r="J171" s="39"/>
      <c r="K171" s="39"/>
      <c r="P171" s="27">
        <f t="shared" si="5"/>
        <v>0</v>
      </c>
      <c r="Q171" s="27">
        <f t="shared" si="6"/>
        <v>0</v>
      </c>
    </row>
    <row r="172" spans="2:17" x14ac:dyDescent="0.45">
      <c r="B172" s="27" t="str">
        <f>IFERROR(VLOOKUP(A172,القائمة!$A$3:$F$112,2,FALSE),"")</f>
        <v/>
      </c>
      <c r="C172" s="27" t="str">
        <f>IFERROR(VLOOKUP(A172,القائمة!$A$3:$F$112,3,FALSE),"")</f>
        <v/>
      </c>
      <c r="D172" s="36" t="str">
        <f>IFERROR(VLOOKUP(A172,القائمة!$A$3:$F$112,4,FALSE),"")</f>
        <v/>
      </c>
      <c r="E172" s="36" t="str">
        <f>IFERROR(VLOOKUP(A172,القائمة!$A$3:$F$112,5,FALSE),"")</f>
        <v/>
      </c>
      <c r="F172" s="37" t="str">
        <f>IFERROR(VLOOKUP(A172,القائمة!$A$3:$F$112,6,FALSE),"")</f>
        <v/>
      </c>
      <c r="H172" s="38"/>
      <c r="I172" s="36"/>
      <c r="J172" s="39"/>
      <c r="K172" s="39"/>
      <c r="P172" s="27">
        <f t="shared" si="5"/>
        <v>0</v>
      </c>
      <c r="Q172" s="27">
        <f t="shared" si="6"/>
        <v>0</v>
      </c>
    </row>
    <row r="173" spans="2:17" x14ac:dyDescent="0.45">
      <c r="B173" s="27" t="str">
        <f>IFERROR(VLOOKUP(A173,القائمة!$A$3:$F$112,2,FALSE),"")</f>
        <v/>
      </c>
      <c r="C173" s="27" t="str">
        <f>IFERROR(VLOOKUP(A173,القائمة!$A$3:$F$112,3,FALSE),"")</f>
        <v/>
      </c>
      <c r="D173" s="36" t="str">
        <f>IFERROR(VLOOKUP(A173,القائمة!$A$3:$F$112,4,FALSE),"")</f>
        <v/>
      </c>
      <c r="E173" s="36" t="str">
        <f>IFERROR(VLOOKUP(A173,القائمة!$A$3:$F$112,5,FALSE),"")</f>
        <v/>
      </c>
      <c r="F173" s="37" t="str">
        <f>IFERROR(VLOOKUP(A173,القائمة!$A$3:$F$112,6,FALSE),"")</f>
        <v/>
      </c>
      <c r="H173" s="38"/>
      <c r="I173" s="36"/>
      <c r="J173" s="39"/>
      <c r="K173" s="39"/>
      <c r="P173" s="27">
        <f t="shared" si="5"/>
        <v>0</v>
      </c>
      <c r="Q173" s="27">
        <f t="shared" si="6"/>
        <v>0</v>
      </c>
    </row>
    <row r="174" spans="2:17" x14ac:dyDescent="0.45">
      <c r="B174" s="27" t="str">
        <f>IFERROR(VLOOKUP(A174,القائمة!$A$3:$F$112,2,FALSE),"")</f>
        <v/>
      </c>
      <c r="C174" s="27" t="str">
        <f>IFERROR(VLOOKUP(A174,القائمة!$A$3:$F$112,3,FALSE),"")</f>
        <v/>
      </c>
      <c r="D174" s="36" t="str">
        <f>IFERROR(VLOOKUP(A174,القائمة!$A$3:$F$112,4,FALSE),"")</f>
        <v/>
      </c>
      <c r="E174" s="36" t="str">
        <f>IFERROR(VLOOKUP(A174,القائمة!$A$3:$F$112,5,FALSE),"")</f>
        <v/>
      </c>
      <c r="F174" s="37" t="str">
        <f>IFERROR(VLOOKUP(A174,القائمة!$A$3:$F$112,6,FALSE),"")</f>
        <v/>
      </c>
      <c r="H174" s="38"/>
      <c r="I174" s="36"/>
      <c r="J174" s="39"/>
      <c r="K174" s="39"/>
      <c r="P174" s="27">
        <f t="shared" si="5"/>
        <v>0</v>
      </c>
      <c r="Q174" s="27">
        <f t="shared" si="6"/>
        <v>0</v>
      </c>
    </row>
    <row r="175" spans="2:17" x14ac:dyDescent="0.45">
      <c r="B175" s="27" t="str">
        <f>IFERROR(VLOOKUP(A175,القائمة!$A$3:$F$112,2,FALSE),"")</f>
        <v/>
      </c>
      <c r="C175" s="27" t="str">
        <f>IFERROR(VLOOKUP(A175,القائمة!$A$3:$F$112,3,FALSE),"")</f>
        <v/>
      </c>
      <c r="D175" s="36" t="str">
        <f>IFERROR(VLOOKUP(A175,القائمة!$A$3:$F$112,4,FALSE),"")</f>
        <v/>
      </c>
      <c r="E175" s="36" t="str">
        <f>IFERROR(VLOOKUP(A175,القائمة!$A$3:$F$112,5,FALSE),"")</f>
        <v/>
      </c>
      <c r="F175" s="37" t="str">
        <f>IFERROR(VLOOKUP(A175,القائمة!$A$3:$F$112,6,FALSE),"")</f>
        <v/>
      </c>
      <c r="H175" s="38"/>
      <c r="I175" s="36"/>
      <c r="J175" s="39"/>
      <c r="K175" s="39"/>
      <c r="P175" s="27">
        <f t="shared" si="5"/>
        <v>0</v>
      </c>
      <c r="Q175" s="27">
        <f t="shared" si="6"/>
        <v>0</v>
      </c>
    </row>
    <row r="176" spans="2:17" x14ac:dyDescent="0.45">
      <c r="B176" s="27" t="str">
        <f>IFERROR(VLOOKUP(A176,القائمة!$A$3:$F$112,2,FALSE),"")</f>
        <v/>
      </c>
      <c r="C176" s="27" t="str">
        <f>IFERROR(VLOOKUP(A176,القائمة!$A$3:$F$112,3,FALSE),"")</f>
        <v/>
      </c>
      <c r="D176" s="36" t="str">
        <f>IFERROR(VLOOKUP(A176,القائمة!$A$3:$F$112,4,FALSE),"")</f>
        <v/>
      </c>
      <c r="E176" s="36" t="str">
        <f>IFERROR(VLOOKUP(A176,القائمة!$A$3:$F$112,5,FALSE),"")</f>
        <v/>
      </c>
      <c r="F176" s="37" t="str">
        <f>IFERROR(VLOOKUP(A176,القائمة!$A$3:$F$112,6,FALSE),"")</f>
        <v/>
      </c>
      <c r="H176" s="38"/>
      <c r="I176" s="36"/>
      <c r="J176" s="39"/>
      <c r="K176" s="39"/>
      <c r="P176" s="27">
        <f t="shared" si="5"/>
        <v>0</v>
      </c>
      <c r="Q176" s="27">
        <f t="shared" si="6"/>
        <v>0</v>
      </c>
    </row>
    <row r="177" spans="2:17" x14ac:dyDescent="0.45">
      <c r="B177" s="27" t="str">
        <f>IFERROR(VLOOKUP(A177,القائمة!$A$3:$F$112,2,FALSE),"")</f>
        <v/>
      </c>
      <c r="C177" s="27" t="str">
        <f>IFERROR(VLOOKUP(A177,القائمة!$A$3:$F$112,3,FALSE),"")</f>
        <v/>
      </c>
      <c r="D177" s="36" t="str">
        <f>IFERROR(VLOOKUP(A177,القائمة!$A$3:$F$112,4,FALSE),"")</f>
        <v/>
      </c>
      <c r="E177" s="36" t="str">
        <f>IFERROR(VLOOKUP(A177,القائمة!$A$3:$F$112,5,FALSE),"")</f>
        <v/>
      </c>
      <c r="F177" s="37" t="str">
        <f>IFERROR(VLOOKUP(A177,القائمة!$A$3:$F$112,6,FALSE),"")</f>
        <v/>
      </c>
      <c r="H177" s="38"/>
      <c r="I177" s="36"/>
      <c r="J177" s="39"/>
      <c r="K177" s="39"/>
      <c r="P177" s="27">
        <f t="shared" si="5"/>
        <v>0</v>
      </c>
      <c r="Q177" s="27">
        <f t="shared" si="6"/>
        <v>0</v>
      </c>
    </row>
    <row r="178" spans="2:17" x14ac:dyDescent="0.45">
      <c r="B178" s="27" t="str">
        <f>IFERROR(VLOOKUP(A178,القائمة!$A$3:$F$112,2,FALSE),"")</f>
        <v/>
      </c>
      <c r="C178" s="27" t="str">
        <f>IFERROR(VLOOKUP(A178,القائمة!$A$3:$F$112,3,FALSE),"")</f>
        <v/>
      </c>
      <c r="D178" s="36" t="str">
        <f>IFERROR(VLOOKUP(A178,القائمة!$A$3:$F$112,4,FALSE),"")</f>
        <v/>
      </c>
      <c r="E178" s="36" t="str">
        <f>IFERROR(VLOOKUP(A178,القائمة!$A$3:$F$112,5,FALSE),"")</f>
        <v/>
      </c>
      <c r="F178" s="37" t="str">
        <f>IFERROR(VLOOKUP(A178,القائمة!$A$3:$F$112,6,FALSE),"")</f>
        <v/>
      </c>
      <c r="H178" s="38"/>
      <c r="I178" s="36"/>
      <c r="J178" s="39"/>
      <c r="K178" s="39"/>
      <c r="P178" s="27">
        <f t="shared" si="5"/>
        <v>0</v>
      </c>
      <c r="Q178" s="27">
        <f t="shared" si="6"/>
        <v>0</v>
      </c>
    </row>
    <row r="179" spans="2:17" x14ac:dyDescent="0.45">
      <c r="B179" s="27" t="str">
        <f>IFERROR(VLOOKUP(A179,القائمة!$A$3:$F$112,2,FALSE),"")</f>
        <v/>
      </c>
      <c r="C179" s="27" t="str">
        <f>IFERROR(VLOOKUP(A179,القائمة!$A$3:$F$112,3,FALSE),"")</f>
        <v/>
      </c>
      <c r="D179" s="36" t="str">
        <f>IFERROR(VLOOKUP(A179,القائمة!$A$3:$F$112,4,FALSE),"")</f>
        <v/>
      </c>
      <c r="E179" s="36" t="str">
        <f>IFERROR(VLOOKUP(A179,القائمة!$A$3:$F$112,5,FALSE),"")</f>
        <v/>
      </c>
      <c r="F179" s="37" t="str">
        <f>IFERROR(VLOOKUP(A179,القائمة!$A$3:$F$112,6,FALSE),"")</f>
        <v/>
      </c>
      <c r="H179" s="38"/>
      <c r="I179" s="36"/>
      <c r="J179" s="39"/>
      <c r="K179" s="39"/>
      <c r="P179" s="27">
        <f t="shared" si="5"/>
        <v>0</v>
      </c>
      <c r="Q179" s="27">
        <f t="shared" si="6"/>
        <v>0</v>
      </c>
    </row>
    <row r="180" spans="2:17" x14ac:dyDescent="0.45">
      <c r="B180" s="27" t="str">
        <f>IFERROR(VLOOKUP(A180,القائمة!$A$3:$F$112,2,FALSE),"")</f>
        <v/>
      </c>
      <c r="C180" s="27" t="str">
        <f>IFERROR(VLOOKUP(A180,القائمة!$A$3:$F$112,3,FALSE),"")</f>
        <v/>
      </c>
      <c r="D180" s="36" t="str">
        <f>IFERROR(VLOOKUP(A180,القائمة!$A$3:$F$112,4,FALSE),"")</f>
        <v/>
      </c>
      <c r="E180" s="36" t="str">
        <f>IFERROR(VLOOKUP(A180,القائمة!$A$3:$F$112,5,FALSE),"")</f>
        <v/>
      </c>
      <c r="F180" s="37" t="str">
        <f>IFERROR(VLOOKUP(A180,القائمة!$A$3:$F$112,6,FALSE),"")</f>
        <v/>
      </c>
      <c r="H180" s="38"/>
      <c r="I180" s="36"/>
      <c r="J180" s="39"/>
      <c r="K180" s="39"/>
      <c r="P180" s="27">
        <f t="shared" si="5"/>
        <v>0</v>
      </c>
      <c r="Q180" s="27">
        <f t="shared" si="6"/>
        <v>0</v>
      </c>
    </row>
    <row r="181" spans="2:17" x14ac:dyDescent="0.45">
      <c r="B181" s="27" t="str">
        <f>IFERROR(VLOOKUP(A181,القائمة!$A$3:$F$112,2,FALSE),"")</f>
        <v/>
      </c>
      <c r="C181" s="27" t="str">
        <f>IFERROR(VLOOKUP(A181,القائمة!$A$3:$F$112,3,FALSE),"")</f>
        <v/>
      </c>
      <c r="D181" s="36" t="str">
        <f>IFERROR(VLOOKUP(A181,القائمة!$A$3:$F$112,4,FALSE),"")</f>
        <v/>
      </c>
      <c r="E181" s="36" t="str">
        <f>IFERROR(VLOOKUP(A181,القائمة!$A$3:$F$112,5,FALSE),"")</f>
        <v/>
      </c>
      <c r="F181" s="37" t="str">
        <f>IFERROR(VLOOKUP(A181,القائمة!$A$3:$F$112,6,FALSE),"")</f>
        <v/>
      </c>
      <c r="H181" s="38"/>
      <c r="I181" s="36"/>
      <c r="J181" s="39"/>
      <c r="K181" s="39"/>
      <c r="P181" s="27">
        <f t="shared" si="5"/>
        <v>0</v>
      </c>
      <c r="Q181" s="27">
        <f t="shared" si="6"/>
        <v>0</v>
      </c>
    </row>
    <row r="182" spans="2:17" x14ac:dyDescent="0.45">
      <c r="B182" s="27" t="str">
        <f>IFERROR(VLOOKUP(A182,القائمة!$A$3:$F$112,2,FALSE),"")</f>
        <v/>
      </c>
      <c r="C182" s="27" t="str">
        <f>IFERROR(VLOOKUP(A182,القائمة!$A$3:$F$112,3,FALSE),"")</f>
        <v/>
      </c>
      <c r="D182" s="36" t="str">
        <f>IFERROR(VLOOKUP(A182,القائمة!$A$3:$F$112,4,FALSE),"")</f>
        <v/>
      </c>
      <c r="E182" s="36" t="str">
        <f>IFERROR(VLOOKUP(A182,القائمة!$A$3:$F$112,5,FALSE),"")</f>
        <v/>
      </c>
      <c r="F182" s="37" t="str">
        <f>IFERROR(VLOOKUP(A182,القائمة!$A$3:$F$112,6,FALSE),"")</f>
        <v/>
      </c>
      <c r="H182" s="38"/>
      <c r="I182" s="36"/>
      <c r="J182" s="39"/>
      <c r="K182" s="39"/>
      <c r="P182" s="27">
        <f t="shared" si="5"/>
        <v>0</v>
      </c>
      <c r="Q182" s="27">
        <f t="shared" si="6"/>
        <v>0</v>
      </c>
    </row>
    <row r="183" spans="2:17" x14ac:dyDescent="0.45">
      <c r="B183" s="27" t="str">
        <f>IFERROR(VLOOKUP(A183,القائمة!$A$3:$F$112,2,FALSE),"")</f>
        <v/>
      </c>
      <c r="C183" s="27" t="str">
        <f>IFERROR(VLOOKUP(A183,القائمة!$A$3:$F$112,3,FALSE),"")</f>
        <v/>
      </c>
      <c r="D183" s="36" t="str">
        <f>IFERROR(VLOOKUP(A183,القائمة!$A$3:$F$112,4,FALSE),"")</f>
        <v/>
      </c>
      <c r="E183" s="36" t="str">
        <f>IFERROR(VLOOKUP(A183,القائمة!$A$3:$F$112,5,FALSE),"")</f>
        <v/>
      </c>
      <c r="F183" s="37" t="str">
        <f>IFERROR(VLOOKUP(A183,القائمة!$A$3:$F$112,6,FALSE),"")</f>
        <v/>
      </c>
      <c r="H183" s="38"/>
      <c r="I183" s="36"/>
      <c r="J183" s="39"/>
      <c r="K183" s="39"/>
      <c r="P183" s="27">
        <f t="shared" si="5"/>
        <v>0</v>
      </c>
      <c r="Q183" s="27">
        <f t="shared" si="6"/>
        <v>0</v>
      </c>
    </row>
    <row r="184" spans="2:17" x14ac:dyDescent="0.45">
      <c r="B184" s="27" t="str">
        <f>IFERROR(VLOOKUP(A184,القائمة!$A$3:$F$112,2,FALSE),"")</f>
        <v/>
      </c>
      <c r="C184" s="27" t="str">
        <f>IFERROR(VLOOKUP(A184,القائمة!$A$3:$F$112,3,FALSE),"")</f>
        <v/>
      </c>
      <c r="D184" s="36" t="str">
        <f>IFERROR(VLOOKUP(A184,القائمة!$A$3:$F$112,4,FALSE),"")</f>
        <v/>
      </c>
      <c r="E184" s="36" t="str">
        <f>IFERROR(VLOOKUP(A184,القائمة!$A$3:$F$112,5,FALSE),"")</f>
        <v/>
      </c>
      <c r="F184" s="37" t="str">
        <f>IFERROR(VLOOKUP(A184,القائمة!$A$3:$F$112,6,FALSE),"")</f>
        <v/>
      </c>
      <c r="H184" s="38"/>
      <c r="I184" s="36"/>
      <c r="J184" s="39"/>
      <c r="K184" s="39"/>
      <c r="P184" s="27">
        <f t="shared" si="5"/>
        <v>0</v>
      </c>
      <c r="Q184" s="27">
        <f t="shared" si="6"/>
        <v>0</v>
      </c>
    </row>
    <row r="185" spans="2:17" x14ac:dyDescent="0.45">
      <c r="B185" s="27" t="str">
        <f>IFERROR(VLOOKUP(A185,القائمة!$A$3:$F$112,2,FALSE),"")</f>
        <v/>
      </c>
      <c r="C185" s="27" t="str">
        <f>IFERROR(VLOOKUP(A185,القائمة!$A$3:$F$112,3,FALSE),"")</f>
        <v/>
      </c>
      <c r="D185" s="36" t="str">
        <f>IFERROR(VLOOKUP(A185,القائمة!$A$3:$F$112,4,FALSE),"")</f>
        <v/>
      </c>
      <c r="E185" s="36" t="str">
        <f>IFERROR(VLOOKUP(A185,القائمة!$A$3:$F$112,5,FALSE),"")</f>
        <v/>
      </c>
      <c r="F185" s="37" t="str">
        <f>IFERROR(VLOOKUP(A185,القائمة!$A$3:$F$112,6,FALSE),"")</f>
        <v/>
      </c>
      <c r="H185" s="38"/>
      <c r="I185" s="36"/>
      <c r="J185" s="39"/>
      <c r="K185" s="39"/>
      <c r="P185" s="27">
        <f t="shared" si="5"/>
        <v>0</v>
      </c>
      <c r="Q185" s="27">
        <f t="shared" si="6"/>
        <v>0</v>
      </c>
    </row>
    <row r="186" spans="2:17" x14ac:dyDescent="0.45">
      <c r="B186" s="27" t="str">
        <f>IFERROR(VLOOKUP(A186,القائمة!$A$3:$F$112,2,FALSE),"")</f>
        <v/>
      </c>
      <c r="C186" s="27" t="str">
        <f>IFERROR(VLOOKUP(A186,القائمة!$A$3:$F$112,3,FALSE),"")</f>
        <v/>
      </c>
      <c r="D186" s="36" t="str">
        <f>IFERROR(VLOOKUP(A186,القائمة!$A$3:$F$112,4,FALSE),"")</f>
        <v/>
      </c>
      <c r="E186" s="36" t="str">
        <f>IFERROR(VLOOKUP(A186,القائمة!$A$3:$F$112,5,FALSE),"")</f>
        <v/>
      </c>
      <c r="F186" s="37" t="str">
        <f>IFERROR(VLOOKUP(A186,القائمة!$A$3:$F$112,6,FALSE),"")</f>
        <v/>
      </c>
      <c r="H186" s="38"/>
      <c r="I186" s="36"/>
      <c r="J186" s="39"/>
      <c r="K186" s="39"/>
      <c r="P186" s="27">
        <f t="shared" si="5"/>
        <v>0</v>
      </c>
      <c r="Q186" s="27">
        <f t="shared" si="6"/>
        <v>0</v>
      </c>
    </row>
    <row r="187" spans="2:17" x14ac:dyDescent="0.45">
      <c r="B187" s="27" t="str">
        <f>IFERROR(VLOOKUP(A187,القائمة!$A$3:$F$112,2,FALSE),"")</f>
        <v/>
      </c>
      <c r="C187" s="27" t="str">
        <f>IFERROR(VLOOKUP(A187,القائمة!$A$3:$F$112,3,FALSE),"")</f>
        <v/>
      </c>
      <c r="D187" s="36" t="str">
        <f>IFERROR(VLOOKUP(A187,القائمة!$A$3:$F$112,4,FALSE),"")</f>
        <v/>
      </c>
      <c r="E187" s="36" t="str">
        <f>IFERROR(VLOOKUP(A187,القائمة!$A$3:$F$112,5,FALSE),"")</f>
        <v/>
      </c>
      <c r="F187" s="37" t="str">
        <f>IFERROR(VLOOKUP(A187,القائمة!$A$3:$F$112,6,FALSE),"")</f>
        <v/>
      </c>
      <c r="H187" s="38"/>
      <c r="I187" s="36"/>
      <c r="J187" s="39"/>
      <c r="K187" s="39"/>
      <c r="P187" s="27">
        <f t="shared" si="5"/>
        <v>0</v>
      </c>
      <c r="Q187" s="27">
        <f t="shared" si="6"/>
        <v>0</v>
      </c>
    </row>
    <row r="188" spans="2:17" x14ac:dyDescent="0.45">
      <c r="B188" s="27" t="str">
        <f>IFERROR(VLOOKUP(A188,القائمة!$A$3:$F$112,2,FALSE),"")</f>
        <v/>
      </c>
      <c r="C188" s="27" t="str">
        <f>IFERROR(VLOOKUP(A188,القائمة!$A$3:$F$112,3,FALSE),"")</f>
        <v/>
      </c>
      <c r="D188" s="36" t="str">
        <f>IFERROR(VLOOKUP(A188,القائمة!$A$3:$F$112,4,FALSE),"")</f>
        <v/>
      </c>
      <c r="E188" s="36" t="str">
        <f>IFERROR(VLOOKUP(A188,القائمة!$A$3:$F$112,5,FALSE),"")</f>
        <v/>
      </c>
      <c r="F188" s="37" t="str">
        <f>IFERROR(VLOOKUP(A188,القائمة!$A$3:$F$112,6,FALSE),"")</f>
        <v/>
      </c>
      <c r="H188" s="38"/>
      <c r="I188" s="36"/>
      <c r="J188" s="39"/>
      <c r="K188" s="39"/>
      <c r="P188" s="27">
        <f t="shared" si="5"/>
        <v>0</v>
      </c>
      <c r="Q188" s="27">
        <f t="shared" si="6"/>
        <v>0</v>
      </c>
    </row>
    <row r="189" spans="2:17" x14ac:dyDescent="0.45">
      <c r="B189" s="27" t="str">
        <f>IFERROR(VLOOKUP(A189,القائمة!$A$3:$F$112,2,FALSE),"")</f>
        <v/>
      </c>
      <c r="C189" s="27" t="str">
        <f>IFERROR(VLOOKUP(A189,القائمة!$A$3:$F$112,3,FALSE),"")</f>
        <v/>
      </c>
      <c r="D189" s="36" t="str">
        <f>IFERROR(VLOOKUP(A189,القائمة!$A$3:$F$112,4,FALSE),"")</f>
        <v/>
      </c>
      <c r="E189" s="36" t="str">
        <f>IFERROR(VLOOKUP(A189,القائمة!$A$3:$F$112,5,FALSE),"")</f>
        <v/>
      </c>
      <c r="F189" s="37" t="str">
        <f>IFERROR(VLOOKUP(A189,القائمة!$A$3:$F$112,6,FALSE),"")</f>
        <v/>
      </c>
      <c r="H189" s="38"/>
      <c r="I189" s="36"/>
      <c r="J189" s="39"/>
      <c r="K189" s="39"/>
      <c r="P189" s="27">
        <f t="shared" si="5"/>
        <v>0</v>
      </c>
      <c r="Q189" s="27">
        <f t="shared" si="6"/>
        <v>0</v>
      </c>
    </row>
    <row r="190" spans="2:17" x14ac:dyDescent="0.45">
      <c r="B190" s="27" t="str">
        <f>IFERROR(VLOOKUP(A190,القائمة!$A$3:$F$112,2,FALSE),"")</f>
        <v/>
      </c>
      <c r="C190" s="27" t="str">
        <f>IFERROR(VLOOKUP(A190,القائمة!$A$3:$F$112,3,FALSE),"")</f>
        <v/>
      </c>
      <c r="D190" s="36" t="str">
        <f>IFERROR(VLOOKUP(A190,القائمة!$A$3:$F$112,4,FALSE),"")</f>
        <v/>
      </c>
      <c r="E190" s="36" t="str">
        <f>IFERROR(VLOOKUP(A190,القائمة!$A$3:$F$112,5,FALSE),"")</f>
        <v/>
      </c>
      <c r="F190" s="37" t="str">
        <f>IFERROR(VLOOKUP(A190,القائمة!$A$3:$F$112,6,FALSE),"")</f>
        <v/>
      </c>
      <c r="H190" s="38"/>
      <c r="I190" s="36"/>
      <c r="J190" s="39"/>
      <c r="K190" s="39"/>
      <c r="P190" s="27">
        <f t="shared" si="5"/>
        <v>0</v>
      </c>
      <c r="Q190" s="27">
        <f t="shared" si="6"/>
        <v>0</v>
      </c>
    </row>
    <row r="191" spans="2:17" x14ac:dyDescent="0.45">
      <c r="B191" s="27" t="str">
        <f>IFERROR(VLOOKUP(A191,القائمة!$A$3:$F$112,2,FALSE),"")</f>
        <v/>
      </c>
      <c r="C191" s="27" t="str">
        <f>IFERROR(VLOOKUP(A191,القائمة!$A$3:$F$112,3,FALSE),"")</f>
        <v/>
      </c>
      <c r="D191" s="36" t="str">
        <f>IFERROR(VLOOKUP(A191,القائمة!$A$3:$F$112,4,FALSE),"")</f>
        <v/>
      </c>
      <c r="E191" s="36" t="str">
        <f>IFERROR(VLOOKUP(A191,القائمة!$A$3:$F$112,5,FALSE),"")</f>
        <v/>
      </c>
      <c r="F191" s="37" t="str">
        <f>IFERROR(VLOOKUP(A191,القائمة!$A$3:$F$112,6,FALSE),"")</f>
        <v/>
      </c>
      <c r="H191" s="38"/>
      <c r="I191" s="36"/>
      <c r="J191" s="39"/>
      <c r="K191" s="39"/>
      <c r="P191" s="27">
        <f t="shared" si="5"/>
        <v>0</v>
      </c>
      <c r="Q191" s="27">
        <f t="shared" si="6"/>
        <v>0</v>
      </c>
    </row>
    <row r="192" spans="2:17" x14ac:dyDescent="0.45">
      <c r="B192" s="27" t="str">
        <f>IFERROR(VLOOKUP(A192,القائمة!$A$3:$F$112,2,FALSE),"")</f>
        <v/>
      </c>
      <c r="C192" s="27" t="str">
        <f>IFERROR(VLOOKUP(A192,القائمة!$A$3:$F$112,3,FALSE),"")</f>
        <v/>
      </c>
      <c r="D192" s="36" t="str">
        <f>IFERROR(VLOOKUP(A192,القائمة!$A$3:$F$112,4,FALSE),"")</f>
        <v/>
      </c>
      <c r="E192" s="36" t="str">
        <f>IFERROR(VLOOKUP(A192,القائمة!$A$3:$F$112,5,FALSE),"")</f>
        <v/>
      </c>
      <c r="F192" s="37" t="str">
        <f>IFERROR(VLOOKUP(A192,القائمة!$A$3:$F$112,6,FALSE),"")</f>
        <v/>
      </c>
      <c r="H192" s="38"/>
      <c r="I192" s="36"/>
      <c r="J192" s="39"/>
      <c r="K192" s="39"/>
      <c r="P192" s="27">
        <f t="shared" si="5"/>
        <v>0</v>
      </c>
      <c r="Q192" s="27">
        <f t="shared" si="6"/>
        <v>0</v>
      </c>
    </row>
    <row r="193" spans="2:17" x14ac:dyDescent="0.45">
      <c r="B193" s="27" t="str">
        <f>IFERROR(VLOOKUP(A193,القائمة!$A$3:$F$112,2,FALSE),"")</f>
        <v/>
      </c>
      <c r="C193" s="27" t="str">
        <f>IFERROR(VLOOKUP(A193,القائمة!$A$3:$F$112,3,FALSE),"")</f>
        <v/>
      </c>
      <c r="D193" s="36" t="str">
        <f>IFERROR(VLOOKUP(A193,القائمة!$A$3:$F$112,4,FALSE),"")</f>
        <v/>
      </c>
      <c r="E193" s="36" t="str">
        <f>IFERROR(VLOOKUP(A193,القائمة!$A$3:$F$112,5,FALSE),"")</f>
        <v/>
      </c>
      <c r="F193" s="37" t="str">
        <f>IFERROR(VLOOKUP(A193,القائمة!$A$3:$F$112,6,FALSE),"")</f>
        <v/>
      </c>
      <c r="H193" s="38"/>
      <c r="I193" s="36"/>
      <c r="J193" s="39"/>
      <c r="K193" s="39"/>
      <c r="P193" s="27">
        <f t="shared" si="5"/>
        <v>0</v>
      </c>
      <c r="Q193" s="27">
        <f t="shared" si="6"/>
        <v>0</v>
      </c>
    </row>
    <row r="194" spans="2:17" x14ac:dyDescent="0.45">
      <c r="B194" s="27" t="str">
        <f>IFERROR(VLOOKUP(A194,القائمة!$A$3:$F$112,2,FALSE),"")</f>
        <v/>
      </c>
      <c r="C194" s="27" t="str">
        <f>IFERROR(VLOOKUP(A194,القائمة!$A$3:$F$112,3,FALSE),"")</f>
        <v/>
      </c>
      <c r="D194" s="36" t="str">
        <f>IFERROR(VLOOKUP(A194,القائمة!$A$3:$F$112,4,FALSE),"")</f>
        <v/>
      </c>
      <c r="E194" s="36" t="str">
        <f>IFERROR(VLOOKUP(A194,القائمة!$A$3:$F$112,5,FALSE),"")</f>
        <v/>
      </c>
      <c r="F194" s="37" t="str">
        <f>IFERROR(VLOOKUP(A194,القائمة!$A$3:$F$112,6,FALSE),"")</f>
        <v/>
      </c>
      <c r="H194" s="38"/>
      <c r="I194" s="36"/>
      <c r="J194" s="39"/>
      <c r="K194" s="39"/>
      <c r="P194" s="27">
        <f t="shared" si="5"/>
        <v>0</v>
      </c>
      <c r="Q194" s="27">
        <f t="shared" si="6"/>
        <v>0</v>
      </c>
    </row>
    <row r="195" spans="2:17" x14ac:dyDescent="0.45">
      <c r="B195" s="27" t="str">
        <f>IFERROR(VLOOKUP(A195,القائمة!$A$3:$F$112,2,FALSE),"")</f>
        <v/>
      </c>
      <c r="C195" s="27" t="str">
        <f>IFERROR(VLOOKUP(A195,القائمة!$A$3:$F$112,3,FALSE),"")</f>
        <v/>
      </c>
      <c r="D195" s="36" t="str">
        <f>IFERROR(VLOOKUP(A195,القائمة!$A$3:$F$112,4,FALSE),"")</f>
        <v/>
      </c>
      <c r="E195" s="36" t="str">
        <f>IFERROR(VLOOKUP(A195,القائمة!$A$3:$F$112,5,FALSE),"")</f>
        <v/>
      </c>
      <c r="F195" s="37" t="str">
        <f>IFERROR(VLOOKUP(A195,القائمة!$A$3:$F$112,6,FALSE),"")</f>
        <v/>
      </c>
      <c r="H195" s="38"/>
      <c r="I195" s="36"/>
      <c r="J195" s="39"/>
      <c r="K195" s="39"/>
      <c r="P195" s="27">
        <f t="shared" si="5"/>
        <v>0</v>
      </c>
      <c r="Q195" s="27">
        <f t="shared" si="6"/>
        <v>0</v>
      </c>
    </row>
    <row r="196" spans="2:17" x14ac:dyDescent="0.45">
      <c r="B196" s="27" t="str">
        <f>IFERROR(VLOOKUP(A196,القائمة!$A$3:$F$112,2,FALSE),"")</f>
        <v/>
      </c>
      <c r="C196" s="27" t="str">
        <f>IFERROR(VLOOKUP(A196,القائمة!$A$3:$F$112,3,FALSE),"")</f>
        <v/>
      </c>
      <c r="D196" s="36" t="str">
        <f>IFERROR(VLOOKUP(A196,القائمة!$A$3:$F$112,4,FALSE),"")</f>
        <v/>
      </c>
      <c r="E196" s="36" t="str">
        <f>IFERROR(VLOOKUP(A196,القائمة!$A$3:$F$112,5,FALSE),"")</f>
        <v/>
      </c>
      <c r="F196" s="37" t="str">
        <f>IFERROR(VLOOKUP(A196,القائمة!$A$3:$F$112,6,FALSE),"")</f>
        <v/>
      </c>
      <c r="H196" s="38"/>
      <c r="I196" s="36"/>
      <c r="J196" s="39"/>
      <c r="K196" s="39"/>
      <c r="P196" s="27">
        <f t="shared" ref="P196:P259" si="7">J196-K196</f>
        <v>0</v>
      </c>
      <c r="Q196" s="27">
        <f t="shared" ref="Q196" si="8">+P196+L196-M196</f>
        <v>0</v>
      </c>
    </row>
    <row r="197" spans="2:17" x14ac:dyDescent="0.45">
      <c r="B197" s="27" t="str">
        <f>IFERROR(VLOOKUP(A197,القائمة!$A$3:$F$112,2,FALSE),"")</f>
        <v/>
      </c>
      <c r="C197" s="27" t="str">
        <f>IFERROR(VLOOKUP(A197,القائمة!$A$3:$F$112,3,FALSE),"")</f>
        <v/>
      </c>
      <c r="D197" s="36" t="str">
        <f>IFERROR(VLOOKUP(A197,القائمة!$A$3:$F$112,4,FALSE),"")</f>
        <v/>
      </c>
      <c r="E197" s="36" t="str">
        <f>IFERROR(VLOOKUP(A197,القائمة!$A$3:$F$112,5,FALSE),"")</f>
        <v/>
      </c>
      <c r="F197" s="37" t="str">
        <f>IFERROR(VLOOKUP(A197,القائمة!$A$3:$F$112,6,FALSE),"")</f>
        <v/>
      </c>
      <c r="I197" s="36"/>
      <c r="P197" s="27">
        <f t="shared" si="7"/>
        <v>0</v>
      </c>
      <c r="Q197" s="27">
        <f t="shared" ref="Q197:Q258" si="9">+P197+L197-M197</f>
        <v>0</v>
      </c>
    </row>
    <row r="198" spans="2:17" x14ac:dyDescent="0.45">
      <c r="B198" s="27" t="str">
        <f>IFERROR(VLOOKUP(A198,القائمة!$A$3:$F$112,2,FALSE),"")</f>
        <v/>
      </c>
      <c r="C198" s="27" t="str">
        <f>IFERROR(VLOOKUP(A198,القائمة!$A$3:$F$112,3,FALSE),"")</f>
        <v/>
      </c>
      <c r="D198" s="36" t="str">
        <f>IFERROR(VLOOKUP(A198,القائمة!$A$3:$F$112,4,FALSE),"")</f>
        <v/>
      </c>
      <c r="E198" s="36" t="str">
        <f>IFERROR(VLOOKUP(A198,القائمة!$A$3:$F$112,5,FALSE),"")</f>
        <v/>
      </c>
      <c r="F198" s="37" t="str">
        <f>IFERROR(VLOOKUP(A198,القائمة!$A$3:$F$112,6,FALSE),"")</f>
        <v/>
      </c>
      <c r="I198" s="36"/>
      <c r="P198" s="27">
        <f t="shared" si="7"/>
        <v>0</v>
      </c>
      <c r="Q198" s="27">
        <f t="shared" si="9"/>
        <v>0</v>
      </c>
    </row>
    <row r="199" spans="2:17" x14ac:dyDescent="0.45">
      <c r="B199" s="27" t="str">
        <f>IFERROR(VLOOKUP(A199,القائمة!$A$3:$F$112,2,FALSE),"")</f>
        <v/>
      </c>
      <c r="C199" s="27" t="str">
        <f>IFERROR(VLOOKUP(A199,القائمة!$A$3:$F$112,3,FALSE),"")</f>
        <v/>
      </c>
      <c r="D199" s="36" t="str">
        <f>IFERROR(VLOOKUP(A199,القائمة!$A$3:$F$112,4,FALSE),"")</f>
        <v/>
      </c>
      <c r="E199" s="36" t="str">
        <f>IFERROR(VLOOKUP(A199,القائمة!$A$3:$F$112,5,FALSE),"")</f>
        <v/>
      </c>
      <c r="F199" s="37" t="str">
        <f>IFERROR(VLOOKUP(A199,القائمة!$A$3:$F$112,6,FALSE),"")</f>
        <v/>
      </c>
      <c r="I199" s="36"/>
      <c r="P199" s="27">
        <f t="shared" si="7"/>
        <v>0</v>
      </c>
      <c r="Q199" s="27">
        <f t="shared" si="9"/>
        <v>0</v>
      </c>
    </row>
    <row r="200" spans="2:17" x14ac:dyDescent="0.45">
      <c r="B200" s="27" t="str">
        <f>IFERROR(VLOOKUP(A200,القائمة!$A$3:$F$112,2,FALSE),"")</f>
        <v/>
      </c>
      <c r="C200" s="27" t="str">
        <f>IFERROR(VLOOKUP(A200,القائمة!$A$3:$F$112,3,FALSE),"")</f>
        <v/>
      </c>
      <c r="D200" s="36" t="str">
        <f>IFERROR(VLOOKUP(A200,القائمة!$A$3:$F$112,4,FALSE),"")</f>
        <v/>
      </c>
      <c r="E200" s="36" t="str">
        <f>IFERROR(VLOOKUP(A200,القائمة!$A$3:$F$112,5,FALSE),"")</f>
        <v/>
      </c>
      <c r="F200" s="37" t="str">
        <f>IFERROR(VLOOKUP(A200,القائمة!$A$3:$F$112,6,FALSE),"")</f>
        <v/>
      </c>
      <c r="I200" s="36"/>
      <c r="P200" s="27">
        <f t="shared" si="7"/>
        <v>0</v>
      </c>
      <c r="Q200" s="27">
        <f t="shared" si="9"/>
        <v>0</v>
      </c>
    </row>
    <row r="201" spans="2:17" x14ac:dyDescent="0.45">
      <c r="B201" s="27" t="str">
        <f>IFERROR(VLOOKUP(A201,القائمة!$A$3:$F$112,2,FALSE),"")</f>
        <v/>
      </c>
      <c r="C201" s="27" t="str">
        <f>IFERROR(VLOOKUP(A201,القائمة!$A$3:$F$112,3,FALSE),"")</f>
        <v/>
      </c>
      <c r="D201" s="36" t="str">
        <f>IFERROR(VLOOKUP(A201,القائمة!$A$3:$F$112,4,FALSE),"")</f>
        <v/>
      </c>
      <c r="E201" s="36" t="str">
        <f>IFERROR(VLOOKUP(A201,القائمة!$A$3:$F$112,5,FALSE),"")</f>
        <v/>
      </c>
      <c r="F201" s="37" t="str">
        <f>IFERROR(VLOOKUP(A201,القائمة!$A$3:$F$112,6,FALSE),"")</f>
        <v/>
      </c>
      <c r="I201" s="36"/>
      <c r="P201" s="27">
        <f t="shared" si="7"/>
        <v>0</v>
      </c>
      <c r="Q201" s="27">
        <f t="shared" si="9"/>
        <v>0</v>
      </c>
    </row>
    <row r="202" spans="2:17" x14ac:dyDescent="0.45">
      <c r="B202" s="27" t="str">
        <f>IFERROR(VLOOKUP(A202,القائمة!$A$3:$F$112,2,FALSE),"")</f>
        <v/>
      </c>
      <c r="C202" s="27" t="str">
        <f>IFERROR(VLOOKUP(A202,القائمة!$A$3:$F$112,3,FALSE),"")</f>
        <v/>
      </c>
      <c r="D202" s="36" t="str">
        <f>IFERROR(VLOOKUP(A202,القائمة!$A$3:$F$112,4,FALSE),"")</f>
        <v/>
      </c>
      <c r="E202" s="36" t="str">
        <f>IFERROR(VLOOKUP(A202,القائمة!$A$3:$F$112,5,FALSE),"")</f>
        <v/>
      </c>
      <c r="F202" s="37" t="str">
        <f>IFERROR(VLOOKUP(A202,القائمة!$A$3:$F$112,6,FALSE),"")</f>
        <v/>
      </c>
      <c r="I202" s="36"/>
      <c r="P202" s="27">
        <f t="shared" si="7"/>
        <v>0</v>
      </c>
      <c r="Q202" s="27">
        <f t="shared" si="9"/>
        <v>0</v>
      </c>
    </row>
    <row r="203" spans="2:17" x14ac:dyDescent="0.45">
      <c r="B203" s="27" t="str">
        <f>IFERROR(VLOOKUP(A203,القائمة!$A$3:$F$112,2,FALSE),"")</f>
        <v/>
      </c>
      <c r="C203" s="27" t="str">
        <f>IFERROR(VLOOKUP(A203,القائمة!$A$3:$F$112,3,FALSE),"")</f>
        <v/>
      </c>
      <c r="D203" s="36" t="str">
        <f>IFERROR(VLOOKUP(A203,القائمة!$A$3:$F$112,4,FALSE),"")</f>
        <v/>
      </c>
      <c r="E203" s="36" t="str">
        <f>IFERROR(VLOOKUP(A203,القائمة!$A$3:$F$112,5,FALSE),"")</f>
        <v/>
      </c>
      <c r="F203" s="37" t="str">
        <f>IFERROR(VLOOKUP(A203,القائمة!$A$3:$F$112,6,FALSE),"")</f>
        <v/>
      </c>
      <c r="I203" s="36"/>
      <c r="P203" s="27">
        <f t="shared" si="7"/>
        <v>0</v>
      </c>
      <c r="Q203" s="27">
        <f t="shared" si="9"/>
        <v>0</v>
      </c>
    </row>
    <row r="204" spans="2:17" x14ac:dyDescent="0.45">
      <c r="B204" s="27" t="str">
        <f>IFERROR(VLOOKUP(A204,القائمة!$A$3:$F$112,2,FALSE),"")</f>
        <v/>
      </c>
      <c r="C204" s="27" t="str">
        <f>IFERROR(VLOOKUP(A204,القائمة!$A$3:$F$112,3,FALSE),"")</f>
        <v/>
      </c>
      <c r="D204" s="36" t="str">
        <f>IFERROR(VLOOKUP(A204,القائمة!$A$3:$F$112,4,FALSE),"")</f>
        <v/>
      </c>
      <c r="E204" s="36" t="str">
        <f>IFERROR(VLOOKUP(A204,القائمة!$A$3:$F$112,5,FALSE),"")</f>
        <v/>
      </c>
      <c r="F204" s="37" t="str">
        <f>IFERROR(VLOOKUP(A204,القائمة!$A$3:$F$112,6,FALSE),"")</f>
        <v/>
      </c>
      <c r="I204" s="36"/>
      <c r="P204" s="27">
        <f t="shared" si="7"/>
        <v>0</v>
      </c>
      <c r="Q204" s="27">
        <f t="shared" si="9"/>
        <v>0</v>
      </c>
    </row>
    <row r="205" spans="2:17" x14ac:dyDescent="0.45">
      <c r="B205" s="27" t="str">
        <f>IFERROR(VLOOKUP(A205,القائمة!$A$3:$F$112,2,FALSE),"")</f>
        <v/>
      </c>
      <c r="C205" s="27" t="str">
        <f>IFERROR(VLOOKUP(A205,القائمة!$A$3:$F$112,3,FALSE),"")</f>
        <v/>
      </c>
      <c r="D205" s="36" t="str">
        <f>IFERROR(VLOOKUP(A205,القائمة!$A$3:$F$112,4,FALSE),"")</f>
        <v/>
      </c>
      <c r="E205" s="36" t="str">
        <f>IFERROR(VLOOKUP(A205,القائمة!$A$3:$F$112,5,FALSE),"")</f>
        <v/>
      </c>
      <c r="F205" s="37" t="str">
        <f>IFERROR(VLOOKUP(A205,القائمة!$A$3:$F$112,6,FALSE),"")</f>
        <v/>
      </c>
      <c r="I205" s="36"/>
      <c r="P205" s="27">
        <f t="shared" si="7"/>
        <v>0</v>
      </c>
      <c r="Q205" s="27">
        <f t="shared" si="9"/>
        <v>0</v>
      </c>
    </row>
    <row r="206" spans="2:17" x14ac:dyDescent="0.45">
      <c r="B206" s="27" t="str">
        <f>IFERROR(VLOOKUP(A206,القائمة!$A$3:$F$112,2,FALSE),"")</f>
        <v/>
      </c>
      <c r="C206" s="27" t="str">
        <f>IFERROR(VLOOKUP(A206,القائمة!$A$3:$F$112,3,FALSE),"")</f>
        <v/>
      </c>
      <c r="D206" s="36" t="str">
        <f>IFERROR(VLOOKUP(A206,القائمة!$A$3:$F$112,4,FALSE),"")</f>
        <v/>
      </c>
      <c r="E206" s="36" t="str">
        <f>IFERROR(VLOOKUP(A206,القائمة!$A$3:$F$112,5,FALSE),"")</f>
        <v/>
      </c>
      <c r="F206" s="37" t="str">
        <f>IFERROR(VLOOKUP(A206,القائمة!$A$3:$F$112,6,FALSE),"")</f>
        <v/>
      </c>
      <c r="I206" s="36"/>
      <c r="P206" s="27">
        <f t="shared" si="7"/>
        <v>0</v>
      </c>
      <c r="Q206" s="27">
        <f t="shared" si="9"/>
        <v>0</v>
      </c>
    </row>
    <row r="207" spans="2:17" x14ac:dyDescent="0.45">
      <c r="B207" s="27" t="str">
        <f>IFERROR(VLOOKUP(A207,القائمة!$A$3:$F$112,2,FALSE),"")</f>
        <v/>
      </c>
      <c r="C207" s="27" t="str">
        <f>IFERROR(VLOOKUP(A207,القائمة!$A$3:$F$112,3,FALSE),"")</f>
        <v/>
      </c>
      <c r="D207" s="36" t="str">
        <f>IFERROR(VLOOKUP(A207,القائمة!$A$3:$F$112,4,FALSE),"")</f>
        <v/>
      </c>
      <c r="E207" s="36" t="str">
        <f>IFERROR(VLOOKUP(A207,القائمة!$A$3:$F$112,5,FALSE),"")</f>
        <v/>
      </c>
      <c r="F207" s="37" t="str">
        <f>IFERROR(VLOOKUP(A207,القائمة!$A$3:$F$112,6,FALSE),"")</f>
        <v/>
      </c>
      <c r="I207" s="36"/>
      <c r="P207" s="27">
        <f t="shared" si="7"/>
        <v>0</v>
      </c>
      <c r="Q207" s="27">
        <f t="shared" si="9"/>
        <v>0</v>
      </c>
    </row>
    <row r="208" spans="2:17" x14ac:dyDescent="0.45">
      <c r="B208" s="27" t="str">
        <f>IFERROR(VLOOKUP(A208,القائمة!$A$3:$F$112,2,FALSE),"")</f>
        <v/>
      </c>
      <c r="C208" s="27" t="str">
        <f>IFERROR(VLOOKUP(A208,القائمة!$A$3:$F$112,3,FALSE),"")</f>
        <v/>
      </c>
      <c r="D208" s="36" t="str">
        <f>IFERROR(VLOOKUP(A208,القائمة!$A$3:$F$112,4,FALSE),"")</f>
        <v/>
      </c>
      <c r="E208" s="36" t="str">
        <f>IFERROR(VLOOKUP(A208,القائمة!$A$3:$F$112,5,FALSE),"")</f>
        <v/>
      </c>
      <c r="F208" s="37" t="str">
        <f>IFERROR(VLOOKUP(A208,القائمة!$A$3:$F$112,6,FALSE),"")</f>
        <v/>
      </c>
      <c r="I208" s="36"/>
      <c r="P208" s="27">
        <f t="shared" si="7"/>
        <v>0</v>
      </c>
      <c r="Q208" s="27">
        <f t="shared" si="9"/>
        <v>0</v>
      </c>
    </row>
    <row r="209" spans="2:17" x14ac:dyDescent="0.45">
      <c r="B209" s="27" t="str">
        <f>IFERROR(VLOOKUP(A209,القائمة!$A$3:$F$112,2,FALSE),"")</f>
        <v/>
      </c>
      <c r="C209" s="27" t="str">
        <f>IFERROR(VLOOKUP(A209,القائمة!$A$3:$F$112,3,FALSE),"")</f>
        <v/>
      </c>
      <c r="D209" s="36" t="str">
        <f>IFERROR(VLOOKUP(A209,القائمة!$A$3:$F$112,4,FALSE),"")</f>
        <v/>
      </c>
      <c r="E209" s="36" t="str">
        <f>IFERROR(VLOOKUP(A209,القائمة!$A$3:$F$112,5,FALSE),"")</f>
        <v/>
      </c>
      <c r="F209" s="37" t="str">
        <f>IFERROR(VLOOKUP(A209,القائمة!$A$3:$F$112,6,FALSE),"")</f>
        <v/>
      </c>
      <c r="I209" s="36"/>
      <c r="P209" s="27">
        <f t="shared" si="7"/>
        <v>0</v>
      </c>
      <c r="Q209" s="27">
        <f t="shared" si="9"/>
        <v>0</v>
      </c>
    </row>
    <row r="210" spans="2:17" x14ac:dyDescent="0.45">
      <c r="B210" s="27" t="str">
        <f>IFERROR(VLOOKUP(A210,القائمة!$A$3:$F$112,2,FALSE),"")</f>
        <v/>
      </c>
      <c r="C210" s="27" t="str">
        <f>IFERROR(VLOOKUP(A210,القائمة!$A$3:$F$112,3,FALSE),"")</f>
        <v/>
      </c>
      <c r="D210" s="36" t="str">
        <f>IFERROR(VLOOKUP(A210,القائمة!$A$3:$F$112,4,FALSE),"")</f>
        <v/>
      </c>
      <c r="E210" s="36" t="str">
        <f>IFERROR(VLOOKUP(A210,القائمة!$A$3:$F$112,5,FALSE),"")</f>
        <v/>
      </c>
      <c r="F210" s="37" t="str">
        <f>IFERROR(VLOOKUP(A210,القائمة!$A$3:$F$112,6,FALSE),"")</f>
        <v/>
      </c>
      <c r="I210" s="36"/>
      <c r="P210" s="27">
        <f t="shared" si="7"/>
        <v>0</v>
      </c>
      <c r="Q210" s="27">
        <f t="shared" si="9"/>
        <v>0</v>
      </c>
    </row>
    <row r="211" spans="2:17" x14ac:dyDescent="0.45">
      <c r="B211" s="27" t="str">
        <f>IFERROR(VLOOKUP(A211,القائمة!$A$3:$F$112,2,FALSE),"")</f>
        <v/>
      </c>
      <c r="C211" s="27" t="str">
        <f>IFERROR(VLOOKUP(A211,القائمة!$A$3:$F$112,3,FALSE),"")</f>
        <v/>
      </c>
      <c r="D211" s="36" t="str">
        <f>IFERROR(VLOOKUP(A211,القائمة!$A$3:$F$112,4,FALSE),"")</f>
        <v/>
      </c>
      <c r="E211" s="36" t="str">
        <f>IFERROR(VLOOKUP(A211,القائمة!$A$3:$F$112,5,FALSE),"")</f>
        <v/>
      </c>
      <c r="F211" s="37" t="str">
        <f>IFERROR(VLOOKUP(A211,القائمة!$A$3:$F$112,6,FALSE),"")</f>
        <v/>
      </c>
      <c r="I211" s="36"/>
      <c r="P211" s="27">
        <f t="shared" si="7"/>
        <v>0</v>
      </c>
      <c r="Q211" s="27">
        <f t="shared" si="9"/>
        <v>0</v>
      </c>
    </row>
    <row r="212" spans="2:17" x14ac:dyDescent="0.45">
      <c r="B212" s="27" t="str">
        <f>IFERROR(VLOOKUP(A212,القائمة!$A$3:$F$112,2,FALSE),"")</f>
        <v/>
      </c>
      <c r="C212" s="27" t="str">
        <f>IFERROR(VLOOKUP(A212,القائمة!$A$3:$F$112,3,FALSE),"")</f>
        <v/>
      </c>
      <c r="D212" s="36" t="str">
        <f>IFERROR(VLOOKUP(A212,القائمة!$A$3:$F$112,4,FALSE),"")</f>
        <v/>
      </c>
      <c r="E212" s="36" t="str">
        <f>IFERROR(VLOOKUP(A212,القائمة!$A$3:$F$112,5,FALSE),"")</f>
        <v/>
      </c>
      <c r="F212" s="37" t="str">
        <f>IFERROR(VLOOKUP(A212,القائمة!$A$3:$F$112,6,FALSE),"")</f>
        <v/>
      </c>
      <c r="I212" s="36"/>
      <c r="P212" s="27">
        <f t="shared" si="7"/>
        <v>0</v>
      </c>
      <c r="Q212" s="27">
        <f t="shared" si="9"/>
        <v>0</v>
      </c>
    </row>
    <row r="213" spans="2:17" x14ac:dyDescent="0.45">
      <c r="B213" s="27" t="str">
        <f>IFERROR(VLOOKUP(A213,القائمة!$A$3:$F$112,2,FALSE),"")</f>
        <v/>
      </c>
      <c r="C213" s="27" t="str">
        <f>IFERROR(VLOOKUP(A213,القائمة!$A$3:$F$112,3,FALSE),"")</f>
        <v/>
      </c>
      <c r="D213" s="36" t="str">
        <f>IFERROR(VLOOKUP(A213,القائمة!$A$3:$F$112,4,FALSE),"")</f>
        <v/>
      </c>
      <c r="E213" s="36" t="str">
        <f>IFERROR(VLOOKUP(A213,القائمة!$A$3:$F$112,5,FALSE),"")</f>
        <v/>
      </c>
      <c r="F213" s="37" t="str">
        <f>IFERROR(VLOOKUP(A213,القائمة!$A$3:$F$112,6,FALSE),"")</f>
        <v/>
      </c>
      <c r="I213" s="36"/>
      <c r="P213" s="27">
        <f t="shared" si="7"/>
        <v>0</v>
      </c>
      <c r="Q213" s="27">
        <f t="shared" si="9"/>
        <v>0</v>
      </c>
    </row>
    <row r="214" spans="2:17" x14ac:dyDescent="0.45">
      <c r="B214" s="27" t="str">
        <f>IFERROR(VLOOKUP(A214,القائمة!$A$3:$F$112,2,FALSE),"")</f>
        <v/>
      </c>
      <c r="C214" s="27" t="str">
        <f>IFERROR(VLOOKUP(A214,القائمة!$A$3:$F$112,3,FALSE),"")</f>
        <v/>
      </c>
      <c r="D214" s="36" t="str">
        <f>IFERROR(VLOOKUP(A214,القائمة!$A$3:$F$112,4,FALSE),"")</f>
        <v/>
      </c>
      <c r="E214" s="36" t="str">
        <f>IFERROR(VLOOKUP(A214,القائمة!$A$3:$F$112,5,FALSE),"")</f>
        <v/>
      </c>
      <c r="F214" s="37" t="str">
        <f>IFERROR(VLOOKUP(A214,القائمة!$A$3:$F$112,6,FALSE),"")</f>
        <v/>
      </c>
      <c r="I214" s="36"/>
      <c r="P214" s="27">
        <f t="shared" si="7"/>
        <v>0</v>
      </c>
      <c r="Q214" s="27">
        <f t="shared" si="9"/>
        <v>0</v>
      </c>
    </row>
    <row r="215" spans="2:17" x14ac:dyDescent="0.45">
      <c r="B215" s="27" t="str">
        <f>IFERROR(VLOOKUP(A215,القائمة!$A$3:$F$112,2,FALSE),"")</f>
        <v/>
      </c>
      <c r="C215" s="27" t="str">
        <f>IFERROR(VLOOKUP(A215,القائمة!$A$3:$F$112,3,FALSE),"")</f>
        <v/>
      </c>
      <c r="D215" s="36" t="str">
        <f>IFERROR(VLOOKUP(A215,القائمة!$A$3:$F$112,4,FALSE),"")</f>
        <v/>
      </c>
      <c r="E215" s="36" t="str">
        <f>IFERROR(VLOOKUP(A215,القائمة!$A$3:$F$112,5,FALSE),"")</f>
        <v/>
      </c>
      <c r="F215" s="37" t="str">
        <f>IFERROR(VLOOKUP(A215,القائمة!$A$3:$F$112,6,FALSE),"")</f>
        <v/>
      </c>
      <c r="I215" s="36"/>
      <c r="P215" s="27">
        <f t="shared" si="7"/>
        <v>0</v>
      </c>
      <c r="Q215" s="27">
        <f t="shared" si="9"/>
        <v>0</v>
      </c>
    </row>
    <row r="216" spans="2:17" x14ac:dyDescent="0.45">
      <c r="B216" s="27" t="str">
        <f>IFERROR(VLOOKUP(A216,القائمة!$A$3:$F$112,2,FALSE),"")</f>
        <v/>
      </c>
      <c r="C216" s="27" t="str">
        <f>IFERROR(VLOOKUP(A216,القائمة!$A$3:$F$112,3,FALSE),"")</f>
        <v/>
      </c>
      <c r="D216" s="36" t="str">
        <f>IFERROR(VLOOKUP(A216,القائمة!$A$3:$F$112,4,FALSE),"")</f>
        <v/>
      </c>
      <c r="E216" s="36" t="str">
        <f>IFERROR(VLOOKUP(A216,القائمة!$A$3:$F$112,5,FALSE),"")</f>
        <v/>
      </c>
      <c r="F216" s="37" t="str">
        <f>IFERROR(VLOOKUP(A216,القائمة!$A$3:$F$112,6,FALSE),"")</f>
        <v/>
      </c>
      <c r="I216" s="36"/>
      <c r="P216" s="27">
        <f t="shared" si="7"/>
        <v>0</v>
      </c>
      <c r="Q216" s="27">
        <f t="shared" si="9"/>
        <v>0</v>
      </c>
    </row>
    <row r="217" spans="2:17" x14ac:dyDescent="0.45">
      <c r="B217" s="27" t="str">
        <f>IFERROR(VLOOKUP(A217,القائمة!$A$3:$F$112,2,FALSE),"")</f>
        <v/>
      </c>
      <c r="C217" s="27" t="str">
        <f>IFERROR(VLOOKUP(A217,القائمة!$A$3:$F$112,3,FALSE),"")</f>
        <v/>
      </c>
      <c r="D217" s="36" t="str">
        <f>IFERROR(VLOOKUP(A217,القائمة!$A$3:$F$112,4,FALSE),"")</f>
        <v/>
      </c>
      <c r="E217" s="36" t="str">
        <f>IFERROR(VLOOKUP(A217,القائمة!$A$3:$F$112,5,FALSE),"")</f>
        <v/>
      </c>
      <c r="F217" s="37" t="str">
        <f>IFERROR(VLOOKUP(A217,القائمة!$A$3:$F$112,6,FALSE),"")</f>
        <v/>
      </c>
      <c r="I217" s="36"/>
      <c r="P217" s="27">
        <f t="shared" si="7"/>
        <v>0</v>
      </c>
      <c r="Q217" s="27">
        <f t="shared" si="9"/>
        <v>0</v>
      </c>
    </row>
    <row r="218" spans="2:17" x14ac:dyDescent="0.45">
      <c r="B218" s="27" t="str">
        <f>IFERROR(VLOOKUP(A218,القائمة!$A$3:$F$112,2,FALSE),"")</f>
        <v/>
      </c>
      <c r="C218" s="27" t="str">
        <f>IFERROR(VLOOKUP(A218,القائمة!$A$3:$F$112,3,FALSE),"")</f>
        <v/>
      </c>
      <c r="D218" s="36" t="str">
        <f>IFERROR(VLOOKUP(A218,القائمة!$A$3:$F$112,4,FALSE),"")</f>
        <v/>
      </c>
      <c r="E218" s="36" t="str">
        <f>IFERROR(VLOOKUP(A218,القائمة!$A$3:$F$112,5,FALSE),"")</f>
        <v/>
      </c>
      <c r="F218" s="37" t="str">
        <f>IFERROR(VLOOKUP(A218,القائمة!$A$3:$F$112,6,FALSE),"")</f>
        <v/>
      </c>
      <c r="I218" s="36"/>
      <c r="P218" s="27">
        <f t="shared" si="7"/>
        <v>0</v>
      </c>
      <c r="Q218" s="27">
        <f t="shared" si="9"/>
        <v>0</v>
      </c>
    </row>
    <row r="219" spans="2:17" x14ac:dyDescent="0.45">
      <c r="B219" s="27" t="str">
        <f>IFERROR(VLOOKUP(A219,القائمة!$A$3:$F$112,2,FALSE),"")</f>
        <v/>
      </c>
      <c r="C219" s="27" t="str">
        <f>IFERROR(VLOOKUP(A219,القائمة!$A$3:$F$112,3,FALSE),"")</f>
        <v/>
      </c>
      <c r="D219" s="36" t="str">
        <f>IFERROR(VLOOKUP(A219,القائمة!$A$3:$F$112,4,FALSE),"")</f>
        <v/>
      </c>
      <c r="E219" s="36" t="str">
        <f>IFERROR(VLOOKUP(A219,القائمة!$A$3:$F$112,5,FALSE),"")</f>
        <v/>
      </c>
      <c r="F219" s="37" t="str">
        <f>IFERROR(VLOOKUP(A219,القائمة!$A$3:$F$112,6,FALSE),"")</f>
        <v/>
      </c>
      <c r="I219" s="36"/>
      <c r="P219" s="27">
        <f t="shared" si="7"/>
        <v>0</v>
      </c>
      <c r="Q219" s="27">
        <f t="shared" si="9"/>
        <v>0</v>
      </c>
    </row>
    <row r="220" spans="2:17" x14ac:dyDescent="0.45">
      <c r="B220" s="27" t="str">
        <f>IFERROR(VLOOKUP(A220,القائمة!$A$3:$F$112,2,FALSE),"")</f>
        <v/>
      </c>
      <c r="C220" s="27" t="str">
        <f>IFERROR(VLOOKUP(A220,القائمة!$A$3:$F$112,3,FALSE),"")</f>
        <v/>
      </c>
      <c r="D220" s="36" t="str">
        <f>IFERROR(VLOOKUP(A220,القائمة!$A$3:$F$112,4,FALSE),"")</f>
        <v/>
      </c>
      <c r="E220" s="36" t="str">
        <f>IFERROR(VLOOKUP(A220,القائمة!$A$3:$F$112,5,FALSE),"")</f>
        <v/>
      </c>
      <c r="F220" s="37" t="str">
        <f>IFERROR(VLOOKUP(A220,القائمة!$A$3:$F$112,6,FALSE),"")</f>
        <v/>
      </c>
      <c r="I220" s="36"/>
      <c r="P220" s="27">
        <f t="shared" si="7"/>
        <v>0</v>
      </c>
      <c r="Q220" s="27">
        <f t="shared" si="9"/>
        <v>0</v>
      </c>
    </row>
    <row r="221" spans="2:17" x14ac:dyDescent="0.45">
      <c r="B221" s="27" t="str">
        <f>IFERROR(VLOOKUP(A221,القائمة!$A$3:$F$112,2,FALSE),"")</f>
        <v/>
      </c>
      <c r="C221" s="27" t="str">
        <f>IFERROR(VLOOKUP(A221,القائمة!$A$3:$F$112,3,FALSE),"")</f>
        <v/>
      </c>
      <c r="D221" s="36" t="str">
        <f>IFERROR(VLOOKUP(A221,القائمة!$A$3:$F$112,4,FALSE),"")</f>
        <v/>
      </c>
      <c r="E221" s="36" t="str">
        <f>IFERROR(VLOOKUP(A221,القائمة!$A$3:$F$112,5,FALSE),"")</f>
        <v/>
      </c>
      <c r="F221" s="37" t="str">
        <f>IFERROR(VLOOKUP(A221,القائمة!$A$3:$F$112,6,FALSE),"")</f>
        <v/>
      </c>
      <c r="I221" s="36"/>
      <c r="P221" s="27">
        <f t="shared" si="7"/>
        <v>0</v>
      </c>
      <c r="Q221" s="27">
        <f t="shared" si="9"/>
        <v>0</v>
      </c>
    </row>
    <row r="222" spans="2:17" x14ac:dyDescent="0.45">
      <c r="B222" s="27" t="str">
        <f>IFERROR(VLOOKUP(A222,القائمة!$A$3:$F$112,2,FALSE),"")</f>
        <v/>
      </c>
      <c r="C222" s="27" t="str">
        <f>IFERROR(VLOOKUP(A222,القائمة!$A$3:$F$112,3,FALSE),"")</f>
        <v/>
      </c>
      <c r="D222" s="36" t="str">
        <f>IFERROR(VLOOKUP(A222,القائمة!$A$3:$F$112,4,FALSE),"")</f>
        <v/>
      </c>
      <c r="E222" s="36" t="str">
        <f>IFERROR(VLOOKUP(A222,القائمة!$A$3:$F$112,5,FALSE),"")</f>
        <v/>
      </c>
      <c r="F222" s="37" t="str">
        <f>IFERROR(VLOOKUP(A222,القائمة!$A$3:$F$112,6,FALSE),"")</f>
        <v/>
      </c>
      <c r="I222" s="36"/>
      <c r="P222" s="27">
        <f t="shared" si="7"/>
        <v>0</v>
      </c>
      <c r="Q222" s="27">
        <f t="shared" si="9"/>
        <v>0</v>
      </c>
    </row>
    <row r="223" spans="2:17" x14ac:dyDescent="0.45">
      <c r="B223" s="27" t="str">
        <f>IFERROR(VLOOKUP(A223,القائمة!$A$3:$F$112,2,FALSE),"")</f>
        <v/>
      </c>
      <c r="C223" s="27" t="str">
        <f>IFERROR(VLOOKUP(A223,القائمة!$A$3:$F$112,3,FALSE),"")</f>
        <v/>
      </c>
      <c r="D223" s="36" t="str">
        <f>IFERROR(VLOOKUP(A223,القائمة!$A$3:$F$112,4,FALSE),"")</f>
        <v/>
      </c>
      <c r="E223" s="36" t="str">
        <f>IFERROR(VLOOKUP(A223,القائمة!$A$3:$F$112,5,FALSE),"")</f>
        <v/>
      </c>
      <c r="F223" s="37" t="str">
        <f>IFERROR(VLOOKUP(A223,القائمة!$A$3:$F$112,6,FALSE),"")</f>
        <v/>
      </c>
      <c r="I223" s="36"/>
      <c r="P223" s="27">
        <f t="shared" si="7"/>
        <v>0</v>
      </c>
      <c r="Q223" s="27">
        <f t="shared" si="9"/>
        <v>0</v>
      </c>
    </row>
    <row r="224" spans="2:17" x14ac:dyDescent="0.45">
      <c r="B224" s="27" t="str">
        <f>IFERROR(VLOOKUP(A224,القائمة!$A$3:$F$112,2,FALSE),"")</f>
        <v/>
      </c>
      <c r="C224" s="27" t="str">
        <f>IFERROR(VLOOKUP(A224,القائمة!$A$3:$F$112,3,FALSE),"")</f>
        <v/>
      </c>
      <c r="D224" s="36" t="str">
        <f>IFERROR(VLOOKUP(A224,القائمة!$A$3:$F$112,4,FALSE),"")</f>
        <v/>
      </c>
      <c r="E224" s="36" t="str">
        <f>IFERROR(VLOOKUP(A224,القائمة!$A$3:$F$112,5,FALSE),"")</f>
        <v/>
      </c>
      <c r="F224" s="37" t="str">
        <f>IFERROR(VLOOKUP(A224,القائمة!$A$3:$F$112,6,FALSE),"")</f>
        <v/>
      </c>
      <c r="I224" s="36"/>
      <c r="P224" s="27">
        <f t="shared" si="7"/>
        <v>0</v>
      </c>
      <c r="Q224" s="27">
        <f t="shared" si="9"/>
        <v>0</v>
      </c>
    </row>
    <row r="225" spans="2:17" x14ac:dyDescent="0.45">
      <c r="B225" s="27" t="str">
        <f>IFERROR(VLOOKUP(A225,القائمة!$A$3:$F$112,2,FALSE),"")</f>
        <v/>
      </c>
      <c r="C225" s="27" t="str">
        <f>IFERROR(VLOOKUP(A225,القائمة!$A$3:$F$112,3,FALSE),"")</f>
        <v/>
      </c>
      <c r="D225" s="36" t="str">
        <f>IFERROR(VLOOKUP(A225,القائمة!$A$3:$F$112,4,FALSE),"")</f>
        <v/>
      </c>
      <c r="E225" s="36" t="str">
        <f>IFERROR(VLOOKUP(A225,القائمة!$A$3:$F$112,5,FALSE),"")</f>
        <v/>
      </c>
      <c r="F225" s="37" t="str">
        <f>IFERROR(VLOOKUP(A225,القائمة!$A$3:$F$112,6,FALSE),"")</f>
        <v/>
      </c>
      <c r="I225" s="36"/>
      <c r="P225" s="27">
        <f t="shared" si="7"/>
        <v>0</v>
      </c>
      <c r="Q225" s="27">
        <f t="shared" si="9"/>
        <v>0</v>
      </c>
    </row>
    <row r="226" spans="2:17" x14ac:dyDescent="0.45">
      <c r="B226" s="27" t="str">
        <f>IFERROR(VLOOKUP(A226,القائمة!$A$3:$F$112,2,FALSE),"")</f>
        <v/>
      </c>
      <c r="C226" s="27" t="str">
        <f>IFERROR(VLOOKUP(A226,القائمة!$A$3:$F$112,3,FALSE),"")</f>
        <v/>
      </c>
      <c r="D226" s="36" t="str">
        <f>IFERROR(VLOOKUP(A226,القائمة!$A$3:$F$112,4,FALSE),"")</f>
        <v/>
      </c>
      <c r="E226" s="36" t="str">
        <f>IFERROR(VLOOKUP(A226,القائمة!$A$3:$F$112,5,FALSE),"")</f>
        <v/>
      </c>
      <c r="F226" s="37" t="str">
        <f>IFERROR(VLOOKUP(A226,القائمة!$A$3:$F$112,6,FALSE),"")</f>
        <v/>
      </c>
      <c r="I226" s="36"/>
      <c r="P226" s="27">
        <f t="shared" si="7"/>
        <v>0</v>
      </c>
      <c r="Q226" s="27">
        <f t="shared" si="9"/>
        <v>0</v>
      </c>
    </row>
    <row r="227" spans="2:17" x14ac:dyDescent="0.45">
      <c r="B227" s="27" t="str">
        <f>IFERROR(VLOOKUP(A227,القائمة!$A$3:$F$112,2,FALSE),"")</f>
        <v/>
      </c>
      <c r="C227" s="27" t="str">
        <f>IFERROR(VLOOKUP(A227,القائمة!$A$3:$F$112,3,FALSE),"")</f>
        <v/>
      </c>
      <c r="D227" s="36" t="str">
        <f>IFERROR(VLOOKUP(A227,القائمة!$A$3:$F$112,4,FALSE),"")</f>
        <v/>
      </c>
      <c r="E227" s="36" t="str">
        <f>IFERROR(VLOOKUP(A227,القائمة!$A$3:$F$112,5,FALSE),"")</f>
        <v/>
      </c>
      <c r="F227" s="37" t="str">
        <f>IFERROR(VLOOKUP(A227,القائمة!$A$3:$F$112,6,FALSE),"")</f>
        <v/>
      </c>
      <c r="I227" s="36"/>
      <c r="P227" s="27">
        <f t="shared" si="7"/>
        <v>0</v>
      </c>
      <c r="Q227" s="27">
        <f t="shared" si="9"/>
        <v>0</v>
      </c>
    </row>
    <row r="228" spans="2:17" x14ac:dyDescent="0.45">
      <c r="B228" s="27" t="str">
        <f>IFERROR(VLOOKUP(A228,القائمة!$A$3:$F$112,2,FALSE),"")</f>
        <v/>
      </c>
      <c r="C228" s="27" t="str">
        <f>IFERROR(VLOOKUP(A228,القائمة!$A$3:$F$112,3,FALSE),"")</f>
        <v/>
      </c>
      <c r="D228" s="36" t="str">
        <f>IFERROR(VLOOKUP(A228,القائمة!$A$3:$F$112,4,FALSE),"")</f>
        <v/>
      </c>
      <c r="E228" s="36" t="str">
        <f>IFERROR(VLOOKUP(A228,القائمة!$A$3:$F$112,5,FALSE),"")</f>
        <v/>
      </c>
      <c r="F228" s="37" t="str">
        <f>IFERROR(VLOOKUP(A228,القائمة!$A$3:$F$112,6,FALSE),"")</f>
        <v/>
      </c>
      <c r="I228" s="36"/>
      <c r="P228" s="27">
        <f t="shared" si="7"/>
        <v>0</v>
      </c>
      <c r="Q228" s="27">
        <f t="shared" si="9"/>
        <v>0</v>
      </c>
    </row>
    <row r="229" spans="2:17" x14ac:dyDescent="0.45">
      <c r="B229" s="27" t="str">
        <f>IFERROR(VLOOKUP(A229,القائمة!$A$3:$F$112,2,FALSE),"")</f>
        <v/>
      </c>
      <c r="C229" s="27" t="str">
        <f>IFERROR(VLOOKUP(A229,القائمة!$A$3:$F$112,3,FALSE),"")</f>
        <v/>
      </c>
      <c r="D229" s="36" t="str">
        <f>IFERROR(VLOOKUP(A229,القائمة!$A$3:$F$112,4,FALSE),"")</f>
        <v/>
      </c>
      <c r="E229" s="36" t="str">
        <f>IFERROR(VLOOKUP(A229,القائمة!$A$3:$F$112,5,FALSE),"")</f>
        <v/>
      </c>
      <c r="F229" s="37" t="str">
        <f>IFERROR(VLOOKUP(A229,القائمة!$A$3:$F$112,6,FALSE),"")</f>
        <v/>
      </c>
      <c r="I229" s="36"/>
      <c r="P229" s="27">
        <f t="shared" si="7"/>
        <v>0</v>
      </c>
      <c r="Q229" s="27">
        <f t="shared" si="9"/>
        <v>0</v>
      </c>
    </row>
    <row r="230" spans="2:17" x14ac:dyDescent="0.45">
      <c r="B230" s="27" t="str">
        <f>IFERROR(VLOOKUP(A230,القائمة!$A$3:$F$112,2,FALSE),"")</f>
        <v/>
      </c>
      <c r="C230" s="27" t="str">
        <f>IFERROR(VLOOKUP(A230,القائمة!$A$3:$F$112,3,FALSE),"")</f>
        <v/>
      </c>
      <c r="D230" s="36" t="str">
        <f>IFERROR(VLOOKUP(A230,القائمة!$A$3:$F$112,4,FALSE),"")</f>
        <v/>
      </c>
      <c r="E230" s="36" t="str">
        <f>IFERROR(VLOOKUP(A230,القائمة!$A$3:$F$112,5,FALSE),"")</f>
        <v/>
      </c>
      <c r="F230" s="37" t="str">
        <f>IFERROR(VLOOKUP(A230,القائمة!$A$3:$F$112,6,FALSE),"")</f>
        <v/>
      </c>
      <c r="I230" s="36"/>
      <c r="P230" s="27">
        <f t="shared" si="7"/>
        <v>0</v>
      </c>
      <c r="Q230" s="27">
        <f t="shared" si="9"/>
        <v>0</v>
      </c>
    </row>
    <row r="231" spans="2:17" x14ac:dyDescent="0.45">
      <c r="B231" s="27" t="str">
        <f>IFERROR(VLOOKUP(A231,القائمة!$A$3:$F$112,2,FALSE),"")</f>
        <v/>
      </c>
      <c r="C231" s="27" t="str">
        <f>IFERROR(VLOOKUP(A231,القائمة!$A$3:$F$112,3,FALSE),"")</f>
        <v/>
      </c>
      <c r="D231" s="36" t="str">
        <f>IFERROR(VLOOKUP(A231,القائمة!$A$3:$F$112,4,FALSE),"")</f>
        <v/>
      </c>
      <c r="E231" s="36" t="str">
        <f>IFERROR(VLOOKUP(A231,القائمة!$A$3:$F$112,5,FALSE),"")</f>
        <v/>
      </c>
      <c r="F231" s="37" t="str">
        <f>IFERROR(VLOOKUP(A231,القائمة!$A$3:$F$112,6,FALSE),"")</f>
        <v/>
      </c>
      <c r="I231" s="36"/>
      <c r="P231" s="27">
        <f t="shared" si="7"/>
        <v>0</v>
      </c>
      <c r="Q231" s="27">
        <f t="shared" si="9"/>
        <v>0</v>
      </c>
    </row>
    <row r="232" spans="2:17" x14ac:dyDescent="0.45">
      <c r="B232" s="27" t="str">
        <f>IFERROR(VLOOKUP(A232,القائمة!$A$3:$F$112,2,FALSE),"")</f>
        <v/>
      </c>
      <c r="C232" s="27" t="str">
        <f>IFERROR(VLOOKUP(A232,القائمة!$A$3:$F$112,3,FALSE),"")</f>
        <v/>
      </c>
      <c r="D232" s="36" t="str">
        <f>IFERROR(VLOOKUP(A232,القائمة!$A$3:$F$112,4,FALSE),"")</f>
        <v/>
      </c>
      <c r="E232" s="36" t="str">
        <f>IFERROR(VLOOKUP(A232,القائمة!$A$3:$F$112,5,FALSE),"")</f>
        <v/>
      </c>
      <c r="F232" s="37" t="str">
        <f>IFERROR(VLOOKUP(A232,القائمة!$A$3:$F$112,6,FALSE),"")</f>
        <v/>
      </c>
      <c r="I232" s="36"/>
      <c r="P232" s="27">
        <f t="shared" si="7"/>
        <v>0</v>
      </c>
      <c r="Q232" s="27">
        <f t="shared" si="9"/>
        <v>0</v>
      </c>
    </row>
    <row r="233" spans="2:17" x14ac:dyDescent="0.45">
      <c r="B233" s="27" t="str">
        <f>IFERROR(VLOOKUP(A233,القائمة!$A$3:$F$112,2,FALSE),"")</f>
        <v/>
      </c>
      <c r="C233" s="27" t="str">
        <f>IFERROR(VLOOKUP(A233,القائمة!$A$3:$F$112,3,FALSE),"")</f>
        <v/>
      </c>
      <c r="D233" s="36" t="str">
        <f>IFERROR(VLOOKUP(A233,القائمة!$A$3:$F$112,4,FALSE),"")</f>
        <v/>
      </c>
      <c r="E233" s="36" t="str">
        <f>IFERROR(VLOOKUP(A233,القائمة!$A$3:$F$112,5,FALSE),"")</f>
        <v/>
      </c>
      <c r="F233" s="37" t="str">
        <f>IFERROR(VLOOKUP(A233,القائمة!$A$3:$F$112,6,FALSE),"")</f>
        <v/>
      </c>
      <c r="I233" s="36"/>
      <c r="P233" s="27">
        <f t="shared" si="7"/>
        <v>0</v>
      </c>
      <c r="Q233" s="27">
        <f t="shared" si="9"/>
        <v>0</v>
      </c>
    </row>
    <row r="234" spans="2:17" x14ac:dyDescent="0.45">
      <c r="B234" s="27" t="str">
        <f>IFERROR(VLOOKUP(A234,القائمة!$A$3:$F$112,2,FALSE),"")</f>
        <v/>
      </c>
      <c r="C234" s="27" t="str">
        <f>IFERROR(VLOOKUP(A234,القائمة!$A$3:$F$112,3,FALSE),"")</f>
        <v/>
      </c>
      <c r="D234" s="36" t="str">
        <f>IFERROR(VLOOKUP(A234,القائمة!$A$3:$F$112,4,FALSE),"")</f>
        <v/>
      </c>
      <c r="E234" s="36" t="str">
        <f>IFERROR(VLOOKUP(A234,القائمة!$A$3:$F$112,5,FALSE),"")</f>
        <v/>
      </c>
      <c r="F234" s="37" t="str">
        <f>IFERROR(VLOOKUP(A234,القائمة!$A$3:$F$112,6,FALSE),"")</f>
        <v/>
      </c>
      <c r="I234" s="36"/>
      <c r="P234" s="27">
        <f t="shared" si="7"/>
        <v>0</v>
      </c>
      <c r="Q234" s="27">
        <f t="shared" si="9"/>
        <v>0</v>
      </c>
    </row>
    <row r="235" spans="2:17" x14ac:dyDescent="0.45">
      <c r="B235" s="27" t="str">
        <f>IFERROR(VLOOKUP(A235,القائمة!$A$3:$F$112,2,FALSE),"")</f>
        <v/>
      </c>
      <c r="C235" s="27" t="str">
        <f>IFERROR(VLOOKUP(A235,القائمة!$A$3:$F$112,3,FALSE),"")</f>
        <v/>
      </c>
      <c r="D235" s="36" t="str">
        <f>IFERROR(VLOOKUP(A235,القائمة!$A$3:$F$112,4,FALSE),"")</f>
        <v/>
      </c>
      <c r="E235" s="36" t="str">
        <f>IFERROR(VLOOKUP(A235,القائمة!$A$3:$F$112,5,FALSE),"")</f>
        <v/>
      </c>
      <c r="F235" s="37" t="str">
        <f>IFERROR(VLOOKUP(A235,القائمة!$A$3:$F$112,6,FALSE),"")</f>
        <v/>
      </c>
      <c r="I235" s="36"/>
      <c r="P235" s="27">
        <f t="shared" si="7"/>
        <v>0</v>
      </c>
      <c r="Q235" s="27">
        <f t="shared" si="9"/>
        <v>0</v>
      </c>
    </row>
    <row r="236" spans="2:17" x14ac:dyDescent="0.45">
      <c r="B236" s="27" t="str">
        <f>IFERROR(VLOOKUP(A236,القائمة!$A$3:$F$112,2,FALSE),"")</f>
        <v/>
      </c>
      <c r="C236" s="27" t="str">
        <f>IFERROR(VLOOKUP(A236,القائمة!$A$3:$F$112,3,FALSE),"")</f>
        <v/>
      </c>
      <c r="D236" s="36" t="str">
        <f>IFERROR(VLOOKUP(A236,القائمة!$A$3:$F$112,4,FALSE),"")</f>
        <v/>
      </c>
      <c r="E236" s="36" t="str">
        <f>IFERROR(VLOOKUP(A236,القائمة!$A$3:$F$112,5,FALSE),"")</f>
        <v/>
      </c>
      <c r="F236" s="37" t="str">
        <f>IFERROR(VLOOKUP(A236,القائمة!$A$3:$F$112,6,FALSE),"")</f>
        <v/>
      </c>
      <c r="I236" s="36"/>
      <c r="P236" s="27">
        <f t="shared" si="7"/>
        <v>0</v>
      </c>
      <c r="Q236" s="27">
        <f t="shared" si="9"/>
        <v>0</v>
      </c>
    </row>
    <row r="237" spans="2:17" x14ac:dyDescent="0.45">
      <c r="B237" s="27" t="str">
        <f>IFERROR(VLOOKUP(A237,القائمة!$A$3:$F$112,2,FALSE),"")</f>
        <v/>
      </c>
      <c r="C237" s="27" t="str">
        <f>IFERROR(VLOOKUP(A237,القائمة!$A$3:$F$112,3,FALSE),"")</f>
        <v/>
      </c>
      <c r="D237" s="36" t="str">
        <f>IFERROR(VLOOKUP(A237,القائمة!$A$3:$F$112,4,FALSE),"")</f>
        <v/>
      </c>
      <c r="E237" s="36" t="str">
        <f>IFERROR(VLOOKUP(A237,القائمة!$A$3:$F$112,5,FALSE),"")</f>
        <v/>
      </c>
      <c r="F237" s="37" t="str">
        <f>IFERROR(VLOOKUP(A237,القائمة!$A$3:$F$112,6,FALSE),"")</f>
        <v/>
      </c>
      <c r="I237" s="36"/>
      <c r="P237" s="27">
        <f t="shared" si="7"/>
        <v>0</v>
      </c>
      <c r="Q237" s="27">
        <f t="shared" si="9"/>
        <v>0</v>
      </c>
    </row>
    <row r="238" spans="2:17" x14ac:dyDescent="0.45">
      <c r="B238" s="27" t="str">
        <f>IFERROR(VLOOKUP(A238,القائمة!$A$3:$F$112,2,FALSE),"")</f>
        <v/>
      </c>
      <c r="C238" s="27" t="str">
        <f>IFERROR(VLOOKUP(A238,القائمة!$A$3:$F$112,3,FALSE),"")</f>
        <v/>
      </c>
      <c r="D238" s="36" t="str">
        <f>IFERROR(VLOOKUP(A238,القائمة!$A$3:$F$112,4,FALSE),"")</f>
        <v/>
      </c>
      <c r="E238" s="36" t="str">
        <f>IFERROR(VLOOKUP(A238,القائمة!$A$3:$F$112,5,FALSE),"")</f>
        <v/>
      </c>
      <c r="F238" s="37" t="str">
        <f>IFERROR(VLOOKUP(A238,القائمة!$A$3:$F$112,6,FALSE),"")</f>
        <v/>
      </c>
      <c r="I238" s="36"/>
      <c r="P238" s="27">
        <f t="shared" si="7"/>
        <v>0</v>
      </c>
      <c r="Q238" s="27">
        <f t="shared" si="9"/>
        <v>0</v>
      </c>
    </row>
    <row r="239" spans="2:17" x14ac:dyDescent="0.45">
      <c r="B239" s="27" t="str">
        <f>IFERROR(VLOOKUP(A239,القائمة!$A$3:$F$112,2,FALSE),"")</f>
        <v/>
      </c>
      <c r="C239" s="27" t="str">
        <f>IFERROR(VLOOKUP(A239,القائمة!$A$3:$F$112,3,FALSE),"")</f>
        <v/>
      </c>
      <c r="D239" s="36" t="str">
        <f>IFERROR(VLOOKUP(A239,القائمة!$A$3:$F$112,4,FALSE),"")</f>
        <v/>
      </c>
      <c r="E239" s="36" t="str">
        <f>IFERROR(VLOOKUP(A239,القائمة!$A$3:$F$112,5,FALSE),"")</f>
        <v/>
      </c>
      <c r="F239" s="37" t="str">
        <f>IFERROR(VLOOKUP(A239,القائمة!$A$3:$F$112,6,FALSE),"")</f>
        <v/>
      </c>
      <c r="I239" s="36"/>
      <c r="P239" s="27">
        <f t="shared" si="7"/>
        <v>0</v>
      </c>
      <c r="Q239" s="27">
        <f t="shared" si="9"/>
        <v>0</v>
      </c>
    </row>
    <row r="240" spans="2:17" x14ac:dyDescent="0.45">
      <c r="B240" s="27" t="str">
        <f>IFERROR(VLOOKUP(A240,القائمة!$A$3:$F$112,2,FALSE),"")</f>
        <v/>
      </c>
      <c r="C240" s="27" t="str">
        <f>IFERROR(VLOOKUP(A240,القائمة!$A$3:$F$112,3,FALSE),"")</f>
        <v/>
      </c>
      <c r="D240" s="36" t="str">
        <f>IFERROR(VLOOKUP(A240,القائمة!$A$3:$F$112,4,FALSE),"")</f>
        <v/>
      </c>
      <c r="E240" s="36" t="str">
        <f>IFERROR(VLOOKUP(A240,القائمة!$A$3:$F$112,5,FALSE),"")</f>
        <v/>
      </c>
      <c r="F240" s="37" t="str">
        <f>IFERROR(VLOOKUP(A240,القائمة!$A$3:$F$112,6,FALSE),"")</f>
        <v/>
      </c>
      <c r="I240" s="36"/>
      <c r="P240" s="27">
        <f t="shared" si="7"/>
        <v>0</v>
      </c>
      <c r="Q240" s="27">
        <f t="shared" si="9"/>
        <v>0</v>
      </c>
    </row>
    <row r="241" spans="2:17" x14ac:dyDescent="0.45">
      <c r="B241" s="27" t="str">
        <f>IFERROR(VLOOKUP(A241,القائمة!$A$3:$F$112,2,FALSE),"")</f>
        <v/>
      </c>
      <c r="C241" s="27" t="str">
        <f>IFERROR(VLOOKUP(A241,القائمة!$A$3:$F$112,3,FALSE),"")</f>
        <v/>
      </c>
      <c r="D241" s="36" t="str">
        <f>IFERROR(VLOOKUP(A241,القائمة!$A$3:$F$112,4,FALSE),"")</f>
        <v/>
      </c>
      <c r="E241" s="36" t="str">
        <f>IFERROR(VLOOKUP(A241,القائمة!$A$3:$F$112,5,FALSE),"")</f>
        <v/>
      </c>
      <c r="F241" s="37" t="str">
        <f>IFERROR(VLOOKUP(A241,القائمة!$A$3:$F$112,6,FALSE),"")</f>
        <v/>
      </c>
      <c r="I241" s="36"/>
      <c r="P241" s="27">
        <f t="shared" si="7"/>
        <v>0</v>
      </c>
      <c r="Q241" s="27">
        <f t="shared" si="9"/>
        <v>0</v>
      </c>
    </row>
    <row r="242" spans="2:17" x14ac:dyDescent="0.45">
      <c r="B242" s="27" t="str">
        <f>IFERROR(VLOOKUP(A242,القائمة!$A$3:$F$112,2,FALSE),"")</f>
        <v/>
      </c>
      <c r="C242" s="27" t="str">
        <f>IFERROR(VLOOKUP(A242,القائمة!$A$3:$F$112,3,FALSE),"")</f>
        <v/>
      </c>
      <c r="D242" s="36" t="str">
        <f>IFERROR(VLOOKUP(A242,القائمة!$A$3:$F$112,4,FALSE),"")</f>
        <v/>
      </c>
      <c r="E242" s="36" t="str">
        <f>IFERROR(VLOOKUP(A242,القائمة!$A$3:$F$112,5,FALSE),"")</f>
        <v/>
      </c>
      <c r="F242" s="37" t="str">
        <f>IFERROR(VLOOKUP(A242,القائمة!$A$3:$F$112,6,FALSE),"")</f>
        <v/>
      </c>
      <c r="I242" s="36"/>
      <c r="P242" s="27">
        <f t="shared" si="7"/>
        <v>0</v>
      </c>
      <c r="Q242" s="27">
        <f t="shared" si="9"/>
        <v>0</v>
      </c>
    </row>
    <row r="243" spans="2:17" x14ac:dyDescent="0.45">
      <c r="B243" s="27" t="str">
        <f>IFERROR(VLOOKUP(A243,القائمة!$A$3:$F$112,2,FALSE),"")</f>
        <v/>
      </c>
      <c r="C243" s="27" t="str">
        <f>IFERROR(VLOOKUP(A243,القائمة!$A$3:$F$112,3,FALSE),"")</f>
        <v/>
      </c>
      <c r="D243" s="36" t="str">
        <f>IFERROR(VLOOKUP(A243,القائمة!$A$3:$F$112,4,FALSE),"")</f>
        <v/>
      </c>
      <c r="E243" s="36" t="str">
        <f>IFERROR(VLOOKUP(A243,القائمة!$A$3:$F$112,5,FALSE),"")</f>
        <v/>
      </c>
      <c r="F243" s="37" t="str">
        <f>IFERROR(VLOOKUP(A243,القائمة!$A$3:$F$112,6,FALSE),"")</f>
        <v/>
      </c>
      <c r="I243" s="36"/>
      <c r="P243" s="27">
        <f t="shared" si="7"/>
        <v>0</v>
      </c>
      <c r="Q243" s="27">
        <f t="shared" si="9"/>
        <v>0</v>
      </c>
    </row>
    <row r="244" spans="2:17" x14ac:dyDescent="0.45">
      <c r="B244" s="27" t="str">
        <f>IFERROR(VLOOKUP(A244,القائمة!$A$3:$F$112,2,FALSE),"")</f>
        <v/>
      </c>
      <c r="C244" s="27" t="str">
        <f>IFERROR(VLOOKUP(A244,القائمة!$A$3:$F$112,3,FALSE),"")</f>
        <v/>
      </c>
      <c r="D244" s="36" t="str">
        <f>IFERROR(VLOOKUP(A244,القائمة!$A$3:$F$112,4,FALSE),"")</f>
        <v/>
      </c>
      <c r="E244" s="36" t="str">
        <f>IFERROR(VLOOKUP(A244,القائمة!$A$3:$F$112,5,FALSE),"")</f>
        <v/>
      </c>
      <c r="F244" s="37" t="str">
        <f>IFERROR(VLOOKUP(A244,القائمة!$A$3:$F$112,6,FALSE),"")</f>
        <v/>
      </c>
      <c r="I244" s="36"/>
      <c r="P244" s="27">
        <f t="shared" si="7"/>
        <v>0</v>
      </c>
      <c r="Q244" s="27">
        <f t="shared" si="9"/>
        <v>0</v>
      </c>
    </row>
    <row r="245" spans="2:17" x14ac:dyDescent="0.45">
      <c r="B245" s="27" t="str">
        <f>IFERROR(VLOOKUP(A245,القائمة!$A$3:$F$112,2,FALSE),"")</f>
        <v/>
      </c>
      <c r="C245" s="27" t="str">
        <f>IFERROR(VLOOKUP(A245,القائمة!$A$3:$F$112,3,FALSE),"")</f>
        <v/>
      </c>
      <c r="D245" s="36" t="str">
        <f>IFERROR(VLOOKUP(A245,القائمة!$A$3:$F$112,4,FALSE),"")</f>
        <v/>
      </c>
      <c r="E245" s="36" t="str">
        <f>IFERROR(VLOOKUP(A245,القائمة!$A$3:$F$112,5,FALSE),"")</f>
        <v/>
      </c>
      <c r="F245" s="37" t="str">
        <f>IFERROR(VLOOKUP(A245,القائمة!$A$3:$F$112,6,FALSE),"")</f>
        <v/>
      </c>
      <c r="I245" s="36"/>
      <c r="P245" s="27">
        <f t="shared" si="7"/>
        <v>0</v>
      </c>
      <c r="Q245" s="27">
        <f t="shared" si="9"/>
        <v>0</v>
      </c>
    </row>
    <row r="246" spans="2:17" x14ac:dyDescent="0.45">
      <c r="B246" s="27" t="str">
        <f>IFERROR(VLOOKUP(A246,القائمة!$A$3:$F$112,2,FALSE),"")</f>
        <v/>
      </c>
      <c r="C246" s="27" t="str">
        <f>IFERROR(VLOOKUP(A246,القائمة!$A$3:$F$112,3,FALSE),"")</f>
        <v/>
      </c>
      <c r="D246" s="36" t="str">
        <f>IFERROR(VLOOKUP(A246,القائمة!$A$3:$F$112,4,FALSE),"")</f>
        <v/>
      </c>
      <c r="E246" s="36" t="str">
        <f>IFERROR(VLOOKUP(A246,القائمة!$A$3:$F$112,5,FALSE),"")</f>
        <v/>
      </c>
      <c r="F246" s="37" t="str">
        <f>IFERROR(VLOOKUP(A246,القائمة!$A$3:$F$112,6,FALSE),"")</f>
        <v/>
      </c>
      <c r="I246" s="36"/>
      <c r="P246" s="27">
        <f t="shared" si="7"/>
        <v>0</v>
      </c>
      <c r="Q246" s="27">
        <f t="shared" si="9"/>
        <v>0</v>
      </c>
    </row>
    <row r="247" spans="2:17" x14ac:dyDescent="0.45">
      <c r="B247" s="27" t="str">
        <f>IFERROR(VLOOKUP(A247,القائمة!$A$3:$F$112,2,FALSE),"")</f>
        <v/>
      </c>
      <c r="C247" s="27" t="str">
        <f>IFERROR(VLOOKUP(A247,القائمة!$A$3:$F$112,3,FALSE),"")</f>
        <v/>
      </c>
      <c r="D247" s="36" t="str">
        <f>IFERROR(VLOOKUP(A247,القائمة!$A$3:$F$112,4,FALSE),"")</f>
        <v/>
      </c>
      <c r="E247" s="36" t="str">
        <f>IFERROR(VLOOKUP(A247,القائمة!$A$3:$F$112,5,FALSE),"")</f>
        <v/>
      </c>
      <c r="F247" s="37" t="str">
        <f>IFERROR(VLOOKUP(A247,القائمة!$A$3:$F$112,6,FALSE),"")</f>
        <v/>
      </c>
      <c r="I247" s="36"/>
      <c r="P247" s="27">
        <f t="shared" si="7"/>
        <v>0</v>
      </c>
      <c r="Q247" s="27">
        <f t="shared" si="9"/>
        <v>0</v>
      </c>
    </row>
    <row r="248" spans="2:17" x14ac:dyDescent="0.45">
      <c r="B248" s="27" t="str">
        <f>IFERROR(VLOOKUP(A248,القائمة!$A$3:$F$112,2,FALSE),"")</f>
        <v/>
      </c>
      <c r="C248" s="27" t="str">
        <f>IFERROR(VLOOKUP(A248,القائمة!$A$3:$F$112,3,FALSE),"")</f>
        <v/>
      </c>
      <c r="D248" s="36" t="str">
        <f>IFERROR(VLOOKUP(A248,القائمة!$A$3:$F$112,4,FALSE),"")</f>
        <v/>
      </c>
      <c r="E248" s="36" t="str">
        <f>IFERROR(VLOOKUP(A248,القائمة!$A$3:$F$112,5,FALSE),"")</f>
        <v/>
      </c>
      <c r="F248" s="37" t="str">
        <f>IFERROR(VLOOKUP(A248,القائمة!$A$3:$F$112,6,FALSE),"")</f>
        <v/>
      </c>
      <c r="I248" s="36"/>
      <c r="P248" s="27">
        <f t="shared" si="7"/>
        <v>0</v>
      </c>
      <c r="Q248" s="27">
        <f t="shared" si="9"/>
        <v>0</v>
      </c>
    </row>
    <row r="249" spans="2:17" x14ac:dyDescent="0.45">
      <c r="B249" s="27" t="str">
        <f>IFERROR(VLOOKUP(A249,القائمة!$A$3:$F$112,2,FALSE),"")</f>
        <v/>
      </c>
      <c r="C249" s="27" t="str">
        <f>IFERROR(VLOOKUP(A249,القائمة!$A$3:$F$112,3,FALSE),"")</f>
        <v/>
      </c>
      <c r="D249" s="36" t="str">
        <f>IFERROR(VLOOKUP(A249,القائمة!$A$3:$F$112,4,FALSE),"")</f>
        <v/>
      </c>
      <c r="E249" s="36" t="str">
        <f>IFERROR(VLOOKUP(A249,القائمة!$A$3:$F$112,5,FALSE),"")</f>
        <v/>
      </c>
      <c r="F249" s="37" t="str">
        <f>IFERROR(VLOOKUP(A249,القائمة!$A$3:$F$112,6,FALSE),"")</f>
        <v/>
      </c>
      <c r="I249" s="36"/>
      <c r="P249" s="27">
        <f t="shared" si="7"/>
        <v>0</v>
      </c>
      <c r="Q249" s="27">
        <f t="shared" si="9"/>
        <v>0</v>
      </c>
    </row>
    <row r="250" spans="2:17" x14ac:dyDescent="0.45">
      <c r="B250" s="27" t="str">
        <f>IFERROR(VLOOKUP(A250,القائمة!$A$3:$F$112,2,FALSE),"")</f>
        <v/>
      </c>
      <c r="C250" s="27" t="str">
        <f>IFERROR(VLOOKUP(A250,القائمة!$A$3:$F$112,3,FALSE),"")</f>
        <v/>
      </c>
      <c r="D250" s="36" t="str">
        <f>IFERROR(VLOOKUP(A250,القائمة!$A$3:$F$112,4,FALSE),"")</f>
        <v/>
      </c>
      <c r="E250" s="36" t="str">
        <f>IFERROR(VLOOKUP(A250,القائمة!$A$3:$F$112,5,FALSE),"")</f>
        <v/>
      </c>
      <c r="F250" s="37" t="str">
        <f>IFERROR(VLOOKUP(A250,القائمة!$A$3:$F$112,6,FALSE),"")</f>
        <v/>
      </c>
      <c r="I250" s="36"/>
      <c r="P250" s="27">
        <f t="shared" si="7"/>
        <v>0</v>
      </c>
      <c r="Q250" s="27">
        <f t="shared" si="9"/>
        <v>0</v>
      </c>
    </row>
    <row r="251" spans="2:17" x14ac:dyDescent="0.45">
      <c r="B251" s="27" t="str">
        <f>IFERROR(VLOOKUP(A251,القائمة!$A$3:$F$112,2,FALSE),"")</f>
        <v/>
      </c>
      <c r="C251" s="27" t="str">
        <f>IFERROR(VLOOKUP(A251,القائمة!$A$3:$F$112,3,FALSE),"")</f>
        <v/>
      </c>
      <c r="D251" s="36" t="str">
        <f>IFERROR(VLOOKUP(A251,القائمة!$A$3:$F$112,4,FALSE),"")</f>
        <v/>
      </c>
      <c r="E251" s="36" t="str">
        <f>IFERROR(VLOOKUP(A251,القائمة!$A$3:$F$112,5,FALSE),"")</f>
        <v/>
      </c>
      <c r="F251" s="37" t="str">
        <f>IFERROR(VLOOKUP(A251,القائمة!$A$3:$F$112,6,FALSE),"")</f>
        <v/>
      </c>
      <c r="I251" s="36"/>
      <c r="P251" s="27">
        <f t="shared" si="7"/>
        <v>0</v>
      </c>
      <c r="Q251" s="27">
        <f t="shared" si="9"/>
        <v>0</v>
      </c>
    </row>
    <row r="252" spans="2:17" x14ac:dyDescent="0.45">
      <c r="B252" s="27" t="str">
        <f>IFERROR(VLOOKUP(A252,القائمة!$A$3:$F$112,2,FALSE),"")</f>
        <v/>
      </c>
      <c r="C252" s="27" t="str">
        <f>IFERROR(VLOOKUP(A252,القائمة!$A$3:$F$112,3,FALSE),"")</f>
        <v/>
      </c>
      <c r="D252" s="36" t="str">
        <f>IFERROR(VLOOKUP(A252,القائمة!$A$3:$F$112,4,FALSE),"")</f>
        <v/>
      </c>
      <c r="E252" s="36" t="str">
        <f>IFERROR(VLOOKUP(A252,القائمة!$A$3:$F$112,5,FALSE),"")</f>
        <v/>
      </c>
      <c r="F252" s="37" t="str">
        <f>IFERROR(VLOOKUP(A252,القائمة!$A$3:$F$112,6,FALSE),"")</f>
        <v/>
      </c>
      <c r="I252" s="36"/>
      <c r="P252" s="27">
        <f t="shared" si="7"/>
        <v>0</v>
      </c>
      <c r="Q252" s="27">
        <f t="shared" si="9"/>
        <v>0</v>
      </c>
    </row>
    <row r="253" spans="2:17" x14ac:dyDescent="0.45">
      <c r="B253" s="27" t="str">
        <f>IFERROR(VLOOKUP(A253,القائمة!$A$3:$F$112,2,FALSE),"")</f>
        <v/>
      </c>
      <c r="C253" s="27" t="str">
        <f>IFERROR(VLOOKUP(A253,القائمة!$A$3:$F$112,3,FALSE),"")</f>
        <v/>
      </c>
      <c r="D253" s="36" t="str">
        <f>IFERROR(VLOOKUP(A253,القائمة!$A$3:$F$112,4,FALSE),"")</f>
        <v/>
      </c>
      <c r="E253" s="36" t="str">
        <f>IFERROR(VLOOKUP(A253,القائمة!$A$3:$F$112,5,FALSE),"")</f>
        <v/>
      </c>
      <c r="F253" s="37" t="str">
        <f>IFERROR(VLOOKUP(A253,القائمة!$A$3:$F$112,6,FALSE),"")</f>
        <v/>
      </c>
      <c r="I253" s="36"/>
      <c r="P253" s="27">
        <f t="shared" si="7"/>
        <v>0</v>
      </c>
      <c r="Q253" s="27">
        <f t="shared" si="9"/>
        <v>0</v>
      </c>
    </row>
    <row r="254" spans="2:17" x14ac:dyDescent="0.45">
      <c r="B254" s="27" t="str">
        <f>IFERROR(VLOOKUP(A254,القائمة!$A$3:$F$112,2,FALSE),"")</f>
        <v/>
      </c>
      <c r="C254" s="27" t="str">
        <f>IFERROR(VLOOKUP(A254,القائمة!$A$3:$F$112,3,FALSE),"")</f>
        <v/>
      </c>
      <c r="D254" s="36" t="str">
        <f>IFERROR(VLOOKUP(A254,القائمة!$A$3:$F$112,4,FALSE),"")</f>
        <v/>
      </c>
      <c r="E254" s="36" t="str">
        <f>IFERROR(VLOOKUP(A254,القائمة!$A$3:$F$112,5,FALSE),"")</f>
        <v/>
      </c>
      <c r="F254" s="37" t="str">
        <f>IFERROR(VLOOKUP(A254,القائمة!$A$3:$F$112,6,FALSE),"")</f>
        <v/>
      </c>
      <c r="I254" s="36"/>
      <c r="P254" s="27">
        <f t="shared" si="7"/>
        <v>0</v>
      </c>
      <c r="Q254" s="27">
        <f t="shared" si="9"/>
        <v>0</v>
      </c>
    </row>
    <row r="255" spans="2:17" x14ac:dyDescent="0.45">
      <c r="B255" s="27" t="str">
        <f>IFERROR(VLOOKUP(A255,القائمة!$A$3:$F$112,2,FALSE),"")</f>
        <v/>
      </c>
      <c r="C255" s="27" t="str">
        <f>IFERROR(VLOOKUP(A255,القائمة!$A$3:$F$112,3,FALSE),"")</f>
        <v/>
      </c>
      <c r="D255" s="36" t="str">
        <f>IFERROR(VLOOKUP(A255,القائمة!$A$3:$F$112,4,FALSE),"")</f>
        <v/>
      </c>
      <c r="E255" s="36" t="str">
        <f>IFERROR(VLOOKUP(A255,القائمة!$A$3:$F$112,5,FALSE),"")</f>
        <v/>
      </c>
      <c r="F255" s="37" t="str">
        <f>IFERROR(VLOOKUP(A255,القائمة!$A$3:$F$112,6,FALSE),"")</f>
        <v/>
      </c>
      <c r="I255" s="36"/>
      <c r="P255" s="27">
        <f t="shared" si="7"/>
        <v>0</v>
      </c>
      <c r="Q255" s="27">
        <f t="shared" si="9"/>
        <v>0</v>
      </c>
    </row>
    <row r="256" spans="2:17" x14ac:dyDescent="0.45">
      <c r="B256" s="27" t="str">
        <f>IFERROR(VLOOKUP(A256,القائمة!$A$3:$F$112,2,FALSE),"")</f>
        <v/>
      </c>
      <c r="C256" s="27" t="str">
        <f>IFERROR(VLOOKUP(A256,القائمة!$A$3:$F$112,3,FALSE),"")</f>
        <v/>
      </c>
      <c r="D256" s="36" t="str">
        <f>IFERROR(VLOOKUP(A256,القائمة!$A$3:$F$112,4,FALSE),"")</f>
        <v/>
      </c>
      <c r="E256" s="36" t="str">
        <f>IFERROR(VLOOKUP(A256,القائمة!$A$3:$F$112,5,FALSE),"")</f>
        <v/>
      </c>
      <c r="F256" s="37" t="str">
        <f>IFERROR(VLOOKUP(A256,القائمة!$A$3:$F$112,6,FALSE),"")</f>
        <v/>
      </c>
      <c r="I256" s="36"/>
      <c r="P256" s="27">
        <f t="shared" si="7"/>
        <v>0</v>
      </c>
      <c r="Q256" s="27">
        <f t="shared" si="9"/>
        <v>0</v>
      </c>
    </row>
    <row r="257" spans="2:17" x14ac:dyDescent="0.45">
      <c r="B257" s="27" t="str">
        <f>IFERROR(VLOOKUP(A257,القائمة!$A$3:$F$112,2,FALSE),"")</f>
        <v/>
      </c>
      <c r="C257" s="27" t="str">
        <f>IFERROR(VLOOKUP(A257,القائمة!$A$3:$F$112,3,FALSE),"")</f>
        <v/>
      </c>
      <c r="D257" s="36" t="str">
        <f>IFERROR(VLOOKUP(A257,القائمة!$A$3:$F$112,4,FALSE),"")</f>
        <v/>
      </c>
      <c r="E257" s="36" t="str">
        <f>IFERROR(VLOOKUP(A257,القائمة!$A$3:$F$112,5,FALSE),"")</f>
        <v/>
      </c>
      <c r="F257" s="37" t="str">
        <f>IFERROR(VLOOKUP(A257,القائمة!$A$3:$F$112,6,FALSE),"")</f>
        <v/>
      </c>
      <c r="I257" s="36"/>
      <c r="P257" s="27">
        <f t="shared" si="7"/>
        <v>0</v>
      </c>
      <c r="Q257" s="27">
        <f t="shared" si="9"/>
        <v>0</v>
      </c>
    </row>
    <row r="258" spans="2:17" x14ac:dyDescent="0.45">
      <c r="B258" s="27" t="str">
        <f>IFERROR(VLOOKUP(A258,القائمة!$A$3:$F$112,2,FALSE),"")</f>
        <v/>
      </c>
      <c r="C258" s="27" t="str">
        <f>IFERROR(VLOOKUP(A258,القائمة!$A$3:$F$112,3,FALSE),"")</f>
        <v/>
      </c>
      <c r="D258" s="36" t="str">
        <f>IFERROR(VLOOKUP(A258,القائمة!$A$3:$F$112,4,FALSE),"")</f>
        <v/>
      </c>
      <c r="E258" s="36" t="str">
        <f>IFERROR(VLOOKUP(A258,القائمة!$A$3:$F$112,5,FALSE),"")</f>
        <v/>
      </c>
      <c r="F258" s="37" t="str">
        <f>IFERROR(VLOOKUP(A258,القائمة!$A$3:$F$112,6,FALSE),"")</f>
        <v/>
      </c>
      <c r="I258" s="36"/>
      <c r="P258" s="27">
        <f t="shared" si="7"/>
        <v>0</v>
      </c>
      <c r="Q258" s="27">
        <f t="shared" si="9"/>
        <v>0</v>
      </c>
    </row>
    <row r="259" spans="2:17" x14ac:dyDescent="0.45">
      <c r="B259" s="27" t="str">
        <f>IFERROR(VLOOKUP(A259,القائمة!$A$3:$F$112,2,FALSE),"")</f>
        <v/>
      </c>
      <c r="C259" s="27" t="str">
        <f>IFERROR(VLOOKUP(A259,القائمة!$A$3:$F$112,3,FALSE),"")</f>
        <v/>
      </c>
      <c r="D259" s="36" t="str">
        <f>IFERROR(VLOOKUP(A259,القائمة!$A$3:$F$112,4,FALSE),"")</f>
        <v/>
      </c>
      <c r="E259" s="36" t="str">
        <f>IFERROR(VLOOKUP(A259,القائمة!$A$3:$F$112,5,FALSE),"")</f>
        <v/>
      </c>
      <c r="F259" s="37" t="str">
        <f>IFERROR(VLOOKUP(A259,القائمة!$A$3:$F$112,6,FALSE),"")</f>
        <v/>
      </c>
      <c r="I259" s="36"/>
      <c r="P259" s="27">
        <f t="shared" si="7"/>
        <v>0</v>
      </c>
      <c r="Q259" s="27">
        <f t="shared" ref="Q259:Q322" si="10">+P259+L259-M259</f>
        <v>0</v>
      </c>
    </row>
    <row r="260" spans="2:17" x14ac:dyDescent="0.45">
      <c r="B260" s="27" t="str">
        <f>IFERROR(VLOOKUP(A260,القائمة!$A$3:$F$112,2,FALSE),"")</f>
        <v/>
      </c>
      <c r="C260" s="27" t="str">
        <f>IFERROR(VLOOKUP(A260,القائمة!$A$3:$F$112,3,FALSE),"")</f>
        <v/>
      </c>
      <c r="D260" s="36" t="str">
        <f>IFERROR(VLOOKUP(A260,القائمة!$A$3:$F$112,4,FALSE),"")</f>
        <v/>
      </c>
      <c r="E260" s="36" t="str">
        <f>IFERROR(VLOOKUP(A260,القائمة!$A$3:$F$112,5,FALSE),"")</f>
        <v/>
      </c>
      <c r="F260" s="37" t="str">
        <f>IFERROR(VLOOKUP(A260,القائمة!$A$3:$F$112,6,FALSE),"")</f>
        <v/>
      </c>
      <c r="I260" s="36"/>
      <c r="P260" s="27">
        <f t="shared" ref="P260:P323" si="11">J260-K260</f>
        <v>0</v>
      </c>
      <c r="Q260" s="27">
        <f t="shared" si="10"/>
        <v>0</v>
      </c>
    </row>
    <row r="261" spans="2:17" x14ac:dyDescent="0.45">
      <c r="B261" s="27" t="str">
        <f>IFERROR(VLOOKUP(A261,القائمة!$A$3:$F$112,2,FALSE),"")</f>
        <v/>
      </c>
      <c r="C261" s="27" t="str">
        <f>IFERROR(VLOOKUP(A261,القائمة!$A$3:$F$112,3,FALSE),"")</f>
        <v/>
      </c>
      <c r="D261" s="36" t="str">
        <f>IFERROR(VLOOKUP(A261,القائمة!$A$3:$F$112,4,FALSE),"")</f>
        <v/>
      </c>
      <c r="E261" s="36" t="str">
        <f>IFERROR(VLOOKUP(A261,القائمة!$A$3:$F$112,5,FALSE),"")</f>
        <v/>
      </c>
      <c r="F261" s="37" t="str">
        <f>IFERROR(VLOOKUP(A261,القائمة!$A$3:$F$112,6,FALSE),"")</f>
        <v/>
      </c>
      <c r="I261" s="36"/>
      <c r="P261" s="27">
        <f t="shared" si="11"/>
        <v>0</v>
      </c>
      <c r="Q261" s="27">
        <f t="shared" si="10"/>
        <v>0</v>
      </c>
    </row>
    <row r="262" spans="2:17" x14ac:dyDescent="0.45">
      <c r="B262" s="27" t="str">
        <f>IFERROR(VLOOKUP(A262,القائمة!$A$3:$F$112,2,FALSE),"")</f>
        <v/>
      </c>
      <c r="C262" s="27" t="str">
        <f>IFERROR(VLOOKUP(A262,القائمة!$A$3:$F$112,3,FALSE),"")</f>
        <v/>
      </c>
      <c r="D262" s="36" t="str">
        <f>IFERROR(VLOOKUP(A262,القائمة!$A$3:$F$112,4,FALSE),"")</f>
        <v/>
      </c>
      <c r="E262" s="36" t="str">
        <f>IFERROR(VLOOKUP(A262,القائمة!$A$3:$F$112,5,FALSE),"")</f>
        <v/>
      </c>
      <c r="F262" s="37" t="str">
        <f>IFERROR(VLOOKUP(A262,القائمة!$A$3:$F$112,6,FALSE),"")</f>
        <v/>
      </c>
      <c r="I262" s="36"/>
      <c r="P262" s="27">
        <f t="shared" si="11"/>
        <v>0</v>
      </c>
      <c r="Q262" s="27">
        <f t="shared" si="10"/>
        <v>0</v>
      </c>
    </row>
    <row r="263" spans="2:17" x14ac:dyDescent="0.45">
      <c r="B263" s="27" t="str">
        <f>IFERROR(VLOOKUP(A263,القائمة!$A$3:$F$112,2,FALSE),"")</f>
        <v/>
      </c>
      <c r="C263" s="27" t="str">
        <f>IFERROR(VLOOKUP(A263,القائمة!$A$3:$F$112,3,FALSE),"")</f>
        <v/>
      </c>
      <c r="D263" s="36" t="str">
        <f>IFERROR(VLOOKUP(A263,القائمة!$A$3:$F$112,4,FALSE),"")</f>
        <v/>
      </c>
      <c r="E263" s="36" t="str">
        <f>IFERROR(VLOOKUP(A263,القائمة!$A$3:$F$112,5,FALSE),"")</f>
        <v/>
      </c>
      <c r="F263" s="37" t="str">
        <f>IFERROR(VLOOKUP(A263,القائمة!$A$3:$F$112,6,FALSE),"")</f>
        <v/>
      </c>
      <c r="I263" s="36"/>
      <c r="P263" s="27">
        <f t="shared" si="11"/>
        <v>0</v>
      </c>
      <c r="Q263" s="27">
        <f t="shared" si="10"/>
        <v>0</v>
      </c>
    </row>
    <row r="264" spans="2:17" x14ac:dyDescent="0.45">
      <c r="B264" s="27" t="str">
        <f>IFERROR(VLOOKUP(A264,القائمة!$A$3:$F$112,2,FALSE),"")</f>
        <v/>
      </c>
      <c r="C264" s="27" t="str">
        <f>IFERROR(VLOOKUP(A264,القائمة!$A$3:$F$112,3,FALSE),"")</f>
        <v/>
      </c>
      <c r="D264" s="36" t="str">
        <f>IFERROR(VLOOKUP(A264,القائمة!$A$3:$F$112,4,FALSE),"")</f>
        <v/>
      </c>
      <c r="E264" s="36" t="str">
        <f>IFERROR(VLOOKUP(A264,القائمة!$A$3:$F$112,5,FALSE),"")</f>
        <v/>
      </c>
      <c r="F264" s="37" t="str">
        <f>IFERROR(VLOOKUP(A264,القائمة!$A$3:$F$112,6,FALSE),"")</f>
        <v/>
      </c>
      <c r="I264" s="36"/>
      <c r="P264" s="27">
        <f t="shared" si="11"/>
        <v>0</v>
      </c>
      <c r="Q264" s="27">
        <f t="shared" si="10"/>
        <v>0</v>
      </c>
    </row>
    <row r="265" spans="2:17" x14ac:dyDescent="0.45">
      <c r="B265" s="27" t="str">
        <f>IFERROR(VLOOKUP(A265,القائمة!$A$3:$F$112,2,FALSE),"")</f>
        <v/>
      </c>
      <c r="C265" s="27" t="str">
        <f>IFERROR(VLOOKUP(A265,القائمة!$A$3:$F$112,3,FALSE),"")</f>
        <v/>
      </c>
      <c r="D265" s="36" t="str">
        <f>IFERROR(VLOOKUP(A265,القائمة!$A$3:$F$112,4,FALSE),"")</f>
        <v/>
      </c>
      <c r="E265" s="36" t="str">
        <f>IFERROR(VLOOKUP(A265,القائمة!$A$3:$F$112,5,FALSE),"")</f>
        <v/>
      </c>
      <c r="F265" s="37" t="str">
        <f>IFERROR(VLOOKUP(A265,القائمة!$A$3:$F$112,6,FALSE),"")</f>
        <v/>
      </c>
      <c r="I265" s="36"/>
      <c r="P265" s="27">
        <f t="shared" si="11"/>
        <v>0</v>
      </c>
      <c r="Q265" s="27">
        <f t="shared" si="10"/>
        <v>0</v>
      </c>
    </row>
    <row r="266" spans="2:17" x14ac:dyDescent="0.45">
      <c r="B266" s="27" t="str">
        <f>IFERROR(VLOOKUP(A266,القائمة!$A$3:$F$112,2,FALSE),"")</f>
        <v/>
      </c>
      <c r="C266" s="27" t="str">
        <f>IFERROR(VLOOKUP(A266,القائمة!$A$3:$F$112,3,FALSE),"")</f>
        <v/>
      </c>
      <c r="D266" s="36" t="str">
        <f>IFERROR(VLOOKUP(A266,القائمة!$A$3:$F$112,4,FALSE),"")</f>
        <v/>
      </c>
      <c r="E266" s="36" t="str">
        <f>IFERROR(VLOOKUP(A266,القائمة!$A$3:$F$112,5,FALSE),"")</f>
        <v/>
      </c>
      <c r="F266" s="37" t="str">
        <f>IFERROR(VLOOKUP(A266,القائمة!$A$3:$F$112,6,FALSE),"")</f>
        <v/>
      </c>
      <c r="I266" s="36"/>
      <c r="P266" s="27">
        <f t="shared" si="11"/>
        <v>0</v>
      </c>
      <c r="Q266" s="27">
        <f t="shared" si="10"/>
        <v>0</v>
      </c>
    </row>
    <row r="267" spans="2:17" x14ac:dyDescent="0.45">
      <c r="B267" s="27" t="str">
        <f>IFERROR(VLOOKUP(A267,القائمة!$A$3:$F$112,2,FALSE),"")</f>
        <v/>
      </c>
      <c r="C267" s="27" t="str">
        <f>IFERROR(VLOOKUP(A267,القائمة!$A$3:$F$112,3,FALSE),"")</f>
        <v/>
      </c>
      <c r="D267" s="36" t="str">
        <f>IFERROR(VLOOKUP(A267,القائمة!$A$3:$F$112,4,FALSE),"")</f>
        <v/>
      </c>
      <c r="E267" s="36" t="str">
        <f>IFERROR(VLOOKUP(A267,القائمة!$A$3:$F$112,5,FALSE),"")</f>
        <v/>
      </c>
      <c r="F267" s="37" t="str">
        <f>IFERROR(VLOOKUP(A267,القائمة!$A$3:$F$112,6,FALSE),"")</f>
        <v/>
      </c>
      <c r="I267" s="36"/>
      <c r="P267" s="27">
        <f t="shared" si="11"/>
        <v>0</v>
      </c>
      <c r="Q267" s="27">
        <f t="shared" si="10"/>
        <v>0</v>
      </c>
    </row>
    <row r="268" spans="2:17" x14ac:dyDescent="0.45">
      <c r="B268" s="27" t="str">
        <f>IFERROR(VLOOKUP(A268,القائمة!$A$3:$F$112,2,FALSE),"")</f>
        <v/>
      </c>
      <c r="C268" s="27" t="str">
        <f>IFERROR(VLOOKUP(A268,القائمة!$A$3:$F$112,3,FALSE),"")</f>
        <v/>
      </c>
      <c r="D268" s="36" t="str">
        <f>IFERROR(VLOOKUP(A268,القائمة!$A$3:$F$112,4,FALSE),"")</f>
        <v/>
      </c>
      <c r="E268" s="36" t="str">
        <f>IFERROR(VLOOKUP(A268,القائمة!$A$3:$F$112,5,FALSE),"")</f>
        <v/>
      </c>
      <c r="F268" s="37" t="str">
        <f>IFERROR(VLOOKUP(A268,القائمة!$A$3:$F$112,6,FALSE),"")</f>
        <v/>
      </c>
      <c r="I268" s="36"/>
      <c r="P268" s="27">
        <f t="shared" si="11"/>
        <v>0</v>
      </c>
      <c r="Q268" s="27">
        <f t="shared" si="10"/>
        <v>0</v>
      </c>
    </row>
    <row r="269" spans="2:17" x14ac:dyDescent="0.45">
      <c r="B269" s="27" t="str">
        <f>IFERROR(VLOOKUP(A269,القائمة!$A$3:$F$112,2,FALSE),"")</f>
        <v/>
      </c>
      <c r="C269" s="27" t="str">
        <f>IFERROR(VLOOKUP(A269,القائمة!$A$3:$F$112,3,FALSE),"")</f>
        <v/>
      </c>
      <c r="D269" s="36" t="str">
        <f>IFERROR(VLOOKUP(A269,القائمة!$A$3:$F$112,4,FALSE),"")</f>
        <v/>
      </c>
      <c r="E269" s="36" t="str">
        <f>IFERROR(VLOOKUP(A269,القائمة!$A$3:$F$112,5,FALSE),"")</f>
        <v/>
      </c>
      <c r="F269" s="37" t="str">
        <f>IFERROR(VLOOKUP(A269,القائمة!$A$3:$F$112,6,FALSE),"")</f>
        <v/>
      </c>
      <c r="I269" s="36"/>
      <c r="P269" s="27">
        <f t="shared" si="11"/>
        <v>0</v>
      </c>
      <c r="Q269" s="27">
        <f t="shared" si="10"/>
        <v>0</v>
      </c>
    </row>
    <row r="270" spans="2:17" x14ac:dyDescent="0.45">
      <c r="B270" s="27" t="str">
        <f>IFERROR(VLOOKUP(A270,القائمة!$A$3:$F$112,2,FALSE),"")</f>
        <v/>
      </c>
      <c r="C270" s="27" t="str">
        <f>IFERROR(VLOOKUP(A270,القائمة!$A$3:$F$112,3,FALSE),"")</f>
        <v/>
      </c>
      <c r="D270" s="36" t="str">
        <f>IFERROR(VLOOKUP(A270,القائمة!$A$3:$F$112,4,FALSE),"")</f>
        <v/>
      </c>
      <c r="E270" s="36" t="str">
        <f>IFERROR(VLOOKUP(A270,القائمة!$A$3:$F$112,5,FALSE),"")</f>
        <v/>
      </c>
      <c r="F270" s="37" t="str">
        <f>IFERROR(VLOOKUP(A270,القائمة!$A$3:$F$112,6,FALSE),"")</f>
        <v/>
      </c>
      <c r="I270" s="36"/>
      <c r="P270" s="27">
        <f t="shared" si="11"/>
        <v>0</v>
      </c>
      <c r="Q270" s="27">
        <f t="shared" si="10"/>
        <v>0</v>
      </c>
    </row>
    <row r="271" spans="2:17" x14ac:dyDescent="0.45">
      <c r="B271" s="27" t="str">
        <f>IFERROR(VLOOKUP(A271,القائمة!$A$3:$F$112,2,FALSE),"")</f>
        <v/>
      </c>
      <c r="C271" s="27" t="str">
        <f>IFERROR(VLOOKUP(A271,القائمة!$A$3:$F$112,3,FALSE),"")</f>
        <v/>
      </c>
      <c r="D271" s="36" t="str">
        <f>IFERROR(VLOOKUP(A271,القائمة!$A$3:$F$112,4,FALSE),"")</f>
        <v/>
      </c>
      <c r="E271" s="36" t="str">
        <f>IFERROR(VLOOKUP(A271,القائمة!$A$3:$F$112,5,FALSE),"")</f>
        <v/>
      </c>
      <c r="F271" s="37" t="str">
        <f>IFERROR(VLOOKUP(A271,القائمة!$A$3:$F$112,6,FALSE),"")</f>
        <v/>
      </c>
      <c r="I271" s="36"/>
      <c r="P271" s="27">
        <f t="shared" si="11"/>
        <v>0</v>
      </c>
      <c r="Q271" s="27">
        <f t="shared" si="10"/>
        <v>0</v>
      </c>
    </row>
    <row r="272" spans="2:17" x14ac:dyDescent="0.45">
      <c r="B272" s="27" t="str">
        <f>IFERROR(VLOOKUP(A272,القائمة!$A$3:$F$112,2,FALSE),"")</f>
        <v/>
      </c>
      <c r="C272" s="27" t="str">
        <f>IFERROR(VLOOKUP(A272,القائمة!$A$3:$F$112,3,FALSE),"")</f>
        <v/>
      </c>
      <c r="D272" s="36" t="str">
        <f>IFERROR(VLOOKUP(A272,القائمة!$A$3:$F$112,4,FALSE),"")</f>
        <v/>
      </c>
      <c r="E272" s="36" t="str">
        <f>IFERROR(VLOOKUP(A272,القائمة!$A$3:$F$112,5,FALSE),"")</f>
        <v/>
      </c>
      <c r="F272" s="37" t="str">
        <f>IFERROR(VLOOKUP(A272,القائمة!$A$3:$F$112,6,FALSE),"")</f>
        <v/>
      </c>
      <c r="I272" s="36"/>
      <c r="P272" s="27">
        <f t="shared" si="11"/>
        <v>0</v>
      </c>
      <c r="Q272" s="27">
        <f t="shared" si="10"/>
        <v>0</v>
      </c>
    </row>
    <row r="273" spans="2:17" x14ac:dyDescent="0.45">
      <c r="B273" s="27" t="str">
        <f>IFERROR(VLOOKUP(A273,القائمة!$A$3:$F$112,2,FALSE),"")</f>
        <v/>
      </c>
      <c r="C273" s="27" t="str">
        <f>IFERROR(VLOOKUP(A273,القائمة!$A$3:$F$112,3,FALSE),"")</f>
        <v/>
      </c>
      <c r="D273" s="36" t="str">
        <f>IFERROR(VLOOKUP(A273,القائمة!$A$3:$F$112,4,FALSE),"")</f>
        <v/>
      </c>
      <c r="E273" s="36" t="str">
        <f>IFERROR(VLOOKUP(A273,القائمة!$A$3:$F$112,5,FALSE),"")</f>
        <v/>
      </c>
      <c r="F273" s="37" t="str">
        <f>IFERROR(VLOOKUP(A273,القائمة!$A$3:$F$112,6,FALSE),"")</f>
        <v/>
      </c>
      <c r="I273" s="36"/>
      <c r="P273" s="27">
        <f t="shared" si="11"/>
        <v>0</v>
      </c>
      <c r="Q273" s="27">
        <f t="shared" si="10"/>
        <v>0</v>
      </c>
    </row>
    <row r="274" spans="2:17" x14ac:dyDescent="0.45">
      <c r="B274" s="27" t="str">
        <f>IFERROR(VLOOKUP(A274,القائمة!$A$3:$F$112,2,FALSE),"")</f>
        <v/>
      </c>
      <c r="C274" s="27" t="str">
        <f>IFERROR(VLOOKUP(A274,القائمة!$A$3:$F$112,3,FALSE),"")</f>
        <v/>
      </c>
      <c r="D274" s="36" t="str">
        <f>IFERROR(VLOOKUP(A274,القائمة!$A$3:$F$112,4,FALSE),"")</f>
        <v/>
      </c>
      <c r="E274" s="36" t="str">
        <f>IFERROR(VLOOKUP(A274,القائمة!$A$3:$F$112,5,FALSE),"")</f>
        <v/>
      </c>
      <c r="F274" s="37" t="str">
        <f>IFERROR(VLOOKUP(A274,القائمة!$A$3:$F$112,6,FALSE),"")</f>
        <v/>
      </c>
      <c r="I274" s="36"/>
      <c r="P274" s="27">
        <f t="shared" si="11"/>
        <v>0</v>
      </c>
      <c r="Q274" s="27">
        <f t="shared" si="10"/>
        <v>0</v>
      </c>
    </row>
    <row r="275" spans="2:17" x14ac:dyDescent="0.45">
      <c r="B275" s="27" t="str">
        <f>IFERROR(VLOOKUP(A275,القائمة!$A$3:$F$112,2,FALSE),"")</f>
        <v/>
      </c>
      <c r="C275" s="27" t="str">
        <f>IFERROR(VLOOKUP(A275,القائمة!$A$3:$F$112,3,FALSE),"")</f>
        <v/>
      </c>
      <c r="D275" s="36" t="str">
        <f>IFERROR(VLOOKUP(A275,القائمة!$A$3:$F$112,4,FALSE),"")</f>
        <v/>
      </c>
      <c r="E275" s="36" t="str">
        <f>IFERROR(VLOOKUP(A275,القائمة!$A$3:$F$112,5,FALSE),"")</f>
        <v/>
      </c>
      <c r="F275" s="37" t="str">
        <f>IFERROR(VLOOKUP(A275,القائمة!$A$3:$F$112,6,FALSE),"")</f>
        <v/>
      </c>
      <c r="I275" s="36"/>
      <c r="P275" s="27">
        <f t="shared" si="11"/>
        <v>0</v>
      </c>
      <c r="Q275" s="27">
        <f t="shared" si="10"/>
        <v>0</v>
      </c>
    </row>
    <row r="276" spans="2:17" x14ac:dyDescent="0.45">
      <c r="B276" s="27" t="str">
        <f>IFERROR(VLOOKUP(A276,القائمة!$A$3:$F$112,2,FALSE),"")</f>
        <v/>
      </c>
      <c r="C276" s="27" t="str">
        <f>IFERROR(VLOOKUP(A276,القائمة!$A$3:$F$112,3,FALSE),"")</f>
        <v/>
      </c>
      <c r="D276" s="36" t="str">
        <f>IFERROR(VLOOKUP(A276,القائمة!$A$3:$F$112,4,FALSE),"")</f>
        <v/>
      </c>
      <c r="E276" s="36" t="str">
        <f>IFERROR(VLOOKUP(A276,القائمة!$A$3:$F$112,5,FALSE),"")</f>
        <v/>
      </c>
      <c r="F276" s="37" t="str">
        <f>IFERROR(VLOOKUP(A276,القائمة!$A$3:$F$112,6,FALSE),"")</f>
        <v/>
      </c>
      <c r="I276" s="36"/>
      <c r="P276" s="27">
        <f t="shared" si="11"/>
        <v>0</v>
      </c>
      <c r="Q276" s="27">
        <f t="shared" si="10"/>
        <v>0</v>
      </c>
    </row>
    <row r="277" spans="2:17" x14ac:dyDescent="0.45">
      <c r="B277" s="27" t="str">
        <f>IFERROR(VLOOKUP(A277,القائمة!$A$3:$F$112,2,FALSE),"")</f>
        <v/>
      </c>
      <c r="C277" s="27" t="str">
        <f>IFERROR(VLOOKUP(A277,القائمة!$A$3:$F$112,3,FALSE),"")</f>
        <v/>
      </c>
      <c r="D277" s="36" t="str">
        <f>IFERROR(VLOOKUP(A277,القائمة!$A$3:$F$112,4,FALSE),"")</f>
        <v/>
      </c>
      <c r="E277" s="36" t="str">
        <f>IFERROR(VLOOKUP(A277,القائمة!$A$3:$F$112,5,FALSE),"")</f>
        <v/>
      </c>
      <c r="F277" s="37" t="str">
        <f>IFERROR(VLOOKUP(A277,القائمة!$A$3:$F$112,6,FALSE),"")</f>
        <v/>
      </c>
      <c r="I277" s="36"/>
      <c r="P277" s="27">
        <f t="shared" si="11"/>
        <v>0</v>
      </c>
      <c r="Q277" s="27">
        <f t="shared" si="10"/>
        <v>0</v>
      </c>
    </row>
    <row r="278" spans="2:17" x14ac:dyDescent="0.45">
      <c r="B278" s="27" t="str">
        <f>IFERROR(VLOOKUP(A278,القائمة!$A$3:$F$112,2,FALSE),"")</f>
        <v/>
      </c>
      <c r="C278" s="27" t="str">
        <f>IFERROR(VLOOKUP(A278,القائمة!$A$3:$F$112,3,FALSE),"")</f>
        <v/>
      </c>
      <c r="D278" s="36" t="str">
        <f>IFERROR(VLOOKUP(A278,القائمة!$A$3:$F$112,4,FALSE),"")</f>
        <v/>
      </c>
      <c r="E278" s="36" t="str">
        <f>IFERROR(VLOOKUP(A278,القائمة!$A$3:$F$112,5,FALSE),"")</f>
        <v/>
      </c>
      <c r="F278" s="37" t="str">
        <f>IFERROR(VLOOKUP(A278,القائمة!$A$3:$F$112,6,FALSE),"")</f>
        <v/>
      </c>
      <c r="I278" s="36"/>
      <c r="P278" s="27">
        <f t="shared" si="11"/>
        <v>0</v>
      </c>
      <c r="Q278" s="27">
        <f t="shared" si="10"/>
        <v>0</v>
      </c>
    </row>
    <row r="279" spans="2:17" x14ac:dyDescent="0.45">
      <c r="B279" s="27" t="str">
        <f>IFERROR(VLOOKUP(A279,القائمة!$A$3:$F$112,2,FALSE),"")</f>
        <v/>
      </c>
      <c r="C279" s="27" t="str">
        <f>IFERROR(VLOOKUP(A279,القائمة!$A$3:$F$112,3,FALSE),"")</f>
        <v/>
      </c>
      <c r="D279" s="36" t="str">
        <f>IFERROR(VLOOKUP(A279,القائمة!$A$3:$F$112,4,FALSE),"")</f>
        <v/>
      </c>
      <c r="E279" s="36" t="str">
        <f>IFERROR(VLOOKUP(A279,القائمة!$A$3:$F$112,5,FALSE),"")</f>
        <v/>
      </c>
      <c r="F279" s="37" t="str">
        <f>IFERROR(VLOOKUP(A279,القائمة!$A$3:$F$112,6,FALSE),"")</f>
        <v/>
      </c>
      <c r="I279" s="36"/>
      <c r="P279" s="27">
        <f t="shared" si="11"/>
        <v>0</v>
      </c>
      <c r="Q279" s="27">
        <f t="shared" si="10"/>
        <v>0</v>
      </c>
    </row>
    <row r="280" spans="2:17" x14ac:dyDescent="0.45">
      <c r="B280" s="27" t="str">
        <f>IFERROR(VLOOKUP(A280,القائمة!$A$3:$F$112,2,FALSE),"")</f>
        <v/>
      </c>
      <c r="C280" s="27" t="str">
        <f>IFERROR(VLOOKUP(A280,القائمة!$A$3:$F$112,3,FALSE),"")</f>
        <v/>
      </c>
      <c r="D280" s="36" t="str">
        <f>IFERROR(VLOOKUP(A280,القائمة!$A$3:$F$112,4,FALSE),"")</f>
        <v/>
      </c>
      <c r="E280" s="36" t="str">
        <f>IFERROR(VLOOKUP(A280,القائمة!$A$3:$F$112,5,FALSE),"")</f>
        <v/>
      </c>
      <c r="F280" s="37" t="str">
        <f>IFERROR(VLOOKUP(A280,القائمة!$A$3:$F$112,6,FALSE),"")</f>
        <v/>
      </c>
      <c r="I280" s="36"/>
      <c r="P280" s="27">
        <f t="shared" si="11"/>
        <v>0</v>
      </c>
      <c r="Q280" s="27">
        <f t="shared" si="10"/>
        <v>0</v>
      </c>
    </row>
    <row r="281" spans="2:17" x14ac:dyDescent="0.45">
      <c r="B281" s="27" t="str">
        <f>IFERROR(VLOOKUP(A281,القائمة!$A$3:$F$112,2,FALSE),"")</f>
        <v/>
      </c>
      <c r="C281" s="27" t="str">
        <f>IFERROR(VLOOKUP(A281,القائمة!$A$3:$F$112,3,FALSE),"")</f>
        <v/>
      </c>
      <c r="D281" s="36" t="str">
        <f>IFERROR(VLOOKUP(A281,القائمة!$A$3:$F$112,4,FALSE),"")</f>
        <v/>
      </c>
      <c r="E281" s="36" t="str">
        <f>IFERROR(VLOOKUP(A281,القائمة!$A$3:$F$112,5,FALSE),"")</f>
        <v/>
      </c>
      <c r="F281" s="37" t="str">
        <f>IFERROR(VLOOKUP(A281,القائمة!$A$3:$F$112,6,FALSE),"")</f>
        <v/>
      </c>
      <c r="I281" s="36"/>
      <c r="P281" s="27">
        <f t="shared" si="11"/>
        <v>0</v>
      </c>
      <c r="Q281" s="27">
        <f t="shared" si="10"/>
        <v>0</v>
      </c>
    </row>
    <row r="282" spans="2:17" x14ac:dyDescent="0.45">
      <c r="B282" s="27" t="str">
        <f>IFERROR(VLOOKUP(A282,القائمة!$A$3:$F$112,2,FALSE),"")</f>
        <v/>
      </c>
      <c r="C282" s="27" t="str">
        <f>IFERROR(VLOOKUP(A282,القائمة!$A$3:$F$112,3,FALSE),"")</f>
        <v/>
      </c>
      <c r="D282" s="36" t="str">
        <f>IFERROR(VLOOKUP(A282,القائمة!$A$3:$F$112,4,FALSE),"")</f>
        <v/>
      </c>
      <c r="E282" s="36" t="str">
        <f>IFERROR(VLOOKUP(A282,القائمة!$A$3:$F$112,5,FALSE),"")</f>
        <v/>
      </c>
      <c r="F282" s="37" t="str">
        <f>IFERROR(VLOOKUP(A282,القائمة!$A$3:$F$112,6,FALSE),"")</f>
        <v/>
      </c>
      <c r="I282" s="36"/>
      <c r="P282" s="27">
        <f t="shared" si="11"/>
        <v>0</v>
      </c>
      <c r="Q282" s="27">
        <f t="shared" si="10"/>
        <v>0</v>
      </c>
    </row>
    <row r="283" spans="2:17" x14ac:dyDescent="0.45">
      <c r="B283" s="27" t="str">
        <f>IFERROR(VLOOKUP(A283,القائمة!$A$3:$F$112,2,FALSE),"")</f>
        <v/>
      </c>
      <c r="C283" s="27" t="str">
        <f>IFERROR(VLOOKUP(A283,القائمة!$A$3:$F$112,3,FALSE),"")</f>
        <v/>
      </c>
      <c r="D283" s="36" t="str">
        <f>IFERROR(VLOOKUP(A283,القائمة!$A$3:$F$112,4,FALSE),"")</f>
        <v/>
      </c>
      <c r="E283" s="36" t="str">
        <f>IFERROR(VLOOKUP(A283,القائمة!$A$3:$F$112,5,FALSE),"")</f>
        <v/>
      </c>
      <c r="F283" s="37" t="str">
        <f>IFERROR(VLOOKUP(A283,القائمة!$A$3:$F$112,6,FALSE),"")</f>
        <v/>
      </c>
      <c r="I283" s="36"/>
      <c r="P283" s="27">
        <f t="shared" si="11"/>
        <v>0</v>
      </c>
      <c r="Q283" s="27">
        <f t="shared" si="10"/>
        <v>0</v>
      </c>
    </row>
    <row r="284" spans="2:17" x14ac:dyDescent="0.45">
      <c r="B284" s="27" t="str">
        <f>IFERROR(VLOOKUP(A284,القائمة!$A$3:$F$112,2,FALSE),"")</f>
        <v/>
      </c>
      <c r="C284" s="27" t="str">
        <f>IFERROR(VLOOKUP(A284,القائمة!$A$3:$F$112,3,FALSE),"")</f>
        <v/>
      </c>
      <c r="D284" s="36" t="str">
        <f>IFERROR(VLOOKUP(A284,القائمة!$A$3:$F$112,4,FALSE),"")</f>
        <v/>
      </c>
      <c r="E284" s="36" t="str">
        <f>IFERROR(VLOOKUP(A284,القائمة!$A$3:$F$112,5,FALSE),"")</f>
        <v/>
      </c>
      <c r="F284" s="37" t="str">
        <f>IFERROR(VLOOKUP(A284,القائمة!$A$3:$F$112,6,FALSE),"")</f>
        <v/>
      </c>
      <c r="I284" s="36"/>
      <c r="P284" s="27">
        <f t="shared" si="11"/>
        <v>0</v>
      </c>
      <c r="Q284" s="27">
        <f t="shared" si="10"/>
        <v>0</v>
      </c>
    </row>
    <row r="285" spans="2:17" x14ac:dyDescent="0.45">
      <c r="B285" s="27" t="str">
        <f>IFERROR(VLOOKUP(A285,القائمة!$A$3:$F$112,2,FALSE),"")</f>
        <v/>
      </c>
      <c r="C285" s="27" t="str">
        <f>IFERROR(VLOOKUP(A285,القائمة!$A$3:$F$112,3,FALSE),"")</f>
        <v/>
      </c>
      <c r="D285" s="36" t="str">
        <f>IFERROR(VLOOKUP(A285,القائمة!$A$3:$F$112,4,FALSE),"")</f>
        <v/>
      </c>
      <c r="E285" s="36" t="str">
        <f>IFERROR(VLOOKUP(A285,القائمة!$A$3:$F$112,5,FALSE),"")</f>
        <v/>
      </c>
      <c r="F285" s="37" t="str">
        <f>IFERROR(VLOOKUP(A285,القائمة!$A$3:$F$112,6,FALSE),"")</f>
        <v/>
      </c>
      <c r="I285" s="36"/>
      <c r="P285" s="27">
        <f t="shared" si="11"/>
        <v>0</v>
      </c>
      <c r="Q285" s="27">
        <f t="shared" si="10"/>
        <v>0</v>
      </c>
    </row>
    <row r="286" spans="2:17" x14ac:dyDescent="0.45">
      <c r="B286" s="27" t="str">
        <f>IFERROR(VLOOKUP(A286,القائمة!$A$3:$F$112,2,FALSE),"")</f>
        <v/>
      </c>
      <c r="C286" s="27" t="str">
        <f>IFERROR(VLOOKUP(A286,القائمة!$A$3:$F$112,3,FALSE),"")</f>
        <v/>
      </c>
      <c r="D286" s="36" t="str">
        <f>IFERROR(VLOOKUP(A286,القائمة!$A$3:$F$112,4,FALSE),"")</f>
        <v/>
      </c>
      <c r="E286" s="36" t="str">
        <f>IFERROR(VLOOKUP(A286,القائمة!$A$3:$F$112,5,FALSE),"")</f>
        <v/>
      </c>
      <c r="F286" s="37" t="str">
        <f>IFERROR(VLOOKUP(A286,القائمة!$A$3:$F$112,6,FALSE),"")</f>
        <v/>
      </c>
      <c r="I286" s="36"/>
      <c r="P286" s="27">
        <f t="shared" si="11"/>
        <v>0</v>
      </c>
      <c r="Q286" s="27">
        <f t="shared" si="10"/>
        <v>0</v>
      </c>
    </row>
    <row r="287" spans="2:17" x14ac:dyDescent="0.45">
      <c r="B287" s="27" t="str">
        <f>IFERROR(VLOOKUP(A287,القائمة!$A$3:$F$112,2,FALSE),"")</f>
        <v/>
      </c>
      <c r="C287" s="27" t="str">
        <f>IFERROR(VLOOKUP(A287,القائمة!$A$3:$F$112,3,FALSE),"")</f>
        <v/>
      </c>
      <c r="D287" s="36" t="str">
        <f>IFERROR(VLOOKUP(A287,القائمة!$A$3:$F$112,4,FALSE),"")</f>
        <v/>
      </c>
      <c r="E287" s="36" t="str">
        <f>IFERROR(VLOOKUP(A287,القائمة!$A$3:$F$112,5,FALSE),"")</f>
        <v/>
      </c>
      <c r="F287" s="37" t="str">
        <f>IFERROR(VLOOKUP(A287,القائمة!$A$3:$F$112,6,FALSE),"")</f>
        <v/>
      </c>
      <c r="I287" s="36"/>
      <c r="P287" s="27">
        <f t="shared" si="11"/>
        <v>0</v>
      </c>
      <c r="Q287" s="27">
        <f t="shared" si="10"/>
        <v>0</v>
      </c>
    </row>
    <row r="288" spans="2:17" x14ac:dyDescent="0.45">
      <c r="B288" s="27" t="str">
        <f>IFERROR(VLOOKUP(A288,القائمة!$A$3:$F$112,2,FALSE),"")</f>
        <v/>
      </c>
      <c r="C288" s="27" t="str">
        <f>IFERROR(VLOOKUP(A288,القائمة!$A$3:$F$112,3,FALSE),"")</f>
        <v/>
      </c>
      <c r="D288" s="36" t="str">
        <f>IFERROR(VLOOKUP(A288,القائمة!$A$3:$F$112,4,FALSE),"")</f>
        <v/>
      </c>
      <c r="E288" s="36" t="str">
        <f>IFERROR(VLOOKUP(A288,القائمة!$A$3:$F$112,5,FALSE),"")</f>
        <v/>
      </c>
      <c r="F288" s="37" t="str">
        <f>IFERROR(VLOOKUP(A288,القائمة!$A$3:$F$112,6,FALSE),"")</f>
        <v/>
      </c>
      <c r="I288" s="36"/>
      <c r="P288" s="27">
        <f t="shared" si="11"/>
        <v>0</v>
      </c>
      <c r="Q288" s="27">
        <f t="shared" si="10"/>
        <v>0</v>
      </c>
    </row>
    <row r="289" spans="2:17" x14ac:dyDescent="0.45">
      <c r="B289" s="27" t="str">
        <f>IFERROR(VLOOKUP(A289,القائمة!$A$3:$F$112,2,FALSE),"")</f>
        <v/>
      </c>
      <c r="C289" s="27" t="str">
        <f>IFERROR(VLOOKUP(A289,القائمة!$A$3:$F$112,3,FALSE),"")</f>
        <v/>
      </c>
      <c r="D289" s="36" t="str">
        <f>IFERROR(VLOOKUP(A289,القائمة!$A$3:$F$112,4,FALSE),"")</f>
        <v/>
      </c>
      <c r="E289" s="36" t="str">
        <f>IFERROR(VLOOKUP(A289,القائمة!$A$3:$F$112,5,FALSE),"")</f>
        <v/>
      </c>
      <c r="F289" s="37" t="str">
        <f>IFERROR(VLOOKUP(A289,القائمة!$A$3:$F$112,6,FALSE),"")</f>
        <v/>
      </c>
      <c r="I289" s="36"/>
      <c r="P289" s="27">
        <f t="shared" si="11"/>
        <v>0</v>
      </c>
      <c r="Q289" s="27">
        <f t="shared" si="10"/>
        <v>0</v>
      </c>
    </row>
    <row r="290" spans="2:17" x14ac:dyDescent="0.45">
      <c r="B290" s="27" t="str">
        <f>IFERROR(VLOOKUP(A290,القائمة!$A$3:$F$112,2,FALSE),"")</f>
        <v/>
      </c>
      <c r="C290" s="27" t="str">
        <f>IFERROR(VLOOKUP(A290,القائمة!$A$3:$F$112,3,FALSE),"")</f>
        <v/>
      </c>
      <c r="D290" s="36" t="str">
        <f>IFERROR(VLOOKUP(A290,القائمة!$A$3:$F$112,4,FALSE),"")</f>
        <v/>
      </c>
      <c r="E290" s="36" t="str">
        <f>IFERROR(VLOOKUP(A290,القائمة!$A$3:$F$112,5,FALSE),"")</f>
        <v/>
      </c>
      <c r="F290" s="37" t="str">
        <f>IFERROR(VLOOKUP(A290,القائمة!$A$3:$F$112,6,FALSE),"")</f>
        <v/>
      </c>
      <c r="I290" s="36"/>
      <c r="P290" s="27">
        <f t="shared" si="11"/>
        <v>0</v>
      </c>
      <c r="Q290" s="27">
        <f t="shared" si="10"/>
        <v>0</v>
      </c>
    </row>
    <row r="291" spans="2:17" x14ac:dyDescent="0.45">
      <c r="B291" s="27" t="str">
        <f>IFERROR(VLOOKUP(A291,القائمة!$A$3:$F$112,2,FALSE),"")</f>
        <v/>
      </c>
      <c r="C291" s="27" t="str">
        <f>IFERROR(VLOOKUP(A291,القائمة!$A$3:$F$112,3,FALSE),"")</f>
        <v/>
      </c>
      <c r="D291" s="36" t="str">
        <f>IFERROR(VLOOKUP(A291,القائمة!$A$3:$F$112,4,FALSE),"")</f>
        <v/>
      </c>
      <c r="E291" s="36" t="str">
        <f>IFERROR(VLOOKUP(A291,القائمة!$A$3:$F$112,5,FALSE),"")</f>
        <v/>
      </c>
      <c r="F291" s="37" t="str">
        <f>IFERROR(VLOOKUP(A291,القائمة!$A$3:$F$112,6,FALSE),"")</f>
        <v/>
      </c>
      <c r="I291" s="36"/>
      <c r="P291" s="27">
        <f t="shared" si="11"/>
        <v>0</v>
      </c>
      <c r="Q291" s="27">
        <f t="shared" si="10"/>
        <v>0</v>
      </c>
    </row>
    <row r="292" spans="2:17" x14ac:dyDescent="0.45">
      <c r="B292" s="27" t="str">
        <f>IFERROR(VLOOKUP(A292,القائمة!$A$3:$F$112,2,FALSE),"")</f>
        <v/>
      </c>
      <c r="C292" s="27" t="str">
        <f>IFERROR(VLOOKUP(A292,القائمة!$A$3:$F$112,3,FALSE),"")</f>
        <v/>
      </c>
      <c r="D292" s="36" t="str">
        <f>IFERROR(VLOOKUP(A292,القائمة!$A$3:$F$112,4,FALSE),"")</f>
        <v/>
      </c>
      <c r="E292" s="36" t="str">
        <f>IFERROR(VLOOKUP(A292,القائمة!$A$3:$F$112,5,FALSE),"")</f>
        <v/>
      </c>
      <c r="F292" s="37" t="str">
        <f>IFERROR(VLOOKUP(A292,القائمة!$A$3:$F$112,6,FALSE),"")</f>
        <v/>
      </c>
      <c r="I292" s="36"/>
      <c r="P292" s="27">
        <f t="shared" si="11"/>
        <v>0</v>
      </c>
      <c r="Q292" s="27">
        <f t="shared" si="10"/>
        <v>0</v>
      </c>
    </row>
    <row r="293" spans="2:17" x14ac:dyDescent="0.45">
      <c r="B293" s="27" t="str">
        <f>IFERROR(VLOOKUP(A293,القائمة!$A$3:$F$112,2,FALSE),"")</f>
        <v/>
      </c>
      <c r="C293" s="27" t="str">
        <f>IFERROR(VLOOKUP(A293,القائمة!$A$3:$F$112,3,FALSE),"")</f>
        <v/>
      </c>
      <c r="D293" s="36" t="str">
        <f>IFERROR(VLOOKUP(A293,القائمة!$A$3:$F$112,4,FALSE),"")</f>
        <v/>
      </c>
      <c r="E293" s="36" t="str">
        <f>IFERROR(VLOOKUP(A293,القائمة!$A$3:$F$112,5,FALSE),"")</f>
        <v/>
      </c>
      <c r="F293" s="37" t="str">
        <f>IFERROR(VLOOKUP(A293,القائمة!$A$3:$F$112,6,FALSE),"")</f>
        <v/>
      </c>
      <c r="I293" s="36"/>
      <c r="P293" s="27">
        <f t="shared" si="11"/>
        <v>0</v>
      </c>
      <c r="Q293" s="27">
        <f t="shared" si="10"/>
        <v>0</v>
      </c>
    </row>
    <row r="294" spans="2:17" x14ac:dyDescent="0.45">
      <c r="B294" s="27" t="str">
        <f>IFERROR(VLOOKUP(A294,القائمة!$A$3:$F$112,2,FALSE),"")</f>
        <v/>
      </c>
      <c r="C294" s="27" t="str">
        <f>IFERROR(VLOOKUP(A294,القائمة!$A$3:$F$112,3,FALSE),"")</f>
        <v/>
      </c>
      <c r="D294" s="36" t="str">
        <f>IFERROR(VLOOKUP(A294,القائمة!$A$3:$F$112,4,FALSE),"")</f>
        <v/>
      </c>
      <c r="E294" s="36" t="str">
        <f>IFERROR(VLOOKUP(A294,القائمة!$A$3:$F$112,5,FALSE),"")</f>
        <v/>
      </c>
      <c r="F294" s="37" t="str">
        <f>IFERROR(VLOOKUP(A294,القائمة!$A$3:$F$112,6,FALSE),"")</f>
        <v/>
      </c>
      <c r="I294" s="36"/>
      <c r="P294" s="27">
        <f t="shared" si="11"/>
        <v>0</v>
      </c>
      <c r="Q294" s="27">
        <f t="shared" si="10"/>
        <v>0</v>
      </c>
    </row>
    <row r="295" spans="2:17" x14ac:dyDescent="0.45">
      <c r="B295" s="27" t="str">
        <f>IFERROR(VLOOKUP(A295,القائمة!$A$3:$F$112,2,FALSE),"")</f>
        <v/>
      </c>
      <c r="C295" s="27" t="str">
        <f>IFERROR(VLOOKUP(A295,القائمة!$A$3:$F$112,3,FALSE),"")</f>
        <v/>
      </c>
      <c r="D295" s="36" t="str">
        <f>IFERROR(VLOOKUP(A295,القائمة!$A$3:$F$112,4,FALSE),"")</f>
        <v/>
      </c>
      <c r="E295" s="36" t="str">
        <f>IFERROR(VLOOKUP(A295,القائمة!$A$3:$F$112,5,FALSE),"")</f>
        <v/>
      </c>
      <c r="F295" s="37" t="str">
        <f>IFERROR(VLOOKUP(A295,القائمة!$A$3:$F$112,6,FALSE),"")</f>
        <v/>
      </c>
      <c r="I295" s="36"/>
      <c r="P295" s="27">
        <f t="shared" si="11"/>
        <v>0</v>
      </c>
      <c r="Q295" s="27">
        <f t="shared" si="10"/>
        <v>0</v>
      </c>
    </row>
    <row r="296" spans="2:17" x14ac:dyDescent="0.45">
      <c r="B296" s="27" t="str">
        <f>IFERROR(VLOOKUP(A296,القائمة!$A$3:$F$112,2,FALSE),"")</f>
        <v/>
      </c>
      <c r="C296" s="27" t="str">
        <f>IFERROR(VLOOKUP(A296,القائمة!$A$3:$F$112,3,FALSE),"")</f>
        <v/>
      </c>
      <c r="D296" s="36" t="str">
        <f>IFERROR(VLOOKUP(A296,القائمة!$A$3:$F$112,4,FALSE),"")</f>
        <v/>
      </c>
      <c r="E296" s="36" t="str">
        <f>IFERROR(VLOOKUP(A296,القائمة!$A$3:$F$112,5,FALSE),"")</f>
        <v/>
      </c>
      <c r="F296" s="37" t="str">
        <f>IFERROR(VLOOKUP(A296,القائمة!$A$3:$F$112,6,FALSE),"")</f>
        <v/>
      </c>
      <c r="I296" s="36"/>
      <c r="P296" s="27">
        <f t="shared" si="11"/>
        <v>0</v>
      </c>
      <c r="Q296" s="27">
        <f t="shared" si="10"/>
        <v>0</v>
      </c>
    </row>
    <row r="297" spans="2:17" x14ac:dyDescent="0.45">
      <c r="B297" s="27" t="str">
        <f>IFERROR(VLOOKUP(A297,القائمة!$A$3:$F$112,2,FALSE),"")</f>
        <v/>
      </c>
      <c r="C297" s="27" t="str">
        <f>IFERROR(VLOOKUP(A297,القائمة!$A$3:$F$112,3,FALSE),"")</f>
        <v/>
      </c>
      <c r="D297" s="36" t="str">
        <f>IFERROR(VLOOKUP(A297,القائمة!$A$3:$F$112,4,FALSE),"")</f>
        <v/>
      </c>
      <c r="E297" s="36" t="str">
        <f>IFERROR(VLOOKUP(A297,القائمة!$A$3:$F$112,5,FALSE),"")</f>
        <v/>
      </c>
      <c r="F297" s="37" t="str">
        <f>IFERROR(VLOOKUP(A297,القائمة!$A$3:$F$112,6,FALSE),"")</f>
        <v/>
      </c>
      <c r="I297" s="36"/>
      <c r="P297" s="27">
        <f t="shared" si="11"/>
        <v>0</v>
      </c>
      <c r="Q297" s="27">
        <f t="shared" si="10"/>
        <v>0</v>
      </c>
    </row>
    <row r="298" spans="2:17" x14ac:dyDescent="0.45">
      <c r="B298" s="27" t="str">
        <f>IFERROR(VLOOKUP(A298,القائمة!$A$3:$F$112,2,FALSE),"")</f>
        <v/>
      </c>
      <c r="C298" s="27" t="str">
        <f>IFERROR(VLOOKUP(A298,القائمة!$A$3:$F$112,3,FALSE),"")</f>
        <v/>
      </c>
      <c r="D298" s="36" t="str">
        <f>IFERROR(VLOOKUP(A298,القائمة!$A$3:$F$112,4,FALSE),"")</f>
        <v/>
      </c>
      <c r="E298" s="36" t="str">
        <f>IFERROR(VLOOKUP(A298,القائمة!$A$3:$F$112,5,FALSE),"")</f>
        <v/>
      </c>
      <c r="F298" s="37" t="str">
        <f>IFERROR(VLOOKUP(A298,القائمة!$A$3:$F$112,6,FALSE),"")</f>
        <v/>
      </c>
      <c r="I298" s="36"/>
      <c r="P298" s="27">
        <f t="shared" si="11"/>
        <v>0</v>
      </c>
      <c r="Q298" s="27">
        <f t="shared" si="10"/>
        <v>0</v>
      </c>
    </row>
    <row r="299" spans="2:17" x14ac:dyDescent="0.45">
      <c r="B299" s="27" t="str">
        <f>IFERROR(VLOOKUP(A299,القائمة!$A$3:$F$112,2,FALSE),"")</f>
        <v/>
      </c>
      <c r="C299" s="27" t="str">
        <f>IFERROR(VLOOKUP(A299,القائمة!$A$3:$F$112,3,FALSE),"")</f>
        <v/>
      </c>
      <c r="D299" s="36" t="str">
        <f>IFERROR(VLOOKUP(A299,القائمة!$A$3:$F$112,4,FALSE),"")</f>
        <v/>
      </c>
      <c r="E299" s="36" t="str">
        <f>IFERROR(VLOOKUP(A299,القائمة!$A$3:$F$112,5,FALSE),"")</f>
        <v/>
      </c>
      <c r="F299" s="37" t="str">
        <f>IFERROR(VLOOKUP(A299,القائمة!$A$3:$F$112,6,FALSE),"")</f>
        <v/>
      </c>
      <c r="I299" s="36"/>
      <c r="P299" s="27">
        <f t="shared" si="11"/>
        <v>0</v>
      </c>
      <c r="Q299" s="27">
        <f t="shared" si="10"/>
        <v>0</v>
      </c>
    </row>
    <row r="300" spans="2:17" x14ac:dyDescent="0.45">
      <c r="B300" s="27" t="str">
        <f>IFERROR(VLOOKUP(A300,القائمة!$A$3:$F$112,2,FALSE),"")</f>
        <v/>
      </c>
      <c r="C300" s="27" t="str">
        <f>IFERROR(VLOOKUP(A300,القائمة!$A$3:$F$112,3,FALSE),"")</f>
        <v/>
      </c>
      <c r="D300" s="36" t="str">
        <f>IFERROR(VLOOKUP(A300,القائمة!$A$3:$F$112,4,FALSE),"")</f>
        <v/>
      </c>
      <c r="E300" s="36" t="str">
        <f>IFERROR(VLOOKUP(A300,القائمة!$A$3:$F$112,5,FALSE),"")</f>
        <v/>
      </c>
      <c r="F300" s="37" t="str">
        <f>IFERROR(VLOOKUP(A300,القائمة!$A$3:$F$112,6,FALSE),"")</f>
        <v/>
      </c>
      <c r="I300" s="36"/>
      <c r="P300" s="27">
        <f t="shared" si="11"/>
        <v>0</v>
      </c>
      <c r="Q300" s="27">
        <f t="shared" si="10"/>
        <v>0</v>
      </c>
    </row>
    <row r="301" spans="2:17" x14ac:dyDescent="0.45">
      <c r="B301" s="27" t="str">
        <f>IFERROR(VLOOKUP(A301,القائمة!$A$3:$F$112,2,FALSE),"")</f>
        <v/>
      </c>
      <c r="C301" s="27" t="str">
        <f>IFERROR(VLOOKUP(A301,القائمة!$A$3:$F$112,3,FALSE),"")</f>
        <v/>
      </c>
      <c r="D301" s="36" t="str">
        <f>IFERROR(VLOOKUP(A301,القائمة!$A$3:$F$112,4,FALSE),"")</f>
        <v/>
      </c>
      <c r="E301" s="36" t="str">
        <f>IFERROR(VLOOKUP(A301,القائمة!$A$3:$F$112,5,FALSE),"")</f>
        <v/>
      </c>
      <c r="F301" s="37" t="str">
        <f>IFERROR(VLOOKUP(A301,القائمة!$A$3:$F$112,6,FALSE),"")</f>
        <v/>
      </c>
      <c r="I301" s="36"/>
      <c r="P301" s="27">
        <f t="shared" si="11"/>
        <v>0</v>
      </c>
      <c r="Q301" s="27">
        <f t="shared" si="10"/>
        <v>0</v>
      </c>
    </row>
    <row r="302" spans="2:17" x14ac:dyDescent="0.45">
      <c r="B302" s="27" t="str">
        <f>IFERROR(VLOOKUP(A302,القائمة!$A$3:$F$112,2,FALSE),"")</f>
        <v/>
      </c>
      <c r="C302" s="27" t="str">
        <f>IFERROR(VLOOKUP(A302,القائمة!$A$3:$F$112,3,FALSE),"")</f>
        <v/>
      </c>
      <c r="D302" s="36" t="str">
        <f>IFERROR(VLOOKUP(A302,القائمة!$A$3:$F$112,4,FALSE),"")</f>
        <v/>
      </c>
      <c r="E302" s="36" t="str">
        <f>IFERROR(VLOOKUP(A302,القائمة!$A$3:$F$112,5,FALSE),"")</f>
        <v/>
      </c>
      <c r="F302" s="37" t="str">
        <f>IFERROR(VLOOKUP(A302,القائمة!$A$3:$F$112,6,FALSE),"")</f>
        <v/>
      </c>
      <c r="I302" s="36"/>
      <c r="P302" s="27">
        <f t="shared" si="11"/>
        <v>0</v>
      </c>
      <c r="Q302" s="27">
        <f t="shared" si="10"/>
        <v>0</v>
      </c>
    </row>
    <row r="303" spans="2:17" x14ac:dyDescent="0.45">
      <c r="B303" s="27" t="str">
        <f>IFERROR(VLOOKUP(A303,القائمة!$A$3:$F$112,2,FALSE),"")</f>
        <v/>
      </c>
      <c r="C303" s="27" t="str">
        <f>IFERROR(VLOOKUP(A303,القائمة!$A$3:$F$112,3,FALSE),"")</f>
        <v/>
      </c>
      <c r="D303" s="36" t="str">
        <f>IFERROR(VLOOKUP(A303,القائمة!$A$3:$F$112,4,FALSE),"")</f>
        <v/>
      </c>
      <c r="E303" s="36" t="str">
        <f>IFERROR(VLOOKUP(A303,القائمة!$A$3:$F$112,5,FALSE),"")</f>
        <v/>
      </c>
      <c r="F303" s="37" t="str">
        <f>IFERROR(VLOOKUP(A303,القائمة!$A$3:$F$112,6,FALSE),"")</f>
        <v/>
      </c>
      <c r="I303" s="36"/>
      <c r="P303" s="27">
        <f t="shared" si="11"/>
        <v>0</v>
      </c>
      <c r="Q303" s="27">
        <f t="shared" si="10"/>
        <v>0</v>
      </c>
    </row>
    <row r="304" spans="2:17" x14ac:dyDescent="0.45">
      <c r="B304" s="27" t="str">
        <f>IFERROR(VLOOKUP(A304,القائمة!$A$3:$F$112,2,FALSE),"")</f>
        <v/>
      </c>
      <c r="C304" s="27" t="str">
        <f>IFERROR(VLOOKUP(A304,القائمة!$A$3:$F$112,3,FALSE),"")</f>
        <v/>
      </c>
      <c r="D304" s="36" t="str">
        <f>IFERROR(VLOOKUP(A304,القائمة!$A$3:$F$112,4,FALSE),"")</f>
        <v/>
      </c>
      <c r="E304" s="36" t="str">
        <f>IFERROR(VLOOKUP(A304,القائمة!$A$3:$F$112,5,FALSE),"")</f>
        <v/>
      </c>
      <c r="F304" s="37" t="str">
        <f>IFERROR(VLOOKUP(A304,القائمة!$A$3:$F$112,6,FALSE),"")</f>
        <v/>
      </c>
      <c r="I304" s="36"/>
      <c r="P304" s="27">
        <f t="shared" si="11"/>
        <v>0</v>
      </c>
      <c r="Q304" s="27">
        <f t="shared" si="10"/>
        <v>0</v>
      </c>
    </row>
    <row r="305" spans="2:17" x14ac:dyDescent="0.45">
      <c r="B305" s="27" t="str">
        <f>IFERROR(VLOOKUP(A305,القائمة!$A$3:$F$112,2,FALSE),"")</f>
        <v/>
      </c>
      <c r="C305" s="27" t="str">
        <f>IFERROR(VLOOKUP(A305,القائمة!$A$3:$F$112,3,FALSE),"")</f>
        <v/>
      </c>
      <c r="D305" s="36" t="str">
        <f>IFERROR(VLOOKUP(A305,القائمة!$A$3:$F$112,4,FALSE),"")</f>
        <v/>
      </c>
      <c r="E305" s="36" t="str">
        <f>IFERROR(VLOOKUP(A305,القائمة!$A$3:$F$112,5,FALSE),"")</f>
        <v/>
      </c>
      <c r="F305" s="37" t="str">
        <f>IFERROR(VLOOKUP(A305,القائمة!$A$3:$F$112,6,FALSE),"")</f>
        <v/>
      </c>
      <c r="I305" s="36"/>
      <c r="P305" s="27">
        <f t="shared" si="11"/>
        <v>0</v>
      </c>
      <c r="Q305" s="27">
        <f t="shared" si="10"/>
        <v>0</v>
      </c>
    </row>
    <row r="306" spans="2:17" x14ac:dyDescent="0.45">
      <c r="B306" s="27" t="str">
        <f>IFERROR(VLOOKUP(A306,القائمة!$A$3:$F$112,2,FALSE),"")</f>
        <v/>
      </c>
      <c r="C306" s="27" t="str">
        <f>IFERROR(VLOOKUP(A306,القائمة!$A$3:$F$112,3,FALSE),"")</f>
        <v/>
      </c>
      <c r="D306" s="36" t="str">
        <f>IFERROR(VLOOKUP(A306,القائمة!$A$3:$F$112,4,FALSE),"")</f>
        <v/>
      </c>
      <c r="E306" s="36" t="str">
        <f>IFERROR(VLOOKUP(A306,القائمة!$A$3:$F$112,5,FALSE),"")</f>
        <v/>
      </c>
      <c r="F306" s="37" t="str">
        <f>IFERROR(VLOOKUP(A306,القائمة!$A$3:$F$112,6,FALSE),"")</f>
        <v/>
      </c>
      <c r="I306" s="36"/>
      <c r="P306" s="27">
        <f t="shared" si="11"/>
        <v>0</v>
      </c>
      <c r="Q306" s="27">
        <f t="shared" si="10"/>
        <v>0</v>
      </c>
    </row>
    <row r="307" spans="2:17" x14ac:dyDescent="0.45">
      <c r="B307" s="27" t="str">
        <f>IFERROR(VLOOKUP(A307,القائمة!$A$3:$F$112,2,FALSE),"")</f>
        <v/>
      </c>
      <c r="C307" s="27" t="str">
        <f>IFERROR(VLOOKUP(A307,القائمة!$A$3:$F$112,3,FALSE),"")</f>
        <v/>
      </c>
      <c r="D307" s="36" t="str">
        <f>IFERROR(VLOOKUP(A307,القائمة!$A$3:$F$112,4,FALSE),"")</f>
        <v/>
      </c>
      <c r="E307" s="36" t="str">
        <f>IFERROR(VLOOKUP(A307,القائمة!$A$3:$F$112,5,FALSE),"")</f>
        <v/>
      </c>
      <c r="F307" s="37" t="str">
        <f>IFERROR(VLOOKUP(A307,القائمة!$A$3:$F$112,6,FALSE),"")</f>
        <v/>
      </c>
      <c r="I307" s="36"/>
      <c r="P307" s="27">
        <f t="shared" si="11"/>
        <v>0</v>
      </c>
      <c r="Q307" s="27">
        <f t="shared" si="10"/>
        <v>0</v>
      </c>
    </row>
    <row r="308" spans="2:17" x14ac:dyDescent="0.45">
      <c r="B308" s="27" t="str">
        <f>IFERROR(VLOOKUP(A308,القائمة!$A$3:$F$112,2,FALSE),"")</f>
        <v/>
      </c>
      <c r="C308" s="27" t="str">
        <f>IFERROR(VLOOKUP(A308,القائمة!$A$3:$F$112,3,FALSE),"")</f>
        <v/>
      </c>
      <c r="D308" s="36" t="str">
        <f>IFERROR(VLOOKUP(A308,القائمة!$A$3:$F$112,4,FALSE),"")</f>
        <v/>
      </c>
      <c r="E308" s="36" t="str">
        <f>IFERROR(VLOOKUP(A308,القائمة!$A$3:$F$112,5,FALSE),"")</f>
        <v/>
      </c>
      <c r="F308" s="37" t="str">
        <f>IFERROR(VLOOKUP(A308,القائمة!$A$3:$F$112,6,FALSE),"")</f>
        <v/>
      </c>
      <c r="I308" s="36"/>
      <c r="P308" s="27">
        <f t="shared" si="11"/>
        <v>0</v>
      </c>
      <c r="Q308" s="27">
        <f t="shared" si="10"/>
        <v>0</v>
      </c>
    </row>
    <row r="309" spans="2:17" x14ac:dyDescent="0.45">
      <c r="B309" s="27" t="str">
        <f>IFERROR(VLOOKUP(A309,القائمة!$A$3:$F$112,2,FALSE),"")</f>
        <v/>
      </c>
      <c r="C309" s="27" t="str">
        <f>IFERROR(VLOOKUP(A309,القائمة!$A$3:$F$112,3,FALSE),"")</f>
        <v/>
      </c>
      <c r="D309" s="36" t="str">
        <f>IFERROR(VLOOKUP(A309,القائمة!$A$3:$F$112,4,FALSE),"")</f>
        <v/>
      </c>
      <c r="E309" s="36" t="str">
        <f>IFERROR(VLOOKUP(A309,القائمة!$A$3:$F$112,5,FALSE),"")</f>
        <v/>
      </c>
      <c r="F309" s="37" t="str">
        <f>IFERROR(VLOOKUP(A309,القائمة!$A$3:$F$112,6,FALSE),"")</f>
        <v/>
      </c>
      <c r="I309" s="36"/>
      <c r="P309" s="27">
        <f t="shared" si="11"/>
        <v>0</v>
      </c>
      <c r="Q309" s="27">
        <f t="shared" si="10"/>
        <v>0</v>
      </c>
    </row>
    <row r="310" spans="2:17" x14ac:dyDescent="0.45">
      <c r="B310" s="27" t="str">
        <f>IFERROR(VLOOKUP(A310,القائمة!$A$3:$F$112,2,FALSE),"")</f>
        <v/>
      </c>
      <c r="C310" s="27" t="str">
        <f>IFERROR(VLOOKUP(A310,القائمة!$A$3:$F$112,3,FALSE),"")</f>
        <v/>
      </c>
      <c r="D310" s="36" t="str">
        <f>IFERROR(VLOOKUP(A310,القائمة!$A$3:$F$112,4,FALSE),"")</f>
        <v/>
      </c>
      <c r="E310" s="36" t="str">
        <f>IFERROR(VLOOKUP(A310,القائمة!$A$3:$F$112,5,FALSE),"")</f>
        <v/>
      </c>
      <c r="F310" s="37" t="str">
        <f>IFERROR(VLOOKUP(A310,القائمة!$A$3:$F$112,6,FALSE),"")</f>
        <v/>
      </c>
      <c r="I310" s="36"/>
      <c r="P310" s="27">
        <f t="shared" si="11"/>
        <v>0</v>
      </c>
      <c r="Q310" s="27">
        <f t="shared" si="10"/>
        <v>0</v>
      </c>
    </row>
    <row r="311" spans="2:17" x14ac:dyDescent="0.45">
      <c r="B311" s="27" t="str">
        <f>IFERROR(VLOOKUP(A311,القائمة!$A$3:$F$112,2,FALSE),"")</f>
        <v/>
      </c>
      <c r="C311" s="27" t="str">
        <f>IFERROR(VLOOKUP(A311,القائمة!$A$3:$F$112,3,FALSE),"")</f>
        <v/>
      </c>
      <c r="D311" s="36" t="str">
        <f>IFERROR(VLOOKUP(A311,القائمة!$A$3:$F$112,4,FALSE),"")</f>
        <v/>
      </c>
      <c r="E311" s="36" t="str">
        <f>IFERROR(VLOOKUP(A311,القائمة!$A$3:$F$112,5,FALSE),"")</f>
        <v/>
      </c>
      <c r="F311" s="37" t="str">
        <f>IFERROR(VLOOKUP(A311,القائمة!$A$3:$F$112,6,FALSE),"")</f>
        <v/>
      </c>
      <c r="I311" s="36"/>
      <c r="P311" s="27">
        <f t="shared" si="11"/>
        <v>0</v>
      </c>
      <c r="Q311" s="27">
        <f t="shared" si="10"/>
        <v>0</v>
      </c>
    </row>
    <row r="312" spans="2:17" x14ac:dyDescent="0.45">
      <c r="B312" s="27" t="str">
        <f>IFERROR(VLOOKUP(A312,القائمة!$A$3:$F$112,2,FALSE),"")</f>
        <v/>
      </c>
      <c r="C312" s="27" t="str">
        <f>IFERROR(VLOOKUP(A312,القائمة!$A$3:$F$112,3,FALSE),"")</f>
        <v/>
      </c>
      <c r="D312" s="36" t="str">
        <f>IFERROR(VLOOKUP(A312,القائمة!$A$3:$F$112,4,FALSE),"")</f>
        <v/>
      </c>
      <c r="E312" s="36" t="str">
        <f>IFERROR(VLOOKUP(A312,القائمة!$A$3:$F$112,5,FALSE),"")</f>
        <v/>
      </c>
      <c r="F312" s="37" t="str">
        <f>IFERROR(VLOOKUP(A312,القائمة!$A$3:$F$112,6,FALSE),"")</f>
        <v/>
      </c>
      <c r="I312" s="36"/>
      <c r="P312" s="27">
        <f t="shared" si="11"/>
        <v>0</v>
      </c>
      <c r="Q312" s="27">
        <f t="shared" si="10"/>
        <v>0</v>
      </c>
    </row>
    <row r="313" spans="2:17" x14ac:dyDescent="0.45">
      <c r="B313" s="27" t="str">
        <f>IFERROR(VLOOKUP(A313,القائمة!$A$3:$F$112,2,FALSE),"")</f>
        <v/>
      </c>
      <c r="C313" s="27" t="str">
        <f>IFERROR(VLOOKUP(A313,القائمة!$A$3:$F$112,3,FALSE),"")</f>
        <v/>
      </c>
      <c r="D313" s="36" t="str">
        <f>IFERROR(VLOOKUP(A313,القائمة!$A$3:$F$112,4,FALSE),"")</f>
        <v/>
      </c>
      <c r="E313" s="36" t="str">
        <f>IFERROR(VLOOKUP(A313,القائمة!$A$3:$F$112,5,FALSE),"")</f>
        <v/>
      </c>
      <c r="F313" s="37" t="str">
        <f>IFERROR(VLOOKUP(A313,القائمة!$A$3:$F$112,6,FALSE),"")</f>
        <v/>
      </c>
      <c r="I313" s="36"/>
      <c r="P313" s="27">
        <f t="shared" si="11"/>
        <v>0</v>
      </c>
      <c r="Q313" s="27">
        <f t="shared" si="10"/>
        <v>0</v>
      </c>
    </row>
    <row r="314" spans="2:17" x14ac:dyDescent="0.45">
      <c r="B314" s="27" t="str">
        <f>IFERROR(VLOOKUP(A314,القائمة!$A$3:$F$112,2,FALSE),"")</f>
        <v/>
      </c>
      <c r="C314" s="27" t="str">
        <f>IFERROR(VLOOKUP(A314,القائمة!$A$3:$F$112,3,FALSE),"")</f>
        <v/>
      </c>
      <c r="D314" s="36" t="str">
        <f>IFERROR(VLOOKUP(A314,القائمة!$A$3:$F$112,4,FALSE),"")</f>
        <v/>
      </c>
      <c r="E314" s="36" t="str">
        <f>IFERROR(VLOOKUP(A314,القائمة!$A$3:$F$112,5,FALSE),"")</f>
        <v/>
      </c>
      <c r="F314" s="37" t="str">
        <f>IFERROR(VLOOKUP(A314,القائمة!$A$3:$F$112,6,FALSE),"")</f>
        <v/>
      </c>
      <c r="I314" s="36"/>
      <c r="P314" s="27">
        <f t="shared" si="11"/>
        <v>0</v>
      </c>
      <c r="Q314" s="27">
        <f t="shared" si="10"/>
        <v>0</v>
      </c>
    </row>
    <row r="315" spans="2:17" x14ac:dyDescent="0.45">
      <c r="B315" s="27" t="str">
        <f>IFERROR(VLOOKUP(A315,القائمة!$A$3:$F$112,2,FALSE),"")</f>
        <v/>
      </c>
      <c r="C315" s="27" t="str">
        <f>IFERROR(VLOOKUP(A315,القائمة!$A$3:$F$112,3,FALSE),"")</f>
        <v/>
      </c>
      <c r="D315" s="36" t="str">
        <f>IFERROR(VLOOKUP(A315,القائمة!$A$3:$F$112,4,FALSE),"")</f>
        <v/>
      </c>
      <c r="E315" s="36" t="str">
        <f>IFERROR(VLOOKUP(A315,القائمة!$A$3:$F$112,5,FALSE),"")</f>
        <v/>
      </c>
      <c r="F315" s="37" t="str">
        <f>IFERROR(VLOOKUP(A315,القائمة!$A$3:$F$112,6,FALSE),"")</f>
        <v/>
      </c>
      <c r="I315" s="36"/>
      <c r="P315" s="27">
        <f t="shared" si="11"/>
        <v>0</v>
      </c>
      <c r="Q315" s="27">
        <f t="shared" si="10"/>
        <v>0</v>
      </c>
    </row>
    <row r="316" spans="2:17" x14ac:dyDescent="0.45">
      <c r="B316" s="27" t="str">
        <f>IFERROR(VLOOKUP(A316,القائمة!$A$3:$F$112,2,FALSE),"")</f>
        <v/>
      </c>
      <c r="C316" s="27" t="str">
        <f>IFERROR(VLOOKUP(A316,القائمة!$A$3:$F$112,3,FALSE),"")</f>
        <v/>
      </c>
      <c r="D316" s="36" t="str">
        <f>IFERROR(VLOOKUP(A316,القائمة!$A$3:$F$112,4,FALSE),"")</f>
        <v/>
      </c>
      <c r="E316" s="36" t="str">
        <f>IFERROR(VLOOKUP(A316,القائمة!$A$3:$F$112,5,FALSE),"")</f>
        <v/>
      </c>
      <c r="F316" s="37" t="str">
        <f>IFERROR(VLOOKUP(A316,القائمة!$A$3:$F$112,6,FALSE),"")</f>
        <v/>
      </c>
      <c r="I316" s="36"/>
      <c r="P316" s="27">
        <f t="shared" si="11"/>
        <v>0</v>
      </c>
      <c r="Q316" s="27">
        <f t="shared" si="10"/>
        <v>0</v>
      </c>
    </row>
    <row r="317" spans="2:17" x14ac:dyDescent="0.45">
      <c r="B317" s="27" t="str">
        <f>IFERROR(VLOOKUP(A317,القائمة!$A$3:$F$112,2,FALSE),"")</f>
        <v/>
      </c>
      <c r="C317" s="27" t="str">
        <f>IFERROR(VLOOKUP(A317,القائمة!$A$3:$F$112,3,FALSE),"")</f>
        <v/>
      </c>
      <c r="D317" s="36" t="str">
        <f>IFERROR(VLOOKUP(A317,القائمة!$A$3:$F$112,4,FALSE),"")</f>
        <v/>
      </c>
      <c r="E317" s="36" t="str">
        <f>IFERROR(VLOOKUP(A317,القائمة!$A$3:$F$112,5,FALSE),"")</f>
        <v/>
      </c>
      <c r="F317" s="37" t="str">
        <f>IFERROR(VLOOKUP(A317,القائمة!$A$3:$F$112,6,FALSE),"")</f>
        <v/>
      </c>
      <c r="I317" s="36"/>
      <c r="P317" s="27">
        <f t="shared" si="11"/>
        <v>0</v>
      </c>
      <c r="Q317" s="27">
        <f t="shared" si="10"/>
        <v>0</v>
      </c>
    </row>
    <row r="318" spans="2:17" x14ac:dyDescent="0.45">
      <c r="B318" s="27" t="str">
        <f>IFERROR(VLOOKUP(A318,القائمة!$A$3:$F$112,2,FALSE),"")</f>
        <v/>
      </c>
      <c r="C318" s="27" t="str">
        <f>IFERROR(VLOOKUP(A318,القائمة!$A$3:$F$112,3,FALSE),"")</f>
        <v/>
      </c>
      <c r="D318" s="36" t="str">
        <f>IFERROR(VLOOKUP(A318,القائمة!$A$3:$F$112,4,FALSE),"")</f>
        <v/>
      </c>
      <c r="E318" s="36" t="str">
        <f>IFERROR(VLOOKUP(A318,القائمة!$A$3:$F$112,5,FALSE),"")</f>
        <v/>
      </c>
      <c r="F318" s="37" t="str">
        <f>IFERROR(VLOOKUP(A318,القائمة!$A$3:$F$112,6,FALSE),"")</f>
        <v/>
      </c>
      <c r="I318" s="36"/>
      <c r="P318" s="27">
        <f t="shared" si="11"/>
        <v>0</v>
      </c>
      <c r="Q318" s="27">
        <f t="shared" si="10"/>
        <v>0</v>
      </c>
    </row>
    <row r="319" spans="2:17" x14ac:dyDescent="0.45">
      <c r="B319" s="27" t="str">
        <f>IFERROR(VLOOKUP(A319,القائمة!$A$3:$F$112,2,FALSE),"")</f>
        <v/>
      </c>
      <c r="C319" s="27" t="str">
        <f>IFERROR(VLOOKUP(A319,القائمة!$A$3:$F$112,3,FALSE),"")</f>
        <v/>
      </c>
      <c r="D319" s="36" t="str">
        <f>IFERROR(VLOOKUP(A319,القائمة!$A$3:$F$112,4,FALSE),"")</f>
        <v/>
      </c>
      <c r="E319" s="36" t="str">
        <f>IFERROR(VLOOKUP(A319,القائمة!$A$3:$F$112,5,FALSE),"")</f>
        <v/>
      </c>
      <c r="F319" s="37" t="str">
        <f>IFERROR(VLOOKUP(A319,القائمة!$A$3:$F$112,6,FALSE),"")</f>
        <v/>
      </c>
      <c r="I319" s="36"/>
      <c r="P319" s="27">
        <f t="shared" si="11"/>
        <v>0</v>
      </c>
      <c r="Q319" s="27">
        <f t="shared" si="10"/>
        <v>0</v>
      </c>
    </row>
    <row r="320" spans="2:17" x14ac:dyDescent="0.45">
      <c r="B320" s="27" t="str">
        <f>IFERROR(VLOOKUP(A320,القائمة!$A$3:$F$112,2,FALSE),"")</f>
        <v/>
      </c>
      <c r="C320" s="27" t="str">
        <f>IFERROR(VLOOKUP(A320,القائمة!$A$3:$F$112,3,FALSE),"")</f>
        <v/>
      </c>
      <c r="D320" s="36" t="str">
        <f>IFERROR(VLOOKUP(A320,القائمة!$A$3:$F$112,4,FALSE),"")</f>
        <v/>
      </c>
      <c r="E320" s="36" t="str">
        <f>IFERROR(VLOOKUP(A320,القائمة!$A$3:$F$112,5,FALSE),"")</f>
        <v/>
      </c>
      <c r="F320" s="37" t="str">
        <f>IFERROR(VLOOKUP(A320,القائمة!$A$3:$F$112,6,FALSE),"")</f>
        <v/>
      </c>
      <c r="I320" s="36"/>
      <c r="P320" s="27">
        <f t="shared" si="11"/>
        <v>0</v>
      </c>
      <c r="Q320" s="27">
        <f t="shared" si="10"/>
        <v>0</v>
      </c>
    </row>
    <row r="321" spans="2:17" x14ac:dyDescent="0.45">
      <c r="B321" s="27" t="str">
        <f>IFERROR(VLOOKUP(A321,القائمة!$A$3:$F$112,2,FALSE),"")</f>
        <v/>
      </c>
      <c r="C321" s="27" t="str">
        <f>IFERROR(VLOOKUP(A321,القائمة!$A$3:$F$112,3,FALSE),"")</f>
        <v/>
      </c>
      <c r="D321" s="36" t="str">
        <f>IFERROR(VLOOKUP(A321,القائمة!$A$3:$F$112,4,FALSE),"")</f>
        <v/>
      </c>
      <c r="E321" s="36" t="str">
        <f>IFERROR(VLOOKUP(A321,القائمة!$A$3:$F$112,5,FALSE),"")</f>
        <v/>
      </c>
      <c r="F321" s="37" t="str">
        <f>IFERROR(VLOOKUP(A321,القائمة!$A$3:$F$112,6,FALSE),"")</f>
        <v/>
      </c>
      <c r="I321" s="36"/>
      <c r="P321" s="27">
        <f t="shared" si="11"/>
        <v>0</v>
      </c>
      <c r="Q321" s="27">
        <f t="shared" si="10"/>
        <v>0</v>
      </c>
    </row>
    <row r="322" spans="2:17" x14ac:dyDescent="0.45">
      <c r="B322" s="27" t="str">
        <f>IFERROR(VLOOKUP(A322,القائمة!$A$3:$F$112,2,FALSE),"")</f>
        <v/>
      </c>
      <c r="C322" s="27" t="str">
        <f>IFERROR(VLOOKUP(A322,القائمة!$A$3:$F$112,3,FALSE),"")</f>
        <v/>
      </c>
      <c r="D322" s="36" t="str">
        <f>IFERROR(VLOOKUP(A322,القائمة!$A$3:$F$112,4,FALSE),"")</f>
        <v/>
      </c>
      <c r="E322" s="36" t="str">
        <f>IFERROR(VLOOKUP(A322,القائمة!$A$3:$F$112,5,FALSE),"")</f>
        <v/>
      </c>
      <c r="F322" s="37" t="str">
        <f>IFERROR(VLOOKUP(A322,القائمة!$A$3:$F$112,6,FALSE),"")</f>
        <v/>
      </c>
      <c r="I322" s="36"/>
      <c r="P322" s="27">
        <f t="shared" si="11"/>
        <v>0</v>
      </c>
      <c r="Q322" s="27">
        <f t="shared" si="10"/>
        <v>0</v>
      </c>
    </row>
    <row r="323" spans="2:17" x14ac:dyDescent="0.45">
      <c r="B323" s="27" t="str">
        <f>IFERROR(VLOOKUP(A323,القائمة!$A$3:$F$112,2,FALSE),"")</f>
        <v/>
      </c>
      <c r="C323" s="27" t="str">
        <f>IFERROR(VLOOKUP(A323,القائمة!$A$3:$F$112,3,FALSE),"")</f>
        <v/>
      </c>
      <c r="D323" s="36" t="str">
        <f>IFERROR(VLOOKUP(A323,القائمة!$A$3:$F$112,4,FALSE),"")</f>
        <v/>
      </c>
      <c r="E323" s="36" t="str">
        <f>IFERROR(VLOOKUP(A323,القائمة!$A$3:$F$112,5,FALSE),"")</f>
        <v/>
      </c>
      <c r="F323" s="37" t="str">
        <f>IFERROR(VLOOKUP(A323,القائمة!$A$3:$F$112,6,FALSE),"")</f>
        <v/>
      </c>
      <c r="I323" s="36"/>
      <c r="P323" s="27">
        <f t="shared" si="11"/>
        <v>0</v>
      </c>
      <c r="Q323" s="27">
        <f t="shared" ref="Q323:Q386" si="12">+P323+L323-M323</f>
        <v>0</v>
      </c>
    </row>
    <row r="324" spans="2:17" x14ac:dyDescent="0.45">
      <c r="B324" s="27" t="str">
        <f>IFERROR(VLOOKUP(A324,القائمة!$A$3:$F$112,2,FALSE),"")</f>
        <v/>
      </c>
      <c r="C324" s="27" t="str">
        <f>IFERROR(VLOOKUP(A324,القائمة!$A$3:$F$112,3,FALSE),"")</f>
        <v/>
      </c>
      <c r="D324" s="36" t="str">
        <f>IFERROR(VLOOKUP(A324,القائمة!$A$3:$F$112,4,FALSE),"")</f>
        <v/>
      </c>
      <c r="E324" s="36" t="str">
        <f>IFERROR(VLOOKUP(A324,القائمة!$A$3:$F$112,5,FALSE),"")</f>
        <v/>
      </c>
      <c r="F324" s="37" t="str">
        <f>IFERROR(VLOOKUP(A324,القائمة!$A$3:$F$112,6,FALSE),"")</f>
        <v/>
      </c>
      <c r="I324" s="36"/>
      <c r="P324" s="27">
        <f t="shared" ref="P324:P387" si="13">J324-K324</f>
        <v>0</v>
      </c>
      <c r="Q324" s="27">
        <f t="shared" si="12"/>
        <v>0</v>
      </c>
    </row>
    <row r="325" spans="2:17" x14ac:dyDescent="0.45">
      <c r="B325" s="27" t="str">
        <f>IFERROR(VLOOKUP(A325,القائمة!$A$3:$F$112,2,FALSE),"")</f>
        <v/>
      </c>
      <c r="C325" s="27" t="str">
        <f>IFERROR(VLOOKUP(A325,القائمة!$A$3:$F$112,3,FALSE),"")</f>
        <v/>
      </c>
      <c r="D325" s="36" t="str">
        <f>IFERROR(VLOOKUP(A325,القائمة!$A$3:$F$112,4,FALSE),"")</f>
        <v/>
      </c>
      <c r="E325" s="36" t="str">
        <f>IFERROR(VLOOKUP(A325,القائمة!$A$3:$F$112,5,FALSE),"")</f>
        <v/>
      </c>
      <c r="F325" s="37" t="str">
        <f>IFERROR(VLOOKUP(A325,القائمة!$A$3:$F$112,6,FALSE),"")</f>
        <v/>
      </c>
      <c r="I325" s="36"/>
      <c r="P325" s="27">
        <f t="shared" si="13"/>
        <v>0</v>
      </c>
      <c r="Q325" s="27">
        <f t="shared" si="12"/>
        <v>0</v>
      </c>
    </row>
    <row r="326" spans="2:17" x14ac:dyDescent="0.45">
      <c r="B326" s="27" t="str">
        <f>IFERROR(VLOOKUP(A326,القائمة!$A$3:$F$112,2,FALSE),"")</f>
        <v/>
      </c>
      <c r="C326" s="27" t="str">
        <f>IFERROR(VLOOKUP(A326,القائمة!$A$3:$F$112,3,FALSE),"")</f>
        <v/>
      </c>
      <c r="D326" s="36" t="str">
        <f>IFERROR(VLOOKUP(A326,القائمة!$A$3:$F$112,4,FALSE),"")</f>
        <v/>
      </c>
      <c r="E326" s="36" t="str">
        <f>IFERROR(VLOOKUP(A326,القائمة!$A$3:$F$112,5,FALSE),"")</f>
        <v/>
      </c>
      <c r="F326" s="37" t="str">
        <f>IFERROR(VLOOKUP(A326,القائمة!$A$3:$F$112,6,FALSE),"")</f>
        <v/>
      </c>
      <c r="I326" s="36"/>
      <c r="P326" s="27">
        <f t="shared" si="13"/>
        <v>0</v>
      </c>
      <c r="Q326" s="27">
        <f t="shared" si="12"/>
        <v>0</v>
      </c>
    </row>
    <row r="327" spans="2:17" x14ac:dyDescent="0.45">
      <c r="B327" s="27" t="str">
        <f>IFERROR(VLOOKUP(A327,القائمة!$A$3:$F$112,2,FALSE),"")</f>
        <v/>
      </c>
      <c r="C327" s="27" t="str">
        <f>IFERROR(VLOOKUP(A327,القائمة!$A$3:$F$112,3,FALSE),"")</f>
        <v/>
      </c>
      <c r="D327" s="36" t="str">
        <f>IFERROR(VLOOKUP(A327,القائمة!$A$3:$F$112,4,FALSE),"")</f>
        <v/>
      </c>
      <c r="E327" s="36" t="str">
        <f>IFERROR(VLOOKUP(A327,القائمة!$A$3:$F$112,5,FALSE),"")</f>
        <v/>
      </c>
      <c r="F327" s="37" t="str">
        <f>IFERROR(VLOOKUP(A327,القائمة!$A$3:$F$112,6,FALSE),"")</f>
        <v/>
      </c>
      <c r="I327" s="36"/>
      <c r="P327" s="27">
        <f t="shared" si="13"/>
        <v>0</v>
      </c>
      <c r="Q327" s="27">
        <f t="shared" si="12"/>
        <v>0</v>
      </c>
    </row>
    <row r="328" spans="2:17" x14ac:dyDescent="0.45">
      <c r="B328" s="27" t="str">
        <f>IFERROR(VLOOKUP(A328,القائمة!$A$3:$F$112,2,FALSE),"")</f>
        <v/>
      </c>
      <c r="C328" s="27" t="str">
        <f>IFERROR(VLOOKUP(A328,القائمة!$A$3:$F$112,3,FALSE),"")</f>
        <v/>
      </c>
      <c r="D328" s="36" t="str">
        <f>IFERROR(VLOOKUP(A328,القائمة!$A$3:$F$112,4,FALSE),"")</f>
        <v/>
      </c>
      <c r="E328" s="36" t="str">
        <f>IFERROR(VLOOKUP(A328,القائمة!$A$3:$F$112,5,FALSE),"")</f>
        <v/>
      </c>
      <c r="F328" s="37" t="str">
        <f>IFERROR(VLOOKUP(A328,القائمة!$A$3:$F$112,6,FALSE),"")</f>
        <v/>
      </c>
      <c r="I328" s="36"/>
      <c r="P328" s="27">
        <f t="shared" si="13"/>
        <v>0</v>
      </c>
      <c r="Q328" s="27">
        <f t="shared" si="12"/>
        <v>0</v>
      </c>
    </row>
    <row r="329" spans="2:17" x14ac:dyDescent="0.45">
      <c r="B329" s="27" t="str">
        <f>IFERROR(VLOOKUP(A329,القائمة!$A$3:$F$112,2,FALSE),"")</f>
        <v/>
      </c>
      <c r="C329" s="27" t="str">
        <f>IFERROR(VLOOKUP(A329,القائمة!$A$3:$F$112,3,FALSE),"")</f>
        <v/>
      </c>
      <c r="D329" s="36" t="str">
        <f>IFERROR(VLOOKUP(A329,القائمة!$A$3:$F$112,4,FALSE),"")</f>
        <v/>
      </c>
      <c r="E329" s="36" t="str">
        <f>IFERROR(VLOOKUP(A329,القائمة!$A$3:$F$112,5,FALSE),"")</f>
        <v/>
      </c>
      <c r="F329" s="37" t="str">
        <f>IFERROR(VLOOKUP(A329,القائمة!$A$3:$F$112,6,FALSE),"")</f>
        <v/>
      </c>
      <c r="I329" s="36"/>
      <c r="P329" s="27">
        <f t="shared" si="13"/>
        <v>0</v>
      </c>
      <c r="Q329" s="27">
        <f t="shared" si="12"/>
        <v>0</v>
      </c>
    </row>
    <row r="330" spans="2:17" x14ac:dyDescent="0.45">
      <c r="B330" s="27" t="str">
        <f>IFERROR(VLOOKUP(A330,القائمة!$A$3:$F$112,2,FALSE),"")</f>
        <v/>
      </c>
      <c r="C330" s="27" t="str">
        <f>IFERROR(VLOOKUP(A330,القائمة!$A$3:$F$112,3,FALSE),"")</f>
        <v/>
      </c>
      <c r="D330" s="36" t="str">
        <f>IFERROR(VLOOKUP(A330,القائمة!$A$3:$F$112,4,FALSE),"")</f>
        <v/>
      </c>
      <c r="E330" s="36" t="str">
        <f>IFERROR(VLOOKUP(A330,القائمة!$A$3:$F$112,5,FALSE),"")</f>
        <v/>
      </c>
      <c r="F330" s="37" t="str">
        <f>IFERROR(VLOOKUP(A330,القائمة!$A$3:$F$112,6,FALSE),"")</f>
        <v/>
      </c>
      <c r="I330" s="36"/>
      <c r="P330" s="27">
        <f t="shared" si="13"/>
        <v>0</v>
      </c>
      <c r="Q330" s="27">
        <f t="shared" si="12"/>
        <v>0</v>
      </c>
    </row>
    <row r="331" spans="2:17" x14ac:dyDescent="0.45">
      <c r="B331" s="27" t="str">
        <f>IFERROR(VLOOKUP(A331,القائمة!$A$3:$F$112,2,FALSE),"")</f>
        <v/>
      </c>
      <c r="C331" s="27" t="str">
        <f>IFERROR(VLOOKUP(A331,القائمة!$A$3:$F$112,3,FALSE),"")</f>
        <v/>
      </c>
      <c r="D331" s="36" t="str">
        <f>IFERROR(VLOOKUP(A331,القائمة!$A$3:$F$112,4,FALSE),"")</f>
        <v/>
      </c>
      <c r="E331" s="36" t="str">
        <f>IFERROR(VLOOKUP(A331,القائمة!$A$3:$F$112,5,FALSE),"")</f>
        <v/>
      </c>
      <c r="F331" s="37" t="str">
        <f>IFERROR(VLOOKUP(A331,القائمة!$A$3:$F$112,6,FALSE),"")</f>
        <v/>
      </c>
      <c r="I331" s="36"/>
      <c r="P331" s="27">
        <f t="shared" si="13"/>
        <v>0</v>
      </c>
      <c r="Q331" s="27">
        <f t="shared" si="12"/>
        <v>0</v>
      </c>
    </row>
    <row r="332" spans="2:17" x14ac:dyDescent="0.45">
      <c r="B332" s="27" t="str">
        <f>IFERROR(VLOOKUP(A332,القائمة!$A$3:$F$112,2,FALSE),"")</f>
        <v/>
      </c>
      <c r="C332" s="27" t="str">
        <f>IFERROR(VLOOKUP(A332,القائمة!$A$3:$F$112,3,FALSE),"")</f>
        <v/>
      </c>
      <c r="D332" s="36" t="str">
        <f>IFERROR(VLOOKUP(A332,القائمة!$A$3:$F$112,4,FALSE),"")</f>
        <v/>
      </c>
      <c r="E332" s="36" t="str">
        <f>IFERROR(VLOOKUP(A332,القائمة!$A$3:$F$112,5,FALSE),"")</f>
        <v/>
      </c>
      <c r="F332" s="37" t="str">
        <f>IFERROR(VLOOKUP(A332,القائمة!$A$3:$F$112,6,FALSE),"")</f>
        <v/>
      </c>
      <c r="I332" s="36"/>
      <c r="P332" s="27">
        <f t="shared" si="13"/>
        <v>0</v>
      </c>
      <c r="Q332" s="27">
        <f t="shared" si="12"/>
        <v>0</v>
      </c>
    </row>
    <row r="333" spans="2:17" x14ac:dyDescent="0.45">
      <c r="B333" s="27" t="str">
        <f>IFERROR(VLOOKUP(A333,القائمة!$A$3:$F$112,2,FALSE),"")</f>
        <v/>
      </c>
      <c r="C333" s="27" t="str">
        <f>IFERROR(VLOOKUP(A333,القائمة!$A$3:$F$112,3,FALSE),"")</f>
        <v/>
      </c>
      <c r="D333" s="36" t="str">
        <f>IFERROR(VLOOKUP(A333,القائمة!$A$3:$F$112,4,FALSE),"")</f>
        <v/>
      </c>
      <c r="E333" s="36" t="str">
        <f>IFERROR(VLOOKUP(A333,القائمة!$A$3:$F$112,5,FALSE),"")</f>
        <v/>
      </c>
      <c r="F333" s="37" t="str">
        <f>IFERROR(VLOOKUP(A333,القائمة!$A$3:$F$112,6,FALSE),"")</f>
        <v/>
      </c>
      <c r="I333" s="36"/>
      <c r="P333" s="27">
        <f t="shared" si="13"/>
        <v>0</v>
      </c>
      <c r="Q333" s="27">
        <f t="shared" si="12"/>
        <v>0</v>
      </c>
    </row>
    <row r="334" spans="2:17" x14ac:dyDescent="0.45">
      <c r="B334" s="27" t="str">
        <f>IFERROR(VLOOKUP(A334,القائمة!$A$3:$F$112,2,FALSE),"")</f>
        <v/>
      </c>
      <c r="C334" s="27" t="str">
        <f>IFERROR(VLOOKUP(A334,القائمة!$A$3:$F$112,3,FALSE),"")</f>
        <v/>
      </c>
      <c r="D334" s="36" t="str">
        <f>IFERROR(VLOOKUP(A334,القائمة!$A$3:$F$112,4,FALSE),"")</f>
        <v/>
      </c>
      <c r="E334" s="36" t="str">
        <f>IFERROR(VLOOKUP(A334,القائمة!$A$3:$F$112,5,FALSE),"")</f>
        <v/>
      </c>
      <c r="F334" s="37" t="str">
        <f>IFERROR(VLOOKUP(A334,القائمة!$A$3:$F$112,6,FALSE),"")</f>
        <v/>
      </c>
      <c r="I334" s="36"/>
      <c r="P334" s="27">
        <f t="shared" si="13"/>
        <v>0</v>
      </c>
      <c r="Q334" s="27">
        <f t="shared" si="12"/>
        <v>0</v>
      </c>
    </row>
    <row r="335" spans="2:17" x14ac:dyDescent="0.45">
      <c r="B335" s="27" t="str">
        <f>IFERROR(VLOOKUP(A335,القائمة!$A$3:$F$112,2,FALSE),"")</f>
        <v/>
      </c>
      <c r="C335" s="27" t="str">
        <f>IFERROR(VLOOKUP(A335,القائمة!$A$3:$F$112,3,FALSE),"")</f>
        <v/>
      </c>
      <c r="D335" s="36" t="str">
        <f>IFERROR(VLOOKUP(A335,القائمة!$A$3:$F$112,4,FALSE),"")</f>
        <v/>
      </c>
      <c r="E335" s="36" t="str">
        <f>IFERROR(VLOOKUP(A335,القائمة!$A$3:$F$112,5,FALSE),"")</f>
        <v/>
      </c>
      <c r="F335" s="37" t="str">
        <f>IFERROR(VLOOKUP(A335,القائمة!$A$3:$F$112,6,FALSE),"")</f>
        <v/>
      </c>
      <c r="I335" s="36"/>
      <c r="P335" s="27">
        <f t="shared" si="13"/>
        <v>0</v>
      </c>
      <c r="Q335" s="27">
        <f t="shared" si="12"/>
        <v>0</v>
      </c>
    </row>
    <row r="336" spans="2:17" x14ac:dyDescent="0.45">
      <c r="B336" s="27" t="str">
        <f>IFERROR(VLOOKUP(A336,القائمة!$A$3:$F$112,2,FALSE),"")</f>
        <v/>
      </c>
      <c r="C336" s="27" t="str">
        <f>IFERROR(VLOOKUP(A336,القائمة!$A$3:$F$112,3,FALSE),"")</f>
        <v/>
      </c>
      <c r="D336" s="36" t="str">
        <f>IFERROR(VLOOKUP(A336,القائمة!$A$3:$F$112,4,FALSE),"")</f>
        <v/>
      </c>
      <c r="E336" s="36" t="str">
        <f>IFERROR(VLOOKUP(A336,القائمة!$A$3:$F$112,5,FALSE),"")</f>
        <v/>
      </c>
      <c r="F336" s="37" t="str">
        <f>IFERROR(VLOOKUP(A336,القائمة!$A$3:$F$112,6,FALSE),"")</f>
        <v/>
      </c>
      <c r="I336" s="36"/>
      <c r="P336" s="27">
        <f t="shared" si="13"/>
        <v>0</v>
      </c>
      <c r="Q336" s="27">
        <f t="shared" si="12"/>
        <v>0</v>
      </c>
    </row>
    <row r="337" spans="2:17" x14ac:dyDescent="0.45">
      <c r="B337" s="27" t="str">
        <f>IFERROR(VLOOKUP(A337,القائمة!$A$3:$F$112,2,FALSE),"")</f>
        <v/>
      </c>
      <c r="C337" s="27" t="str">
        <f>IFERROR(VLOOKUP(A337,القائمة!$A$3:$F$112,3,FALSE),"")</f>
        <v/>
      </c>
      <c r="D337" s="36" t="str">
        <f>IFERROR(VLOOKUP(A337,القائمة!$A$3:$F$112,4,FALSE),"")</f>
        <v/>
      </c>
      <c r="E337" s="36" t="str">
        <f>IFERROR(VLOOKUP(A337,القائمة!$A$3:$F$112,5,FALSE),"")</f>
        <v/>
      </c>
      <c r="F337" s="37" t="str">
        <f>IFERROR(VLOOKUP(A337,القائمة!$A$3:$F$112,6,FALSE),"")</f>
        <v/>
      </c>
      <c r="I337" s="36"/>
      <c r="P337" s="27">
        <f t="shared" si="13"/>
        <v>0</v>
      </c>
      <c r="Q337" s="27">
        <f t="shared" si="12"/>
        <v>0</v>
      </c>
    </row>
    <row r="338" spans="2:17" x14ac:dyDescent="0.45">
      <c r="B338" s="27" t="str">
        <f>IFERROR(VLOOKUP(A338,القائمة!$A$3:$F$112,2,FALSE),"")</f>
        <v/>
      </c>
      <c r="C338" s="27" t="str">
        <f>IFERROR(VLOOKUP(A338,القائمة!$A$3:$F$112,3,FALSE),"")</f>
        <v/>
      </c>
      <c r="D338" s="36" t="str">
        <f>IFERROR(VLOOKUP(A338,القائمة!$A$3:$F$112,4,FALSE),"")</f>
        <v/>
      </c>
      <c r="E338" s="36" t="str">
        <f>IFERROR(VLOOKUP(A338,القائمة!$A$3:$F$112,5,FALSE),"")</f>
        <v/>
      </c>
      <c r="F338" s="37" t="str">
        <f>IFERROR(VLOOKUP(A338,القائمة!$A$3:$F$112,6,FALSE),"")</f>
        <v/>
      </c>
      <c r="I338" s="36"/>
      <c r="P338" s="27">
        <f t="shared" si="13"/>
        <v>0</v>
      </c>
      <c r="Q338" s="27">
        <f t="shared" si="12"/>
        <v>0</v>
      </c>
    </row>
    <row r="339" spans="2:17" x14ac:dyDescent="0.45">
      <c r="B339" s="27" t="str">
        <f>IFERROR(VLOOKUP(A339,القائمة!$A$3:$F$112,2,FALSE),"")</f>
        <v/>
      </c>
      <c r="C339" s="27" t="str">
        <f>IFERROR(VLOOKUP(A339,القائمة!$A$3:$F$112,3,FALSE),"")</f>
        <v/>
      </c>
      <c r="D339" s="36" t="str">
        <f>IFERROR(VLOOKUP(A339,القائمة!$A$3:$F$112,4,FALSE),"")</f>
        <v/>
      </c>
      <c r="E339" s="36" t="str">
        <f>IFERROR(VLOOKUP(A339,القائمة!$A$3:$F$112,5,FALSE),"")</f>
        <v/>
      </c>
      <c r="F339" s="37" t="str">
        <f>IFERROR(VLOOKUP(A339,القائمة!$A$3:$F$112,6,FALSE),"")</f>
        <v/>
      </c>
      <c r="I339" s="36"/>
      <c r="P339" s="27">
        <f t="shared" si="13"/>
        <v>0</v>
      </c>
      <c r="Q339" s="27">
        <f t="shared" si="12"/>
        <v>0</v>
      </c>
    </row>
    <row r="340" spans="2:17" x14ac:dyDescent="0.45">
      <c r="B340" s="27" t="str">
        <f>IFERROR(VLOOKUP(A340,القائمة!$A$3:$F$112,2,FALSE),"")</f>
        <v/>
      </c>
      <c r="C340" s="27" t="str">
        <f>IFERROR(VLOOKUP(A340,القائمة!$A$3:$F$112,3,FALSE),"")</f>
        <v/>
      </c>
      <c r="D340" s="36" t="str">
        <f>IFERROR(VLOOKUP(A340,القائمة!$A$3:$F$112,4,FALSE),"")</f>
        <v/>
      </c>
      <c r="E340" s="36" t="str">
        <f>IFERROR(VLOOKUP(A340,القائمة!$A$3:$F$112,5,FALSE),"")</f>
        <v/>
      </c>
      <c r="F340" s="37" t="str">
        <f>IFERROR(VLOOKUP(A340,القائمة!$A$3:$F$112,6,FALSE),"")</f>
        <v/>
      </c>
      <c r="I340" s="36"/>
      <c r="P340" s="27">
        <f t="shared" si="13"/>
        <v>0</v>
      </c>
      <c r="Q340" s="27">
        <f t="shared" si="12"/>
        <v>0</v>
      </c>
    </row>
    <row r="341" spans="2:17" x14ac:dyDescent="0.45">
      <c r="B341" s="27" t="str">
        <f>IFERROR(VLOOKUP(A341,القائمة!$A$3:$F$112,2,FALSE),"")</f>
        <v/>
      </c>
      <c r="C341" s="27" t="str">
        <f>IFERROR(VLOOKUP(A341,القائمة!$A$3:$F$112,3,FALSE),"")</f>
        <v/>
      </c>
      <c r="D341" s="36" t="str">
        <f>IFERROR(VLOOKUP(A341,القائمة!$A$3:$F$112,4,FALSE),"")</f>
        <v/>
      </c>
      <c r="E341" s="36" t="str">
        <f>IFERROR(VLOOKUP(A341,القائمة!$A$3:$F$112,5,FALSE),"")</f>
        <v/>
      </c>
      <c r="F341" s="37" t="str">
        <f>IFERROR(VLOOKUP(A341,القائمة!$A$3:$F$112,6,FALSE),"")</f>
        <v/>
      </c>
      <c r="I341" s="36"/>
      <c r="P341" s="27">
        <f t="shared" si="13"/>
        <v>0</v>
      </c>
      <c r="Q341" s="27">
        <f t="shared" si="12"/>
        <v>0</v>
      </c>
    </row>
    <row r="342" spans="2:17" x14ac:dyDescent="0.45">
      <c r="B342" s="27" t="str">
        <f>IFERROR(VLOOKUP(A342,القائمة!$A$3:$F$112,2,FALSE),"")</f>
        <v/>
      </c>
      <c r="C342" s="27" t="str">
        <f>IFERROR(VLOOKUP(A342,القائمة!$A$3:$F$112,3,FALSE),"")</f>
        <v/>
      </c>
      <c r="D342" s="36" t="str">
        <f>IFERROR(VLOOKUP(A342,القائمة!$A$3:$F$112,4,FALSE),"")</f>
        <v/>
      </c>
      <c r="E342" s="36" t="str">
        <f>IFERROR(VLOOKUP(A342,القائمة!$A$3:$F$112,5,FALSE),"")</f>
        <v/>
      </c>
      <c r="F342" s="37" t="str">
        <f>IFERROR(VLOOKUP(A342,القائمة!$A$3:$F$112,6,FALSE),"")</f>
        <v/>
      </c>
      <c r="I342" s="36"/>
      <c r="P342" s="27">
        <f t="shared" si="13"/>
        <v>0</v>
      </c>
      <c r="Q342" s="27">
        <f t="shared" si="12"/>
        <v>0</v>
      </c>
    </row>
    <row r="343" spans="2:17" x14ac:dyDescent="0.45">
      <c r="B343" s="27" t="str">
        <f>IFERROR(VLOOKUP(A343,القائمة!$A$3:$F$112,2,FALSE),"")</f>
        <v/>
      </c>
      <c r="C343" s="27" t="str">
        <f>IFERROR(VLOOKUP(A343,القائمة!$A$3:$F$112,3,FALSE),"")</f>
        <v/>
      </c>
      <c r="D343" s="36" t="str">
        <f>IFERROR(VLOOKUP(A343,القائمة!$A$3:$F$112,4,FALSE),"")</f>
        <v/>
      </c>
      <c r="E343" s="36" t="str">
        <f>IFERROR(VLOOKUP(A343,القائمة!$A$3:$F$112,5,FALSE),"")</f>
        <v/>
      </c>
      <c r="F343" s="37" t="str">
        <f>IFERROR(VLOOKUP(A343,القائمة!$A$3:$F$112,6,FALSE),"")</f>
        <v/>
      </c>
      <c r="I343" s="36"/>
      <c r="P343" s="27">
        <f t="shared" si="13"/>
        <v>0</v>
      </c>
      <c r="Q343" s="27">
        <f t="shared" si="12"/>
        <v>0</v>
      </c>
    </row>
    <row r="344" spans="2:17" x14ac:dyDescent="0.45">
      <c r="B344" s="27" t="str">
        <f>IFERROR(VLOOKUP(A344,القائمة!$A$3:$F$112,2,FALSE),"")</f>
        <v/>
      </c>
      <c r="C344" s="27" t="str">
        <f>IFERROR(VLOOKUP(A344,القائمة!$A$3:$F$112,3,FALSE),"")</f>
        <v/>
      </c>
      <c r="D344" s="36" t="str">
        <f>IFERROR(VLOOKUP(A344,القائمة!$A$3:$F$112,4,FALSE),"")</f>
        <v/>
      </c>
      <c r="E344" s="36" t="str">
        <f>IFERROR(VLOOKUP(A344,القائمة!$A$3:$F$112,5,FALSE),"")</f>
        <v/>
      </c>
      <c r="F344" s="37" t="str">
        <f>IFERROR(VLOOKUP(A344,القائمة!$A$3:$F$112,6,FALSE),"")</f>
        <v/>
      </c>
      <c r="I344" s="36"/>
      <c r="P344" s="27">
        <f t="shared" si="13"/>
        <v>0</v>
      </c>
      <c r="Q344" s="27">
        <f t="shared" si="12"/>
        <v>0</v>
      </c>
    </row>
    <row r="345" spans="2:17" x14ac:dyDescent="0.45">
      <c r="B345" s="27" t="str">
        <f>IFERROR(VLOOKUP(A345,القائمة!$A$3:$F$112,2,FALSE),"")</f>
        <v/>
      </c>
      <c r="C345" s="27" t="str">
        <f>IFERROR(VLOOKUP(A345,القائمة!$A$3:$F$112,3,FALSE),"")</f>
        <v/>
      </c>
      <c r="D345" s="36" t="str">
        <f>IFERROR(VLOOKUP(A345,القائمة!$A$3:$F$112,4,FALSE),"")</f>
        <v/>
      </c>
      <c r="E345" s="36" t="str">
        <f>IFERROR(VLOOKUP(A345,القائمة!$A$3:$F$112,5,FALSE),"")</f>
        <v/>
      </c>
      <c r="F345" s="37" t="str">
        <f>IFERROR(VLOOKUP(A345,القائمة!$A$3:$F$112,6,FALSE),"")</f>
        <v/>
      </c>
      <c r="I345" s="36"/>
      <c r="P345" s="27">
        <f t="shared" si="13"/>
        <v>0</v>
      </c>
      <c r="Q345" s="27">
        <f t="shared" si="12"/>
        <v>0</v>
      </c>
    </row>
    <row r="346" spans="2:17" x14ac:dyDescent="0.45">
      <c r="B346" s="27" t="str">
        <f>IFERROR(VLOOKUP(A346,القائمة!$A$3:$F$112,2,FALSE),"")</f>
        <v/>
      </c>
      <c r="C346" s="27" t="str">
        <f>IFERROR(VLOOKUP(A346,القائمة!$A$3:$F$112,3,FALSE),"")</f>
        <v/>
      </c>
      <c r="D346" s="36" t="str">
        <f>IFERROR(VLOOKUP(A346,القائمة!$A$3:$F$112,4,FALSE),"")</f>
        <v/>
      </c>
      <c r="E346" s="36" t="str">
        <f>IFERROR(VLOOKUP(A346,القائمة!$A$3:$F$112,5,FALSE),"")</f>
        <v/>
      </c>
      <c r="F346" s="37" t="str">
        <f>IFERROR(VLOOKUP(A346,القائمة!$A$3:$F$112,6,FALSE),"")</f>
        <v/>
      </c>
      <c r="I346" s="36"/>
      <c r="P346" s="27">
        <f t="shared" si="13"/>
        <v>0</v>
      </c>
      <c r="Q346" s="27">
        <f t="shared" si="12"/>
        <v>0</v>
      </c>
    </row>
    <row r="347" spans="2:17" x14ac:dyDescent="0.45">
      <c r="B347" s="27" t="str">
        <f>IFERROR(VLOOKUP(A347,القائمة!$A$3:$F$112,2,FALSE),"")</f>
        <v/>
      </c>
      <c r="C347" s="27" t="str">
        <f>IFERROR(VLOOKUP(A347,القائمة!$A$3:$F$112,3,FALSE),"")</f>
        <v/>
      </c>
      <c r="D347" s="36" t="str">
        <f>IFERROR(VLOOKUP(A347,القائمة!$A$3:$F$112,4,FALSE),"")</f>
        <v/>
      </c>
      <c r="E347" s="36" t="str">
        <f>IFERROR(VLOOKUP(A347,القائمة!$A$3:$F$112,5,FALSE),"")</f>
        <v/>
      </c>
      <c r="F347" s="37" t="str">
        <f>IFERROR(VLOOKUP(A347,القائمة!$A$3:$F$112,6,FALSE),"")</f>
        <v/>
      </c>
      <c r="I347" s="36"/>
      <c r="P347" s="27">
        <f t="shared" si="13"/>
        <v>0</v>
      </c>
      <c r="Q347" s="27">
        <f t="shared" si="12"/>
        <v>0</v>
      </c>
    </row>
    <row r="348" spans="2:17" x14ac:dyDescent="0.45">
      <c r="B348" s="27" t="str">
        <f>IFERROR(VLOOKUP(A348,القائمة!$A$3:$F$112,2,FALSE),"")</f>
        <v/>
      </c>
      <c r="C348" s="27" t="str">
        <f>IFERROR(VLOOKUP(A348,القائمة!$A$3:$F$112,3,FALSE),"")</f>
        <v/>
      </c>
      <c r="D348" s="36" t="str">
        <f>IFERROR(VLOOKUP(A348,القائمة!$A$3:$F$112,4,FALSE),"")</f>
        <v/>
      </c>
      <c r="E348" s="36" t="str">
        <f>IFERROR(VLOOKUP(A348,القائمة!$A$3:$F$112,5,FALSE),"")</f>
        <v/>
      </c>
      <c r="F348" s="37" t="str">
        <f>IFERROR(VLOOKUP(A348,القائمة!$A$3:$F$112,6,FALSE),"")</f>
        <v/>
      </c>
      <c r="I348" s="36"/>
      <c r="P348" s="27">
        <f t="shared" si="13"/>
        <v>0</v>
      </c>
      <c r="Q348" s="27">
        <f t="shared" si="12"/>
        <v>0</v>
      </c>
    </row>
    <row r="349" spans="2:17" x14ac:dyDescent="0.45">
      <c r="B349" s="27" t="str">
        <f>IFERROR(VLOOKUP(A349,القائمة!$A$3:$F$112,2,FALSE),"")</f>
        <v/>
      </c>
      <c r="C349" s="27" t="str">
        <f>IFERROR(VLOOKUP(A349,القائمة!$A$3:$F$112,3,FALSE),"")</f>
        <v/>
      </c>
      <c r="D349" s="36" t="str">
        <f>IFERROR(VLOOKUP(A349,القائمة!$A$3:$F$112,4,FALSE),"")</f>
        <v/>
      </c>
      <c r="E349" s="36" t="str">
        <f>IFERROR(VLOOKUP(A349,القائمة!$A$3:$F$112,5,FALSE),"")</f>
        <v/>
      </c>
      <c r="F349" s="37" t="str">
        <f>IFERROR(VLOOKUP(A349,القائمة!$A$3:$F$112,6,FALSE),"")</f>
        <v/>
      </c>
      <c r="I349" s="36"/>
      <c r="P349" s="27">
        <f t="shared" si="13"/>
        <v>0</v>
      </c>
      <c r="Q349" s="27">
        <f t="shared" si="12"/>
        <v>0</v>
      </c>
    </row>
    <row r="350" spans="2:17" x14ac:dyDescent="0.45">
      <c r="B350" s="27" t="str">
        <f>IFERROR(VLOOKUP(A350,القائمة!$A$3:$F$112,2,FALSE),"")</f>
        <v/>
      </c>
      <c r="C350" s="27" t="str">
        <f>IFERROR(VLOOKUP(A350,القائمة!$A$3:$F$112,3,FALSE),"")</f>
        <v/>
      </c>
      <c r="D350" s="36" t="str">
        <f>IFERROR(VLOOKUP(A350,القائمة!$A$3:$F$112,4,FALSE),"")</f>
        <v/>
      </c>
      <c r="E350" s="36" t="str">
        <f>IFERROR(VLOOKUP(A350,القائمة!$A$3:$F$112,5,FALSE),"")</f>
        <v/>
      </c>
      <c r="F350" s="37" t="str">
        <f>IFERROR(VLOOKUP(A350,القائمة!$A$3:$F$112,6,FALSE),"")</f>
        <v/>
      </c>
      <c r="I350" s="36"/>
      <c r="P350" s="27">
        <f t="shared" si="13"/>
        <v>0</v>
      </c>
      <c r="Q350" s="27">
        <f t="shared" si="12"/>
        <v>0</v>
      </c>
    </row>
    <row r="351" spans="2:17" x14ac:dyDescent="0.45">
      <c r="B351" s="27" t="str">
        <f>IFERROR(VLOOKUP(A351,القائمة!$A$3:$F$112,2,FALSE),"")</f>
        <v/>
      </c>
      <c r="C351" s="27" t="str">
        <f>IFERROR(VLOOKUP(A351,القائمة!$A$3:$F$112,3,FALSE),"")</f>
        <v/>
      </c>
      <c r="D351" s="36" t="str">
        <f>IFERROR(VLOOKUP(A351,القائمة!$A$3:$F$112,4,FALSE),"")</f>
        <v/>
      </c>
      <c r="E351" s="36" t="str">
        <f>IFERROR(VLOOKUP(A351,القائمة!$A$3:$F$112,5,FALSE),"")</f>
        <v/>
      </c>
      <c r="F351" s="37" t="str">
        <f>IFERROR(VLOOKUP(A351,القائمة!$A$3:$F$112,6,FALSE),"")</f>
        <v/>
      </c>
      <c r="I351" s="36"/>
      <c r="P351" s="27">
        <f t="shared" si="13"/>
        <v>0</v>
      </c>
      <c r="Q351" s="27">
        <f t="shared" si="12"/>
        <v>0</v>
      </c>
    </row>
    <row r="352" spans="2:17" x14ac:dyDescent="0.45">
      <c r="B352" s="27" t="str">
        <f>IFERROR(VLOOKUP(A352,القائمة!$A$3:$F$112,2,FALSE),"")</f>
        <v/>
      </c>
      <c r="C352" s="27" t="str">
        <f>IFERROR(VLOOKUP(A352,القائمة!$A$3:$F$112,3,FALSE),"")</f>
        <v/>
      </c>
      <c r="D352" s="36" t="str">
        <f>IFERROR(VLOOKUP(A352,القائمة!$A$3:$F$112,4,FALSE),"")</f>
        <v/>
      </c>
      <c r="E352" s="36" t="str">
        <f>IFERROR(VLOOKUP(A352,القائمة!$A$3:$F$112,5,FALSE),"")</f>
        <v/>
      </c>
      <c r="F352" s="37" t="str">
        <f>IFERROR(VLOOKUP(A352,القائمة!$A$3:$F$112,6,FALSE),"")</f>
        <v/>
      </c>
      <c r="I352" s="36"/>
      <c r="P352" s="27">
        <f t="shared" si="13"/>
        <v>0</v>
      </c>
      <c r="Q352" s="27">
        <f t="shared" si="12"/>
        <v>0</v>
      </c>
    </row>
    <row r="353" spans="2:17" x14ac:dyDescent="0.45">
      <c r="B353" s="27" t="str">
        <f>IFERROR(VLOOKUP(A353,القائمة!$A$3:$F$112,2,FALSE),"")</f>
        <v/>
      </c>
      <c r="C353" s="27" t="str">
        <f>IFERROR(VLOOKUP(A353,القائمة!$A$3:$F$112,3,FALSE),"")</f>
        <v/>
      </c>
      <c r="D353" s="36" t="str">
        <f>IFERROR(VLOOKUP(A353,القائمة!$A$3:$F$112,4,FALSE),"")</f>
        <v/>
      </c>
      <c r="E353" s="36" t="str">
        <f>IFERROR(VLOOKUP(A353,القائمة!$A$3:$F$112,5,FALSE),"")</f>
        <v/>
      </c>
      <c r="F353" s="37" t="str">
        <f>IFERROR(VLOOKUP(A353,القائمة!$A$3:$F$112,6,FALSE),"")</f>
        <v/>
      </c>
      <c r="I353" s="36"/>
      <c r="P353" s="27">
        <f t="shared" si="13"/>
        <v>0</v>
      </c>
      <c r="Q353" s="27">
        <f t="shared" si="12"/>
        <v>0</v>
      </c>
    </row>
    <row r="354" spans="2:17" x14ac:dyDescent="0.45">
      <c r="B354" s="27" t="str">
        <f>IFERROR(VLOOKUP(A354,القائمة!$A$3:$F$112,2,FALSE),"")</f>
        <v/>
      </c>
      <c r="C354" s="27" t="str">
        <f>IFERROR(VLOOKUP(A354,القائمة!$A$3:$F$112,3,FALSE),"")</f>
        <v/>
      </c>
      <c r="D354" s="36" t="str">
        <f>IFERROR(VLOOKUP(A354,القائمة!$A$3:$F$112,4,FALSE),"")</f>
        <v/>
      </c>
      <c r="E354" s="36" t="str">
        <f>IFERROR(VLOOKUP(A354,القائمة!$A$3:$F$112,5,FALSE),"")</f>
        <v/>
      </c>
      <c r="F354" s="37" t="str">
        <f>IFERROR(VLOOKUP(A354,القائمة!$A$3:$F$112,6,FALSE),"")</f>
        <v/>
      </c>
      <c r="I354" s="36"/>
      <c r="P354" s="27">
        <f t="shared" si="13"/>
        <v>0</v>
      </c>
      <c r="Q354" s="27">
        <f t="shared" si="12"/>
        <v>0</v>
      </c>
    </row>
    <row r="355" spans="2:17" x14ac:dyDescent="0.45">
      <c r="B355" s="27" t="str">
        <f>IFERROR(VLOOKUP(A355,القائمة!$A$3:$F$112,2,FALSE),"")</f>
        <v/>
      </c>
      <c r="C355" s="27" t="str">
        <f>IFERROR(VLOOKUP(A355,القائمة!$A$3:$F$112,3,FALSE),"")</f>
        <v/>
      </c>
      <c r="D355" s="36" t="str">
        <f>IFERROR(VLOOKUP(A355,القائمة!$A$3:$F$112,4,FALSE),"")</f>
        <v/>
      </c>
      <c r="E355" s="36" t="str">
        <f>IFERROR(VLOOKUP(A355,القائمة!$A$3:$F$112,5,FALSE),"")</f>
        <v/>
      </c>
      <c r="F355" s="37" t="str">
        <f>IFERROR(VLOOKUP(A355,القائمة!$A$3:$F$112,6,FALSE),"")</f>
        <v/>
      </c>
      <c r="I355" s="36"/>
      <c r="P355" s="27">
        <f t="shared" si="13"/>
        <v>0</v>
      </c>
      <c r="Q355" s="27">
        <f t="shared" si="12"/>
        <v>0</v>
      </c>
    </row>
    <row r="356" spans="2:17" x14ac:dyDescent="0.45">
      <c r="B356" s="27" t="str">
        <f>IFERROR(VLOOKUP(A356,القائمة!$A$3:$F$112,2,FALSE),"")</f>
        <v/>
      </c>
      <c r="C356" s="27" t="str">
        <f>IFERROR(VLOOKUP(A356,القائمة!$A$3:$F$112,3,FALSE),"")</f>
        <v/>
      </c>
      <c r="D356" s="36" t="str">
        <f>IFERROR(VLOOKUP(A356,القائمة!$A$3:$F$112,4,FALSE),"")</f>
        <v/>
      </c>
      <c r="E356" s="36" t="str">
        <f>IFERROR(VLOOKUP(A356,القائمة!$A$3:$F$112,5,FALSE),"")</f>
        <v/>
      </c>
      <c r="F356" s="37" t="str">
        <f>IFERROR(VLOOKUP(A356,القائمة!$A$3:$F$112,6,FALSE),"")</f>
        <v/>
      </c>
      <c r="I356" s="36"/>
      <c r="P356" s="27">
        <f t="shared" si="13"/>
        <v>0</v>
      </c>
      <c r="Q356" s="27">
        <f t="shared" si="12"/>
        <v>0</v>
      </c>
    </row>
    <row r="357" spans="2:17" x14ac:dyDescent="0.45">
      <c r="B357" s="27" t="str">
        <f>IFERROR(VLOOKUP(A357,القائمة!$A$3:$F$112,2,FALSE),"")</f>
        <v/>
      </c>
      <c r="C357" s="27" t="str">
        <f>IFERROR(VLOOKUP(A357,القائمة!$A$3:$F$112,3,FALSE),"")</f>
        <v/>
      </c>
      <c r="D357" s="36" t="str">
        <f>IFERROR(VLOOKUP(A357,القائمة!$A$3:$F$112,4,FALSE),"")</f>
        <v/>
      </c>
      <c r="E357" s="36" t="str">
        <f>IFERROR(VLOOKUP(A357,القائمة!$A$3:$F$112,5,FALSE),"")</f>
        <v/>
      </c>
      <c r="F357" s="37" t="str">
        <f>IFERROR(VLOOKUP(A357,القائمة!$A$3:$F$112,6,FALSE),"")</f>
        <v/>
      </c>
      <c r="I357" s="36"/>
      <c r="P357" s="27">
        <f t="shared" si="13"/>
        <v>0</v>
      </c>
      <c r="Q357" s="27">
        <f t="shared" si="12"/>
        <v>0</v>
      </c>
    </row>
    <row r="358" spans="2:17" x14ac:dyDescent="0.45">
      <c r="B358" s="27" t="str">
        <f>IFERROR(VLOOKUP(A358,القائمة!$A$3:$F$112,2,FALSE),"")</f>
        <v/>
      </c>
      <c r="C358" s="27" t="str">
        <f>IFERROR(VLOOKUP(A358,القائمة!$A$3:$F$112,3,FALSE),"")</f>
        <v/>
      </c>
      <c r="D358" s="36" t="str">
        <f>IFERROR(VLOOKUP(A358,القائمة!$A$3:$F$112,4,FALSE),"")</f>
        <v/>
      </c>
      <c r="E358" s="36" t="str">
        <f>IFERROR(VLOOKUP(A358,القائمة!$A$3:$F$112,5,FALSE),"")</f>
        <v/>
      </c>
      <c r="F358" s="37" t="str">
        <f>IFERROR(VLOOKUP(A358,القائمة!$A$3:$F$112,6,FALSE),"")</f>
        <v/>
      </c>
      <c r="I358" s="36"/>
      <c r="P358" s="27">
        <f t="shared" si="13"/>
        <v>0</v>
      </c>
      <c r="Q358" s="27">
        <f t="shared" si="12"/>
        <v>0</v>
      </c>
    </row>
    <row r="359" spans="2:17" x14ac:dyDescent="0.45">
      <c r="B359" s="27" t="str">
        <f>IFERROR(VLOOKUP(A359,القائمة!$A$3:$F$112,2,FALSE),"")</f>
        <v/>
      </c>
      <c r="C359" s="27" t="str">
        <f>IFERROR(VLOOKUP(A359,القائمة!$A$3:$F$112,3,FALSE),"")</f>
        <v/>
      </c>
      <c r="D359" s="36" t="str">
        <f>IFERROR(VLOOKUP(A359,القائمة!$A$3:$F$112,4,FALSE),"")</f>
        <v/>
      </c>
      <c r="E359" s="36" t="str">
        <f>IFERROR(VLOOKUP(A359,القائمة!$A$3:$F$112,5,FALSE),"")</f>
        <v/>
      </c>
      <c r="F359" s="37" t="str">
        <f>IFERROR(VLOOKUP(A359,القائمة!$A$3:$F$112,6,FALSE),"")</f>
        <v/>
      </c>
      <c r="I359" s="36"/>
      <c r="P359" s="27">
        <f t="shared" si="13"/>
        <v>0</v>
      </c>
      <c r="Q359" s="27">
        <f t="shared" si="12"/>
        <v>0</v>
      </c>
    </row>
    <row r="360" spans="2:17" x14ac:dyDescent="0.45">
      <c r="B360" s="27" t="str">
        <f>IFERROR(VLOOKUP(A360,القائمة!$A$3:$F$112,2,FALSE),"")</f>
        <v/>
      </c>
      <c r="C360" s="27" t="str">
        <f>IFERROR(VLOOKUP(A360,القائمة!$A$3:$F$112,3,FALSE),"")</f>
        <v/>
      </c>
      <c r="D360" s="36" t="str">
        <f>IFERROR(VLOOKUP(A360,القائمة!$A$3:$F$112,4,FALSE),"")</f>
        <v/>
      </c>
      <c r="E360" s="36" t="str">
        <f>IFERROR(VLOOKUP(A360,القائمة!$A$3:$F$112,5,FALSE),"")</f>
        <v/>
      </c>
      <c r="F360" s="37" t="str">
        <f>IFERROR(VLOOKUP(A360,القائمة!$A$3:$F$112,6,FALSE),"")</f>
        <v/>
      </c>
      <c r="I360" s="36"/>
      <c r="P360" s="27">
        <f t="shared" si="13"/>
        <v>0</v>
      </c>
      <c r="Q360" s="27">
        <f t="shared" si="12"/>
        <v>0</v>
      </c>
    </row>
    <row r="361" spans="2:17" x14ac:dyDescent="0.45">
      <c r="B361" s="27" t="str">
        <f>IFERROR(VLOOKUP(A361,القائمة!$A$3:$F$112,2,FALSE),"")</f>
        <v/>
      </c>
      <c r="C361" s="27" t="str">
        <f>IFERROR(VLOOKUP(A361,القائمة!$A$3:$F$112,3,FALSE),"")</f>
        <v/>
      </c>
      <c r="D361" s="36" t="str">
        <f>IFERROR(VLOOKUP(A361,القائمة!$A$3:$F$112,4,FALSE),"")</f>
        <v/>
      </c>
      <c r="E361" s="36" t="str">
        <f>IFERROR(VLOOKUP(A361,القائمة!$A$3:$F$112,5,FALSE),"")</f>
        <v/>
      </c>
      <c r="F361" s="37" t="str">
        <f>IFERROR(VLOOKUP(A361,القائمة!$A$3:$F$112,6,FALSE),"")</f>
        <v/>
      </c>
      <c r="I361" s="36"/>
      <c r="P361" s="27">
        <f t="shared" si="13"/>
        <v>0</v>
      </c>
      <c r="Q361" s="27">
        <f t="shared" si="12"/>
        <v>0</v>
      </c>
    </row>
    <row r="362" spans="2:17" x14ac:dyDescent="0.45">
      <c r="B362" s="27" t="str">
        <f>IFERROR(VLOOKUP(A362,القائمة!$A$3:$F$112,2,FALSE),"")</f>
        <v/>
      </c>
      <c r="C362" s="27" t="str">
        <f>IFERROR(VLOOKUP(A362,القائمة!$A$3:$F$112,3,FALSE),"")</f>
        <v/>
      </c>
      <c r="D362" s="36" t="str">
        <f>IFERROR(VLOOKUP(A362,القائمة!$A$3:$F$112,4,FALSE),"")</f>
        <v/>
      </c>
      <c r="E362" s="36" t="str">
        <f>IFERROR(VLOOKUP(A362,القائمة!$A$3:$F$112,5,FALSE),"")</f>
        <v/>
      </c>
      <c r="F362" s="37" t="str">
        <f>IFERROR(VLOOKUP(A362,القائمة!$A$3:$F$112,6,FALSE),"")</f>
        <v/>
      </c>
      <c r="I362" s="36"/>
      <c r="P362" s="27">
        <f t="shared" si="13"/>
        <v>0</v>
      </c>
      <c r="Q362" s="27">
        <f t="shared" si="12"/>
        <v>0</v>
      </c>
    </row>
    <row r="363" spans="2:17" x14ac:dyDescent="0.45">
      <c r="B363" s="27" t="str">
        <f>IFERROR(VLOOKUP(A363,القائمة!$A$3:$F$112,2,FALSE),"")</f>
        <v/>
      </c>
      <c r="C363" s="27" t="str">
        <f>IFERROR(VLOOKUP(A363,القائمة!$A$3:$F$112,3,FALSE),"")</f>
        <v/>
      </c>
      <c r="D363" s="36" t="str">
        <f>IFERROR(VLOOKUP(A363,القائمة!$A$3:$F$112,4,FALSE),"")</f>
        <v/>
      </c>
      <c r="E363" s="36" t="str">
        <f>IFERROR(VLOOKUP(A363,القائمة!$A$3:$F$112,5,FALSE),"")</f>
        <v/>
      </c>
      <c r="F363" s="37" t="str">
        <f>IFERROR(VLOOKUP(A363,القائمة!$A$3:$F$112,6,FALSE),"")</f>
        <v/>
      </c>
      <c r="I363" s="36"/>
      <c r="P363" s="27">
        <f t="shared" si="13"/>
        <v>0</v>
      </c>
      <c r="Q363" s="27">
        <f t="shared" si="12"/>
        <v>0</v>
      </c>
    </row>
    <row r="364" spans="2:17" x14ac:dyDescent="0.45">
      <c r="B364" s="27" t="str">
        <f>IFERROR(VLOOKUP(A364,القائمة!$A$3:$F$112,2,FALSE),"")</f>
        <v/>
      </c>
      <c r="C364" s="27" t="str">
        <f>IFERROR(VLOOKUP(A364,القائمة!$A$3:$F$112,3,FALSE),"")</f>
        <v/>
      </c>
      <c r="D364" s="36" t="str">
        <f>IFERROR(VLOOKUP(A364,القائمة!$A$3:$F$112,4,FALSE),"")</f>
        <v/>
      </c>
      <c r="E364" s="36" t="str">
        <f>IFERROR(VLOOKUP(A364,القائمة!$A$3:$F$112,5,FALSE),"")</f>
        <v/>
      </c>
      <c r="F364" s="37" t="str">
        <f>IFERROR(VLOOKUP(A364,القائمة!$A$3:$F$112,6,FALSE),"")</f>
        <v/>
      </c>
      <c r="I364" s="36"/>
      <c r="P364" s="27">
        <f t="shared" si="13"/>
        <v>0</v>
      </c>
      <c r="Q364" s="27">
        <f t="shared" si="12"/>
        <v>0</v>
      </c>
    </row>
    <row r="365" spans="2:17" x14ac:dyDescent="0.45">
      <c r="B365" s="27" t="str">
        <f>IFERROR(VLOOKUP(A365,القائمة!$A$3:$F$112,2,FALSE),"")</f>
        <v/>
      </c>
      <c r="C365" s="27" t="str">
        <f>IFERROR(VLOOKUP(A365,القائمة!$A$3:$F$112,3,FALSE),"")</f>
        <v/>
      </c>
      <c r="D365" s="36" t="str">
        <f>IFERROR(VLOOKUP(A365,القائمة!$A$3:$F$112,4,FALSE),"")</f>
        <v/>
      </c>
      <c r="E365" s="36" t="str">
        <f>IFERROR(VLOOKUP(A365,القائمة!$A$3:$F$112,5,FALSE),"")</f>
        <v/>
      </c>
      <c r="F365" s="37" t="str">
        <f>IFERROR(VLOOKUP(A365,القائمة!$A$3:$F$112,6,FALSE),"")</f>
        <v/>
      </c>
      <c r="I365" s="36"/>
      <c r="P365" s="27">
        <f t="shared" si="13"/>
        <v>0</v>
      </c>
      <c r="Q365" s="27">
        <f t="shared" si="12"/>
        <v>0</v>
      </c>
    </row>
    <row r="366" spans="2:17" x14ac:dyDescent="0.45">
      <c r="B366" s="27" t="str">
        <f>IFERROR(VLOOKUP(A366,القائمة!$A$3:$F$112,2,FALSE),"")</f>
        <v/>
      </c>
      <c r="C366" s="27" t="str">
        <f>IFERROR(VLOOKUP(A366,القائمة!$A$3:$F$112,3,FALSE),"")</f>
        <v/>
      </c>
      <c r="D366" s="36" t="str">
        <f>IFERROR(VLOOKUP(A366,القائمة!$A$3:$F$112,4,FALSE),"")</f>
        <v/>
      </c>
      <c r="E366" s="36" t="str">
        <f>IFERROR(VLOOKUP(A366,القائمة!$A$3:$F$112,5,FALSE),"")</f>
        <v/>
      </c>
      <c r="F366" s="37" t="str">
        <f>IFERROR(VLOOKUP(A366,القائمة!$A$3:$F$112,6,FALSE),"")</f>
        <v/>
      </c>
      <c r="I366" s="36"/>
      <c r="P366" s="27">
        <f t="shared" si="13"/>
        <v>0</v>
      </c>
      <c r="Q366" s="27">
        <f t="shared" si="12"/>
        <v>0</v>
      </c>
    </row>
    <row r="367" spans="2:17" x14ac:dyDescent="0.45">
      <c r="B367" s="27" t="str">
        <f>IFERROR(VLOOKUP(A367,القائمة!$A$3:$F$112,2,FALSE),"")</f>
        <v/>
      </c>
      <c r="C367" s="27" t="str">
        <f>IFERROR(VLOOKUP(A367,القائمة!$A$3:$F$112,3,FALSE),"")</f>
        <v/>
      </c>
      <c r="D367" s="36" t="str">
        <f>IFERROR(VLOOKUP(A367,القائمة!$A$3:$F$112,4,FALSE),"")</f>
        <v/>
      </c>
      <c r="E367" s="36" t="str">
        <f>IFERROR(VLOOKUP(A367,القائمة!$A$3:$F$112,5,FALSE),"")</f>
        <v/>
      </c>
      <c r="F367" s="37" t="str">
        <f>IFERROR(VLOOKUP(A367,القائمة!$A$3:$F$112,6,FALSE),"")</f>
        <v/>
      </c>
      <c r="I367" s="36"/>
      <c r="P367" s="27">
        <f t="shared" si="13"/>
        <v>0</v>
      </c>
      <c r="Q367" s="27">
        <f t="shared" si="12"/>
        <v>0</v>
      </c>
    </row>
    <row r="368" spans="2:17" x14ac:dyDescent="0.45">
      <c r="B368" s="27" t="str">
        <f>IFERROR(VLOOKUP(A368,القائمة!$A$3:$F$112,2,FALSE),"")</f>
        <v/>
      </c>
      <c r="C368" s="27" t="str">
        <f>IFERROR(VLOOKUP(A368,القائمة!$A$3:$F$112,3,FALSE),"")</f>
        <v/>
      </c>
      <c r="D368" s="36" t="str">
        <f>IFERROR(VLOOKUP(A368,القائمة!$A$3:$F$112,4,FALSE),"")</f>
        <v/>
      </c>
      <c r="E368" s="36" t="str">
        <f>IFERROR(VLOOKUP(A368,القائمة!$A$3:$F$112,5,FALSE),"")</f>
        <v/>
      </c>
      <c r="F368" s="37" t="str">
        <f>IFERROR(VLOOKUP(A368,القائمة!$A$3:$F$112,6,FALSE),"")</f>
        <v/>
      </c>
      <c r="I368" s="36"/>
      <c r="P368" s="27">
        <f t="shared" si="13"/>
        <v>0</v>
      </c>
      <c r="Q368" s="27">
        <f t="shared" si="12"/>
        <v>0</v>
      </c>
    </row>
    <row r="369" spans="2:17" x14ac:dyDescent="0.45">
      <c r="B369" s="27" t="str">
        <f>IFERROR(VLOOKUP(A369,القائمة!$A$3:$F$112,2,FALSE),"")</f>
        <v/>
      </c>
      <c r="C369" s="27" t="str">
        <f>IFERROR(VLOOKUP(A369,القائمة!$A$3:$F$112,3,FALSE),"")</f>
        <v/>
      </c>
      <c r="D369" s="36" t="str">
        <f>IFERROR(VLOOKUP(A369,القائمة!$A$3:$F$112,4,FALSE),"")</f>
        <v/>
      </c>
      <c r="E369" s="36" t="str">
        <f>IFERROR(VLOOKUP(A369,القائمة!$A$3:$F$112,5,FALSE),"")</f>
        <v/>
      </c>
      <c r="F369" s="37" t="str">
        <f>IFERROR(VLOOKUP(A369,القائمة!$A$3:$F$112,6,FALSE),"")</f>
        <v/>
      </c>
      <c r="I369" s="36"/>
      <c r="P369" s="27">
        <f t="shared" si="13"/>
        <v>0</v>
      </c>
      <c r="Q369" s="27">
        <f t="shared" si="12"/>
        <v>0</v>
      </c>
    </row>
    <row r="370" spans="2:17" x14ac:dyDescent="0.45">
      <c r="B370" s="27" t="str">
        <f>IFERROR(VLOOKUP(A370,القائمة!$A$3:$F$112,2,FALSE),"")</f>
        <v/>
      </c>
      <c r="C370" s="27" t="str">
        <f>IFERROR(VLOOKUP(A370,القائمة!$A$3:$F$112,3,FALSE),"")</f>
        <v/>
      </c>
      <c r="D370" s="36" t="str">
        <f>IFERROR(VLOOKUP(A370,القائمة!$A$3:$F$112,4,FALSE),"")</f>
        <v/>
      </c>
      <c r="E370" s="36" t="str">
        <f>IFERROR(VLOOKUP(A370,القائمة!$A$3:$F$112,5,FALSE),"")</f>
        <v/>
      </c>
      <c r="F370" s="37" t="str">
        <f>IFERROR(VLOOKUP(A370,القائمة!$A$3:$F$112,6,FALSE),"")</f>
        <v/>
      </c>
      <c r="I370" s="36"/>
      <c r="P370" s="27">
        <f t="shared" si="13"/>
        <v>0</v>
      </c>
      <c r="Q370" s="27">
        <f t="shared" si="12"/>
        <v>0</v>
      </c>
    </row>
    <row r="371" spans="2:17" x14ac:dyDescent="0.45">
      <c r="B371" s="27" t="str">
        <f>IFERROR(VLOOKUP(A371,القائمة!$A$3:$F$112,2,FALSE),"")</f>
        <v/>
      </c>
      <c r="C371" s="27" t="str">
        <f>IFERROR(VLOOKUP(A371,القائمة!$A$3:$F$112,3,FALSE),"")</f>
        <v/>
      </c>
      <c r="D371" s="36" t="str">
        <f>IFERROR(VLOOKUP(A371,القائمة!$A$3:$F$112,4,FALSE),"")</f>
        <v/>
      </c>
      <c r="E371" s="36" t="str">
        <f>IFERROR(VLOOKUP(A371,القائمة!$A$3:$F$112,5,FALSE),"")</f>
        <v/>
      </c>
      <c r="F371" s="37" t="str">
        <f>IFERROR(VLOOKUP(A371,القائمة!$A$3:$F$112,6,FALSE),"")</f>
        <v/>
      </c>
      <c r="I371" s="36"/>
      <c r="P371" s="27">
        <f t="shared" si="13"/>
        <v>0</v>
      </c>
      <c r="Q371" s="27">
        <f t="shared" si="12"/>
        <v>0</v>
      </c>
    </row>
    <row r="372" spans="2:17" x14ac:dyDescent="0.45">
      <c r="B372" s="27" t="str">
        <f>IFERROR(VLOOKUP(A372,القائمة!$A$3:$F$112,2,FALSE),"")</f>
        <v/>
      </c>
      <c r="C372" s="27" t="str">
        <f>IFERROR(VLOOKUP(A372,القائمة!$A$3:$F$112,3,FALSE),"")</f>
        <v/>
      </c>
      <c r="D372" s="36" t="str">
        <f>IFERROR(VLOOKUP(A372,القائمة!$A$3:$F$112,4,FALSE),"")</f>
        <v/>
      </c>
      <c r="E372" s="36" t="str">
        <f>IFERROR(VLOOKUP(A372,القائمة!$A$3:$F$112,5,FALSE),"")</f>
        <v/>
      </c>
      <c r="F372" s="37" t="str">
        <f>IFERROR(VLOOKUP(A372,القائمة!$A$3:$F$112,6,FALSE),"")</f>
        <v/>
      </c>
      <c r="I372" s="36"/>
      <c r="P372" s="27">
        <f t="shared" si="13"/>
        <v>0</v>
      </c>
      <c r="Q372" s="27">
        <f t="shared" si="12"/>
        <v>0</v>
      </c>
    </row>
    <row r="373" spans="2:17" x14ac:dyDescent="0.45">
      <c r="B373" s="27" t="str">
        <f>IFERROR(VLOOKUP(A373,القائمة!$A$3:$F$112,2,FALSE),"")</f>
        <v/>
      </c>
      <c r="C373" s="27" t="str">
        <f>IFERROR(VLOOKUP(A373,القائمة!$A$3:$F$112,3,FALSE),"")</f>
        <v/>
      </c>
      <c r="D373" s="36" t="str">
        <f>IFERROR(VLOOKUP(A373,القائمة!$A$3:$F$112,4,FALSE),"")</f>
        <v/>
      </c>
      <c r="E373" s="36" t="str">
        <f>IFERROR(VLOOKUP(A373,القائمة!$A$3:$F$112,5,FALSE),"")</f>
        <v/>
      </c>
      <c r="F373" s="37" t="str">
        <f>IFERROR(VLOOKUP(A373,القائمة!$A$3:$F$112,6,FALSE),"")</f>
        <v/>
      </c>
      <c r="I373" s="36"/>
      <c r="P373" s="27">
        <f t="shared" si="13"/>
        <v>0</v>
      </c>
      <c r="Q373" s="27">
        <f t="shared" si="12"/>
        <v>0</v>
      </c>
    </row>
    <row r="374" spans="2:17" x14ac:dyDescent="0.45">
      <c r="B374" s="27" t="str">
        <f>IFERROR(VLOOKUP(A374,القائمة!$A$3:$F$112,2,FALSE),"")</f>
        <v/>
      </c>
      <c r="C374" s="27" t="str">
        <f>IFERROR(VLOOKUP(A374,القائمة!$A$3:$F$112,3,FALSE),"")</f>
        <v/>
      </c>
      <c r="D374" s="36" t="str">
        <f>IFERROR(VLOOKUP(A374,القائمة!$A$3:$F$112,4,FALSE),"")</f>
        <v/>
      </c>
      <c r="E374" s="36" t="str">
        <f>IFERROR(VLOOKUP(A374,القائمة!$A$3:$F$112,5,FALSE),"")</f>
        <v/>
      </c>
      <c r="F374" s="37" t="str">
        <f>IFERROR(VLOOKUP(A374,القائمة!$A$3:$F$112,6,FALSE),"")</f>
        <v/>
      </c>
      <c r="I374" s="36"/>
      <c r="P374" s="27">
        <f t="shared" si="13"/>
        <v>0</v>
      </c>
      <c r="Q374" s="27">
        <f t="shared" si="12"/>
        <v>0</v>
      </c>
    </row>
    <row r="375" spans="2:17" x14ac:dyDescent="0.45">
      <c r="B375" s="27" t="str">
        <f>IFERROR(VLOOKUP(A375,القائمة!$A$3:$F$112,2,FALSE),"")</f>
        <v/>
      </c>
      <c r="C375" s="27" t="str">
        <f>IFERROR(VLOOKUP(A375,القائمة!$A$3:$F$112,3,FALSE),"")</f>
        <v/>
      </c>
      <c r="D375" s="36" t="str">
        <f>IFERROR(VLOOKUP(A375,القائمة!$A$3:$F$112,4,FALSE),"")</f>
        <v/>
      </c>
      <c r="E375" s="36" t="str">
        <f>IFERROR(VLOOKUP(A375,القائمة!$A$3:$F$112,5,FALSE),"")</f>
        <v/>
      </c>
      <c r="F375" s="37" t="str">
        <f>IFERROR(VLOOKUP(A375,القائمة!$A$3:$F$112,6,FALSE),"")</f>
        <v/>
      </c>
      <c r="I375" s="36"/>
      <c r="P375" s="27">
        <f t="shared" si="13"/>
        <v>0</v>
      </c>
      <c r="Q375" s="27">
        <f t="shared" si="12"/>
        <v>0</v>
      </c>
    </row>
    <row r="376" spans="2:17" x14ac:dyDescent="0.45">
      <c r="B376" s="27" t="str">
        <f>IFERROR(VLOOKUP(A376,القائمة!$A$3:$F$112,2,FALSE),"")</f>
        <v/>
      </c>
      <c r="C376" s="27" t="str">
        <f>IFERROR(VLOOKUP(A376,القائمة!$A$3:$F$112,3,FALSE),"")</f>
        <v/>
      </c>
      <c r="D376" s="36" t="str">
        <f>IFERROR(VLOOKUP(A376,القائمة!$A$3:$F$112,4,FALSE),"")</f>
        <v/>
      </c>
      <c r="E376" s="36" t="str">
        <f>IFERROR(VLOOKUP(A376,القائمة!$A$3:$F$112,5,FALSE),"")</f>
        <v/>
      </c>
      <c r="F376" s="37" t="str">
        <f>IFERROR(VLOOKUP(A376,القائمة!$A$3:$F$112,6,FALSE),"")</f>
        <v/>
      </c>
      <c r="I376" s="36"/>
      <c r="P376" s="27">
        <f t="shared" si="13"/>
        <v>0</v>
      </c>
      <c r="Q376" s="27">
        <f t="shared" si="12"/>
        <v>0</v>
      </c>
    </row>
    <row r="377" spans="2:17" x14ac:dyDescent="0.45">
      <c r="B377" s="27" t="str">
        <f>IFERROR(VLOOKUP(A377,القائمة!$A$3:$F$112,2,FALSE),"")</f>
        <v/>
      </c>
      <c r="C377" s="27" t="str">
        <f>IFERROR(VLOOKUP(A377,القائمة!$A$3:$F$112,3,FALSE),"")</f>
        <v/>
      </c>
      <c r="D377" s="36" t="str">
        <f>IFERROR(VLOOKUP(A377,القائمة!$A$3:$F$112,4,FALSE),"")</f>
        <v/>
      </c>
      <c r="E377" s="36" t="str">
        <f>IFERROR(VLOOKUP(A377,القائمة!$A$3:$F$112,5,FALSE),"")</f>
        <v/>
      </c>
      <c r="F377" s="37" t="str">
        <f>IFERROR(VLOOKUP(A377,القائمة!$A$3:$F$112,6,FALSE),"")</f>
        <v/>
      </c>
      <c r="I377" s="36"/>
      <c r="P377" s="27">
        <f t="shared" si="13"/>
        <v>0</v>
      </c>
      <c r="Q377" s="27">
        <f t="shared" si="12"/>
        <v>0</v>
      </c>
    </row>
    <row r="378" spans="2:17" x14ac:dyDescent="0.45">
      <c r="B378" s="27" t="str">
        <f>IFERROR(VLOOKUP(A378,القائمة!$A$3:$F$112,2,FALSE),"")</f>
        <v/>
      </c>
      <c r="C378" s="27" t="str">
        <f>IFERROR(VLOOKUP(A378,القائمة!$A$3:$F$112,3,FALSE),"")</f>
        <v/>
      </c>
      <c r="D378" s="36" t="str">
        <f>IFERROR(VLOOKUP(A378,القائمة!$A$3:$F$112,4,FALSE),"")</f>
        <v/>
      </c>
      <c r="E378" s="36" t="str">
        <f>IFERROR(VLOOKUP(A378,القائمة!$A$3:$F$112,5,FALSE),"")</f>
        <v/>
      </c>
      <c r="F378" s="37" t="str">
        <f>IFERROR(VLOOKUP(A378,القائمة!$A$3:$F$112,6,FALSE),"")</f>
        <v/>
      </c>
      <c r="I378" s="36"/>
      <c r="P378" s="27">
        <f t="shared" si="13"/>
        <v>0</v>
      </c>
      <c r="Q378" s="27">
        <f t="shared" si="12"/>
        <v>0</v>
      </c>
    </row>
    <row r="379" spans="2:17" x14ac:dyDescent="0.45">
      <c r="B379" s="27" t="str">
        <f>IFERROR(VLOOKUP(A379,القائمة!$A$3:$F$112,2,FALSE),"")</f>
        <v/>
      </c>
      <c r="C379" s="27" t="str">
        <f>IFERROR(VLOOKUP(A379,القائمة!$A$3:$F$112,3,FALSE),"")</f>
        <v/>
      </c>
      <c r="D379" s="36" t="str">
        <f>IFERROR(VLOOKUP(A379,القائمة!$A$3:$F$112,4,FALSE),"")</f>
        <v/>
      </c>
      <c r="E379" s="36" t="str">
        <f>IFERROR(VLOOKUP(A379,القائمة!$A$3:$F$112,5,FALSE),"")</f>
        <v/>
      </c>
      <c r="F379" s="37" t="str">
        <f>IFERROR(VLOOKUP(A379,القائمة!$A$3:$F$112,6,FALSE),"")</f>
        <v/>
      </c>
      <c r="I379" s="36"/>
      <c r="P379" s="27">
        <f t="shared" si="13"/>
        <v>0</v>
      </c>
      <c r="Q379" s="27">
        <f t="shared" si="12"/>
        <v>0</v>
      </c>
    </row>
    <row r="380" spans="2:17" x14ac:dyDescent="0.45">
      <c r="B380" s="27" t="str">
        <f>IFERROR(VLOOKUP(A380,القائمة!$A$3:$F$112,2,FALSE),"")</f>
        <v/>
      </c>
      <c r="C380" s="27" t="str">
        <f>IFERROR(VLOOKUP(A380,القائمة!$A$3:$F$112,3,FALSE),"")</f>
        <v/>
      </c>
      <c r="D380" s="36" t="str">
        <f>IFERROR(VLOOKUP(A380,القائمة!$A$3:$F$112,4,FALSE),"")</f>
        <v/>
      </c>
      <c r="E380" s="36" t="str">
        <f>IFERROR(VLOOKUP(A380,القائمة!$A$3:$F$112,5,FALSE),"")</f>
        <v/>
      </c>
      <c r="F380" s="37" t="str">
        <f>IFERROR(VLOOKUP(A380,القائمة!$A$3:$F$112,6,FALSE),"")</f>
        <v/>
      </c>
      <c r="I380" s="36"/>
      <c r="P380" s="27">
        <f t="shared" si="13"/>
        <v>0</v>
      </c>
      <c r="Q380" s="27">
        <f t="shared" si="12"/>
        <v>0</v>
      </c>
    </row>
    <row r="381" spans="2:17" x14ac:dyDescent="0.45">
      <c r="B381" s="27" t="str">
        <f>IFERROR(VLOOKUP(A381,القائمة!$A$3:$F$112,2,FALSE),"")</f>
        <v/>
      </c>
      <c r="C381" s="27" t="str">
        <f>IFERROR(VLOOKUP(A381,القائمة!$A$3:$F$112,3,FALSE),"")</f>
        <v/>
      </c>
      <c r="D381" s="36" t="str">
        <f>IFERROR(VLOOKUP(A381,القائمة!$A$3:$F$112,4,FALSE),"")</f>
        <v/>
      </c>
      <c r="E381" s="36" t="str">
        <f>IFERROR(VLOOKUP(A381,القائمة!$A$3:$F$112,5,FALSE),"")</f>
        <v/>
      </c>
      <c r="F381" s="37" t="str">
        <f>IFERROR(VLOOKUP(A381,القائمة!$A$3:$F$112,6,FALSE),"")</f>
        <v/>
      </c>
      <c r="I381" s="36"/>
      <c r="P381" s="27">
        <f t="shared" si="13"/>
        <v>0</v>
      </c>
      <c r="Q381" s="27">
        <f t="shared" si="12"/>
        <v>0</v>
      </c>
    </row>
    <row r="382" spans="2:17" x14ac:dyDescent="0.45">
      <c r="B382" s="27" t="str">
        <f>IFERROR(VLOOKUP(A382,القائمة!$A$3:$F$112,2,FALSE),"")</f>
        <v/>
      </c>
      <c r="C382" s="27" t="str">
        <f>IFERROR(VLOOKUP(A382,القائمة!$A$3:$F$112,3,FALSE),"")</f>
        <v/>
      </c>
      <c r="D382" s="36" t="str">
        <f>IFERROR(VLOOKUP(A382,القائمة!$A$3:$F$112,4,FALSE),"")</f>
        <v/>
      </c>
      <c r="E382" s="36" t="str">
        <f>IFERROR(VLOOKUP(A382,القائمة!$A$3:$F$112,5,FALSE),"")</f>
        <v/>
      </c>
      <c r="F382" s="37" t="str">
        <f>IFERROR(VLOOKUP(A382,القائمة!$A$3:$F$112,6,FALSE),"")</f>
        <v/>
      </c>
      <c r="I382" s="36"/>
      <c r="P382" s="27">
        <f t="shared" si="13"/>
        <v>0</v>
      </c>
      <c r="Q382" s="27">
        <f t="shared" si="12"/>
        <v>0</v>
      </c>
    </row>
    <row r="383" spans="2:17" x14ac:dyDescent="0.45">
      <c r="B383" s="27" t="str">
        <f>IFERROR(VLOOKUP(A383,القائمة!$A$3:$F$112,2,FALSE),"")</f>
        <v/>
      </c>
      <c r="C383" s="27" t="str">
        <f>IFERROR(VLOOKUP(A383,القائمة!$A$3:$F$112,3,FALSE),"")</f>
        <v/>
      </c>
      <c r="D383" s="36" t="str">
        <f>IFERROR(VLOOKUP(A383,القائمة!$A$3:$F$112,4,FALSE),"")</f>
        <v/>
      </c>
      <c r="E383" s="36" t="str">
        <f>IFERROR(VLOOKUP(A383,القائمة!$A$3:$F$112,5,FALSE),"")</f>
        <v/>
      </c>
      <c r="F383" s="37" t="str">
        <f>IFERROR(VLOOKUP(A383,القائمة!$A$3:$F$112,6,FALSE),"")</f>
        <v/>
      </c>
      <c r="I383" s="36"/>
      <c r="P383" s="27">
        <f t="shared" si="13"/>
        <v>0</v>
      </c>
      <c r="Q383" s="27">
        <f t="shared" si="12"/>
        <v>0</v>
      </c>
    </row>
    <row r="384" spans="2:17" x14ac:dyDescent="0.45">
      <c r="B384" s="27" t="str">
        <f>IFERROR(VLOOKUP(A384,القائمة!$A$3:$F$112,2,FALSE),"")</f>
        <v/>
      </c>
      <c r="C384" s="27" t="str">
        <f>IFERROR(VLOOKUP(A384,القائمة!$A$3:$F$112,3,FALSE),"")</f>
        <v/>
      </c>
      <c r="D384" s="36" t="str">
        <f>IFERROR(VLOOKUP(A384,القائمة!$A$3:$F$112,4,FALSE),"")</f>
        <v/>
      </c>
      <c r="E384" s="36" t="str">
        <f>IFERROR(VLOOKUP(A384,القائمة!$A$3:$F$112,5,FALSE),"")</f>
        <v/>
      </c>
      <c r="F384" s="37" t="str">
        <f>IFERROR(VLOOKUP(A384,القائمة!$A$3:$F$112,6,FALSE),"")</f>
        <v/>
      </c>
      <c r="I384" s="36"/>
      <c r="P384" s="27">
        <f t="shared" si="13"/>
        <v>0</v>
      </c>
      <c r="Q384" s="27">
        <f t="shared" si="12"/>
        <v>0</v>
      </c>
    </row>
    <row r="385" spans="2:17" x14ac:dyDescent="0.45">
      <c r="B385" s="27" t="str">
        <f>IFERROR(VLOOKUP(A385,القائمة!$A$3:$F$112,2,FALSE),"")</f>
        <v/>
      </c>
      <c r="C385" s="27" t="str">
        <f>IFERROR(VLOOKUP(A385,القائمة!$A$3:$F$112,3,FALSE),"")</f>
        <v/>
      </c>
      <c r="D385" s="36" t="str">
        <f>IFERROR(VLOOKUP(A385,القائمة!$A$3:$F$112,4,FALSE),"")</f>
        <v/>
      </c>
      <c r="E385" s="36" t="str">
        <f>IFERROR(VLOOKUP(A385,القائمة!$A$3:$F$112,5,FALSE),"")</f>
        <v/>
      </c>
      <c r="F385" s="37" t="str">
        <f>IFERROR(VLOOKUP(A385,القائمة!$A$3:$F$112,6,FALSE),"")</f>
        <v/>
      </c>
      <c r="I385" s="36"/>
      <c r="P385" s="27">
        <f t="shared" si="13"/>
        <v>0</v>
      </c>
      <c r="Q385" s="27">
        <f t="shared" si="12"/>
        <v>0</v>
      </c>
    </row>
    <row r="386" spans="2:17" x14ac:dyDescent="0.45">
      <c r="B386" s="27" t="str">
        <f>IFERROR(VLOOKUP(A386,القائمة!$A$3:$F$112,2,FALSE),"")</f>
        <v/>
      </c>
      <c r="C386" s="27" t="str">
        <f>IFERROR(VLOOKUP(A386,القائمة!$A$3:$F$112,3,FALSE),"")</f>
        <v/>
      </c>
      <c r="D386" s="36" t="str">
        <f>IFERROR(VLOOKUP(A386,القائمة!$A$3:$F$112,4,FALSE),"")</f>
        <v/>
      </c>
      <c r="E386" s="36" t="str">
        <f>IFERROR(VLOOKUP(A386,القائمة!$A$3:$F$112,5,FALSE),"")</f>
        <v/>
      </c>
      <c r="F386" s="37" t="str">
        <f>IFERROR(VLOOKUP(A386,القائمة!$A$3:$F$112,6,FALSE),"")</f>
        <v/>
      </c>
      <c r="I386" s="36"/>
      <c r="P386" s="27">
        <f t="shared" si="13"/>
        <v>0</v>
      </c>
      <c r="Q386" s="27">
        <f t="shared" si="12"/>
        <v>0</v>
      </c>
    </row>
    <row r="387" spans="2:17" x14ac:dyDescent="0.45">
      <c r="B387" s="27" t="str">
        <f>IFERROR(VLOOKUP(A387,القائمة!$A$3:$F$112,2,FALSE),"")</f>
        <v/>
      </c>
      <c r="C387" s="27" t="str">
        <f>IFERROR(VLOOKUP(A387,القائمة!$A$3:$F$112,3,FALSE),"")</f>
        <v/>
      </c>
      <c r="D387" s="36" t="str">
        <f>IFERROR(VLOOKUP(A387,القائمة!$A$3:$F$112,4,FALSE),"")</f>
        <v/>
      </c>
      <c r="E387" s="36" t="str">
        <f>IFERROR(VLOOKUP(A387,القائمة!$A$3:$F$112,5,FALSE),"")</f>
        <v/>
      </c>
      <c r="F387" s="37" t="str">
        <f>IFERROR(VLOOKUP(A387,القائمة!$A$3:$F$112,6,FALSE),"")</f>
        <v/>
      </c>
      <c r="I387" s="36"/>
      <c r="P387" s="27">
        <f t="shared" si="13"/>
        <v>0</v>
      </c>
      <c r="Q387" s="27">
        <f t="shared" ref="Q387:Q450" si="14">+P387+L387-M387</f>
        <v>0</v>
      </c>
    </row>
    <row r="388" spans="2:17" x14ac:dyDescent="0.45">
      <c r="B388" s="27" t="str">
        <f>IFERROR(VLOOKUP(A388,القائمة!$A$3:$F$112,2,FALSE),"")</f>
        <v/>
      </c>
      <c r="C388" s="27" t="str">
        <f>IFERROR(VLOOKUP(A388,القائمة!$A$3:$F$112,3,FALSE),"")</f>
        <v/>
      </c>
      <c r="D388" s="36" t="str">
        <f>IFERROR(VLOOKUP(A388,القائمة!$A$3:$F$112,4,FALSE),"")</f>
        <v/>
      </c>
      <c r="E388" s="36" t="str">
        <f>IFERROR(VLOOKUP(A388,القائمة!$A$3:$F$112,5,FALSE),"")</f>
        <v/>
      </c>
      <c r="F388" s="37" t="str">
        <f>IFERROR(VLOOKUP(A388,القائمة!$A$3:$F$112,6,FALSE),"")</f>
        <v/>
      </c>
      <c r="I388" s="36"/>
      <c r="P388" s="27">
        <f t="shared" ref="P388:P451" si="15">J388-K388</f>
        <v>0</v>
      </c>
      <c r="Q388" s="27">
        <f t="shared" si="14"/>
        <v>0</v>
      </c>
    </row>
    <row r="389" spans="2:17" x14ac:dyDescent="0.45">
      <c r="B389" s="27" t="str">
        <f>IFERROR(VLOOKUP(A389,القائمة!$A$3:$F$112,2,FALSE),"")</f>
        <v/>
      </c>
      <c r="C389" s="27" t="str">
        <f>IFERROR(VLOOKUP(A389,القائمة!$A$3:$F$112,3,FALSE),"")</f>
        <v/>
      </c>
      <c r="D389" s="36" t="str">
        <f>IFERROR(VLOOKUP(A389,القائمة!$A$3:$F$112,4,FALSE),"")</f>
        <v/>
      </c>
      <c r="E389" s="36" t="str">
        <f>IFERROR(VLOOKUP(A389,القائمة!$A$3:$F$112,5,FALSE),"")</f>
        <v/>
      </c>
      <c r="F389" s="37" t="str">
        <f>IFERROR(VLOOKUP(A389,القائمة!$A$3:$F$112,6,FALSE),"")</f>
        <v/>
      </c>
      <c r="I389" s="36"/>
      <c r="P389" s="27">
        <f t="shared" si="15"/>
        <v>0</v>
      </c>
      <c r="Q389" s="27">
        <f t="shared" si="14"/>
        <v>0</v>
      </c>
    </row>
    <row r="390" spans="2:17" x14ac:dyDescent="0.45">
      <c r="B390" s="27" t="str">
        <f>IFERROR(VLOOKUP(A390,القائمة!$A$3:$F$112,2,FALSE),"")</f>
        <v/>
      </c>
      <c r="C390" s="27" t="str">
        <f>IFERROR(VLOOKUP(A390,القائمة!$A$3:$F$112,3,FALSE),"")</f>
        <v/>
      </c>
      <c r="D390" s="36" t="str">
        <f>IFERROR(VLOOKUP(A390,القائمة!$A$3:$F$112,4,FALSE),"")</f>
        <v/>
      </c>
      <c r="E390" s="36" t="str">
        <f>IFERROR(VLOOKUP(A390,القائمة!$A$3:$F$112,5,FALSE),"")</f>
        <v/>
      </c>
      <c r="F390" s="37" t="str">
        <f>IFERROR(VLOOKUP(A390,القائمة!$A$3:$F$112,6,FALSE),"")</f>
        <v/>
      </c>
      <c r="I390" s="36"/>
      <c r="P390" s="27">
        <f t="shared" si="15"/>
        <v>0</v>
      </c>
      <c r="Q390" s="27">
        <f t="shared" si="14"/>
        <v>0</v>
      </c>
    </row>
    <row r="391" spans="2:17" x14ac:dyDescent="0.45">
      <c r="B391" s="27" t="str">
        <f>IFERROR(VLOOKUP(A391,القائمة!$A$3:$F$112,2,FALSE),"")</f>
        <v/>
      </c>
      <c r="C391" s="27" t="str">
        <f>IFERROR(VLOOKUP(A391,القائمة!$A$3:$F$112,3,FALSE),"")</f>
        <v/>
      </c>
      <c r="D391" s="36" t="str">
        <f>IFERROR(VLOOKUP(A391,القائمة!$A$3:$F$112,4,FALSE),"")</f>
        <v/>
      </c>
      <c r="E391" s="36" t="str">
        <f>IFERROR(VLOOKUP(A391,القائمة!$A$3:$F$112,5,FALSE),"")</f>
        <v/>
      </c>
      <c r="F391" s="37" t="str">
        <f>IFERROR(VLOOKUP(A391,القائمة!$A$3:$F$112,6,FALSE),"")</f>
        <v/>
      </c>
      <c r="I391" s="36"/>
      <c r="P391" s="27">
        <f t="shared" si="15"/>
        <v>0</v>
      </c>
      <c r="Q391" s="27">
        <f t="shared" si="14"/>
        <v>0</v>
      </c>
    </row>
    <row r="392" spans="2:17" x14ac:dyDescent="0.45">
      <c r="B392" s="27" t="str">
        <f>IFERROR(VLOOKUP(A392,القائمة!$A$3:$F$112,2,FALSE),"")</f>
        <v/>
      </c>
      <c r="C392" s="27" t="str">
        <f>IFERROR(VLOOKUP(A392,القائمة!$A$3:$F$112,3,FALSE),"")</f>
        <v/>
      </c>
      <c r="D392" s="36" t="str">
        <f>IFERROR(VLOOKUP(A392,القائمة!$A$3:$F$112,4,FALSE),"")</f>
        <v/>
      </c>
      <c r="E392" s="36" t="str">
        <f>IFERROR(VLOOKUP(A392,القائمة!$A$3:$F$112,5,FALSE),"")</f>
        <v/>
      </c>
      <c r="F392" s="37" t="str">
        <f>IFERROR(VLOOKUP(A392,القائمة!$A$3:$F$112,6,FALSE),"")</f>
        <v/>
      </c>
      <c r="I392" s="36"/>
      <c r="P392" s="27">
        <f t="shared" si="15"/>
        <v>0</v>
      </c>
      <c r="Q392" s="27">
        <f t="shared" si="14"/>
        <v>0</v>
      </c>
    </row>
    <row r="393" spans="2:17" x14ac:dyDescent="0.45">
      <c r="B393" s="27" t="str">
        <f>IFERROR(VLOOKUP(A393,القائمة!$A$3:$F$112,2,FALSE),"")</f>
        <v/>
      </c>
      <c r="C393" s="27" t="str">
        <f>IFERROR(VLOOKUP(A393,القائمة!$A$3:$F$112,3,FALSE),"")</f>
        <v/>
      </c>
      <c r="D393" s="36" t="str">
        <f>IFERROR(VLOOKUP(A393,القائمة!$A$3:$F$112,4,FALSE),"")</f>
        <v/>
      </c>
      <c r="E393" s="36" t="str">
        <f>IFERROR(VLOOKUP(A393,القائمة!$A$3:$F$112,5,FALSE),"")</f>
        <v/>
      </c>
      <c r="F393" s="37" t="str">
        <f>IFERROR(VLOOKUP(A393,القائمة!$A$3:$F$112,6,FALSE),"")</f>
        <v/>
      </c>
      <c r="I393" s="36"/>
      <c r="P393" s="27">
        <f t="shared" si="15"/>
        <v>0</v>
      </c>
      <c r="Q393" s="27">
        <f t="shared" si="14"/>
        <v>0</v>
      </c>
    </row>
    <row r="394" spans="2:17" x14ac:dyDescent="0.45">
      <c r="B394" s="27" t="str">
        <f>IFERROR(VLOOKUP(A394,القائمة!$A$3:$F$112,2,FALSE),"")</f>
        <v/>
      </c>
      <c r="C394" s="27" t="str">
        <f>IFERROR(VLOOKUP(A394,القائمة!$A$3:$F$112,3,FALSE),"")</f>
        <v/>
      </c>
      <c r="D394" s="36" t="str">
        <f>IFERROR(VLOOKUP(A394,القائمة!$A$3:$F$112,4,FALSE),"")</f>
        <v/>
      </c>
      <c r="E394" s="36" t="str">
        <f>IFERROR(VLOOKUP(A394,القائمة!$A$3:$F$112,5,FALSE),"")</f>
        <v/>
      </c>
      <c r="F394" s="37" t="str">
        <f>IFERROR(VLOOKUP(A394,القائمة!$A$3:$F$112,6,FALSE),"")</f>
        <v/>
      </c>
      <c r="I394" s="36"/>
      <c r="P394" s="27">
        <f t="shared" si="15"/>
        <v>0</v>
      </c>
      <c r="Q394" s="27">
        <f t="shared" si="14"/>
        <v>0</v>
      </c>
    </row>
    <row r="395" spans="2:17" x14ac:dyDescent="0.45">
      <c r="B395" s="27" t="str">
        <f>IFERROR(VLOOKUP(A395,القائمة!$A$3:$F$112,2,FALSE),"")</f>
        <v/>
      </c>
      <c r="C395" s="27" t="str">
        <f>IFERROR(VLOOKUP(A395,القائمة!$A$3:$F$112,3,FALSE),"")</f>
        <v/>
      </c>
      <c r="D395" s="36" t="str">
        <f>IFERROR(VLOOKUP(A395,القائمة!$A$3:$F$112,4,FALSE),"")</f>
        <v/>
      </c>
      <c r="E395" s="36" t="str">
        <f>IFERROR(VLOOKUP(A395,القائمة!$A$3:$F$112,5,FALSE),"")</f>
        <v/>
      </c>
      <c r="F395" s="37" t="str">
        <f>IFERROR(VLOOKUP(A395,القائمة!$A$3:$F$112,6,FALSE),"")</f>
        <v/>
      </c>
      <c r="I395" s="36"/>
      <c r="P395" s="27">
        <f t="shared" si="15"/>
        <v>0</v>
      </c>
      <c r="Q395" s="27">
        <f t="shared" si="14"/>
        <v>0</v>
      </c>
    </row>
    <row r="396" spans="2:17" x14ac:dyDescent="0.45">
      <c r="B396" s="27" t="str">
        <f>IFERROR(VLOOKUP(A396,القائمة!$A$3:$F$112,2,FALSE),"")</f>
        <v/>
      </c>
      <c r="C396" s="27" t="str">
        <f>IFERROR(VLOOKUP(A396,القائمة!$A$3:$F$112,3,FALSE),"")</f>
        <v/>
      </c>
      <c r="D396" s="36" t="str">
        <f>IFERROR(VLOOKUP(A396,القائمة!$A$3:$F$112,4,FALSE),"")</f>
        <v/>
      </c>
      <c r="E396" s="36" t="str">
        <f>IFERROR(VLOOKUP(A396,القائمة!$A$3:$F$112,5,FALSE),"")</f>
        <v/>
      </c>
      <c r="F396" s="37" t="str">
        <f>IFERROR(VLOOKUP(A396,القائمة!$A$3:$F$112,6,FALSE),"")</f>
        <v/>
      </c>
      <c r="I396" s="36"/>
      <c r="P396" s="27">
        <f t="shared" si="15"/>
        <v>0</v>
      </c>
      <c r="Q396" s="27">
        <f t="shared" si="14"/>
        <v>0</v>
      </c>
    </row>
    <row r="397" spans="2:17" x14ac:dyDescent="0.45">
      <c r="B397" s="27" t="str">
        <f>IFERROR(VLOOKUP(A397,القائمة!$A$3:$F$112,2,FALSE),"")</f>
        <v/>
      </c>
      <c r="C397" s="27" t="str">
        <f>IFERROR(VLOOKUP(A397,القائمة!$A$3:$F$112,3,FALSE),"")</f>
        <v/>
      </c>
      <c r="D397" s="36" t="str">
        <f>IFERROR(VLOOKUP(A397,القائمة!$A$3:$F$112,4,FALSE),"")</f>
        <v/>
      </c>
      <c r="E397" s="36" t="str">
        <f>IFERROR(VLOOKUP(A397,القائمة!$A$3:$F$112,5,FALSE),"")</f>
        <v/>
      </c>
      <c r="F397" s="37" t="str">
        <f>IFERROR(VLOOKUP(A397,القائمة!$A$3:$F$112,6,FALSE),"")</f>
        <v/>
      </c>
      <c r="I397" s="36"/>
      <c r="P397" s="27">
        <f t="shared" si="15"/>
        <v>0</v>
      </c>
      <c r="Q397" s="27">
        <f t="shared" si="14"/>
        <v>0</v>
      </c>
    </row>
    <row r="398" spans="2:17" x14ac:dyDescent="0.45">
      <c r="B398" s="27" t="str">
        <f>IFERROR(VLOOKUP(A398,القائمة!$A$3:$F$112,2,FALSE),"")</f>
        <v/>
      </c>
      <c r="C398" s="27" t="str">
        <f>IFERROR(VLOOKUP(A398,القائمة!$A$3:$F$112,3,FALSE),"")</f>
        <v/>
      </c>
      <c r="D398" s="36" t="str">
        <f>IFERROR(VLOOKUP(A398,القائمة!$A$3:$F$112,4,FALSE),"")</f>
        <v/>
      </c>
      <c r="E398" s="36" t="str">
        <f>IFERROR(VLOOKUP(A398,القائمة!$A$3:$F$112,5,FALSE),"")</f>
        <v/>
      </c>
      <c r="F398" s="37" t="str">
        <f>IFERROR(VLOOKUP(A398,القائمة!$A$3:$F$112,6,FALSE),"")</f>
        <v/>
      </c>
      <c r="I398" s="36"/>
      <c r="P398" s="27">
        <f t="shared" si="15"/>
        <v>0</v>
      </c>
      <c r="Q398" s="27">
        <f t="shared" si="14"/>
        <v>0</v>
      </c>
    </row>
    <row r="399" spans="2:17" x14ac:dyDescent="0.45">
      <c r="B399" s="27" t="str">
        <f>IFERROR(VLOOKUP(A399,القائمة!$A$3:$F$112,2,FALSE),"")</f>
        <v/>
      </c>
      <c r="C399" s="27" t="str">
        <f>IFERROR(VLOOKUP(A399,القائمة!$A$3:$F$112,3,FALSE),"")</f>
        <v/>
      </c>
      <c r="D399" s="36" t="str">
        <f>IFERROR(VLOOKUP(A399,القائمة!$A$3:$F$112,4,FALSE),"")</f>
        <v/>
      </c>
      <c r="E399" s="36" t="str">
        <f>IFERROR(VLOOKUP(A399,القائمة!$A$3:$F$112,5,FALSE),"")</f>
        <v/>
      </c>
      <c r="F399" s="37" t="str">
        <f>IFERROR(VLOOKUP(A399,القائمة!$A$3:$F$112,6,FALSE),"")</f>
        <v/>
      </c>
      <c r="I399" s="36"/>
      <c r="P399" s="27">
        <f t="shared" si="15"/>
        <v>0</v>
      </c>
      <c r="Q399" s="27">
        <f t="shared" si="14"/>
        <v>0</v>
      </c>
    </row>
    <row r="400" spans="2:17" x14ac:dyDescent="0.45">
      <c r="B400" s="27" t="str">
        <f>IFERROR(VLOOKUP(A400,القائمة!$A$3:$F$112,2,FALSE),"")</f>
        <v/>
      </c>
      <c r="C400" s="27" t="str">
        <f>IFERROR(VLOOKUP(A400,القائمة!$A$3:$F$112,3,FALSE),"")</f>
        <v/>
      </c>
      <c r="D400" s="36" t="str">
        <f>IFERROR(VLOOKUP(A400,القائمة!$A$3:$F$112,4,FALSE),"")</f>
        <v/>
      </c>
      <c r="E400" s="36" t="str">
        <f>IFERROR(VLOOKUP(A400,القائمة!$A$3:$F$112,5,FALSE),"")</f>
        <v/>
      </c>
      <c r="F400" s="37" t="str">
        <f>IFERROR(VLOOKUP(A400,القائمة!$A$3:$F$112,6,FALSE),"")</f>
        <v/>
      </c>
      <c r="I400" s="36"/>
      <c r="P400" s="27">
        <f t="shared" si="15"/>
        <v>0</v>
      </c>
      <c r="Q400" s="27">
        <f t="shared" si="14"/>
        <v>0</v>
      </c>
    </row>
    <row r="401" spans="2:17" x14ac:dyDescent="0.45">
      <c r="B401" s="27" t="str">
        <f>IFERROR(VLOOKUP(A401,القائمة!$A$3:$F$112,2,FALSE),"")</f>
        <v/>
      </c>
      <c r="C401" s="27" t="str">
        <f>IFERROR(VLOOKUP(A401,القائمة!$A$3:$F$112,3,FALSE),"")</f>
        <v/>
      </c>
      <c r="D401" s="36" t="str">
        <f>IFERROR(VLOOKUP(A401,القائمة!$A$3:$F$112,4,FALSE),"")</f>
        <v/>
      </c>
      <c r="E401" s="36" t="str">
        <f>IFERROR(VLOOKUP(A401,القائمة!$A$3:$F$112,5,FALSE),"")</f>
        <v/>
      </c>
      <c r="F401" s="37" t="str">
        <f>IFERROR(VLOOKUP(A401,القائمة!$A$3:$F$112,6,FALSE),"")</f>
        <v/>
      </c>
      <c r="I401" s="36"/>
      <c r="P401" s="27">
        <f t="shared" si="15"/>
        <v>0</v>
      </c>
      <c r="Q401" s="27">
        <f t="shared" si="14"/>
        <v>0</v>
      </c>
    </row>
    <row r="402" spans="2:17" x14ac:dyDescent="0.45">
      <c r="B402" s="27" t="str">
        <f>IFERROR(VLOOKUP(A402,القائمة!$A$3:$F$112,2,FALSE),"")</f>
        <v/>
      </c>
      <c r="C402" s="27" t="str">
        <f>IFERROR(VLOOKUP(A402,القائمة!$A$3:$F$112,3,FALSE),"")</f>
        <v/>
      </c>
      <c r="D402" s="36" t="str">
        <f>IFERROR(VLOOKUP(A402,القائمة!$A$3:$F$112,4,FALSE),"")</f>
        <v/>
      </c>
      <c r="E402" s="36" t="str">
        <f>IFERROR(VLOOKUP(A402,القائمة!$A$3:$F$112,5,FALSE),"")</f>
        <v/>
      </c>
      <c r="F402" s="37" t="str">
        <f>IFERROR(VLOOKUP(A402,القائمة!$A$3:$F$112,6,FALSE),"")</f>
        <v/>
      </c>
      <c r="I402" s="36"/>
      <c r="P402" s="27">
        <f t="shared" si="15"/>
        <v>0</v>
      </c>
      <c r="Q402" s="27">
        <f t="shared" si="14"/>
        <v>0</v>
      </c>
    </row>
    <row r="403" spans="2:17" x14ac:dyDescent="0.45">
      <c r="B403" s="27" t="str">
        <f>IFERROR(VLOOKUP(A403,القائمة!$A$3:$F$112,2,FALSE),"")</f>
        <v/>
      </c>
      <c r="C403" s="27" t="str">
        <f>IFERROR(VLOOKUP(A403,القائمة!$A$3:$F$112,3,FALSE),"")</f>
        <v/>
      </c>
      <c r="D403" s="36" t="str">
        <f>IFERROR(VLOOKUP(A403,القائمة!$A$3:$F$112,4,FALSE),"")</f>
        <v/>
      </c>
      <c r="E403" s="36" t="str">
        <f>IFERROR(VLOOKUP(A403,القائمة!$A$3:$F$112,5,FALSE),"")</f>
        <v/>
      </c>
      <c r="F403" s="37" t="str">
        <f>IFERROR(VLOOKUP(A403,القائمة!$A$3:$F$112,6,FALSE),"")</f>
        <v/>
      </c>
      <c r="I403" s="36"/>
      <c r="P403" s="27">
        <f t="shared" si="15"/>
        <v>0</v>
      </c>
      <c r="Q403" s="27">
        <f t="shared" si="14"/>
        <v>0</v>
      </c>
    </row>
    <row r="404" spans="2:17" x14ac:dyDescent="0.45">
      <c r="B404" s="27" t="str">
        <f>IFERROR(VLOOKUP(A404,القائمة!$A$3:$F$112,2,FALSE),"")</f>
        <v/>
      </c>
      <c r="C404" s="27" t="str">
        <f>IFERROR(VLOOKUP(A404,القائمة!$A$3:$F$112,3,FALSE),"")</f>
        <v/>
      </c>
      <c r="D404" s="36" t="str">
        <f>IFERROR(VLOOKUP(A404,القائمة!$A$3:$F$112,4,FALSE),"")</f>
        <v/>
      </c>
      <c r="E404" s="36" t="str">
        <f>IFERROR(VLOOKUP(A404,القائمة!$A$3:$F$112,5,FALSE),"")</f>
        <v/>
      </c>
      <c r="F404" s="37" t="str">
        <f>IFERROR(VLOOKUP(A404,القائمة!$A$3:$F$112,6,FALSE),"")</f>
        <v/>
      </c>
      <c r="I404" s="36"/>
      <c r="P404" s="27">
        <f t="shared" si="15"/>
        <v>0</v>
      </c>
      <c r="Q404" s="27">
        <f t="shared" si="14"/>
        <v>0</v>
      </c>
    </row>
    <row r="405" spans="2:17" x14ac:dyDescent="0.45">
      <c r="B405" s="27" t="str">
        <f>IFERROR(VLOOKUP(A405,القائمة!$A$3:$F$112,2,FALSE),"")</f>
        <v/>
      </c>
      <c r="C405" s="27" t="str">
        <f>IFERROR(VLOOKUP(A405,القائمة!$A$3:$F$112,3,FALSE),"")</f>
        <v/>
      </c>
      <c r="D405" s="36" t="str">
        <f>IFERROR(VLOOKUP(A405,القائمة!$A$3:$F$112,4,FALSE),"")</f>
        <v/>
      </c>
      <c r="E405" s="36" t="str">
        <f>IFERROR(VLOOKUP(A405,القائمة!$A$3:$F$112,5,FALSE),"")</f>
        <v/>
      </c>
      <c r="F405" s="37" t="str">
        <f>IFERROR(VLOOKUP(A405,القائمة!$A$3:$F$112,6,FALSE),"")</f>
        <v/>
      </c>
      <c r="I405" s="36"/>
      <c r="P405" s="27">
        <f t="shared" si="15"/>
        <v>0</v>
      </c>
      <c r="Q405" s="27">
        <f t="shared" si="14"/>
        <v>0</v>
      </c>
    </row>
    <row r="406" spans="2:17" x14ac:dyDescent="0.45">
      <c r="B406" s="27" t="str">
        <f>IFERROR(VLOOKUP(A406,القائمة!$A$3:$F$112,2,FALSE),"")</f>
        <v/>
      </c>
      <c r="C406" s="27" t="str">
        <f>IFERROR(VLOOKUP(A406,القائمة!$A$3:$F$112,3,FALSE),"")</f>
        <v/>
      </c>
      <c r="D406" s="36" t="str">
        <f>IFERROR(VLOOKUP(A406,القائمة!$A$3:$F$112,4,FALSE),"")</f>
        <v/>
      </c>
      <c r="E406" s="36" t="str">
        <f>IFERROR(VLOOKUP(A406,القائمة!$A$3:$F$112,5,FALSE),"")</f>
        <v/>
      </c>
      <c r="F406" s="37" t="str">
        <f>IFERROR(VLOOKUP(A406,القائمة!$A$3:$F$112,6,FALSE),"")</f>
        <v/>
      </c>
      <c r="I406" s="36"/>
      <c r="P406" s="27">
        <f t="shared" si="15"/>
        <v>0</v>
      </c>
      <c r="Q406" s="27">
        <f t="shared" si="14"/>
        <v>0</v>
      </c>
    </row>
    <row r="407" spans="2:17" x14ac:dyDescent="0.45">
      <c r="B407" s="27" t="str">
        <f>IFERROR(VLOOKUP(A407,القائمة!$A$3:$F$112,2,FALSE),"")</f>
        <v/>
      </c>
      <c r="C407" s="27" t="str">
        <f>IFERROR(VLOOKUP(A407,القائمة!$A$3:$F$112,3,FALSE),"")</f>
        <v/>
      </c>
      <c r="D407" s="36" t="str">
        <f>IFERROR(VLOOKUP(A407,القائمة!$A$3:$F$112,4,FALSE),"")</f>
        <v/>
      </c>
      <c r="E407" s="36" t="str">
        <f>IFERROR(VLOOKUP(A407,القائمة!$A$3:$F$112,5,FALSE),"")</f>
        <v/>
      </c>
      <c r="F407" s="37" t="str">
        <f>IFERROR(VLOOKUP(A407,القائمة!$A$3:$F$112,6,FALSE),"")</f>
        <v/>
      </c>
      <c r="I407" s="36"/>
      <c r="P407" s="27">
        <f t="shared" si="15"/>
        <v>0</v>
      </c>
      <c r="Q407" s="27">
        <f t="shared" si="14"/>
        <v>0</v>
      </c>
    </row>
    <row r="408" spans="2:17" x14ac:dyDescent="0.45">
      <c r="B408" s="27" t="str">
        <f>IFERROR(VLOOKUP(A408,القائمة!$A$3:$F$112,2,FALSE),"")</f>
        <v/>
      </c>
      <c r="C408" s="27" t="str">
        <f>IFERROR(VLOOKUP(A408,القائمة!$A$3:$F$112,3,FALSE),"")</f>
        <v/>
      </c>
      <c r="D408" s="36" t="str">
        <f>IFERROR(VLOOKUP(A408,القائمة!$A$3:$F$112,4,FALSE),"")</f>
        <v/>
      </c>
      <c r="E408" s="36" t="str">
        <f>IFERROR(VLOOKUP(A408,القائمة!$A$3:$F$112,5,FALSE),"")</f>
        <v/>
      </c>
      <c r="F408" s="37" t="str">
        <f>IFERROR(VLOOKUP(A408,القائمة!$A$3:$F$112,6,FALSE),"")</f>
        <v/>
      </c>
      <c r="I408" s="36"/>
      <c r="P408" s="27">
        <f t="shared" si="15"/>
        <v>0</v>
      </c>
      <c r="Q408" s="27">
        <f t="shared" si="14"/>
        <v>0</v>
      </c>
    </row>
    <row r="409" spans="2:17" x14ac:dyDescent="0.45">
      <c r="B409" s="27" t="str">
        <f>IFERROR(VLOOKUP(A409,القائمة!$A$3:$F$112,2,FALSE),"")</f>
        <v/>
      </c>
      <c r="C409" s="27" t="str">
        <f>IFERROR(VLOOKUP(A409,القائمة!$A$3:$F$112,3,FALSE),"")</f>
        <v/>
      </c>
      <c r="D409" s="36" t="str">
        <f>IFERROR(VLOOKUP(A409,القائمة!$A$3:$F$112,4,FALSE),"")</f>
        <v/>
      </c>
      <c r="E409" s="36" t="str">
        <f>IFERROR(VLOOKUP(A409,القائمة!$A$3:$F$112,5,FALSE),"")</f>
        <v/>
      </c>
      <c r="F409" s="37" t="str">
        <f>IFERROR(VLOOKUP(A409,القائمة!$A$3:$F$112,6,FALSE),"")</f>
        <v/>
      </c>
      <c r="I409" s="36"/>
      <c r="P409" s="27">
        <f t="shared" si="15"/>
        <v>0</v>
      </c>
      <c r="Q409" s="27">
        <f t="shared" si="14"/>
        <v>0</v>
      </c>
    </row>
    <row r="410" spans="2:17" x14ac:dyDescent="0.45">
      <c r="B410" s="27" t="str">
        <f>IFERROR(VLOOKUP(A410,القائمة!$A$3:$F$112,2,FALSE),"")</f>
        <v/>
      </c>
      <c r="C410" s="27" t="str">
        <f>IFERROR(VLOOKUP(A410,القائمة!$A$3:$F$112,3,FALSE),"")</f>
        <v/>
      </c>
      <c r="D410" s="36" t="str">
        <f>IFERROR(VLOOKUP(A410,القائمة!$A$3:$F$112,4,FALSE),"")</f>
        <v/>
      </c>
      <c r="E410" s="36" t="str">
        <f>IFERROR(VLOOKUP(A410,القائمة!$A$3:$F$112,5,FALSE),"")</f>
        <v/>
      </c>
      <c r="F410" s="37" t="str">
        <f>IFERROR(VLOOKUP(A410,القائمة!$A$3:$F$112,6,FALSE),"")</f>
        <v/>
      </c>
      <c r="I410" s="36"/>
      <c r="P410" s="27">
        <f t="shared" si="15"/>
        <v>0</v>
      </c>
      <c r="Q410" s="27">
        <f t="shared" si="14"/>
        <v>0</v>
      </c>
    </row>
    <row r="411" spans="2:17" x14ac:dyDescent="0.45">
      <c r="B411" s="27" t="str">
        <f>IFERROR(VLOOKUP(A411,القائمة!$A$3:$F$112,2,FALSE),"")</f>
        <v/>
      </c>
      <c r="C411" s="27" t="str">
        <f>IFERROR(VLOOKUP(A411,القائمة!$A$3:$F$112,3,FALSE),"")</f>
        <v/>
      </c>
      <c r="D411" s="36" t="str">
        <f>IFERROR(VLOOKUP(A411,القائمة!$A$3:$F$112,4,FALSE),"")</f>
        <v/>
      </c>
      <c r="E411" s="36" t="str">
        <f>IFERROR(VLOOKUP(A411,القائمة!$A$3:$F$112,5,FALSE),"")</f>
        <v/>
      </c>
      <c r="F411" s="37" t="str">
        <f>IFERROR(VLOOKUP(A411,القائمة!$A$3:$F$112,6,FALSE),"")</f>
        <v/>
      </c>
      <c r="I411" s="36"/>
      <c r="P411" s="27">
        <f t="shared" si="15"/>
        <v>0</v>
      </c>
      <c r="Q411" s="27">
        <f t="shared" si="14"/>
        <v>0</v>
      </c>
    </row>
    <row r="412" spans="2:17" x14ac:dyDescent="0.45">
      <c r="B412" s="27" t="str">
        <f>IFERROR(VLOOKUP(A412,القائمة!$A$3:$F$112,2,FALSE),"")</f>
        <v/>
      </c>
      <c r="C412" s="27" t="str">
        <f>IFERROR(VLOOKUP(A412,القائمة!$A$3:$F$112,3,FALSE),"")</f>
        <v/>
      </c>
      <c r="D412" s="36" t="str">
        <f>IFERROR(VLOOKUP(A412,القائمة!$A$3:$F$112,4,FALSE),"")</f>
        <v/>
      </c>
      <c r="E412" s="36" t="str">
        <f>IFERROR(VLOOKUP(A412,القائمة!$A$3:$F$112,5,FALSE),"")</f>
        <v/>
      </c>
      <c r="F412" s="37" t="str">
        <f>IFERROR(VLOOKUP(A412,القائمة!$A$3:$F$112,6,FALSE),"")</f>
        <v/>
      </c>
      <c r="I412" s="36"/>
      <c r="P412" s="27">
        <f t="shared" si="15"/>
        <v>0</v>
      </c>
      <c r="Q412" s="27">
        <f t="shared" si="14"/>
        <v>0</v>
      </c>
    </row>
    <row r="413" spans="2:17" x14ac:dyDescent="0.45">
      <c r="B413" s="27" t="str">
        <f>IFERROR(VLOOKUP(A413,القائمة!$A$3:$F$112,2,FALSE),"")</f>
        <v/>
      </c>
      <c r="C413" s="27" t="str">
        <f>IFERROR(VLOOKUP(A413,القائمة!$A$3:$F$112,3,FALSE),"")</f>
        <v/>
      </c>
      <c r="D413" s="36" t="str">
        <f>IFERROR(VLOOKUP(A413,القائمة!$A$3:$F$112,4,FALSE),"")</f>
        <v/>
      </c>
      <c r="E413" s="36" t="str">
        <f>IFERROR(VLOOKUP(A413,القائمة!$A$3:$F$112,5,FALSE),"")</f>
        <v/>
      </c>
      <c r="F413" s="37" t="str">
        <f>IFERROR(VLOOKUP(A413,القائمة!$A$3:$F$112,6,FALSE),"")</f>
        <v/>
      </c>
      <c r="I413" s="36"/>
      <c r="P413" s="27">
        <f t="shared" si="15"/>
        <v>0</v>
      </c>
      <c r="Q413" s="27">
        <f t="shared" si="14"/>
        <v>0</v>
      </c>
    </row>
    <row r="414" spans="2:17" x14ac:dyDescent="0.45">
      <c r="B414" s="27" t="str">
        <f>IFERROR(VLOOKUP(A414,القائمة!$A$3:$F$112,2,FALSE),"")</f>
        <v/>
      </c>
      <c r="C414" s="27" t="str">
        <f>IFERROR(VLOOKUP(A414,القائمة!$A$3:$F$112,3,FALSE),"")</f>
        <v/>
      </c>
      <c r="D414" s="36" t="str">
        <f>IFERROR(VLOOKUP(A414,القائمة!$A$3:$F$112,4,FALSE),"")</f>
        <v/>
      </c>
      <c r="E414" s="36" t="str">
        <f>IFERROR(VLOOKUP(A414,القائمة!$A$3:$F$112,5,FALSE),"")</f>
        <v/>
      </c>
      <c r="F414" s="37" t="str">
        <f>IFERROR(VLOOKUP(A414,القائمة!$A$3:$F$112,6,FALSE),"")</f>
        <v/>
      </c>
      <c r="I414" s="36"/>
      <c r="P414" s="27">
        <f t="shared" si="15"/>
        <v>0</v>
      </c>
      <c r="Q414" s="27">
        <f t="shared" si="14"/>
        <v>0</v>
      </c>
    </row>
    <row r="415" spans="2:17" x14ac:dyDescent="0.45">
      <c r="B415" s="27" t="str">
        <f>IFERROR(VLOOKUP(A415,القائمة!$A$3:$F$112,2,FALSE),"")</f>
        <v/>
      </c>
      <c r="C415" s="27" t="str">
        <f>IFERROR(VLOOKUP(A415,القائمة!$A$3:$F$112,3,FALSE),"")</f>
        <v/>
      </c>
      <c r="D415" s="36" t="str">
        <f>IFERROR(VLOOKUP(A415,القائمة!$A$3:$F$112,4,FALSE),"")</f>
        <v/>
      </c>
      <c r="E415" s="36" t="str">
        <f>IFERROR(VLOOKUP(A415,القائمة!$A$3:$F$112,5,FALSE),"")</f>
        <v/>
      </c>
      <c r="F415" s="37" t="str">
        <f>IFERROR(VLOOKUP(A415,القائمة!$A$3:$F$112,6,FALSE),"")</f>
        <v/>
      </c>
      <c r="I415" s="36"/>
      <c r="P415" s="27">
        <f t="shared" si="15"/>
        <v>0</v>
      </c>
      <c r="Q415" s="27">
        <f t="shared" si="14"/>
        <v>0</v>
      </c>
    </row>
    <row r="416" spans="2:17" x14ac:dyDescent="0.45">
      <c r="B416" s="27" t="str">
        <f>IFERROR(VLOOKUP(A416,القائمة!$A$3:$F$112,2,FALSE),"")</f>
        <v/>
      </c>
      <c r="C416" s="27" t="str">
        <f>IFERROR(VLOOKUP(A416,القائمة!$A$3:$F$112,3,FALSE),"")</f>
        <v/>
      </c>
      <c r="D416" s="36" t="str">
        <f>IFERROR(VLOOKUP(A416,القائمة!$A$3:$F$112,4,FALSE),"")</f>
        <v/>
      </c>
      <c r="E416" s="36" t="str">
        <f>IFERROR(VLOOKUP(A416,القائمة!$A$3:$F$112,5,FALSE),"")</f>
        <v/>
      </c>
      <c r="F416" s="37" t="str">
        <f>IFERROR(VLOOKUP(A416,القائمة!$A$3:$F$112,6,FALSE),"")</f>
        <v/>
      </c>
      <c r="I416" s="36"/>
      <c r="P416" s="27">
        <f t="shared" si="15"/>
        <v>0</v>
      </c>
      <c r="Q416" s="27">
        <f t="shared" si="14"/>
        <v>0</v>
      </c>
    </row>
    <row r="417" spans="2:17" x14ac:dyDescent="0.45">
      <c r="B417" s="27" t="str">
        <f>IFERROR(VLOOKUP(A417,القائمة!$A$3:$F$112,2,FALSE),"")</f>
        <v/>
      </c>
      <c r="C417" s="27" t="str">
        <f>IFERROR(VLOOKUP(A417,القائمة!$A$3:$F$112,3,FALSE),"")</f>
        <v/>
      </c>
      <c r="D417" s="36" t="str">
        <f>IFERROR(VLOOKUP(A417,القائمة!$A$3:$F$112,4,FALSE),"")</f>
        <v/>
      </c>
      <c r="E417" s="36" t="str">
        <f>IFERROR(VLOOKUP(A417,القائمة!$A$3:$F$112,5,FALSE),"")</f>
        <v/>
      </c>
      <c r="F417" s="37" t="str">
        <f>IFERROR(VLOOKUP(A417,القائمة!$A$3:$F$112,6,FALSE),"")</f>
        <v/>
      </c>
      <c r="I417" s="36"/>
      <c r="P417" s="27">
        <f t="shared" si="15"/>
        <v>0</v>
      </c>
      <c r="Q417" s="27">
        <f t="shared" si="14"/>
        <v>0</v>
      </c>
    </row>
    <row r="418" spans="2:17" x14ac:dyDescent="0.45">
      <c r="B418" s="27" t="str">
        <f>IFERROR(VLOOKUP(A418,القائمة!$A$3:$F$112,2,FALSE),"")</f>
        <v/>
      </c>
      <c r="C418" s="27" t="str">
        <f>IFERROR(VLOOKUP(A418,القائمة!$A$3:$F$112,3,FALSE),"")</f>
        <v/>
      </c>
      <c r="D418" s="36" t="str">
        <f>IFERROR(VLOOKUP(A418,القائمة!$A$3:$F$112,4,FALSE),"")</f>
        <v/>
      </c>
      <c r="E418" s="36" t="str">
        <f>IFERROR(VLOOKUP(A418,القائمة!$A$3:$F$112,5,FALSE),"")</f>
        <v/>
      </c>
      <c r="F418" s="37" t="str">
        <f>IFERROR(VLOOKUP(A418,القائمة!$A$3:$F$112,6,FALSE),"")</f>
        <v/>
      </c>
      <c r="I418" s="36"/>
      <c r="P418" s="27">
        <f t="shared" si="15"/>
        <v>0</v>
      </c>
      <c r="Q418" s="27">
        <f t="shared" si="14"/>
        <v>0</v>
      </c>
    </row>
    <row r="419" spans="2:17" x14ac:dyDescent="0.45">
      <c r="B419" s="27" t="str">
        <f>IFERROR(VLOOKUP(A419,القائمة!$A$3:$F$112,2,FALSE),"")</f>
        <v/>
      </c>
      <c r="C419" s="27" t="str">
        <f>IFERROR(VLOOKUP(A419,القائمة!$A$3:$F$112,3,FALSE),"")</f>
        <v/>
      </c>
      <c r="D419" s="36" t="str">
        <f>IFERROR(VLOOKUP(A419,القائمة!$A$3:$F$112,4,FALSE),"")</f>
        <v/>
      </c>
      <c r="E419" s="36" t="str">
        <f>IFERROR(VLOOKUP(A419,القائمة!$A$3:$F$112,5,FALSE),"")</f>
        <v/>
      </c>
      <c r="F419" s="37" t="str">
        <f>IFERROR(VLOOKUP(A419,القائمة!$A$3:$F$112,6,FALSE),"")</f>
        <v/>
      </c>
      <c r="I419" s="36"/>
      <c r="P419" s="27">
        <f t="shared" si="15"/>
        <v>0</v>
      </c>
      <c r="Q419" s="27">
        <f t="shared" si="14"/>
        <v>0</v>
      </c>
    </row>
    <row r="420" spans="2:17" x14ac:dyDescent="0.45">
      <c r="B420" s="27" t="str">
        <f>IFERROR(VLOOKUP(A420,القائمة!$A$3:$F$112,2,FALSE),"")</f>
        <v/>
      </c>
      <c r="C420" s="27" t="str">
        <f>IFERROR(VLOOKUP(A420,القائمة!$A$3:$F$112,3,FALSE),"")</f>
        <v/>
      </c>
      <c r="D420" s="36" t="str">
        <f>IFERROR(VLOOKUP(A420,القائمة!$A$3:$F$112,4,FALSE),"")</f>
        <v/>
      </c>
      <c r="E420" s="36" t="str">
        <f>IFERROR(VLOOKUP(A420,القائمة!$A$3:$F$112,5,FALSE),"")</f>
        <v/>
      </c>
      <c r="F420" s="37" t="str">
        <f>IFERROR(VLOOKUP(A420,القائمة!$A$3:$F$112,6,FALSE),"")</f>
        <v/>
      </c>
      <c r="I420" s="36"/>
      <c r="P420" s="27">
        <f t="shared" si="15"/>
        <v>0</v>
      </c>
      <c r="Q420" s="27">
        <f t="shared" si="14"/>
        <v>0</v>
      </c>
    </row>
    <row r="421" spans="2:17" x14ac:dyDescent="0.45">
      <c r="B421" s="27" t="str">
        <f>IFERROR(VLOOKUP(A421,القائمة!$A$3:$F$112,2,FALSE),"")</f>
        <v/>
      </c>
      <c r="C421" s="27" t="str">
        <f>IFERROR(VLOOKUP(A421,القائمة!$A$3:$F$112,3,FALSE),"")</f>
        <v/>
      </c>
      <c r="D421" s="36" t="str">
        <f>IFERROR(VLOOKUP(A421,القائمة!$A$3:$F$112,4,FALSE),"")</f>
        <v/>
      </c>
      <c r="E421" s="36" t="str">
        <f>IFERROR(VLOOKUP(A421,القائمة!$A$3:$F$112,5,FALSE),"")</f>
        <v/>
      </c>
      <c r="F421" s="37" t="str">
        <f>IFERROR(VLOOKUP(A421,القائمة!$A$3:$F$112,6,FALSE),"")</f>
        <v/>
      </c>
      <c r="I421" s="36"/>
      <c r="P421" s="27">
        <f t="shared" si="15"/>
        <v>0</v>
      </c>
      <c r="Q421" s="27">
        <f t="shared" si="14"/>
        <v>0</v>
      </c>
    </row>
    <row r="422" spans="2:17" x14ac:dyDescent="0.45">
      <c r="B422" s="27" t="str">
        <f>IFERROR(VLOOKUP(A422,القائمة!$A$3:$F$112,2,FALSE),"")</f>
        <v/>
      </c>
      <c r="C422" s="27" t="str">
        <f>IFERROR(VLOOKUP(A422,القائمة!$A$3:$F$112,3,FALSE),"")</f>
        <v/>
      </c>
      <c r="D422" s="36" t="str">
        <f>IFERROR(VLOOKUP(A422,القائمة!$A$3:$F$112,4,FALSE),"")</f>
        <v/>
      </c>
      <c r="E422" s="36" t="str">
        <f>IFERROR(VLOOKUP(A422,القائمة!$A$3:$F$112,5,FALSE),"")</f>
        <v/>
      </c>
      <c r="F422" s="37" t="str">
        <f>IFERROR(VLOOKUP(A422,القائمة!$A$3:$F$112,6,FALSE),"")</f>
        <v/>
      </c>
      <c r="I422" s="36"/>
      <c r="P422" s="27">
        <f t="shared" si="15"/>
        <v>0</v>
      </c>
      <c r="Q422" s="27">
        <f t="shared" si="14"/>
        <v>0</v>
      </c>
    </row>
    <row r="423" spans="2:17" x14ac:dyDescent="0.45">
      <c r="B423" s="27" t="str">
        <f>IFERROR(VLOOKUP(A423,القائمة!$A$3:$F$112,2,FALSE),"")</f>
        <v/>
      </c>
      <c r="C423" s="27" t="str">
        <f>IFERROR(VLOOKUP(A423,القائمة!$A$3:$F$112,3,FALSE),"")</f>
        <v/>
      </c>
      <c r="D423" s="36" t="str">
        <f>IFERROR(VLOOKUP(A423,القائمة!$A$3:$F$112,4,FALSE),"")</f>
        <v/>
      </c>
      <c r="E423" s="36" t="str">
        <f>IFERROR(VLOOKUP(A423,القائمة!$A$3:$F$112,5,FALSE),"")</f>
        <v/>
      </c>
      <c r="F423" s="37" t="str">
        <f>IFERROR(VLOOKUP(A423,القائمة!$A$3:$F$112,6,FALSE),"")</f>
        <v/>
      </c>
      <c r="I423" s="36"/>
      <c r="P423" s="27">
        <f t="shared" si="15"/>
        <v>0</v>
      </c>
      <c r="Q423" s="27">
        <f t="shared" si="14"/>
        <v>0</v>
      </c>
    </row>
    <row r="424" spans="2:17" x14ac:dyDescent="0.45">
      <c r="B424" s="27" t="str">
        <f>IFERROR(VLOOKUP(A424,القائمة!$A$3:$F$112,2,FALSE),"")</f>
        <v/>
      </c>
      <c r="C424" s="27" t="str">
        <f>IFERROR(VLOOKUP(A424,القائمة!$A$3:$F$112,3,FALSE),"")</f>
        <v/>
      </c>
      <c r="D424" s="36" t="str">
        <f>IFERROR(VLOOKUP(A424,القائمة!$A$3:$F$112,4,FALSE),"")</f>
        <v/>
      </c>
      <c r="E424" s="36" t="str">
        <f>IFERROR(VLOOKUP(A424,القائمة!$A$3:$F$112,5,FALSE),"")</f>
        <v/>
      </c>
      <c r="F424" s="37" t="str">
        <f>IFERROR(VLOOKUP(A424,القائمة!$A$3:$F$112,6,FALSE),"")</f>
        <v/>
      </c>
      <c r="I424" s="36"/>
      <c r="P424" s="27">
        <f t="shared" si="15"/>
        <v>0</v>
      </c>
      <c r="Q424" s="27">
        <f t="shared" si="14"/>
        <v>0</v>
      </c>
    </row>
    <row r="425" spans="2:17" x14ac:dyDescent="0.45">
      <c r="B425" s="27" t="str">
        <f>IFERROR(VLOOKUP(A425,القائمة!$A$3:$F$112,2,FALSE),"")</f>
        <v/>
      </c>
      <c r="C425" s="27" t="str">
        <f>IFERROR(VLOOKUP(A425,القائمة!$A$3:$F$112,3,FALSE),"")</f>
        <v/>
      </c>
      <c r="D425" s="36" t="str">
        <f>IFERROR(VLOOKUP(A425,القائمة!$A$3:$F$112,4,FALSE),"")</f>
        <v/>
      </c>
      <c r="E425" s="36" t="str">
        <f>IFERROR(VLOOKUP(A425,القائمة!$A$3:$F$112,5,FALSE),"")</f>
        <v/>
      </c>
      <c r="F425" s="37" t="str">
        <f>IFERROR(VLOOKUP(A425,القائمة!$A$3:$F$112,6,FALSE),"")</f>
        <v/>
      </c>
      <c r="I425" s="36"/>
      <c r="P425" s="27">
        <f t="shared" si="15"/>
        <v>0</v>
      </c>
      <c r="Q425" s="27">
        <f t="shared" si="14"/>
        <v>0</v>
      </c>
    </row>
    <row r="426" spans="2:17" x14ac:dyDescent="0.45">
      <c r="B426" s="27" t="str">
        <f>IFERROR(VLOOKUP(A426,القائمة!$A$3:$F$112,2,FALSE),"")</f>
        <v/>
      </c>
      <c r="C426" s="27" t="str">
        <f>IFERROR(VLOOKUP(A426,القائمة!$A$3:$F$112,3,FALSE),"")</f>
        <v/>
      </c>
      <c r="D426" s="36" t="str">
        <f>IFERROR(VLOOKUP(A426,القائمة!$A$3:$F$112,4,FALSE),"")</f>
        <v/>
      </c>
      <c r="E426" s="36" t="str">
        <f>IFERROR(VLOOKUP(A426,القائمة!$A$3:$F$112,5,FALSE),"")</f>
        <v/>
      </c>
      <c r="F426" s="37" t="str">
        <f>IFERROR(VLOOKUP(A426,القائمة!$A$3:$F$112,6,FALSE),"")</f>
        <v/>
      </c>
      <c r="I426" s="36"/>
      <c r="P426" s="27">
        <f t="shared" si="15"/>
        <v>0</v>
      </c>
      <c r="Q426" s="27">
        <f t="shared" si="14"/>
        <v>0</v>
      </c>
    </row>
    <row r="427" spans="2:17" x14ac:dyDescent="0.45">
      <c r="B427" s="27" t="str">
        <f>IFERROR(VLOOKUP(A427,القائمة!$A$3:$F$112,2,FALSE),"")</f>
        <v/>
      </c>
      <c r="C427" s="27" t="str">
        <f>IFERROR(VLOOKUP(A427,القائمة!$A$3:$F$112,3,FALSE),"")</f>
        <v/>
      </c>
      <c r="D427" s="36" t="str">
        <f>IFERROR(VLOOKUP(A427,القائمة!$A$3:$F$112,4,FALSE),"")</f>
        <v/>
      </c>
      <c r="E427" s="36" t="str">
        <f>IFERROR(VLOOKUP(A427,القائمة!$A$3:$F$112,5,FALSE),"")</f>
        <v/>
      </c>
      <c r="F427" s="37" t="str">
        <f>IFERROR(VLOOKUP(A427,القائمة!$A$3:$F$112,6,FALSE),"")</f>
        <v/>
      </c>
      <c r="I427" s="36"/>
      <c r="P427" s="27">
        <f t="shared" si="15"/>
        <v>0</v>
      </c>
      <c r="Q427" s="27">
        <f t="shared" si="14"/>
        <v>0</v>
      </c>
    </row>
    <row r="428" spans="2:17" x14ac:dyDescent="0.45">
      <c r="B428" s="27" t="str">
        <f>IFERROR(VLOOKUP(A428,القائمة!$A$3:$F$112,2,FALSE),"")</f>
        <v/>
      </c>
      <c r="C428" s="27" t="str">
        <f>IFERROR(VLOOKUP(A428,القائمة!$A$3:$F$112,3,FALSE),"")</f>
        <v/>
      </c>
      <c r="D428" s="36" t="str">
        <f>IFERROR(VLOOKUP(A428,القائمة!$A$3:$F$112,4,FALSE),"")</f>
        <v/>
      </c>
      <c r="E428" s="36" t="str">
        <f>IFERROR(VLOOKUP(A428,القائمة!$A$3:$F$112,5,FALSE),"")</f>
        <v/>
      </c>
      <c r="F428" s="37" t="str">
        <f>IFERROR(VLOOKUP(A428,القائمة!$A$3:$F$112,6,FALSE),"")</f>
        <v/>
      </c>
      <c r="I428" s="36"/>
      <c r="P428" s="27">
        <f t="shared" si="15"/>
        <v>0</v>
      </c>
      <c r="Q428" s="27">
        <f t="shared" si="14"/>
        <v>0</v>
      </c>
    </row>
    <row r="429" spans="2:17" x14ac:dyDescent="0.45">
      <c r="B429" s="27" t="str">
        <f>IFERROR(VLOOKUP(A429,القائمة!$A$3:$F$112,2,FALSE),"")</f>
        <v/>
      </c>
      <c r="C429" s="27" t="str">
        <f>IFERROR(VLOOKUP(A429,القائمة!$A$3:$F$112,3,FALSE),"")</f>
        <v/>
      </c>
      <c r="D429" s="36" t="str">
        <f>IFERROR(VLOOKUP(A429,القائمة!$A$3:$F$112,4,FALSE),"")</f>
        <v/>
      </c>
      <c r="E429" s="36" t="str">
        <f>IFERROR(VLOOKUP(A429,القائمة!$A$3:$F$112,5,FALSE),"")</f>
        <v/>
      </c>
      <c r="F429" s="37" t="str">
        <f>IFERROR(VLOOKUP(A429,القائمة!$A$3:$F$112,6,FALSE),"")</f>
        <v/>
      </c>
      <c r="I429" s="36"/>
      <c r="P429" s="27">
        <f t="shared" si="15"/>
        <v>0</v>
      </c>
      <c r="Q429" s="27">
        <f t="shared" si="14"/>
        <v>0</v>
      </c>
    </row>
    <row r="430" spans="2:17" x14ac:dyDescent="0.45">
      <c r="B430" s="27" t="str">
        <f>IFERROR(VLOOKUP(A430,القائمة!$A$3:$F$112,2,FALSE),"")</f>
        <v/>
      </c>
      <c r="C430" s="27" t="str">
        <f>IFERROR(VLOOKUP(A430,القائمة!$A$3:$F$112,3,FALSE),"")</f>
        <v/>
      </c>
      <c r="D430" s="36" t="str">
        <f>IFERROR(VLOOKUP(A430,القائمة!$A$3:$F$112,4,FALSE),"")</f>
        <v/>
      </c>
      <c r="E430" s="36" t="str">
        <f>IFERROR(VLOOKUP(A430,القائمة!$A$3:$F$112,5,FALSE),"")</f>
        <v/>
      </c>
      <c r="F430" s="37" t="str">
        <f>IFERROR(VLOOKUP(A430,القائمة!$A$3:$F$112,6,FALSE),"")</f>
        <v/>
      </c>
      <c r="I430" s="36"/>
      <c r="P430" s="27">
        <f t="shared" si="15"/>
        <v>0</v>
      </c>
      <c r="Q430" s="27">
        <f t="shared" si="14"/>
        <v>0</v>
      </c>
    </row>
    <row r="431" spans="2:17" x14ac:dyDescent="0.45">
      <c r="B431" s="27" t="str">
        <f>IFERROR(VLOOKUP(A431,القائمة!$A$3:$F$112,2,FALSE),"")</f>
        <v/>
      </c>
      <c r="C431" s="27" t="str">
        <f>IFERROR(VLOOKUP(A431,القائمة!$A$3:$F$112,3,FALSE),"")</f>
        <v/>
      </c>
      <c r="D431" s="36" t="str">
        <f>IFERROR(VLOOKUP(A431,القائمة!$A$3:$F$112,4,FALSE),"")</f>
        <v/>
      </c>
      <c r="E431" s="36" t="str">
        <f>IFERROR(VLOOKUP(A431,القائمة!$A$3:$F$112,5,FALSE),"")</f>
        <v/>
      </c>
      <c r="F431" s="37" t="str">
        <f>IFERROR(VLOOKUP(A431,القائمة!$A$3:$F$112,6,FALSE),"")</f>
        <v/>
      </c>
      <c r="I431" s="36"/>
      <c r="P431" s="27">
        <f t="shared" si="15"/>
        <v>0</v>
      </c>
      <c r="Q431" s="27">
        <f t="shared" si="14"/>
        <v>0</v>
      </c>
    </row>
    <row r="432" spans="2:17" x14ac:dyDescent="0.45">
      <c r="B432" s="27" t="str">
        <f>IFERROR(VLOOKUP(A432,القائمة!$A$3:$F$112,2,FALSE),"")</f>
        <v/>
      </c>
      <c r="C432" s="27" t="str">
        <f>IFERROR(VLOOKUP(A432,القائمة!$A$3:$F$112,3,FALSE),"")</f>
        <v/>
      </c>
      <c r="D432" s="36" t="str">
        <f>IFERROR(VLOOKUP(A432,القائمة!$A$3:$F$112,4,FALSE),"")</f>
        <v/>
      </c>
      <c r="E432" s="36" t="str">
        <f>IFERROR(VLOOKUP(A432,القائمة!$A$3:$F$112,5,FALSE),"")</f>
        <v/>
      </c>
      <c r="F432" s="37" t="str">
        <f>IFERROR(VLOOKUP(A432,القائمة!$A$3:$F$112,6,FALSE),"")</f>
        <v/>
      </c>
      <c r="I432" s="36"/>
      <c r="P432" s="27">
        <f t="shared" si="15"/>
        <v>0</v>
      </c>
      <c r="Q432" s="27">
        <f t="shared" si="14"/>
        <v>0</v>
      </c>
    </row>
    <row r="433" spans="2:17" x14ac:dyDescent="0.45">
      <c r="B433" s="27" t="str">
        <f>IFERROR(VLOOKUP(A433,القائمة!$A$3:$F$112,2,FALSE),"")</f>
        <v/>
      </c>
      <c r="C433" s="27" t="str">
        <f>IFERROR(VLOOKUP(A433,القائمة!$A$3:$F$112,3,FALSE),"")</f>
        <v/>
      </c>
      <c r="D433" s="36" t="str">
        <f>IFERROR(VLOOKUP(A433,القائمة!$A$3:$F$112,4,FALSE),"")</f>
        <v/>
      </c>
      <c r="E433" s="36" t="str">
        <f>IFERROR(VLOOKUP(A433,القائمة!$A$3:$F$112,5,FALSE),"")</f>
        <v/>
      </c>
      <c r="F433" s="37" t="str">
        <f>IFERROR(VLOOKUP(A433,القائمة!$A$3:$F$112,6,FALSE),"")</f>
        <v/>
      </c>
      <c r="I433" s="36"/>
      <c r="P433" s="27">
        <f t="shared" si="15"/>
        <v>0</v>
      </c>
      <c r="Q433" s="27">
        <f t="shared" si="14"/>
        <v>0</v>
      </c>
    </row>
    <row r="434" spans="2:17" x14ac:dyDescent="0.45">
      <c r="B434" s="27" t="str">
        <f>IFERROR(VLOOKUP(A434,القائمة!$A$3:$F$112,2,FALSE),"")</f>
        <v/>
      </c>
      <c r="C434" s="27" t="str">
        <f>IFERROR(VLOOKUP(A434,القائمة!$A$3:$F$112,3,FALSE),"")</f>
        <v/>
      </c>
      <c r="D434" s="36" t="str">
        <f>IFERROR(VLOOKUP(A434,القائمة!$A$3:$F$112,4,FALSE),"")</f>
        <v/>
      </c>
      <c r="E434" s="36" t="str">
        <f>IFERROR(VLOOKUP(A434,القائمة!$A$3:$F$112,5,FALSE),"")</f>
        <v/>
      </c>
      <c r="F434" s="37" t="str">
        <f>IFERROR(VLOOKUP(A434,القائمة!$A$3:$F$112,6,FALSE),"")</f>
        <v/>
      </c>
      <c r="I434" s="36"/>
      <c r="P434" s="27">
        <f t="shared" si="15"/>
        <v>0</v>
      </c>
      <c r="Q434" s="27">
        <f t="shared" si="14"/>
        <v>0</v>
      </c>
    </row>
    <row r="435" spans="2:17" x14ac:dyDescent="0.45">
      <c r="B435" s="27" t="str">
        <f>IFERROR(VLOOKUP(A435,القائمة!$A$3:$F$112,2,FALSE),"")</f>
        <v/>
      </c>
      <c r="C435" s="27" t="str">
        <f>IFERROR(VLOOKUP(A435,القائمة!$A$3:$F$112,3,FALSE),"")</f>
        <v/>
      </c>
      <c r="D435" s="36" t="str">
        <f>IFERROR(VLOOKUP(A435,القائمة!$A$3:$F$112,4,FALSE),"")</f>
        <v/>
      </c>
      <c r="E435" s="36" t="str">
        <f>IFERROR(VLOOKUP(A435,القائمة!$A$3:$F$112,5,FALSE),"")</f>
        <v/>
      </c>
      <c r="F435" s="37" t="str">
        <f>IFERROR(VLOOKUP(A435,القائمة!$A$3:$F$112,6,FALSE),"")</f>
        <v/>
      </c>
      <c r="I435" s="36"/>
      <c r="P435" s="27">
        <f t="shared" si="15"/>
        <v>0</v>
      </c>
      <c r="Q435" s="27">
        <f t="shared" si="14"/>
        <v>0</v>
      </c>
    </row>
    <row r="436" spans="2:17" x14ac:dyDescent="0.45">
      <c r="B436" s="27" t="str">
        <f>IFERROR(VLOOKUP(A436,القائمة!$A$3:$F$112,2,FALSE),"")</f>
        <v/>
      </c>
      <c r="C436" s="27" t="str">
        <f>IFERROR(VLOOKUP(A436,القائمة!$A$3:$F$112,3,FALSE),"")</f>
        <v/>
      </c>
      <c r="D436" s="36" t="str">
        <f>IFERROR(VLOOKUP(A436,القائمة!$A$3:$F$112,4,FALSE),"")</f>
        <v/>
      </c>
      <c r="E436" s="36" t="str">
        <f>IFERROR(VLOOKUP(A436,القائمة!$A$3:$F$112,5,FALSE),"")</f>
        <v/>
      </c>
      <c r="F436" s="37" t="str">
        <f>IFERROR(VLOOKUP(A436,القائمة!$A$3:$F$112,6,FALSE),"")</f>
        <v/>
      </c>
      <c r="I436" s="36"/>
      <c r="P436" s="27">
        <f t="shared" si="15"/>
        <v>0</v>
      </c>
      <c r="Q436" s="27">
        <f t="shared" si="14"/>
        <v>0</v>
      </c>
    </row>
    <row r="437" spans="2:17" x14ac:dyDescent="0.45">
      <c r="B437" s="27" t="str">
        <f>IFERROR(VLOOKUP(A437,القائمة!$A$3:$F$112,2,FALSE),"")</f>
        <v/>
      </c>
      <c r="C437" s="27" t="str">
        <f>IFERROR(VLOOKUP(A437,القائمة!$A$3:$F$112,3,FALSE),"")</f>
        <v/>
      </c>
      <c r="D437" s="36" t="str">
        <f>IFERROR(VLOOKUP(A437,القائمة!$A$3:$F$112,4,FALSE),"")</f>
        <v/>
      </c>
      <c r="E437" s="36" t="str">
        <f>IFERROR(VLOOKUP(A437,القائمة!$A$3:$F$112,5,FALSE),"")</f>
        <v/>
      </c>
      <c r="F437" s="37" t="str">
        <f>IFERROR(VLOOKUP(A437,القائمة!$A$3:$F$112,6,FALSE),"")</f>
        <v/>
      </c>
      <c r="I437" s="36"/>
      <c r="P437" s="27">
        <f t="shared" si="15"/>
        <v>0</v>
      </c>
      <c r="Q437" s="27">
        <f t="shared" si="14"/>
        <v>0</v>
      </c>
    </row>
    <row r="438" spans="2:17" x14ac:dyDescent="0.45">
      <c r="B438" s="27" t="str">
        <f>IFERROR(VLOOKUP(A438,القائمة!$A$3:$F$112,2,FALSE),"")</f>
        <v/>
      </c>
      <c r="C438" s="27" t="str">
        <f>IFERROR(VLOOKUP(A438,القائمة!$A$3:$F$112,3,FALSE),"")</f>
        <v/>
      </c>
      <c r="D438" s="36" t="str">
        <f>IFERROR(VLOOKUP(A438,القائمة!$A$3:$F$112,4,FALSE),"")</f>
        <v/>
      </c>
      <c r="E438" s="36" t="str">
        <f>IFERROR(VLOOKUP(A438,القائمة!$A$3:$F$112,5,FALSE),"")</f>
        <v/>
      </c>
      <c r="F438" s="37" t="str">
        <f>IFERROR(VLOOKUP(A438,القائمة!$A$3:$F$112,6,FALSE),"")</f>
        <v/>
      </c>
      <c r="I438" s="36"/>
      <c r="P438" s="27">
        <f t="shared" si="15"/>
        <v>0</v>
      </c>
      <c r="Q438" s="27">
        <f t="shared" si="14"/>
        <v>0</v>
      </c>
    </row>
    <row r="439" spans="2:17" x14ac:dyDescent="0.45">
      <c r="B439" s="27" t="str">
        <f>IFERROR(VLOOKUP(A439,القائمة!$A$3:$F$112,2,FALSE),"")</f>
        <v/>
      </c>
      <c r="C439" s="27" t="str">
        <f>IFERROR(VLOOKUP(A439,القائمة!$A$3:$F$112,3,FALSE),"")</f>
        <v/>
      </c>
      <c r="D439" s="36" t="str">
        <f>IFERROR(VLOOKUP(A439,القائمة!$A$3:$F$112,4,FALSE),"")</f>
        <v/>
      </c>
      <c r="E439" s="36" t="str">
        <f>IFERROR(VLOOKUP(A439,القائمة!$A$3:$F$112,5,FALSE),"")</f>
        <v/>
      </c>
      <c r="F439" s="37" t="str">
        <f>IFERROR(VLOOKUP(A439,القائمة!$A$3:$F$112,6,FALSE),"")</f>
        <v/>
      </c>
      <c r="I439" s="36"/>
      <c r="P439" s="27">
        <f t="shared" si="15"/>
        <v>0</v>
      </c>
      <c r="Q439" s="27">
        <f t="shared" si="14"/>
        <v>0</v>
      </c>
    </row>
    <row r="440" spans="2:17" x14ac:dyDescent="0.45">
      <c r="B440" s="27" t="str">
        <f>IFERROR(VLOOKUP(A440,القائمة!$A$3:$F$112,2,FALSE),"")</f>
        <v/>
      </c>
      <c r="C440" s="27" t="str">
        <f>IFERROR(VLOOKUP(A440,القائمة!$A$3:$F$112,3,FALSE),"")</f>
        <v/>
      </c>
      <c r="D440" s="36" t="str">
        <f>IFERROR(VLOOKUP(A440,القائمة!$A$3:$F$112,4,FALSE),"")</f>
        <v/>
      </c>
      <c r="E440" s="36" t="str">
        <f>IFERROR(VLOOKUP(A440,القائمة!$A$3:$F$112,5,FALSE),"")</f>
        <v/>
      </c>
      <c r="F440" s="37" t="str">
        <f>IFERROR(VLOOKUP(A440,القائمة!$A$3:$F$112,6,FALSE),"")</f>
        <v/>
      </c>
      <c r="I440" s="36"/>
      <c r="P440" s="27">
        <f t="shared" si="15"/>
        <v>0</v>
      </c>
      <c r="Q440" s="27">
        <f t="shared" si="14"/>
        <v>0</v>
      </c>
    </row>
    <row r="441" spans="2:17" x14ac:dyDescent="0.45">
      <c r="B441" s="27" t="str">
        <f>IFERROR(VLOOKUP(A441,القائمة!$A$3:$F$112,2,FALSE),"")</f>
        <v/>
      </c>
      <c r="C441" s="27" t="str">
        <f>IFERROR(VLOOKUP(A441,القائمة!$A$3:$F$112,3,FALSE),"")</f>
        <v/>
      </c>
      <c r="D441" s="36" t="str">
        <f>IFERROR(VLOOKUP(A441,القائمة!$A$3:$F$112,4,FALSE),"")</f>
        <v/>
      </c>
      <c r="E441" s="36" t="str">
        <f>IFERROR(VLOOKUP(A441,القائمة!$A$3:$F$112,5,FALSE),"")</f>
        <v/>
      </c>
      <c r="F441" s="37" t="str">
        <f>IFERROR(VLOOKUP(A441,القائمة!$A$3:$F$112,6,FALSE),"")</f>
        <v/>
      </c>
      <c r="I441" s="36"/>
      <c r="P441" s="27">
        <f t="shared" si="15"/>
        <v>0</v>
      </c>
      <c r="Q441" s="27">
        <f t="shared" si="14"/>
        <v>0</v>
      </c>
    </row>
    <row r="442" spans="2:17" x14ac:dyDescent="0.45">
      <c r="B442" s="27" t="str">
        <f>IFERROR(VLOOKUP(A442,القائمة!$A$3:$F$112,2,FALSE),"")</f>
        <v/>
      </c>
      <c r="C442" s="27" t="str">
        <f>IFERROR(VLOOKUP(A442,القائمة!$A$3:$F$112,3,FALSE),"")</f>
        <v/>
      </c>
      <c r="D442" s="36" t="str">
        <f>IFERROR(VLOOKUP(A442,القائمة!$A$3:$F$112,4,FALSE),"")</f>
        <v/>
      </c>
      <c r="E442" s="36" t="str">
        <f>IFERROR(VLOOKUP(A442,القائمة!$A$3:$F$112,5,FALSE),"")</f>
        <v/>
      </c>
      <c r="F442" s="37" t="str">
        <f>IFERROR(VLOOKUP(A442,القائمة!$A$3:$F$112,6,FALSE),"")</f>
        <v/>
      </c>
      <c r="I442" s="36"/>
      <c r="P442" s="27">
        <f t="shared" si="15"/>
        <v>0</v>
      </c>
      <c r="Q442" s="27">
        <f t="shared" si="14"/>
        <v>0</v>
      </c>
    </row>
    <row r="443" spans="2:17" x14ac:dyDescent="0.45">
      <c r="B443" s="27" t="str">
        <f>IFERROR(VLOOKUP(A443,القائمة!$A$3:$F$112,2,FALSE),"")</f>
        <v/>
      </c>
      <c r="C443" s="27" t="str">
        <f>IFERROR(VLOOKUP(A443,القائمة!$A$3:$F$112,3,FALSE),"")</f>
        <v/>
      </c>
      <c r="D443" s="36" t="str">
        <f>IFERROR(VLOOKUP(A443,القائمة!$A$3:$F$112,4,FALSE),"")</f>
        <v/>
      </c>
      <c r="E443" s="36" t="str">
        <f>IFERROR(VLOOKUP(A443,القائمة!$A$3:$F$112,5,FALSE),"")</f>
        <v/>
      </c>
      <c r="F443" s="37" t="str">
        <f>IFERROR(VLOOKUP(A443,القائمة!$A$3:$F$112,6,FALSE),"")</f>
        <v/>
      </c>
      <c r="I443" s="36"/>
      <c r="P443" s="27">
        <f t="shared" si="15"/>
        <v>0</v>
      </c>
      <c r="Q443" s="27">
        <f t="shared" si="14"/>
        <v>0</v>
      </c>
    </row>
    <row r="444" spans="2:17" x14ac:dyDescent="0.45">
      <c r="B444" s="27" t="str">
        <f>IFERROR(VLOOKUP(A444,القائمة!$A$3:$F$112,2,FALSE),"")</f>
        <v/>
      </c>
      <c r="C444" s="27" t="str">
        <f>IFERROR(VLOOKUP(A444,القائمة!$A$3:$F$112,3,FALSE),"")</f>
        <v/>
      </c>
      <c r="D444" s="36" t="str">
        <f>IFERROR(VLOOKUP(A444,القائمة!$A$3:$F$112,4,FALSE),"")</f>
        <v/>
      </c>
      <c r="E444" s="36" t="str">
        <f>IFERROR(VLOOKUP(A444,القائمة!$A$3:$F$112,5,FALSE),"")</f>
        <v/>
      </c>
      <c r="F444" s="37" t="str">
        <f>IFERROR(VLOOKUP(A444,القائمة!$A$3:$F$112,6,FALSE),"")</f>
        <v/>
      </c>
      <c r="I444" s="36"/>
      <c r="P444" s="27">
        <f t="shared" si="15"/>
        <v>0</v>
      </c>
      <c r="Q444" s="27">
        <f t="shared" si="14"/>
        <v>0</v>
      </c>
    </row>
    <row r="445" spans="2:17" x14ac:dyDescent="0.45">
      <c r="B445" s="27" t="str">
        <f>IFERROR(VLOOKUP(A445,القائمة!$A$3:$F$112,2,FALSE),"")</f>
        <v/>
      </c>
      <c r="C445" s="27" t="str">
        <f>IFERROR(VLOOKUP(A445,القائمة!$A$3:$F$112,3,FALSE),"")</f>
        <v/>
      </c>
      <c r="D445" s="36" t="str">
        <f>IFERROR(VLOOKUP(A445,القائمة!$A$3:$F$112,4,FALSE),"")</f>
        <v/>
      </c>
      <c r="E445" s="36" t="str">
        <f>IFERROR(VLOOKUP(A445,القائمة!$A$3:$F$112,5,FALSE),"")</f>
        <v/>
      </c>
      <c r="F445" s="37" t="str">
        <f>IFERROR(VLOOKUP(A445,القائمة!$A$3:$F$112,6,FALSE),"")</f>
        <v/>
      </c>
      <c r="I445" s="36"/>
      <c r="P445" s="27">
        <f t="shared" si="15"/>
        <v>0</v>
      </c>
      <c r="Q445" s="27">
        <f t="shared" si="14"/>
        <v>0</v>
      </c>
    </row>
    <row r="446" spans="2:17" x14ac:dyDescent="0.45">
      <c r="B446" s="27" t="str">
        <f>IFERROR(VLOOKUP(A446,القائمة!$A$3:$F$112,2,FALSE),"")</f>
        <v/>
      </c>
      <c r="C446" s="27" t="str">
        <f>IFERROR(VLOOKUP(A446,القائمة!$A$3:$F$112,3,FALSE),"")</f>
        <v/>
      </c>
      <c r="D446" s="36" t="str">
        <f>IFERROR(VLOOKUP(A446,القائمة!$A$3:$F$112,4,FALSE),"")</f>
        <v/>
      </c>
      <c r="E446" s="36" t="str">
        <f>IFERROR(VLOOKUP(A446,القائمة!$A$3:$F$112,5,FALSE),"")</f>
        <v/>
      </c>
      <c r="F446" s="37" t="str">
        <f>IFERROR(VLOOKUP(A446,القائمة!$A$3:$F$112,6,FALSE),"")</f>
        <v/>
      </c>
      <c r="I446" s="36"/>
      <c r="P446" s="27">
        <f t="shared" si="15"/>
        <v>0</v>
      </c>
      <c r="Q446" s="27">
        <f t="shared" si="14"/>
        <v>0</v>
      </c>
    </row>
    <row r="447" spans="2:17" x14ac:dyDescent="0.45">
      <c r="B447" s="27" t="str">
        <f>IFERROR(VLOOKUP(A447,القائمة!$A$3:$F$112,2,FALSE),"")</f>
        <v/>
      </c>
      <c r="C447" s="27" t="str">
        <f>IFERROR(VLOOKUP(A447,القائمة!$A$3:$F$112,3,FALSE),"")</f>
        <v/>
      </c>
      <c r="D447" s="36" t="str">
        <f>IFERROR(VLOOKUP(A447,القائمة!$A$3:$F$112,4,FALSE),"")</f>
        <v/>
      </c>
      <c r="E447" s="36" t="str">
        <f>IFERROR(VLOOKUP(A447,القائمة!$A$3:$F$112,5,FALSE),"")</f>
        <v/>
      </c>
      <c r="F447" s="37" t="str">
        <f>IFERROR(VLOOKUP(A447,القائمة!$A$3:$F$112,6,FALSE),"")</f>
        <v/>
      </c>
      <c r="I447" s="36"/>
      <c r="P447" s="27">
        <f t="shared" si="15"/>
        <v>0</v>
      </c>
      <c r="Q447" s="27">
        <f t="shared" si="14"/>
        <v>0</v>
      </c>
    </row>
    <row r="448" spans="2:17" x14ac:dyDescent="0.45">
      <c r="B448" s="27" t="str">
        <f>IFERROR(VLOOKUP(A448,القائمة!$A$3:$F$112,2,FALSE),"")</f>
        <v/>
      </c>
      <c r="C448" s="27" t="str">
        <f>IFERROR(VLOOKUP(A448,القائمة!$A$3:$F$112,3,FALSE),"")</f>
        <v/>
      </c>
      <c r="D448" s="36" t="str">
        <f>IFERROR(VLOOKUP(A448,القائمة!$A$3:$F$112,4,FALSE),"")</f>
        <v/>
      </c>
      <c r="E448" s="36" t="str">
        <f>IFERROR(VLOOKUP(A448,القائمة!$A$3:$F$112,5,FALSE),"")</f>
        <v/>
      </c>
      <c r="F448" s="37" t="str">
        <f>IFERROR(VLOOKUP(A448,القائمة!$A$3:$F$112,6,FALSE),"")</f>
        <v/>
      </c>
      <c r="I448" s="36"/>
      <c r="P448" s="27">
        <f t="shared" si="15"/>
        <v>0</v>
      </c>
      <c r="Q448" s="27">
        <f t="shared" si="14"/>
        <v>0</v>
      </c>
    </row>
    <row r="449" spans="2:17" x14ac:dyDescent="0.45">
      <c r="B449" s="27" t="str">
        <f>IFERROR(VLOOKUP(A449,القائمة!$A$3:$F$112,2,FALSE),"")</f>
        <v/>
      </c>
      <c r="C449" s="27" t="str">
        <f>IFERROR(VLOOKUP(A449,القائمة!$A$3:$F$112,3,FALSE),"")</f>
        <v/>
      </c>
      <c r="D449" s="36" t="str">
        <f>IFERROR(VLOOKUP(A449,القائمة!$A$3:$F$112,4,FALSE),"")</f>
        <v/>
      </c>
      <c r="E449" s="36" t="str">
        <f>IFERROR(VLOOKUP(A449,القائمة!$A$3:$F$112,5,FALSE),"")</f>
        <v/>
      </c>
      <c r="F449" s="37" t="str">
        <f>IFERROR(VLOOKUP(A449,القائمة!$A$3:$F$112,6,FALSE),"")</f>
        <v/>
      </c>
      <c r="I449" s="36"/>
      <c r="P449" s="27">
        <f t="shared" si="15"/>
        <v>0</v>
      </c>
      <c r="Q449" s="27">
        <f t="shared" si="14"/>
        <v>0</v>
      </c>
    </row>
    <row r="450" spans="2:17" x14ac:dyDescent="0.45">
      <c r="B450" s="27" t="str">
        <f>IFERROR(VLOOKUP(A450,القائمة!$A$3:$F$112,2,FALSE),"")</f>
        <v/>
      </c>
      <c r="C450" s="27" t="str">
        <f>IFERROR(VLOOKUP(A450,القائمة!$A$3:$F$112,3,FALSE),"")</f>
        <v/>
      </c>
      <c r="D450" s="36" t="str">
        <f>IFERROR(VLOOKUP(A450,القائمة!$A$3:$F$112,4,FALSE),"")</f>
        <v/>
      </c>
      <c r="E450" s="36" t="str">
        <f>IFERROR(VLOOKUP(A450,القائمة!$A$3:$F$112,5,FALSE),"")</f>
        <v/>
      </c>
      <c r="F450" s="37" t="str">
        <f>IFERROR(VLOOKUP(A450,القائمة!$A$3:$F$112,6,FALSE),"")</f>
        <v/>
      </c>
      <c r="I450" s="36"/>
      <c r="P450" s="27">
        <f t="shared" si="15"/>
        <v>0</v>
      </c>
      <c r="Q450" s="27">
        <f t="shared" si="14"/>
        <v>0</v>
      </c>
    </row>
    <row r="451" spans="2:17" x14ac:dyDescent="0.45">
      <c r="B451" s="27" t="str">
        <f>IFERROR(VLOOKUP(A451,القائمة!$A$3:$F$112,2,FALSE),"")</f>
        <v/>
      </c>
      <c r="C451" s="27" t="str">
        <f>IFERROR(VLOOKUP(A451,القائمة!$A$3:$F$112,3,FALSE),"")</f>
        <v/>
      </c>
      <c r="D451" s="36" t="str">
        <f>IFERROR(VLOOKUP(A451,القائمة!$A$3:$F$112,4,FALSE),"")</f>
        <v/>
      </c>
      <c r="E451" s="36" t="str">
        <f>IFERROR(VLOOKUP(A451,القائمة!$A$3:$F$112,5,FALSE),"")</f>
        <v/>
      </c>
      <c r="F451" s="37" t="str">
        <f>IFERROR(VLOOKUP(A451,القائمة!$A$3:$F$112,6,FALSE),"")</f>
        <v/>
      </c>
      <c r="I451" s="36"/>
      <c r="P451" s="27">
        <f t="shared" si="15"/>
        <v>0</v>
      </c>
      <c r="Q451" s="27">
        <f t="shared" ref="Q451:Q514" si="16">+P451+L451-M451</f>
        <v>0</v>
      </c>
    </row>
    <row r="452" spans="2:17" x14ac:dyDescent="0.45">
      <c r="B452" s="27" t="str">
        <f>IFERROR(VLOOKUP(A452,القائمة!$A$3:$F$112,2,FALSE),"")</f>
        <v/>
      </c>
      <c r="C452" s="27" t="str">
        <f>IFERROR(VLOOKUP(A452,القائمة!$A$3:$F$112,3,FALSE),"")</f>
        <v/>
      </c>
      <c r="D452" s="36" t="str">
        <f>IFERROR(VLOOKUP(A452,القائمة!$A$3:$F$112,4,FALSE),"")</f>
        <v/>
      </c>
      <c r="E452" s="36" t="str">
        <f>IFERROR(VLOOKUP(A452,القائمة!$A$3:$F$112,5,FALSE),"")</f>
        <v/>
      </c>
      <c r="F452" s="37" t="str">
        <f>IFERROR(VLOOKUP(A452,القائمة!$A$3:$F$112,6,FALSE),"")</f>
        <v/>
      </c>
      <c r="I452" s="36"/>
      <c r="P452" s="27">
        <f t="shared" ref="P452:P515" si="17">J452-K452</f>
        <v>0</v>
      </c>
      <c r="Q452" s="27">
        <f t="shared" si="16"/>
        <v>0</v>
      </c>
    </row>
    <row r="453" spans="2:17" x14ac:dyDescent="0.45">
      <c r="B453" s="27" t="str">
        <f>IFERROR(VLOOKUP(A453,القائمة!$A$3:$F$112,2,FALSE),"")</f>
        <v/>
      </c>
      <c r="C453" s="27" t="str">
        <f>IFERROR(VLOOKUP(A453,القائمة!$A$3:$F$112,3,FALSE),"")</f>
        <v/>
      </c>
      <c r="D453" s="36" t="str">
        <f>IFERROR(VLOOKUP(A453,القائمة!$A$3:$F$112,4,FALSE),"")</f>
        <v/>
      </c>
      <c r="E453" s="36" t="str">
        <f>IFERROR(VLOOKUP(A453,القائمة!$A$3:$F$112,5,FALSE),"")</f>
        <v/>
      </c>
      <c r="F453" s="37" t="str">
        <f>IFERROR(VLOOKUP(A453,القائمة!$A$3:$F$112,6,FALSE),"")</f>
        <v/>
      </c>
      <c r="I453" s="36"/>
      <c r="P453" s="27">
        <f t="shared" si="17"/>
        <v>0</v>
      </c>
      <c r="Q453" s="27">
        <f t="shared" si="16"/>
        <v>0</v>
      </c>
    </row>
    <row r="454" spans="2:17" x14ac:dyDescent="0.45">
      <c r="B454" s="27" t="str">
        <f>IFERROR(VLOOKUP(A454,القائمة!$A$3:$F$112,2,FALSE),"")</f>
        <v/>
      </c>
      <c r="C454" s="27" t="str">
        <f>IFERROR(VLOOKUP(A454,القائمة!$A$3:$F$112,3,FALSE),"")</f>
        <v/>
      </c>
      <c r="D454" s="36" t="str">
        <f>IFERROR(VLOOKUP(A454,القائمة!$A$3:$F$112,4,FALSE),"")</f>
        <v/>
      </c>
      <c r="E454" s="36" t="str">
        <f>IFERROR(VLOOKUP(A454,القائمة!$A$3:$F$112,5,FALSE),"")</f>
        <v/>
      </c>
      <c r="F454" s="37" t="str">
        <f>IFERROR(VLOOKUP(A454,القائمة!$A$3:$F$112,6,FALSE),"")</f>
        <v/>
      </c>
      <c r="I454" s="36"/>
      <c r="P454" s="27">
        <f t="shared" si="17"/>
        <v>0</v>
      </c>
      <c r="Q454" s="27">
        <f t="shared" si="16"/>
        <v>0</v>
      </c>
    </row>
    <row r="455" spans="2:17" x14ac:dyDescent="0.45">
      <c r="B455" s="27" t="str">
        <f>IFERROR(VLOOKUP(A455,القائمة!$A$3:$F$112,2,FALSE),"")</f>
        <v/>
      </c>
      <c r="C455" s="27" t="str">
        <f>IFERROR(VLOOKUP(A455,القائمة!$A$3:$F$112,3,FALSE),"")</f>
        <v/>
      </c>
      <c r="D455" s="36" t="str">
        <f>IFERROR(VLOOKUP(A455,القائمة!$A$3:$F$112,4,FALSE),"")</f>
        <v/>
      </c>
      <c r="E455" s="36" t="str">
        <f>IFERROR(VLOOKUP(A455,القائمة!$A$3:$F$112,5,FALSE),"")</f>
        <v/>
      </c>
      <c r="F455" s="37" t="str">
        <f>IFERROR(VLOOKUP(A455,القائمة!$A$3:$F$112,6,FALSE),"")</f>
        <v/>
      </c>
      <c r="I455" s="36"/>
      <c r="P455" s="27">
        <f t="shared" si="17"/>
        <v>0</v>
      </c>
      <c r="Q455" s="27">
        <f t="shared" si="16"/>
        <v>0</v>
      </c>
    </row>
    <row r="456" spans="2:17" x14ac:dyDescent="0.45">
      <c r="B456" s="27" t="str">
        <f>IFERROR(VLOOKUP(A456,القائمة!$A$3:$F$112,2,FALSE),"")</f>
        <v/>
      </c>
      <c r="C456" s="27" t="str">
        <f>IFERROR(VLOOKUP(A456,القائمة!$A$3:$F$112,3,FALSE),"")</f>
        <v/>
      </c>
      <c r="D456" s="36" t="str">
        <f>IFERROR(VLOOKUP(A456,القائمة!$A$3:$F$112,4,FALSE),"")</f>
        <v/>
      </c>
      <c r="E456" s="36" t="str">
        <f>IFERROR(VLOOKUP(A456,القائمة!$A$3:$F$112,5,FALSE),"")</f>
        <v/>
      </c>
      <c r="F456" s="37" t="str">
        <f>IFERROR(VLOOKUP(A456,القائمة!$A$3:$F$112,6,FALSE),"")</f>
        <v/>
      </c>
      <c r="I456" s="36"/>
      <c r="P456" s="27">
        <f t="shared" si="17"/>
        <v>0</v>
      </c>
      <c r="Q456" s="27">
        <f t="shared" si="16"/>
        <v>0</v>
      </c>
    </row>
    <row r="457" spans="2:17" x14ac:dyDescent="0.45">
      <c r="B457" s="27" t="str">
        <f>IFERROR(VLOOKUP(A457,القائمة!$A$3:$F$112,2,FALSE),"")</f>
        <v/>
      </c>
      <c r="C457" s="27" t="str">
        <f>IFERROR(VLOOKUP(A457,القائمة!$A$3:$F$112,3,FALSE),"")</f>
        <v/>
      </c>
      <c r="D457" s="36" t="str">
        <f>IFERROR(VLOOKUP(A457,القائمة!$A$3:$F$112,4,FALSE),"")</f>
        <v/>
      </c>
      <c r="E457" s="36" t="str">
        <f>IFERROR(VLOOKUP(A457,القائمة!$A$3:$F$112,5,FALSE),"")</f>
        <v/>
      </c>
      <c r="F457" s="37" t="str">
        <f>IFERROR(VLOOKUP(A457,القائمة!$A$3:$F$112,6,FALSE),"")</f>
        <v/>
      </c>
      <c r="I457" s="36"/>
      <c r="P457" s="27">
        <f t="shared" si="17"/>
        <v>0</v>
      </c>
      <c r="Q457" s="27">
        <f t="shared" si="16"/>
        <v>0</v>
      </c>
    </row>
    <row r="458" spans="2:17" x14ac:dyDescent="0.45">
      <c r="B458" s="27" t="str">
        <f>IFERROR(VLOOKUP(A458,القائمة!$A$3:$F$112,2,FALSE),"")</f>
        <v/>
      </c>
      <c r="C458" s="27" t="str">
        <f>IFERROR(VLOOKUP(A458,القائمة!$A$3:$F$112,3,FALSE),"")</f>
        <v/>
      </c>
      <c r="D458" s="36" t="str">
        <f>IFERROR(VLOOKUP(A458,القائمة!$A$3:$F$112,4,FALSE),"")</f>
        <v/>
      </c>
      <c r="E458" s="36" t="str">
        <f>IFERROR(VLOOKUP(A458,القائمة!$A$3:$F$112,5,FALSE),"")</f>
        <v/>
      </c>
      <c r="F458" s="37" t="str">
        <f>IFERROR(VLOOKUP(A458,القائمة!$A$3:$F$112,6,FALSE),"")</f>
        <v/>
      </c>
      <c r="I458" s="36"/>
      <c r="P458" s="27">
        <f t="shared" si="17"/>
        <v>0</v>
      </c>
      <c r="Q458" s="27">
        <f t="shared" si="16"/>
        <v>0</v>
      </c>
    </row>
    <row r="459" spans="2:17" x14ac:dyDescent="0.45">
      <c r="B459" s="27" t="str">
        <f>IFERROR(VLOOKUP(A459,القائمة!$A$3:$F$112,2,FALSE),"")</f>
        <v/>
      </c>
      <c r="C459" s="27" t="str">
        <f>IFERROR(VLOOKUP(A459,القائمة!$A$3:$F$112,3,FALSE),"")</f>
        <v/>
      </c>
      <c r="D459" s="36" t="str">
        <f>IFERROR(VLOOKUP(A459,القائمة!$A$3:$F$112,4,FALSE),"")</f>
        <v/>
      </c>
      <c r="E459" s="36" t="str">
        <f>IFERROR(VLOOKUP(A459,القائمة!$A$3:$F$112,5,FALSE),"")</f>
        <v/>
      </c>
      <c r="F459" s="37" t="str">
        <f>IFERROR(VLOOKUP(A459,القائمة!$A$3:$F$112,6,FALSE),"")</f>
        <v/>
      </c>
      <c r="I459" s="36"/>
      <c r="P459" s="27">
        <f t="shared" si="17"/>
        <v>0</v>
      </c>
      <c r="Q459" s="27">
        <f t="shared" si="16"/>
        <v>0</v>
      </c>
    </row>
    <row r="460" spans="2:17" x14ac:dyDescent="0.45">
      <c r="B460" s="27" t="str">
        <f>IFERROR(VLOOKUP(A460,القائمة!$A$3:$F$112,2,FALSE),"")</f>
        <v/>
      </c>
      <c r="C460" s="27" t="str">
        <f>IFERROR(VLOOKUP(A460,القائمة!$A$3:$F$112,3,FALSE),"")</f>
        <v/>
      </c>
      <c r="D460" s="36" t="str">
        <f>IFERROR(VLOOKUP(A460,القائمة!$A$3:$F$112,4,FALSE),"")</f>
        <v/>
      </c>
      <c r="E460" s="36" t="str">
        <f>IFERROR(VLOOKUP(A460,القائمة!$A$3:$F$112,5,FALSE),"")</f>
        <v/>
      </c>
      <c r="F460" s="37" t="str">
        <f>IFERROR(VLOOKUP(A460,القائمة!$A$3:$F$112,6,FALSE),"")</f>
        <v/>
      </c>
      <c r="I460" s="36"/>
      <c r="P460" s="27">
        <f t="shared" si="17"/>
        <v>0</v>
      </c>
      <c r="Q460" s="27">
        <f t="shared" si="16"/>
        <v>0</v>
      </c>
    </row>
    <row r="461" spans="2:17" x14ac:dyDescent="0.45">
      <c r="B461" s="27" t="str">
        <f>IFERROR(VLOOKUP(A461,القائمة!$A$3:$F$112,2,FALSE),"")</f>
        <v/>
      </c>
      <c r="C461" s="27" t="str">
        <f>IFERROR(VLOOKUP(A461,القائمة!$A$3:$F$112,3,FALSE),"")</f>
        <v/>
      </c>
      <c r="D461" s="36" t="str">
        <f>IFERROR(VLOOKUP(A461,القائمة!$A$3:$F$112,4,FALSE),"")</f>
        <v/>
      </c>
      <c r="E461" s="36" t="str">
        <f>IFERROR(VLOOKUP(A461,القائمة!$A$3:$F$112,5,FALSE),"")</f>
        <v/>
      </c>
      <c r="F461" s="37" t="str">
        <f>IFERROR(VLOOKUP(A461,القائمة!$A$3:$F$112,6,FALSE),"")</f>
        <v/>
      </c>
      <c r="I461" s="36"/>
      <c r="P461" s="27">
        <f t="shared" si="17"/>
        <v>0</v>
      </c>
      <c r="Q461" s="27">
        <f t="shared" si="16"/>
        <v>0</v>
      </c>
    </row>
    <row r="462" spans="2:17" x14ac:dyDescent="0.45">
      <c r="B462" s="27" t="str">
        <f>IFERROR(VLOOKUP(A462,القائمة!$A$3:$F$112,2,FALSE),"")</f>
        <v/>
      </c>
      <c r="C462" s="27" t="str">
        <f>IFERROR(VLOOKUP(A462,القائمة!$A$3:$F$112,3,FALSE),"")</f>
        <v/>
      </c>
      <c r="D462" s="36" t="str">
        <f>IFERROR(VLOOKUP(A462,القائمة!$A$3:$F$112,4,FALSE),"")</f>
        <v/>
      </c>
      <c r="E462" s="36" t="str">
        <f>IFERROR(VLOOKUP(A462,القائمة!$A$3:$F$112,5,FALSE),"")</f>
        <v/>
      </c>
      <c r="F462" s="37" t="str">
        <f>IFERROR(VLOOKUP(A462,القائمة!$A$3:$F$112,6,FALSE),"")</f>
        <v/>
      </c>
      <c r="I462" s="36"/>
      <c r="P462" s="27">
        <f t="shared" si="17"/>
        <v>0</v>
      </c>
      <c r="Q462" s="27">
        <f t="shared" si="16"/>
        <v>0</v>
      </c>
    </row>
    <row r="463" spans="2:17" x14ac:dyDescent="0.45">
      <c r="B463" s="27" t="str">
        <f>IFERROR(VLOOKUP(A463,القائمة!$A$3:$F$112,2,FALSE),"")</f>
        <v/>
      </c>
      <c r="C463" s="27" t="str">
        <f>IFERROR(VLOOKUP(A463,القائمة!$A$3:$F$112,3,FALSE),"")</f>
        <v/>
      </c>
      <c r="D463" s="36" t="str">
        <f>IFERROR(VLOOKUP(A463,القائمة!$A$3:$F$112,4,FALSE),"")</f>
        <v/>
      </c>
      <c r="E463" s="36" t="str">
        <f>IFERROR(VLOOKUP(A463,القائمة!$A$3:$F$112,5,FALSE),"")</f>
        <v/>
      </c>
      <c r="F463" s="37" t="str">
        <f>IFERROR(VLOOKUP(A463,القائمة!$A$3:$F$112,6,FALSE),"")</f>
        <v/>
      </c>
      <c r="I463" s="36"/>
      <c r="P463" s="27">
        <f t="shared" si="17"/>
        <v>0</v>
      </c>
      <c r="Q463" s="27">
        <f t="shared" si="16"/>
        <v>0</v>
      </c>
    </row>
    <row r="464" spans="2:17" x14ac:dyDescent="0.45">
      <c r="B464" s="27" t="str">
        <f>IFERROR(VLOOKUP(A464,القائمة!$A$3:$F$112,2,FALSE),"")</f>
        <v/>
      </c>
      <c r="C464" s="27" t="str">
        <f>IFERROR(VLOOKUP(A464,القائمة!$A$3:$F$112,3,FALSE),"")</f>
        <v/>
      </c>
      <c r="D464" s="36" t="str">
        <f>IFERROR(VLOOKUP(A464,القائمة!$A$3:$F$112,4,FALSE),"")</f>
        <v/>
      </c>
      <c r="E464" s="36" t="str">
        <f>IFERROR(VLOOKUP(A464,القائمة!$A$3:$F$112,5,FALSE),"")</f>
        <v/>
      </c>
      <c r="F464" s="37" t="str">
        <f>IFERROR(VLOOKUP(A464,القائمة!$A$3:$F$112,6,FALSE),"")</f>
        <v/>
      </c>
      <c r="I464" s="36"/>
      <c r="P464" s="27">
        <f t="shared" si="17"/>
        <v>0</v>
      </c>
      <c r="Q464" s="27">
        <f t="shared" si="16"/>
        <v>0</v>
      </c>
    </row>
    <row r="465" spans="2:17" x14ac:dyDescent="0.45">
      <c r="B465" s="27" t="str">
        <f>IFERROR(VLOOKUP(A465,القائمة!$A$3:$F$112,2,FALSE),"")</f>
        <v/>
      </c>
      <c r="C465" s="27" t="str">
        <f>IFERROR(VLOOKUP(A465,القائمة!$A$3:$F$112,3,FALSE),"")</f>
        <v/>
      </c>
      <c r="D465" s="36" t="str">
        <f>IFERROR(VLOOKUP(A465,القائمة!$A$3:$F$112,4,FALSE),"")</f>
        <v/>
      </c>
      <c r="E465" s="36" t="str">
        <f>IFERROR(VLOOKUP(A465,القائمة!$A$3:$F$112,5,FALSE),"")</f>
        <v/>
      </c>
      <c r="F465" s="37" t="str">
        <f>IFERROR(VLOOKUP(A465,القائمة!$A$3:$F$112,6,FALSE),"")</f>
        <v/>
      </c>
      <c r="I465" s="36"/>
      <c r="P465" s="27">
        <f t="shared" si="17"/>
        <v>0</v>
      </c>
      <c r="Q465" s="27">
        <f t="shared" si="16"/>
        <v>0</v>
      </c>
    </row>
    <row r="466" spans="2:17" x14ac:dyDescent="0.45">
      <c r="B466" s="27" t="str">
        <f>IFERROR(VLOOKUP(A466,القائمة!$A$3:$F$112,2,FALSE),"")</f>
        <v/>
      </c>
      <c r="C466" s="27" t="str">
        <f>IFERROR(VLOOKUP(A466,القائمة!$A$3:$F$112,3,FALSE),"")</f>
        <v/>
      </c>
      <c r="D466" s="36" t="str">
        <f>IFERROR(VLOOKUP(A466,القائمة!$A$3:$F$112,4,FALSE),"")</f>
        <v/>
      </c>
      <c r="E466" s="36" t="str">
        <f>IFERROR(VLOOKUP(A466,القائمة!$A$3:$F$112,5,FALSE),"")</f>
        <v/>
      </c>
      <c r="F466" s="37" t="str">
        <f>IFERROR(VLOOKUP(A466,القائمة!$A$3:$F$112,6,FALSE),"")</f>
        <v/>
      </c>
      <c r="I466" s="36"/>
      <c r="P466" s="27">
        <f t="shared" si="17"/>
        <v>0</v>
      </c>
      <c r="Q466" s="27">
        <f t="shared" si="16"/>
        <v>0</v>
      </c>
    </row>
    <row r="467" spans="2:17" x14ac:dyDescent="0.45">
      <c r="B467" s="27" t="str">
        <f>IFERROR(VLOOKUP(A467,القائمة!$A$3:$F$112,2,FALSE),"")</f>
        <v/>
      </c>
      <c r="C467" s="27" t="str">
        <f>IFERROR(VLOOKUP(A467,القائمة!$A$3:$F$112,3,FALSE),"")</f>
        <v/>
      </c>
      <c r="D467" s="36" t="str">
        <f>IFERROR(VLOOKUP(A467,القائمة!$A$3:$F$112,4,FALSE),"")</f>
        <v/>
      </c>
      <c r="E467" s="36" t="str">
        <f>IFERROR(VLOOKUP(A467,القائمة!$A$3:$F$112,5,FALSE),"")</f>
        <v/>
      </c>
      <c r="F467" s="37" t="str">
        <f>IFERROR(VLOOKUP(A467,القائمة!$A$3:$F$112,6,FALSE),"")</f>
        <v/>
      </c>
      <c r="I467" s="36"/>
      <c r="P467" s="27">
        <f t="shared" si="17"/>
        <v>0</v>
      </c>
      <c r="Q467" s="27">
        <f t="shared" si="16"/>
        <v>0</v>
      </c>
    </row>
    <row r="468" spans="2:17" x14ac:dyDescent="0.45">
      <c r="B468" s="27" t="str">
        <f>IFERROR(VLOOKUP(A468,القائمة!$A$3:$F$112,2,FALSE),"")</f>
        <v/>
      </c>
      <c r="C468" s="27" t="str">
        <f>IFERROR(VLOOKUP(A468,القائمة!$A$3:$F$112,3,FALSE),"")</f>
        <v/>
      </c>
      <c r="D468" s="36" t="str">
        <f>IFERROR(VLOOKUP(A468,القائمة!$A$3:$F$112,4,FALSE),"")</f>
        <v/>
      </c>
      <c r="E468" s="36" t="str">
        <f>IFERROR(VLOOKUP(A468,القائمة!$A$3:$F$112,5,FALSE),"")</f>
        <v/>
      </c>
      <c r="F468" s="37" t="str">
        <f>IFERROR(VLOOKUP(A468,القائمة!$A$3:$F$112,6,FALSE),"")</f>
        <v/>
      </c>
      <c r="I468" s="36"/>
      <c r="P468" s="27">
        <f t="shared" si="17"/>
        <v>0</v>
      </c>
      <c r="Q468" s="27">
        <f t="shared" si="16"/>
        <v>0</v>
      </c>
    </row>
    <row r="469" spans="2:17" x14ac:dyDescent="0.45">
      <c r="B469" s="27" t="str">
        <f>IFERROR(VLOOKUP(A469,القائمة!$A$3:$F$112,2,FALSE),"")</f>
        <v/>
      </c>
      <c r="C469" s="27" t="str">
        <f>IFERROR(VLOOKUP(A469,القائمة!$A$3:$F$112,3,FALSE),"")</f>
        <v/>
      </c>
      <c r="D469" s="36" t="str">
        <f>IFERROR(VLOOKUP(A469,القائمة!$A$3:$F$112,4,FALSE),"")</f>
        <v/>
      </c>
      <c r="E469" s="36" t="str">
        <f>IFERROR(VLOOKUP(A469,القائمة!$A$3:$F$112,5,FALSE),"")</f>
        <v/>
      </c>
      <c r="F469" s="37" t="str">
        <f>IFERROR(VLOOKUP(A469,القائمة!$A$3:$F$112,6,FALSE),"")</f>
        <v/>
      </c>
      <c r="I469" s="36"/>
      <c r="P469" s="27">
        <f t="shared" si="17"/>
        <v>0</v>
      </c>
      <c r="Q469" s="27">
        <f t="shared" si="16"/>
        <v>0</v>
      </c>
    </row>
    <row r="470" spans="2:17" x14ac:dyDescent="0.45">
      <c r="B470" s="27" t="str">
        <f>IFERROR(VLOOKUP(A470,القائمة!$A$3:$F$112,2,FALSE),"")</f>
        <v/>
      </c>
      <c r="C470" s="27" t="str">
        <f>IFERROR(VLOOKUP(A470,القائمة!$A$3:$F$112,3,FALSE),"")</f>
        <v/>
      </c>
      <c r="D470" s="36" t="str">
        <f>IFERROR(VLOOKUP(A470,القائمة!$A$3:$F$112,4,FALSE),"")</f>
        <v/>
      </c>
      <c r="E470" s="36" t="str">
        <f>IFERROR(VLOOKUP(A470,القائمة!$A$3:$F$112,5,FALSE),"")</f>
        <v/>
      </c>
      <c r="F470" s="37" t="str">
        <f>IFERROR(VLOOKUP(A470,القائمة!$A$3:$F$112,6,FALSE),"")</f>
        <v/>
      </c>
      <c r="I470" s="36"/>
      <c r="P470" s="27">
        <f t="shared" si="17"/>
        <v>0</v>
      </c>
      <c r="Q470" s="27">
        <f t="shared" si="16"/>
        <v>0</v>
      </c>
    </row>
    <row r="471" spans="2:17" x14ac:dyDescent="0.45">
      <c r="B471" s="27" t="str">
        <f>IFERROR(VLOOKUP(A471,القائمة!$A$3:$F$112,2,FALSE),"")</f>
        <v/>
      </c>
      <c r="C471" s="27" t="str">
        <f>IFERROR(VLOOKUP(A471,القائمة!$A$3:$F$112,3,FALSE),"")</f>
        <v/>
      </c>
      <c r="D471" s="36" t="str">
        <f>IFERROR(VLOOKUP(A471,القائمة!$A$3:$F$112,4,FALSE),"")</f>
        <v/>
      </c>
      <c r="E471" s="36" t="str">
        <f>IFERROR(VLOOKUP(A471,القائمة!$A$3:$F$112,5,FALSE),"")</f>
        <v/>
      </c>
      <c r="F471" s="37" t="str">
        <f>IFERROR(VLOOKUP(A471,القائمة!$A$3:$F$112,6,FALSE),"")</f>
        <v/>
      </c>
      <c r="I471" s="36"/>
      <c r="P471" s="27">
        <f t="shared" si="17"/>
        <v>0</v>
      </c>
      <c r="Q471" s="27">
        <f t="shared" si="16"/>
        <v>0</v>
      </c>
    </row>
    <row r="472" spans="2:17" x14ac:dyDescent="0.45">
      <c r="B472" s="27" t="str">
        <f>IFERROR(VLOOKUP(A472,القائمة!$A$3:$F$112,2,FALSE),"")</f>
        <v/>
      </c>
      <c r="C472" s="27" t="str">
        <f>IFERROR(VLOOKUP(A472,القائمة!$A$3:$F$112,3,FALSE),"")</f>
        <v/>
      </c>
      <c r="D472" s="36" t="str">
        <f>IFERROR(VLOOKUP(A472,القائمة!$A$3:$F$112,4,FALSE),"")</f>
        <v/>
      </c>
      <c r="E472" s="36" t="str">
        <f>IFERROR(VLOOKUP(A472,القائمة!$A$3:$F$112,5,FALSE),"")</f>
        <v/>
      </c>
      <c r="F472" s="37" t="str">
        <f>IFERROR(VLOOKUP(A472,القائمة!$A$3:$F$112,6,FALSE),"")</f>
        <v/>
      </c>
      <c r="I472" s="36"/>
      <c r="P472" s="27">
        <f t="shared" si="17"/>
        <v>0</v>
      </c>
      <c r="Q472" s="27">
        <f t="shared" si="16"/>
        <v>0</v>
      </c>
    </row>
    <row r="473" spans="2:17" x14ac:dyDescent="0.45">
      <c r="B473" s="27" t="str">
        <f>IFERROR(VLOOKUP(A473,القائمة!$A$3:$F$112,2,FALSE),"")</f>
        <v/>
      </c>
      <c r="C473" s="27" t="str">
        <f>IFERROR(VLOOKUP(A473,القائمة!$A$3:$F$112,3,FALSE),"")</f>
        <v/>
      </c>
      <c r="D473" s="36" t="str">
        <f>IFERROR(VLOOKUP(A473,القائمة!$A$3:$F$112,4,FALSE),"")</f>
        <v/>
      </c>
      <c r="E473" s="36" t="str">
        <f>IFERROR(VLOOKUP(A473,القائمة!$A$3:$F$112,5,FALSE),"")</f>
        <v/>
      </c>
      <c r="F473" s="37" t="str">
        <f>IFERROR(VLOOKUP(A473,القائمة!$A$3:$F$112,6,FALSE),"")</f>
        <v/>
      </c>
      <c r="I473" s="36"/>
      <c r="P473" s="27">
        <f t="shared" si="17"/>
        <v>0</v>
      </c>
      <c r="Q473" s="27">
        <f t="shared" si="16"/>
        <v>0</v>
      </c>
    </row>
    <row r="474" spans="2:17" x14ac:dyDescent="0.45">
      <c r="B474" s="27" t="str">
        <f>IFERROR(VLOOKUP(A474,القائمة!$A$3:$F$112,2,FALSE),"")</f>
        <v/>
      </c>
      <c r="C474" s="27" t="str">
        <f>IFERROR(VLOOKUP(A474,القائمة!$A$3:$F$112,3,FALSE),"")</f>
        <v/>
      </c>
      <c r="D474" s="36" t="str">
        <f>IFERROR(VLOOKUP(A474,القائمة!$A$3:$F$112,4,FALSE),"")</f>
        <v/>
      </c>
      <c r="E474" s="36" t="str">
        <f>IFERROR(VLOOKUP(A474,القائمة!$A$3:$F$112,5,FALSE),"")</f>
        <v/>
      </c>
      <c r="F474" s="37" t="str">
        <f>IFERROR(VLOOKUP(A474,القائمة!$A$3:$F$112,6,FALSE),"")</f>
        <v/>
      </c>
      <c r="I474" s="36"/>
      <c r="P474" s="27">
        <f t="shared" si="17"/>
        <v>0</v>
      </c>
      <c r="Q474" s="27">
        <f t="shared" si="16"/>
        <v>0</v>
      </c>
    </row>
    <row r="475" spans="2:17" x14ac:dyDescent="0.45">
      <c r="B475" s="27" t="str">
        <f>IFERROR(VLOOKUP(A475,القائمة!$A$3:$F$112,2,FALSE),"")</f>
        <v/>
      </c>
      <c r="C475" s="27" t="str">
        <f>IFERROR(VLOOKUP(A475,القائمة!$A$3:$F$112,3,FALSE),"")</f>
        <v/>
      </c>
      <c r="D475" s="36" t="str">
        <f>IFERROR(VLOOKUP(A475,القائمة!$A$3:$F$112,4,FALSE),"")</f>
        <v/>
      </c>
      <c r="E475" s="36" t="str">
        <f>IFERROR(VLOOKUP(A475,القائمة!$A$3:$F$112,5,FALSE),"")</f>
        <v/>
      </c>
      <c r="F475" s="37" t="str">
        <f>IFERROR(VLOOKUP(A475,القائمة!$A$3:$F$112,6,FALSE),"")</f>
        <v/>
      </c>
      <c r="I475" s="36"/>
      <c r="P475" s="27">
        <f t="shared" si="17"/>
        <v>0</v>
      </c>
      <c r="Q475" s="27">
        <f t="shared" si="16"/>
        <v>0</v>
      </c>
    </row>
    <row r="476" spans="2:17" x14ac:dyDescent="0.45">
      <c r="B476" s="27" t="str">
        <f>IFERROR(VLOOKUP(A476,القائمة!$A$3:$F$112,2,FALSE),"")</f>
        <v/>
      </c>
      <c r="C476" s="27" t="str">
        <f>IFERROR(VLOOKUP(A476,القائمة!$A$3:$F$112,3,FALSE),"")</f>
        <v/>
      </c>
      <c r="D476" s="36" t="str">
        <f>IFERROR(VLOOKUP(A476,القائمة!$A$3:$F$112,4,FALSE),"")</f>
        <v/>
      </c>
      <c r="E476" s="36" t="str">
        <f>IFERROR(VLOOKUP(A476,القائمة!$A$3:$F$112,5,FALSE),"")</f>
        <v/>
      </c>
      <c r="F476" s="37" t="str">
        <f>IFERROR(VLOOKUP(A476,القائمة!$A$3:$F$112,6,FALSE),"")</f>
        <v/>
      </c>
      <c r="I476" s="36"/>
      <c r="P476" s="27">
        <f t="shared" si="17"/>
        <v>0</v>
      </c>
      <c r="Q476" s="27">
        <f t="shared" si="16"/>
        <v>0</v>
      </c>
    </row>
    <row r="477" spans="2:17" x14ac:dyDescent="0.45">
      <c r="B477" s="27" t="str">
        <f>IFERROR(VLOOKUP(A477,القائمة!$A$3:$F$112,2,FALSE),"")</f>
        <v/>
      </c>
      <c r="C477" s="27" t="str">
        <f>IFERROR(VLOOKUP(A477,القائمة!$A$3:$F$112,3,FALSE),"")</f>
        <v/>
      </c>
      <c r="D477" s="36" t="str">
        <f>IFERROR(VLOOKUP(A477,القائمة!$A$3:$F$112,4,FALSE),"")</f>
        <v/>
      </c>
      <c r="E477" s="36" t="str">
        <f>IFERROR(VLOOKUP(A477,القائمة!$A$3:$F$112,5,FALSE),"")</f>
        <v/>
      </c>
      <c r="F477" s="37" t="str">
        <f>IFERROR(VLOOKUP(A477,القائمة!$A$3:$F$112,6,FALSE),"")</f>
        <v/>
      </c>
      <c r="I477" s="36"/>
      <c r="P477" s="27">
        <f t="shared" si="17"/>
        <v>0</v>
      </c>
      <c r="Q477" s="27">
        <f t="shared" si="16"/>
        <v>0</v>
      </c>
    </row>
    <row r="478" spans="2:17" x14ac:dyDescent="0.45">
      <c r="B478" s="27" t="str">
        <f>IFERROR(VLOOKUP(A478,القائمة!$A$3:$F$112,2,FALSE),"")</f>
        <v/>
      </c>
      <c r="C478" s="27" t="str">
        <f>IFERROR(VLOOKUP(A478,القائمة!$A$3:$F$112,3,FALSE),"")</f>
        <v/>
      </c>
      <c r="D478" s="36" t="str">
        <f>IFERROR(VLOOKUP(A478,القائمة!$A$3:$F$112,4,FALSE),"")</f>
        <v/>
      </c>
      <c r="E478" s="36" t="str">
        <f>IFERROR(VLOOKUP(A478,القائمة!$A$3:$F$112,5,FALSE),"")</f>
        <v/>
      </c>
      <c r="F478" s="37" t="str">
        <f>IFERROR(VLOOKUP(A478,القائمة!$A$3:$F$112,6,FALSE),"")</f>
        <v/>
      </c>
      <c r="I478" s="36"/>
      <c r="P478" s="27">
        <f t="shared" si="17"/>
        <v>0</v>
      </c>
      <c r="Q478" s="27">
        <f t="shared" si="16"/>
        <v>0</v>
      </c>
    </row>
    <row r="479" spans="2:17" x14ac:dyDescent="0.45">
      <c r="B479" s="27" t="str">
        <f>IFERROR(VLOOKUP(A479,القائمة!$A$3:$F$112,2,FALSE),"")</f>
        <v/>
      </c>
      <c r="C479" s="27" t="str">
        <f>IFERROR(VLOOKUP(A479,القائمة!$A$3:$F$112,3,FALSE),"")</f>
        <v/>
      </c>
      <c r="D479" s="36" t="str">
        <f>IFERROR(VLOOKUP(A479,القائمة!$A$3:$F$112,4,FALSE),"")</f>
        <v/>
      </c>
      <c r="E479" s="36" t="str">
        <f>IFERROR(VLOOKUP(A479,القائمة!$A$3:$F$112,5,FALSE),"")</f>
        <v/>
      </c>
      <c r="F479" s="37" t="str">
        <f>IFERROR(VLOOKUP(A479,القائمة!$A$3:$F$112,6,FALSE),"")</f>
        <v/>
      </c>
      <c r="I479" s="36"/>
      <c r="P479" s="27">
        <f t="shared" si="17"/>
        <v>0</v>
      </c>
      <c r="Q479" s="27">
        <f t="shared" si="16"/>
        <v>0</v>
      </c>
    </row>
    <row r="480" spans="2:17" x14ac:dyDescent="0.45">
      <c r="B480" s="27" t="str">
        <f>IFERROR(VLOOKUP(A480,القائمة!$A$3:$F$112,2,FALSE),"")</f>
        <v/>
      </c>
      <c r="C480" s="27" t="str">
        <f>IFERROR(VLOOKUP(A480,القائمة!$A$3:$F$112,3,FALSE),"")</f>
        <v/>
      </c>
      <c r="D480" s="36" t="str">
        <f>IFERROR(VLOOKUP(A480,القائمة!$A$3:$F$112,4,FALSE),"")</f>
        <v/>
      </c>
      <c r="E480" s="36" t="str">
        <f>IFERROR(VLOOKUP(A480,القائمة!$A$3:$F$112,5,FALSE),"")</f>
        <v/>
      </c>
      <c r="F480" s="37" t="str">
        <f>IFERROR(VLOOKUP(A480,القائمة!$A$3:$F$112,6,FALSE),"")</f>
        <v/>
      </c>
      <c r="I480" s="36"/>
      <c r="P480" s="27">
        <f t="shared" si="17"/>
        <v>0</v>
      </c>
      <c r="Q480" s="27">
        <f t="shared" si="16"/>
        <v>0</v>
      </c>
    </row>
    <row r="481" spans="2:17" x14ac:dyDescent="0.45">
      <c r="B481" s="27" t="str">
        <f>IFERROR(VLOOKUP(A481,القائمة!$A$3:$F$112,2,FALSE),"")</f>
        <v/>
      </c>
      <c r="C481" s="27" t="str">
        <f>IFERROR(VLOOKUP(A481,القائمة!$A$3:$F$112,3,FALSE),"")</f>
        <v/>
      </c>
      <c r="D481" s="36" t="str">
        <f>IFERROR(VLOOKUP(A481,القائمة!$A$3:$F$112,4,FALSE),"")</f>
        <v/>
      </c>
      <c r="E481" s="36" t="str">
        <f>IFERROR(VLOOKUP(A481,القائمة!$A$3:$F$112,5,FALSE),"")</f>
        <v/>
      </c>
      <c r="F481" s="37" t="str">
        <f>IFERROR(VLOOKUP(A481,القائمة!$A$3:$F$112,6,FALSE),"")</f>
        <v/>
      </c>
      <c r="I481" s="36"/>
      <c r="P481" s="27">
        <f t="shared" si="17"/>
        <v>0</v>
      </c>
      <c r="Q481" s="27">
        <f t="shared" si="16"/>
        <v>0</v>
      </c>
    </row>
    <row r="482" spans="2:17" x14ac:dyDescent="0.45">
      <c r="B482" s="27" t="str">
        <f>IFERROR(VLOOKUP(A482,القائمة!$A$3:$F$112,2,FALSE),"")</f>
        <v/>
      </c>
      <c r="C482" s="27" t="str">
        <f>IFERROR(VLOOKUP(A482,القائمة!$A$3:$F$112,3,FALSE),"")</f>
        <v/>
      </c>
      <c r="D482" s="36" t="str">
        <f>IFERROR(VLOOKUP(A482,القائمة!$A$3:$F$112,4,FALSE),"")</f>
        <v/>
      </c>
      <c r="E482" s="36" t="str">
        <f>IFERROR(VLOOKUP(A482,القائمة!$A$3:$F$112,5,FALSE),"")</f>
        <v/>
      </c>
      <c r="F482" s="37" t="str">
        <f>IFERROR(VLOOKUP(A482,القائمة!$A$3:$F$112,6,FALSE),"")</f>
        <v/>
      </c>
      <c r="I482" s="36"/>
      <c r="P482" s="27">
        <f t="shared" si="17"/>
        <v>0</v>
      </c>
      <c r="Q482" s="27">
        <f t="shared" si="16"/>
        <v>0</v>
      </c>
    </row>
    <row r="483" spans="2:17" x14ac:dyDescent="0.45">
      <c r="B483" s="27" t="str">
        <f>IFERROR(VLOOKUP(A483,القائمة!$A$3:$F$112,2,FALSE),"")</f>
        <v/>
      </c>
      <c r="C483" s="27" t="str">
        <f>IFERROR(VLOOKUP(A483,القائمة!$A$3:$F$112,3,FALSE),"")</f>
        <v/>
      </c>
      <c r="D483" s="36" t="str">
        <f>IFERROR(VLOOKUP(A483,القائمة!$A$3:$F$112,4,FALSE),"")</f>
        <v/>
      </c>
      <c r="E483" s="36" t="str">
        <f>IFERROR(VLOOKUP(A483,القائمة!$A$3:$F$112,5,FALSE),"")</f>
        <v/>
      </c>
      <c r="F483" s="37" t="str">
        <f>IFERROR(VLOOKUP(A483,القائمة!$A$3:$F$112,6,FALSE),"")</f>
        <v/>
      </c>
      <c r="I483" s="36"/>
      <c r="P483" s="27">
        <f t="shared" si="17"/>
        <v>0</v>
      </c>
      <c r="Q483" s="27">
        <f t="shared" si="16"/>
        <v>0</v>
      </c>
    </row>
    <row r="484" spans="2:17" x14ac:dyDescent="0.45">
      <c r="B484" s="27" t="str">
        <f>IFERROR(VLOOKUP(A484,القائمة!$A$3:$F$112,2,FALSE),"")</f>
        <v/>
      </c>
      <c r="C484" s="27" t="str">
        <f>IFERROR(VLOOKUP(A484,القائمة!$A$3:$F$112,3,FALSE),"")</f>
        <v/>
      </c>
      <c r="D484" s="36" t="str">
        <f>IFERROR(VLOOKUP(A484,القائمة!$A$3:$F$112,4,FALSE),"")</f>
        <v/>
      </c>
      <c r="E484" s="36" t="str">
        <f>IFERROR(VLOOKUP(A484,القائمة!$A$3:$F$112,5,FALSE),"")</f>
        <v/>
      </c>
      <c r="F484" s="37" t="str">
        <f>IFERROR(VLOOKUP(A484,القائمة!$A$3:$F$112,6,FALSE),"")</f>
        <v/>
      </c>
      <c r="I484" s="36"/>
      <c r="P484" s="27">
        <f t="shared" si="17"/>
        <v>0</v>
      </c>
      <c r="Q484" s="27">
        <f t="shared" si="16"/>
        <v>0</v>
      </c>
    </row>
    <row r="485" spans="2:17" x14ac:dyDescent="0.45">
      <c r="B485" s="27" t="str">
        <f>IFERROR(VLOOKUP(A485,القائمة!$A$3:$F$112,2,FALSE),"")</f>
        <v/>
      </c>
      <c r="C485" s="27" t="str">
        <f>IFERROR(VLOOKUP(A485,القائمة!$A$3:$F$112,3,FALSE),"")</f>
        <v/>
      </c>
      <c r="D485" s="36" t="str">
        <f>IFERROR(VLOOKUP(A485,القائمة!$A$3:$F$112,4,FALSE),"")</f>
        <v/>
      </c>
      <c r="E485" s="36" t="str">
        <f>IFERROR(VLOOKUP(A485,القائمة!$A$3:$F$112,5,FALSE),"")</f>
        <v/>
      </c>
      <c r="F485" s="37" t="str">
        <f>IFERROR(VLOOKUP(A485,القائمة!$A$3:$F$112,6,FALSE),"")</f>
        <v/>
      </c>
      <c r="I485" s="36"/>
      <c r="P485" s="27">
        <f t="shared" si="17"/>
        <v>0</v>
      </c>
      <c r="Q485" s="27">
        <f t="shared" si="16"/>
        <v>0</v>
      </c>
    </row>
    <row r="486" spans="2:17" x14ac:dyDescent="0.45">
      <c r="B486" s="27" t="str">
        <f>IFERROR(VLOOKUP(A486,القائمة!$A$3:$F$112,2,FALSE),"")</f>
        <v/>
      </c>
      <c r="C486" s="27" t="str">
        <f>IFERROR(VLOOKUP(A486,القائمة!$A$3:$F$112,3,FALSE),"")</f>
        <v/>
      </c>
      <c r="D486" s="36" t="str">
        <f>IFERROR(VLOOKUP(A486,القائمة!$A$3:$F$112,4,FALSE),"")</f>
        <v/>
      </c>
      <c r="E486" s="36" t="str">
        <f>IFERROR(VLOOKUP(A486,القائمة!$A$3:$F$112,5,FALSE),"")</f>
        <v/>
      </c>
      <c r="F486" s="37" t="str">
        <f>IFERROR(VLOOKUP(A486,القائمة!$A$3:$F$112,6,FALSE),"")</f>
        <v/>
      </c>
      <c r="I486" s="36"/>
      <c r="P486" s="27">
        <f t="shared" si="17"/>
        <v>0</v>
      </c>
      <c r="Q486" s="27">
        <f t="shared" si="16"/>
        <v>0</v>
      </c>
    </row>
    <row r="487" spans="2:17" x14ac:dyDescent="0.45">
      <c r="B487" s="27" t="str">
        <f>IFERROR(VLOOKUP(A487,القائمة!$A$3:$F$112,2,FALSE),"")</f>
        <v/>
      </c>
      <c r="C487" s="27" t="str">
        <f>IFERROR(VLOOKUP(A487,القائمة!$A$3:$F$112,3,FALSE),"")</f>
        <v/>
      </c>
      <c r="D487" s="36" t="str">
        <f>IFERROR(VLOOKUP(A487,القائمة!$A$3:$F$112,4,FALSE),"")</f>
        <v/>
      </c>
      <c r="E487" s="36" t="str">
        <f>IFERROR(VLOOKUP(A487,القائمة!$A$3:$F$112,5,FALSE),"")</f>
        <v/>
      </c>
      <c r="F487" s="37" t="str">
        <f>IFERROR(VLOOKUP(A487,القائمة!$A$3:$F$112,6,FALSE),"")</f>
        <v/>
      </c>
      <c r="I487" s="36"/>
      <c r="P487" s="27">
        <f t="shared" si="17"/>
        <v>0</v>
      </c>
      <c r="Q487" s="27">
        <f t="shared" si="16"/>
        <v>0</v>
      </c>
    </row>
    <row r="488" spans="2:17" x14ac:dyDescent="0.45">
      <c r="B488" s="27" t="str">
        <f>IFERROR(VLOOKUP(A488,القائمة!$A$3:$F$112,2,FALSE),"")</f>
        <v/>
      </c>
      <c r="C488" s="27" t="str">
        <f>IFERROR(VLOOKUP(A488,القائمة!$A$3:$F$112,3,FALSE),"")</f>
        <v/>
      </c>
      <c r="D488" s="36" t="str">
        <f>IFERROR(VLOOKUP(A488,القائمة!$A$3:$F$112,4,FALSE),"")</f>
        <v/>
      </c>
      <c r="E488" s="36" t="str">
        <f>IFERROR(VLOOKUP(A488,القائمة!$A$3:$F$112,5,FALSE),"")</f>
        <v/>
      </c>
      <c r="F488" s="37" t="str">
        <f>IFERROR(VLOOKUP(A488,القائمة!$A$3:$F$112,6,FALSE),"")</f>
        <v/>
      </c>
      <c r="I488" s="36"/>
      <c r="P488" s="27">
        <f t="shared" si="17"/>
        <v>0</v>
      </c>
      <c r="Q488" s="27">
        <f t="shared" si="16"/>
        <v>0</v>
      </c>
    </row>
    <row r="489" spans="2:17" x14ac:dyDescent="0.45">
      <c r="B489" s="27" t="str">
        <f>IFERROR(VLOOKUP(A489,القائمة!$A$3:$F$112,2,FALSE),"")</f>
        <v/>
      </c>
      <c r="C489" s="27" t="str">
        <f>IFERROR(VLOOKUP(A489,القائمة!$A$3:$F$112,3,FALSE),"")</f>
        <v/>
      </c>
      <c r="D489" s="36" t="str">
        <f>IFERROR(VLOOKUP(A489,القائمة!$A$3:$F$112,4,FALSE),"")</f>
        <v/>
      </c>
      <c r="E489" s="36" t="str">
        <f>IFERROR(VLOOKUP(A489,القائمة!$A$3:$F$112,5,FALSE),"")</f>
        <v/>
      </c>
      <c r="F489" s="37" t="str">
        <f>IFERROR(VLOOKUP(A489,القائمة!$A$3:$F$112,6,FALSE),"")</f>
        <v/>
      </c>
      <c r="I489" s="36"/>
      <c r="P489" s="27">
        <f t="shared" si="17"/>
        <v>0</v>
      </c>
      <c r="Q489" s="27">
        <f t="shared" si="16"/>
        <v>0</v>
      </c>
    </row>
    <row r="490" spans="2:17" x14ac:dyDescent="0.45">
      <c r="B490" s="27" t="str">
        <f>IFERROR(VLOOKUP(A490,القائمة!$A$3:$F$112,2,FALSE),"")</f>
        <v/>
      </c>
      <c r="C490" s="27" t="str">
        <f>IFERROR(VLOOKUP(A490,القائمة!$A$3:$F$112,3,FALSE),"")</f>
        <v/>
      </c>
      <c r="D490" s="36" t="str">
        <f>IFERROR(VLOOKUP(A490,القائمة!$A$3:$F$112,4,FALSE),"")</f>
        <v/>
      </c>
      <c r="E490" s="36" t="str">
        <f>IFERROR(VLOOKUP(A490,القائمة!$A$3:$F$112,5,FALSE),"")</f>
        <v/>
      </c>
      <c r="F490" s="37" t="str">
        <f>IFERROR(VLOOKUP(A490,القائمة!$A$3:$F$112,6,FALSE),"")</f>
        <v/>
      </c>
      <c r="I490" s="36"/>
      <c r="P490" s="27">
        <f t="shared" si="17"/>
        <v>0</v>
      </c>
      <c r="Q490" s="27">
        <f t="shared" si="16"/>
        <v>0</v>
      </c>
    </row>
    <row r="491" spans="2:17" x14ac:dyDescent="0.45">
      <c r="B491" s="27" t="str">
        <f>IFERROR(VLOOKUP(A491,القائمة!$A$3:$F$112,2,FALSE),"")</f>
        <v/>
      </c>
      <c r="C491" s="27" t="str">
        <f>IFERROR(VLOOKUP(A491,القائمة!$A$3:$F$112,3,FALSE),"")</f>
        <v/>
      </c>
      <c r="D491" s="36" t="str">
        <f>IFERROR(VLOOKUP(A491,القائمة!$A$3:$F$112,4,FALSE),"")</f>
        <v/>
      </c>
      <c r="E491" s="36" t="str">
        <f>IFERROR(VLOOKUP(A491,القائمة!$A$3:$F$112,5,FALSE),"")</f>
        <v/>
      </c>
      <c r="F491" s="37" t="str">
        <f>IFERROR(VLOOKUP(A491,القائمة!$A$3:$F$112,6,FALSE),"")</f>
        <v/>
      </c>
      <c r="I491" s="36"/>
      <c r="P491" s="27">
        <f t="shared" si="17"/>
        <v>0</v>
      </c>
      <c r="Q491" s="27">
        <f t="shared" si="16"/>
        <v>0</v>
      </c>
    </row>
    <row r="492" spans="2:17" x14ac:dyDescent="0.45">
      <c r="B492" s="27" t="str">
        <f>IFERROR(VLOOKUP(A492,القائمة!$A$3:$F$112,2,FALSE),"")</f>
        <v/>
      </c>
      <c r="C492" s="27" t="str">
        <f>IFERROR(VLOOKUP(A492,القائمة!$A$3:$F$112,3,FALSE),"")</f>
        <v/>
      </c>
      <c r="D492" s="36" t="str">
        <f>IFERROR(VLOOKUP(A492,القائمة!$A$3:$F$112,4,FALSE),"")</f>
        <v/>
      </c>
      <c r="E492" s="36" t="str">
        <f>IFERROR(VLOOKUP(A492,القائمة!$A$3:$F$112,5,FALSE),"")</f>
        <v/>
      </c>
      <c r="F492" s="37" t="str">
        <f>IFERROR(VLOOKUP(A492,القائمة!$A$3:$F$112,6,FALSE),"")</f>
        <v/>
      </c>
      <c r="I492" s="36"/>
      <c r="P492" s="27">
        <f t="shared" si="17"/>
        <v>0</v>
      </c>
      <c r="Q492" s="27">
        <f t="shared" si="16"/>
        <v>0</v>
      </c>
    </row>
    <row r="493" spans="2:17" x14ac:dyDescent="0.45">
      <c r="B493" s="27" t="str">
        <f>IFERROR(VLOOKUP(A493,القائمة!$A$3:$F$112,2,FALSE),"")</f>
        <v/>
      </c>
      <c r="C493" s="27" t="str">
        <f>IFERROR(VLOOKUP(A493,القائمة!$A$3:$F$112,3,FALSE),"")</f>
        <v/>
      </c>
      <c r="D493" s="36" t="str">
        <f>IFERROR(VLOOKUP(A493,القائمة!$A$3:$F$112,4,FALSE),"")</f>
        <v/>
      </c>
      <c r="E493" s="36" t="str">
        <f>IFERROR(VLOOKUP(A493,القائمة!$A$3:$F$112,5,FALSE),"")</f>
        <v/>
      </c>
      <c r="F493" s="37" t="str">
        <f>IFERROR(VLOOKUP(A493,القائمة!$A$3:$F$112,6,FALSE),"")</f>
        <v/>
      </c>
      <c r="I493" s="36"/>
      <c r="P493" s="27">
        <f t="shared" si="17"/>
        <v>0</v>
      </c>
      <c r="Q493" s="27">
        <f t="shared" si="16"/>
        <v>0</v>
      </c>
    </row>
    <row r="494" spans="2:17" x14ac:dyDescent="0.45">
      <c r="B494" s="27" t="str">
        <f>IFERROR(VLOOKUP(A494,القائمة!$A$3:$F$112,2,FALSE),"")</f>
        <v/>
      </c>
      <c r="C494" s="27" t="str">
        <f>IFERROR(VLOOKUP(A494,القائمة!$A$3:$F$112,3,FALSE),"")</f>
        <v/>
      </c>
      <c r="D494" s="36" t="str">
        <f>IFERROR(VLOOKUP(A494,القائمة!$A$3:$F$112,4,FALSE),"")</f>
        <v/>
      </c>
      <c r="E494" s="36" t="str">
        <f>IFERROR(VLOOKUP(A494,القائمة!$A$3:$F$112,5,FALSE),"")</f>
        <v/>
      </c>
      <c r="F494" s="37" t="str">
        <f>IFERROR(VLOOKUP(A494,القائمة!$A$3:$F$112,6,FALSE),"")</f>
        <v/>
      </c>
      <c r="I494" s="36"/>
      <c r="P494" s="27">
        <f t="shared" si="17"/>
        <v>0</v>
      </c>
      <c r="Q494" s="27">
        <f t="shared" si="16"/>
        <v>0</v>
      </c>
    </row>
    <row r="495" spans="2:17" x14ac:dyDescent="0.45">
      <c r="B495" s="27" t="str">
        <f>IFERROR(VLOOKUP(A495,القائمة!$A$3:$F$112,2,FALSE),"")</f>
        <v/>
      </c>
      <c r="C495" s="27" t="str">
        <f>IFERROR(VLOOKUP(A495,القائمة!$A$3:$F$112,3,FALSE),"")</f>
        <v/>
      </c>
      <c r="D495" s="36" t="str">
        <f>IFERROR(VLOOKUP(A495,القائمة!$A$3:$F$112,4,FALSE),"")</f>
        <v/>
      </c>
      <c r="E495" s="36" t="str">
        <f>IFERROR(VLOOKUP(A495,القائمة!$A$3:$F$112,5,FALSE),"")</f>
        <v/>
      </c>
      <c r="F495" s="37" t="str">
        <f>IFERROR(VLOOKUP(A495,القائمة!$A$3:$F$112,6,FALSE),"")</f>
        <v/>
      </c>
      <c r="I495" s="36"/>
      <c r="P495" s="27">
        <f t="shared" si="17"/>
        <v>0</v>
      </c>
      <c r="Q495" s="27">
        <f t="shared" si="16"/>
        <v>0</v>
      </c>
    </row>
    <row r="496" spans="2:17" x14ac:dyDescent="0.45">
      <c r="B496" s="27" t="str">
        <f>IFERROR(VLOOKUP(A496,القائمة!$A$3:$F$112,2,FALSE),"")</f>
        <v/>
      </c>
      <c r="C496" s="27" t="str">
        <f>IFERROR(VLOOKUP(A496,القائمة!$A$3:$F$112,3,FALSE),"")</f>
        <v/>
      </c>
      <c r="D496" s="36" t="str">
        <f>IFERROR(VLOOKUP(A496,القائمة!$A$3:$F$112,4,FALSE),"")</f>
        <v/>
      </c>
      <c r="E496" s="36" t="str">
        <f>IFERROR(VLOOKUP(A496,القائمة!$A$3:$F$112,5,FALSE),"")</f>
        <v/>
      </c>
      <c r="F496" s="37" t="str">
        <f>IFERROR(VLOOKUP(A496,القائمة!$A$3:$F$112,6,FALSE),"")</f>
        <v/>
      </c>
      <c r="I496" s="36"/>
      <c r="P496" s="27">
        <f t="shared" si="17"/>
        <v>0</v>
      </c>
      <c r="Q496" s="27">
        <f t="shared" si="16"/>
        <v>0</v>
      </c>
    </row>
    <row r="497" spans="2:17" x14ac:dyDescent="0.45">
      <c r="B497" s="27" t="str">
        <f>IFERROR(VLOOKUP(A497,القائمة!$A$3:$F$112,2,FALSE),"")</f>
        <v/>
      </c>
      <c r="C497" s="27" t="str">
        <f>IFERROR(VLOOKUP(A497,القائمة!$A$3:$F$112,3,FALSE),"")</f>
        <v/>
      </c>
      <c r="D497" s="36" t="str">
        <f>IFERROR(VLOOKUP(A497,القائمة!$A$3:$F$112,4,FALSE),"")</f>
        <v/>
      </c>
      <c r="E497" s="36" t="str">
        <f>IFERROR(VLOOKUP(A497,القائمة!$A$3:$F$112,5,FALSE),"")</f>
        <v/>
      </c>
      <c r="F497" s="37" t="str">
        <f>IFERROR(VLOOKUP(A497,القائمة!$A$3:$F$112,6,FALSE),"")</f>
        <v/>
      </c>
      <c r="I497" s="36"/>
      <c r="P497" s="27">
        <f t="shared" si="17"/>
        <v>0</v>
      </c>
      <c r="Q497" s="27">
        <f t="shared" si="16"/>
        <v>0</v>
      </c>
    </row>
    <row r="498" spans="2:17" x14ac:dyDescent="0.45">
      <c r="B498" s="27" t="str">
        <f>IFERROR(VLOOKUP(A498,القائمة!$A$3:$F$112,2,FALSE),"")</f>
        <v/>
      </c>
      <c r="C498" s="27" t="str">
        <f>IFERROR(VLOOKUP(A498,القائمة!$A$3:$F$112,3,FALSE),"")</f>
        <v/>
      </c>
      <c r="D498" s="36" t="str">
        <f>IFERROR(VLOOKUP(A498,القائمة!$A$3:$F$112,4,FALSE),"")</f>
        <v/>
      </c>
      <c r="E498" s="36" t="str">
        <f>IFERROR(VLOOKUP(A498,القائمة!$A$3:$F$112,5,FALSE),"")</f>
        <v/>
      </c>
      <c r="F498" s="37" t="str">
        <f>IFERROR(VLOOKUP(A498,القائمة!$A$3:$F$112,6,FALSE),"")</f>
        <v/>
      </c>
      <c r="I498" s="36"/>
      <c r="P498" s="27">
        <f t="shared" si="17"/>
        <v>0</v>
      </c>
      <c r="Q498" s="27">
        <f t="shared" si="16"/>
        <v>0</v>
      </c>
    </row>
    <row r="499" spans="2:17" x14ac:dyDescent="0.45">
      <c r="B499" s="27" t="str">
        <f>IFERROR(VLOOKUP(A499,القائمة!$A$3:$F$112,2,FALSE),"")</f>
        <v/>
      </c>
      <c r="C499" s="27" t="str">
        <f>IFERROR(VLOOKUP(A499,القائمة!$A$3:$F$112,3,FALSE),"")</f>
        <v/>
      </c>
      <c r="D499" s="36" t="str">
        <f>IFERROR(VLOOKUP(A499,القائمة!$A$3:$F$112,4,FALSE),"")</f>
        <v/>
      </c>
      <c r="E499" s="36" t="str">
        <f>IFERROR(VLOOKUP(A499,القائمة!$A$3:$F$112,5,FALSE),"")</f>
        <v/>
      </c>
      <c r="F499" s="37" t="str">
        <f>IFERROR(VLOOKUP(A499,القائمة!$A$3:$F$112,6,FALSE),"")</f>
        <v/>
      </c>
      <c r="I499" s="36"/>
      <c r="P499" s="27">
        <f t="shared" si="17"/>
        <v>0</v>
      </c>
      <c r="Q499" s="27">
        <f t="shared" si="16"/>
        <v>0</v>
      </c>
    </row>
    <row r="500" spans="2:17" x14ac:dyDescent="0.45">
      <c r="B500" s="27" t="str">
        <f>IFERROR(VLOOKUP(A500,القائمة!$A$3:$F$112,2,FALSE),"")</f>
        <v/>
      </c>
      <c r="C500" s="27" t="str">
        <f>IFERROR(VLOOKUP(A500,القائمة!$A$3:$F$112,3,FALSE),"")</f>
        <v/>
      </c>
      <c r="D500" s="36" t="str">
        <f>IFERROR(VLOOKUP(A500,القائمة!$A$3:$F$112,4,FALSE),"")</f>
        <v/>
      </c>
      <c r="E500" s="36" t="str">
        <f>IFERROR(VLOOKUP(A500,القائمة!$A$3:$F$112,5,FALSE),"")</f>
        <v/>
      </c>
      <c r="F500" s="37" t="str">
        <f>IFERROR(VLOOKUP(A500,القائمة!$A$3:$F$112,6,FALSE),"")</f>
        <v/>
      </c>
      <c r="I500" s="36"/>
      <c r="P500" s="27">
        <f t="shared" si="17"/>
        <v>0</v>
      </c>
      <c r="Q500" s="27">
        <f t="shared" si="16"/>
        <v>0</v>
      </c>
    </row>
    <row r="501" spans="2:17" x14ac:dyDescent="0.45">
      <c r="B501" s="27" t="str">
        <f>IFERROR(VLOOKUP(A501,القائمة!$A$3:$F$112,2,FALSE),"")</f>
        <v/>
      </c>
      <c r="C501" s="27" t="str">
        <f>IFERROR(VLOOKUP(A501,القائمة!$A$3:$F$112,3,FALSE),"")</f>
        <v/>
      </c>
      <c r="D501" s="36" t="str">
        <f>IFERROR(VLOOKUP(A501,القائمة!$A$3:$F$112,4,FALSE),"")</f>
        <v/>
      </c>
      <c r="E501" s="36" t="str">
        <f>IFERROR(VLOOKUP(A501,القائمة!$A$3:$F$112,5,FALSE),"")</f>
        <v/>
      </c>
      <c r="F501" s="37" t="str">
        <f>IFERROR(VLOOKUP(A501,القائمة!$A$3:$F$112,6,FALSE),"")</f>
        <v/>
      </c>
      <c r="I501" s="36"/>
      <c r="P501" s="27">
        <f t="shared" si="17"/>
        <v>0</v>
      </c>
      <c r="Q501" s="27">
        <f t="shared" si="16"/>
        <v>0</v>
      </c>
    </row>
    <row r="502" spans="2:17" x14ac:dyDescent="0.45">
      <c r="B502" s="27" t="str">
        <f>IFERROR(VLOOKUP(A502,القائمة!$A$3:$F$112,2,FALSE),"")</f>
        <v/>
      </c>
      <c r="C502" s="27" t="str">
        <f>IFERROR(VLOOKUP(A502,القائمة!$A$3:$F$112,3,FALSE),"")</f>
        <v/>
      </c>
      <c r="D502" s="36" t="str">
        <f>IFERROR(VLOOKUP(A502,القائمة!$A$3:$F$112,4,FALSE),"")</f>
        <v/>
      </c>
      <c r="E502" s="36" t="str">
        <f>IFERROR(VLOOKUP(A502,القائمة!$A$3:$F$112,5,FALSE),"")</f>
        <v/>
      </c>
      <c r="F502" s="37" t="str">
        <f>IFERROR(VLOOKUP(A502,القائمة!$A$3:$F$112,6,FALSE),"")</f>
        <v/>
      </c>
      <c r="I502" s="36"/>
      <c r="P502" s="27">
        <f t="shared" si="17"/>
        <v>0</v>
      </c>
      <c r="Q502" s="27">
        <f t="shared" si="16"/>
        <v>0</v>
      </c>
    </row>
    <row r="503" spans="2:17" x14ac:dyDescent="0.45">
      <c r="B503" s="27" t="str">
        <f>IFERROR(VLOOKUP(A503,القائمة!$A$3:$F$112,2,FALSE),"")</f>
        <v/>
      </c>
      <c r="C503" s="27" t="str">
        <f>IFERROR(VLOOKUP(A503,القائمة!$A$3:$F$112,3,FALSE),"")</f>
        <v/>
      </c>
      <c r="D503" s="36" t="str">
        <f>IFERROR(VLOOKUP(A503,القائمة!$A$3:$F$112,4,FALSE),"")</f>
        <v/>
      </c>
      <c r="E503" s="36" t="str">
        <f>IFERROR(VLOOKUP(A503,القائمة!$A$3:$F$112,5,FALSE),"")</f>
        <v/>
      </c>
      <c r="F503" s="37" t="str">
        <f>IFERROR(VLOOKUP(A503,القائمة!$A$3:$F$112,6,FALSE),"")</f>
        <v/>
      </c>
      <c r="I503" s="36"/>
      <c r="P503" s="27">
        <f t="shared" si="17"/>
        <v>0</v>
      </c>
      <c r="Q503" s="27">
        <f t="shared" si="16"/>
        <v>0</v>
      </c>
    </row>
    <row r="504" spans="2:17" x14ac:dyDescent="0.45">
      <c r="B504" s="27" t="str">
        <f>IFERROR(VLOOKUP(A504,القائمة!$A$3:$F$112,2,FALSE),"")</f>
        <v/>
      </c>
      <c r="C504" s="27" t="str">
        <f>IFERROR(VLOOKUP(A504,القائمة!$A$3:$F$112,3,FALSE),"")</f>
        <v/>
      </c>
      <c r="D504" s="36" t="str">
        <f>IFERROR(VLOOKUP(A504,القائمة!$A$3:$F$112,4,FALSE),"")</f>
        <v/>
      </c>
      <c r="E504" s="36" t="str">
        <f>IFERROR(VLOOKUP(A504,القائمة!$A$3:$F$112,5,FALSE),"")</f>
        <v/>
      </c>
      <c r="F504" s="37" t="str">
        <f>IFERROR(VLOOKUP(A504,القائمة!$A$3:$F$112,6,FALSE),"")</f>
        <v/>
      </c>
      <c r="I504" s="36"/>
      <c r="P504" s="27">
        <f t="shared" si="17"/>
        <v>0</v>
      </c>
      <c r="Q504" s="27">
        <f t="shared" si="16"/>
        <v>0</v>
      </c>
    </row>
    <row r="505" spans="2:17" x14ac:dyDescent="0.45">
      <c r="B505" s="27" t="str">
        <f>IFERROR(VLOOKUP(A505,القائمة!$A$3:$F$112,2,FALSE),"")</f>
        <v/>
      </c>
      <c r="C505" s="27" t="str">
        <f>IFERROR(VLOOKUP(A505,القائمة!$A$3:$F$112,3,FALSE),"")</f>
        <v/>
      </c>
      <c r="D505" s="36" t="str">
        <f>IFERROR(VLOOKUP(A505,القائمة!$A$3:$F$112,4,FALSE),"")</f>
        <v/>
      </c>
      <c r="E505" s="36" t="str">
        <f>IFERROR(VLOOKUP(A505,القائمة!$A$3:$F$112,5,FALSE),"")</f>
        <v/>
      </c>
      <c r="F505" s="37" t="str">
        <f>IFERROR(VLOOKUP(A505,القائمة!$A$3:$F$112,6,FALSE),"")</f>
        <v/>
      </c>
      <c r="I505" s="36"/>
      <c r="P505" s="27">
        <f t="shared" si="17"/>
        <v>0</v>
      </c>
      <c r="Q505" s="27">
        <f t="shared" si="16"/>
        <v>0</v>
      </c>
    </row>
    <row r="506" spans="2:17" x14ac:dyDescent="0.45">
      <c r="B506" s="27" t="str">
        <f>IFERROR(VLOOKUP(A506,القائمة!$A$3:$F$112,2,FALSE),"")</f>
        <v/>
      </c>
      <c r="C506" s="27" t="str">
        <f>IFERROR(VLOOKUP(A506,القائمة!$A$3:$F$112,3,FALSE),"")</f>
        <v/>
      </c>
      <c r="D506" s="36" t="str">
        <f>IFERROR(VLOOKUP(A506,القائمة!$A$3:$F$112,4,FALSE),"")</f>
        <v/>
      </c>
      <c r="E506" s="36" t="str">
        <f>IFERROR(VLOOKUP(A506,القائمة!$A$3:$F$112,5,FALSE),"")</f>
        <v/>
      </c>
      <c r="F506" s="37" t="str">
        <f>IFERROR(VLOOKUP(A506,القائمة!$A$3:$F$112,6,FALSE),"")</f>
        <v/>
      </c>
      <c r="I506" s="36"/>
      <c r="P506" s="27">
        <f t="shared" si="17"/>
        <v>0</v>
      </c>
      <c r="Q506" s="27">
        <f t="shared" si="16"/>
        <v>0</v>
      </c>
    </row>
    <row r="507" spans="2:17" x14ac:dyDescent="0.45">
      <c r="B507" s="27" t="str">
        <f>IFERROR(VLOOKUP(A507,القائمة!$A$3:$F$112,2,FALSE),"")</f>
        <v/>
      </c>
      <c r="C507" s="27" t="str">
        <f>IFERROR(VLOOKUP(A507,القائمة!$A$3:$F$112,3,FALSE),"")</f>
        <v/>
      </c>
      <c r="D507" s="36" t="str">
        <f>IFERROR(VLOOKUP(A507,القائمة!$A$3:$F$112,4,FALSE),"")</f>
        <v/>
      </c>
      <c r="E507" s="36" t="str">
        <f>IFERROR(VLOOKUP(A507,القائمة!$A$3:$F$112,5,FALSE),"")</f>
        <v/>
      </c>
      <c r="F507" s="37" t="str">
        <f>IFERROR(VLOOKUP(A507,القائمة!$A$3:$F$112,6,FALSE),"")</f>
        <v/>
      </c>
      <c r="I507" s="36"/>
      <c r="P507" s="27">
        <f t="shared" si="17"/>
        <v>0</v>
      </c>
      <c r="Q507" s="27">
        <f t="shared" si="16"/>
        <v>0</v>
      </c>
    </row>
    <row r="508" spans="2:17" x14ac:dyDescent="0.45">
      <c r="B508" s="27" t="str">
        <f>IFERROR(VLOOKUP(A508,القائمة!$A$3:$F$112,2,FALSE),"")</f>
        <v/>
      </c>
      <c r="C508" s="27" t="str">
        <f>IFERROR(VLOOKUP(A508,القائمة!$A$3:$F$112,3,FALSE),"")</f>
        <v/>
      </c>
      <c r="D508" s="36" t="str">
        <f>IFERROR(VLOOKUP(A508,القائمة!$A$3:$F$112,4,FALSE),"")</f>
        <v/>
      </c>
      <c r="E508" s="36" t="str">
        <f>IFERROR(VLOOKUP(A508,القائمة!$A$3:$F$112,5,FALSE),"")</f>
        <v/>
      </c>
      <c r="F508" s="37" t="str">
        <f>IFERROR(VLOOKUP(A508,القائمة!$A$3:$F$112,6,FALSE),"")</f>
        <v/>
      </c>
      <c r="I508" s="36"/>
      <c r="P508" s="27">
        <f t="shared" si="17"/>
        <v>0</v>
      </c>
      <c r="Q508" s="27">
        <f t="shared" si="16"/>
        <v>0</v>
      </c>
    </row>
    <row r="509" spans="2:17" x14ac:dyDescent="0.45">
      <c r="B509" s="27" t="str">
        <f>IFERROR(VLOOKUP(A509,القائمة!$A$3:$F$112,2,FALSE),"")</f>
        <v/>
      </c>
      <c r="C509" s="27" t="str">
        <f>IFERROR(VLOOKUP(A509,القائمة!$A$3:$F$112,3,FALSE),"")</f>
        <v/>
      </c>
      <c r="D509" s="36" t="str">
        <f>IFERROR(VLOOKUP(A509,القائمة!$A$3:$F$112,4,FALSE),"")</f>
        <v/>
      </c>
      <c r="E509" s="36" t="str">
        <f>IFERROR(VLOOKUP(A509,القائمة!$A$3:$F$112,5,FALSE),"")</f>
        <v/>
      </c>
      <c r="F509" s="37" t="str">
        <f>IFERROR(VLOOKUP(A509,القائمة!$A$3:$F$112,6,FALSE),"")</f>
        <v/>
      </c>
      <c r="I509" s="36"/>
      <c r="P509" s="27">
        <f t="shared" si="17"/>
        <v>0</v>
      </c>
      <c r="Q509" s="27">
        <f t="shared" si="16"/>
        <v>0</v>
      </c>
    </row>
    <row r="510" spans="2:17" x14ac:dyDescent="0.45">
      <c r="B510" s="27" t="str">
        <f>IFERROR(VLOOKUP(A510,القائمة!$A$3:$F$112,2,FALSE),"")</f>
        <v/>
      </c>
      <c r="C510" s="27" t="str">
        <f>IFERROR(VLOOKUP(A510,القائمة!$A$3:$F$112,3,FALSE),"")</f>
        <v/>
      </c>
      <c r="D510" s="36" t="str">
        <f>IFERROR(VLOOKUP(A510,القائمة!$A$3:$F$112,4,FALSE),"")</f>
        <v/>
      </c>
      <c r="E510" s="36" t="str">
        <f>IFERROR(VLOOKUP(A510,القائمة!$A$3:$F$112,5,FALSE),"")</f>
        <v/>
      </c>
      <c r="F510" s="37" t="str">
        <f>IFERROR(VLOOKUP(A510,القائمة!$A$3:$F$112,6,FALSE),"")</f>
        <v/>
      </c>
      <c r="I510" s="36"/>
      <c r="P510" s="27">
        <f t="shared" si="17"/>
        <v>0</v>
      </c>
      <c r="Q510" s="27">
        <f t="shared" si="16"/>
        <v>0</v>
      </c>
    </row>
    <row r="511" spans="2:17" x14ac:dyDescent="0.45">
      <c r="B511" s="27" t="str">
        <f>IFERROR(VLOOKUP(A511,القائمة!$A$3:$F$112,2,FALSE),"")</f>
        <v/>
      </c>
      <c r="C511" s="27" t="str">
        <f>IFERROR(VLOOKUP(A511,القائمة!$A$3:$F$112,3,FALSE),"")</f>
        <v/>
      </c>
      <c r="D511" s="36" t="str">
        <f>IFERROR(VLOOKUP(A511,القائمة!$A$3:$F$112,4,FALSE),"")</f>
        <v/>
      </c>
      <c r="E511" s="36" t="str">
        <f>IFERROR(VLOOKUP(A511,القائمة!$A$3:$F$112,5,FALSE),"")</f>
        <v/>
      </c>
      <c r="F511" s="37" t="str">
        <f>IFERROR(VLOOKUP(A511,القائمة!$A$3:$F$112,6,FALSE),"")</f>
        <v/>
      </c>
      <c r="I511" s="36"/>
      <c r="P511" s="27">
        <f t="shared" si="17"/>
        <v>0</v>
      </c>
      <c r="Q511" s="27">
        <f t="shared" si="16"/>
        <v>0</v>
      </c>
    </row>
    <row r="512" spans="2:17" x14ac:dyDescent="0.45">
      <c r="B512" s="27" t="str">
        <f>IFERROR(VLOOKUP(A512,القائمة!$A$3:$F$112,2,FALSE),"")</f>
        <v/>
      </c>
      <c r="C512" s="27" t="str">
        <f>IFERROR(VLOOKUP(A512,القائمة!$A$3:$F$112,3,FALSE),"")</f>
        <v/>
      </c>
      <c r="D512" s="36" t="str">
        <f>IFERROR(VLOOKUP(A512,القائمة!$A$3:$F$112,4,FALSE),"")</f>
        <v/>
      </c>
      <c r="E512" s="36" t="str">
        <f>IFERROR(VLOOKUP(A512,القائمة!$A$3:$F$112,5,FALSE),"")</f>
        <v/>
      </c>
      <c r="F512" s="37" t="str">
        <f>IFERROR(VLOOKUP(A512,القائمة!$A$3:$F$112,6,FALSE),"")</f>
        <v/>
      </c>
      <c r="I512" s="36"/>
      <c r="P512" s="27">
        <f t="shared" si="17"/>
        <v>0</v>
      </c>
      <c r="Q512" s="27">
        <f t="shared" si="16"/>
        <v>0</v>
      </c>
    </row>
    <row r="513" spans="2:17" x14ac:dyDescent="0.45">
      <c r="B513" s="27" t="str">
        <f>IFERROR(VLOOKUP(A513,القائمة!$A$3:$F$112,2,FALSE),"")</f>
        <v/>
      </c>
      <c r="C513" s="27" t="str">
        <f>IFERROR(VLOOKUP(A513,القائمة!$A$3:$F$112,3,FALSE),"")</f>
        <v/>
      </c>
      <c r="D513" s="36" t="str">
        <f>IFERROR(VLOOKUP(A513,القائمة!$A$3:$F$112,4,FALSE),"")</f>
        <v/>
      </c>
      <c r="E513" s="36" t="str">
        <f>IFERROR(VLOOKUP(A513,القائمة!$A$3:$F$112,5,FALSE),"")</f>
        <v/>
      </c>
      <c r="F513" s="37" t="str">
        <f>IFERROR(VLOOKUP(A513,القائمة!$A$3:$F$112,6,FALSE),"")</f>
        <v/>
      </c>
      <c r="I513" s="36"/>
      <c r="P513" s="27">
        <f t="shared" si="17"/>
        <v>0</v>
      </c>
      <c r="Q513" s="27">
        <f t="shared" si="16"/>
        <v>0</v>
      </c>
    </row>
    <row r="514" spans="2:17" x14ac:dyDescent="0.45">
      <c r="B514" s="27" t="str">
        <f>IFERROR(VLOOKUP(A514,القائمة!$A$3:$F$112,2,FALSE),"")</f>
        <v/>
      </c>
      <c r="C514" s="27" t="str">
        <f>IFERROR(VLOOKUP(A514,القائمة!$A$3:$F$112,3,FALSE),"")</f>
        <v/>
      </c>
      <c r="D514" s="36" t="str">
        <f>IFERROR(VLOOKUP(A514,القائمة!$A$3:$F$112,4,FALSE),"")</f>
        <v/>
      </c>
      <c r="E514" s="36" t="str">
        <f>IFERROR(VLOOKUP(A514,القائمة!$A$3:$F$112,5,FALSE),"")</f>
        <v/>
      </c>
      <c r="F514" s="37" t="str">
        <f>IFERROR(VLOOKUP(A514,القائمة!$A$3:$F$112,6,FALSE),"")</f>
        <v/>
      </c>
      <c r="I514" s="36"/>
      <c r="P514" s="27">
        <f t="shared" si="17"/>
        <v>0</v>
      </c>
      <c r="Q514" s="27">
        <f t="shared" si="16"/>
        <v>0</v>
      </c>
    </row>
    <row r="515" spans="2:17" x14ac:dyDescent="0.45">
      <c r="B515" s="27" t="str">
        <f>IFERROR(VLOOKUP(A515,القائمة!$A$3:$F$112,2,FALSE),"")</f>
        <v/>
      </c>
      <c r="C515" s="27" t="str">
        <f>IFERROR(VLOOKUP(A515,القائمة!$A$3:$F$112,3,FALSE),"")</f>
        <v/>
      </c>
      <c r="D515" s="36" t="str">
        <f>IFERROR(VLOOKUP(A515,القائمة!$A$3:$F$112,4,FALSE),"")</f>
        <v/>
      </c>
      <c r="E515" s="36" t="str">
        <f>IFERROR(VLOOKUP(A515,القائمة!$A$3:$F$112,5,FALSE),"")</f>
        <v/>
      </c>
      <c r="F515" s="37" t="str">
        <f>IFERROR(VLOOKUP(A515,القائمة!$A$3:$F$112,6,FALSE),"")</f>
        <v/>
      </c>
      <c r="I515" s="36"/>
      <c r="P515" s="27">
        <f t="shared" si="17"/>
        <v>0</v>
      </c>
      <c r="Q515" s="27">
        <f t="shared" ref="Q515:Q578" si="18">+P515+L515-M515</f>
        <v>0</v>
      </c>
    </row>
    <row r="516" spans="2:17" x14ac:dyDescent="0.45">
      <c r="B516" s="27" t="str">
        <f>IFERROR(VLOOKUP(A516,القائمة!$A$3:$F$112,2,FALSE),"")</f>
        <v/>
      </c>
      <c r="C516" s="27" t="str">
        <f>IFERROR(VLOOKUP(A516,القائمة!$A$3:$F$112,3,FALSE),"")</f>
        <v/>
      </c>
      <c r="D516" s="36" t="str">
        <f>IFERROR(VLOOKUP(A516,القائمة!$A$3:$F$112,4,FALSE),"")</f>
        <v/>
      </c>
      <c r="E516" s="36" t="str">
        <f>IFERROR(VLOOKUP(A516,القائمة!$A$3:$F$112,5,FALSE),"")</f>
        <v/>
      </c>
      <c r="F516" s="37" t="str">
        <f>IFERROR(VLOOKUP(A516,القائمة!$A$3:$F$112,6,FALSE),"")</f>
        <v/>
      </c>
      <c r="I516" s="36"/>
      <c r="P516" s="27">
        <f t="shared" ref="P516:P579" si="19">J516-K516</f>
        <v>0</v>
      </c>
      <c r="Q516" s="27">
        <f t="shared" si="18"/>
        <v>0</v>
      </c>
    </row>
    <row r="517" spans="2:17" x14ac:dyDescent="0.45">
      <c r="B517" s="27" t="str">
        <f>IFERROR(VLOOKUP(A517,القائمة!$A$3:$F$112,2,FALSE),"")</f>
        <v/>
      </c>
      <c r="C517" s="27" t="str">
        <f>IFERROR(VLOOKUP(A517,القائمة!$A$3:$F$112,3,FALSE),"")</f>
        <v/>
      </c>
      <c r="D517" s="36" t="str">
        <f>IFERROR(VLOOKUP(A517,القائمة!$A$3:$F$112,4,FALSE),"")</f>
        <v/>
      </c>
      <c r="E517" s="36" t="str">
        <f>IFERROR(VLOOKUP(A517,القائمة!$A$3:$F$112,5,FALSE),"")</f>
        <v/>
      </c>
      <c r="F517" s="37" t="str">
        <f>IFERROR(VLOOKUP(A517,القائمة!$A$3:$F$112,6,FALSE),"")</f>
        <v/>
      </c>
      <c r="I517" s="36"/>
      <c r="P517" s="27">
        <f t="shared" si="19"/>
        <v>0</v>
      </c>
      <c r="Q517" s="27">
        <f t="shared" si="18"/>
        <v>0</v>
      </c>
    </row>
    <row r="518" spans="2:17" x14ac:dyDescent="0.45">
      <c r="B518" s="27" t="str">
        <f>IFERROR(VLOOKUP(A518,القائمة!$A$3:$F$112,2,FALSE),"")</f>
        <v/>
      </c>
      <c r="C518" s="27" t="str">
        <f>IFERROR(VLOOKUP(A518,القائمة!$A$3:$F$112,3,FALSE),"")</f>
        <v/>
      </c>
      <c r="D518" s="36" t="str">
        <f>IFERROR(VLOOKUP(A518,القائمة!$A$3:$F$112,4,FALSE),"")</f>
        <v/>
      </c>
      <c r="E518" s="36" t="str">
        <f>IFERROR(VLOOKUP(A518,القائمة!$A$3:$F$112,5,FALSE),"")</f>
        <v/>
      </c>
      <c r="F518" s="37" t="str">
        <f>IFERROR(VLOOKUP(A518,القائمة!$A$3:$F$112,6,FALSE),"")</f>
        <v/>
      </c>
      <c r="I518" s="36"/>
      <c r="P518" s="27">
        <f t="shared" si="19"/>
        <v>0</v>
      </c>
      <c r="Q518" s="27">
        <f t="shared" si="18"/>
        <v>0</v>
      </c>
    </row>
    <row r="519" spans="2:17" x14ac:dyDescent="0.45">
      <c r="B519" s="27" t="str">
        <f>IFERROR(VLOOKUP(A519,القائمة!$A$3:$F$112,2,FALSE),"")</f>
        <v/>
      </c>
      <c r="C519" s="27" t="str">
        <f>IFERROR(VLOOKUP(A519,القائمة!$A$3:$F$112,3,FALSE),"")</f>
        <v/>
      </c>
      <c r="D519" s="36" t="str">
        <f>IFERROR(VLOOKUP(A519,القائمة!$A$3:$F$112,4,FALSE),"")</f>
        <v/>
      </c>
      <c r="E519" s="36" t="str">
        <f>IFERROR(VLOOKUP(A519,القائمة!$A$3:$F$112,5,FALSE),"")</f>
        <v/>
      </c>
      <c r="F519" s="37" t="str">
        <f>IFERROR(VLOOKUP(A519,القائمة!$A$3:$F$112,6,FALSE),"")</f>
        <v/>
      </c>
      <c r="I519" s="36"/>
      <c r="P519" s="27">
        <f t="shared" si="19"/>
        <v>0</v>
      </c>
      <c r="Q519" s="27">
        <f t="shared" si="18"/>
        <v>0</v>
      </c>
    </row>
    <row r="520" spans="2:17" x14ac:dyDescent="0.45">
      <c r="B520" s="27" t="str">
        <f>IFERROR(VLOOKUP(A520,القائمة!$A$3:$F$112,2,FALSE),"")</f>
        <v/>
      </c>
      <c r="C520" s="27" t="str">
        <f>IFERROR(VLOOKUP(A520,القائمة!$A$3:$F$112,3,FALSE),"")</f>
        <v/>
      </c>
      <c r="D520" s="36" t="str">
        <f>IFERROR(VLOOKUP(A520,القائمة!$A$3:$F$112,4,FALSE),"")</f>
        <v/>
      </c>
      <c r="E520" s="36" t="str">
        <f>IFERROR(VLOOKUP(A520,القائمة!$A$3:$F$112,5,FALSE),"")</f>
        <v/>
      </c>
      <c r="F520" s="37" t="str">
        <f>IFERROR(VLOOKUP(A520,القائمة!$A$3:$F$112,6,FALSE),"")</f>
        <v/>
      </c>
      <c r="I520" s="36"/>
      <c r="P520" s="27">
        <f t="shared" si="19"/>
        <v>0</v>
      </c>
      <c r="Q520" s="27">
        <f t="shared" si="18"/>
        <v>0</v>
      </c>
    </row>
    <row r="521" spans="2:17" x14ac:dyDescent="0.45">
      <c r="B521" s="27" t="str">
        <f>IFERROR(VLOOKUP(A521,القائمة!$A$3:$F$112,2,FALSE),"")</f>
        <v/>
      </c>
      <c r="C521" s="27" t="str">
        <f>IFERROR(VLOOKUP(A521,القائمة!$A$3:$F$112,3,FALSE),"")</f>
        <v/>
      </c>
      <c r="D521" s="36" t="str">
        <f>IFERROR(VLOOKUP(A521,القائمة!$A$3:$F$112,4,FALSE),"")</f>
        <v/>
      </c>
      <c r="E521" s="36" t="str">
        <f>IFERROR(VLOOKUP(A521,القائمة!$A$3:$F$112,5,FALSE),"")</f>
        <v/>
      </c>
      <c r="F521" s="37" t="str">
        <f>IFERROR(VLOOKUP(A521,القائمة!$A$3:$F$112,6,FALSE),"")</f>
        <v/>
      </c>
      <c r="I521" s="36"/>
      <c r="P521" s="27">
        <f t="shared" si="19"/>
        <v>0</v>
      </c>
      <c r="Q521" s="27">
        <f t="shared" si="18"/>
        <v>0</v>
      </c>
    </row>
    <row r="522" spans="2:17" x14ac:dyDescent="0.45">
      <c r="B522" s="27" t="str">
        <f>IFERROR(VLOOKUP(A522,القائمة!$A$3:$F$112,2,FALSE),"")</f>
        <v/>
      </c>
      <c r="C522" s="27" t="str">
        <f>IFERROR(VLOOKUP(A522,القائمة!$A$3:$F$112,3,FALSE),"")</f>
        <v/>
      </c>
      <c r="D522" s="36" t="str">
        <f>IFERROR(VLOOKUP(A522,القائمة!$A$3:$F$112,4,FALSE),"")</f>
        <v/>
      </c>
      <c r="E522" s="36" t="str">
        <f>IFERROR(VLOOKUP(A522,القائمة!$A$3:$F$112,5,FALSE),"")</f>
        <v/>
      </c>
      <c r="F522" s="37" t="str">
        <f>IFERROR(VLOOKUP(A522,القائمة!$A$3:$F$112,6,FALSE),"")</f>
        <v/>
      </c>
      <c r="I522" s="36"/>
      <c r="P522" s="27">
        <f t="shared" si="19"/>
        <v>0</v>
      </c>
      <c r="Q522" s="27">
        <f t="shared" si="18"/>
        <v>0</v>
      </c>
    </row>
    <row r="523" spans="2:17" x14ac:dyDescent="0.45">
      <c r="B523" s="27" t="str">
        <f>IFERROR(VLOOKUP(A523,القائمة!$A$3:$F$112,2,FALSE),"")</f>
        <v/>
      </c>
      <c r="C523" s="27" t="str">
        <f>IFERROR(VLOOKUP(A523,القائمة!$A$3:$F$112,3,FALSE),"")</f>
        <v/>
      </c>
      <c r="D523" s="36" t="str">
        <f>IFERROR(VLOOKUP(A523,القائمة!$A$3:$F$112,4,FALSE),"")</f>
        <v/>
      </c>
      <c r="E523" s="36" t="str">
        <f>IFERROR(VLOOKUP(A523,القائمة!$A$3:$F$112,5,FALSE),"")</f>
        <v/>
      </c>
      <c r="F523" s="37" t="str">
        <f>IFERROR(VLOOKUP(A523,القائمة!$A$3:$F$112,6,FALSE),"")</f>
        <v/>
      </c>
      <c r="I523" s="36"/>
      <c r="P523" s="27">
        <f t="shared" si="19"/>
        <v>0</v>
      </c>
      <c r="Q523" s="27">
        <f t="shared" si="18"/>
        <v>0</v>
      </c>
    </row>
    <row r="524" spans="2:17" x14ac:dyDescent="0.45">
      <c r="B524" s="27" t="str">
        <f>IFERROR(VLOOKUP(A524,القائمة!$A$3:$F$112,2,FALSE),"")</f>
        <v/>
      </c>
      <c r="C524" s="27" t="str">
        <f>IFERROR(VLOOKUP(A524,القائمة!$A$3:$F$112,3,FALSE),"")</f>
        <v/>
      </c>
      <c r="D524" s="36" t="str">
        <f>IFERROR(VLOOKUP(A524,القائمة!$A$3:$F$112,4,FALSE),"")</f>
        <v/>
      </c>
      <c r="E524" s="36" t="str">
        <f>IFERROR(VLOOKUP(A524,القائمة!$A$3:$F$112,5,FALSE),"")</f>
        <v/>
      </c>
      <c r="F524" s="37" t="str">
        <f>IFERROR(VLOOKUP(A524,القائمة!$A$3:$F$112,6,FALSE),"")</f>
        <v/>
      </c>
      <c r="I524" s="36"/>
      <c r="P524" s="27">
        <f t="shared" si="19"/>
        <v>0</v>
      </c>
      <c r="Q524" s="27">
        <f t="shared" si="18"/>
        <v>0</v>
      </c>
    </row>
    <row r="525" spans="2:17" x14ac:dyDescent="0.45">
      <c r="B525" s="27" t="str">
        <f>IFERROR(VLOOKUP(A525,القائمة!$A$3:$F$112,2,FALSE),"")</f>
        <v/>
      </c>
      <c r="C525" s="27" t="str">
        <f>IFERROR(VLOOKUP(A525,القائمة!$A$3:$F$112,3,FALSE),"")</f>
        <v/>
      </c>
      <c r="D525" s="36" t="str">
        <f>IFERROR(VLOOKUP(A525,القائمة!$A$3:$F$112,4,FALSE),"")</f>
        <v/>
      </c>
      <c r="E525" s="36" t="str">
        <f>IFERROR(VLOOKUP(A525,القائمة!$A$3:$F$112,5,FALSE),"")</f>
        <v/>
      </c>
      <c r="F525" s="37" t="str">
        <f>IFERROR(VLOOKUP(A525,القائمة!$A$3:$F$112,6,FALSE),"")</f>
        <v/>
      </c>
      <c r="I525" s="36"/>
      <c r="P525" s="27">
        <f t="shared" si="19"/>
        <v>0</v>
      </c>
      <c r="Q525" s="27">
        <f t="shared" si="18"/>
        <v>0</v>
      </c>
    </row>
    <row r="526" spans="2:17" x14ac:dyDescent="0.45">
      <c r="B526" s="27" t="str">
        <f>IFERROR(VLOOKUP(A526,القائمة!$A$3:$F$112,2,FALSE),"")</f>
        <v/>
      </c>
      <c r="C526" s="27" t="str">
        <f>IFERROR(VLOOKUP(A526,القائمة!$A$3:$F$112,3,FALSE),"")</f>
        <v/>
      </c>
      <c r="D526" s="36" t="str">
        <f>IFERROR(VLOOKUP(A526,القائمة!$A$3:$F$112,4,FALSE),"")</f>
        <v/>
      </c>
      <c r="E526" s="36" t="str">
        <f>IFERROR(VLOOKUP(A526,القائمة!$A$3:$F$112,5,FALSE),"")</f>
        <v/>
      </c>
      <c r="F526" s="37" t="str">
        <f>IFERROR(VLOOKUP(A526,القائمة!$A$3:$F$112,6,FALSE),"")</f>
        <v/>
      </c>
      <c r="I526" s="36"/>
      <c r="P526" s="27">
        <f t="shared" si="19"/>
        <v>0</v>
      </c>
      <c r="Q526" s="27">
        <f t="shared" si="18"/>
        <v>0</v>
      </c>
    </row>
    <row r="527" spans="2:17" x14ac:dyDescent="0.45">
      <c r="B527" s="27" t="str">
        <f>IFERROR(VLOOKUP(A527,القائمة!$A$3:$F$112,2,FALSE),"")</f>
        <v/>
      </c>
      <c r="C527" s="27" t="str">
        <f>IFERROR(VLOOKUP(A527,القائمة!$A$3:$F$112,3,FALSE),"")</f>
        <v/>
      </c>
      <c r="D527" s="36" t="str">
        <f>IFERROR(VLOOKUP(A527,القائمة!$A$3:$F$112,4,FALSE),"")</f>
        <v/>
      </c>
      <c r="E527" s="36" t="str">
        <f>IFERROR(VLOOKUP(A527,القائمة!$A$3:$F$112,5,FALSE),"")</f>
        <v/>
      </c>
      <c r="F527" s="37" t="str">
        <f>IFERROR(VLOOKUP(A527,القائمة!$A$3:$F$112,6,FALSE),"")</f>
        <v/>
      </c>
      <c r="I527" s="36"/>
      <c r="P527" s="27">
        <f t="shared" si="19"/>
        <v>0</v>
      </c>
      <c r="Q527" s="27">
        <f t="shared" si="18"/>
        <v>0</v>
      </c>
    </row>
    <row r="528" spans="2:17" x14ac:dyDescent="0.45">
      <c r="B528" s="27" t="str">
        <f>IFERROR(VLOOKUP(A528,القائمة!$A$3:$F$112,2,FALSE),"")</f>
        <v/>
      </c>
      <c r="C528" s="27" t="str">
        <f>IFERROR(VLOOKUP(A528,القائمة!$A$3:$F$112,3,FALSE),"")</f>
        <v/>
      </c>
      <c r="D528" s="36" t="str">
        <f>IFERROR(VLOOKUP(A528,القائمة!$A$3:$F$112,4,FALSE),"")</f>
        <v/>
      </c>
      <c r="E528" s="36" t="str">
        <f>IFERROR(VLOOKUP(A528,القائمة!$A$3:$F$112,5,FALSE),"")</f>
        <v/>
      </c>
      <c r="F528" s="37" t="str">
        <f>IFERROR(VLOOKUP(A528,القائمة!$A$3:$F$112,6,FALSE),"")</f>
        <v/>
      </c>
      <c r="I528" s="36"/>
      <c r="P528" s="27">
        <f t="shared" si="19"/>
        <v>0</v>
      </c>
      <c r="Q528" s="27">
        <f t="shared" si="18"/>
        <v>0</v>
      </c>
    </row>
    <row r="529" spans="2:17" x14ac:dyDescent="0.45">
      <c r="B529" s="27" t="str">
        <f>IFERROR(VLOOKUP(A529,القائمة!$A$3:$F$112,2,FALSE),"")</f>
        <v/>
      </c>
      <c r="C529" s="27" t="str">
        <f>IFERROR(VLOOKUP(A529,القائمة!$A$3:$F$112,3,FALSE),"")</f>
        <v/>
      </c>
      <c r="D529" s="36" t="str">
        <f>IFERROR(VLOOKUP(A529,القائمة!$A$3:$F$112,4,FALSE),"")</f>
        <v/>
      </c>
      <c r="E529" s="36" t="str">
        <f>IFERROR(VLOOKUP(A529,القائمة!$A$3:$F$112,5,FALSE),"")</f>
        <v/>
      </c>
      <c r="F529" s="37" t="str">
        <f>IFERROR(VLOOKUP(A529,القائمة!$A$3:$F$112,6,FALSE),"")</f>
        <v/>
      </c>
      <c r="I529" s="36"/>
      <c r="P529" s="27">
        <f t="shared" si="19"/>
        <v>0</v>
      </c>
      <c r="Q529" s="27">
        <f t="shared" si="18"/>
        <v>0</v>
      </c>
    </row>
    <row r="530" spans="2:17" x14ac:dyDescent="0.45">
      <c r="B530" s="27" t="str">
        <f>IFERROR(VLOOKUP(A530,القائمة!$A$3:$F$112,2,FALSE),"")</f>
        <v/>
      </c>
      <c r="C530" s="27" t="str">
        <f>IFERROR(VLOOKUP(A530,القائمة!$A$3:$F$112,3,FALSE),"")</f>
        <v/>
      </c>
      <c r="D530" s="36" t="str">
        <f>IFERROR(VLOOKUP(A530,القائمة!$A$3:$F$112,4,FALSE),"")</f>
        <v/>
      </c>
      <c r="E530" s="36" t="str">
        <f>IFERROR(VLOOKUP(A530,القائمة!$A$3:$F$112,5,FALSE),"")</f>
        <v/>
      </c>
      <c r="F530" s="37" t="str">
        <f>IFERROR(VLOOKUP(A530,القائمة!$A$3:$F$112,6,FALSE),"")</f>
        <v/>
      </c>
      <c r="I530" s="36"/>
      <c r="P530" s="27">
        <f t="shared" si="19"/>
        <v>0</v>
      </c>
      <c r="Q530" s="27">
        <f t="shared" si="18"/>
        <v>0</v>
      </c>
    </row>
    <row r="531" spans="2:17" x14ac:dyDescent="0.45">
      <c r="B531" s="27" t="str">
        <f>IFERROR(VLOOKUP(A531,القائمة!$A$3:$F$112,2,FALSE),"")</f>
        <v/>
      </c>
      <c r="C531" s="27" t="str">
        <f>IFERROR(VLOOKUP(A531,القائمة!$A$3:$F$112,3,FALSE),"")</f>
        <v/>
      </c>
      <c r="D531" s="36" t="str">
        <f>IFERROR(VLOOKUP(A531,القائمة!$A$3:$F$112,4,FALSE),"")</f>
        <v/>
      </c>
      <c r="E531" s="36" t="str">
        <f>IFERROR(VLOOKUP(A531,القائمة!$A$3:$F$112,5,FALSE),"")</f>
        <v/>
      </c>
      <c r="F531" s="37" t="str">
        <f>IFERROR(VLOOKUP(A531,القائمة!$A$3:$F$112,6,FALSE),"")</f>
        <v/>
      </c>
      <c r="I531" s="36"/>
      <c r="P531" s="27">
        <f t="shared" si="19"/>
        <v>0</v>
      </c>
      <c r="Q531" s="27">
        <f t="shared" si="18"/>
        <v>0</v>
      </c>
    </row>
    <row r="532" spans="2:17" x14ac:dyDescent="0.45">
      <c r="B532" s="27" t="str">
        <f>IFERROR(VLOOKUP(A532,القائمة!$A$3:$F$112,2,FALSE),"")</f>
        <v/>
      </c>
      <c r="C532" s="27" t="str">
        <f>IFERROR(VLOOKUP(A532,القائمة!$A$3:$F$112,3,FALSE),"")</f>
        <v/>
      </c>
      <c r="D532" s="36" t="str">
        <f>IFERROR(VLOOKUP(A532,القائمة!$A$3:$F$112,4,FALSE),"")</f>
        <v/>
      </c>
      <c r="E532" s="36" t="str">
        <f>IFERROR(VLOOKUP(A532,القائمة!$A$3:$F$112,5,FALSE),"")</f>
        <v/>
      </c>
      <c r="F532" s="37" t="str">
        <f>IFERROR(VLOOKUP(A532,القائمة!$A$3:$F$112,6,FALSE),"")</f>
        <v/>
      </c>
      <c r="I532" s="36"/>
      <c r="P532" s="27">
        <f t="shared" si="19"/>
        <v>0</v>
      </c>
      <c r="Q532" s="27">
        <f t="shared" si="18"/>
        <v>0</v>
      </c>
    </row>
    <row r="533" spans="2:17" x14ac:dyDescent="0.45">
      <c r="B533" s="27" t="str">
        <f>IFERROR(VLOOKUP(A533,القائمة!$A$3:$F$112,2,FALSE),"")</f>
        <v/>
      </c>
      <c r="C533" s="27" t="str">
        <f>IFERROR(VLOOKUP(A533,القائمة!$A$3:$F$112,3,FALSE),"")</f>
        <v/>
      </c>
      <c r="D533" s="36" t="str">
        <f>IFERROR(VLOOKUP(A533,القائمة!$A$3:$F$112,4,FALSE),"")</f>
        <v/>
      </c>
      <c r="E533" s="36" t="str">
        <f>IFERROR(VLOOKUP(A533,القائمة!$A$3:$F$112,5,FALSE),"")</f>
        <v/>
      </c>
      <c r="F533" s="37" t="str">
        <f>IFERROR(VLOOKUP(A533,القائمة!$A$3:$F$112,6,FALSE),"")</f>
        <v/>
      </c>
      <c r="I533" s="36"/>
      <c r="P533" s="27">
        <f t="shared" si="19"/>
        <v>0</v>
      </c>
      <c r="Q533" s="27">
        <f t="shared" si="18"/>
        <v>0</v>
      </c>
    </row>
    <row r="534" spans="2:17" x14ac:dyDescent="0.45">
      <c r="B534" s="27" t="str">
        <f>IFERROR(VLOOKUP(A534,القائمة!$A$3:$F$112,2,FALSE),"")</f>
        <v/>
      </c>
      <c r="C534" s="27" t="str">
        <f>IFERROR(VLOOKUP(A534,القائمة!$A$3:$F$112,3,FALSE),"")</f>
        <v/>
      </c>
      <c r="D534" s="36" t="str">
        <f>IFERROR(VLOOKUP(A534,القائمة!$A$3:$F$112,4,FALSE),"")</f>
        <v/>
      </c>
      <c r="E534" s="36" t="str">
        <f>IFERROR(VLOOKUP(A534,القائمة!$A$3:$F$112,5,FALSE),"")</f>
        <v/>
      </c>
      <c r="F534" s="37" t="str">
        <f>IFERROR(VLOOKUP(A534,القائمة!$A$3:$F$112,6,FALSE),"")</f>
        <v/>
      </c>
      <c r="I534" s="36"/>
      <c r="P534" s="27">
        <f t="shared" si="19"/>
        <v>0</v>
      </c>
      <c r="Q534" s="27">
        <f t="shared" si="18"/>
        <v>0</v>
      </c>
    </row>
    <row r="535" spans="2:17" x14ac:dyDescent="0.45">
      <c r="B535" s="27" t="str">
        <f>IFERROR(VLOOKUP(A535,القائمة!$A$3:$F$112,2,FALSE),"")</f>
        <v/>
      </c>
      <c r="C535" s="27" t="str">
        <f>IFERROR(VLOOKUP(A535,القائمة!$A$3:$F$112,3,FALSE),"")</f>
        <v/>
      </c>
      <c r="D535" s="36" t="str">
        <f>IFERROR(VLOOKUP(A535,القائمة!$A$3:$F$112,4,FALSE),"")</f>
        <v/>
      </c>
      <c r="E535" s="36" t="str">
        <f>IFERROR(VLOOKUP(A535,القائمة!$A$3:$F$112,5,FALSE),"")</f>
        <v/>
      </c>
      <c r="F535" s="37" t="str">
        <f>IFERROR(VLOOKUP(A535,القائمة!$A$3:$F$112,6,FALSE),"")</f>
        <v/>
      </c>
      <c r="I535" s="36"/>
      <c r="P535" s="27">
        <f t="shared" si="19"/>
        <v>0</v>
      </c>
      <c r="Q535" s="27">
        <f t="shared" si="18"/>
        <v>0</v>
      </c>
    </row>
    <row r="536" spans="2:17" x14ac:dyDescent="0.45">
      <c r="B536" s="27" t="str">
        <f>IFERROR(VLOOKUP(A536,القائمة!$A$3:$F$112,2,FALSE),"")</f>
        <v/>
      </c>
      <c r="C536" s="27" t="str">
        <f>IFERROR(VLOOKUP(A536,القائمة!$A$3:$F$112,3,FALSE),"")</f>
        <v/>
      </c>
      <c r="D536" s="36" t="str">
        <f>IFERROR(VLOOKUP(A536,القائمة!$A$3:$F$112,4,FALSE),"")</f>
        <v/>
      </c>
      <c r="E536" s="36" t="str">
        <f>IFERROR(VLOOKUP(A536,القائمة!$A$3:$F$112,5,FALSE),"")</f>
        <v/>
      </c>
      <c r="F536" s="37" t="str">
        <f>IFERROR(VLOOKUP(A536,القائمة!$A$3:$F$112,6,FALSE),"")</f>
        <v/>
      </c>
      <c r="I536" s="36"/>
      <c r="P536" s="27">
        <f t="shared" si="19"/>
        <v>0</v>
      </c>
      <c r="Q536" s="27">
        <f t="shared" si="18"/>
        <v>0</v>
      </c>
    </row>
    <row r="537" spans="2:17" x14ac:dyDescent="0.45">
      <c r="B537" s="27" t="str">
        <f>IFERROR(VLOOKUP(A537,القائمة!$A$3:$F$112,2,FALSE),"")</f>
        <v/>
      </c>
      <c r="C537" s="27" t="str">
        <f>IFERROR(VLOOKUP(A537,القائمة!$A$3:$F$112,3,FALSE),"")</f>
        <v/>
      </c>
      <c r="D537" s="36" t="str">
        <f>IFERROR(VLOOKUP(A537,القائمة!$A$3:$F$112,4,FALSE),"")</f>
        <v/>
      </c>
      <c r="E537" s="36" t="str">
        <f>IFERROR(VLOOKUP(A537,القائمة!$A$3:$F$112,5,FALSE),"")</f>
        <v/>
      </c>
      <c r="F537" s="37" t="str">
        <f>IFERROR(VLOOKUP(A537,القائمة!$A$3:$F$112,6,FALSE),"")</f>
        <v/>
      </c>
      <c r="I537" s="36"/>
      <c r="P537" s="27">
        <f t="shared" si="19"/>
        <v>0</v>
      </c>
      <c r="Q537" s="27">
        <f t="shared" si="18"/>
        <v>0</v>
      </c>
    </row>
    <row r="538" spans="2:17" x14ac:dyDescent="0.45">
      <c r="B538" s="27" t="str">
        <f>IFERROR(VLOOKUP(A538,القائمة!$A$3:$F$112,2,FALSE),"")</f>
        <v/>
      </c>
      <c r="C538" s="27" t="str">
        <f>IFERROR(VLOOKUP(A538,القائمة!$A$3:$F$112,3,FALSE),"")</f>
        <v/>
      </c>
      <c r="D538" s="36" t="str">
        <f>IFERROR(VLOOKUP(A538,القائمة!$A$3:$F$112,4,FALSE),"")</f>
        <v/>
      </c>
      <c r="E538" s="36" t="str">
        <f>IFERROR(VLOOKUP(A538,القائمة!$A$3:$F$112,5,FALSE),"")</f>
        <v/>
      </c>
      <c r="F538" s="37" t="str">
        <f>IFERROR(VLOOKUP(A538,القائمة!$A$3:$F$112,6,FALSE),"")</f>
        <v/>
      </c>
      <c r="I538" s="36"/>
      <c r="P538" s="27">
        <f t="shared" si="19"/>
        <v>0</v>
      </c>
      <c r="Q538" s="27">
        <f t="shared" si="18"/>
        <v>0</v>
      </c>
    </row>
    <row r="539" spans="2:17" x14ac:dyDescent="0.45">
      <c r="B539" s="27" t="str">
        <f>IFERROR(VLOOKUP(A539,القائمة!$A$3:$F$112,2,FALSE),"")</f>
        <v/>
      </c>
      <c r="C539" s="27" t="str">
        <f>IFERROR(VLOOKUP(A539,القائمة!$A$3:$F$112,3,FALSE),"")</f>
        <v/>
      </c>
      <c r="D539" s="36" t="str">
        <f>IFERROR(VLOOKUP(A539,القائمة!$A$3:$F$112,4,FALSE),"")</f>
        <v/>
      </c>
      <c r="E539" s="36" t="str">
        <f>IFERROR(VLOOKUP(A539,القائمة!$A$3:$F$112,5,FALSE),"")</f>
        <v/>
      </c>
      <c r="F539" s="37" t="str">
        <f>IFERROR(VLOOKUP(A539,القائمة!$A$3:$F$112,6,FALSE),"")</f>
        <v/>
      </c>
      <c r="I539" s="36"/>
      <c r="P539" s="27">
        <f t="shared" si="19"/>
        <v>0</v>
      </c>
      <c r="Q539" s="27">
        <f t="shared" si="18"/>
        <v>0</v>
      </c>
    </row>
    <row r="540" spans="2:17" x14ac:dyDescent="0.45">
      <c r="B540" s="27" t="str">
        <f>IFERROR(VLOOKUP(A540,القائمة!$A$3:$F$112,2,FALSE),"")</f>
        <v/>
      </c>
      <c r="C540" s="27" t="str">
        <f>IFERROR(VLOOKUP(A540,القائمة!$A$3:$F$112,3,FALSE),"")</f>
        <v/>
      </c>
      <c r="D540" s="36" t="str">
        <f>IFERROR(VLOOKUP(A540,القائمة!$A$3:$F$112,4,FALSE),"")</f>
        <v/>
      </c>
      <c r="E540" s="36" t="str">
        <f>IFERROR(VLOOKUP(A540,القائمة!$A$3:$F$112,5,FALSE),"")</f>
        <v/>
      </c>
      <c r="F540" s="37" t="str">
        <f>IFERROR(VLOOKUP(A540,القائمة!$A$3:$F$112,6,FALSE),"")</f>
        <v/>
      </c>
      <c r="I540" s="36"/>
      <c r="P540" s="27">
        <f t="shared" si="19"/>
        <v>0</v>
      </c>
      <c r="Q540" s="27">
        <f t="shared" si="18"/>
        <v>0</v>
      </c>
    </row>
    <row r="541" spans="2:17" x14ac:dyDescent="0.45">
      <c r="B541" s="27" t="str">
        <f>IFERROR(VLOOKUP(A541,القائمة!$A$3:$F$112,2,FALSE),"")</f>
        <v/>
      </c>
      <c r="C541" s="27" t="str">
        <f>IFERROR(VLOOKUP(A541,القائمة!$A$3:$F$112,3,FALSE),"")</f>
        <v/>
      </c>
      <c r="D541" s="36" t="str">
        <f>IFERROR(VLOOKUP(A541,القائمة!$A$3:$F$112,4,FALSE),"")</f>
        <v/>
      </c>
      <c r="E541" s="36" t="str">
        <f>IFERROR(VLOOKUP(A541,القائمة!$A$3:$F$112,5,FALSE),"")</f>
        <v/>
      </c>
      <c r="F541" s="37" t="str">
        <f>IFERROR(VLOOKUP(A541,القائمة!$A$3:$F$112,6,FALSE),"")</f>
        <v/>
      </c>
      <c r="I541" s="36"/>
      <c r="P541" s="27">
        <f t="shared" si="19"/>
        <v>0</v>
      </c>
      <c r="Q541" s="27">
        <f t="shared" si="18"/>
        <v>0</v>
      </c>
    </row>
    <row r="542" spans="2:17" x14ac:dyDescent="0.45">
      <c r="B542" s="27" t="str">
        <f>IFERROR(VLOOKUP(A542,القائمة!$A$3:$F$112,2,FALSE),"")</f>
        <v/>
      </c>
      <c r="C542" s="27" t="str">
        <f>IFERROR(VLOOKUP(A542,القائمة!$A$3:$F$112,3,FALSE),"")</f>
        <v/>
      </c>
      <c r="D542" s="36" t="str">
        <f>IFERROR(VLOOKUP(A542,القائمة!$A$3:$F$112,4,FALSE),"")</f>
        <v/>
      </c>
      <c r="E542" s="36" t="str">
        <f>IFERROR(VLOOKUP(A542,القائمة!$A$3:$F$112,5,FALSE),"")</f>
        <v/>
      </c>
      <c r="F542" s="37" t="str">
        <f>IFERROR(VLOOKUP(A542,القائمة!$A$3:$F$112,6,FALSE),"")</f>
        <v/>
      </c>
      <c r="I542" s="36"/>
      <c r="P542" s="27">
        <f t="shared" si="19"/>
        <v>0</v>
      </c>
      <c r="Q542" s="27">
        <f t="shared" si="18"/>
        <v>0</v>
      </c>
    </row>
    <row r="543" spans="2:17" x14ac:dyDescent="0.45">
      <c r="B543" s="27" t="str">
        <f>IFERROR(VLOOKUP(A543,القائمة!$A$3:$F$112,2,FALSE),"")</f>
        <v/>
      </c>
      <c r="C543" s="27" t="str">
        <f>IFERROR(VLOOKUP(A543,القائمة!$A$3:$F$112,3,FALSE),"")</f>
        <v/>
      </c>
      <c r="D543" s="36" t="str">
        <f>IFERROR(VLOOKUP(A543,القائمة!$A$3:$F$112,4,FALSE),"")</f>
        <v/>
      </c>
      <c r="E543" s="36" t="str">
        <f>IFERROR(VLOOKUP(A543,القائمة!$A$3:$F$112,5,FALSE),"")</f>
        <v/>
      </c>
      <c r="F543" s="37" t="str">
        <f>IFERROR(VLOOKUP(A543,القائمة!$A$3:$F$112,6,FALSE),"")</f>
        <v/>
      </c>
      <c r="I543" s="36"/>
      <c r="P543" s="27">
        <f t="shared" si="19"/>
        <v>0</v>
      </c>
      <c r="Q543" s="27">
        <f t="shared" si="18"/>
        <v>0</v>
      </c>
    </row>
    <row r="544" spans="2:17" x14ac:dyDescent="0.45">
      <c r="B544" s="27" t="str">
        <f>IFERROR(VLOOKUP(A544,القائمة!$A$3:$F$112,2,FALSE),"")</f>
        <v/>
      </c>
      <c r="C544" s="27" t="str">
        <f>IFERROR(VLOOKUP(A544,القائمة!$A$3:$F$112,3,FALSE),"")</f>
        <v/>
      </c>
      <c r="D544" s="36" t="str">
        <f>IFERROR(VLOOKUP(A544,القائمة!$A$3:$F$112,4,FALSE),"")</f>
        <v/>
      </c>
      <c r="E544" s="36" t="str">
        <f>IFERROR(VLOOKUP(A544,القائمة!$A$3:$F$112,5,FALSE),"")</f>
        <v/>
      </c>
      <c r="F544" s="37" t="str">
        <f>IFERROR(VLOOKUP(A544,القائمة!$A$3:$F$112,6,FALSE),"")</f>
        <v/>
      </c>
      <c r="I544" s="36"/>
      <c r="P544" s="27">
        <f t="shared" si="19"/>
        <v>0</v>
      </c>
      <c r="Q544" s="27">
        <f t="shared" si="18"/>
        <v>0</v>
      </c>
    </row>
    <row r="545" spans="2:17" x14ac:dyDescent="0.45">
      <c r="B545" s="27" t="str">
        <f>IFERROR(VLOOKUP(A545,القائمة!$A$3:$F$112,2,FALSE),"")</f>
        <v/>
      </c>
      <c r="C545" s="27" t="str">
        <f>IFERROR(VLOOKUP(A545,القائمة!$A$3:$F$112,3,FALSE),"")</f>
        <v/>
      </c>
      <c r="D545" s="36" t="str">
        <f>IFERROR(VLOOKUP(A545,القائمة!$A$3:$F$112,4,FALSE),"")</f>
        <v/>
      </c>
      <c r="E545" s="36" t="str">
        <f>IFERROR(VLOOKUP(A545,القائمة!$A$3:$F$112,5,FALSE),"")</f>
        <v/>
      </c>
      <c r="F545" s="37" t="str">
        <f>IFERROR(VLOOKUP(A545,القائمة!$A$3:$F$112,6,FALSE),"")</f>
        <v/>
      </c>
      <c r="I545" s="36"/>
      <c r="P545" s="27">
        <f t="shared" si="19"/>
        <v>0</v>
      </c>
      <c r="Q545" s="27">
        <f t="shared" si="18"/>
        <v>0</v>
      </c>
    </row>
    <row r="546" spans="2:17" x14ac:dyDescent="0.45">
      <c r="B546" s="27" t="str">
        <f>IFERROR(VLOOKUP(A546,القائمة!$A$3:$F$112,2,FALSE),"")</f>
        <v/>
      </c>
      <c r="C546" s="27" t="str">
        <f>IFERROR(VLOOKUP(A546,القائمة!$A$3:$F$112,3,FALSE),"")</f>
        <v/>
      </c>
      <c r="D546" s="36" t="str">
        <f>IFERROR(VLOOKUP(A546,القائمة!$A$3:$F$112,4,FALSE),"")</f>
        <v/>
      </c>
      <c r="E546" s="36" t="str">
        <f>IFERROR(VLOOKUP(A546,القائمة!$A$3:$F$112,5,FALSE),"")</f>
        <v/>
      </c>
      <c r="F546" s="37" t="str">
        <f>IFERROR(VLOOKUP(A546,القائمة!$A$3:$F$112,6,FALSE),"")</f>
        <v/>
      </c>
      <c r="I546" s="36"/>
      <c r="P546" s="27">
        <f t="shared" si="19"/>
        <v>0</v>
      </c>
      <c r="Q546" s="27">
        <f t="shared" si="18"/>
        <v>0</v>
      </c>
    </row>
    <row r="547" spans="2:17" x14ac:dyDescent="0.45">
      <c r="B547" s="27" t="str">
        <f>IFERROR(VLOOKUP(A547,القائمة!$A$3:$F$112,2,FALSE),"")</f>
        <v/>
      </c>
      <c r="C547" s="27" t="str">
        <f>IFERROR(VLOOKUP(A547,القائمة!$A$3:$F$112,3,FALSE),"")</f>
        <v/>
      </c>
      <c r="D547" s="36" t="str">
        <f>IFERROR(VLOOKUP(A547,القائمة!$A$3:$F$112,4,FALSE),"")</f>
        <v/>
      </c>
      <c r="E547" s="36" t="str">
        <f>IFERROR(VLOOKUP(A547,القائمة!$A$3:$F$112,5,FALSE),"")</f>
        <v/>
      </c>
      <c r="F547" s="37" t="str">
        <f>IFERROR(VLOOKUP(A547,القائمة!$A$3:$F$112,6,FALSE),"")</f>
        <v/>
      </c>
      <c r="I547" s="36"/>
      <c r="P547" s="27">
        <f t="shared" si="19"/>
        <v>0</v>
      </c>
      <c r="Q547" s="27">
        <f t="shared" si="18"/>
        <v>0</v>
      </c>
    </row>
    <row r="548" spans="2:17" x14ac:dyDescent="0.45">
      <c r="B548" s="27" t="str">
        <f>IFERROR(VLOOKUP(A548,القائمة!$A$3:$F$112,2,FALSE),"")</f>
        <v/>
      </c>
      <c r="C548" s="27" t="str">
        <f>IFERROR(VLOOKUP(A548,القائمة!$A$3:$F$112,3,FALSE),"")</f>
        <v/>
      </c>
      <c r="D548" s="36" t="str">
        <f>IFERROR(VLOOKUP(A548,القائمة!$A$3:$F$112,4,FALSE),"")</f>
        <v/>
      </c>
      <c r="E548" s="36" t="str">
        <f>IFERROR(VLOOKUP(A548,القائمة!$A$3:$F$112,5,FALSE),"")</f>
        <v/>
      </c>
      <c r="F548" s="37" t="str">
        <f>IFERROR(VLOOKUP(A548,القائمة!$A$3:$F$112,6,FALSE),"")</f>
        <v/>
      </c>
      <c r="I548" s="36"/>
      <c r="P548" s="27">
        <f t="shared" si="19"/>
        <v>0</v>
      </c>
      <c r="Q548" s="27">
        <f t="shared" si="18"/>
        <v>0</v>
      </c>
    </row>
    <row r="549" spans="2:17" x14ac:dyDescent="0.45">
      <c r="B549" s="27" t="str">
        <f>IFERROR(VLOOKUP(A549,القائمة!$A$3:$F$112,2,FALSE),"")</f>
        <v/>
      </c>
      <c r="C549" s="27" t="str">
        <f>IFERROR(VLOOKUP(A549,القائمة!$A$3:$F$112,3,FALSE),"")</f>
        <v/>
      </c>
      <c r="D549" s="36" t="str">
        <f>IFERROR(VLOOKUP(A549,القائمة!$A$3:$F$112,4,FALSE),"")</f>
        <v/>
      </c>
      <c r="E549" s="36" t="str">
        <f>IFERROR(VLOOKUP(A549,القائمة!$A$3:$F$112,5,FALSE),"")</f>
        <v/>
      </c>
      <c r="F549" s="37" t="str">
        <f>IFERROR(VLOOKUP(A549,القائمة!$A$3:$F$112,6,FALSE),"")</f>
        <v/>
      </c>
      <c r="I549" s="36"/>
      <c r="P549" s="27">
        <f t="shared" si="19"/>
        <v>0</v>
      </c>
      <c r="Q549" s="27">
        <f t="shared" si="18"/>
        <v>0</v>
      </c>
    </row>
    <row r="550" spans="2:17" x14ac:dyDescent="0.45">
      <c r="B550" s="27" t="str">
        <f>IFERROR(VLOOKUP(A550,القائمة!$A$3:$F$112,2,FALSE),"")</f>
        <v/>
      </c>
      <c r="C550" s="27" t="str">
        <f>IFERROR(VLOOKUP(A550,القائمة!$A$3:$F$112,3,FALSE),"")</f>
        <v/>
      </c>
      <c r="D550" s="36" t="str">
        <f>IFERROR(VLOOKUP(A550,القائمة!$A$3:$F$112,4,FALSE),"")</f>
        <v/>
      </c>
      <c r="E550" s="36" t="str">
        <f>IFERROR(VLOOKUP(A550,القائمة!$A$3:$F$112,5,FALSE),"")</f>
        <v/>
      </c>
      <c r="F550" s="37" t="str">
        <f>IFERROR(VLOOKUP(A550,القائمة!$A$3:$F$112,6,FALSE),"")</f>
        <v/>
      </c>
      <c r="I550" s="36"/>
      <c r="P550" s="27">
        <f t="shared" si="19"/>
        <v>0</v>
      </c>
      <c r="Q550" s="27">
        <f t="shared" si="18"/>
        <v>0</v>
      </c>
    </row>
    <row r="551" spans="2:17" x14ac:dyDescent="0.45">
      <c r="B551" s="27" t="str">
        <f>IFERROR(VLOOKUP(A551,القائمة!$A$3:$F$112,2,FALSE),"")</f>
        <v/>
      </c>
      <c r="C551" s="27" t="str">
        <f>IFERROR(VLOOKUP(A551,القائمة!$A$3:$F$112,3,FALSE),"")</f>
        <v/>
      </c>
      <c r="D551" s="36" t="str">
        <f>IFERROR(VLOOKUP(A551,القائمة!$A$3:$F$112,4,FALSE),"")</f>
        <v/>
      </c>
      <c r="E551" s="36" t="str">
        <f>IFERROR(VLOOKUP(A551,القائمة!$A$3:$F$112,5,FALSE),"")</f>
        <v/>
      </c>
      <c r="F551" s="37" t="str">
        <f>IFERROR(VLOOKUP(A551,القائمة!$A$3:$F$112,6,FALSE),"")</f>
        <v/>
      </c>
      <c r="I551" s="36"/>
      <c r="P551" s="27">
        <f t="shared" si="19"/>
        <v>0</v>
      </c>
      <c r="Q551" s="27">
        <f t="shared" si="18"/>
        <v>0</v>
      </c>
    </row>
    <row r="552" spans="2:17" x14ac:dyDescent="0.45">
      <c r="B552" s="27" t="str">
        <f>IFERROR(VLOOKUP(A552,القائمة!$A$3:$F$112,2,FALSE),"")</f>
        <v/>
      </c>
      <c r="C552" s="27" t="str">
        <f>IFERROR(VLOOKUP(A552,القائمة!$A$3:$F$112,3,FALSE),"")</f>
        <v/>
      </c>
      <c r="D552" s="36" t="str">
        <f>IFERROR(VLOOKUP(A552,القائمة!$A$3:$F$112,4,FALSE),"")</f>
        <v/>
      </c>
      <c r="E552" s="36" t="str">
        <f>IFERROR(VLOOKUP(A552,القائمة!$A$3:$F$112,5,FALSE),"")</f>
        <v/>
      </c>
      <c r="F552" s="37" t="str">
        <f>IFERROR(VLOOKUP(A552,القائمة!$A$3:$F$112,6,FALSE),"")</f>
        <v/>
      </c>
      <c r="I552" s="36"/>
      <c r="P552" s="27">
        <f t="shared" si="19"/>
        <v>0</v>
      </c>
      <c r="Q552" s="27">
        <f t="shared" si="18"/>
        <v>0</v>
      </c>
    </row>
    <row r="553" spans="2:17" x14ac:dyDescent="0.45">
      <c r="B553" s="27" t="str">
        <f>IFERROR(VLOOKUP(A553,القائمة!$A$3:$F$112,2,FALSE),"")</f>
        <v/>
      </c>
      <c r="C553" s="27" t="str">
        <f>IFERROR(VLOOKUP(A553,القائمة!$A$3:$F$112,3,FALSE),"")</f>
        <v/>
      </c>
      <c r="D553" s="36" t="str">
        <f>IFERROR(VLOOKUP(A553,القائمة!$A$3:$F$112,4,FALSE),"")</f>
        <v/>
      </c>
      <c r="E553" s="36" t="str">
        <f>IFERROR(VLOOKUP(A553,القائمة!$A$3:$F$112,5,FALSE),"")</f>
        <v/>
      </c>
      <c r="F553" s="37" t="str">
        <f>IFERROR(VLOOKUP(A553,القائمة!$A$3:$F$112,6,FALSE),"")</f>
        <v/>
      </c>
      <c r="I553" s="36"/>
      <c r="P553" s="27">
        <f t="shared" si="19"/>
        <v>0</v>
      </c>
      <c r="Q553" s="27">
        <f t="shared" si="18"/>
        <v>0</v>
      </c>
    </row>
    <row r="554" spans="2:17" x14ac:dyDescent="0.45">
      <c r="B554" s="27" t="str">
        <f>IFERROR(VLOOKUP(A554,القائمة!$A$3:$F$112,2,FALSE),"")</f>
        <v/>
      </c>
      <c r="C554" s="27" t="str">
        <f>IFERROR(VLOOKUP(A554,القائمة!$A$3:$F$112,3,FALSE),"")</f>
        <v/>
      </c>
      <c r="D554" s="36" t="str">
        <f>IFERROR(VLOOKUP(A554,القائمة!$A$3:$F$112,4,FALSE),"")</f>
        <v/>
      </c>
      <c r="E554" s="36" t="str">
        <f>IFERROR(VLOOKUP(A554,القائمة!$A$3:$F$112,5,FALSE),"")</f>
        <v/>
      </c>
      <c r="F554" s="37" t="str">
        <f>IFERROR(VLOOKUP(A554,القائمة!$A$3:$F$112,6,FALSE),"")</f>
        <v/>
      </c>
      <c r="I554" s="36"/>
      <c r="P554" s="27">
        <f t="shared" si="19"/>
        <v>0</v>
      </c>
      <c r="Q554" s="27">
        <f t="shared" si="18"/>
        <v>0</v>
      </c>
    </row>
    <row r="555" spans="2:17" x14ac:dyDescent="0.45">
      <c r="B555" s="27" t="str">
        <f>IFERROR(VLOOKUP(A555,القائمة!$A$3:$F$112,2,FALSE),"")</f>
        <v/>
      </c>
      <c r="C555" s="27" t="str">
        <f>IFERROR(VLOOKUP(A555,القائمة!$A$3:$F$112,3,FALSE),"")</f>
        <v/>
      </c>
      <c r="D555" s="36" t="str">
        <f>IFERROR(VLOOKUP(A555,القائمة!$A$3:$F$112,4,FALSE),"")</f>
        <v/>
      </c>
      <c r="E555" s="36" t="str">
        <f>IFERROR(VLOOKUP(A555,القائمة!$A$3:$F$112,5,FALSE),"")</f>
        <v/>
      </c>
      <c r="F555" s="37" t="str">
        <f>IFERROR(VLOOKUP(A555,القائمة!$A$3:$F$112,6,FALSE),"")</f>
        <v/>
      </c>
      <c r="I555" s="36"/>
      <c r="P555" s="27">
        <f t="shared" si="19"/>
        <v>0</v>
      </c>
      <c r="Q555" s="27">
        <f t="shared" si="18"/>
        <v>0</v>
      </c>
    </row>
    <row r="556" spans="2:17" x14ac:dyDescent="0.45">
      <c r="B556" s="27" t="str">
        <f>IFERROR(VLOOKUP(A556,القائمة!$A$3:$F$112,2,FALSE),"")</f>
        <v/>
      </c>
      <c r="C556" s="27" t="str">
        <f>IFERROR(VLOOKUP(A556,القائمة!$A$3:$F$112,3,FALSE),"")</f>
        <v/>
      </c>
      <c r="D556" s="36" t="str">
        <f>IFERROR(VLOOKUP(A556,القائمة!$A$3:$F$112,4,FALSE),"")</f>
        <v/>
      </c>
      <c r="E556" s="36" t="str">
        <f>IFERROR(VLOOKUP(A556,القائمة!$A$3:$F$112,5,FALSE),"")</f>
        <v/>
      </c>
      <c r="F556" s="37" t="str">
        <f>IFERROR(VLOOKUP(A556,القائمة!$A$3:$F$112,6,FALSE),"")</f>
        <v/>
      </c>
      <c r="I556" s="36"/>
      <c r="P556" s="27">
        <f t="shared" si="19"/>
        <v>0</v>
      </c>
      <c r="Q556" s="27">
        <f t="shared" si="18"/>
        <v>0</v>
      </c>
    </row>
    <row r="557" spans="2:17" x14ac:dyDescent="0.45">
      <c r="B557" s="27" t="str">
        <f>IFERROR(VLOOKUP(A557,القائمة!$A$3:$F$112,2,FALSE),"")</f>
        <v/>
      </c>
      <c r="C557" s="27" t="str">
        <f>IFERROR(VLOOKUP(A557,القائمة!$A$3:$F$112,3,FALSE),"")</f>
        <v/>
      </c>
      <c r="D557" s="36" t="str">
        <f>IFERROR(VLOOKUP(A557,القائمة!$A$3:$F$112,4,FALSE),"")</f>
        <v/>
      </c>
      <c r="E557" s="36" t="str">
        <f>IFERROR(VLOOKUP(A557,القائمة!$A$3:$F$112,5,FALSE),"")</f>
        <v/>
      </c>
      <c r="F557" s="37" t="str">
        <f>IFERROR(VLOOKUP(A557,القائمة!$A$3:$F$112,6,FALSE),"")</f>
        <v/>
      </c>
      <c r="I557" s="36"/>
      <c r="P557" s="27">
        <f t="shared" si="19"/>
        <v>0</v>
      </c>
      <c r="Q557" s="27">
        <f t="shared" si="18"/>
        <v>0</v>
      </c>
    </row>
    <row r="558" spans="2:17" x14ac:dyDescent="0.45">
      <c r="B558" s="27" t="str">
        <f>IFERROR(VLOOKUP(A558,القائمة!$A$3:$F$112,2,FALSE),"")</f>
        <v/>
      </c>
      <c r="C558" s="27" t="str">
        <f>IFERROR(VLOOKUP(A558,القائمة!$A$3:$F$112,3,FALSE),"")</f>
        <v/>
      </c>
      <c r="D558" s="36" t="str">
        <f>IFERROR(VLOOKUP(A558,القائمة!$A$3:$F$112,4,FALSE),"")</f>
        <v/>
      </c>
      <c r="E558" s="36" t="str">
        <f>IFERROR(VLOOKUP(A558,القائمة!$A$3:$F$112,5,FALSE),"")</f>
        <v/>
      </c>
      <c r="F558" s="37" t="str">
        <f>IFERROR(VLOOKUP(A558,القائمة!$A$3:$F$112,6,FALSE),"")</f>
        <v/>
      </c>
      <c r="I558" s="36"/>
      <c r="P558" s="27">
        <f t="shared" si="19"/>
        <v>0</v>
      </c>
      <c r="Q558" s="27">
        <f t="shared" si="18"/>
        <v>0</v>
      </c>
    </row>
    <row r="559" spans="2:17" x14ac:dyDescent="0.45">
      <c r="B559" s="27" t="str">
        <f>IFERROR(VLOOKUP(A559,القائمة!$A$3:$F$112,2,FALSE),"")</f>
        <v/>
      </c>
      <c r="C559" s="27" t="str">
        <f>IFERROR(VLOOKUP(A559,القائمة!$A$3:$F$112,3,FALSE),"")</f>
        <v/>
      </c>
      <c r="D559" s="36" t="str">
        <f>IFERROR(VLOOKUP(A559,القائمة!$A$3:$F$112,4,FALSE),"")</f>
        <v/>
      </c>
      <c r="E559" s="36" t="str">
        <f>IFERROR(VLOOKUP(A559,القائمة!$A$3:$F$112,5,FALSE),"")</f>
        <v/>
      </c>
      <c r="F559" s="37" t="str">
        <f>IFERROR(VLOOKUP(A559,القائمة!$A$3:$F$112,6,FALSE),"")</f>
        <v/>
      </c>
      <c r="I559" s="36"/>
      <c r="P559" s="27">
        <f t="shared" si="19"/>
        <v>0</v>
      </c>
      <c r="Q559" s="27">
        <f t="shared" si="18"/>
        <v>0</v>
      </c>
    </row>
    <row r="560" spans="2:17" x14ac:dyDescent="0.45">
      <c r="B560" s="27" t="str">
        <f>IFERROR(VLOOKUP(A560,القائمة!$A$3:$F$112,2,FALSE),"")</f>
        <v/>
      </c>
      <c r="C560" s="27" t="str">
        <f>IFERROR(VLOOKUP(A560,القائمة!$A$3:$F$112,3,FALSE),"")</f>
        <v/>
      </c>
      <c r="D560" s="36" t="str">
        <f>IFERROR(VLOOKUP(A560,القائمة!$A$3:$F$112,4,FALSE),"")</f>
        <v/>
      </c>
      <c r="E560" s="36" t="str">
        <f>IFERROR(VLOOKUP(A560,القائمة!$A$3:$F$112,5,FALSE),"")</f>
        <v/>
      </c>
      <c r="F560" s="37" t="str">
        <f>IFERROR(VLOOKUP(A560,القائمة!$A$3:$F$112,6,FALSE),"")</f>
        <v/>
      </c>
      <c r="I560" s="36"/>
      <c r="P560" s="27">
        <f t="shared" si="19"/>
        <v>0</v>
      </c>
      <c r="Q560" s="27">
        <f t="shared" si="18"/>
        <v>0</v>
      </c>
    </row>
    <row r="561" spans="2:17" x14ac:dyDescent="0.45">
      <c r="B561" s="27" t="str">
        <f>IFERROR(VLOOKUP(A561,القائمة!$A$3:$F$112,2,FALSE),"")</f>
        <v/>
      </c>
      <c r="C561" s="27" t="str">
        <f>IFERROR(VLOOKUP(A561,القائمة!$A$3:$F$112,3,FALSE),"")</f>
        <v/>
      </c>
      <c r="D561" s="36" t="str">
        <f>IFERROR(VLOOKUP(A561,القائمة!$A$3:$F$112,4,FALSE),"")</f>
        <v/>
      </c>
      <c r="E561" s="36" t="str">
        <f>IFERROR(VLOOKUP(A561,القائمة!$A$3:$F$112,5,FALSE),"")</f>
        <v/>
      </c>
      <c r="F561" s="37" t="str">
        <f>IFERROR(VLOOKUP(A561,القائمة!$A$3:$F$112,6,FALSE),"")</f>
        <v/>
      </c>
      <c r="I561" s="36"/>
      <c r="P561" s="27">
        <f t="shared" si="19"/>
        <v>0</v>
      </c>
      <c r="Q561" s="27">
        <f t="shared" si="18"/>
        <v>0</v>
      </c>
    </row>
    <row r="562" spans="2:17" x14ac:dyDescent="0.45">
      <c r="B562" s="27" t="str">
        <f>IFERROR(VLOOKUP(A562,القائمة!$A$3:$F$112,2,FALSE),"")</f>
        <v/>
      </c>
      <c r="C562" s="27" t="str">
        <f>IFERROR(VLOOKUP(A562,القائمة!$A$3:$F$112,3,FALSE),"")</f>
        <v/>
      </c>
      <c r="D562" s="36" t="str">
        <f>IFERROR(VLOOKUP(A562,القائمة!$A$3:$F$112,4,FALSE),"")</f>
        <v/>
      </c>
      <c r="E562" s="36" t="str">
        <f>IFERROR(VLOOKUP(A562,القائمة!$A$3:$F$112,5,FALSE),"")</f>
        <v/>
      </c>
      <c r="F562" s="37" t="str">
        <f>IFERROR(VLOOKUP(A562,القائمة!$A$3:$F$112,6,FALSE),"")</f>
        <v/>
      </c>
      <c r="I562" s="36"/>
      <c r="P562" s="27">
        <f t="shared" si="19"/>
        <v>0</v>
      </c>
      <c r="Q562" s="27">
        <f t="shared" si="18"/>
        <v>0</v>
      </c>
    </row>
    <row r="563" spans="2:17" x14ac:dyDescent="0.45">
      <c r="B563" s="27" t="str">
        <f>IFERROR(VLOOKUP(A563,القائمة!$A$3:$F$112,2,FALSE),"")</f>
        <v/>
      </c>
      <c r="C563" s="27" t="str">
        <f>IFERROR(VLOOKUP(A563,القائمة!$A$3:$F$112,3,FALSE),"")</f>
        <v/>
      </c>
      <c r="D563" s="36" t="str">
        <f>IFERROR(VLOOKUP(A563,القائمة!$A$3:$F$112,4,FALSE),"")</f>
        <v/>
      </c>
      <c r="E563" s="36" t="str">
        <f>IFERROR(VLOOKUP(A563,القائمة!$A$3:$F$112,5,FALSE),"")</f>
        <v/>
      </c>
      <c r="F563" s="37" t="str">
        <f>IFERROR(VLOOKUP(A563,القائمة!$A$3:$F$112,6,FALSE),"")</f>
        <v/>
      </c>
      <c r="I563" s="36"/>
      <c r="P563" s="27">
        <f t="shared" si="19"/>
        <v>0</v>
      </c>
      <c r="Q563" s="27">
        <f t="shared" si="18"/>
        <v>0</v>
      </c>
    </row>
    <row r="564" spans="2:17" x14ac:dyDescent="0.45">
      <c r="B564" s="27" t="str">
        <f>IFERROR(VLOOKUP(A564,القائمة!$A$3:$F$112,2,FALSE),"")</f>
        <v/>
      </c>
      <c r="C564" s="27" t="str">
        <f>IFERROR(VLOOKUP(A564,القائمة!$A$3:$F$112,3,FALSE),"")</f>
        <v/>
      </c>
      <c r="D564" s="36" t="str">
        <f>IFERROR(VLOOKUP(A564,القائمة!$A$3:$F$112,4,FALSE),"")</f>
        <v/>
      </c>
      <c r="E564" s="36" t="str">
        <f>IFERROR(VLOOKUP(A564,القائمة!$A$3:$F$112,5,FALSE),"")</f>
        <v/>
      </c>
      <c r="F564" s="37" t="str">
        <f>IFERROR(VLOOKUP(A564,القائمة!$A$3:$F$112,6,FALSE),"")</f>
        <v/>
      </c>
      <c r="I564" s="36"/>
      <c r="P564" s="27">
        <f t="shared" si="19"/>
        <v>0</v>
      </c>
      <c r="Q564" s="27">
        <f t="shared" si="18"/>
        <v>0</v>
      </c>
    </row>
    <row r="565" spans="2:17" x14ac:dyDescent="0.45">
      <c r="B565" s="27" t="str">
        <f>IFERROR(VLOOKUP(A565,القائمة!$A$3:$F$112,2,FALSE),"")</f>
        <v/>
      </c>
      <c r="C565" s="27" t="str">
        <f>IFERROR(VLOOKUP(A565,القائمة!$A$3:$F$112,3,FALSE),"")</f>
        <v/>
      </c>
      <c r="D565" s="36" t="str">
        <f>IFERROR(VLOOKUP(A565,القائمة!$A$3:$F$112,4,FALSE),"")</f>
        <v/>
      </c>
      <c r="E565" s="36" t="str">
        <f>IFERROR(VLOOKUP(A565,القائمة!$A$3:$F$112,5,FALSE),"")</f>
        <v/>
      </c>
      <c r="F565" s="37" t="str">
        <f>IFERROR(VLOOKUP(A565,القائمة!$A$3:$F$112,6,FALSE),"")</f>
        <v/>
      </c>
      <c r="I565" s="36"/>
      <c r="P565" s="27">
        <f t="shared" si="19"/>
        <v>0</v>
      </c>
      <c r="Q565" s="27">
        <f t="shared" si="18"/>
        <v>0</v>
      </c>
    </row>
    <row r="566" spans="2:17" x14ac:dyDescent="0.45">
      <c r="B566" s="27" t="str">
        <f>IFERROR(VLOOKUP(A566,القائمة!$A$3:$F$112,2,FALSE),"")</f>
        <v/>
      </c>
      <c r="C566" s="27" t="str">
        <f>IFERROR(VLOOKUP(A566,القائمة!$A$3:$F$112,3,FALSE),"")</f>
        <v/>
      </c>
      <c r="D566" s="36" t="str">
        <f>IFERROR(VLOOKUP(A566,القائمة!$A$3:$F$112,4,FALSE),"")</f>
        <v/>
      </c>
      <c r="E566" s="36" t="str">
        <f>IFERROR(VLOOKUP(A566,القائمة!$A$3:$F$112,5,FALSE),"")</f>
        <v/>
      </c>
      <c r="F566" s="37" t="str">
        <f>IFERROR(VLOOKUP(A566,القائمة!$A$3:$F$112,6,FALSE),"")</f>
        <v/>
      </c>
      <c r="I566" s="36"/>
      <c r="P566" s="27">
        <f t="shared" si="19"/>
        <v>0</v>
      </c>
      <c r="Q566" s="27">
        <f t="shared" si="18"/>
        <v>0</v>
      </c>
    </row>
    <row r="567" spans="2:17" x14ac:dyDescent="0.45">
      <c r="B567" s="27" t="str">
        <f>IFERROR(VLOOKUP(A567,القائمة!$A$3:$F$112,2,FALSE),"")</f>
        <v/>
      </c>
      <c r="C567" s="27" t="str">
        <f>IFERROR(VLOOKUP(A567,القائمة!$A$3:$F$112,3,FALSE),"")</f>
        <v/>
      </c>
      <c r="D567" s="36" t="str">
        <f>IFERROR(VLOOKUP(A567,القائمة!$A$3:$F$112,4,FALSE),"")</f>
        <v/>
      </c>
      <c r="E567" s="36" t="str">
        <f>IFERROR(VLOOKUP(A567,القائمة!$A$3:$F$112,5,FALSE),"")</f>
        <v/>
      </c>
      <c r="F567" s="37" t="str">
        <f>IFERROR(VLOOKUP(A567,القائمة!$A$3:$F$112,6,FALSE),"")</f>
        <v/>
      </c>
      <c r="I567" s="36"/>
      <c r="P567" s="27">
        <f t="shared" si="19"/>
        <v>0</v>
      </c>
      <c r="Q567" s="27">
        <f t="shared" si="18"/>
        <v>0</v>
      </c>
    </row>
    <row r="568" spans="2:17" x14ac:dyDescent="0.45">
      <c r="B568" s="27" t="str">
        <f>IFERROR(VLOOKUP(A568,القائمة!$A$3:$F$112,2,FALSE),"")</f>
        <v/>
      </c>
      <c r="C568" s="27" t="str">
        <f>IFERROR(VLOOKUP(A568,القائمة!$A$3:$F$112,3,FALSE),"")</f>
        <v/>
      </c>
      <c r="D568" s="36" t="str">
        <f>IFERROR(VLOOKUP(A568,القائمة!$A$3:$F$112,4,FALSE),"")</f>
        <v/>
      </c>
      <c r="E568" s="36" t="str">
        <f>IFERROR(VLOOKUP(A568,القائمة!$A$3:$F$112,5,FALSE),"")</f>
        <v/>
      </c>
      <c r="F568" s="37" t="str">
        <f>IFERROR(VLOOKUP(A568,القائمة!$A$3:$F$112,6,FALSE),"")</f>
        <v/>
      </c>
      <c r="I568" s="36"/>
      <c r="P568" s="27">
        <f t="shared" si="19"/>
        <v>0</v>
      </c>
      <c r="Q568" s="27">
        <f t="shared" si="18"/>
        <v>0</v>
      </c>
    </row>
    <row r="569" spans="2:17" x14ac:dyDescent="0.45">
      <c r="B569" s="27" t="str">
        <f>IFERROR(VLOOKUP(A569,القائمة!$A$3:$F$112,2,FALSE),"")</f>
        <v/>
      </c>
      <c r="C569" s="27" t="str">
        <f>IFERROR(VLOOKUP(A569,القائمة!$A$3:$F$112,3,FALSE),"")</f>
        <v/>
      </c>
      <c r="D569" s="36" t="str">
        <f>IFERROR(VLOOKUP(A569,القائمة!$A$3:$F$112,4,FALSE),"")</f>
        <v/>
      </c>
      <c r="E569" s="36" t="str">
        <f>IFERROR(VLOOKUP(A569,القائمة!$A$3:$F$112,5,FALSE),"")</f>
        <v/>
      </c>
      <c r="F569" s="37" t="str">
        <f>IFERROR(VLOOKUP(A569,القائمة!$A$3:$F$112,6,FALSE),"")</f>
        <v/>
      </c>
      <c r="I569" s="36"/>
      <c r="P569" s="27">
        <f t="shared" si="19"/>
        <v>0</v>
      </c>
      <c r="Q569" s="27">
        <f t="shared" si="18"/>
        <v>0</v>
      </c>
    </row>
    <row r="570" spans="2:17" x14ac:dyDescent="0.45">
      <c r="B570" s="27" t="str">
        <f>IFERROR(VLOOKUP(A570,القائمة!$A$3:$F$112,2,FALSE),"")</f>
        <v/>
      </c>
      <c r="C570" s="27" t="str">
        <f>IFERROR(VLOOKUP(A570,القائمة!$A$3:$F$112,3,FALSE),"")</f>
        <v/>
      </c>
      <c r="D570" s="36" t="str">
        <f>IFERROR(VLOOKUP(A570,القائمة!$A$3:$F$112,4,FALSE),"")</f>
        <v/>
      </c>
      <c r="E570" s="36" t="str">
        <f>IFERROR(VLOOKUP(A570,القائمة!$A$3:$F$112,5,FALSE),"")</f>
        <v/>
      </c>
      <c r="F570" s="37" t="str">
        <f>IFERROR(VLOOKUP(A570,القائمة!$A$3:$F$112,6,FALSE),"")</f>
        <v/>
      </c>
      <c r="I570" s="36"/>
      <c r="P570" s="27">
        <f t="shared" si="19"/>
        <v>0</v>
      </c>
      <c r="Q570" s="27">
        <f t="shared" si="18"/>
        <v>0</v>
      </c>
    </row>
    <row r="571" spans="2:17" x14ac:dyDescent="0.45">
      <c r="B571" s="27" t="str">
        <f>IFERROR(VLOOKUP(A571,القائمة!$A$3:$F$112,2,FALSE),"")</f>
        <v/>
      </c>
      <c r="C571" s="27" t="str">
        <f>IFERROR(VLOOKUP(A571,القائمة!$A$3:$F$112,3,FALSE),"")</f>
        <v/>
      </c>
      <c r="D571" s="36" t="str">
        <f>IFERROR(VLOOKUP(A571,القائمة!$A$3:$F$112,4,FALSE),"")</f>
        <v/>
      </c>
      <c r="E571" s="36" t="str">
        <f>IFERROR(VLOOKUP(A571,القائمة!$A$3:$F$112,5,FALSE),"")</f>
        <v/>
      </c>
      <c r="F571" s="37" t="str">
        <f>IFERROR(VLOOKUP(A571,القائمة!$A$3:$F$112,6,FALSE),"")</f>
        <v/>
      </c>
      <c r="I571" s="36"/>
      <c r="P571" s="27">
        <f t="shared" si="19"/>
        <v>0</v>
      </c>
      <c r="Q571" s="27">
        <f t="shared" si="18"/>
        <v>0</v>
      </c>
    </row>
    <row r="572" spans="2:17" x14ac:dyDescent="0.45">
      <c r="B572" s="27" t="str">
        <f>IFERROR(VLOOKUP(A572,القائمة!$A$3:$F$112,2,FALSE),"")</f>
        <v/>
      </c>
      <c r="C572" s="27" t="str">
        <f>IFERROR(VLOOKUP(A572,القائمة!$A$3:$F$112,3,FALSE),"")</f>
        <v/>
      </c>
      <c r="D572" s="36" t="str">
        <f>IFERROR(VLOOKUP(A572,القائمة!$A$3:$F$112,4,FALSE),"")</f>
        <v/>
      </c>
      <c r="E572" s="36" t="str">
        <f>IFERROR(VLOOKUP(A572,القائمة!$A$3:$F$112,5,FALSE),"")</f>
        <v/>
      </c>
      <c r="F572" s="37" t="str">
        <f>IFERROR(VLOOKUP(A572,القائمة!$A$3:$F$112,6,FALSE),"")</f>
        <v/>
      </c>
      <c r="I572" s="36"/>
      <c r="P572" s="27">
        <f t="shared" si="19"/>
        <v>0</v>
      </c>
      <c r="Q572" s="27">
        <f t="shared" si="18"/>
        <v>0</v>
      </c>
    </row>
    <row r="573" spans="2:17" x14ac:dyDescent="0.45">
      <c r="B573" s="27" t="str">
        <f>IFERROR(VLOOKUP(A573,القائمة!$A$3:$F$112,2,FALSE),"")</f>
        <v/>
      </c>
      <c r="C573" s="27" t="str">
        <f>IFERROR(VLOOKUP(A573,القائمة!$A$3:$F$112,3,FALSE),"")</f>
        <v/>
      </c>
      <c r="D573" s="36" t="str">
        <f>IFERROR(VLOOKUP(A573,القائمة!$A$3:$F$112,4,FALSE),"")</f>
        <v/>
      </c>
      <c r="E573" s="36" t="str">
        <f>IFERROR(VLOOKUP(A573,القائمة!$A$3:$F$112,5,FALSE),"")</f>
        <v/>
      </c>
      <c r="F573" s="37" t="str">
        <f>IFERROR(VLOOKUP(A573,القائمة!$A$3:$F$112,6,FALSE),"")</f>
        <v/>
      </c>
      <c r="I573" s="36"/>
      <c r="P573" s="27">
        <f t="shared" si="19"/>
        <v>0</v>
      </c>
      <c r="Q573" s="27">
        <f t="shared" si="18"/>
        <v>0</v>
      </c>
    </row>
    <row r="574" spans="2:17" x14ac:dyDescent="0.45">
      <c r="B574" s="27" t="str">
        <f>IFERROR(VLOOKUP(A574,القائمة!$A$3:$F$112,2,FALSE),"")</f>
        <v/>
      </c>
      <c r="C574" s="27" t="str">
        <f>IFERROR(VLOOKUP(A574,القائمة!$A$3:$F$112,3,FALSE),"")</f>
        <v/>
      </c>
      <c r="D574" s="36" t="str">
        <f>IFERROR(VLOOKUP(A574,القائمة!$A$3:$F$112,4,FALSE),"")</f>
        <v/>
      </c>
      <c r="E574" s="36" t="str">
        <f>IFERROR(VLOOKUP(A574,القائمة!$A$3:$F$112,5,FALSE),"")</f>
        <v/>
      </c>
      <c r="F574" s="37" t="str">
        <f>IFERROR(VLOOKUP(A574,القائمة!$A$3:$F$112,6,FALSE),"")</f>
        <v/>
      </c>
      <c r="I574" s="36"/>
      <c r="P574" s="27">
        <f t="shared" si="19"/>
        <v>0</v>
      </c>
      <c r="Q574" s="27">
        <f t="shared" si="18"/>
        <v>0</v>
      </c>
    </row>
    <row r="575" spans="2:17" x14ac:dyDescent="0.45">
      <c r="B575" s="27" t="str">
        <f>IFERROR(VLOOKUP(A575,القائمة!$A$3:$F$112,2,FALSE),"")</f>
        <v/>
      </c>
      <c r="C575" s="27" t="str">
        <f>IFERROR(VLOOKUP(A575,القائمة!$A$3:$F$112,3,FALSE),"")</f>
        <v/>
      </c>
      <c r="D575" s="36" t="str">
        <f>IFERROR(VLOOKUP(A575,القائمة!$A$3:$F$112,4,FALSE),"")</f>
        <v/>
      </c>
      <c r="E575" s="36" t="str">
        <f>IFERROR(VLOOKUP(A575,القائمة!$A$3:$F$112,5,FALSE),"")</f>
        <v/>
      </c>
      <c r="F575" s="37" t="str">
        <f>IFERROR(VLOOKUP(A575,القائمة!$A$3:$F$112,6,FALSE),"")</f>
        <v/>
      </c>
      <c r="I575" s="36"/>
      <c r="P575" s="27">
        <f t="shared" si="19"/>
        <v>0</v>
      </c>
      <c r="Q575" s="27">
        <f t="shared" si="18"/>
        <v>0</v>
      </c>
    </row>
    <row r="576" spans="2:17" x14ac:dyDescent="0.45">
      <c r="B576" s="27" t="str">
        <f>IFERROR(VLOOKUP(A576,القائمة!$A$3:$F$112,2,FALSE),"")</f>
        <v/>
      </c>
      <c r="C576" s="27" t="str">
        <f>IFERROR(VLOOKUP(A576,القائمة!$A$3:$F$112,3,FALSE),"")</f>
        <v/>
      </c>
      <c r="D576" s="36" t="str">
        <f>IFERROR(VLOOKUP(A576,القائمة!$A$3:$F$112,4,FALSE),"")</f>
        <v/>
      </c>
      <c r="E576" s="36" t="str">
        <f>IFERROR(VLOOKUP(A576,القائمة!$A$3:$F$112,5,FALSE),"")</f>
        <v/>
      </c>
      <c r="F576" s="37" t="str">
        <f>IFERROR(VLOOKUP(A576,القائمة!$A$3:$F$112,6,FALSE),"")</f>
        <v/>
      </c>
      <c r="I576" s="36"/>
      <c r="P576" s="27">
        <f t="shared" si="19"/>
        <v>0</v>
      </c>
      <c r="Q576" s="27">
        <f t="shared" si="18"/>
        <v>0</v>
      </c>
    </row>
    <row r="577" spans="2:17" x14ac:dyDescent="0.45">
      <c r="B577" s="27" t="str">
        <f>IFERROR(VLOOKUP(A577,القائمة!$A$3:$F$112,2,FALSE),"")</f>
        <v/>
      </c>
      <c r="C577" s="27" t="str">
        <f>IFERROR(VLOOKUP(A577,القائمة!$A$3:$F$112,3,FALSE),"")</f>
        <v/>
      </c>
      <c r="D577" s="36" t="str">
        <f>IFERROR(VLOOKUP(A577,القائمة!$A$3:$F$112,4,FALSE),"")</f>
        <v/>
      </c>
      <c r="E577" s="36" t="str">
        <f>IFERROR(VLOOKUP(A577,القائمة!$A$3:$F$112,5,FALSE),"")</f>
        <v/>
      </c>
      <c r="F577" s="37" t="str">
        <f>IFERROR(VLOOKUP(A577,القائمة!$A$3:$F$112,6,FALSE),"")</f>
        <v/>
      </c>
      <c r="I577" s="36"/>
      <c r="P577" s="27">
        <f t="shared" si="19"/>
        <v>0</v>
      </c>
      <c r="Q577" s="27">
        <f t="shared" si="18"/>
        <v>0</v>
      </c>
    </row>
    <row r="578" spans="2:17" x14ac:dyDescent="0.45">
      <c r="B578" s="27" t="str">
        <f>IFERROR(VLOOKUP(A578,القائمة!$A$3:$F$112,2,FALSE),"")</f>
        <v/>
      </c>
      <c r="C578" s="27" t="str">
        <f>IFERROR(VLOOKUP(A578,القائمة!$A$3:$F$112,3,FALSE),"")</f>
        <v/>
      </c>
      <c r="D578" s="36" t="str">
        <f>IFERROR(VLOOKUP(A578,القائمة!$A$3:$F$112,4,FALSE),"")</f>
        <v/>
      </c>
      <c r="E578" s="36" t="str">
        <f>IFERROR(VLOOKUP(A578,القائمة!$A$3:$F$112,5,FALSE),"")</f>
        <v/>
      </c>
      <c r="F578" s="37" t="str">
        <f>IFERROR(VLOOKUP(A578,القائمة!$A$3:$F$112,6,FALSE),"")</f>
        <v/>
      </c>
      <c r="I578" s="36"/>
      <c r="P578" s="27">
        <f t="shared" si="19"/>
        <v>0</v>
      </c>
      <c r="Q578" s="27">
        <f t="shared" si="18"/>
        <v>0</v>
      </c>
    </row>
    <row r="579" spans="2:17" x14ac:dyDescent="0.45">
      <c r="B579" s="27" t="str">
        <f>IFERROR(VLOOKUP(A579,القائمة!$A$3:$F$112,2,FALSE),"")</f>
        <v/>
      </c>
      <c r="C579" s="27" t="str">
        <f>IFERROR(VLOOKUP(A579,القائمة!$A$3:$F$112,3,FALSE),"")</f>
        <v/>
      </c>
      <c r="D579" s="36" t="str">
        <f>IFERROR(VLOOKUP(A579,القائمة!$A$3:$F$112,4,FALSE),"")</f>
        <v/>
      </c>
      <c r="E579" s="36" t="str">
        <f>IFERROR(VLOOKUP(A579,القائمة!$A$3:$F$112,5,FALSE),"")</f>
        <v/>
      </c>
      <c r="F579" s="37" t="str">
        <f>IFERROR(VLOOKUP(A579,القائمة!$A$3:$F$112,6,FALSE),"")</f>
        <v/>
      </c>
      <c r="I579" s="36"/>
      <c r="P579" s="27">
        <f t="shared" si="19"/>
        <v>0</v>
      </c>
      <c r="Q579" s="27">
        <f t="shared" ref="Q579:Q642" si="20">+P579+L579-M579</f>
        <v>0</v>
      </c>
    </row>
    <row r="580" spans="2:17" x14ac:dyDescent="0.45">
      <c r="B580" s="27" t="str">
        <f>IFERROR(VLOOKUP(A580,القائمة!$A$3:$F$112,2,FALSE),"")</f>
        <v/>
      </c>
      <c r="C580" s="27" t="str">
        <f>IFERROR(VLOOKUP(A580,القائمة!$A$3:$F$112,3,FALSE),"")</f>
        <v/>
      </c>
      <c r="D580" s="36" t="str">
        <f>IFERROR(VLOOKUP(A580,القائمة!$A$3:$F$112,4,FALSE),"")</f>
        <v/>
      </c>
      <c r="E580" s="36" t="str">
        <f>IFERROR(VLOOKUP(A580,القائمة!$A$3:$F$112,5,FALSE),"")</f>
        <v/>
      </c>
      <c r="F580" s="37" t="str">
        <f>IFERROR(VLOOKUP(A580,القائمة!$A$3:$F$112,6,FALSE),"")</f>
        <v/>
      </c>
      <c r="I580" s="36"/>
      <c r="P580" s="27">
        <f t="shared" ref="P580:P643" si="21">J580-K580</f>
        <v>0</v>
      </c>
      <c r="Q580" s="27">
        <f t="shared" si="20"/>
        <v>0</v>
      </c>
    </row>
    <row r="581" spans="2:17" x14ac:dyDescent="0.45">
      <c r="B581" s="27" t="str">
        <f>IFERROR(VLOOKUP(A581,القائمة!$A$3:$F$112,2,FALSE),"")</f>
        <v/>
      </c>
      <c r="C581" s="27" t="str">
        <f>IFERROR(VLOOKUP(A581,القائمة!$A$3:$F$112,3,FALSE),"")</f>
        <v/>
      </c>
      <c r="D581" s="36" t="str">
        <f>IFERROR(VLOOKUP(A581,القائمة!$A$3:$F$112,4,FALSE),"")</f>
        <v/>
      </c>
      <c r="E581" s="36" t="str">
        <f>IFERROR(VLOOKUP(A581,القائمة!$A$3:$F$112,5,FALSE),"")</f>
        <v/>
      </c>
      <c r="F581" s="37" t="str">
        <f>IFERROR(VLOOKUP(A581,القائمة!$A$3:$F$112,6,FALSE),"")</f>
        <v/>
      </c>
      <c r="I581" s="36"/>
      <c r="P581" s="27">
        <f t="shared" si="21"/>
        <v>0</v>
      </c>
      <c r="Q581" s="27">
        <f t="shared" si="20"/>
        <v>0</v>
      </c>
    </row>
    <row r="582" spans="2:17" x14ac:dyDescent="0.45">
      <c r="B582" s="27" t="str">
        <f>IFERROR(VLOOKUP(A582,القائمة!$A$3:$F$112,2,FALSE),"")</f>
        <v/>
      </c>
      <c r="C582" s="27" t="str">
        <f>IFERROR(VLOOKUP(A582,القائمة!$A$3:$F$112,3,FALSE),"")</f>
        <v/>
      </c>
      <c r="D582" s="36" t="str">
        <f>IFERROR(VLOOKUP(A582,القائمة!$A$3:$F$112,4,FALSE),"")</f>
        <v/>
      </c>
      <c r="E582" s="36" t="str">
        <f>IFERROR(VLOOKUP(A582,القائمة!$A$3:$F$112,5,FALSE),"")</f>
        <v/>
      </c>
      <c r="F582" s="37" t="str">
        <f>IFERROR(VLOOKUP(A582,القائمة!$A$3:$F$112,6,FALSE),"")</f>
        <v/>
      </c>
      <c r="I582" s="36"/>
      <c r="P582" s="27">
        <f t="shared" si="21"/>
        <v>0</v>
      </c>
      <c r="Q582" s="27">
        <f t="shared" si="20"/>
        <v>0</v>
      </c>
    </row>
    <row r="583" spans="2:17" x14ac:dyDescent="0.45">
      <c r="B583" s="27" t="str">
        <f>IFERROR(VLOOKUP(A583,القائمة!$A$3:$F$112,2,FALSE),"")</f>
        <v/>
      </c>
      <c r="C583" s="27" t="str">
        <f>IFERROR(VLOOKUP(A583,القائمة!$A$3:$F$112,3,FALSE),"")</f>
        <v/>
      </c>
      <c r="D583" s="36" t="str">
        <f>IFERROR(VLOOKUP(A583,القائمة!$A$3:$F$112,4,FALSE),"")</f>
        <v/>
      </c>
      <c r="E583" s="36" t="str">
        <f>IFERROR(VLOOKUP(A583,القائمة!$A$3:$F$112,5,FALSE),"")</f>
        <v/>
      </c>
      <c r="F583" s="37" t="str">
        <f>IFERROR(VLOOKUP(A583,القائمة!$A$3:$F$112,6,FALSE),"")</f>
        <v/>
      </c>
      <c r="I583" s="36"/>
      <c r="P583" s="27">
        <f t="shared" si="21"/>
        <v>0</v>
      </c>
      <c r="Q583" s="27">
        <f t="shared" si="20"/>
        <v>0</v>
      </c>
    </row>
    <row r="584" spans="2:17" x14ac:dyDescent="0.45">
      <c r="B584" s="27" t="str">
        <f>IFERROR(VLOOKUP(A584,القائمة!$A$3:$F$112,2,FALSE),"")</f>
        <v/>
      </c>
      <c r="C584" s="27" t="str">
        <f>IFERROR(VLOOKUP(A584,القائمة!$A$3:$F$112,3,FALSE),"")</f>
        <v/>
      </c>
      <c r="D584" s="36" t="str">
        <f>IFERROR(VLOOKUP(A584,القائمة!$A$3:$F$112,4,FALSE),"")</f>
        <v/>
      </c>
      <c r="E584" s="36" t="str">
        <f>IFERROR(VLOOKUP(A584,القائمة!$A$3:$F$112,5,FALSE),"")</f>
        <v/>
      </c>
      <c r="F584" s="37" t="str">
        <f>IFERROR(VLOOKUP(A584,القائمة!$A$3:$F$112,6,FALSE),"")</f>
        <v/>
      </c>
      <c r="I584" s="36"/>
      <c r="P584" s="27">
        <f t="shared" si="21"/>
        <v>0</v>
      </c>
      <c r="Q584" s="27">
        <f t="shared" si="20"/>
        <v>0</v>
      </c>
    </row>
    <row r="585" spans="2:17" x14ac:dyDescent="0.45">
      <c r="B585" s="27" t="str">
        <f>IFERROR(VLOOKUP(A585,القائمة!$A$3:$F$112,2,FALSE),"")</f>
        <v/>
      </c>
      <c r="C585" s="27" t="str">
        <f>IFERROR(VLOOKUP(A585,القائمة!$A$3:$F$112,3,FALSE),"")</f>
        <v/>
      </c>
      <c r="D585" s="36" t="str">
        <f>IFERROR(VLOOKUP(A585,القائمة!$A$3:$F$112,4,FALSE),"")</f>
        <v/>
      </c>
      <c r="E585" s="36" t="str">
        <f>IFERROR(VLOOKUP(A585,القائمة!$A$3:$F$112,5,FALSE),"")</f>
        <v/>
      </c>
      <c r="F585" s="37" t="str">
        <f>IFERROR(VLOOKUP(A585,القائمة!$A$3:$F$112,6,FALSE),"")</f>
        <v/>
      </c>
      <c r="I585" s="36"/>
      <c r="P585" s="27">
        <f t="shared" si="21"/>
        <v>0</v>
      </c>
      <c r="Q585" s="27">
        <f t="shared" si="20"/>
        <v>0</v>
      </c>
    </row>
    <row r="586" spans="2:17" x14ac:dyDescent="0.45">
      <c r="B586" s="27" t="str">
        <f>IFERROR(VLOOKUP(A586,القائمة!$A$3:$F$112,2,FALSE),"")</f>
        <v/>
      </c>
      <c r="C586" s="27" t="str">
        <f>IFERROR(VLOOKUP(A586,القائمة!$A$3:$F$112,3,FALSE),"")</f>
        <v/>
      </c>
      <c r="D586" s="36" t="str">
        <f>IFERROR(VLOOKUP(A586,القائمة!$A$3:$F$112,4,FALSE),"")</f>
        <v/>
      </c>
      <c r="E586" s="36" t="str">
        <f>IFERROR(VLOOKUP(A586,القائمة!$A$3:$F$112,5,FALSE),"")</f>
        <v/>
      </c>
      <c r="F586" s="37" t="str">
        <f>IFERROR(VLOOKUP(A586,القائمة!$A$3:$F$112,6,FALSE),"")</f>
        <v/>
      </c>
      <c r="I586" s="36"/>
      <c r="P586" s="27">
        <f t="shared" si="21"/>
        <v>0</v>
      </c>
      <c r="Q586" s="27">
        <f t="shared" si="20"/>
        <v>0</v>
      </c>
    </row>
    <row r="587" spans="2:17" x14ac:dyDescent="0.45">
      <c r="B587" s="27" t="str">
        <f>IFERROR(VLOOKUP(A587,القائمة!$A$3:$F$112,2,FALSE),"")</f>
        <v/>
      </c>
      <c r="C587" s="27" t="str">
        <f>IFERROR(VLOOKUP(A587,القائمة!$A$3:$F$112,3,FALSE),"")</f>
        <v/>
      </c>
      <c r="D587" s="36" t="str">
        <f>IFERROR(VLOOKUP(A587,القائمة!$A$3:$F$112,4,FALSE),"")</f>
        <v/>
      </c>
      <c r="E587" s="36" t="str">
        <f>IFERROR(VLOOKUP(A587,القائمة!$A$3:$F$112,5,FALSE),"")</f>
        <v/>
      </c>
      <c r="F587" s="37" t="str">
        <f>IFERROR(VLOOKUP(A587,القائمة!$A$3:$F$112,6,FALSE),"")</f>
        <v/>
      </c>
      <c r="I587" s="36"/>
      <c r="P587" s="27">
        <f t="shared" si="21"/>
        <v>0</v>
      </c>
      <c r="Q587" s="27">
        <f t="shared" si="20"/>
        <v>0</v>
      </c>
    </row>
    <row r="588" spans="2:17" x14ac:dyDescent="0.45">
      <c r="B588" s="27" t="str">
        <f>IFERROR(VLOOKUP(A588,القائمة!$A$3:$F$112,2,FALSE),"")</f>
        <v/>
      </c>
      <c r="C588" s="27" t="str">
        <f>IFERROR(VLOOKUP(A588,القائمة!$A$3:$F$112,3,FALSE),"")</f>
        <v/>
      </c>
      <c r="D588" s="36" t="str">
        <f>IFERROR(VLOOKUP(A588,القائمة!$A$3:$F$112,4,FALSE),"")</f>
        <v/>
      </c>
      <c r="E588" s="36" t="str">
        <f>IFERROR(VLOOKUP(A588,القائمة!$A$3:$F$112,5,FALSE),"")</f>
        <v/>
      </c>
      <c r="F588" s="37" t="str">
        <f>IFERROR(VLOOKUP(A588,القائمة!$A$3:$F$112,6,FALSE),"")</f>
        <v/>
      </c>
      <c r="I588" s="36"/>
      <c r="P588" s="27">
        <f t="shared" si="21"/>
        <v>0</v>
      </c>
      <c r="Q588" s="27">
        <f t="shared" si="20"/>
        <v>0</v>
      </c>
    </row>
    <row r="589" spans="2:17" x14ac:dyDescent="0.45">
      <c r="B589" s="27" t="str">
        <f>IFERROR(VLOOKUP(A589,القائمة!$A$3:$F$112,2,FALSE),"")</f>
        <v/>
      </c>
      <c r="C589" s="27" t="str">
        <f>IFERROR(VLOOKUP(A589,القائمة!$A$3:$F$112,3,FALSE),"")</f>
        <v/>
      </c>
      <c r="D589" s="36" t="str">
        <f>IFERROR(VLOOKUP(A589,القائمة!$A$3:$F$112,4,FALSE),"")</f>
        <v/>
      </c>
      <c r="E589" s="36" t="str">
        <f>IFERROR(VLOOKUP(A589,القائمة!$A$3:$F$112,5,FALSE),"")</f>
        <v/>
      </c>
      <c r="F589" s="37" t="str">
        <f>IFERROR(VLOOKUP(A589,القائمة!$A$3:$F$112,6,FALSE),"")</f>
        <v/>
      </c>
      <c r="I589" s="36"/>
      <c r="P589" s="27">
        <f t="shared" si="21"/>
        <v>0</v>
      </c>
      <c r="Q589" s="27">
        <f t="shared" si="20"/>
        <v>0</v>
      </c>
    </row>
    <row r="590" spans="2:17" x14ac:dyDescent="0.45">
      <c r="B590" s="27" t="str">
        <f>IFERROR(VLOOKUP(A590,القائمة!$A$3:$F$112,2,FALSE),"")</f>
        <v/>
      </c>
      <c r="C590" s="27" t="str">
        <f>IFERROR(VLOOKUP(A590,القائمة!$A$3:$F$112,3,FALSE),"")</f>
        <v/>
      </c>
      <c r="D590" s="36" t="str">
        <f>IFERROR(VLOOKUP(A590,القائمة!$A$3:$F$112,4,FALSE),"")</f>
        <v/>
      </c>
      <c r="E590" s="36" t="str">
        <f>IFERROR(VLOOKUP(A590,القائمة!$A$3:$F$112,5,FALSE),"")</f>
        <v/>
      </c>
      <c r="F590" s="37" t="str">
        <f>IFERROR(VLOOKUP(A590,القائمة!$A$3:$F$112,6,FALSE),"")</f>
        <v/>
      </c>
      <c r="I590" s="36"/>
      <c r="P590" s="27">
        <f t="shared" si="21"/>
        <v>0</v>
      </c>
      <c r="Q590" s="27">
        <f t="shared" si="20"/>
        <v>0</v>
      </c>
    </row>
    <row r="591" spans="2:17" x14ac:dyDescent="0.45">
      <c r="B591" s="27" t="str">
        <f>IFERROR(VLOOKUP(A591,القائمة!$A$3:$F$112,2,FALSE),"")</f>
        <v/>
      </c>
      <c r="C591" s="27" t="str">
        <f>IFERROR(VLOOKUP(A591,القائمة!$A$3:$F$112,3,FALSE),"")</f>
        <v/>
      </c>
      <c r="D591" s="36" t="str">
        <f>IFERROR(VLOOKUP(A591,القائمة!$A$3:$F$112,4,FALSE),"")</f>
        <v/>
      </c>
      <c r="E591" s="36" t="str">
        <f>IFERROR(VLOOKUP(A591,القائمة!$A$3:$F$112,5,FALSE),"")</f>
        <v/>
      </c>
      <c r="F591" s="37" t="str">
        <f>IFERROR(VLOOKUP(A591,القائمة!$A$3:$F$112,6,FALSE),"")</f>
        <v/>
      </c>
      <c r="I591" s="36"/>
      <c r="P591" s="27">
        <f t="shared" si="21"/>
        <v>0</v>
      </c>
      <c r="Q591" s="27">
        <f t="shared" si="20"/>
        <v>0</v>
      </c>
    </row>
    <row r="592" spans="2:17" x14ac:dyDescent="0.45">
      <c r="B592" s="27" t="str">
        <f>IFERROR(VLOOKUP(A592,القائمة!$A$3:$F$112,2,FALSE),"")</f>
        <v/>
      </c>
      <c r="C592" s="27" t="str">
        <f>IFERROR(VLOOKUP(A592,القائمة!$A$3:$F$112,3,FALSE),"")</f>
        <v/>
      </c>
      <c r="D592" s="36" t="str">
        <f>IFERROR(VLOOKUP(A592,القائمة!$A$3:$F$112,4,FALSE),"")</f>
        <v/>
      </c>
      <c r="E592" s="36" t="str">
        <f>IFERROR(VLOOKUP(A592,القائمة!$A$3:$F$112,5,FALSE),"")</f>
        <v/>
      </c>
      <c r="F592" s="37" t="str">
        <f>IFERROR(VLOOKUP(A592,القائمة!$A$3:$F$112,6,FALSE),"")</f>
        <v/>
      </c>
      <c r="I592" s="36"/>
      <c r="P592" s="27">
        <f t="shared" si="21"/>
        <v>0</v>
      </c>
      <c r="Q592" s="27">
        <f t="shared" si="20"/>
        <v>0</v>
      </c>
    </row>
    <row r="593" spans="2:17" x14ac:dyDescent="0.45">
      <c r="B593" s="27" t="str">
        <f>IFERROR(VLOOKUP(A593,القائمة!$A$3:$F$112,2,FALSE),"")</f>
        <v/>
      </c>
      <c r="C593" s="27" t="str">
        <f>IFERROR(VLOOKUP(A593,القائمة!$A$3:$F$112,3,FALSE),"")</f>
        <v/>
      </c>
      <c r="D593" s="36" t="str">
        <f>IFERROR(VLOOKUP(A593,القائمة!$A$3:$F$112,4,FALSE),"")</f>
        <v/>
      </c>
      <c r="E593" s="36" t="str">
        <f>IFERROR(VLOOKUP(A593,القائمة!$A$3:$F$112,5,FALSE),"")</f>
        <v/>
      </c>
      <c r="F593" s="37" t="str">
        <f>IFERROR(VLOOKUP(A593,القائمة!$A$3:$F$112,6,FALSE),"")</f>
        <v/>
      </c>
      <c r="I593" s="36"/>
      <c r="P593" s="27">
        <f t="shared" si="21"/>
        <v>0</v>
      </c>
      <c r="Q593" s="27">
        <f t="shared" si="20"/>
        <v>0</v>
      </c>
    </row>
    <row r="594" spans="2:17" x14ac:dyDescent="0.45">
      <c r="B594" s="27" t="str">
        <f>IFERROR(VLOOKUP(A594,القائمة!$A$3:$F$112,2,FALSE),"")</f>
        <v/>
      </c>
      <c r="C594" s="27" t="str">
        <f>IFERROR(VLOOKUP(A594,القائمة!$A$3:$F$112,3,FALSE),"")</f>
        <v/>
      </c>
      <c r="D594" s="36" t="str">
        <f>IFERROR(VLOOKUP(A594,القائمة!$A$3:$F$112,4,FALSE),"")</f>
        <v/>
      </c>
      <c r="E594" s="36" t="str">
        <f>IFERROR(VLOOKUP(A594,القائمة!$A$3:$F$112,5,FALSE),"")</f>
        <v/>
      </c>
      <c r="F594" s="37" t="str">
        <f>IFERROR(VLOOKUP(A594,القائمة!$A$3:$F$112,6,FALSE),"")</f>
        <v/>
      </c>
      <c r="I594" s="36"/>
      <c r="P594" s="27">
        <f t="shared" si="21"/>
        <v>0</v>
      </c>
      <c r="Q594" s="27">
        <f t="shared" si="20"/>
        <v>0</v>
      </c>
    </row>
    <row r="595" spans="2:17" x14ac:dyDescent="0.45">
      <c r="B595" s="27" t="str">
        <f>IFERROR(VLOOKUP(A595,القائمة!$A$3:$F$112,2,FALSE),"")</f>
        <v/>
      </c>
      <c r="C595" s="27" t="str">
        <f>IFERROR(VLOOKUP(A595,القائمة!$A$3:$F$112,3,FALSE),"")</f>
        <v/>
      </c>
      <c r="D595" s="36" t="str">
        <f>IFERROR(VLOOKUP(A595,القائمة!$A$3:$F$112,4,FALSE),"")</f>
        <v/>
      </c>
      <c r="E595" s="36" t="str">
        <f>IFERROR(VLOOKUP(A595,القائمة!$A$3:$F$112,5,FALSE),"")</f>
        <v/>
      </c>
      <c r="F595" s="37" t="str">
        <f>IFERROR(VLOOKUP(A595,القائمة!$A$3:$F$112,6,FALSE),"")</f>
        <v/>
      </c>
      <c r="I595" s="36"/>
      <c r="P595" s="27">
        <f t="shared" si="21"/>
        <v>0</v>
      </c>
      <c r="Q595" s="27">
        <f t="shared" si="20"/>
        <v>0</v>
      </c>
    </row>
    <row r="596" spans="2:17" x14ac:dyDescent="0.45">
      <c r="B596" s="27" t="str">
        <f>IFERROR(VLOOKUP(A596,القائمة!$A$3:$F$112,2,FALSE),"")</f>
        <v/>
      </c>
      <c r="C596" s="27" t="str">
        <f>IFERROR(VLOOKUP(A596,القائمة!$A$3:$F$112,3,FALSE),"")</f>
        <v/>
      </c>
      <c r="D596" s="36" t="str">
        <f>IFERROR(VLOOKUP(A596,القائمة!$A$3:$F$112,4,FALSE),"")</f>
        <v/>
      </c>
      <c r="E596" s="36" t="str">
        <f>IFERROR(VLOOKUP(A596,القائمة!$A$3:$F$112,5,FALSE),"")</f>
        <v/>
      </c>
      <c r="F596" s="37" t="str">
        <f>IFERROR(VLOOKUP(A596,القائمة!$A$3:$F$112,6,FALSE),"")</f>
        <v/>
      </c>
      <c r="I596" s="36"/>
      <c r="P596" s="27">
        <f t="shared" si="21"/>
        <v>0</v>
      </c>
      <c r="Q596" s="27">
        <f t="shared" si="20"/>
        <v>0</v>
      </c>
    </row>
    <row r="597" spans="2:17" x14ac:dyDescent="0.45">
      <c r="B597" s="27" t="str">
        <f>IFERROR(VLOOKUP(A597,القائمة!$A$3:$F$112,2,FALSE),"")</f>
        <v/>
      </c>
      <c r="C597" s="27" t="str">
        <f>IFERROR(VLOOKUP(A597,القائمة!$A$3:$F$112,3,FALSE),"")</f>
        <v/>
      </c>
      <c r="D597" s="36" t="str">
        <f>IFERROR(VLOOKUP(A597,القائمة!$A$3:$F$112,4,FALSE),"")</f>
        <v/>
      </c>
      <c r="E597" s="36" t="str">
        <f>IFERROR(VLOOKUP(A597,القائمة!$A$3:$F$112,5,FALSE),"")</f>
        <v/>
      </c>
      <c r="F597" s="37" t="str">
        <f>IFERROR(VLOOKUP(A597,القائمة!$A$3:$F$112,6,FALSE),"")</f>
        <v/>
      </c>
      <c r="I597" s="36"/>
      <c r="P597" s="27">
        <f t="shared" si="21"/>
        <v>0</v>
      </c>
      <c r="Q597" s="27">
        <f t="shared" si="20"/>
        <v>0</v>
      </c>
    </row>
    <row r="598" spans="2:17" x14ac:dyDescent="0.45">
      <c r="B598" s="27" t="str">
        <f>IFERROR(VLOOKUP(A598,القائمة!$A$3:$F$112,2,FALSE),"")</f>
        <v/>
      </c>
      <c r="C598" s="27" t="str">
        <f>IFERROR(VLOOKUP(A598,القائمة!$A$3:$F$112,3,FALSE),"")</f>
        <v/>
      </c>
      <c r="D598" s="36" t="str">
        <f>IFERROR(VLOOKUP(A598,القائمة!$A$3:$F$112,4,FALSE),"")</f>
        <v/>
      </c>
      <c r="E598" s="36" t="str">
        <f>IFERROR(VLOOKUP(A598,القائمة!$A$3:$F$112,5,FALSE),"")</f>
        <v/>
      </c>
      <c r="F598" s="37" t="str">
        <f>IFERROR(VLOOKUP(A598,القائمة!$A$3:$F$112,6,FALSE),"")</f>
        <v/>
      </c>
      <c r="I598" s="36"/>
      <c r="P598" s="27">
        <f t="shared" si="21"/>
        <v>0</v>
      </c>
      <c r="Q598" s="27">
        <f t="shared" si="20"/>
        <v>0</v>
      </c>
    </row>
    <row r="599" spans="2:17" x14ac:dyDescent="0.45">
      <c r="B599" s="27" t="str">
        <f>IFERROR(VLOOKUP(A599,القائمة!$A$3:$F$112,2,FALSE),"")</f>
        <v/>
      </c>
      <c r="C599" s="27" t="str">
        <f>IFERROR(VLOOKUP(A599,القائمة!$A$3:$F$112,3,FALSE),"")</f>
        <v/>
      </c>
      <c r="D599" s="36" t="str">
        <f>IFERROR(VLOOKUP(A599,القائمة!$A$3:$F$112,4,FALSE),"")</f>
        <v/>
      </c>
      <c r="E599" s="36" t="str">
        <f>IFERROR(VLOOKUP(A599,القائمة!$A$3:$F$112,5,FALSE),"")</f>
        <v/>
      </c>
      <c r="F599" s="37" t="str">
        <f>IFERROR(VLOOKUP(A599,القائمة!$A$3:$F$112,6,FALSE),"")</f>
        <v/>
      </c>
      <c r="I599" s="36"/>
      <c r="P599" s="27">
        <f t="shared" si="21"/>
        <v>0</v>
      </c>
      <c r="Q599" s="27">
        <f t="shared" si="20"/>
        <v>0</v>
      </c>
    </row>
    <row r="600" spans="2:17" x14ac:dyDescent="0.45">
      <c r="B600" s="27" t="str">
        <f>IFERROR(VLOOKUP(A600,القائمة!$A$3:$F$112,2,FALSE),"")</f>
        <v/>
      </c>
      <c r="C600" s="27" t="str">
        <f>IFERROR(VLOOKUP(A600,القائمة!$A$3:$F$112,3,FALSE),"")</f>
        <v/>
      </c>
      <c r="D600" s="36" t="str">
        <f>IFERROR(VLOOKUP(A600,القائمة!$A$3:$F$112,4,FALSE),"")</f>
        <v/>
      </c>
      <c r="E600" s="36" t="str">
        <f>IFERROR(VLOOKUP(A600,القائمة!$A$3:$F$112,5,FALSE),"")</f>
        <v/>
      </c>
      <c r="F600" s="37" t="str">
        <f>IFERROR(VLOOKUP(A600,القائمة!$A$3:$F$112,6,FALSE),"")</f>
        <v/>
      </c>
      <c r="I600" s="36"/>
      <c r="P600" s="27">
        <f t="shared" si="21"/>
        <v>0</v>
      </c>
      <c r="Q600" s="27">
        <f t="shared" si="20"/>
        <v>0</v>
      </c>
    </row>
    <row r="601" spans="2:17" x14ac:dyDescent="0.45">
      <c r="B601" s="27" t="str">
        <f>IFERROR(VLOOKUP(A601,القائمة!$A$3:$F$112,2,FALSE),"")</f>
        <v/>
      </c>
      <c r="C601" s="27" t="str">
        <f>IFERROR(VLOOKUP(A601,القائمة!$A$3:$F$112,3,FALSE),"")</f>
        <v/>
      </c>
      <c r="D601" s="36" t="str">
        <f>IFERROR(VLOOKUP(A601,القائمة!$A$3:$F$112,4,FALSE),"")</f>
        <v/>
      </c>
      <c r="E601" s="36" t="str">
        <f>IFERROR(VLOOKUP(A601,القائمة!$A$3:$F$112,5,FALSE),"")</f>
        <v/>
      </c>
      <c r="F601" s="37" t="str">
        <f>IFERROR(VLOOKUP(A601,القائمة!$A$3:$F$112,6,FALSE),"")</f>
        <v/>
      </c>
      <c r="I601" s="36"/>
      <c r="P601" s="27">
        <f t="shared" si="21"/>
        <v>0</v>
      </c>
      <c r="Q601" s="27">
        <f t="shared" si="20"/>
        <v>0</v>
      </c>
    </row>
    <row r="602" spans="2:17" x14ac:dyDescent="0.45">
      <c r="B602" s="27" t="str">
        <f>IFERROR(VLOOKUP(A602,القائمة!$A$3:$F$112,2,FALSE),"")</f>
        <v/>
      </c>
      <c r="C602" s="27" t="str">
        <f>IFERROR(VLOOKUP(A602,القائمة!$A$3:$F$112,3,FALSE),"")</f>
        <v/>
      </c>
      <c r="D602" s="36" t="str">
        <f>IFERROR(VLOOKUP(A602,القائمة!$A$3:$F$112,4,FALSE),"")</f>
        <v/>
      </c>
      <c r="E602" s="36" t="str">
        <f>IFERROR(VLOOKUP(A602,القائمة!$A$3:$F$112,5,FALSE),"")</f>
        <v/>
      </c>
      <c r="F602" s="37" t="str">
        <f>IFERROR(VLOOKUP(A602,القائمة!$A$3:$F$112,6,FALSE),"")</f>
        <v/>
      </c>
      <c r="I602" s="36"/>
      <c r="P602" s="27">
        <f t="shared" si="21"/>
        <v>0</v>
      </c>
      <c r="Q602" s="27">
        <f t="shared" si="20"/>
        <v>0</v>
      </c>
    </row>
    <row r="603" spans="2:17" x14ac:dyDescent="0.45">
      <c r="B603" s="27" t="str">
        <f>IFERROR(VLOOKUP(A603,القائمة!$A$3:$F$112,2,FALSE),"")</f>
        <v/>
      </c>
      <c r="C603" s="27" t="str">
        <f>IFERROR(VLOOKUP(A603,القائمة!$A$3:$F$112,3,FALSE),"")</f>
        <v/>
      </c>
      <c r="D603" s="36" t="str">
        <f>IFERROR(VLOOKUP(A603,القائمة!$A$3:$F$112,4,FALSE),"")</f>
        <v/>
      </c>
      <c r="E603" s="36" t="str">
        <f>IFERROR(VLOOKUP(A603,القائمة!$A$3:$F$112,5,FALSE),"")</f>
        <v/>
      </c>
      <c r="F603" s="37" t="str">
        <f>IFERROR(VLOOKUP(A603,القائمة!$A$3:$F$112,6,FALSE),"")</f>
        <v/>
      </c>
      <c r="I603" s="36"/>
      <c r="P603" s="27">
        <f t="shared" si="21"/>
        <v>0</v>
      </c>
      <c r="Q603" s="27">
        <f t="shared" si="20"/>
        <v>0</v>
      </c>
    </row>
    <row r="604" spans="2:17" x14ac:dyDescent="0.45">
      <c r="B604" s="27" t="str">
        <f>IFERROR(VLOOKUP(A604,القائمة!$A$3:$F$112,2,FALSE),"")</f>
        <v/>
      </c>
      <c r="C604" s="27" t="str">
        <f>IFERROR(VLOOKUP(A604,القائمة!$A$3:$F$112,3,FALSE),"")</f>
        <v/>
      </c>
      <c r="D604" s="36" t="str">
        <f>IFERROR(VLOOKUP(A604,القائمة!$A$3:$F$112,4,FALSE),"")</f>
        <v/>
      </c>
      <c r="E604" s="36" t="str">
        <f>IFERROR(VLOOKUP(A604,القائمة!$A$3:$F$112,5,FALSE),"")</f>
        <v/>
      </c>
      <c r="F604" s="37" t="str">
        <f>IFERROR(VLOOKUP(A604,القائمة!$A$3:$F$112,6,FALSE),"")</f>
        <v/>
      </c>
      <c r="I604" s="36"/>
      <c r="P604" s="27">
        <f t="shared" si="21"/>
        <v>0</v>
      </c>
      <c r="Q604" s="27">
        <f t="shared" si="20"/>
        <v>0</v>
      </c>
    </row>
    <row r="605" spans="2:17" x14ac:dyDescent="0.45">
      <c r="B605" s="27" t="str">
        <f>IFERROR(VLOOKUP(A605,القائمة!$A$3:$F$112,2,FALSE),"")</f>
        <v/>
      </c>
      <c r="C605" s="27" t="str">
        <f>IFERROR(VLOOKUP(A605,القائمة!$A$3:$F$112,3,FALSE),"")</f>
        <v/>
      </c>
      <c r="D605" s="36" t="str">
        <f>IFERROR(VLOOKUP(A605,القائمة!$A$3:$F$112,4,FALSE),"")</f>
        <v/>
      </c>
      <c r="E605" s="36" t="str">
        <f>IFERROR(VLOOKUP(A605,القائمة!$A$3:$F$112,5,FALSE),"")</f>
        <v/>
      </c>
      <c r="F605" s="37" t="str">
        <f>IFERROR(VLOOKUP(A605,القائمة!$A$3:$F$112,6,FALSE),"")</f>
        <v/>
      </c>
      <c r="I605" s="36"/>
      <c r="P605" s="27">
        <f t="shared" si="21"/>
        <v>0</v>
      </c>
      <c r="Q605" s="27">
        <f t="shared" si="20"/>
        <v>0</v>
      </c>
    </row>
    <row r="606" spans="2:17" x14ac:dyDescent="0.45">
      <c r="B606" s="27" t="str">
        <f>IFERROR(VLOOKUP(A606,القائمة!$A$3:$F$112,2,FALSE),"")</f>
        <v/>
      </c>
      <c r="C606" s="27" t="str">
        <f>IFERROR(VLOOKUP(A606,القائمة!$A$3:$F$112,3,FALSE),"")</f>
        <v/>
      </c>
      <c r="D606" s="36" t="str">
        <f>IFERROR(VLOOKUP(A606,القائمة!$A$3:$F$112,4,FALSE),"")</f>
        <v/>
      </c>
      <c r="E606" s="36" t="str">
        <f>IFERROR(VLOOKUP(A606,القائمة!$A$3:$F$112,5,FALSE),"")</f>
        <v/>
      </c>
      <c r="F606" s="37" t="str">
        <f>IFERROR(VLOOKUP(A606,القائمة!$A$3:$F$112,6,FALSE),"")</f>
        <v/>
      </c>
      <c r="I606" s="36"/>
      <c r="P606" s="27">
        <f t="shared" si="21"/>
        <v>0</v>
      </c>
      <c r="Q606" s="27">
        <f t="shared" si="20"/>
        <v>0</v>
      </c>
    </row>
    <row r="607" spans="2:17" x14ac:dyDescent="0.45">
      <c r="B607" s="27" t="str">
        <f>IFERROR(VLOOKUP(A607,القائمة!$A$3:$F$112,2,FALSE),"")</f>
        <v/>
      </c>
      <c r="C607" s="27" t="str">
        <f>IFERROR(VLOOKUP(A607,القائمة!$A$3:$F$112,3,FALSE),"")</f>
        <v/>
      </c>
      <c r="D607" s="36" t="str">
        <f>IFERROR(VLOOKUP(A607,القائمة!$A$3:$F$112,4,FALSE),"")</f>
        <v/>
      </c>
      <c r="E607" s="36" t="str">
        <f>IFERROR(VLOOKUP(A607,القائمة!$A$3:$F$112,5,FALSE),"")</f>
        <v/>
      </c>
      <c r="F607" s="37" t="str">
        <f>IFERROR(VLOOKUP(A607,القائمة!$A$3:$F$112,6,FALSE),"")</f>
        <v/>
      </c>
      <c r="I607" s="36"/>
      <c r="P607" s="27">
        <f t="shared" si="21"/>
        <v>0</v>
      </c>
      <c r="Q607" s="27">
        <f t="shared" si="20"/>
        <v>0</v>
      </c>
    </row>
    <row r="608" spans="2:17" x14ac:dyDescent="0.45">
      <c r="B608" s="27" t="str">
        <f>IFERROR(VLOOKUP(A608,القائمة!$A$3:$F$112,2,FALSE),"")</f>
        <v/>
      </c>
      <c r="C608" s="27" t="str">
        <f>IFERROR(VLOOKUP(A608,القائمة!$A$3:$F$112,3,FALSE),"")</f>
        <v/>
      </c>
      <c r="D608" s="36" t="str">
        <f>IFERROR(VLOOKUP(A608,القائمة!$A$3:$F$112,4,FALSE),"")</f>
        <v/>
      </c>
      <c r="E608" s="36" t="str">
        <f>IFERROR(VLOOKUP(A608,القائمة!$A$3:$F$112,5,FALSE),"")</f>
        <v/>
      </c>
      <c r="F608" s="37" t="str">
        <f>IFERROR(VLOOKUP(A608,القائمة!$A$3:$F$112,6,FALSE),"")</f>
        <v/>
      </c>
      <c r="I608" s="36"/>
      <c r="P608" s="27">
        <f t="shared" si="21"/>
        <v>0</v>
      </c>
      <c r="Q608" s="27">
        <f t="shared" si="20"/>
        <v>0</v>
      </c>
    </row>
    <row r="609" spans="2:17" x14ac:dyDescent="0.45">
      <c r="B609" s="27" t="str">
        <f>IFERROR(VLOOKUP(A609,القائمة!$A$3:$F$112,2,FALSE),"")</f>
        <v/>
      </c>
      <c r="C609" s="27" t="str">
        <f>IFERROR(VLOOKUP(A609,القائمة!$A$3:$F$112,3,FALSE),"")</f>
        <v/>
      </c>
      <c r="D609" s="36" t="str">
        <f>IFERROR(VLOOKUP(A609,القائمة!$A$3:$F$112,4,FALSE),"")</f>
        <v/>
      </c>
      <c r="E609" s="36" t="str">
        <f>IFERROR(VLOOKUP(A609,القائمة!$A$3:$F$112,5,FALSE),"")</f>
        <v/>
      </c>
      <c r="F609" s="37" t="str">
        <f>IFERROR(VLOOKUP(A609,القائمة!$A$3:$F$112,6,FALSE),"")</f>
        <v/>
      </c>
      <c r="I609" s="36"/>
      <c r="P609" s="27">
        <f t="shared" si="21"/>
        <v>0</v>
      </c>
      <c r="Q609" s="27">
        <f t="shared" si="20"/>
        <v>0</v>
      </c>
    </row>
    <row r="610" spans="2:17" x14ac:dyDescent="0.45">
      <c r="B610" s="27" t="str">
        <f>IFERROR(VLOOKUP(A610,القائمة!$A$3:$F$112,2,FALSE),"")</f>
        <v/>
      </c>
      <c r="C610" s="27" t="str">
        <f>IFERROR(VLOOKUP(A610,القائمة!$A$3:$F$112,3,FALSE),"")</f>
        <v/>
      </c>
      <c r="D610" s="36" t="str">
        <f>IFERROR(VLOOKUP(A610,القائمة!$A$3:$F$112,4,FALSE),"")</f>
        <v/>
      </c>
      <c r="E610" s="36" t="str">
        <f>IFERROR(VLOOKUP(A610,القائمة!$A$3:$F$112,5,FALSE),"")</f>
        <v/>
      </c>
      <c r="F610" s="37" t="str">
        <f>IFERROR(VLOOKUP(A610,القائمة!$A$3:$F$112,6,FALSE),"")</f>
        <v/>
      </c>
      <c r="I610" s="36"/>
      <c r="P610" s="27">
        <f t="shared" si="21"/>
        <v>0</v>
      </c>
      <c r="Q610" s="27">
        <f t="shared" si="20"/>
        <v>0</v>
      </c>
    </row>
    <row r="611" spans="2:17" x14ac:dyDescent="0.45">
      <c r="B611" s="27" t="str">
        <f>IFERROR(VLOOKUP(A611,القائمة!$A$3:$F$112,2,FALSE),"")</f>
        <v/>
      </c>
      <c r="C611" s="27" t="str">
        <f>IFERROR(VLOOKUP(A611,القائمة!$A$3:$F$112,3,FALSE),"")</f>
        <v/>
      </c>
      <c r="D611" s="36" t="str">
        <f>IFERROR(VLOOKUP(A611,القائمة!$A$3:$F$112,4,FALSE),"")</f>
        <v/>
      </c>
      <c r="E611" s="36" t="str">
        <f>IFERROR(VLOOKUP(A611,القائمة!$A$3:$F$112,5,FALSE),"")</f>
        <v/>
      </c>
      <c r="F611" s="37" t="str">
        <f>IFERROR(VLOOKUP(A611,القائمة!$A$3:$F$112,6,FALSE),"")</f>
        <v/>
      </c>
      <c r="I611" s="36"/>
      <c r="P611" s="27">
        <f t="shared" si="21"/>
        <v>0</v>
      </c>
      <c r="Q611" s="27">
        <f t="shared" si="20"/>
        <v>0</v>
      </c>
    </row>
    <row r="612" spans="2:17" x14ac:dyDescent="0.45">
      <c r="B612" s="27" t="str">
        <f>IFERROR(VLOOKUP(A612,القائمة!$A$3:$F$112,2,FALSE),"")</f>
        <v/>
      </c>
      <c r="C612" s="27" t="str">
        <f>IFERROR(VLOOKUP(A612,القائمة!$A$3:$F$112,3,FALSE),"")</f>
        <v/>
      </c>
      <c r="D612" s="36" t="str">
        <f>IFERROR(VLOOKUP(A612,القائمة!$A$3:$F$112,4,FALSE),"")</f>
        <v/>
      </c>
      <c r="E612" s="36" t="str">
        <f>IFERROR(VLOOKUP(A612,القائمة!$A$3:$F$112,5,FALSE),"")</f>
        <v/>
      </c>
      <c r="F612" s="37" t="str">
        <f>IFERROR(VLOOKUP(A612,القائمة!$A$3:$F$112,6,FALSE),"")</f>
        <v/>
      </c>
      <c r="I612" s="36"/>
      <c r="P612" s="27">
        <f t="shared" si="21"/>
        <v>0</v>
      </c>
      <c r="Q612" s="27">
        <f t="shared" si="20"/>
        <v>0</v>
      </c>
    </row>
    <row r="613" spans="2:17" x14ac:dyDescent="0.45">
      <c r="B613" s="27" t="str">
        <f>IFERROR(VLOOKUP(A613,القائمة!$A$3:$F$112,2,FALSE),"")</f>
        <v/>
      </c>
      <c r="C613" s="27" t="str">
        <f>IFERROR(VLOOKUP(A613,القائمة!$A$3:$F$112,3,FALSE),"")</f>
        <v/>
      </c>
      <c r="D613" s="36" t="str">
        <f>IFERROR(VLOOKUP(A613,القائمة!$A$3:$F$112,4,FALSE),"")</f>
        <v/>
      </c>
      <c r="E613" s="36" t="str">
        <f>IFERROR(VLOOKUP(A613,القائمة!$A$3:$F$112,5,FALSE),"")</f>
        <v/>
      </c>
      <c r="F613" s="37" t="str">
        <f>IFERROR(VLOOKUP(A613,القائمة!$A$3:$F$112,6,FALSE),"")</f>
        <v/>
      </c>
      <c r="I613" s="36"/>
      <c r="P613" s="27">
        <f t="shared" si="21"/>
        <v>0</v>
      </c>
      <c r="Q613" s="27">
        <f t="shared" si="20"/>
        <v>0</v>
      </c>
    </row>
    <row r="614" spans="2:17" x14ac:dyDescent="0.45">
      <c r="B614" s="27" t="str">
        <f>IFERROR(VLOOKUP(A614,القائمة!$A$3:$F$112,2,FALSE),"")</f>
        <v/>
      </c>
      <c r="C614" s="27" t="str">
        <f>IFERROR(VLOOKUP(A614,القائمة!$A$3:$F$112,3,FALSE),"")</f>
        <v/>
      </c>
      <c r="D614" s="36" t="str">
        <f>IFERROR(VLOOKUP(A614,القائمة!$A$3:$F$112,4,FALSE),"")</f>
        <v/>
      </c>
      <c r="E614" s="36" t="str">
        <f>IFERROR(VLOOKUP(A614,القائمة!$A$3:$F$112,5,FALSE),"")</f>
        <v/>
      </c>
      <c r="F614" s="37" t="str">
        <f>IFERROR(VLOOKUP(A614,القائمة!$A$3:$F$112,6,FALSE),"")</f>
        <v/>
      </c>
      <c r="I614" s="36"/>
      <c r="P614" s="27">
        <f t="shared" si="21"/>
        <v>0</v>
      </c>
      <c r="Q614" s="27">
        <f t="shared" si="20"/>
        <v>0</v>
      </c>
    </row>
    <row r="615" spans="2:17" x14ac:dyDescent="0.45">
      <c r="B615" s="27" t="str">
        <f>IFERROR(VLOOKUP(A615,القائمة!$A$3:$F$112,2,FALSE),"")</f>
        <v/>
      </c>
      <c r="C615" s="27" t="str">
        <f>IFERROR(VLOOKUP(A615,القائمة!$A$3:$F$112,3,FALSE),"")</f>
        <v/>
      </c>
      <c r="D615" s="36" t="str">
        <f>IFERROR(VLOOKUP(A615,القائمة!$A$3:$F$112,4,FALSE),"")</f>
        <v/>
      </c>
      <c r="E615" s="36" t="str">
        <f>IFERROR(VLOOKUP(A615,القائمة!$A$3:$F$112,5,FALSE),"")</f>
        <v/>
      </c>
      <c r="F615" s="37" t="str">
        <f>IFERROR(VLOOKUP(A615,القائمة!$A$3:$F$112,6,FALSE),"")</f>
        <v/>
      </c>
      <c r="I615" s="36"/>
      <c r="P615" s="27">
        <f t="shared" si="21"/>
        <v>0</v>
      </c>
      <c r="Q615" s="27">
        <f t="shared" si="20"/>
        <v>0</v>
      </c>
    </row>
    <row r="616" spans="2:17" x14ac:dyDescent="0.45">
      <c r="B616" s="27" t="str">
        <f>IFERROR(VLOOKUP(A616,القائمة!$A$3:$F$112,2,FALSE),"")</f>
        <v/>
      </c>
      <c r="C616" s="27" t="str">
        <f>IFERROR(VLOOKUP(A616,القائمة!$A$3:$F$112,3,FALSE),"")</f>
        <v/>
      </c>
      <c r="D616" s="36" t="str">
        <f>IFERROR(VLOOKUP(A616,القائمة!$A$3:$F$112,4,FALSE),"")</f>
        <v/>
      </c>
      <c r="E616" s="36" t="str">
        <f>IFERROR(VLOOKUP(A616,القائمة!$A$3:$F$112,5,FALSE),"")</f>
        <v/>
      </c>
      <c r="F616" s="37" t="str">
        <f>IFERROR(VLOOKUP(A616,القائمة!$A$3:$F$112,6,FALSE),"")</f>
        <v/>
      </c>
      <c r="I616" s="36"/>
      <c r="P616" s="27">
        <f t="shared" si="21"/>
        <v>0</v>
      </c>
      <c r="Q616" s="27">
        <f t="shared" si="20"/>
        <v>0</v>
      </c>
    </row>
    <row r="617" spans="2:17" x14ac:dyDescent="0.45">
      <c r="B617" s="27" t="str">
        <f>IFERROR(VLOOKUP(A617,القائمة!$A$3:$F$112,2,FALSE),"")</f>
        <v/>
      </c>
      <c r="C617" s="27" t="str">
        <f>IFERROR(VLOOKUP(A617,القائمة!$A$3:$F$112,3,FALSE),"")</f>
        <v/>
      </c>
      <c r="D617" s="36" t="str">
        <f>IFERROR(VLOOKUP(A617,القائمة!$A$3:$F$112,4,FALSE),"")</f>
        <v/>
      </c>
      <c r="E617" s="36" t="str">
        <f>IFERROR(VLOOKUP(A617,القائمة!$A$3:$F$112,5,FALSE),"")</f>
        <v/>
      </c>
      <c r="F617" s="37" t="str">
        <f>IFERROR(VLOOKUP(A617,القائمة!$A$3:$F$112,6,FALSE),"")</f>
        <v/>
      </c>
      <c r="I617" s="36"/>
      <c r="P617" s="27">
        <f t="shared" si="21"/>
        <v>0</v>
      </c>
      <c r="Q617" s="27">
        <f t="shared" si="20"/>
        <v>0</v>
      </c>
    </row>
    <row r="618" spans="2:17" x14ac:dyDescent="0.45">
      <c r="B618" s="27" t="str">
        <f>IFERROR(VLOOKUP(A618,القائمة!$A$3:$F$112,2,FALSE),"")</f>
        <v/>
      </c>
      <c r="C618" s="27" t="str">
        <f>IFERROR(VLOOKUP(A618,القائمة!$A$3:$F$112,3,FALSE),"")</f>
        <v/>
      </c>
      <c r="D618" s="36" t="str">
        <f>IFERROR(VLOOKUP(A618,القائمة!$A$3:$F$112,4,FALSE),"")</f>
        <v/>
      </c>
      <c r="E618" s="36" t="str">
        <f>IFERROR(VLOOKUP(A618,القائمة!$A$3:$F$112,5,FALSE),"")</f>
        <v/>
      </c>
      <c r="F618" s="37" t="str">
        <f>IFERROR(VLOOKUP(A618,القائمة!$A$3:$F$112,6,FALSE),"")</f>
        <v/>
      </c>
      <c r="I618" s="36"/>
      <c r="P618" s="27">
        <f t="shared" si="21"/>
        <v>0</v>
      </c>
      <c r="Q618" s="27">
        <f t="shared" si="20"/>
        <v>0</v>
      </c>
    </row>
    <row r="619" spans="2:17" x14ac:dyDescent="0.45">
      <c r="B619" s="27" t="str">
        <f>IFERROR(VLOOKUP(A619,القائمة!$A$3:$F$112,2,FALSE),"")</f>
        <v/>
      </c>
      <c r="C619" s="27" t="str">
        <f>IFERROR(VLOOKUP(A619,القائمة!$A$3:$F$112,3,FALSE),"")</f>
        <v/>
      </c>
      <c r="D619" s="36" t="str">
        <f>IFERROR(VLOOKUP(A619,القائمة!$A$3:$F$112,4,FALSE),"")</f>
        <v/>
      </c>
      <c r="E619" s="36" t="str">
        <f>IFERROR(VLOOKUP(A619,القائمة!$A$3:$F$112,5,FALSE),"")</f>
        <v/>
      </c>
      <c r="F619" s="37" t="str">
        <f>IFERROR(VLOOKUP(A619,القائمة!$A$3:$F$112,6,FALSE),"")</f>
        <v/>
      </c>
      <c r="I619" s="36"/>
      <c r="P619" s="27">
        <f t="shared" si="21"/>
        <v>0</v>
      </c>
      <c r="Q619" s="27">
        <f t="shared" si="20"/>
        <v>0</v>
      </c>
    </row>
    <row r="620" spans="2:17" x14ac:dyDescent="0.45">
      <c r="B620" s="27" t="str">
        <f>IFERROR(VLOOKUP(A620,القائمة!$A$3:$F$112,2,FALSE),"")</f>
        <v/>
      </c>
      <c r="C620" s="27" t="str">
        <f>IFERROR(VLOOKUP(A620,القائمة!$A$3:$F$112,3,FALSE),"")</f>
        <v/>
      </c>
      <c r="D620" s="36" t="str">
        <f>IFERROR(VLOOKUP(A620,القائمة!$A$3:$F$112,4,FALSE),"")</f>
        <v/>
      </c>
      <c r="E620" s="36" t="str">
        <f>IFERROR(VLOOKUP(A620,القائمة!$A$3:$F$112,5,FALSE),"")</f>
        <v/>
      </c>
      <c r="F620" s="37" t="str">
        <f>IFERROR(VLOOKUP(A620,القائمة!$A$3:$F$112,6,FALSE),"")</f>
        <v/>
      </c>
      <c r="I620" s="36"/>
      <c r="P620" s="27">
        <f t="shared" si="21"/>
        <v>0</v>
      </c>
      <c r="Q620" s="27">
        <f t="shared" si="20"/>
        <v>0</v>
      </c>
    </row>
    <row r="621" spans="2:17" x14ac:dyDescent="0.45">
      <c r="B621" s="27" t="str">
        <f>IFERROR(VLOOKUP(A621,القائمة!$A$3:$F$112,2,FALSE),"")</f>
        <v/>
      </c>
      <c r="C621" s="27" t="str">
        <f>IFERROR(VLOOKUP(A621,القائمة!$A$3:$F$112,3,FALSE),"")</f>
        <v/>
      </c>
      <c r="D621" s="36" t="str">
        <f>IFERROR(VLOOKUP(A621,القائمة!$A$3:$F$112,4,FALSE),"")</f>
        <v/>
      </c>
      <c r="E621" s="36" t="str">
        <f>IFERROR(VLOOKUP(A621,القائمة!$A$3:$F$112,5,FALSE),"")</f>
        <v/>
      </c>
      <c r="F621" s="37" t="str">
        <f>IFERROR(VLOOKUP(A621,القائمة!$A$3:$F$112,6,FALSE),"")</f>
        <v/>
      </c>
      <c r="I621" s="36"/>
      <c r="P621" s="27">
        <f t="shared" si="21"/>
        <v>0</v>
      </c>
      <c r="Q621" s="27">
        <f t="shared" si="20"/>
        <v>0</v>
      </c>
    </row>
    <row r="622" spans="2:17" x14ac:dyDescent="0.45">
      <c r="B622" s="27" t="str">
        <f>IFERROR(VLOOKUP(A622,القائمة!$A$3:$F$112,2,FALSE),"")</f>
        <v/>
      </c>
      <c r="C622" s="27" t="str">
        <f>IFERROR(VLOOKUP(A622,القائمة!$A$3:$F$112,3,FALSE),"")</f>
        <v/>
      </c>
      <c r="D622" s="36" t="str">
        <f>IFERROR(VLOOKUP(A622,القائمة!$A$3:$F$112,4,FALSE),"")</f>
        <v/>
      </c>
      <c r="E622" s="36" t="str">
        <f>IFERROR(VLOOKUP(A622,القائمة!$A$3:$F$112,5,FALSE),"")</f>
        <v/>
      </c>
      <c r="F622" s="37" t="str">
        <f>IFERROR(VLOOKUP(A622,القائمة!$A$3:$F$112,6,FALSE),"")</f>
        <v/>
      </c>
      <c r="I622" s="36"/>
      <c r="P622" s="27">
        <f t="shared" si="21"/>
        <v>0</v>
      </c>
      <c r="Q622" s="27">
        <f t="shared" si="20"/>
        <v>0</v>
      </c>
    </row>
    <row r="623" spans="2:17" x14ac:dyDescent="0.45">
      <c r="B623" s="27" t="str">
        <f>IFERROR(VLOOKUP(A623,القائمة!$A$3:$F$112,2,FALSE),"")</f>
        <v/>
      </c>
      <c r="C623" s="27" t="str">
        <f>IFERROR(VLOOKUP(A623,القائمة!$A$3:$F$112,3,FALSE),"")</f>
        <v/>
      </c>
      <c r="D623" s="36" t="str">
        <f>IFERROR(VLOOKUP(A623,القائمة!$A$3:$F$112,4,FALSE),"")</f>
        <v/>
      </c>
      <c r="E623" s="36" t="str">
        <f>IFERROR(VLOOKUP(A623,القائمة!$A$3:$F$112,5,FALSE),"")</f>
        <v/>
      </c>
      <c r="F623" s="37" t="str">
        <f>IFERROR(VLOOKUP(A623,القائمة!$A$3:$F$112,6,FALSE),"")</f>
        <v/>
      </c>
      <c r="I623" s="36"/>
      <c r="P623" s="27">
        <f t="shared" si="21"/>
        <v>0</v>
      </c>
      <c r="Q623" s="27">
        <f t="shared" si="20"/>
        <v>0</v>
      </c>
    </row>
    <row r="624" spans="2:17" x14ac:dyDescent="0.45">
      <c r="B624" s="27" t="str">
        <f>IFERROR(VLOOKUP(A624,القائمة!$A$3:$F$112,2,FALSE),"")</f>
        <v/>
      </c>
      <c r="C624" s="27" t="str">
        <f>IFERROR(VLOOKUP(A624,القائمة!$A$3:$F$112,3,FALSE),"")</f>
        <v/>
      </c>
      <c r="D624" s="36" t="str">
        <f>IFERROR(VLOOKUP(A624,القائمة!$A$3:$F$112,4,FALSE),"")</f>
        <v/>
      </c>
      <c r="E624" s="36" t="str">
        <f>IFERROR(VLOOKUP(A624,القائمة!$A$3:$F$112,5,FALSE),"")</f>
        <v/>
      </c>
      <c r="F624" s="37" t="str">
        <f>IFERROR(VLOOKUP(A624,القائمة!$A$3:$F$112,6,FALSE),"")</f>
        <v/>
      </c>
      <c r="I624" s="36"/>
      <c r="P624" s="27">
        <f t="shared" si="21"/>
        <v>0</v>
      </c>
      <c r="Q624" s="27">
        <f t="shared" si="20"/>
        <v>0</v>
      </c>
    </row>
    <row r="625" spans="2:17" x14ac:dyDescent="0.45">
      <c r="B625" s="27" t="str">
        <f>IFERROR(VLOOKUP(A625,القائمة!$A$3:$F$112,2,FALSE),"")</f>
        <v/>
      </c>
      <c r="C625" s="27" t="str">
        <f>IFERROR(VLOOKUP(A625,القائمة!$A$3:$F$112,3,FALSE),"")</f>
        <v/>
      </c>
      <c r="D625" s="36" t="str">
        <f>IFERROR(VLOOKUP(A625,القائمة!$A$3:$F$112,4,FALSE),"")</f>
        <v/>
      </c>
      <c r="E625" s="36" t="str">
        <f>IFERROR(VLOOKUP(A625,القائمة!$A$3:$F$112,5,FALSE),"")</f>
        <v/>
      </c>
      <c r="F625" s="37" t="str">
        <f>IFERROR(VLOOKUP(A625,القائمة!$A$3:$F$112,6,FALSE),"")</f>
        <v/>
      </c>
      <c r="I625" s="36"/>
      <c r="P625" s="27">
        <f t="shared" si="21"/>
        <v>0</v>
      </c>
      <c r="Q625" s="27">
        <f t="shared" si="20"/>
        <v>0</v>
      </c>
    </row>
    <row r="626" spans="2:17" x14ac:dyDescent="0.45">
      <c r="B626" s="27" t="str">
        <f>IFERROR(VLOOKUP(A626,القائمة!$A$3:$F$112,2,FALSE),"")</f>
        <v/>
      </c>
      <c r="C626" s="27" t="str">
        <f>IFERROR(VLOOKUP(A626,القائمة!$A$3:$F$112,3,FALSE),"")</f>
        <v/>
      </c>
      <c r="D626" s="36" t="str">
        <f>IFERROR(VLOOKUP(A626,القائمة!$A$3:$F$112,4,FALSE),"")</f>
        <v/>
      </c>
      <c r="E626" s="36" t="str">
        <f>IFERROR(VLOOKUP(A626,القائمة!$A$3:$F$112,5,FALSE),"")</f>
        <v/>
      </c>
      <c r="F626" s="37" t="str">
        <f>IFERROR(VLOOKUP(A626,القائمة!$A$3:$F$112,6,FALSE),"")</f>
        <v/>
      </c>
      <c r="I626" s="36"/>
      <c r="P626" s="27">
        <f t="shared" si="21"/>
        <v>0</v>
      </c>
      <c r="Q626" s="27">
        <f t="shared" si="20"/>
        <v>0</v>
      </c>
    </row>
    <row r="627" spans="2:17" x14ac:dyDescent="0.45">
      <c r="B627" s="27" t="str">
        <f>IFERROR(VLOOKUP(A627,القائمة!$A$3:$F$112,2,FALSE),"")</f>
        <v/>
      </c>
      <c r="C627" s="27" t="str">
        <f>IFERROR(VLOOKUP(A627,القائمة!$A$3:$F$112,3,FALSE),"")</f>
        <v/>
      </c>
      <c r="D627" s="36" t="str">
        <f>IFERROR(VLOOKUP(A627,القائمة!$A$3:$F$112,4,FALSE),"")</f>
        <v/>
      </c>
      <c r="E627" s="36" t="str">
        <f>IFERROR(VLOOKUP(A627,القائمة!$A$3:$F$112,5,FALSE),"")</f>
        <v/>
      </c>
      <c r="F627" s="37" t="str">
        <f>IFERROR(VLOOKUP(A627,القائمة!$A$3:$F$112,6,FALSE),"")</f>
        <v/>
      </c>
      <c r="I627" s="36"/>
      <c r="P627" s="27">
        <f t="shared" si="21"/>
        <v>0</v>
      </c>
      <c r="Q627" s="27">
        <f t="shared" si="20"/>
        <v>0</v>
      </c>
    </row>
    <row r="628" spans="2:17" x14ac:dyDescent="0.45">
      <c r="B628" s="27" t="str">
        <f>IFERROR(VLOOKUP(A628,القائمة!$A$3:$F$112,2,FALSE),"")</f>
        <v/>
      </c>
      <c r="C628" s="27" t="str">
        <f>IFERROR(VLOOKUP(A628,القائمة!$A$3:$F$112,3,FALSE),"")</f>
        <v/>
      </c>
      <c r="D628" s="36" t="str">
        <f>IFERROR(VLOOKUP(A628,القائمة!$A$3:$F$112,4,FALSE),"")</f>
        <v/>
      </c>
      <c r="E628" s="36" t="str">
        <f>IFERROR(VLOOKUP(A628,القائمة!$A$3:$F$112,5,FALSE),"")</f>
        <v/>
      </c>
      <c r="F628" s="37" t="str">
        <f>IFERROR(VLOOKUP(A628,القائمة!$A$3:$F$112,6,FALSE),"")</f>
        <v/>
      </c>
      <c r="I628" s="36"/>
      <c r="P628" s="27">
        <f t="shared" si="21"/>
        <v>0</v>
      </c>
      <c r="Q628" s="27">
        <f t="shared" si="20"/>
        <v>0</v>
      </c>
    </row>
    <row r="629" spans="2:17" x14ac:dyDescent="0.45">
      <c r="B629" s="27" t="str">
        <f>IFERROR(VLOOKUP(A629,القائمة!$A$3:$F$112,2,FALSE),"")</f>
        <v/>
      </c>
      <c r="C629" s="27" t="str">
        <f>IFERROR(VLOOKUP(A629,القائمة!$A$3:$F$112,3,FALSE),"")</f>
        <v/>
      </c>
      <c r="D629" s="36" t="str">
        <f>IFERROR(VLOOKUP(A629,القائمة!$A$3:$F$112,4,FALSE),"")</f>
        <v/>
      </c>
      <c r="E629" s="36" t="str">
        <f>IFERROR(VLOOKUP(A629,القائمة!$A$3:$F$112,5,FALSE),"")</f>
        <v/>
      </c>
      <c r="F629" s="37" t="str">
        <f>IFERROR(VLOOKUP(A629,القائمة!$A$3:$F$112,6,FALSE),"")</f>
        <v/>
      </c>
      <c r="I629" s="36"/>
      <c r="P629" s="27">
        <f t="shared" si="21"/>
        <v>0</v>
      </c>
      <c r="Q629" s="27">
        <f t="shared" si="20"/>
        <v>0</v>
      </c>
    </row>
    <row r="630" spans="2:17" x14ac:dyDescent="0.45">
      <c r="B630" s="27" t="str">
        <f>IFERROR(VLOOKUP(A630,القائمة!$A$3:$F$112,2,FALSE),"")</f>
        <v/>
      </c>
      <c r="C630" s="27" t="str">
        <f>IFERROR(VLOOKUP(A630,القائمة!$A$3:$F$112,3,FALSE),"")</f>
        <v/>
      </c>
      <c r="D630" s="36" t="str">
        <f>IFERROR(VLOOKUP(A630,القائمة!$A$3:$F$112,4,FALSE),"")</f>
        <v/>
      </c>
      <c r="E630" s="36" t="str">
        <f>IFERROR(VLOOKUP(A630,القائمة!$A$3:$F$112,5,FALSE),"")</f>
        <v/>
      </c>
      <c r="F630" s="37" t="str">
        <f>IFERROR(VLOOKUP(A630,القائمة!$A$3:$F$112,6,FALSE),"")</f>
        <v/>
      </c>
      <c r="I630" s="36"/>
      <c r="P630" s="27">
        <f t="shared" si="21"/>
        <v>0</v>
      </c>
      <c r="Q630" s="27">
        <f t="shared" si="20"/>
        <v>0</v>
      </c>
    </row>
    <row r="631" spans="2:17" x14ac:dyDescent="0.45">
      <c r="B631" s="27" t="str">
        <f>IFERROR(VLOOKUP(A631,القائمة!$A$3:$F$112,2,FALSE),"")</f>
        <v/>
      </c>
      <c r="C631" s="27" t="str">
        <f>IFERROR(VLOOKUP(A631,القائمة!$A$3:$F$112,3,FALSE),"")</f>
        <v/>
      </c>
      <c r="D631" s="36" t="str">
        <f>IFERROR(VLOOKUP(A631,القائمة!$A$3:$F$112,4,FALSE),"")</f>
        <v/>
      </c>
      <c r="E631" s="36" t="str">
        <f>IFERROR(VLOOKUP(A631,القائمة!$A$3:$F$112,5,FALSE),"")</f>
        <v/>
      </c>
      <c r="F631" s="37" t="str">
        <f>IFERROR(VLOOKUP(A631,القائمة!$A$3:$F$112,6,FALSE),"")</f>
        <v/>
      </c>
      <c r="I631" s="36"/>
      <c r="P631" s="27">
        <f t="shared" si="21"/>
        <v>0</v>
      </c>
      <c r="Q631" s="27">
        <f t="shared" si="20"/>
        <v>0</v>
      </c>
    </row>
    <row r="632" spans="2:17" x14ac:dyDescent="0.45">
      <c r="B632" s="27" t="str">
        <f>IFERROR(VLOOKUP(A632,القائمة!$A$3:$F$112,2,FALSE),"")</f>
        <v/>
      </c>
      <c r="C632" s="27" t="str">
        <f>IFERROR(VLOOKUP(A632,القائمة!$A$3:$F$112,3,FALSE),"")</f>
        <v/>
      </c>
      <c r="D632" s="36" t="str">
        <f>IFERROR(VLOOKUP(A632,القائمة!$A$3:$F$112,4,FALSE),"")</f>
        <v/>
      </c>
      <c r="E632" s="36" t="str">
        <f>IFERROR(VLOOKUP(A632,القائمة!$A$3:$F$112,5,FALSE),"")</f>
        <v/>
      </c>
      <c r="F632" s="37" t="str">
        <f>IFERROR(VLOOKUP(A632,القائمة!$A$3:$F$112,6,FALSE),"")</f>
        <v/>
      </c>
      <c r="I632" s="36"/>
      <c r="P632" s="27">
        <f t="shared" si="21"/>
        <v>0</v>
      </c>
      <c r="Q632" s="27">
        <f t="shared" si="20"/>
        <v>0</v>
      </c>
    </row>
    <row r="633" spans="2:17" x14ac:dyDescent="0.45">
      <c r="B633" s="27" t="str">
        <f>IFERROR(VLOOKUP(A633,القائمة!$A$3:$F$112,2,FALSE),"")</f>
        <v/>
      </c>
      <c r="C633" s="27" t="str">
        <f>IFERROR(VLOOKUP(A633,القائمة!$A$3:$F$112,3,FALSE),"")</f>
        <v/>
      </c>
      <c r="D633" s="36" t="str">
        <f>IFERROR(VLOOKUP(A633,القائمة!$A$3:$F$112,4,FALSE),"")</f>
        <v/>
      </c>
      <c r="E633" s="36" t="str">
        <f>IFERROR(VLOOKUP(A633,القائمة!$A$3:$F$112,5,FALSE),"")</f>
        <v/>
      </c>
      <c r="F633" s="37" t="str">
        <f>IFERROR(VLOOKUP(A633,القائمة!$A$3:$F$112,6,FALSE),"")</f>
        <v/>
      </c>
      <c r="I633" s="36"/>
      <c r="P633" s="27">
        <f t="shared" si="21"/>
        <v>0</v>
      </c>
      <c r="Q633" s="27">
        <f t="shared" si="20"/>
        <v>0</v>
      </c>
    </row>
    <row r="634" spans="2:17" x14ac:dyDescent="0.45">
      <c r="B634" s="27" t="str">
        <f>IFERROR(VLOOKUP(A634,القائمة!$A$3:$F$112,2,FALSE),"")</f>
        <v/>
      </c>
      <c r="C634" s="27" t="str">
        <f>IFERROR(VLOOKUP(A634,القائمة!$A$3:$F$112,3,FALSE),"")</f>
        <v/>
      </c>
      <c r="D634" s="36" t="str">
        <f>IFERROR(VLOOKUP(A634,القائمة!$A$3:$F$112,4,FALSE),"")</f>
        <v/>
      </c>
      <c r="E634" s="36" t="str">
        <f>IFERROR(VLOOKUP(A634,القائمة!$A$3:$F$112,5,FALSE),"")</f>
        <v/>
      </c>
      <c r="F634" s="37" t="str">
        <f>IFERROR(VLOOKUP(A634,القائمة!$A$3:$F$112,6,FALSE),"")</f>
        <v/>
      </c>
      <c r="I634" s="36"/>
      <c r="P634" s="27">
        <f t="shared" si="21"/>
        <v>0</v>
      </c>
      <c r="Q634" s="27">
        <f t="shared" si="20"/>
        <v>0</v>
      </c>
    </row>
    <row r="635" spans="2:17" x14ac:dyDescent="0.45">
      <c r="B635" s="27" t="str">
        <f>IFERROR(VLOOKUP(A635,القائمة!$A$3:$F$112,2,FALSE),"")</f>
        <v/>
      </c>
      <c r="C635" s="27" t="str">
        <f>IFERROR(VLOOKUP(A635,القائمة!$A$3:$F$112,3,FALSE),"")</f>
        <v/>
      </c>
      <c r="D635" s="36" t="str">
        <f>IFERROR(VLOOKUP(A635,القائمة!$A$3:$F$112,4,FALSE),"")</f>
        <v/>
      </c>
      <c r="E635" s="36" t="str">
        <f>IFERROR(VLOOKUP(A635,القائمة!$A$3:$F$112,5,FALSE),"")</f>
        <v/>
      </c>
      <c r="F635" s="37" t="str">
        <f>IFERROR(VLOOKUP(A635,القائمة!$A$3:$F$112,6,FALSE),"")</f>
        <v/>
      </c>
      <c r="I635" s="36"/>
      <c r="P635" s="27">
        <f t="shared" si="21"/>
        <v>0</v>
      </c>
      <c r="Q635" s="27">
        <f t="shared" si="20"/>
        <v>0</v>
      </c>
    </row>
    <row r="636" spans="2:17" x14ac:dyDescent="0.45">
      <c r="B636" s="27" t="str">
        <f>IFERROR(VLOOKUP(A636,القائمة!$A$3:$F$112,2,FALSE),"")</f>
        <v/>
      </c>
      <c r="C636" s="27" t="str">
        <f>IFERROR(VLOOKUP(A636,القائمة!$A$3:$F$112,3,FALSE),"")</f>
        <v/>
      </c>
      <c r="D636" s="36" t="str">
        <f>IFERROR(VLOOKUP(A636,القائمة!$A$3:$F$112,4,FALSE),"")</f>
        <v/>
      </c>
      <c r="E636" s="36" t="str">
        <f>IFERROR(VLOOKUP(A636,القائمة!$A$3:$F$112,5,FALSE),"")</f>
        <v/>
      </c>
      <c r="F636" s="37" t="str">
        <f>IFERROR(VLOOKUP(A636,القائمة!$A$3:$F$112,6,FALSE),"")</f>
        <v/>
      </c>
      <c r="I636" s="36"/>
      <c r="P636" s="27">
        <f t="shared" si="21"/>
        <v>0</v>
      </c>
      <c r="Q636" s="27">
        <f t="shared" si="20"/>
        <v>0</v>
      </c>
    </row>
    <row r="637" spans="2:17" x14ac:dyDescent="0.45">
      <c r="B637" s="27" t="str">
        <f>IFERROR(VLOOKUP(A637,القائمة!$A$3:$F$112,2,FALSE),"")</f>
        <v/>
      </c>
      <c r="C637" s="27" t="str">
        <f>IFERROR(VLOOKUP(A637,القائمة!$A$3:$F$112,3,FALSE),"")</f>
        <v/>
      </c>
      <c r="D637" s="36" t="str">
        <f>IFERROR(VLOOKUP(A637,القائمة!$A$3:$F$112,4,FALSE),"")</f>
        <v/>
      </c>
      <c r="E637" s="36" t="str">
        <f>IFERROR(VLOOKUP(A637,القائمة!$A$3:$F$112,5,FALSE),"")</f>
        <v/>
      </c>
      <c r="F637" s="37" t="str">
        <f>IFERROR(VLOOKUP(A637,القائمة!$A$3:$F$112,6,FALSE),"")</f>
        <v/>
      </c>
      <c r="I637" s="36"/>
      <c r="P637" s="27">
        <f t="shared" si="21"/>
        <v>0</v>
      </c>
      <c r="Q637" s="27">
        <f t="shared" si="20"/>
        <v>0</v>
      </c>
    </row>
    <row r="638" spans="2:17" x14ac:dyDescent="0.45">
      <c r="B638" s="27" t="str">
        <f>IFERROR(VLOOKUP(A638,القائمة!$A$3:$F$112,2,FALSE),"")</f>
        <v/>
      </c>
      <c r="C638" s="27" t="str">
        <f>IFERROR(VLOOKUP(A638,القائمة!$A$3:$F$112,3,FALSE),"")</f>
        <v/>
      </c>
      <c r="D638" s="36" t="str">
        <f>IFERROR(VLOOKUP(A638,القائمة!$A$3:$F$112,4,FALSE),"")</f>
        <v/>
      </c>
      <c r="E638" s="36" t="str">
        <f>IFERROR(VLOOKUP(A638,القائمة!$A$3:$F$112,5,FALSE),"")</f>
        <v/>
      </c>
      <c r="F638" s="37" t="str">
        <f>IFERROR(VLOOKUP(A638,القائمة!$A$3:$F$112,6,FALSE),"")</f>
        <v/>
      </c>
      <c r="I638" s="36"/>
      <c r="P638" s="27">
        <f t="shared" si="21"/>
        <v>0</v>
      </c>
      <c r="Q638" s="27">
        <f t="shared" si="20"/>
        <v>0</v>
      </c>
    </row>
    <row r="639" spans="2:17" x14ac:dyDescent="0.45">
      <c r="B639" s="27" t="str">
        <f>IFERROR(VLOOKUP(A639,القائمة!$A$3:$F$112,2,FALSE),"")</f>
        <v/>
      </c>
      <c r="C639" s="27" t="str">
        <f>IFERROR(VLOOKUP(A639,القائمة!$A$3:$F$112,3,FALSE),"")</f>
        <v/>
      </c>
      <c r="D639" s="36" t="str">
        <f>IFERROR(VLOOKUP(A639,القائمة!$A$3:$F$112,4,FALSE),"")</f>
        <v/>
      </c>
      <c r="E639" s="36" t="str">
        <f>IFERROR(VLOOKUP(A639,القائمة!$A$3:$F$112,5,FALSE),"")</f>
        <v/>
      </c>
      <c r="F639" s="37" t="str">
        <f>IFERROR(VLOOKUP(A639,القائمة!$A$3:$F$112,6,FALSE),"")</f>
        <v/>
      </c>
      <c r="I639" s="36"/>
      <c r="P639" s="27">
        <f t="shared" si="21"/>
        <v>0</v>
      </c>
      <c r="Q639" s="27">
        <f t="shared" si="20"/>
        <v>0</v>
      </c>
    </row>
    <row r="640" spans="2:17" x14ac:dyDescent="0.45">
      <c r="B640" s="27" t="str">
        <f>IFERROR(VLOOKUP(A640,القائمة!$A$3:$F$112,2,FALSE),"")</f>
        <v/>
      </c>
      <c r="C640" s="27" t="str">
        <f>IFERROR(VLOOKUP(A640,القائمة!$A$3:$F$112,3,FALSE),"")</f>
        <v/>
      </c>
      <c r="D640" s="36" t="str">
        <f>IFERROR(VLOOKUP(A640,القائمة!$A$3:$F$112,4,FALSE),"")</f>
        <v/>
      </c>
      <c r="E640" s="36" t="str">
        <f>IFERROR(VLOOKUP(A640,القائمة!$A$3:$F$112,5,FALSE),"")</f>
        <v/>
      </c>
      <c r="F640" s="37" t="str">
        <f>IFERROR(VLOOKUP(A640,القائمة!$A$3:$F$112,6,FALSE),"")</f>
        <v/>
      </c>
      <c r="I640" s="36"/>
      <c r="P640" s="27">
        <f t="shared" si="21"/>
        <v>0</v>
      </c>
      <c r="Q640" s="27">
        <f t="shared" si="20"/>
        <v>0</v>
      </c>
    </row>
    <row r="641" spans="2:17" x14ac:dyDescent="0.45">
      <c r="B641" s="27" t="str">
        <f>IFERROR(VLOOKUP(A641,القائمة!$A$3:$F$112,2,FALSE),"")</f>
        <v/>
      </c>
      <c r="C641" s="27" t="str">
        <f>IFERROR(VLOOKUP(A641,القائمة!$A$3:$F$112,3,FALSE),"")</f>
        <v/>
      </c>
      <c r="D641" s="36" t="str">
        <f>IFERROR(VLOOKUP(A641,القائمة!$A$3:$F$112,4,FALSE),"")</f>
        <v/>
      </c>
      <c r="E641" s="36" t="str">
        <f>IFERROR(VLOOKUP(A641,القائمة!$A$3:$F$112,5,FALSE),"")</f>
        <v/>
      </c>
      <c r="F641" s="37" t="str">
        <f>IFERROR(VLOOKUP(A641,القائمة!$A$3:$F$112,6,FALSE),"")</f>
        <v/>
      </c>
      <c r="I641" s="36"/>
      <c r="P641" s="27">
        <f t="shared" si="21"/>
        <v>0</v>
      </c>
      <c r="Q641" s="27">
        <f t="shared" si="20"/>
        <v>0</v>
      </c>
    </row>
    <row r="642" spans="2:17" x14ac:dyDescent="0.45">
      <c r="B642" s="27" t="str">
        <f>IFERROR(VLOOKUP(A642,القائمة!$A$3:$F$112,2,FALSE),"")</f>
        <v/>
      </c>
      <c r="C642" s="27" t="str">
        <f>IFERROR(VLOOKUP(A642,القائمة!$A$3:$F$112,3,FALSE),"")</f>
        <v/>
      </c>
      <c r="D642" s="36" t="str">
        <f>IFERROR(VLOOKUP(A642,القائمة!$A$3:$F$112,4,FALSE),"")</f>
        <v/>
      </c>
      <c r="E642" s="36" t="str">
        <f>IFERROR(VLOOKUP(A642,القائمة!$A$3:$F$112,5,FALSE),"")</f>
        <v/>
      </c>
      <c r="F642" s="37" t="str">
        <f>IFERROR(VLOOKUP(A642,القائمة!$A$3:$F$112,6,FALSE),"")</f>
        <v/>
      </c>
      <c r="I642" s="36"/>
      <c r="P642" s="27">
        <f t="shared" si="21"/>
        <v>0</v>
      </c>
      <c r="Q642" s="27">
        <f t="shared" si="20"/>
        <v>0</v>
      </c>
    </row>
    <row r="643" spans="2:17" x14ac:dyDescent="0.45">
      <c r="B643" s="27" t="str">
        <f>IFERROR(VLOOKUP(A643,القائمة!$A$3:$F$112,2,FALSE),"")</f>
        <v/>
      </c>
      <c r="C643" s="27" t="str">
        <f>IFERROR(VLOOKUP(A643,القائمة!$A$3:$F$112,3,FALSE),"")</f>
        <v/>
      </c>
      <c r="D643" s="36" t="str">
        <f>IFERROR(VLOOKUP(A643,القائمة!$A$3:$F$112,4,FALSE),"")</f>
        <v/>
      </c>
      <c r="E643" s="36" t="str">
        <f>IFERROR(VLOOKUP(A643,القائمة!$A$3:$F$112,5,FALSE),"")</f>
        <v/>
      </c>
      <c r="F643" s="37" t="str">
        <f>IFERROR(VLOOKUP(A643,القائمة!$A$3:$F$112,6,FALSE),"")</f>
        <v/>
      </c>
      <c r="I643" s="36"/>
      <c r="P643" s="27">
        <f t="shared" si="21"/>
        <v>0</v>
      </c>
      <c r="Q643" s="27">
        <f t="shared" ref="Q643:Q706" si="22">+P643+L643-M643</f>
        <v>0</v>
      </c>
    </row>
    <row r="644" spans="2:17" x14ac:dyDescent="0.45">
      <c r="B644" s="27" t="str">
        <f>IFERROR(VLOOKUP(A644,القائمة!$A$3:$F$112,2,FALSE),"")</f>
        <v/>
      </c>
      <c r="C644" s="27" t="str">
        <f>IFERROR(VLOOKUP(A644,القائمة!$A$3:$F$112,3,FALSE),"")</f>
        <v/>
      </c>
      <c r="D644" s="36" t="str">
        <f>IFERROR(VLOOKUP(A644,القائمة!$A$3:$F$112,4,FALSE),"")</f>
        <v/>
      </c>
      <c r="E644" s="36" t="str">
        <f>IFERROR(VLOOKUP(A644,القائمة!$A$3:$F$112,5,FALSE),"")</f>
        <v/>
      </c>
      <c r="F644" s="37" t="str">
        <f>IFERROR(VLOOKUP(A644,القائمة!$A$3:$F$112,6,FALSE),"")</f>
        <v/>
      </c>
      <c r="I644" s="36"/>
      <c r="P644" s="27">
        <f t="shared" ref="P644:P707" si="23">J644-K644</f>
        <v>0</v>
      </c>
      <c r="Q644" s="27">
        <f t="shared" si="22"/>
        <v>0</v>
      </c>
    </row>
    <row r="645" spans="2:17" x14ac:dyDescent="0.45">
      <c r="B645" s="27" t="str">
        <f>IFERROR(VLOOKUP(A645,القائمة!$A$3:$F$112,2,FALSE),"")</f>
        <v/>
      </c>
      <c r="C645" s="27" t="str">
        <f>IFERROR(VLOOKUP(A645,القائمة!$A$3:$F$112,3,FALSE),"")</f>
        <v/>
      </c>
      <c r="D645" s="36" t="str">
        <f>IFERROR(VLOOKUP(A645,القائمة!$A$3:$F$112,4,FALSE),"")</f>
        <v/>
      </c>
      <c r="E645" s="36" t="str">
        <f>IFERROR(VLOOKUP(A645,القائمة!$A$3:$F$112,5,FALSE),"")</f>
        <v/>
      </c>
      <c r="F645" s="37" t="str">
        <f>IFERROR(VLOOKUP(A645,القائمة!$A$3:$F$112,6,FALSE),"")</f>
        <v/>
      </c>
      <c r="I645" s="36"/>
      <c r="P645" s="27">
        <f t="shared" si="23"/>
        <v>0</v>
      </c>
      <c r="Q645" s="27">
        <f t="shared" si="22"/>
        <v>0</v>
      </c>
    </row>
    <row r="646" spans="2:17" x14ac:dyDescent="0.45">
      <c r="B646" s="27" t="str">
        <f>IFERROR(VLOOKUP(A646,القائمة!$A$3:$F$112,2,FALSE),"")</f>
        <v/>
      </c>
      <c r="C646" s="27" t="str">
        <f>IFERROR(VLOOKUP(A646,القائمة!$A$3:$F$112,3,FALSE),"")</f>
        <v/>
      </c>
      <c r="D646" s="36" t="str">
        <f>IFERROR(VLOOKUP(A646,القائمة!$A$3:$F$112,4,FALSE),"")</f>
        <v/>
      </c>
      <c r="E646" s="36" t="str">
        <f>IFERROR(VLOOKUP(A646,القائمة!$A$3:$F$112,5,FALSE),"")</f>
        <v/>
      </c>
      <c r="F646" s="37" t="str">
        <f>IFERROR(VLOOKUP(A646,القائمة!$A$3:$F$112,6,FALSE),"")</f>
        <v/>
      </c>
      <c r="I646" s="36"/>
      <c r="P646" s="27">
        <f t="shared" si="23"/>
        <v>0</v>
      </c>
      <c r="Q646" s="27">
        <f t="shared" si="22"/>
        <v>0</v>
      </c>
    </row>
    <row r="647" spans="2:17" x14ac:dyDescent="0.45">
      <c r="B647" s="27" t="str">
        <f>IFERROR(VLOOKUP(A647,القائمة!$A$3:$F$112,2,FALSE),"")</f>
        <v/>
      </c>
      <c r="C647" s="27" t="str">
        <f>IFERROR(VLOOKUP(A647,القائمة!$A$3:$F$112,3,FALSE),"")</f>
        <v/>
      </c>
      <c r="D647" s="36" t="str">
        <f>IFERROR(VLOOKUP(A647,القائمة!$A$3:$F$112,4,FALSE),"")</f>
        <v/>
      </c>
      <c r="E647" s="36" t="str">
        <f>IFERROR(VLOOKUP(A647,القائمة!$A$3:$F$112,5,FALSE),"")</f>
        <v/>
      </c>
      <c r="F647" s="37" t="str">
        <f>IFERROR(VLOOKUP(A647,القائمة!$A$3:$F$112,6,FALSE),"")</f>
        <v/>
      </c>
      <c r="I647" s="36"/>
      <c r="P647" s="27">
        <f t="shared" si="23"/>
        <v>0</v>
      </c>
      <c r="Q647" s="27">
        <f t="shared" si="22"/>
        <v>0</v>
      </c>
    </row>
    <row r="648" spans="2:17" x14ac:dyDescent="0.45">
      <c r="B648" s="27" t="str">
        <f>IFERROR(VLOOKUP(A648,القائمة!$A$3:$F$112,2,FALSE),"")</f>
        <v/>
      </c>
      <c r="C648" s="27" t="str">
        <f>IFERROR(VLOOKUP(A648,القائمة!$A$3:$F$112,3,FALSE),"")</f>
        <v/>
      </c>
      <c r="D648" s="36" t="str">
        <f>IFERROR(VLOOKUP(A648,القائمة!$A$3:$F$112,4,FALSE),"")</f>
        <v/>
      </c>
      <c r="E648" s="36" t="str">
        <f>IFERROR(VLOOKUP(A648,القائمة!$A$3:$F$112,5,FALSE),"")</f>
        <v/>
      </c>
      <c r="F648" s="37" t="str">
        <f>IFERROR(VLOOKUP(A648,القائمة!$A$3:$F$112,6,FALSE),"")</f>
        <v/>
      </c>
      <c r="I648" s="36"/>
      <c r="P648" s="27">
        <f t="shared" si="23"/>
        <v>0</v>
      </c>
      <c r="Q648" s="27">
        <f t="shared" si="22"/>
        <v>0</v>
      </c>
    </row>
    <row r="649" spans="2:17" x14ac:dyDescent="0.45">
      <c r="B649" s="27" t="str">
        <f>IFERROR(VLOOKUP(A649,القائمة!$A$3:$F$112,2,FALSE),"")</f>
        <v/>
      </c>
      <c r="C649" s="27" t="str">
        <f>IFERROR(VLOOKUP(A649,القائمة!$A$3:$F$112,3,FALSE),"")</f>
        <v/>
      </c>
      <c r="D649" s="36" t="str">
        <f>IFERROR(VLOOKUP(A649,القائمة!$A$3:$F$112,4,FALSE),"")</f>
        <v/>
      </c>
      <c r="E649" s="36" t="str">
        <f>IFERROR(VLOOKUP(A649,القائمة!$A$3:$F$112,5,FALSE),"")</f>
        <v/>
      </c>
      <c r="F649" s="37" t="str">
        <f>IFERROR(VLOOKUP(A649,القائمة!$A$3:$F$112,6,FALSE),"")</f>
        <v/>
      </c>
      <c r="I649" s="36"/>
      <c r="P649" s="27">
        <f t="shared" si="23"/>
        <v>0</v>
      </c>
      <c r="Q649" s="27">
        <f t="shared" si="22"/>
        <v>0</v>
      </c>
    </row>
    <row r="650" spans="2:17" x14ac:dyDescent="0.45">
      <c r="B650" s="27" t="str">
        <f>IFERROR(VLOOKUP(A650,القائمة!$A$3:$F$112,2,FALSE),"")</f>
        <v/>
      </c>
      <c r="C650" s="27" t="str">
        <f>IFERROR(VLOOKUP(A650,القائمة!$A$3:$F$112,3,FALSE),"")</f>
        <v/>
      </c>
      <c r="D650" s="36" t="str">
        <f>IFERROR(VLOOKUP(A650,القائمة!$A$3:$F$112,4,FALSE),"")</f>
        <v/>
      </c>
      <c r="E650" s="36" t="str">
        <f>IFERROR(VLOOKUP(A650,القائمة!$A$3:$F$112,5,FALSE),"")</f>
        <v/>
      </c>
      <c r="F650" s="37" t="str">
        <f>IFERROR(VLOOKUP(A650,القائمة!$A$3:$F$112,6,FALSE),"")</f>
        <v/>
      </c>
      <c r="I650" s="36"/>
      <c r="P650" s="27">
        <f t="shared" si="23"/>
        <v>0</v>
      </c>
      <c r="Q650" s="27">
        <f t="shared" si="22"/>
        <v>0</v>
      </c>
    </row>
    <row r="651" spans="2:17" x14ac:dyDescent="0.45">
      <c r="B651" s="27" t="str">
        <f>IFERROR(VLOOKUP(A651,القائمة!$A$3:$F$112,2,FALSE),"")</f>
        <v/>
      </c>
      <c r="C651" s="27" t="str">
        <f>IFERROR(VLOOKUP(A651,القائمة!$A$3:$F$112,3,FALSE),"")</f>
        <v/>
      </c>
      <c r="D651" s="36" t="str">
        <f>IFERROR(VLOOKUP(A651,القائمة!$A$3:$F$112,4,FALSE),"")</f>
        <v/>
      </c>
      <c r="E651" s="36" t="str">
        <f>IFERROR(VLOOKUP(A651,القائمة!$A$3:$F$112,5,FALSE),"")</f>
        <v/>
      </c>
      <c r="F651" s="37" t="str">
        <f>IFERROR(VLOOKUP(A651,القائمة!$A$3:$F$112,6,FALSE),"")</f>
        <v/>
      </c>
      <c r="I651" s="36"/>
      <c r="P651" s="27">
        <f t="shared" si="23"/>
        <v>0</v>
      </c>
      <c r="Q651" s="27">
        <f t="shared" si="22"/>
        <v>0</v>
      </c>
    </row>
    <row r="652" spans="2:17" x14ac:dyDescent="0.45">
      <c r="B652" s="27" t="str">
        <f>IFERROR(VLOOKUP(A652,القائمة!$A$3:$F$112,2,FALSE),"")</f>
        <v/>
      </c>
      <c r="C652" s="27" t="str">
        <f>IFERROR(VLOOKUP(A652,القائمة!$A$3:$F$112,3,FALSE),"")</f>
        <v/>
      </c>
      <c r="D652" s="36" t="str">
        <f>IFERROR(VLOOKUP(A652,القائمة!$A$3:$F$112,4,FALSE),"")</f>
        <v/>
      </c>
      <c r="E652" s="36" t="str">
        <f>IFERROR(VLOOKUP(A652,القائمة!$A$3:$F$112,5,FALSE),"")</f>
        <v/>
      </c>
      <c r="F652" s="37" t="str">
        <f>IFERROR(VLOOKUP(A652,القائمة!$A$3:$F$112,6,FALSE),"")</f>
        <v/>
      </c>
      <c r="I652" s="36"/>
      <c r="P652" s="27">
        <f t="shared" si="23"/>
        <v>0</v>
      </c>
      <c r="Q652" s="27">
        <f t="shared" si="22"/>
        <v>0</v>
      </c>
    </row>
    <row r="653" spans="2:17" x14ac:dyDescent="0.45">
      <c r="B653" s="27" t="str">
        <f>IFERROR(VLOOKUP(A653,القائمة!$A$3:$F$112,2,FALSE),"")</f>
        <v/>
      </c>
      <c r="C653" s="27" t="str">
        <f>IFERROR(VLOOKUP(A653,القائمة!$A$3:$F$112,3,FALSE),"")</f>
        <v/>
      </c>
      <c r="D653" s="36" t="str">
        <f>IFERROR(VLOOKUP(A653,القائمة!$A$3:$F$112,4,FALSE),"")</f>
        <v/>
      </c>
      <c r="E653" s="36" t="str">
        <f>IFERROR(VLOOKUP(A653,القائمة!$A$3:$F$112,5,FALSE),"")</f>
        <v/>
      </c>
      <c r="F653" s="37" t="str">
        <f>IFERROR(VLOOKUP(A653,القائمة!$A$3:$F$112,6,FALSE),"")</f>
        <v/>
      </c>
      <c r="I653" s="36"/>
      <c r="P653" s="27">
        <f t="shared" si="23"/>
        <v>0</v>
      </c>
      <c r="Q653" s="27">
        <f t="shared" si="22"/>
        <v>0</v>
      </c>
    </row>
    <row r="654" spans="2:17" x14ac:dyDescent="0.45">
      <c r="B654" s="27" t="str">
        <f>IFERROR(VLOOKUP(A654,القائمة!$A$3:$F$112,2,FALSE),"")</f>
        <v/>
      </c>
      <c r="C654" s="27" t="str">
        <f>IFERROR(VLOOKUP(A654,القائمة!$A$3:$F$112,3,FALSE),"")</f>
        <v/>
      </c>
      <c r="D654" s="36" t="str">
        <f>IFERROR(VLOOKUP(A654,القائمة!$A$3:$F$112,4,FALSE),"")</f>
        <v/>
      </c>
      <c r="E654" s="36" t="str">
        <f>IFERROR(VLOOKUP(A654,القائمة!$A$3:$F$112,5,FALSE),"")</f>
        <v/>
      </c>
      <c r="F654" s="37" t="str">
        <f>IFERROR(VLOOKUP(A654,القائمة!$A$3:$F$112,6,FALSE),"")</f>
        <v/>
      </c>
      <c r="I654" s="36"/>
      <c r="P654" s="27">
        <f t="shared" si="23"/>
        <v>0</v>
      </c>
      <c r="Q654" s="27">
        <f t="shared" si="22"/>
        <v>0</v>
      </c>
    </row>
    <row r="655" spans="2:17" x14ac:dyDescent="0.45">
      <c r="B655" s="27" t="str">
        <f>IFERROR(VLOOKUP(A655,القائمة!$A$3:$F$112,2,FALSE),"")</f>
        <v/>
      </c>
      <c r="C655" s="27" t="str">
        <f>IFERROR(VLOOKUP(A655,القائمة!$A$3:$F$112,3,FALSE),"")</f>
        <v/>
      </c>
      <c r="D655" s="36" t="str">
        <f>IFERROR(VLOOKUP(A655,القائمة!$A$3:$F$112,4,FALSE),"")</f>
        <v/>
      </c>
      <c r="E655" s="36" t="str">
        <f>IFERROR(VLOOKUP(A655,القائمة!$A$3:$F$112,5,FALSE),"")</f>
        <v/>
      </c>
      <c r="F655" s="37" t="str">
        <f>IFERROR(VLOOKUP(A655,القائمة!$A$3:$F$112,6,FALSE),"")</f>
        <v/>
      </c>
      <c r="I655" s="36"/>
      <c r="P655" s="27">
        <f t="shared" si="23"/>
        <v>0</v>
      </c>
      <c r="Q655" s="27">
        <f t="shared" si="22"/>
        <v>0</v>
      </c>
    </row>
    <row r="656" spans="2:17" x14ac:dyDescent="0.45">
      <c r="B656" s="27" t="str">
        <f>IFERROR(VLOOKUP(A656,القائمة!$A$3:$F$112,2,FALSE),"")</f>
        <v/>
      </c>
      <c r="C656" s="27" t="str">
        <f>IFERROR(VLOOKUP(A656,القائمة!$A$3:$F$112,3,FALSE),"")</f>
        <v/>
      </c>
      <c r="D656" s="36" t="str">
        <f>IFERROR(VLOOKUP(A656,القائمة!$A$3:$F$112,4,FALSE),"")</f>
        <v/>
      </c>
      <c r="E656" s="36" t="str">
        <f>IFERROR(VLOOKUP(A656,القائمة!$A$3:$F$112,5,FALSE),"")</f>
        <v/>
      </c>
      <c r="F656" s="37" t="str">
        <f>IFERROR(VLOOKUP(A656,القائمة!$A$3:$F$112,6,FALSE),"")</f>
        <v/>
      </c>
      <c r="I656" s="36"/>
      <c r="P656" s="27">
        <f t="shared" si="23"/>
        <v>0</v>
      </c>
      <c r="Q656" s="27">
        <f t="shared" si="22"/>
        <v>0</v>
      </c>
    </row>
    <row r="657" spans="2:17" x14ac:dyDescent="0.45">
      <c r="B657" s="27" t="str">
        <f>IFERROR(VLOOKUP(A657,القائمة!$A$3:$F$112,2,FALSE),"")</f>
        <v/>
      </c>
      <c r="C657" s="27" t="str">
        <f>IFERROR(VLOOKUP(A657,القائمة!$A$3:$F$112,3,FALSE),"")</f>
        <v/>
      </c>
      <c r="D657" s="36" t="str">
        <f>IFERROR(VLOOKUP(A657,القائمة!$A$3:$F$112,4,FALSE),"")</f>
        <v/>
      </c>
      <c r="E657" s="36" t="str">
        <f>IFERROR(VLOOKUP(A657,القائمة!$A$3:$F$112,5,FALSE),"")</f>
        <v/>
      </c>
      <c r="F657" s="37" t="str">
        <f>IFERROR(VLOOKUP(A657,القائمة!$A$3:$F$112,6,FALSE),"")</f>
        <v/>
      </c>
      <c r="I657" s="36"/>
      <c r="P657" s="27">
        <f t="shared" si="23"/>
        <v>0</v>
      </c>
      <c r="Q657" s="27">
        <f t="shared" si="22"/>
        <v>0</v>
      </c>
    </row>
    <row r="658" spans="2:17" x14ac:dyDescent="0.45">
      <c r="B658" s="27" t="str">
        <f>IFERROR(VLOOKUP(A658,القائمة!$A$3:$F$112,2,FALSE),"")</f>
        <v/>
      </c>
      <c r="C658" s="27" t="str">
        <f>IFERROR(VLOOKUP(A658,القائمة!$A$3:$F$112,3,FALSE),"")</f>
        <v/>
      </c>
      <c r="D658" s="36" t="str">
        <f>IFERROR(VLOOKUP(A658,القائمة!$A$3:$F$112,4,FALSE),"")</f>
        <v/>
      </c>
      <c r="E658" s="36" t="str">
        <f>IFERROR(VLOOKUP(A658,القائمة!$A$3:$F$112,5,FALSE),"")</f>
        <v/>
      </c>
      <c r="F658" s="37" t="str">
        <f>IFERROR(VLOOKUP(A658,القائمة!$A$3:$F$112,6,FALSE),"")</f>
        <v/>
      </c>
      <c r="I658" s="36"/>
      <c r="P658" s="27">
        <f t="shared" si="23"/>
        <v>0</v>
      </c>
      <c r="Q658" s="27">
        <f t="shared" si="22"/>
        <v>0</v>
      </c>
    </row>
    <row r="659" spans="2:17" x14ac:dyDescent="0.45">
      <c r="B659" s="27" t="str">
        <f>IFERROR(VLOOKUP(A659,القائمة!$A$3:$F$112,2,FALSE),"")</f>
        <v/>
      </c>
      <c r="C659" s="27" t="str">
        <f>IFERROR(VLOOKUP(A659,القائمة!$A$3:$F$112,3,FALSE),"")</f>
        <v/>
      </c>
      <c r="D659" s="36" t="str">
        <f>IFERROR(VLOOKUP(A659,القائمة!$A$3:$F$112,4,FALSE),"")</f>
        <v/>
      </c>
      <c r="E659" s="36" t="str">
        <f>IFERROR(VLOOKUP(A659,القائمة!$A$3:$F$112,5,FALSE),"")</f>
        <v/>
      </c>
      <c r="F659" s="37" t="str">
        <f>IFERROR(VLOOKUP(A659,القائمة!$A$3:$F$112,6,FALSE),"")</f>
        <v/>
      </c>
      <c r="I659" s="36"/>
      <c r="P659" s="27">
        <f t="shared" si="23"/>
        <v>0</v>
      </c>
      <c r="Q659" s="27">
        <f t="shared" si="22"/>
        <v>0</v>
      </c>
    </row>
    <row r="660" spans="2:17" x14ac:dyDescent="0.45">
      <c r="B660" s="27" t="str">
        <f>IFERROR(VLOOKUP(A660,القائمة!$A$3:$F$112,2,FALSE),"")</f>
        <v/>
      </c>
      <c r="C660" s="27" t="str">
        <f>IFERROR(VLOOKUP(A660,القائمة!$A$3:$F$112,3,FALSE),"")</f>
        <v/>
      </c>
      <c r="D660" s="36" t="str">
        <f>IFERROR(VLOOKUP(A660,القائمة!$A$3:$F$112,4,FALSE),"")</f>
        <v/>
      </c>
      <c r="E660" s="36" t="str">
        <f>IFERROR(VLOOKUP(A660,القائمة!$A$3:$F$112,5,FALSE),"")</f>
        <v/>
      </c>
      <c r="F660" s="37" t="str">
        <f>IFERROR(VLOOKUP(A660,القائمة!$A$3:$F$112,6,FALSE),"")</f>
        <v/>
      </c>
      <c r="I660" s="36"/>
      <c r="P660" s="27">
        <f t="shared" si="23"/>
        <v>0</v>
      </c>
      <c r="Q660" s="27">
        <f t="shared" si="22"/>
        <v>0</v>
      </c>
    </row>
    <row r="661" spans="2:17" x14ac:dyDescent="0.45">
      <c r="B661" s="27" t="str">
        <f>IFERROR(VLOOKUP(A661,القائمة!$A$3:$F$112,2,FALSE),"")</f>
        <v/>
      </c>
      <c r="C661" s="27" t="str">
        <f>IFERROR(VLOOKUP(A661,القائمة!$A$3:$F$112,3,FALSE),"")</f>
        <v/>
      </c>
      <c r="D661" s="36" t="str">
        <f>IFERROR(VLOOKUP(A661,القائمة!$A$3:$F$112,4,FALSE),"")</f>
        <v/>
      </c>
      <c r="E661" s="36" t="str">
        <f>IFERROR(VLOOKUP(A661,القائمة!$A$3:$F$112,5,FALSE),"")</f>
        <v/>
      </c>
      <c r="F661" s="37" t="str">
        <f>IFERROR(VLOOKUP(A661,القائمة!$A$3:$F$112,6,FALSE),"")</f>
        <v/>
      </c>
      <c r="I661" s="36"/>
      <c r="P661" s="27">
        <f t="shared" si="23"/>
        <v>0</v>
      </c>
      <c r="Q661" s="27">
        <f t="shared" si="22"/>
        <v>0</v>
      </c>
    </row>
    <row r="662" spans="2:17" x14ac:dyDescent="0.45">
      <c r="B662" s="27" t="str">
        <f>IFERROR(VLOOKUP(A662,القائمة!$A$3:$F$112,2,FALSE),"")</f>
        <v/>
      </c>
      <c r="C662" s="27" t="str">
        <f>IFERROR(VLOOKUP(A662,القائمة!$A$3:$F$112,3,FALSE),"")</f>
        <v/>
      </c>
      <c r="D662" s="36" t="str">
        <f>IFERROR(VLOOKUP(A662,القائمة!$A$3:$F$112,4,FALSE),"")</f>
        <v/>
      </c>
      <c r="E662" s="36" t="str">
        <f>IFERROR(VLOOKUP(A662,القائمة!$A$3:$F$112,5,FALSE),"")</f>
        <v/>
      </c>
      <c r="F662" s="37" t="str">
        <f>IFERROR(VLOOKUP(A662,القائمة!$A$3:$F$112,6,FALSE),"")</f>
        <v/>
      </c>
      <c r="I662" s="36"/>
      <c r="P662" s="27">
        <f t="shared" si="23"/>
        <v>0</v>
      </c>
      <c r="Q662" s="27">
        <f t="shared" si="22"/>
        <v>0</v>
      </c>
    </row>
    <row r="663" spans="2:17" x14ac:dyDescent="0.45">
      <c r="B663" s="27" t="str">
        <f>IFERROR(VLOOKUP(A663,القائمة!$A$3:$F$112,2,FALSE),"")</f>
        <v/>
      </c>
      <c r="C663" s="27" t="str">
        <f>IFERROR(VLOOKUP(A663,القائمة!$A$3:$F$112,3,FALSE),"")</f>
        <v/>
      </c>
      <c r="D663" s="36" t="str">
        <f>IFERROR(VLOOKUP(A663,القائمة!$A$3:$F$112,4,FALSE),"")</f>
        <v/>
      </c>
      <c r="E663" s="36" t="str">
        <f>IFERROR(VLOOKUP(A663,القائمة!$A$3:$F$112,5,FALSE),"")</f>
        <v/>
      </c>
      <c r="F663" s="37" t="str">
        <f>IFERROR(VLOOKUP(A663,القائمة!$A$3:$F$112,6,FALSE),"")</f>
        <v/>
      </c>
      <c r="I663" s="36"/>
      <c r="P663" s="27">
        <f t="shared" si="23"/>
        <v>0</v>
      </c>
      <c r="Q663" s="27">
        <f t="shared" si="22"/>
        <v>0</v>
      </c>
    </row>
    <row r="664" spans="2:17" x14ac:dyDescent="0.45">
      <c r="B664" s="27" t="str">
        <f>IFERROR(VLOOKUP(A664,القائمة!$A$3:$F$112,2,FALSE),"")</f>
        <v/>
      </c>
      <c r="C664" s="27" t="str">
        <f>IFERROR(VLOOKUP(A664,القائمة!$A$3:$F$112,3,FALSE),"")</f>
        <v/>
      </c>
      <c r="D664" s="36" t="str">
        <f>IFERROR(VLOOKUP(A664,القائمة!$A$3:$F$112,4,FALSE),"")</f>
        <v/>
      </c>
      <c r="E664" s="36" t="str">
        <f>IFERROR(VLOOKUP(A664,القائمة!$A$3:$F$112,5,FALSE),"")</f>
        <v/>
      </c>
      <c r="F664" s="37" t="str">
        <f>IFERROR(VLOOKUP(A664,القائمة!$A$3:$F$112,6,FALSE),"")</f>
        <v/>
      </c>
      <c r="I664" s="36"/>
      <c r="P664" s="27">
        <f t="shared" si="23"/>
        <v>0</v>
      </c>
      <c r="Q664" s="27">
        <f t="shared" si="22"/>
        <v>0</v>
      </c>
    </row>
    <row r="665" spans="2:17" x14ac:dyDescent="0.45">
      <c r="B665" s="27" t="str">
        <f>IFERROR(VLOOKUP(A665,القائمة!$A$3:$F$112,2,FALSE),"")</f>
        <v/>
      </c>
      <c r="C665" s="27" t="str">
        <f>IFERROR(VLOOKUP(A665,القائمة!$A$3:$F$112,3,FALSE),"")</f>
        <v/>
      </c>
      <c r="D665" s="36" t="str">
        <f>IFERROR(VLOOKUP(A665,القائمة!$A$3:$F$112,4,FALSE),"")</f>
        <v/>
      </c>
      <c r="E665" s="36" t="str">
        <f>IFERROR(VLOOKUP(A665,القائمة!$A$3:$F$112,5,FALSE),"")</f>
        <v/>
      </c>
      <c r="F665" s="37" t="str">
        <f>IFERROR(VLOOKUP(A665,القائمة!$A$3:$F$112,6,FALSE),"")</f>
        <v/>
      </c>
      <c r="I665" s="36"/>
      <c r="P665" s="27">
        <f t="shared" si="23"/>
        <v>0</v>
      </c>
      <c r="Q665" s="27">
        <f t="shared" si="22"/>
        <v>0</v>
      </c>
    </row>
    <row r="666" spans="2:17" x14ac:dyDescent="0.45">
      <c r="B666" s="27" t="str">
        <f>IFERROR(VLOOKUP(A666,القائمة!$A$3:$F$112,2,FALSE),"")</f>
        <v/>
      </c>
      <c r="C666" s="27" t="str">
        <f>IFERROR(VLOOKUP(A666,القائمة!$A$3:$F$112,3,FALSE),"")</f>
        <v/>
      </c>
      <c r="D666" s="36" t="str">
        <f>IFERROR(VLOOKUP(A666,القائمة!$A$3:$F$112,4,FALSE),"")</f>
        <v/>
      </c>
      <c r="E666" s="36" t="str">
        <f>IFERROR(VLOOKUP(A666,القائمة!$A$3:$F$112,5,FALSE),"")</f>
        <v/>
      </c>
      <c r="F666" s="37" t="str">
        <f>IFERROR(VLOOKUP(A666,القائمة!$A$3:$F$112,6,FALSE),"")</f>
        <v/>
      </c>
      <c r="I666" s="36"/>
      <c r="P666" s="27">
        <f t="shared" si="23"/>
        <v>0</v>
      </c>
      <c r="Q666" s="27">
        <f t="shared" si="22"/>
        <v>0</v>
      </c>
    </row>
    <row r="667" spans="2:17" x14ac:dyDescent="0.45">
      <c r="B667" s="27" t="str">
        <f>IFERROR(VLOOKUP(A667,القائمة!$A$3:$F$112,2,FALSE),"")</f>
        <v/>
      </c>
      <c r="C667" s="27" t="str">
        <f>IFERROR(VLOOKUP(A667,القائمة!$A$3:$F$112,3,FALSE),"")</f>
        <v/>
      </c>
      <c r="D667" s="36" t="str">
        <f>IFERROR(VLOOKUP(A667,القائمة!$A$3:$F$112,4,FALSE),"")</f>
        <v/>
      </c>
      <c r="E667" s="36" t="str">
        <f>IFERROR(VLOOKUP(A667,القائمة!$A$3:$F$112,5,FALSE),"")</f>
        <v/>
      </c>
      <c r="F667" s="37" t="str">
        <f>IFERROR(VLOOKUP(A667,القائمة!$A$3:$F$112,6,FALSE),"")</f>
        <v/>
      </c>
      <c r="I667" s="36"/>
      <c r="P667" s="27">
        <f t="shared" si="23"/>
        <v>0</v>
      </c>
      <c r="Q667" s="27">
        <f t="shared" si="22"/>
        <v>0</v>
      </c>
    </row>
    <row r="668" spans="2:17" x14ac:dyDescent="0.45">
      <c r="B668" s="27" t="str">
        <f>IFERROR(VLOOKUP(A668,القائمة!$A$3:$F$112,2,FALSE),"")</f>
        <v/>
      </c>
      <c r="C668" s="27" t="str">
        <f>IFERROR(VLOOKUP(A668,القائمة!$A$3:$F$112,3,FALSE),"")</f>
        <v/>
      </c>
      <c r="D668" s="36" t="str">
        <f>IFERROR(VLOOKUP(A668,القائمة!$A$3:$F$112,4,FALSE),"")</f>
        <v/>
      </c>
      <c r="E668" s="36" t="str">
        <f>IFERROR(VLOOKUP(A668,القائمة!$A$3:$F$112,5,FALSE),"")</f>
        <v/>
      </c>
      <c r="F668" s="37" t="str">
        <f>IFERROR(VLOOKUP(A668,القائمة!$A$3:$F$112,6,FALSE),"")</f>
        <v/>
      </c>
      <c r="I668" s="36"/>
      <c r="P668" s="27">
        <f t="shared" si="23"/>
        <v>0</v>
      </c>
      <c r="Q668" s="27">
        <f t="shared" si="22"/>
        <v>0</v>
      </c>
    </row>
    <row r="669" spans="2:17" x14ac:dyDescent="0.45">
      <c r="B669" s="27" t="str">
        <f>IFERROR(VLOOKUP(A669,القائمة!$A$3:$F$112,2,FALSE),"")</f>
        <v/>
      </c>
      <c r="C669" s="27" t="str">
        <f>IFERROR(VLOOKUP(A669,القائمة!$A$3:$F$112,3,FALSE),"")</f>
        <v/>
      </c>
      <c r="D669" s="36" t="str">
        <f>IFERROR(VLOOKUP(A669,القائمة!$A$3:$F$112,4,FALSE),"")</f>
        <v/>
      </c>
      <c r="E669" s="36" t="str">
        <f>IFERROR(VLOOKUP(A669,القائمة!$A$3:$F$112,5,FALSE),"")</f>
        <v/>
      </c>
      <c r="F669" s="37" t="str">
        <f>IFERROR(VLOOKUP(A669,القائمة!$A$3:$F$112,6,FALSE),"")</f>
        <v/>
      </c>
      <c r="I669" s="36"/>
      <c r="P669" s="27">
        <f t="shared" si="23"/>
        <v>0</v>
      </c>
      <c r="Q669" s="27">
        <f t="shared" si="22"/>
        <v>0</v>
      </c>
    </row>
    <row r="670" spans="2:17" x14ac:dyDescent="0.45">
      <c r="B670" s="27" t="str">
        <f>IFERROR(VLOOKUP(A670,القائمة!$A$3:$F$112,2,FALSE),"")</f>
        <v/>
      </c>
      <c r="C670" s="27" t="str">
        <f>IFERROR(VLOOKUP(A670,القائمة!$A$3:$F$112,3,FALSE),"")</f>
        <v/>
      </c>
      <c r="D670" s="36" t="str">
        <f>IFERROR(VLOOKUP(A670,القائمة!$A$3:$F$112,4,FALSE),"")</f>
        <v/>
      </c>
      <c r="E670" s="36" t="str">
        <f>IFERROR(VLOOKUP(A670,القائمة!$A$3:$F$112,5,FALSE),"")</f>
        <v/>
      </c>
      <c r="F670" s="37" t="str">
        <f>IFERROR(VLOOKUP(A670,القائمة!$A$3:$F$112,6,FALSE),"")</f>
        <v/>
      </c>
      <c r="I670" s="36"/>
      <c r="P670" s="27">
        <f t="shared" si="23"/>
        <v>0</v>
      </c>
      <c r="Q670" s="27">
        <f t="shared" si="22"/>
        <v>0</v>
      </c>
    </row>
    <row r="671" spans="2:17" x14ac:dyDescent="0.45">
      <c r="B671" s="27" t="str">
        <f>IFERROR(VLOOKUP(A671,القائمة!$A$3:$F$112,2,FALSE),"")</f>
        <v/>
      </c>
      <c r="C671" s="27" t="str">
        <f>IFERROR(VLOOKUP(A671,القائمة!$A$3:$F$112,3,FALSE),"")</f>
        <v/>
      </c>
      <c r="D671" s="36" t="str">
        <f>IFERROR(VLOOKUP(A671,القائمة!$A$3:$F$112,4,FALSE),"")</f>
        <v/>
      </c>
      <c r="E671" s="36" t="str">
        <f>IFERROR(VLOOKUP(A671,القائمة!$A$3:$F$112,5,FALSE),"")</f>
        <v/>
      </c>
      <c r="F671" s="37" t="str">
        <f>IFERROR(VLOOKUP(A671,القائمة!$A$3:$F$112,6,FALSE),"")</f>
        <v/>
      </c>
      <c r="I671" s="36"/>
      <c r="P671" s="27">
        <f t="shared" si="23"/>
        <v>0</v>
      </c>
      <c r="Q671" s="27">
        <f t="shared" si="22"/>
        <v>0</v>
      </c>
    </row>
    <row r="672" spans="2:17" x14ac:dyDescent="0.45">
      <c r="B672" s="27" t="str">
        <f>IFERROR(VLOOKUP(A672,القائمة!$A$3:$F$112,2,FALSE),"")</f>
        <v/>
      </c>
      <c r="C672" s="27" t="str">
        <f>IFERROR(VLOOKUP(A672,القائمة!$A$3:$F$112,3,FALSE),"")</f>
        <v/>
      </c>
      <c r="D672" s="36" t="str">
        <f>IFERROR(VLOOKUP(A672,القائمة!$A$3:$F$112,4,FALSE),"")</f>
        <v/>
      </c>
      <c r="E672" s="36" t="str">
        <f>IFERROR(VLOOKUP(A672,القائمة!$A$3:$F$112,5,FALSE),"")</f>
        <v/>
      </c>
      <c r="F672" s="37" t="str">
        <f>IFERROR(VLOOKUP(A672,القائمة!$A$3:$F$112,6,FALSE),"")</f>
        <v/>
      </c>
      <c r="I672" s="36"/>
      <c r="P672" s="27">
        <f t="shared" si="23"/>
        <v>0</v>
      </c>
      <c r="Q672" s="27">
        <f t="shared" si="22"/>
        <v>0</v>
      </c>
    </row>
    <row r="673" spans="2:17" x14ac:dyDescent="0.45">
      <c r="B673" s="27" t="str">
        <f>IFERROR(VLOOKUP(A673,القائمة!$A$3:$F$112,2,FALSE),"")</f>
        <v/>
      </c>
      <c r="C673" s="27" t="str">
        <f>IFERROR(VLOOKUP(A673,القائمة!$A$3:$F$112,3,FALSE),"")</f>
        <v/>
      </c>
      <c r="D673" s="36" t="str">
        <f>IFERROR(VLOOKUP(A673,القائمة!$A$3:$F$112,4,FALSE),"")</f>
        <v/>
      </c>
      <c r="E673" s="36" t="str">
        <f>IFERROR(VLOOKUP(A673,القائمة!$A$3:$F$112,5,FALSE),"")</f>
        <v/>
      </c>
      <c r="F673" s="37" t="str">
        <f>IFERROR(VLOOKUP(A673,القائمة!$A$3:$F$112,6,FALSE),"")</f>
        <v/>
      </c>
      <c r="I673" s="36"/>
      <c r="P673" s="27">
        <f t="shared" si="23"/>
        <v>0</v>
      </c>
      <c r="Q673" s="27">
        <f t="shared" si="22"/>
        <v>0</v>
      </c>
    </row>
    <row r="674" spans="2:17" x14ac:dyDescent="0.45">
      <c r="B674" s="27" t="str">
        <f>IFERROR(VLOOKUP(A674,القائمة!$A$3:$F$112,2,FALSE),"")</f>
        <v/>
      </c>
      <c r="C674" s="27" t="str">
        <f>IFERROR(VLOOKUP(A674,القائمة!$A$3:$F$112,3,FALSE),"")</f>
        <v/>
      </c>
      <c r="D674" s="36" t="str">
        <f>IFERROR(VLOOKUP(A674,القائمة!$A$3:$F$112,4,FALSE),"")</f>
        <v/>
      </c>
      <c r="E674" s="36" t="str">
        <f>IFERROR(VLOOKUP(A674,القائمة!$A$3:$F$112,5,FALSE),"")</f>
        <v/>
      </c>
      <c r="F674" s="37" t="str">
        <f>IFERROR(VLOOKUP(A674,القائمة!$A$3:$F$112,6,FALSE),"")</f>
        <v/>
      </c>
      <c r="I674" s="36"/>
      <c r="P674" s="27">
        <f t="shared" si="23"/>
        <v>0</v>
      </c>
      <c r="Q674" s="27">
        <f t="shared" si="22"/>
        <v>0</v>
      </c>
    </row>
    <row r="675" spans="2:17" x14ac:dyDescent="0.45">
      <c r="B675" s="27" t="str">
        <f>IFERROR(VLOOKUP(A675,القائمة!$A$3:$F$112,2,FALSE),"")</f>
        <v/>
      </c>
      <c r="C675" s="27" t="str">
        <f>IFERROR(VLOOKUP(A675,القائمة!$A$3:$F$112,3,FALSE),"")</f>
        <v/>
      </c>
      <c r="D675" s="36" t="str">
        <f>IFERROR(VLOOKUP(A675,القائمة!$A$3:$F$112,4,FALSE),"")</f>
        <v/>
      </c>
      <c r="E675" s="36" t="str">
        <f>IFERROR(VLOOKUP(A675,القائمة!$A$3:$F$112,5,FALSE),"")</f>
        <v/>
      </c>
      <c r="F675" s="37" t="str">
        <f>IFERROR(VLOOKUP(A675,القائمة!$A$3:$F$112,6,FALSE),"")</f>
        <v/>
      </c>
      <c r="I675" s="36"/>
      <c r="P675" s="27">
        <f t="shared" si="23"/>
        <v>0</v>
      </c>
      <c r="Q675" s="27">
        <f t="shared" si="22"/>
        <v>0</v>
      </c>
    </row>
    <row r="676" spans="2:17" x14ac:dyDescent="0.45">
      <c r="B676" s="27" t="str">
        <f>IFERROR(VLOOKUP(A676,القائمة!$A$3:$F$112,2,FALSE),"")</f>
        <v/>
      </c>
      <c r="C676" s="27" t="str">
        <f>IFERROR(VLOOKUP(A676,القائمة!$A$3:$F$112,3,FALSE),"")</f>
        <v/>
      </c>
      <c r="D676" s="36" t="str">
        <f>IFERROR(VLOOKUP(A676,القائمة!$A$3:$F$112,4,FALSE),"")</f>
        <v/>
      </c>
      <c r="E676" s="36" t="str">
        <f>IFERROR(VLOOKUP(A676,القائمة!$A$3:$F$112,5,FALSE),"")</f>
        <v/>
      </c>
      <c r="F676" s="37" t="str">
        <f>IFERROR(VLOOKUP(A676,القائمة!$A$3:$F$112,6,FALSE),"")</f>
        <v/>
      </c>
      <c r="I676" s="36"/>
      <c r="P676" s="27">
        <f t="shared" si="23"/>
        <v>0</v>
      </c>
      <c r="Q676" s="27">
        <f t="shared" si="22"/>
        <v>0</v>
      </c>
    </row>
    <row r="677" spans="2:17" x14ac:dyDescent="0.45">
      <c r="B677" s="27" t="str">
        <f>IFERROR(VLOOKUP(A677,القائمة!$A$3:$F$112,2,FALSE),"")</f>
        <v/>
      </c>
      <c r="C677" s="27" t="str">
        <f>IFERROR(VLOOKUP(A677,القائمة!$A$3:$F$112,3,FALSE),"")</f>
        <v/>
      </c>
      <c r="D677" s="36" t="str">
        <f>IFERROR(VLOOKUP(A677,القائمة!$A$3:$F$112,4,FALSE),"")</f>
        <v/>
      </c>
      <c r="E677" s="36" t="str">
        <f>IFERROR(VLOOKUP(A677,القائمة!$A$3:$F$112,5,FALSE),"")</f>
        <v/>
      </c>
      <c r="F677" s="37" t="str">
        <f>IFERROR(VLOOKUP(A677,القائمة!$A$3:$F$112,6,FALSE),"")</f>
        <v/>
      </c>
      <c r="I677" s="36"/>
      <c r="P677" s="27">
        <f t="shared" si="23"/>
        <v>0</v>
      </c>
      <c r="Q677" s="27">
        <f t="shared" si="22"/>
        <v>0</v>
      </c>
    </row>
    <row r="678" spans="2:17" x14ac:dyDescent="0.45">
      <c r="B678" s="27" t="str">
        <f>IFERROR(VLOOKUP(A678,القائمة!$A$3:$F$112,2,FALSE),"")</f>
        <v/>
      </c>
      <c r="C678" s="27" t="str">
        <f>IFERROR(VLOOKUP(A678,القائمة!$A$3:$F$112,3,FALSE),"")</f>
        <v/>
      </c>
      <c r="D678" s="36" t="str">
        <f>IFERROR(VLOOKUP(A678,القائمة!$A$3:$F$112,4,FALSE),"")</f>
        <v/>
      </c>
      <c r="E678" s="36" t="str">
        <f>IFERROR(VLOOKUP(A678,القائمة!$A$3:$F$112,5,FALSE),"")</f>
        <v/>
      </c>
      <c r="F678" s="37" t="str">
        <f>IFERROR(VLOOKUP(A678,القائمة!$A$3:$F$112,6,FALSE),"")</f>
        <v/>
      </c>
      <c r="I678" s="36"/>
      <c r="P678" s="27">
        <f t="shared" si="23"/>
        <v>0</v>
      </c>
      <c r="Q678" s="27">
        <f t="shared" si="22"/>
        <v>0</v>
      </c>
    </row>
    <row r="679" spans="2:17" x14ac:dyDescent="0.45">
      <c r="B679" s="27" t="str">
        <f>IFERROR(VLOOKUP(A679,القائمة!$A$3:$F$112,2,FALSE),"")</f>
        <v/>
      </c>
      <c r="C679" s="27" t="str">
        <f>IFERROR(VLOOKUP(A679,القائمة!$A$3:$F$112,3,FALSE),"")</f>
        <v/>
      </c>
      <c r="D679" s="36" t="str">
        <f>IFERROR(VLOOKUP(A679,القائمة!$A$3:$F$112,4,FALSE),"")</f>
        <v/>
      </c>
      <c r="E679" s="36" t="str">
        <f>IFERROR(VLOOKUP(A679,القائمة!$A$3:$F$112,5,FALSE),"")</f>
        <v/>
      </c>
      <c r="F679" s="37" t="str">
        <f>IFERROR(VLOOKUP(A679,القائمة!$A$3:$F$112,6,FALSE),"")</f>
        <v/>
      </c>
      <c r="I679" s="36"/>
      <c r="P679" s="27">
        <f t="shared" si="23"/>
        <v>0</v>
      </c>
      <c r="Q679" s="27">
        <f t="shared" si="22"/>
        <v>0</v>
      </c>
    </row>
    <row r="680" spans="2:17" x14ac:dyDescent="0.45">
      <c r="B680" s="27" t="str">
        <f>IFERROR(VLOOKUP(A680,القائمة!$A$3:$F$112,2,FALSE),"")</f>
        <v/>
      </c>
      <c r="C680" s="27" t="str">
        <f>IFERROR(VLOOKUP(A680,القائمة!$A$3:$F$112,3,FALSE),"")</f>
        <v/>
      </c>
      <c r="D680" s="36" t="str">
        <f>IFERROR(VLOOKUP(A680,القائمة!$A$3:$F$112,4,FALSE),"")</f>
        <v/>
      </c>
      <c r="E680" s="36" t="str">
        <f>IFERROR(VLOOKUP(A680,القائمة!$A$3:$F$112,5,FALSE),"")</f>
        <v/>
      </c>
      <c r="F680" s="37" t="str">
        <f>IFERROR(VLOOKUP(A680,القائمة!$A$3:$F$112,6,FALSE),"")</f>
        <v/>
      </c>
      <c r="I680" s="36"/>
      <c r="P680" s="27">
        <f t="shared" si="23"/>
        <v>0</v>
      </c>
      <c r="Q680" s="27">
        <f t="shared" si="22"/>
        <v>0</v>
      </c>
    </row>
    <row r="681" spans="2:17" x14ac:dyDescent="0.45">
      <c r="B681" s="27" t="str">
        <f>IFERROR(VLOOKUP(A681,القائمة!$A$3:$F$112,2,FALSE),"")</f>
        <v/>
      </c>
      <c r="C681" s="27" t="str">
        <f>IFERROR(VLOOKUP(A681,القائمة!$A$3:$F$112,3,FALSE),"")</f>
        <v/>
      </c>
      <c r="D681" s="36" t="str">
        <f>IFERROR(VLOOKUP(A681,القائمة!$A$3:$F$112,4,FALSE),"")</f>
        <v/>
      </c>
      <c r="E681" s="36" t="str">
        <f>IFERROR(VLOOKUP(A681,القائمة!$A$3:$F$112,5,FALSE),"")</f>
        <v/>
      </c>
      <c r="F681" s="37" t="str">
        <f>IFERROR(VLOOKUP(A681,القائمة!$A$3:$F$112,6,FALSE),"")</f>
        <v/>
      </c>
      <c r="I681" s="36"/>
      <c r="P681" s="27">
        <f t="shared" si="23"/>
        <v>0</v>
      </c>
      <c r="Q681" s="27">
        <f t="shared" si="22"/>
        <v>0</v>
      </c>
    </row>
    <row r="682" spans="2:17" x14ac:dyDescent="0.45">
      <c r="B682" s="27" t="str">
        <f>IFERROR(VLOOKUP(A682,القائمة!$A$3:$F$112,2,FALSE),"")</f>
        <v/>
      </c>
      <c r="C682" s="27" t="str">
        <f>IFERROR(VLOOKUP(A682,القائمة!$A$3:$F$112,3,FALSE),"")</f>
        <v/>
      </c>
      <c r="D682" s="36" t="str">
        <f>IFERROR(VLOOKUP(A682,القائمة!$A$3:$F$112,4,FALSE),"")</f>
        <v/>
      </c>
      <c r="E682" s="36" t="str">
        <f>IFERROR(VLOOKUP(A682,القائمة!$A$3:$F$112,5,FALSE),"")</f>
        <v/>
      </c>
      <c r="F682" s="37" t="str">
        <f>IFERROR(VLOOKUP(A682,القائمة!$A$3:$F$112,6,FALSE),"")</f>
        <v/>
      </c>
      <c r="I682" s="36"/>
      <c r="P682" s="27">
        <f t="shared" si="23"/>
        <v>0</v>
      </c>
      <c r="Q682" s="27">
        <f t="shared" si="22"/>
        <v>0</v>
      </c>
    </row>
    <row r="683" spans="2:17" x14ac:dyDescent="0.45">
      <c r="B683" s="27" t="str">
        <f>IFERROR(VLOOKUP(A683,القائمة!$A$3:$F$112,2,FALSE),"")</f>
        <v/>
      </c>
      <c r="C683" s="27" t="str">
        <f>IFERROR(VLOOKUP(A683,القائمة!$A$3:$F$112,3,FALSE),"")</f>
        <v/>
      </c>
      <c r="D683" s="36" t="str">
        <f>IFERROR(VLOOKUP(A683,القائمة!$A$3:$F$112,4,FALSE),"")</f>
        <v/>
      </c>
      <c r="E683" s="36" t="str">
        <f>IFERROR(VLOOKUP(A683,القائمة!$A$3:$F$112,5,FALSE),"")</f>
        <v/>
      </c>
      <c r="F683" s="37" t="str">
        <f>IFERROR(VLOOKUP(A683,القائمة!$A$3:$F$112,6,FALSE),"")</f>
        <v/>
      </c>
      <c r="I683" s="36"/>
      <c r="P683" s="27">
        <f t="shared" si="23"/>
        <v>0</v>
      </c>
      <c r="Q683" s="27">
        <f t="shared" si="22"/>
        <v>0</v>
      </c>
    </row>
    <row r="684" spans="2:17" x14ac:dyDescent="0.45">
      <c r="B684" s="27" t="str">
        <f>IFERROR(VLOOKUP(A684,القائمة!$A$3:$F$112,2,FALSE),"")</f>
        <v/>
      </c>
      <c r="C684" s="27" t="str">
        <f>IFERROR(VLOOKUP(A684,القائمة!$A$3:$F$112,3,FALSE),"")</f>
        <v/>
      </c>
      <c r="D684" s="36" t="str">
        <f>IFERROR(VLOOKUP(A684,القائمة!$A$3:$F$112,4,FALSE),"")</f>
        <v/>
      </c>
      <c r="E684" s="36" t="str">
        <f>IFERROR(VLOOKUP(A684,القائمة!$A$3:$F$112,5,FALSE),"")</f>
        <v/>
      </c>
      <c r="F684" s="37" t="str">
        <f>IFERROR(VLOOKUP(A684,القائمة!$A$3:$F$112,6,FALSE),"")</f>
        <v/>
      </c>
      <c r="I684" s="36"/>
      <c r="P684" s="27">
        <f t="shared" si="23"/>
        <v>0</v>
      </c>
      <c r="Q684" s="27">
        <f t="shared" si="22"/>
        <v>0</v>
      </c>
    </row>
    <row r="685" spans="2:17" x14ac:dyDescent="0.45">
      <c r="B685" s="27" t="str">
        <f>IFERROR(VLOOKUP(A685,القائمة!$A$3:$F$112,2,FALSE),"")</f>
        <v/>
      </c>
      <c r="C685" s="27" t="str">
        <f>IFERROR(VLOOKUP(A685,القائمة!$A$3:$F$112,3,FALSE),"")</f>
        <v/>
      </c>
      <c r="D685" s="36" t="str">
        <f>IFERROR(VLOOKUP(A685,القائمة!$A$3:$F$112,4,FALSE),"")</f>
        <v/>
      </c>
      <c r="E685" s="36" t="str">
        <f>IFERROR(VLOOKUP(A685,القائمة!$A$3:$F$112,5,FALSE),"")</f>
        <v/>
      </c>
      <c r="F685" s="37" t="str">
        <f>IFERROR(VLOOKUP(A685,القائمة!$A$3:$F$112,6,FALSE),"")</f>
        <v/>
      </c>
      <c r="I685" s="36"/>
      <c r="P685" s="27">
        <f t="shared" si="23"/>
        <v>0</v>
      </c>
      <c r="Q685" s="27">
        <f t="shared" si="22"/>
        <v>0</v>
      </c>
    </row>
    <row r="686" spans="2:17" x14ac:dyDescent="0.45">
      <c r="B686" s="27" t="str">
        <f>IFERROR(VLOOKUP(A686,القائمة!$A$3:$F$112,2,FALSE),"")</f>
        <v/>
      </c>
      <c r="C686" s="27" t="str">
        <f>IFERROR(VLOOKUP(A686,القائمة!$A$3:$F$112,3,FALSE),"")</f>
        <v/>
      </c>
      <c r="D686" s="36" t="str">
        <f>IFERROR(VLOOKUP(A686,القائمة!$A$3:$F$112,4,FALSE),"")</f>
        <v/>
      </c>
      <c r="E686" s="36" t="str">
        <f>IFERROR(VLOOKUP(A686,القائمة!$A$3:$F$112,5,FALSE),"")</f>
        <v/>
      </c>
      <c r="F686" s="37" t="str">
        <f>IFERROR(VLOOKUP(A686,القائمة!$A$3:$F$112,6,FALSE),"")</f>
        <v/>
      </c>
      <c r="I686" s="36"/>
      <c r="P686" s="27">
        <f t="shared" si="23"/>
        <v>0</v>
      </c>
      <c r="Q686" s="27">
        <f t="shared" si="22"/>
        <v>0</v>
      </c>
    </row>
    <row r="687" spans="2:17" x14ac:dyDescent="0.45">
      <c r="B687" s="27" t="str">
        <f>IFERROR(VLOOKUP(A687,القائمة!$A$3:$F$112,2,FALSE),"")</f>
        <v/>
      </c>
      <c r="C687" s="27" t="str">
        <f>IFERROR(VLOOKUP(A687,القائمة!$A$3:$F$112,3,FALSE),"")</f>
        <v/>
      </c>
      <c r="D687" s="36" t="str">
        <f>IFERROR(VLOOKUP(A687,القائمة!$A$3:$F$112,4,FALSE),"")</f>
        <v/>
      </c>
      <c r="E687" s="36" t="str">
        <f>IFERROR(VLOOKUP(A687,القائمة!$A$3:$F$112,5,FALSE),"")</f>
        <v/>
      </c>
      <c r="F687" s="37" t="str">
        <f>IFERROR(VLOOKUP(A687,القائمة!$A$3:$F$112,6,FALSE),"")</f>
        <v/>
      </c>
      <c r="I687" s="36"/>
      <c r="P687" s="27">
        <f t="shared" si="23"/>
        <v>0</v>
      </c>
      <c r="Q687" s="27">
        <f t="shared" si="22"/>
        <v>0</v>
      </c>
    </row>
    <row r="688" spans="2:17" x14ac:dyDescent="0.45">
      <c r="B688" s="27" t="str">
        <f>IFERROR(VLOOKUP(A688,القائمة!$A$3:$F$112,2,FALSE),"")</f>
        <v/>
      </c>
      <c r="C688" s="27" t="str">
        <f>IFERROR(VLOOKUP(A688,القائمة!$A$3:$F$112,3,FALSE),"")</f>
        <v/>
      </c>
      <c r="D688" s="36" t="str">
        <f>IFERROR(VLOOKUP(A688,القائمة!$A$3:$F$112,4,FALSE),"")</f>
        <v/>
      </c>
      <c r="E688" s="36" t="str">
        <f>IFERROR(VLOOKUP(A688,القائمة!$A$3:$F$112,5,FALSE),"")</f>
        <v/>
      </c>
      <c r="F688" s="37" t="str">
        <f>IFERROR(VLOOKUP(A688,القائمة!$A$3:$F$112,6,FALSE),"")</f>
        <v/>
      </c>
      <c r="I688" s="36"/>
      <c r="P688" s="27">
        <f t="shared" si="23"/>
        <v>0</v>
      </c>
      <c r="Q688" s="27">
        <f t="shared" si="22"/>
        <v>0</v>
      </c>
    </row>
    <row r="689" spans="2:17" x14ac:dyDescent="0.45">
      <c r="B689" s="27" t="str">
        <f>IFERROR(VLOOKUP(A689,القائمة!$A$3:$F$112,2,FALSE),"")</f>
        <v/>
      </c>
      <c r="C689" s="27" t="str">
        <f>IFERROR(VLOOKUP(A689,القائمة!$A$3:$F$112,3,FALSE),"")</f>
        <v/>
      </c>
      <c r="D689" s="36" t="str">
        <f>IFERROR(VLOOKUP(A689,القائمة!$A$3:$F$112,4,FALSE),"")</f>
        <v/>
      </c>
      <c r="E689" s="36" t="str">
        <f>IFERROR(VLOOKUP(A689,القائمة!$A$3:$F$112,5,FALSE),"")</f>
        <v/>
      </c>
      <c r="F689" s="37" t="str">
        <f>IFERROR(VLOOKUP(A689,القائمة!$A$3:$F$112,6,FALSE),"")</f>
        <v/>
      </c>
      <c r="I689" s="36"/>
      <c r="P689" s="27">
        <f t="shared" si="23"/>
        <v>0</v>
      </c>
      <c r="Q689" s="27">
        <f t="shared" si="22"/>
        <v>0</v>
      </c>
    </row>
    <row r="690" spans="2:17" x14ac:dyDescent="0.45">
      <c r="B690" s="27" t="str">
        <f>IFERROR(VLOOKUP(A690,القائمة!$A$3:$F$112,2,FALSE),"")</f>
        <v/>
      </c>
      <c r="C690" s="27" t="str">
        <f>IFERROR(VLOOKUP(A690,القائمة!$A$3:$F$112,3,FALSE),"")</f>
        <v/>
      </c>
      <c r="D690" s="36" t="str">
        <f>IFERROR(VLOOKUP(A690,القائمة!$A$3:$F$112,4,FALSE),"")</f>
        <v/>
      </c>
      <c r="E690" s="36" t="str">
        <f>IFERROR(VLOOKUP(A690,القائمة!$A$3:$F$112,5,FALSE),"")</f>
        <v/>
      </c>
      <c r="F690" s="37" t="str">
        <f>IFERROR(VLOOKUP(A690,القائمة!$A$3:$F$112,6,FALSE),"")</f>
        <v/>
      </c>
      <c r="I690" s="36"/>
      <c r="P690" s="27">
        <f t="shared" si="23"/>
        <v>0</v>
      </c>
      <c r="Q690" s="27">
        <f t="shared" si="22"/>
        <v>0</v>
      </c>
    </row>
    <row r="691" spans="2:17" x14ac:dyDescent="0.45">
      <c r="B691" s="27" t="str">
        <f>IFERROR(VLOOKUP(A691,القائمة!$A$3:$F$112,2,FALSE),"")</f>
        <v/>
      </c>
      <c r="C691" s="27" t="str">
        <f>IFERROR(VLOOKUP(A691,القائمة!$A$3:$F$112,3,FALSE),"")</f>
        <v/>
      </c>
      <c r="D691" s="36" t="str">
        <f>IFERROR(VLOOKUP(A691,القائمة!$A$3:$F$112,4,FALSE),"")</f>
        <v/>
      </c>
      <c r="E691" s="36" t="str">
        <f>IFERROR(VLOOKUP(A691,القائمة!$A$3:$F$112,5,FALSE),"")</f>
        <v/>
      </c>
      <c r="F691" s="37" t="str">
        <f>IFERROR(VLOOKUP(A691,القائمة!$A$3:$F$112,6,FALSE),"")</f>
        <v/>
      </c>
      <c r="I691" s="36"/>
      <c r="P691" s="27">
        <f t="shared" si="23"/>
        <v>0</v>
      </c>
      <c r="Q691" s="27">
        <f t="shared" si="22"/>
        <v>0</v>
      </c>
    </row>
    <row r="692" spans="2:17" x14ac:dyDescent="0.45">
      <c r="B692" s="27" t="str">
        <f>IFERROR(VLOOKUP(A692,القائمة!$A$3:$F$112,2,FALSE),"")</f>
        <v/>
      </c>
      <c r="C692" s="27" t="str">
        <f>IFERROR(VLOOKUP(A692,القائمة!$A$3:$F$112,3,FALSE),"")</f>
        <v/>
      </c>
      <c r="D692" s="36" t="str">
        <f>IFERROR(VLOOKUP(A692,القائمة!$A$3:$F$112,4,FALSE),"")</f>
        <v/>
      </c>
      <c r="E692" s="36" t="str">
        <f>IFERROR(VLOOKUP(A692,القائمة!$A$3:$F$112,5,FALSE),"")</f>
        <v/>
      </c>
      <c r="F692" s="37" t="str">
        <f>IFERROR(VLOOKUP(A692,القائمة!$A$3:$F$112,6,FALSE),"")</f>
        <v/>
      </c>
      <c r="I692" s="36"/>
      <c r="P692" s="27">
        <f t="shared" si="23"/>
        <v>0</v>
      </c>
      <c r="Q692" s="27">
        <f t="shared" si="22"/>
        <v>0</v>
      </c>
    </row>
    <row r="693" spans="2:17" x14ac:dyDescent="0.45">
      <c r="B693" s="27" t="str">
        <f>IFERROR(VLOOKUP(A693,القائمة!$A$3:$F$112,2,FALSE),"")</f>
        <v/>
      </c>
      <c r="C693" s="27" t="str">
        <f>IFERROR(VLOOKUP(A693,القائمة!$A$3:$F$112,3,FALSE),"")</f>
        <v/>
      </c>
      <c r="D693" s="36" t="str">
        <f>IFERROR(VLOOKUP(A693,القائمة!$A$3:$F$112,4,FALSE),"")</f>
        <v/>
      </c>
      <c r="E693" s="36" t="str">
        <f>IFERROR(VLOOKUP(A693,القائمة!$A$3:$F$112,5,FALSE),"")</f>
        <v/>
      </c>
      <c r="F693" s="37" t="str">
        <f>IFERROR(VLOOKUP(A693,القائمة!$A$3:$F$112,6,FALSE),"")</f>
        <v/>
      </c>
      <c r="I693" s="36"/>
      <c r="P693" s="27">
        <f t="shared" si="23"/>
        <v>0</v>
      </c>
      <c r="Q693" s="27">
        <f t="shared" si="22"/>
        <v>0</v>
      </c>
    </row>
    <row r="694" spans="2:17" x14ac:dyDescent="0.45">
      <c r="B694" s="27" t="str">
        <f>IFERROR(VLOOKUP(A694,القائمة!$A$3:$F$112,2,FALSE),"")</f>
        <v/>
      </c>
      <c r="C694" s="27" t="str">
        <f>IFERROR(VLOOKUP(A694,القائمة!$A$3:$F$112,3,FALSE),"")</f>
        <v/>
      </c>
      <c r="D694" s="36" t="str">
        <f>IFERROR(VLOOKUP(A694,القائمة!$A$3:$F$112,4,FALSE),"")</f>
        <v/>
      </c>
      <c r="E694" s="36" t="str">
        <f>IFERROR(VLOOKUP(A694,القائمة!$A$3:$F$112,5,FALSE),"")</f>
        <v/>
      </c>
      <c r="F694" s="37" t="str">
        <f>IFERROR(VLOOKUP(A694,القائمة!$A$3:$F$112,6,FALSE),"")</f>
        <v/>
      </c>
      <c r="I694" s="36"/>
      <c r="P694" s="27">
        <f t="shared" si="23"/>
        <v>0</v>
      </c>
      <c r="Q694" s="27">
        <f t="shared" si="22"/>
        <v>0</v>
      </c>
    </row>
    <row r="695" spans="2:17" x14ac:dyDescent="0.45">
      <c r="B695" s="27" t="str">
        <f>IFERROR(VLOOKUP(A695,القائمة!$A$3:$F$112,2,FALSE),"")</f>
        <v/>
      </c>
      <c r="C695" s="27" t="str">
        <f>IFERROR(VLOOKUP(A695,القائمة!$A$3:$F$112,3,FALSE),"")</f>
        <v/>
      </c>
      <c r="D695" s="36" t="str">
        <f>IFERROR(VLOOKUP(A695,القائمة!$A$3:$F$112,4,FALSE),"")</f>
        <v/>
      </c>
      <c r="E695" s="36" t="str">
        <f>IFERROR(VLOOKUP(A695,القائمة!$A$3:$F$112,5,FALSE),"")</f>
        <v/>
      </c>
      <c r="F695" s="37" t="str">
        <f>IFERROR(VLOOKUP(A695,القائمة!$A$3:$F$112,6,FALSE),"")</f>
        <v/>
      </c>
      <c r="I695" s="36"/>
      <c r="P695" s="27">
        <f t="shared" si="23"/>
        <v>0</v>
      </c>
      <c r="Q695" s="27">
        <f t="shared" si="22"/>
        <v>0</v>
      </c>
    </row>
    <row r="696" spans="2:17" x14ac:dyDescent="0.45">
      <c r="B696" s="27" t="str">
        <f>IFERROR(VLOOKUP(A696,القائمة!$A$3:$F$112,2,FALSE),"")</f>
        <v/>
      </c>
      <c r="C696" s="27" t="str">
        <f>IFERROR(VLOOKUP(A696,القائمة!$A$3:$F$112,3,FALSE),"")</f>
        <v/>
      </c>
      <c r="D696" s="36" t="str">
        <f>IFERROR(VLOOKUP(A696,القائمة!$A$3:$F$112,4,FALSE),"")</f>
        <v/>
      </c>
      <c r="E696" s="36" t="str">
        <f>IFERROR(VLOOKUP(A696,القائمة!$A$3:$F$112,5,FALSE),"")</f>
        <v/>
      </c>
      <c r="F696" s="37" t="str">
        <f>IFERROR(VLOOKUP(A696,القائمة!$A$3:$F$112,6,FALSE),"")</f>
        <v/>
      </c>
      <c r="I696" s="36"/>
      <c r="P696" s="27">
        <f t="shared" si="23"/>
        <v>0</v>
      </c>
      <c r="Q696" s="27">
        <f t="shared" si="22"/>
        <v>0</v>
      </c>
    </row>
    <row r="697" spans="2:17" x14ac:dyDescent="0.45">
      <c r="B697" s="27" t="str">
        <f>IFERROR(VLOOKUP(A697,القائمة!$A$3:$F$112,2,FALSE),"")</f>
        <v/>
      </c>
      <c r="C697" s="27" t="str">
        <f>IFERROR(VLOOKUP(A697,القائمة!$A$3:$F$112,3,FALSE),"")</f>
        <v/>
      </c>
      <c r="D697" s="36" t="str">
        <f>IFERROR(VLOOKUP(A697,القائمة!$A$3:$F$112,4,FALSE),"")</f>
        <v/>
      </c>
      <c r="E697" s="36" t="str">
        <f>IFERROR(VLOOKUP(A697,القائمة!$A$3:$F$112,5,FALSE),"")</f>
        <v/>
      </c>
      <c r="F697" s="37" t="str">
        <f>IFERROR(VLOOKUP(A697,القائمة!$A$3:$F$112,6,FALSE),"")</f>
        <v/>
      </c>
      <c r="I697" s="36"/>
      <c r="P697" s="27">
        <f t="shared" si="23"/>
        <v>0</v>
      </c>
      <c r="Q697" s="27">
        <f t="shared" si="22"/>
        <v>0</v>
      </c>
    </row>
    <row r="698" spans="2:17" x14ac:dyDescent="0.45">
      <c r="B698" s="27" t="str">
        <f>IFERROR(VLOOKUP(A698,القائمة!$A$3:$F$112,2,FALSE),"")</f>
        <v/>
      </c>
      <c r="C698" s="27" t="str">
        <f>IFERROR(VLOOKUP(A698,القائمة!$A$3:$F$112,3,FALSE),"")</f>
        <v/>
      </c>
      <c r="D698" s="36" t="str">
        <f>IFERROR(VLOOKUP(A698,القائمة!$A$3:$F$112,4,FALSE),"")</f>
        <v/>
      </c>
      <c r="E698" s="36" t="str">
        <f>IFERROR(VLOOKUP(A698,القائمة!$A$3:$F$112,5,FALSE),"")</f>
        <v/>
      </c>
      <c r="F698" s="37" t="str">
        <f>IFERROR(VLOOKUP(A698,القائمة!$A$3:$F$112,6,FALSE),"")</f>
        <v/>
      </c>
      <c r="I698" s="36"/>
      <c r="P698" s="27">
        <f t="shared" si="23"/>
        <v>0</v>
      </c>
      <c r="Q698" s="27">
        <f t="shared" si="22"/>
        <v>0</v>
      </c>
    </row>
    <row r="699" spans="2:17" x14ac:dyDescent="0.45">
      <c r="B699" s="27" t="str">
        <f>IFERROR(VLOOKUP(A699,القائمة!$A$3:$F$112,2,FALSE),"")</f>
        <v/>
      </c>
      <c r="C699" s="27" t="str">
        <f>IFERROR(VLOOKUP(A699,القائمة!$A$3:$F$112,3,FALSE),"")</f>
        <v/>
      </c>
      <c r="D699" s="36" t="str">
        <f>IFERROR(VLOOKUP(A699,القائمة!$A$3:$F$112,4,FALSE),"")</f>
        <v/>
      </c>
      <c r="E699" s="36" t="str">
        <f>IFERROR(VLOOKUP(A699,القائمة!$A$3:$F$112,5,FALSE),"")</f>
        <v/>
      </c>
      <c r="F699" s="37" t="str">
        <f>IFERROR(VLOOKUP(A699,القائمة!$A$3:$F$112,6,FALSE),"")</f>
        <v/>
      </c>
      <c r="I699" s="36"/>
      <c r="P699" s="27">
        <f t="shared" si="23"/>
        <v>0</v>
      </c>
      <c r="Q699" s="27">
        <f t="shared" si="22"/>
        <v>0</v>
      </c>
    </row>
    <row r="700" spans="2:17" x14ac:dyDescent="0.45">
      <c r="B700" s="27" t="str">
        <f>IFERROR(VLOOKUP(A700,القائمة!$A$3:$F$112,2,FALSE),"")</f>
        <v/>
      </c>
      <c r="C700" s="27" t="str">
        <f>IFERROR(VLOOKUP(A700,القائمة!$A$3:$F$112,3,FALSE),"")</f>
        <v/>
      </c>
      <c r="D700" s="36" t="str">
        <f>IFERROR(VLOOKUP(A700,القائمة!$A$3:$F$112,4,FALSE),"")</f>
        <v/>
      </c>
      <c r="E700" s="36" t="str">
        <f>IFERROR(VLOOKUP(A700,القائمة!$A$3:$F$112,5,FALSE),"")</f>
        <v/>
      </c>
      <c r="F700" s="37" t="str">
        <f>IFERROR(VLOOKUP(A700,القائمة!$A$3:$F$112,6,FALSE),"")</f>
        <v/>
      </c>
      <c r="I700" s="36"/>
      <c r="P700" s="27">
        <f t="shared" si="23"/>
        <v>0</v>
      </c>
      <c r="Q700" s="27">
        <f t="shared" si="22"/>
        <v>0</v>
      </c>
    </row>
    <row r="701" spans="2:17" x14ac:dyDescent="0.45">
      <c r="B701" s="27" t="str">
        <f>IFERROR(VLOOKUP(A701,القائمة!$A$3:$F$112,2,FALSE),"")</f>
        <v/>
      </c>
      <c r="C701" s="27" t="str">
        <f>IFERROR(VLOOKUP(A701,القائمة!$A$3:$F$112,3,FALSE),"")</f>
        <v/>
      </c>
      <c r="D701" s="36" t="str">
        <f>IFERROR(VLOOKUP(A701,القائمة!$A$3:$F$112,4,FALSE),"")</f>
        <v/>
      </c>
      <c r="E701" s="36" t="str">
        <f>IFERROR(VLOOKUP(A701,القائمة!$A$3:$F$112,5,FALSE),"")</f>
        <v/>
      </c>
      <c r="F701" s="37" t="str">
        <f>IFERROR(VLOOKUP(A701,القائمة!$A$3:$F$112,6,FALSE),"")</f>
        <v/>
      </c>
      <c r="I701" s="36"/>
      <c r="P701" s="27">
        <f t="shared" si="23"/>
        <v>0</v>
      </c>
      <c r="Q701" s="27">
        <f t="shared" si="22"/>
        <v>0</v>
      </c>
    </row>
    <row r="702" spans="2:17" x14ac:dyDescent="0.45">
      <c r="B702" s="27" t="str">
        <f>IFERROR(VLOOKUP(A702,القائمة!$A$3:$F$112,2,FALSE),"")</f>
        <v/>
      </c>
      <c r="C702" s="27" t="str">
        <f>IFERROR(VLOOKUP(A702,القائمة!$A$3:$F$112,3,FALSE),"")</f>
        <v/>
      </c>
      <c r="D702" s="36" t="str">
        <f>IFERROR(VLOOKUP(A702,القائمة!$A$3:$F$112,4,FALSE),"")</f>
        <v/>
      </c>
      <c r="E702" s="36" t="str">
        <f>IFERROR(VLOOKUP(A702,القائمة!$A$3:$F$112,5,FALSE),"")</f>
        <v/>
      </c>
      <c r="F702" s="37" t="str">
        <f>IFERROR(VLOOKUP(A702,القائمة!$A$3:$F$112,6,FALSE),"")</f>
        <v/>
      </c>
      <c r="I702" s="36"/>
      <c r="P702" s="27">
        <f t="shared" si="23"/>
        <v>0</v>
      </c>
      <c r="Q702" s="27">
        <f t="shared" si="22"/>
        <v>0</v>
      </c>
    </row>
    <row r="703" spans="2:17" x14ac:dyDescent="0.45">
      <c r="B703" s="27" t="str">
        <f>IFERROR(VLOOKUP(A703,القائمة!$A$3:$F$112,2,FALSE),"")</f>
        <v/>
      </c>
      <c r="C703" s="27" t="str">
        <f>IFERROR(VLOOKUP(A703,القائمة!$A$3:$F$112,3,FALSE),"")</f>
        <v/>
      </c>
      <c r="D703" s="36" t="str">
        <f>IFERROR(VLOOKUP(A703,القائمة!$A$3:$F$112,4,FALSE),"")</f>
        <v/>
      </c>
      <c r="E703" s="36" t="str">
        <f>IFERROR(VLOOKUP(A703,القائمة!$A$3:$F$112,5,FALSE),"")</f>
        <v/>
      </c>
      <c r="F703" s="37" t="str">
        <f>IFERROR(VLOOKUP(A703,القائمة!$A$3:$F$112,6,FALSE),"")</f>
        <v/>
      </c>
      <c r="I703" s="36"/>
      <c r="P703" s="27">
        <f t="shared" si="23"/>
        <v>0</v>
      </c>
      <c r="Q703" s="27">
        <f t="shared" si="22"/>
        <v>0</v>
      </c>
    </row>
    <row r="704" spans="2:17" x14ac:dyDescent="0.45">
      <c r="B704" s="27" t="str">
        <f>IFERROR(VLOOKUP(A704,القائمة!$A$3:$F$112,2,FALSE),"")</f>
        <v/>
      </c>
      <c r="C704" s="27" t="str">
        <f>IFERROR(VLOOKUP(A704,القائمة!$A$3:$F$112,3,FALSE),"")</f>
        <v/>
      </c>
      <c r="D704" s="36" t="str">
        <f>IFERROR(VLOOKUP(A704,القائمة!$A$3:$F$112,4,FALSE),"")</f>
        <v/>
      </c>
      <c r="E704" s="36" t="str">
        <f>IFERROR(VLOOKUP(A704,القائمة!$A$3:$F$112,5,FALSE),"")</f>
        <v/>
      </c>
      <c r="F704" s="37" t="str">
        <f>IFERROR(VLOOKUP(A704,القائمة!$A$3:$F$112,6,FALSE),"")</f>
        <v/>
      </c>
      <c r="I704" s="36"/>
      <c r="P704" s="27">
        <f t="shared" si="23"/>
        <v>0</v>
      </c>
      <c r="Q704" s="27">
        <f t="shared" si="22"/>
        <v>0</v>
      </c>
    </row>
    <row r="705" spans="2:17" x14ac:dyDescent="0.45">
      <c r="B705" s="27" t="str">
        <f>IFERROR(VLOOKUP(A705,القائمة!$A$3:$F$112,2,FALSE),"")</f>
        <v/>
      </c>
      <c r="C705" s="27" t="str">
        <f>IFERROR(VLOOKUP(A705,القائمة!$A$3:$F$112,3,FALSE),"")</f>
        <v/>
      </c>
      <c r="D705" s="36" t="str">
        <f>IFERROR(VLOOKUP(A705,القائمة!$A$3:$F$112,4,FALSE),"")</f>
        <v/>
      </c>
      <c r="E705" s="36" t="str">
        <f>IFERROR(VLOOKUP(A705,القائمة!$A$3:$F$112,5,FALSE),"")</f>
        <v/>
      </c>
      <c r="F705" s="37" t="str">
        <f>IFERROR(VLOOKUP(A705,القائمة!$A$3:$F$112,6,FALSE),"")</f>
        <v/>
      </c>
      <c r="I705" s="36"/>
      <c r="P705" s="27">
        <f t="shared" si="23"/>
        <v>0</v>
      </c>
      <c r="Q705" s="27">
        <f t="shared" si="22"/>
        <v>0</v>
      </c>
    </row>
    <row r="706" spans="2:17" x14ac:dyDescent="0.45">
      <c r="B706" s="27" t="str">
        <f>IFERROR(VLOOKUP(A706,القائمة!$A$3:$F$112,2,FALSE),"")</f>
        <v/>
      </c>
      <c r="C706" s="27" t="str">
        <f>IFERROR(VLOOKUP(A706,القائمة!$A$3:$F$112,3,FALSE),"")</f>
        <v/>
      </c>
      <c r="D706" s="36" t="str">
        <f>IFERROR(VLOOKUP(A706,القائمة!$A$3:$F$112,4,FALSE),"")</f>
        <v/>
      </c>
      <c r="E706" s="36" t="str">
        <f>IFERROR(VLOOKUP(A706,القائمة!$A$3:$F$112,5,FALSE),"")</f>
        <v/>
      </c>
      <c r="F706" s="37" t="str">
        <f>IFERROR(VLOOKUP(A706,القائمة!$A$3:$F$112,6,FALSE),"")</f>
        <v/>
      </c>
      <c r="I706" s="36"/>
      <c r="P706" s="27">
        <f t="shared" si="23"/>
        <v>0</v>
      </c>
      <c r="Q706" s="27">
        <f t="shared" si="22"/>
        <v>0</v>
      </c>
    </row>
    <row r="707" spans="2:17" x14ac:dyDescent="0.45">
      <c r="B707" s="27" t="str">
        <f>IFERROR(VLOOKUP(A707,القائمة!$A$3:$F$112,2,FALSE),"")</f>
        <v/>
      </c>
      <c r="C707" s="27" t="str">
        <f>IFERROR(VLOOKUP(A707,القائمة!$A$3:$F$112,3,FALSE),"")</f>
        <v/>
      </c>
      <c r="D707" s="36" t="str">
        <f>IFERROR(VLOOKUP(A707,القائمة!$A$3:$F$112,4,FALSE),"")</f>
        <v/>
      </c>
      <c r="E707" s="36" t="str">
        <f>IFERROR(VLOOKUP(A707,القائمة!$A$3:$F$112,5,FALSE),"")</f>
        <v/>
      </c>
      <c r="F707" s="37" t="str">
        <f>IFERROR(VLOOKUP(A707,القائمة!$A$3:$F$112,6,FALSE),"")</f>
        <v/>
      </c>
      <c r="I707" s="36"/>
      <c r="P707" s="27">
        <f t="shared" si="23"/>
        <v>0</v>
      </c>
      <c r="Q707" s="27">
        <f t="shared" ref="Q707:Q770" si="24">+P707+L707-M707</f>
        <v>0</v>
      </c>
    </row>
    <row r="708" spans="2:17" x14ac:dyDescent="0.45">
      <c r="B708" s="27" t="str">
        <f>IFERROR(VLOOKUP(A708,القائمة!$A$3:$F$112,2,FALSE),"")</f>
        <v/>
      </c>
      <c r="C708" s="27" t="str">
        <f>IFERROR(VLOOKUP(A708,القائمة!$A$3:$F$112,3,FALSE),"")</f>
        <v/>
      </c>
      <c r="D708" s="36" t="str">
        <f>IFERROR(VLOOKUP(A708,القائمة!$A$3:$F$112,4,FALSE),"")</f>
        <v/>
      </c>
      <c r="E708" s="36" t="str">
        <f>IFERROR(VLOOKUP(A708,القائمة!$A$3:$F$112,5,FALSE),"")</f>
        <v/>
      </c>
      <c r="F708" s="37" t="str">
        <f>IFERROR(VLOOKUP(A708,القائمة!$A$3:$F$112,6,FALSE),"")</f>
        <v/>
      </c>
      <c r="I708" s="36"/>
      <c r="P708" s="27">
        <f t="shared" ref="P708:P771" si="25">J708-K708</f>
        <v>0</v>
      </c>
      <c r="Q708" s="27">
        <f t="shared" si="24"/>
        <v>0</v>
      </c>
    </row>
    <row r="709" spans="2:17" x14ac:dyDescent="0.45">
      <c r="B709" s="27" t="str">
        <f>IFERROR(VLOOKUP(A709,القائمة!$A$3:$F$112,2,FALSE),"")</f>
        <v/>
      </c>
      <c r="C709" s="27" t="str">
        <f>IFERROR(VLOOKUP(A709,القائمة!$A$3:$F$112,3,FALSE),"")</f>
        <v/>
      </c>
      <c r="D709" s="36" t="str">
        <f>IFERROR(VLOOKUP(A709,القائمة!$A$3:$F$112,4,FALSE),"")</f>
        <v/>
      </c>
      <c r="E709" s="36" t="str">
        <f>IFERROR(VLOOKUP(A709,القائمة!$A$3:$F$112,5,FALSE),"")</f>
        <v/>
      </c>
      <c r="F709" s="37" t="str">
        <f>IFERROR(VLOOKUP(A709,القائمة!$A$3:$F$112,6,FALSE),"")</f>
        <v/>
      </c>
      <c r="I709" s="36"/>
      <c r="P709" s="27">
        <f t="shared" si="25"/>
        <v>0</v>
      </c>
      <c r="Q709" s="27">
        <f t="shared" si="24"/>
        <v>0</v>
      </c>
    </row>
    <row r="710" spans="2:17" x14ac:dyDescent="0.45">
      <c r="B710" s="27" t="str">
        <f>IFERROR(VLOOKUP(A710,القائمة!$A$3:$F$112,2,FALSE),"")</f>
        <v/>
      </c>
      <c r="C710" s="27" t="str">
        <f>IFERROR(VLOOKUP(A710,القائمة!$A$3:$F$112,3,FALSE),"")</f>
        <v/>
      </c>
      <c r="D710" s="36" t="str">
        <f>IFERROR(VLOOKUP(A710,القائمة!$A$3:$F$112,4,FALSE),"")</f>
        <v/>
      </c>
      <c r="E710" s="36" t="str">
        <f>IFERROR(VLOOKUP(A710,القائمة!$A$3:$F$112,5,FALSE),"")</f>
        <v/>
      </c>
      <c r="F710" s="37" t="str">
        <f>IFERROR(VLOOKUP(A710,القائمة!$A$3:$F$112,6,FALSE),"")</f>
        <v/>
      </c>
      <c r="I710" s="36"/>
      <c r="P710" s="27">
        <f t="shared" si="25"/>
        <v>0</v>
      </c>
      <c r="Q710" s="27">
        <f t="shared" si="24"/>
        <v>0</v>
      </c>
    </row>
    <row r="711" spans="2:17" x14ac:dyDescent="0.45">
      <c r="B711" s="27" t="str">
        <f>IFERROR(VLOOKUP(A711,القائمة!$A$3:$F$112,2,FALSE),"")</f>
        <v/>
      </c>
      <c r="C711" s="27" t="str">
        <f>IFERROR(VLOOKUP(A711,القائمة!$A$3:$F$112,3,FALSE),"")</f>
        <v/>
      </c>
      <c r="D711" s="36" t="str">
        <f>IFERROR(VLOOKUP(A711,القائمة!$A$3:$F$112,4,FALSE),"")</f>
        <v/>
      </c>
      <c r="E711" s="36" t="str">
        <f>IFERROR(VLOOKUP(A711,القائمة!$A$3:$F$112,5,FALSE),"")</f>
        <v/>
      </c>
      <c r="F711" s="37" t="str">
        <f>IFERROR(VLOOKUP(A711,القائمة!$A$3:$F$112,6,FALSE),"")</f>
        <v/>
      </c>
      <c r="I711" s="36"/>
      <c r="P711" s="27">
        <f t="shared" si="25"/>
        <v>0</v>
      </c>
      <c r="Q711" s="27">
        <f t="shared" si="24"/>
        <v>0</v>
      </c>
    </row>
    <row r="712" spans="2:17" x14ac:dyDescent="0.45">
      <c r="B712" s="27" t="str">
        <f>IFERROR(VLOOKUP(A712,القائمة!$A$3:$F$112,2,FALSE),"")</f>
        <v/>
      </c>
      <c r="C712" s="27" t="str">
        <f>IFERROR(VLOOKUP(A712,القائمة!$A$3:$F$112,3,FALSE),"")</f>
        <v/>
      </c>
      <c r="D712" s="36" t="str">
        <f>IFERROR(VLOOKUP(A712,القائمة!$A$3:$F$112,4,FALSE),"")</f>
        <v/>
      </c>
      <c r="E712" s="36" t="str">
        <f>IFERROR(VLOOKUP(A712,القائمة!$A$3:$F$112,5,FALSE),"")</f>
        <v/>
      </c>
      <c r="F712" s="37" t="str">
        <f>IFERROR(VLOOKUP(A712,القائمة!$A$3:$F$112,6,FALSE),"")</f>
        <v/>
      </c>
      <c r="I712" s="36"/>
      <c r="P712" s="27">
        <f t="shared" si="25"/>
        <v>0</v>
      </c>
      <c r="Q712" s="27">
        <f t="shared" si="24"/>
        <v>0</v>
      </c>
    </row>
    <row r="713" spans="2:17" x14ac:dyDescent="0.45">
      <c r="B713" s="27" t="str">
        <f>IFERROR(VLOOKUP(A713,القائمة!$A$3:$F$112,2,FALSE),"")</f>
        <v/>
      </c>
      <c r="C713" s="27" t="str">
        <f>IFERROR(VLOOKUP(A713,القائمة!$A$3:$F$112,3,FALSE),"")</f>
        <v/>
      </c>
      <c r="D713" s="36" t="str">
        <f>IFERROR(VLOOKUP(A713,القائمة!$A$3:$F$112,4,FALSE),"")</f>
        <v/>
      </c>
      <c r="E713" s="36" t="str">
        <f>IFERROR(VLOOKUP(A713,القائمة!$A$3:$F$112,5,FALSE),"")</f>
        <v/>
      </c>
      <c r="F713" s="37" t="str">
        <f>IFERROR(VLOOKUP(A713,القائمة!$A$3:$F$112,6,FALSE),"")</f>
        <v/>
      </c>
      <c r="I713" s="36"/>
      <c r="P713" s="27">
        <f t="shared" si="25"/>
        <v>0</v>
      </c>
      <c r="Q713" s="27">
        <f t="shared" si="24"/>
        <v>0</v>
      </c>
    </row>
    <row r="714" spans="2:17" x14ac:dyDescent="0.45">
      <c r="B714" s="27" t="str">
        <f>IFERROR(VLOOKUP(A714,القائمة!$A$3:$F$112,2,FALSE),"")</f>
        <v/>
      </c>
      <c r="C714" s="27" t="str">
        <f>IFERROR(VLOOKUP(A714,القائمة!$A$3:$F$112,3,FALSE),"")</f>
        <v/>
      </c>
      <c r="D714" s="36" t="str">
        <f>IFERROR(VLOOKUP(A714,القائمة!$A$3:$F$112,4,FALSE),"")</f>
        <v/>
      </c>
      <c r="E714" s="36" t="str">
        <f>IFERROR(VLOOKUP(A714,القائمة!$A$3:$F$112,5,FALSE),"")</f>
        <v/>
      </c>
      <c r="F714" s="37" t="str">
        <f>IFERROR(VLOOKUP(A714,القائمة!$A$3:$F$112,6,FALSE),"")</f>
        <v/>
      </c>
      <c r="I714" s="36"/>
      <c r="P714" s="27">
        <f t="shared" si="25"/>
        <v>0</v>
      </c>
      <c r="Q714" s="27">
        <f t="shared" si="24"/>
        <v>0</v>
      </c>
    </row>
    <row r="715" spans="2:17" x14ac:dyDescent="0.45">
      <c r="B715" s="27" t="str">
        <f>IFERROR(VLOOKUP(A715,القائمة!$A$3:$F$112,2,FALSE),"")</f>
        <v/>
      </c>
      <c r="C715" s="27" t="str">
        <f>IFERROR(VLOOKUP(A715,القائمة!$A$3:$F$112,3,FALSE),"")</f>
        <v/>
      </c>
      <c r="D715" s="36" t="str">
        <f>IFERROR(VLOOKUP(A715,القائمة!$A$3:$F$112,4,FALSE),"")</f>
        <v/>
      </c>
      <c r="E715" s="36" t="str">
        <f>IFERROR(VLOOKUP(A715,القائمة!$A$3:$F$112,5,FALSE),"")</f>
        <v/>
      </c>
      <c r="F715" s="37" t="str">
        <f>IFERROR(VLOOKUP(A715,القائمة!$A$3:$F$112,6,FALSE),"")</f>
        <v/>
      </c>
      <c r="I715" s="36"/>
      <c r="P715" s="27">
        <f t="shared" si="25"/>
        <v>0</v>
      </c>
      <c r="Q715" s="27">
        <f t="shared" si="24"/>
        <v>0</v>
      </c>
    </row>
    <row r="716" spans="2:17" x14ac:dyDescent="0.45">
      <c r="B716" s="27" t="str">
        <f>IFERROR(VLOOKUP(A716,القائمة!$A$3:$F$112,2,FALSE),"")</f>
        <v/>
      </c>
      <c r="C716" s="27" t="str">
        <f>IFERROR(VLOOKUP(A716,القائمة!$A$3:$F$112,3,FALSE),"")</f>
        <v/>
      </c>
      <c r="D716" s="36" t="str">
        <f>IFERROR(VLOOKUP(A716,القائمة!$A$3:$F$112,4,FALSE),"")</f>
        <v/>
      </c>
      <c r="E716" s="36" t="str">
        <f>IFERROR(VLOOKUP(A716,القائمة!$A$3:$F$112,5,FALSE),"")</f>
        <v/>
      </c>
      <c r="F716" s="37" t="str">
        <f>IFERROR(VLOOKUP(A716,القائمة!$A$3:$F$112,6,FALSE),"")</f>
        <v/>
      </c>
      <c r="I716" s="36"/>
      <c r="P716" s="27">
        <f t="shared" si="25"/>
        <v>0</v>
      </c>
      <c r="Q716" s="27">
        <f t="shared" si="24"/>
        <v>0</v>
      </c>
    </row>
    <row r="717" spans="2:17" x14ac:dyDescent="0.45">
      <c r="B717" s="27" t="str">
        <f>IFERROR(VLOOKUP(A717,القائمة!$A$3:$F$112,2,FALSE),"")</f>
        <v/>
      </c>
      <c r="C717" s="27" t="str">
        <f>IFERROR(VLOOKUP(A717,القائمة!$A$3:$F$112,3,FALSE),"")</f>
        <v/>
      </c>
      <c r="D717" s="36" t="str">
        <f>IFERROR(VLOOKUP(A717,القائمة!$A$3:$F$112,4,FALSE),"")</f>
        <v/>
      </c>
      <c r="E717" s="36" t="str">
        <f>IFERROR(VLOOKUP(A717,القائمة!$A$3:$F$112,5,FALSE),"")</f>
        <v/>
      </c>
      <c r="F717" s="37" t="str">
        <f>IFERROR(VLOOKUP(A717,القائمة!$A$3:$F$112,6,FALSE),"")</f>
        <v/>
      </c>
      <c r="I717" s="36"/>
      <c r="P717" s="27">
        <f t="shared" si="25"/>
        <v>0</v>
      </c>
      <c r="Q717" s="27">
        <f t="shared" si="24"/>
        <v>0</v>
      </c>
    </row>
    <row r="718" spans="2:17" x14ac:dyDescent="0.45">
      <c r="B718" s="27" t="str">
        <f>IFERROR(VLOOKUP(A718,القائمة!$A$3:$F$112,2,FALSE),"")</f>
        <v/>
      </c>
      <c r="C718" s="27" t="str">
        <f>IFERROR(VLOOKUP(A718,القائمة!$A$3:$F$112,3,FALSE),"")</f>
        <v/>
      </c>
      <c r="D718" s="36" t="str">
        <f>IFERROR(VLOOKUP(A718,القائمة!$A$3:$F$112,4,FALSE),"")</f>
        <v/>
      </c>
      <c r="E718" s="36" t="str">
        <f>IFERROR(VLOOKUP(A718,القائمة!$A$3:$F$112,5,FALSE),"")</f>
        <v/>
      </c>
      <c r="F718" s="37" t="str">
        <f>IFERROR(VLOOKUP(A718,القائمة!$A$3:$F$112,6,FALSE),"")</f>
        <v/>
      </c>
      <c r="I718" s="36"/>
      <c r="P718" s="27">
        <f t="shared" si="25"/>
        <v>0</v>
      </c>
      <c r="Q718" s="27">
        <f t="shared" si="24"/>
        <v>0</v>
      </c>
    </row>
    <row r="719" spans="2:17" x14ac:dyDescent="0.45">
      <c r="B719" s="27" t="str">
        <f>IFERROR(VLOOKUP(A719,القائمة!$A$3:$F$112,2,FALSE),"")</f>
        <v/>
      </c>
      <c r="C719" s="27" t="str">
        <f>IFERROR(VLOOKUP(A719,القائمة!$A$3:$F$112,3,FALSE),"")</f>
        <v/>
      </c>
      <c r="D719" s="36" t="str">
        <f>IFERROR(VLOOKUP(A719,القائمة!$A$3:$F$112,4,FALSE),"")</f>
        <v/>
      </c>
      <c r="E719" s="36" t="str">
        <f>IFERROR(VLOOKUP(A719,القائمة!$A$3:$F$112,5,FALSE),"")</f>
        <v/>
      </c>
      <c r="F719" s="37" t="str">
        <f>IFERROR(VLOOKUP(A719,القائمة!$A$3:$F$112,6,FALSE),"")</f>
        <v/>
      </c>
      <c r="I719" s="36"/>
      <c r="P719" s="27">
        <f t="shared" si="25"/>
        <v>0</v>
      </c>
      <c r="Q719" s="27">
        <f t="shared" si="24"/>
        <v>0</v>
      </c>
    </row>
    <row r="720" spans="2:17" x14ac:dyDescent="0.45">
      <c r="B720" s="27" t="str">
        <f>IFERROR(VLOOKUP(A720,القائمة!$A$3:$F$112,2,FALSE),"")</f>
        <v/>
      </c>
      <c r="C720" s="27" t="str">
        <f>IFERROR(VLOOKUP(A720,القائمة!$A$3:$F$112,3,FALSE),"")</f>
        <v/>
      </c>
      <c r="D720" s="36" t="str">
        <f>IFERROR(VLOOKUP(A720,القائمة!$A$3:$F$112,4,FALSE),"")</f>
        <v/>
      </c>
      <c r="E720" s="36" t="str">
        <f>IFERROR(VLOOKUP(A720,القائمة!$A$3:$F$112,5,FALSE),"")</f>
        <v/>
      </c>
      <c r="F720" s="37" t="str">
        <f>IFERROR(VLOOKUP(A720,القائمة!$A$3:$F$112,6,FALSE),"")</f>
        <v/>
      </c>
      <c r="I720" s="36"/>
      <c r="P720" s="27">
        <f t="shared" si="25"/>
        <v>0</v>
      </c>
      <c r="Q720" s="27">
        <f t="shared" si="24"/>
        <v>0</v>
      </c>
    </row>
    <row r="721" spans="2:17" x14ac:dyDescent="0.45">
      <c r="B721" s="27" t="str">
        <f>IFERROR(VLOOKUP(A721,القائمة!$A$3:$F$112,2,FALSE),"")</f>
        <v/>
      </c>
      <c r="C721" s="27" t="str">
        <f>IFERROR(VLOOKUP(A721,القائمة!$A$3:$F$112,3,FALSE),"")</f>
        <v/>
      </c>
      <c r="D721" s="36" t="str">
        <f>IFERROR(VLOOKUP(A721,القائمة!$A$3:$F$112,4,FALSE),"")</f>
        <v/>
      </c>
      <c r="E721" s="36" t="str">
        <f>IFERROR(VLOOKUP(A721,القائمة!$A$3:$F$112,5,FALSE),"")</f>
        <v/>
      </c>
      <c r="F721" s="37" t="str">
        <f>IFERROR(VLOOKUP(A721,القائمة!$A$3:$F$112,6,FALSE),"")</f>
        <v/>
      </c>
      <c r="I721" s="36"/>
      <c r="P721" s="27">
        <f t="shared" si="25"/>
        <v>0</v>
      </c>
      <c r="Q721" s="27">
        <f t="shared" si="24"/>
        <v>0</v>
      </c>
    </row>
    <row r="722" spans="2:17" x14ac:dyDescent="0.45">
      <c r="B722" s="27" t="str">
        <f>IFERROR(VLOOKUP(A722,القائمة!$A$3:$F$112,2,FALSE),"")</f>
        <v/>
      </c>
      <c r="C722" s="27" t="str">
        <f>IFERROR(VLOOKUP(A722,القائمة!$A$3:$F$112,3,FALSE),"")</f>
        <v/>
      </c>
      <c r="D722" s="36" t="str">
        <f>IFERROR(VLOOKUP(A722,القائمة!$A$3:$F$112,4,FALSE),"")</f>
        <v/>
      </c>
      <c r="E722" s="36" t="str">
        <f>IFERROR(VLOOKUP(A722,القائمة!$A$3:$F$112,5,FALSE),"")</f>
        <v/>
      </c>
      <c r="F722" s="37" t="str">
        <f>IFERROR(VLOOKUP(A722,القائمة!$A$3:$F$112,6,FALSE),"")</f>
        <v/>
      </c>
      <c r="I722" s="36"/>
      <c r="P722" s="27">
        <f t="shared" si="25"/>
        <v>0</v>
      </c>
      <c r="Q722" s="27">
        <f t="shared" si="24"/>
        <v>0</v>
      </c>
    </row>
    <row r="723" spans="2:17" x14ac:dyDescent="0.45">
      <c r="B723" s="27" t="str">
        <f>IFERROR(VLOOKUP(A723,القائمة!$A$3:$F$112,2,FALSE),"")</f>
        <v/>
      </c>
      <c r="C723" s="27" t="str">
        <f>IFERROR(VLOOKUP(A723,القائمة!$A$3:$F$112,3,FALSE),"")</f>
        <v/>
      </c>
      <c r="D723" s="36" t="str">
        <f>IFERROR(VLOOKUP(A723,القائمة!$A$3:$F$112,4,FALSE),"")</f>
        <v/>
      </c>
      <c r="E723" s="36" t="str">
        <f>IFERROR(VLOOKUP(A723,القائمة!$A$3:$F$112,5,FALSE),"")</f>
        <v/>
      </c>
      <c r="F723" s="37" t="str">
        <f>IFERROR(VLOOKUP(A723,القائمة!$A$3:$F$112,6,FALSE),"")</f>
        <v/>
      </c>
      <c r="I723" s="36"/>
      <c r="P723" s="27">
        <f t="shared" si="25"/>
        <v>0</v>
      </c>
      <c r="Q723" s="27">
        <f t="shared" si="24"/>
        <v>0</v>
      </c>
    </row>
    <row r="724" spans="2:17" x14ac:dyDescent="0.45">
      <c r="B724" s="27" t="str">
        <f>IFERROR(VLOOKUP(A724,القائمة!$A$3:$F$112,2,FALSE),"")</f>
        <v/>
      </c>
      <c r="C724" s="27" t="str">
        <f>IFERROR(VLOOKUP(A724,القائمة!$A$3:$F$112,3,FALSE),"")</f>
        <v/>
      </c>
      <c r="D724" s="36" t="str">
        <f>IFERROR(VLOOKUP(A724,القائمة!$A$3:$F$112,4,FALSE),"")</f>
        <v/>
      </c>
      <c r="E724" s="36" t="str">
        <f>IFERROR(VLOOKUP(A724,القائمة!$A$3:$F$112,5,FALSE),"")</f>
        <v/>
      </c>
      <c r="F724" s="37" t="str">
        <f>IFERROR(VLOOKUP(A724,القائمة!$A$3:$F$112,6,FALSE),"")</f>
        <v/>
      </c>
      <c r="I724" s="36"/>
      <c r="P724" s="27">
        <f t="shared" si="25"/>
        <v>0</v>
      </c>
      <c r="Q724" s="27">
        <f t="shared" si="24"/>
        <v>0</v>
      </c>
    </row>
    <row r="725" spans="2:17" x14ac:dyDescent="0.45">
      <c r="B725" s="27" t="str">
        <f>IFERROR(VLOOKUP(A725,القائمة!$A$3:$F$112,2,FALSE),"")</f>
        <v/>
      </c>
      <c r="C725" s="27" t="str">
        <f>IFERROR(VLOOKUP(A725,القائمة!$A$3:$F$112,3,FALSE),"")</f>
        <v/>
      </c>
      <c r="D725" s="36" t="str">
        <f>IFERROR(VLOOKUP(A725,القائمة!$A$3:$F$112,4,FALSE),"")</f>
        <v/>
      </c>
      <c r="E725" s="36" t="str">
        <f>IFERROR(VLOOKUP(A725,القائمة!$A$3:$F$112,5,FALSE),"")</f>
        <v/>
      </c>
      <c r="F725" s="37" t="str">
        <f>IFERROR(VLOOKUP(A725,القائمة!$A$3:$F$112,6,FALSE),"")</f>
        <v/>
      </c>
      <c r="I725" s="36"/>
      <c r="P725" s="27">
        <f t="shared" si="25"/>
        <v>0</v>
      </c>
      <c r="Q725" s="27">
        <f t="shared" si="24"/>
        <v>0</v>
      </c>
    </row>
    <row r="726" spans="2:17" x14ac:dyDescent="0.45">
      <c r="B726" s="27" t="str">
        <f>IFERROR(VLOOKUP(A726,القائمة!$A$3:$F$112,2,FALSE),"")</f>
        <v/>
      </c>
      <c r="C726" s="27" t="str">
        <f>IFERROR(VLOOKUP(A726,القائمة!$A$3:$F$112,3,FALSE),"")</f>
        <v/>
      </c>
      <c r="D726" s="36" t="str">
        <f>IFERROR(VLOOKUP(A726,القائمة!$A$3:$F$112,4,FALSE),"")</f>
        <v/>
      </c>
      <c r="E726" s="36" t="str">
        <f>IFERROR(VLOOKUP(A726,القائمة!$A$3:$F$112,5,FALSE),"")</f>
        <v/>
      </c>
      <c r="F726" s="37" t="str">
        <f>IFERROR(VLOOKUP(A726,القائمة!$A$3:$F$112,6,FALSE),"")</f>
        <v/>
      </c>
      <c r="I726" s="36"/>
      <c r="P726" s="27">
        <f t="shared" si="25"/>
        <v>0</v>
      </c>
      <c r="Q726" s="27">
        <f t="shared" si="24"/>
        <v>0</v>
      </c>
    </row>
    <row r="727" spans="2:17" x14ac:dyDescent="0.45">
      <c r="B727" s="27" t="str">
        <f>IFERROR(VLOOKUP(A727,القائمة!$A$3:$F$112,2,FALSE),"")</f>
        <v/>
      </c>
      <c r="C727" s="27" t="str">
        <f>IFERROR(VLOOKUP(A727,القائمة!$A$3:$F$112,3,FALSE),"")</f>
        <v/>
      </c>
      <c r="D727" s="36" t="str">
        <f>IFERROR(VLOOKUP(A727,القائمة!$A$3:$F$112,4,FALSE),"")</f>
        <v/>
      </c>
      <c r="E727" s="36" t="str">
        <f>IFERROR(VLOOKUP(A727,القائمة!$A$3:$F$112,5,FALSE),"")</f>
        <v/>
      </c>
      <c r="F727" s="37" t="str">
        <f>IFERROR(VLOOKUP(A727,القائمة!$A$3:$F$112,6,FALSE),"")</f>
        <v/>
      </c>
      <c r="I727" s="36"/>
      <c r="P727" s="27">
        <f t="shared" si="25"/>
        <v>0</v>
      </c>
      <c r="Q727" s="27">
        <f t="shared" si="24"/>
        <v>0</v>
      </c>
    </row>
    <row r="728" spans="2:17" x14ac:dyDescent="0.45">
      <c r="B728" s="27" t="str">
        <f>IFERROR(VLOOKUP(A728,القائمة!$A$3:$F$112,2,FALSE),"")</f>
        <v/>
      </c>
      <c r="C728" s="27" t="str">
        <f>IFERROR(VLOOKUP(A728,القائمة!$A$3:$F$112,3,FALSE),"")</f>
        <v/>
      </c>
      <c r="D728" s="36" t="str">
        <f>IFERROR(VLOOKUP(A728,القائمة!$A$3:$F$112,4,FALSE),"")</f>
        <v/>
      </c>
      <c r="E728" s="36" t="str">
        <f>IFERROR(VLOOKUP(A728,القائمة!$A$3:$F$112,5,FALSE),"")</f>
        <v/>
      </c>
      <c r="F728" s="37" t="str">
        <f>IFERROR(VLOOKUP(A728,القائمة!$A$3:$F$112,6,FALSE),"")</f>
        <v/>
      </c>
      <c r="I728" s="36"/>
      <c r="P728" s="27">
        <f t="shared" si="25"/>
        <v>0</v>
      </c>
      <c r="Q728" s="27">
        <f t="shared" si="24"/>
        <v>0</v>
      </c>
    </row>
    <row r="729" spans="2:17" x14ac:dyDescent="0.45">
      <c r="B729" s="27" t="str">
        <f>IFERROR(VLOOKUP(A729,القائمة!$A$3:$F$112,2,FALSE),"")</f>
        <v/>
      </c>
      <c r="C729" s="27" t="str">
        <f>IFERROR(VLOOKUP(A729,القائمة!$A$3:$F$112,3,FALSE),"")</f>
        <v/>
      </c>
      <c r="D729" s="36" t="str">
        <f>IFERROR(VLOOKUP(A729,القائمة!$A$3:$F$112,4,FALSE),"")</f>
        <v/>
      </c>
      <c r="E729" s="36" t="str">
        <f>IFERROR(VLOOKUP(A729,القائمة!$A$3:$F$112,5,FALSE),"")</f>
        <v/>
      </c>
      <c r="F729" s="37" t="str">
        <f>IFERROR(VLOOKUP(A729,القائمة!$A$3:$F$112,6,FALSE),"")</f>
        <v/>
      </c>
      <c r="I729" s="36"/>
      <c r="P729" s="27">
        <f t="shared" si="25"/>
        <v>0</v>
      </c>
      <c r="Q729" s="27">
        <f t="shared" si="24"/>
        <v>0</v>
      </c>
    </row>
    <row r="730" spans="2:17" x14ac:dyDescent="0.45">
      <c r="B730" s="27" t="str">
        <f>IFERROR(VLOOKUP(A730,القائمة!$A$3:$F$112,2,FALSE),"")</f>
        <v/>
      </c>
      <c r="C730" s="27" t="str">
        <f>IFERROR(VLOOKUP(A730,القائمة!$A$3:$F$112,3,FALSE),"")</f>
        <v/>
      </c>
      <c r="D730" s="36" t="str">
        <f>IFERROR(VLOOKUP(A730,القائمة!$A$3:$F$112,4,FALSE),"")</f>
        <v/>
      </c>
      <c r="E730" s="36" t="str">
        <f>IFERROR(VLOOKUP(A730,القائمة!$A$3:$F$112,5,FALSE),"")</f>
        <v/>
      </c>
      <c r="F730" s="37" t="str">
        <f>IFERROR(VLOOKUP(A730,القائمة!$A$3:$F$112,6,FALSE),"")</f>
        <v/>
      </c>
      <c r="I730" s="36"/>
      <c r="P730" s="27">
        <f t="shared" si="25"/>
        <v>0</v>
      </c>
      <c r="Q730" s="27">
        <f t="shared" si="24"/>
        <v>0</v>
      </c>
    </row>
    <row r="731" spans="2:17" x14ac:dyDescent="0.45">
      <c r="B731" s="27" t="str">
        <f>IFERROR(VLOOKUP(A731,القائمة!$A$3:$F$112,2,FALSE),"")</f>
        <v/>
      </c>
      <c r="C731" s="27" t="str">
        <f>IFERROR(VLOOKUP(A731,القائمة!$A$3:$F$112,3,FALSE),"")</f>
        <v/>
      </c>
      <c r="D731" s="36" t="str">
        <f>IFERROR(VLOOKUP(A731,القائمة!$A$3:$F$112,4,FALSE),"")</f>
        <v/>
      </c>
      <c r="E731" s="36" t="str">
        <f>IFERROR(VLOOKUP(A731,القائمة!$A$3:$F$112,5,FALSE),"")</f>
        <v/>
      </c>
      <c r="F731" s="37" t="str">
        <f>IFERROR(VLOOKUP(A731,القائمة!$A$3:$F$112,6,FALSE),"")</f>
        <v/>
      </c>
      <c r="I731" s="36"/>
      <c r="P731" s="27">
        <f t="shared" si="25"/>
        <v>0</v>
      </c>
      <c r="Q731" s="27">
        <f t="shared" si="24"/>
        <v>0</v>
      </c>
    </row>
    <row r="732" spans="2:17" x14ac:dyDescent="0.45">
      <c r="B732" s="27" t="str">
        <f>IFERROR(VLOOKUP(A732,القائمة!$A$3:$F$112,2,FALSE),"")</f>
        <v/>
      </c>
      <c r="C732" s="27" t="str">
        <f>IFERROR(VLOOKUP(A732,القائمة!$A$3:$F$112,3,FALSE),"")</f>
        <v/>
      </c>
      <c r="D732" s="36" t="str">
        <f>IFERROR(VLOOKUP(A732,القائمة!$A$3:$F$112,4,FALSE),"")</f>
        <v/>
      </c>
      <c r="E732" s="36" t="str">
        <f>IFERROR(VLOOKUP(A732,القائمة!$A$3:$F$112,5,FALSE),"")</f>
        <v/>
      </c>
      <c r="F732" s="37" t="str">
        <f>IFERROR(VLOOKUP(A732,القائمة!$A$3:$F$112,6,FALSE),"")</f>
        <v/>
      </c>
      <c r="I732" s="36"/>
      <c r="P732" s="27">
        <f t="shared" si="25"/>
        <v>0</v>
      </c>
      <c r="Q732" s="27">
        <f t="shared" si="24"/>
        <v>0</v>
      </c>
    </row>
    <row r="733" spans="2:17" x14ac:dyDescent="0.45">
      <c r="B733" s="27" t="str">
        <f>IFERROR(VLOOKUP(A733,القائمة!$A$3:$F$112,2,FALSE),"")</f>
        <v/>
      </c>
      <c r="C733" s="27" t="str">
        <f>IFERROR(VLOOKUP(A733,القائمة!$A$3:$F$112,3,FALSE),"")</f>
        <v/>
      </c>
      <c r="D733" s="36" t="str">
        <f>IFERROR(VLOOKUP(A733,القائمة!$A$3:$F$112,4,FALSE),"")</f>
        <v/>
      </c>
      <c r="E733" s="36" t="str">
        <f>IFERROR(VLOOKUP(A733,القائمة!$A$3:$F$112,5,FALSE),"")</f>
        <v/>
      </c>
      <c r="F733" s="37" t="str">
        <f>IFERROR(VLOOKUP(A733,القائمة!$A$3:$F$112,6,FALSE),"")</f>
        <v/>
      </c>
      <c r="I733" s="36"/>
      <c r="P733" s="27">
        <f t="shared" si="25"/>
        <v>0</v>
      </c>
      <c r="Q733" s="27">
        <f t="shared" si="24"/>
        <v>0</v>
      </c>
    </row>
    <row r="734" spans="2:17" x14ac:dyDescent="0.45">
      <c r="B734" s="27" t="str">
        <f>IFERROR(VLOOKUP(A734,القائمة!$A$3:$F$112,2,FALSE),"")</f>
        <v/>
      </c>
      <c r="C734" s="27" t="str">
        <f>IFERROR(VLOOKUP(A734,القائمة!$A$3:$F$112,3,FALSE),"")</f>
        <v/>
      </c>
      <c r="D734" s="36" t="str">
        <f>IFERROR(VLOOKUP(A734,القائمة!$A$3:$F$112,4,FALSE),"")</f>
        <v/>
      </c>
      <c r="E734" s="36" t="str">
        <f>IFERROR(VLOOKUP(A734,القائمة!$A$3:$F$112,5,FALSE),"")</f>
        <v/>
      </c>
      <c r="F734" s="37" t="str">
        <f>IFERROR(VLOOKUP(A734,القائمة!$A$3:$F$112,6,FALSE),"")</f>
        <v/>
      </c>
      <c r="I734" s="36"/>
      <c r="P734" s="27">
        <f t="shared" si="25"/>
        <v>0</v>
      </c>
      <c r="Q734" s="27">
        <f t="shared" si="24"/>
        <v>0</v>
      </c>
    </row>
    <row r="735" spans="2:17" x14ac:dyDescent="0.45">
      <c r="B735" s="27" t="str">
        <f>IFERROR(VLOOKUP(A735,القائمة!$A$3:$F$112,2,FALSE),"")</f>
        <v/>
      </c>
      <c r="C735" s="27" t="str">
        <f>IFERROR(VLOOKUP(A735,القائمة!$A$3:$F$112,3,FALSE),"")</f>
        <v/>
      </c>
      <c r="D735" s="36" t="str">
        <f>IFERROR(VLOOKUP(A735,القائمة!$A$3:$F$112,4,FALSE),"")</f>
        <v/>
      </c>
      <c r="E735" s="36" t="str">
        <f>IFERROR(VLOOKUP(A735,القائمة!$A$3:$F$112,5,FALSE),"")</f>
        <v/>
      </c>
      <c r="F735" s="37" t="str">
        <f>IFERROR(VLOOKUP(A735,القائمة!$A$3:$F$112,6,FALSE),"")</f>
        <v/>
      </c>
      <c r="I735" s="36"/>
      <c r="P735" s="27">
        <f t="shared" si="25"/>
        <v>0</v>
      </c>
      <c r="Q735" s="27">
        <f t="shared" si="24"/>
        <v>0</v>
      </c>
    </row>
    <row r="736" spans="2:17" x14ac:dyDescent="0.45">
      <c r="B736" s="27" t="str">
        <f>IFERROR(VLOOKUP(A736,القائمة!$A$3:$F$112,2,FALSE),"")</f>
        <v/>
      </c>
      <c r="C736" s="27" t="str">
        <f>IFERROR(VLOOKUP(A736,القائمة!$A$3:$F$112,3,FALSE),"")</f>
        <v/>
      </c>
      <c r="D736" s="36" t="str">
        <f>IFERROR(VLOOKUP(A736,القائمة!$A$3:$F$112,4,FALSE),"")</f>
        <v/>
      </c>
      <c r="E736" s="36" t="str">
        <f>IFERROR(VLOOKUP(A736,القائمة!$A$3:$F$112,5,FALSE),"")</f>
        <v/>
      </c>
      <c r="F736" s="37" t="str">
        <f>IFERROR(VLOOKUP(A736,القائمة!$A$3:$F$112,6,FALSE),"")</f>
        <v/>
      </c>
      <c r="I736" s="36"/>
      <c r="P736" s="27">
        <f t="shared" si="25"/>
        <v>0</v>
      </c>
      <c r="Q736" s="27">
        <f t="shared" si="24"/>
        <v>0</v>
      </c>
    </row>
    <row r="737" spans="2:17" x14ac:dyDescent="0.45">
      <c r="B737" s="27" t="str">
        <f>IFERROR(VLOOKUP(A737,القائمة!$A$3:$F$112,2,FALSE),"")</f>
        <v/>
      </c>
      <c r="C737" s="27" t="str">
        <f>IFERROR(VLOOKUP(A737,القائمة!$A$3:$F$112,3,FALSE),"")</f>
        <v/>
      </c>
      <c r="D737" s="36" t="str">
        <f>IFERROR(VLOOKUP(A737,القائمة!$A$3:$F$112,4,FALSE),"")</f>
        <v/>
      </c>
      <c r="E737" s="36" t="str">
        <f>IFERROR(VLOOKUP(A737,القائمة!$A$3:$F$112,5,FALSE),"")</f>
        <v/>
      </c>
      <c r="F737" s="37" t="str">
        <f>IFERROR(VLOOKUP(A737,القائمة!$A$3:$F$112,6,FALSE),"")</f>
        <v/>
      </c>
      <c r="I737" s="36"/>
      <c r="P737" s="27">
        <f t="shared" si="25"/>
        <v>0</v>
      </c>
      <c r="Q737" s="27">
        <f t="shared" si="24"/>
        <v>0</v>
      </c>
    </row>
    <row r="738" spans="2:17" x14ac:dyDescent="0.45">
      <c r="B738" s="27" t="str">
        <f>IFERROR(VLOOKUP(A738,القائمة!$A$3:$F$112,2,FALSE),"")</f>
        <v/>
      </c>
      <c r="C738" s="27" t="str">
        <f>IFERROR(VLOOKUP(A738,القائمة!$A$3:$F$112,3,FALSE),"")</f>
        <v/>
      </c>
      <c r="D738" s="36" t="str">
        <f>IFERROR(VLOOKUP(A738,القائمة!$A$3:$F$112,4,FALSE),"")</f>
        <v/>
      </c>
      <c r="E738" s="36" t="str">
        <f>IFERROR(VLOOKUP(A738,القائمة!$A$3:$F$112,5,FALSE),"")</f>
        <v/>
      </c>
      <c r="F738" s="37" t="str">
        <f>IFERROR(VLOOKUP(A738,القائمة!$A$3:$F$112,6,FALSE),"")</f>
        <v/>
      </c>
      <c r="I738" s="36"/>
      <c r="P738" s="27">
        <f t="shared" si="25"/>
        <v>0</v>
      </c>
      <c r="Q738" s="27">
        <f t="shared" si="24"/>
        <v>0</v>
      </c>
    </row>
    <row r="739" spans="2:17" x14ac:dyDescent="0.45">
      <c r="B739" s="27" t="str">
        <f>IFERROR(VLOOKUP(A739,القائمة!$A$3:$F$112,2,FALSE),"")</f>
        <v/>
      </c>
      <c r="C739" s="27" t="str">
        <f>IFERROR(VLOOKUP(A739,القائمة!$A$3:$F$112,3,FALSE),"")</f>
        <v/>
      </c>
      <c r="D739" s="36" t="str">
        <f>IFERROR(VLOOKUP(A739,القائمة!$A$3:$F$112,4,FALSE),"")</f>
        <v/>
      </c>
      <c r="E739" s="36" t="str">
        <f>IFERROR(VLOOKUP(A739,القائمة!$A$3:$F$112,5,FALSE),"")</f>
        <v/>
      </c>
      <c r="F739" s="37" t="str">
        <f>IFERROR(VLOOKUP(A739,القائمة!$A$3:$F$112,6,FALSE),"")</f>
        <v/>
      </c>
      <c r="I739" s="36"/>
      <c r="P739" s="27">
        <f t="shared" si="25"/>
        <v>0</v>
      </c>
      <c r="Q739" s="27">
        <f t="shared" si="24"/>
        <v>0</v>
      </c>
    </row>
    <row r="740" spans="2:17" x14ac:dyDescent="0.45">
      <c r="B740" s="27" t="str">
        <f>IFERROR(VLOOKUP(A740,القائمة!$A$3:$F$112,2,FALSE),"")</f>
        <v/>
      </c>
      <c r="C740" s="27" t="str">
        <f>IFERROR(VLOOKUP(A740,القائمة!$A$3:$F$112,3,FALSE),"")</f>
        <v/>
      </c>
      <c r="D740" s="36" t="str">
        <f>IFERROR(VLOOKUP(A740,القائمة!$A$3:$F$112,4,FALSE),"")</f>
        <v/>
      </c>
      <c r="E740" s="36" t="str">
        <f>IFERROR(VLOOKUP(A740,القائمة!$A$3:$F$112,5,FALSE),"")</f>
        <v/>
      </c>
      <c r="F740" s="37" t="str">
        <f>IFERROR(VLOOKUP(A740,القائمة!$A$3:$F$112,6,FALSE),"")</f>
        <v/>
      </c>
      <c r="I740" s="36"/>
      <c r="P740" s="27">
        <f t="shared" si="25"/>
        <v>0</v>
      </c>
      <c r="Q740" s="27">
        <f t="shared" si="24"/>
        <v>0</v>
      </c>
    </row>
    <row r="741" spans="2:17" x14ac:dyDescent="0.45">
      <c r="B741" s="27" t="str">
        <f>IFERROR(VLOOKUP(A741,القائمة!$A$3:$F$112,2,FALSE),"")</f>
        <v/>
      </c>
      <c r="C741" s="27" t="str">
        <f>IFERROR(VLOOKUP(A741,القائمة!$A$3:$F$112,3,FALSE),"")</f>
        <v/>
      </c>
      <c r="D741" s="36" t="str">
        <f>IFERROR(VLOOKUP(A741,القائمة!$A$3:$F$112,4,FALSE),"")</f>
        <v/>
      </c>
      <c r="E741" s="36" t="str">
        <f>IFERROR(VLOOKUP(A741,القائمة!$A$3:$F$112,5,FALSE),"")</f>
        <v/>
      </c>
      <c r="F741" s="37" t="str">
        <f>IFERROR(VLOOKUP(A741,القائمة!$A$3:$F$112,6,FALSE),"")</f>
        <v/>
      </c>
      <c r="I741" s="36"/>
      <c r="P741" s="27">
        <f t="shared" si="25"/>
        <v>0</v>
      </c>
      <c r="Q741" s="27">
        <f t="shared" si="24"/>
        <v>0</v>
      </c>
    </row>
    <row r="742" spans="2:17" x14ac:dyDescent="0.45">
      <c r="B742" s="27" t="str">
        <f>IFERROR(VLOOKUP(A742,القائمة!$A$3:$F$112,2,FALSE),"")</f>
        <v/>
      </c>
      <c r="C742" s="27" t="str">
        <f>IFERROR(VLOOKUP(A742,القائمة!$A$3:$F$112,3,FALSE),"")</f>
        <v/>
      </c>
      <c r="D742" s="36" t="str">
        <f>IFERROR(VLOOKUP(A742,القائمة!$A$3:$F$112,4,FALSE),"")</f>
        <v/>
      </c>
      <c r="E742" s="36" t="str">
        <f>IFERROR(VLOOKUP(A742,القائمة!$A$3:$F$112,5,FALSE),"")</f>
        <v/>
      </c>
      <c r="F742" s="37" t="str">
        <f>IFERROR(VLOOKUP(A742,القائمة!$A$3:$F$112,6,FALSE),"")</f>
        <v/>
      </c>
      <c r="I742" s="36"/>
      <c r="P742" s="27">
        <f t="shared" si="25"/>
        <v>0</v>
      </c>
      <c r="Q742" s="27">
        <f t="shared" si="24"/>
        <v>0</v>
      </c>
    </row>
    <row r="743" spans="2:17" x14ac:dyDescent="0.45">
      <c r="B743" s="27" t="str">
        <f>IFERROR(VLOOKUP(A743,القائمة!$A$3:$F$112,2,FALSE),"")</f>
        <v/>
      </c>
      <c r="C743" s="27" t="str">
        <f>IFERROR(VLOOKUP(A743,القائمة!$A$3:$F$112,3,FALSE),"")</f>
        <v/>
      </c>
      <c r="D743" s="36" t="str">
        <f>IFERROR(VLOOKUP(A743,القائمة!$A$3:$F$112,4,FALSE),"")</f>
        <v/>
      </c>
      <c r="E743" s="36" t="str">
        <f>IFERROR(VLOOKUP(A743,القائمة!$A$3:$F$112,5,FALSE),"")</f>
        <v/>
      </c>
      <c r="F743" s="37" t="str">
        <f>IFERROR(VLOOKUP(A743,القائمة!$A$3:$F$112,6,FALSE),"")</f>
        <v/>
      </c>
      <c r="I743" s="36"/>
      <c r="P743" s="27">
        <f t="shared" si="25"/>
        <v>0</v>
      </c>
      <c r="Q743" s="27">
        <f t="shared" si="24"/>
        <v>0</v>
      </c>
    </row>
    <row r="744" spans="2:17" x14ac:dyDescent="0.45">
      <c r="B744" s="27" t="str">
        <f>IFERROR(VLOOKUP(A744,القائمة!$A$3:$F$112,2,FALSE),"")</f>
        <v/>
      </c>
      <c r="C744" s="27" t="str">
        <f>IFERROR(VLOOKUP(A744,القائمة!$A$3:$F$112,3,FALSE),"")</f>
        <v/>
      </c>
      <c r="D744" s="36" t="str">
        <f>IFERROR(VLOOKUP(A744,القائمة!$A$3:$F$112,4,FALSE),"")</f>
        <v/>
      </c>
      <c r="E744" s="36" t="str">
        <f>IFERROR(VLOOKUP(A744,القائمة!$A$3:$F$112,5,FALSE),"")</f>
        <v/>
      </c>
      <c r="F744" s="37" t="str">
        <f>IFERROR(VLOOKUP(A744,القائمة!$A$3:$F$112,6,FALSE),"")</f>
        <v/>
      </c>
      <c r="I744" s="36"/>
      <c r="P744" s="27">
        <f t="shared" si="25"/>
        <v>0</v>
      </c>
      <c r="Q744" s="27">
        <f t="shared" si="24"/>
        <v>0</v>
      </c>
    </row>
    <row r="745" spans="2:17" x14ac:dyDescent="0.45">
      <c r="B745" s="27" t="str">
        <f>IFERROR(VLOOKUP(A745,القائمة!$A$3:$F$112,2,FALSE),"")</f>
        <v/>
      </c>
      <c r="C745" s="27" t="str">
        <f>IFERROR(VLOOKUP(A745,القائمة!$A$3:$F$112,3,FALSE),"")</f>
        <v/>
      </c>
      <c r="D745" s="36" t="str">
        <f>IFERROR(VLOOKUP(A745,القائمة!$A$3:$F$112,4,FALSE),"")</f>
        <v/>
      </c>
      <c r="E745" s="36" t="str">
        <f>IFERROR(VLOOKUP(A745,القائمة!$A$3:$F$112,5,FALSE),"")</f>
        <v/>
      </c>
      <c r="F745" s="37" t="str">
        <f>IFERROR(VLOOKUP(A745,القائمة!$A$3:$F$112,6,FALSE),"")</f>
        <v/>
      </c>
      <c r="I745" s="36"/>
      <c r="P745" s="27">
        <f t="shared" si="25"/>
        <v>0</v>
      </c>
      <c r="Q745" s="27">
        <f t="shared" si="24"/>
        <v>0</v>
      </c>
    </row>
    <row r="746" spans="2:17" x14ac:dyDescent="0.45">
      <c r="B746" s="27" t="str">
        <f>IFERROR(VLOOKUP(A746,القائمة!$A$3:$F$112,2,FALSE),"")</f>
        <v/>
      </c>
      <c r="C746" s="27" t="str">
        <f>IFERROR(VLOOKUP(A746,القائمة!$A$3:$F$112,3,FALSE),"")</f>
        <v/>
      </c>
      <c r="D746" s="36" t="str">
        <f>IFERROR(VLOOKUP(A746,القائمة!$A$3:$F$112,4,FALSE),"")</f>
        <v/>
      </c>
      <c r="E746" s="36" t="str">
        <f>IFERROR(VLOOKUP(A746,القائمة!$A$3:$F$112,5,FALSE),"")</f>
        <v/>
      </c>
      <c r="F746" s="37" t="str">
        <f>IFERROR(VLOOKUP(A746,القائمة!$A$3:$F$112,6,FALSE),"")</f>
        <v/>
      </c>
      <c r="I746" s="36"/>
      <c r="P746" s="27">
        <f t="shared" si="25"/>
        <v>0</v>
      </c>
      <c r="Q746" s="27">
        <f t="shared" si="24"/>
        <v>0</v>
      </c>
    </row>
    <row r="747" spans="2:17" x14ac:dyDescent="0.45">
      <c r="B747" s="27" t="str">
        <f>IFERROR(VLOOKUP(A747,القائمة!$A$3:$F$112,2,FALSE),"")</f>
        <v/>
      </c>
      <c r="C747" s="27" t="str">
        <f>IFERROR(VLOOKUP(A747,القائمة!$A$3:$F$112,3,FALSE),"")</f>
        <v/>
      </c>
      <c r="D747" s="36" t="str">
        <f>IFERROR(VLOOKUP(A747,القائمة!$A$3:$F$112,4,FALSE),"")</f>
        <v/>
      </c>
      <c r="E747" s="36" t="str">
        <f>IFERROR(VLOOKUP(A747,القائمة!$A$3:$F$112,5,FALSE),"")</f>
        <v/>
      </c>
      <c r="F747" s="37" t="str">
        <f>IFERROR(VLOOKUP(A747,القائمة!$A$3:$F$112,6,FALSE),"")</f>
        <v/>
      </c>
      <c r="I747" s="36"/>
      <c r="P747" s="27">
        <f t="shared" si="25"/>
        <v>0</v>
      </c>
      <c r="Q747" s="27">
        <f t="shared" si="24"/>
        <v>0</v>
      </c>
    </row>
    <row r="748" spans="2:17" x14ac:dyDescent="0.45">
      <c r="B748" s="27" t="str">
        <f>IFERROR(VLOOKUP(A748,القائمة!$A$3:$F$112,2,FALSE),"")</f>
        <v/>
      </c>
      <c r="C748" s="27" t="str">
        <f>IFERROR(VLOOKUP(A748,القائمة!$A$3:$F$112,3,FALSE),"")</f>
        <v/>
      </c>
      <c r="D748" s="36" t="str">
        <f>IFERROR(VLOOKUP(A748,القائمة!$A$3:$F$112,4,FALSE),"")</f>
        <v/>
      </c>
      <c r="E748" s="36" t="str">
        <f>IFERROR(VLOOKUP(A748,القائمة!$A$3:$F$112,5,FALSE),"")</f>
        <v/>
      </c>
      <c r="F748" s="37" t="str">
        <f>IFERROR(VLOOKUP(A748,القائمة!$A$3:$F$112,6,FALSE),"")</f>
        <v/>
      </c>
      <c r="I748" s="36"/>
      <c r="P748" s="27">
        <f t="shared" si="25"/>
        <v>0</v>
      </c>
      <c r="Q748" s="27">
        <f t="shared" si="24"/>
        <v>0</v>
      </c>
    </row>
    <row r="749" spans="2:17" x14ac:dyDescent="0.45">
      <c r="B749" s="27" t="str">
        <f>IFERROR(VLOOKUP(A749,القائمة!$A$3:$F$112,2,FALSE),"")</f>
        <v/>
      </c>
      <c r="C749" s="27" t="str">
        <f>IFERROR(VLOOKUP(A749,القائمة!$A$3:$F$112,3,FALSE),"")</f>
        <v/>
      </c>
      <c r="D749" s="36" t="str">
        <f>IFERROR(VLOOKUP(A749,القائمة!$A$3:$F$112,4,FALSE),"")</f>
        <v/>
      </c>
      <c r="E749" s="36" t="str">
        <f>IFERROR(VLOOKUP(A749,القائمة!$A$3:$F$112,5,FALSE),"")</f>
        <v/>
      </c>
      <c r="F749" s="37" t="str">
        <f>IFERROR(VLOOKUP(A749,القائمة!$A$3:$F$112,6,FALSE),"")</f>
        <v/>
      </c>
      <c r="I749" s="36"/>
      <c r="P749" s="27">
        <f t="shared" si="25"/>
        <v>0</v>
      </c>
      <c r="Q749" s="27">
        <f t="shared" si="24"/>
        <v>0</v>
      </c>
    </row>
    <row r="750" spans="2:17" x14ac:dyDescent="0.45">
      <c r="B750" s="27" t="str">
        <f>IFERROR(VLOOKUP(A750,القائمة!$A$3:$F$112,2,FALSE),"")</f>
        <v/>
      </c>
      <c r="C750" s="27" t="str">
        <f>IFERROR(VLOOKUP(A750,القائمة!$A$3:$F$112,3,FALSE),"")</f>
        <v/>
      </c>
      <c r="D750" s="36" t="str">
        <f>IFERROR(VLOOKUP(A750,القائمة!$A$3:$F$112,4,FALSE),"")</f>
        <v/>
      </c>
      <c r="E750" s="36" t="str">
        <f>IFERROR(VLOOKUP(A750,القائمة!$A$3:$F$112,5,FALSE),"")</f>
        <v/>
      </c>
      <c r="F750" s="37" t="str">
        <f>IFERROR(VLOOKUP(A750,القائمة!$A$3:$F$112,6,FALSE),"")</f>
        <v/>
      </c>
      <c r="I750" s="36"/>
      <c r="P750" s="27">
        <f t="shared" si="25"/>
        <v>0</v>
      </c>
      <c r="Q750" s="27">
        <f t="shared" si="24"/>
        <v>0</v>
      </c>
    </row>
    <row r="751" spans="2:17" x14ac:dyDescent="0.45">
      <c r="B751" s="27" t="str">
        <f>IFERROR(VLOOKUP(A751,القائمة!$A$3:$F$112,2,FALSE),"")</f>
        <v/>
      </c>
      <c r="C751" s="27" t="str">
        <f>IFERROR(VLOOKUP(A751,القائمة!$A$3:$F$112,3,FALSE),"")</f>
        <v/>
      </c>
      <c r="D751" s="36" t="str">
        <f>IFERROR(VLOOKUP(A751,القائمة!$A$3:$F$112,4,FALSE),"")</f>
        <v/>
      </c>
      <c r="E751" s="36" t="str">
        <f>IFERROR(VLOOKUP(A751,القائمة!$A$3:$F$112,5,FALSE),"")</f>
        <v/>
      </c>
      <c r="F751" s="37" t="str">
        <f>IFERROR(VLOOKUP(A751,القائمة!$A$3:$F$112,6,FALSE),"")</f>
        <v/>
      </c>
      <c r="I751" s="36"/>
      <c r="P751" s="27">
        <f t="shared" si="25"/>
        <v>0</v>
      </c>
      <c r="Q751" s="27">
        <f t="shared" si="24"/>
        <v>0</v>
      </c>
    </row>
    <row r="752" spans="2:17" x14ac:dyDescent="0.45">
      <c r="B752" s="27" t="str">
        <f>IFERROR(VLOOKUP(A752,القائمة!$A$3:$F$112,2,FALSE),"")</f>
        <v/>
      </c>
      <c r="C752" s="27" t="str">
        <f>IFERROR(VLOOKUP(A752,القائمة!$A$3:$F$112,3,FALSE),"")</f>
        <v/>
      </c>
      <c r="D752" s="36" t="str">
        <f>IFERROR(VLOOKUP(A752,القائمة!$A$3:$F$112,4,FALSE),"")</f>
        <v/>
      </c>
      <c r="E752" s="36" t="str">
        <f>IFERROR(VLOOKUP(A752,القائمة!$A$3:$F$112,5,FALSE),"")</f>
        <v/>
      </c>
      <c r="F752" s="37" t="str">
        <f>IFERROR(VLOOKUP(A752,القائمة!$A$3:$F$112,6,FALSE),"")</f>
        <v/>
      </c>
      <c r="I752" s="36"/>
      <c r="P752" s="27">
        <f t="shared" si="25"/>
        <v>0</v>
      </c>
      <c r="Q752" s="27">
        <f t="shared" si="24"/>
        <v>0</v>
      </c>
    </row>
    <row r="753" spans="2:17" x14ac:dyDescent="0.45">
      <c r="B753" s="27" t="str">
        <f>IFERROR(VLOOKUP(A753,القائمة!$A$3:$F$112,2,FALSE),"")</f>
        <v/>
      </c>
      <c r="C753" s="27" t="str">
        <f>IFERROR(VLOOKUP(A753,القائمة!$A$3:$F$112,3,FALSE),"")</f>
        <v/>
      </c>
      <c r="D753" s="36" t="str">
        <f>IFERROR(VLOOKUP(A753,القائمة!$A$3:$F$112,4,FALSE),"")</f>
        <v/>
      </c>
      <c r="E753" s="36" t="str">
        <f>IFERROR(VLOOKUP(A753,القائمة!$A$3:$F$112,5,FALSE),"")</f>
        <v/>
      </c>
      <c r="F753" s="37" t="str">
        <f>IFERROR(VLOOKUP(A753,القائمة!$A$3:$F$112,6,FALSE),"")</f>
        <v/>
      </c>
      <c r="I753" s="36"/>
      <c r="P753" s="27">
        <f t="shared" si="25"/>
        <v>0</v>
      </c>
      <c r="Q753" s="27">
        <f t="shared" si="24"/>
        <v>0</v>
      </c>
    </row>
    <row r="754" spans="2:17" x14ac:dyDescent="0.45">
      <c r="B754" s="27" t="str">
        <f>IFERROR(VLOOKUP(A754,القائمة!$A$3:$F$112,2,FALSE),"")</f>
        <v/>
      </c>
      <c r="C754" s="27" t="str">
        <f>IFERROR(VLOOKUP(A754,القائمة!$A$3:$F$112,3,FALSE),"")</f>
        <v/>
      </c>
      <c r="D754" s="36" t="str">
        <f>IFERROR(VLOOKUP(A754,القائمة!$A$3:$F$112,4,FALSE),"")</f>
        <v/>
      </c>
      <c r="E754" s="36" t="str">
        <f>IFERROR(VLOOKUP(A754,القائمة!$A$3:$F$112,5,FALSE),"")</f>
        <v/>
      </c>
      <c r="F754" s="37" t="str">
        <f>IFERROR(VLOOKUP(A754,القائمة!$A$3:$F$112,6,FALSE),"")</f>
        <v/>
      </c>
      <c r="I754" s="36"/>
      <c r="P754" s="27">
        <f t="shared" si="25"/>
        <v>0</v>
      </c>
      <c r="Q754" s="27">
        <f t="shared" si="24"/>
        <v>0</v>
      </c>
    </row>
    <row r="755" spans="2:17" x14ac:dyDescent="0.45">
      <c r="B755" s="27" t="str">
        <f>IFERROR(VLOOKUP(A755,القائمة!$A$3:$F$112,2,FALSE),"")</f>
        <v/>
      </c>
      <c r="C755" s="27" t="str">
        <f>IFERROR(VLOOKUP(A755,القائمة!$A$3:$F$112,3,FALSE),"")</f>
        <v/>
      </c>
      <c r="D755" s="36" t="str">
        <f>IFERROR(VLOOKUP(A755,القائمة!$A$3:$F$112,4,FALSE),"")</f>
        <v/>
      </c>
      <c r="E755" s="36" t="str">
        <f>IFERROR(VLOOKUP(A755,القائمة!$A$3:$F$112,5,FALSE),"")</f>
        <v/>
      </c>
      <c r="F755" s="37" t="str">
        <f>IFERROR(VLOOKUP(A755,القائمة!$A$3:$F$112,6,FALSE),"")</f>
        <v/>
      </c>
      <c r="I755" s="36"/>
      <c r="P755" s="27">
        <f t="shared" si="25"/>
        <v>0</v>
      </c>
      <c r="Q755" s="27">
        <f t="shared" si="24"/>
        <v>0</v>
      </c>
    </row>
    <row r="756" spans="2:17" x14ac:dyDescent="0.45">
      <c r="B756" s="27" t="str">
        <f>IFERROR(VLOOKUP(A756,القائمة!$A$3:$F$112,2,FALSE),"")</f>
        <v/>
      </c>
      <c r="C756" s="27" t="str">
        <f>IFERROR(VLOOKUP(A756,القائمة!$A$3:$F$112,3,FALSE),"")</f>
        <v/>
      </c>
      <c r="D756" s="36" t="str">
        <f>IFERROR(VLOOKUP(A756,القائمة!$A$3:$F$112,4,FALSE),"")</f>
        <v/>
      </c>
      <c r="E756" s="36" t="str">
        <f>IFERROR(VLOOKUP(A756,القائمة!$A$3:$F$112,5,FALSE),"")</f>
        <v/>
      </c>
      <c r="F756" s="37" t="str">
        <f>IFERROR(VLOOKUP(A756,القائمة!$A$3:$F$112,6,FALSE),"")</f>
        <v/>
      </c>
      <c r="I756" s="36"/>
      <c r="P756" s="27">
        <f t="shared" si="25"/>
        <v>0</v>
      </c>
      <c r="Q756" s="27">
        <f t="shared" si="24"/>
        <v>0</v>
      </c>
    </row>
    <row r="757" spans="2:17" x14ac:dyDescent="0.45">
      <c r="B757" s="27" t="str">
        <f>IFERROR(VLOOKUP(A757,القائمة!$A$3:$F$112,2,FALSE),"")</f>
        <v/>
      </c>
      <c r="C757" s="27" t="str">
        <f>IFERROR(VLOOKUP(A757,القائمة!$A$3:$F$112,3,FALSE),"")</f>
        <v/>
      </c>
      <c r="D757" s="36" t="str">
        <f>IFERROR(VLOOKUP(A757,القائمة!$A$3:$F$112,4,FALSE),"")</f>
        <v/>
      </c>
      <c r="E757" s="36" t="str">
        <f>IFERROR(VLOOKUP(A757,القائمة!$A$3:$F$112,5,FALSE),"")</f>
        <v/>
      </c>
      <c r="F757" s="37" t="str">
        <f>IFERROR(VLOOKUP(A757,القائمة!$A$3:$F$112,6,FALSE),"")</f>
        <v/>
      </c>
      <c r="I757" s="36"/>
      <c r="P757" s="27">
        <f t="shared" si="25"/>
        <v>0</v>
      </c>
      <c r="Q757" s="27">
        <f t="shared" si="24"/>
        <v>0</v>
      </c>
    </row>
    <row r="758" spans="2:17" x14ac:dyDescent="0.45">
      <c r="B758" s="27" t="str">
        <f>IFERROR(VLOOKUP(A758,القائمة!$A$3:$F$112,2,FALSE),"")</f>
        <v/>
      </c>
      <c r="C758" s="27" t="str">
        <f>IFERROR(VLOOKUP(A758,القائمة!$A$3:$F$112,3,FALSE),"")</f>
        <v/>
      </c>
      <c r="D758" s="36" t="str">
        <f>IFERROR(VLOOKUP(A758,القائمة!$A$3:$F$112,4,FALSE),"")</f>
        <v/>
      </c>
      <c r="E758" s="36" t="str">
        <f>IFERROR(VLOOKUP(A758,القائمة!$A$3:$F$112,5,FALSE),"")</f>
        <v/>
      </c>
      <c r="F758" s="37" t="str">
        <f>IFERROR(VLOOKUP(A758,القائمة!$A$3:$F$112,6,FALSE),"")</f>
        <v/>
      </c>
      <c r="I758" s="36"/>
      <c r="P758" s="27">
        <f t="shared" si="25"/>
        <v>0</v>
      </c>
      <c r="Q758" s="27">
        <f t="shared" si="24"/>
        <v>0</v>
      </c>
    </row>
    <row r="759" spans="2:17" x14ac:dyDescent="0.45">
      <c r="B759" s="27" t="str">
        <f>IFERROR(VLOOKUP(A759,القائمة!$A$3:$F$112,2,FALSE),"")</f>
        <v/>
      </c>
      <c r="C759" s="27" t="str">
        <f>IFERROR(VLOOKUP(A759,القائمة!$A$3:$F$112,3,FALSE),"")</f>
        <v/>
      </c>
      <c r="D759" s="36" t="str">
        <f>IFERROR(VLOOKUP(A759,القائمة!$A$3:$F$112,4,FALSE),"")</f>
        <v/>
      </c>
      <c r="E759" s="36" t="str">
        <f>IFERROR(VLOOKUP(A759,القائمة!$A$3:$F$112,5,FALSE),"")</f>
        <v/>
      </c>
      <c r="F759" s="37" t="str">
        <f>IFERROR(VLOOKUP(A759,القائمة!$A$3:$F$112,6,FALSE),"")</f>
        <v/>
      </c>
      <c r="I759" s="36"/>
      <c r="P759" s="27">
        <f t="shared" si="25"/>
        <v>0</v>
      </c>
      <c r="Q759" s="27">
        <f t="shared" si="24"/>
        <v>0</v>
      </c>
    </row>
    <row r="760" spans="2:17" x14ac:dyDescent="0.45">
      <c r="B760" s="27" t="str">
        <f>IFERROR(VLOOKUP(A760,القائمة!$A$3:$F$112,2,FALSE),"")</f>
        <v/>
      </c>
      <c r="C760" s="27" t="str">
        <f>IFERROR(VLOOKUP(A760,القائمة!$A$3:$F$112,3,FALSE),"")</f>
        <v/>
      </c>
      <c r="D760" s="36" t="str">
        <f>IFERROR(VLOOKUP(A760,القائمة!$A$3:$F$112,4,FALSE),"")</f>
        <v/>
      </c>
      <c r="E760" s="36" t="str">
        <f>IFERROR(VLOOKUP(A760,القائمة!$A$3:$F$112,5,FALSE),"")</f>
        <v/>
      </c>
      <c r="F760" s="37" t="str">
        <f>IFERROR(VLOOKUP(A760,القائمة!$A$3:$F$112,6,FALSE),"")</f>
        <v/>
      </c>
      <c r="I760" s="36"/>
      <c r="P760" s="27">
        <f t="shared" si="25"/>
        <v>0</v>
      </c>
      <c r="Q760" s="27">
        <f t="shared" si="24"/>
        <v>0</v>
      </c>
    </row>
    <row r="761" spans="2:17" x14ac:dyDescent="0.45">
      <c r="B761" s="27" t="str">
        <f>IFERROR(VLOOKUP(A761,القائمة!$A$3:$F$112,2,FALSE),"")</f>
        <v/>
      </c>
      <c r="C761" s="27" t="str">
        <f>IFERROR(VLOOKUP(A761,القائمة!$A$3:$F$112,3,FALSE),"")</f>
        <v/>
      </c>
      <c r="D761" s="36" t="str">
        <f>IFERROR(VLOOKUP(A761,القائمة!$A$3:$F$112,4,FALSE),"")</f>
        <v/>
      </c>
      <c r="E761" s="36" t="str">
        <f>IFERROR(VLOOKUP(A761,القائمة!$A$3:$F$112,5,FALSE),"")</f>
        <v/>
      </c>
      <c r="F761" s="37" t="str">
        <f>IFERROR(VLOOKUP(A761,القائمة!$A$3:$F$112,6,FALSE),"")</f>
        <v/>
      </c>
      <c r="I761" s="36"/>
      <c r="P761" s="27">
        <f t="shared" si="25"/>
        <v>0</v>
      </c>
      <c r="Q761" s="27">
        <f t="shared" si="24"/>
        <v>0</v>
      </c>
    </row>
    <row r="762" spans="2:17" x14ac:dyDescent="0.45">
      <c r="B762" s="27" t="str">
        <f>IFERROR(VLOOKUP(A762,القائمة!$A$3:$F$112,2,FALSE),"")</f>
        <v/>
      </c>
      <c r="C762" s="27" t="str">
        <f>IFERROR(VLOOKUP(A762,القائمة!$A$3:$F$112,3,FALSE),"")</f>
        <v/>
      </c>
      <c r="D762" s="36" t="str">
        <f>IFERROR(VLOOKUP(A762,القائمة!$A$3:$F$112,4,FALSE),"")</f>
        <v/>
      </c>
      <c r="E762" s="36" t="str">
        <f>IFERROR(VLOOKUP(A762,القائمة!$A$3:$F$112,5,FALSE),"")</f>
        <v/>
      </c>
      <c r="F762" s="37" t="str">
        <f>IFERROR(VLOOKUP(A762,القائمة!$A$3:$F$112,6,FALSE),"")</f>
        <v/>
      </c>
      <c r="I762" s="36"/>
      <c r="P762" s="27">
        <f t="shared" si="25"/>
        <v>0</v>
      </c>
      <c r="Q762" s="27">
        <f t="shared" si="24"/>
        <v>0</v>
      </c>
    </row>
    <row r="763" spans="2:17" x14ac:dyDescent="0.45">
      <c r="B763" s="27" t="str">
        <f>IFERROR(VLOOKUP(A763,القائمة!$A$3:$F$112,2,FALSE),"")</f>
        <v/>
      </c>
      <c r="C763" s="27" t="str">
        <f>IFERROR(VLOOKUP(A763,القائمة!$A$3:$F$112,3,FALSE),"")</f>
        <v/>
      </c>
      <c r="D763" s="36" t="str">
        <f>IFERROR(VLOOKUP(A763,القائمة!$A$3:$F$112,4,FALSE),"")</f>
        <v/>
      </c>
      <c r="E763" s="36" t="str">
        <f>IFERROR(VLOOKUP(A763,القائمة!$A$3:$F$112,5,FALSE),"")</f>
        <v/>
      </c>
      <c r="F763" s="37" t="str">
        <f>IFERROR(VLOOKUP(A763,القائمة!$A$3:$F$112,6,FALSE),"")</f>
        <v/>
      </c>
      <c r="I763" s="36"/>
      <c r="P763" s="27">
        <f t="shared" si="25"/>
        <v>0</v>
      </c>
      <c r="Q763" s="27">
        <f t="shared" si="24"/>
        <v>0</v>
      </c>
    </row>
    <row r="764" spans="2:17" x14ac:dyDescent="0.45">
      <c r="B764" s="27" t="str">
        <f>IFERROR(VLOOKUP(A764,القائمة!$A$3:$F$112,2,FALSE),"")</f>
        <v/>
      </c>
      <c r="C764" s="27" t="str">
        <f>IFERROR(VLOOKUP(A764,القائمة!$A$3:$F$112,3,FALSE),"")</f>
        <v/>
      </c>
      <c r="D764" s="36" t="str">
        <f>IFERROR(VLOOKUP(A764,القائمة!$A$3:$F$112,4,FALSE),"")</f>
        <v/>
      </c>
      <c r="E764" s="36" t="str">
        <f>IFERROR(VLOOKUP(A764,القائمة!$A$3:$F$112,5,FALSE),"")</f>
        <v/>
      </c>
      <c r="F764" s="37" t="str">
        <f>IFERROR(VLOOKUP(A764,القائمة!$A$3:$F$112,6,FALSE),"")</f>
        <v/>
      </c>
      <c r="I764" s="36"/>
      <c r="P764" s="27">
        <f t="shared" si="25"/>
        <v>0</v>
      </c>
      <c r="Q764" s="27">
        <f t="shared" si="24"/>
        <v>0</v>
      </c>
    </row>
    <row r="765" spans="2:17" x14ac:dyDescent="0.45">
      <c r="B765" s="27" t="str">
        <f>IFERROR(VLOOKUP(A765,القائمة!$A$3:$F$112,2,FALSE),"")</f>
        <v/>
      </c>
      <c r="C765" s="27" t="str">
        <f>IFERROR(VLOOKUP(A765,القائمة!$A$3:$F$112,3,FALSE),"")</f>
        <v/>
      </c>
      <c r="D765" s="36" t="str">
        <f>IFERROR(VLOOKUP(A765,القائمة!$A$3:$F$112,4,FALSE),"")</f>
        <v/>
      </c>
      <c r="E765" s="36" t="str">
        <f>IFERROR(VLOOKUP(A765,القائمة!$A$3:$F$112,5,FALSE),"")</f>
        <v/>
      </c>
      <c r="F765" s="37" t="str">
        <f>IFERROR(VLOOKUP(A765,القائمة!$A$3:$F$112,6,FALSE),"")</f>
        <v/>
      </c>
      <c r="I765" s="36"/>
      <c r="P765" s="27">
        <f t="shared" si="25"/>
        <v>0</v>
      </c>
      <c r="Q765" s="27">
        <f t="shared" si="24"/>
        <v>0</v>
      </c>
    </row>
    <row r="766" spans="2:17" x14ac:dyDescent="0.45">
      <c r="B766" s="27" t="str">
        <f>IFERROR(VLOOKUP(A766,القائمة!$A$3:$F$112,2,FALSE),"")</f>
        <v/>
      </c>
      <c r="C766" s="27" t="str">
        <f>IFERROR(VLOOKUP(A766,القائمة!$A$3:$F$112,3,FALSE),"")</f>
        <v/>
      </c>
      <c r="D766" s="36" t="str">
        <f>IFERROR(VLOOKUP(A766,القائمة!$A$3:$F$112,4,FALSE),"")</f>
        <v/>
      </c>
      <c r="E766" s="36" t="str">
        <f>IFERROR(VLOOKUP(A766,القائمة!$A$3:$F$112,5,FALSE),"")</f>
        <v/>
      </c>
      <c r="F766" s="37" t="str">
        <f>IFERROR(VLOOKUP(A766,القائمة!$A$3:$F$112,6,FALSE),"")</f>
        <v/>
      </c>
      <c r="I766" s="36"/>
      <c r="P766" s="27">
        <f t="shared" si="25"/>
        <v>0</v>
      </c>
      <c r="Q766" s="27">
        <f t="shared" si="24"/>
        <v>0</v>
      </c>
    </row>
    <row r="767" spans="2:17" x14ac:dyDescent="0.45">
      <c r="B767" s="27" t="str">
        <f>IFERROR(VLOOKUP(A767,القائمة!$A$3:$F$112,2,FALSE),"")</f>
        <v/>
      </c>
      <c r="C767" s="27" t="str">
        <f>IFERROR(VLOOKUP(A767,القائمة!$A$3:$F$112,3,FALSE),"")</f>
        <v/>
      </c>
      <c r="D767" s="36" t="str">
        <f>IFERROR(VLOOKUP(A767,القائمة!$A$3:$F$112,4,FALSE),"")</f>
        <v/>
      </c>
      <c r="E767" s="36" t="str">
        <f>IFERROR(VLOOKUP(A767,القائمة!$A$3:$F$112,5,FALSE),"")</f>
        <v/>
      </c>
      <c r="F767" s="37" t="str">
        <f>IFERROR(VLOOKUP(A767,القائمة!$A$3:$F$112,6,FALSE),"")</f>
        <v/>
      </c>
      <c r="I767" s="36"/>
      <c r="P767" s="27">
        <f t="shared" si="25"/>
        <v>0</v>
      </c>
      <c r="Q767" s="27">
        <f t="shared" si="24"/>
        <v>0</v>
      </c>
    </row>
    <row r="768" spans="2:17" x14ac:dyDescent="0.45">
      <c r="B768" s="27" t="str">
        <f>IFERROR(VLOOKUP(A768,القائمة!$A$3:$F$112,2,FALSE),"")</f>
        <v/>
      </c>
      <c r="C768" s="27" t="str">
        <f>IFERROR(VLOOKUP(A768,القائمة!$A$3:$F$112,3,FALSE),"")</f>
        <v/>
      </c>
      <c r="D768" s="36" t="str">
        <f>IFERROR(VLOOKUP(A768,القائمة!$A$3:$F$112,4,FALSE),"")</f>
        <v/>
      </c>
      <c r="E768" s="36" t="str">
        <f>IFERROR(VLOOKUP(A768,القائمة!$A$3:$F$112,5,FALSE),"")</f>
        <v/>
      </c>
      <c r="F768" s="37" t="str">
        <f>IFERROR(VLOOKUP(A768,القائمة!$A$3:$F$112,6,FALSE),"")</f>
        <v/>
      </c>
      <c r="I768" s="36"/>
      <c r="P768" s="27">
        <f t="shared" si="25"/>
        <v>0</v>
      </c>
      <c r="Q768" s="27">
        <f t="shared" si="24"/>
        <v>0</v>
      </c>
    </row>
    <row r="769" spans="2:17" x14ac:dyDescent="0.45">
      <c r="B769" s="27" t="str">
        <f>IFERROR(VLOOKUP(A769,القائمة!$A$3:$F$112,2,FALSE),"")</f>
        <v/>
      </c>
      <c r="C769" s="27" t="str">
        <f>IFERROR(VLOOKUP(A769,القائمة!$A$3:$F$112,3,FALSE),"")</f>
        <v/>
      </c>
      <c r="D769" s="36" t="str">
        <f>IFERROR(VLOOKUP(A769,القائمة!$A$3:$F$112,4,FALSE),"")</f>
        <v/>
      </c>
      <c r="E769" s="36" t="str">
        <f>IFERROR(VLOOKUP(A769,القائمة!$A$3:$F$112,5,FALSE),"")</f>
        <v/>
      </c>
      <c r="F769" s="37" t="str">
        <f>IFERROR(VLOOKUP(A769,القائمة!$A$3:$F$112,6,FALSE),"")</f>
        <v/>
      </c>
      <c r="I769" s="36"/>
      <c r="P769" s="27">
        <f t="shared" si="25"/>
        <v>0</v>
      </c>
      <c r="Q769" s="27">
        <f t="shared" si="24"/>
        <v>0</v>
      </c>
    </row>
    <row r="770" spans="2:17" x14ac:dyDescent="0.45">
      <c r="B770" s="27" t="str">
        <f>IFERROR(VLOOKUP(A770,القائمة!$A$3:$F$112,2,FALSE),"")</f>
        <v/>
      </c>
      <c r="C770" s="27" t="str">
        <f>IFERROR(VLOOKUP(A770,القائمة!$A$3:$F$112,3,FALSE),"")</f>
        <v/>
      </c>
      <c r="D770" s="36" t="str">
        <f>IFERROR(VLOOKUP(A770,القائمة!$A$3:$F$112,4,FALSE),"")</f>
        <v/>
      </c>
      <c r="E770" s="36" t="str">
        <f>IFERROR(VLOOKUP(A770,القائمة!$A$3:$F$112,5,FALSE),"")</f>
        <v/>
      </c>
      <c r="F770" s="37" t="str">
        <f>IFERROR(VLOOKUP(A770,القائمة!$A$3:$F$112,6,FALSE),"")</f>
        <v/>
      </c>
      <c r="I770" s="36"/>
      <c r="P770" s="27">
        <f t="shared" si="25"/>
        <v>0</v>
      </c>
      <c r="Q770" s="27">
        <f t="shared" si="24"/>
        <v>0</v>
      </c>
    </row>
    <row r="771" spans="2:17" x14ac:dyDescent="0.45">
      <c r="B771" s="27" t="str">
        <f>IFERROR(VLOOKUP(A771,القائمة!$A$3:$F$112,2,FALSE),"")</f>
        <v/>
      </c>
      <c r="C771" s="27" t="str">
        <f>IFERROR(VLOOKUP(A771,القائمة!$A$3:$F$112,3,FALSE),"")</f>
        <v/>
      </c>
      <c r="D771" s="36" t="str">
        <f>IFERROR(VLOOKUP(A771,القائمة!$A$3:$F$112,4,FALSE),"")</f>
        <v/>
      </c>
      <c r="E771" s="36" t="str">
        <f>IFERROR(VLOOKUP(A771,القائمة!$A$3:$F$112,5,FALSE),"")</f>
        <v/>
      </c>
      <c r="F771" s="37" t="str">
        <f>IFERROR(VLOOKUP(A771,القائمة!$A$3:$F$112,6,FALSE),"")</f>
        <v/>
      </c>
      <c r="I771" s="36"/>
      <c r="P771" s="27">
        <f t="shared" si="25"/>
        <v>0</v>
      </c>
      <c r="Q771" s="27">
        <f t="shared" ref="Q771:Q834" si="26">+P771+L771-M771</f>
        <v>0</v>
      </c>
    </row>
    <row r="772" spans="2:17" x14ac:dyDescent="0.45">
      <c r="B772" s="27" t="str">
        <f>IFERROR(VLOOKUP(A772,القائمة!$A$3:$F$112,2,FALSE),"")</f>
        <v/>
      </c>
      <c r="C772" s="27" t="str">
        <f>IFERROR(VLOOKUP(A772,القائمة!$A$3:$F$112,3,FALSE),"")</f>
        <v/>
      </c>
      <c r="D772" s="36" t="str">
        <f>IFERROR(VLOOKUP(A772,القائمة!$A$3:$F$112,4,FALSE),"")</f>
        <v/>
      </c>
      <c r="E772" s="36" t="str">
        <f>IFERROR(VLOOKUP(A772,القائمة!$A$3:$F$112,5,FALSE),"")</f>
        <v/>
      </c>
      <c r="F772" s="37" t="str">
        <f>IFERROR(VLOOKUP(A772,القائمة!$A$3:$F$112,6,FALSE),"")</f>
        <v/>
      </c>
      <c r="I772" s="36"/>
      <c r="P772" s="27">
        <f t="shared" ref="P772:P835" si="27">J772-K772</f>
        <v>0</v>
      </c>
      <c r="Q772" s="27">
        <f t="shared" si="26"/>
        <v>0</v>
      </c>
    </row>
    <row r="773" spans="2:17" x14ac:dyDescent="0.45">
      <c r="B773" s="27" t="str">
        <f>IFERROR(VLOOKUP(A773,القائمة!$A$3:$F$112,2,FALSE),"")</f>
        <v/>
      </c>
      <c r="C773" s="27" t="str">
        <f>IFERROR(VLOOKUP(A773,القائمة!$A$3:$F$112,3,FALSE),"")</f>
        <v/>
      </c>
      <c r="D773" s="36" t="str">
        <f>IFERROR(VLOOKUP(A773,القائمة!$A$3:$F$112,4,FALSE),"")</f>
        <v/>
      </c>
      <c r="E773" s="36" t="str">
        <f>IFERROR(VLOOKUP(A773,القائمة!$A$3:$F$112,5,FALSE),"")</f>
        <v/>
      </c>
      <c r="F773" s="37" t="str">
        <f>IFERROR(VLOOKUP(A773,القائمة!$A$3:$F$112,6,FALSE),"")</f>
        <v/>
      </c>
      <c r="I773" s="36"/>
      <c r="P773" s="27">
        <f t="shared" si="27"/>
        <v>0</v>
      </c>
      <c r="Q773" s="27">
        <f t="shared" si="26"/>
        <v>0</v>
      </c>
    </row>
    <row r="774" spans="2:17" x14ac:dyDescent="0.45">
      <c r="B774" s="27" t="str">
        <f>IFERROR(VLOOKUP(A774,القائمة!$A$3:$F$112,2,FALSE),"")</f>
        <v/>
      </c>
      <c r="C774" s="27" t="str">
        <f>IFERROR(VLOOKUP(A774,القائمة!$A$3:$F$112,3,FALSE),"")</f>
        <v/>
      </c>
      <c r="D774" s="36" t="str">
        <f>IFERROR(VLOOKUP(A774,القائمة!$A$3:$F$112,4,FALSE),"")</f>
        <v/>
      </c>
      <c r="E774" s="36" t="str">
        <f>IFERROR(VLOOKUP(A774,القائمة!$A$3:$F$112,5,FALSE),"")</f>
        <v/>
      </c>
      <c r="F774" s="37" t="str">
        <f>IFERROR(VLOOKUP(A774,القائمة!$A$3:$F$112,6,FALSE),"")</f>
        <v/>
      </c>
      <c r="I774" s="36"/>
      <c r="P774" s="27">
        <f t="shared" si="27"/>
        <v>0</v>
      </c>
      <c r="Q774" s="27">
        <f t="shared" si="26"/>
        <v>0</v>
      </c>
    </row>
    <row r="775" spans="2:17" x14ac:dyDescent="0.45">
      <c r="B775" s="27" t="str">
        <f>IFERROR(VLOOKUP(A775,القائمة!$A$3:$F$112,2,FALSE),"")</f>
        <v/>
      </c>
      <c r="C775" s="27" t="str">
        <f>IFERROR(VLOOKUP(A775,القائمة!$A$3:$F$112,3,FALSE),"")</f>
        <v/>
      </c>
      <c r="D775" s="36" t="str">
        <f>IFERROR(VLOOKUP(A775,القائمة!$A$3:$F$112,4,FALSE),"")</f>
        <v/>
      </c>
      <c r="E775" s="36" t="str">
        <f>IFERROR(VLOOKUP(A775,القائمة!$A$3:$F$112,5,FALSE),"")</f>
        <v/>
      </c>
      <c r="F775" s="37" t="str">
        <f>IFERROR(VLOOKUP(A775,القائمة!$A$3:$F$112,6,FALSE),"")</f>
        <v/>
      </c>
      <c r="I775" s="36"/>
      <c r="P775" s="27">
        <f t="shared" si="27"/>
        <v>0</v>
      </c>
      <c r="Q775" s="27">
        <f t="shared" si="26"/>
        <v>0</v>
      </c>
    </row>
    <row r="776" spans="2:17" x14ac:dyDescent="0.45">
      <c r="B776" s="27" t="str">
        <f>IFERROR(VLOOKUP(A776,القائمة!$A$3:$F$112,2,FALSE),"")</f>
        <v/>
      </c>
      <c r="C776" s="27" t="str">
        <f>IFERROR(VLOOKUP(A776,القائمة!$A$3:$F$112,3,FALSE),"")</f>
        <v/>
      </c>
      <c r="D776" s="36" t="str">
        <f>IFERROR(VLOOKUP(A776,القائمة!$A$3:$F$112,4,FALSE),"")</f>
        <v/>
      </c>
      <c r="E776" s="36" t="str">
        <f>IFERROR(VLOOKUP(A776,القائمة!$A$3:$F$112,5,FALSE),"")</f>
        <v/>
      </c>
      <c r="F776" s="37" t="str">
        <f>IFERROR(VLOOKUP(A776,القائمة!$A$3:$F$112,6,FALSE),"")</f>
        <v/>
      </c>
      <c r="I776" s="36"/>
      <c r="P776" s="27">
        <f t="shared" si="27"/>
        <v>0</v>
      </c>
      <c r="Q776" s="27">
        <f t="shared" si="26"/>
        <v>0</v>
      </c>
    </row>
    <row r="777" spans="2:17" x14ac:dyDescent="0.45">
      <c r="B777" s="27" t="str">
        <f>IFERROR(VLOOKUP(A777,القائمة!$A$3:$F$112,2,FALSE),"")</f>
        <v/>
      </c>
      <c r="C777" s="27" t="str">
        <f>IFERROR(VLOOKUP(A777,القائمة!$A$3:$F$112,3,FALSE),"")</f>
        <v/>
      </c>
      <c r="D777" s="36" t="str">
        <f>IFERROR(VLOOKUP(A777,القائمة!$A$3:$F$112,4,FALSE),"")</f>
        <v/>
      </c>
      <c r="E777" s="36" t="str">
        <f>IFERROR(VLOOKUP(A777,القائمة!$A$3:$F$112,5,FALSE),"")</f>
        <v/>
      </c>
      <c r="F777" s="37" t="str">
        <f>IFERROR(VLOOKUP(A777,القائمة!$A$3:$F$112,6,FALSE),"")</f>
        <v/>
      </c>
      <c r="I777" s="36"/>
      <c r="P777" s="27">
        <f t="shared" si="27"/>
        <v>0</v>
      </c>
      <c r="Q777" s="27">
        <f t="shared" si="26"/>
        <v>0</v>
      </c>
    </row>
    <row r="778" spans="2:17" x14ac:dyDescent="0.45">
      <c r="B778" s="27" t="str">
        <f>IFERROR(VLOOKUP(A778,القائمة!$A$3:$F$112,2,FALSE),"")</f>
        <v/>
      </c>
      <c r="C778" s="27" t="str">
        <f>IFERROR(VLOOKUP(A778,القائمة!$A$3:$F$112,3,FALSE),"")</f>
        <v/>
      </c>
      <c r="D778" s="36" t="str">
        <f>IFERROR(VLOOKUP(A778,القائمة!$A$3:$F$112,4,FALSE),"")</f>
        <v/>
      </c>
      <c r="E778" s="36" t="str">
        <f>IFERROR(VLOOKUP(A778,القائمة!$A$3:$F$112,5,FALSE),"")</f>
        <v/>
      </c>
      <c r="F778" s="37" t="str">
        <f>IFERROR(VLOOKUP(A778,القائمة!$A$3:$F$112,6,FALSE),"")</f>
        <v/>
      </c>
      <c r="I778" s="36"/>
      <c r="P778" s="27">
        <f t="shared" si="27"/>
        <v>0</v>
      </c>
      <c r="Q778" s="27">
        <f t="shared" si="26"/>
        <v>0</v>
      </c>
    </row>
    <row r="779" spans="2:17" x14ac:dyDescent="0.45">
      <c r="B779" s="27" t="str">
        <f>IFERROR(VLOOKUP(A779,القائمة!$A$3:$F$112,2,FALSE),"")</f>
        <v/>
      </c>
      <c r="C779" s="27" t="str">
        <f>IFERROR(VLOOKUP(A779,القائمة!$A$3:$F$112,3,FALSE),"")</f>
        <v/>
      </c>
      <c r="D779" s="36" t="str">
        <f>IFERROR(VLOOKUP(A779,القائمة!$A$3:$F$112,4,FALSE),"")</f>
        <v/>
      </c>
      <c r="E779" s="36" t="str">
        <f>IFERROR(VLOOKUP(A779,القائمة!$A$3:$F$112,5,FALSE),"")</f>
        <v/>
      </c>
      <c r="F779" s="37" t="str">
        <f>IFERROR(VLOOKUP(A779,القائمة!$A$3:$F$112,6,FALSE),"")</f>
        <v/>
      </c>
      <c r="I779" s="36"/>
      <c r="P779" s="27">
        <f t="shared" si="27"/>
        <v>0</v>
      </c>
      <c r="Q779" s="27">
        <f t="shared" si="26"/>
        <v>0</v>
      </c>
    </row>
    <row r="780" spans="2:17" x14ac:dyDescent="0.45">
      <c r="B780" s="27" t="str">
        <f>IFERROR(VLOOKUP(A780,القائمة!$A$3:$F$112,2,FALSE),"")</f>
        <v/>
      </c>
      <c r="C780" s="27" t="str">
        <f>IFERROR(VLOOKUP(A780,القائمة!$A$3:$F$112,3,FALSE),"")</f>
        <v/>
      </c>
      <c r="D780" s="36" t="str">
        <f>IFERROR(VLOOKUP(A780,القائمة!$A$3:$F$112,4,FALSE),"")</f>
        <v/>
      </c>
      <c r="E780" s="36" t="str">
        <f>IFERROR(VLOOKUP(A780,القائمة!$A$3:$F$112,5,FALSE),"")</f>
        <v/>
      </c>
      <c r="F780" s="37" t="str">
        <f>IFERROR(VLOOKUP(A780,القائمة!$A$3:$F$112,6,FALSE),"")</f>
        <v/>
      </c>
      <c r="I780" s="36"/>
      <c r="P780" s="27">
        <f t="shared" si="27"/>
        <v>0</v>
      </c>
      <c r="Q780" s="27">
        <f t="shared" si="26"/>
        <v>0</v>
      </c>
    </row>
    <row r="781" spans="2:17" x14ac:dyDescent="0.45">
      <c r="B781" s="27" t="str">
        <f>IFERROR(VLOOKUP(A781,القائمة!$A$3:$F$112,2,FALSE),"")</f>
        <v/>
      </c>
      <c r="C781" s="27" t="str">
        <f>IFERROR(VLOOKUP(A781,القائمة!$A$3:$F$112,3,FALSE),"")</f>
        <v/>
      </c>
      <c r="D781" s="36" t="str">
        <f>IFERROR(VLOOKUP(A781,القائمة!$A$3:$F$112,4,FALSE),"")</f>
        <v/>
      </c>
      <c r="E781" s="36" t="str">
        <f>IFERROR(VLOOKUP(A781,القائمة!$A$3:$F$112,5,FALSE),"")</f>
        <v/>
      </c>
      <c r="F781" s="37" t="str">
        <f>IFERROR(VLOOKUP(A781,القائمة!$A$3:$F$112,6,FALSE),"")</f>
        <v/>
      </c>
      <c r="I781" s="36"/>
      <c r="P781" s="27">
        <f t="shared" si="27"/>
        <v>0</v>
      </c>
      <c r="Q781" s="27">
        <f t="shared" si="26"/>
        <v>0</v>
      </c>
    </row>
    <row r="782" spans="2:17" x14ac:dyDescent="0.45">
      <c r="B782" s="27" t="str">
        <f>IFERROR(VLOOKUP(A782,القائمة!$A$3:$F$112,2,FALSE),"")</f>
        <v/>
      </c>
      <c r="C782" s="27" t="str">
        <f>IFERROR(VLOOKUP(A782,القائمة!$A$3:$F$112,3,FALSE),"")</f>
        <v/>
      </c>
      <c r="D782" s="36" t="str">
        <f>IFERROR(VLOOKUP(A782,القائمة!$A$3:$F$112,4,FALSE),"")</f>
        <v/>
      </c>
      <c r="E782" s="36" t="str">
        <f>IFERROR(VLOOKUP(A782,القائمة!$A$3:$F$112,5,FALSE),"")</f>
        <v/>
      </c>
      <c r="F782" s="37" t="str">
        <f>IFERROR(VLOOKUP(A782,القائمة!$A$3:$F$112,6,FALSE),"")</f>
        <v/>
      </c>
      <c r="I782" s="36"/>
      <c r="P782" s="27">
        <f t="shared" si="27"/>
        <v>0</v>
      </c>
      <c r="Q782" s="27">
        <f t="shared" si="26"/>
        <v>0</v>
      </c>
    </row>
    <row r="783" spans="2:17" x14ac:dyDescent="0.45">
      <c r="B783" s="27" t="str">
        <f>IFERROR(VLOOKUP(A783,القائمة!$A$3:$F$112,2,FALSE),"")</f>
        <v/>
      </c>
      <c r="C783" s="27" t="str">
        <f>IFERROR(VLOOKUP(A783,القائمة!$A$3:$F$112,3,FALSE),"")</f>
        <v/>
      </c>
      <c r="D783" s="36" t="str">
        <f>IFERROR(VLOOKUP(A783,القائمة!$A$3:$F$112,4,FALSE),"")</f>
        <v/>
      </c>
      <c r="E783" s="36" t="str">
        <f>IFERROR(VLOOKUP(A783,القائمة!$A$3:$F$112,5,FALSE),"")</f>
        <v/>
      </c>
      <c r="F783" s="37" t="str">
        <f>IFERROR(VLOOKUP(A783,القائمة!$A$3:$F$112,6,FALSE),"")</f>
        <v/>
      </c>
      <c r="I783" s="36"/>
      <c r="P783" s="27">
        <f t="shared" si="27"/>
        <v>0</v>
      </c>
      <c r="Q783" s="27">
        <f t="shared" si="26"/>
        <v>0</v>
      </c>
    </row>
    <row r="784" spans="2:17" x14ac:dyDescent="0.45">
      <c r="B784" s="27" t="str">
        <f>IFERROR(VLOOKUP(A784,القائمة!$A$3:$F$112,2,FALSE),"")</f>
        <v/>
      </c>
      <c r="C784" s="27" t="str">
        <f>IFERROR(VLOOKUP(A784,القائمة!$A$3:$F$112,3,FALSE),"")</f>
        <v/>
      </c>
      <c r="D784" s="36" t="str">
        <f>IFERROR(VLOOKUP(A784,القائمة!$A$3:$F$112,4,FALSE),"")</f>
        <v/>
      </c>
      <c r="E784" s="36" t="str">
        <f>IFERROR(VLOOKUP(A784,القائمة!$A$3:$F$112,5,FALSE),"")</f>
        <v/>
      </c>
      <c r="F784" s="37" t="str">
        <f>IFERROR(VLOOKUP(A784,القائمة!$A$3:$F$112,6,FALSE),"")</f>
        <v/>
      </c>
      <c r="I784" s="36"/>
      <c r="P784" s="27">
        <f t="shared" si="27"/>
        <v>0</v>
      </c>
      <c r="Q784" s="27">
        <f t="shared" si="26"/>
        <v>0</v>
      </c>
    </row>
    <row r="785" spans="2:17" x14ac:dyDescent="0.45">
      <c r="B785" s="27" t="str">
        <f>IFERROR(VLOOKUP(A785,القائمة!$A$3:$F$112,2,FALSE),"")</f>
        <v/>
      </c>
      <c r="C785" s="27" t="str">
        <f>IFERROR(VLOOKUP(A785,القائمة!$A$3:$F$112,3,FALSE),"")</f>
        <v/>
      </c>
      <c r="D785" s="36" t="str">
        <f>IFERROR(VLOOKUP(A785,القائمة!$A$3:$F$112,4,FALSE),"")</f>
        <v/>
      </c>
      <c r="E785" s="36" t="str">
        <f>IFERROR(VLOOKUP(A785,القائمة!$A$3:$F$112,5,FALSE),"")</f>
        <v/>
      </c>
      <c r="F785" s="37" t="str">
        <f>IFERROR(VLOOKUP(A785,القائمة!$A$3:$F$112,6,FALSE),"")</f>
        <v/>
      </c>
      <c r="I785" s="36"/>
      <c r="P785" s="27">
        <f t="shared" si="27"/>
        <v>0</v>
      </c>
      <c r="Q785" s="27">
        <f t="shared" si="26"/>
        <v>0</v>
      </c>
    </row>
    <row r="786" spans="2:17" x14ac:dyDescent="0.45">
      <c r="B786" s="27" t="str">
        <f>IFERROR(VLOOKUP(A786,القائمة!$A$3:$F$112,2,FALSE),"")</f>
        <v/>
      </c>
      <c r="C786" s="27" t="str">
        <f>IFERROR(VLOOKUP(A786,القائمة!$A$3:$F$112,3,FALSE),"")</f>
        <v/>
      </c>
      <c r="D786" s="36" t="str">
        <f>IFERROR(VLOOKUP(A786,القائمة!$A$3:$F$112,4,FALSE),"")</f>
        <v/>
      </c>
      <c r="E786" s="36" t="str">
        <f>IFERROR(VLOOKUP(A786,القائمة!$A$3:$F$112,5,FALSE),"")</f>
        <v/>
      </c>
      <c r="F786" s="37" t="str">
        <f>IFERROR(VLOOKUP(A786,القائمة!$A$3:$F$112,6,FALSE),"")</f>
        <v/>
      </c>
      <c r="I786" s="36"/>
      <c r="P786" s="27">
        <f t="shared" si="27"/>
        <v>0</v>
      </c>
      <c r="Q786" s="27">
        <f t="shared" si="26"/>
        <v>0</v>
      </c>
    </row>
    <row r="787" spans="2:17" x14ac:dyDescent="0.45">
      <c r="B787" s="27" t="str">
        <f>IFERROR(VLOOKUP(A787,القائمة!$A$3:$F$112,2,FALSE),"")</f>
        <v/>
      </c>
      <c r="C787" s="27" t="str">
        <f>IFERROR(VLOOKUP(A787,القائمة!$A$3:$F$112,3,FALSE),"")</f>
        <v/>
      </c>
      <c r="D787" s="36" t="str">
        <f>IFERROR(VLOOKUP(A787,القائمة!$A$3:$F$112,4,FALSE),"")</f>
        <v/>
      </c>
      <c r="E787" s="36" t="str">
        <f>IFERROR(VLOOKUP(A787,القائمة!$A$3:$F$112,5,FALSE),"")</f>
        <v/>
      </c>
      <c r="F787" s="37" t="str">
        <f>IFERROR(VLOOKUP(A787,القائمة!$A$3:$F$112,6,FALSE),"")</f>
        <v/>
      </c>
      <c r="I787" s="36"/>
      <c r="P787" s="27">
        <f t="shared" si="27"/>
        <v>0</v>
      </c>
      <c r="Q787" s="27">
        <f t="shared" si="26"/>
        <v>0</v>
      </c>
    </row>
    <row r="788" spans="2:17" x14ac:dyDescent="0.45">
      <c r="B788" s="27" t="str">
        <f>IFERROR(VLOOKUP(A788,القائمة!$A$3:$F$112,2,FALSE),"")</f>
        <v/>
      </c>
      <c r="C788" s="27" t="str">
        <f>IFERROR(VLOOKUP(A788,القائمة!$A$3:$F$112,3,FALSE),"")</f>
        <v/>
      </c>
      <c r="D788" s="36" t="str">
        <f>IFERROR(VLOOKUP(A788,القائمة!$A$3:$F$112,4,FALSE),"")</f>
        <v/>
      </c>
      <c r="E788" s="36" t="str">
        <f>IFERROR(VLOOKUP(A788,القائمة!$A$3:$F$112,5,FALSE),"")</f>
        <v/>
      </c>
      <c r="F788" s="37" t="str">
        <f>IFERROR(VLOOKUP(A788,القائمة!$A$3:$F$112,6,FALSE),"")</f>
        <v/>
      </c>
      <c r="I788" s="36"/>
      <c r="P788" s="27">
        <f t="shared" si="27"/>
        <v>0</v>
      </c>
      <c r="Q788" s="27">
        <f t="shared" si="26"/>
        <v>0</v>
      </c>
    </row>
    <row r="789" spans="2:17" x14ac:dyDescent="0.45">
      <c r="B789" s="27" t="str">
        <f>IFERROR(VLOOKUP(A789,القائمة!$A$3:$F$112,2,FALSE),"")</f>
        <v/>
      </c>
      <c r="C789" s="27" t="str">
        <f>IFERROR(VLOOKUP(A789,القائمة!$A$3:$F$112,3,FALSE),"")</f>
        <v/>
      </c>
      <c r="D789" s="36" t="str">
        <f>IFERROR(VLOOKUP(A789,القائمة!$A$3:$F$112,4,FALSE),"")</f>
        <v/>
      </c>
      <c r="E789" s="36" t="str">
        <f>IFERROR(VLOOKUP(A789,القائمة!$A$3:$F$112,5,FALSE),"")</f>
        <v/>
      </c>
      <c r="F789" s="37" t="str">
        <f>IFERROR(VLOOKUP(A789,القائمة!$A$3:$F$112,6,FALSE),"")</f>
        <v/>
      </c>
      <c r="I789" s="36"/>
      <c r="P789" s="27">
        <f t="shared" si="27"/>
        <v>0</v>
      </c>
      <c r="Q789" s="27">
        <f t="shared" si="26"/>
        <v>0</v>
      </c>
    </row>
    <row r="790" spans="2:17" x14ac:dyDescent="0.45">
      <c r="B790" s="27" t="str">
        <f>IFERROR(VLOOKUP(A790,القائمة!$A$3:$F$112,2,FALSE),"")</f>
        <v/>
      </c>
      <c r="C790" s="27" t="str">
        <f>IFERROR(VLOOKUP(A790,القائمة!$A$3:$F$112,3,FALSE),"")</f>
        <v/>
      </c>
      <c r="D790" s="36" t="str">
        <f>IFERROR(VLOOKUP(A790,القائمة!$A$3:$F$112,4,FALSE),"")</f>
        <v/>
      </c>
      <c r="E790" s="36" t="str">
        <f>IFERROR(VLOOKUP(A790,القائمة!$A$3:$F$112,5,FALSE),"")</f>
        <v/>
      </c>
      <c r="F790" s="37" t="str">
        <f>IFERROR(VLOOKUP(A790,القائمة!$A$3:$F$112,6,FALSE),"")</f>
        <v/>
      </c>
      <c r="I790" s="36"/>
      <c r="P790" s="27">
        <f t="shared" si="27"/>
        <v>0</v>
      </c>
      <c r="Q790" s="27">
        <f t="shared" si="26"/>
        <v>0</v>
      </c>
    </row>
    <row r="791" spans="2:17" x14ac:dyDescent="0.45">
      <c r="B791" s="27" t="str">
        <f>IFERROR(VLOOKUP(A791,القائمة!$A$3:$F$112,2,FALSE),"")</f>
        <v/>
      </c>
      <c r="C791" s="27" t="str">
        <f>IFERROR(VLOOKUP(A791,القائمة!$A$3:$F$112,3,FALSE),"")</f>
        <v/>
      </c>
      <c r="D791" s="36" t="str">
        <f>IFERROR(VLOOKUP(A791,القائمة!$A$3:$F$112,4,FALSE),"")</f>
        <v/>
      </c>
      <c r="E791" s="36" t="str">
        <f>IFERROR(VLOOKUP(A791,القائمة!$A$3:$F$112,5,FALSE),"")</f>
        <v/>
      </c>
      <c r="F791" s="37" t="str">
        <f>IFERROR(VLOOKUP(A791,القائمة!$A$3:$F$112,6,FALSE),"")</f>
        <v/>
      </c>
      <c r="I791" s="36"/>
      <c r="P791" s="27">
        <f t="shared" si="27"/>
        <v>0</v>
      </c>
      <c r="Q791" s="27">
        <f t="shared" si="26"/>
        <v>0</v>
      </c>
    </row>
    <row r="792" spans="2:17" x14ac:dyDescent="0.45">
      <c r="B792" s="27" t="str">
        <f>IFERROR(VLOOKUP(A792,القائمة!$A$3:$F$112,2,FALSE),"")</f>
        <v/>
      </c>
      <c r="C792" s="27" t="str">
        <f>IFERROR(VLOOKUP(A792,القائمة!$A$3:$F$112,3,FALSE),"")</f>
        <v/>
      </c>
      <c r="D792" s="36" t="str">
        <f>IFERROR(VLOOKUP(A792,القائمة!$A$3:$F$112,4,FALSE),"")</f>
        <v/>
      </c>
      <c r="E792" s="36" t="str">
        <f>IFERROR(VLOOKUP(A792,القائمة!$A$3:$F$112,5,FALSE),"")</f>
        <v/>
      </c>
      <c r="F792" s="37" t="str">
        <f>IFERROR(VLOOKUP(A792,القائمة!$A$3:$F$112,6,FALSE),"")</f>
        <v/>
      </c>
      <c r="I792" s="36"/>
      <c r="P792" s="27">
        <f t="shared" si="27"/>
        <v>0</v>
      </c>
      <c r="Q792" s="27">
        <f t="shared" si="26"/>
        <v>0</v>
      </c>
    </row>
    <row r="793" spans="2:17" x14ac:dyDescent="0.45">
      <c r="B793" s="27" t="str">
        <f>IFERROR(VLOOKUP(A793,القائمة!$A$3:$F$112,2,FALSE),"")</f>
        <v/>
      </c>
      <c r="C793" s="27" t="str">
        <f>IFERROR(VLOOKUP(A793,القائمة!$A$3:$F$112,3,FALSE),"")</f>
        <v/>
      </c>
      <c r="D793" s="36" t="str">
        <f>IFERROR(VLOOKUP(A793,القائمة!$A$3:$F$112,4,FALSE),"")</f>
        <v/>
      </c>
      <c r="E793" s="36" t="str">
        <f>IFERROR(VLOOKUP(A793,القائمة!$A$3:$F$112,5,FALSE),"")</f>
        <v/>
      </c>
      <c r="F793" s="37" t="str">
        <f>IFERROR(VLOOKUP(A793,القائمة!$A$3:$F$112,6,FALSE),"")</f>
        <v/>
      </c>
      <c r="I793" s="36"/>
      <c r="P793" s="27">
        <f t="shared" si="27"/>
        <v>0</v>
      </c>
      <c r="Q793" s="27">
        <f t="shared" si="26"/>
        <v>0</v>
      </c>
    </row>
    <row r="794" spans="2:17" x14ac:dyDescent="0.45">
      <c r="B794" s="27" t="str">
        <f>IFERROR(VLOOKUP(A794,القائمة!$A$3:$F$112,2,FALSE),"")</f>
        <v/>
      </c>
      <c r="C794" s="27" t="str">
        <f>IFERROR(VLOOKUP(A794,القائمة!$A$3:$F$112,3,FALSE),"")</f>
        <v/>
      </c>
      <c r="D794" s="36" t="str">
        <f>IFERROR(VLOOKUP(A794,القائمة!$A$3:$F$112,4,FALSE),"")</f>
        <v/>
      </c>
      <c r="E794" s="36" t="str">
        <f>IFERROR(VLOOKUP(A794,القائمة!$A$3:$F$112,5,FALSE),"")</f>
        <v/>
      </c>
      <c r="F794" s="37" t="str">
        <f>IFERROR(VLOOKUP(A794,القائمة!$A$3:$F$112,6,FALSE),"")</f>
        <v/>
      </c>
      <c r="I794" s="36"/>
      <c r="P794" s="27">
        <f t="shared" si="27"/>
        <v>0</v>
      </c>
      <c r="Q794" s="27">
        <f t="shared" si="26"/>
        <v>0</v>
      </c>
    </row>
    <row r="795" spans="2:17" x14ac:dyDescent="0.45">
      <c r="B795" s="27" t="str">
        <f>IFERROR(VLOOKUP(A795,القائمة!$A$3:$F$112,2,FALSE),"")</f>
        <v/>
      </c>
      <c r="C795" s="27" t="str">
        <f>IFERROR(VLOOKUP(A795,القائمة!$A$3:$F$112,3,FALSE),"")</f>
        <v/>
      </c>
      <c r="D795" s="36" t="str">
        <f>IFERROR(VLOOKUP(A795,القائمة!$A$3:$F$112,4,FALSE),"")</f>
        <v/>
      </c>
      <c r="E795" s="36" t="str">
        <f>IFERROR(VLOOKUP(A795,القائمة!$A$3:$F$112,5,FALSE),"")</f>
        <v/>
      </c>
      <c r="F795" s="37" t="str">
        <f>IFERROR(VLOOKUP(A795,القائمة!$A$3:$F$112,6,FALSE),"")</f>
        <v/>
      </c>
      <c r="I795" s="36"/>
      <c r="P795" s="27">
        <f t="shared" si="27"/>
        <v>0</v>
      </c>
      <c r="Q795" s="27">
        <f t="shared" si="26"/>
        <v>0</v>
      </c>
    </row>
    <row r="796" spans="2:17" x14ac:dyDescent="0.45">
      <c r="B796" s="27" t="str">
        <f>IFERROR(VLOOKUP(A796,القائمة!$A$3:$F$112,2,FALSE),"")</f>
        <v/>
      </c>
      <c r="C796" s="27" t="str">
        <f>IFERROR(VLOOKUP(A796,القائمة!$A$3:$F$112,3,FALSE),"")</f>
        <v/>
      </c>
      <c r="D796" s="36" t="str">
        <f>IFERROR(VLOOKUP(A796,القائمة!$A$3:$F$112,4,FALSE),"")</f>
        <v/>
      </c>
      <c r="E796" s="36" t="str">
        <f>IFERROR(VLOOKUP(A796,القائمة!$A$3:$F$112,5,FALSE),"")</f>
        <v/>
      </c>
      <c r="F796" s="37" t="str">
        <f>IFERROR(VLOOKUP(A796,القائمة!$A$3:$F$112,6,FALSE),"")</f>
        <v/>
      </c>
      <c r="I796" s="36"/>
      <c r="P796" s="27">
        <f t="shared" si="27"/>
        <v>0</v>
      </c>
      <c r="Q796" s="27">
        <f t="shared" si="26"/>
        <v>0</v>
      </c>
    </row>
    <row r="797" spans="2:17" x14ac:dyDescent="0.45">
      <c r="B797" s="27" t="str">
        <f>IFERROR(VLOOKUP(A797,القائمة!$A$3:$F$112,2,FALSE),"")</f>
        <v/>
      </c>
      <c r="C797" s="27" t="str">
        <f>IFERROR(VLOOKUP(A797,القائمة!$A$3:$F$112,3,FALSE),"")</f>
        <v/>
      </c>
      <c r="D797" s="36" t="str">
        <f>IFERROR(VLOOKUP(A797,القائمة!$A$3:$F$112,4,FALSE),"")</f>
        <v/>
      </c>
      <c r="E797" s="36" t="str">
        <f>IFERROR(VLOOKUP(A797,القائمة!$A$3:$F$112,5,FALSE),"")</f>
        <v/>
      </c>
      <c r="F797" s="37" t="str">
        <f>IFERROR(VLOOKUP(A797,القائمة!$A$3:$F$112,6,FALSE),"")</f>
        <v/>
      </c>
      <c r="I797" s="36"/>
      <c r="P797" s="27">
        <f t="shared" si="27"/>
        <v>0</v>
      </c>
      <c r="Q797" s="27">
        <f t="shared" si="26"/>
        <v>0</v>
      </c>
    </row>
    <row r="798" spans="2:17" x14ac:dyDescent="0.45">
      <c r="B798" s="27" t="str">
        <f>IFERROR(VLOOKUP(A798,القائمة!$A$3:$F$112,2,FALSE),"")</f>
        <v/>
      </c>
      <c r="C798" s="27" t="str">
        <f>IFERROR(VLOOKUP(A798,القائمة!$A$3:$F$112,3,FALSE),"")</f>
        <v/>
      </c>
      <c r="D798" s="36" t="str">
        <f>IFERROR(VLOOKUP(A798,القائمة!$A$3:$F$112,4,FALSE),"")</f>
        <v/>
      </c>
      <c r="E798" s="36" t="str">
        <f>IFERROR(VLOOKUP(A798,القائمة!$A$3:$F$112,5,FALSE),"")</f>
        <v/>
      </c>
      <c r="F798" s="37" t="str">
        <f>IFERROR(VLOOKUP(A798,القائمة!$A$3:$F$112,6,FALSE),"")</f>
        <v/>
      </c>
      <c r="I798" s="36"/>
      <c r="P798" s="27">
        <f t="shared" si="27"/>
        <v>0</v>
      </c>
      <c r="Q798" s="27">
        <f t="shared" si="26"/>
        <v>0</v>
      </c>
    </row>
    <row r="799" spans="2:17" x14ac:dyDescent="0.45">
      <c r="B799" s="27" t="str">
        <f>IFERROR(VLOOKUP(A799,القائمة!$A$3:$F$112,2,FALSE),"")</f>
        <v/>
      </c>
      <c r="C799" s="27" t="str">
        <f>IFERROR(VLOOKUP(A799,القائمة!$A$3:$F$112,3,FALSE),"")</f>
        <v/>
      </c>
      <c r="D799" s="36" t="str">
        <f>IFERROR(VLOOKUP(A799,القائمة!$A$3:$F$112,4,FALSE),"")</f>
        <v/>
      </c>
      <c r="E799" s="36" t="str">
        <f>IFERROR(VLOOKUP(A799,القائمة!$A$3:$F$112,5,FALSE),"")</f>
        <v/>
      </c>
      <c r="F799" s="37" t="str">
        <f>IFERROR(VLOOKUP(A799,القائمة!$A$3:$F$112,6,FALSE),"")</f>
        <v/>
      </c>
      <c r="I799" s="36"/>
      <c r="P799" s="27">
        <f t="shared" si="27"/>
        <v>0</v>
      </c>
      <c r="Q799" s="27">
        <f t="shared" si="26"/>
        <v>0</v>
      </c>
    </row>
    <row r="800" spans="2:17" x14ac:dyDescent="0.45">
      <c r="B800" s="27" t="str">
        <f>IFERROR(VLOOKUP(A800,القائمة!$A$3:$F$112,2,FALSE),"")</f>
        <v/>
      </c>
      <c r="C800" s="27" t="str">
        <f>IFERROR(VLOOKUP(A800,القائمة!$A$3:$F$112,3,FALSE),"")</f>
        <v/>
      </c>
      <c r="D800" s="36" t="str">
        <f>IFERROR(VLOOKUP(A800,القائمة!$A$3:$F$112,4,FALSE),"")</f>
        <v/>
      </c>
      <c r="E800" s="36" t="str">
        <f>IFERROR(VLOOKUP(A800,القائمة!$A$3:$F$112,5,FALSE),"")</f>
        <v/>
      </c>
      <c r="F800" s="37" t="str">
        <f>IFERROR(VLOOKUP(A800,القائمة!$A$3:$F$112,6,FALSE),"")</f>
        <v/>
      </c>
      <c r="I800" s="36"/>
      <c r="P800" s="27">
        <f t="shared" si="27"/>
        <v>0</v>
      </c>
      <c r="Q800" s="27">
        <f t="shared" si="26"/>
        <v>0</v>
      </c>
    </row>
    <row r="801" spans="2:17" x14ac:dyDescent="0.45">
      <c r="B801" s="27" t="str">
        <f>IFERROR(VLOOKUP(A801,القائمة!$A$3:$F$112,2,FALSE),"")</f>
        <v/>
      </c>
      <c r="C801" s="27" t="str">
        <f>IFERROR(VLOOKUP(A801,القائمة!$A$3:$F$112,3,FALSE),"")</f>
        <v/>
      </c>
      <c r="D801" s="36" t="str">
        <f>IFERROR(VLOOKUP(A801,القائمة!$A$3:$F$112,4,FALSE),"")</f>
        <v/>
      </c>
      <c r="E801" s="36" t="str">
        <f>IFERROR(VLOOKUP(A801,القائمة!$A$3:$F$112,5,FALSE),"")</f>
        <v/>
      </c>
      <c r="F801" s="37" t="str">
        <f>IFERROR(VLOOKUP(A801,القائمة!$A$3:$F$112,6,FALSE),"")</f>
        <v/>
      </c>
      <c r="I801" s="36"/>
      <c r="P801" s="27">
        <f t="shared" si="27"/>
        <v>0</v>
      </c>
      <c r="Q801" s="27">
        <f t="shared" si="26"/>
        <v>0</v>
      </c>
    </row>
    <row r="802" spans="2:17" x14ac:dyDescent="0.45">
      <c r="B802" s="27" t="str">
        <f>IFERROR(VLOOKUP(A802,القائمة!$A$3:$F$112,2,FALSE),"")</f>
        <v/>
      </c>
      <c r="C802" s="27" t="str">
        <f>IFERROR(VLOOKUP(A802,القائمة!$A$3:$F$112,3,FALSE),"")</f>
        <v/>
      </c>
      <c r="D802" s="36" t="str">
        <f>IFERROR(VLOOKUP(A802,القائمة!$A$3:$F$112,4,FALSE),"")</f>
        <v/>
      </c>
      <c r="E802" s="36" t="str">
        <f>IFERROR(VLOOKUP(A802,القائمة!$A$3:$F$112,5,FALSE),"")</f>
        <v/>
      </c>
      <c r="F802" s="37" t="str">
        <f>IFERROR(VLOOKUP(A802,القائمة!$A$3:$F$112,6,FALSE),"")</f>
        <v/>
      </c>
      <c r="I802" s="36"/>
      <c r="P802" s="27">
        <f t="shared" si="27"/>
        <v>0</v>
      </c>
      <c r="Q802" s="27">
        <f t="shared" si="26"/>
        <v>0</v>
      </c>
    </row>
    <row r="803" spans="2:17" x14ac:dyDescent="0.45">
      <c r="B803" s="27" t="str">
        <f>IFERROR(VLOOKUP(A803,القائمة!$A$3:$F$112,2,FALSE),"")</f>
        <v/>
      </c>
      <c r="C803" s="27" t="str">
        <f>IFERROR(VLOOKUP(A803,القائمة!$A$3:$F$112,3,FALSE),"")</f>
        <v/>
      </c>
      <c r="D803" s="36" t="str">
        <f>IFERROR(VLOOKUP(A803,القائمة!$A$3:$F$112,4,FALSE),"")</f>
        <v/>
      </c>
      <c r="E803" s="36" t="str">
        <f>IFERROR(VLOOKUP(A803,القائمة!$A$3:$F$112,5,FALSE),"")</f>
        <v/>
      </c>
      <c r="F803" s="37" t="str">
        <f>IFERROR(VLOOKUP(A803,القائمة!$A$3:$F$112,6,FALSE),"")</f>
        <v/>
      </c>
      <c r="I803" s="36"/>
      <c r="P803" s="27">
        <f t="shared" si="27"/>
        <v>0</v>
      </c>
      <c r="Q803" s="27">
        <f t="shared" si="26"/>
        <v>0</v>
      </c>
    </row>
    <row r="804" spans="2:17" x14ac:dyDescent="0.45">
      <c r="B804" s="27" t="str">
        <f>IFERROR(VLOOKUP(A804,القائمة!$A$3:$F$112,2,FALSE),"")</f>
        <v/>
      </c>
      <c r="C804" s="27" t="str">
        <f>IFERROR(VLOOKUP(A804,القائمة!$A$3:$F$112,3,FALSE),"")</f>
        <v/>
      </c>
      <c r="D804" s="36" t="str">
        <f>IFERROR(VLOOKUP(A804,القائمة!$A$3:$F$112,4,FALSE),"")</f>
        <v/>
      </c>
      <c r="E804" s="36" t="str">
        <f>IFERROR(VLOOKUP(A804,القائمة!$A$3:$F$112,5,FALSE),"")</f>
        <v/>
      </c>
      <c r="F804" s="37" t="str">
        <f>IFERROR(VLOOKUP(A804,القائمة!$A$3:$F$112,6,FALSE),"")</f>
        <v/>
      </c>
      <c r="I804" s="36"/>
      <c r="P804" s="27">
        <f t="shared" si="27"/>
        <v>0</v>
      </c>
      <c r="Q804" s="27">
        <f t="shared" si="26"/>
        <v>0</v>
      </c>
    </row>
    <row r="805" spans="2:17" x14ac:dyDescent="0.45">
      <c r="B805" s="27" t="str">
        <f>IFERROR(VLOOKUP(A805,القائمة!$A$3:$F$112,2,FALSE),"")</f>
        <v/>
      </c>
      <c r="C805" s="27" t="str">
        <f>IFERROR(VLOOKUP(A805,القائمة!$A$3:$F$112,3,FALSE),"")</f>
        <v/>
      </c>
      <c r="D805" s="36" t="str">
        <f>IFERROR(VLOOKUP(A805,القائمة!$A$3:$F$112,4,FALSE),"")</f>
        <v/>
      </c>
      <c r="E805" s="36" t="str">
        <f>IFERROR(VLOOKUP(A805,القائمة!$A$3:$F$112,5,FALSE),"")</f>
        <v/>
      </c>
      <c r="F805" s="37" t="str">
        <f>IFERROR(VLOOKUP(A805,القائمة!$A$3:$F$112,6,FALSE),"")</f>
        <v/>
      </c>
      <c r="I805" s="36"/>
      <c r="P805" s="27">
        <f t="shared" si="27"/>
        <v>0</v>
      </c>
      <c r="Q805" s="27">
        <f t="shared" si="26"/>
        <v>0</v>
      </c>
    </row>
    <row r="806" spans="2:17" x14ac:dyDescent="0.45">
      <c r="B806" s="27" t="str">
        <f>IFERROR(VLOOKUP(A806,القائمة!$A$3:$F$112,2,FALSE),"")</f>
        <v/>
      </c>
      <c r="C806" s="27" t="str">
        <f>IFERROR(VLOOKUP(A806,القائمة!$A$3:$F$112,3,FALSE),"")</f>
        <v/>
      </c>
      <c r="D806" s="36" t="str">
        <f>IFERROR(VLOOKUP(A806,القائمة!$A$3:$F$112,4,FALSE),"")</f>
        <v/>
      </c>
      <c r="E806" s="36" t="str">
        <f>IFERROR(VLOOKUP(A806,القائمة!$A$3:$F$112,5,FALSE),"")</f>
        <v/>
      </c>
      <c r="F806" s="37" t="str">
        <f>IFERROR(VLOOKUP(A806,القائمة!$A$3:$F$112,6,FALSE),"")</f>
        <v/>
      </c>
      <c r="I806" s="36"/>
      <c r="P806" s="27">
        <f t="shared" si="27"/>
        <v>0</v>
      </c>
      <c r="Q806" s="27">
        <f t="shared" si="26"/>
        <v>0</v>
      </c>
    </row>
    <row r="807" spans="2:17" x14ac:dyDescent="0.45">
      <c r="B807" s="27" t="str">
        <f>IFERROR(VLOOKUP(A807,القائمة!$A$3:$F$112,2,FALSE),"")</f>
        <v/>
      </c>
      <c r="C807" s="27" t="str">
        <f>IFERROR(VLOOKUP(A807,القائمة!$A$3:$F$112,3,FALSE),"")</f>
        <v/>
      </c>
      <c r="D807" s="36" t="str">
        <f>IFERROR(VLOOKUP(A807,القائمة!$A$3:$F$112,4,FALSE),"")</f>
        <v/>
      </c>
      <c r="E807" s="36" t="str">
        <f>IFERROR(VLOOKUP(A807,القائمة!$A$3:$F$112,5,FALSE),"")</f>
        <v/>
      </c>
      <c r="F807" s="37" t="str">
        <f>IFERROR(VLOOKUP(A807,القائمة!$A$3:$F$112,6,FALSE),"")</f>
        <v/>
      </c>
      <c r="I807" s="36"/>
      <c r="P807" s="27">
        <f t="shared" si="27"/>
        <v>0</v>
      </c>
      <c r="Q807" s="27">
        <f t="shared" si="26"/>
        <v>0</v>
      </c>
    </row>
    <row r="808" spans="2:17" x14ac:dyDescent="0.45">
      <c r="B808" s="27" t="str">
        <f>IFERROR(VLOOKUP(A808,القائمة!$A$3:$F$112,2,FALSE),"")</f>
        <v/>
      </c>
      <c r="C808" s="27" t="str">
        <f>IFERROR(VLOOKUP(A808,القائمة!$A$3:$F$112,3,FALSE),"")</f>
        <v/>
      </c>
      <c r="D808" s="36" t="str">
        <f>IFERROR(VLOOKUP(A808,القائمة!$A$3:$F$112,4,FALSE),"")</f>
        <v/>
      </c>
      <c r="E808" s="36" t="str">
        <f>IFERROR(VLOOKUP(A808,القائمة!$A$3:$F$112,5,FALSE),"")</f>
        <v/>
      </c>
      <c r="F808" s="37" t="str">
        <f>IFERROR(VLOOKUP(A808,القائمة!$A$3:$F$112,6,FALSE),"")</f>
        <v/>
      </c>
      <c r="I808" s="36"/>
      <c r="P808" s="27">
        <f t="shared" si="27"/>
        <v>0</v>
      </c>
      <c r="Q808" s="27">
        <f t="shared" si="26"/>
        <v>0</v>
      </c>
    </row>
    <row r="809" spans="2:17" x14ac:dyDescent="0.45">
      <c r="B809" s="27" t="str">
        <f>IFERROR(VLOOKUP(A809,القائمة!$A$3:$F$112,2,FALSE),"")</f>
        <v/>
      </c>
      <c r="C809" s="27" t="str">
        <f>IFERROR(VLOOKUP(A809,القائمة!$A$3:$F$112,3,FALSE),"")</f>
        <v/>
      </c>
      <c r="D809" s="36" t="str">
        <f>IFERROR(VLOOKUP(A809,القائمة!$A$3:$F$112,4,FALSE),"")</f>
        <v/>
      </c>
      <c r="E809" s="36" t="str">
        <f>IFERROR(VLOOKUP(A809,القائمة!$A$3:$F$112,5,FALSE),"")</f>
        <v/>
      </c>
      <c r="F809" s="37" t="str">
        <f>IFERROR(VLOOKUP(A809,القائمة!$A$3:$F$112,6,FALSE),"")</f>
        <v/>
      </c>
      <c r="I809" s="36"/>
      <c r="P809" s="27">
        <f t="shared" si="27"/>
        <v>0</v>
      </c>
      <c r="Q809" s="27">
        <f t="shared" si="26"/>
        <v>0</v>
      </c>
    </row>
    <row r="810" spans="2:17" x14ac:dyDescent="0.45">
      <c r="B810" s="27" t="str">
        <f>IFERROR(VLOOKUP(A810,القائمة!$A$3:$F$112,2,FALSE),"")</f>
        <v/>
      </c>
      <c r="C810" s="27" t="str">
        <f>IFERROR(VLOOKUP(A810,القائمة!$A$3:$F$112,3,FALSE),"")</f>
        <v/>
      </c>
      <c r="D810" s="36" t="str">
        <f>IFERROR(VLOOKUP(A810,القائمة!$A$3:$F$112,4,FALSE),"")</f>
        <v/>
      </c>
      <c r="E810" s="36" t="str">
        <f>IFERROR(VLOOKUP(A810,القائمة!$A$3:$F$112,5,FALSE),"")</f>
        <v/>
      </c>
      <c r="F810" s="37" t="str">
        <f>IFERROR(VLOOKUP(A810,القائمة!$A$3:$F$112,6,FALSE),"")</f>
        <v/>
      </c>
      <c r="I810" s="36"/>
      <c r="P810" s="27">
        <f t="shared" si="27"/>
        <v>0</v>
      </c>
      <c r="Q810" s="27">
        <f t="shared" si="26"/>
        <v>0</v>
      </c>
    </row>
    <row r="811" spans="2:17" x14ac:dyDescent="0.45">
      <c r="B811" s="27" t="str">
        <f>IFERROR(VLOOKUP(A811,القائمة!$A$3:$F$112,2,FALSE),"")</f>
        <v/>
      </c>
      <c r="C811" s="27" t="str">
        <f>IFERROR(VLOOKUP(A811,القائمة!$A$3:$F$112,3,FALSE),"")</f>
        <v/>
      </c>
      <c r="D811" s="36" t="str">
        <f>IFERROR(VLOOKUP(A811,القائمة!$A$3:$F$112,4,FALSE),"")</f>
        <v/>
      </c>
      <c r="E811" s="36" t="str">
        <f>IFERROR(VLOOKUP(A811,القائمة!$A$3:$F$112,5,FALSE),"")</f>
        <v/>
      </c>
      <c r="F811" s="37" t="str">
        <f>IFERROR(VLOOKUP(A811,القائمة!$A$3:$F$112,6,FALSE),"")</f>
        <v/>
      </c>
      <c r="I811" s="36"/>
      <c r="P811" s="27">
        <f t="shared" si="27"/>
        <v>0</v>
      </c>
      <c r="Q811" s="27">
        <f t="shared" si="26"/>
        <v>0</v>
      </c>
    </row>
    <row r="812" spans="2:17" x14ac:dyDescent="0.45">
      <c r="B812" s="27" t="str">
        <f>IFERROR(VLOOKUP(A812,القائمة!$A$3:$F$112,2,FALSE),"")</f>
        <v/>
      </c>
      <c r="C812" s="27" t="str">
        <f>IFERROR(VLOOKUP(A812,القائمة!$A$3:$F$112,3,FALSE),"")</f>
        <v/>
      </c>
      <c r="D812" s="36" t="str">
        <f>IFERROR(VLOOKUP(A812,القائمة!$A$3:$F$112,4,FALSE),"")</f>
        <v/>
      </c>
      <c r="E812" s="36" t="str">
        <f>IFERROR(VLOOKUP(A812,القائمة!$A$3:$F$112,5,FALSE),"")</f>
        <v/>
      </c>
      <c r="F812" s="37" t="str">
        <f>IFERROR(VLOOKUP(A812,القائمة!$A$3:$F$112,6,FALSE),"")</f>
        <v/>
      </c>
      <c r="I812" s="36"/>
      <c r="P812" s="27">
        <f t="shared" si="27"/>
        <v>0</v>
      </c>
      <c r="Q812" s="27">
        <f t="shared" si="26"/>
        <v>0</v>
      </c>
    </row>
    <row r="813" spans="2:17" x14ac:dyDescent="0.45">
      <c r="B813" s="27" t="str">
        <f>IFERROR(VLOOKUP(A813,القائمة!$A$3:$F$112,2,FALSE),"")</f>
        <v/>
      </c>
      <c r="C813" s="27" t="str">
        <f>IFERROR(VLOOKUP(A813,القائمة!$A$3:$F$112,3,FALSE),"")</f>
        <v/>
      </c>
      <c r="D813" s="36" t="str">
        <f>IFERROR(VLOOKUP(A813,القائمة!$A$3:$F$112,4,FALSE),"")</f>
        <v/>
      </c>
      <c r="E813" s="36" t="str">
        <f>IFERROR(VLOOKUP(A813,القائمة!$A$3:$F$112,5,FALSE),"")</f>
        <v/>
      </c>
      <c r="F813" s="37" t="str">
        <f>IFERROR(VLOOKUP(A813,القائمة!$A$3:$F$112,6,FALSE),"")</f>
        <v/>
      </c>
      <c r="I813" s="36"/>
      <c r="P813" s="27">
        <f t="shared" si="27"/>
        <v>0</v>
      </c>
      <c r="Q813" s="27">
        <f t="shared" si="26"/>
        <v>0</v>
      </c>
    </row>
    <row r="814" spans="2:17" x14ac:dyDescent="0.45">
      <c r="B814" s="27" t="str">
        <f>IFERROR(VLOOKUP(A814,القائمة!$A$3:$F$112,2,FALSE),"")</f>
        <v/>
      </c>
      <c r="C814" s="27" t="str">
        <f>IFERROR(VLOOKUP(A814,القائمة!$A$3:$F$112,3,FALSE),"")</f>
        <v/>
      </c>
      <c r="D814" s="36" t="str">
        <f>IFERROR(VLOOKUP(A814,القائمة!$A$3:$F$112,4,FALSE),"")</f>
        <v/>
      </c>
      <c r="E814" s="36" t="str">
        <f>IFERROR(VLOOKUP(A814,القائمة!$A$3:$F$112,5,FALSE),"")</f>
        <v/>
      </c>
      <c r="F814" s="37" t="str">
        <f>IFERROR(VLOOKUP(A814,القائمة!$A$3:$F$112,6,FALSE),"")</f>
        <v/>
      </c>
      <c r="I814" s="36"/>
      <c r="P814" s="27">
        <f t="shared" si="27"/>
        <v>0</v>
      </c>
      <c r="Q814" s="27">
        <f t="shared" si="26"/>
        <v>0</v>
      </c>
    </row>
    <row r="815" spans="2:17" x14ac:dyDescent="0.45">
      <c r="B815" s="27" t="str">
        <f>IFERROR(VLOOKUP(A815,القائمة!$A$3:$F$112,2,FALSE),"")</f>
        <v/>
      </c>
      <c r="C815" s="27" t="str">
        <f>IFERROR(VLOOKUP(A815,القائمة!$A$3:$F$112,3,FALSE),"")</f>
        <v/>
      </c>
      <c r="D815" s="36" t="str">
        <f>IFERROR(VLOOKUP(A815,القائمة!$A$3:$F$112,4,FALSE),"")</f>
        <v/>
      </c>
      <c r="E815" s="36" t="str">
        <f>IFERROR(VLOOKUP(A815,القائمة!$A$3:$F$112,5,FALSE),"")</f>
        <v/>
      </c>
      <c r="F815" s="37" t="str">
        <f>IFERROR(VLOOKUP(A815,القائمة!$A$3:$F$112,6,FALSE),"")</f>
        <v/>
      </c>
      <c r="I815" s="36"/>
      <c r="P815" s="27">
        <f t="shared" si="27"/>
        <v>0</v>
      </c>
      <c r="Q815" s="27">
        <f t="shared" si="26"/>
        <v>0</v>
      </c>
    </row>
    <row r="816" spans="2:17" x14ac:dyDescent="0.45">
      <c r="B816" s="27" t="str">
        <f>IFERROR(VLOOKUP(A816,القائمة!$A$3:$F$112,2,FALSE),"")</f>
        <v/>
      </c>
      <c r="C816" s="27" t="str">
        <f>IFERROR(VLOOKUP(A816,القائمة!$A$3:$F$112,3,FALSE),"")</f>
        <v/>
      </c>
      <c r="D816" s="36" t="str">
        <f>IFERROR(VLOOKUP(A816,القائمة!$A$3:$F$112,4,FALSE),"")</f>
        <v/>
      </c>
      <c r="E816" s="36" t="str">
        <f>IFERROR(VLOOKUP(A816,القائمة!$A$3:$F$112,5,FALSE),"")</f>
        <v/>
      </c>
      <c r="F816" s="37" t="str">
        <f>IFERROR(VLOOKUP(A816,القائمة!$A$3:$F$112,6,FALSE),"")</f>
        <v/>
      </c>
      <c r="I816" s="36"/>
      <c r="P816" s="27">
        <f t="shared" si="27"/>
        <v>0</v>
      </c>
      <c r="Q816" s="27">
        <f t="shared" si="26"/>
        <v>0</v>
      </c>
    </row>
    <row r="817" spans="2:17" x14ac:dyDescent="0.45">
      <c r="B817" s="27" t="str">
        <f>IFERROR(VLOOKUP(A817,القائمة!$A$3:$F$112,2,FALSE),"")</f>
        <v/>
      </c>
      <c r="C817" s="27" t="str">
        <f>IFERROR(VLOOKUP(A817,القائمة!$A$3:$F$112,3,FALSE),"")</f>
        <v/>
      </c>
      <c r="D817" s="36" t="str">
        <f>IFERROR(VLOOKUP(A817,القائمة!$A$3:$F$112,4,FALSE),"")</f>
        <v/>
      </c>
      <c r="E817" s="36" t="str">
        <f>IFERROR(VLOOKUP(A817,القائمة!$A$3:$F$112,5,FALSE),"")</f>
        <v/>
      </c>
      <c r="F817" s="37" t="str">
        <f>IFERROR(VLOOKUP(A817,القائمة!$A$3:$F$112,6,FALSE),"")</f>
        <v/>
      </c>
      <c r="I817" s="36"/>
      <c r="P817" s="27">
        <f t="shared" si="27"/>
        <v>0</v>
      </c>
      <c r="Q817" s="27">
        <f t="shared" si="26"/>
        <v>0</v>
      </c>
    </row>
    <row r="818" spans="2:17" x14ac:dyDescent="0.45">
      <c r="B818" s="27" t="str">
        <f>IFERROR(VLOOKUP(A818,القائمة!$A$3:$F$112,2,FALSE),"")</f>
        <v/>
      </c>
      <c r="C818" s="27" t="str">
        <f>IFERROR(VLOOKUP(A818,القائمة!$A$3:$F$112,3,FALSE),"")</f>
        <v/>
      </c>
      <c r="D818" s="36" t="str">
        <f>IFERROR(VLOOKUP(A818,القائمة!$A$3:$F$112,4,FALSE),"")</f>
        <v/>
      </c>
      <c r="E818" s="36" t="str">
        <f>IFERROR(VLOOKUP(A818,القائمة!$A$3:$F$112,5,FALSE),"")</f>
        <v/>
      </c>
      <c r="F818" s="37" t="str">
        <f>IFERROR(VLOOKUP(A818,القائمة!$A$3:$F$112,6,FALSE),"")</f>
        <v/>
      </c>
      <c r="I818" s="36"/>
      <c r="P818" s="27">
        <f t="shared" si="27"/>
        <v>0</v>
      </c>
      <c r="Q818" s="27">
        <f t="shared" si="26"/>
        <v>0</v>
      </c>
    </row>
    <row r="819" spans="2:17" x14ac:dyDescent="0.45">
      <c r="B819" s="27" t="str">
        <f>IFERROR(VLOOKUP(A819,القائمة!$A$3:$F$112,2,FALSE),"")</f>
        <v/>
      </c>
      <c r="C819" s="27" t="str">
        <f>IFERROR(VLOOKUP(A819,القائمة!$A$3:$F$112,3,FALSE),"")</f>
        <v/>
      </c>
      <c r="D819" s="36" t="str">
        <f>IFERROR(VLOOKUP(A819,القائمة!$A$3:$F$112,4,FALSE),"")</f>
        <v/>
      </c>
      <c r="E819" s="36" t="str">
        <f>IFERROR(VLOOKUP(A819,القائمة!$A$3:$F$112,5,FALSE),"")</f>
        <v/>
      </c>
      <c r="F819" s="37" t="str">
        <f>IFERROR(VLOOKUP(A819,القائمة!$A$3:$F$112,6,FALSE),"")</f>
        <v/>
      </c>
      <c r="I819" s="36"/>
      <c r="P819" s="27">
        <f t="shared" si="27"/>
        <v>0</v>
      </c>
      <c r="Q819" s="27">
        <f t="shared" si="26"/>
        <v>0</v>
      </c>
    </row>
    <row r="820" spans="2:17" x14ac:dyDescent="0.45">
      <c r="B820" s="27" t="str">
        <f>IFERROR(VLOOKUP(A820,القائمة!$A$3:$F$112,2,FALSE),"")</f>
        <v/>
      </c>
      <c r="C820" s="27" t="str">
        <f>IFERROR(VLOOKUP(A820,القائمة!$A$3:$F$112,3,FALSE),"")</f>
        <v/>
      </c>
      <c r="D820" s="36" t="str">
        <f>IFERROR(VLOOKUP(A820,القائمة!$A$3:$F$112,4,FALSE),"")</f>
        <v/>
      </c>
      <c r="E820" s="36" t="str">
        <f>IFERROR(VLOOKUP(A820,القائمة!$A$3:$F$112,5,FALSE),"")</f>
        <v/>
      </c>
      <c r="F820" s="37" t="str">
        <f>IFERROR(VLOOKUP(A820,القائمة!$A$3:$F$112,6,FALSE),"")</f>
        <v/>
      </c>
      <c r="I820" s="36"/>
      <c r="P820" s="27">
        <f t="shared" si="27"/>
        <v>0</v>
      </c>
      <c r="Q820" s="27">
        <f t="shared" si="26"/>
        <v>0</v>
      </c>
    </row>
    <row r="821" spans="2:17" x14ac:dyDescent="0.45">
      <c r="B821" s="27" t="str">
        <f>IFERROR(VLOOKUP(A821,القائمة!$A$3:$F$112,2,FALSE),"")</f>
        <v/>
      </c>
      <c r="C821" s="27" t="str">
        <f>IFERROR(VLOOKUP(A821,القائمة!$A$3:$F$112,3,FALSE),"")</f>
        <v/>
      </c>
      <c r="D821" s="36" t="str">
        <f>IFERROR(VLOOKUP(A821,القائمة!$A$3:$F$112,4,FALSE),"")</f>
        <v/>
      </c>
      <c r="E821" s="36" t="str">
        <f>IFERROR(VLOOKUP(A821,القائمة!$A$3:$F$112,5,FALSE),"")</f>
        <v/>
      </c>
      <c r="F821" s="37" t="str">
        <f>IFERROR(VLOOKUP(A821,القائمة!$A$3:$F$112,6,FALSE),"")</f>
        <v/>
      </c>
      <c r="I821" s="36"/>
      <c r="P821" s="27">
        <f t="shared" si="27"/>
        <v>0</v>
      </c>
      <c r="Q821" s="27">
        <f t="shared" si="26"/>
        <v>0</v>
      </c>
    </row>
    <row r="822" spans="2:17" x14ac:dyDescent="0.45">
      <c r="B822" s="27" t="str">
        <f>IFERROR(VLOOKUP(A822,القائمة!$A$3:$F$112,2,FALSE),"")</f>
        <v/>
      </c>
      <c r="C822" s="27" t="str">
        <f>IFERROR(VLOOKUP(A822,القائمة!$A$3:$F$112,3,FALSE),"")</f>
        <v/>
      </c>
      <c r="D822" s="36" t="str">
        <f>IFERROR(VLOOKUP(A822,القائمة!$A$3:$F$112,4,FALSE),"")</f>
        <v/>
      </c>
      <c r="E822" s="36" t="str">
        <f>IFERROR(VLOOKUP(A822,القائمة!$A$3:$F$112,5,FALSE),"")</f>
        <v/>
      </c>
      <c r="F822" s="37" t="str">
        <f>IFERROR(VLOOKUP(A822,القائمة!$A$3:$F$112,6,FALSE),"")</f>
        <v/>
      </c>
      <c r="I822" s="36"/>
      <c r="P822" s="27">
        <f t="shared" si="27"/>
        <v>0</v>
      </c>
      <c r="Q822" s="27">
        <f t="shared" si="26"/>
        <v>0</v>
      </c>
    </row>
    <row r="823" spans="2:17" x14ac:dyDescent="0.45">
      <c r="B823" s="27" t="str">
        <f>IFERROR(VLOOKUP(A823,القائمة!$A$3:$F$112,2,FALSE),"")</f>
        <v/>
      </c>
      <c r="C823" s="27" t="str">
        <f>IFERROR(VLOOKUP(A823,القائمة!$A$3:$F$112,3,FALSE),"")</f>
        <v/>
      </c>
      <c r="D823" s="36" t="str">
        <f>IFERROR(VLOOKUP(A823,القائمة!$A$3:$F$112,4,FALSE),"")</f>
        <v/>
      </c>
      <c r="E823" s="36" t="str">
        <f>IFERROR(VLOOKUP(A823,القائمة!$A$3:$F$112,5,FALSE),"")</f>
        <v/>
      </c>
      <c r="F823" s="37" t="str">
        <f>IFERROR(VLOOKUP(A823,القائمة!$A$3:$F$112,6,FALSE),"")</f>
        <v/>
      </c>
      <c r="I823" s="36"/>
      <c r="P823" s="27">
        <f t="shared" si="27"/>
        <v>0</v>
      </c>
      <c r="Q823" s="27">
        <f t="shared" si="26"/>
        <v>0</v>
      </c>
    </row>
    <row r="824" spans="2:17" x14ac:dyDescent="0.45">
      <c r="B824" s="27" t="str">
        <f>IFERROR(VLOOKUP(A824,القائمة!$A$3:$F$112,2,FALSE),"")</f>
        <v/>
      </c>
      <c r="C824" s="27" t="str">
        <f>IFERROR(VLOOKUP(A824,القائمة!$A$3:$F$112,3,FALSE),"")</f>
        <v/>
      </c>
      <c r="D824" s="36" t="str">
        <f>IFERROR(VLOOKUP(A824,القائمة!$A$3:$F$112,4,FALSE),"")</f>
        <v/>
      </c>
      <c r="E824" s="36" t="str">
        <f>IFERROR(VLOOKUP(A824,القائمة!$A$3:$F$112,5,FALSE),"")</f>
        <v/>
      </c>
      <c r="F824" s="37" t="str">
        <f>IFERROR(VLOOKUP(A824,القائمة!$A$3:$F$112,6,FALSE),"")</f>
        <v/>
      </c>
      <c r="I824" s="36"/>
      <c r="P824" s="27">
        <f t="shared" si="27"/>
        <v>0</v>
      </c>
      <c r="Q824" s="27">
        <f t="shared" si="26"/>
        <v>0</v>
      </c>
    </row>
    <row r="825" spans="2:17" x14ac:dyDescent="0.45">
      <c r="B825" s="27" t="str">
        <f>IFERROR(VLOOKUP(A825,القائمة!$A$3:$F$112,2,FALSE),"")</f>
        <v/>
      </c>
      <c r="C825" s="27" t="str">
        <f>IFERROR(VLOOKUP(A825,القائمة!$A$3:$F$112,3,FALSE),"")</f>
        <v/>
      </c>
      <c r="D825" s="36" t="str">
        <f>IFERROR(VLOOKUP(A825,القائمة!$A$3:$F$112,4,FALSE),"")</f>
        <v/>
      </c>
      <c r="E825" s="36" t="str">
        <f>IFERROR(VLOOKUP(A825,القائمة!$A$3:$F$112,5,FALSE),"")</f>
        <v/>
      </c>
      <c r="F825" s="37" t="str">
        <f>IFERROR(VLOOKUP(A825,القائمة!$A$3:$F$112,6,FALSE),"")</f>
        <v/>
      </c>
      <c r="I825" s="36"/>
      <c r="P825" s="27">
        <f t="shared" si="27"/>
        <v>0</v>
      </c>
      <c r="Q825" s="27">
        <f t="shared" si="26"/>
        <v>0</v>
      </c>
    </row>
    <row r="826" spans="2:17" x14ac:dyDescent="0.45">
      <c r="B826" s="27" t="str">
        <f>IFERROR(VLOOKUP(A826,القائمة!$A$3:$F$112,2,FALSE),"")</f>
        <v/>
      </c>
      <c r="C826" s="27" t="str">
        <f>IFERROR(VLOOKUP(A826,القائمة!$A$3:$F$112,3,FALSE),"")</f>
        <v/>
      </c>
      <c r="D826" s="36" t="str">
        <f>IFERROR(VLOOKUP(A826,القائمة!$A$3:$F$112,4,FALSE),"")</f>
        <v/>
      </c>
      <c r="E826" s="36" t="str">
        <f>IFERROR(VLOOKUP(A826,القائمة!$A$3:$F$112,5,FALSE),"")</f>
        <v/>
      </c>
      <c r="F826" s="37" t="str">
        <f>IFERROR(VLOOKUP(A826,القائمة!$A$3:$F$112,6,FALSE),"")</f>
        <v/>
      </c>
      <c r="I826" s="36"/>
      <c r="P826" s="27">
        <f t="shared" si="27"/>
        <v>0</v>
      </c>
      <c r="Q826" s="27">
        <f t="shared" si="26"/>
        <v>0</v>
      </c>
    </row>
    <row r="827" spans="2:17" x14ac:dyDescent="0.45">
      <c r="B827" s="27" t="str">
        <f>IFERROR(VLOOKUP(A827,القائمة!$A$3:$F$112,2,FALSE),"")</f>
        <v/>
      </c>
      <c r="C827" s="27" t="str">
        <f>IFERROR(VLOOKUP(A827,القائمة!$A$3:$F$112,3,FALSE),"")</f>
        <v/>
      </c>
      <c r="D827" s="36" t="str">
        <f>IFERROR(VLOOKUP(A827,القائمة!$A$3:$F$112,4,FALSE),"")</f>
        <v/>
      </c>
      <c r="E827" s="36" t="str">
        <f>IFERROR(VLOOKUP(A827,القائمة!$A$3:$F$112,5,FALSE),"")</f>
        <v/>
      </c>
      <c r="F827" s="37" t="str">
        <f>IFERROR(VLOOKUP(A827,القائمة!$A$3:$F$112,6,FALSE),"")</f>
        <v/>
      </c>
      <c r="I827" s="36"/>
      <c r="P827" s="27">
        <f t="shared" si="27"/>
        <v>0</v>
      </c>
      <c r="Q827" s="27">
        <f t="shared" si="26"/>
        <v>0</v>
      </c>
    </row>
    <row r="828" spans="2:17" x14ac:dyDescent="0.45">
      <c r="B828" s="27" t="str">
        <f>IFERROR(VLOOKUP(A828,القائمة!$A$3:$F$112,2,FALSE),"")</f>
        <v/>
      </c>
      <c r="C828" s="27" t="str">
        <f>IFERROR(VLOOKUP(A828,القائمة!$A$3:$F$112,3,FALSE),"")</f>
        <v/>
      </c>
      <c r="D828" s="36" t="str">
        <f>IFERROR(VLOOKUP(A828,القائمة!$A$3:$F$112,4,FALSE),"")</f>
        <v/>
      </c>
      <c r="E828" s="36" t="str">
        <f>IFERROR(VLOOKUP(A828,القائمة!$A$3:$F$112,5,FALSE),"")</f>
        <v/>
      </c>
      <c r="F828" s="37" t="str">
        <f>IFERROR(VLOOKUP(A828,القائمة!$A$3:$F$112,6,FALSE),"")</f>
        <v/>
      </c>
      <c r="I828" s="36"/>
      <c r="P828" s="27">
        <f t="shared" si="27"/>
        <v>0</v>
      </c>
      <c r="Q828" s="27">
        <f t="shared" si="26"/>
        <v>0</v>
      </c>
    </row>
    <row r="829" spans="2:17" x14ac:dyDescent="0.45">
      <c r="B829" s="27" t="str">
        <f>IFERROR(VLOOKUP(A829,القائمة!$A$3:$F$112,2,FALSE),"")</f>
        <v/>
      </c>
      <c r="C829" s="27" t="str">
        <f>IFERROR(VLOOKUP(A829,القائمة!$A$3:$F$112,3,FALSE),"")</f>
        <v/>
      </c>
      <c r="D829" s="36" t="str">
        <f>IFERROR(VLOOKUP(A829,القائمة!$A$3:$F$112,4,FALSE),"")</f>
        <v/>
      </c>
      <c r="E829" s="36" t="str">
        <f>IFERROR(VLOOKUP(A829,القائمة!$A$3:$F$112,5,FALSE),"")</f>
        <v/>
      </c>
      <c r="F829" s="37" t="str">
        <f>IFERROR(VLOOKUP(A829,القائمة!$A$3:$F$112,6,FALSE),"")</f>
        <v/>
      </c>
      <c r="I829" s="36"/>
      <c r="P829" s="27">
        <f t="shared" si="27"/>
        <v>0</v>
      </c>
      <c r="Q829" s="27">
        <f t="shared" si="26"/>
        <v>0</v>
      </c>
    </row>
    <row r="830" spans="2:17" x14ac:dyDescent="0.45">
      <c r="B830" s="27" t="str">
        <f>IFERROR(VLOOKUP(A830,القائمة!$A$3:$F$112,2,FALSE),"")</f>
        <v/>
      </c>
      <c r="C830" s="27" t="str">
        <f>IFERROR(VLOOKUP(A830,القائمة!$A$3:$F$112,3,FALSE),"")</f>
        <v/>
      </c>
      <c r="D830" s="36" t="str">
        <f>IFERROR(VLOOKUP(A830,القائمة!$A$3:$F$112,4,FALSE),"")</f>
        <v/>
      </c>
      <c r="E830" s="36" t="str">
        <f>IFERROR(VLOOKUP(A830,القائمة!$A$3:$F$112,5,FALSE),"")</f>
        <v/>
      </c>
      <c r="F830" s="37" t="str">
        <f>IFERROR(VLOOKUP(A830,القائمة!$A$3:$F$112,6,FALSE),"")</f>
        <v/>
      </c>
      <c r="I830" s="36"/>
      <c r="P830" s="27">
        <f t="shared" si="27"/>
        <v>0</v>
      </c>
      <c r="Q830" s="27">
        <f t="shared" si="26"/>
        <v>0</v>
      </c>
    </row>
    <row r="831" spans="2:17" x14ac:dyDescent="0.45">
      <c r="B831" s="27" t="str">
        <f>IFERROR(VLOOKUP(A831,القائمة!$A$3:$F$112,2,FALSE),"")</f>
        <v/>
      </c>
      <c r="C831" s="27" t="str">
        <f>IFERROR(VLOOKUP(A831,القائمة!$A$3:$F$112,3,FALSE),"")</f>
        <v/>
      </c>
      <c r="D831" s="36" t="str">
        <f>IFERROR(VLOOKUP(A831,القائمة!$A$3:$F$112,4,FALSE),"")</f>
        <v/>
      </c>
      <c r="E831" s="36" t="str">
        <f>IFERROR(VLOOKUP(A831,القائمة!$A$3:$F$112,5,FALSE),"")</f>
        <v/>
      </c>
      <c r="F831" s="37" t="str">
        <f>IFERROR(VLOOKUP(A831,القائمة!$A$3:$F$112,6,FALSE),"")</f>
        <v/>
      </c>
      <c r="I831" s="36"/>
      <c r="P831" s="27">
        <f t="shared" si="27"/>
        <v>0</v>
      </c>
      <c r="Q831" s="27">
        <f t="shared" si="26"/>
        <v>0</v>
      </c>
    </row>
    <row r="832" spans="2:17" x14ac:dyDescent="0.45">
      <c r="B832" s="27" t="str">
        <f>IFERROR(VLOOKUP(A832,القائمة!$A$3:$F$112,2,FALSE),"")</f>
        <v/>
      </c>
      <c r="C832" s="27" t="str">
        <f>IFERROR(VLOOKUP(A832,القائمة!$A$3:$F$112,3,FALSE),"")</f>
        <v/>
      </c>
      <c r="D832" s="36" t="str">
        <f>IFERROR(VLOOKUP(A832,القائمة!$A$3:$F$112,4,FALSE),"")</f>
        <v/>
      </c>
      <c r="E832" s="36" t="str">
        <f>IFERROR(VLOOKUP(A832,القائمة!$A$3:$F$112,5,FALSE),"")</f>
        <v/>
      </c>
      <c r="F832" s="37" t="str">
        <f>IFERROR(VLOOKUP(A832,القائمة!$A$3:$F$112,6,FALSE),"")</f>
        <v/>
      </c>
      <c r="I832" s="36"/>
      <c r="P832" s="27">
        <f t="shared" si="27"/>
        <v>0</v>
      </c>
      <c r="Q832" s="27">
        <f t="shared" si="26"/>
        <v>0</v>
      </c>
    </row>
    <row r="833" spans="2:17" x14ac:dyDescent="0.45">
      <c r="B833" s="27" t="str">
        <f>IFERROR(VLOOKUP(A833,القائمة!$A$3:$F$112,2,FALSE),"")</f>
        <v/>
      </c>
      <c r="C833" s="27" t="str">
        <f>IFERROR(VLOOKUP(A833,القائمة!$A$3:$F$112,3,FALSE),"")</f>
        <v/>
      </c>
      <c r="D833" s="36" t="str">
        <f>IFERROR(VLOOKUP(A833,القائمة!$A$3:$F$112,4,FALSE),"")</f>
        <v/>
      </c>
      <c r="E833" s="36" t="str">
        <f>IFERROR(VLOOKUP(A833,القائمة!$A$3:$F$112,5,FALSE),"")</f>
        <v/>
      </c>
      <c r="F833" s="37" t="str">
        <f>IFERROR(VLOOKUP(A833,القائمة!$A$3:$F$112,6,FALSE),"")</f>
        <v/>
      </c>
      <c r="I833" s="36"/>
      <c r="P833" s="27">
        <f t="shared" si="27"/>
        <v>0</v>
      </c>
      <c r="Q833" s="27">
        <f t="shared" si="26"/>
        <v>0</v>
      </c>
    </row>
    <row r="834" spans="2:17" x14ac:dyDescent="0.45">
      <c r="B834" s="27" t="str">
        <f>IFERROR(VLOOKUP(A834,القائمة!$A$3:$F$112,2,FALSE),"")</f>
        <v/>
      </c>
      <c r="C834" s="27" t="str">
        <f>IFERROR(VLOOKUP(A834,القائمة!$A$3:$F$112,3,FALSE),"")</f>
        <v/>
      </c>
      <c r="D834" s="36" t="str">
        <f>IFERROR(VLOOKUP(A834,القائمة!$A$3:$F$112,4,FALSE),"")</f>
        <v/>
      </c>
      <c r="E834" s="36" t="str">
        <f>IFERROR(VLOOKUP(A834,القائمة!$A$3:$F$112,5,FALSE),"")</f>
        <v/>
      </c>
      <c r="F834" s="37" t="str">
        <f>IFERROR(VLOOKUP(A834,القائمة!$A$3:$F$112,6,FALSE),"")</f>
        <v/>
      </c>
      <c r="I834" s="36"/>
      <c r="P834" s="27">
        <f t="shared" si="27"/>
        <v>0</v>
      </c>
      <c r="Q834" s="27">
        <f t="shared" si="26"/>
        <v>0</v>
      </c>
    </row>
    <row r="835" spans="2:17" x14ac:dyDescent="0.45">
      <c r="B835" s="27" t="str">
        <f>IFERROR(VLOOKUP(A835,القائمة!$A$3:$F$112,2,FALSE),"")</f>
        <v/>
      </c>
      <c r="C835" s="27" t="str">
        <f>IFERROR(VLOOKUP(A835,القائمة!$A$3:$F$112,3,FALSE),"")</f>
        <v/>
      </c>
      <c r="D835" s="36" t="str">
        <f>IFERROR(VLOOKUP(A835,القائمة!$A$3:$F$112,4,FALSE),"")</f>
        <v/>
      </c>
      <c r="E835" s="36" t="str">
        <f>IFERROR(VLOOKUP(A835,القائمة!$A$3:$F$112,5,FALSE),"")</f>
        <v/>
      </c>
      <c r="F835" s="37" t="str">
        <f>IFERROR(VLOOKUP(A835,القائمة!$A$3:$F$112,6,FALSE),"")</f>
        <v/>
      </c>
      <c r="I835" s="36"/>
      <c r="P835" s="27">
        <f t="shared" si="27"/>
        <v>0</v>
      </c>
      <c r="Q835" s="27">
        <f t="shared" ref="Q835:Q898" si="28">+P835+L835-M835</f>
        <v>0</v>
      </c>
    </row>
    <row r="836" spans="2:17" x14ac:dyDescent="0.45">
      <c r="B836" s="27" t="str">
        <f>IFERROR(VLOOKUP(A836,القائمة!$A$3:$F$112,2,FALSE),"")</f>
        <v/>
      </c>
      <c r="C836" s="27" t="str">
        <f>IFERROR(VLOOKUP(A836,القائمة!$A$3:$F$112,3,FALSE),"")</f>
        <v/>
      </c>
      <c r="D836" s="36" t="str">
        <f>IFERROR(VLOOKUP(A836,القائمة!$A$3:$F$112,4,FALSE),"")</f>
        <v/>
      </c>
      <c r="E836" s="36" t="str">
        <f>IFERROR(VLOOKUP(A836,القائمة!$A$3:$F$112,5,FALSE),"")</f>
        <v/>
      </c>
      <c r="F836" s="37" t="str">
        <f>IFERROR(VLOOKUP(A836,القائمة!$A$3:$F$112,6,FALSE),"")</f>
        <v/>
      </c>
      <c r="I836" s="36"/>
      <c r="P836" s="27">
        <f t="shared" ref="P836:P899" si="29">J836-K836</f>
        <v>0</v>
      </c>
      <c r="Q836" s="27">
        <f t="shared" si="28"/>
        <v>0</v>
      </c>
    </row>
    <row r="837" spans="2:17" x14ac:dyDescent="0.45">
      <c r="B837" s="27" t="str">
        <f>IFERROR(VLOOKUP(A837,القائمة!$A$3:$F$112,2,FALSE),"")</f>
        <v/>
      </c>
      <c r="C837" s="27" t="str">
        <f>IFERROR(VLOOKUP(A837,القائمة!$A$3:$F$112,3,FALSE),"")</f>
        <v/>
      </c>
      <c r="D837" s="36" t="str">
        <f>IFERROR(VLOOKUP(A837,القائمة!$A$3:$F$112,4,FALSE),"")</f>
        <v/>
      </c>
      <c r="E837" s="36" t="str">
        <f>IFERROR(VLOOKUP(A837,القائمة!$A$3:$F$112,5,FALSE),"")</f>
        <v/>
      </c>
      <c r="F837" s="37" t="str">
        <f>IFERROR(VLOOKUP(A837,القائمة!$A$3:$F$112,6,FALSE),"")</f>
        <v/>
      </c>
      <c r="I837" s="36"/>
      <c r="P837" s="27">
        <f t="shared" si="29"/>
        <v>0</v>
      </c>
      <c r="Q837" s="27">
        <f t="shared" si="28"/>
        <v>0</v>
      </c>
    </row>
    <row r="838" spans="2:17" x14ac:dyDescent="0.45">
      <c r="B838" s="27" t="str">
        <f>IFERROR(VLOOKUP(A838,القائمة!$A$3:$F$112,2,FALSE),"")</f>
        <v/>
      </c>
      <c r="C838" s="27" t="str">
        <f>IFERROR(VLOOKUP(A838,القائمة!$A$3:$F$112,3,FALSE),"")</f>
        <v/>
      </c>
      <c r="D838" s="36" t="str">
        <f>IFERROR(VLOOKUP(A838,القائمة!$A$3:$F$112,4,FALSE),"")</f>
        <v/>
      </c>
      <c r="E838" s="36" t="str">
        <f>IFERROR(VLOOKUP(A838,القائمة!$A$3:$F$112,5,FALSE),"")</f>
        <v/>
      </c>
      <c r="F838" s="37" t="str">
        <f>IFERROR(VLOOKUP(A838,القائمة!$A$3:$F$112,6,FALSE),"")</f>
        <v/>
      </c>
      <c r="I838" s="36"/>
      <c r="P838" s="27">
        <f t="shared" si="29"/>
        <v>0</v>
      </c>
      <c r="Q838" s="27">
        <f t="shared" si="28"/>
        <v>0</v>
      </c>
    </row>
    <row r="839" spans="2:17" x14ac:dyDescent="0.45">
      <c r="B839" s="27" t="str">
        <f>IFERROR(VLOOKUP(A839,القائمة!$A$3:$F$112,2,FALSE),"")</f>
        <v/>
      </c>
      <c r="C839" s="27" t="str">
        <f>IFERROR(VLOOKUP(A839,القائمة!$A$3:$F$112,3,FALSE),"")</f>
        <v/>
      </c>
      <c r="D839" s="36" t="str">
        <f>IFERROR(VLOOKUP(A839,القائمة!$A$3:$F$112,4,FALSE),"")</f>
        <v/>
      </c>
      <c r="E839" s="36" t="str">
        <f>IFERROR(VLOOKUP(A839,القائمة!$A$3:$F$112,5,FALSE),"")</f>
        <v/>
      </c>
      <c r="F839" s="37" t="str">
        <f>IFERROR(VLOOKUP(A839,القائمة!$A$3:$F$112,6,FALSE),"")</f>
        <v/>
      </c>
      <c r="I839" s="36"/>
      <c r="P839" s="27">
        <f t="shared" si="29"/>
        <v>0</v>
      </c>
      <c r="Q839" s="27">
        <f t="shared" si="28"/>
        <v>0</v>
      </c>
    </row>
    <row r="840" spans="2:17" x14ac:dyDescent="0.45">
      <c r="B840" s="27" t="str">
        <f>IFERROR(VLOOKUP(A840,القائمة!$A$3:$F$112,2,FALSE),"")</f>
        <v/>
      </c>
      <c r="C840" s="27" t="str">
        <f>IFERROR(VLOOKUP(A840,القائمة!$A$3:$F$112,3,FALSE),"")</f>
        <v/>
      </c>
      <c r="D840" s="36" t="str">
        <f>IFERROR(VLOOKUP(A840,القائمة!$A$3:$F$112,4,FALSE),"")</f>
        <v/>
      </c>
      <c r="E840" s="36" t="str">
        <f>IFERROR(VLOOKUP(A840,القائمة!$A$3:$F$112,5,FALSE),"")</f>
        <v/>
      </c>
      <c r="F840" s="37" t="str">
        <f>IFERROR(VLOOKUP(A840,القائمة!$A$3:$F$112,6,FALSE),"")</f>
        <v/>
      </c>
      <c r="I840" s="36"/>
      <c r="P840" s="27">
        <f t="shared" si="29"/>
        <v>0</v>
      </c>
      <c r="Q840" s="27">
        <f t="shared" si="28"/>
        <v>0</v>
      </c>
    </row>
    <row r="841" spans="2:17" x14ac:dyDescent="0.45">
      <c r="B841" s="27" t="str">
        <f>IFERROR(VLOOKUP(A841,القائمة!$A$3:$F$112,2,FALSE),"")</f>
        <v/>
      </c>
      <c r="C841" s="27" t="str">
        <f>IFERROR(VLOOKUP(A841,القائمة!$A$3:$F$112,3,FALSE),"")</f>
        <v/>
      </c>
      <c r="D841" s="36" t="str">
        <f>IFERROR(VLOOKUP(A841,القائمة!$A$3:$F$112,4,FALSE),"")</f>
        <v/>
      </c>
      <c r="E841" s="36" t="str">
        <f>IFERROR(VLOOKUP(A841,القائمة!$A$3:$F$112,5,FALSE),"")</f>
        <v/>
      </c>
      <c r="F841" s="37" t="str">
        <f>IFERROR(VLOOKUP(A841,القائمة!$A$3:$F$112,6,FALSE),"")</f>
        <v/>
      </c>
      <c r="I841" s="36"/>
      <c r="P841" s="27">
        <f t="shared" si="29"/>
        <v>0</v>
      </c>
      <c r="Q841" s="27">
        <f t="shared" si="28"/>
        <v>0</v>
      </c>
    </row>
    <row r="842" spans="2:17" x14ac:dyDescent="0.45">
      <c r="B842" s="27" t="str">
        <f>IFERROR(VLOOKUP(A842,القائمة!$A$3:$F$112,2,FALSE),"")</f>
        <v/>
      </c>
      <c r="C842" s="27" t="str">
        <f>IFERROR(VLOOKUP(A842,القائمة!$A$3:$F$112,3,FALSE),"")</f>
        <v/>
      </c>
      <c r="D842" s="36" t="str">
        <f>IFERROR(VLOOKUP(A842,القائمة!$A$3:$F$112,4,FALSE),"")</f>
        <v/>
      </c>
      <c r="E842" s="36" t="str">
        <f>IFERROR(VLOOKUP(A842,القائمة!$A$3:$F$112,5,FALSE),"")</f>
        <v/>
      </c>
      <c r="F842" s="37" t="str">
        <f>IFERROR(VLOOKUP(A842,القائمة!$A$3:$F$112,6,FALSE),"")</f>
        <v/>
      </c>
      <c r="I842" s="36"/>
      <c r="P842" s="27">
        <f t="shared" si="29"/>
        <v>0</v>
      </c>
      <c r="Q842" s="27">
        <f t="shared" si="28"/>
        <v>0</v>
      </c>
    </row>
    <row r="843" spans="2:17" x14ac:dyDescent="0.45">
      <c r="B843" s="27" t="str">
        <f>IFERROR(VLOOKUP(A843,القائمة!$A$3:$F$112,2,FALSE),"")</f>
        <v/>
      </c>
      <c r="C843" s="27" t="str">
        <f>IFERROR(VLOOKUP(A843,القائمة!$A$3:$F$112,3,FALSE),"")</f>
        <v/>
      </c>
      <c r="D843" s="36" t="str">
        <f>IFERROR(VLOOKUP(A843,القائمة!$A$3:$F$112,4,FALSE),"")</f>
        <v/>
      </c>
      <c r="E843" s="36" t="str">
        <f>IFERROR(VLOOKUP(A843,القائمة!$A$3:$F$112,5,FALSE),"")</f>
        <v/>
      </c>
      <c r="F843" s="37" t="str">
        <f>IFERROR(VLOOKUP(A843,القائمة!$A$3:$F$112,6,FALSE),"")</f>
        <v/>
      </c>
      <c r="I843" s="36"/>
      <c r="P843" s="27">
        <f t="shared" si="29"/>
        <v>0</v>
      </c>
      <c r="Q843" s="27">
        <f t="shared" si="28"/>
        <v>0</v>
      </c>
    </row>
    <row r="844" spans="2:17" x14ac:dyDescent="0.45">
      <c r="B844" s="27" t="str">
        <f>IFERROR(VLOOKUP(A844,القائمة!$A$3:$F$112,2,FALSE),"")</f>
        <v/>
      </c>
      <c r="C844" s="27" t="str">
        <f>IFERROR(VLOOKUP(A844,القائمة!$A$3:$F$112,3,FALSE),"")</f>
        <v/>
      </c>
      <c r="D844" s="36" t="str">
        <f>IFERROR(VLOOKUP(A844,القائمة!$A$3:$F$112,4,FALSE),"")</f>
        <v/>
      </c>
      <c r="E844" s="36" t="str">
        <f>IFERROR(VLOOKUP(A844,القائمة!$A$3:$F$112,5,FALSE),"")</f>
        <v/>
      </c>
      <c r="F844" s="37" t="str">
        <f>IFERROR(VLOOKUP(A844,القائمة!$A$3:$F$112,6,FALSE),"")</f>
        <v/>
      </c>
      <c r="I844" s="36"/>
      <c r="P844" s="27">
        <f t="shared" si="29"/>
        <v>0</v>
      </c>
      <c r="Q844" s="27">
        <f t="shared" si="28"/>
        <v>0</v>
      </c>
    </row>
    <row r="845" spans="2:17" x14ac:dyDescent="0.45">
      <c r="B845" s="27" t="str">
        <f>IFERROR(VLOOKUP(A845,القائمة!$A$3:$F$112,2,FALSE),"")</f>
        <v/>
      </c>
      <c r="C845" s="27" t="str">
        <f>IFERROR(VLOOKUP(A845,القائمة!$A$3:$F$112,3,FALSE),"")</f>
        <v/>
      </c>
      <c r="D845" s="36" t="str">
        <f>IFERROR(VLOOKUP(A845,القائمة!$A$3:$F$112,4,FALSE),"")</f>
        <v/>
      </c>
      <c r="E845" s="36" t="str">
        <f>IFERROR(VLOOKUP(A845,القائمة!$A$3:$F$112,5,FALSE),"")</f>
        <v/>
      </c>
      <c r="F845" s="37" t="str">
        <f>IFERROR(VLOOKUP(A845,القائمة!$A$3:$F$112,6,FALSE),"")</f>
        <v/>
      </c>
      <c r="I845" s="36"/>
      <c r="P845" s="27">
        <f t="shared" si="29"/>
        <v>0</v>
      </c>
      <c r="Q845" s="27">
        <f t="shared" si="28"/>
        <v>0</v>
      </c>
    </row>
    <row r="846" spans="2:17" x14ac:dyDescent="0.45">
      <c r="B846" s="27" t="str">
        <f>IFERROR(VLOOKUP(A846,القائمة!$A$3:$F$112,2,FALSE),"")</f>
        <v/>
      </c>
      <c r="C846" s="27" t="str">
        <f>IFERROR(VLOOKUP(A846,القائمة!$A$3:$F$112,3,FALSE),"")</f>
        <v/>
      </c>
      <c r="D846" s="36" t="str">
        <f>IFERROR(VLOOKUP(A846,القائمة!$A$3:$F$112,4,FALSE),"")</f>
        <v/>
      </c>
      <c r="E846" s="36" t="str">
        <f>IFERROR(VLOOKUP(A846,القائمة!$A$3:$F$112,5,FALSE),"")</f>
        <v/>
      </c>
      <c r="F846" s="37" t="str">
        <f>IFERROR(VLOOKUP(A846,القائمة!$A$3:$F$112,6,FALSE),"")</f>
        <v/>
      </c>
      <c r="I846" s="36"/>
      <c r="P846" s="27">
        <f t="shared" si="29"/>
        <v>0</v>
      </c>
      <c r="Q846" s="27">
        <f t="shared" si="28"/>
        <v>0</v>
      </c>
    </row>
    <row r="847" spans="2:17" x14ac:dyDescent="0.45">
      <c r="B847" s="27" t="str">
        <f>IFERROR(VLOOKUP(A847,القائمة!$A$3:$F$112,2,FALSE),"")</f>
        <v/>
      </c>
      <c r="C847" s="27" t="str">
        <f>IFERROR(VLOOKUP(A847,القائمة!$A$3:$F$112,3,FALSE),"")</f>
        <v/>
      </c>
      <c r="D847" s="36" t="str">
        <f>IFERROR(VLOOKUP(A847,القائمة!$A$3:$F$112,4,FALSE),"")</f>
        <v/>
      </c>
      <c r="E847" s="36" t="str">
        <f>IFERROR(VLOOKUP(A847,القائمة!$A$3:$F$112,5,FALSE),"")</f>
        <v/>
      </c>
      <c r="F847" s="37" t="str">
        <f>IFERROR(VLOOKUP(A847,القائمة!$A$3:$F$112,6,FALSE),"")</f>
        <v/>
      </c>
      <c r="I847" s="36"/>
      <c r="P847" s="27">
        <f t="shared" si="29"/>
        <v>0</v>
      </c>
      <c r="Q847" s="27">
        <f t="shared" si="28"/>
        <v>0</v>
      </c>
    </row>
    <row r="848" spans="2:17" x14ac:dyDescent="0.45">
      <c r="B848" s="27" t="str">
        <f>IFERROR(VLOOKUP(A848,القائمة!$A$3:$F$112,2,FALSE),"")</f>
        <v/>
      </c>
      <c r="C848" s="27" t="str">
        <f>IFERROR(VLOOKUP(A848,القائمة!$A$3:$F$112,3,FALSE),"")</f>
        <v/>
      </c>
      <c r="D848" s="36" t="str">
        <f>IFERROR(VLOOKUP(A848,القائمة!$A$3:$F$112,4,FALSE),"")</f>
        <v/>
      </c>
      <c r="E848" s="36" t="str">
        <f>IFERROR(VLOOKUP(A848,القائمة!$A$3:$F$112,5,FALSE),"")</f>
        <v/>
      </c>
      <c r="F848" s="37" t="str">
        <f>IFERROR(VLOOKUP(A848,القائمة!$A$3:$F$112,6,FALSE),"")</f>
        <v/>
      </c>
      <c r="I848" s="36"/>
      <c r="P848" s="27">
        <f t="shared" si="29"/>
        <v>0</v>
      </c>
      <c r="Q848" s="27">
        <f t="shared" si="28"/>
        <v>0</v>
      </c>
    </row>
    <row r="849" spans="2:17" x14ac:dyDescent="0.45">
      <c r="B849" s="27" t="str">
        <f>IFERROR(VLOOKUP(A849,القائمة!$A$3:$F$112,2,FALSE),"")</f>
        <v/>
      </c>
      <c r="C849" s="27" t="str">
        <f>IFERROR(VLOOKUP(A849,القائمة!$A$3:$F$112,3,FALSE),"")</f>
        <v/>
      </c>
      <c r="D849" s="36" t="str">
        <f>IFERROR(VLOOKUP(A849,القائمة!$A$3:$F$112,4,FALSE),"")</f>
        <v/>
      </c>
      <c r="E849" s="36" t="str">
        <f>IFERROR(VLOOKUP(A849,القائمة!$A$3:$F$112,5,FALSE),"")</f>
        <v/>
      </c>
      <c r="F849" s="37" t="str">
        <f>IFERROR(VLOOKUP(A849,القائمة!$A$3:$F$112,6,FALSE),"")</f>
        <v/>
      </c>
      <c r="I849" s="36"/>
      <c r="P849" s="27">
        <f t="shared" si="29"/>
        <v>0</v>
      </c>
      <c r="Q849" s="27">
        <f t="shared" si="28"/>
        <v>0</v>
      </c>
    </row>
    <row r="850" spans="2:17" x14ac:dyDescent="0.45">
      <c r="B850" s="27" t="str">
        <f>IFERROR(VLOOKUP(A850,القائمة!$A$3:$F$112,2,FALSE),"")</f>
        <v/>
      </c>
      <c r="C850" s="27" t="str">
        <f>IFERROR(VLOOKUP(A850,القائمة!$A$3:$F$112,3,FALSE),"")</f>
        <v/>
      </c>
      <c r="D850" s="36" t="str">
        <f>IFERROR(VLOOKUP(A850,القائمة!$A$3:$F$112,4,FALSE),"")</f>
        <v/>
      </c>
      <c r="E850" s="36" t="str">
        <f>IFERROR(VLOOKUP(A850,القائمة!$A$3:$F$112,5,FALSE),"")</f>
        <v/>
      </c>
      <c r="F850" s="37" t="str">
        <f>IFERROR(VLOOKUP(A850,القائمة!$A$3:$F$112,6,FALSE),"")</f>
        <v/>
      </c>
      <c r="I850" s="36"/>
      <c r="P850" s="27">
        <f t="shared" si="29"/>
        <v>0</v>
      </c>
      <c r="Q850" s="27">
        <f t="shared" si="28"/>
        <v>0</v>
      </c>
    </row>
    <row r="851" spans="2:17" x14ac:dyDescent="0.45">
      <c r="B851" s="27" t="str">
        <f>IFERROR(VLOOKUP(A851,القائمة!$A$3:$F$112,2,FALSE),"")</f>
        <v/>
      </c>
      <c r="C851" s="27" t="str">
        <f>IFERROR(VLOOKUP(A851,القائمة!$A$3:$F$112,3,FALSE),"")</f>
        <v/>
      </c>
      <c r="D851" s="36" t="str">
        <f>IFERROR(VLOOKUP(A851,القائمة!$A$3:$F$112,4,FALSE),"")</f>
        <v/>
      </c>
      <c r="E851" s="36" t="str">
        <f>IFERROR(VLOOKUP(A851,القائمة!$A$3:$F$112,5,FALSE),"")</f>
        <v/>
      </c>
      <c r="F851" s="37" t="str">
        <f>IFERROR(VLOOKUP(A851,القائمة!$A$3:$F$112,6,FALSE),"")</f>
        <v/>
      </c>
      <c r="I851" s="36"/>
      <c r="P851" s="27">
        <f t="shared" si="29"/>
        <v>0</v>
      </c>
      <c r="Q851" s="27">
        <f t="shared" si="28"/>
        <v>0</v>
      </c>
    </row>
    <row r="852" spans="2:17" x14ac:dyDescent="0.45">
      <c r="B852" s="27" t="str">
        <f>IFERROR(VLOOKUP(A852,القائمة!$A$3:$F$112,2,FALSE),"")</f>
        <v/>
      </c>
      <c r="C852" s="27" t="str">
        <f>IFERROR(VLOOKUP(A852,القائمة!$A$3:$F$112,3,FALSE),"")</f>
        <v/>
      </c>
      <c r="D852" s="36" t="str">
        <f>IFERROR(VLOOKUP(A852,القائمة!$A$3:$F$112,4,FALSE),"")</f>
        <v/>
      </c>
      <c r="E852" s="36" t="str">
        <f>IFERROR(VLOOKUP(A852,القائمة!$A$3:$F$112,5,FALSE),"")</f>
        <v/>
      </c>
      <c r="F852" s="37" t="str">
        <f>IFERROR(VLOOKUP(A852,القائمة!$A$3:$F$112,6,FALSE),"")</f>
        <v/>
      </c>
      <c r="I852" s="36"/>
      <c r="P852" s="27">
        <f t="shared" si="29"/>
        <v>0</v>
      </c>
      <c r="Q852" s="27">
        <f t="shared" si="28"/>
        <v>0</v>
      </c>
    </row>
    <row r="853" spans="2:17" x14ac:dyDescent="0.45">
      <c r="B853" s="27" t="str">
        <f>IFERROR(VLOOKUP(A853,القائمة!$A$3:$F$112,2,FALSE),"")</f>
        <v/>
      </c>
      <c r="C853" s="27" t="str">
        <f>IFERROR(VLOOKUP(A853,القائمة!$A$3:$F$112,3,FALSE),"")</f>
        <v/>
      </c>
      <c r="D853" s="36" t="str">
        <f>IFERROR(VLOOKUP(A853,القائمة!$A$3:$F$112,4,FALSE),"")</f>
        <v/>
      </c>
      <c r="E853" s="36" t="str">
        <f>IFERROR(VLOOKUP(A853,القائمة!$A$3:$F$112,5,FALSE),"")</f>
        <v/>
      </c>
      <c r="F853" s="37" t="str">
        <f>IFERROR(VLOOKUP(A853,القائمة!$A$3:$F$112,6,FALSE),"")</f>
        <v/>
      </c>
      <c r="I853" s="36"/>
      <c r="P853" s="27">
        <f t="shared" si="29"/>
        <v>0</v>
      </c>
      <c r="Q853" s="27">
        <f t="shared" si="28"/>
        <v>0</v>
      </c>
    </row>
    <row r="854" spans="2:17" x14ac:dyDescent="0.45">
      <c r="B854" s="27" t="str">
        <f>IFERROR(VLOOKUP(A854,القائمة!$A$3:$F$112,2,FALSE),"")</f>
        <v/>
      </c>
      <c r="C854" s="27" t="str">
        <f>IFERROR(VLOOKUP(A854,القائمة!$A$3:$F$112,3,FALSE),"")</f>
        <v/>
      </c>
      <c r="D854" s="36" t="str">
        <f>IFERROR(VLOOKUP(A854,القائمة!$A$3:$F$112,4,FALSE),"")</f>
        <v/>
      </c>
      <c r="E854" s="36" t="str">
        <f>IFERROR(VLOOKUP(A854,القائمة!$A$3:$F$112,5,FALSE),"")</f>
        <v/>
      </c>
      <c r="F854" s="37" t="str">
        <f>IFERROR(VLOOKUP(A854,القائمة!$A$3:$F$112,6,FALSE),"")</f>
        <v/>
      </c>
      <c r="I854" s="36"/>
      <c r="P854" s="27">
        <f t="shared" si="29"/>
        <v>0</v>
      </c>
      <c r="Q854" s="27">
        <f t="shared" si="28"/>
        <v>0</v>
      </c>
    </row>
    <row r="855" spans="2:17" x14ac:dyDescent="0.45">
      <c r="B855" s="27" t="str">
        <f>IFERROR(VLOOKUP(A855,القائمة!$A$3:$F$112,2,FALSE),"")</f>
        <v/>
      </c>
      <c r="C855" s="27" t="str">
        <f>IFERROR(VLOOKUP(A855,القائمة!$A$3:$F$112,3,FALSE),"")</f>
        <v/>
      </c>
      <c r="D855" s="36" t="str">
        <f>IFERROR(VLOOKUP(A855,القائمة!$A$3:$F$112,4,FALSE),"")</f>
        <v/>
      </c>
      <c r="E855" s="36" t="str">
        <f>IFERROR(VLOOKUP(A855,القائمة!$A$3:$F$112,5,FALSE),"")</f>
        <v/>
      </c>
      <c r="F855" s="37" t="str">
        <f>IFERROR(VLOOKUP(A855,القائمة!$A$3:$F$112,6,FALSE),"")</f>
        <v/>
      </c>
      <c r="I855" s="36"/>
      <c r="P855" s="27">
        <f t="shared" si="29"/>
        <v>0</v>
      </c>
      <c r="Q855" s="27">
        <f t="shared" si="28"/>
        <v>0</v>
      </c>
    </row>
    <row r="856" spans="2:17" x14ac:dyDescent="0.45">
      <c r="B856" s="27" t="str">
        <f>IFERROR(VLOOKUP(A856,القائمة!$A$3:$F$112,2,FALSE),"")</f>
        <v/>
      </c>
      <c r="C856" s="27" t="str">
        <f>IFERROR(VLOOKUP(A856,القائمة!$A$3:$F$112,3,FALSE),"")</f>
        <v/>
      </c>
      <c r="D856" s="36" t="str">
        <f>IFERROR(VLOOKUP(A856,القائمة!$A$3:$F$112,4,FALSE),"")</f>
        <v/>
      </c>
      <c r="E856" s="36" t="str">
        <f>IFERROR(VLOOKUP(A856,القائمة!$A$3:$F$112,5,FALSE),"")</f>
        <v/>
      </c>
      <c r="F856" s="37" t="str">
        <f>IFERROR(VLOOKUP(A856,القائمة!$A$3:$F$112,6,FALSE),"")</f>
        <v/>
      </c>
      <c r="I856" s="36"/>
      <c r="P856" s="27">
        <f t="shared" si="29"/>
        <v>0</v>
      </c>
      <c r="Q856" s="27">
        <f t="shared" si="28"/>
        <v>0</v>
      </c>
    </row>
    <row r="857" spans="2:17" x14ac:dyDescent="0.45">
      <c r="B857" s="27" t="str">
        <f>IFERROR(VLOOKUP(A857,القائمة!$A$3:$F$112,2,FALSE),"")</f>
        <v/>
      </c>
      <c r="C857" s="27" t="str">
        <f>IFERROR(VLOOKUP(A857,القائمة!$A$3:$F$112,3,FALSE),"")</f>
        <v/>
      </c>
      <c r="D857" s="36" t="str">
        <f>IFERROR(VLOOKUP(A857,القائمة!$A$3:$F$112,4,FALSE),"")</f>
        <v/>
      </c>
      <c r="E857" s="36" t="str">
        <f>IFERROR(VLOOKUP(A857,القائمة!$A$3:$F$112,5,FALSE),"")</f>
        <v/>
      </c>
      <c r="F857" s="37" t="str">
        <f>IFERROR(VLOOKUP(A857,القائمة!$A$3:$F$112,6,FALSE),"")</f>
        <v/>
      </c>
      <c r="I857" s="36"/>
      <c r="P857" s="27">
        <f t="shared" si="29"/>
        <v>0</v>
      </c>
      <c r="Q857" s="27">
        <f t="shared" si="28"/>
        <v>0</v>
      </c>
    </row>
    <row r="858" spans="2:17" x14ac:dyDescent="0.45">
      <c r="B858" s="27" t="str">
        <f>IFERROR(VLOOKUP(A858,القائمة!$A$3:$F$112,2,FALSE),"")</f>
        <v/>
      </c>
      <c r="C858" s="27" t="str">
        <f>IFERROR(VLOOKUP(A858,القائمة!$A$3:$F$112,3,FALSE),"")</f>
        <v/>
      </c>
      <c r="D858" s="36" t="str">
        <f>IFERROR(VLOOKUP(A858,القائمة!$A$3:$F$112,4,FALSE),"")</f>
        <v/>
      </c>
      <c r="E858" s="36" t="str">
        <f>IFERROR(VLOOKUP(A858,القائمة!$A$3:$F$112,5,FALSE),"")</f>
        <v/>
      </c>
      <c r="F858" s="37" t="str">
        <f>IFERROR(VLOOKUP(A858,القائمة!$A$3:$F$112,6,FALSE),"")</f>
        <v/>
      </c>
      <c r="I858" s="36"/>
      <c r="P858" s="27">
        <f t="shared" si="29"/>
        <v>0</v>
      </c>
      <c r="Q858" s="27">
        <f t="shared" si="28"/>
        <v>0</v>
      </c>
    </row>
    <row r="859" spans="2:17" x14ac:dyDescent="0.45">
      <c r="B859" s="27" t="str">
        <f>IFERROR(VLOOKUP(A859,القائمة!$A$3:$F$112,2,FALSE),"")</f>
        <v/>
      </c>
      <c r="C859" s="27" t="str">
        <f>IFERROR(VLOOKUP(A859,القائمة!$A$3:$F$112,3,FALSE),"")</f>
        <v/>
      </c>
      <c r="D859" s="36" t="str">
        <f>IFERROR(VLOOKUP(A859,القائمة!$A$3:$F$112,4,FALSE),"")</f>
        <v/>
      </c>
      <c r="E859" s="36" t="str">
        <f>IFERROR(VLOOKUP(A859,القائمة!$A$3:$F$112,5,FALSE),"")</f>
        <v/>
      </c>
      <c r="F859" s="37" t="str">
        <f>IFERROR(VLOOKUP(A859,القائمة!$A$3:$F$112,6,FALSE),"")</f>
        <v/>
      </c>
      <c r="I859" s="36"/>
      <c r="P859" s="27">
        <f t="shared" si="29"/>
        <v>0</v>
      </c>
      <c r="Q859" s="27">
        <f t="shared" si="28"/>
        <v>0</v>
      </c>
    </row>
    <row r="860" spans="2:17" x14ac:dyDescent="0.45">
      <c r="B860" s="27" t="str">
        <f>IFERROR(VLOOKUP(A860,القائمة!$A$3:$F$112,2,FALSE),"")</f>
        <v/>
      </c>
      <c r="C860" s="27" t="str">
        <f>IFERROR(VLOOKUP(A860,القائمة!$A$3:$F$112,3,FALSE),"")</f>
        <v/>
      </c>
      <c r="D860" s="36" t="str">
        <f>IFERROR(VLOOKUP(A860,القائمة!$A$3:$F$112,4,FALSE),"")</f>
        <v/>
      </c>
      <c r="E860" s="36" t="str">
        <f>IFERROR(VLOOKUP(A860,القائمة!$A$3:$F$112,5,FALSE),"")</f>
        <v/>
      </c>
      <c r="F860" s="37" t="str">
        <f>IFERROR(VLOOKUP(A860,القائمة!$A$3:$F$112,6,FALSE),"")</f>
        <v/>
      </c>
      <c r="I860" s="36"/>
      <c r="P860" s="27">
        <f t="shared" si="29"/>
        <v>0</v>
      </c>
      <c r="Q860" s="27">
        <f t="shared" si="28"/>
        <v>0</v>
      </c>
    </row>
    <row r="861" spans="2:17" x14ac:dyDescent="0.45">
      <c r="B861" s="27" t="str">
        <f>IFERROR(VLOOKUP(A861,القائمة!$A$3:$F$112,2,FALSE),"")</f>
        <v/>
      </c>
      <c r="C861" s="27" t="str">
        <f>IFERROR(VLOOKUP(A861,القائمة!$A$3:$F$112,3,FALSE),"")</f>
        <v/>
      </c>
      <c r="D861" s="36" t="str">
        <f>IFERROR(VLOOKUP(A861,القائمة!$A$3:$F$112,4,FALSE),"")</f>
        <v/>
      </c>
      <c r="E861" s="36" t="str">
        <f>IFERROR(VLOOKUP(A861,القائمة!$A$3:$F$112,5,FALSE),"")</f>
        <v/>
      </c>
      <c r="F861" s="37" t="str">
        <f>IFERROR(VLOOKUP(A861,القائمة!$A$3:$F$112,6,FALSE),"")</f>
        <v/>
      </c>
      <c r="I861" s="36"/>
      <c r="P861" s="27">
        <f t="shared" si="29"/>
        <v>0</v>
      </c>
      <c r="Q861" s="27">
        <f t="shared" si="28"/>
        <v>0</v>
      </c>
    </row>
    <row r="862" spans="2:17" x14ac:dyDescent="0.45">
      <c r="B862" s="27" t="str">
        <f>IFERROR(VLOOKUP(A862,القائمة!$A$3:$F$112,2,FALSE),"")</f>
        <v/>
      </c>
      <c r="C862" s="27" t="str">
        <f>IFERROR(VLOOKUP(A862,القائمة!$A$3:$F$112,3,FALSE),"")</f>
        <v/>
      </c>
      <c r="D862" s="36" t="str">
        <f>IFERROR(VLOOKUP(A862,القائمة!$A$3:$F$112,4,FALSE),"")</f>
        <v/>
      </c>
      <c r="E862" s="36" t="str">
        <f>IFERROR(VLOOKUP(A862,القائمة!$A$3:$F$112,5,FALSE),"")</f>
        <v/>
      </c>
      <c r="F862" s="37" t="str">
        <f>IFERROR(VLOOKUP(A862,القائمة!$A$3:$F$112,6,FALSE),"")</f>
        <v/>
      </c>
      <c r="I862" s="36"/>
      <c r="P862" s="27">
        <f t="shared" si="29"/>
        <v>0</v>
      </c>
      <c r="Q862" s="27">
        <f t="shared" si="28"/>
        <v>0</v>
      </c>
    </row>
    <row r="863" spans="2:17" x14ac:dyDescent="0.45">
      <c r="B863" s="27" t="str">
        <f>IFERROR(VLOOKUP(A863,القائمة!$A$3:$F$112,2,FALSE),"")</f>
        <v/>
      </c>
      <c r="C863" s="27" t="str">
        <f>IFERROR(VLOOKUP(A863,القائمة!$A$3:$F$112,3,FALSE),"")</f>
        <v/>
      </c>
      <c r="D863" s="36" t="str">
        <f>IFERROR(VLOOKUP(A863,القائمة!$A$3:$F$112,4,FALSE),"")</f>
        <v/>
      </c>
      <c r="E863" s="36" t="str">
        <f>IFERROR(VLOOKUP(A863,القائمة!$A$3:$F$112,5,FALSE),"")</f>
        <v/>
      </c>
      <c r="F863" s="37" t="str">
        <f>IFERROR(VLOOKUP(A863,القائمة!$A$3:$F$112,6,FALSE),"")</f>
        <v/>
      </c>
      <c r="I863" s="36"/>
      <c r="P863" s="27">
        <f t="shared" si="29"/>
        <v>0</v>
      </c>
      <c r="Q863" s="27">
        <f t="shared" si="28"/>
        <v>0</v>
      </c>
    </row>
    <row r="864" spans="2:17" x14ac:dyDescent="0.45">
      <c r="B864" s="27" t="str">
        <f>IFERROR(VLOOKUP(A864,القائمة!$A$3:$F$112,2,FALSE),"")</f>
        <v/>
      </c>
      <c r="C864" s="27" t="str">
        <f>IFERROR(VLOOKUP(A864,القائمة!$A$3:$F$112,3,FALSE),"")</f>
        <v/>
      </c>
      <c r="D864" s="36" t="str">
        <f>IFERROR(VLOOKUP(A864,القائمة!$A$3:$F$112,4,FALSE),"")</f>
        <v/>
      </c>
      <c r="E864" s="36" t="str">
        <f>IFERROR(VLOOKUP(A864,القائمة!$A$3:$F$112,5,FALSE),"")</f>
        <v/>
      </c>
      <c r="F864" s="37" t="str">
        <f>IFERROR(VLOOKUP(A864,القائمة!$A$3:$F$112,6,FALSE),"")</f>
        <v/>
      </c>
      <c r="I864" s="36"/>
      <c r="P864" s="27">
        <f t="shared" si="29"/>
        <v>0</v>
      </c>
      <c r="Q864" s="27">
        <f t="shared" si="28"/>
        <v>0</v>
      </c>
    </row>
    <row r="865" spans="2:17" x14ac:dyDescent="0.45">
      <c r="B865" s="27" t="str">
        <f>IFERROR(VLOOKUP(A865,القائمة!$A$3:$F$112,2,FALSE),"")</f>
        <v/>
      </c>
      <c r="C865" s="27" t="str">
        <f>IFERROR(VLOOKUP(A865,القائمة!$A$3:$F$112,3,FALSE),"")</f>
        <v/>
      </c>
      <c r="D865" s="36" t="str">
        <f>IFERROR(VLOOKUP(A865,القائمة!$A$3:$F$112,4,FALSE),"")</f>
        <v/>
      </c>
      <c r="E865" s="36" t="str">
        <f>IFERROR(VLOOKUP(A865,القائمة!$A$3:$F$112,5,FALSE),"")</f>
        <v/>
      </c>
      <c r="F865" s="37" t="str">
        <f>IFERROR(VLOOKUP(A865,القائمة!$A$3:$F$112,6,FALSE),"")</f>
        <v/>
      </c>
      <c r="I865" s="36"/>
      <c r="P865" s="27">
        <f t="shared" si="29"/>
        <v>0</v>
      </c>
      <c r="Q865" s="27">
        <f t="shared" si="28"/>
        <v>0</v>
      </c>
    </row>
    <row r="866" spans="2:17" x14ac:dyDescent="0.45">
      <c r="B866" s="27" t="str">
        <f>IFERROR(VLOOKUP(A866,القائمة!$A$3:$F$112,2,FALSE),"")</f>
        <v/>
      </c>
      <c r="C866" s="27" t="str">
        <f>IFERROR(VLOOKUP(A866,القائمة!$A$3:$F$112,3,FALSE),"")</f>
        <v/>
      </c>
      <c r="D866" s="36" t="str">
        <f>IFERROR(VLOOKUP(A866,القائمة!$A$3:$F$112,4,FALSE),"")</f>
        <v/>
      </c>
      <c r="E866" s="36" t="str">
        <f>IFERROR(VLOOKUP(A866,القائمة!$A$3:$F$112,5,FALSE),"")</f>
        <v/>
      </c>
      <c r="F866" s="37" t="str">
        <f>IFERROR(VLOOKUP(A866,القائمة!$A$3:$F$112,6,FALSE),"")</f>
        <v/>
      </c>
      <c r="I866" s="36"/>
      <c r="P866" s="27">
        <f t="shared" si="29"/>
        <v>0</v>
      </c>
      <c r="Q866" s="27">
        <f t="shared" si="28"/>
        <v>0</v>
      </c>
    </row>
    <row r="867" spans="2:17" x14ac:dyDescent="0.45">
      <c r="B867" s="27" t="str">
        <f>IFERROR(VLOOKUP(A867,القائمة!$A$3:$F$112,2,FALSE),"")</f>
        <v/>
      </c>
      <c r="C867" s="27" t="str">
        <f>IFERROR(VLOOKUP(A867,القائمة!$A$3:$F$112,3,FALSE),"")</f>
        <v/>
      </c>
      <c r="D867" s="36" t="str">
        <f>IFERROR(VLOOKUP(A867,القائمة!$A$3:$F$112,4,FALSE),"")</f>
        <v/>
      </c>
      <c r="E867" s="36" t="str">
        <f>IFERROR(VLOOKUP(A867,القائمة!$A$3:$F$112,5,FALSE),"")</f>
        <v/>
      </c>
      <c r="F867" s="37" t="str">
        <f>IFERROR(VLOOKUP(A867,القائمة!$A$3:$F$112,6,FALSE),"")</f>
        <v/>
      </c>
      <c r="I867" s="36"/>
      <c r="P867" s="27">
        <f t="shared" si="29"/>
        <v>0</v>
      </c>
      <c r="Q867" s="27">
        <f t="shared" si="28"/>
        <v>0</v>
      </c>
    </row>
    <row r="868" spans="2:17" x14ac:dyDescent="0.45">
      <c r="B868" s="27" t="str">
        <f>IFERROR(VLOOKUP(A868,القائمة!$A$3:$F$112,2,FALSE),"")</f>
        <v/>
      </c>
      <c r="C868" s="27" t="str">
        <f>IFERROR(VLOOKUP(A868,القائمة!$A$3:$F$112,3,FALSE),"")</f>
        <v/>
      </c>
      <c r="D868" s="36" t="str">
        <f>IFERROR(VLOOKUP(A868,القائمة!$A$3:$F$112,4,FALSE),"")</f>
        <v/>
      </c>
      <c r="E868" s="36" t="str">
        <f>IFERROR(VLOOKUP(A868,القائمة!$A$3:$F$112,5,FALSE),"")</f>
        <v/>
      </c>
      <c r="F868" s="37" t="str">
        <f>IFERROR(VLOOKUP(A868,القائمة!$A$3:$F$112,6,FALSE),"")</f>
        <v/>
      </c>
      <c r="I868" s="36"/>
      <c r="P868" s="27">
        <f t="shared" si="29"/>
        <v>0</v>
      </c>
      <c r="Q868" s="27">
        <f t="shared" si="28"/>
        <v>0</v>
      </c>
    </row>
    <row r="869" spans="2:17" x14ac:dyDescent="0.45">
      <c r="B869" s="27" t="str">
        <f>IFERROR(VLOOKUP(A869,القائمة!$A$3:$F$112,2,FALSE),"")</f>
        <v/>
      </c>
      <c r="C869" s="27" t="str">
        <f>IFERROR(VLOOKUP(A869,القائمة!$A$3:$F$112,3,FALSE),"")</f>
        <v/>
      </c>
      <c r="D869" s="36" t="str">
        <f>IFERROR(VLOOKUP(A869,القائمة!$A$3:$F$112,4,FALSE),"")</f>
        <v/>
      </c>
      <c r="E869" s="36" t="str">
        <f>IFERROR(VLOOKUP(A869,القائمة!$A$3:$F$112,5,FALSE),"")</f>
        <v/>
      </c>
      <c r="F869" s="37" t="str">
        <f>IFERROR(VLOOKUP(A869,القائمة!$A$3:$F$112,6,FALSE),"")</f>
        <v/>
      </c>
      <c r="I869" s="36"/>
      <c r="P869" s="27">
        <f t="shared" si="29"/>
        <v>0</v>
      </c>
      <c r="Q869" s="27">
        <f t="shared" si="28"/>
        <v>0</v>
      </c>
    </row>
    <row r="870" spans="2:17" x14ac:dyDescent="0.45">
      <c r="B870" s="27" t="str">
        <f>IFERROR(VLOOKUP(A870,القائمة!$A$3:$F$112,2,FALSE),"")</f>
        <v/>
      </c>
      <c r="C870" s="27" t="str">
        <f>IFERROR(VLOOKUP(A870,القائمة!$A$3:$F$112,3,FALSE),"")</f>
        <v/>
      </c>
      <c r="D870" s="36" t="str">
        <f>IFERROR(VLOOKUP(A870,القائمة!$A$3:$F$112,4,FALSE),"")</f>
        <v/>
      </c>
      <c r="E870" s="36" t="str">
        <f>IFERROR(VLOOKUP(A870,القائمة!$A$3:$F$112,5,FALSE),"")</f>
        <v/>
      </c>
      <c r="F870" s="37" t="str">
        <f>IFERROR(VLOOKUP(A870,القائمة!$A$3:$F$112,6,FALSE),"")</f>
        <v/>
      </c>
      <c r="I870" s="36"/>
      <c r="P870" s="27">
        <f t="shared" si="29"/>
        <v>0</v>
      </c>
      <c r="Q870" s="27">
        <f t="shared" si="28"/>
        <v>0</v>
      </c>
    </row>
    <row r="871" spans="2:17" x14ac:dyDescent="0.45">
      <c r="B871" s="27" t="str">
        <f>IFERROR(VLOOKUP(A871,القائمة!$A$3:$F$112,2,FALSE),"")</f>
        <v/>
      </c>
      <c r="C871" s="27" t="str">
        <f>IFERROR(VLOOKUP(A871,القائمة!$A$3:$F$112,3,FALSE),"")</f>
        <v/>
      </c>
      <c r="D871" s="36" t="str">
        <f>IFERROR(VLOOKUP(A871,القائمة!$A$3:$F$112,4,FALSE),"")</f>
        <v/>
      </c>
      <c r="E871" s="36" t="str">
        <f>IFERROR(VLOOKUP(A871,القائمة!$A$3:$F$112,5,FALSE),"")</f>
        <v/>
      </c>
      <c r="F871" s="37" t="str">
        <f>IFERROR(VLOOKUP(A871,القائمة!$A$3:$F$112,6,FALSE),"")</f>
        <v/>
      </c>
      <c r="I871" s="36"/>
      <c r="P871" s="27">
        <f t="shared" si="29"/>
        <v>0</v>
      </c>
      <c r="Q871" s="27">
        <f t="shared" si="28"/>
        <v>0</v>
      </c>
    </row>
    <row r="872" spans="2:17" x14ac:dyDescent="0.45">
      <c r="B872" s="27" t="str">
        <f>IFERROR(VLOOKUP(A872,القائمة!$A$3:$F$112,2,FALSE),"")</f>
        <v/>
      </c>
      <c r="C872" s="27" t="str">
        <f>IFERROR(VLOOKUP(A872,القائمة!$A$3:$F$112,3,FALSE),"")</f>
        <v/>
      </c>
      <c r="D872" s="36" t="str">
        <f>IFERROR(VLOOKUP(A872,القائمة!$A$3:$F$112,4,FALSE),"")</f>
        <v/>
      </c>
      <c r="E872" s="36" t="str">
        <f>IFERROR(VLOOKUP(A872,القائمة!$A$3:$F$112,5,FALSE),"")</f>
        <v/>
      </c>
      <c r="F872" s="37" t="str">
        <f>IFERROR(VLOOKUP(A872,القائمة!$A$3:$F$112,6,FALSE),"")</f>
        <v/>
      </c>
      <c r="I872" s="36"/>
      <c r="P872" s="27">
        <f t="shared" si="29"/>
        <v>0</v>
      </c>
      <c r="Q872" s="27">
        <f t="shared" si="28"/>
        <v>0</v>
      </c>
    </row>
    <row r="873" spans="2:17" x14ac:dyDescent="0.45">
      <c r="B873" s="27" t="str">
        <f>IFERROR(VLOOKUP(A873,القائمة!$A$3:$F$112,2,FALSE),"")</f>
        <v/>
      </c>
      <c r="C873" s="27" t="str">
        <f>IFERROR(VLOOKUP(A873,القائمة!$A$3:$F$112,3,FALSE),"")</f>
        <v/>
      </c>
      <c r="D873" s="36" t="str">
        <f>IFERROR(VLOOKUP(A873,القائمة!$A$3:$F$112,4,FALSE),"")</f>
        <v/>
      </c>
      <c r="E873" s="36" t="str">
        <f>IFERROR(VLOOKUP(A873,القائمة!$A$3:$F$112,5,FALSE),"")</f>
        <v/>
      </c>
      <c r="F873" s="37" t="str">
        <f>IFERROR(VLOOKUP(A873,القائمة!$A$3:$F$112,6,FALSE),"")</f>
        <v/>
      </c>
      <c r="I873" s="36"/>
      <c r="P873" s="27">
        <f t="shared" si="29"/>
        <v>0</v>
      </c>
      <c r="Q873" s="27">
        <f t="shared" si="28"/>
        <v>0</v>
      </c>
    </row>
    <row r="874" spans="2:17" x14ac:dyDescent="0.45">
      <c r="B874" s="27" t="str">
        <f>IFERROR(VLOOKUP(A874,القائمة!$A$3:$F$112,2,FALSE),"")</f>
        <v/>
      </c>
      <c r="C874" s="27" t="str">
        <f>IFERROR(VLOOKUP(A874,القائمة!$A$3:$F$112,3,FALSE),"")</f>
        <v/>
      </c>
      <c r="D874" s="36" t="str">
        <f>IFERROR(VLOOKUP(A874,القائمة!$A$3:$F$112,4,FALSE),"")</f>
        <v/>
      </c>
      <c r="E874" s="36" t="str">
        <f>IFERROR(VLOOKUP(A874,القائمة!$A$3:$F$112,5,FALSE),"")</f>
        <v/>
      </c>
      <c r="F874" s="37" t="str">
        <f>IFERROR(VLOOKUP(A874,القائمة!$A$3:$F$112,6,FALSE),"")</f>
        <v/>
      </c>
      <c r="I874" s="36"/>
      <c r="P874" s="27">
        <f t="shared" si="29"/>
        <v>0</v>
      </c>
      <c r="Q874" s="27">
        <f t="shared" si="28"/>
        <v>0</v>
      </c>
    </row>
    <row r="875" spans="2:17" x14ac:dyDescent="0.45">
      <c r="B875" s="27" t="str">
        <f>IFERROR(VLOOKUP(A875,القائمة!$A$3:$F$112,2,FALSE),"")</f>
        <v/>
      </c>
      <c r="C875" s="27" t="str">
        <f>IFERROR(VLOOKUP(A875,القائمة!$A$3:$F$112,3,FALSE),"")</f>
        <v/>
      </c>
      <c r="D875" s="36" t="str">
        <f>IFERROR(VLOOKUP(A875,القائمة!$A$3:$F$112,4,FALSE),"")</f>
        <v/>
      </c>
      <c r="E875" s="36" t="str">
        <f>IFERROR(VLOOKUP(A875,القائمة!$A$3:$F$112,5,FALSE),"")</f>
        <v/>
      </c>
      <c r="F875" s="37" t="str">
        <f>IFERROR(VLOOKUP(A875,القائمة!$A$3:$F$112,6,FALSE),"")</f>
        <v/>
      </c>
      <c r="I875" s="36"/>
      <c r="P875" s="27">
        <f t="shared" si="29"/>
        <v>0</v>
      </c>
      <c r="Q875" s="27">
        <f t="shared" si="28"/>
        <v>0</v>
      </c>
    </row>
    <row r="876" spans="2:17" x14ac:dyDescent="0.45">
      <c r="B876" s="27" t="str">
        <f>IFERROR(VLOOKUP(A876,القائمة!$A$3:$F$112,2,FALSE),"")</f>
        <v/>
      </c>
      <c r="C876" s="27" t="str">
        <f>IFERROR(VLOOKUP(A876,القائمة!$A$3:$F$112,3,FALSE),"")</f>
        <v/>
      </c>
      <c r="D876" s="36" t="str">
        <f>IFERROR(VLOOKUP(A876,القائمة!$A$3:$F$112,4,FALSE),"")</f>
        <v/>
      </c>
      <c r="E876" s="36" t="str">
        <f>IFERROR(VLOOKUP(A876,القائمة!$A$3:$F$112,5,FALSE),"")</f>
        <v/>
      </c>
      <c r="F876" s="37" t="str">
        <f>IFERROR(VLOOKUP(A876,القائمة!$A$3:$F$112,6,FALSE),"")</f>
        <v/>
      </c>
      <c r="I876" s="36"/>
      <c r="P876" s="27">
        <f t="shared" si="29"/>
        <v>0</v>
      </c>
      <c r="Q876" s="27">
        <f t="shared" si="28"/>
        <v>0</v>
      </c>
    </row>
    <row r="877" spans="2:17" x14ac:dyDescent="0.45">
      <c r="B877" s="27" t="str">
        <f>IFERROR(VLOOKUP(A877,القائمة!$A$3:$F$112,2,FALSE),"")</f>
        <v/>
      </c>
      <c r="C877" s="27" t="str">
        <f>IFERROR(VLOOKUP(A877,القائمة!$A$3:$F$112,3,FALSE),"")</f>
        <v/>
      </c>
      <c r="D877" s="36" t="str">
        <f>IFERROR(VLOOKUP(A877,القائمة!$A$3:$F$112,4,FALSE),"")</f>
        <v/>
      </c>
      <c r="E877" s="36" t="str">
        <f>IFERROR(VLOOKUP(A877,القائمة!$A$3:$F$112,5,FALSE),"")</f>
        <v/>
      </c>
      <c r="F877" s="37" t="str">
        <f>IFERROR(VLOOKUP(A877,القائمة!$A$3:$F$112,6,FALSE),"")</f>
        <v/>
      </c>
      <c r="I877" s="36"/>
      <c r="P877" s="27">
        <f t="shared" si="29"/>
        <v>0</v>
      </c>
      <c r="Q877" s="27">
        <f t="shared" si="28"/>
        <v>0</v>
      </c>
    </row>
    <row r="878" spans="2:17" x14ac:dyDescent="0.45">
      <c r="B878" s="27" t="str">
        <f>IFERROR(VLOOKUP(A878,القائمة!$A$3:$F$112,2,FALSE),"")</f>
        <v/>
      </c>
      <c r="C878" s="27" t="str">
        <f>IFERROR(VLOOKUP(A878,القائمة!$A$3:$F$112,3,FALSE),"")</f>
        <v/>
      </c>
      <c r="D878" s="36" t="str">
        <f>IFERROR(VLOOKUP(A878,القائمة!$A$3:$F$112,4,FALSE),"")</f>
        <v/>
      </c>
      <c r="E878" s="36" t="str">
        <f>IFERROR(VLOOKUP(A878,القائمة!$A$3:$F$112,5,FALSE),"")</f>
        <v/>
      </c>
      <c r="F878" s="37" t="str">
        <f>IFERROR(VLOOKUP(A878,القائمة!$A$3:$F$112,6,FALSE),"")</f>
        <v/>
      </c>
      <c r="I878" s="36"/>
      <c r="P878" s="27">
        <f t="shared" si="29"/>
        <v>0</v>
      </c>
      <c r="Q878" s="27">
        <f t="shared" si="28"/>
        <v>0</v>
      </c>
    </row>
    <row r="879" spans="2:17" x14ac:dyDescent="0.45">
      <c r="B879" s="27" t="str">
        <f>IFERROR(VLOOKUP(A879,القائمة!$A$3:$F$112,2,FALSE),"")</f>
        <v/>
      </c>
      <c r="C879" s="27" t="str">
        <f>IFERROR(VLOOKUP(A879,القائمة!$A$3:$F$112,3,FALSE),"")</f>
        <v/>
      </c>
      <c r="D879" s="36" t="str">
        <f>IFERROR(VLOOKUP(A879,القائمة!$A$3:$F$112,4,FALSE),"")</f>
        <v/>
      </c>
      <c r="E879" s="36" t="str">
        <f>IFERROR(VLOOKUP(A879,القائمة!$A$3:$F$112,5,FALSE),"")</f>
        <v/>
      </c>
      <c r="F879" s="37" t="str">
        <f>IFERROR(VLOOKUP(A879,القائمة!$A$3:$F$112,6,FALSE),"")</f>
        <v/>
      </c>
      <c r="I879" s="36"/>
      <c r="P879" s="27">
        <f t="shared" si="29"/>
        <v>0</v>
      </c>
      <c r="Q879" s="27">
        <f t="shared" si="28"/>
        <v>0</v>
      </c>
    </row>
    <row r="880" spans="2:17" x14ac:dyDescent="0.45">
      <c r="B880" s="27" t="str">
        <f>IFERROR(VLOOKUP(A880,القائمة!$A$3:$F$112,2,FALSE),"")</f>
        <v/>
      </c>
      <c r="C880" s="27" t="str">
        <f>IFERROR(VLOOKUP(A880,القائمة!$A$3:$F$112,3,FALSE),"")</f>
        <v/>
      </c>
      <c r="D880" s="36" t="str">
        <f>IFERROR(VLOOKUP(A880,القائمة!$A$3:$F$112,4,FALSE),"")</f>
        <v/>
      </c>
      <c r="E880" s="36" t="str">
        <f>IFERROR(VLOOKUP(A880,القائمة!$A$3:$F$112,5,FALSE),"")</f>
        <v/>
      </c>
      <c r="F880" s="37" t="str">
        <f>IFERROR(VLOOKUP(A880,القائمة!$A$3:$F$112,6,FALSE),"")</f>
        <v/>
      </c>
      <c r="I880" s="36"/>
      <c r="P880" s="27">
        <f t="shared" si="29"/>
        <v>0</v>
      </c>
      <c r="Q880" s="27">
        <f t="shared" si="28"/>
        <v>0</v>
      </c>
    </row>
    <row r="881" spans="2:17" x14ac:dyDescent="0.45">
      <c r="B881" s="27" t="str">
        <f>IFERROR(VLOOKUP(A881,القائمة!$A$3:$F$112,2,FALSE),"")</f>
        <v/>
      </c>
      <c r="C881" s="27" t="str">
        <f>IFERROR(VLOOKUP(A881,القائمة!$A$3:$F$112,3,FALSE),"")</f>
        <v/>
      </c>
      <c r="D881" s="36" t="str">
        <f>IFERROR(VLOOKUP(A881,القائمة!$A$3:$F$112,4,FALSE),"")</f>
        <v/>
      </c>
      <c r="E881" s="36" t="str">
        <f>IFERROR(VLOOKUP(A881,القائمة!$A$3:$F$112,5,FALSE),"")</f>
        <v/>
      </c>
      <c r="F881" s="37" t="str">
        <f>IFERROR(VLOOKUP(A881,القائمة!$A$3:$F$112,6,FALSE),"")</f>
        <v/>
      </c>
      <c r="I881" s="36"/>
      <c r="P881" s="27">
        <f t="shared" si="29"/>
        <v>0</v>
      </c>
      <c r="Q881" s="27">
        <f t="shared" si="28"/>
        <v>0</v>
      </c>
    </row>
    <row r="882" spans="2:17" x14ac:dyDescent="0.45">
      <c r="B882" s="27" t="str">
        <f>IFERROR(VLOOKUP(A882,القائمة!$A$3:$F$112,2,FALSE),"")</f>
        <v/>
      </c>
      <c r="C882" s="27" t="str">
        <f>IFERROR(VLOOKUP(A882,القائمة!$A$3:$F$112,3,FALSE),"")</f>
        <v/>
      </c>
      <c r="D882" s="36" t="str">
        <f>IFERROR(VLOOKUP(A882,القائمة!$A$3:$F$112,4,FALSE),"")</f>
        <v/>
      </c>
      <c r="E882" s="36" t="str">
        <f>IFERROR(VLOOKUP(A882,القائمة!$A$3:$F$112,5,FALSE),"")</f>
        <v/>
      </c>
      <c r="F882" s="37" t="str">
        <f>IFERROR(VLOOKUP(A882,القائمة!$A$3:$F$112,6,FALSE),"")</f>
        <v/>
      </c>
      <c r="I882" s="36"/>
      <c r="P882" s="27">
        <f t="shared" si="29"/>
        <v>0</v>
      </c>
      <c r="Q882" s="27">
        <f t="shared" si="28"/>
        <v>0</v>
      </c>
    </row>
    <row r="883" spans="2:17" x14ac:dyDescent="0.45">
      <c r="B883" s="27" t="str">
        <f>IFERROR(VLOOKUP(A883,القائمة!$A$3:$F$112,2,FALSE),"")</f>
        <v/>
      </c>
      <c r="C883" s="27" t="str">
        <f>IFERROR(VLOOKUP(A883,القائمة!$A$3:$F$112,3,FALSE),"")</f>
        <v/>
      </c>
      <c r="D883" s="36" t="str">
        <f>IFERROR(VLOOKUP(A883,القائمة!$A$3:$F$112,4,FALSE),"")</f>
        <v/>
      </c>
      <c r="E883" s="36" t="str">
        <f>IFERROR(VLOOKUP(A883,القائمة!$A$3:$F$112,5,FALSE),"")</f>
        <v/>
      </c>
      <c r="F883" s="37" t="str">
        <f>IFERROR(VLOOKUP(A883,القائمة!$A$3:$F$112,6,FALSE),"")</f>
        <v/>
      </c>
      <c r="I883" s="36"/>
      <c r="P883" s="27">
        <f t="shared" si="29"/>
        <v>0</v>
      </c>
      <c r="Q883" s="27">
        <f t="shared" si="28"/>
        <v>0</v>
      </c>
    </row>
    <row r="884" spans="2:17" x14ac:dyDescent="0.45">
      <c r="B884" s="27" t="str">
        <f>IFERROR(VLOOKUP(A884,القائمة!$A$3:$F$112,2,FALSE),"")</f>
        <v/>
      </c>
      <c r="C884" s="27" t="str">
        <f>IFERROR(VLOOKUP(A884,القائمة!$A$3:$F$112,3,FALSE),"")</f>
        <v/>
      </c>
      <c r="D884" s="36" t="str">
        <f>IFERROR(VLOOKUP(A884,القائمة!$A$3:$F$112,4,FALSE),"")</f>
        <v/>
      </c>
      <c r="E884" s="36" t="str">
        <f>IFERROR(VLOOKUP(A884,القائمة!$A$3:$F$112,5,FALSE),"")</f>
        <v/>
      </c>
      <c r="F884" s="37" t="str">
        <f>IFERROR(VLOOKUP(A884,القائمة!$A$3:$F$112,6,FALSE),"")</f>
        <v/>
      </c>
      <c r="I884" s="36"/>
      <c r="P884" s="27">
        <f t="shared" si="29"/>
        <v>0</v>
      </c>
      <c r="Q884" s="27">
        <f t="shared" si="28"/>
        <v>0</v>
      </c>
    </row>
    <row r="885" spans="2:17" x14ac:dyDescent="0.45">
      <c r="B885" s="27" t="str">
        <f>IFERROR(VLOOKUP(A885,القائمة!$A$3:$F$112,2,FALSE),"")</f>
        <v/>
      </c>
      <c r="C885" s="27" t="str">
        <f>IFERROR(VLOOKUP(A885,القائمة!$A$3:$F$112,3,FALSE),"")</f>
        <v/>
      </c>
      <c r="D885" s="36" t="str">
        <f>IFERROR(VLOOKUP(A885,القائمة!$A$3:$F$112,4,FALSE),"")</f>
        <v/>
      </c>
      <c r="E885" s="36" t="str">
        <f>IFERROR(VLOOKUP(A885,القائمة!$A$3:$F$112,5,FALSE),"")</f>
        <v/>
      </c>
      <c r="F885" s="37" t="str">
        <f>IFERROR(VLOOKUP(A885,القائمة!$A$3:$F$112,6,FALSE),"")</f>
        <v/>
      </c>
      <c r="I885" s="36"/>
      <c r="P885" s="27">
        <f t="shared" si="29"/>
        <v>0</v>
      </c>
      <c r="Q885" s="27">
        <f t="shared" si="28"/>
        <v>0</v>
      </c>
    </row>
    <row r="886" spans="2:17" x14ac:dyDescent="0.45">
      <c r="B886" s="27" t="str">
        <f>IFERROR(VLOOKUP(A886,القائمة!$A$3:$F$112,2,FALSE),"")</f>
        <v/>
      </c>
      <c r="C886" s="27" t="str">
        <f>IFERROR(VLOOKUP(A886,القائمة!$A$3:$F$112,3,FALSE),"")</f>
        <v/>
      </c>
      <c r="D886" s="36" t="str">
        <f>IFERROR(VLOOKUP(A886,القائمة!$A$3:$F$112,4,FALSE),"")</f>
        <v/>
      </c>
      <c r="E886" s="36" t="str">
        <f>IFERROR(VLOOKUP(A886,القائمة!$A$3:$F$112,5,FALSE),"")</f>
        <v/>
      </c>
      <c r="F886" s="37" t="str">
        <f>IFERROR(VLOOKUP(A886,القائمة!$A$3:$F$112,6,FALSE),"")</f>
        <v/>
      </c>
      <c r="I886" s="36"/>
      <c r="P886" s="27">
        <f t="shared" si="29"/>
        <v>0</v>
      </c>
      <c r="Q886" s="27">
        <f t="shared" si="28"/>
        <v>0</v>
      </c>
    </row>
    <row r="887" spans="2:17" x14ac:dyDescent="0.45">
      <c r="B887" s="27" t="str">
        <f>IFERROR(VLOOKUP(A887,القائمة!$A$3:$F$112,2,FALSE),"")</f>
        <v/>
      </c>
      <c r="C887" s="27" t="str">
        <f>IFERROR(VLOOKUP(A887,القائمة!$A$3:$F$112,3,FALSE),"")</f>
        <v/>
      </c>
      <c r="D887" s="36" t="str">
        <f>IFERROR(VLOOKUP(A887,القائمة!$A$3:$F$112,4,FALSE),"")</f>
        <v/>
      </c>
      <c r="E887" s="36" t="str">
        <f>IFERROR(VLOOKUP(A887,القائمة!$A$3:$F$112,5,FALSE),"")</f>
        <v/>
      </c>
      <c r="F887" s="37" t="str">
        <f>IFERROR(VLOOKUP(A887,القائمة!$A$3:$F$112,6,FALSE),"")</f>
        <v/>
      </c>
      <c r="I887" s="36"/>
      <c r="P887" s="27">
        <f t="shared" si="29"/>
        <v>0</v>
      </c>
      <c r="Q887" s="27">
        <f t="shared" si="28"/>
        <v>0</v>
      </c>
    </row>
    <row r="888" spans="2:17" x14ac:dyDescent="0.45">
      <c r="B888" s="27" t="str">
        <f>IFERROR(VLOOKUP(A888,القائمة!$A$3:$F$112,2,FALSE),"")</f>
        <v/>
      </c>
      <c r="C888" s="27" t="str">
        <f>IFERROR(VLOOKUP(A888,القائمة!$A$3:$F$112,3,FALSE),"")</f>
        <v/>
      </c>
      <c r="D888" s="36" t="str">
        <f>IFERROR(VLOOKUP(A888,القائمة!$A$3:$F$112,4,FALSE),"")</f>
        <v/>
      </c>
      <c r="E888" s="36" t="str">
        <f>IFERROR(VLOOKUP(A888,القائمة!$A$3:$F$112,5,FALSE),"")</f>
        <v/>
      </c>
      <c r="F888" s="37" t="str">
        <f>IFERROR(VLOOKUP(A888,القائمة!$A$3:$F$112,6,FALSE),"")</f>
        <v/>
      </c>
      <c r="I888" s="36"/>
      <c r="P888" s="27">
        <f t="shared" si="29"/>
        <v>0</v>
      </c>
      <c r="Q888" s="27">
        <f t="shared" si="28"/>
        <v>0</v>
      </c>
    </row>
    <row r="889" spans="2:17" x14ac:dyDescent="0.45">
      <c r="B889" s="27" t="str">
        <f>IFERROR(VLOOKUP(A889,القائمة!$A$3:$F$112,2,FALSE),"")</f>
        <v/>
      </c>
      <c r="C889" s="27" t="str">
        <f>IFERROR(VLOOKUP(A889,القائمة!$A$3:$F$112,3,FALSE),"")</f>
        <v/>
      </c>
      <c r="D889" s="36" t="str">
        <f>IFERROR(VLOOKUP(A889,القائمة!$A$3:$F$112,4,FALSE),"")</f>
        <v/>
      </c>
      <c r="E889" s="36" t="str">
        <f>IFERROR(VLOOKUP(A889,القائمة!$A$3:$F$112,5,FALSE),"")</f>
        <v/>
      </c>
      <c r="F889" s="37" t="str">
        <f>IFERROR(VLOOKUP(A889,القائمة!$A$3:$F$112,6,FALSE),"")</f>
        <v/>
      </c>
      <c r="I889" s="36"/>
      <c r="P889" s="27">
        <f t="shared" si="29"/>
        <v>0</v>
      </c>
      <c r="Q889" s="27">
        <f t="shared" si="28"/>
        <v>0</v>
      </c>
    </row>
    <row r="890" spans="2:17" x14ac:dyDescent="0.45">
      <c r="B890" s="27" t="str">
        <f>IFERROR(VLOOKUP(A890,القائمة!$A$3:$F$112,2,FALSE),"")</f>
        <v/>
      </c>
      <c r="C890" s="27" t="str">
        <f>IFERROR(VLOOKUP(A890,القائمة!$A$3:$F$112,3,FALSE),"")</f>
        <v/>
      </c>
      <c r="D890" s="36" t="str">
        <f>IFERROR(VLOOKUP(A890,القائمة!$A$3:$F$112,4,FALSE),"")</f>
        <v/>
      </c>
      <c r="E890" s="36" t="str">
        <f>IFERROR(VLOOKUP(A890,القائمة!$A$3:$F$112,5,FALSE),"")</f>
        <v/>
      </c>
      <c r="F890" s="37" t="str">
        <f>IFERROR(VLOOKUP(A890,القائمة!$A$3:$F$112,6,FALSE),"")</f>
        <v/>
      </c>
      <c r="I890" s="36"/>
      <c r="P890" s="27">
        <f t="shared" si="29"/>
        <v>0</v>
      </c>
      <c r="Q890" s="27">
        <f t="shared" si="28"/>
        <v>0</v>
      </c>
    </row>
    <row r="891" spans="2:17" x14ac:dyDescent="0.45">
      <c r="B891" s="27" t="str">
        <f>IFERROR(VLOOKUP(A891,القائمة!$A$3:$F$112,2,FALSE),"")</f>
        <v/>
      </c>
      <c r="C891" s="27" t="str">
        <f>IFERROR(VLOOKUP(A891,القائمة!$A$3:$F$112,3,FALSE),"")</f>
        <v/>
      </c>
      <c r="D891" s="36" t="str">
        <f>IFERROR(VLOOKUP(A891,القائمة!$A$3:$F$112,4,FALSE),"")</f>
        <v/>
      </c>
      <c r="E891" s="36" t="str">
        <f>IFERROR(VLOOKUP(A891,القائمة!$A$3:$F$112,5,FALSE),"")</f>
        <v/>
      </c>
      <c r="F891" s="37" t="str">
        <f>IFERROR(VLOOKUP(A891,القائمة!$A$3:$F$112,6,FALSE),"")</f>
        <v/>
      </c>
      <c r="I891" s="36"/>
      <c r="P891" s="27">
        <f t="shared" si="29"/>
        <v>0</v>
      </c>
      <c r="Q891" s="27">
        <f t="shared" si="28"/>
        <v>0</v>
      </c>
    </row>
    <row r="892" spans="2:17" x14ac:dyDescent="0.45">
      <c r="B892" s="27" t="str">
        <f>IFERROR(VLOOKUP(A892,القائمة!$A$3:$F$112,2,FALSE),"")</f>
        <v/>
      </c>
      <c r="C892" s="27" t="str">
        <f>IFERROR(VLOOKUP(A892,القائمة!$A$3:$F$112,3,FALSE),"")</f>
        <v/>
      </c>
      <c r="D892" s="36" t="str">
        <f>IFERROR(VLOOKUP(A892,القائمة!$A$3:$F$112,4,FALSE),"")</f>
        <v/>
      </c>
      <c r="E892" s="36" t="str">
        <f>IFERROR(VLOOKUP(A892,القائمة!$A$3:$F$112,5,FALSE),"")</f>
        <v/>
      </c>
      <c r="F892" s="37" t="str">
        <f>IFERROR(VLOOKUP(A892,القائمة!$A$3:$F$112,6,FALSE),"")</f>
        <v/>
      </c>
      <c r="I892" s="36"/>
      <c r="P892" s="27">
        <f t="shared" si="29"/>
        <v>0</v>
      </c>
      <c r="Q892" s="27">
        <f t="shared" si="28"/>
        <v>0</v>
      </c>
    </row>
    <row r="893" spans="2:17" x14ac:dyDescent="0.45">
      <c r="B893" s="27" t="str">
        <f>IFERROR(VLOOKUP(A893,القائمة!$A$3:$F$112,2,FALSE),"")</f>
        <v/>
      </c>
      <c r="C893" s="27" t="str">
        <f>IFERROR(VLOOKUP(A893,القائمة!$A$3:$F$112,3,FALSE),"")</f>
        <v/>
      </c>
      <c r="D893" s="36" t="str">
        <f>IFERROR(VLOOKUP(A893,القائمة!$A$3:$F$112,4,FALSE),"")</f>
        <v/>
      </c>
      <c r="E893" s="36" t="str">
        <f>IFERROR(VLOOKUP(A893,القائمة!$A$3:$F$112,5,FALSE),"")</f>
        <v/>
      </c>
      <c r="F893" s="37" t="str">
        <f>IFERROR(VLOOKUP(A893,القائمة!$A$3:$F$112,6,FALSE),"")</f>
        <v/>
      </c>
      <c r="I893" s="36"/>
      <c r="P893" s="27">
        <f t="shared" si="29"/>
        <v>0</v>
      </c>
      <c r="Q893" s="27">
        <f t="shared" si="28"/>
        <v>0</v>
      </c>
    </row>
    <row r="894" spans="2:17" x14ac:dyDescent="0.45">
      <c r="B894" s="27" t="str">
        <f>IFERROR(VLOOKUP(A894,القائمة!$A$3:$F$112,2,FALSE),"")</f>
        <v/>
      </c>
      <c r="C894" s="27" t="str">
        <f>IFERROR(VLOOKUP(A894,القائمة!$A$3:$F$112,3,FALSE),"")</f>
        <v/>
      </c>
      <c r="D894" s="36" t="str">
        <f>IFERROR(VLOOKUP(A894,القائمة!$A$3:$F$112,4,FALSE),"")</f>
        <v/>
      </c>
      <c r="E894" s="36" t="str">
        <f>IFERROR(VLOOKUP(A894,القائمة!$A$3:$F$112,5,FALSE),"")</f>
        <v/>
      </c>
      <c r="F894" s="37" t="str">
        <f>IFERROR(VLOOKUP(A894,القائمة!$A$3:$F$112,6,FALSE),"")</f>
        <v/>
      </c>
      <c r="I894" s="36"/>
      <c r="P894" s="27">
        <f t="shared" si="29"/>
        <v>0</v>
      </c>
      <c r="Q894" s="27">
        <f t="shared" si="28"/>
        <v>0</v>
      </c>
    </row>
    <row r="895" spans="2:17" x14ac:dyDescent="0.45">
      <c r="B895" s="27" t="str">
        <f>IFERROR(VLOOKUP(A895,القائمة!$A$3:$F$112,2,FALSE),"")</f>
        <v/>
      </c>
      <c r="C895" s="27" t="str">
        <f>IFERROR(VLOOKUP(A895,القائمة!$A$3:$F$112,3,FALSE),"")</f>
        <v/>
      </c>
      <c r="D895" s="36" t="str">
        <f>IFERROR(VLOOKUP(A895,القائمة!$A$3:$F$112,4,FALSE),"")</f>
        <v/>
      </c>
      <c r="E895" s="36" t="str">
        <f>IFERROR(VLOOKUP(A895,القائمة!$A$3:$F$112,5,FALSE),"")</f>
        <v/>
      </c>
      <c r="F895" s="37" t="str">
        <f>IFERROR(VLOOKUP(A895,القائمة!$A$3:$F$112,6,FALSE),"")</f>
        <v/>
      </c>
      <c r="I895" s="36"/>
      <c r="P895" s="27">
        <f t="shared" si="29"/>
        <v>0</v>
      </c>
      <c r="Q895" s="27">
        <f t="shared" si="28"/>
        <v>0</v>
      </c>
    </row>
    <row r="896" spans="2:17" x14ac:dyDescent="0.45">
      <c r="B896" s="27" t="str">
        <f>IFERROR(VLOOKUP(A896,القائمة!$A$3:$F$112,2,FALSE),"")</f>
        <v/>
      </c>
      <c r="C896" s="27" t="str">
        <f>IFERROR(VLOOKUP(A896,القائمة!$A$3:$F$112,3,FALSE),"")</f>
        <v/>
      </c>
      <c r="D896" s="36" t="str">
        <f>IFERROR(VLOOKUP(A896,القائمة!$A$3:$F$112,4,FALSE),"")</f>
        <v/>
      </c>
      <c r="E896" s="36" t="str">
        <f>IFERROR(VLOOKUP(A896,القائمة!$A$3:$F$112,5,FALSE),"")</f>
        <v/>
      </c>
      <c r="F896" s="37" t="str">
        <f>IFERROR(VLOOKUP(A896,القائمة!$A$3:$F$112,6,FALSE),"")</f>
        <v/>
      </c>
      <c r="I896" s="36"/>
      <c r="P896" s="27">
        <f t="shared" si="29"/>
        <v>0</v>
      </c>
      <c r="Q896" s="27">
        <f t="shared" si="28"/>
        <v>0</v>
      </c>
    </row>
    <row r="897" spans="2:17" x14ac:dyDescent="0.45">
      <c r="B897" s="27" t="str">
        <f>IFERROR(VLOOKUP(A897,القائمة!$A$3:$F$112,2,FALSE),"")</f>
        <v/>
      </c>
      <c r="C897" s="27" t="str">
        <f>IFERROR(VLOOKUP(A897,القائمة!$A$3:$F$112,3,FALSE),"")</f>
        <v/>
      </c>
      <c r="D897" s="36" t="str">
        <f>IFERROR(VLOOKUP(A897,القائمة!$A$3:$F$112,4,FALSE),"")</f>
        <v/>
      </c>
      <c r="E897" s="36" t="str">
        <f>IFERROR(VLOOKUP(A897,القائمة!$A$3:$F$112,5,FALSE),"")</f>
        <v/>
      </c>
      <c r="F897" s="37" t="str">
        <f>IFERROR(VLOOKUP(A897,القائمة!$A$3:$F$112,6,FALSE),"")</f>
        <v/>
      </c>
      <c r="I897" s="36"/>
      <c r="P897" s="27">
        <f t="shared" si="29"/>
        <v>0</v>
      </c>
      <c r="Q897" s="27">
        <f t="shared" si="28"/>
        <v>0</v>
      </c>
    </row>
    <row r="898" spans="2:17" x14ac:dyDescent="0.45">
      <c r="B898" s="27" t="str">
        <f>IFERROR(VLOOKUP(A898,القائمة!$A$3:$F$112,2,FALSE),"")</f>
        <v/>
      </c>
      <c r="C898" s="27" t="str">
        <f>IFERROR(VLOOKUP(A898,القائمة!$A$3:$F$112,3,FALSE),"")</f>
        <v/>
      </c>
      <c r="D898" s="36" t="str">
        <f>IFERROR(VLOOKUP(A898,القائمة!$A$3:$F$112,4,FALSE),"")</f>
        <v/>
      </c>
      <c r="E898" s="36" t="str">
        <f>IFERROR(VLOOKUP(A898,القائمة!$A$3:$F$112,5,FALSE),"")</f>
        <v/>
      </c>
      <c r="F898" s="37" t="str">
        <f>IFERROR(VLOOKUP(A898,القائمة!$A$3:$F$112,6,FALSE),"")</f>
        <v/>
      </c>
      <c r="I898" s="36"/>
      <c r="P898" s="27">
        <f t="shared" si="29"/>
        <v>0</v>
      </c>
      <c r="Q898" s="27">
        <f t="shared" si="28"/>
        <v>0</v>
      </c>
    </row>
    <row r="899" spans="2:17" x14ac:dyDescent="0.45">
      <c r="B899" s="27" t="str">
        <f>IFERROR(VLOOKUP(A899,القائمة!$A$3:$F$112,2,FALSE),"")</f>
        <v/>
      </c>
      <c r="C899" s="27" t="str">
        <f>IFERROR(VLOOKUP(A899,القائمة!$A$3:$F$112,3,FALSE),"")</f>
        <v/>
      </c>
      <c r="D899" s="36" t="str">
        <f>IFERROR(VLOOKUP(A899,القائمة!$A$3:$F$112,4,FALSE),"")</f>
        <v/>
      </c>
      <c r="E899" s="36" t="str">
        <f>IFERROR(VLOOKUP(A899,القائمة!$A$3:$F$112,5,FALSE),"")</f>
        <v/>
      </c>
      <c r="F899" s="37" t="str">
        <f>IFERROR(VLOOKUP(A899,القائمة!$A$3:$F$112,6,FALSE),"")</f>
        <v/>
      </c>
      <c r="I899" s="36"/>
      <c r="P899" s="27">
        <f t="shared" si="29"/>
        <v>0</v>
      </c>
      <c r="Q899" s="27">
        <f t="shared" ref="Q899:Q962" si="30">+P899+L899-M899</f>
        <v>0</v>
      </c>
    </row>
    <row r="900" spans="2:17" x14ac:dyDescent="0.45">
      <c r="B900" s="27" t="str">
        <f>IFERROR(VLOOKUP(A900,القائمة!$A$3:$F$112,2,FALSE),"")</f>
        <v/>
      </c>
      <c r="C900" s="27" t="str">
        <f>IFERROR(VLOOKUP(A900,القائمة!$A$3:$F$112,3,FALSE),"")</f>
        <v/>
      </c>
      <c r="D900" s="36" t="str">
        <f>IFERROR(VLOOKUP(A900,القائمة!$A$3:$F$112,4,FALSE),"")</f>
        <v/>
      </c>
      <c r="E900" s="36" t="str">
        <f>IFERROR(VLOOKUP(A900,القائمة!$A$3:$F$112,5,FALSE),"")</f>
        <v/>
      </c>
      <c r="F900" s="37" t="str">
        <f>IFERROR(VLOOKUP(A900,القائمة!$A$3:$F$112,6,FALSE),"")</f>
        <v/>
      </c>
      <c r="I900" s="36"/>
      <c r="P900" s="27">
        <f t="shared" ref="P900:P963" si="31">J900-K900</f>
        <v>0</v>
      </c>
      <c r="Q900" s="27">
        <f t="shared" si="30"/>
        <v>0</v>
      </c>
    </row>
    <row r="901" spans="2:17" x14ac:dyDescent="0.45">
      <c r="B901" s="27" t="str">
        <f>IFERROR(VLOOKUP(A901,القائمة!$A$3:$F$112,2,FALSE),"")</f>
        <v/>
      </c>
      <c r="C901" s="27" t="str">
        <f>IFERROR(VLOOKUP(A901,القائمة!$A$3:$F$112,3,FALSE),"")</f>
        <v/>
      </c>
      <c r="D901" s="36" t="str">
        <f>IFERROR(VLOOKUP(A901,القائمة!$A$3:$F$112,4,FALSE),"")</f>
        <v/>
      </c>
      <c r="E901" s="36" t="str">
        <f>IFERROR(VLOOKUP(A901,القائمة!$A$3:$F$112,5,FALSE),"")</f>
        <v/>
      </c>
      <c r="F901" s="37" t="str">
        <f>IFERROR(VLOOKUP(A901,القائمة!$A$3:$F$112,6,FALSE),"")</f>
        <v/>
      </c>
      <c r="I901" s="36"/>
      <c r="P901" s="27">
        <f t="shared" si="31"/>
        <v>0</v>
      </c>
      <c r="Q901" s="27">
        <f t="shared" si="30"/>
        <v>0</v>
      </c>
    </row>
    <row r="902" spans="2:17" x14ac:dyDescent="0.45">
      <c r="B902" s="27" t="str">
        <f>IFERROR(VLOOKUP(A902,القائمة!$A$3:$F$112,2,FALSE),"")</f>
        <v/>
      </c>
      <c r="C902" s="27" t="str">
        <f>IFERROR(VLOOKUP(A902,القائمة!$A$3:$F$112,3,FALSE),"")</f>
        <v/>
      </c>
      <c r="D902" s="36" t="str">
        <f>IFERROR(VLOOKUP(A902,القائمة!$A$3:$F$112,4,FALSE),"")</f>
        <v/>
      </c>
      <c r="E902" s="36" t="str">
        <f>IFERROR(VLOOKUP(A902,القائمة!$A$3:$F$112,5,FALSE),"")</f>
        <v/>
      </c>
      <c r="F902" s="37" t="str">
        <f>IFERROR(VLOOKUP(A902,القائمة!$A$3:$F$112,6,FALSE),"")</f>
        <v/>
      </c>
      <c r="I902" s="36"/>
      <c r="P902" s="27">
        <f t="shared" si="31"/>
        <v>0</v>
      </c>
      <c r="Q902" s="27">
        <f t="shared" si="30"/>
        <v>0</v>
      </c>
    </row>
    <row r="903" spans="2:17" x14ac:dyDescent="0.45">
      <c r="B903" s="27" t="str">
        <f>IFERROR(VLOOKUP(A903,القائمة!$A$3:$F$112,2,FALSE),"")</f>
        <v/>
      </c>
      <c r="C903" s="27" t="str">
        <f>IFERROR(VLOOKUP(A903,القائمة!$A$3:$F$112,3,FALSE),"")</f>
        <v/>
      </c>
      <c r="D903" s="36" t="str">
        <f>IFERROR(VLOOKUP(A903,القائمة!$A$3:$F$112,4,FALSE),"")</f>
        <v/>
      </c>
      <c r="E903" s="36" t="str">
        <f>IFERROR(VLOOKUP(A903,القائمة!$A$3:$F$112,5,FALSE),"")</f>
        <v/>
      </c>
      <c r="F903" s="37" t="str">
        <f>IFERROR(VLOOKUP(A903,القائمة!$A$3:$F$112,6,FALSE),"")</f>
        <v/>
      </c>
      <c r="I903" s="36"/>
      <c r="P903" s="27">
        <f t="shared" si="31"/>
        <v>0</v>
      </c>
      <c r="Q903" s="27">
        <f t="shared" si="30"/>
        <v>0</v>
      </c>
    </row>
    <row r="904" spans="2:17" x14ac:dyDescent="0.45">
      <c r="B904" s="27" t="str">
        <f>IFERROR(VLOOKUP(A904,القائمة!$A$3:$F$112,2,FALSE),"")</f>
        <v/>
      </c>
      <c r="C904" s="27" t="str">
        <f>IFERROR(VLOOKUP(A904,القائمة!$A$3:$F$112,3,FALSE),"")</f>
        <v/>
      </c>
      <c r="D904" s="36" t="str">
        <f>IFERROR(VLOOKUP(A904,القائمة!$A$3:$F$112,4,FALSE),"")</f>
        <v/>
      </c>
      <c r="E904" s="36" t="str">
        <f>IFERROR(VLOOKUP(A904,القائمة!$A$3:$F$112,5,FALSE),"")</f>
        <v/>
      </c>
      <c r="F904" s="37" t="str">
        <f>IFERROR(VLOOKUP(A904,القائمة!$A$3:$F$112,6,FALSE),"")</f>
        <v/>
      </c>
      <c r="I904" s="36"/>
      <c r="P904" s="27">
        <f t="shared" si="31"/>
        <v>0</v>
      </c>
      <c r="Q904" s="27">
        <f t="shared" si="30"/>
        <v>0</v>
      </c>
    </row>
    <row r="905" spans="2:17" x14ac:dyDescent="0.45">
      <c r="B905" s="27" t="str">
        <f>IFERROR(VLOOKUP(A905,القائمة!$A$3:$F$112,2,FALSE),"")</f>
        <v/>
      </c>
      <c r="C905" s="27" t="str">
        <f>IFERROR(VLOOKUP(A905,القائمة!$A$3:$F$112,3,FALSE),"")</f>
        <v/>
      </c>
      <c r="D905" s="36" t="str">
        <f>IFERROR(VLOOKUP(A905,القائمة!$A$3:$F$112,4,FALSE),"")</f>
        <v/>
      </c>
      <c r="E905" s="36" t="str">
        <f>IFERROR(VLOOKUP(A905,القائمة!$A$3:$F$112,5,FALSE),"")</f>
        <v/>
      </c>
      <c r="F905" s="37" t="str">
        <f>IFERROR(VLOOKUP(A905,القائمة!$A$3:$F$112,6,FALSE),"")</f>
        <v/>
      </c>
      <c r="I905" s="36"/>
      <c r="P905" s="27">
        <f t="shared" si="31"/>
        <v>0</v>
      </c>
      <c r="Q905" s="27">
        <f t="shared" si="30"/>
        <v>0</v>
      </c>
    </row>
    <row r="906" spans="2:17" x14ac:dyDescent="0.45">
      <c r="B906" s="27" t="str">
        <f>IFERROR(VLOOKUP(A906,القائمة!$A$3:$F$112,2,FALSE),"")</f>
        <v/>
      </c>
      <c r="C906" s="27" t="str">
        <f>IFERROR(VLOOKUP(A906,القائمة!$A$3:$F$112,3,FALSE),"")</f>
        <v/>
      </c>
      <c r="D906" s="36" t="str">
        <f>IFERROR(VLOOKUP(A906,القائمة!$A$3:$F$112,4,FALSE),"")</f>
        <v/>
      </c>
      <c r="E906" s="36" t="str">
        <f>IFERROR(VLOOKUP(A906,القائمة!$A$3:$F$112,5,FALSE),"")</f>
        <v/>
      </c>
      <c r="F906" s="37" t="str">
        <f>IFERROR(VLOOKUP(A906,القائمة!$A$3:$F$112,6,FALSE),"")</f>
        <v/>
      </c>
      <c r="I906" s="36"/>
      <c r="P906" s="27">
        <f t="shared" si="31"/>
        <v>0</v>
      </c>
      <c r="Q906" s="27">
        <f t="shared" si="30"/>
        <v>0</v>
      </c>
    </row>
    <row r="907" spans="2:17" x14ac:dyDescent="0.45">
      <c r="B907" s="27" t="str">
        <f>IFERROR(VLOOKUP(A907,القائمة!$A$3:$F$112,2,FALSE),"")</f>
        <v/>
      </c>
      <c r="C907" s="27" t="str">
        <f>IFERROR(VLOOKUP(A907,القائمة!$A$3:$F$112,3,FALSE),"")</f>
        <v/>
      </c>
      <c r="D907" s="36" t="str">
        <f>IFERROR(VLOOKUP(A907,القائمة!$A$3:$F$112,4,FALSE),"")</f>
        <v/>
      </c>
      <c r="E907" s="36" t="str">
        <f>IFERROR(VLOOKUP(A907,القائمة!$A$3:$F$112,5,FALSE),"")</f>
        <v/>
      </c>
      <c r="F907" s="37" t="str">
        <f>IFERROR(VLOOKUP(A907,القائمة!$A$3:$F$112,6,FALSE),"")</f>
        <v/>
      </c>
      <c r="I907" s="36"/>
      <c r="P907" s="27">
        <f t="shared" si="31"/>
        <v>0</v>
      </c>
      <c r="Q907" s="27">
        <f t="shared" si="30"/>
        <v>0</v>
      </c>
    </row>
    <row r="908" spans="2:17" x14ac:dyDescent="0.45">
      <c r="B908" s="27" t="str">
        <f>IFERROR(VLOOKUP(A908,القائمة!$A$3:$F$112,2,FALSE),"")</f>
        <v/>
      </c>
      <c r="C908" s="27" t="str">
        <f>IFERROR(VLOOKUP(A908,القائمة!$A$3:$F$112,3,FALSE),"")</f>
        <v/>
      </c>
      <c r="D908" s="36" t="str">
        <f>IFERROR(VLOOKUP(A908,القائمة!$A$3:$F$112,4,FALSE),"")</f>
        <v/>
      </c>
      <c r="E908" s="36" t="str">
        <f>IFERROR(VLOOKUP(A908,القائمة!$A$3:$F$112,5,FALSE),"")</f>
        <v/>
      </c>
      <c r="F908" s="37" t="str">
        <f>IFERROR(VLOOKUP(A908,القائمة!$A$3:$F$112,6,FALSE),"")</f>
        <v/>
      </c>
      <c r="I908" s="36"/>
      <c r="P908" s="27">
        <f t="shared" si="31"/>
        <v>0</v>
      </c>
      <c r="Q908" s="27">
        <f t="shared" si="30"/>
        <v>0</v>
      </c>
    </row>
    <row r="909" spans="2:17" x14ac:dyDescent="0.45">
      <c r="B909" s="27" t="str">
        <f>IFERROR(VLOOKUP(A909,القائمة!$A$3:$F$112,2,FALSE),"")</f>
        <v/>
      </c>
      <c r="C909" s="27" t="str">
        <f>IFERROR(VLOOKUP(A909,القائمة!$A$3:$F$112,3,FALSE),"")</f>
        <v/>
      </c>
      <c r="D909" s="36" t="str">
        <f>IFERROR(VLOOKUP(A909,القائمة!$A$3:$F$112,4,FALSE),"")</f>
        <v/>
      </c>
      <c r="E909" s="36" t="str">
        <f>IFERROR(VLOOKUP(A909,القائمة!$A$3:$F$112,5,FALSE),"")</f>
        <v/>
      </c>
      <c r="F909" s="37" t="str">
        <f>IFERROR(VLOOKUP(A909,القائمة!$A$3:$F$112,6,FALSE),"")</f>
        <v/>
      </c>
      <c r="I909" s="36"/>
      <c r="P909" s="27">
        <f t="shared" si="31"/>
        <v>0</v>
      </c>
      <c r="Q909" s="27">
        <f t="shared" si="30"/>
        <v>0</v>
      </c>
    </row>
    <row r="910" spans="2:17" x14ac:dyDescent="0.45">
      <c r="B910" s="27" t="str">
        <f>IFERROR(VLOOKUP(A910,القائمة!$A$3:$F$112,2,FALSE),"")</f>
        <v/>
      </c>
      <c r="C910" s="27" t="str">
        <f>IFERROR(VLOOKUP(A910,القائمة!$A$3:$F$112,3,FALSE),"")</f>
        <v/>
      </c>
      <c r="D910" s="36" t="str">
        <f>IFERROR(VLOOKUP(A910,القائمة!$A$3:$F$112,4,FALSE),"")</f>
        <v/>
      </c>
      <c r="E910" s="36" t="str">
        <f>IFERROR(VLOOKUP(A910,القائمة!$A$3:$F$112,5,FALSE),"")</f>
        <v/>
      </c>
      <c r="F910" s="37" t="str">
        <f>IFERROR(VLOOKUP(A910,القائمة!$A$3:$F$112,6,FALSE),"")</f>
        <v/>
      </c>
      <c r="I910" s="36"/>
      <c r="P910" s="27">
        <f t="shared" si="31"/>
        <v>0</v>
      </c>
      <c r="Q910" s="27">
        <f t="shared" si="30"/>
        <v>0</v>
      </c>
    </row>
    <row r="911" spans="2:17" x14ac:dyDescent="0.45">
      <c r="B911" s="27" t="str">
        <f>IFERROR(VLOOKUP(A911,القائمة!$A$3:$F$112,2,FALSE),"")</f>
        <v/>
      </c>
      <c r="C911" s="27" t="str">
        <f>IFERROR(VLOOKUP(A911,القائمة!$A$3:$F$112,3,FALSE),"")</f>
        <v/>
      </c>
      <c r="D911" s="36" t="str">
        <f>IFERROR(VLOOKUP(A911,القائمة!$A$3:$F$112,4,FALSE),"")</f>
        <v/>
      </c>
      <c r="E911" s="36" t="str">
        <f>IFERROR(VLOOKUP(A911,القائمة!$A$3:$F$112,5,FALSE),"")</f>
        <v/>
      </c>
      <c r="F911" s="37" t="str">
        <f>IFERROR(VLOOKUP(A911,القائمة!$A$3:$F$112,6,FALSE),"")</f>
        <v/>
      </c>
      <c r="I911" s="36"/>
      <c r="P911" s="27">
        <f t="shared" si="31"/>
        <v>0</v>
      </c>
      <c r="Q911" s="27">
        <f t="shared" si="30"/>
        <v>0</v>
      </c>
    </row>
    <row r="912" spans="2:17" x14ac:dyDescent="0.45">
      <c r="B912" s="27" t="str">
        <f>IFERROR(VLOOKUP(A912,القائمة!$A$3:$F$112,2,FALSE),"")</f>
        <v/>
      </c>
      <c r="C912" s="27" t="str">
        <f>IFERROR(VLOOKUP(A912,القائمة!$A$3:$F$112,3,FALSE),"")</f>
        <v/>
      </c>
      <c r="D912" s="36" t="str">
        <f>IFERROR(VLOOKUP(A912,القائمة!$A$3:$F$112,4,FALSE),"")</f>
        <v/>
      </c>
      <c r="E912" s="36" t="str">
        <f>IFERROR(VLOOKUP(A912,القائمة!$A$3:$F$112,5,FALSE),"")</f>
        <v/>
      </c>
      <c r="F912" s="37" t="str">
        <f>IFERROR(VLOOKUP(A912,القائمة!$A$3:$F$112,6,FALSE),"")</f>
        <v/>
      </c>
      <c r="I912" s="36"/>
      <c r="P912" s="27">
        <f t="shared" si="31"/>
        <v>0</v>
      </c>
      <c r="Q912" s="27">
        <f t="shared" si="30"/>
        <v>0</v>
      </c>
    </row>
    <row r="913" spans="2:17" x14ac:dyDescent="0.45">
      <c r="B913" s="27" t="str">
        <f>IFERROR(VLOOKUP(A913,القائمة!$A$3:$F$112,2,FALSE),"")</f>
        <v/>
      </c>
      <c r="C913" s="27" t="str">
        <f>IFERROR(VLOOKUP(A913,القائمة!$A$3:$F$112,3,FALSE),"")</f>
        <v/>
      </c>
      <c r="D913" s="36" t="str">
        <f>IFERROR(VLOOKUP(A913,القائمة!$A$3:$F$112,4,FALSE),"")</f>
        <v/>
      </c>
      <c r="E913" s="36" t="str">
        <f>IFERROR(VLOOKUP(A913,القائمة!$A$3:$F$112,5,FALSE),"")</f>
        <v/>
      </c>
      <c r="F913" s="37" t="str">
        <f>IFERROR(VLOOKUP(A913,القائمة!$A$3:$F$112,6,FALSE),"")</f>
        <v/>
      </c>
      <c r="I913" s="36"/>
      <c r="P913" s="27">
        <f t="shared" si="31"/>
        <v>0</v>
      </c>
      <c r="Q913" s="27">
        <f t="shared" si="30"/>
        <v>0</v>
      </c>
    </row>
    <row r="914" spans="2:17" x14ac:dyDescent="0.45">
      <c r="B914" s="27" t="str">
        <f>IFERROR(VLOOKUP(A914,القائمة!$A$3:$F$112,2,FALSE),"")</f>
        <v/>
      </c>
      <c r="C914" s="27" t="str">
        <f>IFERROR(VLOOKUP(A914,القائمة!$A$3:$F$112,3,FALSE),"")</f>
        <v/>
      </c>
      <c r="D914" s="36" t="str">
        <f>IFERROR(VLOOKUP(A914,القائمة!$A$3:$F$112,4,FALSE),"")</f>
        <v/>
      </c>
      <c r="E914" s="36" t="str">
        <f>IFERROR(VLOOKUP(A914,القائمة!$A$3:$F$112,5,FALSE),"")</f>
        <v/>
      </c>
      <c r="F914" s="37" t="str">
        <f>IFERROR(VLOOKUP(A914,القائمة!$A$3:$F$112,6,FALSE),"")</f>
        <v/>
      </c>
      <c r="I914" s="36"/>
      <c r="P914" s="27">
        <f t="shared" si="31"/>
        <v>0</v>
      </c>
      <c r="Q914" s="27">
        <f t="shared" si="30"/>
        <v>0</v>
      </c>
    </row>
    <row r="915" spans="2:17" x14ac:dyDescent="0.45">
      <c r="B915" s="27" t="str">
        <f>IFERROR(VLOOKUP(A915,القائمة!$A$3:$F$112,2,FALSE),"")</f>
        <v/>
      </c>
      <c r="C915" s="27" t="str">
        <f>IFERROR(VLOOKUP(A915,القائمة!$A$3:$F$112,3,FALSE),"")</f>
        <v/>
      </c>
      <c r="D915" s="36" t="str">
        <f>IFERROR(VLOOKUP(A915,القائمة!$A$3:$F$112,4,FALSE),"")</f>
        <v/>
      </c>
      <c r="E915" s="36" t="str">
        <f>IFERROR(VLOOKUP(A915,القائمة!$A$3:$F$112,5,FALSE),"")</f>
        <v/>
      </c>
      <c r="F915" s="37" t="str">
        <f>IFERROR(VLOOKUP(A915,القائمة!$A$3:$F$112,6,FALSE),"")</f>
        <v/>
      </c>
      <c r="I915" s="36"/>
      <c r="P915" s="27">
        <f t="shared" si="31"/>
        <v>0</v>
      </c>
      <c r="Q915" s="27">
        <f t="shared" si="30"/>
        <v>0</v>
      </c>
    </row>
    <row r="916" spans="2:17" x14ac:dyDescent="0.45">
      <c r="B916" s="27" t="str">
        <f>IFERROR(VLOOKUP(A916,القائمة!$A$3:$F$112,2,FALSE),"")</f>
        <v/>
      </c>
      <c r="C916" s="27" t="str">
        <f>IFERROR(VLOOKUP(A916,القائمة!$A$3:$F$112,3,FALSE),"")</f>
        <v/>
      </c>
      <c r="D916" s="36" t="str">
        <f>IFERROR(VLOOKUP(A916,القائمة!$A$3:$F$112,4,FALSE),"")</f>
        <v/>
      </c>
      <c r="E916" s="36" t="str">
        <f>IFERROR(VLOOKUP(A916,القائمة!$A$3:$F$112,5,FALSE),"")</f>
        <v/>
      </c>
      <c r="F916" s="37" t="str">
        <f>IFERROR(VLOOKUP(A916,القائمة!$A$3:$F$112,6,FALSE),"")</f>
        <v/>
      </c>
      <c r="I916" s="36"/>
      <c r="P916" s="27">
        <f t="shared" si="31"/>
        <v>0</v>
      </c>
      <c r="Q916" s="27">
        <f t="shared" si="30"/>
        <v>0</v>
      </c>
    </row>
    <row r="917" spans="2:17" x14ac:dyDescent="0.45">
      <c r="B917" s="27" t="str">
        <f>IFERROR(VLOOKUP(A917,القائمة!$A$3:$F$112,2,FALSE),"")</f>
        <v/>
      </c>
      <c r="C917" s="27" t="str">
        <f>IFERROR(VLOOKUP(A917,القائمة!$A$3:$F$112,3,FALSE),"")</f>
        <v/>
      </c>
      <c r="D917" s="36" t="str">
        <f>IFERROR(VLOOKUP(A917,القائمة!$A$3:$F$112,4,FALSE),"")</f>
        <v/>
      </c>
      <c r="E917" s="36" t="str">
        <f>IFERROR(VLOOKUP(A917,القائمة!$A$3:$F$112,5,FALSE),"")</f>
        <v/>
      </c>
      <c r="F917" s="37" t="str">
        <f>IFERROR(VLOOKUP(A917,القائمة!$A$3:$F$112,6,FALSE),"")</f>
        <v/>
      </c>
      <c r="I917" s="36"/>
      <c r="P917" s="27">
        <f t="shared" si="31"/>
        <v>0</v>
      </c>
      <c r="Q917" s="27">
        <f t="shared" si="30"/>
        <v>0</v>
      </c>
    </row>
    <row r="918" spans="2:17" x14ac:dyDescent="0.45">
      <c r="B918" s="27" t="str">
        <f>IFERROR(VLOOKUP(A918,القائمة!$A$3:$F$112,2,FALSE),"")</f>
        <v/>
      </c>
      <c r="C918" s="27" t="str">
        <f>IFERROR(VLOOKUP(A918,القائمة!$A$3:$F$112,3,FALSE),"")</f>
        <v/>
      </c>
      <c r="D918" s="36" t="str">
        <f>IFERROR(VLOOKUP(A918,القائمة!$A$3:$F$112,4,FALSE),"")</f>
        <v/>
      </c>
      <c r="E918" s="36" t="str">
        <f>IFERROR(VLOOKUP(A918,القائمة!$A$3:$F$112,5,FALSE),"")</f>
        <v/>
      </c>
      <c r="F918" s="37" t="str">
        <f>IFERROR(VLOOKUP(A918,القائمة!$A$3:$F$112,6,FALSE),"")</f>
        <v/>
      </c>
      <c r="I918" s="36"/>
      <c r="P918" s="27">
        <f t="shared" si="31"/>
        <v>0</v>
      </c>
      <c r="Q918" s="27">
        <f t="shared" si="30"/>
        <v>0</v>
      </c>
    </row>
    <row r="919" spans="2:17" x14ac:dyDescent="0.45">
      <c r="B919" s="27" t="str">
        <f>IFERROR(VLOOKUP(A919,القائمة!$A$3:$F$112,2,FALSE),"")</f>
        <v/>
      </c>
      <c r="C919" s="27" t="str">
        <f>IFERROR(VLOOKUP(A919,القائمة!$A$3:$F$112,3,FALSE),"")</f>
        <v/>
      </c>
      <c r="D919" s="36" t="str">
        <f>IFERROR(VLOOKUP(A919,القائمة!$A$3:$F$112,4,FALSE),"")</f>
        <v/>
      </c>
      <c r="E919" s="36" t="str">
        <f>IFERROR(VLOOKUP(A919,القائمة!$A$3:$F$112,5,FALSE),"")</f>
        <v/>
      </c>
      <c r="F919" s="37" t="str">
        <f>IFERROR(VLOOKUP(A919,القائمة!$A$3:$F$112,6,FALSE),"")</f>
        <v/>
      </c>
      <c r="I919" s="36"/>
      <c r="P919" s="27">
        <f t="shared" si="31"/>
        <v>0</v>
      </c>
      <c r="Q919" s="27">
        <f t="shared" si="30"/>
        <v>0</v>
      </c>
    </row>
    <row r="920" spans="2:17" x14ac:dyDescent="0.45">
      <c r="B920" s="27" t="str">
        <f>IFERROR(VLOOKUP(A920,القائمة!$A$3:$F$112,2,FALSE),"")</f>
        <v/>
      </c>
      <c r="C920" s="27" t="str">
        <f>IFERROR(VLOOKUP(A920,القائمة!$A$3:$F$112,3,FALSE),"")</f>
        <v/>
      </c>
      <c r="D920" s="36" t="str">
        <f>IFERROR(VLOOKUP(A920,القائمة!$A$3:$F$112,4,FALSE),"")</f>
        <v/>
      </c>
      <c r="E920" s="36" t="str">
        <f>IFERROR(VLOOKUP(A920,القائمة!$A$3:$F$112,5,FALSE),"")</f>
        <v/>
      </c>
      <c r="F920" s="37" t="str">
        <f>IFERROR(VLOOKUP(A920,القائمة!$A$3:$F$112,6,FALSE),"")</f>
        <v/>
      </c>
      <c r="I920" s="36"/>
      <c r="P920" s="27">
        <f t="shared" si="31"/>
        <v>0</v>
      </c>
      <c r="Q920" s="27">
        <f t="shared" si="30"/>
        <v>0</v>
      </c>
    </row>
    <row r="921" spans="2:17" x14ac:dyDescent="0.45">
      <c r="B921" s="27" t="str">
        <f>IFERROR(VLOOKUP(A921,القائمة!$A$3:$F$112,2,FALSE),"")</f>
        <v/>
      </c>
      <c r="C921" s="27" t="str">
        <f>IFERROR(VLOOKUP(A921,القائمة!$A$3:$F$112,3,FALSE),"")</f>
        <v/>
      </c>
      <c r="D921" s="36" t="str">
        <f>IFERROR(VLOOKUP(A921,القائمة!$A$3:$F$112,4,FALSE),"")</f>
        <v/>
      </c>
      <c r="E921" s="36" t="str">
        <f>IFERROR(VLOOKUP(A921,القائمة!$A$3:$F$112,5,FALSE),"")</f>
        <v/>
      </c>
      <c r="F921" s="37" t="str">
        <f>IFERROR(VLOOKUP(A921,القائمة!$A$3:$F$112,6,FALSE),"")</f>
        <v/>
      </c>
      <c r="P921" s="27">
        <f t="shared" si="31"/>
        <v>0</v>
      </c>
      <c r="Q921" s="27">
        <f t="shared" si="30"/>
        <v>0</v>
      </c>
    </row>
    <row r="922" spans="2:17" x14ac:dyDescent="0.45">
      <c r="B922" s="27" t="str">
        <f>IFERROR(VLOOKUP(A922,القائمة!$A$3:$F$112,2,FALSE),"")</f>
        <v/>
      </c>
      <c r="C922" s="27" t="str">
        <f>IFERROR(VLOOKUP(A922,القائمة!$A$3:$F$112,3,FALSE),"")</f>
        <v/>
      </c>
      <c r="D922" s="36" t="str">
        <f>IFERROR(VLOOKUP(A922,القائمة!$A$3:$F$112,4,FALSE),"")</f>
        <v/>
      </c>
      <c r="E922" s="36" t="str">
        <f>IFERROR(VLOOKUP(A922,القائمة!$A$3:$F$112,5,FALSE),"")</f>
        <v/>
      </c>
      <c r="F922" s="37" t="str">
        <f>IFERROR(VLOOKUP(A922,القائمة!$A$3:$F$112,6,FALSE),"")</f>
        <v/>
      </c>
      <c r="P922" s="27">
        <f t="shared" si="31"/>
        <v>0</v>
      </c>
      <c r="Q922" s="27">
        <f t="shared" si="30"/>
        <v>0</v>
      </c>
    </row>
    <row r="923" spans="2:17" x14ac:dyDescent="0.45">
      <c r="B923" s="27" t="str">
        <f>IFERROR(VLOOKUP(A923,القائمة!$A$3:$F$112,2,FALSE),"")</f>
        <v/>
      </c>
      <c r="C923" s="27" t="str">
        <f>IFERROR(VLOOKUP(A923,القائمة!$A$3:$F$112,3,FALSE),"")</f>
        <v/>
      </c>
      <c r="D923" s="36" t="str">
        <f>IFERROR(VLOOKUP(A923,القائمة!$A$3:$F$112,4,FALSE),"")</f>
        <v/>
      </c>
      <c r="E923" s="36" t="str">
        <f>IFERROR(VLOOKUP(A923,القائمة!$A$3:$F$112,5,FALSE),"")</f>
        <v/>
      </c>
      <c r="F923" s="37" t="str">
        <f>IFERROR(VLOOKUP(A923,القائمة!$A$3:$F$112,6,FALSE),"")</f>
        <v/>
      </c>
      <c r="P923" s="27">
        <f t="shared" si="31"/>
        <v>0</v>
      </c>
      <c r="Q923" s="27">
        <f t="shared" si="30"/>
        <v>0</v>
      </c>
    </row>
    <row r="924" spans="2:17" x14ac:dyDescent="0.45">
      <c r="B924" s="27" t="str">
        <f>IFERROR(VLOOKUP(A924,القائمة!$A$3:$F$112,2,FALSE),"")</f>
        <v/>
      </c>
      <c r="C924" s="27" t="str">
        <f>IFERROR(VLOOKUP(A924,القائمة!$A$3:$F$112,3,FALSE),"")</f>
        <v/>
      </c>
      <c r="D924" s="36" t="str">
        <f>IFERROR(VLOOKUP(A924,القائمة!$A$3:$F$112,4,FALSE),"")</f>
        <v/>
      </c>
      <c r="E924" s="36" t="str">
        <f>IFERROR(VLOOKUP(A924,القائمة!$A$3:$F$112,5,FALSE),"")</f>
        <v/>
      </c>
      <c r="F924" s="37" t="str">
        <f>IFERROR(VLOOKUP(A924,القائمة!$A$3:$F$112,6,FALSE),"")</f>
        <v/>
      </c>
      <c r="P924" s="27">
        <f t="shared" si="31"/>
        <v>0</v>
      </c>
      <c r="Q924" s="27">
        <f t="shared" si="30"/>
        <v>0</v>
      </c>
    </row>
    <row r="925" spans="2:17" x14ac:dyDescent="0.45">
      <c r="B925" s="27" t="str">
        <f>IFERROR(VLOOKUP(A925,القائمة!$A$3:$F$112,2,FALSE),"")</f>
        <v/>
      </c>
      <c r="C925" s="27" t="str">
        <f>IFERROR(VLOOKUP(A925,القائمة!$A$3:$F$112,3,FALSE),"")</f>
        <v/>
      </c>
      <c r="D925" s="36" t="str">
        <f>IFERROR(VLOOKUP(A925,القائمة!$A$3:$F$112,4,FALSE),"")</f>
        <v/>
      </c>
      <c r="E925" s="36" t="str">
        <f>IFERROR(VLOOKUP(A925,القائمة!$A$3:$F$112,5,FALSE),"")</f>
        <v/>
      </c>
      <c r="F925" s="37" t="str">
        <f>IFERROR(VLOOKUP(A925,القائمة!$A$3:$F$112,6,FALSE),"")</f>
        <v/>
      </c>
      <c r="P925" s="27">
        <f t="shared" si="31"/>
        <v>0</v>
      </c>
      <c r="Q925" s="27">
        <f t="shared" si="30"/>
        <v>0</v>
      </c>
    </row>
    <row r="926" spans="2:17" x14ac:dyDescent="0.45">
      <c r="B926" s="27" t="str">
        <f>IFERROR(VLOOKUP(A926,القائمة!$A$3:$F$112,2,FALSE),"")</f>
        <v/>
      </c>
      <c r="C926" s="27" t="str">
        <f>IFERROR(VLOOKUP(A926,القائمة!$A$3:$F$112,3,FALSE),"")</f>
        <v/>
      </c>
      <c r="D926" s="36" t="str">
        <f>IFERROR(VLOOKUP(A926,القائمة!$A$3:$F$112,4,FALSE),"")</f>
        <v/>
      </c>
      <c r="E926" s="36" t="str">
        <f>IFERROR(VLOOKUP(A926,القائمة!$A$3:$F$112,5,FALSE),"")</f>
        <v/>
      </c>
      <c r="F926" s="37" t="str">
        <f>IFERROR(VLOOKUP(A926,القائمة!$A$3:$F$112,6,FALSE),"")</f>
        <v/>
      </c>
      <c r="P926" s="27">
        <f t="shared" si="31"/>
        <v>0</v>
      </c>
      <c r="Q926" s="27">
        <f t="shared" si="30"/>
        <v>0</v>
      </c>
    </row>
    <row r="927" spans="2:17" x14ac:dyDescent="0.45">
      <c r="B927" s="27" t="str">
        <f>IFERROR(VLOOKUP(A927,القائمة!$A$3:$F$112,2,FALSE),"")</f>
        <v/>
      </c>
      <c r="C927" s="27" t="str">
        <f>IFERROR(VLOOKUP(A927,القائمة!$A$3:$F$112,3,FALSE),"")</f>
        <v/>
      </c>
      <c r="D927" s="36" t="str">
        <f>IFERROR(VLOOKUP(A927,القائمة!$A$3:$F$112,4,FALSE),"")</f>
        <v/>
      </c>
      <c r="E927" s="36" t="str">
        <f>IFERROR(VLOOKUP(A927,القائمة!$A$3:$F$112,5,FALSE),"")</f>
        <v/>
      </c>
      <c r="F927" s="37" t="str">
        <f>IFERROR(VLOOKUP(A927,القائمة!$A$3:$F$112,6,FALSE),"")</f>
        <v/>
      </c>
      <c r="P927" s="27">
        <f t="shared" si="31"/>
        <v>0</v>
      </c>
      <c r="Q927" s="27">
        <f t="shared" si="30"/>
        <v>0</v>
      </c>
    </row>
    <row r="928" spans="2:17" x14ac:dyDescent="0.45">
      <c r="B928" s="27" t="str">
        <f>IFERROR(VLOOKUP(A928,القائمة!$A$3:$F$112,2,FALSE),"")</f>
        <v/>
      </c>
      <c r="C928" s="27" t="str">
        <f>IFERROR(VLOOKUP(A928,القائمة!$A$3:$F$112,3,FALSE),"")</f>
        <v/>
      </c>
      <c r="D928" s="36" t="str">
        <f>IFERROR(VLOOKUP(A928,القائمة!$A$3:$F$112,4,FALSE),"")</f>
        <v/>
      </c>
      <c r="E928" s="36" t="str">
        <f>IFERROR(VLOOKUP(A928,القائمة!$A$3:$F$112,5,FALSE),"")</f>
        <v/>
      </c>
      <c r="F928" s="37" t="str">
        <f>IFERROR(VLOOKUP(A928,القائمة!$A$3:$F$112,6,FALSE),"")</f>
        <v/>
      </c>
      <c r="P928" s="27">
        <f t="shared" si="31"/>
        <v>0</v>
      </c>
      <c r="Q928" s="27">
        <f t="shared" si="30"/>
        <v>0</v>
      </c>
    </row>
    <row r="929" spans="2:17" x14ac:dyDescent="0.45">
      <c r="B929" s="27" t="str">
        <f>IFERROR(VLOOKUP(A929,القائمة!$A$3:$F$112,2,FALSE),"")</f>
        <v/>
      </c>
      <c r="C929" s="27" t="str">
        <f>IFERROR(VLOOKUP(A929,القائمة!$A$3:$F$112,3,FALSE),"")</f>
        <v/>
      </c>
      <c r="D929" s="36" t="str">
        <f>IFERROR(VLOOKUP(A929,القائمة!$A$3:$F$112,4,FALSE),"")</f>
        <v/>
      </c>
      <c r="E929" s="36" t="str">
        <f>IFERROR(VLOOKUP(A929,القائمة!$A$3:$F$112,5,FALSE),"")</f>
        <v/>
      </c>
      <c r="F929" s="37" t="str">
        <f>IFERROR(VLOOKUP(A929,القائمة!$A$3:$F$112,6,FALSE),"")</f>
        <v/>
      </c>
      <c r="P929" s="27">
        <f t="shared" si="31"/>
        <v>0</v>
      </c>
      <c r="Q929" s="27">
        <f t="shared" si="30"/>
        <v>0</v>
      </c>
    </row>
    <row r="930" spans="2:17" x14ac:dyDescent="0.45">
      <c r="B930" s="27" t="str">
        <f>IFERROR(VLOOKUP(A930,القائمة!$A$3:$F$112,2,FALSE),"")</f>
        <v/>
      </c>
      <c r="C930" s="27" t="str">
        <f>IFERROR(VLOOKUP(A930,القائمة!$A$3:$F$112,3,FALSE),"")</f>
        <v/>
      </c>
      <c r="D930" s="36" t="str">
        <f>IFERROR(VLOOKUP(A930,القائمة!$A$3:$F$112,4,FALSE),"")</f>
        <v/>
      </c>
      <c r="E930" s="36" t="str">
        <f>IFERROR(VLOOKUP(A930,القائمة!$A$3:$F$112,5,FALSE),"")</f>
        <v/>
      </c>
      <c r="F930" s="37" t="str">
        <f>IFERROR(VLOOKUP(A930,القائمة!$A$3:$F$112,6,FALSE),"")</f>
        <v/>
      </c>
      <c r="P930" s="27">
        <f t="shared" si="31"/>
        <v>0</v>
      </c>
      <c r="Q930" s="27">
        <f t="shared" si="30"/>
        <v>0</v>
      </c>
    </row>
    <row r="931" spans="2:17" x14ac:dyDescent="0.45">
      <c r="B931" s="27" t="str">
        <f>IFERROR(VLOOKUP(A931,القائمة!$A$3:$F$112,2,FALSE),"")</f>
        <v/>
      </c>
      <c r="C931" s="27" t="str">
        <f>IFERROR(VLOOKUP(A931,القائمة!$A$3:$F$112,3,FALSE),"")</f>
        <v/>
      </c>
      <c r="D931" s="36" t="str">
        <f>IFERROR(VLOOKUP(A931,القائمة!$A$3:$F$112,4,FALSE),"")</f>
        <v/>
      </c>
      <c r="E931" s="36" t="str">
        <f>IFERROR(VLOOKUP(A931,القائمة!$A$3:$F$112,5,FALSE),"")</f>
        <v/>
      </c>
      <c r="F931" s="37" t="str">
        <f>IFERROR(VLOOKUP(A931,القائمة!$A$3:$F$112,6,FALSE),"")</f>
        <v/>
      </c>
      <c r="P931" s="27">
        <f t="shared" si="31"/>
        <v>0</v>
      </c>
      <c r="Q931" s="27">
        <f t="shared" si="30"/>
        <v>0</v>
      </c>
    </row>
    <row r="932" spans="2:17" x14ac:dyDescent="0.45">
      <c r="B932" s="27" t="str">
        <f>IFERROR(VLOOKUP(A932,القائمة!$A$3:$F$112,2,FALSE),"")</f>
        <v/>
      </c>
      <c r="C932" s="27" t="str">
        <f>IFERROR(VLOOKUP(A932,القائمة!$A$3:$F$112,3,FALSE),"")</f>
        <v/>
      </c>
      <c r="D932" s="36" t="str">
        <f>IFERROR(VLOOKUP(A932,القائمة!$A$3:$F$112,4,FALSE),"")</f>
        <v/>
      </c>
      <c r="E932" s="36" t="str">
        <f>IFERROR(VLOOKUP(A932,القائمة!$A$3:$F$112,5,FALSE),"")</f>
        <v/>
      </c>
      <c r="F932" s="37" t="str">
        <f>IFERROR(VLOOKUP(A932,القائمة!$A$3:$F$112,6,FALSE),"")</f>
        <v/>
      </c>
      <c r="P932" s="27">
        <f t="shared" si="31"/>
        <v>0</v>
      </c>
      <c r="Q932" s="27">
        <f t="shared" si="30"/>
        <v>0</v>
      </c>
    </row>
    <row r="933" spans="2:17" x14ac:dyDescent="0.45">
      <c r="B933" s="27" t="str">
        <f>IFERROR(VLOOKUP(A933,القائمة!$A$3:$F$112,2,FALSE),"")</f>
        <v/>
      </c>
      <c r="C933" s="27" t="str">
        <f>IFERROR(VLOOKUP(A933,القائمة!$A$3:$F$112,3,FALSE),"")</f>
        <v/>
      </c>
      <c r="D933" s="36" t="str">
        <f>IFERROR(VLOOKUP(A933,القائمة!$A$3:$F$112,4,FALSE),"")</f>
        <v/>
      </c>
      <c r="E933" s="36" t="str">
        <f>IFERROR(VLOOKUP(A933,القائمة!$A$3:$F$112,5,FALSE),"")</f>
        <v/>
      </c>
      <c r="F933" s="37" t="str">
        <f>IFERROR(VLOOKUP(A933,القائمة!$A$3:$F$112,6,FALSE),"")</f>
        <v/>
      </c>
      <c r="P933" s="27">
        <f t="shared" si="31"/>
        <v>0</v>
      </c>
      <c r="Q933" s="27">
        <f t="shared" si="30"/>
        <v>0</v>
      </c>
    </row>
    <row r="934" spans="2:17" x14ac:dyDescent="0.45">
      <c r="B934" s="27" t="str">
        <f>IFERROR(VLOOKUP(A934,القائمة!$A$3:$F$112,2,FALSE),"")</f>
        <v/>
      </c>
      <c r="C934" s="27" t="str">
        <f>IFERROR(VLOOKUP(A934,القائمة!$A$3:$F$112,3,FALSE),"")</f>
        <v/>
      </c>
      <c r="D934" s="36" t="str">
        <f>IFERROR(VLOOKUP(A934,القائمة!$A$3:$F$112,4,FALSE),"")</f>
        <v/>
      </c>
      <c r="E934" s="36" t="str">
        <f>IFERROR(VLOOKUP(A934,القائمة!$A$3:$F$112,5,FALSE),"")</f>
        <v/>
      </c>
      <c r="F934" s="37" t="str">
        <f>IFERROR(VLOOKUP(A934,القائمة!$A$3:$F$112,6,FALSE),"")</f>
        <v/>
      </c>
      <c r="P934" s="27">
        <f t="shared" si="31"/>
        <v>0</v>
      </c>
      <c r="Q934" s="27">
        <f t="shared" si="30"/>
        <v>0</v>
      </c>
    </row>
    <row r="935" spans="2:17" x14ac:dyDescent="0.45">
      <c r="B935" s="27" t="str">
        <f>IFERROR(VLOOKUP(A935,القائمة!$A$3:$F$112,2,FALSE),"")</f>
        <v/>
      </c>
      <c r="C935" s="27" t="str">
        <f>IFERROR(VLOOKUP(A935,القائمة!$A$3:$F$112,3,FALSE),"")</f>
        <v/>
      </c>
      <c r="D935" s="36" t="str">
        <f>IFERROR(VLOOKUP(A935,القائمة!$A$3:$F$112,4,FALSE),"")</f>
        <v/>
      </c>
      <c r="E935" s="36" t="str">
        <f>IFERROR(VLOOKUP(A935,القائمة!$A$3:$F$112,5,FALSE),"")</f>
        <v/>
      </c>
      <c r="F935" s="37" t="str">
        <f>IFERROR(VLOOKUP(A935,القائمة!$A$3:$F$112,6,FALSE),"")</f>
        <v/>
      </c>
      <c r="P935" s="27">
        <f t="shared" si="31"/>
        <v>0</v>
      </c>
      <c r="Q935" s="27">
        <f t="shared" si="30"/>
        <v>0</v>
      </c>
    </row>
    <row r="936" spans="2:17" x14ac:dyDescent="0.45">
      <c r="B936" s="27" t="str">
        <f>IFERROR(VLOOKUP(A936,القائمة!$A$3:$F$112,2,FALSE),"")</f>
        <v/>
      </c>
      <c r="C936" s="27" t="str">
        <f>IFERROR(VLOOKUP(A936,القائمة!$A$3:$F$112,3,FALSE),"")</f>
        <v/>
      </c>
      <c r="D936" s="36" t="str">
        <f>IFERROR(VLOOKUP(A936,القائمة!$A$3:$F$112,4,FALSE),"")</f>
        <v/>
      </c>
      <c r="E936" s="36" t="str">
        <f>IFERROR(VLOOKUP(A936,القائمة!$A$3:$F$112,5,FALSE),"")</f>
        <v/>
      </c>
      <c r="F936" s="37" t="str">
        <f>IFERROR(VLOOKUP(A936,القائمة!$A$3:$F$112,6,FALSE),"")</f>
        <v/>
      </c>
      <c r="P936" s="27">
        <f t="shared" si="31"/>
        <v>0</v>
      </c>
      <c r="Q936" s="27">
        <f t="shared" si="30"/>
        <v>0</v>
      </c>
    </row>
    <row r="937" spans="2:17" x14ac:dyDescent="0.45">
      <c r="B937" s="27" t="str">
        <f>IFERROR(VLOOKUP(A937,القائمة!$A$3:$F$112,2,FALSE),"")</f>
        <v/>
      </c>
      <c r="C937" s="27" t="str">
        <f>IFERROR(VLOOKUP(A937,القائمة!$A$3:$F$112,3,FALSE),"")</f>
        <v/>
      </c>
      <c r="D937" s="36" t="str">
        <f>IFERROR(VLOOKUP(A937,القائمة!$A$3:$F$112,4,FALSE),"")</f>
        <v/>
      </c>
      <c r="E937" s="36" t="str">
        <f>IFERROR(VLOOKUP(A937,القائمة!$A$3:$F$112,5,FALSE),"")</f>
        <v/>
      </c>
      <c r="F937" s="37" t="str">
        <f>IFERROR(VLOOKUP(A937,القائمة!$A$3:$F$112,6,FALSE),"")</f>
        <v/>
      </c>
      <c r="P937" s="27">
        <f t="shared" si="31"/>
        <v>0</v>
      </c>
      <c r="Q937" s="27">
        <f t="shared" si="30"/>
        <v>0</v>
      </c>
    </row>
    <row r="938" spans="2:17" x14ac:dyDescent="0.45">
      <c r="B938" s="27" t="str">
        <f>IFERROR(VLOOKUP(A938,القائمة!$A$3:$F$112,2,FALSE),"")</f>
        <v/>
      </c>
      <c r="C938" s="27" t="str">
        <f>IFERROR(VLOOKUP(A938,القائمة!$A$3:$F$112,3,FALSE),"")</f>
        <v/>
      </c>
      <c r="D938" s="36" t="str">
        <f>IFERROR(VLOOKUP(A938,القائمة!$A$3:$F$112,4,FALSE),"")</f>
        <v/>
      </c>
      <c r="E938" s="36" t="str">
        <f>IFERROR(VLOOKUP(A938,القائمة!$A$3:$F$112,5,FALSE),"")</f>
        <v/>
      </c>
      <c r="F938" s="37" t="str">
        <f>IFERROR(VLOOKUP(A938,القائمة!$A$3:$F$112,6,FALSE),"")</f>
        <v/>
      </c>
      <c r="P938" s="27">
        <f t="shared" si="31"/>
        <v>0</v>
      </c>
      <c r="Q938" s="27">
        <f t="shared" si="30"/>
        <v>0</v>
      </c>
    </row>
    <row r="939" spans="2:17" x14ac:dyDescent="0.45">
      <c r="B939" s="27" t="str">
        <f>IFERROR(VLOOKUP(A939,القائمة!$A$3:$F$112,2,FALSE),"")</f>
        <v/>
      </c>
      <c r="C939" s="27" t="str">
        <f>IFERROR(VLOOKUP(A939,القائمة!$A$3:$F$112,3,FALSE),"")</f>
        <v/>
      </c>
      <c r="D939" s="36" t="str">
        <f>IFERROR(VLOOKUP(A939,القائمة!$A$3:$F$112,4,FALSE),"")</f>
        <v/>
      </c>
      <c r="E939" s="36" t="str">
        <f>IFERROR(VLOOKUP(A939,القائمة!$A$3:$F$112,5,FALSE),"")</f>
        <v/>
      </c>
      <c r="F939" s="37" t="str">
        <f>IFERROR(VLOOKUP(A939,القائمة!$A$3:$F$112,6,FALSE),"")</f>
        <v/>
      </c>
      <c r="P939" s="27">
        <f t="shared" si="31"/>
        <v>0</v>
      </c>
      <c r="Q939" s="27">
        <f t="shared" si="30"/>
        <v>0</v>
      </c>
    </row>
    <row r="940" spans="2:17" x14ac:dyDescent="0.45">
      <c r="B940" s="27" t="str">
        <f>IFERROR(VLOOKUP(A940,القائمة!$A$3:$F$112,2,FALSE),"")</f>
        <v/>
      </c>
      <c r="C940" s="27" t="str">
        <f>IFERROR(VLOOKUP(A940,القائمة!$A$3:$F$112,3,FALSE),"")</f>
        <v/>
      </c>
      <c r="D940" s="36" t="str">
        <f>IFERROR(VLOOKUP(A940,القائمة!$A$3:$F$112,4,FALSE),"")</f>
        <v/>
      </c>
      <c r="E940" s="36" t="str">
        <f>IFERROR(VLOOKUP(A940,القائمة!$A$3:$F$112,5,FALSE),"")</f>
        <v/>
      </c>
      <c r="F940" s="37" t="str">
        <f>IFERROR(VLOOKUP(A940,القائمة!$A$3:$F$112,6,FALSE),"")</f>
        <v/>
      </c>
      <c r="P940" s="27">
        <f t="shared" si="31"/>
        <v>0</v>
      </c>
      <c r="Q940" s="27">
        <f t="shared" si="30"/>
        <v>0</v>
      </c>
    </row>
    <row r="941" spans="2:17" x14ac:dyDescent="0.45">
      <c r="B941" s="27" t="str">
        <f>IFERROR(VLOOKUP(A941,القائمة!$A$3:$F$112,2,FALSE),"")</f>
        <v/>
      </c>
      <c r="C941" s="27" t="str">
        <f>IFERROR(VLOOKUP(A941,القائمة!$A$3:$F$112,3,FALSE),"")</f>
        <v/>
      </c>
      <c r="D941" s="36" t="str">
        <f>IFERROR(VLOOKUP(A941,القائمة!$A$3:$F$112,4,FALSE),"")</f>
        <v/>
      </c>
      <c r="E941" s="36" t="str">
        <f>IFERROR(VLOOKUP(A941,القائمة!$A$3:$F$112,5,FALSE),"")</f>
        <v/>
      </c>
      <c r="F941" s="37" t="str">
        <f>IFERROR(VLOOKUP(A941,القائمة!$A$3:$F$112,6,FALSE),"")</f>
        <v/>
      </c>
      <c r="P941" s="27">
        <f t="shared" si="31"/>
        <v>0</v>
      </c>
      <c r="Q941" s="27">
        <f t="shared" si="30"/>
        <v>0</v>
      </c>
    </row>
    <row r="942" spans="2:17" x14ac:dyDescent="0.45">
      <c r="B942" s="27" t="str">
        <f>IFERROR(VLOOKUP(A942,القائمة!$A$3:$F$112,2,FALSE),"")</f>
        <v/>
      </c>
      <c r="C942" s="27" t="str">
        <f>IFERROR(VLOOKUP(A942,القائمة!$A$3:$F$112,3,FALSE),"")</f>
        <v/>
      </c>
      <c r="D942" s="36" t="str">
        <f>IFERROR(VLOOKUP(A942,القائمة!$A$3:$F$112,4,FALSE),"")</f>
        <v/>
      </c>
      <c r="E942" s="36" t="str">
        <f>IFERROR(VLOOKUP(A942,القائمة!$A$3:$F$112,5,FALSE),"")</f>
        <v/>
      </c>
      <c r="F942" s="37" t="str">
        <f>IFERROR(VLOOKUP(A942,القائمة!$A$3:$F$112,6,FALSE),"")</f>
        <v/>
      </c>
      <c r="P942" s="27">
        <f t="shared" si="31"/>
        <v>0</v>
      </c>
      <c r="Q942" s="27">
        <f t="shared" si="30"/>
        <v>0</v>
      </c>
    </row>
    <row r="943" spans="2:17" x14ac:dyDescent="0.45">
      <c r="B943" s="27" t="str">
        <f>IFERROR(VLOOKUP(A943,القائمة!$A$3:$F$112,2,FALSE),"")</f>
        <v/>
      </c>
      <c r="C943" s="27" t="str">
        <f>IFERROR(VLOOKUP(A943,القائمة!$A$3:$F$112,3,FALSE),"")</f>
        <v/>
      </c>
      <c r="D943" s="36" t="str">
        <f>IFERROR(VLOOKUP(A943,القائمة!$A$3:$F$112,4,FALSE),"")</f>
        <v/>
      </c>
      <c r="E943" s="36" t="str">
        <f>IFERROR(VLOOKUP(A943,القائمة!$A$3:$F$112,5,FALSE),"")</f>
        <v/>
      </c>
      <c r="F943" s="37" t="str">
        <f>IFERROR(VLOOKUP(A943,القائمة!$A$3:$F$112,6,FALSE),"")</f>
        <v/>
      </c>
      <c r="P943" s="27">
        <f t="shared" si="31"/>
        <v>0</v>
      </c>
      <c r="Q943" s="27">
        <f t="shared" si="30"/>
        <v>0</v>
      </c>
    </row>
    <row r="944" spans="2:17" x14ac:dyDescent="0.45">
      <c r="B944" s="27" t="str">
        <f>IFERROR(VLOOKUP(A944,القائمة!$A$3:$F$112,2,FALSE),"")</f>
        <v/>
      </c>
      <c r="C944" s="27" t="str">
        <f>IFERROR(VLOOKUP(A944,القائمة!$A$3:$F$112,3,FALSE),"")</f>
        <v/>
      </c>
      <c r="D944" s="36" t="str">
        <f>IFERROR(VLOOKUP(A944,القائمة!$A$3:$F$112,4,FALSE),"")</f>
        <v/>
      </c>
      <c r="E944" s="36" t="str">
        <f>IFERROR(VLOOKUP(A944,القائمة!$A$3:$F$112,5,FALSE),"")</f>
        <v/>
      </c>
      <c r="F944" s="37" t="str">
        <f>IFERROR(VLOOKUP(A944,القائمة!$A$3:$F$112,6,FALSE),"")</f>
        <v/>
      </c>
      <c r="P944" s="27">
        <f t="shared" si="31"/>
        <v>0</v>
      </c>
      <c r="Q944" s="27">
        <f t="shared" si="30"/>
        <v>0</v>
      </c>
    </row>
    <row r="945" spans="2:17" x14ac:dyDescent="0.45">
      <c r="B945" s="27" t="str">
        <f>IFERROR(VLOOKUP(A945,القائمة!$A$3:$F$112,2,FALSE),"")</f>
        <v/>
      </c>
      <c r="C945" s="27" t="str">
        <f>IFERROR(VLOOKUP(A945,القائمة!$A$3:$F$112,3,FALSE),"")</f>
        <v/>
      </c>
      <c r="D945" s="36" t="str">
        <f>IFERROR(VLOOKUP(A945,القائمة!$A$3:$F$112,4,FALSE),"")</f>
        <v/>
      </c>
      <c r="E945" s="36" t="str">
        <f>IFERROR(VLOOKUP(A945,القائمة!$A$3:$F$112,5,FALSE),"")</f>
        <v/>
      </c>
      <c r="F945" s="37" t="str">
        <f>IFERROR(VLOOKUP(A945,القائمة!$A$3:$F$112,6,FALSE),"")</f>
        <v/>
      </c>
      <c r="P945" s="27">
        <f t="shared" si="31"/>
        <v>0</v>
      </c>
      <c r="Q945" s="27">
        <f t="shared" si="30"/>
        <v>0</v>
      </c>
    </row>
    <row r="946" spans="2:17" x14ac:dyDescent="0.45">
      <c r="B946" s="27" t="str">
        <f>IFERROR(VLOOKUP(A946,القائمة!$A$3:$F$112,2,FALSE),"")</f>
        <v/>
      </c>
      <c r="C946" s="27" t="str">
        <f>IFERROR(VLOOKUP(A946,القائمة!$A$3:$F$112,3,FALSE),"")</f>
        <v/>
      </c>
      <c r="D946" s="36" t="str">
        <f>IFERROR(VLOOKUP(A946,القائمة!$A$3:$F$112,4,FALSE),"")</f>
        <v/>
      </c>
      <c r="E946" s="36" t="str">
        <f>IFERROR(VLOOKUP(A946,القائمة!$A$3:$F$112,5,FALSE),"")</f>
        <v/>
      </c>
      <c r="F946" s="37" t="str">
        <f>IFERROR(VLOOKUP(A946,القائمة!$A$3:$F$112,6,FALSE),"")</f>
        <v/>
      </c>
      <c r="P946" s="27">
        <f t="shared" si="31"/>
        <v>0</v>
      </c>
      <c r="Q946" s="27">
        <f t="shared" si="30"/>
        <v>0</v>
      </c>
    </row>
    <row r="947" spans="2:17" x14ac:dyDescent="0.45">
      <c r="B947" s="27" t="str">
        <f>IFERROR(VLOOKUP(A947,القائمة!$A$3:$F$112,2,FALSE),"")</f>
        <v/>
      </c>
      <c r="C947" s="27" t="str">
        <f>IFERROR(VLOOKUP(A947,القائمة!$A$3:$F$112,3,FALSE),"")</f>
        <v/>
      </c>
      <c r="D947" s="36" t="str">
        <f>IFERROR(VLOOKUP(A947,القائمة!$A$3:$F$112,4,FALSE),"")</f>
        <v/>
      </c>
      <c r="E947" s="36" t="str">
        <f>IFERROR(VLOOKUP(A947,القائمة!$A$3:$F$112,5,FALSE),"")</f>
        <v/>
      </c>
      <c r="F947" s="37" t="str">
        <f>IFERROR(VLOOKUP(A947,القائمة!$A$3:$F$112,6,FALSE),"")</f>
        <v/>
      </c>
      <c r="P947" s="27">
        <f t="shared" si="31"/>
        <v>0</v>
      </c>
      <c r="Q947" s="27">
        <f t="shared" si="30"/>
        <v>0</v>
      </c>
    </row>
    <row r="948" spans="2:17" x14ac:dyDescent="0.45">
      <c r="B948" s="27" t="str">
        <f>IFERROR(VLOOKUP(A948,القائمة!$A$3:$F$112,2,FALSE),"")</f>
        <v/>
      </c>
      <c r="C948" s="27" t="str">
        <f>IFERROR(VLOOKUP(A948,القائمة!$A$3:$F$112,3,FALSE),"")</f>
        <v/>
      </c>
      <c r="D948" s="36" t="str">
        <f>IFERROR(VLOOKUP(A948,القائمة!$A$3:$F$112,4,FALSE),"")</f>
        <v/>
      </c>
      <c r="E948" s="36" t="str">
        <f>IFERROR(VLOOKUP(A948,القائمة!$A$3:$F$112,5,FALSE),"")</f>
        <v/>
      </c>
      <c r="F948" s="37" t="str">
        <f>IFERROR(VLOOKUP(A948,القائمة!$A$3:$F$112,6,FALSE),"")</f>
        <v/>
      </c>
      <c r="P948" s="27">
        <f t="shared" si="31"/>
        <v>0</v>
      </c>
      <c r="Q948" s="27">
        <f t="shared" si="30"/>
        <v>0</v>
      </c>
    </row>
    <row r="949" spans="2:17" x14ac:dyDescent="0.45">
      <c r="B949" s="27" t="str">
        <f>IFERROR(VLOOKUP(A949,القائمة!$A$3:$F$112,2,FALSE),"")</f>
        <v/>
      </c>
      <c r="C949" s="27" t="str">
        <f>IFERROR(VLOOKUP(A949,القائمة!$A$3:$F$112,3,FALSE),"")</f>
        <v/>
      </c>
      <c r="D949" s="36" t="str">
        <f>IFERROR(VLOOKUP(A949,القائمة!$A$3:$F$112,4,FALSE),"")</f>
        <v/>
      </c>
      <c r="E949" s="36" t="str">
        <f>IFERROR(VLOOKUP(A949,القائمة!$A$3:$F$112,5,FALSE),"")</f>
        <v/>
      </c>
      <c r="F949" s="37" t="str">
        <f>IFERROR(VLOOKUP(A949,القائمة!$A$3:$F$112,6,FALSE),"")</f>
        <v/>
      </c>
      <c r="P949" s="27">
        <f t="shared" si="31"/>
        <v>0</v>
      </c>
      <c r="Q949" s="27">
        <f t="shared" si="30"/>
        <v>0</v>
      </c>
    </row>
    <row r="950" spans="2:17" x14ac:dyDescent="0.45">
      <c r="B950" s="27" t="str">
        <f>IFERROR(VLOOKUP(A950,القائمة!$A$3:$F$112,2,FALSE),"")</f>
        <v/>
      </c>
      <c r="C950" s="27" t="str">
        <f>IFERROR(VLOOKUP(A950,القائمة!$A$3:$F$112,3,FALSE),"")</f>
        <v/>
      </c>
      <c r="D950" s="36" t="str">
        <f>IFERROR(VLOOKUP(A950,القائمة!$A$3:$F$112,4,FALSE),"")</f>
        <v/>
      </c>
      <c r="E950" s="36" t="str">
        <f>IFERROR(VLOOKUP(A950,القائمة!$A$3:$F$112,5,FALSE),"")</f>
        <v/>
      </c>
      <c r="F950" s="37" t="str">
        <f>IFERROR(VLOOKUP(A950,القائمة!$A$3:$F$112,6,FALSE),"")</f>
        <v/>
      </c>
      <c r="P950" s="27">
        <f t="shared" si="31"/>
        <v>0</v>
      </c>
      <c r="Q950" s="27">
        <f t="shared" si="30"/>
        <v>0</v>
      </c>
    </row>
    <row r="951" spans="2:17" x14ac:dyDescent="0.45">
      <c r="B951" s="27" t="str">
        <f>IFERROR(VLOOKUP(A951,القائمة!$A$3:$F$112,2,FALSE),"")</f>
        <v/>
      </c>
      <c r="C951" s="27" t="str">
        <f>IFERROR(VLOOKUP(A951,القائمة!$A$3:$F$112,3,FALSE),"")</f>
        <v/>
      </c>
      <c r="D951" s="36" t="str">
        <f>IFERROR(VLOOKUP(A951,القائمة!$A$3:$F$112,4,FALSE),"")</f>
        <v/>
      </c>
      <c r="E951" s="36" t="str">
        <f>IFERROR(VLOOKUP(A951,القائمة!$A$3:$F$112,5,FALSE),"")</f>
        <v/>
      </c>
      <c r="F951" s="37" t="str">
        <f>IFERROR(VLOOKUP(A951,القائمة!$A$3:$F$112,6,FALSE),"")</f>
        <v/>
      </c>
      <c r="P951" s="27">
        <f t="shared" si="31"/>
        <v>0</v>
      </c>
      <c r="Q951" s="27">
        <f t="shared" si="30"/>
        <v>0</v>
      </c>
    </row>
    <row r="952" spans="2:17" x14ac:dyDescent="0.45">
      <c r="B952" s="27" t="str">
        <f>IFERROR(VLOOKUP(A952,القائمة!$A$3:$F$112,2,FALSE),"")</f>
        <v/>
      </c>
      <c r="C952" s="27" t="str">
        <f>IFERROR(VLOOKUP(A952,القائمة!$A$3:$F$112,3,FALSE),"")</f>
        <v/>
      </c>
      <c r="D952" s="36" t="str">
        <f>IFERROR(VLOOKUP(A952,القائمة!$A$3:$F$112,4,FALSE),"")</f>
        <v/>
      </c>
      <c r="E952" s="36" t="str">
        <f>IFERROR(VLOOKUP(A952,القائمة!$A$3:$F$112,5,FALSE),"")</f>
        <v/>
      </c>
      <c r="F952" s="37" t="str">
        <f>IFERROR(VLOOKUP(A952,القائمة!$A$3:$F$112,6,FALSE),"")</f>
        <v/>
      </c>
      <c r="P952" s="27">
        <f t="shared" si="31"/>
        <v>0</v>
      </c>
      <c r="Q952" s="27">
        <f t="shared" si="30"/>
        <v>0</v>
      </c>
    </row>
    <row r="953" spans="2:17" x14ac:dyDescent="0.45">
      <c r="B953" s="27" t="str">
        <f>IFERROR(VLOOKUP(A953,القائمة!$A$3:$F$112,2,FALSE),"")</f>
        <v/>
      </c>
      <c r="C953" s="27" t="str">
        <f>IFERROR(VLOOKUP(A953,القائمة!$A$3:$F$112,3,FALSE),"")</f>
        <v/>
      </c>
      <c r="D953" s="36" t="str">
        <f>IFERROR(VLOOKUP(A953,القائمة!$A$3:$F$112,4,FALSE),"")</f>
        <v/>
      </c>
      <c r="E953" s="36" t="str">
        <f>IFERROR(VLOOKUP(A953,القائمة!$A$3:$F$112,5,FALSE),"")</f>
        <v/>
      </c>
      <c r="F953" s="37" t="str">
        <f>IFERROR(VLOOKUP(A953,القائمة!$A$3:$F$112,6,FALSE),"")</f>
        <v/>
      </c>
      <c r="P953" s="27">
        <f t="shared" si="31"/>
        <v>0</v>
      </c>
      <c r="Q953" s="27">
        <f t="shared" si="30"/>
        <v>0</v>
      </c>
    </row>
    <row r="954" spans="2:17" x14ac:dyDescent="0.45">
      <c r="B954" s="27" t="str">
        <f>IFERROR(VLOOKUP(A954,القائمة!$A$3:$F$112,2,FALSE),"")</f>
        <v/>
      </c>
      <c r="C954" s="27" t="str">
        <f>IFERROR(VLOOKUP(A954,القائمة!$A$3:$F$112,3,FALSE),"")</f>
        <v/>
      </c>
      <c r="D954" s="36" t="str">
        <f>IFERROR(VLOOKUP(A954,القائمة!$A$3:$F$112,4,FALSE),"")</f>
        <v/>
      </c>
      <c r="E954" s="36" t="str">
        <f>IFERROR(VLOOKUP(A954,القائمة!$A$3:$F$112,5,FALSE),"")</f>
        <v/>
      </c>
      <c r="F954" s="37" t="str">
        <f>IFERROR(VLOOKUP(A954,القائمة!$A$3:$F$112,6,FALSE),"")</f>
        <v/>
      </c>
      <c r="P954" s="27">
        <f t="shared" si="31"/>
        <v>0</v>
      </c>
      <c r="Q954" s="27">
        <f t="shared" si="30"/>
        <v>0</v>
      </c>
    </row>
    <row r="955" spans="2:17" x14ac:dyDescent="0.45">
      <c r="B955" s="27" t="str">
        <f>IFERROR(VLOOKUP(A955,القائمة!$A$3:$F$112,2,FALSE),"")</f>
        <v/>
      </c>
      <c r="C955" s="27" t="str">
        <f>IFERROR(VLOOKUP(A955,القائمة!$A$3:$F$112,3,FALSE),"")</f>
        <v/>
      </c>
      <c r="D955" s="36" t="str">
        <f>IFERROR(VLOOKUP(A955,القائمة!$A$3:$F$112,4,FALSE),"")</f>
        <v/>
      </c>
      <c r="E955" s="36" t="str">
        <f>IFERROR(VLOOKUP(A955,القائمة!$A$3:$F$112,5,FALSE),"")</f>
        <v/>
      </c>
      <c r="F955" s="37" t="str">
        <f>IFERROR(VLOOKUP(A955,القائمة!$A$3:$F$112,6,FALSE),"")</f>
        <v/>
      </c>
      <c r="P955" s="27">
        <f t="shared" si="31"/>
        <v>0</v>
      </c>
      <c r="Q955" s="27">
        <f t="shared" si="30"/>
        <v>0</v>
      </c>
    </row>
    <row r="956" spans="2:17" x14ac:dyDescent="0.45">
      <c r="B956" s="27" t="str">
        <f>IFERROR(VLOOKUP(A956,القائمة!$A$3:$F$112,2,FALSE),"")</f>
        <v/>
      </c>
      <c r="C956" s="27" t="str">
        <f>IFERROR(VLOOKUP(A956,القائمة!$A$3:$F$112,3,FALSE),"")</f>
        <v/>
      </c>
      <c r="D956" s="36" t="str">
        <f>IFERROR(VLOOKUP(A956,القائمة!$A$3:$F$112,4,FALSE),"")</f>
        <v/>
      </c>
      <c r="E956" s="36" t="str">
        <f>IFERROR(VLOOKUP(A956,القائمة!$A$3:$F$112,5,FALSE),"")</f>
        <v/>
      </c>
      <c r="F956" s="37" t="str">
        <f>IFERROR(VLOOKUP(A956,القائمة!$A$3:$F$112,6,FALSE),"")</f>
        <v/>
      </c>
      <c r="P956" s="27">
        <f t="shared" si="31"/>
        <v>0</v>
      </c>
      <c r="Q956" s="27">
        <f t="shared" si="30"/>
        <v>0</v>
      </c>
    </row>
    <row r="957" spans="2:17" x14ac:dyDescent="0.45">
      <c r="B957" s="27" t="str">
        <f>IFERROR(VLOOKUP(A957,القائمة!$A$3:$F$112,2,FALSE),"")</f>
        <v/>
      </c>
      <c r="C957" s="27" t="str">
        <f>IFERROR(VLOOKUP(A957,القائمة!$A$3:$F$112,3,FALSE),"")</f>
        <v/>
      </c>
      <c r="D957" s="36" t="str">
        <f>IFERROR(VLOOKUP(A957,القائمة!$A$3:$F$112,4,FALSE),"")</f>
        <v/>
      </c>
      <c r="E957" s="36" t="str">
        <f>IFERROR(VLOOKUP(A957,القائمة!$A$3:$F$112,5,FALSE),"")</f>
        <v/>
      </c>
      <c r="F957" s="37" t="str">
        <f>IFERROR(VLOOKUP(A957,القائمة!$A$3:$F$112,6,FALSE),"")</f>
        <v/>
      </c>
      <c r="P957" s="27">
        <f t="shared" si="31"/>
        <v>0</v>
      </c>
      <c r="Q957" s="27">
        <f t="shared" si="30"/>
        <v>0</v>
      </c>
    </row>
    <row r="958" spans="2:17" x14ac:dyDescent="0.45">
      <c r="B958" s="27" t="str">
        <f>IFERROR(VLOOKUP(A958,القائمة!$A$3:$F$112,2,FALSE),"")</f>
        <v/>
      </c>
      <c r="C958" s="27" t="str">
        <f>IFERROR(VLOOKUP(A958,القائمة!$A$3:$F$112,3,FALSE),"")</f>
        <v/>
      </c>
      <c r="D958" s="36" t="str">
        <f>IFERROR(VLOOKUP(A958,القائمة!$A$3:$F$112,4,FALSE),"")</f>
        <v/>
      </c>
      <c r="E958" s="36" t="str">
        <f>IFERROR(VLOOKUP(A958,القائمة!$A$3:$F$112,5,FALSE),"")</f>
        <v/>
      </c>
      <c r="F958" s="37" t="str">
        <f>IFERROR(VLOOKUP(A958,القائمة!$A$3:$F$112,6,FALSE),"")</f>
        <v/>
      </c>
      <c r="P958" s="27">
        <f t="shared" si="31"/>
        <v>0</v>
      </c>
      <c r="Q958" s="27">
        <f t="shared" si="30"/>
        <v>0</v>
      </c>
    </row>
    <row r="959" spans="2:17" x14ac:dyDescent="0.45">
      <c r="B959" s="27" t="str">
        <f>IFERROR(VLOOKUP(A959,القائمة!$A$3:$F$112,2,FALSE),"")</f>
        <v/>
      </c>
      <c r="C959" s="27" t="str">
        <f>IFERROR(VLOOKUP(A959,القائمة!$A$3:$F$112,3,FALSE),"")</f>
        <v/>
      </c>
      <c r="D959" s="36" t="str">
        <f>IFERROR(VLOOKUP(A959,القائمة!$A$3:$F$112,4,FALSE),"")</f>
        <v/>
      </c>
      <c r="E959" s="36" t="str">
        <f>IFERROR(VLOOKUP(A959,القائمة!$A$3:$F$112,5,FALSE),"")</f>
        <v/>
      </c>
      <c r="F959" s="37" t="str">
        <f>IFERROR(VLOOKUP(A959,القائمة!$A$3:$F$112,6,FALSE),"")</f>
        <v/>
      </c>
      <c r="P959" s="27">
        <f t="shared" si="31"/>
        <v>0</v>
      </c>
      <c r="Q959" s="27">
        <f t="shared" si="30"/>
        <v>0</v>
      </c>
    </row>
    <row r="960" spans="2:17" x14ac:dyDescent="0.45">
      <c r="B960" s="27" t="str">
        <f>IFERROR(VLOOKUP(A960,القائمة!$A$3:$F$112,2,FALSE),"")</f>
        <v/>
      </c>
      <c r="C960" s="27" t="str">
        <f>IFERROR(VLOOKUP(A960,القائمة!$A$3:$F$112,3,FALSE),"")</f>
        <v/>
      </c>
      <c r="D960" s="36" t="str">
        <f>IFERROR(VLOOKUP(A960,القائمة!$A$3:$F$112,4,FALSE),"")</f>
        <v/>
      </c>
      <c r="E960" s="36" t="str">
        <f>IFERROR(VLOOKUP(A960,القائمة!$A$3:$F$112,5,FALSE),"")</f>
        <v/>
      </c>
      <c r="F960" s="37" t="str">
        <f>IFERROR(VLOOKUP(A960,القائمة!$A$3:$F$112,6,FALSE),"")</f>
        <v/>
      </c>
      <c r="P960" s="27">
        <f t="shared" si="31"/>
        <v>0</v>
      </c>
      <c r="Q960" s="27">
        <f t="shared" si="30"/>
        <v>0</v>
      </c>
    </row>
    <row r="961" spans="2:17" x14ac:dyDescent="0.45">
      <c r="B961" s="27" t="str">
        <f>IFERROR(VLOOKUP(A961,القائمة!$A$3:$F$112,2,FALSE),"")</f>
        <v/>
      </c>
      <c r="C961" s="27" t="str">
        <f>IFERROR(VLOOKUP(A961,القائمة!$A$3:$F$112,3,FALSE),"")</f>
        <v/>
      </c>
      <c r="D961" s="36" t="str">
        <f>IFERROR(VLOOKUP(A961,القائمة!$A$3:$F$112,4,FALSE),"")</f>
        <v/>
      </c>
      <c r="E961" s="36" t="str">
        <f>IFERROR(VLOOKUP(A961,القائمة!$A$3:$F$112,5,FALSE),"")</f>
        <v/>
      </c>
      <c r="F961" s="37" t="str">
        <f>IFERROR(VLOOKUP(A961,القائمة!$A$3:$F$112,6,FALSE),"")</f>
        <v/>
      </c>
      <c r="P961" s="27">
        <f t="shared" si="31"/>
        <v>0</v>
      </c>
      <c r="Q961" s="27">
        <f t="shared" si="30"/>
        <v>0</v>
      </c>
    </row>
    <row r="962" spans="2:17" x14ac:dyDescent="0.45">
      <c r="B962" s="27" t="str">
        <f>IFERROR(VLOOKUP(A962,القائمة!$A$3:$F$112,2,FALSE),"")</f>
        <v/>
      </c>
      <c r="C962" s="27" t="str">
        <f>IFERROR(VLOOKUP(A962,القائمة!$A$3:$F$112,3,FALSE),"")</f>
        <v/>
      </c>
      <c r="D962" s="36" t="str">
        <f>IFERROR(VLOOKUP(A962,القائمة!$A$3:$F$112,4,FALSE),"")</f>
        <v/>
      </c>
      <c r="E962" s="36" t="str">
        <f>IFERROR(VLOOKUP(A962,القائمة!$A$3:$F$112,5,FALSE),"")</f>
        <v/>
      </c>
      <c r="F962" s="37" t="str">
        <f>IFERROR(VLOOKUP(A962,القائمة!$A$3:$F$112,6,FALSE),"")</f>
        <v/>
      </c>
      <c r="P962" s="27">
        <f t="shared" si="31"/>
        <v>0</v>
      </c>
      <c r="Q962" s="27">
        <f t="shared" si="30"/>
        <v>0</v>
      </c>
    </row>
    <row r="963" spans="2:17" x14ac:dyDescent="0.45">
      <c r="B963" s="27" t="str">
        <f>IFERROR(VLOOKUP(A963,القائمة!$A$3:$F$112,2,FALSE),"")</f>
        <v/>
      </c>
      <c r="C963" s="27" t="str">
        <f>IFERROR(VLOOKUP(A963,القائمة!$A$3:$F$112,3,FALSE),"")</f>
        <v/>
      </c>
      <c r="D963" s="36" t="str">
        <f>IFERROR(VLOOKUP(A963,القائمة!$A$3:$F$112,4,FALSE),"")</f>
        <v/>
      </c>
      <c r="E963" s="36" t="str">
        <f>IFERROR(VLOOKUP(A963,القائمة!$A$3:$F$112,5,FALSE),"")</f>
        <v/>
      </c>
      <c r="F963" s="37" t="str">
        <f>IFERROR(VLOOKUP(A963,القائمة!$A$3:$F$112,6,FALSE),"")</f>
        <v/>
      </c>
      <c r="P963" s="27">
        <f t="shared" si="31"/>
        <v>0</v>
      </c>
      <c r="Q963" s="27">
        <f t="shared" ref="Q963:Q1026" si="32">+P963+L963-M963</f>
        <v>0</v>
      </c>
    </row>
    <row r="964" spans="2:17" x14ac:dyDescent="0.45">
      <c r="B964" s="27" t="str">
        <f>IFERROR(VLOOKUP(A964,القائمة!$A$3:$F$112,2,FALSE),"")</f>
        <v/>
      </c>
      <c r="C964" s="27" t="str">
        <f>IFERROR(VLOOKUP(A964,القائمة!$A$3:$F$112,3,FALSE),"")</f>
        <v/>
      </c>
      <c r="D964" s="36" t="str">
        <f>IFERROR(VLOOKUP(A964,القائمة!$A$3:$F$112,4,FALSE),"")</f>
        <v/>
      </c>
      <c r="E964" s="36" t="str">
        <f>IFERROR(VLOOKUP(A964,القائمة!$A$3:$F$112,5,FALSE),"")</f>
        <v/>
      </c>
      <c r="F964" s="37" t="str">
        <f>IFERROR(VLOOKUP(A964,القائمة!$A$3:$F$112,6,FALSE),"")</f>
        <v/>
      </c>
      <c r="P964" s="27">
        <f t="shared" ref="P964:P1027" si="33">J964-K964</f>
        <v>0</v>
      </c>
      <c r="Q964" s="27">
        <f t="shared" si="32"/>
        <v>0</v>
      </c>
    </row>
    <row r="965" spans="2:17" x14ac:dyDescent="0.45">
      <c r="B965" s="27" t="str">
        <f>IFERROR(VLOOKUP(A965,القائمة!$A$3:$F$112,2,FALSE),"")</f>
        <v/>
      </c>
      <c r="C965" s="27" t="str">
        <f>IFERROR(VLOOKUP(A965,القائمة!$A$3:$F$112,3,FALSE),"")</f>
        <v/>
      </c>
      <c r="D965" s="36" t="str">
        <f>IFERROR(VLOOKUP(A965,القائمة!$A$3:$F$112,4,FALSE),"")</f>
        <v/>
      </c>
      <c r="E965" s="36" t="str">
        <f>IFERROR(VLOOKUP(A965,القائمة!$A$3:$F$112,5,FALSE),"")</f>
        <v/>
      </c>
      <c r="F965" s="37" t="str">
        <f>IFERROR(VLOOKUP(A965,القائمة!$A$3:$F$112,6,FALSE),"")</f>
        <v/>
      </c>
      <c r="P965" s="27">
        <f t="shared" si="33"/>
        <v>0</v>
      </c>
      <c r="Q965" s="27">
        <f t="shared" si="32"/>
        <v>0</v>
      </c>
    </row>
    <row r="966" spans="2:17" x14ac:dyDescent="0.45">
      <c r="B966" s="27" t="str">
        <f>IFERROR(VLOOKUP(A966,القائمة!$A$3:$F$112,2,FALSE),"")</f>
        <v/>
      </c>
      <c r="C966" s="27" t="str">
        <f>IFERROR(VLOOKUP(A966,القائمة!$A$3:$F$112,3,FALSE),"")</f>
        <v/>
      </c>
      <c r="D966" s="36" t="str">
        <f>IFERROR(VLOOKUP(A966,القائمة!$A$3:$F$112,4,FALSE),"")</f>
        <v/>
      </c>
      <c r="E966" s="36" t="str">
        <f>IFERROR(VLOOKUP(A966,القائمة!$A$3:$F$112,5,FALSE),"")</f>
        <v/>
      </c>
      <c r="F966" s="37" t="str">
        <f>IFERROR(VLOOKUP(A966,القائمة!$A$3:$F$112,6,FALSE),"")</f>
        <v/>
      </c>
      <c r="P966" s="27">
        <f t="shared" si="33"/>
        <v>0</v>
      </c>
      <c r="Q966" s="27">
        <f t="shared" si="32"/>
        <v>0</v>
      </c>
    </row>
    <row r="967" spans="2:17" x14ac:dyDescent="0.45">
      <c r="B967" s="27" t="str">
        <f>IFERROR(VLOOKUP(A967,القائمة!$A$3:$F$112,2,FALSE),"")</f>
        <v/>
      </c>
      <c r="C967" s="27" t="str">
        <f>IFERROR(VLOOKUP(A967,القائمة!$A$3:$F$112,3,FALSE),"")</f>
        <v/>
      </c>
      <c r="D967" s="36" t="str">
        <f>IFERROR(VLOOKUP(A967,القائمة!$A$3:$F$112,4,FALSE),"")</f>
        <v/>
      </c>
      <c r="E967" s="36" t="str">
        <f>IFERROR(VLOOKUP(A967,القائمة!$A$3:$F$112,5,FALSE),"")</f>
        <v/>
      </c>
      <c r="F967" s="37" t="str">
        <f>IFERROR(VLOOKUP(A967,القائمة!$A$3:$F$112,6,FALSE),"")</f>
        <v/>
      </c>
      <c r="P967" s="27">
        <f t="shared" si="33"/>
        <v>0</v>
      </c>
      <c r="Q967" s="27">
        <f t="shared" si="32"/>
        <v>0</v>
      </c>
    </row>
    <row r="968" spans="2:17" x14ac:dyDescent="0.45">
      <c r="B968" s="27" t="str">
        <f>IFERROR(VLOOKUP(A968,القائمة!$A$3:$F$112,2,FALSE),"")</f>
        <v/>
      </c>
      <c r="C968" s="27" t="str">
        <f>IFERROR(VLOOKUP(A968,القائمة!$A$3:$F$112,3,FALSE),"")</f>
        <v/>
      </c>
      <c r="D968" s="36" t="str">
        <f>IFERROR(VLOOKUP(A968,القائمة!$A$3:$F$112,4,FALSE),"")</f>
        <v/>
      </c>
      <c r="E968" s="36" t="str">
        <f>IFERROR(VLOOKUP(A968,القائمة!$A$3:$F$112,5,FALSE),"")</f>
        <v/>
      </c>
      <c r="F968" s="37" t="str">
        <f>IFERROR(VLOOKUP(A968,القائمة!$A$3:$F$112,6,FALSE),"")</f>
        <v/>
      </c>
      <c r="P968" s="27">
        <f t="shared" si="33"/>
        <v>0</v>
      </c>
      <c r="Q968" s="27">
        <f t="shared" si="32"/>
        <v>0</v>
      </c>
    </row>
    <row r="969" spans="2:17" x14ac:dyDescent="0.45">
      <c r="B969" s="27" t="str">
        <f>IFERROR(VLOOKUP(A969,القائمة!$A$3:$F$112,2,FALSE),"")</f>
        <v/>
      </c>
      <c r="C969" s="27" t="str">
        <f>IFERROR(VLOOKUP(A969,القائمة!$A$3:$F$112,3,FALSE),"")</f>
        <v/>
      </c>
      <c r="D969" s="36" t="str">
        <f>IFERROR(VLOOKUP(A969,القائمة!$A$3:$F$112,4,FALSE),"")</f>
        <v/>
      </c>
      <c r="E969" s="36" t="str">
        <f>IFERROR(VLOOKUP(A969,القائمة!$A$3:$F$112,5,FALSE),"")</f>
        <v/>
      </c>
      <c r="F969" s="37" t="str">
        <f>IFERROR(VLOOKUP(A969,القائمة!$A$3:$F$112,6,FALSE),"")</f>
        <v/>
      </c>
      <c r="P969" s="27">
        <f t="shared" si="33"/>
        <v>0</v>
      </c>
      <c r="Q969" s="27">
        <f t="shared" si="32"/>
        <v>0</v>
      </c>
    </row>
    <row r="970" spans="2:17" x14ac:dyDescent="0.45">
      <c r="B970" s="27" t="str">
        <f>IFERROR(VLOOKUP(A970,القائمة!$A$3:$F$112,2,FALSE),"")</f>
        <v/>
      </c>
      <c r="C970" s="27" t="str">
        <f>IFERROR(VLOOKUP(A970,القائمة!$A$3:$F$112,3,FALSE),"")</f>
        <v/>
      </c>
      <c r="D970" s="36" t="str">
        <f>IFERROR(VLOOKUP(A970,القائمة!$A$3:$F$112,4,FALSE),"")</f>
        <v/>
      </c>
      <c r="E970" s="36" t="str">
        <f>IFERROR(VLOOKUP(A970,القائمة!$A$3:$F$112,5,FALSE),"")</f>
        <v/>
      </c>
      <c r="F970" s="37" t="str">
        <f>IFERROR(VLOOKUP(A970,القائمة!$A$3:$F$112,6,FALSE),"")</f>
        <v/>
      </c>
      <c r="P970" s="27">
        <f t="shared" si="33"/>
        <v>0</v>
      </c>
      <c r="Q970" s="27">
        <f t="shared" si="32"/>
        <v>0</v>
      </c>
    </row>
    <row r="971" spans="2:17" x14ac:dyDescent="0.45">
      <c r="B971" s="27" t="str">
        <f>IFERROR(VLOOKUP(A971,القائمة!$A$3:$F$112,2,FALSE),"")</f>
        <v/>
      </c>
      <c r="C971" s="27" t="str">
        <f>IFERROR(VLOOKUP(A971,القائمة!$A$3:$F$112,3,FALSE),"")</f>
        <v/>
      </c>
      <c r="D971" s="36" t="str">
        <f>IFERROR(VLOOKUP(A971,القائمة!$A$3:$F$112,4,FALSE),"")</f>
        <v/>
      </c>
      <c r="E971" s="36" t="str">
        <f>IFERROR(VLOOKUP(A971,القائمة!$A$3:$F$112,5,FALSE),"")</f>
        <v/>
      </c>
      <c r="F971" s="37" t="str">
        <f>IFERROR(VLOOKUP(A971,القائمة!$A$3:$F$112,6,FALSE),"")</f>
        <v/>
      </c>
      <c r="P971" s="27">
        <f t="shared" si="33"/>
        <v>0</v>
      </c>
      <c r="Q971" s="27">
        <f t="shared" si="32"/>
        <v>0</v>
      </c>
    </row>
    <row r="972" spans="2:17" x14ac:dyDescent="0.45">
      <c r="B972" s="27" t="str">
        <f>IFERROR(VLOOKUP(A972,القائمة!$A$3:$F$112,2,FALSE),"")</f>
        <v/>
      </c>
      <c r="C972" s="27" t="str">
        <f>IFERROR(VLOOKUP(A972,القائمة!$A$3:$F$112,3,FALSE),"")</f>
        <v/>
      </c>
      <c r="D972" s="36" t="str">
        <f>IFERROR(VLOOKUP(A972,القائمة!$A$3:$F$112,4,FALSE),"")</f>
        <v/>
      </c>
      <c r="E972" s="36" t="str">
        <f>IFERROR(VLOOKUP(A972,القائمة!$A$3:$F$112,5,FALSE),"")</f>
        <v/>
      </c>
      <c r="F972" s="37" t="str">
        <f>IFERROR(VLOOKUP(A972,القائمة!$A$3:$F$112,6,FALSE),"")</f>
        <v/>
      </c>
      <c r="P972" s="27">
        <f t="shared" si="33"/>
        <v>0</v>
      </c>
      <c r="Q972" s="27">
        <f t="shared" si="32"/>
        <v>0</v>
      </c>
    </row>
    <row r="973" spans="2:17" x14ac:dyDescent="0.45">
      <c r="B973" s="27" t="str">
        <f>IFERROR(VLOOKUP(A973,القائمة!$A$3:$F$112,2,FALSE),"")</f>
        <v/>
      </c>
      <c r="C973" s="27" t="str">
        <f>IFERROR(VLOOKUP(A973,القائمة!$A$3:$F$112,3,FALSE),"")</f>
        <v/>
      </c>
      <c r="D973" s="36" t="str">
        <f>IFERROR(VLOOKUP(A973,القائمة!$A$3:$F$112,4,FALSE),"")</f>
        <v/>
      </c>
      <c r="E973" s="36" t="str">
        <f>IFERROR(VLOOKUP(A973,القائمة!$A$3:$F$112,5,FALSE),"")</f>
        <v/>
      </c>
      <c r="F973" s="37" t="str">
        <f>IFERROR(VLOOKUP(A973,القائمة!$A$3:$F$112,6,FALSE),"")</f>
        <v/>
      </c>
      <c r="P973" s="27">
        <f t="shared" si="33"/>
        <v>0</v>
      </c>
      <c r="Q973" s="27">
        <f t="shared" si="32"/>
        <v>0</v>
      </c>
    </row>
    <row r="974" spans="2:17" x14ac:dyDescent="0.45">
      <c r="B974" s="27" t="str">
        <f>IFERROR(VLOOKUP(A974,القائمة!$A$3:$F$112,2,FALSE),"")</f>
        <v/>
      </c>
      <c r="C974" s="27" t="str">
        <f>IFERROR(VLOOKUP(A974,القائمة!$A$3:$F$112,3,FALSE),"")</f>
        <v/>
      </c>
      <c r="D974" s="36" t="str">
        <f>IFERROR(VLOOKUP(A974,القائمة!$A$3:$F$112,4,FALSE),"")</f>
        <v/>
      </c>
      <c r="E974" s="36" t="str">
        <f>IFERROR(VLOOKUP(A974,القائمة!$A$3:$F$112,5,FALSE),"")</f>
        <v/>
      </c>
      <c r="F974" s="37" t="str">
        <f>IFERROR(VLOOKUP(A974,القائمة!$A$3:$F$112,6,FALSE),"")</f>
        <v/>
      </c>
      <c r="P974" s="27">
        <f t="shared" si="33"/>
        <v>0</v>
      </c>
      <c r="Q974" s="27">
        <f t="shared" si="32"/>
        <v>0</v>
      </c>
    </row>
    <row r="975" spans="2:17" x14ac:dyDescent="0.45">
      <c r="B975" s="27" t="str">
        <f>IFERROR(VLOOKUP(A975,القائمة!$A$3:$F$112,2,FALSE),"")</f>
        <v/>
      </c>
      <c r="C975" s="27" t="str">
        <f>IFERROR(VLOOKUP(A975,القائمة!$A$3:$F$112,3,FALSE),"")</f>
        <v/>
      </c>
      <c r="D975" s="36" t="str">
        <f>IFERROR(VLOOKUP(A975,القائمة!$A$3:$F$112,4,FALSE),"")</f>
        <v/>
      </c>
      <c r="E975" s="36" t="str">
        <f>IFERROR(VLOOKUP(A975,القائمة!$A$3:$F$112,5,FALSE),"")</f>
        <v/>
      </c>
      <c r="F975" s="37" t="str">
        <f>IFERROR(VLOOKUP(A975,القائمة!$A$3:$F$112,6,FALSE),"")</f>
        <v/>
      </c>
      <c r="P975" s="27">
        <f t="shared" si="33"/>
        <v>0</v>
      </c>
      <c r="Q975" s="27">
        <f t="shared" si="32"/>
        <v>0</v>
      </c>
    </row>
    <row r="976" spans="2:17" x14ac:dyDescent="0.45">
      <c r="B976" s="27" t="str">
        <f>IFERROR(VLOOKUP(A976,القائمة!$A$3:$F$112,2,FALSE),"")</f>
        <v/>
      </c>
      <c r="C976" s="27" t="str">
        <f>IFERROR(VLOOKUP(A976,القائمة!$A$3:$F$112,3,FALSE),"")</f>
        <v/>
      </c>
      <c r="D976" s="36" t="str">
        <f>IFERROR(VLOOKUP(A976,القائمة!$A$3:$F$112,4,FALSE),"")</f>
        <v/>
      </c>
      <c r="E976" s="36" t="str">
        <f>IFERROR(VLOOKUP(A976,القائمة!$A$3:$F$112,5,FALSE),"")</f>
        <v/>
      </c>
      <c r="F976" s="37" t="str">
        <f>IFERROR(VLOOKUP(A976,القائمة!$A$3:$F$112,6,FALSE),"")</f>
        <v/>
      </c>
      <c r="P976" s="27">
        <f t="shared" si="33"/>
        <v>0</v>
      </c>
      <c r="Q976" s="27">
        <f t="shared" si="32"/>
        <v>0</v>
      </c>
    </row>
    <row r="977" spans="2:17" x14ac:dyDescent="0.45">
      <c r="B977" s="27" t="str">
        <f>IFERROR(VLOOKUP(A977,القائمة!$A$3:$F$112,2,FALSE),"")</f>
        <v/>
      </c>
      <c r="C977" s="27" t="str">
        <f>IFERROR(VLOOKUP(A977,القائمة!$A$3:$F$112,3,FALSE),"")</f>
        <v/>
      </c>
      <c r="D977" s="36" t="str">
        <f>IFERROR(VLOOKUP(A977,القائمة!$A$3:$F$112,4,FALSE),"")</f>
        <v/>
      </c>
      <c r="E977" s="36" t="str">
        <f>IFERROR(VLOOKUP(A977,القائمة!$A$3:$F$112,5,FALSE),"")</f>
        <v/>
      </c>
      <c r="F977" s="37" t="str">
        <f>IFERROR(VLOOKUP(A977,القائمة!$A$3:$F$112,6,FALSE),"")</f>
        <v/>
      </c>
      <c r="P977" s="27">
        <f t="shared" si="33"/>
        <v>0</v>
      </c>
      <c r="Q977" s="27">
        <f t="shared" si="32"/>
        <v>0</v>
      </c>
    </row>
    <row r="978" spans="2:17" x14ac:dyDescent="0.45">
      <c r="B978" s="27" t="str">
        <f>IFERROR(VLOOKUP(A978,القائمة!$A$3:$F$112,2,FALSE),"")</f>
        <v/>
      </c>
      <c r="C978" s="27" t="str">
        <f>IFERROR(VLOOKUP(A978,القائمة!$A$3:$F$112,3,FALSE),"")</f>
        <v/>
      </c>
      <c r="D978" s="36" t="str">
        <f>IFERROR(VLOOKUP(A978,القائمة!$A$3:$F$112,4,FALSE),"")</f>
        <v/>
      </c>
      <c r="E978" s="36" t="str">
        <f>IFERROR(VLOOKUP(A978,القائمة!$A$3:$F$112,5,FALSE),"")</f>
        <v/>
      </c>
      <c r="F978" s="37" t="str">
        <f>IFERROR(VLOOKUP(A978,القائمة!$A$3:$F$112,6,FALSE),"")</f>
        <v/>
      </c>
      <c r="P978" s="27">
        <f t="shared" si="33"/>
        <v>0</v>
      </c>
      <c r="Q978" s="27">
        <f t="shared" si="32"/>
        <v>0</v>
      </c>
    </row>
    <row r="979" spans="2:17" x14ac:dyDescent="0.45">
      <c r="B979" s="27" t="str">
        <f>IFERROR(VLOOKUP(A979,القائمة!$A$3:$F$112,2,FALSE),"")</f>
        <v/>
      </c>
      <c r="C979" s="27" t="str">
        <f>IFERROR(VLOOKUP(A979,القائمة!$A$3:$F$112,3,FALSE),"")</f>
        <v/>
      </c>
      <c r="D979" s="36" t="str">
        <f>IFERROR(VLOOKUP(A979,القائمة!$A$3:$F$112,4,FALSE),"")</f>
        <v/>
      </c>
      <c r="E979" s="36" t="str">
        <f>IFERROR(VLOOKUP(A979,القائمة!$A$3:$F$112,5,FALSE),"")</f>
        <v/>
      </c>
      <c r="F979" s="37" t="str">
        <f>IFERROR(VLOOKUP(A979,القائمة!$A$3:$F$112,6,FALSE),"")</f>
        <v/>
      </c>
      <c r="P979" s="27">
        <f t="shared" si="33"/>
        <v>0</v>
      </c>
      <c r="Q979" s="27">
        <f t="shared" si="32"/>
        <v>0</v>
      </c>
    </row>
    <row r="980" spans="2:17" x14ac:dyDescent="0.45">
      <c r="B980" s="27" t="str">
        <f>IFERROR(VLOOKUP(A980,القائمة!$A$3:$F$112,2,FALSE),"")</f>
        <v/>
      </c>
      <c r="C980" s="27" t="str">
        <f>IFERROR(VLOOKUP(A980,القائمة!$A$3:$F$112,3,FALSE),"")</f>
        <v/>
      </c>
      <c r="D980" s="36" t="str">
        <f>IFERROR(VLOOKUP(A980,القائمة!$A$3:$F$112,4,FALSE),"")</f>
        <v/>
      </c>
      <c r="E980" s="36" t="str">
        <f>IFERROR(VLOOKUP(A980,القائمة!$A$3:$F$112,5,FALSE),"")</f>
        <v/>
      </c>
      <c r="F980" s="37" t="str">
        <f>IFERROR(VLOOKUP(A980,القائمة!$A$3:$F$112,6,FALSE),"")</f>
        <v/>
      </c>
      <c r="P980" s="27">
        <f t="shared" si="33"/>
        <v>0</v>
      </c>
      <c r="Q980" s="27">
        <f t="shared" si="32"/>
        <v>0</v>
      </c>
    </row>
    <row r="981" spans="2:17" x14ac:dyDescent="0.45">
      <c r="B981" s="27" t="str">
        <f>IFERROR(VLOOKUP(A981,القائمة!$A$3:$F$112,2,FALSE),"")</f>
        <v/>
      </c>
      <c r="C981" s="27" t="str">
        <f>IFERROR(VLOOKUP(A981,القائمة!$A$3:$F$112,3,FALSE),"")</f>
        <v/>
      </c>
      <c r="D981" s="36" t="str">
        <f>IFERROR(VLOOKUP(A981,القائمة!$A$3:$F$112,4,FALSE),"")</f>
        <v/>
      </c>
      <c r="E981" s="36" t="str">
        <f>IFERROR(VLOOKUP(A981,القائمة!$A$3:$F$112,5,FALSE),"")</f>
        <v/>
      </c>
      <c r="F981" s="37" t="str">
        <f>IFERROR(VLOOKUP(A981,القائمة!$A$3:$F$112,6,FALSE),"")</f>
        <v/>
      </c>
      <c r="P981" s="27">
        <f t="shared" si="33"/>
        <v>0</v>
      </c>
      <c r="Q981" s="27">
        <f t="shared" si="32"/>
        <v>0</v>
      </c>
    </row>
    <row r="982" spans="2:17" x14ac:dyDescent="0.45">
      <c r="B982" s="27" t="str">
        <f>IFERROR(VLOOKUP(A982,القائمة!$A$3:$F$112,2,FALSE),"")</f>
        <v/>
      </c>
      <c r="C982" s="27" t="str">
        <f>IFERROR(VLOOKUP(A982,القائمة!$A$3:$F$112,3,FALSE),"")</f>
        <v/>
      </c>
      <c r="D982" s="36" t="str">
        <f>IFERROR(VLOOKUP(A982,القائمة!$A$3:$F$112,4,FALSE),"")</f>
        <v/>
      </c>
      <c r="E982" s="36" t="str">
        <f>IFERROR(VLOOKUP(A982,القائمة!$A$3:$F$112,5,FALSE),"")</f>
        <v/>
      </c>
      <c r="F982" s="37" t="str">
        <f>IFERROR(VLOOKUP(A982,القائمة!$A$3:$F$112,6,FALSE),"")</f>
        <v/>
      </c>
      <c r="P982" s="27">
        <f t="shared" si="33"/>
        <v>0</v>
      </c>
      <c r="Q982" s="27">
        <f t="shared" si="32"/>
        <v>0</v>
      </c>
    </row>
    <row r="983" spans="2:17" x14ac:dyDescent="0.45">
      <c r="B983" s="27" t="str">
        <f>IFERROR(VLOOKUP(A983,القائمة!$A$3:$F$112,2,FALSE),"")</f>
        <v/>
      </c>
      <c r="C983" s="27" t="str">
        <f>IFERROR(VLOOKUP(A983,القائمة!$A$3:$F$112,3,FALSE),"")</f>
        <v/>
      </c>
      <c r="D983" s="36" t="str">
        <f>IFERROR(VLOOKUP(A983,القائمة!$A$3:$F$112,4,FALSE),"")</f>
        <v/>
      </c>
      <c r="E983" s="36" t="str">
        <f>IFERROR(VLOOKUP(A983,القائمة!$A$3:$F$112,5,FALSE),"")</f>
        <v/>
      </c>
      <c r="F983" s="37" t="str">
        <f>IFERROR(VLOOKUP(A983,القائمة!$A$3:$F$112,6,FALSE),"")</f>
        <v/>
      </c>
      <c r="P983" s="27">
        <f t="shared" si="33"/>
        <v>0</v>
      </c>
      <c r="Q983" s="27">
        <f t="shared" si="32"/>
        <v>0</v>
      </c>
    </row>
    <row r="984" spans="2:17" x14ac:dyDescent="0.45">
      <c r="B984" s="27" t="str">
        <f>IFERROR(VLOOKUP(A984,القائمة!$A$3:$F$112,2,FALSE),"")</f>
        <v/>
      </c>
      <c r="C984" s="27" t="str">
        <f>IFERROR(VLOOKUP(A984,القائمة!$A$3:$F$112,3,FALSE),"")</f>
        <v/>
      </c>
      <c r="D984" s="36" t="str">
        <f>IFERROR(VLOOKUP(A984,القائمة!$A$3:$F$112,4,FALSE),"")</f>
        <v/>
      </c>
      <c r="E984" s="36" t="str">
        <f>IFERROR(VLOOKUP(A984,القائمة!$A$3:$F$112,5,FALSE),"")</f>
        <v/>
      </c>
      <c r="F984" s="37" t="str">
        <f>IFERROR(VLOOKUP(A984,القائمة!$A$3:$F$112,6,FALSE),"")</f>
        <v/>
      </c>
      <c r="P984" s="27">
        <f t="shared" si="33"/>
        <v>0</v>
      </c>
      <c r="Q984" s="27">
        <f t="shared" si="32"/>
        <v>0</v>
      </c>
    </row>
    <row r="985" spans="2:17" x14ac:dyDescent="0.45">
      <c r="B985" s="27" t="str">
        <f>IFERROR(VLOOKUP(A985,القائمة!$A$3:$F$112,2,FALSE),"")</f>
        <v/>
      </c>
      <c r="C985" s="27" t="str">
        <f>IFERROR(VLOOKUP(A985,القائمة!$A$3:$F$112,3,FALSE),"")</f>
        <v/>
      </c>
      <c r="D985" s="36" t="str">
        <f>IFERROR(VLOOKUP(A985,القائمة!$A$3:$F$112,4,FALSE),"")</f>
        <v/>
      </c>
      <c r="E985" s="36" t="str">
        <f>IFERROR(VLOOKUP(A985,القائمة!$A$3:$F$112,5,FALSE),"")</f>
        <v/>
      </c>
      <c r="F985" s="37" t="str">
        <f>IFERROR(VLOOKUP(A985,القائمة!$A$3:$F$112,6,FALSE),"")</f>
        <v/>
      </c>
      <c r="P985" s="27">
        <f t="shared" si="33"/>
        <v>0</v>
      </c>
      <c r="Q985" s="27">
        <f t="shared" si="32"/>
        <v>0</v>
      </c>
    </row>
    <row r="986" spans="2:17" x14ac:dyDescent="0.45">
      <c r="B986" s="27" t="str">
        <f>IFERROR(VLOOKUP(A986,القائمة!$A$3:$F$112,2,FALSE),"")</f>
        <v/>
      </c>
      <c r="C986" s="27" t="str">
        <f>IFERROR(VLOOKUP(A986,القائمة!$A$3:$F$112,3,FALSE),"")</f>
        <v/>
      </c>
      <c r="D986" s="36" t="str">
        <f>IFERROR(VLOOKUP(A986,القائمة!$A$3:$F$112,4,FALSE),"")</f>
        <v/>
      </c>
      <c r="E986" s="36" t="str">
        <f>IFERROR(VLOOKUP(A986,القائمة!$A$3:$F$112,5,FALSE),"")</f>
        <v/>
      </c>
      <c r="F986" s="37" t="str">
        <f>IFERROR(VLOOKUP(A986,القائمة!$A$3:$F$112,6,FALSE),"")</f>
        <v/>
      </c>
      <c r="P986" s="27">
        <f t="shared" si="33"/>
        <v>0</v>
      </c>
      <c r="Q986" s="27">
        <f t="shared" si="32"/>
        <v>0</v>
      </c>
    </row>
    <row r="987" spans="2:17" x14ac:dyDescent="0.45">
      <c r="B987" s="27" t="str">
        <f>IFERROR(VLOOKUP(A987,القائمة!$A$3:$F$112,2,FALSE),"")</f>
        <v/>
      </c>
      <c r="C987" s="27" t="str">
        <f>IFERROR(VLOOKUP(A987,القائمة!$A$3:$F$112,3,FALSE),"")</f>
        <v/>
      </c>
      <c r="D987" s="36" t="str">
        <f>IFERROR(VLOOKUP(A987,القائمة!$A$3:$F$112,4,FALSE),"")</f>
        <v/>
      </c>
      <c r="E987" s="36" t="str">
        <f>IFERROR(VLOOKUP(A987,القائمة!$A$3:$F$112,5,FALSE),"")</f>
        <v/>
      </c>
      <c r="F987" s="37" t="str">
        <f>IFERROR(VLOOKUP(A987,القائمة!$A$3:$F$112,6,FALSE),"")</f>
        <v/>
      </c>
      <c r="P987" s="27">
        <f t="shared" si="33"/>
        <v>0</v>
      </c>
      <c r="Q987" s="27">
        <f t="shared" si="32"/>
        <v>0</v>
      </c>
    </row>
    <row r="988" spans="2:17" x14ac:dyDescent="0.45">
      <c r="B988" s="27" t="str">
        <f>IFERROR(VLOOKUP(A988,القائمة!$A$3:$F$112,2,FALSE),"")</f>
        <v/>
      </c>
      <c r="C988" s="27" t="str">
        <f>IFERROR(VLOOKUP(A988,القائمة!$A$3:$F$112,3,FALSE),"")</f>
        <v/>
      </c>
      <c r="D988" s="36" t="str">
        <f>IFERROR(VLOOKUP(A988,القائمة!$A$3:$F$112,4,FALSE),"")</f>
        <v/>
      </c>
      <c r="E988" s="36" t="str">
        <f>IFERROR(VLOOKUP(A988,القائمة!$A$3:$F$112,5,FALSE),"")</f>
        <v/>
      </c>
      <c r="F988" s="37" t="str">
        <f>IFERROR(VLOOKUP(A988,القائمة!$A$3:$F$112,6,FALSE),"")</f>
        <v/>
      </c>
      <c r="P988" s="27">
        <f t="shared" si="33"/>
        <v>0</v>
      </c>
      <c r="Q988" s="27">
        <f t="shared" si="32"/>
        <v>0</v>
      </c>
    </row>
    <row r="989" spans="2:17" x14ac:dyDescent="0.45">
      <c r="B989" s="27" t="str">
        <f>IFERROR(VLOOKUP(A989,القائمة!$A$3:$F$112,2,FALSE),"")</f>
        <v/>
      </c>
      <c r="C989" s="27" t="str">
        <f>IFERROR(VLOOKUP(A989,القائمة!$A$3:$F$112,3,FALSE),"")</f>
        <v/>
      </c>
      <c r="D989" s="36" t="str">
        <f>IFERROR(VLOOKUP(A989,القائمة!$A$3:$F$112,4,FALSE),"")</f>
        <v/>
      </c>
      <c r="E989" s="36" t="str">
        <f>IFERROR(VLOOKUP(A989,القائمة!$A$3:$F$112,5,FALSE),"")</f>
        <v/>
      </c>
      <c r="F989" s="37" t="str">
        <f>IFERROR(VLOOKUP(A989,القائمة!$A$3:$F$112,6,FALSE),"")</f>
        <v/>
      </c>
      <c r="P989" s="27">
        <f t="shared" si="33"/>
        <v>0</v>
      </c>
      <c r="Q989" s="27">
        <f t="shared" si="32"/>
        <v>0</v>
      </c>
    </row>
    <row r="990" spans="2:17" x14ac:dyDescent="0.45">
      <c r="B990" s="27" t="str">
        <f>IFERROR(VLOOKUP(A990,القائمة!$A$3:$F$112,2,FALSE),"")</f>
        <v/>
      </c>
      <c r="C990" s="27" t="str">
        <f>IFERROR(VLOOKUP(A990,القائمة!$A$3:$F$112,3,FALSE),"")</f>
        <v/>
      </c>
      <c r="D990" s="36" t="str">
        <f>IFERROR(VLOOKUP(A990,القائمة!$A$3:$F$112,4,FALSE),"")</f>
        <v/>
      </c>
      <c r="E990" s="36" t="str">
        <f>IFERROR(VLOOKUP(A990,القائمة!$A$3:$F$112,5,FALSE),"")</f>
        <v/>
      </c>
      <c r="F990" s="37" t="str">
        <f>IFERROR(VLOOKUP(A990,القائمة!$A$3:$F$112,6,FALSE),"")</f>
        <v/>
      </c>
      <c r="P990" s="27">
        <f t="shared" si="33"/>
        <v>0</v>
      </c>
      <c r="Q990" s="27">
        <f t="shared" si="32"/>
        <v>0</v>
      </c>
    </row>
    <row r="991" spans="2:17" x14ac:dyDescent="0.45">
      <c r="B991" s="27" t="str">
        <f>IFERROR(VLOOKUP(A991,القائمة!$A$3:$F$112,2,FALSE),"")</f>
        <v/>
      </c>
      <c r="C991" s="27" t="str">
        <f>IFERROR(VLOOKUP(A991,القائمة!$A$3:$F$112,3,FALSE),"")</f>
        <v/>
      </c>
      <c r="D991" s="36" t="str">
        <f>IFERROR(VLOOKUP(A991,القائمة!$A$3:$F$112,4,FALSE),"")</f>
        <v/>
      </c>
      <c r="E991" s="36" t="str">
        <f>IFERROR(VLOOKUP(A991,القائمة!$A$3:$F$112,5,FALSE),"")</f>
        <v/>
      </c>
      <c r="F991" s="37" t="str">
        <f>IFERROR(VLOOKUP(A991,القائمة!$A$3:$F$112,6,FALSE),"")</f>
        <v/>
      </c>
      <c r="P991" s="27">
        <f t="shared" si="33"/>
        <v>0</v>
      </c>
      <c r="Q991" s="27">
        <f t="shared" si="32"/>
        <v>0</v>
      </c>
    </row>
    <row r="992" spans="2:17" x14ac:dyDescent="0.45">
      <c r="B992" s="27" t="str">
        <f>IFERROR(VLOOKUP(A992,القائمة!$A$3:$F$112,2,FALSE),"")</f>
        <v/>
      </c>
      <c r="C992" s="27" t="str">
        <f>IFERROR(VLOOKUP(A992,القائمة!$A$3:$F$112,3,FALSE),"")</f>
        <v/>
      </c>
      <c r="D992" s="36" t="str">
        <f>IFERROR(VLOOKUP(A992,القائمة!$A$3:$F$112,4,FALSE),"")</f>
        <v/>
      </c>
      <c r="E992" s="36" t="str">
        <f>IFERROR(VLOOKUP(A992,القائمة!$A$3:$F$112,5,FALSE),"")</f>
        <v/>
      </c>
      <c r="F992" s="37" t="str">
        <f>IFERROR(VLOOKUP(A992,القائمة!$A$3:$F$112,6,FALSE),"")</f>
        <v/>
      </c>
      <c r="P992" s="27">
        <f t="shared" si="33"/>
        <v>0</v>
      </c>
      <c r="Q992" s="27">
        <f t="shared" si="32"/>
        <v>0</v>
      </c>
    </row>
    <row r="993" spans="2:17" x14ac:dyDescent="0.45">
      <c r="B993" s="27" t="str">
        <f>IFERROR(VLOOKUP(A993,القائمة!$A$3:$F$112,2,FALSE),"")</f>
        <v/>
      </c>
      <c r="C993" s="27" t="str">
        <f>IFERROR(VLOOKUP(A993,القائمة!$A$3:$F$112,3,FALSE),"")</f>
        <v/>
      </c>
      <c r="D993" s="36" t="str">
        <f>IFERROR(VLOOKUP(A993,القائمة!$A$3:$F$112,4,FALSE),"")</f>
        <v/>
      </c>
      <c r="E993" s="36" t="str">
        <f>IFERROR(VLOOKUP(A993,القائمة!$A$3:$F$112,5,FALSE),"")</f>
        <v/>
      </c>
      <c r="F993" s="37" t="str">
        <f>IFERROR(VLOOKUP(A993,القائمة!$A$3:$F$112,6,FALSE),"")</f>
        <v/>
      </c>
      <c r="P993" s="27">
        <f t="shared" si="33"/>
        <v>0</v>
      </c>
      <c r="Q993" s="27">
        <f t="shared" si="32"/>
        <v>0</v>
      </c>
    </row>
    <row r="994" spans="2:17" x14ac:dyDescent="0.45">
      <c r="B994" s="27" t="str">
        <f>IFERROR(VLOOKUP(A994,القائمة!$A$3:$F$112,2,FALSE),"")</f>
        <v/>
      </c>
      <c r="C994" s="27" t="str">
        <f>IFERROR(VLOOKUP(A994,القائمة!$A$3:$F$112,3,FALSE),"")</f>
        <v/>
      </c>
      <c r="D994" s="36" t="str">
        <f>IFERROR(VLOOKUP(A994,القائمة!$A$3:$F$112,4,FALSE),"")</f>
        <v/>
      </c>
      <c r="E994" s="36" t="str">
        <f>IFERROR(VLOOKUP(A994,القائمة!$A$3:$F$112,5,FALSE),"")</f>
        <v/>
      </c>
      <c r="F994" s="37" t="str">
        <f>IFERROR(VLOOKUP(A994,القائمة!$A$3:$F$112,6,FALSE),"")</f>
        <v/>
      </c>
      <c r="P994" s="27">
        <f t="shared" si="33"/>
        <v>0</v>
      </c>
      <c r="Q994" s="27">
        <f t="shared" si="32"/>
        <v>0</v>
      </c>
    </row>
    <row r="995" spans="2:17" x14ac:dyDescent="0.45">
      <c r="B995" s="27" t="str">
        <f>IFERROR(VLOOKUP(A995,القائمة!$A$3:$F$112,2,FALSE),"")</f>
        <v/>
      </c>
      <c r="C995" s="27" t="str">
        <f>IFERROR(VLOOKUP(A995,القائمة!$A$3:$F$112,3,FALSE),"")</f>
        <v/>
      </c>
      <c r="D995" s="36" t="str">
        <f>IFERROR(VLOOKUP(A995,القائمة!$A$3:$F$112,4,FALSE),"")</f>
        <v/>
      </c>
      <c r="E995" s="36" t="str">
        <f>IFERROR(VLOOKUP(A995,القائمة!$A$3:$F$112,5,FALSE),"")</f>
        <v/>
      </c>
      <c r="F995" s="37" t="str">
        <f>IFERROR(VLOOKUP(A995,القائمة!$A$3:$F$112,6,FALSE),"")</f>
        <v/>
      </c>
      <c r="P995" s="27">
        <f t="shared" si="33"/>
        <v>0</v>
      </c>
      <c r="Q995" s="27">
        <f t="shared" si="32"/>
        <v>0</v>
      </c>
    </row>
    <row r="996" spans="2:17" x14ac:dyDescent="0.45">
      <c r="B996" s="27" t="str">
        <f>IFERROR(VLOOKUP(A996,القائمة!$A$3:$F$112,2,FALSE),"")</f>
        <v/>
      </c>
      <c r="C996" s="27" t="str">
        <f>IFERROR(VLOOKUP(A996,القائمة!$A$3:$F$112,3,FALSE),"")</f>
        <v/>
      </c>
      <c r="D996" s="36" t="str">
        <f>IFERROR(VLOOKUP(A996,القائمة!$A$3:$F$112,4,FALSE),"")</f>
        <v/>
      </c>
      <c r="E996" s="36" t="str">
        <f>IFERROR(VLOOKUP(A996,القائمة!$A$3:$F$112,5,FALSE),"")</f>
        <v/>
      </c>
      <c r="F996" s="37" t="str">
        <f>IFERROR(VLOOKUP(A996,القائمة!$A$3:$F$112,6,FALSE),"")</f>
        <v/>
      </c>
      <c r="P996" s="27">
        <f t="shared" si="33"/>
        <v>0</v>
      </c>
      <c r="Q996" s="27">
        <f t="shared" si="32"/>
        <v>0</v>
      </c>
    </row>
    <row r="997" spans="2:17" x14ac:dyDescent="0.45">
      <c r="B997" s="27" t="str">
        <f>IFERROR(VLOOKUP(A997,القائمة!$A$3:$F$112,2,FALSE),"")</f>
        <v/>
      </c>
      <c r="C997" s="27" t="str">
        <f>IFERROR(VLOOKUP(A997,القائمة!$A$3:$F$112,3,FALSE),"")</f>
        <v/>
      </c>
      <c r="D997" s="36" t="str">
        <f>IFERROR(VLOOKUP(A997,القائمة!$A$3:$F$112,4,FALSE),"")</f>
        <v/>
      </c>
      <c r="E997" s="36" t="str">
        <f>IFERROR(VLOOKUP(A997,القائمة!$A$3:$F$112,5,FALSE),"")</f>
        <v/>
      </c>
      <c r="F997" s="37" t="str">
        <f>IFERROR(VLOOKUP(A997,القائمة!$A$3:$F$112,6,FALSE),"")</f>
        <v/>
      </c>
      <c r="P997" s="27">
        <f t="shared" si="33"/>
        <v>0</v>
      </c>
      <c r="Q997" s="27">
        <f t="shared" si="32"/>
        <v>0</v>
      </c>
    </row>
    <row r="998" spans="2:17" x14ac:dyDescent="0.45">
      <c r="B998" s="27" t="str">
        <f>IFERROR(VLOOKUP(A998,القائمة!$A$3:$F$112,2,FALSE),"")</f>
        <v/>
      </c>
      <c r="C998" s="27" t="str">
        <f>IFERROR(VLOOKUP(A998,القائمة!$A$3:$F$112,3,FALSE),"")</f>
        <v/>
      </c>
      <c r="D998" s="36" t="str">
        <f>IFERROR(VLOOKUP(A998,القائمة!$A$3:$F$112,4,FALSE),"")</f>
        <v/>
      </c>
      <c r="E998" s="36" t="str">
        <f>IFERROR(VLOOKUP(A998,القائمة!$A$3:$F$112,5,FALSE),"")</f>
        <v/>
      </c>
      <c r="F998" s="37" t="str">
        <f>IFERROR(VLOOKUP(A998,القائمة!$A$3:$F$112,6,FALSE),"")</f>
        <v/>
      </c>
      <c r="P998" s="27">
        <f t="shared" si="33"/>
        <v>0</v>
      </c>
      <c r="Q998" s="27">
        <f t="shared" si="32"/>
        <v>0</v>
      </c>
    </row>
    <row r="999" spans="2:17" x14ac:dyDescent="0.45">
      <c r="B999" s="27" t="str">
        <f>IFERROR(VLOOKUP(A999,القائمة!$A$3:$F$112,2,FALSE),"")</f>
        <v/>
      </c>
      <c r="C999" s="27" t="str">
        <f>IFERROR(VLOOKUP(A999,القائمة!$A$3:$F$112,3,FALSE),"")</f>
        <v/>
      </c>
      <c r="D999" s="36" t="str">
        <f>IFERROR(VLOOKUP(A999,القائمة!$A$3:$F$112,4,FALSE),"")</f>
        <v/>
      </c>
      <c r="E999" s="36" t="str">
        <f>IFERROR(VLOOKUP(A999,القائمة!$A$3:$F$112,5,FALSE),"")</f>
        <v/>
      </c>
      <c r="F999" s="37" t="str">
        <f>IFERROR(VLOOKUP(A999,القائمة!$A$3:$F$112,6,FALSE),"")</f>
        <v/>
      </c>
      <c r="P999" s="27">
        <f t="shared" si="33"/>
        <v>0</v>
      </c>
      <c r="Q999" s="27">
        <f t="shared" si="32"/>
        <v>0</v>
      </c>
    </row>
    <row r="1000" spans="2:17" x14ac:dyDescent="0.45">
      <c r="B1000" s="27" t="str">
        <f>IFERROR(VLOOKUP(A1000,القائمة!$A$3:$F$112,2,FALSE),"")</f>
        <v/>
      </c>
      <c r="C1000" s="27" t="str">
        <f>IFERROR(VLOOKUP(A1000,القائمة!$A$3:$F$112,3,FALSE),"")</f>
        <v/>
      </c>
      <c r="D1000" s="36" t="str">
        <f>IFERROR(VLOOKUP(A1000,القائمة!$A$3:$F$112,4,FALSE),"")</f>
        <v/>
      </c>
      <c r="E1000" s="36" t="str">
        <f>IFERROR(VLOOKUP(A1000,القائمة!$A$3:$F$112,5,FALSE),"")</f>
        <v/>
      </c>
      <c r="F1000" s="37" t="str">
        <f>IFERROR(VLOOKUP(A1000,القائمة!$A$3:$F$112,6,FALSE),"")</f>
        <v/>
      </c>
      <c r="P1000" s="27">
        <f t="shared" si="33"/>
        <v>0</v>
      </c>
      <c r="Q1000" s="27">
        <f t="shared" si="32"/>
        <v>0</v>
      </c>
    </row>
    <row r="1001" spans="2:17" x14ac:dyDescent="0.45">
      <c r="B1001" s="27" t="str">
        <f>IFERROR(VLOOKUP(A1001,القائمة!$A$3:$F$112,2,FALSE),"")</f>
        <v/>
      </c>
      <c r="C1001" s="27" t="str">
        <f>IFERROR(VLOOKUP(A1001,القائمة!$A$3:$F$112,3,FALSE),"")</f>
        <v/>
      </c>
      <c r="D1001" s="36" t="str">
        <f>IFERROR(VLOOKUP(A1001,القائمة!$A$3:$F$112,4,FALSE),"")</f>
        <v/>
      </c>
      <c r="E1001" s="36" t="str">
        <f>IFERROR(VLOOKUP(A1001,القائمة!$A$3:$F$112,5,FALSE),"")</f>
        <v/>
      </c>
      <c r="F1001" s="37" t="str">
        <f>IFERROR(VLOOKUP(A1001,القائمة!$A$3:$F$112,6,FALSE),"")</f>
        <v/>
      </c>
      <c r="P1001" s="27">
        <f t="shared" si="33"/>
        <v>0</v>
      </c>
      <c r="Q1001" s="27">
        <f t="shared" si="32"/>
        <v>0</v>
      </c>
    </row>
    <row r="1002" spans="2:17" x14ac:dyDescent="0.45">
      <c r="B1002" s="27" t="str">
        <f>IFERROR(VLOOKUP(A1002,القائمة!$A$3:$F$112,2,FALSE),"")</f>
        <v/>
      </c>
      <c r="C1002" s="27" t="str">
        <f>IFERROR(VLOOKUP(A1002,القائمة!$A$3:$F$112,3,FALSE),"")</f>
        <v/>
      </c>
      <c r="D1002" s="36" t="str">
        <f>IFERROR(VLOOKUP(A1002,القائمة!$A$3:$F$112,4,FALSE),"")</f>
        <v/>
      </c>
      <c r="E1002" s="36" t="str">
        <f>IFERROR(VLOOKUP(A1002,القائمة!$A$3:$F$112,5,FALSE),"")</f>
        <v/>
      </c>
      <c r="F1002" s="37" t="str">
        <f>IFERROR(VLOOKUP(A1002,القائمة!$A$3:$F$112,6,FALSE),"")</f>
        <v/>
      </c>
      <c r="P1002" s="27">
        <f t="shared" si="33"/>
        <v>0</v>
      </c>
      <c r="Q1002" s="27">
        <f t="shared" si="32"/>
        <v>0</v>
      </c>
    </row>
    <row r="1003" spans="2:17" x14ac:dyDescent="0.45">
      <c r="B1003" s="27" t="str">
        <f>IFERROR(VLOOKUP(A1003,القائمة!$A$3:$F$112,2,FALSE),"")</f>
        <v/>
      </c>
      <c r="C1003" s="27" t="str">
        <f>IFERROR(VLOOKUP(A1003,القائمة!$A$3:$F$112,3,FALSE),"")</f>
        <v/>
      </c>
      <c r="D1003" s="36" t="str">
        <f>IFERROR(VLOOKUP(A1003,القائمة!$A$3:$F$112,4,FALSE),"")</f>
        <v/>
      </c>
      <c r="E1003" s="36" t="str">
        <f>IFERROR(VLOOKUP(A1003,القائمة!$A$3:$F$112,5,FALSE),"")</f>
        <v/>
      </c>
      <c r="F1003" s="37" t="str">
        <f>IFERROR(VLOOKUP(A1003,القائمة!$A$3:$F$112,6,FALSE),"")</f>
        <v/>
      </c>
      <c r="P1003" s="27">
        <f t="shared" si="33"/>
        <v>0</v>
      </c>
      <c r="Q1003" s="27">
        <f t="shared" si="32"/>
        <v>0</v>
      </c>
    </row>
    <row r="1004" spans="2:17" x14ac:dyDescent="0.45">
      <c r="B1004" s="27" t="str">
        <f>IFERROR(VLOOKUP(A1004,القائمة!$A$3:$F$112,2,FALSE),"")</f>
        <v/>
      </c>
      <c r="C1004" s="27" t="str">
        <f>IFERROR(VLOOKUP(A1004,القائمة!$A$3:$F$112,3,FALSE),"")</f>
        <v/>
      </c>
      <c r="D1004" s="36" t="str">
        <f>IFERROR(VLOOKUP(A1004,القائمة!$A$3:$F$112,4,FALSE),"")</f>
        <v/>
      </c>
      <c r="E1004" s="36" t="str">
        <f>IFERROR(VLOOKUP(A1004,القائمة!$A$3:$F$112,5,FALSE),"")</f>
        <v/>
      </c>
      <c r="F1004" s="37" t="str">
        <f>IFERROR(VLOOKUP(A1004,القائمة!$A$3:$F$112,6,FALSE),"")</f>
        <v/>
      </c>
      <c r="P1004" s="27">
        <f t="shared" si="33"/>
        <v>0</v>
      </c>
      <c r="Q1004" s="27">
        <f t="shared" si="32"/>
        <v>0</v>
      </c>
    </row>
    <row r="1005" spans="2:17" x14ac:dyDescent="0.45">
      <c r="B1005" s="27" t="str">
        <f>IFERROR(VLOOKUP(A1005,القائمة!$A$3:$F$112,2,FALSE),"")</f>
        <v/>
      </c>
      <c r="C1005" s="27" t="str">
        <f>IFERROR(VLOOKUP(A1005,القائمة!$A$3:$F$112,3,FALSE),"")</f>
        <v/>
      </c>
      <c r="D1005" s="36" t="str">
        <f>IFERROR(VLOOKUP(A1005,القائمة!$A$3:$F$112,4,FALSE),"")</f>
        <v/>
      </c>
      <c r="E1005" s="36" t="str">
        <f>IFERROR(VLOOKUP(A1005,القائمة!$A$3:$F$112,5,FALSE),"")</f>
        <v/>
      </c>
      <c r="F1005" s="37" t="str">
        <f>IFERROR(VLOOKUP(A1005,القائمة!$A$3:$F$112,6,FALSE),"")</f>
        <v/>
      </c>
      <c r="P1005" s="27">
        <f t="shared" si="33"/>
        <v>0</v>
      </c>
      <c r="Q1005" s="27">
        <f t="shared" si="32"/>
        <v>0</v>
      </c>
    </row>
    <row r="1006" spans="2:17" x14ac:dyDescent="0.45">
      <c r="B1006" s="27" t="str">
        <f>IFERROR(VLOOKUP(A1006,القائمة!$A$3:$F$112,2,FALSE),"")</f>
        <v/>
      </c>
      <c r="C1006" s="27" t="str">
        <f>IFERROR(VLOOKUP(A1006,القائمة!$A$3:$F$112,3,FALSE),"")</f>
        <v/>
      </c>
      <c r="D1006" s="36" t="str">
        <f>IFERROR(VLOOKUP(A1006,القائمة!$A$3:$F$112,4,FALSE),"")</f>
        <v/>
      </c>
      <c r="E1006" s="36" t="str">
        <f>IFERROR(VLOOKUP(A1006,القائمة!$A$3:$F$112,5,FALSE),"")</f>
        <v/>
      </c>
      <c r="F1006" s="37" t="str">
        <f>IFERROR(VLOOKUP(A1006,القائمة!$A$3:$F$112,6,FALSE),"")</f>
        <v/>
      </c>
      <c r="P1006" s="27">
        <f t="shared" si="33"/>
        <v>0</v>
      </c>
      <c r="Q1006" s="27">
        <f t="shared" si="32"/>
        <v>0</v>
      </c>
    </row>
    <row r="1007" spans="2:17" x14ac:dyDescent="0.45">
      <c r="B1007" s="27" t="str">
        <f>IFERROR(VLOOKUP(A1007,القائمة!$A$3:$F$112,2,FALSE),"")</f>
        <v/>
      </c>
      <c r="C1007" s="27" t="str">
        <f>IFERROR(VLOOKUP(A1007,القائمة!$A$3:$F$112,3,FALSE),"")</f>
        <v/>
      </c>
      <c r="D1007" s="36" t="str">
        <f>IFERROR(VLOOKUP(A1007,القائمة!$A$3:$F$112,4,FALSE),"")</f>
        <v/>
      </c>
      <c r="E1007" s="36" t="str">
        <f>IFERROR(VLOOKUP(A1007,القائمة!$A$3:$F$112,5,FALSE),"")</f>
        <v/>
      </c>
      <c r="F1007" s="37" t="str">
        <f>IFERROR(VLOOKUP(A1007,القائمة!$A$3:$F$112,6,FALSE),"")</f>
        <v/>
      </c>
      <c r="P1007" s="27">
        <f t="shared" si="33"/>
        <v>0</v>
      </c>
      <c r="Q1007" s="27">
        <f t="shared" si="32"/>
        <v>0</v>
      </c>
    </row>
    <row r="1008" spans="2:17" x14ac:dyDescent="0.45">
      <c r="B1008" s="27" t="str">
        <f>IFERROR(VLOOKUP(A1008,القائمة!$A$3:$F$112,2,FALSE),"")</f>
        <v/>
      </c>
      <c r="C1008" s="27" t="str">
        <f>IFERROR(VLOOKUP(A1008,القائمة!$A$3:$F$112,3,FALSE),"")</f>
        <v/>
      </c>
      <c r="D1008" s="36" t="str">
        <f>IFERROR(VLOOKUP(A1008,القائمة!$A$3:$F$112,4,FALSE),"")</f>
        <v/>
      </c>
      <c r="E1008" s="36" t="str">
        <f>IFERROR(VLOOKUP(A1008,القائمة!$A$3:$F$112,5,FALSE),"")</f>
        <v/>
      </c>
      <c r="F1008" s="37" t="str">
        <f>IFERROR(VLOOKUP(A1008,القائمة!$A$3:$F$112,6,FALSE),"")</f>
        <v/>
      </c>
      <c r="P1008" s="27">
        <f t="shared" si="33"/>
        <v>0</v>
      </c>
      <c r="Q1008" s="27">
        <f t="shared" si="32"/>
        <v>0</v>
      </c>
    </row>
    <row r="1009" spans="2:17" x14ac:dyDescent="0.45">
      <c r="B1009" s="27" t="str">
        <f>IFERROR(VLOOKUP(A1009,القائمة!$A$3:$F$112,2,FALSE),"")</f>
        <v/>
      </c>
      <c r="C1009" s="27" t="str">
        <f>IFERROR(VLOOKUP(A1009,القائمة!$A$3:$F$112,3,FALSE),"")</f>
        <v/>
      </c>
      <c r="D1009" s="36" t="str">
        <f>IFERROR(VLOOKUP(A1009,القائمة!$A$3:$F$112,4,FALSE),"")</f>
        <v/>
      </c>
      <c r="E1009" s="36" t="str">
        <f>IFERROR(VLOOKUP(A1009,القائمة!$A$3:$F$112,5,FALSE),"")</f>
        <v/>
      </c>
      <c r="F1009" s="37" t="str">
        <f>IFERROR(VLOOKUP(A1009,القائمة!$A$3:$F$112,6,FALSE),"")</f>
        <v/>
      </c>
      <c r="P1009" s="27">
        <f t="shared" si="33"/>
        <v>0</v>
      </c>
      <c r="Q1009" s="27">
        <f t="shared" si="32"/>
        <v>0</v>
      </c>
    </row>
    <row r="1010" spans="2:17" x14ac:dyDescent="0.45">
      <c r="B1010" s="27" t="str">
        <f>IFERROR(VLOOKUP(A1010,القائمة!$A$3:$F$112,2,FALSE),"")</f>
        <v/>
      </c>
      <c r="C1010" s="27" t="str">
        <f>IFERROR(VLOOKUP(A1010,القائمة!$A$3:$F$112,3,FALSE),"")</f>
        <v/>
      </c>
      <c r="D1010" s="36" t="str">
        <f>IFERROR(VLOOKUP(A1010,القائمة!$A$3:$F$112,4,FALSE),"")</f>
        <v/>
      </c>
      <c r="E1010" s="36" t="str">
        <f>IFERROR(VLOOKUP(A1010,القائمة!$A$3:$F$112,5,FALSE),"")</f>
        <v/>
      </c>
      <c r="F1010" s="37" t="str">
        <f>IFERROR(VLOOKUP(A1010,القائمة!$A$3:$F$112,6,FALSE),"")</f>
        <v/>
      </c>
      <c r="P1010" s="27">
        <f t="shared" si="33"/>
        <v>0</v>
      </c>
      <c r="Q1010" s="27">
        <f t="shared" si="32"/>
        <v>0</v>
      </c>
    </row>
    <row r="1011" spans="2:17" x14ac:dyDescent="0.45">
      <c r="B1011" s="27" t="str">
        <f>IFERROR(VLOOKUP(A1011,القائمة!$A$3:$F$112,2,FALSE),"")</f>
        <v/>
      </c>
      <c r="C1011" s="27" t="str">
        <f>IFERROR(VLOOKUP(A1011,القائمة!$A$3:$F$112,3,FALSE),"")</f>
        <v/>
      </c>
      <c r="D1011" s="36" t="str">
        <f>IFERROR(VLOOKUP(A1011,القائمة!$A$3:$F$112,4,FALSE),"")</f>
        <v/>
      </c>
      <c r="E1011" s="36" t="str">
        <f>IFERROR(VLOOKUP(A1011,القائمة!$A$3:$F$112,5,FALSE),"")</f>
        <v/>
      </c>
      <c r="F1011" s="37" t="str">
        <f>IFERROR(VLOOKUP(A1011,القائمة!$A$3:$F$112,6,FALSE),"")</f>
        <v/>
      </c>
      <c r="P1011" s="27">
        <f t="shared" si="33"/>
        <v>0</v>
      </c>
      <c r="Q1011" s="27">
        <f t="shared" si="32"/>
        <v>0</v>
      </c>
    </row>
    <row r="1012" spans="2:17" x14ac:dyDescent="0.45">
      <c r="B1012" s="27" t="str">
        <f>IFERROR(VLOOKUP(A1012,القائمة!$A$3:$F$112,2,FALSE),"")</f>
        <v/>
      </c>
      <c r="C1012" s="27" t="str">
        <f>IFERROR(VLOOKUP(A1012,القائمة!$A$3:$F$112,3,FALSE),"")</f>
        <v/>
      </c>
      <c r="D1012" s="36" t="str">
        <f>IFERROR(VLOOKUP(A1012,القائمة!$A$3:$F$112,4,FALSE),"")</f>
        <v/>
      </c>
      <c r="E1012" s="36" t="str">
        <f>IFERROR(VLOOKUP(A1012,القائمة!$A$3:$F$112,5,FALSE),"")</f>
        <v/>
      </c>
      <c r="F1012" s="37" t="str">
        <f>IFERROR(VLOOKUP(A1012,القائمة!$A$3:$F$112,6,FALSE),"")</f>
        <v/>
      </c>
      <c r="P1012" s="27">
        <f t="shared" si="33"/>
        <v>0</v>
      </c>
      <c r="Q1012" s="27">
        <f t="shared" si="32"/>
        <v>0</v>
      </c>
    </row>
    <row r="1013" spans="2:17" x14ac:dyDescent="0.45">
      <c r="B1013" s="27" t="str">
        <f>IFERROR(VLOOKUP(A1013,القائمة!$A$3:$F$112,2,FALSE),"")</f>
        <v/>
      </c>
      <c r="C1013" s="27" t="str">
        <f>IFERROR(VLOOKUP(A1013,القائمة!$A$3:$F$112,3,FALSE),"")</f>
        <v/>
      </c>
      <c r="D1013" s="36" t="str">
        <f>IFERROR(VLOOKUP(A1013,القائمة!$A$3:$F$112,4,FALSE),"")</f>
        <v/>
      </c>
      <c r="E1013" s="36" t="str">
        <f>IFERROR(VLOOKUP(A1013,القائمة!$A$3:$F$112,5,FALSE),"")</f>
        <v/>
      </c>
      <c r="F1013" s="37" t="str">
        <f>IFERROR(VLOOKUP(A1013,القائمة!$A$3:$F$112,6,FALSE),"")</f>
        <v/>
      </c>
      <c r="P1013" s="27">
        <f t="shared" si="33"/>
        <v>0</v>
      </c>
      <c r="Q1013" s="27">
        <f t="shared" si="32"/>
        <v>0</v>
      </c>
    </row>
    <row r="1014" spans="2:17" x14ac:dyDescent="0.45">
      <c r="B1014" s="27" t="str">
        <f>IFERROR(VLOOKUP(A1014,القائمة!$A$3:$F$112,2,FALSE),"")</f>
        <v/>
      </c>
      <c r="C1014" s="27" t="str">
        <f>IFERROR(VLOOKUP(A1014,القائمة!$A$3:$F$112,3,FALSE),"")</f>
        <v/>
      </c>
      <c r="D1014" s="36" t="str">
        <f>IFERROR(VLOOKUP(A1014,القائمة!$A$3:$F$112,4,FALSE),"")</f>
        <v/>
      </c>
      <c r="E1014" s="36" t="str">
        <f>IFERROR(VLOOKUP(A1014,القائمة!$A$3:$F$112,5,FALSE),"")</f>
        <v/>
      </c>
      <c r="F1014" s="37" t="str">
        <f>IFERROR(VLOOKUP(A1014,القائمة!$A$3:$F$112,6,FALSE),"")</f>
        <v/>
      </c>
      <c r="P1014" s="27">
        <f t="shared" si="33"/>
        <v>0</v>
      </c>
      <c r="Q1014" s="27">
        <f t="shared" si="32"/>
        <v>0</v>
      </c>
    </row>
    <row r="1015" spans="2:17" x14ac:dyDescent="0.45">
      <c r="B1015" s="27" t="str">
        <f>IFERROR(VLOOKUP(A1015,القائمة!$A$3:$F$112,2,FALSE),"")</f>
        <v/>
      </c>
      <c r="C1015" s="27" t="str">
        <f>IFERROR(VLOOKUP(A1015,القائمة!$A$3:$F$112,3,FALSE),"")</f>
        <v/>
      </c>
      <c r="D1015" s="36" t="str">
        <f>IFERROR(VLOOKUP(A1015,القائمة!$A$3:$F$112,4,FALSE),"")</f>
        <v/>
      </c>
      <c r="E1015" s="36" t="str">
        <f>IFERROR(VLOOKUP(A1015,القائمة!$A$3:$F$112,5,FALSE),"")</f>
        <v/>
      </c>
      <c r="F1015" s="37" t="str">
        <f>IFERROR(VLOOKUP(A1015,القائمة!$A$3:$F$112,6,FALSE),"")</f>
        <v/>
      </c>
      <c r="P1015" s="27">
        <f t="shared" si="33"/>
        <v>0</v>
      </c>
      <c r="Q1015" s="27">
        <f t="shared" si="32"/>
        <v>0</v>
      </c>
    </row>
    <row r="1016" spans="2:17" x14ac:dyDescent="0.45">
      <c r="B1016" s="27" t="str">
        <f>IFERROR(VLOOKUP(A1016,القائمة!$A$3:$F$112,2,FALSE),"")</f>
        <v/>
      </c>
      <c r="C1016" s="27" t="str">
        <f>IFERROR(VLOOKUP(A1016,القائمة!$A$3:$F$112,3,FALSE),"")</f>
        <v/>
      </c>
      <c r="D1016" s="36" t="str">
        <f>IFERROR(VLOOKUP(A1016,القائمة!$A$3:$F$112,4,FALSE),"")</f>
        <v/>
      </c>
      <c r="E1016" s="36" t="str">
        <f>IFERROR(VLOOKUP(A1016,القائمة!$A$3:$F$112,5,FALSE),"")</f>
        <v/>
      </c>
      <c r="F1016" s="37" t="str">
        <f>IFERROR(VLOOKUP(A1016,القائمة!$A$3:$F$112,6,FALSE),"")</f>
        <v/>
      </c>
      <c r="P1016" s="27">
        <f t="shared" si="33"/>
        <v>0</v>
      </c>
      <c r="Q1016" s="27">
        <f t="shared" si="32"/>
        <v>0</v>
      </c>
    </row>
    <row r="1017" spans="2:17" x14ac:dyDescent="0.45">
      <c r="B1017" s="27" t="str">
        <f>IFERROR(VLOOKUP(A1017,القائمة!$A$3:$F$112,2,FALSE),"")</f>
        <v/>
      </c>
      <c r="C1017" s="27" t="str">
        <f>IFERROR(VLOOKUP(A1017,القائمة!$A$3:$F$112,3,FALSE),"")</f>
        <v/>
      </c>
      <c r="D1017" s="36" t="str">
        <f>IFERROR(VLOOKUP(A1017,القائمة!$A$3:$F$112,4,FALSE),"")</f>
        <v/>
      </c>
      <c r="E1017" s="36" t="str">
        <f>IFERROR(VLOOKUP(A1017,القائمة!$A$3:$F$112,5,FALSE),"")</f>
        <v/>
      </c>
      <c r="F1017" s="37" t="str">
        <f>IFERROR(VLOOKUP(A1017,القائمة!$A$3:$F$112,6,FALSE),"")</f>
        <v/>
      </c>
      <c r="P1017" s="27">
        <f t="shared" si="33"/>
        <v>0</v>
      </c>
      <c r="Q1017" s="27">
        <f t="shared" si="32"/>
        <v>0</v>
      </c>
    </row>
    <row r="1018" spans="2:17" x14ac:dyDescent="0.45">
      <c r="B1018" s="27" t="str">
        <f>IFERROR(VLOOKUP(A1018,القائمة!$A$3:$F$112,2,FALSE),"")</f>
        <v/>
      </c>
      <c r="C1018" s="27" t="str">
        <f>IFERROR(VLOOKUP(A1018,القائمة!$A$3:$F$112,3,FALSE),"")</f>
        <v/>
      </c>
      <c r="D1018" s="36" t="str">
        <f>IFERROR(VLOOKUP(A1018,القائمة!$A$3:$F$112,4,FALSE),"")</f>
        <v/>
      </c>
      <c r="E1018" s="36" t="str">
        <f>IFERROR(VLOOKUP(A1018,القائمة!$A$3:$F$112,5,FALSE),"")</f>
        <v/>
      </c>
      <c r="F1018" s="37" t="str">
        <f>IFERROR(VLOOKUP(A1018,القائمة!$A$3:$F$112,6,FALSE),"")</f>
        <v/>
      </c>
      <c r="P1018" s="27">
        <f t="shared" si="33"/>
        <v>0</v>
      </c>
      <c r="Q1018" s="27">
        <f t="shared" si="32"/>
        <v>0</v>
      </c>
    </row>
    <row r="1019" spans="2:17" x14ac:dyDescent="0.45">
      <c r="B1019" s="27" t="str">
        <f>IFERROR(VLOOKUP(A1019,القائمة!$A$3:$F$112,2,FALSE),"")</f>
        <v/>
      </c>
      <c r="C1019" s="27" t="str">
        <f>IFERROR(VLOOKUP(A1019,القائمة!$A$3:$F$112,3,FALSE),"")</f>
        <v/>
      </c>
      <c r="D1019" s="36" t="str">
        <f>IFERROR(VLOOKUP(A1019,القائمة!$A$3:$F$112,4,FALSE),"")</f>
        <v/>
      </c>
      <c r="E1019" s="36" t="str">
        <f>IFERROR(VLOOKUP(A1019,القائمة!$A$3:$F$112,5,FALSE),"")</f>
        <v/>
      </c>
      <c r="F1019" s="37" t="str">
        <f>IFERROR(VLOOKUP(A1019,القائمة!$A$3:$F$112,6,FALSE),"")</f>
        <v/>
      </c>
      <c r="P1019" s="27">
        <f t="shared" si="33"/>
        <v>0</v>
      </c>
      <c r="Q1019" s="27">
        <f t="shared" si="32"/>
        <v>0</v>
      </c>
    </row>
    <row r="1020" spans="2:17" x14ac:dyDescent="0.45">
      <c r="B1020" s="27" t="str">
        <f>IFERROR(VLOOKUP(A1020,القائمة!$A$3:$F$112,2,FALSE),"")</f>
        <v/>
      </c>
      <c r="C1020" s="27" t="str">
        <f>IFERROR(VLOOKUP(A1020,القائمة!$A$3:$F$112,3,FALSE),"")</f>
        <v/>
      </c>
      <c r="D1020" s="36" t="str">
        <f>IFERROR(VLOOKUP(A1020,القائمة!$A$3:$F$112,4,FALSE),"")</f>
        <v/>
      </c>
      <c r="E1020" s="36" t="str">
        <f>IFERROR(VLOOKUP(A1020,القائمة!$A$3:$F$112,5,FALSE),"")</f>
        <v/>
      </c>
      <c r="F1020" s="37" t="str">
        <f>IFERROR(VLOOKUP(A1020,القائمة!$A$3:$F$112,6,FALSE),"")</f>
        <v/>
      </c>
      <c r="P1020" s="27">
        <f t="shared" si="33"/>
        <v>0</v>
      </c>
      <c r="Q1020" s="27">
        <f t="shared" si="32"/>
        <v>0</v>
      </c>
    </row>
    <row r="1021" spans="2:17" x14ac:dyDescent="0.45">
      <c r="B1021" s="27" t="str">
        <f>IFERROR(VLOOKUP(A1021,القائمة!$A$3:$F$112,2,FALSE),"")</f>
        <v/>
      </c>
      <c r="C1021" s="27" t="str">
        <f>IFERROR(VLOOKUP(A1021,القائمة!$A$3:$F$112,3,FALSE),"")</f>
        <v/>
      </c>
      <c r="D1021" s="36" t="str">
        <f>IFERROR(VLOOKUP(A1021,القائمة!$A$3:$F$112,4,FALSE),"")</f>
        <v/>
      </c>
      <c r="E1021" s="36" t="str">
        <f>IFERROR(VLOOKUP(A1021,القائمة!$A$3:$F$112,5,FALSE),"")</f>
        <v/>
      </c>
      <c r="F1021" s="37" t="str">
        <f>IFERROR(VLOOKUP(A1021,القائمة!$A$3:$F$112,6,FALSE),"")</f>
        <v/>
      </c>
      <c r="P1021" s="27">
        <f t="shared" si="33"/>
        <v>0</v>
      </c>
      <c r="Q1021" s="27">
        <f t="shared" si="32"/>
        <v>0</v>
      </c>
    </row>
    <row r="1022" spans="2:17" x14ac:dyDescent="0.45">
      <c r="B1022" s="27" t="str">
        <f>IFERROR(VLOOKUP(A1022,القائمة!$A$3:$F$112,2,FALSE),"")</f>
        <v/>
      </c>
      <c r="C1022" s="27" t="str">
        <f>IFERROR(VLOOKUP(A1022,القائمة!$A$3:$F$112,3,FALSE),"")</f>
        <v/>
      </c>
      <c r="D1022" s="36" t="str">
        <f>IFERROR(VLOOKUP(A1022,القائمة!$A$3:$F$112,4,FALSE),"")</f>
        <v/>
      </c>
      <c r="E1022" s="36" t="str">
        <f>IFERROR(VLOOKUP(A1022,القائمة!$A$3:$F$112,5,FALSE),"")</f>
        <v/>
      </c>
      <c r="F1022" s="37" t="str">
        <f>IFERROR(VLOOKUP(A1022,القائمة!$A$3:$F$112,6,FALSE),"")</f>
        <v/>
      </c>
      <c r="P1022" s="27">
        <f t="shared" si="33"/>
        <v>0</v>
      </c>
      <c r="Q1022" s="27">
        <f t="shared" si="32"/>
        <v>0</v>
      </c>
    </row>
    <row r="1023" spans="2:17" x14ac:dyDescent="0.45">
      <c r="B1023" s="27" t="str">
        <f>IFERROR(VLOOKUP(A1023,القائمة!$A$3:$F$112,2,FALSE),"")</f>
        <v/>
      </c>
      <c r="C1023" s="27" t="str">
        <f>IFERROR(VLOOKUP(A1023,القائمة!$A$3:$F$112,3,FALSE),"")</f>
        <v/>
      </c>
      <c r="D1023" s="36" t="str">
        <f>IFERROR(VLOOKUP(A1023,القائمة!$A$3:$F$112,4,FALSE),"")</f>
        <v/>
      </c>
      <c r="E1023" s="36" t="str">
        <f>IFERROR(VLOOKUP(A1023,القائمة!$A$3:$F$112,5,FALSE),"")</f>
        <v/>
      </c>
      <c r="F1023" s="37" t="str">
        <f>IFERROR(VLOOKUP(A1023,القائمة!$A$3:$F$112,6,FALSE),"")</f>
        <v/>
      </c>
      <c r="P1023" s="27">
        <f t="shared" si="33"/>
        <v>0</v>
      </c>
      <c r="Q1023" s="27">
        <f t="shared" si="32"/>
        <v>0</v>
      </c>
    </row>
    <row r="1024" spans="2:17" x14ac:dyDescent="0.45">
      <c r="B1024" s="27" t="str">
        <f>IFERROR(VLOOKUP(A1024,القائمة!$A$3:$F$112,2,FALSE),"")</f>
        <v/>
      </c>
      <c r="C1024" s="27" t="str">
        <f>IFERROR(VLOOKUP(A1024,القائمة!$A$3:$F$112,3,FALSE),"")</f>
        <v/>
      </c>
      <c r="D1024" s="36" t="str">
        <f>IFERROR(VLOOKUP(A1024,القائمة!$A$3:$F$112,4,FALSE),"")</f>
        <v/>
      </c>
      <c r="E1024" s="36" t="str">
        <f>IFERROR(VLOOKUP(A1024,القائمة!$A$3:$F$112,5,FALSE),"")</f>
        <v/>
      </c>
      <c r="F1024" s="37" t="str">
        <f>IFERROR(VLOOKUP(A1024,القائمة!$A$3:$F$112,6,FALSE),"")</f>
        <v/>
      </c>
      <c r="P1024" s="27">
        <f t="shared" si="33"/>
        <v>0</v>
      </c>
      <c r="Q1024" s="27">
        <f t="shared" si="32"/>
        <v>0</v>
      </c>
    </row>
    <row r="1025" spans="2:17" x14ac:dyDescent="0.45">
      <c r="B1025" s="27" t="str">
        <f>IFERROR(VLOOKUP(A1025,القائمة!$A$3:$F$112,2,FALSE),"")</f>
        <v/>
      </c>
      <c r="C1025" s="27" t="str">
        <f>IFERROR(VLOOKUP(A1025,القائمة!$A$3:$F$112,3,FALSE),"")</f>
        <v/>
      </c>
      <c r="D1025" s="36" t="str">
        <f>IFERROR(VLOOKUP(A1025,القائمة!$A$3:$F$112,4,FALSE),"")</f>
        <v/>
      </c>
      <c r="E1025" s="36" t="str">
        <f>IFERROR(VLOOKUP(A1025,القائمة!$A$3:$F$112,5,FALSE),"")</f>
        <v/>
      </c>
      <c r="F1025" s="37" t="str">
        <f>IFERROR(VLOOKUP(A1025,القائمة!$A$3:$F$112,6,FALSE),"")</f>
        <v/>
      </c>
      <c r="P1025" s="27">
        <f t="shared" si="33"/>
        <v>0</v>
      </c>
      <c r="Q1025" s="27">
        <f t="shared" si="32"/>
        <v>0</v>
      </c>
    </row>
    <row r="1026" spans="2:17" x14ac:dyDescent="0.45">
      <c r="B1026" s="27" t="str">
        <f>IFERROR(VLOOKUP(A1026,القائمة!$A$3:$F$112,2,FALSE),"")</f>
        <v/>
      </c>
      <c r="C1026" s="27" t="str">
        <f>IFERROR(VLOOKUP(A1026,القائمة!$A$3:$F$112,3,FALSE),"")</f>
        <v/>
      </c>
      <c r="D1026" s="36" t="str">
        <f>IFERROR(VLOOKUP(A1026,القائمة!$A$3:$F$112,4,FALSE),"")</f>
        <v/>
      </c>
      <c r="E1026" s="36" t="str">
        <f>IFERROR(VLOOKUP(A1026,القائمة!$A$3:$F$112,5,FALSE),"")</f>
        <v/>
      </c>
      <c r="F1026" s="37" t="str">
        <f>IFERROR(VLOOKUP(A1026,القائمة!$A$3:$F$112,6,FALSE),"")</f>
        <v/>
      </c>
      <c r="P1026" s="27">
        <f t="shared" si="33"/>
        <v>0</v>
      </c>
      <c r="Q1026" s="27">
        <f t="shared" si="32"/>
        <v>0</v>
      </c>
    </row>
    <row r="1027" spans="2:17" x14ac:dyDescent="0.45">
      <c r="B1027" s="27" t="str">
        <f>IFERROR(VLOOKUP(A1027,القائمة!$A$3:$F$112,2,FALSE),"")</f>
        <v/>
      </c>
      <c r="C1027" s="27" t="str">
        <f>IFERROR(VLOOKUP(A1027,القائمة!$A$3:$F$112,3,FALSE),"")</f>
        <v/>
      </c>
      <c r="D1027" s="36" t="str">
        <f>IFERROR(VLOOKUP(A1027,القائمة!$A$3:$F$112,4,FALSE),"")</f>
        <v/>
      </c>
      <c r="E1027" s="36" t="str">
        <f>IFERROR(VLOOKUP(A1027,القائمة!$A$3:$F$112,5,FALSE),"")</f>
        <v/>
      </c>
      <c r="F1027" s="37" t="str">
        <f>IFERROR(VLOOKUP(A1027,القائمة!$A$3:$F$112,6,FALSE),"")</f>
        <v/>
      </c>
      <c r="P1027" s="27">
        <f t="shared" si="33"/>
        <v>0</v>
      </c>
      <c r="Q1027" s="27">
        <f t="shared" ref="Q1027:Q1090" si="34">+P1027+L1027-M1027</f>
        <v>0</v>
      </c>
    </row>
    <row r="1028" spans="2:17" x14ac:dyDescent="0.45">
      <c r="B1028" s="27" t="str">
        <f>IFERROR(VLOOKUP(A1028,القائمة!$A$3:$F$112,2,FALSE),"")</f>
        <v/>
      </c>
      <c r="C1028" s="27" t="str">
        <f>IFERROR(VLOOKUP(A1028,القائمة!$A$3:$F$112,3,FALSE),"")</f>
        <v/>
      </c>
      <c r="D1028" s="36" t="str">
        <f>IFERROR(VLOOKUP(A1028,القائمة!$A$3:$F$112,4,FALSE),"")</f>
        <v/>
      </c>
      <c r="E1028" s="36" t="str">
        <f>IFERROR(VLOOKUP(A1028,القائمة!$A$3:$F$112,5,FALSE),"")</f>
        <v/>
      </c>
      <c r="F1028" s="37" t="str">
        <f>IFERROR(VLOOKUP(A1028,القائمة!$A$3:$F$112,6,FALSE),"")</f>
        <v/>
      </c>
      <c r="P1028" s="27">
        <f t="shared" ref="P1028:P1091" si="35">J1028-K1028</f>
        <v>0</v>
      </c>
      <c r="Q1028" s="27">
        <f t="shared" si="34"/>
        <v>0</v>
      </c>
    </row>
    <row r="1029" spans="2:17" x14ac:dyDescent="0.45">
      <c r="B1029" s="27" t="str">
        <f>IFERROR(VLOOKUP(A1029,القائمة!$A$3:$F$112,2,FALSE),"")</f>
        <v/>
      </c>
      <c r="C1029" s="27" t="str">
        <f>IFERROR(VLOOKUP(A1029,القائمة!$A$3:$F$112,3,FALSE),"")</f>
        <v/>
      </c>
      <c r="D1029" s="36" t="str">
        <f>IFERROR(VLOOKUP(A1029,القائمة!$A$3:$F$112,4,FALSE),"")</f>
        <v/>
      </c>
      <c r="E1029" s="36" t="str">
        <f>IFERROR(VLOOKUP(A1029,القائمة!$A$3:$F$112,5,FALSE),"")</f>
        <v/>
      </c>
      <c r="F1029" s="37" t="str">
        <f>IFERROR(VLOOKUP(A1029,القائمة!$A$3:$F$112,6,FALSE),"")</f>
        <v/>
      </c>
      <c r="P1029" s="27">
        <f t="shared" si="35"/>
        <v>0</v>
      </c>
      <c r="Q1029" s="27">
        <f t="shared" si="34"/>
        <v>0</v>
      </c>
    </row>
    <row r="1030" spans="2:17" x14ac:dyDescent="0.45">
      <c r="B1030" s="27" t="str">
        <f>IFERROR(VLOOKUP(A1030,القائمة!$A$3:$F$112,2,FALSE),"")</f>
        <v/>
      </c>
      <c r="C1030" s="27" t="str">
        <f>IFERROR(VLOOKUP(A1030,القائمة!$A$3:$F$112,3,FALSE),"")</f>
        <v/>
      </c>
      <c r="D1030" s="36" t="str">
        <f>IFERROR(VLOOKUP(A1030,القائمة!$A$3:$F$112,4,FALSE),"")</f>
        <v/>
      </c>
      <c r="E1030" s="36" t="str">
        <f>IFERROR(VLOOKUP(A1030,القائمة!$A$3:$F$112,5,FALSE),"")</f>
        <v/>
      </c>
      <c r="F1030" s="37" t="str">
        <f>IFERROR(VLOOKUP(A1030,القائمة!$A$3:$F$112,6,FALSE),"")</f>
        <v/>
      </c>
      <c r="P1030" s="27">
        <f t="shared" si="35"/>
        <v>0</v>
      </c>
      <c r="Q1030" s="27">
        <f t="shared" si="34"/>
        <v>0</v>
      </c>
    </row>
    <row r="1031" spans="2:17" x14ac:dyDescent="0.45">
      <c r="B1031" s="27" t="str">
        <f>IFERROR(VLOOKUP(A1031,القائمة!$A$3:$F$112,2,FALSE),"")</f>
        <v/>
      </c>
      <c r="C1031" s="27" t="str">
        <f>IFERROR(VLOOKUP(A1031,القائمة!$A$3:$F$112,3,FALSE),"")</f>
        <v/>
      </c>
      <c r="D1031" s="36" t="str">
        <f>IFERROR(VLOOKUP(A1031,القائمة!$A$3:$F$112,4,FALSE),"")</f>
        <v/>
      </c>
      <c r="E1031" s="36" t="str">
        <f>IFERROR(VLOOKUP(A1031,القائمة!$A$3:$F$112,5,FALSE),"")</f>
        <v/>
      </c>
      <c r="F1031" s="37" t="str">
        <f>IFERROR(VLOOKUP(A1031,القائمة!$A$3:$F$112,6,FALSE),"")</f>
        <v/>
      </c>
      <c r="P1031" s="27">
        <f t="shared" si="35"/>
        <v>0</v>
      </c>
      <c r="Q1031" s="27">
        <f t="shared" si="34"/>
        <v>0</v>
      </c>
    </row>
    <row r="1032" spans="2:17" x14ac:dyDescent="0.45">
      <c r="B1032" s="27" t="str">
        <f>IFERROR(VLOOKUP(A1032,القائمة!$A$3:$F$112,2,FALSE),"")</f>
        <v/>
      </c>
      <c r="C1032" s="27" t="str">
        <f>IFERROR(VLOOKUP(A1032,القائمة!$A$3:$F$112,3,FALSE),"")</f>
        <v/>
      </c>
      <c r="D1032" s="36" t="str">
        <f>IFERROR(VLOOKUP(A1032,القائمة!$A$3:$F$112,4,FALSE),"")</f>
        <v/>
      </c>
      <c r="E1032" s="36" t="str">
        <f>IFERROR(VLOOKUP(A1032,القائمة!$A$3:$F$112,5,FALSE),"")</f>
        <v/>
      </c>
      <c r="F1032" s="37" t="str">
        <f>IFERROR(VLOOKUP(A1032,القائمة!$A$3:$F$112,6,FALSE),"")</f>
        <v/>
      </c>
      <c r="P1032" s="27">
        <f t="shared" si="35"/>
        <v>0</v>
      </c>
      <c r="Q1032" s="27">
        <f t="shared" si="34"/>
        <v>0</v>
      </c>
    </row>
    <row r="1033" spans="2:17" x14ac:dyDescent="0.45">
      <c r="B1033" s="27" t="str">
        <f>IFERROR(VLOOKUP(A1033,القائمة!$A$3:$F$112,2,FALSE),"")</f>
        <v/>
      </c>
      <c r="C1033" s="27" t="str">
        <f>IFERROR(VLOOKUP(A1033,القائمة!$A$3:$F$112,3,FALSE),"")</f>
        <v/>
      </c>
      <c r="D1033" s="36" t="str">
        <f>IFERROR(VLOOKUP(A1033,القائمة!$A$3:$F$112,4,FALSE),"")</f>
        <v/>
      </c>
      <c r="E1033" s="36" t="str">
        <f>IFERROR(VLOOKUP(A1033,القائمة!$A$3:$F$112,5,FALSE),"")</f>
        <v/>
      </c>
      <c r="F1033" s="37" t="str">
        <f>IFERROR(VLOOKUP(A1033,القائمة!$A$3:$F$112,6,FALSE),"")</f>
        <v/>
      </c>
      <c r="P1033" s="27">
        <f t="shared" si="35"/>
        <v>0</v>
      </c>
      <c r="Q1033" s="27">
        <f t="shared" si="34"/>
        <v>0</v>
      </c>
    </row>
    <row r="1034" spans="2:17" x14ac:dyDescent="0.45">
      <c r="B1034" s="27" t="str">
        <f>IFERROR(VLOOKUP(A1034,القائمة!$A$3:$F$112,2,FALSE),"")</f>
        <v/>
      </c>
      <c r="C1034" s="27" t="str">
        <f>IFERROR(VLOOKUP(A1034,القائمة!$A$3:$F$112,3,FALSE),"")</f>
        <v/>
      </c>
      <c r="D1034" s="36" t="str">
        <f>IFERROR(VLOOKUP(A1034,القائمة!$A$3:$F$112,4,FALSE),"")</f>
        <v/>
      </c>
      <c r="E1034" s="36" t="str">
        <f>IFERROR(VLOOKUP(A1034,القائمة!$A$3:$F$112,5,FALSE),"")</f>
        <v/>
      </c>
      <c r="F1034" s="37" t="str">
        <f>IFERROR(VLOOKUP(A1034,القائمة!$A$3:$F$112,6,FALSE),"")</f>
        <v/>
      </c>
      <c r="P1034" s="27">
        <f t="shared" si="35"/>
        <v>0</v>
      </c>
      <c r="Q1034" s="27">
        <f t="shared" si="34"/>
        <v>0</v>
      </c>
    </row>
    <row r="1035" spans="2:17" x14ac:dyDescent="0.45">
      <c r="B1035" s="27" t="str">
        <f>IFERROR(VLOOKUP(A1035,القائمة!$A$3:$F$112,2,FALSE),"")</f>
        <v/>
      </c>
      <c r="C1035" s="27" t="str">
        <f>IFERROR(VLOOKUP(A1035,القائمة!$A$3:$F$112,3,FALSE),"")</f>
        <v/>
      </c>
      <c r="D1035" s="36" t="str">
        <f>IFERROR(VLOOKUP(A1035,القائمة!$A$3:$F$112,4,FALSE),"")</f>
        <v/>
      </c>
      <c r="E1035" s="36" t="str">
        <f>IFERROR(VLOOKUP(A1035,القائمة!$A$3:$F$112,5,FALSE),"")</f>
        <v/>
      </c>
      <c r="F1035" s="37" t="str">
        <f>IFERROR(VLOOKUP(A1035,القائمة!$A$3:$F$112,6,FALSE),"")</f>
        <v/>
      </c>
      <c r="P1035" s="27">
        <f t="shared" si="35"/>
        <v>0</v>
      </c>
      <c r="Q1035" s="27">
        <f t="shared" si="34"/>
        <v>0</v>
      </c>
    </row>
    <row r="1036" spans="2:17" x14ac:dyDescent="0.45">
      <c r="B1036" s="27" t="str">
        <f>IFERROR(VLOOKUP(A1036,القائمة!$A$3:$F$112,2,FALSE),"")</f>
        <v/>
      </c>
      <c r="C1036" s="27" t="str">
        <f>IFERROR(VLOOKUP(A1036,القائمة!$A$3:$F$112,3,FALSE),"")</f>
        <v/>
      </c>
      <c r="D1036" s="36" t="str">
        <f>IFERROR(VLOOKUP(A1036,القائمة!$A$3:$F$112,4,FALSE),"")</f>
        <v/>
      </c>
      <c r="E1036" s="36" t="str">
        <f>IFERROR(VLOOKUP(A1036,القائمة!$A$3:$F$112,5,FALSE),"")</f>
        <v/>
      </c>
      <c r="F1036" s="37" t="str">
        <f>IFERROR(VLOOKUP(A1036,القائمة!$A$3:$F$112,6,FALSE),"")</f>
        <v/>
      </c>
      <c r="P1036" s="27">
        <f t="shared" si="35"/>
        <v>0</v>
      </c>
      <c r="Q1036" s="27">
        <f t="shared" si="34"/>
        <v>0</v>
      </c>
    </row>
    <row r="1037" spans="2:17" x14ac:dyDescent="0.45">
      <c r="B1037" s="27" t="str">
        <f>IFERROR(VLOOKUP(A1037,القائمة!$A$3:$F$112,2,FALSE),"")</f>
        <v/>
      </c>
      <c r="C1037" s="27" t="str">
        <f>IFERROR(VLOOKUP(A1037,القائمة!$A$3:$F$112,3,FALSE),"")</f>
        <v/>
      </c>
      <c r="D1037" s="36" t="str">
        <f>IFERROR(VLOOKUP(A1037,القائمة!$A$3:$F$112,4,FALSE),"")</f>
        <v/>
      </c>
      <c r="E1037" s="36" t="str">
        <f>IFERROR(VLOOKUP(A1037,القائمة!$A$3:$F$112,5,FALSE),"")</f>
        <v/>
      </c>
      <c r="F1037" s="37" t="str">
        <f>IFERROR(VLOOKUP(A1037,القائمة!$A$3:$F$112,6,FALSE),"")</f>
        <v/>
      </c>
      <c r="P1037" s="27">
        <f t="shared" si="35"/>
        <v>0</v>
      </c>
      <c r="Q1037" s="27">
        <f t="shared" si="34"/>
        <v>0</v>
      </c>
    </row>
    <row r="1038" spans="2:17" x14ac:dyDescent="0.45">
      <c r="B1038" s="27" t="str">
        <f>IFERROR(VLOOKUP(A1038,القائمة!$A$3:$F$112,2,FALSE),"")</f>
        <v/>
      </c>
      <c r="C1038" s="27" t="str">
        <f>IFERROR(VLOOKUP(A1038,القائمة!$A$3:$F$112,3,FALSE),"")</f>
        <v/>
      </c>
      <c r="D1038" s="36" t="str">
        <f>IFERROR(VLOOKUP(A1038,القائمة!$A$3:$F$112,4,FALSE),"")</f>
        <v/>
      </c>
      <c r="E1038" s="36" t="str">
        <f>IFERROR(VLOOKUP(A1038,القائمة!$A$3:$F$112,5,FALSE),"")</f>
        <v/>
      </c>
      <c r="F1038" s="37" t="str">
        <f>IFERROR(VLOOKUP(A1038,القائمة!$A$3:$F$112,6,FALSE),"")</f>
        <v/>
      </c>
      <c r="P1038" s="27">
        <f t="shared" si="35"/>
        <v>0</v>
      </c>
      <c r="Q1038" s="27">
        <f t="shared" si="34"/>
        <v>0</v>
      </c>
    </row>
    <row r="1039" spans="2:17" x14ac:dyDescent="0.45">
      <c r="B1039" s="27" t="str">
        <f>IFERROR(VLOOKUP(A1039,القائمة!$A$3:$F$112,2,FALSE),"")</f>
        <v/>
      </c>
      <c r="C1039" s="27" t="str">
        <f>IFERROR(VLOOKUP(A1039,القائمة!$A$3:$F$112,3,FALSE),"")</f>
        <v/>
      </c>
      <c r="D1039" s="36" t="str">
        <f>IFERROR(VLOOKUP(A1039,القائمة!$A$3:$F$112,4,FALSE),"")</f>
        <v/>
      </c>
      <c r="E1039" s="36" t="str">
        <f>IFERROR(VLOOKUP(A1039,القائمة!$A$3:$F$112,5,FALSE),"")</f>
        <v/>
      </c>
      <c r="F1039" s="37" t="str">
        <f>IFERROR(VLOOKUP(A1039,القائمة!$A$3:$F$112,6,FALSE),"")</f>
        <v/>
      </c>
      <c r="P1039" s="27">
        <f t="shared" si="35"/>
        <v>0</v>
      </c>
      <c r="Q1039" s="27">
        <f t="shared" si="34"/>
        <v>0</v>
      </c>
    </row>
    <row r="1040" spans="2:17" x14ac:dyDescent="0.45">
      <c r="B1040" s="27" t="str">
        <f>IFERROR(VLOOKUP(A1040,القائمة!$A$3:$F$112,2,FALSE),"")</f>
        <v/>
      </c>
      <c r="C1040" s="27" t="str">
        <f>IFERROR(VLOOKUP(A1040,القائمة!$A$3:$F$112,3,FALSE),"")</f>
        <v/>
      </c>
      <c r="D1040" s="36" t="str">
        <f>IFERROR(VLOOKUP(A1040,القائمة!$A$3:$F$112,4,FALSE),"")</f>
        <v/>
      </c>
      <c r="E1040" s="36" t="str">
        <f>IFERROR(VLOOKUP(A1040,القائمة!$A$3:$F$112,5,FALSE),"")</f>
        <v/>
      </c>
      <c r="F1040" s="37" t="str">
        <f>IFERROR(VLOOKUP(A1040,القائمة!$A$3:$F$112,6,FALSE),"")</f>
        <v/>
      </c>
      <c r="P1040" s="27">
        <f t="shared" si="35"/>
        <v>0</v>
      </c>
      <c r="Q1040" s="27">
        <f t="shared" si="34"/>
        <v>0</v>
      </c>
    </row>
    <row r="1041" spans="2:17" x14ac:dyDescent="0.45">
      <c r="B1041" s="27" t="str">
        <f>IFERROR(VLOOKUP(A1041,القائمة!$A$3:$F$112,2,FALSE),"")</f>
        <v/>
      </c>
      <c r="C1041" s="27" t="str">
        <f>IFERROR(VLOOKUP(A1041,القائمة!$A$3:$F$112,3,FALSE),"")</f>
        <v/>
      </c>
      <c r="D1041" s="36" t="str">
        <f>IFERROR(VLOOKUP(A1041,القائمة!$A$3:$F$112,4,FALSE),"")</f>
        <v/>
      </c>
      <c r="E1041" s="36" t="str">
        <f>IFERROR(VLOOKUP(A1041,القائمة!$A$3:$F$112,5,FALSE),"")</f>
        <v/>
      </c>
      <c r="F1041" s="37" t="str">
        <f>IFERROR(VLOOKUP(A1041,القائمة!$A$3:$F$112,6,FALSE),"")</f>
        <v/>
      </c>
      <c r="P1041" s="27">
        <f t="shared" si="35"/>
        <v>0</v>
      </c>
      <c r="Q1041" s="27">
        <f t="shared" si="34"/>
        <v>0</v>
      </c>
    </row>
    <row r="1042" spans="2:17" x14ac:dyDescent="0.45">
      <c r="B1042" s="27" t="str">
        <f>IFERROR(VLOOKUP(A1042,القائمة!$A$3:$F$112,2,FALSE),"")</f>
        <v/>
      </c>
      <c r="C1042" s="27" t="str">
        <f>IFERROR(VLOOKUP(A1042,القائمة!$A$3:$F$112,3,FALSE),"")</f>
        <v/>
      </c>
      <c r="D1042" s="36" t="str">
        <f>IFERROR(VLOOKUP(A1042,القائمة!$A$3:$F$112,4,FALSE),"")</f>
        <v/>
      </c>
      <c r="E1042" s="36" t="str">
        <f>IFERROR(VLOOKUP(A1042,القائمة!$A$3:$F$112,5,FALSE),"")</f>
        <v/>
      </c>
      <c r="F1042" s="37" t="str">
        <f>IFERROR(VLOOKUP(A1042,القائمة!$A$3:$F$112,6,FALSE),"")</f>
        <v/>
      </c>
      <c r="P1042" s="27">
        <f t="shared" si="35"/>
        <v>0</v>
      </c>
      <c r="Q1042" s="27">
        <f t="shared" si="34"/>
        <v>0</v>
      </c>
    </row>
    <row r="1043" spans="2:17" x14ac:dyDescent="0.45">
      <c r="B1043" s="27" t="str">
        <f>IFERROR(VLOOKUP(A1043,القائمة!$A$3:$F$112,2,FALSE),"")</f>
        <v/>
      </c>
      <c r="C1043" s="27" t="str">
        <f>IFERROR(VLOOKUP(A1043,القائمة!$A$3:$F$112,3,FALSE),"")</f>
        <v/>
      </c>
      <c r="D1043" s="36" t="str">
        <f>IFERROR(VLOOKUP(A1043,القائمة!$A$3:$F$112,4,FALSE),"")</f>
        <v/>
      </c>
      <c r="E1043" s="36" t="str">
        <f>IFERROR(VLOOKUP(A1043,القائمة!$A$3:$F$112,5,FALSE),"")</f>
        <v/>
      </c>
      <c r="F1043" s="37" t="str">
        <f>IFERROR(VLOOKUP(A1043,القائمة!$A$3:$F$112,6,FALSE),"")</f>
        <v/>
      </c>
      <c r="P1043" s="27">
        <f t="shared" si="35"/>
        <v>0</v>
      </c>
      <c r="Q1043" s="27">
        <f t="shared" si="34"/>
        <v>0</v>
      </c>
    </row>
    <row r="1044" spans="2:17" x14ac:dyDescent="0.45">
      <c r="B1044" s="27" t="str">
        <f>IFERROR(VLOOKUP(A1044,القائمة!$A$3:$F$112,2,FALSE),"")</f>
        <v/>
      </c>
      <c r="C1044" s="27" t="str">
        <f>IFERROR(VLOOKUP(A1044,القائمة!$A$3:$F$112,3,FALSE),"")</f>
        <v/>
      </c>
      <c r="D1044" s="36" t="str">
        <f>IFERROR(VLOOKUP(A1044,القائمة!$A$3:$F$112,4,FALSE),"")</f>
        <v/>
      </c>
      <c r="E1044" s="36" t="str">
        <f>IFERROR(VLOOKUP(A1044,القائمة!$A$3:$F$112,5,FALSE),"")</f>
        <v/>
      </c>
      <c r="F1044" s="37" t="str">
        <f>IFERROR(VLOOKUP(A1044,القائمة!$A$3:$F$112,6,FALSE),"")</f>
        <v/>
      </c>
      <c r="P1044" s="27">
        <f t="shared" si="35"/>
        <v>0</v>
      </c>
      <c r="Q1044" s="27">
        <f t="shared" si="34"/>
        <v>0</v>
      </c>
    </row>
    <row r="1045" spans="2:17" x14ac:dyDescent="0.45">
      <c r="B1045" s="27" t="str">
        <f>IFERROR(VLOOKUP(A1045,القائمة!$A$3:$F$112,2,FALSE),"")</f>
        <v/>
      </c>
      <c r="C1045" s="27" t="str">
        <f>IFERROR(VLOOKUP(A1045,القائمة!$A$3:$F$112,3,FALSE),"")</f>
        <v/>
      </c>
      <c r="D1045" s="36" t="str">
        <f>IFERROR(VLOOKUP(A1045,القائمة!$A$3:$F$112,4,FALSE),"")</f>
        <v/>
      </c>
      <c r="E1045" s="36" t="str">
        <f>IFERROR(VLOOKUP(A1045,القائمة!$A$3:$F$112,5,FALSE),"")</f>
        <v/>
      </c>
      <c r="F1045" s="37" t="str">
        <f>IFERROR(VLOOKUP(A1045,القائمة!$A$3:$F$112,6,FALSE),"")</f>
        <v/>
      </c>
      <c r="P1045" s="27">
        <f t="shared" si="35"/>
        <v>0</v>
      </c>
      <c r="Q1045" s="27">
        <f t="shared" si="34"/>
        <v>0</v>
      </c>
    </row>
    <row r="1046" spans="2:17" x14ac:dyDescent="0.45">
      <c r="B1046" s="27" t="str">
        <f>IFERROR(VLOOKUP(A1046,القائمة!$A$3:$F$112,2,FALSE),"")</f>
        <v/>
      </c>
      <c r="C1046" s="27" t="str">
        <f>IFERROR(VLOOKUP(A1046,القائمة!$A$3:$F$112,3,FALSE),"")</f>
        <v/>
      </c>
      <c r="D1046" s="36" t="str">
        <f>IFERROR(VLOOKUP(A1046,القائمة!$A$3:$F$112,4,FALSE),"")</f>
        <v/>
      </c>
      <c r="E1046" s="36" t="str">
        <f>IFERROR(VLOOKUP(A1046,القائمة!$A$3:$F$112,5,FALSE),"")</f>
        <v/>
      </c>
      <c r="F1046" s="37" t="str">
        <f>IFERROR(VLOOKUP(A1046,القائمة!$A$3:$F$112,6,FALSE),"")</f>
        <v/>
      </c>
      <c r="P1046" s="27">
        <f t="shared" si="35"/>
        <v>0</v>
      </c>
      <c r="Q1046" s="27">
        <f t="shared" si="34"/>
        <v>0</v>
      </c>
    </row>
    <row r="1047" spans="2:17" x14ac:dyDescent="0.45">
      <c r="B1047" s="27" t="str">
        <f>IFERROR(VLOOKUP(A1047,القائمة!$A$3:$F$112,2,FALSE),"")</f>
        <v/>
      </c>
      <c r="C1047" s="27" t="str">
        <f>IFERROR(VLOOKUP(A1047,القائمة!$A$3:$F$112,3,FALSE),"")</f>
        <v/>
      </c>
      <c r="D1047" s="36" t="str">
        <f>IFERROR(VLOOKUP(A1047,القائمة!$A$3:$F$112,4,FALSE),"")</f>
        <v/>
      </c>
      <c r="E1047" s="36" t="str">
        <f>IFERROR(VLOOKUP(A1047,القائمة!$A$3:$F$112,5,FALSE),"")</f>
        <v/>
      </c>
      <c r="F1047" s="37" t="str">
        <f>IFERROR(VLOOKUP(A1047,القائمة!$A$3:$F$112,6,FALSE),"")</f>
        <v/>
      </c>
      <c r="P1047" s="27">
        <f t="shared" si="35"/>
        <v>0</v>
      </c>
      <c r="Q1047" s="27">
        <f t="shared" si="34"/>
        <v>0</v>
      </c>
    </row>
    <row r="1048" spans="2:17" x14ac:dyDescent="0.45">
      <c r="B1048" s="27" t="str">
        <f>IFERROR(VLOOKUP(A1048,القائمة!$A$3:$F$112,2,FALSE),"")</f>
        <v/>
      </c>
      <c r="C1048" s="27" t="str">
        <f>IFERROR(VLOOKUP(A1048,القائمة!$A$3:$F$112,3,FALSE),"")</f>
        <v/>
      </c>
      <c r="D1048" s="36" t="str">
        <f>IFERROR(VLOOKUP(A1048,القائمة!$A$3:$F$112,4,FALSE),"")</f>
        <v/>
      </c>
      <c r="E1048" s="36" t="str">
        <f>IFERROR(VLOOKUP(A1048,القائمة!$A$3:$F$112,5,FALSE),"")</f>
        <v/>
      </c>
      <c r="F1048" s="37" t="str">
        <f>IFERROR(VLOOKUP(A1048,القائمة!$A$3:$F$112,6,FALSE),"")</f>
        <v/>
      </c>
      <c r="P1048" s="27">
        <f t="shared" si="35"/>
        <v>0</v>
      </c>
      <c r="Q1048" s="27">
        <f t="shared" si="34"/>
        <v>0</v>
      </c>
    </row>
    <row r="1049" spans="2:17" x14ac:dyDescent="0.45">
      <c r="B1049" s="27" t="str">
        <f>IFERROR(VLOOKUP(A1049,القائمة!$A$3:$F$112,2,FALSE),"")</f>
        <v/>
      </c>
      <c r="C1049" s="27" t="str">
        <f>IFERROR(VLOOKUP(A1049,القائمة!$A$3:$F$112,3,FALSE),"")</f>
        <v/>
      </c>
      <c r="D1049" s="36" t="str">
        <f>IFERROR(VLOOKUP(A1049,القائمة!$A$3:$F$112,4,FALSE),"")</f>
        <v/>
      </c>
      <c r="E1049" s="36" t="str">
        <f>IFERROR(VLOOKUP(A1049,القائمة!$A$3:$F$112,5,FALSE),"")</f>
        <v/>
      </c>
      <c r="F1049" s="37" t="str">
        <f>IFERROR(VLOOKUP(A1049,القائمة!$A$3:$F$112,6,FALSE),"")</f>
        <v/>
      </c>
      <c r="P1049" s="27">
        <f t="shared" si="35"/>
        <v>0</v>
      </c>
      <c r="Q1049" s="27">
        <f t="shared" si="34"/>
        <v>0</v>
      </c>
    </row>
    <row r="1050" spans="2:17" x14ac:dyDescent="0.45">
      <c r="B1050" s="27" t="str">
        <f>IFERROR(VLOOKUP(A1050,القائمة!$A$3:$F$112,2,FALSE),"")</f>
        <v/>
      </c>
      <c r="C1050" s="27" t="str">
        <f>IFERROR(VLOOKUP(A1050,القائمة!$A$3:$F$112,3,FALSE),"")</f>
        <v/>
      </c>
      <c r="D1050" s="36" t="str">
        <f>IFERROR(VLOOKUP(A1050,القائمة!$A$3:$F$112,4,FALSE),"")</f>
        <v/>
      </c>
      <c r="E1050" s="36" t="str">
        <f>IFERROR(VLOOKUP(A1050,القائمة!$A$3:$F$112,5,FALSE),"")</f>
        <v/>
      </c>
      <c r="F1050" s="37" t="str">
        <f>IFERROR(VLOOKUP(A1050,القائمة!$A$3:$F$112,6,FALSE),"")</f>
        <v/>
      </c>
      <c r="P1050" s="27">
        <f t="shared" si="35"/>
        <v>0</v>
      </c>
      <c r="Q1050" s="27">
        <f t="shared" si="34"/>
        <v>0</v>
      </c>
    </row>
    <row r="1051" spans="2:17" x14ac:dyDescent="0.45">
      <c r="B1051" s="27" t="str">
        <f>IFERROR(VLOOKUP(A1051,القائمة!$A$3:$F$112,2,FALSE),"")</f>
        <v/>
      </c>
      <c r="C1051" s="27" t="str">
        <f>IFERROR(VLOOKUP(A1051,القائمة!$A$3:$F$112,3,FALSE),"")</f>
        <v/>
      </c>
      <c r="D1051" s="36" t="str">
        <f>IFERROR(VLOOKUP(A1051,القائمة!$A$3:$F$112,4,FALSE),"")</f>
        <v/>
      </c>
      <c r="E1051" s="36" t="str">
        <f>IFERROR(VLOOKUP(A1051,القائمة!$A$3:$F$112,5,FALSE),"")</f>
        <v/>
      </c>
      <c r="F1051" s="37" t="str">
        <f>IFERROR(VLOOKUP(A1051,القائمة!$A$3:$F$112,6,FALSE),"")</f>
        <v/>
      </c>
      <c r="P1051" s="27">
        <f t="shared" si="35"/>
        <v>0</v>
      </c>
      <c r="Q1051" s="27">
        <f t="shared" si="34"/>
        <v>0</v>
      </c>
    </row>
    <row r="1052" spans="2:17" x14ac:dyDescent="0.45">
      <c r="B1052" s="27" t="str">
        <f>IFERROR(VLOOKUP(A1052,القائمة!$A$3:$F$112,2,FALSE),"")</f>
        <v/>
      </c>
      <c r="C1052" s="27" t="str">
        <f>IFERROR(VLOOKUP(A1052,القائمة!$A$3:$F$112,3,FALSE),"")</f>
        <v/>
      </c>
      <c r="D1052" s="36" t="str">
        <f>IFERROR(VLOOKUP(A1052,القائمة!$A$3:$F$112,4,FALSE),"")</f>
        <v/>
      </c>
      <c r="E1052" s="36" t="str">
        <f>IFERROR(VLOOKUP(A1052,القائمة!$A$3:$F$112,5,FALSE),"")</f>
        <v/>
      </c>
      <c r="F1052" s="37" t="str">
        <f>IFERROR(VLOOKUP(A1052,القائمة!$A$3:$F$112,6,FALSE),"")</f>
        <v/>
      </c>
      <c r="P1052" s="27">
        <f t="shared" si="35"/>
        <v>0</v>
      </c>
      <c r="Q1052" s="27">
        <f t="shared" si="34"/>
        <v>0</v>
      </c>
    </row>
    <row r="1053" spans="2:17" x14ac:dyDescent="0.45">
      <c r="B1053" s="27" t="str">
        <f>IFERROR(VLOOKUP(A1053,القائمة!$A$3:$F$112,2,FALSE),"")</f>
        <v/>
      </c>
      <c r="C1053" s="27" t="str">
        <f>IFERROR(VLOOKUP(A1053,القائمة!$A$3:$F$112,3,FALSE),"")</f>
        <v/>
      </c>
      <c r="D1053" s="36" t="str">
        <f>IFERROR(VLOOKUP(A1053,القائمة!$A$3:$F$112,4,FALSE),"")</f>
        <v/>
      </c>
      <c r="E1053" s="36" t="str">
        <f>IFERROR(VLOOKUP(A1053,القائمة!$A$3:$F$112,5,FALSE),"")</f>
        <v/>
      </c>
      <c r="F1053" s="37" t="str">
        <f>IFERROR(VLOOKUP(A1053,القائمة!$A$3:$F$112,6,FALSE),"")</f>
        <v/>
      </c>
      <c r="P1053" s="27">
        <f t="shared" si="35"/>
        <v>0</v>
      </c>
      <c r="Q1053" s="27">
        <f t="shared" si="34"/>
        <v>0</v>
      </c>
    </row>
    <row r="1054" spans="2:17" x14ac:dyDescent="0.45">
      <c r="B1054" s="27" t="str">
        <f>IFERROR(VLOOKUP(A1054,القائمة!$A$3:$F$112,2,FALSE),"")</f>
        <v/>
      </c>
      <c r="C1054" s="27" t="str">
        <f>IFERROR(VLOOKUP(A1054,القائمة!$A$3:$F$112,3,FALSE),"")</f>
        <v/>
      </c>
      <c r="D1054" s="36" t="str">
        <f>IFERROR(VLOOKUP(A1054,القائمة!$A$3:$F$112,4,FALSE),"")</f>
        <v/>
      </c>
      <c r="E1054" s="36" t="str">
        <f>IFERROR(VLOOKUP(A1054,القائمة!$A$3:$F$112,5,FALSE),"")</f>
        <v/>
      </c>
      <c r="F1054" s="37" t="str">
        <f>IFERROR(VLOOKUP(A1054,القائمة!$A$3:$F$112,6,FALSE),"")</f>
        <v/>
      </c>
      <c r="P1054" s="27">
        <f t="shared" si="35"/>
        <v>0</v>
      </c>
      <c r="Q1054" s="27">
        <f t="shared" si="34"/>
        <v>0</v>
      </c>
    </row>
    <row r="1055" spans="2:17" x14ac:dyDescent="0.45">
      <c r="B1055" s="27" t="str">
        <f>IFERROR(VLOOKUP(A1055,القائمة!$A$3:$F$112,2,FALSE),"")</f>
        <v/>
      </c>
      <c r="C1055" s="27" t="str">
        <f>IFERROR(VLOOKUP(A1055,القائمة!$A$3:$F$112,3,FALSE),"")</f>
        <v/>
      </c>
      <c r="D1055" s="36" t="str">
        <f>IFERROR(VLOOKUP(A1055,القائمة!$A$3:$F$112,4,FALSE),"")</f>
        <v/>
      </c>
      <c r="E1055" s="36" t="str">
        <f>IFERROR(VLOOKUP(A1055,القائمة!$A$3:$F$112,5,FALSE),"")</f>
        <v/>
      </c>
      <c r="F1055" s="37" t="str">
        <f>IFERROR(VLOOKUP(A1055,القائمة!$A$3:$F$112,6,FALSE),"")</f>
        <v/>
      </c>
      <c r="P1055" s="27">
        <f t="shared" si="35"/>
        <v>0</v>
      </c>
      <c r="Q1055" s="27">
        <f t="shared" si="34"/>
        <v>0</v>
      </c>
    </row>
    <row r="1056" spans="2:17" x14ac:dyDescent="0.45">
      <c r="B1056" s="27" t="str">
        <f>IFERROR(VLOOKUP(A1056,القائمة!$A$3:$F$112,2,FALSE),"")</f>
        <v/>
      </c>
      <c r="C1056" s="27" t="str">
        <f>IFERROR(VLOOKUP(A1056,القائمة!$A$3:$F$112,3,FALSE),"")</f>
        <v/>
      </c>
      <c r="D1056" s="36" t="str">
        <f>IFERROR(VLOOKUP(A1056,القائمة!$A$3:$F$112,4,FALSE),"")</f>
        <v/>
      </c>
      <c r="E1056" s="36" t="str">
        <f>IFERROR(VLOOKUP(A1056,القائمة!$A$3:$F$112,5,FALSE),"")</f>
        <v/>
      </c>
      <c r="F1056" s="37" t="str">
        <f>IFERROR(VLOOKUP(A1056,القائمة!$A$3:$F$112,6,FALSE),"")</f>
        <v/>
      </c>
      <c r="P1056" s="27">
        <f t="shared" si="35"/>
        <v>0</v>
      </c>
      <c r="Q1056" s="27">
        <f t="shared" si="34"/>
        <v>0</v>
      </c>
    </row>
    <row r="1057" spans="2:17" x14ac:dyDescent="0.45">
      <c r="B1057" s="27" t="str">
        <f>IFERROR(VLOOKUP(A1057,القائمة!$A$3:$F$112,2,FALSE),"")</f>
        <v/>
      </c>
      <c r="C1057" s="27" t="str">
        <f>IFERROR(VLOOKUP(A1057,القائمة!$A$3:$F$112,3,FALSE),"")</f>
        <v/>
      </c>
      <c r="D1057" s="36" t="str">
        <f>IFERROR(VLOOKUP(A1057,القائمة!$A$3:$F$112,4,FALSE),"")</f>
        <v/>
      </c>
      <c r="E1057" s="36" t="str">
        <f>IFERROR(VLOOKUP(A1057,القائمة!$A$3:$F$112,5,FALSE),"")</f>
        <v/>
      </c>
      <c r="F1057" s="37" t="str">
        <f>IFERROR(VLOOKUP(A1057,القائمة!$A$3:$F$112,6,FALSE),"")</f>
        <v/>
      </c>
      <c r="P1057" s="27">
        <f t="shared" si="35"/>
        <v>0</v>
      </c>
      <c r="Q1057" s="27">
        <f t="shared" si="34"/>
        <v>0</v>
      </c>
    </row>
    <row r="1058" spans="2:17" x14ac:dyDescent="0.45">
      <c r="B1058" s="27" t="str">
        <f>IFERROR(VLOOKUP(A1058,القائمة!$A$3:$F$112,2,FALSE),"")</f>
        <v/>
      </c>
      <c r="C1058" s="27" t="str">
        <f>IFERROR(VLOOKUP(A1058,القائمة!$A$3:$F$112,3,FALSE),"")</f>
        <v/>
      </c>
      <c r="D1058" s="36" t="str">
        <f>IFERROR(VLOOKUP(A1058,القائمة!$A$3:$F$112,4,FALSE),"")</f>
        <v/>
      </c>
      <c r="E1058" s="36" t="str">
        <f>IFERROR(VLOOKUP(A1058,القائمة!$A$3:$F$112,5,FALSE),"")</f>
        <v/>
      </c>
      <c r="F1058" s="37" t="str">
        <f>IFERROR(VLOOKUP(A1058,القائمة!$A$3:$F$112,6,FALSE),"")</f>
        <v/>
      </c>
      <c r="P1058" s="27">
        <f t="shared" si="35"/>
        <v>0</v>
      </c>
      <c r="Q1058" s="27">
        <f t="shared" si="34"/>
        <v>0</v>
      </c>
    </row>
    <row r="1059" spans="2:17" x14ac:dyDescent="0.45">
      <c r="B1059" s="27" t="str">
        <f>IFERROR(VLOOKUP(A1059,القائمة!$A$3:$F$112,2,FALSE),"")</f>
        <v/>
      </c>
      <c r="C1059" s="27" t="str">
        <f>IFERROR(VLOOKUP(A1059,القائمة!$A$3:$F$112,3,FALSE),"")</f>
        <v/>
      </c>
      <c r="D1059" s="36" t="str">
        <f>IFERROR(VLOOKUP(A1059,القائمة!$A$3:$F$112,4,FALSE),"")</f>
        <v/>
      </c>
      <c r="E1059" s="36" t="str">
        <f>IFERROR(VLOOKUP(A1059,القائمة!$A$3:$F$112,5,FALSE),"")</f>
        <v/>
      </c>
      <c r="F1059" s="37" t="str">
        <f>IFERROR(VLOOKUP(A1059,القائمة!$A$3:$F$112,6,FALSE),"")</f>
        <v/>
      </c>
      <c r="P1059" s="27">
        <f t="shared" si="35"/>
        <v>0</v>
      </c>
      <c r="Q1059" s="27">
        <f t="shared" si="34"/>
        <v>0</v>
      </c>
    </row>
    <row r="1060" spans="2:17" x14ac:dyDescent="0.45">
      <c r="B1060" s="27" t="str">
        <f>IFERROR(VLOOKUP(A1060,القائمة!$A$3:$F$112,2,FALSE),"")</f>
        <v/>
      </c>
      <c r="C1060" s="27" t="str">
        <f>IFERROR(VLOOKUP(A1060,القائمة!$A$3:$F$112,3,FALSE),"")</f>
        <v/>
      </c>
      <c r="D1060" s="36" t="str">
        <f>IFERROR(VLOOKUP(A1060,القائمة!$A$3:$F$112,4,FALSE),"")</f>
        <v/>
      </c>
      <c r="E1060" s="36" t="str">
        <f>IFERROR(VLOOKUP(A1060,القائمة!$A$3:$F$112,5,FALSE),"")</f>
        <v/>
      </c>
      <c r="F1060" s="37" t="str">
        <f>IFERROR(VLOOKUP(A1060,القائمة!$A$3:$F$112,6,FALSE),"")</f>
        <v/>
      </c>
      <c r="P1060" s="27">
        <f t="shared" si="35"/>
        <v>0</v>
      </c>
      <c r="Q1060" s="27">
        <f t="shared" si="34"/>
        <v>0</v>
      </c>
    </row>
    <row r="1061" spans="2:17" x14ac:dyDescent="0.45">
      <c r="B1061" s="27" t="str">
        <f>IFERROR(VLOOKUP(A1061,القائمة!$A$3:$F$112,2,FALSE),"")</f>
        <v/>
      </c>
      <c r="C1061" s="27" t="str">
        <f>IFERROR(VLOOKUP(A1061,القائمة!$A$3:$F$112,3,FALSE),"")</f>
        <v/>
      </c>
      <c r="D1061" s="36" t="str">
        <f>IFERROR(VLOOKUP(A1061,القائمة!$A$3:$F$112,4,FALSE),"")</f>
        <v/>
      </c>
      <c r="E1061" s="36" t="str">
        <f>IFERROR(VLOOKUP(A1061,القائمة!$A$3:$F$112,5,FALSE),"")</f>
        <v/>
      </c>
      <c r="F1061" s="37" t="str">
        <f>IFERROR(VLOOKUP(A1061,القائمة!$A$3:$F$112,6,FALSE),"")</f>
        <v/>
      </c>
      <c r="P1061" s="27">
        <f t="shared" si="35"/>
        <v>0</v>
      </c>
      <c r="Q1061" s="27">
        <f t="shared" si="34"/>
        <v>0</v>
      </c>
    </row>
    <row r="1062" spans="2:17" x14ac:dyDescent="0.45">
      <c r="B1062" s="27" t="str">
        <f>IFERROR(VLOOKUP(A1062,القائمة!$A$3:$F$112,2,FALSE),"")</f>
        <v/>
      </c>
      <c r="C1062" s="27" t="str">
        <f>IFERROR(VLOOKUP(A1062,القائمة!$A$3:$F$112,3,FALSE),"")</f>
        <v/>
      </c>
      <c r="D1062" s="36" t="str">
        <f>IFERROR(VLOOKUP(A1062,القائمة!$A$3:$F$112,4,FALSE),"")</f>
        <v/>
      </c>
      <c r="E1062" s="36" t="str">
        <f>IFERROR(VLOOKUP(A1062,القائمة!$A$3:$F$112,5,FALSE),"")</f>
        <v/>
      </c>
      <c r="F1062" s="37" t="str">
        <f>IFERROR(VLOOKUP(A1062,القائمة!$A$3:$F$112,6,FALSE),"")</f>
        <v/>
      </c>
      <c r="P1062" s="27">
        <f t="shared" si="35"/>
        <v>0</v>
      </c>
      <c r="Q1062" s="27">
        <f t="shared" si="34"/>
        <v>0</v>
      </c>
    </row>
    <row r="1063" spans="2:17" x14ac:dyDescent="0.45">
      <c r="B1063" s="27" t="str">
        <f>IFERROR(VLOOKUP(A1063,القائمة!$A$3:$F$112,2,FALSE),"")</f>
        <v/>
      </c>
      <c r="C1063" s="27" t="str">
        <f>IFERROR(VLOOKUP(A1063,القائمة!$A$3:$F$112,3,FALSE),"")</f>
        <v/>
      </c>
      <c r="D1063" s="36" t="str">
        <f>IFERROR(VLOOKUP(A1063,القائمة!$A$3:$F$112,4,FALSE),"")</f>
        <v/>
      </c>
      <c r="E1063" s="36" t="str">
        <f>IFERROR(VLOOKUP(A1063,القائمة!$A$3:$F$112,5,FALSE),"")</f>
        <v/>
      </c>
      <c r="F1063" s="37" t="str">
        <f>IFERROR(VLOOKUP(A1063,القائمة!$A$3:$F$112,6,FALSE),"")</f>
        <v/>
      </c>
      <c r="P1063" s="27">
        <f t="shared" si="35"/>
        <v>0</v>
      </c>
      <c r="Q1063" s="27">
        <f t="shared" si="34"/>
        <v>0</v>
      </c>
    </row>
    <row r="1064" spans="2:17" x14ac:dyDescent="0.45">
      <c r="B1064" s="27" t="str">
        <f>IFERROR(VLOOKUP(A1064,القائمة!$A$3:$F$112,2,FALSE),"")</f>
        <v/>
      </c>
      <c r="C1064" s="27" t="str">
        <f>IFERROR(VLOOKUP(A1064,القائمة!$A$3:$F$112,3,FALSE),"")</f>
        <v/>
      </c>
      <c r="D1064" s="36" t="str">
        <f>IFERROR(VLOOKUP(A1064,القائمة!$A$3:$F$112,4,FALSE),"")</f>
        <v/>
      </c>
      <c r="E1064" s="36" t="str">
        <f>IFERROR(VLOOKUP(A1064,القائمة!$A$3:$F$112,5,FALSE),"")</f>
        <v/>
      </c>
      <c r="F1064" s="37" t="str">
        <f>IFERROR(VLOOKUP(A1064,القائمة!$A$3:$F$112,6,FALSE),"")</f>
        <v/>
      </c>
      <c r="P1064" s="27">
        <f t="shared" si="35"/>
        <v>0</v>
      </c>
      <c r="Q1064" s="27">
        <f t="shared" si="34"/>
        <v>0</v>
      </c>
    </row>
    <row r="1065" spans="2:17" x14ac:dyDescent="0.45">
      <c r="B1065" s="27" t="str">
        <f>IFERROR(VLOOKUP(A1065,القائمة!$A$3:$F$112,2,FALSE),"")</f>
        <v/>
      </c>
      <c r="C1065" s="27" t="str">
        <f>IFERROR(VLOOKUP(A1065,القائمة!$A$3:$F$112,3,FALSE),"")</f>
        <v/>
      </c>
      <c r="D1065" s="36" t="str">
        <f>IFERROR(VLOOKUP(A1065,القائمة!$A$3:$F$112,4,FALSE),"")</f>
        <v/>
      </c>
      <c r="E1065" s="36" t="str">
        <f>IFERROR(VLOOKUP(A1065,القائمة!$A$3:$F$112,5,FALSE),"")</f>
        <v/>
      </c>
      <c r="F1065" s="37" t="str">
        <f>IFERROR(VLOOKUP(A1065,القائمة!$A$3:$F$112,6,FALSE),"")</f>
        <v/>
      </c>
      <c r="P1065" s="27">
        <f t="shared" si="35"/>
        <v>0</v>
      </c>
      <c r="Q1065" s="27">
        <f t="shared" si="34"/>
        <v>0</v>
      </c>
    </row>
    <row r="1066" spans="2:17" x14ac:dyDescent="0.45">
      <c r="B1066" s="27" t="str">
        <f>IFERROR(VLOOKUP(A1066,القائمة!$A$3:$F$112,2,FALSE),"")</f>
        <v/>
      </c>
      <c r="C1066" s="27" t="str">
        <f>IFERROR(VLOOKUP(A1066,القائمة!$A$3:$F$112,3,FALSE),"")</f>
        <v/>
      </c>
      <c r="D1066" s="36" t="str">
        <f>IFERROR(VLOOKUP(A1066,القائمة!$A$3:$F$112,4,FALSE),"")</f>
        <v/>
      </c>
      <c r="E1066" s="36" t="str">
        <f>IFERROR(VLOOKUP(A1066,القائمة!$A$3:$F$112,5,FALSE),"")</f>
        <v/>
      </c>
      <c r="F1066" s="37" t="str">
        <f>IFERROR(VLOOKUP(A1066,القائمة!$A$3:$F$112,6,FALSE),"")</f>
        <v/>
      </c>
      <c r="P1066" s="27">
        <f t="shared" si="35"/>
        <v>0</v>
      </c>
      <c r="Q1066" s="27">
        <f t="shared" si="34"/>
        <v>0</v>
      </c>
    </row>
    <row r="1067" spans="2:17" x14ac:dyDescent="0.45">
      <c r="B1067" s="27" t="str">
        <f>IFERROR(VLOOKUP(A1067,القائمة!$A$3:$F$112,2,FALSE),"")</f>
        <v/>
      </c>
      <c r="C1067" s="27" t="str">
        <f>IFERROR(VLOOKUP(A1067,القائمة!$A$3:$F$112,3,FALSE),"")</f>
        <v/>
      </c>
      <c r="D1067" s="36" t="str">
        <f>IFERROR(VLOOKUP(A1067,القائمة!$A$3:$F$112,4,FALSE),"")</f>
        <v/>
      </c>
      <c r="E1067" s="36" t="str">
        <f>IFERROR(VLOOKUP(A1067,القائمة!$A$3:$F$112,5,FALSE),"")</f>
        <v/>
      </c>
      <c r="F1067" s="37" t="str">
        <f>IFERROR(VLOOKUP(A1067,القائمة!$A$3:$F$112,6,FALSE),"")</f>
        <v/>
      </c>
      <c r="P1067" s="27">
        <f t="shared" si="35"/>
        <v>0</v>
      </c>
      <c r="Q1067" s="27">
        <f t="shared" si="34"/>
        <v>0</v>
      </c>
    </row>
    <row r="1068" spans="2:17" x14ac:dyDescent="0.45">
      <c r="B1068" s="27" t="str">
        <f>IFERROR(VLOOKUP(A1068,القائمة!$A$3:$F$112,2,FALSE),"")</f>
        <v/>
      </c>
      <c r="C1068" s="27" t="str">
        <f>IFERROR(VLOOKUP(A1068,القائمة!$A$3:$F$112,3,FALSE),"")</f>
        <v/>
      </c>
      <c r="D1068" s="36" t="str">
        <f>IFERROR(VLOOKUP(A1068,القائمة!$A$3:$F$112,4,FALSE),"")</f>
        <v/>
      </c>
      <c r="E1068" s="36" t="str">
        <f>IFERROR(VLOOKUP(A1068,القائمة!$A$3:$F$112,5,FALSE),"")</f>
        <v/>
      </c>
      <c r="F1068" s="37" t="str">
        <f>IFERROR(VLOOKUP(A1068,القائمة!$A$3:$F$112,6,FALSE),"")</f>
        <v/>
      </c>
      <c r="P1068" s="27">
        <f t="shared" si="35"/>
        <v>0</v>
      </c>
      <c r="Q1068" s="27">
        <f t="shared" si="34"/>
        <v>0</v>
      </c>
    </row>
    <row r="1069" spans="2:17" x14ac:dyDescent="0.45">
      <c r="B1069" s="27" t="str">
        <f>IFERROR(VLOOKUP(A1069,القائمة!$A$3:$F$112,2,FALSE),"")</f>
        <v/>
      </c>
      <c r="C1069" s="27" t="str">
        <f>IFERROR(VLOOKUP(A1069,القائمة!$A$3:$F$112,3,FALSE),"")</f>
        <v/>
      </c>
      <c r="D1069" s="36" t="str">
        <f>IFERROR(VLOOKUP(A1069,القائمة!$A$3:$F$112,4,FALSE),"")</f>
        <v/>
      </c>
      <c r="E1069" s="36" t="str">
        <f>IFERROR(VLOOKUP(A1069,القائمة!$A$3:$F$112,5,FALSE),"")</f>
        <v/>
      </c>
      <c r="F1069" s="37" t="str">
        <f>IFERROR(VLOOKUP(A1069,القائمة!$A$3:$F$112,6,FALSE),"")</f>
        <v/>
      </c>
      <c r="P1069" s="27">
        <f t="shared" si="35"/>
        <v>0</v>
      </c>
      <c r="Q1069" s="27">
        <f t="shared" si="34"/>
        <v>0</v>
      </c>
    </row>
    <row r="1070" spans="2:17" x14ac:dyDescent="0.45">
      <c r="B1070" s="27" t="str">
        <f>IFERROR(VLOOKUP(A1070,القائمة!$A$3:$F$112,2,FALSE),"")</f>
        <v/>
      </c>
      <c r="C1070" s="27" t="str">
        <f>IFERROR(VLOOKUP(A1070,القائمة!$A$3:$F$112,3,FALSE),"")</f>
        <v/>
      </c>
      <c r="D1070" s="36" t="str">
        <f>IFERROR(VLOOKUP(A1070,القائمة!$A$3:$F$112,4,FALSE),"")</f>
        <v/>
      </c>
      <c r="E1070" s="36" t="str">
        <f>IFERROR(VLOOKUP(A1070,القائمة!$A$3:$F$112,5,FALSE),"")</f>
        <v/>
      </c>
      <c r="F1070" s="37" t="str">
        <f>IFERROR(VLOOKUP(A1070,القائمة!$A$3:$F$112,6,FALSE),"")</f>
        <v/>
      </c>
      <c r="P1070" s="27">
        <f t="shared" si="35"/>
        <v>0</v>
      </c>
      <c r="Q1070" s="27">
        <f t="shared" si="34"/>
        <v>0</v>
      </c>
    </row>
    <row r="1071" spans="2:17" x14ac:dyDescent="0.45">
      <c r="B1071" s="27" t="str">
        <f>IFERROR(VLOOKUP(A1071,القائمة!$A$3:$F$112,2,FALSE),"")</f>
        <v/>
      </c>
      <c r="C1071" s="27" t="str">
        <f>IFERROR(VLOOKUP(A1071,القائمة!$A$3:$F$112,3,FALSE),"")</f>
        <v/>
      </c>
      <c r="D1071" s="36" t="str">
        <f>IFERROR(VLOOKUP(A1071,القائمة!$A$3:$F$112,4,FALSE),"")</f>
        <v/>
      </c>
      <c r="E1071" s="36" t="str">
        <f>IFERROR(VLOOKUP(A1071,القائمة!$A$3:$F$112,5,FALSE),"")</f>
        <v/>
      </c>
      <c r="F1071" s="37" t="str">
        <f>IFERROR(VLOOKUP(A1071,القائمة!$A$3:$F$112,6,FALSE),"")</f>
        <v/>
      </c>
      <c r="P1071" s="27">
        <f t="shared" si="35"/>
        <v>0</v>
      </c>
      <c r="Q1071" s="27">
        <f t="shared" si="34"/>
        <v>0</v>
      </c>
    </row>
    <row r="1072" spans="2:17" x14ac:dyDescent="0.45">
      <c r="B1072" s="27" t="str">
        <f>IFERROR(VLOOKUP(A1072,القائمة!$A$3:$F$112,2,FALSE),"")</f>
        <v/>
      </c>
      <c r="C1072" s="27" t="str">
        <f>IFERROR(VLOOKUP(A1072,القائمة!$A$3:$F$112,3,FALSE),"")</f>
        <v/>
      </c>
      <c r="D1072" s="36" t="str">
        <f>IFERROR(VLOOKUP(A1072,القائمة!$A$3:$F$112,4,FALSE),"")</f>
        <v/>
      </c>
      <c r="E1072" s="36" t="str">
        <f>IFERROR(VLOOKUP(A1072,القائمة!$A$3:$F$112,5,FALSE),"")</f>
        <v/>
      </c>
      <c r="F1072" s="37" t="str">
        <f>IFERROR(VLOOKUP(A1072,القائمة!$A$3:$F$112,6,FALSE),"")</f>
        <v/>
      </c>
      <c r="P1072" s="27">
        <f t="shared" si="35"/>
        <v>0</v>
      </c>
      <c r="Q1072" s="27">
        <f t="shared" si="34"/>
        <v>0</v>
      </c>
    </row>
    <row r="1073" spans="2:17" x14ac:dyDescent="0.45">
      <c r="B1073" s="27" t="str">
        <f>IFERROR(VLOOKUP(A1073,القائمة!$A$3:$F$112,2,FALSE),"")</f>
        <v/>
      </c>
      <c r="C1073" s="27" t="str">
        <f>IFERROR(VLOOKUP(A1073,القائمة!$A$3:$F$112,3,FALSE),"")</f>
        <v/>
      </c>
      <c r="D1073" s="36" t="str">
        <f>IFERROR(VLOOKUP(A1073,القائمة!$A$3:$F$112,4,FALSE),"")</f>
        <v/>
      </c>
      <c r="E1073" s="36" t="str">
        <f>IFERROR(VLOOKUP(A1073,القائمة!$A$3:$F$112,5,FALSE),"")</f>
        <v/>
      </c>
      <c r="F1073" s="37" t="str">
        <f>IFERROR(VLOOKUP(A1073,القائمة!$A$3:$F$112,6,FALSE),"")</f>
        <v/>
      </c>
      <c r="P1073" s="27">
        <f t="shared" si="35"/>
        <v>0</v>
      </c>
      <c r="Q1073" s="27">
        <f t="shared" si="34"/>
        <v>0</v>
      </c>
    </row>
    <row r="1074" spans="2:17" x14ac:dyDescent="0.45">
      <c r="B1074" s="27" t="str">
        <f>IFERROR(VLOOKUP(A1074,القائمة!$A$3:$F$112,2,FALSE),"")</f>
        <v/>
      </c>
      <c r="C1074" s="27" t="str">
        <f>IFERROR(VLOOKUP(A1074,القائمة!$A$3:$F$112,3,FALSE),"")</f>
        <v/>
      </c>
      <c r="D1074" s="36" t="str">
        <f>IFERROR(VLOOKUP(A1074,القائمة!$A$3:$F$112,4,FALSE),"")</f>
        <v/>
      </c>
      <c r="E1074" s="36" t="str">
        <f>IFERROR(VLOOKUP(A1074,القائمة!$A$3:$F$112,5,FALSE),"")</f>
        <v/>
      </c>
      <c r="F1074" s="37" t="str">
        <f>IFERROR(VLOOKUP(A1074,القائمة!$A$3:$F$112,6,FALSE),"")</f>
        <v/>
      </c>
      <c r="P1074" s="27">
        <f t="shared" si="35"/>
        <v>0</v>
      </c>
      <c r="Q1074" s="27">
        <f t="shared" si="34"/>
        <v>0</v>
      </c>
    </row>
    <row r="1075" spans="2:17" x14ac:dyDescent="0.45">
      <c r="B1075" s="27" t="str">
        <f>IFERROR(VLOOKUP(A1075,القائمة!$A$3:$F$112,2,FALSE),"")</f>
        <v/>
      </c>
      <c r="C1075" s="27" t="str">
        <f>IFERROR(VLOOKUP(A1075,القائمة!$A$3:$F$112,3,FALSE),"")</f>
        <v/>
      </c>
      <c r="D1075" s="36" t="str">
        <f>IFERROR(VLOOKUP(A1075,القائمة!$A$3:$F$112,4,FALSE),"")</f>
        <v/>
      </c>
      <c r="E1075" s="36" t="str">
        <f>IFERROR(VLOOKUP(A1075,القائمة!$A$3:$F$112,5,FALSE),"")</f>
        <v/>
      </c>
      <c r="F1075" s="37" t="str">
        <f>IFERROR(VLOOKUP(A1075,القائمة!$A$3:$F$112,6,FALSE),"")</f>
        <v/>
      </c>
      <c r="P1075" s="27">
        <f t="shared" si="35"/>
        <v>0</v>
      </c>
      <c r="Q1075" s="27">
        <f t="shared" si="34"/>
        <v>0</v>
      </c>
    </row>
    <row r="1076" spans="2:17" x14ac:dyDescent="0.45">
      <c r="B1076" s="27" t="str">
        <f>IFERROR(VLOOKUP(A1076,القائمة!$A$3:$F$112,2,FALSE),"")</f>
        <v/>
      </c>
      <c r="C1076" s="27" t="str">
        <f>IFERROR(VLOOKUP(A1076,القائمة!$A$3:$F$112,3,FALSE),"")</f>
        <v/>
      </c>
      <c r="D1076" s="36" t="str">
        <f>IFERROR(VLOOKUP(A1076,القائمة!$A$3:$F$112,4,FALSE),"")</f>
        <v/>
      </c>
      <c r="E1076" s="36" t="str">
        <f>IFERROR(VLOOKUP(A1076,القائمة!$A$3:$F$112,5,FALSE),"")</f>
        <v/>
      </c>
      <c r="F1076" s="37" t="str">
        <f>IFERROR(VLOOKUP(A1076,القائمة!$A$3:$F$112,6,FALSE),"")</f>
        <v/>
      </c>
      <c r="P1076" s="27">
        <f t="shared" si="35"/>
        <v>0</v>
      </c>
      <c r="Q1076" s="27">
        <f t="shared" si="34"/>
        <v>0</v>
      </c>
    </row>
    <row r="1077" spans="2:17" x14ac:dyDescent="0.45">
      <c r="B1077" s="27" t="str">
        <f>IFERROR(VLOOKUP(A1077,القائمة!$A$3:$F$112,2,FALSE),"")</f>
        <v/>
      </c>
      <c r="C1077" s="27" t="str">
        <f>IFERROR(VLOOKUP(A1077,القائمة!$A$3:$F$112,3,FALSE),"")</f>
        <v/>
      </c>
      <c r="D1077" s="36" t="str">
        <f>IFERROR(VLOOKUP(A1077,القائمة!$A$3:$F$112,4,FALSE),"")</f>
        <v/>
      </c>
      <c r="E1077" s="36" t="str">
        <f>IFERROR(VLOOKUP(A1077,القائمة!$A$3:$F$112,5,FALSE),"")</f>
        <v/>
      </c>
      <c r="F1077" s="37" t="str">
        <f>IFERROR(VLOOKUP(A1077,القائمة!$A$3:$F$112,6,FALSE),"")</f>
        <v/>
      </c>
      <c r="P1077" s="27">
        <f t="shared" si="35"/>
        <v>0</v>
      </c>
      <c r="Q1077" s="27">
        <f t="shared" si="34"/>
        <v>0</v>
      </c>
    </row>
    <row r="1078" spans="2:17" x14ac:dyDescent="0.45">
      <c r="B1078" s="27" t="str">
        <f>IFERROR(VLOOKUP(A1078,القائمة!$A$3:$F$112,2,FALSE),"")</f>
        <v/>
      </c>
      <c r="C1078" s="27" t="str">
        <f>IFERROR(VLOOKUP(A1078,القائمة!$A$3:$F$112,3,FALSE),"")</f>
        <v/>
      </c>
      <c r="D1078" s="36" t="str">
        <f>IFERROR(VLOOKUP(A1078,القائمة!$A$3:$F$112,4,FALSE),"")</f>
        <v/>
      </c>
      <c r="E1078" s="36" t="str">
        <f>IFERROR(VLOOKUP(A1078,القائمة!$A$3:$F$112,5,FALSE),"")</f>
        <v/>
      </c>
      <c r="F1078" s="37" t="str">
        <f>IFERROR(VLOOKUP(A1078,القائمة!$A$3:$F$112,6,FALSE),"")</f>
        <v/>
      </c>
      <c r="P1078" s="27">
        <f t="shared" si="35"/>
        <v>0</v>
      </c>
      <c r="Q1078" s="27">
        <f t="shared" si="34"/>
        <v>0</v>
      </c>
    </row>
    <row r="1079" spans="2:17" x14ac:dyDescent="0.45">
      <c r="B1079" s="27" t="str">
        <f>IFERROR(VLOOKUP(A1079,القائمة!$A$3:$F$112,2,FALSE),"")</f>
        <v/>
      </c>
      <c r="C1079" s="27" t="str">
        <f>IFERROR(VLOOKUP(A1079,القائمة!$A$3:$F$112,3,FALSE),"")</f>
        <v/>
      </c>
      <c r="D1079" s="36" t="str">
        <f>IFERROR(VLOOKUP(A1079,القائمة!$A$3:$F$112,4,FALSE),"")</f>
        <v/>
      </c>
      <c r="E1079" s="36" t="str">
        <f>IFERROR(VLOOKUP(A1079,القائمة!$A$3:$F$112,5,FALSE),"")</f>
        <v/>
      </c>
      <c r="F1079" s="37" t="str">
        <f>IFERROR(VLOOKUP(A1079,القائمة!$A$3:$F$112,6,FALSE),"")</f>
        <v/>
      </c>
      <c r="P1079" s="27">
        <f t="shared" si="35"/>
        <v>0</v>
      </c>
      <c r="Q1079" s="27">
        <f t="shared" si="34"/>
        <v>0</v>
      </c>
    </row>
    <row r="1080" spans="2:17" x14ac:dyDescent="0.45">
      <c r="B1080" s="27" t="str">
        <f>IFERROR(VLOOKUP(A1080,القائمة!$A$3:$F$112,2,FALSE),"")</f>
        <v/>
      </c>
      <c r="C1080" s="27" t="str">
        <f>IFERROR(VLOOKUP(A1080,القائمة!$A$3:$F$112,3,FALSE),"")</f>
        <v/>
      </c>
      <c r="D1080" s="36" t="str">
        <f>IFERROR(VLOOKUP(A1080,القائمة!$A$3:$F$112,4,FALSE),"")</f>
        <v/>
      </c>
      <c r="E1080" s="36" t="str">
        <f>IFERROR(VLOOKUP(A1080,القائمة!$A$3:$F$112,5,FALSE),"")</f>
        <v/>
      </c>
      <c r="F1080" s="37" t="str">
        <f>IFERROR(VLOOKUP(A1080,القائمة!$A$3:$F$112,6,FALSE),"")</f>
        <v/>
      </c>
      <c r="P1080" s="27">
        <f t="shared" si="35"/>
        <v>0</v>
      </c>
      <c r="Q1080" s="27">
        <f t="shared" si="34"/>
        <v>0</v>
      </c>
    </row>
    <row r="1081" spans="2:17" x14ac:dyDescent="0.45">
      <c r="B1081" s="27" t="str">
        <f>IFERROR(VLOOKUP(A1081,القائمة!$A$3:$F$112,2,FALSE),"")</f>
        <v/>
      </c>
      <c r="C1081" s="27" t="str">
        <f>IFERROR(VLOOKUP(A1081,القائمة!$A$3:$F$112,3,FALSE),"")</f>
        <v/>
      </c>
      <c r="D1081" s="36" t="str">
        <f>IFERROR(VLOOKUP(A1081,القائمة!$A$3:$F$112,4,FALSE),"")</f>
        <v/>
      </c>
      <c r="E1081" s="36" t="str">
        <f>IFERROR(VLOOKUP(A1081,القائمة!$A$3:$F$112,5,FALSE),"")</f>
        <v/>
      </c>
      <c r="F1081" s="37" t="str">
        <f>IFERROR(VLOOKUP(A1081,القائمة!$A$3:$F$112,6,FALSE),"")</f>
        <v/>
      </c>
      <c r="P1081" s="27">
        <f t="shared" si="35"/>
        <v>0</v>
      </c>
      <c r="Q1081" s="27">
        <f t="shared" si="34"/>
        <v>0</v>
      </c>
    </row>
    <row r="1082" spans="2:17" x14ac:dyDescent="0.45">
      <c r="B1082" s="27" t="str">
        <f>IFERROR(VLOOKUP(A1082,القائمة!$A$3:$F$112,2,FALSE),"")</f>
        <v/>
      </c>
      <c r="C1082" s="27" t="str">
        <f>IFERROR(VLOOKUP(A1082,القائمة!$A$3:$F$112,3,FALSE),"")</f>
        <v/>
      </c>
      <c r="D1082" s="36" t="str">
        <f>IFERROR(VLOOKUP(A1082,القائمة!$A$3:$F$112,4,FALSE),"")</f>
        <v/>
      </c>
      <c r="E1082" s="36" t="str">
        <f>IFERROR(VLOOKUP(A1082,القائمة!$A$3:$F$112,5,FALSE),"")</f>
        <v/>
      </c>
      <c r="F1082" s="37" t="str">
        <f>IFERROR(VLOOKUP(A1082,القائمة!$A$3:$F$112,6,FALSE),"")</f>
        <v/>
      </c>
      <c r="P1082" s="27">
        <f t="shared" si="35"/>
        <v>0</v>
      </c>
      <c r="Q1082" s="27">
        <f t="shared" si="34"/>
        <v>0</v>
      </c>
    </row>
    <row r="1083" spans="2:17" x14ac:dyDescent="0.45">
      <c r="B1083" s="27" t="str">
        <f>IFERROR(VLOOKUP(A1083,القائمة!$A$3:$F$112,2,FALSE),"")</f>
        <v/>
      </c>
      <c r="C1083" s="27" t="str">
        <f>IFERROR(VLOOKUP(A1083,القائمة!$A$3:$F$112,3,FALSE),"")</f>
        <v/>
      </c>
      <c r="D1083" s="36" t="str">
        <f>IFERROR(VLOOKUP(A1083,القائمة!$A$3:$F$112,4,FALSE),"")</f>
        <v/>
      </c>
      <c r="E1083" s="36" t="str">
        <f>IFERROR(VLOOKUP(A1083,القائمة!$A$3:$F$112,5,FALSE),"")</f>
        <v/>
      </c>
      <c r="F1083" s="37" t="str">
        <f>IFERROR(VLOOKUP(A1083,القائمة!$A$3:$F$112,6,FALSE),"")</f>
        <v/>
      </c>
      <c r="P1083" s="27">
        <f t="shared" si="35"/>
        <v>0</v>
      </c>
      <c r="Q1083" s="27">
        <f t="shared" si="34"/>
        <v>0</v>
      </c>
    </row>
    <row r="1084" spans="2:17" x14ac:dyDescent="0.45">
      <c r="B1084" s="27" t="str">
        <f>IFERROR(VLOOKUP(A1084,القائمة!$A$3:$F$112,2,FALSE),"")</f>
        <v/>
      </c>
      <c r="C1084" s="27" t="str">
        <f>IFERROR(VLOOKUP(A1084,القائمة!$A$3:$F$112,3,FALSE),"")</f>
        <v/>
      </c>
      <c r="D1084" s="36" t="str">
        <f>IFERROR(VLOOKUP(A1084,القائمة!$A$3:$F$112,4,FALSE),"")</f>
        <v/>
      </c>
      <c r="E1084" s="36" t="str">
        <f>IFERROR(VLOOKUP(A1084,القائمة!$A$3:$F$112,5,FALSE),"")</f>
        <v/>
      </c>
      <c r="F1084" s="37" t="str">
        <f>IFERROR(VLOOKUP(A1084,القائمة!$A$3:$F$112,6,FALSE),"")</f>
        <v/>
      </c>
      <c r="P1084" s="27">
        <f t="shared" si="35"/>
        <v>0</v>
      </c>
      <c r="Q1084" s="27">
        <f t="shared" si="34"/>
        <v>0</v>
      </c>
    </row>
    <row r="1085" spans="2:17" x14ac:dyDescent="0.45">
      <c r="B1085" s="27" t="str">
        <f>IFERROR(VLOOKUP(A1085,القائمة!$A$3:$F$112,2,FALSE),"")</f>
        <v/>
      </c>
      <c r="C1085" s="27" t="str">
        <f>IFERROR(VLOOKUP(A1085,القائمة!$A$3:$F$112,3,FALSE),"")</f>
        <v/>
      </c>
      <c r="D1085" s="36" t="str">
        <f>IFERROR(VLOOKUP(A1085,القائمة!$A$3:$F$112,4,FALSE),"")</f>
        <v/>
      </c>
      <c r="E1085" s="36" t="str">
        <f>IFERROR(VLOOKUP(A1085,القائمة!$A$3:$F$112,5,FALSE),"")</f>
        <v/>
      </c>
      <c r="F1085" s="37" t="str">
        <f>IFERROR(VLOOKUP(A1085,القائمة!$A$3:$F$112,6,FALSE),"")</f>
        <v/>
      </c>
      <c r="P1085" s="27">
        <f t="shared" si="35"/>
        <v>0</v>
      </c>
      <c r="Q1085" s="27">
        <f t="shared" si="34"/>
        <v>0</v>
      </c>
    </row>
    <row r="1086" spans="2:17" x14ac:dyDescent="0.45">
      <c r="B1086" s="27" t="str">
        <f>IFERROR(VLOOKUP(A1086,القائمة!$A$3:$F$112,2,FALSE),"")</f>
        <v/>
      </c>
      <c r="C1086" s="27" t="str">
        <f>IFERROR(VLOOKUP(A1086,القائمة!$A$3:$F$112,3,FALSE),"")</f>
        <v/>
      </c>
      <c r="D1086" s="36" t="str">
        <f>IFERROR(VLOOKUP(A1086,القائمة!$A$3:$F$112,4,FALSE),"")</f>
        <v/>
      </c>
      <c r="E1086" s="36" t="str">
        <f>IFERROR(VLOOKUP(A1086,القائمة!$A$3:$F$112,5,FALSE),"")</f>
        <v/>
      </c>
      <c r="F1086" s="37" t="str">
        <f>IFERROR(VLOOKUP(A1086,القائمة!$A$3:$F$112,6,FALSE),"")</f>
        <v/>
      </c>
      <c r="P1086" s="27">
        <f t="shared" si="35"/>
        <v>0</v>
      </c>
      <c r="Q1086" s="27">
        <f t="shared" si="34"/>
        <v>0</v>
      </c>
    </row>
    <row r="1087" spans="2:17" x14ac:dyDescent="0.45">
      <c r="B1087" s="27" t="str">
        <f>IFERROR(VLOOKUP(A1087,القائمة!$A$3:$F$112,2,FALSE),"")</f>
        <v/>
      </c>
      <c r="C1087" s="27" t="str">
        <f>IFERROR(VLOOKUP(A1087,القائمة!$A$3:$F$112,3,FALSE),"")</f>
        <v/>
      </c>
      <c r="D1087" s="36" t="str">
        <f>IFERROR(VLOOKUP(A1087,القائمة!$A$3:$F$112,4,FALSE),"")</f>
        <v/>
      </c>
      <c r="E1087" s="36" t="str">
        <f>IFERROR(VLOOKUP(A1087,القائمة!$A$3:$F$112,5,FALSE),"")</f>
        <v/>
      </c>
      <c r="F1087" s="37" t="str">
        <f>IFERROR(VLOOKUP(A1087,القائمة!$A$3:$F$112,6,FALSE),"")</f>
        <v/>
      </c>
      <c r="P1087" s="27">
        <f t="shared" si="35"/>
        <v>0</v>
      </c>
      <c r="Q1087" s="27">
        <f t="shared" si="34"/>
        <v>0</v>
      </c>
    </row>
    <row r="1088" spans="2:17" x14ac:dyDescent="0.45">
      <c r="B1088" s="27" t="str">
        <f>IFERROR(VLOOKUP(A1088,القائمة!$A$3:$F$112,2,FALSE),"")</f>
        <v/>
      </c>
      <c r="C1088" s="27" t="str">
        <f>IFERROR(VLOOKUP(A1088,القائمة!$A$3:$F$112,3,FALSE),"")</f>
        <v/>
      </c>
      <c r="D1088" s="36" t="str">
        <f>IFERROR(VLOOKUP(A1088,القائمة!$A$3:$F$112,4,FALSE),"")</f>
        <v/>
      </c>
      <c r="E1088" s="36" t="str">
        <f>IFERROR(VLOOKUP(A1088,القائمة!$A$3:$F$112,5,FALSE),"")</f>
        <v/>
      </c>
      <c r="F1088" s="37" t="str">
        <f>IFERROR(VLOOKUP(A1088,القائمة!$A$3:$F$112,6,FALSE),"")</f>
        <v/>
      </c>
      <c r="P1088" s="27">
        <f t="shared" si="35"/>
        <v>0</v>
      </c>
      <c r="Q1088" s="27">
        <f t="shared" si="34"/>
        <v>0</v>
      </c>
    </row>
    <row r="1089" spans="2:17" x14ac:dyDescent="0.45">
      <c r="B1089" s="27" t="str">
        <f>IFERROR(VLOOKUP(A1089,القائمة!$A$3:$F$112,2,FALSE),"")</f>
        <v/>
      </c>
      <c r="C1089" s="27" t="str">
        <f>IFERROR(VLOOKUP(A1089,القائمة!$A$3:$F$112,3,FALSE),"")</f>
        <v/>
      </c>
      <c r="D1089" s="36" t="str">
        <f>IFERROR(VLOOKUP(A1089,القائمة!$A$3:$F$112,4,FALSE),"")</f>
        <v/>
      </c>
      <c r="E1089" s="36" t="str">
        <f>IFERROR(VLOOKUP(A1089,القائمة!$A$3:$F$112,5,FALSE),"")</f>
        <v/>
      </c>
      <c r="F1089" s="37" t="str">
        <f>IFERROR(VLOOKUP(A1089,القائمة!$A$3:$F$112,6,FALSE),"")</f>
        <v/>
      </c>
      <c r="P1089" s="27">
        <f t="shared" si="35"/>
        <v>0</v>
      </c>
      <c r="Q1089" s="27">
        <f t="shared" si="34"/>
        <v>0</v>
      </c>
    </row>
    <row r="1090" spans="2:17" x14ac:dyDescent="0.45">
      <c r="B1090" s="27" t="str">
        <f>IFERROR(VLOOKUP(A1090,القائمة!$A$3:$F$112,2,FALSE),"")</f>
        <v/>
      </c>
      <c r="C1090" s="27" t="str">
        <f>IFERROR(VLOOKUP(A1090,القائمة!$A$3:$F$112,3,FALSE),"")</f>
        <v/>
      </c>
      <c r="D1090" s="36" t="str">
        <f>IFERROR(VLOOKUP(A1090,القائمة!$A$3:$F$112,4,FALSE),"")</f>
        <v/>
      </c>
      <c r="E1090" s="36" t="str">
        <f>IFERROR(VLOOKUP(A1090,القائمة!$A$3:$F$112,5,FALSE),"")</f>
        <v/>
      </c>
      <c r="F1090" s="37" t="str">
        <f>IFERROR(VLOOKUP(A1090,القائمة!$A$3:$F$112,6,FALSE),"")</f>
        <v/>
      </c>
      <c r="P1090" s="27">
        <f t="shared" si="35"/>
        <v>0</v>
      </c>
      <c r="Q1090" s="27">
        <f t="shared" si="34"/>
        <v>0</v>
      </c>
    </row>
    <row r="1091" spans="2:17" x14ac:dyDescent="0.45">
      <c r="B1091" s="27" t="str">
        <f>IFERROR(VLOOKUP(A1091,القائمة!$A$3:$F$112,2,FALSE),"")</f>
        <v/>
      </c>
      <c r="C1091" s="27" t="str">
        <f>IFERROR(VLOOKUP(A1091,القائمة!$A$3:$F$112,3,FALSE),"")</f>
        <v/>
      </c>
      <c r="D1091" s="36" t="str">
        <f>IFERROR(VLOOKUP(A1091,القائمة!$A$3:$F$112,4,FALSE),"")</f>
        <v/>
      </c>
      <c r="E1091" s="36" t="str">
        <f>IFERROR(VLOOKUP(A1091,القائمة!$A$3:$F$112,5,FALSE),"")</f>
        <v/>
      </c>
      <c r="F1091" s="37" t="str">
        <f>IFERROR(VLOOKUP(A1091,القائمة!$A$3:$F$112,6,FALSE),"")</f>
        <v/>
      </c>
      <c r="P1091" s="27">
        <f t="shared" si="35"/>
        <v>0</v>
      </c>
      <c r="Q1091" s="27">
        <f t="shared" ref="Q1091:Q1154" si="36">+P1091+L1091-M1091</f>
        <v>0</v>
      </c>
    </row>
    <row r="1092" spans="2:17" x14ac:dyDescent="0.45">
      <c r="B1092" s="27" t="str">
        <f>IFERROR(VLOOKUP(A1092,القائمة!$A$3:$F$112,2,FALSE),"")</f>
        <v/>
      </c>
      <c r="C1092" s="27" t="str">
        <f>IFERROR(VLOOKUP(A1092,القائمة!$A$3:$F$112,3,FALSE),"")</f>
        <v/>
      </c>
      <c r="D1092" s="36" t="str">
        <f>IFERROR(VLOOKUP(A1092,القائمة!$A$3:$F$112,4,FALSE),"")</f>
        <v/>
      </c>
      <c r="E1092" s="36" t="str">
        <f>IFERROR(VLOOKUP(A1092,القائمة!$A$3:$F$112,5,FALSE),"")</f>
        <v/>
      </c>
      <c r="F1092" s="37" t="str">
        <f>IFERROR(VLOOKUP(A1092,القائمة!$A$3:$F$112,6,FALSE),"")</f>
        <v/>
      </c>
      <c r="P1092" s="27">
        <f t="shared" ref="P1092:P1155" si="37">J1092-K1092</f>
        <v>0</v>
      </c>
      <c r="Q1092" s="27">
        <f t="shared" si="36"/>
        <v>0</v>
      </c>
    </row>
    <row r="1093" spans="2:17" x14ac:dyDescent="0.45">
      <c r="B1093" s="27" t="str">
        <f>IFERROR(VLOOKUP(A1093,القائمة!$A$3:$F$112,2,FALSE),"")</f>
        <v/>
      </c>
      <c r="C1093" s="27" t="str">
        <f>IFERROR(VLOOKUP(A1093,القائمة!$A$3:$F$112,3,FALSE),"")</f>
        <v/>
      </c>
      <c r="D1093" s="36" t="str">
        <f>IFERROR(VLOOKUP(A1093,القائمة!$A$3:$F$112,4,FALSE),"")</f>
        <v/>
      </c>
      <c r="E1093" s="36" t="str">
        <f>IFERROR(VLOOKUP(A1093,القائمة!$A$3:$F$112,5,FALSE),"")</f>
        <v/>
      </c>
      <c r="F1093" s="37" t="str">
        <f>IFERROR(VLOOKUP(A1093,القائمة!$A$3:$F$112,6,FALSE),"")</f>
        <v/>
      </c>
      <c r="P1093" s="27">
        <f t="shared" si="37"/>
        <v>0</v>
      </c>
      <c r="Q1093" s="27">
        <f t="shared" si="36"/>
        <v>0</v>
      </c>
    </row>
    <row r="1094" spans="2:17" x14ac:dyDescent="0.45">
      <c r="B1094" s="27" t="str">
        <f>IFERROR(VLOOKUP(A1094,القائمة!$A$3:$F$112,2,FALSE),"")</f>
        <v/>
      </c>
      <c r="C1094" s="27" t="str">
        <f>IFERROR(VLOOKUP(A1094,القائمة!$A$3:$F$112,3,FALSE),"")</f>
        <v/>
      </c>
      <c r="D1094" s="36" t="str">
        <f>IFERROR(VLOOKUP(A1094,القائمة!$A$3:$F$112,4,FALSE),"")</f>
        <v/>
      </c>
      <c r="E1094" s="36" t="str">
        <f>IFERROR(VLOOKUP(A1094,القائمة!$A$3:$F$112,5,FALSE),"")</f>
        <v/>
      </c>
      <c r="F1094" s="37" t="str">
        <f>IFERROR(VLOOKUP(A1094,القائمة!$A$3:$F$112,6,FALSE),"")</f>
        <v/>
      </c>
      <c r="P1094" s="27">
        <f t="shared" si="37"/>
        <v>0</v>
      </c>
      <c r="Q1094" s="27">
        <f t="shared" si="36"/>
        <v>0</v>
      </c>
    </row>
    <row r="1095" spans="2:17" x14ac:dyDescent="0.45">
      <c r="B1095" s="27" t="str">
        <f>IFERROR(VLOOKUP(A1095,القائمة!$A$3:$F$112,2,FALSE),"")</f>
        <v/>
      </c>
      <c r="C1095" s="27" t="str">
        <f>IFERROR(VLOOKUP(A1095,القائمة!$A$3:$F$112,3,FALSE),"")</f>
        <v/>
      </c>
      <c r="D1095" s="36" t="str">
        <f>IFERROR(VLOOKUP(A1095,القائمة!$A$3:$F$112,4,FALSE),"")</f>
        <v/>
      </c>
      <c r="E1095" s="36" t="str">
        <f>IFERROR(VLOOKUP(A1095,القائمة!$A$3:$F$112,5,FALSE),"")</f>
        <v/>
      </c>
      <c r="F1095" s="37" t="str">
        <f>IFERROR(VLOOKUP(A1095,القائمة!$A$3:$F$112,6,FALSE),"")</f>
        <v/>
      </c>
      <c r="P1095" s="27">
        <f t="shared" si="37"/>
        <v>0</v>
      </c>
      <c r="Q1095" s="27">
        <f t="shared" si="36"/>
        <v>0</v>
      </c>
    </row>
    <row r="1096" spans="2:17" x14ac:dyDescent="0.45">
      <c r="B1096" s="27" t="str">
        <f>IFERROR(VLOOKUP(A1096,القائمة!$A$3:$F$112,2,FALSE),"")</f>
        <v/>
      </c>
      <c r="C1096" s="27" t="str">
        <f>IFERROR(VLOOKUP(A1096,القائمة!$A$3:$F$112,3,FALSE),"")</f>
        <v/>
      </c>
      <c r="D1096" s="36" t="str">
        <f>IFERROR(VLOOKUP(A1096,القائمة!$A$3:$F$112,4,FALSE),"")</f>
        <v/>
      </c>
      <c r="E1096" s="36" t="str">
        <f>IFERROR(VLOOKUP(A1096,القائمة!$A$3:$F$112,5,FALSE),"")</f>
        <v/>
      </c>
      <c r="F1096" s="37" t="str">
        <f>IFERROR(VLOOKUP(A1096,القائمة!$A$3:$F$112,6,FALSE),"")</f>
        <v/>
      </c>
      <c r="P1096" s="27">
        <f t="shared" si="37"/>
        <v>0</v>
      </c>
      <c r="Q1096" s="27">
        <f t="shared" si="36"/>
        <v>0</v>
      </c>
    </row>
    <row r="1097" spans="2:17" x14ac:dyDescent="0.45">
      <c r="B1097" s="27" t="str">
        <f>IFERROR(VLOOKUP(A1097,القائمة!$A$3:$F$112,2,FALSE),"")</f>
        <v/>
      </c>
      <c r="C1097" s="27" t="str">
        <f>IFERROR(VLOOKUP(A1097,القائمة!$A$3:$F$112,3,FALSE),"")</f>
        <v/>
      </c>
      <c r="D1097" s="36" t="str">
        <f>IFERROR(VLOOKUP(A1097,القائمة!$A$3:$F$112,4,FALSE),"")</f>
        <v/>
      </c>
      <c r="E1097" s="36" t="str">
        <f>IFERROR(VLOOKUP(A1097,القائمة!$A$3:$F$112,5,FALSE),"")</f>
        <v/>
      </c>
      <c r="F1097" s="37" t="str">
        <f>IFERROR(VLOOKUP(A1097,القائمة!$A$3:$F$112,6,FALSE),"")</f>
        <v/>
      </c>
      <c r="P1097" s="27">
        <f t="shared" si="37"/>
        <v>0</v>
      </c>
      <c r="Q1097" s="27">
        <f t="shared" si="36"/>
        <v>0</v>
      </c>
    </row>
    <row r="1098" spans="2:17" x14ac:dyDescent="0.45">
      <c r="B1098" s="27" t="str">
        <f>IFERROR(VLOOKUP(A1098,القائمة!$A$3:$F$112,2,FALSE),"")</f>
        <v/>
      </c>
      <c r="C1098" s="27" t="str">
        <f>IFERROR(VLOOKUP(A1098,القائمة!$A$3:$F$112,3,FALSE),"")</f>
        <v/>
      </c>
      <c r="D1098" s="36" t="str">
        <f>IFERROR(VLOOKUP(A1098,القائمة!$A$3:$F$112,4,FALSE),"")</f>
        <v/>
      </c>
      <c r="E1098" s="36" t="str">
        <f>IFERROR(VLOOKUP(A1098,القائمة!$A$3:$F$112,5,FALSE),"")</f>
        <v/>
      </c>
      <c r="F1098" s="37" t="str">
        <f>IFERROR(VLOOKUP(A1098,القائمة!$A$3:$F$112,6,FALSE),"")</f>
        <v/>
      </c>
      <c r="P1098" s="27">
        <f t="shared" si="37"/>
        <v>0</v>
      </c>
      <c r="Q1098" s="27">
        <f t="shared" si="36"/>
        <v>0</v>
      </c>
    </row>
    <row r="1099" spans="2:17" x14ac:dyDescent="0.45">
      <c r="B1099" s="27" t="str">
        <f>IFERROR(VLOOKUP(A1099,القائمة!$A$3:$F$112,2,FALSE),"")</f>
        <v/>
      </c>
      <c r="C1099" s="27" t="str">
        <f>IFERROR(VLOOKUP(A1099,القائمة!$A$3:$F$112,3,FALSE),"")</f>
        <v/>
      </c>
      <c r="D1099" s="36" t="str">
        <f>IFERROR(VLOOKUP(A1099,القائمة!$A$3:$F$112,4,FALSE),"")</f>
        <v/>
      </c>
      <c r="E1099" s="36" t="str">
        <f>IFERROR(VLOOKUP(A1099,القائمة!$A$3:$F$112,5,FALSE),"")</f>
        <v/>
      </c>
      <c r="F1099" s="37" t="str">
        <f>IFERROR(VLOOKUP(A1099,القائمة!$A$3:$F$112,6,FALSE),"")</f>
        <v/>
      </c>
      <c r="P1099" s="27">
        <f t="shared" si="37"/>
        <v>0</v>
      </c>
      <c r="Q1099" s="27">
        <f t="shared" si="36"/>
        <v>0</v>
      </c>
    </row>
    <row r="1100" spans="2:17" x14ac:dyDescent="0.45">
      <c r="B1100" s="27" t="str">
        <f>IFERROR(VLOOKUP(A1100,القائمة!$A$3:$F$112,2,FALSE),"")</f>
        <v/>
      </c>
      <c r="C1100" s="27" t="str">
        <f>IFERROR(VLOOKUP(A1100,القائمة!$A$3:$F$112,3,FALSE),"")</f>
        <v/>
      </c>
      <c r="D1100" s="36" t="str">
        <f>IFERROR(VLOOKUP(A1100,القائمة!$A$3:$F$112,4,FALSE),"")</f>
        <v/>
      </c>
      <c r="E1100" s="36" t="str">
        <f>IFERROR(VLOOKUP(A1100,القائمة!$A$3:$F$112,5,FALSE),"")</f>
        <v/>
      </c>
      <c r="F1100" s="37" t="str">
        <f>IFERROR(VLOOKUP(A1100,القائمة!$A$3:$F$112,6,FALSE),"")</f>
        <v/>
      </c>
      <c r="P1100" s="27">
        <f t="shared" si="37"/>
        <v>0</v>
      </c>
      <c r="Q1100" s="27">
        <f t="shared" si="36"/>
        <v>0</v>
      </c>
    </row>
    <row r="1101" spans="2:17" x14ac:dyDescent="0.45">
      <c r="B1101" s="27" t="str">
        <f>IFERROR(VLOOKUP(A1101,القائمة!$A$3:$F$112,2,FALSE),"")</f>
        <v/>
      </c>
      <c r="C1101" s="27" t="str">
        <f>IFERROR(VLOOKUP(A1101,القائمة!$A$3:$F$112,3,FALSE),"")</f>
        <v/>
      </c>
      <c r="D1101" s="36" t="str">
        <f>IFERROR(VLOOKUP(A1101,القائمة!$A$3:$F$112,4,FALSE),"")</f>
        <v/>
      </c>
      <c r="E1101" s="36" t="str">
        <f>IFERROR(VLOOKUP(A1101,القائمة!$A$3:$F$112,5,FALSE),"")</f>
        <v/>
      </c>
      <c r="F1101" s="37" t="str">
        <f>IFERROR(VLOOKUP(A1101,القائمة!$A$3:$F$112,6,FALSE),"")</f>
        <v/>
      </c>
      <c r="P1101" s="27">
        <f t="shared" si="37"/>
        <v>0</v>
      </c>
      <c r="Q1101" s="27">
        <f t="shared" si="36"/>
        <v>0</v>
      </c>
    </row>
    <row r="1102" spans="2:17" x14ac:dyDescent="0.45">
      <c r="B1102" s="27" t="str">
        <f>IFERROR(VLOOKUP(A1102,القائمة!$A$3:$F$112,2,FALSE),"")</f>
        <v/>
      </c>
      <c r="C1102" s="27" t="str">
        <f>IFERROR(VLOOKUP(A1102,القائمة!$A$3:$F$112,3,FALSE),"")</f>
        <v/>
      </c>
      <c r="D1102" s="36" t="str">
        <f>IFERROR(VLOOKUP(A1102,القائمة!$A$3:$F$112,4,FALSE),"")</f>
        <v/>
      </c>
      <c r="E1102" s="36" t="str">
        <f>IFERROR(VLOOKUP(A1102,القائمة!$A$3:$F$112,5,FALSE),"")</f>
        <v/>
      </c>
      <c r="F1102" s="37" t="str">
        <f>IFERROR(VLOOKUP(A1102,القائمة!$A$3:$F$112,6,FALSE),"")</f>
        <v/>
      </c>
      <c r="P1102" s="27">
        <f t="shared" si="37"/>
        <v>0</v>
      </c>
      <c r="Q1102" s="27">
        <f t="shared" si="36"/>
        <v>0</v>
      </c>
    </row>
    <row r="1103" spans="2:17" x14ac:dyDescent="0.45">
      <c r="B1103" s="27" t="str">
        <f>IFERROR(VLOOKUP(A1103,القائمة!$A$3:$F$112,2,FALSE),"")</f>
        <v/>
      </c>
      <c r="C1103" s="27" t="str">
        <f>IFERROR(VLOOKUP(A1103,القائمة!$A$3:$F$112,3,FALSE),"")</f>
        <v/>
      </c>
      <c r="D1103" s="36" t="str">
        <f>IFERROR(VLOOKUP(A1103,القائمة!$A$3:$F$112,4,FALSE),"")</f>
        <v/>
      </c>
      <c r="E1103" s="36" t="str">
        <f>IFERROR(VLOOKUP(A1103,القائمة!$A$3:$F$112,5,FALSE),"")</f>
        <v/>
      </c>
      <c r="F1103" s="37" t="str">
        <f>IFERROR(VLOOKUP(A1103,القائمة!$A$3:$F$112,6,FALSE),"")</f>
        <v/>
      </c>
      <c r="P1103" s="27">
        <f t="shared" si="37"/>
        <v>0</v>
      </c>
      <c r="Q1103" s="27">
        <f t="shared" si="36"/>
        <v>0</v>
      </c>
    </row>
    <row r="1104" spans="2:17" x14ac:dyDescent="0.45">
      <c r="B1104" s="27" t="str">
        <f>IFERROR(VLOOKUP(A1104,القائمة!$A$3:$F$112,2,FALSE),"")</f>
        <v/>
      </c>
      <c r="C1104" s="27" t="str">
        <f>IFERROR(VLOOKUP(A1104,القائمة!$A$3:$F$112,3,FALSE),"")</f>
        <v/>
      </c>
      <c r="D1104" s="36" t="str">
        <f>IFERROR(VLOOKUP(A1104,القائمة!$A$3:$F$112,4,FALSE),"")</f>
        <v/>
      </c>
      <c r="E1104" s="36" t="str">
        <f>IFERROR(VLOOKUP(A1104,القائمة!$A$3:$F$112,5,FALSE),"")</f>
        <v/>
      </c>
      <c r="F1104" s="37" t="str">
        <f>IFERROR(VLOOKUP(A1104,القائمة!$A$3:$F$112,6,FALSE),"")</f>
        <v/>
      </c>
      <c r="P1104" s="27">
        <f t="shared" si="37"/>
        <v>0</v>
      </c>
      <c r="Q1104" s="27">
        <f t="shared" si="36"/>
        <v>0</v>
      </c>
    </row>
    <row r="1105" spans="2:17" x14ac:dyDescent="0.45">
      <c r="B1105" s="27" t="str">
        <f>IFERROR(VLOOKUP(A1105,القائمة!$A$3:$F$112,2,FALSE),"")</f>
        <v/>
      </c>
      <c r="C1105" s="27" t="str">
        <f>IFERROR(VLOOKUP(A1105,القائمة!$A$3:$F$112,3,FALSE),"")</f>
        <v/>
      </c>
      <c r="D1105" s="36" t="str">
        <f>IFERROR(VLOOKUP(A1105,القائمة!$A$3:$F$112,4,FALSE),"")</f>
        <v/>
      </c>
      <c r="E1105" s="36" t="str">
        <f>IFERROR(VLOOKUP(A1105,القائمة!$A$3:$F$112,5,FALSE),"")</f>
        <v/>
      </c>
      <c r="F1105" s="37" t="str">
        <f>IFERROR(VLOOKUP(A1105,القائمة!$A$3:$F$112,6,FALSE),"")</f>
        <v/>
      </c>
      <c r="P1105" s="27">
        <f t="shared" si="37"/>
        <v>0</v>
      </c>
      <c r="Q1105" s="27">
        <f t="shared" si="36"/>
        <v>0</v>
      </c>
    </row>
    <row r="1106" spans="2:17" x14ac:dyDescent="0.45">
      <c r="B1106" s="27" t="str">
        <f>IFERROR(VLOOKUP(A1106,القائمة!$A$3:$F$112,2,FALSE),"")</f>
        <v/>
      </c>
      <c r="C1106" s="27" t="str">
        <f>IFERROR(VLOOKUP(A1106,القائمة!$A$3:$F$112,3,FALSE),"")</f>
        <v/>
      </c>
      <c r="D1106" s="36" t="str">
        <f>IFERROR(VLOOKUP(A1106,القائمة!$A$3:$F$112,4,FALSE),"")</f>
        <v/>
      </c>
      <c r="E1106" s="36" t="str">
        <f>IFERROR(VLOOKUP(A1106,القائمة!$A$3:$F$112,5,FALSE),"")</f>
        <v/>
      </c>
      <c r="F1106" s="37" t="str">
        <f>IFERROR(VLOOKUP(A1106,القائمة!$A$3:$F$112,6,FALSE),"")</f>
        <v/>
      </c>
      <c r="P1106" s="27">
        <f t="shared" si="37"/>
        <v>0</v>
      </c>
      <c r="Q1106" s="27">
        <f t="shared" si="36"/>
        <v>0</v>
      </c>
    </row>
    <row r="1107" spans="2:17" x14ac:dyDescent="0.45">
      <c r="B1107" s="27" t="str">
        <f>IFERROR(VLOOKUP(A1107,القائمة!$A$3:$F$112,2,FALSE),"")</f>
        <v/>
      </c>
      <c r="C1107" s="27" t="str">
        <f>IFERROR(VLOOKUP(A1107,القائمة!$A$3:$F$112,3,FALSE),"")</f>
        <v/>
      </c>
      <c r="D1107" s="36" t="str">
        <f>IFERROR(VLOOKUP(A1107,القائمة!$A$3:$F$112,4,FALSE),"")</f>
        <v/>
      </c>
      <c r="E1107" s="36" t="str">
        <f>IFERROR(VLOOKUP(A1107,القائمة!$A$3:$F$112,5,FALSE),"")</f>
        <v/>
      </c>
      <c r="F1107" s="37" t="str">
        <f>IFERROR(VLOOKUP(A1107,القائمة!$A$3:$F$112,6,FALSE),"")</f>
        <v/>
      </c>
      <c r="P1107" s="27">
        <f t="shared" si="37"/>
        <v>0</v>
      </c>
      <c r="Q1107" s="27">
        <f t="shared" si="36"/>
        <v>0</v>
      </c>
    </row>
    <row r="1108" spans="2:17" x14ac:dyDescent="0.45">
      <c r="B1108" s="27" t="str">
        <f>IFERROR(VLOOKUP(A1108,القائمة!$A$3:$F$112,2,FALSE),"")</f>
        <v/>
      </c>
      <c r="C1108" s="27" t="str">
        <f>IFERROR(VLOOKUP(A1108,القائمة!$A$3:$F$112,3,FALSE),"")</f>
        <v/>
      </c>
      <c r="D1108" s="36" t="str">
        <f>IFERROR(VLOOKUP(A1108,القائمة!$A$3:$F$112,4,FALSE),"")</f>
        <v/>
      </c>
      <c r="E1108" s="36" t="str">
        <f>IFERROR(VLOOKUP(A1108,القائمة!$A$3:$F$112,5,FALSE),"")</f>
        <v/>
      </c>
      <c r="F1108" s="37" t="str">
        <f>IFERROR(VLOOKUP(A1108,القائمة!$A$3:$F$112,6,FALSE),"")</f>
        <v/>
      </c>
      <c r="P1108" s="27">
        <f t="shared" si="37"/>
        <v>0</v>
      </c>
      <c r="Q1108" s="27">
        <f t="shared" si="36"/>
        <v>0</v>
      </c>
    </row>
    <row r="1109" spans="2:17" x14ac:dyDescent="0.45">
      <c r="B1109" s="27" t="str">
        <f>IFERROR(VLOOKUP(A1109,القائمة!$A$3:$F$112,2,FALSE),"")</f>
        <v/>
      </c>
      <c r="C1109" s="27" t="str">
        <f>IFERROR(VLOOKUP(A1109,القائمة!$A$3:$F$112,3,FALSE),"")</f>
        <v/>
      </c>
      <c r="D1109" s="36" t="str">
        <f>IFERROR(VLOOKUP(A1109,القائمة!$A$3:$F$112,4,FALSE),"")</f>
        <v/>
      </c>
      <c r="E1109" s="36" t="str">
        <f>IFERROR(VLOOKUP(A1109,القائمة!$A$3:$F$112,5,FALSE),"")</f>
        <v/>
      </c>
      <c r="F1109" s="37" t="str">
        <f>IFERROR(VLOOKUP(A1109,القائمة!$A$3:$F$112,6,FALSE),"")</f>
        <v/>
      </c>
      <c r="P1109" s="27">
        <f t="shared" si="37"/>
        <v>0</v>
      </c>
      <c r="Q1109" s="27">
        <f t="shared" si="36"/>
        <v>0</v>
      </c>
    </row>
    <row r="1110" spans="2:17" x14ac:dyDescent="0.45">
      <c r="B1110" s="27" t="str">
        <f>IFERROR(VLOOKUP(A1110,القائمة!$A$3:$F$112,2,FALSE),"")</f>
        <v/>
      </c>
      <c r="C1110" s="27" t="str">
        <f>IFERROR(VLOOKUP(A1110,القائمة!$A$3:$F$112,3,FALSE),"")</f>
        <v/>
      </c>
      <c r="D1110" s="36" t="str">
        <f>IFERROR(VLOOKUP(A1110,القائمة!$A$3:$F$112,4,FALSE),"")</f>
        <v/>
      </c>
      <c r="E1110" s="36" t="str">
        <f>IFERROR(VLOOKUP(A1110,القائمة!$A$3:$F$112,5,FALSE),"")</f>
        <v/>
      </c>
      <c r="F1110" s="37" t="str">
        <f>IFERROR(VLOOKUP(A1110,القائمة!$A$3:$F$112,6,FALSE),"")</f>
        <v/>
      </c>
      <c r="P1110" s="27">
        <f t="shared" si="37"/>
        <v>0</v>
      </c>
      <c r="Q1110" s="27">
        <f t="shared" si="36"/>
        <v>0</v>
      </c>
    </row>
    <row r="1111" spans="2:17" x14ac:dyDescent="0.45">
      <c r="B1111" s="27" t="str">
        <f>IFERROR(VLOOKUP(A1111,القائمة!$A$3:$F$112,2,FALSE),"")</f>
        <v/>
      </c>
      <c r="C1111" s="27" t="str">
        <f>IFERROR(VLOOKUP(A1111,القائمة!$A$3:$F$112,3,FALSE),"")</f>
        <v/>
      </c>
      <c r="D1111" s="36" t="str">
        <f>IFERROR(VLOOKUP(A1111,القائمة!$A$3:$F$112,4,FALSE),"")</f>
        <v/>
      </c>
      <c r="E1111" s="36" t="str">
        <f>IFERROR(VLOOKUP(A1111,القائمة!$A$3:$F$112,5,FALSE),"")</f>
        <v/>
      </c>
      <c r="F1111" s="37" t="str">
        <f>IFERROR(VLOOKUP(A1111,القائمة!$A$3:$F$112,6,FALSE),"")</f>
        <v/>
      </c>
      <c r="P1111" s="27">
        <f t="shared" si="37"/>
        <v>0</v>
      </c>
      <c r="Q1111" s="27">
        <f t="shared" si="36"/>
        <v>0</v>
      </c>
    </row>
    <row r="1112" spans="2:17" x14ac:dyDescent="0.45">
      <c r="B1112" s="27" t="str">
        <f>IFERROR(VLOOKUP(A1112,القائمة!$A$3:$F$112,2,FALSE),"")</f>
        <v/>
      </c>
      <c r="C1112" s="27" t="str">
        <f>IFERROR(VLOOKUP(A1112,القائمة!$A$3:$F$112,3,FALSE),"")</f>
        <v/>
      </c>
      <c r="D1112" s="36" t="str">
        <f>IFERROR(VLOOKUP(A1112,القائمة!$A$3:$F$112,4,FALSE),"")</f>
        <v/>
      </c>
      <c r="E1112" s="36" t="str">
        <f>IFERROR(VLOOKUP(A1112,القائمة!$A$3:$F$112,5,FALSE),"")</f>
        <v/>
      </c>
      <c r="F1112" s="37" t="str">
        <f>IFERROR(VLOOKUP(A1112,القائمة!$A$3:$F$112,6,FALSE),"")</f>
        <v/>
      </c>
      <c r="P1112" s="27">
        <f t="shared" si="37"/>
        <v>0</v>
      </c>
      <c r="Q1112" s="27">
        <f t="shared" si="36"/>
        <v>0</v>
      </c>
    </row>
    <row r="1113" spans="2:17" x14ac:dyDescent="0.45">
      <c r="B1113" s="27" t="str">
        <f>IFERROR(VLOOKUP(A1113,القائمة!$A$3:$F$112,2,FALSE),"")</f>
        <v/>
      </c>
      <c r="C1113" s="27" t="str">
        <f>IFERROR(VLOOKUP(A1113,القائمة!$A$3:$F$112,3,FALSE),"")</f>
        <v/>
      </c>
      <c r="D1113" s="36" t="str">
        <f>IFERROR(VLOOKUP(A1113,القائمة!$A$3:$F$112,4,FALSE),"")</f>
        <v/>
      </c>
      <c r="E1113" s="36" t="str">
        <f>IFERROR(VLOOKUP(A1113,القائمة!$A$3:$F$112,5,FALSE),"")</f>
        <v/>
      </c>
      <c r="F1113" s="37" t="str">
        <f>IFERROR(VLOOKUP(A1113,القائمة!$A$3:$F$112,6,FALSE),"")</f>
        <v/>
      </c>
      <c r="P1113" s="27">
        <f t="shared" si="37"/>
        <v>0</v>
      </c>
      <c r="Q1113" s="27">
        <f t="shared" si="36"/>
        <v>0</v>
      </c>
    </row>
    <row r="1114" spans="2:17" x14ac:dyDescent="0.45">
      <c r="B1114" s="27" t="str">
        <f>IFERROR(VLOOKUP(A1114,القائمة!$A$3:$F$112,2,FALSE),"")</f>
        <v/>
      </c>
      <c r="C1114" s="27" t="str">
        <f>IFERROR(VLOOKUP(A1114,القائمة!$A$3:$F$112,3,FALSE),"")</f>
        <v/>
      </c>
      <c r="D1114" s="36" t="str">
        <f>IFERROR(VLOOKUP(A1114,القائمة!$A$3:$F$112,4,FALSE),"")</f>
        <v/>
      </c>
      <c r="E1114" s="36" t="str">
        <f>IFERROR(VLOOKUP(A1114,القائمة!$A$3:$F$112,5,FALSE),"")</f>
        <v/>
      </c>
      <c r="F1114" s="37" t="str">
        <f>IFERROR(VLOOKUP(A1114,القائمة!$A$3:$F$112,6,FALSE),"")</f>
        <v/>
      </c>
      <c r="P1114" s="27">
        <f t="shared" si="37"/>
        <v>0</v>
      </c>
      <c r="Q1114" s="27">
        <f t="shared" si="36"/>
        <v>0</v>
      </c>
    </row>
    <row r="1115" spans="2:17" x14ac:dyDescent="0.45">
      <c r="B1115" s="27" t="str">
        <f>IFERROR(VLOOKUP(A1115,القائمة!$A$3:$F$112,2,FALSE),"")</f>
        <v/>
      </c>
      <c r="C1115" s="27" t="str">
        <f>IFERROR(VLOOKUP(A1115,القائمة!$A$3:$F$112,3,FALSE),"")</f>
        <v/>
      </c>
      <c r="D1115" s="36" t="str">
        <f>IFERROR(VLOOKUP(A1115,القائمة!$A$3:$F$112,4,FALSE),"")</f>
        <v/>
      </c>
      <c r="E1115" s="36" t="str">
        <f>IFERROR(VLOOKUP(A1115,القائمة!$A$3:$F$112,5,FALSE),"")</f>
        <v/>
      </c>
      <c r="F1115" s="37" t="str">
        <f>IFERROR(VLOOKUP(A1115,القائمة!$A$3:$F$112,6,FALSE),"")</f>
        <v/>
      </c>
      <c r="P1115" s="27">
        <f t="shared" si="37"/>
        <v>0</v>
      </c>
      <c r="Q1115" s="27">
        <f t="shared" si="36"/>
        <v>0</v>
      </c>
    </row>
    <row r="1116" spans="2:17" x14ac:dyDescent="0.45">
      <c r="B1116" s="27" t="str">
        <f>IFERROR(VLOOKUP(A1116,القائمة!$A$3:$F$112,2,FALSE),"")</f>
        <v/>
      </c>
      <c r="C1116" s="27" t="str">
        <f>IFERROR(VLOOKUP(A1116,القائمة!$A$3:$F$112,3,FALSE),"")</f>
        <v/>
      </c>
      <c r="D1116" s="36" t="str">
        <f>IFERROR(VLOOKUP(A1116,القائمة!$A$3:$F$112,4,FALSE),"")</f>
        <v/>
      </c>
      <c r="E1116" s="36" t="str">
        <f>IFERROR(VLOOKUP(A1116,القائمة!$A$3:$F$112,5,FALSE),"")</f>
        <v/>
      </c>
      <c r="F1116" s="37" t="str">
        <f>IFERROR(VLOOKUP(A1116,القائمة!$A$3:$F$112,6,FALSE),"")</f>
        <v/>
      </c>
      <c r="P1116" s="27">
        <f t="shared" si="37"/>
        <v>0</v>
      </c>
      <c r="Q1116" s="27">
        <f t="shared" si="36"/>
        <v>0</v>
      </c>
    </row>
    <row r="1117" spans="2:17" x14ac:dyDescent="0.45">
      <c r="B1117" s="27" t="str">
        <f>IFERROR(VLOOKUP(A1117,القائمة!$A$3:$F$112,2,FALSE),"")</f>
        <v/>
      </c>
      <c r="C1117" s="27" t="str">
        <f>IFERROR(VLOOKUP(A1117,القائمة!$A$3:$F$112,3,FALSE),"")</f>
        <v/>
      </c>
      <c r="D1117" s="36" t="str">
        <f>IFERROR(VLOOKUP(A1117,القائمة!$A$3:$F$112,4,FALSE),"")</f>
        <v/>
      </c>
      <c r="E1117" s="36" t="str">
        <f>IFERROR(VLOOKUP(A1117,القائمة!$A$3:$F$112,5,FALSE),"")</f>
        <v/>
      </c>
      <c r="F1117" s="37" t="str">
        <f>IFERROR(VLOOKUP(A1117,القائمة!$A$3:$F$112,6,FALSE),"")</f>
        <v/>
      </c>
      <c r="P1117" s="27">
        <f t="shared" si="37"/>
        <v>0</v>
      </c>
      <c r="Q1117" s="27">
        <f t="shared" si="36"/>
        <v>0</v>
      </c>
    </row>
    <row r="1118" spans="2:17" x14ac:dyDescent="0.45">
      <c r="B1118" s="27" t="str">
        <f>IFERROR(VLOOKUP(A1118,القائمة!$A$3:$F$112,2,FALSE),"")</f>
        <v/>
      </c>
      <c r="C1118" s="27" t="str">
        <f>IFERROR(VLOOKUP(A1118,القائمة!$A$3:$F$112,3,FALSE),"")</f>
        <v/>
      </c>
      <c r="D1118" s="36" t="str">
        <f>IFERROR(VLOOKUP(A1118,القائمة!$A$3:$F$112,4,FALSE),"")</f>
        <v/>
      </c>
      <c r="E1118" s="36" t="str">
        <f>IFERROR(VLOOKUP(A1118,القائمة!$A$3:$F$112,5,FALSE),"")</f>
        <v/>
      </c>
      <c r="F1118" s="37" t="str">
        <f>IFERROR(VLOOKUP(A1118,القائمة!$A$3:$F$112,6,FALSE),"")</f>
        <v/>
      </c>
      <c r="P1118" s="27">
        <f t="shared" si="37"/>
        <v>0</v>
      </c>
      <c r="Q1118" s="27">
        <f t="shared" si="36"/>
        <v>0</v>
      </c>
    </row>
    <row r="1119" spans="2:17" x14ac:dyDescent="0.45">
      <c r="B1119" s="27" t="str">
        <f>IFERROR(VLOOKUP(A1119,القائمة!$A$3:$F$112,2,FALSE),"")</f>
        <v/>
      </c>
      <c r="C1119" s="27" t="str">
        <f>IFERROR(VLOOKUP(A1119,القائمة!$A$3:$F$112,3,FALSE),"")</f>
        <v/>
      </c>
      <c r="D1119" s="36" t="str">
        <f>IFERROR(VLOOKUP(A1119,القائمة!$A$3:$F$112,4,FALSE),"")</f>
        <v/>
      </c>
      <c r="E1119" s="36" t="str">
        <f>IFERROR(VLOOKUP(A1119,القائمة!$A$3:$F$112,5,FALSE),"")</f>
        <v/>
      </c>
      <c r="F1119" s="37" t="str">
        <f>IFERROR(VLOOKUP(A1119,القائمة!$A$3:$F$112,6,FALSE),"")</f>
        <v/>
      </c>
      <c r="P1119" s="27">
        <f t="shared" si="37"/>
        <v>0</v>
      </c>
      <c r="Q1119" s="27">
        <f t="shared" si="36"/>
        <v>0</v>
      </c>
    </row>
    <row r="1120" spans="2:17" x14ac:dyDescent="0.45">
      <c r="B1120" s="27" t="str">
        <f>IFERROR(VLOOKUP(A1120,القائمة!$A$3:$F$112,2,FALSE),"")</f>
        <v/>
      </c>
      <c r="C1120" s="27" t="str">
        <f>IFERROR(VLOOKUP(A1120,القائمة!$A$3:$F$112,3,FALSE),"")</f>
        <v/>
      </c>
      <c r="D1120" s="36" t="str">
        <f>IFERROR(VLOOKUP(A1120,القائمة!$A$3:$F$112,4,FALSE),"")</f>
        <v/>
      </c>
      <c r="E1120" s="36" t="str">
        <f>IFERROR(VLOOKUP(A1120,القائمة!$A$3:$F$112,5,FALSE),"")</f>
        <v/>
      </c>
      <c r="F1120" s="37" t="str">
        <f>IFERROR(VLOOKUP(A1120,القائمة!$A$3:$F$112,6,FALSE),"")</f>
        <v/>
      </c>
      <c r="P1120" s="27">
        <f t="shared" si="37"/>
        <v>0</v>
      </c>
      <c r="Q1120" s="27">
        <f t="shared" si="36"/>
        <v>0</v>
      </c>
    </row>
    <row r="1121" spans="2:17" x14ac:dyDescent="0.45">
      <c r="B1121" s="27" t="str">
        <f>IFERROR(VLOOKUP(A1121,القائمة!$A$3:$F$112,2,FALSE),"")</f>
        <v/>
      </c>
      <c r="C1121" s="27" t="str">
        <f>IFERROR(VLOOKUP(A1121,القائمة!$A$3:$F$112,3,FALSE),"")</f>
        <v/>
      </c>
      <c r="D1121" s="36" t="str">
        <f>IFERROR(VLOOKUP(A1121,القائمة!$A$3:$F$112,4,FALSE),"")</f>
        <v/>
      </c>
      <c r="E1121" s="36" t="str">
        <f>IFERROR(VLOOKUP(A1121,القائمة!$A$3:$F$112,5,FALSE),"")</f>
        <v/>
      </c>
      <c r="F1121" s="37" t="str">
        <f>IFERROR(VLOOKUP(A1121,القائمة!$A$3:$F$112,6,FALSE),"")</f>
        <v/>
      </c>
      <c r="P1121" s="27">
        <f t="shared" si="37"/>
        <v>0</v>
      </c>
      <c r="Q1121" s="27">
        <f t="shared" si="36"/>
        <v>0</v>
      </c>
    </row>
    <row r="1122" spans="2:17" x14ac:dyDescent="0.45">
      <c r="B1122" s="27" t="str">
        <f>IFERROR(VLOOKUP(A1122,القائمة!$A$3:$F$112,2,FALSE),"")</f>
        <v/>
      </c>
      <c r="C1122" s="27" t="str">
        <f>IFERROR(VLOOKUP(A1122,القائمة!$A$3:$F$112,3,FALSE),"")</f>
        <v/>
      </c>
      <c r="D1122" s="36" t="str">
        <f>IFERROR(VLOOKUP(A1122,القائمة!$A$3:$F$112,4,FALSE),"")</f>
        <v/>
      </c>
      <c r="E1122" s="36" t="str">
        <f>IFERROR(VLOOKUP(A1122,القائمة!$A$3:$F$112,5,FALSE),"")</f>
        <v/>
      </c>
      <c r="F1122" s="37" t="str">
        <f>IFERROR(VLOOKUP(A1122,القائمة!$A$3:$F$112,6,FALSE),"")</f>
        <v/>
      </c>
      <c r="P1122" s="27">
        <f t="shared" si="37"/>
        <v>0</v>
      </c>
      <c r="Q1122" s="27">
        <f t="shared" si="36"/>
        <v>0</v>
      </c>
    </row>
    <row r="1123" spans="2:17" x14ac:dyDescent="0.45">
      <c r="B1123" s="27" t="str">
        <f>IFERROR(VLOOKUP(A1123,القائمة!$A$3:$F$112,2,FALSE),"")</f>
        <v/>
      </c>
      <c r="C1123" s="27" t="str">
        <f>IFERROR(VLOOKUP(A1123,القائمة!$A$3:$F$112,3,FALSE),"")</f>
        <v/>
      </c>
      <c r="D1123" s="36" t="str">
        <f>IFERROR(VLOOKUP(A1123,القائمة!$A$3:$F$112,4,FALSE),"")</f>
        <v/>
      </c>
      <c r="E1123" s="36" t="str">
        <f>IFERROR(VLOOKUP(A1123,القائمة!$A$3:$F$112,5,FALSE),"")</f>
        <v/>
      </c>
      <c r="F1123" s="37" t="str">
        <f>IFERROR(VLOOKUP(A1123,القائمة!$A$3:$F$112,6,FALSE),"")</f>
        <v/>
      </c>
      <c r="P1123" s="27">
        <f t="shared" si="37"/>
        <v>0</v>
      </c>
      <c r="Q1123" s="27">
        <f t="shared" si="36"/>
        <v>0</v>
      </c>
    </row>
    <row r="1124" spans="2:17" x14ac:dyDescent="0.45">
      <c r="B1124" s="27" t="str">
        <f>IFERROR(VLOOKUP(A1124,القائمة!$A$3:$F$112,2,FALSE),"")</f>
        <v/>
      </c>
      <c r="C1124" s="27" t="str">
        <f>IFERROR(VLOOKUP(A1124,القائمة!$A$3:$F$112,3,FALSE),"")</f>
        <v/>
      </c>
      <c r="D1124" s="36" t="str">
        <f>IFERROR(VLOOKUP(A1124,القائمة!$A$3:$F$112,4,FALSE),"")</f>
        <v/>
      </c>
      <c r="E1124" s="36" t="str">
        <f>IFERROR(VLOOKUP(A1124,القائمة!$A$3:$F$112,5,FALSE),"")</f>
        <v/>
      </c>
      <c r="F1124" s="37" t="str">
        <f>IFERROR(VLOOKUP(A1124,القائمة!$A$3:$F$112,6,FALSE),"")</f>
        <v/>
      </c>
      <c r="P1124" s="27">
        <f t="shared" si="37"/>
        <v>0</v>
      </c>
      <c r="Q1124" s="27">
        <f t="shared" si="36"/>
        <v>0</v>
      </c>
    </row>
    <row r="1125" spans="2:17" x14ac:dyDescent="0.45">
      <c r="B1125" s="27" t="str">
        <f>IFERROR(VLOOKUP(A1125,القائمة!$A$3:$F$112,2,FALSE),"")</f>
        <v/>
      </c>
      <c r="C1125" s="27" t="str">
        <f>IFERROR(VLOOKUP(A1125,القائمة!$A$3:$F$112,3,FALSE),"")</f>
        <v/>
      </c>
      <c r="D1125" s="36" t="str">
        <f>IFERROR(VLOOKUP(A1125,القائمة!$A$3:$F$112,4,FALSE),"")</f>
        <v/>
      </c>
      <c r="E1125" s="36" t="str">
        <f>IFERROR(VLOOKUP(A1125,القائمة!$A$3:$F$112,5,FALSE),"")</f>
        <v/>
      </c>
      <c r="F1125" s="37" t="str">
        <f>IFERROR(VLOOKUP(A1125,القائمة!$A$3:$F$112,6,FALSE),"")</f>
        <v/>
      </c>
      <c r="P1125" s="27">
        <f t="shared" si="37"/>
        <v>0</v>
      </c>
      <c r="Q1125" s="27">
        <f t="shared" si="36"/>
        <v>0</v>
      </c>
    </row>
    <row r="1126" spans="2:17" x14ac:dyDescent="0.45">
      <c r="B1126" s="27" t="str">
        <f>IFERROR(VLOOKUP(A1126,القائمة!$A$3:$F$112,2,FALSE),"")</f>
        <v/>
      </c>
      <c r="C1126" s="27" t="str">
        <f>IFERROR(VLOOKUP(A1126,القائمة!$A$3:$F$112,3,FALSE),"")</f>
        <v/>
      </c>
      <c r="D1126" s="36" t="str">
        <f>IFERROR(VLOOKUP(A1126,القائمة!$A$3:$F$112,4,FALSE),"")</f>
        <v/>
      </c>
      <c r="E1126" s="36" t="str">
        <f>IFERROR(VLOOKUP(A1126,القائمة!$A$3:$F$112,5,FALSE),"")</f>
        <v/>
      </c>
      <c r="F1126" s="37" t="str">
        <f>IFERROR(VLOOKUP(A1126,القائمة!$A$3:$F$112,6,FALSE),"")</f>
        <v/>
      </c>
      <c r="P1126" s="27">
        <f t="shared" si="37"/>
        <v>0</v>
      </c>
      <c r="Q1126" s="27">
        <f t="shared" si="36"/>
        <v>0</v>
      </c>
    </row>
    <row r="1127" spans="2:17" x14ac:dyDescent="0.45">
      <c r="B1127" s="27" t="str">
        <f>IFERROR(VLOOKUP(A1127,القائمة!$A$3:$F$112,2,FALSE),"")</f>
        <v/>
      </c>
      <c r="C1127" s="27" t="str">
        <f>IFERROR(VLOOKUP(A1127,القائمة!$A$3:$F$112,3,FALSE),"")</f>
        <v/>
      </c>
      <c r="D1127" s="36" t="str">
        <f>IFERROR(VLOOKUP(A1127,القائمة!$A$3:$F$112,4,FALSE),"")</f>
        <v/>
      </c>
      <c r="E1127" s="36" t="str">
        <f>IFERROR(VLOOKUP(A1127,القائمة!$A$3:$F$112,5,FALSE),"")</f>
        <v/>
      </c>
      <c r="F1127" s="37" t="str">
        <f>IFERROR(VLOOKUP(A1127,القائمة!$A$3:$F$112,6,FALSE),"")</f>
        <v/>
      </c>
      <c r="P1127" s="27">
        <f t="shared" si="37"/>
        <v>0</v>
      </c>
      <c r="Q1127" s="27">
        <f t="shared" si="36"/>
        <v>0</v>
      </c>
    </row>
    <row r="1128" spans="2:17" x14ac:dyDescent="0.45">
      <c r="B1128" s="27" t="str">
        <f>IFERROR(VLOOKUP(A1128,القائمة!$A$3:$F$112,2,FALSE),"")</f>
        <v/>
      </c>
      <c r="C1128" s="27" t="str">
        <f>IFERROR(VLOOKUP(A1128,القائمة!$A$3:$F$112,3,FALSE),"")</f>
        <v/>
      </c>
      <c r="D1128" s="36" t="str">
        <f>IFERROR(VLOOKUP(A1128,القائمة!$A$3:$F$112,4,FALSE),"")</f>
        <v/>
      </c>
      <c r="E1128" s="36" t="str">
        <f>IFERROR(VLOOKUP(A1128,القائمة!$A$3:$F$112,5,FALSE),"")</f>
        <v/>
      </c>
      <c r="F1128" s="37" t="str">
        <f>IFERROR(VLOOKUP(A1128,القائمة!$A$3:$F$112,6,FALSE),"")</f>
        <v/>
      </c>
      <c r="P1128" s="27">
        <f t="shared" si="37"/>
        <v>0</v>
      </c>
      <c r="Q1128" s="27">
        <f t="shared" si="36"/>
        <v>0</v>
      </c>
    </row>
    <row r="1129" spans="2:17" x14ac:dyDescent="0.45">
      <c r="B1129" s="27" t="str">
        <f>IFERROR(VLOOKUP(A1129,القائمة!$A$3:$F$112,2,FALSE),"")</f>
        <v/>
      </c>
      <c r="C1129" s="27" t="str">
        <f>IFERROR(VLOOKUP(A1129,القائمة!$A$3:$F$112,3,FALSE),"")</f>
        <v/>
      </c>
      <c r="D1129" s="36" t="str">
        <f>IFERROR(VLOOKUP(A1129,القائمة!$A$3:$F$112,4,FALSE),"")</f>
        <v/>
      </c>
      <c r="E1129" s="36" t="str">
        <f>IFERROR(VLOOKUP(A1129,القائمة!$A$3:$F$112,5,FALSE),"")</f>
        <v/>
      </c>
      <c r="F1129" s="37" t="str">
        <f>IFERROR(VLOOKUP(A1129,القائمة!$A$3:$F$112,6,FALSE),"")</f>
        <v/>
      </c>
      <c r="P1129" s="27">
        <f t="shared" si="37"/>
        <v>0</v>
      </c>
      <c r="Q1129" s="27">
        <f t="shared" si="36"/>
        <v>0</v>
      </c>
    </row>
    <row r="1130" spans="2:17" x14ac:dyDescent="0.45">
      <c r="B1130" s="27" t="str">
        <f>IFERROR(VLOOKUP(A1130,القائمة!$A$3:$F$112,2,FALSE),"")</f>
        <v/>
      </c>
      <c r="C1130" s="27" t="str">
        <f>IFERROR(VLOOKUP(A1130,القائمة!$A$3:$F$112,3,FALSE),"")</f>
        <v/>
      </c>
      <c r="D1130" s="36" t="str">
        <f>IFERROR(VLOOKUP(A1130,القائمة!$A$3:$F$112,4,FALSE),"")</f>
        <v/>
      </c>
      <c r="E1130" s="36" t="str">
        <f>IFERROR(VLOOKUP(A1130,القائمة!$A$3:$F$112,5,FALSE),"")</f>
        <v/>
      </c>
      <c r="F1130" s="37" t="str">
        <f>IFERROR(VLOOKUP(A1130,القائمة!$A$3:$F$112,6,FALSE),"")</f>
        <v/>
      </c>
      <c r="P1130" s="27">
        <f t="shared" si="37"/>
        <v>0</v>
      </c>
      <c r="Q1130" s="27">
        <f t="shared" si="36"/>
        <v>0</v>
      </c>
    </row>
    <row r="1131" spans="2:17" x14ac:dyDescent="0.45">
      <c r="B1131" s="27" t="str">
        <f>IFERROR(VLOOKUP(A1131,القائمة!$A$3:$F$112,2,FALSE),"")</f>
        <v/>
      </c>
      <c r="C1131" s="27" t="str">
        <f>IFERROR(VLOOKUP(A1131,القائمة!$A$3:$F$112,3,FALSE),"")</f>
        <v/>
      </c>
      <c r="D1131" s="36" t="str">
        <f>IFERROR(VLOOKUP(A1131,القائمة!$A$3:$F$112,4,FALSE),"")</f>
        <v/>
      </c>
      <c r="E1131" s="36" t="str">
        <f>IFERROR(VLOOKUP(A1131,القائمة!$A$3:$F$112,5,FALSE),"")</f>
        <v/>
      </c>
      <c r="F1131" s="37" t="str">
        <f>IFERROR(VLOOKUP(A1131,القائمة!$A$3:$F$112,6,FALSE),"")</f>
        <v/>
      </c>
      <c r="P1131" s="27">
        <f t="shared" si="37"/>
        <v>0</v>
      </c>
      <c r="Q1131" s="27">
        <f t="shared" si="36"/>
        <v>0</v>
      </c>
    </row>
    <row r="1132" spans="2:17" x14ac:dyDescent="0.45">
      <c r="B1132" s="27" t="str">
        <f>IFERROR(VLOOKUP(A1132,القائمة!$A$3:$F$112,2,FALSE),"")</f>
        <v/>
      </c>
      <c r="C1132" s="27" t="str">
        <f>IFERROR(VLOOKUP(A1132,القائمة!$A$3:$F$112,3,FALSE),"")</f>
        <v/>
      </c>
      <c r="D1132" s="36" t="str">
        <f>IFERROR(VLOOKUP(A1132,القائمة!$A$3:$F$112,4,FALSE),"")</f>
        <v/>
      </c>
      <c r="E1132" s="36" t="str">
        <f>IFERROR(VLOOKUP(A1132,القائمة!$A$3:$F$112,5,FALSE),"")</f>
        <v/>
      </c>
      <c r="F1132" s="37" t="str">
        <f>IFERROR(VLOOKUP(A1132,القائمة!$A$3:$F$112,6,FALSE),"")</f>
        <v/>
      </c>
      <c r="P1132" s="27">
        <f t="shared" si="37"/>
        <v>0</v>
      </c>
      <c r="Q1132" s="27">
        <f t="shared" si="36"/>
        <v>0</v>
      </c>
    </row>
    <row r="1133" spans="2:17" x14ac:dyDescent="0.45">
      <c r="B1133" s="27" t="str">
        <f>IFERROR(VLOOKUP(A1133,القائمة!$A$3:$F$112,2,FALSE),"")</f>
        <v/>
      </c>
      <c r="C1133" s="27" t="str">
        <f>IFERROR(VLOOKUP(A1133,القائمة!$A$3:$F$112,3,FALSE),"")</f>
        <v/>
      </c>
      <c r="D1133" s="36" t="str">
        <f>IFERROR(VLOOKUP(A1133,القائمة!$A$3:$F$112,4,FALSE),"")</f>
        <v/>
      </c>
      <c r="E1133" s="36" t="str">
        <f>IFERROR(VLOOKUP(A1133,القائمة!$A$3:$F$112,5,FALSE),"")</f>
        <v/>
      </c>
      <c r="F1133" s="37" t="str">
        <f>IFERROR(VLOOKUP(A1133,القائمة!$A$3:$F$112,6,FALSE),"")</f>
        <v/>
      </c>
      <c r="P1133" s="27">
        <f t="shared" si="37"/>
        <v>0</v>
      </c>
      <c r="Q1133" s="27">
        <f t="shared" si="36"/>
        <v>0</v>
      </c>
    </row>
    <row r="1134" spans="2:17" x14ac:dyDescent="0.45">
      <c r="B1134" s="27" t="str">
        <f>IFERROR(VLOOKUP(A1134,القائمة!$A$3:$F$112,2,FALSE),"")</f>
        <v/>
      </c>
      <c r="C1134" s="27" t="str">
        <f>IFERROR(VLOOKUP(A1134,القائمة!$A$3:$F$112,3,FALSE),"")</f>
        <v/>
      </c>
      <c r="D1134" s="36" t="str">
        <f>IFERROR(VLOOKUP(A1134,القائمة!$A$3:$F$112,4,FALSE),"")</f>
        <v/>
      </c>
      <c r="E1134" s="36" t="str">
        <f>IFERROR(VLOOKUP(A1134,القائمة!$A$3:$F$112,5,FALSE),"")</f>
        <v/>
      </c>
      <c r="F1134" s="37" t="str">
        <f>IFERROR(VLOOKUP(A1134,القائمة!$A$3:$F$112,6,FALSE),"")</f>
        <v/>
      </c>
      <c r="P1134" s="27">
        <f t="shared" si="37"/>
        <v>0</v>
      </c>
      <c r="Q1134" s="27">
        <f t="shared" si="36"/>
        <v>0</v>
      </c>
    </row>
    <row r="1135" spans="2:17" x14ac:dyDescent="0.45">
      <c r="B1135" s="27" t="str">
        <f>IFERROR(VLOOKUP(A1135,القائمة!$A$3:$F$112,2,FALSE),"")</f>
        <v/>
      </c>
      <c r="C1135" s="27" t="str">
        <f>IFERROR(VLOOKUP(A1135,القائمة!$A$3:$F$112,3,FALSE),"")</f>
        <v/>
      </c>
      <c r="D1135" s="36" t="str">
        <f>IFERROR(VLOOKUP(A1135,القائمة!$A$3:$F$112,4,FALSE),"")</f>
        <v/>
      </c>
      <c r="E1135" s="36" t="str">
        <f>IFERROR(VLOOKUP(A1135,القائمة!$A$3:$F$112,5,FALSE),"")</f>
        <v/>
      </c>
      <c r="F1135" s="37" t="str">
        <f>IFERROR(VLOOKUP(A1135,القائمة!$A$3:$F$112,6,FALSE),"")</f>
        <v/>
      </c>
      <c r="P1135" s="27">
        <f t="shared" si="37"/>
        <v>0</v>
      </c>
      <c r="Q1135" s="27">
        <f t="shared" si="36"/>
        <v>0</v>
      </c>
    </row>
    <row r="1136" spans="2:17" x14ac:dyDescent="0.45">
      <c r="B1136" s="27" t="str">
        <f>IFERROR(VLOOKUP(A1136,القائمة!$A$3:$F$112,2,FALSE),"")</f>
        <v/>
      </c>
      <c r="C1136" s="27" t="str">
        <f>IFERROR(VLOOKUP(A1136,القائمة!$A$3:$F$112,3,FALSE),"")</f>
        <v/>
      </c>
      <c r="D1136" s="36" t="str">
        <f>IFERROR(VLOOKUP(A1136,القائمة!$A$3:$F$112,4,FALSE),"")</f>
        <v/>
      </c>
      <c r="E1136" s="36" t="str">
        <f>IFERROR(VLOOKUP(A1136,القائمة!$A$3:$F$112,5,FALSE),"")</f>
        <v/>
      </c>
      <c r="F1136" s="37" t="str">
        <f>IFERROR(VLOOKUP(A1136,القائمة!$A$3:$F$112,6,FALSE),"")</f>
        <v/>
      </c>
      <c r="P1136" s="27">
        <f t="shared" si="37"/>
        <v>0</v>
      </c>
      <c r="Q1136" s="27">
        <f t="shared" si="36"/>
        <v>0</v>
      </c>
    </row>
    <row r="1137" spans="2:17" x14ac:dyDescent="0.45">
      <c r="B1137" s="27" t="str">
        <f>IFERROR(VLOOKUP(A1137,القائمة!$A$3:$F$112,2,FALSE),"")</f>
        <v/>
      </c>
      <c r="C1137" s="27" t="str">
        <f>IFERROR(VLOOKUP(A1137,القائمة!$A$3:$F$112,3,FALSE),"")</f>
        <v/>
      </c>
      <c r="D1137" s="36" t="str">
        <f>IFERROR(VLOOKUP(A1137,القائمة!$A$3:$F$112,4,FALSE),"")</f>
        <v/>
      </c>
      <c r="E1137" s="36" t="str">
        <f>IFERROR(VLOOKUP(A1137,القائمة!$A$3:$F$112,5,FALSE),"")</f>
        <v/>
      </c>
      <c r="F1137" s="37" t="str">
        <f>IFERROR(VLOOKUP(A1137,القائمة!$A$3:$F$112,6,FALSE),"")</f>
        <v/>
      </c>
      <c r="P1137" s="27">
        <f t="shared" si="37"/>
        <v>0</v>
      </c>
      <c r="Q1137" s="27">
        <f t="shared" si="36"/>
        <v>0</v>
      </c>
    </row>
    <row r="1138" spans="2:17" x14ac:dyDescent="0.45">
      <c r="B1138" s="27" t="str">
        <f>IFERROR(VLOOKUP(A1138,القائمة!$A$3:$F$112,2,FALSE),"")</f>
        <v/>
      </c>
      <c r="C1138" s="27" t="str">
        <f>IFERROR(VLOOKUP(A1138,القائمة!$A$3:$F$112,3,FALSE),"")</f>
        <v/>
      </c>
      <c r="D1138" s="36" t="str">
        <f>IFERROR(VLOOKUP(A1138,القائمة!$A$3:$F$112,4,FALSE),"")</f>
        <v/>
      </c>
      <c r="E1138" s="36" t="str">
        <f>IFERROR(VLOOKUP(A1138,القائمة!$A$3:$F$112,5,FALSE),"")</f>
        <v/>
      </c>
      <c r="F1138" s="37" t="str">
        <f>IFERROR(VLOOKUP(A1138,القائمة!$A$3:$F$112,6,FALSE),"")</f>
        <v/>
      </c>
      <c r="P1138" s="27">
        <f t="shared" si="37"/>
        <v>0</v>
      </c>
      <c r="Q1138" s="27">
        <f t="shared" si="36"/>
        <v>0</v>
      </c>
    </row>
    <row r="1139" spans="2:17" x14ac:dyDescent="0.45">
      <c r="B1139" s="27" t="str">
        <f>IFERROR(VLOOKUP(A1139,القائمة!$A$3:$F$112,2,FALSE),"")</f>
        <v/>
      </c>
      <c r="C1139" s="27" t="str">
        <f>IFERROR(VLOOKUP(A1139,القائمة!$A$3:$F$112,3,FALSE),"")</f>
        <v/>
      </c>
      <c r="D1139" s="36" t="str">
        <f>IFERROR(VLOOKUP(A1139,القائمة!$A$3:$F$112,4,FALSE),"")</f>
        <v/>
      </c>
      <c r="E1139" s="36" t="str">
        <f>IFERROR(VLOOKUP(A1139,القائمة!$A$3:$F$112,5,FALSE),"")</f>
        <v/>
      </c>
      <c r="F1139" s="37" t="str">
        <f>IFERROR(VLOOKUP(A1139,القائمة!$A$3:$F$112,6,FALSE),"")</f>
        <v/>
      </c>
      <c r="P1139" s="27">
        <f t="shared" si="37"/>
        <v>0</v>
      </c>
      <c r="Q1139" s="27">
        <f t="shared" si="36"/>
        <v>0</v>
      </c>
    </row>
    <row r="1140" spans="2:17" x14ac:dyDescent="0.45">
      <c r="B1140" s="27" t="str">
        <f>IFERROR(VLOOKUP(A1140,القائمة!$A$3:$F$112,2,FALSE),"")</f>
        <v/>
      </c>
      <c r="C1140" s="27" t="str">
        <f>IFERROR(VLOOKUP(A1140,القائمة!$A$3:$F$112,3,FALSE),"")</f>
        <v/>
      </c>
      <c r="D1140" s="36" t="str">
        <f>IFERROR(VLOOKUP(A1140,القائمة!$A$3:$F$112,4,FALSE),"")</f>
        <v/>
      </c>
      <c r="E1140" s="36" t="str">
        <f>IFERROR(VLOOKUP(A1140,القائمة!$A$3:$F$112,5,FALSE),"")</f>
        <v/>
      </c>
      <c r="F1140" s="37" t="str">
        <f>IFERROR(VLOOKUP(A1140,القائمة!$A$3:$F$112,6,FALSE),"")</f>
        <v/>
      </c>
      <c r="P1140" s="27">
        <f t="shared" si="37"/>
        <v>0</v>
      </c>
      <c r="Q1140" s="27">
        <f t="shared" si="36"/>
        <v>0</v>
      </c>
    </row>
    <row r="1141" spans="2:17" x14ac:dyDescent="0.45">
      <c r="B1141" s="27" t="str">
        <f>IFERROR(VLOOKUP(A1141,القائمة!$A$3:$F$112,2,FALSE),"")</f>
        <v/>
      </c>
      <c r="C1141" s="27" t="str">
        <f>IFERROR(VLOOKUP(A1141,القائمة!$A$3:$F$112,3,FALSE),"")</f>
        <v/>
      </c>
      <c r="D1141" s="36" t="str">
        <f>IFERROR(VLOOKUP(A1141,القائمة!$A$3:$F$112,4,FALSE),"")</f>
        <v/>
      </c>
      <c r="E1141" s="36" t="str">
        <f>IFERROR(VLOOKUP(A1141,القائمة!$A$3:$F$112,5,FALSE),"")</f>
        <v/>
      </c>
      <c r="F1141" s="37" t="str">
        <f>IFERROR(VLOOKUP(A1141,القائمة!$A$3:$F$112,6,FALSE),"")</f>
        <v/>
      </c>
      <c r="P1141" s="27">
        <f t="shared" si="37"/>
        <v>0</v>
      </c>
      <c r="Q1141" s="27">
        <f t="shared" si="36"/>
        <v>0</v>
      </c>
    </row>
    <row r="1142" spans="2:17" x14ac:dyDescent="0.45">
      <c r="B1142" s="27" t="str">
        <f>IFERROR(VLOOKUP(A1142,القائمة!$A$3:$F$112,2,FALSE),"")</f>
        <v/>
      </c>
      <c r="C1142" s="27" t="str">
        <f>IFERROR(VLOOKUP(A1142,القائمة!$A$3:$F$112,3,FALSE),"")</f>
        <v/>
      </c>
      <c r="D1142" s="36" t="str">
        <f>IFERROR(VLOOKUP(A1142,القائمة!$A$3:$F$112,4,FALSE),"")</f>
        <v/>
      </c>
      <c r="E1142" s="36" t="str">
        <f>IFERROR(VLOOKUP(A1142,القائمة!$A$3:$F$112,5,FALSE),"")</f>
        <v/>
      </c>
      <c r="F1142" s="37" t="str">
        <f>IFERROR(VLOOKUP(A1142,القائمة!$A$3:$F$112,6,FALSE),"")</f>
        <v/>
      </c>
      <c r="P1142" s="27">
        <f t="shared" si="37"/>
        <v>0</v>
      </c>
      <c r="Q1142" s="27">
        <f t="shared" si="36"/>
        <v>0</v>
      </c>
    </row>
    <row r="1143" spans="2:17" x14ac:dyDescent="0.45">
      <c r="B1143" s="27" t="str">
        <f>IFERROR(VLOOKUP(A1143,القائمة!$A$3:$F$112,2,FALSE),"")</f>
        <v/>
      </c>
      <c r="C1143" s="27" t="str">
        <f>IFERROR(VLOOKUP(A1143,القائمة!$A$3:$F$112,3,FALSE),"")</f>
        <v/>
      </c>
      <c r="D1143" s="36" t="str">
        <f>IFERROR(VLOOKUP(A1143,القائمة!$A$3:$F$112,4,FALSE),"")</f>
        <v/>
      </c>
      <c r="E1143" s="36" t="str">
        <f>IFERROR(VLOOKUP(A1143,القائمة!$A$3:$F$112,5,FALSE),"")</f>
        <v/>
      </c>
      <c r="F1143" s="37" t="str">
        <f>IFERROR(VLOOKUP(A1143,القائمة!$A$3:$F$112,6,FALSE),"")</f>
        <v/>
      </c>
      <c r="P1143" s="27">
        <f t="shared" si="37"/>
        <v>0</v>
      </c>
      <c r="Q1143" s="27">
        <f t="shared" si="36"/>
        <v>0</v>
      </c>
    </row>
    <row r="1144" spans="2:17" x14ac:dyDescent="0.45">
      <c r="B1144" s="27" t="str">
        <f>IFERROR(VLOOKUP(A1144,القائمة!$A$3:$F$112,2,FALSE),"")</f>
        <v/>
      </c>
      <c r="C1144" s="27" t="str">
        <f>IFERROR(VLOOKUP(A1144,القائمة!$A$3:$F$112,3,FALSE),"")</f>
        <v/>
      </c>
      <c r="D1144" s="36" t="str">
        <f>IFERROR(VLOOKUP(A1144,القائمة!$A$3:$F$112,4,FALSE),"")</f>
        <v/>
      </c>
      <c r="E1144" s="36" t="str">
        <f>IFERROR(VLOOKUP(A1144,القائمة!$A$3:$F$112,5,FALSE),"")</f>
        <v/>
      </c>
      <c r="F1144" s="37" t="str">
        <f>IFERROR(VLOOKUP(A1144,القائمة!$A$3:$F$112,6,FALSE),"")</f>
        <v/>
      </c>
      <c r="P1144" s="27">
        <f t="shared" si="37"/>
        <v>0</v>
      </c>
      <c r="Q1144" s="27">
        <f t="shared" si="36"/>
        <v>0</v>
      </c>
    </row>
    <row r="1145" spans="2:17" x14ac:dyDescent="0.45">
      <c r="B1145" s="27" t="str">
        <f>IFERROR(VLOOKUP(A1145,القائمة!$A$3:$F$112,2,FALSE),"")</f>
        <v/>
      </c>
      <c r="C1145" s="27" t="str">
        <f>IFERROR(VLOOKUP(A1145,القائمة!$A$3:$F$112,3,FALSE),"")</f>
        <v/>
      </c>
      <c r="D1145" s="36" t="str">
        <f>IFERROR(VLOOKUP(A1145,القائمة!$A$3:$F$112,4,FALSE),"")</f>
        <v/>
      </c>
      <c r="E1145" s="36" t="str">
        <f>IFERROR(VLOOKUP(A1145,القائمة!$A$3:$F$112,5,FALSE),"")</f>
        <v/>
      </c>
      <c r="F1145" s="37" t="str">
        <f>IFERROR(VLOOKUP(A1145,القائمة!$A$3:$F$112,6,FALSE),"")</f>
        <v/>
      </c>
      <c r="P1145" s="27">
        <f t="shared" si="37"/>
        <v>0</v>
      </c>
      <c r="Q1145" s="27">
        <f t="shared" si="36"/>
        <v>0</v>
      </c>
    </row>
    <row r="1146" spans="2:17" x14ac:dyDescent="0.45">
      <c r="B1146" s="27" t="str">
        <f>IFERROR(VLOOKUP(A1146,القائمة!$A$3:$F$112,2,FALSE),"")</f>
        <v/>
      </c>
      <c r="C1146" s="27" t="str">
        <f>IFERROR(VLOOKUP(A1146,القائمة!$A$3:$F$112,3,FALSE),"")</f>
        <v/>
      </c>
      <c r="D1146" s="36" t="str">
        <f>IFERROR(VLOOKUP(A1146,القائمة!$A$3:$F$112,4,FALSE),"")</f>
        <v/>
      </c>
      <c r="E1146" s="36" t="str">
        <f>IFERROR(VLOOKUP(A1146,القائمة!$A$3:$F$112,5,FALSE),"")</f>
        <v/>
      </c>
      <c r="F1146" s="37" t="str">
        <f>IFERROR(VLOOKUP(A1146,القائمة!$A$3:$F$112,6,FALSE),"")</f>
        <v/>
      </c>
      <c r="P1146" s="27">
        <f t="shared" si="37"/>
        <v>0</v>
      </c>
      <c r="Q1146" s="27">
        <f t="shared" si="36"/>
        <v>0</v>
      </c>
    </row>
    <row r="1147" spans="2:17" x14ac:dyDescent="0.45">
      <c r="B1147" s="27" t="str">
        <f>IFERROR(VLOOKUP(A1147,القائمة!$A$3:$F$112,2,FALSE),"")</f>
        <v/>
      </c>
      <c r="C1147" s="27" t="str">
        <f>IFERROR(VLOOKUP(A1147,القائمة!$A$3:$F$112,3,FALSE),"")</f>
        <v/>
      </c>
      <c r="D1147" s="36" t="str">
        <f>IFERROR(VLOOKUP(A1147,القائمة!$A$3:$F$112,4,FALSE),"")</f>
        <v/>
      </c>
      <c r="E1147" s="36" t="str">
        <f>IFERROR(VLOOKUP(A1147,القائمة!$A$3:$F$112,5,FALSE),"")</f>
        <v/>
      </c>
      <c r="F1147" s="37" t="str">
        <f>IFERROR(VLOOKUP(A1147,القائمة!$A$3:$F$112,6,FALSE),"")</f>
        <v/>
      </c>
      <c r="P1147" s="27">
        <f t="shared" si="37"/>
        <v>0</v>
      </c>
      <c r="Q1147" s="27">
        <f t="shared" si="36"/>
        <v>0</v>
      </c>
    </row>
    <row r="1148" spans="2:17" x14ac:dyDescent="0.45">
      <c r="B1148" s="27" t="str">
        <f>IFERROR(VLOOKUP(A1148,القائمة!$A$3:$F$112,2,FALSE),"")</f>
        <v/>
      </c>
      <c r="C1148" s="27" t="str">
        <f>IFERROR(VLOOKUP(A1148,القائمة!$A$3:$F$112,3,FALSE),"")</f>
        <v/>
      </c>
      <c r="D1148" s="36" t="str">
        <f>IFERROR(VLOOKUP(A1148,القائمة!$A$3:$F$112,4,FALSE),"")</f>
        <v/>
      </c>
      <c r="E1148" s="36" t="str">
        <f>IFERROR(VLOOKUP(A1148,القائمة!$A$3:$F$112,5,FALSE),"")</f>
        <v/>
      </c>
      <c r="F1148" s="37" t="str">
        <f>IFERROR(VLOOKUP(A1148,القائمة!$A$3:$F$112,6,FALSE),"")</f>
        <v/>
      </c>
      <c r="P1148" s="27">
        <f t="shared" si="37"/>
        <v>0</v>
      </c>
      <c r="Q1148" s="27">
        <f t="shared" si="36"/>
        <v>0</v>
      </c>
    </row>
    <row r="1149" spans="2:17" x14ac:dyDescent="0.45">
      <c r="B1149" s="27" t="str">
        <f>IFERROR(VLOOKUP(A1149,القائمة!$A$3:$F$112,2,FALSE),"")</f>
        <v/>
      </c>
      <c r="C1149" s="27" t="str">
        <f>IFERROR(VLOOKUP(A1149,القائمة!$A$3:$F$112,3,FALSE),"")</f>
        <v/>
      </c>
      <c r="D1149" s="36" t="str">
        <f>IFERROR(VLOOKUP(A1149,القائمة!$A$3:$F$112,4,FALSE),"")</f>
        <v/>
      </c>
      <c r="E1149" s="36" t="str">
        <f>IFERROR(VLOOKUP(A1149,القائمة!$A$3:$F$112,5,FALSE),"")</f>
        <v/>
      </c>
      <c r="F1149" s="37" t="str">
        <f>IFERROR(VLOOKUP(A1149,القائمة!$A$3:$F$112,6,FALSE),"")</f>
        <v/>
      </c>
      <c r="P1149" s="27">
        <f t="shared" si="37"/>
        <v>0</v>
      </c>
      <c r="Q1149" s="27">
        <f t="shared" si="36"/>
        <v>0</v>
      </c>
    </row>
    <row r="1150" spans="2:17" x14ac:dyDescent="0.45">
      <c r="B1150" s="27" t="str">
        <f>IFERROR(VLOOKUP(A1150,القائمة!$A$3:$F$112,2,FALSE),"")</f>
        <v/>
      </c>
      <c r="C1150" s="27" t="str">
        <f>IFERROR(VLOOKUP(A1150,القائمة!$A$3:$F$112,3,FALSE),"")</f>
        <v/>
      </c>
      <c r="D1150" s="36" t="str">
        <f>IFERROR(VLOOKUP(A1150,القائمة!$A$3:$F$112,4,FALSE),"")</f>
        <v/>
      </c>
      <c r="E1150" s="36" t="str">
        <f>IFERROR(VLOOKUP(A1150,القائمة!$A$3:$F$112,5,FALSE),"")</f>
        <v/>
      </c>
      <c r="F1150" s="37" t="str">
        <f>IFERROR(VLOOKUP(A1150,القائمة!$A$3:$F$112,6,FALSE),"")</f>
        <v/>
      </c>
      <c r="P1150" s="27">
        <f t="shared" si="37"/>
        <v>0</v>
      </c>
      <c r="Q1150" s="27">
        <f t="shared" si="36"/>
        <v>0</v>
      </c>
    </row>
    <row r="1151" spans="2:17" x14ac:dyDescent="0.45">
      <c r="B1151" s="27" t="str">
        <f>IFERROR(VLOOKUP(A1151,القائمة!$A$3:$F$112,2,FALSE),"")</f>
        <v/>
      </c>
      <c r="C1151" s="27" t="str">
        <f>IFERROR(VLOOKUP(A1151,القائمة!$A$3:$F$112,3,FALSE),"")</f>
        <v/>
      </c>
      <c r="D1151" s="36" t="str">
        <f>IFERROR(VLOOKUP(A1151,القائمة!$A$3:$F$112,4,FALSE),"")</f>
        <v/>
      </c>
      <c r="E1151" s="36" t="str">
        <f>IFERROR(VLOOKUP(A1151,القائمة!$A$3:$F$112,5,FALSE),"")</f>
        <v/>
      </c>
      <c r="F1151" s="37" t="str">
        <f>IFERROR(VLOOKUP(A1151,القائمة!$A$3:$F$112,6,FALSE),"")</f>
        <v/>
      </c>
      <c r="P1151" s="27">
        <f t="shared" si="37"/>
        <v>0</v>
      </c>
      <c r="Q1151" s="27">
        <f t="shared" si="36"/>
        <v>0</v>
      </c>
    </row>
    <row r="1152" spans="2:17" x14ac:dyDescent="0.45">
      <c r="B1152" s="27" t="str">
        <f>IFERROR(VLOOKUP(A1152,القائمة!$A$3:$F$112,2,FALSE),"")</f>
        <v/>
      </c>
      <c r="C1152" s="27" t="str">
        <f>IFERROR(VLOOKUP(A1152,القائمة!$A$3:$F$112,3,FALSE),"")</f>
        <v/>
      </c>
      <c r="D1152" s="36" t="str">
        <f>IFERROR(VLOOKUP(A1152,القائمة!$A$3:$F$112,4,FALSE),"")</f>
        <v/>
      </c>
      <c r="E1152" s="36" t="str">
        <f>IFERROR(VLOOKUP(A1152,القائمة!$A$3:$F$112,5,FALSE),"")</f>
        <v/>
      </c>
      <c r="F1152" s="37" t="str">
        <f>IFERROR(VLOOKUP(A1152,القائمة!$A$3:$F$112,6,FALSE),"")</f>
        <v/>
      </c>
      <c r="P1152" s="27">
        <f t="shared" si="37"/>
        <v>0</v>
      </c>
      <c r="Q1152" s="27">
        <f t="shared" si="36"/>
        <v>0</v>
      </c>
    </row>
    <row r="1153" spans="2:17" x14ac:dyDescent="0.45">
      <c r="B1153" s="27" t="str">
        <f>IFERROR(VLOOKUP(A1153,القائمة!$A$3:$F$112,2,FALSE),"")</f>
        <v/>
      </c>
      <c r="C1153" s="27" t="str">
        <f>IFERROR(VLOOKUP(A1153,القائمة!$A$3:$F$112,3,FALSE),"")</f>
        <v/>
      </c>
      <c r="D1153" s="36" t="str">
        <f>IFERROR(VLOOKUP(A1153,القائمة!$A$3:$F$112,4,FALSE),"")</f>
        <v/>
      </c>
      <c r="E1153" s="36" t="str">
        <f>IFERROR(VLOOKUP(A1153,القائمة!$A$3:$F$112,5,FALSE),"")</f>
        <v/>
      </c>
      <c r="F1153" s="37" t="str">
        <f>IFERROR(VLOOKUP(A1153,القائمة!$A$3:$F$112,6,FALSE),"")</f>
        <v/>
      </c>
      <c r="P1153" s="27">
        <f t="shared" si="37"/>
        <v>0</v>
      </c>
      <c r="Q1153" s="27">
        <f t="shared" si="36"/>
        <v>0</v>
      </c>
    </row>
    <row r="1154" spans="2:17" x14ac:dyDescent="0.45">
      <c r="B1154" s="27" t="str">
        <f>IFERROR(VLOOKUP(A1154,القائمة!$A$3:$F$112,2,FALSE),"")</f>
        <v/>
      </c>
      <c r="C1154" s="27" t="str">
        <f>IFERROR(VLOOKUP(A1154,القائمة!$A$3:$F$112,3,FALSE),"")</f>
        <v/>
      </c>
      <c r="D1154" s="36" t="str">
        <f>IFERROR(VLOOKUP(A1154,القائمة!$A$3:$F$112,4,FALSE),"")</f>
        <v/>
      </c>
      <c r="E1154" s="36" t="str">
        <f>IFERROR(VLOOKUP(A1154,القائمة!$A$3:$F$112,5,FALSE),"")</f>
        <v/>
      </c>
      <c r="F1154" s="37" t="str">
        <f>IFERROR(VLOOKUP(A1154,القائمة!$A$3:$F$112,6,FALSE),"")</f>
        <v/>
      </c>
      <c r="P1154" s="27">
        <f t="shared" si="37"/>
        <v>0</v>
      </c>
      <c r="Q1154" s="27">
        <f t="shared" si="36"/>
        <v>0</v>
      </c>
    </row>
    <row r="1155" spans="2:17" x14ac:dyDescent="0.45">
      <c r="B1155" s="27" t="str">
        <f>IFERROR(VLOOKUP(A1155,القائمة!$A$3:$F$112,2,FALSE),"")</f>
        <v/>
      </c>
      <c r="C1155" s="27" t="str">
        <f>IFERROR(VLOOKUP(A1155,القائمة!$A$3:$F$112,3,FALSE),"")</f>
        <v/>
      </c>
      <c r="D1155" s="36" t="str">
        <f>IFERROR(VLOOKUP(A1155,القائمة!$A$3:$F$112,4,FALSE),"")</f>
        <v/>
      </c>
      <c r="E1155" s="36" t="str">
        <f>IFERROR(VLOOKUP(A1155,القائمة!$A$3:$F$112,5,FALSE),"")</f>
        <v/>
      </c>
      <c r="F1155" s="37" t="str">
        <f>IFERROR(VLOOKUP(A1155,القائمة!$A$3:$F$112,6,FALSE),"")</f>
        <v/>
      </c>
      <c r="P1155" s="27">
        <f t="shared" si="37"/>
        <v>0</v>
      </c>
      <c r="Q1155" s="27">
        <f t="shared" ref="Q1155:Q1218" si="38">+P1155+L1155-M1155</f>
        <v>0</v>
      </c>
    </row>
    <row r="1156" spans="2:17" x14ac:dyDescent="0.45">
      <c r="B1156" s="27" t="str">
        <f>IFERROR(VLOOKUP(A1156,القائمة!$A$3:$F$112,2,FALSE),"")</f>
        <v/>
      </c>
      <c r="C1156" s="27" t="str">
        <f>IFERROR(VLOOKUP(A1156,القائمة!$A$3:$F$112,3,FALSE),"")</f>
        <v/>
      </c>
      <c r="D1156" s="36" t="str">
        <f>IFERROR(VLOOKUP(A1156,القائمة!$A$3:$F$112,4,FALSE),"")</f>
        <v/>
      </c>
      <c r="E1156" s="36" t="str">
        <f>IFERROR(VLOOKUP(A1156,القائمة!$A$3:$F$112,5,FALSE),"")</f>
        <v/>
      </c>
      <c r="F1156" s="37" t="str">
        <f>IFERROR(VLOOKUP(A1156,القائمة!$A$3:$F$112,6,FALSE),"")</f>
        <v/>
      </c>
      <c r="P1156" s="27">
        <f t="shared" ref="P1156:P1219" si="39">J1156-K1156</f>
        <v>0</v>
      </c>
      <c r="Q1156" s="27">
        <f t="shared" si="38"/>
        <v>0</v>
      </c>
    </row>
    <row r="1157" spans="2:17" x14ac:dyDescent="0.45">
      <c r="B1157" s="27" t="str">
        <f>IFERROR(VLOOKUP(A1157,القائمة!$A$3:$F$112,2,FALSE),"")</f>
        <v/>
      </c>
      <c r="C1157" s="27" t="str">
        <f>IFERROR(VLOOKUP(A1157,القائمة!$A$3:$F$112,3,FALSE),"")</f>
        <v/>
      </c>
      <c r="D1157" s="36" t="str">
        <f>IFERROR(VLOOKUP(A1157,القائمة!$A$3:$F$112,4,FALSE),"")</f>
        <v/>
      </c>
      <c r="E1157" s="36" t="str">
        <f>IFERROR(VLOOKUP(A1157,القائمة!$A$3:$F$112,5,FALSE),"")</f>
        <v/>
      </c>
      <c r="F1157" s="37" t="str">
        <f>IFERROR(VLOOKUP(A1157,القائمة!$A$3:$F$112,6,FALSE),"")</f>
        <v/>
      </c>
      <c r="P1157" s="27">
        <f t="shared" si="39"/>
        <v>0</v>
      </c>
      <c r="Q1157" s="27">
        <f t="shared" si="38"/>
        <v>0</v>
      </c>
    </row>
    <row r="1158" spans="2:17" x14ac:dyDescent="0.45">
      <c r="B1158" s="27" t="str">
        <f>IFERROR(VLOOKUP(A1158,القائمة!$A$3:$F$112,2,FALSE),"")</f>
        <v/>
      </c>
      <c r="C1158" s="27" t="str">
        <f>IFERROR(VLOOKUP(A1158,القائمة!$A$3:$F$112,3,FALSE),"")</f>
        <v/>
      </c>
      <c r="D1158" s="36" t="str">
        <f>IFERROR(VLOOKUP(A1158,القائمة!$A$3:$F$112,4,FALSE),"")</f>
        <v/>
      </c>
      <c r="E1158" s="36" t="str">
        <f>IFERROR(VLOOKUP(A1158,القائمة!$A$3:$F$112,5,FALSE),"")</f>
        <v/>
      </c>
      <c r="F1158" s="37" t="str">
        <f>IFERROR(VLOOKUP(A1158,القائمة!$A$3:$F$112,6,FALSE),"")</f>
        <v/>
      </c>
      <c r="P1158" s="27">
        <f t="shared" si="39"/>
        <v>0</v>
      </c>
      <c r="Q1158" s="27">
        <f t="shared" si="38"/>
        <v>0</v>
      </c>
    </row>
    <row r="1159" spans="2:17" x14ac:dyDescent="0.45">
      <c r="B1159" s="27" t="str">
        <f>IFERROR(VLOOKUP(A1159,القائمة!$A$3:$F$112,2,FALSE),"")</f>
        <v/>
      </c>
      <c r="C1159" s="27" t="str">
        <f>IFERROR(VLOOKUP(A1159,القائمة!$A$3:$F$112,3,FALSE),"")</f>
        <v/>
      </c>
      <c r="D1159" s="36" t="str">
        <f>IFERROR(VLOOKUP(A1159,القائمة!$A$3:$F$112,4,FALSE),"")</f>
        <v/>
      </c>
      <c r="E1159" s="36" t="str">
        <f>IFERROR(VLOOKUP(A1159,القائمة!$A$3:$F$112,5,FALSE),"")</f>
        <v/>
      </c>
      <c r="F1159" s="37" t="str">
        <f>IFERROR(VLOOKUP(A1159,القائمة!$A$3:$F$112,6,FALSE),"")</f>
        <v/>
      </c>
      <c r="P1159" s="27">
        <f t="shared" si="39"/>
        <v>0</v>
      </c>
      <c r="Q1159" s="27">
        <f t="shared" si="38"/>
        <v>0</v>
      </c>
    </row>
    <row r="1160" spans="2:17" x14ac:dyDescent="0.45">
      <c r="B1160" s="27" t="str">
        <f>IFERROR(VLOOKUP(A1160,القائمة!$A$3:$F$112,2,FALSE),"")</f>
        <v/>
      </c>
      <c r="C1160" s="27" t="str">
        <f>IFERROR(VLOOKUP(A1160,القائمة!$A$3:$F$112,3,FALSE),"")</f>
        <v/>
      </c>
      <c r="D1160" s="36" t="str">
        <f>IFERROR(VLOOKUP(A1160,القائمة!$A$3:$F$112,4,FALSE),"")</f>
        <v/>
      </c>
      <c r="E1160" s="36" t="str">
        <f>IFERROR(VLOOKUP(A1160,القائمة!$A$3:$F$112,5,FALSE),"")</f>
        <v/>
      </c>
      <c r="F1160" s="37" t="str">
        <f>IFERROR(VLOOKUP(A1160,القائمة!$A$3:$F$112,6,FALSE),"")</f>
        <v/>
      </c>
      <c r="P1160" s="27">
        <f t="shared" si="39"/>
        <v>0</v>
      </c>
      <c r="Q1160" s="27">
        <f t="shared" si="38"/>
        <v>0</v>
      </c>
    </row>
    <row r="1161" spans="2:17" x14ac:dyDescent="0.45">
      <c r="B1161" s="27" t="str">
        <f>IFERROR(VLOOKUP(A1161,القائمة!$A$3:$F$112,2,FALSE),"")</f>
        <v/>
      </c>
      <c r="C1161" s="27" t="str">
        <f>IFERROR(VLOOKUP(A1161,القائمة!$A$3:$F$112,3,FALSE),"")</f>
        <v/>
      </c>
      <c r="D1161" s="36" t="str">
        <f>IFERROR(VLOOKUP(A1161,القائمة!$A$3:$F$112,4,FALSE),"")</f>
        <v/>
      </c>
      <c r="E1161" s="36" t="str">
        <f>IFERROR(VLOOKUP(A1161,القائمة!$A$3:$F$112,5,FALSE),"")</f>
        <v/>
      </c>
      <c r="F1161" s="37" t="str">
        <f>IFERROR(VLOOKUP(A1161,القائمة!$A$3:$F$112,6,FALSE),"")</f>
        <v/>
      </c>
      <c r="P1161" s="27">
        <f t="shared" si="39"/>
        <v>0</v>
      </c>
      <c r="Q1161" s="27">
        <f t="shared" si="38"/>
        <v>0</v>
      </c>
    </row>
    <row r="1162" spans="2:17" x14ac:dyDescent="0.45">
      <c r="B1162" s="27" t="str">
        <f>IFERROR(VLOOKUP(A1162,القائمة!$A$3:$F$112,2,FALSE),"")</f>
        <v/>
      </c>
      <c r="C1162" s="27" t="str">
        <f>IFERROR(VLOOKUP(A1162,القائمة!$A$3:$F$112,3,FALSE),"")</f>
        <v/>
      </c>
      <c r="D1162" s="36" t="str">
        <f>IFERROR(VLOOKUP(A1162,القائمة!$A$3:$F$112,4,FALSE),"")</f>
        <v/>
      </c>
      <c r="E1162" s="36" t="str">
        <f>IFERROR(VLOOKUP(A1162,القائمة!$A$3:$F$112,5,FALSE),"")</f>
        <v/>
      </c>
      <c r="F1162" s="37" t="str">
        <f>IFERROR(VLOOKUP(A1162,القائمة!$A$3:$F$112,6,FALSE),"")</f>
        <v/>
      </c>
      <c r="P1162" s="27">
        <f t="shared" si="39"/>
        <v>0</v>
      </c>
      <c r="Q1162" s="27">
        <f t="shared" si="38"/>
        <v>0</v>
      </c>
    </row>
    <row r="1163" spans="2:17" x14ac:dyDescent="0.45">
      <c r="B1163" s="27" t="str">
        <f>IFERROR(VLOOKUP(A1163,القائمة!$A$3:$F$112,2,FALSE),"")</f>
        <v/>
      </c>
      <c r="C1163" s="27" t="str">
        <f>IFERROR(VLOOKUP(A1163,القائمة!$A$3:$F$112,3,FALSE),"")</f>
        <v/>
      </c>
      <c r="D1163" s="36" t="str">
        <f>IFERROR(VLOOKUP(A1163,القائمة!$A$3:$F$112,4,FALSE),"")</f>
        <v/>
      </c>
      <c r="E1163" s="36" t="str">
        <f>IFERROR(VLOOKUP(A1163,القائمة!$A$3:$F$112,5,FALSE),"")</f>
        <v/>
      </c>
      <c r="F1163" s="37" t="str">
        <f>IFERROR(VLOOKUP(A1163,القائمة!$A$3:$F$112,6,FALSE),"")</f>
        <v/>
      </c>
      <c r="P1163" s="27">
        <f t="shared" si="39"/>
        <v>0</v>
      </c>
      <c r="Q1163" s="27">
        <f t="shared" si="38"/>
        <v>0</v>
      </c>
    </row>
    <row r="1164" spans="2:17" x14ac:dyDescent="0.45">
      <c r="B1164" s="27" t="str">
        <f>IFERROR(VLOOKUP(A1164,القائمة!$A$3:$F$112,2,FALSE),"")</f>
        <v/>
      </c>
      <c r="C1164" s="27" t="str">
        <f>IFERROR(VLOOKUP(A1164,القائمة!$A$3:$F$112,3,FALSE),"")</f>
        <v/>
      </c>
      <c r="D1164" s="36" t="str">
        <f>IFERROR(VLOOKUP(A1164,القائمة!$A$3:$F$112,4,FALSE),"")</f>
        <v/>
      </c>
      <c r="E1164" s="36" t="str">
        <f>IFERROR(VLOOKUP(A1164,القائمة!$A$3:$F$112,5,FALSE),"")</f>
        <v/>
      </c>
      <c r="F1164" s="37" t="str">
        <f>IFERROR(VLOOKUP(A1164,القائمة!$A$3:$F$112,6,FALSE),"")</f>
        <v/>
      </c>
      <c r="P1164" s="27">
        <f t="shared" si="39"/>
        <v>0</v>
      </c>
      <c r="Q1164" s="27">
        <f t="shared" si="38"/>
        <v>0</v>
      </c>
    </row>
    <row r="1165" spans="2:17" x14ac:dyDescent="0.45">
      <c r="B1165" s="27" t="str">
        <f>IFERROR(VLOOKUP(A1165,القائمة!$A$3:$F$112,2,FALSE),"")</f>
        <v/>
      </c>
      <c r="C1165" s="27" t="str">
        <f>IFERROR(VLOOKUP(A1165,القائمة!$A$3:$F$112,3,FALSE),"")</f>
        <v/>
      </c>
      <c r="D1165" s="36" t="str">
        <f>IFERROR(VLOOKUP(A1165,القائمة!$A$3:$F$112,4,FALSE),"")</f>
        <v/>
      </c>
      <c r="E1165" s="36" t="str">
        <f>IFERROR(VLOOKUP(A1165,القائمة!$A$3:$F$112,5,FALSE),"")</f>
        <v/>
      </c>
      <c r="F1165" s="37" t="str">
        <f>IFERROR(VLOOKUP(A1165,القائمة!$A$3:$F$112,6,FALSE),"")</f>
        <v/>
      </c>
      <c r="P1165" s="27">
        <f t="shared" si="39"/>
        <v>0</v>
      </c>
      <c r="Q1165" s="27">
        <f t="shared" si="38"/>
        <v>0</v>
      </c>
    </row>
    <row r="1166" spans="2:17" x14ac:dyDescent="0.45">
      <c r="B1166" s="27" t="str">
        <f>IFERROR(VLOOKUP(A1166,القائمة!$A$3:$F$112,2,FALSE),"")</f>
        <v/>
      </c>
      <c r="C1166" s="27" t="str">
        <f>IFERROR(VLOOKUP(A1166,القائمة!$A$3:$F$112,3,FALSE),"")</f>
        <v/>
      </c>
      <c r="D1166" s="36" t="str">
        <f>IFERROR(VLOOKUP(A1166,القائمة!$A$3:$F$112,4,FALSE),"")</f>
        <v/>
      </c>
      <c r="E1166" s="36" t="str">
        <f>IFERROR(VLOOKUP(A1166,القائمة!$A$3:$F$112,5,FALSE),"")</f>
        <v/>
      </c>
      <c r="F1166" s="37" t="str">
        <f>IFERROR(VLOOKUP(A1166,القائمة!$A$3:$F$112,6,FALSE),"")</f>
        <v/>
      </c>
      <c r="P1166" s="27">
        <f t="shared" si="39"/>
        <v>0</v>
      </c>
      <c r="Q1166" s="27">
        <f t="shared" si="38"/>
        <v>0</v>
      </c>
    </row>
    <row r="1167" spans="2:17" x14ac:dyDescent="0.45">
      <c r="B1167" s="27" t="str">
        <f>IFERROR(VLOOKUP(A1167,القائمة!$A$3:$F$112,2,FALSE),"")</f>
        <v/>
      </c>
      <c r="C1167" s="27" t="str">
        <f>IFERROR(VLOOKUP(A1167,القائمة!$A$3:$F$112,3,FALSE),"")</f>
        <v/>
      </c>
      <c r="D1167" s="36" t="str">
        <f>IFERROR(VLOOKUP(A1167,القائمة!$A$3:$F$112,4,FALSE),"")</f>
        <v/>
      </c>
      <c r="E1167" s="36" t="str">
        <f>IFERROR(VLOOKUP(A1167,القائمة!$A$3:$F$112,5,FALSE),"")</f>
        <v/>
      </c>
      <c r="F1167" s="37" t="str">
        <f>IFERROR(VLOOKUP(A1167,القائمة!$A$3:$F$112,6,FALSE),"")</f>
        <v/>
      </c>
      <c r="P1167" s="27">
        <f t="shared" si="39"/>
        <v>0</v>
      </c>
      <c r="Q1167" s="27">
        <f t="shared" si="38"/>
        <v>0</v>
      </c>
    </row>
    <row r="1168" spans="2:17" x14ac:dyDescent="0.45">
      <c r="B1168" s="27" t="str">
        <f>IFERROR(VLOOKUP(A1168,القائمة!$A$3:$F$112,2,FALSE),"")</f>
        <v/>
      </c>
      <c r="C1168" s="27" t="str">
        <f>IFERROR(VLOOKUP(A1168,القائمة!$A$3:$F$112,3,FALSE),"")</f>
        <v/>
      </c>
      <c r="D1168" s="36" t="str">
        <f>IFERROR(VLOOKUP(A1168,القائمة!$A$3:$F$112,4,FALSE),"")</f>
        <v/>
      </c>
      <c r="E1168" s="36" t="str">
        <f>IFERROR(VLOOKUP(A1168,القائمة!$A$3:$F$112,5,FALSE),"")</f>
        <v/>
      </c>
      <c r="F1168" s="37" t="str">
        <f>IFERROR(VLOOKUP(A1168,القائمة!$A$3:$F$112,6,FALSE),"")</f>
        <v/>
      </c>
      <c r="P1168" s="27">
        <f t="shared" si="39"/>
        <v>0</v>
      </c>
      <c r="Q1168" s="27">
        <f t="shared" si="38"/>
        <v>0</v>
      </c>
    </row>
    <row r="1169" spans="2:17" x14ac:dyDescent="0.45">
      <c r="B1169" s="27" t="str">
        <f>IFERROR(VLOOKUP(A1169,القائمة!$A$3:$F$112,2,FALSE),"")</f>
        <v/>
      </c>
      <c r="C1169" s="27" t="str">
        <f>IFERROR(VLOOKUP(A1169,القائمة!$A$3:$F$112,3,FALSE),"")</f>
        <v/>
      </c>
      <c r="D1169" s="36" t="str">
        <f>IFERROR(VLOOKUP(A1169,القائمة!$A$3:$F$112,4,FALSE),"")</f>
        <v/>
      </c>
      <c r="E1169" s="36" t="str">
        <f>IFERROR(VLOOKUP(A1169,القائمة!$A$3:$F$112,5,FALSE),"")</f>
        <v/>
      </c>
      <c r="F1169" s="37" t="str">
        <f>IFERROR(VLOOKUP(A1169,القائمة!$A$3:$F$112,6,FALSE),"")</f>
        <v/>
      </c>
      <c r="P1169" s="27">
        <f t="shared" si="39"/>
        <v>0</v>
      </c>
      <c r="Q1169" s="27">
        <f t="shared" si="38"/>
        <v>0</v>
      </c>
    </row>
    <row r="1170" spans="2:17" x14ac:dyDescent="0.45">
      <c r="B1170" s="27" t="str">
        <f>IFERROR(VLOOKUP(A1170,القائمة!$A$3:$F$112,2,FALSE),"")</f>
        <v/>
      </c>
      <c r="C1170" s="27" t="str">
        <f>IFERROR(VLOOKUP(A1170,القائمة!$A$3:$F$112,3,FALSE),"")</f>
        <v/>
      </c>
      <c r="D1170" s="36" t="str">
        <f>IFERROR(VLOOKUP(A1170,القائمة!$A$3:$F$112,4,FALSE),"")</f>
        <v/>
      </c>
      <c r="E1170" s="36" t="str">
        <f>IFERROR(VLOOKUP(A1170,القائمة!$A$3:$F$112,5,FALSE),"")</f>
        <v/>
      </c>
      <c r="F1170" s="37" t="str">
        <f>IFERROR(VLOOKUP(A1170,القائمة!$A$3:$F$112,6,FALSE),"")</f>
        <v/>
      </c>
      <c r="P1170" s="27">
        <f t="shared" si="39"/>
        <v>0</v>
      </c>
      <c r="Q1170" s="27">
        <f t="shared" si="38"/>
        <v>0</v>
      </c>
    </row>
    <row r="1171" spans="2:17" x14ac:dyDescent="0.45">
      <c r="B1171" s="27" t="str">
        <f>IFERROR(VLOOKUP(A1171,القائمة!$A$3:$F$112,2,FALSE),"")</f>
        <v/>
      </c>
      <c r="C1171" s="27" t="str">
        <f>IFERROR(VLOOKUP(A1171,القائمة!$A$3:$F$112,3,FALSE),"")</f>
        <v/>
      </c>
      <c r="D1171" s="36" t="str">
        <f>IFERROR(VLOOKUP(A1171,القائمة!$A$3:$F$112,4,FALSE),"")</f>
        <v/>
      </c>
      <c r="E1171" s="36" t="str">
        <f>IFERROR(VLOOKUP(A1171,القائمة!$A$3:$F$112,5,FALSE),"")</f>
        <v/>
      </c>
      <c r="F1171" s="37" t="str">
        <f>IFERROR(VLOOKUP(A1171,القائمة!$A$3:$F$112,6,FALSE),"")</f>
        <v/>
      </c>
      <c r="P1171" s="27">
        <f t="shared" si="39"/>
        <v>0</v>
      </c>
      <c r="Q1171" s="27">
        <f t="shared" si="38"/>
        <v>0</v>
      </c>
    </row>
    <row r="1172" spans="2:17" x14ac:dyDescent="0.45">
      <c r="B1172" s="27" t="str">
        <f>IFERROR(VLOOKUP(A1172,القائمة!$A$3:$F$112,2,FALSE),"")</f>
        <v/>
      </c>
      <c r="C1172" s="27" t="str">
        <f>IFERROR(VLOOKUP(A1172,القائمة!$A$3:$F$112,3,FALSE),"")</f>
        <v/>
      </c>
      <c r="D1172" s="36" t="str">
        <f>IFERROR(VLOOKUP(A1172,القائمة!$A$3:$F$112,4,FALSE),"")</f>
        <v/>
      </c>
      <c r="E1172" s="36" t="str">
        <f>IFERROR(VLOOKUP(A1172,القائمة!$A$3:$F$112,5,FALSE),"")</f>
        <v/>
      </c>
      <c r="F1172" s="37" t="str">
        <f>IFERROR(VLOOKUP(A1172,القائمة!$A$3:$F$112,6,FALSE),"")</f>
        <v/>
      </c>
      <c r="P1172" s="27">
        <f t="shared" si="39"/>
        <v>0</v>
      </c>
      <c r="Q1172" s="27">
        <f t="shared" si="38"/>
        <v>0</v>
      </c>
    </row>
    <row r="1173" spans="2:17" x14ac:dyDescent="0.45">
      <c r="B1173" s="27" t="str">
        <f>IFERROR(VLOOKUP(A1173,القائمة!$A$3:$F$112,2,FALSE),"")</f>
        <v/>
      </c>
      <c r="C1173" s="27" t="str">
        <f>IFERROR(VLOOKUP(A1173,القائمة!$A$3:$F$112,3,FALSE),"")</f>
        <v/>
      </c>
      <c r="D1173" s="36" t="str">
        <f>IFERROR(VLOOKUP(A1173,القائمة!$A$3:$F$112,4,FALSE),"")</f>
        <v/>
      </c>
      <c r="E1173" s="36" t="str">
        <f>IFERROR(VLOOKUP(A1173,القائمة!$A$3:$F$112,5,FALSE),"")</f>
        <v/>
      </c>
      <c r="F1173" s="37" t="str">
        <f>IFERROR(VLOOKUP(A1173,القائمة!$A$3:$F$112,6,FALSE),"")</f>
        <v/>
      </c>
      <c r="P1173" s="27">
        <f t="shared" si="39"/>
        <v>0</v>
      </c>
      <c r="Q1173" s="27">
        <f t="shared" si="38"/>
        <v>0</v>
      </c>
    </row>
    <row r="1174" spans="2:17" x14ac:dyDescent="0.45">
      <c r="B1174" s="27" t="str">
        <f>IFERROR(VLOOKUP(A1174,القائمة!$A$3:$F$112,2,FALSE),"")</f>
        <v/>
      </c>
      <c r="C1174" s="27" t="str">
        <f>IFERROR(VLOOKUP(A1174,القائمة!$A$3:$F$112,3,FALSE),"")</f>
        <v/>
      </c>
      <c r="D1174" s="36" t="str">
        <f>IFERROR(VLOOKUP(A1174,القائمة!$A$3:$F$112,4,FALSE),"")</f>
        <v/>
      </c>
      <c r="E1174" s="36" t="str">
        <f>IFERROR(VLOOKUP(A1174,القائمة!$A$3:$F$112,5,FALSE),"")</f>
        <v/>
      </c>
      <c r="F1174" s="37" t="str">
        <f>IFERROR(VLOOKUP(A1174,القائمة!$A$3:$F$112,6,FALSE),"")</f>
        <v/>
      </c>
      <c r="P1174" s="27">
        <f t="shared" si="39"/>
        <v>0</v>
      </c>
      <c r="Q1174" s="27">
        <f t="shared" si="38"/>
        <v>0</v>
      </c>
    </row>
    <row r="1175" spans="2:17" x14ac:dyDescent="0.45">
      <c r="B1175" s="27" t="str">
        <f>IFERROR(VLOOKUP(A1175,القائمة!$A$3:$F$112,2,FALSE),"")</f>
        <v/>
      </c>
      <c r="C1175" s="27" t="str">
        <f>IFERROR(VLOOKUP(A1175,القائمة!$A$3:$F$112,3,FALSE),"")</f>
        <v/>
      </c>
      <c r="D1175" s="36" t="str">
        <f>IFERROR(VLOOKUP(A1175,القائمة!$A$3:$F$112,4,FALSE),"")</f>
        <v/>
      </c>
      <c r="E1175" s="36" t="str">
        <f>IFERROR(VLOOKUP(A1175,القائمة!$A$3:$F$112,5,FALSE),"")</f>
        <v/>
      </c>
      <c r="F1175" s="37" t="str">
        <f>IFERROR(VLOOKUP(A1175,القائمة!$A$3:$F$112,6,FALSE),"")</f>
        <v/>
      </c>
      <c r="P1175" s="27">
        <f t="shared" si="39"/>
        <v>0</v>
      </c>
      <c r="Q1175" s="27">
        <f t="shared" si="38"/>
        <v>0</v>
      </c>
    </row>
    <row r="1176" spans="2:17" x14ac:dyDescent="0.45">
      <c r="B1176" s="27" t="str">
        <f>IFERROR(VLOOKUP(A1176,القائمة!$A$3:$F$112,2,FALSE),"")</f>
        <v/>
      </c>
      <c r="C1176" s="27" t="str">
        <f>IFERROR(VLOOKUP(A1176,القائمة!$A$3:$F$112,3,FALSE),"")</f>
        <v/>
      </c>
      <c r="D1176" s="36" t="str">
        <f>IFERROR(VLOOKUP(A1176,القائمة!$A$3:$F$112,4,FALSE),"")</f>
        <v/>
      </c>
      <c r="E1176" s="36" t="str">
        <f>IFERROR(VLOOKUP(A1176,القائمة!$A$3:$F$112,5,FALSE),"")</f>
        <v/>
      </c>
      <c r="F1176" s="37" t="str">
        <f>IFERROR(VLOOKUP(A1176,القائمة!$A$3:$F$112,6,FALSE),"")</f>
        <v/>
      </c>
      <c r="P1176" s="27">
        <f t="shared" si="39"/>
        <v>0</v>
      </c>
      <c r="Q1176" s="27">
        <f t="shared" si="38"/>
        <v>0</v>
      </c>
    </row>
    <row r="1177" spans="2:17" x14ac:dyDescent="0.45">
      <c r="B1177" s="27" t="str">
        <f>IFERROR(VLOOKUP(A1177,القائمة!$A$3:$F$112,2,FALSE),"")</f>
        <v/>
      </c>
      <c r="C1177" s="27" t="str">
        <f>IFERROR(VLOOKUP(A1177,القائمة!$A$3:$F$112,3,FALSE),"")</f>
        <v/>
      </c>
      <c r="D1177" s="36" t="str">
        <f>IFERROR(VLOOKUP(A1177,القائمة!$A$3:$F$112,4,FALSE),"")</f>
        <v/>
      </c>
      <c r="E1177" s="36" t="str">
        <f>IFERROR(VLOOKUP(A1177,القائمة!$A$3:$F$112,5,FALSE),"")</f>
        <v/>
      </c>
      <c r="F1177" s="37" t="str">
        <f>IFERROR(VLOOKUP(A1177,القائمة!$A$3:$F$112,6,FALSE),"")</f>
        <v/>
      </c>
      <c r="P1177" s="27">
        <f t="shared" si="39"/>
        <v>0</v>
      </c>
      <c r="Q1177" s="27">
        <f t="shared" si="38"/>
        <v>0</v>
      </c>
    </row>
    <row r="1178" spans="2:17" x14ac:dyDescent="0.45">
      <c r="B1178" s="27" t="str">
        <f>IFERROR(VLOOKUP(A1178,القائمة!$A$3:$F$112,2,FALSE),"")</f>
        <v/>
      </c>
      <c r="C1178" s="27" t="str">
        <f>IFERROR(VLOOKUP(A1178,القائمة!$A$3:$F$112,3,FALSE),"")</f>
        <v/>
      </c>
      <c r="D1178" s="36" t="str">
        <f>IFERROR(VLOOKUP(A1178,القائمة!$A$3:$F$112,4,FALSE),"")</f>
        <v/>
      </c>
      <c r="E1178" s="36" t="str">
        <f>IFERROR(VLOOKUP(A1178,القائمة!$A$3:$F$112,5,FALSE),"")</f>
        <v/>
      </c>
      <c r="F1178" s="37" t="str">
        <f>IFERROR(VLOOKUP(A1178,القائمة!$A$3:$F$112,6,FALSE),"")</f>
        <v/>
      </c>
      <c r="P1178" s="27">
        <f t="shared" si="39"/>
        <v>0</v>
      </c>
      <c r="Q1178" s="27">
        <f t="shared" si="38"/>
        <v>0</v>
      </c>
    </row>
    <row r="1179" spans="2:17" x14ac:dyDescent="0.45">
      <c r="B1179" s="27" t="str">
        <f>IFERROR(VLOOKUP(A1179,القائمة!$A$3:$F$112,2,FALSE),"")</f>
        <v/>
      </c>
      <c r="C1179" s="27" t="str">
        <f>IFERROR(VLOOKUP(A1179,القائمة!$A$3:$F$112,3,FALSE),"")</f>
        <v/>
      </c>
      <c r="D1179" s="36" t="str">
        <f>IFERROR(VLOOKUP(A1179,القائمة!$A$3:$F$112,4,FALSE),"")</f>
        <v/>
      </c>
      <c r="E1179" s="36" t="str">
        <f>IFERROR(VLOOKUP(A1179,القائمة!$A$3:$F$112,5,FALSE),"")</f>
        <v/>
      </c>
      <c r="F1179" s="37" t="str">
        <f>IFERROR(VLOOKUP(A1179,القائمة!$A$3:$F$112,6,FALSE),"")</f>
        <v/>
      </c>
      <c r="P1179" s="27">
        <f t="shared" si="39"/>
        <v>0</v>
      </c>
      <c r="Q1179" s="27">
        <f t="shared" si="38"/>
        <v>0</v>
      </c>
    </row>
    <row r="1180" spans="2:17" x14ac:dyDescent="0.45">
      <c r="B1180" s="27" t="str">
        <f>IFERROR(VLOOKUP(A1180,القائمة!$A$3:$F$112,2,FALSE),"")</f>
        <v/>
      </c>
      <c r="C1180" s="27" t="str">
        <f>IFERROR(VLOOKUP(A1180,القائمة!$A$3:$F$112,3,FALSE),"")</f>
        <v/>
      </c>
      <c r="D1180" s="36" t="str">
        <f>IFERROR(VLOOKUP(A1180,القائمة!$A$3:$F$112,4,FALSE),"")</f>
        <v/>
      </c>
      <c r="E1180" s="36" t="str">
        <f>IFERROR(VLOOKUP(A1180,القائمة!$A$3:$F$112,5,FALSE),"")</f>
        <v/>
      </c>
      <c r="F1180" s="37" t="str">
        <f>IFERROR(VLOOKUP(A1180,القائمة!$A$3:$F$112,6,FALSE),"")</f>
        <v/>
      </c>
      <c r="P1180" s="27">
        <f t="shared" si="39"/>
        <v>0</v>
      </c>
      <c r="Q1180" s="27">
        <f t="shared" si="38"/>
        <v>0</v>
      </c>
    </row>
    <row r="1181" spans="2:17" x14ac:dyDescent="0.45">
      <c r="B1181" s="27" t="str">
        <f>IFERROR(VLOOKUP(A1181,القائمة!$A$3:$F$112,2,FALSE),"")</f>
        <v/>
      </c>
      <c r="C1181" s="27" t="str">
        <f>IFERROR(VLOOKUP(A1181,القائمة!$A$3:$F$112,3,FALSE),"")</f>
        <v/>
      </c>
      <c r="D1181" s="36" t="str">
        <f>IFERROR(VLOOKUP(A1181,القائمة!$A$3:$F$112,4,FALSE),"")</f>
        <v/>
      </c>
      <c r="E1181" s="36" t="str">
        <f>IFERROR(VLOOKUP(A1181,القائمة!$A$3:$F$112,5,FALSE),"")</f>
        <v/>
      </c>
      <c r="F1181" s="37" t="str">
        <f>IFERROR(VLOOKUP(A1181,القائمة!$A$3:$F$112,6,FALSE),"")</f>
        <v/>
      </c>
      <c r="P1181" s="27">
        <f t="shared" si="39"/>
        <v>0</v>
      </c>
      <c r="Q1181" s="27">
        <f t="shared" si="38"/>
        <v>0</v>
      </c>
    </row>
    <row r="1182" spans="2:17" x14ac:dyDescent="0.45">
      <c r="B1182" s="27" t="str">
        <f>IFERROR(VLOOKUP(A1182,القائمة!$A$3:$F$112,2,FALSE),"")</f>
        <v/>
      </c>
      <c r="C1182" s="27" t="str">
        <f>IFERROR(VLOOKUP(A1182,القائمة!$A$3:$F$112,3,FALSE),"")</f>
        <v/>
      </c>
      <c r="D1182" s="36" t="str">
        <f>IFERROR(VLOOKUP(A1182,القائمة!$A$3:$F$112,4,FALSE),"")</f>
        <v/>
      </c>
      <c r="E1182" s="36" t="str">
        <f>IFERROR(VLOOKUP(A1182,القائمة!$A$3:$F$112,5,FALSE),"")</f>
        <v/>
      </c>
      <c r="F1182" s="37" t="str">
        <f>IFERROR(VLOOKUP(A1182,القائمة!$A$3:$F$112,6,FALSE),"")</f>
        <v/>
      </c>
      <c r="P1182" s="27">
        <f t="shared" si="39"/>
        <v>0</v>
      </c>
      <c r="Q1182" s="27">
        <f t="shared" si="38"/>
        <v>0</v>
      </c>
    </row>
    <row r="1183" spans="2:17" x14ac:dyDescent="0.45">
      <c r="B1183" s="27" t="str">
        <f>IFERROR(VLOOKUP(A1183,القائمة!$A$3:$F$112,2,FALSE),"")</f>
        <v/>
      </c>
      <c r="C1183" s="27" t="str">
        <f>IFERROR(VLOOKUP(A1183,القائمة!$A$3:$F$112,3,FALSE),"")</f>
        <v/>
      </c>
      <c r="D1183" s="36" t="str">
        <f>IFERROR(VLOOKUP(A1183,القائمة!$A$3:$F$112,4,FALSE),"")</f>
        <v/>
      </c>
      <c r="E1183" s="36" t="str">
        <f>IFERROR(VLOOKUP(A1183,القائمة!$A$3:$F$112,5,FALSE),"")</f>
        <v/>
      </c>
      <c r="F1183" s="37" t="str">
        <f>IFERROR(VLOOKUP(A1183,القائمة!$A$3:$F$112,6,FALSE),"")</f>
        <v/>
      </c>
      <c r="P1183" s="27">
        <f t="shared" si="39"/>
        <v>0</v>
      </c>
      <c r="Q1183" s="27">
        <f t="shared" si="38"/>
        <v>0</v>
      </c>
    </row>
    <row r="1184" spans="2:17" x14ac:dyDescent="0.45">
      <c r="B1184" s="27" t="str">
        <f>IFERROR(VLOOKUP(A1184,القائمة!$A$3:$F$112,2,FALSE),"")</f>
        <v/>
      </c>
      <c r="C1184" s="27" t="str">
        <f>IFERROR(VLOOKUP(A1184,القائمة!$A$3:$F$112,3,FALSE),"")</f>
        <v/>
      </c>
      <c r="D1184" s="36" t="str">
        <f>IFERROR(VLOOKUP(A1184,القائمة!$A$3:$F$112,4,FALSE),"")</f>
        <v/>
      </c>
      <c r="E1184" s="36" t="str">
        <f>IFERROR(VLOOKUP(A1184,القائمة!$A$3:$F$112,5,FALSE),"")</f>
        <v/>
      </c>
      <c r="F1184" s="37" t="str">
        <f>IFERROR(VLOOKUP(A1184,القائمة!$A$3:$F$112,6,FALSE),"")</f>
        <v/>
      </c>
      <c r="P1184" s="27">
        <f t="shared" si="39"/>
        <v>0</v>
      </c>
      <c r="Q1184" s="27">
        <f t="shared" si="38"/>
        <v>0</v>
      </c>
    </row>
    <row r="1185" spans="2:17" x14ac:dyDescent="0.45">
      <c r="B1185" s="27" t="str">
        <f>IFERROR(VLOOKUP(A1185,القائمة!$A$3:$F$112,2,FALSE),"")</f>
        <v/>
      </c>
      <c r="C1185" s="27" t="str">
        <f>IFERROR(VLOOKUP(A1185,القائمة!$A$3:$F$112,3,FALSE),"")</f>
        <v/>
      </c>
      <c r="D1185" s="36" t="str">
        <f>IFERROR(VLOOKUP(A1185,القائمة!$A$3:$F$112,4,FALSE),"")</f>
        <v/>
      </c>
      <c r="E1185" s="36" t="str">
        <f>IFERROR(VLOOKUP(A1185,القائمة!$A$3:$F$112,5,FALSE),"")</f>
        <v/>
      </c>
      <c r="F1185" s="37" t="str">
        <f>IFERROR(VLOOKUP(A1185,القائمة!$A$3:$F$112,6,FALSE),"")</f>
        <v/>
      </c>
      <c r="P1185" s="27">
        <f t="shared" si="39"/>
        <v>0</v>
      </c>
      <c r="Q1185" s="27">
        <f t="shared" si="38"/>
        <v>0</v>
      </c>
    </row>
    <row r="1186" spans="2:17" x14ac:dyDescent="0.45">
      <c r="B1186" s="27" t="str">
        <f>IFERROR(VLOOKUP(A1186,القائمة!$A$3:$F$112,2,FALSE),"")</f>
        <v/>
      </c>
      <c r="C1186" s="27" t="str">
        <f>IFERROR(VLOOKUP(A1186,القائمة!$A$3:$F$112,3,FALSE),"")</f>
        <v/>
      </c>
      <c r="D1186" s="36" t="str">
        <f>IFERROR(VLOOKUP(A1186,القائمة!$A$3:$F$112,4,FALSE),"")</f>
        <v/>
      </c>
      <c r="E1186" s="36" t="str">
        <f>IFERROR(VLOOKUP(A1186,القائمة!$A$3:$F$112,5,FALSE),"")</f>
        <v/>
      </c>
      <c r="F1186" s="37" t="str">
        <f>IFERROR(VLOOKUP(A1186,القائمة!$A$3:$F$112,6,FALSE),"")</f>
        <v/>
      </c>
      <c r="P1186" s="27">
        <f t="shared" si="39"/>
        <v>0</v>
      </c>
      <c r="Q1186" s="27">
        <f t="shared" si="38"/>
        <v>0</v>
      </c>
    </row>
    <row r="1187" spans="2:17" x14ac:dyDescent="0.45">
      <c r="B1187" s="27" t="str">
        <f>IFERROR(VLOOKUP(A1187,القائمة!$A$3:$F$112,2,FALSE),"")</f>
        <v/>
      </c>
      <c r="C1187" s="27" t="str">
        <f>IFERROR(VLOOKUP(A1187,القائمة!$A$3:$F$112,3,FALSE),"")</f>
        <v/>
      </c>
      <c r="D1187" s="36" t="str">
        <f>IFERROR(VLOOKUP(A1187,القائمة!$A$3:$F$112,4,FALSE),"")</f>
        <v/>
      </c>
      <c r="E1187" s="36" t="str">
        <f>IFERROR(VLOOKUP(A1187,القائمة!$A$3:$F$112,5,FALSE),"")</f>
        <v/>
      </c>
      <c r="F1187" s="37" t="str">
        <f>IFERROR(VLOOKUP(A1187,القائمة!$A$3:$F$112,6,FALSE),"")</f>
        <v/>
      </c>
      <c r="P1187" s="27">
        <f t="shared" si="39"/>
        <v>0</v>
      </c>
      <c r="Q1187" s="27">
        <f t="shared" si="38"/>
        <v>0</v>
      </c>
    </row>
    <row r="1188" spans="2:17" x14ac:dyDescent="0.45">
      <c r="B1188" s="27" t="str">
        <f>IFERROR(VLOOKUP(A1188,القائمة!$A$3:$F$112,2,FALSE),"")</f>
        <v/>
      </c>
      <c r="C1188" s="27" t="str">
        <f>IFERROR(VLOOKUP(A1188,القائمة!$A$3:$F$112,3,FALSE),"")</f>
        <v/>
      </c>
      <c r="D1188" s="36" t="str">
        <f>IFERROR(VLOOKUP(A1188,القائمة!$A$3:$F$112,4,FALSE),"")</f>
        <v/>
      </c>
      <c r="E1188" s="36" t="str">
        <f>IFERROR(VLOOKUP(A1188,القائمة!$A$3:$F$112,5,FALSE),"")</f>
        <v/>
      </c>
      <c r="F1188" s="37" t="str">
        <f>IFERROR(VLOOKUP(A1188,القائمة!$A$3:$F$112,6,FALSE),"")</f>
        <v/>
      </c>
      <c r="P1188" s="27">
        <f t="shared" si="39"/>
        <v>0</v>
      </c>
      <c r="Q1188" s="27">
        <f t="shared" si="38"/>
        <v>0</v>
      </c>
    </row>
    <row r="1189" spans="2:17" x14ac:dyDescent="0.45">
      <c r="B1189" s="27" t="str">
        <f>IFERROR(VLOOKUP(A1189,القائمة!$A$3:$F$112,2,FALSE),"")</f>
        <v/>
      </c>
      <c r="C1189" s="27" t="str">
        <f>IFERROR(VLOOKUP(A1189,القائمة!$A$3:$F$112,3,FALSE),"")</f>
        <v/>
      </c>
      <c r="D1189" s="36" t="str">
        <f>IFERROR(VLOOKUP(A1189,القائمة!$A$3:$F$112,4,FALSE),"")</f>
        <v/>
      </c>
      <c r="E1189" s="36" t="str">
        <f>IFERROR(VLOOKUP(A1189,القائمة!$A$3:$F$112,5,FALSE),"")</f>
        <v/>
      </c>
      <c r="F1189" s="37" t="str">
        <f>IFERROR(VLOOKUP(A1189,القائمة!$A$3:$F$112,6,FALSE),"")</f>
        <v/>
      </c>
      <c r="P1189" s="27">
        <f t="shared" si="39"/>
        <v>0</v>
      </c>
      <c r="Q1189" s="27">
        <f t="shared" si="38"/>
        <v>0</v>
      </c>
    </row>
    <row r="1190" spans="2:17" x14ac:dyDescent="0.45">
      <c r="B1190" s="27" t="str">
        <f>IFERROR(VLOOKUP(A1190,القائمة!$A$3:$F$112,2,FALSE),"")</f>
        <v/>
      </c>
      <c r="C1190" s="27" t="str">
        <f>IFERROR(VLOOKUP(A1190,القائمة!$A$3:$F$112,3,FALSE),"")</f>
        <v/>
      </c>
      <c r="D1190" s="36" t="str">
        <f>IFERROR(VLOOKUP(A1190,القائمة!$A$3:$F$112,4,FALSE),"")</f>
        <v/>
      </c>
      <c r="E1190" s="36" t="str">
        <f>IFERROR(VLOOKUP(A1190,القائمة!$A$3:$F$112,5,FALSE),"")</f>
        <v/>
      </c>
      <c r="F1190" s="37" t="str">
        <f>IFERROR(VLOOKUP(A1190,القائمة!$A$3:$F$112,6,FALSE),"")</f>
        <v/>
      </c>
      <c r="P1190" s="27">
        <f t="shared" si="39"/>
        <v>0</v>
      </c>
      <c r="Q1190" s="27">
        <f t="shared" si="38"/>
        <v>0</v>
      </c>
    </row>
    <row r="1191" spans="2:17" x14ac:dyDescent="0.45">
      <c r="B1191" s="27" t="str">
        <f>IFERROR(VLOOKUP(A1191,القائمة!$A$3:$F$112,2,FALSE),"")</f>
        <v/>
      </c>
      <c r="C1191" s="27" t="str">
        <f>IFERROR(VLOOKUP(A1191,القائمة!$A$3:$F$112,3,FALSE),"")</f>
        <v/>
      </c>
      <c r="D1191" s="36" t="str">
        <f>IFERROR(VLOOKUP(A1191,القائمة!$A$3:$F$112,4,FALSE),"")</f>
        <v/>
      </c>
      <c r="E1191" s="36" t="str">
        <f>IFERROR(VLOOKUP(A1191,القائمة!$A$3:$F$112,5,FALSE),"")</f>
        <v/>
      </c>
      <c r="F1191" s="37" t="str">
        <f>IFERROR(VLOOKUP(A1191,القائمة!$A$3:$F$112,6,FALSE),"")</f>
        <v/>
      </c>
      <c r="P1191" s="27">
        <f t="shared" si="39"/>
        <v>0</v>
      </c>
      <c r="Q1191" s="27">
        <f t="shared" si="38"/>
        <v>0</v>
      </c>
    </row>
    <row r="1192" spans="2:17" x14ac:dyDescent="0.45">
      <c r="B1192" s="27" t="str">
        <f>IFERROR(VLOOKUP(A1192,القائمة!$A$3:$F$112,2,FALSE),"")</f>
        <v/>
      </c>
      <c r="C1192" s="27" t="str">
        <f>IFERROR(VLOOKUP(A1192,القائمة!$A$3:$F$112,3,FALSE),"")</f>
        <v/>
      </c>
      <c r="D1192" s="36" t="str">
        <f>IFERROR(VLOOKUP(A1192,القائمة!$A$3:$F$112,4,FALSE),"")</f>
        <v/>
      </c>
      <c r="E1192" s="36" t="str">
        <f>IFERROR(VLOOKUP(A1192,القائمة!$A$3:$F$112,5,FALSE),"")</f>
        <v/>
      </c>
      <c r="F1192" s="37" t="str">
        <f>IFERROR(VLOOKUP(A1192,القائمة!$A$3:$F$112,6,FALSE),"")</f>
        <v/>
      </c>
      <c r="P1192" s="27">
        <f t="shared" si="39"/>
        <v>0</v>
      </c>
      <c r="Q1192" s="27">
        <f t="shared" si="38"/>
        <v>0</v>
      </c>
    </row>
    <row r="1193" spans="2:17" x14ac:dyDescent="0.45">
      <c r="B1193" s="27" t="str">
        <f>IFERROR(VLOOKUP(A1193,القائمة!$A$3:$F$112,2,FALSE),"")</f>
        <v/>
      </c>
      <c r="C1193" s="27" t="str">
        <f>IFERROR(VLOOKUP(A1193,القائمة!$A$3:$F$112,3,FALSE),"")</f>
        <v/>
      </c>
      <c r="D1193" s="36" t="str">
        <f>IFERROR(VLOOKUP(A1193,القائمة!$A$3:$F$112,4,FALSE),"")</f>
        <v/>
      </c>
      <c r="E1193" s="36" t="str">
        <f>IFERROR(VLOOKUP(A1193,القائمة!$A$3:$F$112,5,FALSE),"")</f>
        <v/>
      </c>
      <c r="F1193" s="37" t="str">
        <f>IFERROR(VLOOKUP(A1193,القائمة!$A$3:$F$112,6,FALSE),"")</f>
        <v/>
      </c>
      <c r="P1193" s="27">
        <f t="shared" si="39"/>
        <v>0</v>
      </c>
      <c r="Q1193" s="27">
        <f t="shared" si="38"/>
        <v>0</v>
      </c>
    </row>
    <row r="1194" spans="2:17" x14ac:dyDescent="0.45">
      <c r="B1194" s="27" t="str">
        <f>IFERROR(VLOOKUP(A1194,القائمة!$A$3:$F$112,2,FALSE),"")</f>
        <v/>
      </c>
      <c r="C1194" s="27" t="str">
        <f>IFERROR(VLOOKUP(A1194,القائمة!$A$3:$F$112,3,FALSE),"")</f>
        <v/>
      </c>
      <c r="D1194" s="36" t="str">
        <f>IFERROR(VLOOKUP(A1194,القائمة!$A$3:$F$112,4,FALSE),"")</f>
        <v/>
      </c>
      <c r="E1194" s="36" t="str">
        <f>IFERROR(VLOOKUP(A1194,القائمة!$A$3:$F$112,5,FALSE),"")</f>
        <v/>
      </c>
      <c r="F1194" s="37" t="str">
        <f>IFERROR(VLOOKUP(A1194,القائمة!$A$3:$F$112,6,FALSE),"")</f>
        <v/>
      </c>
      <c r="P1194" s="27">
        <f t="shared" si="39"/>
        <v>0</v>
      </c>
      <c r="Q1194" s="27">
        <f t="shared" si="38"/>
        <v>0</v>
      </c>
    </row>
    <row r="1195" spans="2:17" x14ac:dyDescent="0.45">
      <c r="B1195" s="27" t="str">
        <f>IFERROR(VLOOKUP(A1195,القائمة!$A$3:$F$112,2,FALSE),"")</f>
        <v/>
      </c>
      <c r="C1195" s="27" t="str">
        <f>IFERROR(VLOOKUP(A1195,القائمة!$A$3:$F$112,3,FALSE),"")</f>
        <v/>
      </c>
      <c r="D1195" s="36" t="str">
        <f>IFERROR(VLOOKUP(A1195,القائمة!$A$3:$F$112,4,FALSE),"")</f>
        <v/>
      </c>
      <c r="E1195" s="36" t="str">
        <f>IFERROR(VLOOKUP(A1195,القائمة!$A$3:$F$112,5,FALSE),"")</f>
        <v/>
      </c>
      <c r="F1195" s="37" t="str">
        <f>IFERROR(VLOOKUP(A1195,القائمة!$A$3:$F$112,6,FALSE),"")</f>
        <v/>
      </c>
      <c r="P1195" s="27">
        <f t="shared" si="39"/>
        <v>0</v>
      </c>
      <c r="Q1195" s="27">
        <f t="shared" si="38"/>
        <v>0</v>
      </c>
    </row>
    <row r="1196" spans="2:17" x14ac:dyDescent="0.45">
      <c r="B1196" s="27" t="str">
        <f>IFERROR(VLOOKUP(A1196,القائمة!$A$3:$F$112,2,FALSE),"")</f>
        <v/>
      </c>
      <c r="C1196" s="27" t="str">
        <f>IFERROR(VLOOKUP(A1196,القائمة!$A$3:$F$112,3,FALSE),"")</f>
        <v/>
      </c>
      <c r="D1196" s="36" t="str">
        <f>IFERROR(VLOOKUP(A1196,القائمة!$A$3:$F$112,4,FALSE),"")</f>
        <v/>
      </c>
      <c r="E1196" s="36" t="str">
        <f>IFERROR(VLOOKUP(A1196,القائمة!$A$3:$F$112,5,FALSE),"")</f>
        <v/>
      </c>
      <c r="F1196" s="37" t="str">
        <f>IFERROR(VLOOKUP(A1196,القائمة!$A$3:$F$112,6,FALSE),"")</f>
        <v/>
      </c>
      <c r="P1196" s="27">
        <f t="shared" si="39"/>
        <v>0</v>
      </c>
      <c r="Q1196" s="27">
        <f t="shared" si="38"/>
        <v>0</v>
      </c>
    </row>
    <row r="1197" spans="2:17" x14ac:dyDescent="0.45">
      <c r="B1197" s="27" t="str">
        <f>IFERROR(VLOOKUP(A1197,القائمة!$A$3:$F$112,2,FALSE),"")</f>
        <v/>
      </c>
      <c r="C1197" s="27" t="str">
        <f>IFERROR(VLOOKUP(A1197,القائمة!$A$3:$F$112,3,FALSE),"")</f>
        <v/>
      </c>
      <c r="D1197" s="36" t="str">
        <f>IFERROR(VLOOKUP(A1197,القائمة!$A$3:$F$112,4,FALSE),"")</f>
        <v/>
      </c>
      <c r="E1197" s="36" t="str">
        <f>IFERROR(VLOOKUP(A1197,القائمة!$A$3:$F$112,5,FALSE),"")</f>
        <v/>
      </c>
      <c r="F1197" s="37" t="str">
        <f>IFERROR(VLOOKUP(A1197,القائمة!$A$3:$F$112,6,FALSE),"")</f>
        <v/>
      </c>
      <c r="P1197" s="27">
        <f t="shared" si="39"/>
        <v>0</v>
      </c>
      <c r="Q1197" s="27">
        <f t="shared" si="38"/>
        <v>0</v>
      </c>
    </row>
    <row r="1198" spans="2:17" x14ac:dyDescent="0.45">
      <c r="B1198" s="27" t="str">
        <f>IFERROR(VLOOKUP(A1198,القائمة!$A$3:$F$112,2,FALSE),"")</f>
        <v/>
      </c>
      <c r="C1198" s="27" t="str">
        <f>IFERROR(VLOOKUP(A1198,القائمة!$A$3:$F$112,3,FALSE),"")</f>
        <v/>
      </c>
      <c r="D1198" s="36" t="str">
        <f>IFERROR(VLOOKUP(A1198,القائمة!$A$3:$F$112,4,FALSE),"")</f>
        <v/>
      </c>
      <c r="E1198" s="36" t="str">
        <f>IFERROR(VLOOKUP(A1198,القائمة!$A$3:$F$112,5,FALSE),"")</f>
        <v/>
      </c>
      <c r="F1198" s="37" t="str">
        <f>IFERROR(VLOOKUP(A1198,القائمة!$A$3:$F$112,6,FALSE),"")</f>
        <v/>
      </c>
      <c r="P1198" s="27">
        <f t="shared" si="39"/>
        <v>0</v>
      </c>
      <c r="Q1198" s="27">
        <f t="shared" si="38"/>
        <v>0</v>
      </c>
    </row>
    <row r="1199" spans="2:17" x14ac:dyDescent="0.45">
      <c r="B1199" s="27" t="str">
        <f>IFERROR(VLOOKUP(A1199,القائمة!$A$3:$F$112,2,FALSE),"")</f>
        <v/>
      </c>
      <c r="C1199" s="27" t="str">
        <f>IFERROR(VLOOKUP(A1199,القائمة!$A$3:$F$112,3,FALSE),"")</f>
        <v/>
      </c>
      <c r="D1199" s="36" t="str">
        <f>IFERROR(VLOOKUP(A1199,القائمة!$A$3:$F$112,4,FALSE),"")</f>
        <v/>
      </c>
      <c r="E1199" s="36" t="str">
        <f>IFERROR(VLOOKUP(A1199,القائمة!$A$3:$F$112,5,FALSE),"")</f>
        <v/>
      </c>
      <c r="F1199" s="37" t="str">
        <f>IFERROR(VLOOKUP(A1199,القائمة!$A$3:$F$112,6,FALSE),"")</f>
        <v/>
      </c>
      <c r="P1199" s="27">
        <f t="shared" si="39"/>
        <v>0</v>
      </c>
      <c r="Q1199" s="27">
        <f t="shared" si="38"/>
        <v>0</v>
      </c>
    </row>
    <row r="1200" spans="2:17" x14ac:dyDescent="0.45">
      <c r="B1200" s="27" t="str">
        <f>IFERROR(VLOOKUP(A1200,القائمة!$A$3:$F$112,2,FALSE),"")</f>
        <v/>
      </c>
      <c r="C1200" s="27" t="str">
        <f>IFERROR(VLOOKUP(A1200,القائمة!$A$3:$F$112,3,FALSE),"")</f>
        <v/>
      </c>
      <c r="D1200" s="36" t="str">
        <f>IFERROR(VLOOKUP(A1200,القائمة!$A$3:$F$112,4,FALSE),"")</f>
        <v/>
      </c>
      <c r="E1200" s="36" t="str">
        <f>IFERROR(VLOOKUP(A1200,القائمة!$A$3:$F$112,5,FALSE),"")</f>
        <v/>
      </c>
      <c r="F1200" s="37" t="str">
        <f>IFERROR(VLOOKUP(A1200,القائمة!$A$3:$F$112,6,FALSE),"")</f>
        <v/>
      </c>
      <c r="P1200" s="27">
        <f t="shared" si="39"/>
        <v>0</v>
      </c>
      <c r="Q1200" s="27">
        <f t="shared" si="38"/>
        <v>0</v>
      </c>
    </row>
    <row r="1201" spans="2:17" x14ac:dyDescent="0.45">
      <c r="B1201" s="27" t="str">
        <f>IFERROR(VLOOKUP(A1201,القائمة!$A$3:$F$112,2,FALSE),"")</f>
        <v/>
      </c>
      <c r="C1201" s="27" t="str">
        <f>IFERROR(VLOOKUP(A1201,القائمة!$A$3:$F$112,3,FALSE),"")</f>
        <v/>
      </c>
      <c r="D1201" s="36" t="str">
        <f>IFERROR(VLOOKUP(A1201,القائمة!$A$3:$F$112,4,FALSE),"")</f>
        <v/>
      </c>
      <c r="E1201" s="36" t="str">
        <f>IFERROR(VLOOKUP(A1201,القائمة!$A$3:$F$112,5,FALSE),"")</f>
        <v/>
      </c>
      <c r="F1201" s="37" t="str">
        <f>IFERROR(VLOOKUP(A1201,القائمة!$A$3:$F$112,6,FALSE),"")</f>
        <v/>
      </c>
      <c r="P1201" s="27">
        <f t="shared" si="39"/>
        <v>0</v>
      </c>
      <c r="Q1201" s="27">
        <f t="shared" si="38"/>
        <v>0</v>
      </c>
    </row>
    <row r="1202" spans="2:17" x14ac:dyDescent="0.45">
      <c r="B1202" s="27" t="str">
        <f>IFERROR(VLOOKUP(A1202,القائمة!$A$3:$F$112,2,FALSE),"")</f>
        <v/>
      </c>
      <c r="C1202" s="27" t="str">
        <f>IFERROR(VLOOKUP(A1202,القائمة!$A$3:$F$112,3,FALSE),"")</f>
        <v/>
      </c>
      <c r="D1202" s="36" t="str">
        <f>IFERROR(VLOOKUP(A1202,القائمة!$A$3:$F$112,4,FALSE),"")</f>
        <v/>
      </c>
      <c r="E1202" s="36" t="str">
        <f>IFERROR(VLOOKUP(A1202,القائمة!$A$3:$F$112,5,FALSE),"")</f>
        <v/>
      </c>
      <c r="F1202" s="37" t="str">
        <f>IFERROR(VLOOKUP(A1202,القائمة!$A$3:$F$112,6,FALSE),"")</f>
        <v/>
      </c>
      <c r="P1202" s="27">
        <f t="shared" si="39"/>
        <v>0</v>
      </c>
      <c r="Q1202" s="27">
        <f t="shared" si="38"/>
        <v>0</v>
      </c>
    </row>
    <row r="1203" spans="2:17" x14ac:dyDescent="0.45">
      <c r="B1203" s="27" t="str">
        <f>IFERROR(VLOOKUP(A1203,القائمة!$A$3:$F$112,2,FALSE),"")</f>
        <v/>
      </c>
      <c r="C1203" s="27" t="str">
        <f>IFERROR(VLOOKUP(A1203,القائمة!$A$3:$F$112,3,FALSE),"")</f>
        <v/>
      </c>
      <c r="D1203" s="36" t="str">
        <f>IFERROR(VLOOKUP(A1203,القائمة!$A$3:$F$112,4,FALSE),"")</f>
        <v/>
      </c>
      <c r="E1203" s="36" t="str">
        <f>IFERROR(VLOOKUP(A1203,القائمة!$A$3:$F$112,5,FALSE),"")</f>
        <v/>
      </c>
      <c r="F1203" s="37" t="str">
        <f>IFERROR(VLOOKUP(A1203,القائمة!$A$3:$F$112,6,FALSE),"")</f>
        <v/>
      </c>
      <c r="P1203" s="27">
        <f t="shared" si="39"/>
        <v>0</v>
      </c>
      <c r="Q1203" s="27">
        <f t="shared" si="38"/>
        <v>0</v>
      </c>
    </row>
    <row r="1204" spans="2:17" x14ac:dyDescent="0.45">
      <c r="B1204" s="27" t="str">
        <f>IFERROR(VLOOKUP(A1204,القائمة!$A$3:$F$112,2,FALSE),"")</f>
        <v/>
      </c>
      <c r="C1204" s="27" t="str">
        <f>IFERROR(VLOOKUP(A1204,القائمة!$A$3:$F$112,3,FALSE),"")</f>
        <v/>
      </c>
      <c r="D1204" s="36" t="str">
        <f>IFERROR(VLOOKUP(A1204,القائمة!$A$3:$F$112,4,FALSE),"")</f>
        <v/>
      </c>
      <c r="E1204" s="36" t="str">
        <f>IFERROR(VLOOKUP(A1204,القائمة!$A$3:$F$112,5,FALSE),"")</f>
        <v/>
      </c>
      <c r="F1204" s="37" t="str">
        <f>IFERROR(VLOOKUP(A1204,القائمة!$A$3:$F$112,6,FALSE),"")</f>
        <v/>
      </c>
      <c r="P1204" s="27">
        <f t="shared" si="39"/>
        <v>0</v>
      </c>
      <c r="Q1204" s="27">
        <f t="shared" si="38"/>
        <v>0</v>
      </c>
    </row>
    <row r="1205" spans="2:17" x14ac:dyDescent="0.45">
      <c r="B1205" s="27" t="str">
        <f>IFERROR(VLOOKUP(A1205,القائمة!$A$3:$F$112,2,FALSE),"")</f>
        <v/>
      </c>
      <c r="C1205" s="27" t="str">
        <f>IFERROR(VLOOKUP(A1205,القائمة!$A$3:$F$112,3,FALSE),"")</f>
        <v/>
      </c>
      <c r="D1205" s="36" t="str">
        <f>IFERROR(VLOOKUP(A1205,القائمة!$A$3:$F$112,4,FALSE),"")</f>
        <v/>
      </c>
      <c r="E1205" s="36" t="str">
        <f>IFERROR(VLOOKUP(A1205,القائمة!$A$3:$F$112,5,FALSE),"")</f>
        <v/>
      </c>
      <c r="F1205" s="37" t="str">
        <f>IFERROR(VLOOKUP(A1205,القائمة!$A$3:$F$112,6,FALSE),"")</f>
        <v/>
      </c>
      <c r="P1205" s="27">
        <f t="shared" si="39"/>
        <v>0</v>
      </c>
      <c r="Q1205" s="27">
        <f t="shared" si="38"/>
        <v>0</v>
      </c>
    </row>
    <row r="1206" spans="2:17" x14ac:dyDescent="0.45">
      <c r="B1206" s="27" t="str">
        <f>IFERROR(VLOOKUP(A1206,القائمة!$A$3:$F$112,2,FALSE),"")</f>
        <v/>
      </c>
      <c r="C1206" s="27" t="str">
        <f>IFERROR(VLOOKUP(A1206,القائمة!$A$3:$F$112,3,FALSE),"")</f>
        <v/>
      </c>
      <c r="D1206" s="36" t="str">
        <f>IFERROR(VLOOKUP(A1206,القائمة!$A$3:$F$112,4,FALSE),"")</f>
        <v/>
      </c>
      <c r="E1206" s="36" t="str">
        <f>IFERROR(VLOOKUP(A1206,القائمة!$A$3:$F$112,5,FALSE),"")</f>
        <v/>
      </c>
      <c r="F1206" s="37" t="str">
        <f>IFERROR(VLOOKUP(A1206,القائمة!$A$3:$F$112,6,FALSE),"")</f>
        <v/>
      </c>
      <c r="P1206" s="27">
        <f t="shared" si="39"/>
        <v>0</v>
      </c>
      <c r="Q1206" s="27">
        <f t="shared" si="38"/>
        <v>0</v>
      </c>
    </row>
    <row r="1207" spans="2:17" x14ac:dyDescent="0.45">
      <c r="B1207" s="27" t="str">
        <f>IFERROR(VLOOKUP(A1207,القائمة!$A$3:$F$112,2,FALSE),"")</f>
        <v/>
      </c>
      <c r="C1207" s="27" t="str">
        <f>IFERROR(VLOOKUP(A1207,القائمة!$A$3:$F$112,3,FALSE),"")</f>
        <v/>
      </c>
      <c r="D1207" s="36" t="str">
        <f>IFERROR(VLOOKUP(A1207,القائمة!$A$3:$F$112,4,FALSE),"")</f>
        <v/>
      </c>
      <c r="E1207" s="36" t="str">
        <f>IFERROR(VLOOKUP(A1207,القائمة!$A$3:$F$112,5,FALSE),"")</f>
        <v/>
      </c>
      <c r="F1207" s="37" t="str">
        <f>IFERROR(VLOOKUP(A1207,القائمة!$A$3:$F$112,6,FALSE),"")</f>
        <v/>
      </c>
      <c r="P1207" s="27">
        <f t="shared" si="39"/>
        <v>0</v>
      </c>
      <c r="Q1207" s="27">
        <f t="shared" si="38"/>
        <v>0</v>
      </c>
    </row>
    <row r="1208" spans="2:17" x14ac:dyDescent="0.45">
      <c r="B1208" s="27" t="str">
        <f>IFERROR(VLOOKUP(A1208,القائمة!$A$3:$F$112,2,FALSE),"")</f>
        <v/>
      </c>
      <c r="C1208" s="27" t="str">
        <f>IFERROR(VLOOKUP(A1208,القائمة!$A$3:$F$112,3,FALSE),"")</f>
        <v/>
      </c>
      <c r="D1208" s="36" t="str">
        <f>IFERROR(VLOOKUP(A1208,القائمة!$A$3:$F$112,4,FALSE),"")</f>
        <v/>
      </c>
      <c r="E1208" s="36" t="str">
        <f>IFERROR(VLOOKUP(A1208,القائمة!$A$3:$F$112,5,FALSE),"")</f>
        <v/>
      </c>
      <c r="F1208" s="37" t="str">
        <f>IFERROR(VLOOKUP(A1208,القائمة!$A$3:$F$112,6,FALSE),"")</f>
        <v/>
      </c>
      <c r="P1208" s="27">
        <f t="shared" si="39"/>
        <v>0</v>
      </c>
      <c r="Q1208" s="27">
        <f t="shared" si="38"/>
        <v>0</v>
      </c>
    </row>
    <row r="1209" spans="2:17" x14ac:dyDescent="0.45">
      <c r="B1209" s="27" t="str">
        <f>IFERROR(VLOOKUP(A1209,القائمة!$A$3:$F$112,2,FALSE),"")</f>
        <v/>
      </c>
      <c r="C1209" s="27" t="str">
        <f>IFERROR(VLOOKUP(A1209,القائمة!$A$3:$F$112,3,FALSE),"")</f>
        <v/>
      </c>
      <c r="D1209" s="36" t="str">
        <f>IFERROR(VLOOKUP(A1209,القائمة!$A$3:$F$112,4,FALSE),"")</f>
        <v/>
      </c>
      <c r="E1209" s="36" t="str">
        <f>IFERROR(VLOOKUP(A1209,القائمة!$A$3:$F$112,5,FALSE),"")</f>
        <v/>
      </c>
      <c r="F1209" s="37" t="str">
        <f>IFERROR(VLOOKUP(A1209,القائمة!$A$3:$F$112,6,FALSE),"")</f>
        <v/>
      </c>
      <c r="P1209" s="27">
        <f t="shared" si="39"/>
        <v>0</v>
      </c>
      <c r="Q1209" s="27">
        <f t="shared" si="38"/>
        <v>0</v>
      </c>
    </row>
    <row r="1210" spans="2:17" x14ac:dyDescent="0.45">
      <c r="B1210" s="27" t="str">
        <f>IFERROR(VLOOKUP(A1210,القائمة!$A$3:$F$112,2,FALSE),"")</f>
        <v/>
      </c>
      <c r="C1210" s="27" t="str">
        <f>IFERROR(VLOOKUP(A1210,القائمة!$A$3:$F$112,3,FALSE),"")</f>
        <v/>
      </c>
      <c r="D1210" s="36" t="str">
        <f>IFERROR(VLOOKUP(A1210,القائمة!$A$3:$F$112,4,FALSE),"")</f>
        <v/>
      </c>
      <c r="E1210" s="36" t="str">
        <f>IFERROR(VLOOKUP(A1210,القائمة!$A$3:$F$112,5,FALSE),"")</f>
        <v/>
      </c>
      <c r="F1210" s="37" t="str">
        <f>IFERROR(VLOOKUP(A1210,القائمة!$A$3:$F$112,6,FALSE),"")</f>
        <v/>
      </c>
      <c r="P1210" s="27">
        <f t="shared" si="39"/>
        <v>0</v>
      </c>
      <c r="Q1210" s="27">
        <f t="shared" si="38"/>
        <v>0</v>
      </c>
    </row>
    <row r="1211" spans="2:17" x14ac:dyDescent="0.45">
      <c r="B1211" s="27" t="str">
        <f>IFERROR(VLOOKUP(A1211,القائمة!$A$3:$F$112,2,FALSE),"")</f>
        <v/>
      </c>
      <c r="C1211" s="27" t="str">
        <f>IFERROR(VLOOKUP(A1211,القائمة!$A$3:$F$112,3,FALSE),"")</f>
        <v/>
      </c>
      <c r="D1211" s="36" t="str">
        <f>IFERROR(VLOOKUP(A1211,القائمة!$A$3:$F$112,4,FALSE),"")</f>
        <v/>
      </c>
      <c r="E1211" s="36" t="str">
        <f>IFERROR(VLOOKUP(A1211,القائمة!$A$3:$F$112,5,FALSE),"")</f>
        <v/>
      </c>
      <c r="F1211" s="37" t="str">
        <f>IFERROR(VLOOKUP(A1211,القائمة!$A$3:$F$112,6,FALSE),"")</f>
        <v/>
      </c>
      <c r="P1211" s="27">
        <f t="shared" si="39"/>
        <v>0</v>
      </c>
      <c r="Q1211" s="27">
        <f t="shared" si="38"/>
        <v>0</v>
      </c>
    </row>
    <row r="1212" spans="2:17" x14ac:dyDescent="0.45">
      <c r="B1212" s="27" t="str">
        <f>IFERROR(VLOOKUP(A1212,القائمة!$A$3:$F$112,2,FALSE),"")</f>
        <v/>
      </c>
      <c r="C1212" s="27" t="str">
        <f>IFERROR(VLOOKUP(A1212,القائمة!$A$3:$F$112,3,FALSE),"")</f>
        <v/>
      </c>
      <c r="D1212" s="36" t="str">
        <f>IFERROR(VLOOKUP(A1212,القائمة!$A$3:$F$112,4,FALSE),"")</f>
        <v/>
      </c>
      <c r="E1212" s="36" t="str">
        <f>IFERROR(VLOOKUP(A1212,القائمة!$A$3:$F$112,5,FALSE),"")</f>
        <v/>
      </c>
      <c r="F1212" s="37" t="str">
        <f>IFERROR(VLOOKUP(A1212,القائمة!$A$3:$F$112,6,FALSE),"")</f>
        <v/>
      </c>
      <c r="P1212" s="27">
        <f t="shared" si="39"/>
        <v>0</v>
      </c>
      <c r="Q1212" s="27">
        <f t="shared" si="38"/>
        <v>0</v>
      </c>
    </row>
    <row r="1213" spans="2:17" x14ac:dyDescent="0.45">
      <c r="B1213" s="27" t="str">
        <f>IFERROR(VLOOKUP(A1213,القائمة!$A$3:$F$112,2,FALSE),"")</f>
        <v/>
      </c>
      <c r="C1213" s="27" t="str">
        <f>IFERROR(VLOOKUP(A1213,القائمة!$A$3:$F$112,3,FALSE),"")</f>
        <v/>
      </c>
      <c r="D1213" s="36" t="str">
        <f>IFERROR(VLOOKUP(A1213,القائمة!$A$3:$F$112,4,FALSE),"")</f>
        <v/>
      </c>
      <c r="E1213" s="36" t="str">
        <f>IFERROR(VLOOKUP(A1213,القائمة!$A$3:$F$112,5,FALSE),"")</f>
        <v/>
      </c>
      <c r="F1213" s="37" t="str">
        <f>IFERROR(VLOOKUP(A1213,القائمة!$A$3:$F$112,6,FALSE),"")</f>
        <v/>
      </c>
      <c r="P1213" s="27">
        <f t="shared" si="39"/>
        <v>0</v>
      </c>
      <c r="Q1213" s="27">
        <f t="shared" si="38"/>
        <v>0</v>
      </c>
    </row>
    <row r="1214" spans="2:17" x14ac:dyDescent="0.45">
      <c r="B1214" s="27" t="str">
        <f>IFERROR(VLOOKUP(A1214,القائمة!$A$3:$F$112,2,FALSE),"")</f>
        <v/>
      </c>
      <c r="C1214" s="27" t="str">
        <f>IFERROR(VLOOKUP(A1214,القائمة!$A$3:$F$112,3,FALSE),"")</f>
        <v/>
      </c>
      <c r="D1214" s="36" t="str">
        <f>IFERROR(VLOOKUP(A1214,القائمة!$A$3:$F$112,4,FALSE),"")</f>
        <v/>
      </c>
      <c r="E1214" s="36" t="str">
        <f>IFERROR(VLOOKUP(A1214,القائمة!$A$3:$F$112,5,FALSE),"")</f>
        <v/>
      </c>
      <c r="F1214" s="37" t="str">
        <f>IFERROR(VLOOKUP(A1214,القائمة!$A$3:$F$112,6,FALSE),"")</f>
        <v/>
      </c>
      <c r="P1214" s="27">
        <f t="shared" si="39"/>
        <v>0</v>
      </c>
      <c r="Q1214" s="27">
        <f t="shared" si="38"/>
        <v>0</v>
      </c>
    </row>
    <row r="1215" spans="2:17" x14ac:dyDescent="0.45">
      <c r="B1215" s="27" t="str">
        <f>IFERROR(VLOOKUP(A1215,القائمة!$A$3:$F$112,2,FALSE),"")</f>
        <v/>
      </c>
      <c r="C1215" s="27" t="str">
        <f>IFERROR(VLOOKUP(A1215,القائمة!$A$3:$F$112,3,FALSE),"")</f>
        <v/>
      </c>
      <c r="D1215" s="36" t="str">
        <f>IFERROR(VLOOKUP(A1215,القائمة!$A$3:$F$112,4,FALSE),"")</f>
        <v/>
      </c>
      <c r="E1215" s="36" t="str">
        <f>IFERROR(VLOOKUP(A1215,القائمة!$A$3:$F$112,5,FALSE),"")</f>
        <v/>
      </c>
      <c r="F1215" s="37" t="str">
        <f>IFERROR(VLOOKUP(A1215,القائمة!$A$3:$F$112,6,FALSE),"")</f>
        <v/>
      </c>
      <c r="P1215" s="27">
        <f t="shared" si="39"/>
        <v>0</v>
      </c>
      <c r="Q1215" s="27">
        <f t="shared" si="38"/>
        <v>0</v>
      </c>
    </row>
    <row r="1216" spans="2:17" x14ac:dyDescent="0.45">
      <c r="B1216" s="27" t="str">
        <f>IFERROR(VLOOKUP(A1216,القائمة!$A$3:$F$112,2,FALSE),"")</f>
        <v/>
      </c>
      <c r="C1216" s="27" t="str">
        <f>IFERROR(VLOOKUP(A1216,القائمة!$A$3:$F$112,3,FALSE),"")</f>
        <v/>
      </c>
      <c r="D1216" s="36" t="str">
        <f>IFERROR(VLOOKUP(A1216,القائمة!$A$3:$F$112,4,FALSE),"")</f>
        <v/>
      </c>
      <c r="E1216" s="36" t="str">
        <f>IFERROR(VLOOKUP(A1216,القائمة!$A$3:$F$112,5,FALSE),"")</f>
        <v/>
      </c>
      <c r="F1216" s="37" t="str">
        <f>IFERROR(VLOOKUP(A1216,القائمة!$A$3:$F$112,6,FALSE),"")</f>
        <v/>
      </c>
      <c r="P1216" s="27">
        <f t="shared" si="39"/>
        <v>0</v>
      </c>
      <c r="Q1216" s="27">
        <f t="shared" si="38"/>
        <v>0</v>
      </c>
    </row>
    <row r="1217" spans="2:17" x14ac:dyDescent="0.45">
      <c r="B1217" s="27" t="str">
        <f>IFERROR(VLOOKUP(A1217,القائمة!$A$3:$F$112,2,FALSE),"")</f>
        <v/>
      </c>
      <c r="C1217" s="27" t="str">
        <f>IFERROR(VLOOKUP(A1217,القائمة!$A$3:$F$112,3,FALSE),"")</f>
        <v/>
      </c>
      <c r="D1217" s="36" t="str">
        <f>IFERROR(VLOOKUP(A1217,القائمة!$A$3:$F$112,4,FALSE),"")</f>
        <v/>
      </c>
      <c r="E1217" s="36" t="str">
        <f>IFERROR(VLOOKUP(A1217,القائمة!$A$3:$F$112,5,FALSE),"")</f>
        <v/>
      </c>
      <c r="F1217" s="37" t="str">
        <f>IFERROR(VLOOKUP(A1217,القائمة!$A$3:$F$112,6,FALSE),"")</f>
        <v/>
      </c>
      <c r="P1217" s="27">
        <f t="shared" si="39"/>
        <v>0</v>
      </c>
      <c r="Q1217" s="27">
        <f t="shared" si="38"/>
        <v>0</v>
      </c>
    </row>
    <row r="1218" spans="2:17" x14ac:dyDescent="0.45">
      <c r="B1218" s="27" t="str">
        <f>IFERROR(VLOOKUP(A1218,القائمة!$A$3:$F$112,2,FALSE),"")</f>
        <v/>
      </c>
      <c r="C1218" s="27" t="str">
        <f>IFERROR(VLOOKUP(A1218,القائمة!$A$3:$F$112,3,FALSE),"")</f>
        <v/>
      </c>
      <c r="D1218" s="36" t="str">
        <f>IFERROR(VLOOKUP(A1218,القائمة!$A$3:$F$112,4,FALSE),"")</f>
        <v/>
      </c>
      <c r="E1218" s="36" t="str">
        <f>IFERROR(VLOOKUP(A1218,القائمة!$A$3:$F$112,5,FALSE),"")</f>
        <v/>
      </c>
      <c r="F1218" s="37" t="str">
        <f>IFERROR(VLOOKUP(A1218,القائمة!$A$3:$F$112,6,FALSE),"")</f>
        <v/>
      </c>
      <c r="P1218" s="27">
        <f t="shared" si="39"/>
        <v>0</v>
      </c>
      <c r="Q1218" s="27">
        <f t="shared" si="38"/>
        <v>0</v>
      </c>
    </row>
    <row r="1219" spans="2:17" x14ac:dyDescent="0.45">
      <c r="B1219" s="27" t="str">
        <f>IFERROR(VLOOKUP(A1219,القائمة!$A$3:$F$112,2,FALSE),"")</f>
        <v/>
      </c>
      <c r="C1219" s="27" t="str">
        <f>IFERROR(VLOOKUP(A1219,القائمة!$A$3:$F$112,3,FALSE),"")</f>
        <v/>
      </c>
      <c r="D1219" s="36" t="str">
        <f>IFERROR(VLOOKUP(A1219,القائمة!$A$3:$F$112,4,FALSE),"")</f>
        <v/>
      </c>
      <c r="E1219" s="36" t="str">
        <f>IFERROR(VLOOKUP(A1219,القائمة!$A$3:$F$112,5,FALSE),"")</f>
        <v/>
      </c>
      <c r="F1219" s="37" t="str">
        <f>IFERROR(VLOOKUP(A1219,القائمة!$A$3:$F$112,6,FALSE),"")</f>
        <v/>
      </c>
      <c r="P1219" s="27">
        <f t="shared" si="39"/>
        <v>0</v>
      </c>
      <c r="Q1219" s="27">
        <f t="shared" ref="Q1219:Q1282" si="40">+P1219+L1219-M1219</f>
        <v>0</v>
      </c>
    </row>
    <row r="1220" spans="2:17" x14ac:dyDescent="0.45">
      <c r="B1220" s="27" t="str">
        <f>IFERROR(VLOOKUP(A1220,القائمة!$A$3:$F$112,2,FALSE),"")</f>
        <v/>
      </c>
      <c r="C1220" s="27" t="str">
        <f>IFERROR(VLOOKUP(A1220,القائمة!$A$3:$F$112,3,FALSE),"")</f>
        <v/>
      </c>
      <c r="D1220" s="36" t="str">
        <f>IFERROR(VLOOKUP(A1220,القائمة!$A$3:$F$112,4,FALSE),"")</f>
        <v/>
      </c>
      <c r="E1220" s="36" t="str">
        <f>IFERROR(VLOOKUP(A1220,القائمة!$A$3:$F$112,5,FALSE),"")</f>
        <v/>
      </c>
      <c r="F1220" s="37" t="str">
        <f>IFERROR(VLOOKUP(A1220,القائمة!$A$3:$F$112,6,FALSE),"")</f>
        <v/>
      </c>
      <c r="P1220" s="27">
        <f t="shared" ref="P1220:P1283" si="41">J1220-K1220</f>
        <v>0</v>
      </c>
      <c r="Q1220" s="27">
        <f t="shared" si="40"/>
        <v>0</v>
      </c>
    </row>
    <row r="1221" spans="2:17" x14ac:dyDescent="0.45">
      <c r="B1221" s="27" t="str">
        <f>IFERROR(VLOOKUP(A1221,القائمة!$A$3:$F$112,2,FALSE),"")</f>
        <v/>
      </c>
      <c r="C1221" s="27" t="str">
        <f>IFERROR(VLOOKUP(A1221,القائمة!$A$3:$F$112,3,FALSE),"")</f>
        <v/>
      </c>
      <c r="D1221" s="36" t="str">
        <f>IFERROR(VLOOKUP(A1221,القائمة!$A$3:$F$112,4,FALSE),"")</f>
        <v/>
      </c>
      <c r="E1221" s="36" t="str">
        <f>IFERROR(VLOOKUP(A1221,القائمة!$A$3:$F$112,5,FALSE),"")</f>
        <v/>
      </c>
      <c r="F1221" s="37" t="str">
        <f>IFERROR(VLOOKUP(A1221,القائمة!$A$3:$F$112,6,FALSE),"")</f>
        <v/>
      </c>
      <c r="P1221" s="27">
        <f t="shared" si="41"/>
        <v>0</v>
      </c>
      <c r="Q1221" s="27">
        <f t="shared" si="40"/>
        <v>0</v>
      </c>
    </row>
    <row r="1222" spans="2:17" x14ac:dyDescent="0.45">
      <c r="B1222" s="27" t="str">
        <f>IFERROR(VLOOKUP(A1222,القائمة!$A$3:$F$112,2,FALSE),"")</f>
        <v/>
      </c>
      <c r="C1222" s="27" t="str">
        <f>IFERROR(VLOOKUP(A1222,القائمة!$A$3:$F$112,3,FALSE),"")</f>
        <v/>
      </c>
      <c r="D1222" s="36" t="str">
        <f>IFERROR(VLOOKUP(A1222,القائمة!$A$3:$F$112,4,FALSE),"")</f>
        <v/>
      </c>
      <c r="E1222" s="36" t="str">
        <f>IFERROR(VLOOKUP(A1222,القائمة!$A$3:$F$112,5,FALSE),"")</f>
        <v/>
      </c>
      <c r="F1222" s="37" t="str">
        <f>IFERROR(VLOOKUP(A1222,القائمة!$A$3:$F$112,6,FALSE),"")</f>
        <v/>
      </c>
      <c r="P1222" s="27">
        <f t="shared" si="41"/>
        <v>0</v>
      </c>
      <c r="Q1222" s="27">
        <f t="shared" si="40"/>
        <v>0</v>
      </c>
    </row>
    <row r="1223" spans="2:17" x14ac:dyDescent="0.45">
      <c r="B1223" s="27" t="str">
        <f>IFERROR(VLOOKUP(A1223,القائمة!$A$3:$F$112,2,FALSE),"")</f>
        <v/>
      </c>
      <c r="C1223" s="27" t="str">
        <f>IFERROR(VLOOKUP(A1223,القائمة!$A$3:$F$112,3,FALSE),"")</f>
        <v/>
      </c>
      <c r="D1223" s="36" t="str">
        <f>IFERROR(VLOOKUP(A1223,القائمة!$A$3:$F$112,4,FALSE),"")</f>
        <v/>
      </c>
      <c r="E1223" s="36" t="str">
        <f>IFERROR(VLOOKUP(A1223,القائمة!$A$3:$F$112,5,FALSE),"")</f>
        <v/>
      </c>
      <c r="F1223" s="37" t="str">
        <f>IFERROR(VLOOKUP(A1223,القائمة!$A$3:$F$112,6,FALSE),"")</f>
        <v/>
      </c>
      <c r="P1223" s="27">
        <f t="shared" si="41"/>
        <v>0</v>
      </c>
      <c r="Q1223" s="27">
        <f t="shared" si="40"/>
        <v>0</v>
      </c>
    </row>
    <row r="1224" spans="2:17" x14ac:dyDescent="0.45">
      <c r="B1224" s="27" t="str">
        <f>IFERROR(VLOOKUP(A1224,القائمة!$A$3:$F$112,2,FALSE),"")</f>
        <v/>
      </c>
      <c r="C1224" s="27" t="str">
        <f>IFERROR(VLOOKUP(A1224,القائمة!$A$3:$F$112,3,FALSE),"")</f>
        <v/>
      </c>
      <c r="D1224" s="36" t="str">
        <f>IFERROR(VLOOKUP(A1224,القائمة!$A$3:$F$112,4,FALSE),"")</f>
        <v/>
      </c>
      <c r="E1224" s="36" t="str">
        <f>IFERROR(VLOOKUP(A1224,القائمة!$A$3:$F$112,5,FALSE),"")</f>
        <v/>
      </c>
      <c r="F1224" s="37" t="str">
        <f>IFERROR(VLOOKUP(A1224,القائمة!$A$3:$F$112,6,FALSE),"")</f>
        <v/>
      </c>
      <c r="P1224" s="27">
        <f t="shared" si="41"/>
        <v>0</v>
      </c>
      <c r="Q1224" s="27">
        <f t="shared" si="40"/>
        <v>0</v>
      </c>
    </row>
    <row r="1225" spans="2:17" x14ac:dyDescent="0.45">
      <c r="B1225" s="27" t="str">
        <f>IFERROR(VLOOKUP(A1225,القائمة!$A$3:$F$112,2,FALSE),"")</f>
        <v/>
      </c>
      <c r="C1225" s="27" t="str">
        <f>IFERROR(VLOOKUP(A1225,القائمة!$A$3:$F$112,3,FALSE),"")</f>
        <v/>
      </c>
      <c r="D1225" s="36" t="str">
        <f>IFERROR(VLOOKUP(A1225,القائمة!$A$3:$F$112,4,FALSE),"")</f>
        <v/>
      </c>
      <c r="E1225" s="36" t="str">
        <f>IFERROR(VLOOKUP(A1225,القائمة!$A$3:$F$112,5,FALSE),"")</f>
        <v/>
      </c>
      <c r="F1225" s="37" t="str">
        <f>IFERROR(VLOOKUP(A1225,القائمة!$A$3:$F$112,6,FALSE),"")</f>
        <v/>
      </c>
      <c r="P1225" s="27">
        <f t="shared" si="41"/>
        <v>0</v>
      </c>
      <c r="Q1225" s="27">
        <f t="shared" si="40"/>
        <v>0</v>
      </c>
    </row>
    <row r="1226" spans="2:17" x14ac:dyDescent="0.45">
      <c r="B1226" s="27" t="str">
        <f>IFERROR(VLOOKUP(A1226,القائمة!$A$3:$F$112,2,FALSE),"")</f>
        <v/>
      </c>
      <c r="C1226" s="27" t="str">
        <f>IFERROR(VLOOKUP(A1226,القائمة!$A$3:$F$112,3,FALSE),"")</f>
        <v/>
      </c>
      <c r="D1226" s="36" t="str">
        <f>IFERROR(VLOOKUP(A1226,القائمة!$A$3:$F$112,4,FALSE),"")</f>
        <v/>
      </c>
      <c r="E1226" s="36" t="str">
        <f>IFERROR(VLOOKUP(A1226,القائمة!$A$3:$F$112,5,FALSE),"")</f>
        <v/>
      </c>
      <c r="F1226" s="37" t="str">
        <f>IFERROR(VLOOKUP(A1226,القائمة!$A$3:$F$112,6,FALSE),"")</f>
        <v/>
      </c>
      <c r="P1226" s="27">
        <f t="shared" si="41"/>
        <v>0</v>
      </c>
      <c r="Q1226" s="27">
        <f t="shared" si="40"/>
        <v>0</v>
      </c>
    </row>
    <row r="1227" spans="2:17" x14ac:dyDescent="0.45">
      <c r="B1227" s="27" t="str">
        <f>IFERROR(VLOOKUP(A1227,القائمة!$A$3:$F$112,2,FALSE),"")</f>
        <v/>
      </c>
      <c r="C1227" s="27" t="str">
        <f>IFERROR(VLOOKUP(A1227,القائمة!$A$3:$F$112,3,FALSE),"")</f>
        <v/>
      </c>
      <c r="D1227" s="36" t="str">
        <f>IFERROR(VLOOKUP(A1227,القائمة!$A$3:$F$112,4,FALSE),"")</f>
        <v/>
      </c>
      <c r="E1227" s="36" t="str">
        <f>IFERROR(VLOOKUP(A1227,القائمة!$A$3:$F$112,5,FALSE),"")</f>
        <v/>
      </c>
      <c r="F1227" s="37" t="str">
        <f>IFERROR(VLOOKUP(A1227,القائمة!$A$3:$F$112,6,FALSE),"")</f>
        <v/>
      </c>
      <c r="P1227" s="27">
        <f t="shared" si="41"/>
        <v>0</v>
      </c>
      <c r="Q1227" s="27">
        <f t="shared" si="40"/>
        <v>0</v>
      </c>
    </row>
    <row r="1228" spans="2:17" x14ac:dyDescent="0.45">
      <c r="B1228" s="27" t="str">
        <f>IFERROR(VLOOKUP(A1228,القائمة!$A$3:$F$112,2,FALSE),"")</f>
        <v/>
      </c>
      <c r="C1228" s="27" t="str">
        <f>IFERROR(VLOOKUP(A1228,القائمة!$A$3:$F$112,3,FALSE),"")</f>
        <v/>
      </c>
      <c r="D1228" s="36" t="str">
        <f>IFERROR(VLOOKUP(A1228,القائمة!$A$3:$F$112,4,FALSE),"")</f>
        <v/>
      </c>
      <c r="E1228" s="36" t="str">
        <f>IFERROR(VLOOKUP(A1228,القائمة!$A$3:$F$112,5,FALSE),"")</f>
        <v/>
      </c>
      <c r="F1228" s="37" t="str">
        <f>IFERROR(VLOOKUP(A1228,القائمة!$A$3:$F$112,6,FALSE),"")</f>
        <v/>
      </c>
      <c r="P1228" s="27">
        <f t="shared" si="41"/>
        <v>0</v>
      </c>
      <c r="Q1228" s="27">
        <f t="shared" si="40"/>
        <v>0</v>
      </c>
    </row>
    <row r="1229" spans="2:17" x14ac:dyDescent="0.45">
      <c r="B1229" s="27" t="str">
        <f>IFERROR(VLOOKUP(A1229,القائمة!$A$3:$F$112,2,FALSE),"")</f>
        <v/>
      </c>
      <c r="C1229" s="27" t="str">
        <f>IFERROR(VLOOKUP(A1229,القائمة!$A$3:$F$112,3,FALSE),"")</f>
        <v/>
      </c>
      <c r="D1229" s="36" t="str">
        <f>IFERROR(VLOOKUP(A1229,القائمة!$A$3:$F$112,4,FALSE),"")</f>
        <v/>
      </c>
      <c r="E1229" s="36" t="str">
        <f>IFERROR(VLOOKUP(A1229,القائمة!$A$3:$F$112,5,FALSE),"")</f>
        <v/>
      </c>
      <c r="F1229" s="37" t="str">
        <f>IFERROR(VLOOKUP(A1229,القائمة!$A$3:$F$112,6,FALSE),"")</f>
        <v/>
      </c>
      <c r="P1229" s="27">
        <f t="shared" si="41"/>
        <v>0</v>
      </c>
      <c r="Q1229" s="27">
        <f t="shared" si="40"/>
        <v>0</v>
      </c>
    </row>
    <row r="1230" spans="2:17" x14ac:dyDescent="0.45">
      <c r="B1230" s="27" t="str">
        <f>IFERROR(VLOOKUP(A1230,القائمة!$A$3:$F$112,2,FALSE),"")</f>
        <v/>
      </c>
      <c r="C1230" s="27" t="str">
        <f>IFERROR(VLOOKUP(A1230,القائمة!$A$3:$F$112,3,FALSE),"")</f>
        <v/>
      </c>
      <c r="D1230" s="36" t="str">
        <f>IFERROR(VLOOKUP(A1230,القائمة!$A$3:$F$112,4,FALSE),"")</f>
        <v/>
      </c>
      <c r="E1230" s="36" t="str">
        <f>IFERROR(VLOOKUP(A1230,القائمة!$A$3:$F$112,5,FALSE),"")</f>
        <v/>
      </c>
      <c r="F1230" s="37" t="str">
        <f>IFERROR(VLOOKUP(A1230,القائمة!$A$3:$F$112,6,FALSE),"")</f>
        <v/>
      </c>
      <c r="P1230" s="27">
        <f t="shared" si="41"/>
        <v>0</v>
      </c>
      <c r="Q1230" s="27">
        <f t="shared" si="40"/>
        <v>0</v>
      </c>
    </row>
    <row r="1231" spans="2:17" x14ac:dyDescent="0.45">
      <c r="B1231" s="27" t="str">
        <f>IFERROR(VLOOKUP(A1231,القائمة!$A$3:$F$112,2,FALSE),"")</f>
        <v/>
      </c>
      <c r="C1231" s="27" t="str">
        <f>IFERROR(VLOOKUP(A1231,القائمة!$A$3:$F$112,3,FALSE),"")</f>
        <v/>
      </c>
      <c r="D1231" s="36" t="str">
        <f>IFERROR(VLOOKUP(A1231,القائمة!$A$3:$F$112,4,FALSE),"")</f>
        <v/>
      </c>
      <c r="E1231" s="36" t="str">
        <f>IFERROR(VLOOKUP(A1231,القائمة!$A$3:$F$112,5,FALSE),"")</f>
        <v/>
      </c>
      <c r="F1231" s="37" t="str">
        <f>IFERROR(VLOOKUP(A1231,القائمة!$A$3:$F$112,6,FALSE),"")</f>
        <v/>
      </c>
      <c r="P1231" s="27">
        <f t="shared" si="41"/>
        <v>0</v>
      </c>
      <c r="Q1231" s="27">
        <f t="shared" si="40"/>
        <v>0</v>
      </c>
    </row>
    <row r="1232" spans="2:17" x14ac:dyDescent="0.45">
      <c r="B1232" s="27" t="str">
        <f>IFERROR(VLOOKUP(A1232,القائمة!$A$3:$F$112,2,FALSE),"")</f>
        <v/>
      </c>
      <c r="C1232" s="27" t="str">
        <f>IFERROR(VLOOKUP(A1232,القائمة!$A$3:$F$112,3,FALSE),"")</f>
        <v/>
      </c>
      <c r="D1232" s="36" t="str">
        <f>IFERROR(VLOOKUP(A1232,القائمة!$A$3:$F$112,4,FALSE),"")</f>
        <v/>
      </c>
      <c r="E1232" s="36" t="str">
        <f>IFERROR(VLOOKUP(A1232,القائمة!$A$3:$F$112,5,FALSE),"")</f>
        <v/>
      </c>
      <c r="F1232" s="37" t="str">
        <f>IFERROR(VLOOKUP(A1232,القائمة!$A$3:$F$112,6,FALSE),"")</f>
        <v/>
      </c>
      <c r="P1232" s="27">
        <f t="shared" si="41"/>
        <v>0</v>
      </c>
      <c r="Q1232" s="27">
        <f t="shared" si="40"/>
        <v>0</v>
      </c>
    </row>
    <row r="1233" spans="2:17" x14ac:dyDescent="0.45">
      <c r="B1233" s="27" t="str">
        <f>IFERROR(VLOOKUP(A1233,القائمة!$A$3:$F$112,2,FALSE),"")</f>
        <v/>
      </c>
      <c r="C1233" s="27" t="str">
        <f>IFERROR(VLOOKUP(A1233,القائمة!$A$3:$F$112,3,FALSE),"")</f>
        <v/>
      </c>
      <c r="D1233" s="36" t="str">
        <f>IFERROR(VLOOKUP(A1233,القائمة!$A$3:$F$112,4,FALSE),"")</f>
        <v/>
      </c>
      <c r="E1233" s="36" t="str">
        <f>IFERROR(VLOOKUP(A1233,القائمة!$A$3:$F$112,5,FALSE),"")</f>
        <v/>
      </c>
      <c r="F1233" s="37" t="str">
        <f>IFERROR(VLOOKUP(A1233,القائمة!$A$3:$F$112,6,FALSE),"")</f>
        <v/>
      </c>
      <c r="P1233" s="27">
        <f t="shared" si="41"/>
        <v>0</v>
      </c>
      <c r="Q1233" s="27">
        <f t="shared" si="40"/>
        <v>0</v>
      </c>
    </row>
    <row r="1234" spans="2:17" x14ac:dyDescent="0.45">
      <c r="B1234" s="27" t="str">
        <f>IFERROR(VLOOKUP(A1234,القائمة!$A$3:$F$112,2,FALSE),"")</f>
        <v/>
      </c>
      <c r="C1234" s="27" t="str">
        <f>IFERROR(VLOOKUP(A1234,القائمة!$A$3:$F$112,3,FALSE),"")</f>
        <v/>
      </c>
      <c r="D1234" s="36" t="str">
        <f>IFERROR(VLOOKUP(A1234,القائمة!$A$3:$F$112,4,FALSE),"")</f>
        <v/>
      </c>
      <c r="E1234" s="36" t="str">
        <f>IFERROR(VLOOKUP(A1234,القائمة!$A$3:$F$112,5,FALSE),"")</f>
        <v/>
      </c>
      <c r="F1234" s="37" t="str">
        <f>IFERROR(VLOOKUP(A1234,القائمة!$A$3:$F$112,6,FALSE),"")</f>
        <v/>
      </c>
      <c r="P1234" s="27">
        <f t="shared" si="41"/>
        <v>0</v>
      </c>
      <c r="Q1234" s="27">
        <f t="shared" si="40"/>
        <v>0</v>
      </c>
    </row>
    <row r="1235" spans="2:17" x14ac:dyDescent="0.45">
      <c r="B1235" s="27" t="str">
        <f>IFERROR(VLOOKUP(A1235,القائمة!$A$3:$F$112,2,FALSE),"")</f>
        <v/>
      </c>
      <c r="C1235" s="27" t="str">
        <f>IFERROR(VLOOKUP(A1235,القائمة!$A$3:$F$112,3,FALSE),"")</f>
        <v/>
      </c>
      <c r="D1235" s="36" t="str">
        <f>IFERROR(VLOOKUP(A1235,القائمة!$A$3:$F$112,4,FALSE),"")</f>
        <v/>
      </c>
      <c r="E1235" s="36" t="str">
        <f>IFERROR(VLOOKUP(A1235,القائمة!$A$3:$F$112,5,FALSE),"")</f>
        <v/>
      </c>
      <c r="F1235" s="37" t="str">
        <f>IFERROR(VLOOKUP(A1235,القائمة!$A$3:$F$112,6,FALSE),"")</f>
        <v/>
      </c>
      <c r="P1235" s="27">
        <f t="shared" si="41"/>
        <v>0</v>
      </c>
      <c r="Q1235" s="27">
        <f t="shared" si="40"/>
        <v>0</v>
      </c>
    </row>
    <row r="1236" spans="2:17" x14ac:dyDescent="0.45">
      <c r="B1236" s="27" t="str">
        <f>IFERROR(VLOOKUP(A1236,القائمة!$A$3:$F$112,2,FALSE),"")</f>
        <v/>
      </c>
      <c r="C1236" s="27" t="str">
        <f>IFERROR(VLOOKUP(A1236,القائمة!$A$3:$F$112,3,FALSE),"")</f>
        <v/>
      </c>
      <c r="D1236" s="36" t="str">
        <f>IFERROR(VLOOKUP(A1236,القائمة!$A$3:$F$112,4,FALSE),"")</f>
        <v/>
      </c>
      <c r="E1236" s="36" t="str">
        <f>IFERROR(VLOOKUP(A1236,القائمة!$A$3:$F$112,5,FALSE),"")</f>
        <v/>
      </c>
      <c r="F1236" s="37" t="str">
        <f>IFERROR(VLOOKUP(A1236,القائمة!$A$3:$F$112,6,FALSE),"")</f>
        <v/>
      </c>
      <c r="P1236" s="27">
        <f t="shared" si="41"/>
        <v>0</v>
      </c>
      <c r="Q1236" s="27">
        <f t="shared" si="40"/>
        <v>0</v>
      </c>
    </row>
    <row r="1237" spans="2:17" x14ac:dyDescent="0.45">
      <c r="B1237" s="27" t="str">
        <f>IFERROR(VLOOKUP(A1237,القائمة!$A$3:$F$112,2,FALSE),"")</f>
        <v/>
      </c>
      <c r="C1237" s="27" t="str">
        <f>IFERROR(VLOOKUP(A1237,القائمة!$A$3:$F$112,3,FALSE),"")</f>
        <v/>
      </c>
      <c r="D1237" s="36" t="str">
        <f>IFERROR(VLOOKUP(A1237,القائمة!$A$3:$F$112,4,FALSE),"")</f>
        <v/>
      </c>
      <c r="E1237" s="36" t="str">
        <f>IFERROR(VLOOKUP(A1237,القائمة!$A$3:$F$112,5,FALSE),"")</f>
        <v/>
      </c>
      <c r="F1237" s="37" t="str">
        <f>IFERROR(VLOOKUP(A1237,القائمة!$A$3:$F$112,6,FALSE),"")</f>
        <v/>
      </c>
      <c r="P1237" s="27">
        <f t="shared" si="41"/>
        <v>0</v>
      </c>
      <c r="Q1237" s="27">
        <f t="shared" si="40"/>
        <v>0</v>
      </c>
    </row>
    <row r="1238" spans="2:17" x14ac:dyDescent="0.45">
      <c r="B1238" s="27" t="str">
        <f>IFERROR(VLOOKUP(A1238,القائمة!$A$3:$F$112,2,FALSE),"")</f>
        <v/>
      </c>
      <c r="C1238" s="27" t="str">
        <f>IFERROR(VLOOKUP(A1238,القائمة!$A$3:$F$112,3,FALSE),"")</f>
        <v/>
      </c>
      <c r="D1238" s="36" t="str">
        <f>IFERROR(VLOOKUP(A1238,القائمة!$A$3:$F$112,4,FALSE),"")</f>
        <v/>
      </c>
      <c r="E1238" s="36" t="str">
        <f>IFERROR(VLOOKUP(A1238,القائمة!$A$3:$F$112,5,FALSE),"")</f>
        <v/>
      </c>
      <c r="F1238" s="37" t="str">
        <f>IFERROR(VLOOKUP(A1238,القائمة!$A$3:$F$112,6,FALSE),"")</f>
        <v/>
      </c>
      <c r="P1238" s="27">
        <f t="shared" si="41"/>
        <v>0</v>
      </c>
      <c r="Q1238" s="27">
        <f t="shared" si="40"/>
        <v>0</v>
      </c>
    </row>
    <row r="1239" spans="2:17" x14ac:dyDescent="0.45">
      <c r="B1239" s="27" t="str">
        <f>IFERROR(VLOOKUP(A1239,القائمة!$A$3:$F$112,2,FALSE),"")</f>
        <v/>
      </c>
      <c r="C1239" s="27" t="str">
        <f>IFERROR(VLOOKUP(A1239,القائمة!$A$3:$F$112,3,FALSE),"")</f>
        <v/>
      </c>
      <c r="D1239" s="36" t="str">
        <f>IFERROR(VLOOKUP(A1239,القائمة!$A$3:$F$112,4,FALSE),"")</f>
        <v/>
      </c>
      <c r="E1239" s="36" t="str">
        <f>IFERROR(VLOOKUP(A1239,القائمة!$A$3:$F$112,5,FALSE),"")</f>
        <v/>
      </c>
      <c r="F1239" s="37" t="str">
        <f>IFERROR(VLOOKUP(A1239,القائمة!$A$3:$F$112,6,FALSE),"")</f>
        <v/>
      </c>
      <c r="P1239" s="27">
        <f t="shared" si="41"/>
        <v>0</v>
      </c>
      <c r="Q1239" s="27">
        <f t="shared" si="40"/>
        <v>0</v>
      </c>
    </row>
    <row r="1240" spans="2:17" x14ac:dyDescent="0.45">
      <c r="B1240" s="27" t="str">
        <f>IFERROR(VLOOKUP(A1240,القائمة!$A$3:$F$112,2,FALSE),"")</f>
        <v/>
      </c>
      <c r="C1240" s="27" t="str">
        <f>IFERROR(VLOOKUP(A1240,القائمة!$A$3:$F$112,3,FALSE),"")</f>
        <v/>
      </c>
      <c r="D1240" s="36" t="str">
        <f>IFERROR(VLOOKUP(A1240,القائمة!$A$3:$F$112,4,FALSE),"")</f>
        <v/>
      </c>
      <c r="E1240" s="36" t="str">
        <f>IFERROR(VLOOKUP(A1240,القائمة!$A$3:$F$112,5,FALSE),"")</f>
        <v/>
      </c>
      <c r="F1240" s="37" t="str">
        <f>IFERROR(VLOOKUP(A1240,القائمة!$A$3:$F$112,6,FALSE),"")</f>
        <v/>
      </c>
      <c r="P1240" s="27">
        <f t="shared" si="41"/>
        <v>0</v>
      </c>
      <c r="Q1240" s="27">
        <f t="shared" si="40"/>
        <v>0</v>
      </c>
    </row>
    <row r="1241" spans="2:17" x14ac:dyDescent="0.45">
      <c r="B1241" s="27" t="str">
        <f>IFERROR(VLOOKUP(A1241,القائمة!$A$3:$F$112,2,FALSE),"")</f>
        <v/>
      </c>
      <c r="C1241" s="27" t="str">
        <f>IFERROR(VLOOKUP(A1241,القائمة!$A$3:$F$112,3,FALSE),"")</f>
        <v/>
      </c>
      <c r="D1241" s="36" t="str">
        <f>IFERROR(VLOOKUP(A1241,القائمة!$A$3:$F$112,4,FALSE),"")</f>
        <v/>
      </c>
      <c r="E1241" s="36" t="str">
        <f>IFERROR(VLOOKUP(A1241,القائمة!$A$3:$F$112,5,FALSE),"")</f>
        <v/>
      </c>
      <c r="F1241" s="37" t="str">
        <f>IFERROR(VLOOKUP(A1241,القائمة!$A$3:$F$112,6,FALSE),"")</f>
        <v/>
      </c>
      <c r="P1241" s="27">
        <f t="shared" si="41"/>
        <v>0</v>
      </c>
      <c r="Q1241" s="27">
        <f t="shared" si="40"/>
        <v>0</v>
      </c>
    </row>
    <row r="1242" spans="2:17" x14ac:dyDescent="0.45">
      <c r="B1242" s="27" t="str">
        <f>IFERROR(VLOOKUP(A1242,القائمة!$A$3:$F$112,2,FALSE),"")</f>
        <v/>
      </c>
      <c r="C1242" s="27" t="str">
        <f>IFERROR(VLOOKUP(A1242,القائمة!$A$3:$F$112,3,FALSE),"")</f>
        <v/>
      </c>
      <c r="D1242" s="36" t="str">
        <f>IFERROR(VLOOKUP(A1242,القائمة!$A$3:$F$112,4,FALSE),"")</f>
        <v/>
      </c>
      <c r="E1242" s="36" t="str">
        <f>IFERROR(VLOOKUP(A1242,القائمة!$A$3:$F$112,5,FALSE),"")</f>
        <v/>
      </c>
      <c r="F1242" s="37" t="str">
        <f>IFERROR(VLOOKUP(A1242,القائمة!$A$3:$F$112,6,FALSE),"")</f>
        <v/>
      </c>
      <c r="P1242" s="27">
        <f t="shared" si="41"/>
        <v>0</v>
      </c>
      <c r="Q1242" s="27">
        <f t="shared" si="40"/>
        <v>0</v>
      </c>
    </row>
    <row r="1243" spans="2:17" x14ac:dyDescent="0.45">
      <c r="B1243" s="27" t="str">
        <f>IFERROR(VLOOKUP(A1243,القائمة!$A$3:$F$112,2,FALSE),"")</f>
        <v/>
      </c>
      <c r="C1243" s="27" t="str">
        <f>IFERROR(VLOOKUP(A1243,القائمة!$A$3:$F$112,3,FALSE),"")</f>
        <v/>
      </c>
      <c r="D1243" s="36" t="str">
        <f>IFERROR(VLOOKUP(A1243,القائمة!$A$3:$F$112,4,FALSE),"")</f>
        <v/>
      </c>
      <c r="E1243" s="36" t="str">
        <f>IFERROR(VLOOKUP(A1243,القائمة!$A$3:$F$112,5,FALSE),"")</f>
        <v/>
      </c>
      <c r="F1243" s="37" t="str">
        <f>IFERROR(VLOOKUP(A1243,القائمة!$A$3:$F$112,6,FALSE),"")</f>
        <v/>
      </c>
      <c r="P1243" s="27">
        <f t="shared" si="41"/>
        <v>0</v>
      </c>
      <c r="Q1243" s="27">
        <f t="shared" si="40"/>
        <v>0</v>
      </c>
    </row>
    <row r="1244" spans="2:17" x14ac:dyDescent="0.45">
      <c r="B1244" s="27" t="str">
        <f>IFERROR(VLOOKUP(A1244,القائمة!$A$3:$F$112,2,FALSE),"")</f>
        <v/>
      </c>
      <c r="C1244" s="27" t="str">
        <f>IFERROR(VLOOKUP(A1244,القائمة!$A$3:$F$112,3,FALSE),"")</f>
        <v/>
      </c>
      <c r="D1244" s="36" t="str">
        <f>IFERROR(VLOOKUP(A1244,القائمة!$A$3:$F$112,4,FALSE),"")</f>
        <v/>
      </c>
      <c r="E1244" s="36" t="str">
        <f>IFERROR(VLOOKUP(A1244,القائمة!$A$3:$F$112,5,FALSE),"")</f>
        <v/>
      </c>
      <c r="F1244" s="37" t="str">
        <f>IFERROR(VLOOKUP(A1244,القائمة!$A$3:$F$112,6,FALSE),"")</f>
        <v/>
      </c>
      <c r="P1244" s="27">
        <f t="shared" si="41"/>
        <v>0</v>
      </c>
      <c r="Q1244" s="27">
        <f t="shared" si="40"/>
        <v>0</v>
      </c>
    </row>
    <row r="1245" spans="2:17" x14ac:dyDescent="0.45">
      <c r="B1245" s="27" t="str">
        <f>IFERROR(VLOOKUP(A1245,القائمة!$A$3:$F$112,2,FALSE),"")</f>
        <v/>
      </c>
      <c r="C1245" s="27" t="str">
        <f>IFERROR(VLOOKUP(A1245,القائمة!$A$3:$F$112,3,FALSE),"")</f>
        <v/>
      </c>
      <c r="D1245" s="36" t="str">
        <f>IFERROR(VLOOKUP(A1245,القائمة!$A$3:$F$112,4,FALSE),"")</f>
        <v/>
      </c>
      <c r="E1245" s="36" t="str">
        <f>IFERROR(VLOOKUP(A1245,القائمة!$A$3:$F$112,5,FALSE),"")</f>
        <v/>
      </c>
      <c r="F1245" s="37" t="str">
        <f>IFERROR(VLOOKUP(A1245,القائمة!$A$3:$F$112,6,FALSE),"")</f>
        <v/>
      </c>
      <c r="P1245" s="27">
        <f t="shared" si="41"/>
        <v>0</v>
      </c>
      <c r="Q1245" s="27">
        <f t="shared" si="40"/>
        <v>0</v>
      </c>
    </row>
    <row r="1246" spans="2:17" x14ac:dyDescent="0.45">
      <c r="B1246" s="27" t="str">
        <f>IFERROR(VLOOKUP(A1246,القائمة!$A$3:$F$112,2,FALSE),"")</f>
        <v/>
      </c>
      <c r="C1246" s="27" t="str">
        <f>IFERROR(VLOOKUP(A1246,القائمة!$A$3:$F$112,3,FALSE),"")</f>
        <v/>
      </c>
      <c r="D1246" s="36" t="str">
        <f>IFERROR(VLOOKUP(A1246,القائمة!$A$3:$F$112,4,FALSE),"")</f>
        <v/>
      </c>
      <c r="E1246" s="36" t="str">
        <f>IFERROR(VLOOKUP(A1246,القائمة!$A$3:$F$112,5,FALSE),"")</f>
        <v/>
      </c>
      <c r="F1246" s="37" t="str">
        <f>IFERROR(VLOOKUP(A1246,القائمة!$A$3:$F$112,6,FALSE),"")</f>
        <v/>
      </c>
      <c r="P1246" s="27">
        <f t="shared" si="41"/>
        <v>0</v>
      </c>
      <c r="Q1246" s="27">
        <f t="shared" si="40"/>
        <v>0</v>
      </c>
    </row>
    <row r="1247" spans="2:17" x14ac:dyDescent="0.45">
      <c r="B1247" s="27" t="str">
        <f>IFERROR(VLOOKUP(A1247,القائمة!$A$3:$F$112,2,FALSE),"")</f>
        <v/>
      </c>
      <c r="C1247" s="27" t="str">
        <f>IFERROR(VLOOKUP(A1247,القائمة!$A$3:$F$112,3,FALSE),"")</f>
        <v/>
      </c>
      <c r="D1247" s="36" t="str">
        <f>IFERROR(VLOOKUP(A1247,القائمة!$A$3:$F$112,4,FALSE),"")</f>
        <v/>
      </c>
      <c r="E1247" s="36" t="str">
        <f>IFERROR(VLOOKUP(A1247,القائمة!$A$3:$F$112,5,FALSE),"")</f>
        <v/>
      </c>
      <c r="F1247" s="37" t="str">
        <f>IFERROR(VLOOKUP(A1247,القائمة!$A$3:$F$112,6,FALSE),"")</f>
        <v/>
      </c>
      <c r="P1247" s="27">
        <f t="shared" si="41"/>
        <v>0</v>
      </c>
      <c r="Q1247" s="27">
        <f t="shared" si="40"/>
        <v>0</v>
      </c>
    </row>
    <row r="1248" spans="2:17" x14ac:dyDescent="0.45">
      <c r="B1248" s="27" t="str">
        <f>IFERROR(VLOOKUP(A1248,القائمة!$A$3:$F$112,2,FALSE),"")</f>
        <v/>
      </c>
      <c r="C1248" s="27" t="str">
        <f>IFERROR(VLOOKUP(A1248,القائمة!$A$3:$F$112,3,FALSE),"")</f>
        <v/>
      </c>
      <c r="D1248" s="36" t="str">
        <f>IFERROR(VLOOKUP(A1248,القائمة!$A$3:$F$112,4,FALSE),"")</f>
        <v/>
      </c>
      <c r="E1248" s="36" t="str">
        <f>IFERROR(VLOOKUP(A1248,القائمة!$A$3:$F$112,5,FALSE),"")</f>
        <v/>
      </c>
      <c r="F1248" s="37" t="str">
        <f>IFERROR(VLOOKUP(A1248,القائمة!$A$3:$F$112,6,FALSE),"")</f>
        <v/>
      </c>
      <c r="P1248" s="27">
        <f t="shared" si="41"/>
        <v>0</v>
      </c>
      <c r="Q1248" s="27">
        <f t="shared" si="40"/>
        <v>0</v>
      </c>
    </row>
    <row r="1249" spans="2:17" x14ac:dyDescent="0.45">
      <c r="B1249" s="27" t="str">
        <f>IFERROR(VLOOKUP(A1249,القائمة!$A$3:$F$112,2,FALSE),"")</f>
        <v/>
      </c>
      <c r="C1249" s="27" t="str">
        <f>IFERROR(VLOOKUP(A1249,القائمة!$A$3:$F$112,3,FALSE),"")</f>
        <v/>
      </c>
      <c r="D1249" s="36" t="str">
        <f>IFERROR(VLOOKUP(A1249,القائمة!$A$3:$F$112,4,FALSE),"")</f>
        <v/>
      </c>
      <c r="E1249" s="36" t="str">
        <f>IFERROR(VLOOKUP(A1249,القائمة!$A$3:$F$112,5,FALSE),"")</f>
        <v/>
      </c>
      <c r="F1249" s="37" t="str">
        <f>IFERROR(VLOOKUP(A1249,القائمة!$A$3:$F$112,6,FALSE),"")</f>
        <v/>
      </c>
      <c r="P1249" s="27">
        <f t="shared" si="41"/>
        <v>0</v>
      </c>
      <c r="Q1249" s="27">
        <f t="shared" si="40"/>
        <v>0</v>
      </c>
    </row>
    <row r="1250" spans="2:17" x14ac:dyDescent="0.45">
      <c r="B1250" s="27" t="str">
        <f>IFERROR(VLOOKUP(A1250,القائمة!$A$3:$F$112,2,FALSE),"")</f>
        <v/>
      </c>
      <c r="C1250" s="27" t="str">
        <f>IFERROR(VLOOKUP(A1250,القائمة!$A$3:$F$112,3,FALSE),"")</f>
        <v/>
      </c>
      <c r="D1250" s="36" t="str">
        <f>IFERROR(VLOOKUP(A1250,القائمة!$A$3:$F$112,4,FALSE),"")</f>
        <v/>
      </c>
      <c r="E1250" s="36" t="str">
        <f>IFERROR(VLOOKUP(A1250,القائمة!$A$3:$F$112,5,FALSE),"")</f>
        <v/>
      </c>
      <c r="F1250" s="37" t="str">
        <f>IFERROR(VLOOKUP(A1250,القائمة!$A$3:$F$112,6,FALSE),"")</f>
        <v/>
      </c>
      <c r="P1250" s="27">
        <f t="shared" si="41"/>
        <v>0</v>
      </c>
      <c r="Q1250" s="27">
        <f t="shared" si="40"/>
        <v>0</v>
      </c>
    </row>
    <row r="1251" spans="2:17" x14ac:dyDescent="0.45">
      <c r="B1251" s="27" t="str">
        <f>IFERROR(VLOOKUP(A1251,القائمة!$A$3:$F$112,2,FALSE),"")</f>
        <v/>
      </c>
      <c r="C1251" s="27" t="str">
        <f>IFERROR(VLOOKUP(A1251,القائمة!$A$3:$F$112,3,FALSE),"")</f>
        <v/>
      </c>
      <c r="D1251" s="36" t="str">
        <f>IFERROR(VLOOKUP(A1251,القائمة!$A$3:$F$112,4,FALSE),"")</f>
        <v/>
      </c>
      <c r="E1251" s="36" t="str">
        <f>IFERROR(VLOOKUP(A1251,القائمة!$A$3:$F$112,5,FALSE),"")</f>
        <v/>
      </c>
      <c r="F1251" s="37" t="str">
        <f>IFERROR(VLOOKUP(A1251,القائمة!$A$3:$F$112,6,FALSE),"")</f>
        <v/>
      </c>
      <c r="P1251" s="27">
        <f t="shared" si="41"/>
        <v>0</v>
      </c>
      <c r="Q1251" s="27">
        <f t="shared" si="40"/>
        <v>0</v>
      </c>
    </row>
    <row r="1252" spans="2:17" x14ac:dyDescent="0.45">
      <c r="B1252" s="27" t="str">
        <f>IFERROR(VLOOKUP(A1252,القائمة!$A$3:$F$112,2,FALSE),"")</f>
        <v/>
      </c>
      <c r="C1252" s="27" t="str">
        <f>IFERROR(VLOOKUP(A1252,القائمة!$A$3:$F$112,3,FALSE),"")</f>
        <v/>
      </c>
      <c r="D1252" s="36" t="str">
        <f>IFERROR(VLOOKUP(A1252,القائمة!$A$3:$F$112,4,FALSE),"")</f>
        <v/>
      </c>
      <c r="E1252" s="36" t="str">
        <f>IFERROR(VLOOKUP(A1252,القائمة!$A$3:$F$112,5,FALSE),"")</f>
        <v/>
      </c>
      <c r="F1252" s="37" t="str">
        <f>IFERROR(VLOOKUP(A1252,القائمة!$A$3:$F$112,6,FALSE),"")</f>
        <v/>
      </c>
      <c r="P1252" s="27">
        <f t="shared" si="41"/>
        <v>0</v>
      </c>
      <c r="Q1252" s="27">
        <f t="shared" si="40"/>
        <v>0</v>
      </c>
    </row>
    <row r="1253" spans="2:17" x14ac:dyDescent="0.45">
      <c r="B1253" s="27" t="str">
        <f>IFERROR(VLOOKUP(A1253,القائمة!$A$3:$F$112,2,FALSE),"")</f>
        <v/>
      </c>
      <c r="C1253" s="27" t="str">
        <f>IFERROR(VLOOKUP(A1253,القائمة!$A$3:$F$112,3,FALSE),"")</f>
        <v/>
      </c>
      <c r="D1253" s="36" t="str">
        <f>IFERROR(VLOOKUP(A1253,القائمة!$A$3:$F$112,4,FALSE),"")</f>
        <v/>
      </c>
      <c r="E1253" s="36" t="str">
        <f>IFERROR(VLOOKUP(A1253,القائمة!$A$3:$F$112,5,FALSE),"")</f>
        <v/>
      </c>
      <c r="F1253" s="37" t="str">
        <f>IFERROR(VLOOKUP(A1253,القائمة!$A$3:$F$112,6,FALSE),"")</f>
        <v/>
      </c>
      <c r="P1253" s="27">
        <f t="shared" si="41"/>
        <v>0</v>
      </c>
      <c r="Q1253" s="27">
        <f t="shared" si="40"/>
        <v>0</v>
      </c>
    </row>
    <row r="1254" spans="2:17" x14ac:dyDescent="0.45">
      <c r="B1254" s="27" t="str">
        <f>IFERROR(VLOOKUP(A1254,القائمة!$A$3:$F$112,2,FALSE),"")</f>
        <v/>
      </c>
      <c r="C1254" s="27" t="str">
        <f>IFERROR(VLOOKUP(A1254,القائمة!$A$3:$F$112,3,FALSE),"")</f>
        <v/>
      </c>
      <c r="D1254" s="36" t="str">
        <f>IFERROR(VLOOKUP(A1254,القائمة!$A$3:$F$112,4,FALSE),"")</f>
        <v/>
      </c>
      <c r="E1254" s="36" t="str">
        <f>IFERROR(VLOOKUP(A1254,القائمة!$A$3:$F$112,5,FALSE),"")</f>
        <v/>
      </c>
      <c r="F1254" s="37" t="str">
        <f>IFERROR(VLOOKUP(A1254,القائمة!$A$3:$F$112,6,FALSE),"")</f>
        <v/>
      </c>
      <c r="P1254" s="27">
        <f t="shared" si="41"/>
        <v>0</v>
      </c>
      <c r="Q1254" s="27">
        <f t="shared" si="40"/>
        <v>0</v>
      </c>
    </row>
    <row r="1255" spans="2:17" x14ac:dyDescent="0.45">
      <c r="B1255" s="27" t="str">
        <f>IFERROR(VLOOKUP(A1255,القائمة!$A$3:$F$112,2,FALSE),"")</f>
        <v/>
      </c>
      <c r="C1255" s="27" t="str">
        <f>IFERROR(VLOOKUP(A1255,القائمة!$A$3:$F$112,3,FALSE),"")</f>
        <v/>
      </c>
      <c r="D1255" s="36" t="str">
        <f>IFERROR(VLOOKUP(A1255,القائمة!$A$3:$F$112,4,FALSE),"")</f>
        <v/>
      </c>
      <c r="E1255" s="36" t="str">
        <f>IFERROR(VLOOKUP(A1255,القائمة!$A$3:$F$112,5,FALSE),"")</f>
        <v/>
      </c>
      <c r="F1255" s="37" t="str">
        <f>IFERROR(VLOOKUP(A1255,القائمة!$A$3:$F$112,6,FALSE),"")</f>
        <v/>
      </c>
      <c r="P1255" s="27">
        <f t="shared" si="41"/>
        <v>0</v>
      </c>
      <c r="Q1255" s="27">
        <f t="shared" si="40"/>
        <v>0</v>
      </c>
    </row>
    <row r="1256" spans="2:17" x14ac:dyDescent="0.45">
      <c r="B1256" s="27" t="str">
        <f>IFERROR(VLOOKUP(A1256,القائمة!$A$3:$F$112,2,FALSE),"")</f>
        <v/>
      </c>
      <c r="C1256" s="27" t="str">
        <f>IFERROR(VLOOKUP(A1256,القائمة!$A$3:$F$112,3,FALSE),"")</f>
        <v/>
      </c>
      <c r="D1256" s="36" t="str">
        <f>IFERROR(VLOOKUP(A1256,القائمة!$A$3:$F$112,4,FALSE),"")</f>
        <v/>
      </c>
      <c r="E1256" s="36" t="str">
        <f>IFERROR(VLOOKUP(A1256,القائمة!$A$3:$F$112,5,FALSE),"")</f>
        <v/>
      </c>
      <c r="F1256" s="37" t="str">
        <f>IFERROR(VLOOKUP(A1256,القائمة!$A$3:$F$112,6,FALSE),"")</f>
        <v/>
      </c>
      <c r="P1256" s="27">
        <f t="shared" si="41"/>
        <v>0</v>
      </c>
      <c r="Q1256" s="27">
        <f t="shared" si="40"/>
        <v>0</v>
      </c>
    </row>
    <row r="1257" spans="2:17" x14ac:dyDescent="0.45">
      <c r="B1257" s="27" t="str">
        <f>IFERROR(VLOOKUP(A1257,القائمة!$A$3:$F$112,2,FALSE),"")</f>
        <v/>
      </c>
      <c r="C1257" s="27" t="str">
        <f>IFERROR(VLOOKUP(A1257,القائمة!$A$3:$F$112,3,FALSE),"")</f>
        <v/>
      </c>
      <c r="D1257" s="36" t="str">
        <f>IFERROR(VLOOKUP(A1257,القائمة!$A$3:$F$112,4,FALSE),"")</f>
        <v/>
      </c>
      <c r="E1257" s="36" t="str">
        <f>IFERROR(VLOOKUP(A1257,القائمة!$A$3:$F$112,5,FALSE),"")</f>
        <v/>
      </c>
      <c r="F1257" s="37" t="str">
        <f>IFERROR(VLOOKUP(A1257,القائمة!$A$3:$F$112,6,FALSE),"")</f>
        <v/>
      </c>
      <c r="P1257" s="27">
        <f t="shared" si="41"/>
        <v>0</v>
      </c>
      <c r="Q1257" s="27">
        <f t="shared" si="40"/>
        <v>0</v>
      </c>
    </row>
    <row r="1258" spans="2:17" x14ac:dyDescent="0.45">
      <c r="B1258" s="27" t="str">
        <f>IFERROR(VLOOKUP(A1258,القائمة!$A$3:$F$112,2,FALSE),"")</f>
        <v/>
      </c>
      <c r="C1258" s="27" t="str">
        <f>IFERROR(VLOOKUP(A1258,القائمة!$A$3:$F$112,3,FALSE),"")</f>
        <v/>
      </c>
      <c r="D1258" s="36" t="str">
        <f>IFERROR(VLOOKUP(A1258,القائمة!$A$3:$F$112,4,FALSE),"")</f>
        <v/>
      </c>
      <c r="E1258" s="36" t="str">
        <f>IFERROR(VLOOKUP(A1258,القائمة!$A$3:$F$112,5,FALSE),"")</f>
        <v/>
      </c>
      <c r="F1258" s="37" t="str">
        <f>IFERROR(VLOOKUP(A1258,القائمة!$A$3:$F$112,6,FALSE),"")</f>
        <v/>
      </c>
      <c r="P1258" s="27">
        <f t="shared" si="41"/>
        <v>0</v>
      </c>
      <c r="Q1258" s="27">
        <f t="shared" si="40"/>
        <v>0</v>
      </c>
    </row>
    <row r="1259" spans="2:17" x14ac:dyDescent="0.45">
      <c r="B1259" s="27" t="str">
        <f>IFERROR(VLOOKUP(A1259,القائمة!$A$3:$F$112,2,FALSE),"")</f>
        <v/>
      </c>
      <c r="C1259" s="27" t="str">
        <f>IFERROR(VLOOKUP(A1259,القائمة!$A$3:$F$112,3,FALSE),"")</f>
        <v/>
      </c>
      <c r="D1259" s="36" t="str">
        <f>IFERROR(VLOOKUP(A1259,القائمة!$A$3:$F$112,4,FALSE),"")</f>
        <v/>
      </c>
      <c r="E1259" s="36" t="str">
        <f>IFERROR(VLOOKUP(A1259,القائمة!$A$3:$F$112,5,FALSE),"")</f>
        <v/>
      </c>
      <c r="F1259" s="37" t="str">
        <f>IFERROR(VLOOKUP(A1259,القائمة!$A$3:$F$112,6,FALSE),"")</f>
        <v/>
      </c>
      <c r="P1259" s="27">
        <f t="shared" si="41"/>
        <v>0</v>
      </c>
      <c r="Q1259" s="27">
        <f t="shared" si="40"/>
        <v>0</v>
      </c>
    </row>
    <row r="1260" spans="2:17" x14ac:dyDescent="0.45">
      <c r="B1260" s="27" t="str">
        <f>IFERROR(VLOOKUP(A1260,القائمة!$A$3:$F$112,2,FALSE),"")</f>
        <v/>
      </c>
      <c r="C1260" s="27" t="str">
        <f>IFERROR(VLOOKUP(A1260,القائمة!$A$3:$F$112,3,FALSE),"")</f>
        <v/>
      </c>
      <c r="D1260" s="36" t="str">
        <f>IFERROR(VLOOKUP(A1260,القائمة!$A$3:$F$112,4,FALSE),"")</f>
        <v/>
      </c>
      <c r="E1260" s="36" t="str">
        <f>IFERROR(VLOOKUP(A1260,القائمة!$A$3:$F$112,5,FALSE),"")</f>
        <v/>
      </c>
      <c r="F1260" s="37" t="str">
        <f>IFERROR(VLOOKUP(A1260,القائمة!$A$3:$F$112,6,FALSE),"")</f>
        <v/>
      </c>
      <c r="P1260" s="27">
        <f t="shared" si="41"/>
        <v>0</v>
      </c>
      <c r="Q1260" s="27">
        <f t="shared" si="40"/>
        <v>0</v>
      </c>
    </row>
    <row r="1261" spans="2:17" x14ac:dyDescent="0.45">
      <c r="B1261" s="27" t="str">
        <f>IFERROR(VLOOKUP(A1261,القائمة!$A$3:$F$112,2,FALSE),"")</f>
        <v/>
      </c>
      <c r="C1261" s="27" t="str">
        <f>IFERROR(VLOOKUP(A1261,القائمة!$A$3:$F$112,3,FALSE),"")</f>
        <v/>
      </c>
      <c r="D1261" s="36" t="str">
        <f>IFERROR(VLOOKUP(A1261,القائمة!$A$3:$F$112,4,FALSE),"")</f>
        <v/>
      </c>
      <c r="E1261" s="36" t="str">
        <f>IFERROR(VLOOKUP(A1261,القائمة!$A$3:$F$112,5,FALSE),"")</f>
        <v/>
      </c>
      <c r="F1261" s="37" t="str">
        <f>IFERROR(VLOOKUP(A1261,القائمة!$A$3:$F$112,6,FALSE),"")</f>
        <v/>
      </c>
      <c r="P1261" s="27">
        <f t="shared" si="41"/>
        <v>0</v>
      </c>
      <c r="Q1261" s="27">
        <f t="shared" si="40"/>
        <v>0</v>
      </c>
    </row>
    <row r="1262" spans="2:17" x14ac:dyDescent="0.45">
      <c r="B1262" s="27" t="str">
        <f>IFERROR(VLOOKUP(A1262,القائمة!$A$3:$F$112,2,FALSE),"")</f>
        <v/>
      </c>
      <c r="C1262" s="27" t="str">
        <f>IFERROR(VLOOKUP(A1262,القائمة!$A$3:$F$112,3,FALSE),"")</f>
        <v/>
      </c>
      <c r="D1262" s="36" t="str">
        <f>IFERROR(VLOOKUP(A1262,القائمة!$A$3:$F$112,4,FALSE),"")</f>
        <v/>
      </c>
      <c r="E1262" s="36" t="str">
        <f>IFERROR(VLOOKUP(A1262,القائمة!$A$3:$F$112,5,FALSE),"")</f>
        <v/>
      </c>
      <c r="F1262" s="37" t="str">
        <f>IFERROR(VLOOKUP(A1262,القائمة!$A$3:$F$112,6,FALSE),"")</f>
        <v/>
      </c>
      <c r="P1262" s="27">
        <f t="shared" si="41"/>
        <v>0</v>
      </c>
      <c r="Q1262" s="27">
        <f t="shared" si="40"/>
        <v>0</v>
      </c>
    </row>
    <row r="1263" spans="2:17" x14ac:dyDescent="0.45">
      <c r="B1263" s="27" t="str">
        <f>IFERROR(VLOOKUP(A1263,القائمة!$A$3:$F$112,2,FALSE),"")</f>
        <v/>
      </c>
      <c r="C1263" s="27" t="str">
        <f>IFERROR(VLOOKUP(A1263,القائمة!$A$3:$F$112,3,FALSE),"")</f>
        <v/>
      </c>
      <c r="D1263" s="36" t="str">
        <f>IFERROR(VLOOKUP(A1263,القائمة!$A$3:$F$112,4,FALSE),"")</f>
        <v/>
      </c>
      <c r="E1263" s="36" t="str">
        <f>IFERROR(VLOOKUP(A1263,القائمة!$A$3:$F$112,5,FALSE),"")</f>
        <v/>
      </c>
      <c r="F1263" s="37" t="str">
        <f>IFERROR(VLOOKUP(A1263,القائمة!$A$3:$F$112,6,FALSE),"")</f>
        <v/>
      </c>
      <c r="P1263" s="27">
        <f t="shared" si="41"/>
        <v>0</v>
      </c>
      <c r="Q1263" s="27">
        <f t="shared" si="40"/>
        <v>0</v>
      </c>
    </row>
    <row r="1264" spans="2:17" x14ac:dyDescent="0.45">
      <c r="B1264" s="27" t="str">
        <f>IFERROR(VLOOKUP(A1264,القائمة!$A$3:$F$112,2,FALSE),"")</f>
        <v/>
      </c>
      <c r="C1264" s="27" t="str">
        <f>IFERROR(VLOOKUP(A1264,القائمة!$A$3:$F$112,3,FALSE),"")</f>
        <v/>
      </c>
      <c r="D1264" s="36" t="str">
        <f>IFERROR(VLOOKUP(A1264,القائمة!$A$3:$F$112,4,FALSE),"")</f>
        <v/>
      </c>
      <c r="E1264" s="36" t="str">
        <f>IFERROR(VLOOKUP(A1264,القائمة!$A$3:$F$112,5,FALSE),"")</f>
        <v/>
      </c>
      <c r="F1264" s="37" t="str">
        <f>IFERROR(VLOOKUP(A1264,القائمة!$A$3:$F$112,6,FALSE),"")</f>
        <v/>
      </c>
      <c r="P1264" s="27">
        <f t="shared" si="41"/>
        <v>0</v>
      </c>
      <c r="Q1264" s="27">
        <f t="shared" si="40"/>
        <v>0</v>
      </c>
    </row>
    <row r="1265" spans="2:17" x14ac:dyDescent="0.45">
      <c r="B1265" s="27" t="str">
        <f>IFERROR(VLOOKUP(A1265,القائمة!$A$3:$F$112,2,FALSE),"")</f>
        <v/>
      </c>
      <c r="C1265" s="27" t="str">
        <f>IFERROR(VLOOKUP(A1265,القائمة!$A$3:$F$112,3,FALSE),"")</f>
        <v/>
      </c>
      <c r="D1265" s="36" t="str">
        <f>IFERROR(VLOOKUP(A1265,القائمة!$A$3:$F$112,4,FALSE),"")</f>
        <v/>
      </c>
      <c r="E1265" s="36" t="str">
        <f>IFERROR(VLOOKUP(A1265,القائمة!$A$3:$F$112,5,FALSE),"")</f>
        <v/>
      </c>
      <c r="F1265" s="37" t="str">
        <f>IFERROR(VLOOKUP(A1265,القائمة!$A$3:$F$112,6,FALSE),"")</f>
        <v/>
      </c>
      <c r="P1265" s="27">
        <f t="shared" si="41"/>
        <v>0</v>
      </c>
      <c r="Q1265" s="27">
        <f t="shared" si="40"/>
        <v>0</v>
      </c>
    </row>
    <row r="1266" spans="2:17" x14ac:dyDescent="0.45">
      <c r="B1266" s="27" t="str">
        <f>IFERROR(VLOOKUP(A1266,القائمة!$A$3:$F$112,2,FALSE),"")</f>
        <v/>
      </c>
      <c r="C1266" s="27" t="str">
        <f>IFERROR(VLOOKUP(A1266,القائمة!$A$3:$F$112,3,FALSE),"")</f>
        <v/>
      </c>
      <c r="D1266" s="36" t="str">
        <f>IFERROR(VLOOKUP(A1266,القائمة!$A$3:$F$112,4,FALSE),"")</f>
        <v/>
      </c>
      <c r="E1266" s="36" t="str">
        <f>IFERROR(VLOOKUP(A1266,القائمة!$A$3:$F$112,5,FALSE),"")</f>
        <v/>
      </c>
      <c r="F1266" s="37" t="str">
        <f>IFERROR(VLOOKUP(A1266,القائمة!$A$3:$F$112,6,FALSE),"")</f>
        <v/>
      </c>
      <c r="P1266" s="27">
        <f t="shared" si="41"/>
        <v>0</v>
      </c>
      <c r="Q1266" s="27">
        <f t="shared" si="40"/>
        <v>0</v>
      </c>
    </row>
    <row r="1267" spans="2:17" x14ac:dyDescent="0.45">
      <c r="B1267" s="27" t="str">
        <f>IFERROR(VLOOKUP(A1267,القائمة!$A$3:$F$112,2,FALSE),"")</f>
        <v/>
      </c>
      <c r="C1267" s="27" t="str">
        <f>IFERROR(VLOOKUP(A1267,القائمة!$A$3:$F$112,3,FALSE),"")</f>
        <v/>
      </c>
      <c r="D1267" s="36" t="str">
        <f>IFERROR(VLOOKUP(A1267,القائمة!$A$3:$F$112,4,FALSE),"")</f>
        <v/>
      </c>
      <c r="E1267" s="36" t="str">
        <f>IFERROR(VLOOKUP(A1267,القائمة!$A$3:$F$112,5,FALSE),"")</f>
        <v/>
      </c>
      <c r="F1267" s="37" t="str">
        <f>IFERROR(VLOOKUP(A1267,القائمة!$A$3:$F$112,6,FALSE),"")</f>
        <v/>
      </c>
      <c r="P1267" s="27">
        <f t="shared" si="41"/>
        <v>0</v>
      </c>
      <c r="Q1267" s="27">
        <f t="shared" si="40"/>
        <v>0</v>
      </c>
    </row>
    <row r="1268" spans="2:17" x14ac:dyDescent="0.45">
      <c r="B1268" s="27" t="str">
        <f>IFERROR(VLOOKUP(A1268,القائمة!$A$3:$F$112,2,FALSE),"")</f>
        <v/>
      </c>
      <c r="C1268" s="27" t="str">
        <f>IFERROR(VLOOKUP(A1268,القائمة!$A$3:$F$112,3,FALSE),"")</f>
        <v/>
      </c>
      <c r="D1268" s="36" t="str">
        <f>IFERROR(VLOOKUP(A1268,القائمة!$A$3:$F$112,4,FALSE),"")</f>
        <v/>
      </c>
      <c r="E1268" s="36" t="str">
        <f>IFERROR(VLOOKUP(A1268,القائمة!$A$3:$F$112,5,FALSE),"")</f>
        <v/>
      </c>
      <c r="F1268" s="37" t="str">
        <f>IFERROR(VLOOKUP(A1268,القائمة!$A$3:$F$112,6,FALSE),"")</f>
        <v/>
      </c>
      <c r="P1268" s="27">
        <f t="shared" si="41"/>
        <v>0</v>
      </c>
      <c r="Q1268" s="27">
        <f t="shared" si="40"/>
        <v>0</v>
      </c>
    </row>
    <row r="1269" spans="2:17" x14ac:dyDescent="0.45">
      <c r="B1269" s="27" t="str">
        <f>IFERROR(VLOOKUP(A1269,القائمة!$A$3:$F$112,2,FALSE),"")</f>
        <v/>
      </c>
      <c r="C1269" s="27" t="str">
        <f>IFERROR(VLOOKUP(A1269,القائمة!$A$3:$F$112,3,FALSE),"")</f>
        <v/>
      </c>
      <c r="D1269" s="36" t="str">
        <f>IFERROR(VLOOKUP(A1269,القائمة!$A$3:$F$112,4,FALSE),"")</f>
        <v/>
      </c>
      <c r="E1269" s="36" t="str">
        <f>IFERROR(VLOOKUP(A1269,القائمة!$A$3:$F$112,5,FALSE),"")</f>
        <v/>
      </c>
      <c r="F1269" s="37" t="str">
        <f>IFERROR(VLOOKUP(A1269,القائمة!$A$3:$F$112,6,FALSE),"")</f>
        <v/>
      </c>
      <c r="P1269" s="27">
        <f t="shared" si="41"/>
        <v>0</v>
      </c>
      <c r="Q1269" s="27">
        <f t="shared" si="40"/>
        <v>0</v>
      </c>
    </row>
    <row r="1270" spans="2:17" x14ac:dyDescent="0.45">
      <c r="B1270" s="27" t="str">
        <f>IFERROR(VLOOKUP(A1270,القائمة!$A$3:$F$112,2,FALSE),"")</f>
        <v/>
      </c>
      <c r="C1270" s="27" t="str">
        <f>IFERROR(VLOOKUP(A1270,القائمة!$A$3:$F$112,3,FALSE),"")</f>
        <v/>
      </c>
      <c r="D1270" s="36" t="str">
        <f>IFERROR(VLOOKUP(A1270,القائمة!$A$3:$F$112,4,FALSE),"")</f>
        <v/>
      </c>
      <c r="E1270" s="36" t="str">
        <f>IFERROR(VLOOKUP(A1270,القائمة!$A$3:$F$112,5,FALSE),"")</f>
        <v/>
      </c>
      <c r="F1270" s="37" t="str">
        <f>IFERROR(VLOOKUP(A1270,القائمة!$A$3:$F$112,6,FALSE),"")</f>
        <v/>
      </c>
      <c r="P1270" s="27">
        <f t="shared" si="41"/>
        <v>0</v>
      </c>
      <c r="Q1270" s="27">
        <f t="shared" si="40"/>
        <v>0</v>
      </c>
    </row>
    <row r="1271" spans="2:17" x14ac:dyDescent="0.45">
      <c r="B1271" s="27" t="str">
        <f>IFERROR(VLOOKUP(A1271,القائمة!$A$3:$F$112,2,FALSE),"")</f>
        <v/>
      </c>
      <c r="C1271" s="27" t="str">
        <f>IFERROR(VLOOKUP(A1271,القائمة!$A$3:$F$112,3,FALSE),"")</f>
        <v/>
      </c>
      <c r="D1271" s="36" t="str">
        <f>IFERROR(VLOOKUP(A1271,القائمة!$A$3:$F$112,4,FALSE),"")</f>
        <v/>
      </c>
      <c r="E1271" s="36" t="str">
        <f>IFERROR(VLOOKUP(A1271,القائمة!$A$3:$F$112,5,FALSE),"")</f>
        <v/>
      </c>
      <c r="F1271" s="37" t="str">
        <f>IFERROR(VLOOKUP(A1271,القائمة!$A$3:$F$112,6,FALSE),"")</f>
        <v/>
      </c>
      <c r="P1271" s="27">
        <f t="shared" si="41"/>
        <v>0</v>
      </c>
      <c r="Q1271" s="27">
        <f t="shared" si="40"/>
        <v>0</v>
      </c>
    </row>
    <row r="1272" spans="2:17" x14ac:dyDescent="0.45">
      <c r="B1272" s="27" t="str">
        <f>IFERROR(VLOOKUP(A1272,القائمة!$A$3:$F$112,2,FALSE),"")</f>
        <v/>
      </c>
      <c r="C1272" s="27" t="str">
        <f>IFERROR(VLOOKUP(A1272,القائمة!$A$3:$F$112,3,FALSE),"")</f>
        <v/>
      </c>
      <c r="D1272" s="36" t="str">
        <f>IFERROR(VLOOKUP(A1272,القائمة!$A$3:$F$112,4,FALSE),"")</f>
        <v/>
      </c>
      <c r="E1272" s="36" t="str">
        <f>IFERROR(VLOOKUP(A1272,القائمة!$A$3:$F$112,5,FALSE),"")</f>
        <v/>
      </c>
      <c r="F1272" s="37" t="str">
        <f>IFERROR(VLOOKUP(A1272,القائمة!$A$3:$F$112,6,FALSE),"")</f>
        <v/>
      </c>
      <c r="P1272" s="27">
        <f t="shared" si="41"/>
        <v>0</v>
      </c>
      <c r="Q1272" s="27">
        <f t="shared" si="40"/>
        <v>0</v>
      </c>
    </row>
    <row r="1273" spans="2:17" x14ac:dyDescent="0.45">
      <c r="B1273" s="27" t="str">
        <f>IFERROR(VLOOKUP(A1273,القائمة!$A$3:$F$112,2,FALSE),"")</f>
        <v/>
      </c>
      <c r="C1273" s="27" t="str">
        <f>IFERROR(VLOOKUP(A1273,القائمة!$A$3:$F$112,3,FALSE),"")</f>
        <v/>
      </c>
      <c r="D1273" s="36" t="str">
        <f>IFERROR(VLOOKUP(A1273,القائمة!$A$3:$F$112,4,FALSE),"")</f>
        <v/>
      </c>
      <c r="E1273" s="36" t="str">
        <f>IFERROR(VLOOKUP(A1273,القائمة!$A$3:$F$112,5,FALSE),"")</f>
        <v/>
      </c>
      <c r="F1273" s="37" t="str">
        <f>IFERROR(VLOOKUP(A1273,القائمة!$A$3:$F$112,6,FALSE),"")</f>
        <v/>
      </c>
      <c r="P1273" s="27">
        <f t="shared" si="41"/>
        <v>0</v>
      </c>
      <c r="Q1273" s="27">
        <f t="shared" si="40"/>
        <v>0</v>
      </c>
    </row>
    <row r="1274" spans="2:17" x14ac:dyDescent="0.45">
      <c r="B1274" s="27" t="str">
        <f>IFERROR(VLOOKUP(A1274,القائمة!$A$3:$F$112,2,FALSE),"")</f>
        <v/>
      </c>
      <c r="C1274" s="27" t="str">
        <f>IFERROR(VLOOKUP(A1274,القائمة!$A$3:$F$112,3,FALSE),"")</f>
        <v/>
      </c>
      <c r="D1274" s="36" t="str">
        <f>IFERROR(VLOOKUP(A1274,القائمة!$A$3:$F$112,4,FALSE),"")</f>
        <v/>
      </c>
      <c r="E1274" s="36" t="str">
        <f>IFERROR(VLOOKUP(A1274,القائمة!$A$3:$F$112,5,FALSE),"")</f>
        <v/>
      </c>
      <c r="F1274" s="37" t="str">
        <f>IFERROR(VLOOKUP(A1274,القائمة!$A$3:$F$112,6,FALSE),"")</f>
        <v/>
      </c>
      <c r="P1274" s="27">
        <f t="shared" si="41"/>
        <v>0</v>
      </c>
      <c r="Q1274" s="27">
        <f t="shared" si="40"/>
        <v>0</v>
      </c>
    </row>
    <row r="1275" spans="2:17" x14ac:dyDescent="0.45">
      <c r="B1275" s="27" t="str">
        <f>IFERROR(VLOOKUP(A1275,القائمة!$A$3:$F$112,2,FALSE),"")</f>
        <v/>
      </c>
      <c r="C1275" s="27" t="str">
        <f>IFERROR(VLOOKUP(A1275,القائمة!$A$3:$F$112,3,FALSE),"")</f>
        <v/>
      </c>
      <c r="D1275" s="36" t="str">
        <f>IFERROR(VLOOKUP(A1275,القائمة!$A$3:$F$112,4,FALSE),"")</f>
        <v/>
      </c>
      <c r="E1275" s="36" t="str">
        <f>IFERROR(VLOOKUP(A1275,القائمة!$A$3:$F$112,5,FALSE),"")</f>
        <v/>
      </c>
      <c r="F1275" s="37" t="str">
        <f>IFERROR(VLOOKUP(A1275,القائمة!$A$3:$F$112,6,FALSE),"")</f>
        <v/>
      </c>
      <c r="P1275" s="27">
        <f t="shared" si="41"/>
        <v>0</v>
      </c>
      <c r="Q1275" s="27">
        <f t="shared" si="40"/>
        <v>0</v>
      </c>
    </row>
    <row r="1276" spans="2:17" x14ac:dyDescent="0.45">
      <c r="B1276" s="27" t="str">
        <f>IFERROR(VLOOKUP(A1276,القائمة!$A$3:$F$112,2,FALSE),"")</f>
        <v/>
      </c>
      <c r="C1276" s="27" t="str">
        <f>IFERROR(VLOOKUP(A1276,القائمة!$A$3:$F$112,3,FALSE),"")</f>
        <v/>
      </c>
      <c r="D1276" s="36" t="str">
        <f>IFERROR(VLOOKUP(A1276,القائمة!$A$3:$F$112,4,FALSE),"")</f>
        <v/>
      </c>
      <c r="E1276" s="36" t="str">
        <f>IFERROR(VLOOKUP(A1276,القائمة!$A$3:$F$112,5,FALSE),"")</f>
        <v/>
      </c>
      <c r="F1276" s="37" t="str">
        <f>IFERROR(VLOOKUP(A1276,القائمة!$A$3:$F$112,6,FALSE),"")</f>
        <v/>
      </c>
      <c r="P1276" s="27">
        <f t="shared" si="41"/>
        <v>0</v>
      </c>
      <c r="Q1276" s="27">
        <f t="shared" si="40"/>
        <v>0</v>
      </c>
    </row>
    <row r="1277" spans="2:17" x14ac:dyDescent="0.45">
      <c r="B1277" s="27" t="str">
        <f>IFERROR(VLOOKUP(A1277,القائمة!$A$3:$F$112,2,FALSE),"")</f>
        <v/>
      </c>
      <c r="C1277" s="27" t="str">
        <f>IFERROR(VLOOKUP(A1277,القائمة!$A$3:$F$112,3,FALSE),"")</f>
        <v/>
      </c>
      <c r="D1277" s="36" t="str">
        <f>IFERROR(VLOOKUP(A1277,القائمة!$A$3:$F$112,4,FALSE),"")</f>
        <v/>
      </c>
      <c r="E1277" s="36" t="str">
        <f>IFERROR(VLOOKUP(A1277,القائمة!$A$3:$F$112,5,FALSE),"")</f>
        <v/>
      </c>
      <c r="F1277" s="37" t="str">
        <f>IFERROR(VLOOKUP(A1277,القائمة!$A$3:$F$112,6,FALSE),"")</f>
        <v/>
      </c>
      <c r="P1277" s="27">
        <f t="shared" si="41"/>
        <v>0</v>
      </c>
      <c r="Q1277" s="27">
        <f t="shared" si="40"/>
        <v>0</v>
      </c>
    </row>
    <row r="1278" spans="2:17" x14ac:dyDescent="0.45">
      <c r="B1278" s="27" t="str">
        <f>IFERROR(VLOOKUP(A1278,القائمة!$A$3:$F$112,2,FALSE),"")</f>
        <v/>
      </c>
      <c r="C1278" s="27" t="str">
        <f>IFERROR(VLOOKUP(A1278,القائمة!$A$3:$F$112,3,FALSE),"")</f>
        <v/>
      </c>
      <c r="D1278" s="36" t="str">
        <f>IFERROR(VLOOKUP(A1278,القائمة!$A$3:$F$112,4,FALSE),"")</f>
        <v/>
      </c>
      <c r="E1278" s="36" t="str">
        <f>IFERROR(VLOOKUP(A1278,القائمة!$A$3:$F$112,5,FALSE),"")</f>
        <v/>
      </c>
      <c r="F1278" s="37" t="str">
        <f>IFERROR(VLOOKUP(A1278,القائمة!$A$3:$F$112,6,FALSE),"")</f>
        <v/>
      </c>
      <c r="P1278" s="27">
        <f t="shared" si="41"/>
        <v>0</v>
      </c>
      <c r="Q1278" s="27">
        <f t="shared" si="40"/>
        <v>0</v>
      </c>
    </row>
    <row r="1279" spans="2:17" x14ac:dyDescent="0.45">
      <c r="B1279" s="27" t="str">
        <f>IFERROR(VLOOKUP(A1279,القائمة!$A$3:$F$112,2,FALSE),"")</f>
        <v/>
      </c>
      <c r="C1279" s="27" t="str">
        <f>IFERROR(VLOOKUP(A1279,القائمة!$A$3:$F$112,3,FALSE),"")</f>
        <v/>
      </c>
      <c r="D1279" s="36" t="str">
        <f>IFERROR(VLOOKUP(A1279,القائمة!$A$3:$F$112,4,FALSE),"")</f>
        <v/>
      </c>
      <c r="E1279" s="36" t="str">
        <f>IFERROR(VLOOKUP(A1279,القائمة!$A$3:$F$112,5,FALSE),"")</f>
        <v/>
      </c>
      <c r="F1279" s="37" t="str">
        <f>IFERROR(VLOOKUP(A1279,القائمة!$A$3:$F$112,6,FALSE),"")</f>
        <v/>
      </c>
      <c r="P1279" s="27">
        <f t="shared" si="41"/>
        <v>0</v>
      </c>
      <c r="Q1279" s="27">
        <f t="shared" si="40"/>
        <v>0</v>
      </c>
    </row>
    <row r="1280" spans="2:17" x14ac:dyDescent="0.45">
      <c r="B1280" s="27" t="str">
        <f>IFERROR(VLOOKUP(A1280,القائمة!$A$3:$F$112,2,FALSE),"")</f>
        <v/>
      </c>
      <c r="C1280" s="27" t="str">
        <f>IFERROR(VLOOKUP(A1280,القائمة!$A$3:$F$112,3,FALSE),"")</f>
        <v/>
      </c>
      <c r="D1280" s="36" t="str">
        <f>IFERROR(VLOOKUP(A1280,القائمة!$A$3:$F$112,4,FALSE),"")</f>
        <v/>
      </c>
      <c r="E1280" s="36" t="str">
        <f>IFERROR(VLOOKUP(A1280,القائمة!$A$3:$F$112,5,FALSE),"")</f>
        <v/>
      </c>
      <c r="F1280" s="37" t="str">
        <f>IFERROR(VLOOKUP(A1280,القائمة!$A$3:$F$112,6,FALSE),"")</f>
        <v/>
      </c>
      <c r="P1280" s="27">
        <f t="shared" si="41"/>
        <v>0</v>
      </c>
      <c r="Q1280" s="27">
        <f t="shared" si="40"/>
        <v>0</v>
      </c>
    </row>
    <row r="1281" spans="2:17" x14ac:dyDescent="0.45">
      <c r="B1281" s="27" t="str">
        <f>IFERROR(VLOOKUP(A1281,القائمة!$A$3:$F$112,2,FALSE),"")</f>
        <v/>
      </c>
      <c r="C1281" s="27" t="str">
        <f>IFERROR(VLOOKUP(A1281,القائمة!$A$3:$F$112,3,FALSE),"")</f>
        <v/>
      </c>
      <c r="D1281" s="36" t="str">
        <f>IFERROR(VLOOKUP(A1281,القائمة!$A$3:$F$112,4,FALSE),"")</f>
        <v/>
      </c>
      <c r="E1281" s="36" t="str">
        <f>IFERROR(VLOOKUP(A1281,القائمة!$A$3:$F$112,5,FALSE),"")</f>
        <v/>
      </c>
      <c r="F1281" s="37" t="str">
        <f>IFERROR(VLOOKUP(A1281,القائمة!$A$3:$F$112,6,FALSE),"")</f>
        <v/>
      </c>
      <c r="P1281" s="27">
        <f t="shared" si="41"/>
        <v>0</v>
      </c>
      <c r="Q1281" s="27">
        <f t="shared" si="40"/>
        <v>0</v>
      </c>
    </row>
    <row r="1282" spans="2:17" x14ac:dyDescent="0.45">
      <c r="B1282" s="27" t="str">
        <f>IFERROR(VLOOKUP(A1282,القائمة!$A$3:$F$112,2,FALSE),"")</f>
        <v/>
      </c>
      <c r="C1282" s="27" t="str">
        <f>IFERROR(VLOOKUP(A1282,القائمة!$A$3:$F$112,3,FALSE),"")</f>
        <v/>
      </c>
      <c r="D1282" s="36" t="str">
        <f>IFERROR(VLOOKUP(A1282,القائمة!$A$3:$F$112,4,FALSE),"")</f>
        <v/>
      </c>
      <c r="E1282" s="36" t="str">
        <f>IFERROR(VLOOKUP(A1282,القائمة!$A$3:$F$112,5,FALSE),"")</f>
        <v/>
      </c>
      <c r="F1282" s="37" t="str">
        <f>IFERROR(VLOOKUP(A1282,القائمة!$A$3:$F$112,6,FALSE),"")</f>
        <v/>
      </c>
      <c r="P1282" s="27">
        <f t="shared" si="41"/>
        <v>0</v>
      </c>
      <c r="Q1282" s="27">
        <f t="shared" si="40"/>
        <v>0</v>
      </c>
    </row>
    <row r="1283" spans="2:17" x14ac:dyDescent="0.45">
      <c r="B1283" s="27" t="str">
        <f>IFERROR(VLOOKUP(A1283,القائمة!$A$3:$F$112,2,FALSE),"")</f>
        <v/>
      </c>
      <c r="C1283" s="27" t="str">
        <f>IFERROR(VLOOKUP(A1283,القائمة!$A$3:$F$112,3,FALSE),"")</f>
        <v/>
      </c>
      <c r="D1283" s="36" t="str">
        <f>IFERROR(VLOOKUP(A1283,القائمة!$A$3:$F$112,4,FALSE),"")</f>
        <v/>
      </c>
      <c r="E1283" s="36" t="str">
        <f>IFERROR(VLOOKUP(A1283,القائمة!$A$3:$F$112,5,FALSE),"")</f>
        <v/>
      </c>
      <c r="F1283" s="37" t="str">
        <f>IFERROR(VLOOKUP(A1283,القائمة!$A$3:$F$112,6,FALSE),"")</f>
        <v/>
      </c>
      <c r="P1283" s="27">
        <f t="shared" si="41"/>
        <v>0</v>
      </c>
      <c r="Q1283" s="27">
        <f t="shared" ref="Q1283:Q1346" si="42">+P1283+L1283-M1283</f>
        <v>0</v>
      </c>
    </row>
    <row r="1284" spans="2:17" x14ac:dyDescent="0.45">
      <c r="B1284" s="27" t="str">
        <f>IFERROR(VLOOKUP(A1284,القائمة!$A$3:$F$112,2,FALSE),"")</f>
        <v/>
      </c>
      <c r="C1284" s="27" t="str">
        <f>IFERROR(VLOOKUP(A1284,القائمة!$A$3:$F$112,3,FALSE),"")</f>
        <v/>
      </c>
      <c r="D1284" s="36" t="str">
        <f>IFERROR(VLOOKUP(A1284,القائمة!$A$3:$F$112,4,FALSE),"")</f>
        <v/>
      </c>
      <c r="E1284" s="36" t="str">
        <f>IFERROR(VLOOKUP(A1284,القائمة!$A$3:$F$112,5,FALSE),"")</f>
        <v/>
      </c>
      <c r="F1284" s="37" t="str">
        <f>IFERROR(VLOOKUP(A1284,القائمة!$A$3:$F$112,6,FALSE),"")</f>
        <v/>
      </c>
      <c r="P1284" s="27">
        <f t="shared" ref="P1284:P1347" si="43">J1284-K1284</f>
        <v>0</v>
      </c>
      <c r="Q1284" s="27">
        <f t="shared" si="42"/>
        <v>0</v>
      </c>
    </row>
    <row r="1285" spans="2:17" x14ac:dyDescent="0.45">
      <c r="B1285" s="27" t="str">
        <f>IFERROR(VLOOKUP(A1285,القائمة!$A$3:$F$112,2,FALSE),"")</f>
        <v/>
      </c>
      <c r="C1285" s="27" t="str">
        <f>IFERROR(VLOOKUP(A1285,القائمة!$A$3:$F$112,3,FALSE),"")</f>
        <v/>
      </c>
      <c r="D1285" s="36" t="str">
        <f>IFERROR(VLOOKUP(A1285,القائمة!$A$3:$F$112,4,FALSE),"")</f>
        <v/>
      </c>
      <c r="E1285" s="36" t="str">
        <f>IFERROR(VLOOKUP(A1285,القائمة!$A$3:$F$112,5,FALSE),"")</f>
        <v/>
      </c>
      <c r="F1285" s="37" t="str">
        <f>IFERROR(VLOOKUP(A1285,القائمة!$A$3:$F$112,6,FALSE),"")</f>
        <v/>
      </c>
      <c r="P1285" s="27">
        <f t="shared" si="43"/>
        <v>0</v>
      </c>
      <c r="Q1285" s="27">
        <f t="shared" si="42"/>
        <v>0</v>
      </c>
    </row>
    <row r="1286" spans="2:17" x14ac:dyDescent="0.45">
      <c r="B1286" s="27" t="str">
        <f>IFERROR(VLOOKUP(A1286,القائمة!$A$3:$F$112,2,FALSE),"")</f>
        <v/>
      </c>
      <c r="C1286" s="27" t="str">
        <f>IFERROR(VLOOKUP(A1286,القائمة!$A$3:$F$112,3,FALSE),"")</f>
        <v/>
      </c>
      <c r="D1286" s="36" t="str">
        <f>IFERROR(VLOOKUP(A1286,القائمة!$A$3:$F$112,4,FALSE),"")</f>
        <v/>
      </c>
      <c r="E1286" s="36" t="str">
        <f>IFERROR(VLOOKUP(A1286,القائمة!$A$3:$F$112,5,FALSE),"")</f>
        <v/>
      </c>
      <c r="F1286" s="37" t="str">
        <f>IFERROR(VLOOKUP(A1286,القائمة!$A$3:$F$112,6,FALSE),"")</f>
        <v/>
      </c>
      <c r="P1286" s="27">
        <f t="shared" si="43"/>
        <v>0</v>
      </c>
      <c r="Q1286" s="27">
        <f t="shared" si="42"/>
        <v>0</v>
      </c>
    </row>
    <row r="1287" spans="2:17" x14ac:dyDescent="0.45">
      <c r="B1287" s="27" t="str">
        <f>IFERROR(VLOOKUP(A1287,القائمة!$A$3:$F$112,2,FALSE),"")</f>
        <v/>
      </c>
      <c r="C1287" s="27" t="str">
        <f>IFERROR(VLOOKUP(A1287,القائمة!$A$3:$F$112,3,FALSE),"")</f>
        <v/>
      </c>
      <c r="D1287" s="36" t="str">
        <f>IFERROR(VLOOKUP(A1287,القائمة!$A$3:$F$112,4,FALSE),"")</f>
        <v/>
      </c>
      <c r="E1287" s="36" t="str">
        <f>IFERROR(VLOOKUP(A1287,القائمة!$A$3:$F$112,5,FALSE),"")</f>
        <v/>
      </c>
      <c r="F1287" s="37" t="str">
        <f>IFERROR(VLOOKUP(A1287,القائمة!$A$3:$F$112,6,FALSE),"")</f>
        <v/>
      </c>
      <c r="P1287" s="27">
        <f t="shared" si="43"/>
        <v>0</v>
      </c>
      <c r="Q1287" s="27">
        <f t="shared" si="42"/>
        <v>0</v>
      </c>
    </row>
    <row r="1288" spans="2:17" x14ac:dyDescent="0.45">
      <c r="B1288" s="27" t="str">
        <f>IFERROR(VLOOKUP(A1288,القائمة!$A$3:$F$112,2,FALSE),"")</f>
        <v/>
      </c>
      <c r="C1288" s="27" t="str">
        <f>IFERROR(VLOOKUP(A1288,القائمة!$A$3:$F$112,3,FALSE),"")</f>
        <v/>
      </c>
      <c r="D1288" s="36" t="str">
        <f>IFERROR(VLOOKUP(A1288,القائمة!$A$3:$F$112,4,FALSE),"")</f>
        <v/>
      </c>
      <c r="E1288" s="36" t="str">
        <f>IFERROR(VLOOKUP(A1288,القائمة!$A$3:$F$112,5,FALSE),"")</f>
        <v/>
      </c>
      <c r="F1288" s="37" t="str">
        <f>IFERROR(VLOOKUP(A1288,القائمة!$A$3:$F$112,6,FALSE),"")</f>
        <v/>
      </c>
      <c r="P1288" s="27">
        <f t="shared" si="43"/>
        <v>0</v>
      </c>
      <c r="Q1288" s="27">
        <f t="shared" si="42"/>
        <v>0</v>
      </c>
    </row>
    <row r="1289" spans="2:17" x14ac:dyDescent="0.45">
      <c r="B1289" s="27" t="str">
        <f>IFERROR(VLOOKUP(A1289,القائمة!$A$3:$F$112,2,FALSE),"")</f>
        <v/>
      </c>
      <c r="C1289" s="27" t="str">
        <f>IFERROR(VLOOKUP(A1289,القائمة!$A$3:$F$112,3,FALSE),"")</f>
        <v/>
      </c>
      <c r="D1289" s="36" t="str">
        <f>IFERROR(VLOOKUP(A1289,القائمة!$A$3:$F$112,4,FALSE),"")</f>
        <v/>
      </c>
      <c r="E1289" s="36" t="str">
        <f>IFERROR(VLOOKUP(A1289,القائمة!$A$3:$F$112,5,FALSE),"")</f>
        <v/>
      </c>
      <c r="F1289" s="37" t="str">
        <f>IFERROR(VLOOKUP(A1289,القائمة!$A$3:$F$112,6,FALSE),"")</f>
        <v/>
      </c>
      <c r="P1289" s="27">
        <f t="shared" si="43"/>
        <v>0</v>
      </c>
      <c r="Q1289" s="27">
        <f t="shared" si="42"/>
        <v>0</v>
      </c>
    </row>
    <row r="1290" spans="2:17" x14ac:dyDescent="0.45">
      <c r="B1290" s="27" t="str">
        <f>IFERROR(VLOOKUP(A1290,القائمة!$A$3:$F$112,2,FALSE),"")</f>
        <v/>
      </c>
      <c r="C1290" s="27" t="str">
        <f>IFERROR(VLOOKUP(A1290,القائمة!$A$3:$F$112,3,FALSE),"")</f>
        <v/>
      </c>
      <c r="D1290" s="36" t="str">
        <f>IFERROR(VLOOKUP(A1290,القائمة!$A$3:$F$112,4,FALSE),"")</f>
        <v/>
      </c>
      <c r="E1290" s="36" t="str">
        <f>IFERROR(VLOOKUP(A1290,القائمة!$A$3:$F$112,5,FALSE),"")</f>
        <v/>
      </c>
      <c r="F1290" s="37" t="str">
        <f>IFERROR(VLOOKUP(A1290,القائمة!$A$3:$F$112,6,FALSE),"")</f>
        <v/>
      </c>
      <c r="P1290" s="27">
        <f t="shared" si="43"/>
        <v>0</v>
      </c>
      <c r="Q1290" s="27">
        <f t="shared" si="42"/>
        <v>0</v>
      </c>
    </row>
    <row r="1291" spans="2:17" x14ac:dyDescent="0.45">
      <c r="B1291" s="27" t="str">
        <f>IFERROR(VLOOKUP(A1291,القائمة!$A$3:$F$112,2,FALSE),"")</f>
        <v/>
      </c>
      <c r="C1291" s="27" t="str">
        <f>IFERROR(VLOOKUP(A1291,القائمة!$A$3:$F$112,3,FALSE),"")</f>
        <v/>
      </c>
      <c r="D1291" s="36" t="str">
        <f>IFERROR(VLOOKUP(A1291,القائمة!$A$3:$F$112,4,FALSE),"")</f>
        <v/>
      </c>
      <c r="E1291" s="36" t="str">
        <f>IFERROR(VLOOKUP(A1291,القائمة!$A$3:$F$112,5,FALSE),"")</f>
        <v/>
      </c>
      <c r="F1291" s="37" t="str">
        <f>IFERROR(VLOOKUP(A1291,القائمة!$A$3:$F$112,6,FALSE),"")</f>
        <v/>
      </c>
      <c r="P1291" s="27">
        <f t="shared" si="43"/>
        <v>0</v>
      </c>
      <c r="Q1291" s="27">
        <f t="shared" si="42"/>
        <v>0</v>
      </c>
    </row>
    <row r="1292" spans="2:17" x14ac:dyDescent="0.45">
      <c r="B1292" s="27" t="str">
        <f>IFERROR(VLOOKUP(A1292,القائمة!$A$3:$F$112,2,FALSE),"")</f>
        <v/>
      </c>
      <c r="C1292" s="27" t="str">
        <f>IFERROR(VLOOKUP(A1292,القائمة!$A$3:$F$112,3,FALSE),"")</f>
        <v/>
      </c>
      <c r="D1292" s="36" t="str">
        <f>IFERROR(VLOOKUP(A1292,القائمة!$A$3:$F$112,4,FALSE),"")</f>
        <v/>
      </c>
      <c r="E1292" s="36" t="str">
        <f>IFERROR(VLOOKUP(A1292,القائمة!$A$3:$F$112,5,FALSE),"")</f>
        <v/>
      </c>
      <c r="F1292" s="37" t="str">
        <f>IFERROR(VLOOKUP(A1292,القائمة!$A$3:$F$112,6,FALSE),"")</f>
        <v/>
      </c>
      <c r="P1292" s="27">
        <f t="shared" si="43"/>
        <v>0</v>
      </c>
      <c r="Q1292" s="27">
        <f t="shared" si="42"/>
        <v>0</v>
      </c>
    </row>
    <row r="1293" spans="2:17" x14ac:dyDescent="0.45">
      <c r="B1293" s="27" t="str">
        <f>IFERROR(VLOOKUP(A1293,القائمة!$A$3:$F$112,2,FALSE),"")</f>
        <v/>
      </c>
      <c r="C1293" s="27" t="str">
        <f>IFERROR(VLOOKUP(A1293,القائمة!$A$3:$F$112,3,FALSE),"")</f>
        <v/>
      </c>
      <c r="D1293" s="36" t="str">
        <f>IFERROR(VLOOKUP(A1293,القائمة!$A$3:$F$112,4,FALSE),"")</f>
        <v/>
      </c>
      <c r="E1293" s="36" t="str">
        <f>IFERROR(VLOOKUP(A1293,القائمة!$A$3:$F$112,5,FALSE),"")</f>
        <v/>
      </c>
      <c r="F1293" s="37" t="str">
        <f>IFERROR(VLOOKUP(A1293,القائمة!$A$3:$F$112,6,FALSE),"")</f>
        <v/>
      </c>
      <c r="P1293" s="27">
        <f t="shared" si="43"/>
        <v>0</v>
      </c>
      <c r="Q1293" s="27">
        <f t="shared" si="42"/>
        <v>0</v>
      </c>
    </row>
    <row r="1294" spans="2:17" x14ac:dyDescent="0.45">
      <c r="B1294" s="27" t="str">
        <f>IFERROR(VLOOKUP(A1294,القائمة!$A$3:$F$112,2,FALSE),"")</f>
        <v/>
      </c>
      <c r="C1294" s="27" t="str">
        <f>IFERROR(VLOOKUP(A1294,القائمة!$A$3:$F$112,3,FALSE),"")</f>
        <v/>
      </c>
      <c r="D1294" s="36" t="str">
        <f>IFERROR(VLOOKUP(A1294,القائمة!$A$3:$F$112,4,FALSE),"")</f>
        <v/>
      </c>
      <c r="E1294" s="36" t="str">
        <f>IFERROR(VLOOKUP(A1294,القائمة!$A$3:$F$112,5,FALSE),"")</f>
        <v/>
      </c>
      <c r="F1294" s="37" t="str">
        <f>IFERROR(VLOOKUP(A1294,القائمة!$A$3:$F$112,6,FALSE),"")</f>
        <v/>
      </c>
      <c r="P1294" s="27">
        <f t="shared" si="43"/>
        <v>0</v>
      </c>
      <c r="Q1294" s="27">
        <f t="shared" si="42"/>
        <v>0</v>
      </c>
    </row>
    <row r="1295" spans="2:17" x14ac:dyDescent="0.45">
      <c r="B1295" s="27" t="str">
        <f>IFERROR(VLOOKUP(A1295,القائمة!$A$3:$F$112,2,FALSE),"")</f>
        <v/>
      </c>
      <c r="C1295" s="27" t="str">
        <f>IFERROR(VLOOKUP(A1295,القائمة!$A$3:$F$112,3,FALSE),"")</f>
        <v/>
      </c>
      <c r="D1295" s="36" t="str">
        <f>IFERROR(VLOOKUP(A1295,القائمة!$A$3:$F$112,4,FALSE),"")</f>
        <v/>
      </c>
      <c r="E1295" s="36" t="str">
        <f>IFERROR(VLOOKUP(A1295,القائمة!$A$3:$F$112,5,FALSE),"")</f>
        <v/>
      </c>
      <c r="F1295" s="37" t="str">
        <f>IFERROR(VLOOKUP(A1295,القائمة!$A$3:$F$112,6,FALSE),"")</f>
        <v/>
      </c>
      <c r="P1295" s="27">
        <f t="shared" si="43"/>
        <v>0</v>
      </c>
      <c r="Q1295" s="27">
        <f t="shared" si="42"/>
        <v>0</v>
      </c>
    </row>
    <row r="1296" spans="2:17" x14ac:dyDescent="0.45">
      <c r="B1296" s="27" t="str">
        <f>IFERROR(VLOOKUP(A1296,القائمة!$A$3:$F$112,2,FALSE),"")</f>
        <v/>
      </c>
      <c r="C1296" s="27" t="str">
        <f>IFERROR(VLOOKUP(A1296,القائمة!$A$3:$F$112,3,FALSE),"")</f>
        <v/>
      </c>
      <c r="D1296" s="36" t="str">
        <f>IFERROR(VLOOKUP(A1296,القائمة!$A$3:$F$112,4,FALSE),"")</f>
        <v/>
      </c>
      <c r="E1296" s="36" t="str">
        <f>IFERROR(VLOOKUP(A1296,القائمة!$A$3:$F$112,5,FALSE),"")</f>
        <v/>
      </c>
      <c r="F1296" s="37" t="str">
        <f>IFERROR(VLOOKUP(A1296,القائمة!$A$3:$F$112,6,FALSE),"")</f>
        <v/>
      </c>
      <c r="P1296" s="27">
        <f t="shared" si="43"/>
        <v>0</v>
      </c>
      <c r="Q1296" s="27">
        <f t="shared" si="42"/>
        <v>0</v>
      </c>
    </row>
    <row r="1297" spans="2:17" x14ac:dyDescent="0.45">
      <c r="B1297" s="27" t="str">
        <f>IFERROR(VLOOKUP(A1297,القائمة!$A$3:$F$112,2,FALSE),"")</f>
        <v/>
      </c>
      <c r="C1297" s="27" t="str">
        <f>IFERROR(VLOOKUP(A1297,القائمة!$A$3:$F$112,3,FALSE),"")</f>
        <v/>
      </c>
      <c r="D1297" s="36" t="str">
        <f>IFERROR(VLOOKUP(A1297,القائمة!$A$3:$F$112,4,FALSE),"")</f>
        <v/>
      </c>
      <c r="E1297" s="36" t="str">
        <f>IFERROR(VLOOKUP(A1297,القائمة!$A$3:$F$112,5,FALSE),"")</f>
        <v/>
      </c>
      <c r="F1297" s="37" t="str">
        <f>IFERROR(VLOOKUP(A1297,القائمة!$A$3:$F$112,6,FALSE),"")</f>
        <v/>
      </c>
      <c r="P1297" s="27">
        <f t="shared" si="43"/>
        <v>0</v>
      </c>
      <c r="Q1297" s="27">
        <f t="shared" si="42"/>
        <v>0</v>
      </c>
    </row>
    <row r="1298" spans="2:17" x14ac:dyDescent="0.45">
      <c r="B1298" s="27" t="str">
        <f>IFERROR(VLOOKUP(A1298,القائمة!$A$3:$F$112,2,FALSE),"")</f>
        <v/>
      </c>
      <c r="C1298" s="27" t="str">
        <f>IFERROR(VLOOKUP(A1298,القائمة!$A$3:$F$112,3,FALSE),"")</f>
        <v/>
      </c>
      <c r="D1298" s="36" t="str">
        <f>IFERROR(VLOOKUP(A1298,القائمة!$A$3:$F$112,4,FALSE),"")</f>
        <v/>
      </c>
      <c r="E1298" s="36" t="str">
        <f>IFERROR(VLOOKUP(A1298,القائمة!$A$3:$F$112,5,FALSE),"")</f>
        <v/>
      </c>
      <c r="F1298" s="37" t="str">
        <f>IFERROR(VLOOKUP(A1298,القائمة!$A$3:$F$112,6,FALSE),"")</f>
        <v/>
      </c>
      <c r="P1298" s="27">
        <f t="shared" si="43"/>
        <v>0</v>
      </c>
      <c r="Q1298" s="27">
        <f t="shared" si="42"/>
        <v>0</v>
      </c>
    </row>
    <row r="1299" spans="2:17" x14ac:dyDescent="0.45">
      <c r="B1299" s="27" t="str">
        <f>IFERROR(VLOOKUP(A1299,القائمة!$A$3:$F$112,2,FALSE),"")</f>
        <v/>
      </c>
      <c r="C1299" s="27" t="str">
        <f>IFERROR(VLOOKUP(A1299,القائمة!$A$3:$F$112,3,FALSE),"")</f>
        <v/>
      </c>
      <c r="D1299" s="36" t="str">
        <f>IFERROR(VLOOKUP(A1299,القائمة!$A$3:$F$112,4,FALSE),"")</f>
        <v/>
      </c>
      <c r="E1299" s="36" t="str">
        <f>IFERROR(VLOOKUP(A1299,القائمة!$A$3:$F$112,5,FALSE),"")</f>
        <v/>
      </c>
      <c r="F1299" s="37" t="str">
        <f>IFERROR(VLOOKUP(A1299,القائمة!$A$3:$F$112,6,FALSE),"")</f>
        <v/>
      </c>
      <c r="P1299" s="27">
        <f t="shared" si="43"/>
        <v>0</v>
      </c>
      <c r="Q1299" s="27">
        <f t="shared" si="42"/>
        <v>0</v>
      </c>
    </row>
    <row r="1300" spans="2:17" x14ac:dyDescent="0.45">
      <c r="B1300" s="27" t="str">
        <f>IFERROR(VLOOKUP(A1300,القائمة!$A$3:$F$112,2,FALSE),"")</f>
        <v/>
      </c>
      <c r="C1300" s="27" t="str">
        <f>IFERROR(VLOOKUP(A1300,القائمة!$A$3:$F$112,3,FALSE),"")</f>
        <v/>
      </c>
      <c r="D1300" s="36" t="str">
        <f>IFERROR(VLOOKUP(A1300,القائمة!$A$3:$F$112,4,FALSE),"")</f>
        <v/>
      </c>
      <c r="E1300" s="36" t="str">
        <f>IFERROR(VLOOKUP(A1300,القائمة!$A$3:$F$112,5,FALSE),"")</f>
        <v/>
      </c>
      <c r="F1300" s="37" t="str">
        <f>IFERROR(VLOOKUP(A1300,القائمة!$A$3:$F$112,6,FALSE),"")</f>
        <v/>
      </c>
      <c r="P1300" s="27">
        <f t="shared" si="43"/>
        <v>0</v>
      </c>
      <c r="Q1300" s="27">
        <f t="shared" si="42"/>
        <v>0</v>
      </c>
    </row>
    <row r="1301" spans="2:17" x14ac:dyDescent="0.45">
      <c r="B1301" s="27" t="str">
        <f>IFERROR(VLOOKUP(A1301,القائمة!$A$3:$F$112,2,FALSE),"")</f>
        <v/>
      </c>
      <c r="C1301" s="27" t="str">
        <f>IFERROR(VLOOKUP(A1301,القائمة!$A$3:$F$112,3,FALSE),"")</f>
        <v/>
      </c>
      <c r="D1301" s="36" t="str">
        <f>IFERROR(VLOOKUP(A1301,القائمة!$A$3:$F$112,4,FALSE),"")</f>
        <v/>
      </c>
      <c r="E1301" s="36" t="str">
        <f>IFERROR(VLOOKUP(A1301,القائمة!$A$3:$F$112,5,FALSE),"")</f>
        <v/>
      </c>
      <c r="F1301" s="37" t="str">
        <f>IFERROR(VLOOKUP(A1301,القائمة!$A$3:$F$112,6,FALSE),"")</f>
        <v/>
      </c>
      <c r="P1301" s="27">
        <f t="shared" si="43"/>
        <v>0</v>
      </c>
      <c r="Q1301" s="27">
        <f t="shared" si="42"/>
        <v>0</v>
      </c>
    </row>
    <row r="1302" spans="2:17" x14ac:dyDescent="0.45">
      <c r="B1302" s="27" t="str">
        <f>IFERROR(VLOOKUP(A1302,القائمة!$A$3:$F$112,2,FALSE),"")</f>
        <v/>
      </c>
      <c r="C1302" s="27" t="str">
        <f>IFERROR(VLOOKUP(A1302,القائمة!$A$3:$F$112,3,FALSE),"")</f>
        <v/>
      </c>
      <c r="D1302" s="36" t="str">
        <f>IFERROR(VLOOKUP(A1302,القائمة!$A$3:$F$112,4,FALSE),"")</f>
        <v/>
      </c>
      <c r="E1302" s="36" t="str">
        <f>IFERROR(VLOOKUP(A1302,القائمة!$A$3:$F$112,5,FALSE),"")</f>
        <v/>
      </c>
      <c r="F1302" s="37" t="str">
        <f>IFERROR(VLOOKUP(A1302,القائمة!$A$3:$F$112,6,FALSE),"")</f>
        <v/>
      </c>
      <c r="P1302" s="27">
        <f t="shared" si="43"/>
        <v>0</v>
      </c>
      <c r="Q1302" s="27">
        <f t="shared" si="42"/>
        <v>0</v>
      </c>
    </row>
    <row r="1303" spans="2:17" x14ac:dyDescent="0.45">
      <c r="B1303" s="27" t="str">
        <f>IFERROR(VLOOKUP(A1303,القائمة!$A$3:$F$112,2,FALSE),"")</f>
        <v/>
      </c>
      <c r="C1303" s="27" t="str">
        <f>IFERROR(VLOOKUP(A1303,القائمة!$A$3:$F$112,3,FALSE),"")</f>
        <v/>
      </c>
      <c r="D1303" s="36" t="str">
        <f>IFERROR(VLOOKUP(A1303,القائمة!$A$3:$F$112,4,FALSE),"")</f>
        <v/>
      </c>
      <c r="E1303" s="36" t="str">
        <f>IFERROR(VLOOKUP(A1303,القائمة!$A$3:$F$112,5,FALSE),"")</f>
        <v/>
      </c>
      <c r="F1303" s="37" t="str">
        <f>IFERROR(VLOOKUP(A1303,القائمة!$A$3:$F$112,6,FALSE),"")</f>
        <v/>
      </c>
      <c r="P1303" s="27">
        <f t="shared" si="43"/>
        <v>0</v>
      </c>
      <c r="Q1303" s="27">
        <f t="shared" si="42"/>
        <v>0</v>
      </c>
    </row>
    <row r="1304" spans="2:17" x14ac:dyDescent="0.45">
      <c r="B1304" s="27" t="str">
        <f>IFERROR(VLOOKUP(A1304,القائمة!$A$3:$F$112,2,FALSE),"")</f>
        <v/>
      </c>
      <c r="C1304" s="27" t="str">
        <f>IFERROR(VLOOKUP(A1304,القائمة!$A$3:$F$112,3,FALSE),"")</f>
        <v/>
      </c>
      <c r="D1304" s="36" t="str">
        <f>IFERROR(VLOOKUP(A1304,القائمة!$A$3:$F$112,4,FALSE),"")</f>
        <v/>
      </c>
      <c r="E1304" s="36" t="str">
        <f>IFERROR(VLOOKUP(A1304,القائمة!$A$3:$F$112,5,FALSE),"")</f>
        <v/>
      </c>
      <c r="F1304" s="37" t="str">
        <f>IFERROR(VLOOKUP(A1304,القائمة!$A$3:$F$112,6,FALSE),"")</f>
        <v/>
      </c>
      <c r="P1304" s="27">
        <f t="shared" si="43"/>
        <v>0</v>
      </c>
      <c r="Q1304" s="27">
        <f t="shared" si="42"/>
        <v>0</v>
      </c>
    </row>
    <row r="1305" spans="2:17" x14ac:dyDescent="0.45">
      <c r="B1305" s="27" t="str">
        <f>IFERROR(VLOOKUP(A1305,القائمة!$A$3:$F$112,2,FALSE),"")</f>
        <v/>
      </c>
      <c r="C1305" s="27" t="str">
        <f>IFERROR(VLOOKUP(A1305,القائمة!$A$3:$F$112,3,FALSE),"")</f>
        <v/>
      </c>
      <c r="D1305" s="36" t="str">
        <f>IFERROR(VLOOKUP(A1305,القائمة!$A$3:$F$112,4,FALSE),"")</f>
        <v/>
      </c>
      <c r="E1305" s="36" t="str">
        <f>IFERROR(VLOOKUP(A1305,القائمة!$A$3:$F$112,5,FALSE),"")</f>
        <v/>
      </c>
      <c r="F1305" s="37" t="str">
        <f>IFERROR(VLOOKUP(A1305,القائمة!$A$3:$F$112,6,FALSE),"")</f>
        <v/>
      </c>
      <c r="P1305" s="27">
        <f t="shared" si="43"/>
        <v>0</v>
      </c>
      <c r="Q1305" s="27">
        <f t="shared" si="42"/>
        <v>0</v>
      </c>
    </row>
    <row r="1306" spans="2:17" x14ac:dyDescent="0.45">
      <c r="B1306" s="27" t="str">
        <f>IFERROR(VLOOKUP(A1306,القائمة!$A$3:$F$112,2,FALSE),"")</f>
        <v/>
      </c>
      <c r="C1306" s="27" t="str">
        <f>IFERROR(VLOOKUP(A1306,القائمة!$A$3:$F$112,3,FALSE),"")</f>
        <v/>
      </c>
      <c r="D1306" s="36" t="str">
        <f>IFERROR(VLOOKUP(A1306,القائمة!$A$3:$F$112,4,FALSE),"")</f>
        <v/>
      </c>
      <c r="E1306" s="36" t="str">
        <f>IFERROR(VLOOKUP(A1306,القائمة!$A$3:$F$112,5,FALSE),"")</f>
        <v/>
      </c>
      <c r="F1306" s="37" t="str">
        <f>IFERROR(VLOOKUP(A1306,القائمة!$A$3:$F$112,6,FALSE),"")</f>
        <v/>
      </c>
      <c r="P1306" s="27">
        <f t="shared" si="43"/>
        <v>0</v>
      </c>
      <c r="Q1306" s="27">
        <f t="shared" si="42"/>
        <v>0</v>
      </c>
    </row>
    <row r="1307" spans="2:17" x14ac:dyDescent="0.45">
      <c r="B1307" s="27" t="str">
        <f>IFERROR(VLOOKUP(A1307,القائمة!$A$3:$F$112,2,FALSE),"")</f>
        <v/>
      </c>
      <c r="C1307" s="27" t="str">
        <f>IFERROR(VLOOKUP(A1307,القائمة!$A$3:$F$112,3,FALSE),"")</f>
        <v/>
      </c>
      <c r="D1307" s="36" t="str">
        <f>IFERROR(VLOOKUP(A1307,القائمة!$A$3:$F$112,4,FALSE),"")</f>
        <v/>
      </c>
      <c r="E1307" s="36" t="str">
        <f>IFERROR(VLOOKUP(A1307,القائمة!$A$3:$F$112,5,FALSE),"")</f>
        <v/>
      </c>
      <c r="F1307" s="37" t="str">
        <f>IFERROR(VLOOKUP(A1307,القائمة!$A$3:$F$112,6,FALSE),"")</f>
        <v/>
      </c>
      <c r="P1307" s="27">
        <f t="shared" si="43"/>
        <v>0</v>
      </c>
      <c r="Q1307" s="27">
        <f t="shared" si="42"/>
        <v>0</v>
      </c>
    </row>
    <row r="1308" spans="2:17" x14ac:dyDescent="0.45">
      <c r="B1308" s="27" t="str">
        <f>IFERROR(VLOOKUP(A1308,القائمة!$A$3:$F$112,2,FALSE),"")</f>
        <v/>
      </c>
      <c r="C1308" s="27" t="str">
        <f>IFERROR(VLOOKUP(A1308,القائمة!$A$3:$F$112,3,FALSE),"")</f>
        <v/>
      </c>
      <c r="D1308" s="36" t="str">
        <f>IFERROR(VLOOKUP(A1308,القائمة!$A$3:$F$112,4,FALSE),"")</f>
        <v/>
      </c>
      <c r="E1308" s="36" t="str">
        <f>IFERROR(VLOOKUP(A1308,القائمة!$A$3:$F$112,5,FALSE),"")</f>
        <v/>
      </c>
      <c r="F1308" s="37" t="str">
        <f>IFERROR(VLOOKUP(A1308,القائمة!$A$3:$F$112,6,FALSE),"")</f>
        <v/>
      </c>
      <c r="P1308" s="27">
        <f t="shared" si="43"/>
        <v>0</v>
      </c>
      <c r="Q1308" s="27">
        <f t="shared" si="42"/>
        <v>0</v>
      </c>
    </row>
    <row r="1309" spans="2:17" x14ac:dyDescent="0.45">
      <c r="B1309" s="27" t="str">
        <f>IFERROR(VLOOKUP(A1309,القائمة!$A$3:$F$112,2,FALSE),"")</f>
        <v/>
      </c>
      <c r="C1309" s="27" t="str">
        <f>IFERROR(VLOOKUP(A1309,القائمة!$A$3:$F$112,3,FALSE),"")</f>
        <v/>
      </c>
      <c r="D1309" s="36" t="str">
        <f>IFERROR(VLOOKUP(A1309,القائمة!$A$3:$F$112,4,FALSE),"")</f>
        <v/>
      </c>
      <c r="E1309" s="36" t="str">
        <f>IFERROR(VLOOKUP(A1309,القائمة!$A$3:$F$112,5,FALSE),"")</f>
        <v/>
      </c>
      <c r="F1309" s="37" t="str">
        <f>IFERROR(VLOOKUP(A1309,القائمة!$A$3:$F$112,6,FALSE),"")</f>
        <v/>
      </c>
      <c r="P1309" s="27">
        <f t="shared" si="43"/>
        <v>0</v>
      </c>
      <c r="Q1309" s="27">
        <f t="shared" si="42"/>
        <v>0</v>
      </c>
    </row>
    <row r="1310" spans="2:17" x14ac:dyDescent="0.45">
      <c r="B1310" s="27" t="str">
        <f>IFERROR(VLOOKUP(A1310,القائمة!$A$3:$F$112,2,FALSE),"")</f>
        <v/>
      </c>
      <c r="C1310" s="27" t="str">
        <f>IFERROR(VLOOKUP(A1310,القائمة!$A$3:$F$112,3,FALSE),"")</f>
        <v/>
      </c>
      <c r="D1310" s="36" t="str">
        <f>IFERROR(VLOOKUP(A1310,القائمة!$A$3:$F$112,4,FALSE),"")</f>
        <v/>
      </c>
      <c r="E1310" s="36" t="str">
        <f>IFERROR(VLOOKUP(A1310,القائمة!$A$3:$F$112,5,FALSE),"")</f>
        <v/>
      </c>
      <c r="F1310" s="37" t="str">
        <f>IFERROR(VLOOKUP(A1310,القائمة!$A$3:$F$112,6,FALSE),"")</f>
        <v/>
      </c>
      <c r="P1310" s="27">
        <f t="shared" si="43"/>
        <v>0</v>
      </c>
      <c r="Q1310" s="27">
        <f t="shared" si="42"/>
        <v>0</v>
      </c>
    </row>
    <row r="1311" spans="2:17" x14ac:dyDescent="0.45">
      <c r="B1311" s="27" t="str">
        <f>IFERROR(VLOOKUP(A1311,القائمة!$A$3:$F$112,2,FALSE),"")</f>
        <v/>
      </c>
      <c r="C1311" s="27" t="str">
        <f>IFERROR(VLOOKUP(A1311,القائمة!$A$3:$F$112,3,FALSE),"")</f>
        <v/>
      </c>
      <c r="D1311" s="36" t="str">
        <f>IFERROR(VLOOKUP(A1311,القائمة!$A$3:$F$112,4,FALSE),"")</f>
        <v/>
      </c>
      <c r="E1311" s="36" t="str">
        <f>IFERROR(VLOOKUP(A1311,القائمة!$A$3:$F$112,5,FALSE),"")</f>
        <v/>
      </c>
      <c r="F1311" s="37" t="str">
        <f>IFERROR(VLOOKUP(A1311,القائمة!$A$3:$F$112,6,FALSE),"")</f>
        <v/>
      </c>
      <c r="P1311" s="27">
        <f t="shared" si="43"/>
        <v>0</v>
      </c>
      <c r="Q1311" s="27">
        <f t="shared" si="42"/>
        <v>0</v>
      </c>
    </row>
    <row r="1312" spans="2:17" x14ac:dyDescent="0.45">
      <c r="B1312" s="27" t="str">
        <f>IFERROR(VLOOKUP(A1312,القائمة!$A$3:$F$112,2,FALSE),"")</f>
        <v/>
      </c>
      <c r="C1312" s="27" t="str">
        <f>IFERROR(VLOOKUP(A1312,القائمة!$A$3:$F$112,3,FALSE),"")</f>
        <v/>
      </c>
      <c r="D1312" s="36" t="str">
        <f>IFERROR(VLOOKUP(A1312,القائمة!$A$3:$F$112,4,FALSE),"")</f>
        <v/>
      </c>
      <c r="E1312" s="36" t="str">
        <f>IFERROR(VLOOKUP(A1312,القائمة!$A$3:$F$112,5,FALSE),"")</f>
        <v/>
      </c>
      <c r="F1312" s="37" t="str">
        <f>IFERROR(VLOOKUP(A1312,القائمة!$A$3:$F$112,6,FALSE),"")</f>
        <v/>
      </c>
      <c r="P1312" s="27">
        <f t="shared" si="43"/>
        <v>0</v>
      </c>
      <c r="Q1312" s="27">
        <f t="shared" si="42"/>
        <v>0</v>
      </c>
    </row>
    <row r="1313" spans="2:17" x14ac:dyDescent="0.45">
      <c r="B1313" s="27" t="str">
        <f>IFERROR(VLOOKUP(A1313,القائمة!$A$3:$F$112,2,FALSE),"")</f>
        <v/>
      </c>
      <c r="C1313" s="27" t="str">
        <f>IFERROR(VLOOKUP(A1313,القائمة!$A$3:$F$112,3,FALSE),"")</f>
        <v/>
      </c>
      <c r="D1313" s="36" t="str">
        <f>IFERROR(VLOOKUP(A1313,القائمة!$A$3:$F$112,4,FALSE),"")</f>
        <v/>
      </c>
      <c r="E1313" s="36" t="str">
        <f>IFERROR(VLOOKUP(A1313,القائمة!$A$3:$F$112,5,FALSE),"")</f>
        <v/>
      </c>
      <c r="F1313" s="37" t="str">
        <f>IFERROR(VLOOKUP(A1313,القائمة!$A$3:$F$112,6,FALSE),"")</f>
        <v/>
      </c>
      <c r="P1313" s="27">
        <f t="shared" si="43"/>
        <v>0</v>
      </c>
      <c r="Q1313" s="27">
        <f t="shared" si="42"/>
        <v>0</v>
      </c>
    </row>
    <row r="1314" spans="2:17" x14ac:dyDescent="0.45">
      <c r="B1314" s="27" t="str">
        <f>IFERROR(VLOOKUP(A1314,القائمة!$A$3:$F$112,2,FALSE),"")</f>
        <v/>
      </c>
      <c r="C1314" s="27" t="str">
        <f>IFERROR(VLOOKUP(A1314,القائمة!$A$3:$F$112,3,FALSE),"")</f>
        <v/>
      </c>
      <c r="D1314" s="36" t="str">
        <f>IFERROR(VLOOKUP(A1314,القائمة!$A$3:$F$112,4,FALSE),"")</f>
        <v/>
      </c>
      <c r="E1314" s="36" t="str">
        <f>IFERROR(VLOOKUP(A1314,القائمة!$A$3:$F$112,5,FALSE),"")</f>
        <v/>
      </c>
      <c r="F1314" s="37" t="str">
        <f>IFERROR(VLOOKUP(A1314,القائمة!$A$3:$F$112,6,FALSE),"")</f>
        <v/>
      </c>
      <c r="P1314" s="27">
        <f t="shared" si="43"/>
        <v>0</v>
      </c>
      <c r="Q1314" s="27">
        <f t="shared" si="42"/>
        <v>0</v>
      </c>
    </row>
    <row r="1315" spans="2:17" x14ac:dyDescent="0.45">
      <c r="B1315" s="27" t="str">
        <f>IFERROR(VLOOKUP(A1315,القائمة!$A$3:$F$112,2,FALSE),"")</f>
        <v/>
      </c>
      <c r="C1315" s="27" t="str">
        <f>IFERROR(VLOOKUP(A1315,القائمة!$A$3:$F$112,3,FALSE),"")</f>
        <v/>
      </c>
      <c r="D1315" s="36" t="str">
        <f>IFERROR(VLOOKUP(A1315,القائمة!$A$3:$F$112,4,FALSE),"")</f>
        <v/>
      </c>
      <c r="E1315" s="36" t="str">
        <f>IFERROR(VLOOKUP(A1315,القائمة!$A$3:$F$112,5,FALSE),"")</f>
        <v/>
      </c>
      <c r="F1315" s="37" t="str">
        <f>IFERROR(VLOOKUP(A1315,القائمة!$A$3:$F$112,6,FALSE),"")</f>
        <v/>
      </c>
      <c r="P1315" s="27">
        <f t="shared" si="43"/>
        <v>0</v>
      </c>
      <c r="Q1315" s="27">
        <f t="shared" si="42"/>
        <v>0</v>
      </c>
    </row>
    <row r="1316" spans="2:17" x14ac:dyDescent="0.45">
      <c r="B1316" s="27" t="str">
        <f>IFERROR(VLOOKUP(A1316,القائمة!$A$3:$F$112,2,FALSE),"")</f>
        <v/>
      </c>
      <c r="C1316" s="27" t="str">
        <f>IFERROR(VLOOKUP(A1316,القائمة!$A$3:$F$112,3,FALSE),"")</f>
        <v/>
      </c>
      <c r="D1316" s="36" t="str">
        <f>IFERROR(VLOOKUP(A1316,القائمة!$A$3:$F$112,4,FALSE),"")</f>
        <v/>
      </c>
      <c r="E1316" s="36" t="str">
        <f>IFERROR(VLOOKUP(A1316,القائمة!$A$3:$F$112,5,FALSE),"")</f>
        <v/>
      </c>
      <c r="F1316" s="37" t="str">
        <f>IFERROR(VLOOKUP(A1316,القائمة!$A$3:$F$112,6,FALSE),"")</f>
        <v/>
      </c>
      <c r="P1316" s="27">
        <f t="shared" si="43"/>
        <v>0</v>
      </c>
      <c r="Q1316" s="27">
        <f t="shared" si="42"/>
        <v>0</v>
      </c>
    </row>
    <row r="1317" spans="2:17" x14ac:dyDescent="0.45">
      <c r="B1317" s="27" t="str">
        <f>IFERROR(VLOOKUP(A1317,القائمة!$A$3:$F$112,2,FALSE),"")</f>
        <v/>
      </c>
      <c r="C1317" s="27" t="str">
        <f>IFERROR(VLOOKUP(A1317,القائمة!$A$3:$F$112,3,FALSE),"")</f>
        <v/>
      </c>
      <c r="D1317" s="36" t="str">
        <f>IFERROR(VLOOKUP(A1317,القائمة!$A$3:$F$112,4,FALSE),"")</f>
        <v/>
      </c>
      <c r="E1317" s="36" t="str">
        <f>IFERROR(VLOOKUP(A1317,القائمة!$A$3:$F$112,5,FALSE),"")</f>
        <v/>
      </c>
      <c r="F1317" s="37" t="str">
        <f>IFERROR(VLOOKUP(A1317,القائمة!$A$3:$F$112,6,FALSE),"")</f>
        <v/>
      </c>
      <c r="P1317" s="27">
        <f t="shared" si="43"/>
        <v>0</v>
      </c>
      <c r="Q1317" s="27">
        <f t="shared" si="42"/>
        <v>0</v>
      </c>
    </row>
    <row r="1318" spans="2:17" x14ac:dyDescent="0.45">
      <c r="B1318" s="27" t="str">
        <f>IFERROR(VLOOKUP(A1318,القائمة!$A$3:$F$112,2,FALSE),"")</f>
        <v/>
      </c>
      <c r="C1318" s="27" t="str">
        <f>IFERROR(VLOOKUP(A1318,القائمة!$A$3:$F$112,3,FALSE),"")</f>
        <v/>
      </c>
      <c r="D1318" s="36" t="str">
        <f>IFERROR(VLOOKUP(A1318,القائمة!$A$3:$F$112,4,FALSE),"")</f>
        <v/>
      </c>
      <c r="E1318" s="36" t="str">
        <f>IFERROR(VLOOKUP(A1318,القائمة!$A$3:$F$112,5,FALSE),"")</f>
        <v/>
      </c>
      <c r="F1318" s="37" t="str">
        <f>IFERROR(VLOOKUP(A1318,القائمة!$A$3:$F$112,6,FALSE),"")</f>
        <v/>
      </c>
      <c r="P1318" s="27">
        <f t="shared" si="43"/>
        <v>0</v>
      </c>
      <c r="Q1318" s="27">
        <f t="shared" si="42"/>
        <v>0</v>
      </c>
    </row>
    <row r="1319" spans="2:17" x14ac:dyDescent="0.45">
      <c r="B1319" s="27" t="str">
        <f>IFERROR(VLOOKUP(A1319,القائمة!$A$3:$F$112,2,FALSE),"")</f>
        <v/>
      </c>
      <c r="C1319" s="27" t="str">
        <f>IFERROR(VLOOKUP(A1319,القائمة!$A$3:$F$112,3,FALSE),"")</f>
        <v/>
      </c>
      <c r="D1319" s="36" t="str">
        <f>IFERROR(VLOOKUP(A1319,القائمة!$A$3:$F$112,4,FALSE),"")</f>
        <v/>
      </c>
      <c r="E1319" s="36" t="str">
        <f>IFERROR(VLOOKUP(A1319,القائمة!$A$3:$F$112,5,FALSE),"")</f>
        <v/>
      </c>
      <c r="F1319" s="37" t="str">
        <f>IFERROR(VLOOKUP(A1319,القائمة!$A$3:$F$112,6,FALSE),"")</f>
        <v/>
      </c>
      <c r="P1319" s="27">
        <f t="shared" si="43"/>
        <v>0</v>
      </c>
      <c r="Q1319" s="27">
        <f t="shared" si="42"/>
        <v>0</v>
      </c>
    </row>
    <row r="1320" spans="2:17" x14ac:dyDescent="0.45">
      <c r="B1320" s="27" t="str">
        <f>IFERROR(VLOOKUP(A1320,القائمة!$A$3:$F$112,2,FALSE),"")</f>
        <v/>
      </c>
      <c r="C1320" s="27" t="str">
        <f>IFERROR(VLOOKUP(A1320,القائمة!$A$3:$F$112,3,FALSE),"")</f>
        <v/>
      </c>
      <c r="D1320" s="36" t="str">
        <f>IFERROR(VLOOKUP(A1320,القائمة!$A$3:$F$112,4,FALSE),"")</f>
        <v/>
      </c>
      <c r="E1320" s="36" t="str">
        <f>IFERROR(VLOOKUP(A1320,القائمة!$A$3:$F$112,5,FALSE),"")</f>
        <v/>
      </c>
      <c r="F1320" s="37" t="str">
        <f>IFERROR(VLOOKUP(A1320,القائمة!$A$3:$F$112,6,FALSE),"")</f>
        <v/>
      </c>
      <c r="P1320" s="27">
        <f t="shared" si="43"/>
        <v>0</v>
      </c>
      <c r="Q1320" s="27">
        <f t="shared" si="42"/>
        <v>0</v>
      </c>
    </row>
    <row r="1321" spans="2:17" x14ac:dyDescent="0.45">
      <c r="B1321" s="27" t="str">
        <f>IFERROR(VLOOKUP(A1321,القائمة!$A$3:$F$112,2,FALSE),"")</f>
        <v/>
      </c>
      <c r="C1321" s="27" t="str">
        <f>IFERROR(VLOOKUP(A1321,القائمة!$A$3:$F$112,3,FALSE),"")</f>
        <v/>
      </c>
      <c r="D1321" s="36" t="str">
        <f>IFERROR(VLOOKUP(A1321,القائمة!$A$3:$F$112,4,FALSE),"")</f>
        <v/>
      </c>
      <c r="E1321" s="36" t="str">
        <f>IFERROR(VLOOKUP(A1321,القائمة!$A$3:$F$112,5,FALSE),"")</f>
        <v/>
      </c>
      <c r="F1321" s="37" t="str">
        <f>IFERROR(VLOOKUP(A1321,القائمة!$A$3:$F$112,6,FALSE),"")</f>
        <v/>
      </c>
      <c r="P1321" s="27">
        <f t="shared" si="43"/>
        <v>0</v>
      </c>
      <c r="Q1321" s="27">
        <f t="shared" si="42"/>
        <v>0</v>
      </c>
    </row>
    <row r="1322" spans="2:17" x14ac:dyDescent="0.45">
      <c r="B1322" s="27" t="str">
        <f>IFERROR(VLOOKUP(A1322,القائمة!$A$3:$F$112,2,FALSE),"")</f>
        <v/>
      </c>
      <c r="C1322" s="27" t="str">
        <f>IFERROR(VLOOKUP(A1322,القائمة!$A$3:$F$112,3,FALSE),"")</f>
        <v/>
      </c>
      <c r="D1322" s="36" t="str">
        <f>IFERROR(VLOOKUP(A1322,القائمة!$A$3:$F$112,4,FALSE),"")</f>
        <v/>
      </c>
      <c r="E1322" s="36" t="str">
        <f>IFERROR(VLOOKUP(A1322,القائمة!$A$3:$F$112,5,FALSE),"")</f>
        <v/>
      </c>
      <c r="F1322" s="37" t="str">
        <f>IFERROR(VLOOKUP(A1322,القائمة!$A$3:$F$112,6,FALSE),"")</f>
        <v/>
      </c>
      <c r="P1322" s="27">
        <f t="shared" si="43"/>
        <v>0</v>
      </c>
      <c r="Q1322" s="27">
        <f t="shared" si="42"/>
        <v>0</v>
      </c>
    </row>
    <row r="1323" spans="2:17" x14ac:dyDescent="0.45">
      <c r="B1323" s="27" t="str">
        <f>IFERROR(VLOOKUP(A1323,القائمة!$A$3:$F$112,2,FALSE),"")</f>
        <v/>
      </c>
      <c r="C1323" s="27" t="str">
        <f>IFERROR(VLOOKUP(A1323,القائمة!$A$3:$F$112,3,FALSE),"")</f>
        <v/>
      </c>
      <c r="D1323" s="36" t="str">
        <f>IFERROR(VLOOKUP(A1323,القائمة!$A$3:$F$112,4,FALSE),"")</f>
        <v/>
      </c>
      <c r="E1323" s="36" t="str">
        <f>IFERROR(VLOOKUP(A1323,القائمة!$A$3:$F$112,5,FALSE),"")</f>
        <v/>
      </c>
      <c r="F1323" s="37" t="str">
        <f>IFERROR(VLOOKUP(A1323,القائمة!$A$3:$F$112,6,FALSE),"")</f>
        <v/>
      </c>
      <c r="P1323" s="27">
        <f t="shared" si="43"/>
        <v>0</v>
      </c>
      <c r="Q1323" s="27">
        <f t="shared" si="42"/>
        <v>0</v>
      </c>
    </row>
    <row r="1324" spans="2:17" x14ac:dyDescent="0.45">
      <c r="B1324" s="27" t="str">
        <f>IFERROR(VLOOKUP(A1324,القائمة!$A$3:$F$112,2,FALSE),"")</f>
        <v/>
      </c>
      <c r="C1324" s="27" t="str">
        <f>IFERROR(VLOOKUP(A1324,القائمة!$A$3:$F$112,3,FALSE),"")</f>
        <v/>
      </c>
      <c r="D1324" s="36" t="str">
        <f>IFERROR(VLOOKUP(A1324,القائمة!$A$3:$F$112,4,FALSE),"")</f>
        <v/>
      </c>
      <c r="E1324" s="36" t="str">
        <f>IFERROR(VLOOKUP(A1324,القائمة!$A$3:$F$112,5,FALSE),"")</f>
        <v/>
      </c>
      <c r="F1324" s="37" t="str">
        <f>IFERROR(VLOOKUP(A1324,القائمة!$A$3:$F$112,6,FALSE),"")</f>
        <v/>
      </c>
      <c r="P1324" s="27">
        <f t="shared" si="43"/>
        <v>0</v>
      </c>
      <c r="Q1324" s="27">
        <f t="shared" si="42"/>
        <v>0</v>
      </c>
    </row>
    <row r="1325" spans="2:17" x14ac:dyDescent="0.45">
      <c r="B1325" s="27" t="str">
        <f>IFERROR(VLOOKUP(A1325,القائمة!$A$3:$F$112,2,FALSE),"")</f>
        <v/>
      </c>
      <c r="C1325" s="27" t="str">
        <f>IFERROR(VLOOKUP(A1325,القائمة!$A$3:$F$112,3,FALSE),"")</f>
        <v/>
      </c>
      <c r="D1325" s="36" t="str">
        <f>IFERROR(VLOOKUP(A1325,القائمة!$A$3:$F$112,4,FALSE),"")</f>
        <v/>
      </c>
      <c r="E1325" s="36" t="str">
        <f>IFERROR(VLOOKUP(A1325,القائمة!$A$3:$F$112,5,FALSE),"")</f>
        <v/>
      </c>
      <c r="F1325" s="37" t="str">
        <f>IFERROR(VLOOKUP(A1325,القائمة!$A$3:$F$112,6,FALSE),"")</f>
        <v/>
      </c>
      <c r="P1325" s="27">
        <f t="shared" si="43"/>
        <v>0</v>
      </c>
      <c r="Q1325" s="27">
        <f t="shared" si="42"/>
        <v>0</v>
      </c>
    </row>
    <row r="1326" spans="2:17" x14ac:dyDescent="0.45">
      <c r="B1326" s="27" t="str">
        <f>IFERROR(VLOOKUP(A1326,القائمة!$A$3:$F$112,2,FALSE),"")</f>
        <v/>
      </c>
      <c r="C1326" s="27" t="str">
        <f>IFERROR(VLOOKUP(A1326,القائمة!$A$3:$F$112,3,FALSE),"")</f>
        <v/>
      </c>
      <c r="D1326" s="36" t="str">
        <f>IFERROR(VLOOKUP(A1326,القائمة!$A$3:$F$112,4,FALSE),"")</f>
        <v/>
      </c>
      <c r="E1326" s="36" t="str">
        <f>IFERROR(VLOOKUP(A1326,القائمة!$A$3:$F$112,5,FALSE),"")</f>
        <v/>
      </c>
      <c r="F1326" s="37" t="str">
        <f>IFERROR(VLOOKUP(A1326,القائمة!$A$3:$F$112,6,FALSE),"")</f>
        <v/>
      </c>
      <c r="P1326" s="27">
        <f t="shared" si="43"/>
        <v>0</v>
      </c>
      <c r="Q1326" s="27">
        <f t="shared" si="42"/>
        <v>0</v>
      </c>
    </row>
    <row r="1327" spans="2:17" x14ac:dyDescent="0.45">
      <c r="B1327" s="27" t="str">
        <f>IFERROR(VLOOKUP(A1327,القائمة!$A$3:$F$112,2,FALSE),"")</f>
        <v/>
      </c>
      <c r="C1327" s="27" t="str">
        <f>IFERROR(VLOOKUP(A1327,القائمة!$A$3:$F$112,3,FALSE),"")</f>
        <v/>
      </c>
      <c r="D1327" s="36" t="str">
        <f>IFERROR(VLOOKUP(A1327,القائمة!$A$3:$F$112,4,FALSE),"")</f>
        <v/>
      </c>
      <c r="E1327" s="36" t="str">
        <f>IFERROR(VLOOKUP(A1327,القائمة!$A$3:$F$112,5,FALSE),"")</f>
        <v/>
      </c>
      <c r="F1327" s="37" t="str">
        <f>IFERROR(VLOOKUP(A1327,القائمة!$A$3:$F$112,6,FALSE),"")</f>
        <v/>
      </c>
      <c r="P1327" s="27">
        <f t="shared" si="43"/>
        <v>0</v>
      </c>
      <c r="Q1327" s="27">
        <f t="shared" si="42"/>
        <v>0</v>
      </c>
    </row>
    <row r="1328" spans="2:17" x14ac:dyDescent="0.45">
      <c r="B1328" s="27" t="str">
        <f>IFERROR(VLOOKUP(A1328,القائمة!$A$3:$F$112,2,FALSE),"")</f>
        <v/>
      </c>
      <c r="C1328" s="27" t="str">
        <f>IFERROR(VLOOKUP(A1328,القائمة!$A$3:$F$112,3,FALSE),"")</f>
        <v/>
      </c>
      <c r="D1328" s="36" t="str">
        <f>IFERROR(VLOOKUP(A1328,القائمة!$A$3:$F$112,4,FALSE),"")</f>
        <v/>
      </c>
      <c r="E1328" s="36" t="str">
        <f>IFERROR(VLOOKUP(A1328,القائمة!$A$3:$F$112,5,FALSE),"")</f>
        <v/>
      </c>
      <c r="F1328" s="37" t="str">
        <f>IFERROR(VLOOKUP(A1328,القائمة!$A$3:$F$112,6,FALSE),"")</f>
        <v/>
      </c>
      <c r="P1328" s="27">
        <f t="shared" si="43"/>
        <v>0</v>
      </c>
      <c r="Q1328" s="27">
        <f t="shared" si="42"/>
        <v>0</v>
      </c>
    </row>
    <row r="1329" spans="2:17" x14ac:dyDescent="0.45">
      <c r="B1329" s="27" t="str">
        <f>IFERROR(VLOOKUP(A1329,القائمة!$A$3:$F$112,2,FALSE),"")</f>
        <v/>
      </c>
      <c r="C1329" s="27" t="str">
        <f>IFERROR(VLOOKUP(A1329,القائمة!$A$3:$F$112,3,FALSE),"")</f>
        <v/>
      </c>
      <c r="D1329" s="36" t="str">
        <f>IFERROR(VLOOKUP(A1329,القائمة!$A$3:$F$112,4,FALSE),"")</f>
        <v/>
      </c>
      <c r="E1329" s="36" t="str">
        <f>IFERROR(VLOOKUP(A1329,القائمة!$A$3:$F$112,5,FALSE),"")</f>
        <v/>
      </c>
      <c r="F1329" s="37" t="str">
        <f>IFERROR(VLOOKUP(A1329,القائمة!$A$3:$F$112,6,FALSE),"")</f>
        <v/>
      </c>
      <c r="P1329" s="27">
        <f t="shared" si="43"/>
        <v>0</v>
      </c>
      <c r="Q1329" s="27">
        <f t="shared" si="42"/>
        <v>0</v>
      </c>
    </row>
    <row r="1330" spans="2:17" x14ac:dyDescent="0.45">
      <c r="B1330" s="27" t="str">
        <f>IFERROR(VLOOKUP(A1330,القائمة!$A$3:$F$112,2,FALSE),"")</f>
        <v/>
      </c>
      <c r="C1330" s="27" t="str">
        <f>IFERROR(VLOOKUP(A1330,القائمة!$A$3:$F$112,3,FALSE),"")</f>
        <v/>
      </c>
      <c r="D1330" s="36" t="str">
        <f>IFERROR(VLOOKUP(A1330,القائمة!$A$3:$F$112,4,FALSE),"")</f>
        <v/>
      </c>
      <c r="E1330" s="36" t="str">
        <f>IFERROR(VLOOKUP(A1330,القائمة!$A$3:$F$112,5,FALSE),"")</f>
        <v/>
      </c>
      <c r="F1330" s="37" t="str">
        <f>IFERROR(VLOOKUP(A1330,القائمة!$A$3:$F$112,6,FALSE),"")</f>
        <v/>
      </c>
      <c r="P1330" s="27">
        <f t="shared" si="43"/>
        <v>0</v>
      </c>
      <c r="Q1330" s="27">
        <f t="shared" si="42"/>
        <v>0</v>
      </c>
    </row>
    <row r="1331" spans="2:17" x14ac:dyDescent="0.45">
      <c r="B1331" s="27" t="str">
        <f>IFERROR(VLOOKUP(A1331,القائمة!$A$3:$F$112,2,FALSE),"")</f>
        <v/>
      </c>
      <c r="C1331" s="27" t="str">
        <f>IFERROR(VLOOKUP(A1331,القائمة!$A$3:$F$112,3,FALSE),"")</f>
        <v/>
      </c>
      <c r="D1331" s="36" t="str">
        <f>IFERROR(VLOOKUP(A1331,القائمة!$A$3:$F$112,4,FALSE),"")</f>
        <v/>
      </c>
      <c r="E1331" s="36" t="str">
        <f>IFERROR(VLOOKUP(A1331,القائمة!$A$3:$F$112,5,FALSE),"")</f>
        <v/>
      </c>
      <c r="F1331" s="37" t="str">
        <f>IFERROR(VLOOKUP(A1331,القائمة!$A$3:$F$112,6,FALSE),"")</f>
        <v/>
      </c>
      <c r="P1331" s="27">
        <f t="shared" si="43"/>
        <v>0</v>
      </c>
      <c r="Q1331" s="27">
        <f t="shared" si="42"/>
        <v>0</v>
      </c>
    </row>
    <row r="1332" spans="2:17" x14ac:dyDescent="0.45">
      <c r="B1332" s="27" t="str">
        <f>IFERROR(VLOOKUP(A1332,القائمة!$A$3:$F$112,2,FALSE),"")</f>
        <v/>
      </c>
      <c r="C1332" s="27" t="str">
        <f>IFERROR(VLOOKUP(A1332,القائمة!$A$3:$F$112,3,FALSE),"")</f>
        <v/>
      </c>
      <c r="D1332" s="36" t="str">
        <f>IFERROR(VLOOKUP(A1332,القائمة!$A$3:$F$112,4,FALSE),"")</f>
        <v/>
      </c>
      <c r="E1332" s="36" t="str">
        <f>IFERROR(VLOOKUP(A1332,القائمة!$A$3:$F$112,5,FALSE),"")</f>
        <v/>
      </c>
      <c r="F1332" s="37" t="str">
        <f>IFERROR(VLOOKUP(A1332,القائمة!$A$3:$F$112,6,FALSE),"")</f>
        <v/>
      </c>
      <c r="P1332" s="27">
        <f t="shared" si="43"/>
        <v>0</v>
      </c>
      <c r="Q1332" s="27">
        <f t="shared" si="42"/>
        <v>0</v>
      </c>
    </row>
    <row r="1333" spans="2:17" x14ac:dyDescent="0.45">
      <c r="B1333" s="27" t="str">
        <f>IFERROR(VLOOKUP(A1333,القائمة!$A$3:$F$112,2,FALSE),"")</f>
        <v/>
      </c>
      <c r="C1333" s="27" t="str">
        <f>IFERROR(VLOOKUP(A1333,القائمة!$A$3:$F$112,3,FALSE),"")</f>
        <v/>
      </c>
      <c r="D1333" s="36" t="str">
        <f>IFERROR(VLOOKUP(A1333,القائمة!$A$3:$F$112,4,FALSE),"")</f>
        <v/>
      </c>
      <c r="E1333" s="36" t="str">
        <f>IFERROR(VLOOKUP(A1333,القائمة!$A$3:$F$112,5,FALSE),"")</f>
        <v/>
      </c>
      <c r="F1333" s="37" t="str">
        <f>IFERROR(VLOOKUP(A1333,القائمة!$A$3:$F$112,6,FALSE),"")</f>
        <v/>
      </c>
      <c r="P1333" s="27">
        <f t="shared" si="43"/>
        <v>0</v>
      </c>
      <c r="Q1333" s="27">
        <f t="shared" si="42"/>
        <v>0</v>
      </c>
    </row>
    <row r="1334" spans="2:17" x14ac:dyDescent="0.45">
      <c r="B1334" s="27" t="str">
        <f>IFERROR(VLOOKUP(A1334,القائمة!$A$3:$F$112,2,FALSE),"")</f>
        <v/>
      </c>
      <c r="C1334" s="27" t="str">
        <f>IFERROR(VLOOKUP(A1334,القائمة!$A$3:$F$112,3,FALSE),"")</f>
        <v/>
      </c>
      <c r="D1334" s="36" t="str">
        <f>IFERROR(VLOOKUP(A1334,القائمة!$A$3:$F$112,4,FALSE),"")</f>
        <v/>
      </c>
      <c r="E1334" s="36" t="str">
        <f>IFERROR(VLOOKUP(A1334,القائمة!$A$3:$F$112,5,FALSE),"")</f>
        <v/>
      </c>
      <c r="F1334" s="37" t="str">
        <f>IFERROR(VLOOKUP(A1334,القائمة!$A$3:$F$112,6,FALSE),"")</f>
        <v/>
      </c>
      <c r="P1334" s="27">
        <f t="shared" si="43"/>
        <v>0</v>
      </c>
      <c r="Q1334" s="27">
        <f t="shared" si="42"/>
        <v>0</v>
      </c>
    </row>
    <row r="1335" spans="2:17" x14ac:dyDescent="0.45">
      <c r="B1335" s="27" t="str">
        <f>IFERROR(VLOOKUP(A1335,القائمة!$A$3:$F$112,2,FALSE),"")</f>
        <v/>
      </c>
      <c r="C1335" s="27" t="str">
        <f>IFERROR(VLOOKUP(A1335,القائمة!$A$3:$F$112,3,FALSE),"")</f>
        <v/>
      </c>
      <c r="D1335" s="36" t="str">
        <f>IFERROR(VLOOKUP(A1335,القائمة!$A$3:$F$112,4,FALSE),"")</f>
        <v/>
      </c>
      <c r="E1335" s="36" t="str">
        <f>IFERROR(VLOOKUP(A1335,القائمة!$A$3:$F$112,5,FALSE),"")</f>
        <v/>
      </c>
      <c r="F1335" s="37" t="str">
        <f>IFERROR(VLOOKUP(A1335,القائمة!$A$3:$F$112,6,FALSE),"")</f>
        <v/>
      </c>
      <c r="P1335" s="27">
        <f t="shared" si="43"/>
        <v>0</v>
      </c>
      <c r="Q1335" s="27">
        <f t="shared" si="42"/>
        <v>0</v>
      </c>
    </row>
    <row r="1336" spans="2:17" x14ac:dyDescent="0.45">
      <c r="B1336" s="27" t="str">
        <f>IFERROR(VLOOKUP(A1336,القائمة!$A$3:$F$112,2,FALSE),"")</f>
        <v/>
      </c>
      <c r="C1336" s="27" t="str">
        <f>IFERROR(VLOOKUP(A1336,القائمة!$A$3:$F$112,3,FALSE),"")</f>
        <v/>
      </c>
      <c r="D1336" s="36" t="str">
        <f>IFERROR(VLOOKUP(A1336,القائمة!$A$3:$F$112,4,FALSE),"")</f>
        <v/>
      </c>
      <c r="E1336" s="36" t="str">
        <f>IFERROR(VLOOKUP(A1336,القائمة!$A$3:$F$112,5,FALSE),"")</f>
        <v/>
      </c>
      <c r="F1336" s="37" t="str">
        <f>IFERROR(VLOOKUP(A1336,القائمة!$A$3:$F$112,6,FALSE),"")</f>
        <v/>
      </c>
      <c r="P1336" s="27">
        <f t="shared" si="43"/>
        <v>0</v>
      </c>
      <c r="Q1336" s="27">
        <f t="shared" si="42"/>
        <v>0</v>
      </c>
    </row>
    <row r="1337" spans="2:17" x14ac:dyDescent="0.45">
      <c r="B1337" s="27" t="str">
        <f>IFERROR(VLOOKUP(A1337,القائمة!$A$3:$F$112,2,FALSE),"")</f>
        <v/>
      </c>
      <c r="C1337" s="27" t="str">
        <f>IFERROR(VLOOKUP(A1337,القائمة!$A$3:$F$112,3,FALSE),"")</f>
        <v/>
      </c>
      <c r="D1337" s="36" t="str">
        <f>IFERROR(VLOOKUP(A1337,القائمة!$A$3:$F$112,4,FALSE),"")</f>
        <v/>
      </c>
      <c r="E1337" s="36" t="str">
        <f>IFERROR(VLOOKUP(A1337,القائمة!$A$3:$F$112,5,FALSE),"")</f>
        <v/>
      </c>
      <c r="F1337" s="37" t="str">
        <f>IFERROR(VLOOKUP(A1337,القائمة!$A$3:$F$112,6,FALSE),"")</f>
        <v/>
      </c>
      <c r="P1337" s="27">
        <f t="shared" si="43"/>
        <v>0</v>
      </c>
      <c r="Q1337" s="27">
        <f t="shared" si="42"/>
        <v>0</v>
      </c>
    </row>
    <row r="1338" spans="2:17" x14ac:dyDescent="0.45">
      <c r="B1338" s="27" t="str">
        <f>IFERROR(VLOOKUP(A1338,القائمة!$A$3:$F$112,2,FALSE),"")</f>
        <v/>
      </c>
      <c r="C1338" s="27" t="str">
        <f>IFERROR(VLOOKUP(A1338,القائمة!$A$3:$F$112,3,FALSE),"")</f>
        <v/>
      </c>
      <c r="D1338" s="36" t="str">
        <f>IFERROR(VLOOKUP(A1338,القائمة!$A$3:$F$112,4,FALSE),"")</f>
        <v/>
      </c>
      <c r="E1338" s="36" t="str">
        <f>IFERROR(VLOOKUP(A1338,القائمة!$A$3:$F$112,5,FALSE),"")</f>
        <v/>
      </c>
      <c r="F1338" s="37" t="str">
        <f>IFERROR(VLOOKUP(A1338,القائمة!$A$3:$F$112,6,FALSE),"")</f>
        <v/>
      </c>
      <c r="P1338" s="27">
        <f t="shared" si="43"/>
        <v>0</v>
      </c>
      <c r="Q1338" s="27">
        <f t="shared" si="42"/>
        <v>0</v>
      </c>
    </row>
    <row r="1339" spans="2:17" x14ac:dyDescent="0.45">
      <c r="B1339" s="27" t="str">
        <f>IFERROR(VLOOKUP(A1339,القائمة!$A$3:$F$112,2,FALSE),"")</f>
        <v/>
      </c>
      <c r="C1339" s="27" t="str">
        <f>IFERROR(VLOOKUP(A1339,القائمة!$A$3:$F$112,3,FALSE),"")</f>
        <v/>
      </c>
      <c r="D1339" s="36" t="str">
        <f>IFERROR(VLOOKUP(A1339,القائمة!$A$3:$F$112,4,FALSE),"")</f>
        <v/>
      </c>
      <c r="E1339" s="36" t="str">
        <f>IFERROR(VLOOKUP(A1339,القائمة!$A$3:$F$112,5,FALSE),"")</f>
        <v/>
      </c>
      <c r="F1339" s="37" t="str">
        <f>IFERROR(VLOOKUP(A1339,القائمة!$A$3:$F$112,6,FALSE),"")</f>
        <v/>
      </c>
      <c r="P1339" s="27">
        <f t="shared" si="43"/>
        <v>0</v>
      </c>
      <c r="Q1339" s="27">
        <f t="shared" si="42"/>
        <v>0</v>
      </c>
    </row>
    <row r="1340" spans="2:17" x14ac:dyDescent="0.45">
      <c r="B1340" s="27" t="str">
        <f>IFERROR(VLOOKUP(A1340,القائمة!$A$3:$F$112,2,FALSE),"")</f>
        <v/>
      </c>
      <c r="C1340" s="27" t="str">
        <f>IFERROR(VLOOKUP(A1340,القائمة!$A$3:$F$112,3,FALSE),"")</f>
        <v/>
      </c>
      <c r="D1340" s="36" t="str">
        <f>IFERROR(VLOOKUP(A1340,القائمة!$A$3:$F$112,4,FALSE),"")</f>
        <v/>
      </c>
      <c r="E1340" s="36" t="str">
        <f>IFERROR(VLOOKUP(A1340,القائمة!$A$3:$F$112,5,FALSE),"")</f>
        <v/>
      </c>
      <c r="F1340" s="37" t="str">
        <f>IFERROR(VLOOKUP(A1340,القائمة!$A$3:$F$112,6,FALSE),"")</f>
        <v/>
      </c>
      <c r="P1340" s="27">
        <f t="shared" si="43"/>
        <v>0</v>
      </c>
      <c r="Q1340" s="27">
        <f t="shared" si="42"/>
        <v>0</v>
      </c>
    </row>
    <row r="1341" spans="2:17" x14ac:dyDescent="0.45">
      <c r="B1341" s="27" t="str">
        <f>IFERROR(VLOOKUP(A1341,القائمة!$A$3:$F$112,2,FALSE),"")</f>
        <v/>
      </c>
      <c r="C1341" s="27" t="str">
        <f>IFERROR(VLOOKUP(A1341,القائمة!$A$3:$F$112,3,FALSE),"")</f>
        <v/>
      </c>
      <c r="D1341" s="36" t="str">
        <f>IFERROR(VLOOKUP(A1341,القائمة!$A$3:$F$112,4,FALSE),"")</f>
        <v/>
      </c>
      <c r="E1341" s="36" t="str">
        <f>IFERROR(VLOOKUP(A1341,القائمة!$A$3:$F$112,5,FALSE),"")</f>
        <v/>
      </c>
      <c r="F1341" s="37" t="str">
        <f>IFERROR(VLOOKUP(A1341,القائمة!$A$3:$F$112,6,FALSE),"")</f>
        <v/>
      </c>
      <c r="P1341" s="27">
        <f t="shared" si="43"/>
        <v>0</v>
      </c>
      <c r="Q1341" s="27">
        <f t="shared" si="42"/>
        <v>0</v>
      </c>
    </row>
    <row r="1342" spans="2:17" x14ac:dyDescent="0.45">
      <c r="B1342" s="27" t="str">
        <f>IFERROR(VLOOKUP(A1342,القائمة!$A$3:$F$112,2,FALSE),"")</f>
        <v/>
      </c>
      <c r="C1342" s="27" t="str">
        <f>IFERROR(VLOOKUP(A1342,القائمة!$A$3:$F$112,3,FALSE),"")</f>
        <v/>
      </c>
      <c r="D1342" s="36" t="str">
        <f>IFERROR(VLOOKUP(A1342,القائمة!$A$3:$F$112,4,FALSE),"")</f>
        <v/>
      </c>
      <c r="E1342" s="36" t="str">
        <f>IFERROR(VLOOKUP(A1342,القائمة!$A$3:$F$112,5,FALSE),"")</f>
        <v/>
      </c>
      <c r="F1342" s="37" t="str">
        <f>IFERROR(VLOOKUP(A1342,القائمة!$A$3:$F$112,6,FALSE),"")</f>
        <v/>
      </c>
      <c r="P1342" s="27">
        <f t="shared" si="43"/>
        <v>0</v>
      </c>
      <c r="Q1342" s="27">
        <f t="shared" si="42"/>
        <v>0</v>
      </c>
    </row>
    <row r="1343" spans="2:17" x14ac:dyDescent="0.45">
      <c r="B1343" s="27" t="str">
        <f>IFERROR(VLOOKUP(A1343,القائمة!$A$3:$F$112,2,FALSE),"")</f>
        <v/>
      </c>
      <c r="C1343" s="27" t="str">
        <f>IFERROR(VLOOKUP(A1343,القائمة!$A$3:$F$112,3,FALSE),"")</f>
        <v/>
      </c>
      <c r="D1343" s="36" t="str">
        <f>IFERROR(VLOOKUP(A1343,القائمة!$A$3:$F$112,4,FALSE),"")</f>
        <v/>
      </c>
      <c r="E1343" s="36" t="str">
        <f>IFERROR(VLOOKUP(A1343,القائمة!$A$3:$F$112,5,FALSE),"")</f>
        <v/>
      </c>
      <c r="F1343" s="37" t="str">
        <f>IFERROR(VLOOKUP(A1343,القائمة!$A$3:$F$112,6,FALSE),"")</f>
        <v/>
      </c>
      <c r="P1343" s="27">
        <f t="shared" si="43"/>
        <v>0</v>
      </c>
      <c r="Q1343" s="27">
        <f t="shared" si="42"/>
        <v>0</v>
      </c>
    </row>
    <row r="1344" spans="2:17" x14ac:dyDescent="0.45">
      <c r="B1344" s="27" t="str">
        <f>IFERROR(VLOOKUP(A1344,القائمة!$A$3:$F$112,2,FALSE),"")</f>
        <v/>
      </c>
      <c r="C1344" s="27" t="str">
        <f>IFERROR(VLOOKUP(A1344,القائمة!$A$3:$F$112,3,FALSE),"")</f>
        <v/>
      </c>
      <c r="D1344" s="36" t="str">
        <f>IFERROR(VLOOKUP(A1344,القائمة!$A$3:$F$112,4,FALSE),"")</f>
        <v/>
      </c>
      <c r="E1344" s="36" t="str">
        <f>IFERROR(VLOOKUP(A1344,القائمة!$A$3:$F$112,5,FALSE),"")</f>
        <v/>
      </c>
      <c r="F1344" s="37" t="str">
        <f>IFERROR(VLOOKUP(A1344,القائمة!$A$3:$F$112,6,FALSE),"")</f>
        <v/>
      </c>
      <c r="P1344" s="27">
        <f t="shared" si="43"/>
        <v>0</v>
      </c>
      <c r="Q1344" s="27">
        <f t="shared" si="42"/>
        <v>0</v>
      </c>
    </row>
    <row r="1345" spans="2:17" x14ac:dyDescent="0.45">
      <c r="B1345" s="27" t="str">
        <f>IFERROR(VLOOKUP(A1345,القائمة!$A$3:$F$112,2,FALSE),"")</f>
        <v/>
      </c>
      <c r="C1345" s="27" t="str">
        <f>IFERROR(VLOOKUP(A1345,القائمة!$A$3:$F$112,3,FALSE),"")</f>
        <v/>
      </c>
      <c r="D1345" s="36" t="str">
        <f>IFERROR(VLOOKUP(A1345,القائمة!$A$3:$F$112,4,FALSE),"")</f>
        <v/>
      </c>
      <c r="E1345" s="36" t="str">
        <f>IFERROR(VLOOKUP(A1345,القائمة!$A$3:$F$112,5,FALSE),"")</f>
        <v/>
      </c>
      <c r="F1345" s="37" t="str">
        <f>IFERROR(VLOOKUP(A1345,القائمة!$A$3:$F$112,6,FALSE),"")</f>
        <v/>
      </c>
      <c r="P1345" s="27">
        <f t="shared" si="43"/>
        <v>0</v>
      </c>
      <c r="Q1345" s="27">
        <f t="shared" si="42"/>
        <v>0</v>
      </c>
    </row>
    <row r="1346" spans="2:17" x14ac:dyDescent="0.45">
      <c r="B1346" s="27" t="str">
        <f>IFERROR(VLOOKUP(A1346,القائمة!$A$3:$F$112,2,FALSE),"")</f>
        <v/>
      </c>
      <c r="C1346" s="27" t="str">
        <f>IFERROR(VLOOKUP(A1346,القائمة!$A$3:$F$112,3,FALSE),"")</f>
        <v/>
      </c>
      <c r="D1346" s="36" t="str">
        <f>IFERROR(VLOOKUP(A1346,القائمة!$A$3:$F$112,4,FALSE),"")</f>
        <v/>
      </c>
      <c r="E1346" s="36" t="str">
        <f>IFERROR(VLOOKUP(A1346,القائمة!$A$3:$F$112,5,FALSE),"")</f>
        <v/>
      </c>
      <c r="F1346" s="37" t="str">
        <f>IFERROR(VLOOKUP(A1346,القائمة!$A$3:$F$112,6,FALSE),"")</f>
        <v/>
      </c>
      <c r="P1346" s="27">
        <f t="shared" si="43"/>
        <v>0</v>
      </c>
      <c r="Q1346" s="27">
        <f t="shared" si="42"/>
        <v>0</v>
      </c>
    </row>
    <row r="1347" spans="2:17" x14ac:dyDescent="0.45">
      <c r="B1347" s="27" t="str">
        <f>IFERROR(VLOOKUP(A1347,القائمة!$A$3:$F$112,2,FALSE),"")</f>
        <v/>
      </c>
      <c r="C1347" s="27" t="str">
        <f>IFERROR(VLOOKUP(A1347,القائمة!$A$3:$F$112,3,FALSE),"")</f>
        <v/>
      </c>
      <c r="D1347" s="36" t="str">
        <f>IFERROR(VLOOKUP(A1347,القائمة!$A$3:$F$112,4,FALSE),"")</f>
        <v/>
      </c>
      <c r="E1347" s="36" t="str">
        <f>IFERROR(VLOOKUP(A1347,القائمة!$A$3:$F$112,5,FALSE),"")</f>
        <v/>
      </c>
      <c r="F1347" s="37" t="str">
        <f>IFERROR(VLOOKUP(A1347,القائمة!$A$3:$F$112,6,FALSE),"")</f>
        <v/>
      </c>
      <c r="P1347" s="27">
        <f t="shared" si="43"/>
        <v>0</v>
      </c>
      <c r="Q1347" s="27">
        <f t="shared" ref="Q1347:Q1410" si="44">+P1347+L1347-M1347</f>
        <v>0</v>
      </c>
    </row>
    <row r="1348" spans="2:17" x14ac:dyDescent="0.45">
      <c r="B1348" s="27" t="str">
        <f>IFERROR(VLOOKUP(A1348,القائمة!$A$3:$F$112,2,FALSE),"")</f>
        <v/>
      </c>
      <c r="C1348" s="27" t="str">
        <f>IFERROR(VLOOKUP(A1348,القائمة!$A$3:$F$112,3,FALSE),"")</f>
        <v/>
      </c>
      <c r="D1348" s="36" t="str">
        <f>IFERROR(VLOOKUP(A1348,القائمة!$A$3:$F$112,4,FALSE),"")</f>
        <v/>
      </c>
      <c r="E1348" s="36" t="str">
        <f>IFERROR(VLOOKUP(A1348,القائمة!$A$3:$F$112,5,FALSE),"")</f>
        <v/>
      </c>
      <c r="F1348" s="37" t="str">
        <f>IFERROR(VLOOKUP(A1348,القائمة!$A$3:$F$112,6,FALSE),"")</f>
        <v/>
      </c>
      <c r="P1348" s="27">
        <f t="shared" ref="P1348:P1411" si="45">J1348-K1348</f>
        <v>0</v>
      </c>
      <c r="Q1348" s="27">
        <f t="shared" si="44"/>
        <v>0</v>
      </c>
    </row>
    <row r="1349" spans="2:17" x14ac:dyDescent="0.45">
      <c r="B1349" s="27" t="str">
        <f>IFERROR(VLOOKUP(A1349,القائمة!$A$3:$F$112,2,FALSE),"")</f>
        <v/>
      </c>
      <c r="C1349" s="27" t="str">
        <f>IFERROR(VLOOKUP(A1349,القائمة!$A$3:$F$112,3,FALSE),"")</f>
        <v/>
      </c>
      <c r="D1349" s="36" t="str">
        <f>IFERROR(VLOOKUP(A1349,القائمة!$A$3:$F$112,4,FALSE),"")</f>
        <v/>
      </c>
      <c r="E1349" s="36" t="str">
        <f>IFERROR(VLOOKUP(A1349,القائمة!$A$3:$F$112,5,FALSE),"")</f>
        <v/>
      </c>
      <c r="F1349" s="37" t="str">
        <f>IFERROR(VLOOKUP(A1349,القائمة!$A$3:$F$112,6,FALSE),"")</f>
        <v/>
      </c>
      <c r="P1349" s="27">
        <f t="shared" si="45"/>
        <v>0</v>
      </c>
      <c r="Q1349" s="27">
        <f t="shared" si="44"/>
        <v>0</v>
      </c>
    </row>
    <row r="1350" spans="2:17" x14ac:dyDescent="0.45">
      <c r="B1350" s="27" t="str">
        <f>IFERROR(VLOOKUP(A1350,القائمة!$A$3:$F$112,2,FALSE),"")</f>
        <v/>
      </c>
      <c r="C1350" s="27" t="str">
        <f>IFERROR(VLOOKUP(A1350,القائمة!$A$3:$F$112,3,FALSE),"")</f>
        <v/>
      </c>
      <c r="D1350" s="36" t="str">
        <f>IFERROR(VLOOKUP(A1350,القائمة!$A$3:$F$112,4,FALSE),"")</f>
        <v/>
      </c>
      <c r="E1350" s="36" t="str">
        <f>IFERROR(VLOOKUP(A1350,القائمة!$A$3:$F$112,5,FALSE),"")</f>
        <v/>
      </c>
      <c r="F1350" s="37" t="str">
        <f>IFERROR(VLOOKUP(A1350,القائمة!$A$3:$F$112,6,FALSE),"")</f>
        <v/>
      </c>
      <c r="P1350" s="27">
        <f t="shared" si="45"/>
        <v>0</v>
      </c>
      <c r="Q1350" s="27">
        <f t="shared" si="44"/>
        <v>0</v>
      </c>
    </row>
    <row r="1351" spans="2:17" x14ac:dyDescent="0.45">
      <c r="B1351" s="27" t="str">
        <f>IFERROR(VLOOKUP(A1351,القائمة!$A$3:$F$112,2,FALSE),"")</f>
        <v/>
      </c>
      <c r="C1351" s="27" t="str">
        <f>IFERROR(VLOOKUP(A1351,القائمة!$A$3:$F$112,3,FALSE),"")</f>
        <v/>
      </c>
      <c r="D1351" s="36" t="str">
        <f>IFERROR(VLOOKUP(A1351,القائمة!$A$3:$F$112,4,FALSE),"")</f>
        <v/>
      </c>
      <c r="E1351" s="36" t="str">
        <f>IFERROR(VLOOKUP(A1351,القائمة!$A$3:$F$112,5,FALSE),"")</f>
        <v/>
      </c>
      <c r="F1351" s="37" t="str">
        <f>IFERROR(VLOOKUP(A1351,القائمة!$A$3:$F$112,6,FALSE),"")</f>
        <v/>
      </c>
      <c r="P1351" s="27">
        <f t="shared" si="45"/>
        <v>0</v>
      </c>
      <c r="Q1351" s="27">
        <f t="shared" si="44"/>
        <v>0</v>
      </c>
    </row>
    <row r="1352" spans="2:17" x14ac:dyDescent="0.45">
      <c r="B1352" s="27" t="str">
        <f>IFERROR(VLOOKUP(A1352,القائمة!$A$3:$F$112,2,FALSE),"")</f>
        <v/>
      </c>
      <c r="C1352" s="27" t="str">
        <f>IFERROR(VLOOKUP(A1352,القائمة!$A$3:$F$112,3,FALSE),"")</f>
        <v/>
      </c>
      <c r="D1352" s="36" t="str">
        <f>IFERROR(VLOOKUP(A1352,القائمة!$A$3:$F$112,4,FALSE),"")</f>
        <v/>
      </c>
      <c r="E1352" s="36" t="str">
        <f>IFERROR(VLOOKUP(A1352,القائمة!$A$3:$F$112,5,FALSE),"")</f>
        <v/>
      </c>
      <c r="F1352" s="37" t="str">
        <f>IFERROR(VLOOKUP(A1352,القائمة!$A$3:$F$112,6,FALSE),"")</f>
        <v/>
      </c>
      <c r="P1352" s="27">
        <f t="shared" si="45"/>
        <v>0</v>
      </c>
      <c r="Q1352" s="27">
        <f t="shared" si="44"/>
        <v>0</v>
      </c>
    </row>
    <row r="1353" spans="2:17" x14ac:dyDescent="0.45">
      <c r="B1353" s="27" t="str">
        <f>IFERROR(VLOOKUP(A1353,القائمة!$A$3:$F$112,2,FALSE),"")</f>
        <v/>
      </c>
      <c r="C1353" s="27" t="str">
        <f>IFERROR(VLOOKUP(A1353,القائمة!$A$3:$F$112,3,FALSE),"")</f>
        <v/>
      </c>
      <c r="D1353" s="36" t="str">
        <f>IFERROR(VLOOKUP(A1353,القائمة!$A$3:$F$112,4,FALSE),"")</f>
        <v/>
      </c>
      <c r="E1353" s="36" t="str">
        <f>IFERROR(VLOOKUP(A1353,القائمة!$A$3:$F$112,5,FALSE),"")</f>
        <v/>
      </c>
      <c r="F1353" s="37" t="str">
        <f>IFERROR(VLOOKUP(A1353,القائمة!$A$3:$F$112,6,FALSE),"")</f>
        <v/>
      </c>
      <c r="P1353" s="27">
        <f t="shared" si="45"/>
        <v>0</v>
      </c>
      <c r="Q1353" s="27">
        <f t="shared" si="44"/>
        <v>0</v>
      </c>
    </row>
    <row r="1354" spans="2:17" x14ac:dyDescent="0.45">
      <c r="B1354" s="27" t="str">
        <f>IFERROR(VLOOKUP(A1354,القائمة!$A$3:$F$112,2,FALSE),"")</f>
        <v/>
      </c>
      <c r="C1354" s="27" t="str">
        <f>IFERROR(VLOOKUP(A1354,القائمة!$A$3:$F$112,3,FALSE),"")</f>
        <v/>
      </c>
      <c r="D1354" s="36" t="str">
        <f>IFERROR(VLOOKUP(A1354,القائمة!$A$3:$F$112,4,FALSE),"")</f>
        <v/>
      </c>
      <c r="E1354" s="36" t="str">
        <f>IFERROR(VLOOKUP(A1354,القائمة!$A$3:$F$112,5,FALSE),"")</f>
        <v/>
      </c>
      <c r="F1354" s="37" t="str">
        <f>IFERROR(VLOOKUP(A1354,القائمة!$A$3:$F$112,6,FALSE),"")</f>
        <v/>
      </c>
      <c r="P1354" s="27">
        <f t="shared" si="45"/>
        <v>0</v>
      </c>
      <c r="Q1354" s="27">
        <f t="shared" si="44"/>
        <v>0</v>
      </c>
    </row>
    <row r="1355" spans="2:17" x14ac:dyDescent="0.45">
      <c r="B1355" s="27" t="str">
        <f>IFERROR(VLOOKUP(A1355,القائمة!$A$3:$F$112,2,FALSE),"")</f>
        <v/>
      </c>
      <c r="C1355" s="27" t="str">
        <f>IFERROR(VLOOKUP(A1355,القائمة!$A$3:$F$112,3,FALSE),"")</f>
        <v/>
      </c>
      <c r="D1355" s="36" t="str">
        <f>IFERROR(VLOOKUP(A1355,القائمة!$A$3:$F$112,4,FALSE),"")</f>
        <v/>
      </c>
      <c r="E1355" s="36" t="str">
        <f>IFERROR(VLOOKUP(A1355,القائمة!$A$3:$F$112,5,FALSE),"")</f>
        <v/>
      </c>
      <c r="F1355" s="37" t="str">
        <f>IFERROR(VLOOKUP(A1355,القائمة!$A$3:$F$112,6,FALSE),"")</f>
        <v/>
      </c>
      <c r="P1355" s="27">
        <f t="shared" si="45"/>
        <v>0</v>
      </c>
      <c r="Q1355" s="27">
        <f t="shared" si="44"/>
        <v>0</v>
      </c>
    </row>
    <row r="1356" spans="2:17" x14ac:dyDescent="0.45">
      <c r="B1356" s="27" t="str">
        <f>IFERROR(VLOOKUP(A1356,القائمة!$A$3:$F$112,2,FALSE),"")</f>
        <v/>
      </c>
      <c r="C1356" s="27" t="str">
        <f>IFERROR(VLOOKUP(A1356,القائمة!$A$3:$F$112,3,FALSE),"")</f>
        <v/>
      </c>
      <c r="D1356" s="36" t="str">
        <f>IFERROR(VLOOKUP(A1356,القائمة!$A$3:$F$112,4,FALSE),"")</f>
        <v/>
      </c>
      <c r="E1356" s="36" t="str">
        <f>IFERROR(VLOOKUP(A1356,القائمة!$A$3:$F$112,5,FALSE),"")</f>
        <v/>
      </c>
      <c r="F1356" s="37" t="str">
        <f>IFERROR(VLOOKUP(A1356,القائمة!$A$3:$F$112,6,FALSE),"")</f>
        <v/>
      </c>
      <c r="P1356" s="27">
        <f t="shared" si="45"/>
        <v>0</v>
      </c>
      <c r="Q1356" s="27">
        <f t="shared" si="44"/>
        <v>0</v>
      </c>
    </row>
    <row r="1357" spans="2:17" x14ac:dyDescent="0.45">
      <c r="B1357" s="27" t="str">
        <f>IFERROR(VLOOKUP(A1357,القائمة!$A$3:$F$112,2,FALSE),"")</f>
        <v/>
      </c>
      <c r="C1357" s="27" t="str">
        <f>IFERROR(VLOOKUP(A1357,القائمة!$A$3:$F$112,3,FALSE),"")</f>
        <v/>
      </c>
      <c r="D1357" s="36" t="str">
        <f>IFERROR(VLOOKUP(A1357,القائمة!$A$3:$F$112,4,FALSE),"")</f>
        <v/>
      </c>
      <c r="E1357" s="36" t="str">
        <f>IFERROR(VLOOKUP(A1357,القائمة!$A$3:$F$112,5,FALSE),"")</f>
        <v/>
      </c>
      <c r="F1357" s="37" t="str">
        <f>IFERROR(VLOOKUP(A1357,القائمة!$A$3:$F$112,6,FALSE),"")</f>
        <v/>
      </c>
      <c r="P1357" s="27">
        <f t="shared" si="45"/>
        <v>0</v>
      </c>
      <c r="Q1357" s="27">
        <f t="shared" si="44"/>
        <v>0</v>
      </c>
    </row>
    <row r="1358" spans="2:17" x14ac:dyDescent="0.45">
      <c r="B1358" s="27" t="str">
        <f>IFERROR(VLOOKUP(A1358,القائمة!$A$3:$F$112,2,FALSE),"")</f>
        <v/>
      </c>
      <c r="C1358" s="27" t="str">
        <f>IFERROR(VLOOKUP(A1358,القائمة!$A$3:$F$112,3,FALSE),"")</f>
        <v/>
      </c>
      <c r="D1358" s="36" t="str">
        <f>IFERROR(VLOOKUP(A1358,القائمة!$A$3:$F$112,4,FALSE),"")</f>
        <v/>
      </c>
      <c r="E1358" s="36" t="str">
        <f>IFERROR(VLOOKUP(A1358,القائمة!$A$3:$F$112,5,FALSE),"")</f>
        <v/>
      </c>
      <c r="F1358" s="37" t="str">
        <f>IFERROR(VLOOKUP(A1358,القائمة!$A$3:$F$112,6,FALSE),"")</f>
        <v/>
      </c>
      <c r="P1358" s="27">
        <f t="shared" si="45"/>
        <v>0</v>
      </c>
      <c r="Q1358" s="27">
        <f t="shared" si="44"/>
        <v>0</v>
      </c>
    </row>
    <row r="1359" spans="2:17" x14ac:dyDescent="0.45">
      <c r="B1359" s="27" t="str">
        <f>IFERROR(VLOOKUP(A1359,القائمة!$A$3:$F$112,2,FALSE),"")</f>
        <v/>
      </c>
      <c r="C1359" s="27" t="str">
        <f>IFERROR(VLOOKUP(A1359,القائمة!$A$3:$F$112,3,FALSE),"")</f>
        <v/>
      </c>
      <c r="D1359" s="36" t="str">
        <f>IFERROR(VLOOKUP(A1359,القائمة!$A$3:$F$112,4,FALSE),"")</f>
        <v/>
      </c>
      <c r="E1359" s="36" t="str">
        <f>IFERROR(VLOOKUP(A1359,القائمة!$A$3:$F$112,5,FALSE),"")</f>
        <v/>
      </c>
      <c r="F1359" s="37" t="str">
        <f>IFERROR(VLOOKUP(A1359,القائمة!$A$3:$F$112,6,FALSE),"")</f>
        <v/>
      </c>
      <c r="P1359" s="27">
        <f t="shared" si="45"/>
        <v>0</v>
      </c>
      <c r="Q1359" s="27">
        <f t="shared" si="44"/>
        <v>0</v>
      </c>
    </row>
    <row r="1360" spans="2:17" x14ac:dyDescent="0.45">
      <c r="B1360" s="27" t="str">
        <f>IFERROR(VLOOKUP(A1360,القائمة!$A$3:$F$112,2,FALSE),"")</f>
        <v/>
      </c>
      <c r="C1360" s="27" t="str">
        <f>IFERROR(VLOOKUP(A1360,القائمة!$A$3:$F$112,3,FALSE),"")</f>
        <v/>
      </c>
      <c r="D1360" s="36" t="str">
        <f>IFERROR(VLOOKUP(A1360,القائمة!$A$3:$F$112,4,FALSE),"")</f>
        <v/>
      </c>
      <c r="E1360" s="36" t="str">
        <f>IFERROR(VLOOKUP(A1360,القائمة!$A$3:$F$112,5,FALSE),"")</f>
        <v/>
      </c>
      <c r="F1360" s="37" t="str">
        <f>IFERROR(VLOOKUP(A1360,القائمة!$A$3:$F$112,6,FALSE),"")</f>
        <v/>
      </c>
      <c r="P1360" s="27">
        <f t="shared" si="45"/>
        <v>0</v>
      </c>
      <c r="Q1360" s="27">
        <f t="shared" si="44"/>
        <v>0</v>
      </c>
    </row>
    <row r="1361" spans="2:17" x14ac:dyDescent="0.45">
      <c r="B1361" s="27" t="str">
        <f>IFERROR(VLOOKUP(A1361,القائمة!$A$3:$F$112,2,FALSE),"")</f>
        <v/>
      </c>
      <c r="C1361" s="27" t="str">
        <f>IFERROR(VLOOKUP(A1361,القائمة!$A$3:$F$112,3,FALSE),"")</f>
        <v/>
      </c>
      <c r="D1361" s="36" t="str">
        <f>IFERROR(VLOOKUP(A1361,القائمة!$A$3:$F$112,4,FALSE),"")</f>
        <v/>
      </c>
      <c r="E1361" s="36" t="str">
        <f>IFERROR(VLOOKUP(A1361,القائمة!$A$3:$F$112,5,FALSE),"")</f>
        <v/>
      </c>
      <c r="F1361" s="37" t="str">
        <f>IFERROR(VLOOKUP(A1361,القائمة!$A$3:$F$112,6,FALSE),"")</f>
        <v/>
      </c>
      <c r="P1361" s="27">
        <f t="shared" si="45"/>
        <v>0</v>
      </c>
      <c r="Q1361" s="27">
        <f t="shared" si="44"/>
        <v>0</v>
      </c>
    </row>
    <row r="1362" spans="2:17" x14ac:dyDescent="0.45">
      <c r="B1362" s="27" t="str">
        <f>IFERROR(VLOOKUP(A1362,القائمة!$A$3:$F$112,2,FALSE),"")</f>
        <v/>
      </c>
      <c r="C1362" s="27" t="str">
        <f>IFERROR(VLOOKUP(A1362,القائمة!$A$3:$F$112,3,FALSE),"")</f>
        <v/>
      </c>
      <c r="D1362" s="36" t="str">
        <f>IFERROR(VLOOKUP(A1362,القائمة!$A$3:$F$112,4,FALSE),"")</f>
        <v/>
      </c>
      <c r="E1362" s="36" t="str">
        <f>IFERROR(VLOOKUP(A1362,القائمة!$A$3:$F$112,5,FALSE),"")</f>
        <v/>
      </c>
      <c r="F1362" s="37" t="str">
        <f>IFERROR(VLOOKUP(A1362,القائمة!$A$3:$F$112,6,FALSE),"")</f>
        <v/>
      </c>
      <c r="P1362" s="27">
        <f t="shared" si="45"/>
        <v>0</v>
      </c>
      <c r="Q1362" s="27">
        <f t="shared" si="44"/>
        <v>0</v>
      </c>
    </row>
    <row r="1363" spans="2:17" x14ac:dyDescent="0.45">
      <c r="B1363" s="27" t="str">
        <f>IFERROR(VLOOKUP(A1363,القائمة!$A$3:$F$112,2,FALSE),"")</f>
        <v/>
      </c>
      <c r="C1363" s="27" t="str">
        <f>IFERROR(VLOOKUP(A1363,القائمة!$A$3:$F$112,3,FALSE),"")</f>
        <v/>
      </c>
      <c r="D1363" s="36" t="str">
        <f>IFERROR(VLOOKUP(A1363,القائمة!$A$3:$F$112,4,FALSE),"")</f>
        <v/>
      </c>
      <c r="E1363" s="36" t="str">
        <f>IFERROR(VLOOKUP(A1363,القائمة!$A$3:$F$112,5,FALSE),"")</f>
        <v/>
      </c>
      <c r="F1363" s="37" t="str">
        <f>IFERROR(VLOOKUP(A1363,القائمة!$A$3:$F$112,6,FALSE),"")</f>
        <v/>
      </c>
      <c r="P1363" s="27">
        <f t="shared" si="45"/>
        <v>0</v>
      </c>
      <c r="Q1363" s="27">
        <f t="shared" si="44"/>
        <v>0</v>
      </c>
    </row>
    <row r="1364" spans="2:17" x14ac:dyDescent="0.45">
      <c r="B1364" s="27" t="str">
        <f>IFERROR(VLOOKUP(A1364,القائمة!$A$3:$F$112,2,FALSE),"")</f>
        <v/>
      </c>
      <c r="C1364" s="27" t="str">
        <f>IFERROR(VLOOKUP(A1364,القائمة!$A$3:$F$112,3,FALSE),"")</f>
        <v/>
      </c>
      <c r="D1364" s="36" t="str">
        <f>IFERROR(VLOOKUP(A1364,القائمة!$A$3:$F$112,4,FALSE),"")</f>
        <v/>
      </c>
      <c r="E1364" s="36" t="str">
        <f>IFERROR(VLOOKUP(A1364,القائمة!$A$3:$F$112,5,FALSE),"")</f>
        <v/>
      </c>
      <c r="F1364" s="37" t="str">
        <f>IFERROR(VLOOKUP(A1364,القائمة!$A$3:$F$112,6,FALSE),"")</f>
        <v/>
      </c>
      <c r="P1364" s="27">
        <f t="shared" si="45"/>
        <v>0</v>
      </c>
      <c r="Q1364" s="27">
        <f t="shared" si="44"/>
        <v>0</v>
      </c>
    </row>
    <row r="1365" spans="2:17" x14ac:dyDescent="0.45">
      <c r="B1365" s="27" t="str">
        <f>IFERROR(VLOOKUP(A1365,القائمة!$A$3:$F$112,2,FALSE),"")</f>
        <v/>
      </c>
      <c r="C1365" s="27" t="str">
        <f>IFERROR(VLOOKUP(A1365,القائمة!$A$3:$F$112,3,FALSE),"")</f>
        <v/>
      </c>
      <c r="D1365" s="36" t="str">
        <f>IFERROR(VLOOKUP(A1365,القائمة!$A$3:$F$112,4,FALSE),"")</f>
        <v/>
      </c>
      <c r="E1365" s="36" t="str">
        <f>IFERROR(VLOOKUP(A1365,القائمة!$A$3:$F$112,5,FALSE),"")</f>
        <v/>
      </c>
      <c r="F1365" s="37" t="str">
        <f>IFERROR(VLOOKUP(A1365,القائمة!$A$3:$F$112,6,FALSE),"")</f>
        <v/>
      </c>
      <c r="P1365" s="27">
        <f t="shared" si="45"/>
        <v>0</v>
      </c>
      <c r="Q1365" s="27">
        <f t="shared" si="44"/>
        <v>0</v>
      </c>
    </row>
    <row r="1366" spans="2:17" x14ac:dyDescent="0.45">
      <c r="B1366" s="27" t="str">
        <f>IFERROR(VLOOKUP(A1366,القائمة!$A$3:$F$112,2,FALSE),"")</f>
        <v/>
      </c>
      <c r="C1366" s="27" t="str">
        <f>IFERROR(VLOOKUP(A1366,القائمة!$A$3:$F$112,3,FALSE),"")</f>
        <v/>
      </c>
      <c r="D1366" s="36" t="str">
        <f>IFERROR(VLOOKUP(A1366,القائمة!$A$3:$F$112,4,FALSE),"")</f>
        <v/>
      </c>
      <c r="E1366" s="36" t="str">
        <f>IFERROR(VLOOKUP(A1366,القائمة!$A$3:$F$112,5,FALSE),"")</f>
        <v/>
      </c>
      <c r="F1366" s="37" t="str">
        <f>IFERROR(VLOOKUP(A1366,القائمة!$A$3:$F$112,6,FALSE),"")</f>
        <v/>
      </c>
      <c r="P1366" s="27">
        <f t="shared" si="45"/>
        <v>0</v>
      </c>
      <c r="Q1366" s="27">
        <f t="shared" si="44"/>
        <v>0</v>
      </c>
    </row>
    <row r="1367" spans="2:17" x14ac:dyDescent="0.45">
      <c r="B1367" s="27" t="str">
        <f>IFERROR(VLOOKUP(A1367,القائمة!$A$3:$F$112,2,FALSE),"")</f>
        <v/>
      </c>
      <c r="C1367" s="27" t="str">
        <f>IFERROR(VLOOKUP(A1367,القائمة!$A$3:$F$112,3,FALSE),"")</f>
        <v/>
      </c>
      <c r="D1367" s="36" t="str">
        <f>IFERROR(VLOOKUP(A1367,القائمة!$A$3:$F$112,4,FALSE),"")</f>
        <v/>
      </c>
      <c r="E1367" s="36" t="str">
        <f>IFERROR(VLOOKUP(A1367,القائمة!$A$3:$F$112,5,FALSE),"")</f>
        <v/>
      </c>
      <c r="F1367" s="37" t="str">
        <f>IFERROR(VLOOKUP(A1367,القائمة!$A$3:$F$112,6,FALSE),"")</f>
        <v/>
      </c>
      <c r="P1367" s="27">
        <f t="shared" si="45"/>
        <v>0</v>
      </c>
      <c r="Q1367" s="27">
        <f t="shared" si="44"/>
        <v>0</v>
      </c>
    </row>
    <row r="1368" spans="2:17" x14ac:dyDescent="0.45">
      <c r="B1368" s="27" t="str">
        <f>IFERROR(VLOOKUP(A1368,القائمة!$A$3:$F$112,2,FALSE),"")</f>
        <v/>
      </c>
      <c r="C1368" s="27" t="str">
        <f>IFERROR(VLOOKUP(A1368,القائمة!$A$3:$F$112,3,FALSE),"")</f>
        <v/>
      </c>
      <c r="D1368" s="36" t="str">
        <f>IFERROR(VLOOKUP(A1368,القائمة!$A$3:$F$112,4,FALSE),"")</f>
        <v/>
      </c>
      <c r="E1368" s="36" t="str">
        <f>IFERROR(VLOOKUP(A1368,القائمة!$A$3:$F$112,5,FALSE),"")</f>
        <v/>
      </c>
      <c r="F1368" s="37" t="str">
        <f>IFERROR(VLOOKUP(A1368,القائمة!$A$3:$F$112,6,FALSE),"")</f>
        <v/>
      </c>
      <c r="P1368" s="27">
        <f t="shared" si="45"/>
        <v>0</v>
      </c>
      <c r="Q1368" s="27">
        <f t="shared" si="44"/>
        <v>0</v>
      </c>
    </row>
    <row r="1369" spans="2:17" x14ac:dyDescent="0.45">
      <c r="B1369" s="27" t="str">
        <f>IFERROR(VLOOKUP(A1369,القائمة!$A$3:$F$112,2,FALSE),"")</f>
        <v/>
      </c>
      <c r="C1369" s="27" t="str">
        <f>IFERROR(VLOOKUP(A1369,القائمة!$A$3:$F$112,3,FALSE),"")</f>
        <v/>
      </c>
      <c r="D1369" s="36" t="str">
        <f>IFERROR(VLOOKUP(A1369,القائمة!$A$3:$F$112,4,FALSE),"")</f>
        <v/>
      </c>
      <c r="E1369" s="36" t="str">
        <f>IFERROR(VLOOKUP(A1369,القائمة!$A$3:$F$112,5,FALSE),"")</f>
        <v/>
      </c>
      <c r="F1369" s="37" t="str">
        <f>IFERROR(VLOOKUP(A1369,القائمة!$A$3:$F$112,6,FALSE),"")</f>
        <v/>
      </c>
      <c r="P1369" s="27">
        <f t="shared" si="45"/>
        <v>0</v>
      </c>
      <c r="Q1369" s="27">
        <f t="shared" si="44"/>
        <v>0</v>
      </c>
    </row>
    <row r="1370" spans="2:17" x14ac:dyDescent="0.45">
      <c r="B1370" s="27" t="str">
        <f>IFERROR(VLOOKUP(A1370,القائمة!$A$3:$F$112,2,FALSE),"")</f>
        <v/>
      </c>
      <c r="C1370" s="27" t="str">
        <f>IFERROR(VLOOKUP(A1370,القائمة!$A$3:$F$112,3,FALSE),"")</f>
        <v/>
      </c>
      <c r="D1370" s="36" t="str">
        <f>IFERROR(VLOOKUP(A1370,القائمة!$A$3:$F$112,4,FALSE),"")</f>
        <v/>
      </c>
      <c r="E1370" s="36" t="str">
        <f>IFERROR(VLOOKUP(A1370,القائمة!$A$3:$F$112,5,FALSE),"")</f>
        <v/>
      </c>
      <c r="F1370" s="37" t="str">
        <f>IFERROR(VLOOKUP(A1370,القائمة!$A$3:$F$112,6,FALSE),"")</f>
        <v/>
      </c>
      <c r="P1370" s="27">
        <f t="shared" si="45"/>
        <v>0</v>
      </c>
      <c r="Q1370" s="27">
        <f t="shared" si="44"/>
        <v>0</v>
      </c>
    </row>
    <row r="1371" spans="2:17" x14ac:dyDescent="0.45">
      <c r="B1371" s="27" t="str">
        <f>IFERROR(VLOOKUP(A1371,القائمة!$A$3:$F$112,2,FALSE),"")</f>
        <v/>
      </c>
      <c r="C1371" s="27" t="str">
        <f>IFERROR(VLOOKUP(A1371,القائمة!$A$3:$F$112,3,FALSE),"")</f>
        <v/>
      </c>
      <c r="D1371" s="36" t="str">
        <f>IFERROR(VLOOKUP(A1371,القائمة!$A$3:$F$112,4,FALSE),"")</f>
        <v/>
      </c>
      <c r="E1371" s="36" t="str">
        <f>IFERROR(VLOOKUP(A1371,القائمة!$A$3:$F$112,5,FALSE),"")</f>
        <v/>
      </c>
      <c r="F1371" s="37" t="str">
        <f>IFERROR(VLOOKUP(A1371,القائمة!$A$3:$F$112,6,FALSE),"")</f>
        <v/>
      </c>
      <c r="P1371" s="27">
        <f t="shared" si="45"/>
        <v>0</v>
      </c>
      <c r="Q1371" s="27">
        <f t="shared" si="44"/>
        <v>0</v>
      </c>
    </row>
    <row r="1372" spans="2:17" x14ac:dyDescent="0.45">
      <c r="B1372" s="27" t="str">
        <f>IFERROR(VLOOKUP(A1372,القائمة!$A$3:$F$112,2,FALSE),"")</f>
        <v/>
      </c>
      <c r="C1372" s="27" t="str">
        <f>IFERROR(VLOOKUP(A1372,القائمة!$A$3:$F$112,3,FALSE),"")</f>
        <v/>
      </c>
      <c r="D1372" s="36" t="str">
        <f>IFERROR(VLOOKUP(A1372,القائمة!$A$3:$F$112,4,FALSE),"")</f>
        <v/>
      </c>
      <c r="E1372" s="36" t="str">
        <f>IFERROR(VLOOKUP(A1372,القائمة!$A$3:$F$112,5,FALSE),"")</f>
        <v/>
      </c>
      <c r="F1372" s="37" t="str">
        <f>IFERROR(VLOOKUP(A1372,القائمة!$A$3:$F$112,6,FALSE),"")</f>
        <v/>
      </c>
      <c r="P1372" s="27">
        <f t="shared" si="45"/>
        <v>0</v>
      </c>
      <c r="Q1372" s="27">
        <f t="shared" si="44"/>
        <v>0</v>
      </c>
    </row>
    <row r="1373" spans="2:17" x14ac:dyDescent="0.45">
      <c r="B1373" s="27" t="str">
        <f>IFERROR(VLOOKUP(A1373,القائمة!$A$3:$F$112,2,FALSE),"")</f>
        <v/>
      </c>
      <c r="C1373" s="27" t="str">
        <f>IFERROR(VLOOKUP(A1373,القائمة!$A$3:$F$112,3,FALSE),"")</f>
        <v/>
      </c>
      <c r="D1373" s="36" t="str">
        <f>IFERROR(VLOOKUP(A1373,القائمة!$A$3:$F$112,4,FALSE),"")</f>
        <v/>
      </c>
      <c r="E1373" s="36" t="str">
        <f>IFERROR(VLOOKUP(A1373,القائمة!$A$3:$F$112,5,FALSE),"")</f>
        <v/>
      </c>
      <c r="F1373" s="37" t="str">
        <f>IFERROR(VLOOKUP(A1373,القائمة!$A$3:$F$112,6,FALSE),"")</f>
        <v/>
      </c>
      <c r="P1373" s="27">
        <f t="shared" si="45"/>
        <v>0</v>
      </c>
      <c r="Q1373" s="27">
        <f t="shared" si="44"/>
        <v>0</v>
      </c>
    </row>
    <row r="1374" spans="2:17" x14ac:dyDescent="0.45">
      <c r="B1374" s="27" t="str">
        <f>IFERROR(VLOOKUP(A1374,القائمة!$A$3:$F$112,2,FALSE),"")</f>
        <v/>
      </c>
      <c r="C1374" s="27" t="str">
        <f>IFERROR(VLOOKUP(A1374,القائمة!$A$3:$F$112,3,FALSE),"")</f>
        <v/>
      </c>
      <c r="D1374" s="36" t="str">
        <f>IFERROR(VLOOKUP(A1374,القائمة!$A$3:$F$112,4,FALSE),"")</f>
        <v/>
      </c>
      <c r="E1374" s="36" t="str">
        <f>IFERROR(VLOOKUP(A1374,القائمة!$A$3:$F$112,5,FALSE),"")</f>
        <v/>
      </c>
      <c r="F1374" s="37" t="str">
        <f>IFERROR(VLOOKUP(A1374,القائمة!$A$3:$F$112,6,FALSE),"")</f>
        <v/>
      </c>
      <c r="P1374" s="27">
        <f t="shared" si="45"/>
        <v>0</v>
      </c>
      <c r="Q1374" s="27">
        <f t="shared" si="44"/>
        <v>0</v>
      </c>
    </row>
    <row r="1375" spans="2:17" x14ac:dyDescent="0.45">
      <c r="B1375" s="27" t="str">
        <f>IFERROR(VLOOKUP(A1375,القائمة!$A$3:$F$112,2,FALSE),"")</f>
        <v/>
      </c>
      <c r="C1375" s="27" t="str">
        <f>IFERROR(VLOOKUP(A1375,القائمة!$A$3:$F$112,3,FALSE),"")</f>
        <v/>
      </c>
      <c r="D1375" s="36" t="str">
        <f>IFERROR(VLOOKUP(A1375,القائمة!$A$3:$F$112,4,FALSE),"")</f>
        <v/>
      </c>
      <c r="E1375" s="36" t="str">
        <f>IFERROR(VLOOKUP(A1375,القائمة!$A$3:$F$112,5,FALSE),"")</f>
        <v/>
      </c>
      <c r="F1375" s="37" t="str">
        <f>IFERROR(VLOOKUP(A1375,القائمة!$A$3:$F$112,6,FALSE),"")</f>
        <v/>
      </c>
      <c r="P1375" s="27">
        <f t="shared" si="45"/>
        <v>0</v>
      </c>
      <c r="Q1375" s="27">
        <f t="shared" si="44"/>
        <v>0</v>
      </c>
    </row>
    <row r="1376" spans="2:17" x14ac:dyDescent="0.45">
      <c r="B1376" s="27" t="str">
        <f>IFERROR(VLOOKUP(A1376,القائمة!$A$3:$F$112,2,FALSE),"")</f>
        <v/>
      </c>
      <c r="C1376" s="27" t="str">
        <f>IFERROR(VLOOKUP(A1376,القائمة!$A$3:$F$112,3,FALSE),"")</f>
        <v/>
      </c>
      <c r="D1376" s="36" t="str">
        <f>IFERROR(VLOOKUP(A1376,القائمة!$A$3:$F$112,4,FALSE),"")</f>
        <v/>
      </c>
      <c r="E1376" s="36" t="str">
        <f>IFERROR(VLOOKUP(A1376,القائمة!$A$3:$F$112,5,FALSE),"")</f>
        <v/>
      </c>
      <c r="F1376" s="37" t="str">
        <f>IFERROR(VLOOKUP(A1376,القائمة!$A$3:$F$112,6,FALSE),"")</f>
        <v/>
      </c>
      <c r="P1376" s="27">
        <f t="shared" si="45"/>
        <v>0</v>
      </c>
      <c r="Q1376" s="27">
        <f t="shared" si="44"/>
        <v>0</v>
      </c>
    </row>
    <row r="1377" spans="2:17" x14ac:dyDescent="0.45">
      <c r="B1377" s="27" t="str">
        <f>IFERROR(VLOOKUP(A1377,القائمة!$A$3:$F$112,2,FALSE),"")</f>
        <v/>
      </c>
      <c r="C1377" s="27" t="str">
        <f>IFERROR(VLOOKUP(A1377,القائمة!$A$3:$F$112,3,FALSE),"")</f>
        <v/>
      </c>
      <c r="D1377" s="36" t="str">
        <f>IFERROR(VLOOKUP(A1377,القائمة!$A$3:$F$112,4,FALSE),"")</f>
        <v/>
      </c>
      <c r="E1377" s="36" t="str">
        <f>IFERROR(VLOOKUP(A1377,القائمة!$A$3:$F$112,5,FALSE),"")</f>
        <v/>
      </c>
      <c r="F1377" s="37" t="str">
        <f>IFERROR(VLOOKUP(A1377,القائمة!$A$3:$F$112,6,FALSE),"")</f>
        <v/>
      </c>
      <c r="P1377" s="27">
        <f t="shared" si="45"/>
        <v>0</v>
      </c>
      <c r="Q1377" s="27">
        <f t="shared" si="44"/>
        <v>0</v>
      </c>
    </row>
    <row r="1378" spans="2:17" x14ac:dyDescent="0.45">
      <c r="B1378" s="27" t="str">
        <f>IFERROR(VLOOKUP(A1378,القائمة!$A$3:$F$112,2,FALSE),"")</f>
        <v/>
      </c>
      <c r="C1378" s="27" t="str">
        <f>IFERROR(VLOOKUP(A1378,القائمة!$A$3:$F$112,3,FALSE),"")</f>
        <v/>
      </c>
      <c r="D1378" s="36" t="str">
        <f>IFERROR(VLOOKUP(A1378,القائمة!$A$3:$F$112,4,FALSE),"")</f>
        <v/>
      </c>
      <c r="E1378" s="36" t="str">
        <f>IFERROR(VLOOKUP(A1378,القائمة!$A$3:$F$112,5,FALSE),"")</f>
        <v/>
      </c>
      <c r="F1378" s="37" t="str">
        <f>IFERROR(VLOOKUP(A1378,القائمة!$A$3:$F$112,6,FALSE),"")</f>
        <v/>
      </c>
      <c r="P1378" s="27">
        <f t="shared" si="45"/>
        <v>0</v>
      </c>
      <c r="Q1378" s="27">
        <f t="shared" si="44"/>
        <v>0</v>
      </c>
    </row>
    <row r="1379" spans="2:17" x14ac:dyDescent="0.45">
      <c r="B1379" s="27" t="str">
        <f>IFERROR(VLOOKUP(A1379,القائمة!$A$3:$F$112,2,FALSE),"")</f>
        <v/>
      </c>
      <c r="C1379" s="27" t="str">
        <f>IFERROR(VLOOKUP(A1379,القائمة!$A$3:$F$112,3,FALSE),"")</f>
        <v/>
      </c>
      <c r="D1379" s="36" t="str">
        <f>IFERROR(VLOOKUP(A1379,القائمة!$A$3:$F$112,4,FALSE),"")</f>
        <v/>
      </c>
      <c r="E1379" s="36" t="str">
        <f>IFERROR(VLOOKUP(A1379,القائمة!$A$3:$F$112,5,FALSE),"")</f>
        <v/>
      </c>
      <c r="F1379" s="37" t="str">
        <f>IFERROR(VLOOKUP(A1379,القائمة!$A$3:$F$112,6,FALSE),"")</f>
        <v/>
      </c>
      <c r="P1379" s="27">
        <f t="shared" si="45"/>
        <v>0</v>
      </c>
      <c r="Q1379" s="27">
        <f t="shared" si="44"/>
        <v>0</v>
      </c>
    </row>
    <row r="1380" spans="2:17" x14ac:dyDescent="0.45">
      <c r="B1380" s="27" t="str">
        <f>IFERROR(VLOOKUP(A1380,القائمة!$A$3:$F$112,2,FALSE),"")</f>
        <v/>
      </c>
      <c r="C1380" s="27" t="str">
        <f>IFERROR(VLOOKUP(A1380,القائمة!$A$3:$F$112,3,FALSE),"")</f>
        <v/>
      </c>
      <c r="D1380" s="36" t="str">
        <f>IFERROR(VLOOKUP(A1380,القائمة!$A$3:$F$112,4,FALSE),"")</f>
        <v/>
      </c>
      <c r="E1380" s="36" t="str">
        <f>IFERROR(VLOOKUP(A1380,القائمة!$A$3:$F$112,5,FALSE),"")</f>
        <v/>
      </c>
      <c r="F1380" s="37" t="str">
        <f>IFERROR(VLOOKUP(A1380,القائمة!$A$3:$F$112,6,FALSE),"")</f>
        <v/>
      </c>
      <c r="P1380" s="27">
        <f t="shared" si="45"/>
        <v>0</v>
      </c>
      <c r="Q1380" s="27">
        <f t="shared" si="44"/>
        <v>0</v>
      </c>
    </row>
    <row r="1381" spans="2:17" x14ac:dyDescent="0.45">
      <c r="B1381" s="27" t="str">
        <f>IFERROR(VLOOKUP(A1381,القائمة!$A$3:$F$112,2,FALSE),"")</f>
        <v/>
      </c>
      <c r="C1381" s="27" t="str">
        <f>IFERROR(VLOOKUP(A1381,القائمة!$A$3:$F$112,3,FALSE),"")</f>
        <v/>
      </c>
      <c r="D1381" s="36" t="str">
        <f>IFERROR(VLOOKUP(A1381,القائمة!$A$3:$F$112,4,FALSE),"")</f>
        <v/>
      </c>
      <c r="E1381" s="36" t="str">
        <f>IFERROR(VLOOKUP(A1381,القائمة!$A$3:$F$112,5,FALSE),"")</f>
        <v/>
      </c>
      <c r="F1381" s="37" t="str">
        <f>IFERROR(VLOOKUP(A1381,القائمة!$A$3:$F$112,6,FALSE),"")</f>
        <v/>
      </c>
      <c r="P1381" s="27">
        <f t="shared" si="45"/>
        <v>0</v>
      </c>
      <c r="Q1381" s="27">
        <f t="shared" si="44"/>
        <v>0</v>
      </c>
    </row>
    <row r="1382" spans="2:17" x14ac:dyDescent="0.45">
      <c r="B1382" s="27" t="str">
        <f>IFERROR(VLOOKUP(A1382,القائمة!$A$3:$F$112,2,FALSE),"")</f>
        <v/>
      </c>
      <c r="C1382" s="27" t="str">
        <f>IFERROR(VLOOKUP(A1382,القائمة!$A$3:$F$112,3,FALSE),"")</f>
        <v/>
      </c>
      <c r="D1382" s="36" t="str">
        <f>IFERROR(VLOOKUP(A1382,القائمة!$A$3:$F$112,4,FALSE),"")</f>
        <v/>
      </c>
      <c r="E1382" s="36" t="str">
        <f>IFERROR(VLOOKUP(A1382,القائمة!$A$3:$F$112,5,FALSE),"")</f>
        <v/>
      </c>
      <c r="F1382" s="37" t="str">
        <f>IFERROR(VLOOKUP(A1382,القائمة!$A$3:$F$112,6,FALSE),"")</f>
        <v/>
      </c>
      <c r="P1382" s="27">
        <f t="shared" si="45"/>
        <v>0</v>
      </c>
      <c r="Q1382" s="27">
        <f t="shared" si="44"/>
        <v>0</v>
      </c>
    </row>
    <row r="1383" spans="2:17" x14ac:dyDescent="0.45">
      <c r="B1383" s="27" t="str">
        <f>IFERROR(VLOOKUP(A1383,القائمة!$A$3:$F$112,2,FALSE),"")</f>
        <v/>
      </c>
      <c r="C1383" s="27" t="str">
        <f>IFERROR(VLOOKUP(A1383,القائمة!$A$3:$F$112,3,FALSE),"")</f>
        <v/>
      </c>
      <c r="D1383" s="36" t="str">
        <f>IFERROR(VLOOKUP(A1383,القائمة!$A$3:$F$112,4,FALSE),"")</f>
        <v/>
      </c>
      <c r="E1383" s="36" t="str">
        <f>IFERROR(VLOOKUP(A1383,القائمة!$A$3:$F$112,5,FALSE),"")</f>
        <v/>
      </c>
      <c r="F1383" s="37" t="str">
        <f>IFERROR(VLOOKUP(A1383,القائمة!$A$3:$F$112,6,FALSE),"")</f>
        <v/>
      </c>
      <c r="P1383" s="27">
        <f t="shared" si="45"/>
        <v>0</v>
      </c>
      <c r="Q1383" s="27">
        <f t="shared" si="44"/>
        <v>0</v>
      </c>
    </row>
    <row r="1384" spans="2:17" x14ac:dyDescent="0.45">
      <c r="B1384" s="27" t="str">
        <f>IFERROR(VLOOKUP(A1384,القائمة!$A$3:$F$112,2,FALSE),"")</f>
        <v/>
      </c>
      <c r="C1384" s="27" t="str">
        <f>IFERROR(VLOOKUP(A1384,القائمة!$A$3:$F$112,3,FALSE),"")</f>
        <v/>
      </c>
      <c r="D1384" s="36" t="str">
        <f>IFERROR(VLOOKUP(A1384,القائمة!$A$3:$F$112,4,FALSE),"")</f>
        <v/>
      </c>
      <c r="E1384" s="36" t="str">
        <f>IFERROR(VLOOKUP(A1384,القائمة!$A$3:$F$112,5,FALSE),"")</f>
        <v/>
      </c>
      <c r="F1384" s="37" t="str">
        <f>IFERROR(VLOOKUP(A1384,القائمة!$A$3:$F$112,6,FALSE),"")</f>
        <v/>
      </c>
      <c r="P1384" s="27">
        <f t="shared" si="45"/>
        <v>0</v>
      </c>
      <c r="Q1384" s="27">
        <f t="shared" si="44"/>
        <v>0</v>
      </c>
    </row>
    <row r="1385" spans="2:17" x14ac:dyDescent="0.45">
      <c r="B1385" s="27" t="str">
        <f>IFERROR(VLOOKUP(A1385,القائمة!$A$3:$F$112,2,FALSE),"")</f>
        <v/>
      </c>
      <c r="C1385" s="27" t="str">
        <f>IFERROR(VLOOKUP(A1385,القائمة!$A$3:$F$112,3,FALSE),"")</f>
        <v/>
      </c>
      <c r="D1385" s="36" t="str">
        <f>IFERROR(VLOOKUP(A1385,القائمة!$A$3:$F$112,4,FALSE),"")</f>
        <v/>
      </c>
      <c r="E1385" s="36" t="str">
        <f>IFERROR(VLOOKUP(A1385,القائمة!$A$3:$F$112,5,FALSE),"")</f>
        <v/>
      </c>
      <c r="F1385" s="37" t="str">
        <f>IFERROR(VLOOKUP(A1385,القائمة!$A$3:$F$112,6,FALSE),"")</f>
        <v/>
      </c>
      <c r="P1385" s="27">
        <f t="shared" si="45"/>
        <v>0</v>
      </c>
      <c r="Q1385" s="27">
        <f t="shared" si="44"/>
        <v>0</v>
      </c>
    </row>
    <row r="1386" spans="2:17" x14ac:dyDescent="0.45">
      <c r="B1386" s="27" t="str">
        <f>IFERROR(VLOOKUP(A1386,القائمة!$A$3:$F$112,2,FALSE),"")</f>
        <v/>
      </c>
      <c r="C1386" s="27" t="str">
        <f>IFERROR(VLOOKUP(A1386,القائمة!$A$3:$F$112,3,FALSE),"")</f>
        <v/>
      </c>
      <c r="D1386" s="36" t="str">
        <f>IFERROR(VLOOKUP(A1386,القائمة!$A$3:$F$112,4,FALSE),"")</f>
        <v/>
      </c>
      <c r="E1386" s="36" t="str">
        <f>IFERROR(VLOOKUP(A1386,القائمة!$A$3:$F$112,5,FALSE),"")</f>
        <v/>
      </c>
      <c r="F1386" s="37" t="str">
        <f>IFERROR(VLOOKUP(A1386,القائمة!$A$3:$F$112,6,FALSE),"")</f>
        <v/>
      </c>
      <c r="P1386" s="27">
        <f t="shared" si="45"/>
        <v>0</v>
      </c>
      <c r="Q1386" s="27">
        <f t="shared" si="44"/>
        <v>0</v>
      </c>
    </row>
    <row r="1387" spans="2:17" x14ac:dyDescent="0.45">
      <c r="B1387" s="27" t="str">
        <f>IFERROR(VLOOKUP(A1387,القائمة!$A$3:$F$112,2,FALSE),"")</f>
        <v/>
      </c>
      <c r="C1387" s="27" t="str">
        <f>IFERROR(VLOOKUP(A1387,القائمة!$A$3:$F$112,3,FALSE),"")</f>
        <v/>
      </c>
      <c r="D1387" s="36" t="str">
        <f>IFERROR(VLOOKUP(A1387,القائمة!$A$3:$F$112,4,FALSE),"")</f>
        <v/>
      </c>
      <c r="E1387" s="36" t="str">
        <f>IFERROR(VLOOKUP(A1387,القائمة!$A$3:$F$112,5,FALSE),"")</f>
        <v/>
      </c>
      <c r="F1387" s="37" t="str">
        <f>IFERROR(VLOOKUP(A1387,القائمة!$A$3:$F$112,6,FALSE),"")</f>
        <v/>
      </c>
      <c r="P1387" s="27">
        <f t="shared" si="45"/>
        <v>0</v>
      </c>
      <c r="Q1387" s="27">
        <f t="shared" si="44"/>
        <v>0</v>
      </c>
    </row>
    <row r="1388" spans="2:17" x14ac:dyDescent="0.45">
      <c r="B1388" s="27" t="str">
        <f>IFERROR(VLOOKUP(A1388,القائمة!$A$3:$F$112,2,FALSE),"")</f>
        <v/>
      </c>
      <c r="C1388" s="27" t="str">
        <f>IFERROR(VLOOKUP(A1388,القائمة!$A$3:$F$112,3,FALSE),"")</f>
        <v/>
      </c>
      <c r="D1388" s="36" t="str">
        <f>IFERROR(VLOOKUP(A1388,القائمة!$A$3:$F$112,4,FALSE),"")</f>
        <v/>
      </c>
      <c r="E1388" s="36" t="str">
        <f>IFERROR(VLOOKUP(A1388,القائمة!$A$3:$F$112,5,FALSE),"")</f>
        <v/>
      </c>
      <c r="F1388" s="37" t="str">
        <f>IFERROR(VLOOKUP(A1388,القائمة!$A$3:$F$112,6,FALSE),"")</f>
        <v/>
      </c>
      <c r="P1388" s="27">
        <f t="shared" si="45"/>
        <v>0</v>
      </c>
      <c r="Q1388" s="27">
        <f t="shared" si="44"/>
        <v>0</v>
      </c>
    </row>
    <row r="1389" spans="2:17" x14ac:dyDescent="0.45">
      <c r="B1389" s="27" t="str">
        <f>IFERROR(VLOOKUP(A1389,القائمة!$A$3:$F$112,2,FALSE),"")</f>
        <v/>
      </c>
      <c r="C1389" s="27" t="str">
        <f>IFERROR(VLOOKUP(A1389,القائمة!$A$3:$F$112,3,FALSE),"")</f>
        <v/>
      </c>
      <c r="D1389" s="36" t="str">
        <f>IFERROR(VLOOKUP(A1389,القائمة!$A$3:$F$112,4,FALSE),"")</f>
        <v/>
      </c>
      <c r="E1389" s="36" t="str">
        <f>IFERROR(VLOOKUP(A1389,القائمة!$A$3:$F$112,5,FALSE),"")</f>
        <v/>
      </c>
      <c r="F1389" s="37" t="str">
        <f>IFERROR(VLOOKUP(A1389,القائمة!$A$3:$F$112,6,FALSE),"")</f>
        <v/>
      </c>
      <c r="P1389" s="27">
        <f t="shared" si="45"/>
        <v>0</v>
      </c>
      <c r="Q1389" s="27">
        <f t="shared" si="44"/>
        <v>0</v>
      </c>
    </row>
    <row r="1390" spans="2:17" x14ac:dyDescent="0.45">
      <c r="B1390" s="27" t="str">
        <f>IFERROR(VLOOKUP(A1390,القائمة!$A$3:$F$112,2,FALSE),"")</f>
        <v/>
      </c>
      <c r="C1390" s="27" t="str">
        <f>IFERROR(VLOOKUP(A1390,القائمة!$A$3:$F$112,3,FALSE),"")</f>
        <v/>
      </c>
      <c r="D1390" s="36" t="str">
        <f>IFERROR(VLOOKUP(A1390,القائمة!$A$3:$F$112,4,FALSE),"")</f>
        <v/>
      </c>
      <c r="E1390" s="36" t="str">
        <f>IFERROR(VLOOKUP(A1390,القائمة!$A$3:$F$112,5,FALSE),"")</f>
        <v/>
      </c>
      <c r="F1390" s="37" t="str">
        <f>IFERROR(VLOOKUP(A1390,القائمة!$A$3:$F$112,6,FALSE),"")</f>
        <v/>
      </c>
      <c r="P1390" s="27">
        <f t="shared" si="45"/>
        <v>0</v>
      </c>
      <c r="Q1390" s="27">
        <f t="shared" si="44"/>
        <v>0</v>
      </c>
    </row>
    <row r="1391" spans="2:17" x14ac:dyDescent="0.45">
      <c r="B1391" s="27" t="str">
        <f>IFERROR(VLOOKUP(A1391,القائمة!$A$3:$F$112,2,FALSE),"")</f>
        <v/>
      </c>
      <c r="C1391" s="27" t="str">
        <f>IFERROR(VLOOKUP(A1391,القائمة!$A$3:$F$112,3,FALSE),"")</f>
        <v/>
      </c>
      <c r="D1391" s="36" t="str">
        <f>IFERROR(VLOOKUP(A1391,القائمة!$A$3:$F$112,4,FALSE),"")</f>
        <v/>
      </c>
      <c r="E1391" s="36" t="str">
        <f>IFERROR(VLOOKUP(A1391,القائمة!$A$3:$F$112,5,FALSE),"")</f>
        <v/>
      </c>
      <c r="F1391" s="37" t="str">
        <f>IFERROR(VLOOKUP(A1391,القائمة!$A$3:$F$112,6,FALSE),"")</f>
        <v/>
      </c>
      <c r="P1391" s="27">
        <f t="shared" si="45"/>
        <v>0</v>
      </c>
      <c r="Q1391" s="27">
        <f t="shared" si="44"/>
        <v>0</v>
      </c>
    </row>
    <row r="1392" spans="2:17" x14ac:dyDescent="0.45">
      <c r="B1392" s="27" t="str">
        <f>IFERROR(VLOOKUP(A1392,القائمة!$A$3:$F$112,2,FALSE),"")</f>
        <v/>
      </c>
      <c r="C1392" s="27" t="str">
        <f>IFERROR(VLOOKUP(A1392,القائمة!$A$3:$F$112,3,FALSE),"")</f>
        <v/>
      </c>
      <c r="D1392" s="36" t="str">
        <f>IFERROR(VLOOKUP(A1392,القائمة!$A$3:$F$112,4,FALSE),"")</f>
        <v/>
      </c>
      <c r="E1392" s="36" t="str">
        <f>IFERROR(VLOOKUP(A1392,القائمة!$A$3:$F$112,5,FALSE),"")</f>
        <v/>
      </c>
      <c r="F1392" s="37" t="str">
        <f>IFERROR(VLOOKUP(A1392,القائمة!$A$3:$F$112,6,FALSE),"")</f>
        <v/>
      </c>
      <c r="P1392" s="27">
        <f t="shared" si="45"/>
        <v>0</v>
      </c>
      <c r="Q1392" s="27">
        <f t="shared" si="44"/>
        <v>0</v>
      </c>
    </row>
    <row r="1393" spans="2:17" x14ac:dyDescent="0.45">
      <c r="B1393" s="27" t="str">
        <f>IFERROR(VLOOKUP(A1393,القائمة!$A$3:$F$112,2,FALSE),"")</f>
        <v/>
      </c>
      <c r="C1393" s="27" t="str">
        <f>IFERROR(VLOOKUP(A1393,القائمة!$A$3:$F$112,3,FALSE),"")</f>
        <v/>
      </c>
      <c r="D1393" s="36" t="str">
        <f>IFERROR(VLOOKUP(A1393,القائمة!$A$3:$F$112,4,FALSE),"")</f>
        <v/>
      </c>
      <c r="E1393" s="36" t="str">
        <f>IFERROR(VLOOKUP(A1393,القائمة!$A$3:$F$112,5,FALSE),"")</f>
        <v/>
      </c>
      <c r="F1393" s="37" t="str">
        <f>IFERROR(VLOOKUP(A1393,القائمة!$A$3:$F$112,6,FALSE),"")</f>
        <v/>
      </c>
      <c r="P1393" s="27">
        <f t="shared" si="45"/>
        <v>0</v>
      </c>
      <c r="Q1393" s="27">
        <f t="shared" si="44"/>
        <v>0</v>
      </c>
    </row>
    <row r="1394" spans="2:17" x14ac:dyDescent="0.45">
      <c r="B1394" s="27" t="str">
        <f>IFERROR(VLOOKUP(A1394,القائمة!$A$3:$F$112,2,FALSE),"")</f>
        <v/>
      </c>
      <c r="C1394" s="27" t="str">
        <f>IFERROR(VLOOKUP(A1394,القائمة!$A$3:$F$112,3,FALSE),"")</f>
        <v/>
      </c>
      <c r="D1394" s="36" t="str">
        <f>IFERROR(VLOOKUP(A1394,القائمة!$A$3:$F$112,4,FALSE),"")</f>
        <v/>
      </c>
      <c r="E1394" s="36" t="str">
        <f>IFERROR(VLOOKUP(A1394,القائمة!$A$3:$F$112,5,FALSE),"")</f>
        <v/>
      </c>
      <c r="F1394" s="37" t="str">
        <f>IFERROR(VLOOKUP(A1394,القائمة!$A$3:$F$112,6,FALSE),"")</f>
        <v/>
      </c>
      <c r="P1394" s="27">
        <f t="shared" si="45"/>
        <v>0</v>
      </c>
      <c r="Q1394" s="27">
        <f t="shared" si="44"/>
        <v>0</v>
      </c>
    </row>
    <row r="1395" spans="2:17" x14ac:dyDescent="0.45">
      <c r="B1395" s="27" t="str">
        <f>IFERROR(VLOOKUP(A1395,القائمة!$A$3:$F$112,2,FALSE),"")</f>
        <v/>
      </c>
      <c r="C1395" s="27" t="str">
        <f>IFERROR(VLOOKUP(A1395,القائمة!$A$3:$F$112,3,FALSE),"")</f>
        <v/>
      </c>
      <c r="D1395" s="36" t="str">
        <f>IFERROR(VLOOKUP(A1395,القائمة!$A$3:$F$112,4,FALSE),"")</f>
        <v/>
      </c>
      <c r="E1395" s="36" t="str">
        <f>IFERROR(VLOOKUP(A1395,القائمة!$A$3:$F$112,5,FALSE),"")</f>
        <v/>
      </c>
      <c r="F1395" s="37" t="str">
        <f>IFERROR(VLOOKUP(A1395,القائمة!$A$3:$F$112,6,FALSE),"")</f>
        <v/>
      </c>
      <c r="P1395" s="27">
        <f t="shared" si="45"/>
        <v>0</v>
      </c>
      <c r="Q1395" s="27">
        <f t="shared" si="44"/>
        <v>0</v>
      </c>
    </row>
    <row r="1396" spans="2:17" x14ac:dyDescent="0.45">
      <c r="B1396" s="27" t="str">
        <f>IFERROR(VLOOKUP(A1396,القائمة!$A$3:$F$112,2,FALSE),"")</f>
        <v/>
      </c>
      <c r="C1396" s="27" t="str">
        <f>IFERROR(VLOOKUP(A1396,القائمة!$A$3:$F$112,3,FALSE),"")</f>
        <v/>
      </c>
      <c r="D1396" s="36" t="str">
        <f>IFERROR(VLOOKUP(A1396,القائمة!$A$3:$F$112,4,FALSE),"")</f>
        <v/>
      </c>
      <c r="E1396" s="36" t="str">
        <f>IFERROR(VLOOKUP(A1396,القائمة!$A$3:$F$112,5,FALSE),"")</f>
        <v/>
      </c>
      <c r="F1396" s="37" t="str">
        <f>IFERROR(VLOOKUP(A1396,القائمة!$A$3:$F$112,6,FALSE),"")</f>
        <v/>
      </c>
      <c r="P1396" s="27">
        <f t="shared" si="45"/>
        <v>0</v>
      </c>
      <c r="Q1396" s="27">
        <f t="shared" si="44"/>
        <v>0</v>
      </c>
    </row>
    <row r="1397" spans="2:17" x14ac:dyDescent="0.45">
      <c r="B1397" s="27" t="str">
        <f>IFERROR(VLOOKUP(A1397,القائمة!$A$3:$F$112,2,FALSE),"")</f>
        <v/>
      </c>
      <c r="C1397" s="27" t="str">
        <f>IFERROR(VLOOKUP(A1397,القائمة!$A$3:$F$112,3,FALSE),"")</f>
        <v/>
      </c>
      <c r="D1397" s="36" t="str">
        <f>IFERROR(VLOOKUP(A1397,القائمة!$A$3:$F$112,4,FALSE),"")</f>
        <v/>
      </c>
      <c r="E1397" s="36" t="str">
        <f>IFERROR(VLOOKUP(A1397,القائمة!$A$3:$F$112,5,FALSE),"")</f>
        <v/>
      </c>
      <c r="F1397" s="37" t="str">
        <f>IFERROR(VLOOKUP(A1397,القائمة!$A$3:$F$112,6,FALSE),"")</f>
        <v/>
      </c>
      <c r="P1397" s="27">
        <f t="shared" si="45"/>
        <v>0</v>
      </c>
      <c r="Q1397" s="27">
        <f t="shared" si="44"/>
        <v>0</v>
      </c>
    </row>
    <row r="1398" spans="2:17" x14ac:dyDescent="0.45">
      <c r="B1398" s="27" t="str">
        <f>IFERROR(VLOOKUP(A1398,القائمة!$A$3:$F$112,2,FALSE),"")</f>
        <v/>
      </c>
      <c r="C1398" s="27" t="str">
        <f>IFERROR(VLOOKUP(A1398,القائمة!$A$3:$F$112,3,FALSE),"")</f>
        <v/>
      </c>
      <c r="D1398" s="36" t="str">
        <f>IFERROR(VLOOKUP(A1398,القائمة!$A$3:$F$112,4,FALSE),"")</f>
        <v/>
      </c>
      <c r="E1398" s="36" t="str">
        <f>IFERROR(VLOOKUP(A1398,القائمة!$A$3:$F$112,5,FALSE),"")</f>
        <v/>
      </c>
      <c r="F1398" s="37" t="str">
        <f>IFERROR(VLOOKUP(A1398,القائمة!$A$3:$F$112,6,FALSE),"")</f>
        <v/>
      </c>
      <c r="P1398" s="27">
        <f t="shared" si="45"/>
        <v>0</v>
      </c>
      <c r="Q1398" s="27">
        <f t="shared" si="44"/>
        <v>0</v>
      </c>
    </row>
    <row r="1399" spans="2:17" x14ac:dyDescent="0.45">
      <c r="B1399" s="27" t="str">
        <f>IFERROR(VLOOKUP(A1399,القائمة!$A$3:$F$112,2,FALSE),"")</f>
        <v/>
      </c>
      <c r="C1399" s="27" t="str">
        <f>IFERROR(VLOOKUP(A1399,القائمة!$A$3:$F$112,3,FALSE),"")</f>
        <v/>
      </c>
      <c r="D1399" s="36" t="str">
        <f>IFERROR(VLOOKUP(A1399,القائمة!$A$3:$F$112,4,FALSE),"")</f>
        <v/>
      </c>
      <c r="E1399" s="36" t="str">
        <f>IFERROR(VLOOKUP(A1399,القائمة!$A$3:$F$112,5,FALSE),"")</f>
        <v/>
      </c>
      <c r="F1399" s="37" t="str">
        <f>IFERROR(VLOOKUP(A1399,القائمة!$A$3:$F$112,6,FALSE),"")</f>
        <v/>
      </c>
      <c r="P1399" s="27">
        <f t="shared" si="45"/>
        <v>0</v>
      </c>
      <c r="Q1399" s="27">
        <f t="shared" si="44"/>
        <v>0</v>
      </c>
    </row>
    <row r="1400" spans="2:17" x14ac:dyDescent="0.45">
      <c r="B1400" s="27" t="str">
        <f>IFERROR(VLOOKUP(A1400,القائمة!$A$3:$F$112,2,FALSE),"")</f>
        <v/>
      </c>
      <c r="C1400" s="27" t="str">
        <f>IFERROR(VLOOKUP(A1400,القائمة!$A$3:$F$112,3,FALSE),"")</f>
        <v/>
      </c>
      <c r="D1400" s="36" t="str">
        <f>IFERROR(VLOOKUP(A1400,القائمة!$A$3:$F$112,4,FALSE),"")</f>
        <v/>
      </c>
      <c r="E1400" s="36" t="str">
        <f>IFERROR(VLOOKUP(A1400,القائمة!$A$3:$F$112,5,FALSE),"")</f>
        <v/>
      </c>
      <c r="F1400" s="37" t="str">
        <f>IFERROR(VLOOKUP(A1400,القائمة!$A$3:$F$112,6,FALSE),"")</f>
        <v/>
      </c>
      <c r="P1400" s="27">
        <f t="shared" si="45"/>
        <v>0</v>
      </c>
      <c r="Q1400" s="27">
        <f t="shared" si="44"/>
        <v>0</v>
      </c>
    </row>
    <row r="1401" spans="2:17" x14ac:dyDescent="0.45">
      <c r="B1401" s="27" t="str">
        <f>IFERROR(VLOOKUP(A1401,القائمة!$A$3:$F$112,2,FALSE),"")</f>
        <v/>
      </c>
      <c r="C1401" s="27" t="str">
        <f>IFERROR(VLOOKUP(A1401,القائمة!$A$3:$F$112,3,FALSE),"")</f>
        <v/>
      </c>
      <c r="D1401" s="36" t="str">
        <f>IFERROR(VLOOKUP(A1401,القائمة!$A$3:$F$112,4,FALSE),"")</f>
        <v/>
      </c>
      <c r="E1401" s="36" t="str">
        <f>IFERROR(VLOOKUP(A1401,القائمة!$A$3:$F$112,5,FALSE),"")</f>
        <v/>
      </c>
      <c r="F1401" s="37" t="str">
        <f>IFERROR(VLOOKUP(A1401,القائمة!$A$3:$F$112,6,FALSE),"")</f>
        <v/>
      </c>
      <c r="P1401" s="27">
        <f t="shared" si="45"/>
        <v>0</v>
      </c>
      <c r="Q1401" s="27">
        <f t="shared" si="44"/>
        <v>0</v>
      </c>
    </row>
    <row r="1402" spans="2:17" x14ac:dyDescent="0.45">
      <c r="B1402" s="27" t="str">
        <f>IFERROR(VLOOKUP(A1402,القائمة!$A$3:$F$112,2,FALSE),"")</f>
        <v/>
      </c>
      <c r="C1402" s="27" t="str">
        <f>IFERROR(VLOOKUP(A1402,القائمة!$A$3:$F$112,3,FALSE),"")</f>
        <v/>
      </c>
      <c r="D1402" s="36" t="str">
        <f>IFERROR(VLOOKUP(A1402,القائمة!$A$3:$F$112,4,FALSE),"")</f>
        <v/>
      </c>
      <c r="E1402" s="36" t="str">
        <f>IFERROR(VLOOKUP(A1402,القائمة!$A$3:$F$112,5,FALSE),"")</f>
        <v/>
      </c>
      <c r="F1402" s="37" t="str">
        <f>IFERROR(VLOOKUP(A1402,القائمة!$A$3:$F$112,6,FALSE),"")</f>
        <v/>
      </c>
      <c r="P1402" s="27">
        <f t="shared" si="45"/>
        <v>0</v>
      </c>
      <c r="Q1402" s="27">
        <f t="shared" si="44"/>
        <v>0</v>
      </c>
    </row>
    <row r="1403" spans="2:17" x14ac:dyDescent="0.45">
      <c r="B1403" s="27" t="str">
        <f>IFERROR(VLOOKUP(A1403,القائمة!$A$3:$F$112,2,FALSE),"")</f>
        <v/>
      </c>
      <c r="C1403" s="27" t="str">
        <f>IFERROR(VLOOKUP(A1403,القائمة!$A$3:$F$112,3,FALSE),"")</f>
        <v/>
      </c>
      <c r="D1403" s="36" t="str">
        <f>IFERROR(VLOOKUP(A1403,القائمة!$A$3:$F$112,4,FALSE),"")</f>
        <v/>
      </c>
      <c r="E1403" s="36" t="str">
        <f>IFERROR(VLOOKUP(A1403,القائمة!$A$3:$F$112,5,FALSE),"")</f>
        <v/>
      </c>
      <c r="F1403" s="37" t="str">
        <f>IFERROR(VLOOKUP(A1403,القائمة!$A$3:$F$112,6,FALSE),"")</f>
        <v/>
      </c>
      <c r="P1403" s="27">
        <f t="shared" si="45"/>
        <v>0</v>
      </c>
      <c r="Q1403" s="27">
        <f t="shared" si="44"/>
        <v>0</v>
      </c>
    </row>
    <row r="1404" spans="2:17" x14ac:dyDescent="0.45">
      <c r="B1404" s="27" t="str">
        <f>IFERROR(VLOOKUP(A1404,القائمة!$A$3:$F$112,2,FALSE),"")</f>
        <v/>
      </c>
      <c r="C1404" s="27" t="str">
        <f>IFERROR(VLOOKUP(A1404,القائمة!$A$3:$F$112,3,FALSE),"")</f>
        <v/>
      </c>
      <c r="D1404" s="36" t="str">
        <f>IFERROR(VLOOKUP(A1404,القائمة!$A$3:$F$112,4,FALSE),"")</f>
        <v/>
      </c>
      <c r="E1404" s="36" t="str">
        <f>IFERROR(VLOOKUP(A1404,القائمة!$A$3:$F$112,5,FALSE),"")</f>
        <v/>
      </c>
      <c r="F1404" s="37" t="str">
        <f>IFERROR(VLOOKUP(A1404,القائمة!$A$3:$F$112,6,FALSE),"")</f>
        <v/>
      </c>
      <c r="P1404" s="27">
        <f t="shared" si="45"/>
        <v>0</v>
      </c>
      <c r="Q1404" s="27">
        <f t="shared" si="44"/>
        <v>0</v>
      </c>
    </row>
    <row r="1405" spans="2:17" x14ac:dyDescent="0.45">
      <c r="B1405" s="27" t="str">
        <f>IFERROR(VLOOKUP(A1405,القائمة!$A$3:$F$112,2,FALSE),"")</f>
        <v/>
      </c>
      <c r="C1405" s="27" t="str">
        <f>IFERROR(VLOOKUP(A1405,القائمة!$A$3:$F$112,3,FALSE),"")</f>
        <v/>
      </c>
      <c r="D1405" s="36" t="str">
        <f>IFERROR(VLOOKUP(A1405,القائمة!$A$3:$F$112,4,FALSE),"")</f>
        <v/>
      </c>
      <c r="E1405" s="36" t="str">
        <f>IFERROR(VLOOKUP(A1405,القائمة!$A$3:$F$112,5,FALSE),"")</f>
        <v/>
      </c>
      <c r="F1405" s="37" t="str">
        <f>IFERROR(VLOOKUP(A1405,القائمة!$A$3:$F$112,6,FALSE),"")</f>
        <v/>
      </c>
      <c r="P1405" s="27">
        <f t="shared" si="45"/>
        <v>0</v>
      </c>
      <c r="Q1405" s="27">
        <f t="shared" si="44"/>
        <v>0</v>
      </c>
    </row>
    <row r="1406" spans="2:17" x14ac:dyDescent="0.45">
      <c r="B1406" s="27" t="str">
        <f>IFERROR(VLOOKUP(A1406,القائمة!$A$3:$F$112,2,FALSE),"")</f>
        <v/>
      </c>
      <c r="C1406" s="27" t="str">
        <f>IFERROR(VLOOKUP(A1406,القائمة!$A$3:$F$112,3,FALSE),"")</f>
        <v/>
      </c>
      <c r="D1406" s="36" t="str">
        <f>IFERROR(VLOOKUP(A1406,القائمة!$A$3:$F$112,4,FALSE),"")</f>
        <v/>
      </c>
      <c r="E1406" s="36" t="str">
        <f>IFERROR(VLOOKUP(A1406,القائمة!$A$3:$F$112,5,FALSE),"")</f>
        <v/>
      </c>
      <c r="F1406" s="37" t="str">
        <f>IFERROR(VLOOKUP(A1406,القائمة!$A$3:$F$112,6,FALSE),"")</f>
        <v/>
      </c>
      <c r="P1406" s="27">
        <f t="shared" si="45"/>
        <v>0</v>
      </c>
      <c r="Q1406" s="27">
        <f t="shared" si="44"/>
        <v>0</v>
      </c>
    </row>
    <row r="1407" spans="2:17" x14ac:dyDescent="0.45">
      <c r="B1407" s="27" t="str">
        <f>IFERROR(VLOOKUP(A1407,القائمة!$A$3:$F$112,2,FALSE),"")</f>
        <v/>
      </c>
      <c r="C1407" s="27" t="str">
        <f>IFERROR(VLOOKUP(A1407,القائمة!$A$3:$F$112,3,FALSE),"")</f>
        <v/>
      </c>
      <c r="D1407" s="36" t="str">
        <f>IFERROR(VLOOKUP(A1407,القائمة!$A$3:$F$112,4,FALSE),"")</f>
        <v/>
      </c>
      <c r="E1407" s="36" t="str">
        <f>IFERROR(VLOOKUP(A1407,القائمة!$A$3:$F$112,5,FALSE),"")</f>
        <v/>
      </c>
      <c r="F1407" s="37" t="str">
        <f>IFERROR(VLOOKUP(A1407,القائمة!$A$3:$F$112,6,FALSE),"")</f>
        <v/>
      </c>
      <c r="P1407" s="27">
        <f t="shared" si="45"/>
        <v>0</v>
      </c>
      <c r="Q1407" s="27">
        <f t="shared" si="44"/>
        <v>0</v>
      </c>
    </row>
    <row r="1408" spans="2:17" x14ac:dyDescent="0.45">
      <c r="B1408" s="27" t="str">
        <f>IFERROR(VLOOKUP(A1408,القائمة!$A$3:$F$112,2,FALSE),"")</f>
        <v/>
      </c>
      <c r="C1408" s="27" t="str">
        <f>IFERROR(VLOOKUP(A1408,القائمة!$A$3:$F$112,3,FALSE),"")</f>
        <v/>
      </c>
      <c r="D1408" s="36" t="str">
        <f>IFERROR(VLOOKUP(A1408,القائمة!$A$3:$F$112,4,FALSE),"")</f>
        <v/>
      </c>
      <c r="E1408" s="36" t="str">
        <f>IFERROR(VLOOKUP(A1408,القائمة!$A$3:$F$112,5,FALSE),"")</f>
        <v/>
      </c>
      <c r="F1408" s="37" t="str">
        <f>IFERROR(VLOOKUP(A1408,القائمة!$A$3:$F$112,6,FALSE),"")</f>
        <v/>
      </c>
      <c r="P1408" s="27">
        <f t="shared" si="45"/>
        <v>0</v>
      </c>
      <c r="Q1408" s="27">
        <f t="shared" si="44"/>
        <v>0</v>
      </c>
    </row>
    <row r="1409" spans="2:17" x14ac:dyDescent="0.45">
      <c r="B1409" s="27" t="str">
        <f>IFERROR(VLOOKUP(A1409,القائمة!$A$3:$F$112,2,FALSE),"")</f>
        <v/>
      </c>
      <c r="C1409" s="27" t="str">
        <f>IFERROR(VLOOKUP(A1409,القائمة!$A$3:$F$112,3,FALSE),"")</f>
        <v/>
      </c>
      <c r="D1409" s="36" t="str">
        <f>IFERROR(VLOOKUP(A1409,القائمة!$A$3:$F$112,4,FALSE),"")</f>
        <v/>
      </c>
      <c r="E1409" s="36" t="str">
        <f>IFERROR(VLOOKUP(A1409,القائمة!$A$3:$F$112,5,FALSE),"")</f>
        <v/>
      </c>
      <c r="F1409" s="37" t="str">
        <f>IFERROR(VLOOKUP(A1409,القائمة!$A$3:$F$112,6,FALSE),"")</f>
        <v/>
      </c>
      <c r="P1409" s="27">
        <f t="shared" si="45"/>
        <v>0</v>
      </c>
      <c r="Q1409" s="27">
        <f t="shared" si="44"/>
        <v>0</v>
      </c>
    </row>
    <row r="1410" spans="2:17" x14ac:dyDescent="0.45">
      <c r="B1410" s="27" t="str">
        <f>IFERROR(VLOOKUP(A1410,القائمة!$A$3:$F$112,2,FALSE),"")</f>
        <v/>
      </c>
      <c r="C1410" s="27" t="str">
        <f>IFERROR(VLOOKUP(A1410,القائمة!$A$3:$F$112,3,FALSE),"")</f>
        <v/>
      </c>
      <c r="D1410" s="36" t="str">
        <f>IFERROR(VLOOKUP(A1410,القائمة!$A$3:$F$112,4,FALSE),"")</f>
        <v/>
      </c>
      <c r="E1410" s="36" t="str">
        <f>IFERROR(VLOOKUP(A1410,القائمة!$A$3:$F$112,5,FALSE),"")</f>
        <v/>
      </c>
      <c r="F1410" s="37" t="str">
        <f>IFERROR(VLOOKUP(A1410,القائمة!$A$3:$F$112,6,FALSE),"")</f>
        <v/>
      </c>
      <c r="P1410" s="27">
        <f t="shared" si="45"/>
        <v>0</v>
      </c>
      <c r="Q1410" s="27">
        <f t="shared" si="44"/>
        <v>0</v>
      </c>
    </row>
    <row r="1411" spans="2:17" x14ac:dyDescent="0.45">
      <c r="B1411" s="27" t="str">
        <f>IFERROR(VLOOKUP(A1411,القائمة!$A$3:$F$112,2,FALSE),"")</f>
        <v/>
      </c>
      <c r="C1411" s="27" t="str">
        <f>IFERROR(VLOOKUP(A1411,القائمة!$A$3:$F$112,3,FALSE),"")</f>
        <v/>
      </c>
      <c r="D1411" s="36" t="str">
        <f>IFERROR(VLOOKUP(A1411,القائمة!$A$3:$F$112,4,FALSE),"")</f>
        <v/>
      </c>
      <c r="E1411" s="36" t="str">
        <f>IFERROR(VLOOKUP(A1411,القائمة!$A$3:$F$112,5,FALSE),"")</f>
        <v/>
      </c>
      <c r="F1411" s="37" t="str">
        <f>IFERROR(VLOOKUP(A1411,القائمة!$A$3:$F$112,6,FALSE),"")</f>
        <v/>
      </c>
      <c r="P1411" s="27">
        <f t="shared" si="45"/>
        <v>0</v>
      </c>
      <c r="Q1411" s="27">
        <f t="shared" ref="Q1411:Q1474" si="46">+P1411+L1411-M1411</f>
        <v>0</v>
      </c>
    </row>
    <row r="1412" spans="2:17" x14ac:dyDescent="0.45">
      <c r="B1412" s="27" t="str">
        <f>IFERROR(VLOOKUP(A1412,القائمة!$A$3:$F$112,2,FALSE),"")</f>
        <v/>
      </c>
      <c r="C1412" s="27" t="str">
        <f>IFERROR(VLOOKUP(A1412,القائمة!$A$3:$F$112,3,FALSE),"")</f>
        <v/>
      </c>
      <c r="D1412" s="36" t="str">
        <f>IFERROR(VLOOKUP(A1412,القائمة!$A$3:$F$112,4,FALSE),"")</f>
        <v/>
      </c>
      <c r="E1412" s="36" t="str">
        <f>IFERROR(VLOOKUP(A1412,القائمة!$A$3:$F$112,5,FALSE),"")</f>
        <v/>
      </c>
      <c r="F1412" s="37" t="str">
        <f>IFERROR(VLOOKUP(A1412,القائمة!$A$3:$F$112,6,FALSE),"")</f>
        <v/>
      </c>
      <c r="P1412" s="27">
        <f t="shared" ref="P1412:P1475" si="47">J1412-K1412</f>
        <v>0</v>
      </c>
      <c r="Q1412" s="27">
        <f t="shared" si="46"/>
        <v>0</v>
      </c>
    </row>
    <row r="1413" spans="2:17" x14ac:dyDescent="0.45">
      <c r="B1413" s="27" t="str">
        <f>IFERROR(VLOOKUP(A1413,القائمة!$A$3:$F$112,2,FALSE),"")</f>
        <v/>
      </c>
      <c r="C1413" s="27" t="str">
        <f>IFERROR(VLOOKUP(A1413,القائمة!$A$3:$F$112,3,FALSE),"")</f>
        <v/>
      </c>
      <c r="D1413" s="36" t="str">
        <f>IFERROR(VLOOKUP(A1413,القائمة!$A$3:$F$112,4,FALSE),"")</f>
        <v/>
      </c>
      <c r="E1413" s="36" t="str">
        <f>IFERROR(VLOOKUP(A1413,القائمة!$A$3:$F$112,5,FALSE),"")</f>
        <v/>
      </c>
      <c r="F1413" s="37" t="str">
        <f>IFERROR(VLOOKUP(A1413,القائمة!$A$3:$F$112,6,FALSE),"")</f>
        <v/>
      </c>
      <c r="P1413" s="27">
        <f t="shared" si="47"/>
        <v>0</v>
      </c>
      <c r="Q1413" s="27">
        <f t="shared" si="46"/>
        <v>0</v>
      </c>
    </row>
    <row r="1414" spans="2:17" x14ac:dyDescent="0.45">
      <c r="B1414" s="27" t="str">
        <f>IFERROR(VLOOKUP(A1414,القائمة!$A$3:$F$112,2,FALSE),"")</f>
        <v/>
      </c>
      <c r="C1414" s="27" t="str">
        <f>IFERROR(VLOOKUP(A1414,القائمة!$A$3:$F$112,3,FALSE),"")</f>
        <v/>
      </c>
      <c r="D1414" s="36" t="str">
        <f>IFERROR(VLOOKUP(A1414,القائمة!$A$3:$F$112,4,FALSE),"")</f>
        <v/>
      </c>
      <c r="E1414" s="36" t="str">
        <f>IFERROR(VLOOKUP(A1414,القائمة!$A$3:$F$112,5,FALSE),"")</f>
        <v/>
      </c>
      <c r="F1414" s="37" t="str">
        <f>IFERROR(VLOOKUP(A1414,القائمة!$A$3:$F$112,6,FALSE),"")</f>
        <v/>
      </c>
      <c r="P1414" s="27">
        <f t="shared" si="47"/>
        <v>0</v>
      </c>
      <c r="Q1414" s="27">
        <f t="shared" si="46"/>
        <v>0</v>
      </c>
    </row>
    <row r="1415" spans="2:17" x14ac:dyDescent="0.45">
      <c r="B1415" s="27" t="str">
        <f>IFERROR(VLOOKUP(A1415,القائمة!$A$3:$F$112,2,FALSE),"")</f>
        <v/>
      </c>
      <c r="C1415" s="27" t="str">
        <f>IFERROR(VLOOKUP(A1415,القائمة!$A$3:$F$112,3,FALSE),"")</f>
        <v/>
      </c>
      <c r="D1415" s="36" t="str">
        <f>IFERROR(VLOOKUP(A1415,القائمة!$A$3:$F$112,4,FALSE),"")</f>
        <v/>
      </c>
      <c r="E1415" s="36" t="str">
        <f>IFERROR(VLOOKUP(A1415,القائمة!$A$3:$F$112,5,FALSE),"")</f>
        <v/>
      </c>
      <c r="F1415" s="37" t="str">
        <f>IFERROR(VLOOKUP(A1415,القائمة!$A$3:$F$112,6,FALSE),"")</f>
        <v/>
      </c>
      <c r="P1415" s="27">
        <f t="shared" si="47"/>
        <v>0</v>
      </c>
      <c r="Q1415" s="27">
        <f t="shared" si="46"/>
        <v>0</v>
      </c>
    </row>
    <row r="1416" spans="2:17" x14ac:dyDescent="0.45">
      <c r="B1416" s="27" t="str">
        <f>IFERROR(VLOOKUP(A1416,القائمة!$A$3:$F$112,2,FALSE),"")</f>
        <v/>
      </c>
      <c r="C1416" s="27" t="str">
        <f>IFERROR(VLOOKUP(A1416,القائمة!$A$3:$F$112,3,FALSE),"")</f>
        <v/>
      </c>
      <c r="D1416" s="36" t="str">
        <f>IFERROR(VLOOKUP(A1416,القائمة!$A$3:$F$112,4,FALSE),"")</f>
        <v/>
      </c>
      <c r="E1416" s="36" t="str">
        <f>IFERROR(VLOOKUP(A1416,القائمة!$A$3:$F$112,5,FALSE),"")</f>
        <v/>
      </c>
      <c r="F1416" s="37" t="str">
        <f>IFERROR(VLOOKUP(A1416,القائمة!$A$3:$F$112,6,FALSE),"")</f>
        <v/>
      </c>
      <c r="P1416" s="27">
        <f t="shared" si="47"/>
        <v>0</v>
      </c>
      <c r="Q1416" s="27">
        <f t="shared" si="46"/>
        <v>0</v>
      </c>
    </row>
    <row r="1417" spans="2:17" x14ac:dyDescent="0.45">
      <c r="B1417" s="27" t="str">
        <f>IFERROR(VLOOKUP(A1417,القائمة!$A$3:$F$112,2,FALSE),"")</f>
        <v/>
      </c>
      <c r="C1417" s="27" t="str">
        <f>IFERROR(VLOOKUP(A1417,القائمة!$A$3:$F$112,3,FALSE),"")</f>
        <v/>
      </c>
      <c r="D1417" s="36" t="str">
        <f>IFERROR(VLOOKUP(A1417,القائمة!$A$3:$F$112,4,FALSE),"")</f>
        <v/>
      </c>
      <c r="E1417" s="36" t="str">
        <f>IFERROR(VLOOKUP(A1417,القائمة!$A$3:$F$112,5,FALSE),"")</f>
        <v/>
      </c>
      <c r="F1417" s="37" t="str">
        <f>IFERROR(VLOOKUP(A1417,القائمة!$A$3:$F$112,6,FALSE),"")</f>
        <v/>
      </c>
      <c r="P1417" s="27">
        <f t="shared" si="47"/>
        <v>0</v>
      </c>
      <c r="Q1417" s="27">
        <f t="shared" si="46"/>
        <v>0</v>
      </c>
    </row>
    <row r="1418" spans="2:17" x14ac:dyDescent="0.45">
      <c r="B1418" s="27" t="str">
        <f>IFERROR(VLOOKUP(A1418,القائمة!$A$3:$F$112,2,FALSE),"")</f>
        <v/>
      </c>
      <c r="C1418" s="27" t="str">
        <f>IFERROR(VLOOKUP(A1418,القائمة!$A$3:$F$112,3,FALSE),"")</f>
        <v/>
      </c>
      <c r="D1418" s="36" t="str">
        <f>IFERROR(VLOOKUP(A1418,القائمة!$A$3:$F$112,4,FALSE),"")</f>
        <v/>
      </c>
      <c r="E1418" s="36" t="str">
        <f>IFERROR(VLOOKUP(A1418,القائمة!$A$3:$F$112,5,FALSE),"")</f>
        <v/>
      </c>
      <c r="F1418" s="37" t="str">
        <f>IFERROR(VLOOKUP(A1418,القائمة!$A$3:$F$112,6,FALSE),"")</f>
        <v/>
      </c>
      <c r="P1418" s="27">
        <f t="shared" si="47"/>
        <v>0</v>
      </c>
      <c r="Q1418" s="27">
        <f t="shared" si="46"/>
        <v>0</v>
      </c>
    </row>
    <row r="1419" spans="2:17" x14ac:dyDescent="0.45">
      <c r="B1419" s="27" t="str">
        <f>IFERROR(VLOOKUP(A1419,القائمة!$A$3:$F$112,2,FALSE),"")</f>
        <v/>
      </c>
      <c r="C1419" s="27" t="str">
        <f>IFERROR(VLOOKUP(A1419,القائمة!$A$3:$F$112,3,FALSE),"")</f>
        <v/>
      </c>
      <c r="D1419" s="36" t="str">
        <f>IFERROR(VLOOKUP(A1419,القائمة!$A$3:$F$112,4,FALSE),"")</f>
        <v/>
      </c>
      <c r="E1419" s="36" t="str">
        <f>IFERROR(VLOOKUP(A1419,القائمة!$A$3:$F$112,5,FALSE),"")</f>
        <v/>
      </c>
      <c r="F1419" s="37" t="str">
        <f>IFERROR(VLOOKUP(A1419,القائمة!$A$3:$F$112,6,FALSE),"")</f>
        <v/>
      </c>
      <c r="P1419" s="27">
        <f t="shared" si="47"/>
        <v>0</v>
      </c>
      <c r="Q1419" s="27">
        <f t="shared" si="46"/>
        <v>0</v>
      </c>
    </row>
    <row r="1420" spans="2:17" x14ac:dyDescent="0.45">
      <c r="B1420" s="27" t="str">
        <f>IFERROR(VLOOKUP(A1420,القائمة!$A$3:$F$112,2,FALSE),"")</f>
        <v/>
      </c>
      <c r="C1420" s="27" t="str">
        <f>IFERROR(VLOOKUP(A1420,القائمة!$A$3:$F$112,3,FALSE),"")</f>
        <v/>
      </c>
      <c r="D1420" s="36" t="str">
        <f>IFERROR(VLOOKUP(A1420,القائمة!$A$3:$F$112,4,FALSE),"")</f>
        <v/>
      </c>
      <c r="E1420" s="36" t="str">
        <f>IFERROR(VLOOKUP(A1420,القائمة!$A$3:$F$112,5,FALSE),"")</f>
        <v/>
      </c>
      <c r="F1420" s="37" t="str">
        <f>IFERROR(VLOOKUP(A1420,القائمة!$A$3:$F$112,6,FALSE),"")</f>
        <v/>
      </c>
      <c r="P1420" s="27">
        <f t="shared" si="47"/>
        <v>0</v>
      </c>
      <c r="Q1420" s="27">
        <f t="shared" si="46"/>
        <v>0</v>
      </c>
    </row>
    <row r="1421" spans="2:17" x14ac:dyDescent="0.45">
      <c r="B1421" s="27" t="str">
        <f>IFERROR(VLOOKUP(A1421,القائمة!$A$3:$F$112,2,FALSE),"")</f>
        <v/>
      </c>
      <c r="C1421" s="27" t="str">
        <f>IFERROR(VLOOKUP(A1421,القائمة!$A$3:$F$112,3,FALSE),"")</f>
        <v/>
      </c>
      <c r="D1421" s="36" t="str">
        <f>IFERROR(VLOOKUP(A1421,القائمة!$A$3:$F$112,4,FALSE),"")</f>
        <v/>
      </c>
      <c r="E1421" s="36" t="str">
        <f>IFERROR(VLOOKUP(A1421,القائمة!$A$3:$F$112,5,FALSE),"")</f>
        <v/>
      </c>
      <c r="F1421" s="37" t="str">
        <f>IFERROR(VLOOKUP(A1421,القائمة!$A$3:$F$112,6,FALSE),"")</f>
        <v/>
      </c>
      <c r="P1421" s="27">
        <f t="shared" si="47"/>
        <v>0</v>
      </c>
      <c r="Q1421" s="27">
        <f t="shared" si="46"/>
        <v>0</v>
      </c>
    </row>
    <row r="1422" spans="2:17" x14ac:dyDescent="0.45">
      <c r="B1422" s="27" t="str">
        <f>IFERROR(VLOOKUP(A1422,القائمة!$A$3:$F$112,2,FALSE),"")</f>
        <v/>
      </c>
      <c r="C1422" s="27" t="str">
        <f>IFERROR(VLOOKUP(A1422,القائمة!$A$3:$F$112,3,FALSE),"")</f>
        <v/>
      </c>
      <c r="D1422" s="36" t="str">
        <f>IFERROR(VLOOKUP(A1422,القائمة!$A$3:$F$112,4,FALSE),"")</f>
        <v/>
      </c>
      <c r="E1422" s="36" t="str">
        <f>IFERROR(VLOOKUP(A1422,القائمة!$A$3:$F$112,5,FALSE),"")</f>
        <v/>
      </c>
      <c r="F1422" s="37" t="str">
        <f>IFERROR(VLOOKUP(A1422,القائمة!$A$3:$F$112,6,FALSE),"")</f>
        <v/>
      </c>
      <c r="P1422" s="27">
        <f t="shared" si="47"/>
        <v>0</v>
      </c>
      <c r="Q1422" s="27">
        <f t="shared" si="46"/>
        <v>0</v>
      </c>
    </row>
    <row r="1423" spans="2:17" x14ac:dyDescent="0.45">
      <c r="B1423" s="27" t="str">
        <f>IFERROR(VLOOKUP(A1423,القائمة!$A$3:$F$112,2,FALSE),"")</f>
        <v/>
      </c>
      <c r="C1423" s="27" t="str">
        <f>IFERROR(VLOOKUP(A1423,القائمة!$A$3:$F$112,3,FALSE),"")</f>
        <v/>
      </c>
      <c r="D1423" s="36" t="str">
        <f>IFERROR(VLOOKUP(A1423,القائمة!$A$3:$F$112,4,FALSE),"")</f>
        <v/>
      </c>
      <c r="E1423" s="36" t="str">
        <f>IFERROR(VLOOKUP(A1423,القائمة!$A$3:$F$112,5,FALSE),"")</f>
        <v/>
      </c>
      <c r="F1423" s="37" t="str">
        <f>IFERROR(VLOOKUP(A1423,القائمة!$A$3:$F$112,6,FALSE),"")</f>
        <v/>
      </c>
      <c r="P1423" s="27">
        <f t="shared" si="47"/>
        <v>0</v>
      </c>
      <c r="Q1423" s="27">
        <f t="shared" si="46"/>
        <v>0</v>
      </c>
    </row>
    <row r="1424" spans="2:17" x14ac:dyDescent="0.45">
      <c r="B1424" s="27" t="str">
        <f>IFERROR(VLOOKUP(A1424,القائمة!$A$3:$F$112,2,FALSE),"")</f>
        <v/>
      </c>
      <c r="C1424" s="27" t="str">
        <f>IFERROR(VLOOKUP(A1424,القائمة!$A$3:$F$112,3,FALSE),"")</f>
        <v/>
      </c>
      <c r="D1424" s="36" t="str">
        <f>IFERROR(VLOOKUP(A1424,القائمة!$A$3:$F$112,4,FALSE),"")</f>
        <v/>
      </c>
      <c r="E1424" s="36" t="str">
        <f>IFERROR(VLOOKUP(A1424,القائمة!$A$3:$F$112,5,FALSE),"")</f>
        <v/>
      </c>
      <c r="F1424" s="37" t="str">
        <f>IFERROR(VLOOKUP(A1424,القائمة!$A$3:$F$112,6,FALSE),"")</f>
        <v/>
      </c>
      <c r="P1424" s="27">
        <f t="shared" si="47"/>
        <v>0</v>
      </c>
      <c r="Q1424" s="27">
        <f t="shared" si="46"/>
        <v>0</v>
      </c>
    </row>
    <row r="1425" spans="2:17" x14ac:dyDescent="0.45">
      <c r="B1425" s="27" t="str">
        <f>IFERROR(VLOOKUP(A1425,القائمة!$A$3:$F$112,2,FALSE),"")</f>
        <v/>
      </c>
      <c r="C1425" s="27" t="str">
        <f>IFERROR(VLOOKUP(A1425,القائمة!$A$3:$F$112,3,FALSE),"")</f>
        <v/>
      </c>
      <c r="D1425" s="36" t="str">
        <f>IFERROR(VLOOKUP(A1425,القائمة!$A$3:$F$112,4,FALSE),"")</f>
        <v/>
      </c>
      <c r="E1425" s="36" t="str">
        <f>IFERROR(VLOOKUP(A1425,القائمة!$A$3:$F$112,5,FALSE),"")</f>
        <v/>
      </c>
      <c r="F1425" s="37" t="str">
        <f>IFERROR(VLOOKUP(A1425,القائمة!$A$3:$F$112,6,FALSE),"")</f>
        <v/>
      </c>
      <c r="P1425" s="27">
        <f t="shared" si="47"/>
        <v>0</v>
      </c>
      <c r="Q1425" s="27">
        <f t="shared" si="46"/>
        <v>0</v>
      </c>
    </row>
    <row r="1426" spans="2:17" x14ac:dyDescent="0.45">
      <c r="B1426" s="27" t="str">
        <f>IFERROR(VLOOKUP(A1426,القائمة!$A$3:$F$112,2,FALSE),"")</f>
        <v/>
      </c>
      <c r="C1426" s="27" t="str">
        <f>IFERROR(VLOOKUP(A1426,القائمة!$A$3:$F$112,3,FALSE),"")</f>
        <v/>
      </c>
      <c r="D1426" s="36" t="str">
        <f>IFERROR(VLOOKUP(A1426,القائمة!$A$3:$F$112,4,FALSE),"")</f>
        <v/>
      </c>
      <c r="E1426" s="36" t="str">
        <f>IFERROR(VLOOKUP(A1426,القائمة!$A$3:$F$112,5,FALSE),"")</f>
        <v/>
      </c>
      <c r="F1426" s="37" t="str">
        <f>IFERROR(VLOOKUP(A1426,القائمة!$A$3:$F$112,6,FALSE),"")</f>
        <v/>
      </c>
      <c r="P1426" s="27">
        <f t="shared" si="47"/>
        <v>0</v>
      </c>
      <c r="Q1426" s="27">
        <f t="shared" si="46"/>
        <v>0</v>
      </c>
    </row>
    <row r="1427" spans="2:17" x14ac:dyDescent="0.45">
      <c r="B1427" s="27" t="str">
        <f>IFERROR(VLOOKUP(A1427,القائمة!$A$3:$F$112,2,FALSE),"")</f>
        <v/>
      </c>
      <c r="C1427" s="27" t="str">
        <f>IFERROR(VLOOKUP(A1427,القائمة!$A$3:$F$112,3,FALSE),"")</f>
        <v/>
      </c>
      <c r="D1427" s="36" t="str">
        <f>IFERROR(VLOOKUP(A1427,القائمة!$A$3:$F$112,4,FALSE),"")</f>
        <v/>
      </c>
      <c r="E1427" s="36" t="str">
        <f>IFERROR(VLOOKUP(A1427,القائمة!$A$3:$F$112,5,FALSE),"")</f>
        <v/>
      </c>
      <c r="F1427" s="37" t="str">
        <f>IFERROR(VLOOKUP(A1427,القائمة!$A$3:$F$112,6,FALSE),"")</f>
        <v/>
      </c>
      <c r="P1427" s="27">
        <f t="shared" si="47"/>
        <v>0</v>
      </c>
      <c r="Q1427" s="27">
        <f t="shared" si="46"/>
        <v>0</v>
      </c>
    </row>
    <row r="1428" spans="2:17" x14ac:dyDescent="0.45">
      <c r="B1428" s="27" t="str">
        <f>IFERROR(VLOOKUP(A1428,القائمة!$A$3:$F$112,2,FALSE),"")</f>
        <v/>
      </c>
      <c r="C1428" s="27" t="str">
        <f>IFERROR(VLOOKUP(A1428,القائمة!$A$3:$F$112,3,FALSE),"")</f>
        <v/>
      </c>
      <c r="D1428" s="36" t="str">
        <f>IFERROR(VLOOKUP(A1428,القائمة!$A$3:$F$112,4,FALSE),"")</f>
        <v/>
      </c>
      <c r="E1428" s="36" t="str">
        <f>IFERROR(VLOOKUP(A1428,القائمة!$A$3:$F$112,5,FALSE),"")</f>
        <v/>
      </c>
      <c r="F1428" s="37" t="str">
        <f>IFERROR(VLOOKUP(A1428,القائمة!$A$3:$F$112,6,FALSE),"")</f>
        <v/>
      </c>
      <c r="P1428" s="27">
        <f t="shared" si="47"/>
        <v>0</v>
      </c>
      <c r="Q1428" s="27">
        <f t="shared" si="46"/>
        <v>0</v>
      </c>
    </row>
    <row r="1429" spans="2:17" x14ac:dyDescent="0.45">
      <c r="B1429" s="27" t="str">
        <f>IFERROR(VLOOKUP(A1429,القائمة!$A$3:$F$112,2,FALSE),"")</f>
        <v/>
      </c>
      <c r="C1429" s="27" t="str">
        <f>IFERROR(VLOOKUP(A1429,القائمة!$A$3:$F$112,3,FALSE),"")</f>
        <v/>
      </c>
      <c r="D1429" s="36" t="str">
        <f>IFERROR(VLOOKUP(A1429,القائمة!$A$3:$F$112,4,FALSE),"")</f>
        <v/>
      </c>
      <c r="E1429" s="36" t="str">
        <f>IFERROR(VLOOKUP(A1429,القائمة!$A$3:$F$112,5,FALSE),"")</f>
        <v/>
      </c>
      <c r="F1429" s="37" t="str">
        <f>IFERROR(VLOOKUP(A1429,القائمة!$A$3:$F$112,6,FALSE),"")</f>
        <v/>
      </c>
      <c r="P1429" s="27">
        <f t="shared" si="47"/>
        <v>0</v>
      </c>
      <c r="Q1429" s="27">
        <f t="shared" si="46"/>
        <v>0</v>
      </c>
    </row>
    <row r="1430" spans="2:17" x14ac:dyDescent="0.45">
      <c r="B1430" s="27" t="str">
        <f>IFERROR(VLOOKUP(A1430,القائمة!$A$3:$F$112,2,FALSE),"")</f>
        <v/>
      </c>
      <c r="C1430" s="27" t="str">
        <f>IFERROR(VLOOKUP(A1430,القائمة!$A$3:$F$112,3,FALSE),"")</f>
        <v/>
      </c>
      <c r="D1430" s="36" t="str">
        <f>IFERROR(VLOOKUP(A1430,القائمة!$A$3:$F$112,4,FALSE),"")</f>
        <v/>
      </c>
      <c r="E1430" s="36" t="str">
        <f>IFERROR(VLOOKUP(A1430,القائمة!$A$3:$F$112,5,FALSE),"")</f>
        <v/>
      </c>
      <c r="F1430" s="37" t="str">
        <f>IFERROR(VLOOKUP(A1430,القائمة!$A$3:$F$112,6,FALSE),"")</f>
        <v/>
      </c>
      <c r="P1430" s="27">
        <f t="shared" si="47"/>
        <v>0</v>
      </c>
      <c r="Q1430" s="27">
        <f t="shared" si="46"/>
        <v>0</v>
      </c>
    </row>
    <row r="1431" spans="2:17" x14ac:dyDescent="0.45">
      <c r="B1431" s="27" t="str">
        <f>IFERROR(VLOOKUP(A1431,القائمة!$A$3:$F$112,2,FALSE),"")</f>
        <v/>
      </c>
      <c r="C1431" s="27" t="str">
        <f>IFERROR(VLOOKUP(A1431,القائمة!$A$3:$F$112,3,FALSE),"")</f>
        <v/>
      </c>
      <c r="D1431" s="36" t="str">
        <f>IFERROR(VLOOKUP(A1431,القائمة!$A$3:$F$112,4,FALSE),"")</f>
        <v/>
      </c>
      <c r="E1431" s="36" t="str">
        <f>IFERROR(VLOOKUP(A1431,القائمة!$A$3:$F$112,5,FALSE),"")</f>
        <v/>
      </c>
      <c r="F1431" s="37" t="str">
        <f>IFERROR(VLOOKUP(A1431,القائمة!$A$3:$F$112,6,FALSE),"")</f>
        <v/>
      </c>
      <c r="P1431" s="27">
        <f t="shared" si="47"/>
        <v>0</v>
      </c>
      <c r="Q1431" s="27">
        <f t="shared" si="46"/>
        <v>0</v>
      </c>
    </row>
    <row r="1432" spans="2:17" x14ac:dyDescent="0.45">
      <c r="B1432" s="27" t="str">
        <f>IFERROR(VLOOKUP(A1432,القائمة!$A$3:$F$112,2,FALSE),"")</f>
        <v/>
      </c>
      <c r="C1432" s="27" t="str">
        <f>IFERROR(VLOOKUP(A1432,القائمة!$A$3:$F$112,3,FALSE),"")</f>
        <v/>
      </c>
      <c r="D1432" s="36" t="str">
        <f>IFERROR(VLOOKUP(A1432,القائمة!$A$3:$F$112,4,FALSE),"")</f>
        <v/>
      </c>
      <c r="E1432" s="36" t="str">
        <f>IFERROR(VLOOKUP(A1432,القائمة!$A$3:$F$112,5,FALSE),"")</f>
        <v/>
      </c>
      <c r="F1432" s="37" t="str">
        <f>IFERROR(VLOOKUP(A1432,القائمة!$A$3:$F$112,6,FALSE),"")</f>
        <v/>
      </c>
      <c r="P1432" s="27">
        <f t="shared" si="47"/>
        <v>0</v>
      </c>
      <c r="Q1432" s="27">
        <f t="shared" si="46"/>
        <v>0</v>
      </c>
    </row>
    <row r="1433" spans="2:17" x14ac:dyDescent="0.45">
      <c r="B1433" s="27" t="str">
        <f>IFERROR(VLOOKUP(A1433,القائمة!$A$3:$F$112,2,FALSE),"")</f>
        <v/>
      </c>
      <c r="C1433" s="27" t="str">
        <f>IFERROR(VLOOKUP(A1433,القائمة!$A$3:$F$112,3,FALSE),"")</f>
        <v/>
      </c>
      <c r="D1433" s="36" t="str">
        <f>IFERROR(VLOOKUP(A1433,القائمة!$A$3:$F$112,4,FALSE),"")</f>
        <v/>
      </c>
      <c r="E1433" s="36" t="str">
        <f>IFERROR(VLOOKUP(A1433,القائمة!$A$3:$F$112,5,FALSE),"")</f>
        <v/>
      </c>
      <c r="F1433" s="37" t="str">
        <f>IFERROR(VLOOKUP(A1433,القائمة!$A$3:$F$112,6,FALSE),"")</f>
        <v/>
      </c>
      <c r="P1433" s="27">
        <f t="shared" si="47"/>
        <v>0</v>
      </c>
      <c r="Q1433" s="27">
        <f t="shared" si="46"/>
        <v>0</v>
      </c>
    </row>
    <row r="1434" spans="2:17" x14ac:dyDescent="0.45">
      <c r="B1434" s="27" t="str">
        <f>IFERROR(VLOOKUP(A1434,القائمة!$A$3:$F$112,2,FALSE),"")</f>
        <v/>
      </c>
      <c r="C1434" s="27" t="str">
        <f>IFERROR(VLOOKUP(A1434,القائمة!$A$3:$F$112,3,FALSE),"")</f>
        <v/>
      </c>
      <c r="D1434" s="36" t="str">
        <f>IFERROR(VLOOKUP(A1434,القائمة!$A$3:$F$112,4,FALSE),"")</f>
        <v/>
      </c>
      <c r="E1434" s="36" t="str">
        <f>IFERROR(VLOOKUP(A1434,القائمة!$A$3:$F$112,5,FALSE),"")</f>
        <v/>
      </c>
      <c r="F1434" s="37" t="str">
        <f>IFERROR(VLOOKUP(A1434,القائمة!$A$3:$F$112,6,FALSE),"")</f>
        <v/>
      </c>
      <c r="P1434" s="27">
        <f t="shared" si="47"/>
        <v>0</v>
      </c>
      <c r="Q1434" s="27">
        <f t="shared" si="46"/>
        <v>0</v>
      </c>
    </row>
    <row r="1435" spans="2:17" x14ac:dyDescent="0.45">
      <c r="B1435" s="27" t="str">
        <f>IFERROR(VLOOKUP(A1435,القائمة!$A$3:$F$112,2,FALSE),"")</f>
        <v/>
      </c>
      <c r="C1435" s="27" t="str">
        <f>IFERROR(VLOOKUP(A1435,القائمة!$A$3:$F$112,3,FALSE),"")</f>
        <v/>
      </c>
      <c r="D1435" s="36" t="str">
        <f>IFERROR(VLOOKUP(A1435,القائمة!$A$3:$F$112,4,FALSE),"")</f>
        <v/>
      </c>
      <c r="E1435" s="36" t="str">
        <f>IFERROR(VLOOKUP(A1435,القائمة!$A$3:$F$112,5,FALSE),"")</f>
        <v/>
      </c>
      <c r="F1435" s="37" t="str">
        <f>IFERROR(VLOOKUP(A1435,القائمة!$A$3:$F$112,6,FALSE),"")</f>
        <v/>
      </c>
      <c r="P1435" s="27">
        <f t="shared" si="47"/>
        <v>0</v>
      </c>
      <c r="Q1435" s="27">
        <f t="shared" si="46"/>
        <v>0</v>
      </c>
    </row>
    <row r="1436" spans="2:17" x14ac:dyDescent="0.45">
      <c r="B1436" s="27" t="str">
        <f>IFERROR(VLOOKUP(A1436,القائمة!$A$3:$F$112,2,FALSE),"")</f>
        <v/>
      </c>
      <c r="C1436" s="27" t="str">
        <f>IFERROR(VLOOKUP(A1436,القائمة!$A$3:$F$112,3,FALSE),"")</f>
        <v/>
      </c>
      <c r="D1436" s="36" t="str">
        <f>IFERROR(VLOOKUP(A1436,القائمة!$A$3:$F$112,4,FALSE),"")</f>
        <v/>
      </c>
      <c r="E1436" s="36" t="str">
        <f>IFERROR(VLOOKUP(A1436,القائمة!$A$3:$F$112,5,FALSE),"")</f>
        <v/>
      </c>
      <c r="F1436" s="37" t="str">
        <f>IFERROR(VLOOKUP(A1436,القائمة!$A$3:$F$112,6,FALSE),"")</f>
        <v/>
      </c>
      <c r="P1436" s="27">
        <f t="shared" si="47"/>
        <v>0</v>
      </c>
      <c r="Q1436" s="27">
        <f t="shared" si="46"/>
        <v>0</v>
      </c>
    </row>
    <row r="1437" spans="2:17" x14ac:dyDescent="0.45">
      <c r="B1437" s="27" t="str">
        <f>IFERROR(VLOOKUP(A1437,القائمة!$A$3:$F$112,2,FALSE),"")</f>
        <v/>
      </c>
      <c r="C1437" s="27" t="str">
        <f>IFERROR(VLOOKUP(A1437,القائمة!$A$3:$F$112,3,FALSE),"")</f>
        <v/>
      </c>
      <c r="D1437" s="36" t="str">
        <f>IFERROR(VLOOKUP(A1437,القائمة!$A$3:$F$112,4,FALSE),"")</f>
        <v/>
      </c>
      <c r="E1437" s="36" t="str">
        <f>IFERROR(VLOOKUP(A1437,القائمة!$A$3:$F$112,5,FALSE),"")</f>
        <v/>
      </c>
      <c r="F1437" s="37" t="str">
        <f>IFERROR(VLOOKUP(A1437,القائمة!$A$3:$F$112,6,FALSE),"")</f>
        <v/>
      </c>
      <c r="P1437" s="27">
        <f t="shared" si="47"/>
        <v>0</v>
      </c>
      <c r="Q1437" s="27">
        <f t="shared" si="46"/>
        <v>0</v>
      </c>
    </row>
    <row r="1438" spans="2:17" x14ac:dyDescent="0.45">
      <c r="B1438" s="27" t="str">
        <f>IFERROR(VLOOKUP(A1438,القائمة!$A$3:$F$112,2,FALSE),"")</f>
        <v/>
      </c>
      <c r="C1438" s="27" t="str">
        <f>IFERROR(VLOOKUP(A1438,القائمة!$A$3:$F$112,3,FALSE),"")</f>
        <v/>
      </c>
      <c r="D1438" s="36" t="str">
        <f>IFERROR(VLOOKUP(A1438,القائمة!$A$3:$F$112,4,FALSE),"")</f>
        <v/>
      </c>
      <c r="E1438" s="36" t="str">
        <f>IFERROR(VLOOKUP(A1438,القائمة!$A$3:$F$112,5,FALSE),"")</f>
        <v/>
      </c>
      <c r="F1438" s="37" t="str">
        <f>IFERROR(VLOOKUP(A1438,القائمة!$A$3:$F$112,6,FALSE),"")</f>
        <v/>
      </c>
      <c r="P1438" s="27">
        <f t="shared" si="47"/>
        <v>0</v>
      </c>
      <c r="Q1438" s="27">
        <f t="shared" si="46"/>
        <v>0</v>
      </c>
    </row>
    <row r="1439" spans="2:17" x14ac:dyDescent="0.45">
      <c r="B1439" s="27" t="str">
        <f>IFERROR(VLOOKUP(A1439,القائمة!$A$3:$F$112,2,FALSE),"")</f>
        <v/>
      </c>
      <c r="C1439" s="27" t="str">
        <f>IFERROR(VLOOKUP(A1439,القائمة!$A$3:$F$112,3,FALSE),"")</f>
        <v/>
      </c>
      <c r="D1439" s="36" t="str">
        <f>IFERROR(VLOOKUP(A1439,القائمة!$A$3:$F$112,4,FALSE),"")</f>
        <v/>
      </c>
      <c r="E1439" s="36" t="str">
        <f>IFERROR(VLOOKUP(A1439,القائمة!$A$3:$F$112,5,FALSE),"")</f>
        <v/>
      </c>
      <c r="F1439" s="37" t="str">
        <f>IFERROR(VLOOKUP(A1439,القائمة!$A$3:$F$112,6,FALSE),"")</f>
        <v/>
      </c>
      <c r="P1439" s="27">
        <f t="shared" si="47"/>
        <v>0</v>
      </c>
      <c r="Q1439" s="27">
        <f t="shared" si="46"/>
        <v>0</v>
      </c>
    </row>
    <row r="1440" spans="2:17" x14ac:dyDescent="0.45">
      <c r="B1440" s="27" t="str">
        <f>IFERROR(VLOOKUP(A1440,القائمة!$A$3:$F$112,2,FALSE),"")</f>
        <v/>
      </c>
      <c r="C1440" s="27" t="str">
        <f>IFERROR(VLOOKUP(A1440,القائمة!$A$3:$F$112,3,FALSE),"")</f>
        <v/>
      </c>
      <c r="D1440" s="36" t="str">
        <f>IFERROR(VLOOKUP(A1440,القائمة!$A$3:$F$112,4,FALSE),"")</f>
        <v/>
      </c>
      <c r="E1440" s="36" t="str">
        <f>IFERROR(VLOOKUP(A1440,القائمة!$A$3:$F$112,5,FALSE),"")</f>
        <v/>
      </c>
      <c r="F1440" s="37" t="str">
        <f>IFERROR(VLOOKUP(A1440,القائمة!$A$3:$F$112,6,FALSE),"")</f>
        <v/>
      </c>
      <c r="P1440" s="27">
        <f t="shared" si="47"/>
        <v>0</v>
      </c>
      <c r="Q1440" s="27">
        <f t="shared" si="46"/>
        <v>0</v>
      </c>
    </row>
    <row r="1441" spans="2:17" x14ac:dyDescent="0.45">
      <c r="B1441" s="27" t="str">
        <f>IFERROR(VLOOKUP(A1441,القائمة!$A$3:$F$112,2,FALSE),"")</f>
        <v/>
      </c>
      <c r="C1441" s="27" t="str">
        <f>IFERROR(VLOOKUP(A1441,القائمة!$A$3:$F$112,3,FALSE),"")</f>
        <v/>
      </c>
      <c r="D1441" s="36" t="str">
        <f>IFERROR(VLOOKUP(A1441,القائمة!$A$3:$F$112,4,FALSE),"")</f>
        <v/>
      </c>
      <c r="E1441" s="36" t="str">
        <f>IFERROR(VLOOKUP(A1441,القائمة!$A$3:$F$112,5,FALSE),"")</f>
        <v/>
      </c>
      <c r="F1441" s="37" t="str">
        <f>IFERROR(VLOOKUP(A1441,القائمة!$A$3:$F$112,6,FALSE),"")</f>
        <v/>
      </c>
      <c r="P1441" s="27">
        <f t="shared" si="47"/>
        <v>0</v>
      </c>
      <c r="Q1441" s="27">
        <f t="shared" si="46"/>
        <v>0</v>
      </c>
    </row>
    <row r="1442" spans="2:17" x14ac:dyDescent="0.45">
      <c r="B1442" s="27" t="str">
        <f>IFERROR(VLOOKUP(A1442,القائمة!$A$3:$F$112,2,FALSE),"")</f>
        <v/>
      </c>
      <c r="C1442" s="27" t="str">
        <f>IFERROR(VLOOKUP(A1442,القائمة!$A$3:$F$112,3,FALSE),"")</f>
        <v/>
      </c>
      <c r="D1442" s="36" t="str">
        <f>IFERROR(VLOOKUP(A1442,القائمة!$A$3:$F$112,4,FALSE),"")</f>
        <v/>
      </c>
      <c r="E1442" s="36" t="str">
        <f>IFERROR(VLOOKUP(A1442,القائمة!$A$3:$F$112,5,FALSE),"")</f>
        <v/>
      </c>
      <c r="F1442" s="37" t="str">
        <f>IFERROR(VLOOKUP(A1442,القائمة!$A$3:$F$112,6,FALSE),"")</f>
        <v/>
      </c>
      <c r="P1442" s="27">
        <f t="shared" si="47"/>
        <v>0</v>
      </c>
      <c r="Q1442" s="27">
        <f t="shared" si="46"/>
        <v>0</v>
      </c>
    </row>
    <row r="1443" spans="2:17" x14ac:dyDescent="0.45">
      <c r="B1443" s="27" t="str">
        <f>IFERROR(VLOOKUP(A1443,القائمة!$A$3:$F$112,2,FALSE),"")</f>
        <v/>
      </c>
      <c r="C1443" s="27" t="str">
        <f>IFERROR(VLOOKUP(A1443,القائمة!$A$3:$F$112,3,FALSE),"")</f>
        <v/>
      </c>
      <c r="D1443" s="36" t="str">
        <f>IFERROR(VLOOKUP(A1443,القائمة!$A$3:$F$112,4,FALSE),"")</f>
        <v/>
      </c>
      <c r="E1443" s="36" t="str">
        <f>IFERROR(VLOOKUP(A1443,القائمة!$A$3:$F$112,5,FALSE),"")</f>
        <v/>
      </c>
      <c r="F1443" s="37" t="str">
        <f>IFERROR(VLOOKUP(A1443,القائمة!$A$3:$F$112,6,FALSE),"")</f>
        <v/>
      </c>
      <c r="P1443" s="27">
        <f t="shared" si="47"/>
        <v>0</v>
      </c>
      <c r="Q1443" s="27">
        <f t="shared" si="46"/>
        <v>0</v>
      </c>
    </row>
    <row r="1444" spans="2:17" x14ac:dyDescent="0.45">
      <c r="B1444" s="27" t="str">
        <f>IFERROR(VLOOKUP(A1444,القائمة!$A$3:$F$112,2,FALSE),"")</f>
        <v/>
      </c>
      <c r="C1444" s="27" t="str">
        <f>IFERROR(VLOOKUP(A1444,القائمة!$A$3:$F$112,3,FALSE),"")</f>
        <v/>
      </c>
      <c r="D1444" s="36" t="str">
        <f>IFERROR(VLOOKUP(A1444,القائمة!$A$3:$F$112,4,FALSE),"")</f>
        <v/>
      </c>
      <c r="E1444" s="36" t="str">
        <f>IFERROR(VLOOKUP(A1444,القائمة!$A$3:$F$112,5,FALSE),"")</f>
        <v/>
      </c>
      <c r="F1444" s="37" t="str">
        <f>IFERROR(VLOOKUP(A1444,القائمة!$A$3:$F$112,6,FALSE),"")</f>
        <v/>
      </c>
      <c r="P1444" s="27">
        <f t="shared" si="47"/>
        <v>0</v>
      </c>
      <c r="Q1444" s="27">
        <f t="shared" si="46"/>
        <v>0</v>
      </c>
    </row>
    <row r="1445" spans="2:17" x14ac:dyDescent="0.45">
      <c r="B1445" s="27" t="str">
        <f>IFERROR(VLOOKUP(A1445,القائمة!$A$3:$F$112,2,FALSE),"")</f>
        <v/>
      </c>
      <c r="C1445" s="27" t="str">
        <f>IFERROR(VLOOKUP(A1445,القائمة!$A$3:$F$112,3,FALSE),"")</f>
        <v/>
      </c>
      <c r="D1445" s="36" t="str">
        <f>IFERROR(VLOOKUP(A1445,القائمة!$A$3:$F$112,4,FALSE),"")</f>
        <v/>
      </c>
      <c r="E1445" s="36" t="str">
        <f>IFERROR(VLOOKUP(A1445,القائمة!$A$3:$F$112,5,FALSE),"")</f>
        <v/>
      </c>
      <c r="F1445" s="37" t="str">
        <f>IFERROR(VLOOKUP(A1445,القائمة!$A$3:$F$112,6,FALSE),"")</f>
        <v/>
      </c>
      <c r="P1445" s="27">
        <f t="shared" si="47"/>
        <v>0</v>
      </c>
      <c r="Q1445" s="27">
        <f t="shared" si="46"/>
        <v>0</v>
      </c>
    </row>
    <row r="1446" spans="2:17" x14ac:dyDescent="0.45">
      <c r="B1446" s="27" t="str">
        <f>IFERROR(VLOOKUP(A1446,القائمة!$A$3:$F$112,2,FALSE),"")</f>
        <v/>
      </c>
      <c r="C1446" s="27" t="str">
        <f>IFERROR(VLOOKUP(A1446,القائمة!$A$3:$F$112,3,FALSE),"")</f>
        <v/>
      </c>
      <c r="D1446" s="36" t="str">
        <f>IFERROR(VLOOKUP(A1446,القائمة!$A$3:$F$112,4,FALSE),"")</f>
        <v/>
      </c>
      <c r="E1446" s="36" t="str">
        <f>IFERROR(VLOOKUP(A1446,القائمة!$A$3:$F$112,5,FALSE),"")</f>
        <v/>
      </c>
      <c r="F1446" s="37" t="str">
        <f>IFERROR(VLOOKUP(A1446,القائمة!$A$3:$F$112,6,FALSE),"")</f>
        <v/>
      </c>
      <c r="P1446" s="27">
        <f t="shared" si="47"/>
        <v>0</v>
      </c>
      <c r="Q1446" s="27">
        <f t="shared" si="46"/>
        <v>0</v>
      </c>
    </row>
    <row r="1447" spans="2:17" x14ac:dyDescent="0.45">
      <c r="B1447" s="27" t="str">
        <f>IFERROR(VLOOKUP(A1447,القائمة!$A$3:$F$112,2,FALSE),"")</f>
        <v/>
      </c>
      <c r="C1447" s="27" t="str">
        <f>IFERROR(VLOOKUP(A1447,القائمة!$A$3:$F$112,3,FALSE),"")</f>
        <v/>
      </c>
      <c r="D1447" s="36" t="str">
        <f>IFERROR(VLOOKUP(A1447,القائمة!$A$3:$F$112,4,FALSE),"")</f>
        <v/>
      </c>
      <c r="E1447" s="36" t="str">
        <f>IFERROR(VLOOKUP(A1447,القائمة!$A$3:$F$112,5,FALSE),"")</f>
        <v/>
      </c>
      <c r="F1447" s="37" t="str">
        <f>IFERROR(VLOOKUP(A1447,القائمة!$A$3:$F$112,6,FALSE),"")</f>
        <v/>
      </c>
      <c r="P1447" s="27">
        <f t="shared" si="47"/>
        <v>0</v>
      </c>
      <c r="Q1447" s="27">
        <f t="shared" si="46"/>
        <v>0</v>
      </c>
    </row>
    <row r="1448" spans="2:17" x14ac:dyDescent="0.45">
      <c r="B1448" s="27" t="str">
        <f>IFERROR(VLOOKUP(A1448,القائمة!$A$3:$F$112,2,FALSE),"")</f>
        <v/>
      </c>
      <c r="C1448" s="27" t="str">
        <f>IFERROR(VLOOKUP(A1448,القائمة!$A$3:$F$112,3,FALSE),"")</f>
        <v/>
      </c>
      <c r="D1448" s="36" t="str">
        <f>IFERROR(VLOOKUP(A1448,القائمة!$A$3:$F$112,4,FALSE),"")</f>
        <v/>
      </c>
      <c r="E1448" s="36" t="str">
        <f>IFERROR(VLOOKUP(A1448,القائمة!$A$3:$F$112,5,FALSE),"")</f>
        <v/>
      </c>
      <c r="F1448" s="37" t="str">
        <f>IFERROR(VLOOKUP(A1448,القائمة!$A$3:$F$112,6,FALSE),"")</f>
        <v/>
      </c>
      <c r="P1448" s="27">
        <f t="shared" si="47"/>
        <v>0</v>
      </c>
      <c r="Q1448" s="27">
        <f t="shared" si="46"/>
        <v>0</v>
      </c>
    </row>
    <row r="1449" spans="2:17" x14ac:dyDescent="0.45">
      <c r="B1449" s="27" t="str">
        <f>IFERROR(VLOOKUP(A1449,القائمة!$A$3:$F$112,2,FALSE),"")</f>
        <v/>
      </c>
      <c r="C1449" s="27" t="str">
        <f>IFERROR(VLOOKUP(A1449,القائمة!$A$3:$F$112,3,FALSE),"")</f>
        <v/>
      </c>
      <c r="D1449" s="36" t="str">
        <f>IFERROR(VLOOKUP(A1449,القائمة!$A$3:$F$112,4,FALSE),"")</f>
        <v/>
      </c>
      <c r="E1449" s="36" t="str">
        <f>IFERROR(VLOOKUP(A1449,القائمة!$A$3:$F$112,5,FALSE),"")</f>
        <v/>
      </c>
      <c r="F1449" s="37" t="str">
        <f>IFERROR(VLOOKUP(A1449,القائمة!$A$3:$F$112,6,FALSE),"")</f>
        <v/>
      </c>
      <c r="P1449" s="27">
        <f t="shared" si="47"/>
        <v>0</v>
      </c>
      <c r="Q1449" s="27">
        <f t="shared" si="46"/>
        <v>0</v>
      </c>
    </row>
    <row r="1450" spans="2:17" x14ac:dyDescent="0.45">
      <c r="B1450" s="27" t="str">
        <f>IFERROR(VLOOKUP(A1450,القائمة!$A$3:$F$112,2,FALSE),"")</f>
        <v/>
      </c>
      <c r="C1450" s="27" t="str">
        <f>IFERROR(VLOOKUP(A1450,القائمة!$A$3:$F$112,3,FALSE),"")</f>
        <v/>
      </c>
      <c r="D1450" s="36" t="str">
        <f>IFERROR(VLOOKUP(A1450,القائمة!$A$3:$F$112,4,FALSE),"")</f>
        <v/>
      </c>
      <c r="E1450" s="36" t="str">
        <f>IFERROR(VLOOKUP(A1450,القائمة!$A$3:$F$112,5,FALSE),"")</f>
        <v/>
      </c>
      <c r="F1450" s="37" t="str">
        <f>IFERROR(VLOOKUP(A1450,القائمة!$A$3:$F$112,6,FALSE),"")</f>
        <v/>
      </c>
      <c r="P1450" s="27">
        <f t="shared" si="47"/>
        <v>0</v>
      </c>
      <c r="Q1450" s="27">
        <f t="shared" si="46"/>
        <v>0</v>
      </c>
    </row>
    <row r="1451" spans="2:17" x14ac:dyDescent="0.45">
      <c r="B1451" s="27" t="str">
        <f>IFERROR(VLOOKUP(A1451,القائمة!$A$3:$F$112,2,FALSE),"")</f>
        <v/>
      </c>
      <c r="C1451" s="27" t="str">
        <f>IFERROR(VLOOKUP(A1451,القائمة!$A$3:$F$112,3,FALSE),"")</f>
        <v/>
      </c>
      <c r="D1451" s="36" t="str">
        <f>IFERROR(VLOOKUP(A1451,القائمة!$A$3:$F$112,4,FALSE),"")</f>
        <v/>
      </c>
      <c r="E1451" s="36" t="str">
        <f>IFERROR(VLOOKUP(A1451,القائمة!$A$3:$F$112,5,FALSE),"")</f>
        <v/>
      </c>
      <c r="F1451" s="37" t="str">
        <f>IFERROR(VLOOKUP(A1451,القائمة!$A$3:$F$112,6,FALSE),"")</f>
        <v/>
      </c>
      <c r="P1451" s="27">
        <f t="shared" si="47"/>
        <v>0</v>
      </c>
      <c r="Q1451" s="27">
        <f t="shared" si="46"/>
        <v>0</v>
      </c>
    </row>
    <row r="1452" spans="2:17" x14ac:dyDescent="0.45">
      <c r="B1452" s="27" t="str">
        <f>IFERROR(VLOOKUP(A1452,القائمة!$A$3:$F$112,2,FALSE),"")</f>
        <v/>
      </c>
      <c r="C1452" s="27" t="str">
        <f>IFERROR(VLOOKUP(A1452,القائمة!$A$3:$F$112,3,FALSE),"")</f>
        <v/>
      </c>
      <c r="D1452" s="36" t="str">
        <f>IFERROR(VLOOKUP(A1452,القائمة!$A$3:$F$112,4,FALSE),"")</f>
        <v/>
      </c>
      <c r="E1452" s="36" t="str">
        <f>IFERROR(VLOOKUP(A1452,القائمة!$A$3:$F$112,5,FALSE),"")</f>
        <v/>
      </c>
      <c r="F1452" s="37" t="str">
        <f>IFERROR(VLOOKUP(A1452,القائمة!$A$3:$F$112,6,FALSE),"")</f>
        <v/>
      </c>
      <c r="P1452" s="27">
        <f t="shared" si="47"/>
        <v>0</v>
      </c>
      <c r="Q1452" s="27">
        <f t="shared" si="46"/>
        <v>0</v>
      </c>
    </row>
    <row r="1453" spans="2:17" x14ac:dyDescent="0.45">
      <c r="B1453" s="27" t="str">
        <f>IFERROR(VLOOKUP(A1453,القائمة!$A$3:$F$112,2,FALSE),"")</f>
        <v/>
      </c>
      <c r="C1453" s="27" t="str">
        <f>IFERROR(VLOOKUP(A1453,القائمة!$A$3:$F$112,3,FALSE),"")</f>
        <v/>
      </c>
      <c r="D1453" s="36" t="str">
        <f>IFERROR(VLOOKUP(A1453,القائمة!$A$3:$F$112,4,FALSE),"")</f>
        <v/>
      </c>
      <c r="E1453" s="36" t="str">
        <f>IFERROR(VLOOKUP(A1453,القائمة!$A$3:$F$112,5,FALSE),"")</f>
        <v/>
      </c>
      <c r="F1453" s="37" t="str">
        <f>IFERROR(VLOOKUP(A1453,القائمة!$A$3:$F$112,6,FALSE),"")</f>
        <v/>
      </c>
      <c r="P1453" s="27">
        <f t="shared" si="47"/>
        <v>0</v>
      </c>
      <c r="Q1453" s="27">
        <f t="shared" si="46"/>
        <v>0</v>
      </c>
    </row>
    <row r="1454" spans="2:17" x14ac:dyDescent="0.45">
      <c r="B1454" s="27" t="str">
        <f>IFERROR(VLOOKUP(A1454,القائمة!$A$3:$F$112,2,FALSE),"")</f>
        <v/>
      </c>
      <c r="C1454" s="27" t="str">
        <f>IFERROR(VLOOKUP(A1454,القائمة!$A$3:$F$112,3,FALSE),"")</f>
        <v/>
      </c>
      <c r="D1454" s="36" t="str">
        <f>IFERROR(VLOOKUP(A1454,القائمة!$A$3:$F$112,4,FALSE),"")</f>
        <v/>
      </c>
      <c r="E1454" s="36" t="str">
        <f>IFERROR(VLOOKUP(A1454,القائمة!$A$3:$F$112,5,FALSE),"")</f>
        <v/>
      </c>
      <c r="F1454" s="37" t="str">
        <f>IFERROR(VLOOKUP(A1454,القائمة!$A$3:$F$112,6,FALSE),"")</f>
        <v/>
      </c>
      <c r="P1454" s="27">
        <f t="shared" si="47"/>
        <v>0</v>
      </c>
      <c r="Q1454" s="27">
        <f t="shared" si="46"/>
        <v>0</v>
      </c>
    </row>
    <row r="1455" spans="2:17" x14ac:dyDescent="0.45">
      <c r="B1455" s="27" t="str">
        <f>IFERROR(VLOOKUP(A1455,القائمة!$A$3:$F$112,2,FALSE),"")</f>
        <v/>
      </c>
      <c r="C1455" s="27" t="str">
        <f>IFERROR(VLOOKUP(A1455,القائمة!$A$3:$F$112,3,FALSE),"")</f>
        <v/>
      </c>
      <c r="D1455" s="36" t="str">
        <f>IFERROR(VLOOKUP(A1455,القائمة!$A$3:$F$112,4,FALSE),"")</f>
        <v/>
      </c>
      <c r="E1455" s="36" t="str">
        <f>IFERROR(VLOOKUP(A1455,القائمة!$A$3:$F$112,5,FALSE),"")</f>
        <v/>
      </c>
      <c r="F1455" s="37" t="str">
        <f>IFERROR(VLOOKUP(A1455,القائمة!$A$3:$F$112,6,FALSE),"")</f>
        <v/>
      </c>
      <c r="P1455" s="27">
        <f t="shared" si="47"/>
        <v>0</v>
      </c>
      <c r="Q1455" s="27">
        <f t="shared" si="46"/>
        <v>0</v>
      </c>
    </row>
    <row r="1456" spans="2:17" x14ac:dyDescent="0.45">
      <c r="B1456" s="27" t="str">
        <f>IFERROR(VLOOKUP(A1456,القائمة!$A$3:$F$112,2,FALSE),"")</f>
        <v/>
      </c>
      <c r="C1456" s="27" t="str">
        <f>IFERROR(VLOOKUP(A1456,القائمة!$A$3:$F$112,3,FALSE),"")</f>
        <v/>
      </c>
      <c r="D1456" s="36" t="str">
        <f>IFERROR(VLOOKUP(A1456,القائمة!$A$3:$F$112,4,FALSE),"")</f>
        <v/>
      </c>
      <c r="E1456" s="36" t="str">
        <f>IFERROR(VLOOKUP(A1456,القائمة!$A$3:$F$112,5,FALSE),"")</f>
        <v/>
      </c>
      <c r="F1456" s="37" t="str">
        <f>IFERROR(VLOOKUP(A1456,القائمة!$A$3:$F$112,6,FALSE),"")</f>
        <v/>
      </c>
      <c r="P1456" s="27">
        <f t="shared" si="47"/>
        <v>0</v>
      </c>
      <c r="Q1456" s="27">
        <f t="shared" si="46"/>
        <v>0</v>
      </c>
    </row>
    <row r="1457" spans="2:17" x14ac:dyDescent="0.45">
      <c r="B1457" s="27" t="str">
        <f>IFERROR(VLOOKUP(A1457,القائمة!$A$3:$F$112,2,FALSE),"")</f>
        <v/>
      </c>
      <c r="C1457" s="27" t="str">
        <f>IFERROR(VLOOKUP(A1457,القائمة!$A$3:$F$112,3,FALSE),"")</f>
        <v/>
      </c>
      <c r="D1457" s="36" t="str">
        <f>IFERROR(VLOOKUP(A1457,القائمة!$A$3:$F$112,4,FALSE),"")</f>
        <v/>
      </c>
      <c r="E1457" s="36" t="str">
        <f>IFERROR(VLOOKUP(A1457,القائمة!$A$3:$F$112,5,FALSE),"")</f>
        <v/>
      </c>
      <c r="F1457" s="37" t="str">
        <f>IFERROR(VLOOKUP(A1457,القائمة!$A$3:$F$112,6,FALSE),"")</f>
        <v/>
      </c>
      <c r="P1457" s="27">
        <f t="shared" si="47"/>
        <v>0</v>
      </c>
      <c r="Q1457" s="27">
        <f t="shared" si="46"/>
        <v>0</v>
      </c>
    </row>
    <row r="1458" spans="2:17" x14ac:dyDescent="0.45">
      <c r="B1458" s="27" t="str">
        <f>IFERROR(VLOOKUP(A1458,القائمة!$A$3:$F$112,2,FALSE),"")</f>
        <v/>
      </c>
      <c r="C1458" s="27" t="str">
        <f>IFERROR(VLOOKUP(A1458,القائمة!$A$3:$F$112,3,FALSE),"")</f>
        <v/>
      </c>
      <c r="D1458" s="36" t="str">
        <f>IFERROR(VLOOKUP(A1458,القائمة!$A$3:$F$112,4,FALSE),"")</f>
        <v/>
      </c>
      <c r="E1458" s="36" t="str">
        <f>IFERROR(VLOOKUP(A1458,القائمة!$A$3:$F$112,5,FALSE),"")</f>
        <v/>
      </c>
      <c r="F1458" s="37" t="str">
        <f>IFERROR(VLOOKUP(A1458,القائمة!$A$3:$F$112,6,FALSE),"")</f>
        <v/>
      </c>
      <c r="P1458" s="27">
        <f t="shared" si="47"/>
        <v>0</v>
      </c>
      <c r="Q1458" s="27">
        <f t="shared" si="46"/>
        <v>0</v>
      </c>
    </row>
    <row r="1459" spans="2:17" x14ac:dyDescent="0.45">
      <c r="B1459" s="27" t="str">
        <f>IFERROR(VLOOKUP(A1459,القائمة!$A$3:$F$112,2,FALSE),"")</f>
        <v/>
      </c>
      <c r="C1459" s="27" t="str">
        <f>IFERROR(VLOOKUP(A1459,القائمة!$A$3:$F$112,3,FALSE),"")</f>
        <v/>
      </c>
      <c r="D1459" s="36" t="str">
        <f>IFERROR(VLOOKUP(A1459,القائمة!$A$3:$F$112,4,FALSE),"")</f>
        <v/>
      </c>
      <c r="E1459" s="36" t="str">
        <f>IFERROR(VLOOKUP(A1459,القائمة!$A$3:$F$112,5,FALSE),"")</f>
        <v/>
      </c>
      <c r="F1459" s="37" t="str">
        <f>IFERROR(VLOOKUP(A1459,القائمة!$A$3:$F$112,6,FALSE),"")</f>
        <v/>
      </c>
      <c r="P1459" s="27">
        <f t="shared" si="47"/>
        <v>0</v>
      </c>
      <c r="Q1459" s="27">
        <f t="shared" si="46"/>
        <v>0</v>
      </c>
    </row>
    <row r="1460" spans="2:17" x14ac:dyDescent="0.45">
      <c r="B1460" s="27" t="str">
        <f>IFERROR(VLOOKUP(A1460,القائمة!$A$3:$F$112,2,FALSE),"")</f>
        <v/>
      </c>
      <c r="C1460" s="27" t="str">
        <f>IFERROR(VLOOKUP(A1460,القائمة!$A$3:$F$112,3,FALSE),"")</f>
        <v/>
      </c>
      <c r="D1460" s="36" t="str">
        <f>IFERROR(VLOOKUP(A1460,القائمة!$A$3:$F$112,4,FALSE),"")</f>
        <v/>
      </c>
      <c r="E1460" s="36" t="str">
        <f>IFERROR(VLOOKUP(A1460,القائمة!$A$3:$F$112,5,FALSE),"")</f>
        <v/>
      </c>
      <c r="F1460" s="37" t="str">
        <f>IFERROR(VLOOKUP(A1460,القائمة!$A$3:$F$112,6,FALSE),"")</f>
        <v/>
      </c>
      <c r="P1460" s="27">
        <f t="shared" si="47"/>
        <v>0</v>
      </c>
      <c r="Q1460" s="27">
        <f t="shared" si="46"/>
        <v>0</v>
      </c>
    </row>
    <row r="1461" spans="2:17" x14ac:dyDescent="0.45">
      <c r="B1461" s="27" t="str">
        <f>IFERROR(VLOOKUP(A1461,القائمة!$A$3:$F$112,2,FALSE),"")</f>
        <v/>
      </c>
      <c r="C1461" s="27" t="str">
        <f>IFERROR(VLOOKUP(A1461,القائمة!$A$3:$F$112,3,FALSE),"")</f>
        <v/>
      </c>
      <c r="D1461" s="36" t="str">
        <f>IFERROR(VLOOKUP(A1461,القائمة!$A$3:$F$112,4,FALSE),"")</f>
        <v/>
      </c>
      <c r="E1461" s="36" t="str">
        <f>IFERROR(VLOOKUP(A1461,القائمة!$A$3:$F$112,5,FALSE),"")</f>
        <v/>
      </c>
      <c r="F1461" s="37" t="str">
        <f>IFERROR(VLOOKUP(A1461,القائمة!$A$3:$F$112,6,FALSE),"")</f>
        <v/>
      </c>
      <c r="P1461" s="27">
        <f t="shared" si="47"/>
        <v>0</v>
      </c>
      <c r="Q1461" s="27">
        <f t="shared" si="46"/>
        <v>0</v>
      </c>
    </row>
    <row r="1462" spans="2:17" x14ac:dyDescent="0.45">
      <c r="B1462" s="27" t="str">
        <f>IFERROR(VLOOKUP(A1462,القائمة!$A$3:$F$112,2,FALSE),"")</f>
        <v/>
      </c>
      <c r="C1462" s="27" t="str">
        <f>IFERROR(VLOOKUP(A1462,القائمة!$A$3:$F$112,3,FALSE),"")</f>
        <v/>
      </c>
      <c r="D1462" s="36" t="str">
        <f>IFERROR(VLOOKUP(A1462,القائمة!$A$3:$F$112,4,FALSE),"")</f>
        <v/>
      </c>
      <c r="E1462" s="36" t="str">
        <f>IFERROR(VLOOKUP(A1462,القائمة!$A$3:$F$112,5,FALSE),"")</f>
        <v/>
      </c>
      <c r="F1462" s="37" t="str">
        <f>IFERROR(VLOOKUP(A1462,القائمة!$A$3:$F$112,6,FALSE),"")</f>
        <v/>
      </c>
      <c r="P1462" s="27">
        <f t="shared" si="47"/>
        <v>0</v>
      </c>
      <c r="Q1462" s="27">
        <f t="shared" si="46"/>
        <v>0</v>
      </c>
    </row>
    <row r="1463" spans="2:17" x14ac:dyDescent="0.45">
      <c r="B1463" s="27" t="str">
        <f>IFERROR(VLOOKUP(A1463,القائمة!$A$3:$F$112,2,FALSE),"")</f>
        <v/>
      </c>
      <c r="C1463" s="27" t="str">
        <f>IFERROR(VLOOKUP(A1463,القائمة!$A$3:$F$112,3,FALSE),"")</f>
        <v/>
      </c>
      <c r="D1463" s="36" t="str">
        <f>IFERROR(VLOOKUP(A1463,القائمة!$A$3:$F$112,4,FALSE),"")</f>
        <v/>
      </c>
      <c r="E1463" s="36" t="str">
        <f>IFERROR(VLOOKUP(A1463,القائمة!$A$3:$F$112,5,FALSE),"")</f>
        <v/>
      </c>
      <c r="F1463" s="37" t="str">
        <f>IFERROR(VLOOKUP(A1463,القائمة!$A$3:$F$112,6,FALSE),"")</f>
        <v/>
      </c>
      <c r="P1463" s="27">
        <f t="shared" si="47"/>
        <v>0</v>
      </c>
      <c r="Q1463" s="27">
        <f t="shared" si="46"/>
        <v>0</v>
      </c>
    </row>
    <row r="1464" spans="2:17" x14ac:dyDescent="0.45">
      <c r="B1464" s="27" t="str">
        <f>IFERROR(VLOOKUP(A1464,القائمة!$A$3:$F$112,2,FALSE),"")</f>
        <v/>
      </c>
      <c r="C1464" s="27" t="str">
        <f>IFERROR(VLOOKUP(A1464,القائمة!$A$3:$F$112,3,FALSE),"")</f>
        <v/>
      </c>
      <c r="D1464" s="36" t="str">
        <f>IFERROR(VLOOKUP(A1464,القائمة!$A$3:$F$112,4,FALSE),"")</f>
        <v/>
      </c>
      <c r="E1464" s="36" t="str">
        <f>IFERROR(VLOOKUP(A1464,القائمة!$A$3:$F$112,5,FALSE),"")</f>
        <v/>
      </c>
      <c r="F1464" s="37" t="str">
        <f>IFERROR(VLOOKUP(A1464,القائمة!$A$3:$F$112,6,FALSE),"")</f>
        <v/>
      </c>
      <c r="P1464" s="27">
        <f t="shared" si="47"/>
        <v>0</v>
      </c>
      <c r="Q1464" s="27">
        <f t="shared" si="46"/>
        <v>0</v>
      </c>
    </row>
    <row r="1465" spans="2:17" x14ac:dyDescent="0.45">
      <c r="B1465" s="27" t="str">
        <f>IFERROR(VLOOKUP(A1465,القائمة!$A$3:$F$112,2,FALSE),"")</f>
        <v/>
      </c>
      <c r="C1465" s="27" t="str">
        <f>IFERROR(VLOOKUP(A1465,القائمة!$A$3:$F$112,3,FALSE),"")</f>
        <v/>
      </c>
      <c r="D1465" s="36" t="str">
        <f>IFERROR(VLOOKUP(A1465,القائمة!$A$3:$F$112,4,FALSE),"")</f>
        <v/>
      </c>
      <c r="E1465" s="36" t="str">
        <f>IFERROR(VLOOKUP(A1465,القائمة!$A$3:$F$112,5,FALSE),"")</f>
        <v/>
      </c>
      <c r="F1465" s="37" t="str">
        <f>IFERROR(VLOOKUP(A1465,القائمة!$A$3:$F$112,6,FALSE),"")</f>
        <v/>
      </c>
      <c r="P1465" s="27">
        <f t="shared" si="47"/>
        <v>0</v>
      </c>
      <c r="Q1465" s="27">
        <f t="shared" si="46"/>
        <v>0</v>
      </c>
    </row>
    <row r="1466" spans="2:17" x14ac:dyDescent="0.45">
      <c r="B1466" s="27" t="str">
        <f>IFERROR(VLOOKUP(A1466,القائمة!$A$3:$F$112,2,FALSE),"")</f>
        <v/>
      </c>
      <c r="C1466" s="27" t="str">
        <f>IFERROR(VLOOKUP(A1466,القائمة!$A$3:$F$112,3,FALSE),"")</f>
        <v/>
      </c>
      <c r="D1466" s="36" t="str">
        <f>IFERROR(VLOOKUP(A1466,القائمة!$A$3:$F$112,4,FALSE),"")</f>
        <v/>
      </c>
      <c r="E1466" s="36" t="str">
        <f>IFERROR(VLOOKUP(A1466,القائمة!$A$3:$F$112,5,FALSE),"")</f>
        <v/>
      </c>
      <c r="F1466" s="37" t="str">
        <f>IFERROR(VLOOKUP(A1466,القائمة!$A$3:$F$112,6,FALSE),"")</f>
        <v/>
      </c>
      <c r="P1466" s="27">
        <f t="shared" si="47"/>
        <v>0</v>
      </c>
      <c r="Q1466" s="27">
        <f t="shared" si="46"/>
        <v>0</v>
      </c>
    </row>
    <row r="1467" spans="2:17" x14ac:dyDescent="0.45">
      <c r="B1467" s="27" t="str">
        <f>IFERROR(VLOOKUP(A1467,القائمة!$A$3:$F$112,2,FALSE),"")</f>
        <v/>
      </c>
      <c r="C1467" s="27" t="str">
        <f>IFERROR(VLOOKUP(A1467,القائمة!$A$3:$F$112,3,FALSE),"")</f>
        <v/>
      </c>
      <c r="D1467" s="36" t="str">
        <f>IFERROR(VLOOKUP(A1467,القائمة!$A$3:$F$112,4,FALSE),"")</f>
        <v/>
      </c>
      <c r="E1467" s="36" t="str">
        <f>IFERROR(VLOOKUP(A1467,القائمة!$A$3:$F$112,5,FALSE),"")</f>
        <v/>
      </c>
      <c r="F1467" s="37" t="str">
        <f>IFERROR(VLOOKUP(A1467,القائمة!$A$3:$F$112,6,FALSE),"")</f>
        <v/>
      </c>
      <c r="P1467" s="27">
        <f t="shared" si="47"/>
        <v>0</v>
      </c>
      <c r="Q1467" s="27">
        <f t="shared" si="46"/>
        <v>0</v>
      </c>
    </row>
    <row r="1468" spans="2:17" x14ac:dyDescent="0.45">
      <c r="B1468" s="27" t="str">
        <f>IFERROR(VLOOKUP(A1468,القائمة!$A$3:$F$112,2,FALSE),"")</f>
        <v/>
      </c>
      <c r="C1468" s="27" t="str">
        <f>IFERROR(VLOOKUP(A1468,القائمة!$A$3:$F$112,3,FALSE),"")</f>
        <v/>
      </c>
      <c r="D1468" s="36" t="str">
        <f>IFERROR(VLOOKUP(A1468,القائمة!$A$3:$F$112,4,FALSE),"")</f>
        <v/>
      </c>
      <c r="E1468" s="36" t="str">
        <f>IFERROR(VLOOKUP(A1468,القائمة!$A$3:$F$112,5,FALSE),"")</f>
        <v/>
      </c>
      <c r="F1468" s="37" t="str">
        <f>IFERROR(VLOOKUP(A1468,القائمة!$A$3:$F$112,6,FALSE),"")</f>
        <v/>
      </c>
      <c r="P1468" s="27">
        <f t="shared" si="47"/>
        <v>0</v>
      </c>
      <c r="Q1468" s="27">
        <f t="shared" si="46"/>
        <v>0</v>
      </c>
    </row>
    <row r="1469" spans="2:17" x14ac:dyDescent="0.45">
      <c r="B1469" s="27" t="str">
        <f>IFERROR(VLOOKUP(A1469,القائمة!$A$3:$F$112,2,FALSE),"")</f>
        <v/>
      </c>
      <c r="C1469" s="27" t="str">
        <f>IFERROR(VLOOKUP(A1469,القائمة!$A$3:$F$112,3,FALSE),"")</f>
        <v/>
      </c>
      <c r="D1469" s="36" t="str">
        <f>IFERROR(VLOOKUP(A1469,القائمة!$A$3:$F$112,4,FALSE),"")</f>
        <v/>
      </c>
      <c r="E1469" s="36" t="str">
        <f>IFERROR(VLOOKUP(A1469,القائمة!$A$3:$F$112,5,FALSE),"")</f>
        <v/>
      </c>
      <c r="F1469" s="37" t="str">
        <f>IFERROR(VLOOKUP(A1469,القائمة!$A$3:$F$112,6,FALSE),"")</f>
        <v/>
      </c>
      <c r="P1469" s="27">
        <f t="shared" si="47"/>
        <v>0</v>
      </c>
      <c r="Q1469" s="27">
        <f t="shared" si="46"/>
        <v>0</v>
      </c>
    </row>
    <row r="1470" spans="2:17" x14ac:dyDescent="0.45">
      <c r="B1470" s="27" t="str">
        <f>IFERROR(VLOOKUP(A1470,القائمة!$A$3:$F$112,2,FALSE),"")</f>
        <v/>
      </c>
      <c r="C1470" s="27" t="str">
        <f>IFERROR(VLOOKUP(A1470,القائمة!$A$3:$F$112,3,FALSE),"")</f>
        <v/>
      </c>
      <c r="D1470" s="36" t="str">
        <f>IFERROR(VLOOKUP(A1470,القائمة!$A$3:$F$112,4,FALSE),"")</f>
        <v/>
      </c>
      <c r="E1470" s="36" t="str">
        <f>IFERROR(VLOOKUP(A1470,القائمة!$A$3:$F$112,5,FALSE),"")</f>
        <v/>
      </c>
      <c r="F1470" s="37" t="str">
        <f>IFERROR(VLOOKUP(A1470,القائمة!$A$3:$F$112,6,FALSE),"")</f>
        <v/>
      </c>
      <c r="P1470" s="27">
        <f t="shared" si="47"/>
        <v>0</v>
      </c>
      <c r="Q1470" s="27">
        <f t="shared" si="46"/>
        <v>0</v>
      </c>
    </row>
    <row r="1471" spans="2:17" x14ac:dyDescent="0.45">
      <c r="B1471" s="27" t="str">
        <f>IFERROR(VLOOKUP(A1471,القائمة!$A$3:$F$112,2,FALSE),"")</f>
        <v/>
      </c>
      <c r="C1471" s="27" t="str">
        <f>IFERROR(VLOOKUP(A1471,القائمة!$A$3:$F$112,3,FALSE),"")</f>
        <v/>
      </c>
      <c r="D1471" s="36" t="str">
        <f>IFERROR(VLOOKUP(A1471,القائمة!$A$3:$F$112,4,FALSE),"")</f>
        <v/>
      </c>
      <c r="E1471" s="36" t="str">
        <f>IFERROR(VLOOKUP(A1471,القائمة!$A$3:$F$112,5,FALSE),"")</f>
        <v/>
      </c>
      <c r="F1471" s="37" t="str">
        <f>IFERROR(VLOOKUP(A1471,القائمة!$A$3:$F$112,6,FALSE),"")</f>
        <v/>
      </c>
      <c r="P1471" s="27">
        <f t="shared" si="47"/>
        <v>0</v>
      </c>
      <c r="Q1471" s="27">
        <f t="shared" si="46"/>
        <v>0</v>
      </c>
    </row>
    <row r="1472" spans="2:17" x14ac:dyDescent="0.45">
      <c r="B1472" s="27" t="str">
        <f>IFERROR(VLOOKUP(A1472,القائمة!$A$3:$F$112,2,FALSE),"")</f>
        <v/>
      </c>
      <c r="C1472" s="27" t="str">
        <f>IFERROR(VLOOKUP(A1472,القائمة!$A$3:$F$112,3,FALSE),"")</f>
        <v/>
      </c>
      <c r="D1472" s="36" t="str">
        <f>IFERROR(VLOOKUP(A1472,القائمة!$A$3:$F$112,4,FALSE),"")</f>
        <v/>
      </c>
      <c r="E1472" s="36" t="str">
        <f>IFERROR(VLOOKUP(A1472,القائمة!$A$3:$F$112,5,FALSE),"")</f>
        <v/>
      </c>
      <c r="F1472" s="37" t="str">
        <f>IFERROR(VLOOKUP(A1472,القائمة!$A$3:$F$112,6,FALSE),"")</f>
        <v/>
      </c>
      <c r="P1472" s="27">
        <f t="shared" si="47"/>
        <v>0</v>
      </c>
      <c r="Q1472" s="27">
        <f t="shared" si="46"/>
        <v>0</v>
      </c>
    </row>
    <row r="1473" spans="2:17" x14ac:dyDescent="0.45">
      <c r="B1473" s="27" t="str">
        <f>IFERROR(VLOOKUP(A1473,القائمة!$A$3:$F$112,2,FALSE),"")</f>
        <v/>
      </c>
      <c r="C1473" s="27" t="str">
        <f>IFERROR(VLOOKUP(A1473,القائمة!$A$3:$F$112,3,FALSE),"")</f>
        <v/>
      </c>
      <c r="D1473" s="36" t="str">
        <f>IFERROR(VLOOKUP(A1473,القائمة!$A$3:$F$112,4,FALSE),"")</f>
        <v/>
      </c>
      <c r="E1473" s="36" t="str">
        <f>IFERROR(VLOOKUP(A1473,القائمة!$A$3:$F$112,5,FALSE),"")</f>
        <v/>
      </c>
      <c r="F1473" s="37" t="str">
        <f>IFERROR(VLOOKUP(A1473,القائمة!$A$3:$F$112,6,FALSE),"")</f>
        <v/>
      </c>
      <c r="P1473" s="27">
        <f t="shared" si="47"/>
        <v>0</v>
      </c>
      <c r="Q1473" s="27">
        <f t="shared" si="46"/>
        <v>0</v>
      </c>
    </row>
    <row r="1474" spans="2:17" x14ac:dyDescent="0.45">
      <c r="B1474" s="27" t="str">
        <f>IFERROR(VLOOKUP(A1474,القائمة!$A$3:$F$112,2,FALSE),"")</f>
        <v/>
      </c>
      <c r="C1474" s="27" t="str">
        <f>IFERROR(VLOOKUP(A1474,القائمة!$A$3:$F$112,3,FALSE),"")</f>
        <v/>
      </c>
      <c r="D1474" s="36" t="str">
        <f>IFERROR(VLOOKUP(A1474,القائمة!$A$3:$F$112,4,FALSE),"")</f>
        <v/>
      </c>
      <c r="E1474" s="36" t="str">
        <f>IFERROR(VLOOKUP(A1474,القائمة!$A$3:$F$112,5,FALSE),"")</f>
        <v/>
      </c>
      <c r="F1474" s="37" t="str">
        <f>IFERROR(VLOOKUP(A1474,القائمة!$A$3:$F$112,6,FALSE),"")</f>
        <v/>
      </c>
      <c r="P1474" s="27">
        <f t="shared" si="47"/>
        <v>0</v>
      </c>
      <c r="Q1474" s="27">
        <f t="shared" si="46"/>
        <v>0</v>
      </c>
    </row>
    <row r="1475" spans="2:17" x14ac:dyDescent="0.45">
      <c r="B1475" s="27" t="str">
        <f>IFERROR(VLOOKUP(A1475,القائمة!$A$3:$F$112,2,FALSE),"")</f>
        <v/>
      </c>
      <c r="C1475" s="27" t="str">
        <f>IFERROR(VLOOKUP(A1475,القائمة!$A$3:$F$112,3,FALSE),"")</f>
        <v/>
      </c>
      <c r="D1475" s="36" t="str">
        <f>IFERROR(VLOOKUP(A1475,القائمة!$A$3:$F$112,4,FALSE),"")</f>
        <v/>
      </c>
      <c r="E1475" s="36" t="str">
        <f>IFERROR(VLOOKUP(A1475,القائمة!$A$3:$F$112,5,FALSE),"")</f>
        <v/>
      </c>
      <c r="F1475" s="37" t="str">
        <f>IFERROR(VLOOKUP(A1475,القائمة!$A$3:$F$112,6,FALSE),"")</f>
        <v/>
      </c>
      <c r="P1475" s="27">
        <f t="shared" si="47"/>
        <v>0</v>
      </c>
      <c r="Q1475" s="27">
        <f t="shared" ref="Q1475:Q1538" si="48">+P1475+L1475-M1475</f>
        <v>0</v>
      </c>
    </row>
    <row r="1476" spans="2:17" x14ac:dyDescent="0.45">
      <c r="B1476" s="27" t="str">
        <f>IFERROR(VLOOKUP(A1476,القائمة!$A$3:$F$112,2,FALSE),"")</f>
        <v/>
      </c>
      <c r="C1476" s="27" t="str">
        <f>IFERROR(VLOOKUP(A1476,القائمة!$A$3:$F$112,3,FALSE),"")</f>
        <v/>
      </c>
      <c r="D1476" s="36" t="str">
        <f>IFERROR(VLOOKUP(A1476,القائمة!$A$3:$F$112,4,FALSE),"")</f>
        <v/>
      </c>
      <c r="E1476" s="36" t="str">
        <f>IFERROR(VLOOKUP(A1476,القائمة!$A$3:$F$112,5,FALSE),"")</f>
        <v/>
      </c>
      <c r="F1476" s="37" t="str">
        <f>IFERROR(VLOOKUP(A1476,القائمة!$A$3:$F$112,6,FALSE),"")</f>
        <v/>
      </c>
      <c r="P1476" s="27">
        <f t="shared" ref="P1476:P1539" si="49">J1476-K1476</f>
        <v>0</v>
      </c>
      <c r="Q1476" s="27">
        <f t="shared" si="48"/>
        <v>0</v>
      </c>
    </row>
    <row r="1477" spans="2:17" x14ac:dyDescent="0.45">
      <c r="B1477" s="27" t="str">
        <f>IFERROR(VLOOKUP(A1477,القائمة!$A$3:$F$112,2,FALSE),"")</f>
        <v/>
      </c>
      <c r="C1477" s="27" t="str">
        <f>IFERROR(VLOOKUP(A1477,القائمة!$A$3:$F$112,3,FALSE),"")</f>
        <v/>
      </c>
      <c r="D1477" s="36" t="str">
        <f>IFERROR(VLOOKUP(A1477,القائمة!$A$3:$F$112,4,FALSE),"")</f>
        <v/>
      </c>
      <c r="E1477" s="36" t="str">
        <f>IFERROR(VLOOKUP(A1477,القائمة!$A$3:$F$112,5,FALSE),"")</f>
        <v/>
      </c>
      <c r="F1477" s="37" t="str">
        <f>IFERROR(VLOOKUP(A1477,القائمة!$A$3:$F$112,6,FALSE),"")</f>
        <v/>
      </c>
      <c r="P1477" s="27">
        <f t="shared" si="49"/>
        <v>0</v>
      </c>
      <c r="Q1477" s="27">
        <f t="shared" si="48"/>
        <v>0</v>
      </c>
    </row>
    <row r="1478" spans="2:17" x14ac:dyDescent="0.45">
      <c r="B1478" s="27" t="str">
        <f>IFERROR(VLOOKUP(A1478,القائمة!$A$3:$F$112,2,FALSE),"")</f>
        <v/>
      </c>
      <c r="C1478" s="27" t="str">
        <f>IFERROR(VLOOKUP(A1478,القائمة!$A$3:$F$112,3,FALSE),"")</f>
        <v/>
      </c>
      <c r="D1478" s="36" t="str">
        <f>IFERROR(VLOOKUP(A1478,القائمة!$A$3:$F$112,4,FALSE),"")</f>
        <v/>
      </c>
      <c r="E1478" s="36" t="str">
        <f>IFERROR(VLOOKUP(A1478,القائمة!$A$3:$F$112,5,FALSE),"")</f>
        <v/>
      </c>
      <c r="F1478" s="37" t="str">
        <f>IFERROR(VLOOKUP(A1478,القائمة!$A$3:$F$112,6,FALSE),"")</f>
        <v/>
      </c>
      <c r="P1478" s="27">
        <f t="shared" si="49"/>
        <v>0</v>
      </c>
      <c r="Q1478" s="27">
        <f t="shared" si="48"/>
        <v>0</v>
      </c>
    </row>
    <row r="1479" spans="2:17" x14ac:dyDescent="0.45">
      <c r="B1479" s="27" t="str">
        <f>IFERROR(VLOOKUP(A1479,القائمة!$A$3:$F$112,2,FALSE),"")</f>
        <v/>
      </c>
      <c r="C1479" s="27" t="str">
        <f>IFERROR(VLOOKUP(A1479,القائمة!$A$3:$F$112,3,FALSE),"")</f>
        <v/>
      </c>
      <c r="D1479" s="36" t="str">
        <f>IFERROR(VLOOKUP(A1479,القائمة!$A$3:$F$112,4,FALSE),"")</f>
        <v/>
      </c>
      <c r="E1479" s="36" t="str">
        <f>IFERROR(VLOOKUP(A1479,القائمة!$A$3:$F$112,5,FALSE),"")</f>
        <v/>
      </c>
      <c r="F1479" s="37" t="str">
        <f>IFERROR(VLOOKUP(A1479,القائمة!$A$3:$F$112,6,FALSE),"")</f>
        <v/>
      </c>
      <c r="P1479" s="27">
        <f t="shared" si="49"/>
        <v>0</v>
      </c>
      <c r="Q1479" s="27">
        <f t="shared" si="48"/>
        <v>0</v>
      </c>
    </row>
    <row r="1480" spans="2:17" x14ac:dyDescent="0.45">
      <c r="B1480" s="27" t="str">
        <f>IFERROR(VLOOKUP(A1480,القائمة!$A$3:$F$112,2,FALSE),"")</f>
        <v/>
      </c>
      <c r="C1480" s="27" t="str">
        <f>IFERROR(VLOOKUP(A1480,القائمة!$A$3:$F$112,3,FALSE),"")</f>
        <v/>
      </c>
      <c r="D1480" s="36" t="str">
        <f>IFERROR(VLOOKUP(A1480,القائمة!$A$3:$F$112,4,FALSE),"")</f>
        <v/>
      </c>
      <c r="E1480" s="36" t="str">
        <f>IFERROR(VLOOKUP(A1480,القائمة!$A$3:$F$112,5,FALSE),"")</f>
        <v/>
      </c>
      <c r="F1480" s="37" t="str">
        <f>IFERROR(VLOOKUP(A1480,القائمة!$A$3:$F$112,6,FALSE),"")</f>
        <v/>
      </c>
      <c r="P1480" s="27">
        <f t="shared" si="49"/>
        <v>0</v>
      </c>
      <c r="Q1480" s="27">
        <f t="shared" si="48"/>
        <v>0</v>
      </c>
    </row>
    <row r="1481" spans="2:17" x14ac:dyDescent="0.45">
      <c r="B1481" s="27" t="str">
        <f>IFERROR(VLOOKUP(A1481,القائمة!$A$3:$F$112,2,FALSE),"")</f>
        <v/>
      </c>
      <c r="C1481" s="27" t="str">
        <f>IFERROR(VLOOKUP(A1481,القائمة!$A$3:$F$112,3,FALSE),"")</f>
        <v/>
      </c>
      <c r="D1481" s="36" t="str">
        <f>IFERROR(VLOOKUP(A1481,القائمة!$A$3:$F$112,4,FALSE),"")</f>
        <v/>
      </c>
      <c r="E1481" s="36" t="str">
        <f>IFERROR(VLOOKUP(A1481,القائمة!$A$3:$F$112,5,FALSE),"")</f>
        <v/>
      </c>
      <c r="F1481" s="37" t="str">
        <f>IFERROR(VLOOKUP(A1481,القائمة!$A$3:$F$112,6,FALSE),"")</f>
        <v/>
      </c>
      <c r="P1481" s="27">
        <f t="shared" si="49"/>
        <v>0</v>
      </c>
      <c r="Q1481" s="27">
        <f t="shared" si="48"/>
        <v>0</v>
      </c>
    </row>
    <row r="1482" spans="2:17" x14ac:dyDescent="0.45">
      <c r="B1482" s="27" t="str">
        <f>IFERROR(VLOOKUP(A1482,القائمة!$A$3:$F$112,2,FALSE),"")</f>
        <v/>
      </c>
      <c r="C1482" s="27" t="str">
        <f>IFERROR(VLOOKUP(A1482,القائمة!$A$3:$F$112,3,FALSE),"")</f>
        <v/>
      </c>
      <c r="D1482" s="36" t="str">
        <f>IFERROR(VLOOKUP(A1482,القائمة!$A$3:$F$112,4,FALSE),"")</f>
        <v/>
      </c>
      <c r="E1482" s="36" t="str">
        <f>IFERROR(VLOOKUP(A1482,القائمة!$A$3:$F$112,5,FALSE),"")</f>
        <v/>
      </c>
      <c r="F1482" s="37" t="str">
        <f>IFERROR(VLOOKUP(A1482,القائمة!$A$3:$F$112,6,FALSE),"")</f>
        <v/>
      </c>
      <c r="P1482" s="27">
        <f t="shared" si="49"/>
        <v>0</v>
      </c>
      <c r="Q1482" s="27">
        <f t="shared" si="48"/>
        <v>0</v>
      </c>
    </row>
    <row r="1483" spans="2:17" x14ac:dyDescent="0.45">
      <c r="B1483" s="27" t="str">
        <f>IFERROR(VLOOKUP(A1483,القائمة!$A$3:$F$112,2,FALSE),"")</f>
        <v/>
      </c>
      <c r="C1483" s="27" t="str">
        <f>IFERROR(VLOOKUP(A1483,القائمة!$A$3:$F$112,3,FALSE),"")</f>
        <v/>
      </c>
      <c r="D1483" s="36" t="str">
        <f>IFERROR(VLOOKUP(A1483,القائمة!$A$3:$F$112,4,FALSE),"")</f>
        <v/>
      </c>
      <c r="E1483" s="36" t="str">
        <f>IFERROR(VLOOKUP(A1483,القائمة!$A$3:$F$112,5,FALSE),"")</f>
        <v/>
      </c>
      <c r="F1483" s="37" t="str">
        <f>IFERROR(VLOOKUP(A1483,القائمة!$A$3:$F$112,6,FALSE),"")</f>
        <v/>
      </c>
      <c r="P1483" s="27">
        <f t="shared" si="49"/>
        <v>0</v>
      </c>
      <c r="Q1483" s="27">
        <f t="shared" si="48"/>
        <v>0</v>
      </c>
    </row>
    <row r="1484" spans="2:17" x14ac:dyDescent="0.45">
      <c r="B1484" s="27" t="str">
        <f>IFERROR(VLOOKUP(A1484,القائمة!$A$3:$F$112,2,FALSE),"")</f>
        <v/>
      </c>
      <c r="C1484" s="27" t="str">
        <f>IFERROR(VLOOKUP(A1484,القائمة!$A$3:$F$112,3,FALSE),"")</f>
        <v/>
      </c>
      <c r="D1484" s="36" t="str">
        <f>IFERROR(VLOOKUP(A1484,القائمة!$A$3:$F$112,4,FALSE),"")</f>
        <v/>
      </c>
      <c r="E1484" s="36" t="str">
        <f>IFERROR(VLOOKUP(A1484,القائمة!$A$3:$F$112,5,FALSE),"")</f>
        <v/>
      </c>
      <c r="F1484" s="37" t="str">
        <f>IFERROR(VLOOKUP(A1484,القائمة!$A$3:$F$112,6,FALSE),"")</f>
        <v/>
      </c>
      <c r="P1484" s="27">
        <f t="shared" si="49"/>
        <v>0</v>
      </c>
      <c r="Q1484" s="27">
        <f t="shared" si="48"/>
        <v>0</v>
      </c>
    </row>
    <row r="1485" spans="2:17" x14ac:dyDescent="0.45">
      <c r="B1485" s="27" t="str">
        <f>IFERROR(VLOOKUP(A1485,القائمة!$A$3:$F$112,2,FALSE),"")</f>
        <v/>
      </c>
      <c r="C1485" s="27" t="str">
        <f>IFERROR(VLOOKUP(A1485,القائمة!$A$3:$F$112,3,FALSE),"")</f>
        <v/>
      </c>
      <c r="D1485" s="36" t="str">
        <f>IFERROR(VLOOKUP(A1485,القائمة!$A$3:$F$112,4,FALSE),"")</f>
        <v/>
      </c>
      <c r="E1485" s="36" t="str">
        <f>IFERROR(VLOOKUP(A1485,القائمة!$A$3:$F$112,5,FALSE),"")</f>
        <v/>
      </c>
      <c r="F1485" s="37" t="str">
        <f>IFERROR(VLOOKUP(A1485,القائمة!$A$3:$F$112,6,FALSE),"")</f>
        <v/>
      </c>
      <c r="P1485" s="27">
        <f t="shared" si="49"/>
        <v>0</v>
      </c>
      <c r="Q1485" s="27">
        <f t="shared" si="48"/>
        <v>0</v>
      </c>
    </row>
    <row r="1486" spans="2:17" x14ac:dyDescent="0.45">
      <c r="B1486" s="27" t="str">
        <f>IFERROR(VLOOKUP(A1486,القائمة!$A$3:$F$112,2,FALSE),"")</f>
        <v/>
      </c>
      <c r="C1486" s="27" t="str">
        <f>IFERROR(VLOOKUP(A1486,القائمة!$A$3:$F$112,3,FALSE),"")</f>
        <v/>
      </c>
      <c r="D1486" s="36" t="str">
        <f>IFERROR(VLOOKUP(A1486,القائمة!$A$3:$F$112,4,FALSE),"")</f>
        <v/>
      </c>
      <c r="E1486" s="36" t="str">
        <f>IFERROR(VLOOKUP(A1486,القائمة!$A$3:$F$112,5,FALSE),"")</f>
        <v/>
      </c>
      <c r="F1486" s="37" t="str">
        <f>IFERROR(VLOOKUP(A1486,القائمة!$A$3:$F$112,6,FALSE),"")</f>
        <v/>
      </c>
      <c r="P1486" s="27">
        <f t="shared" si="49"/>
        <v>0</v>
      </c>
      <c r="Q1486" s="27">
        <f t="shared" si="48"/>
        <v>0</v>
      </c>
    </row>
    <row r="1487" spans="2:17" x14ac:dyDescent="0.45">
      <c r="B1487" s="27" t="str">
        <f>IFERROR(VLOOKUP(A1487,القائمة!$A$3:$F$112,2,FALSE),"")</f>
        <v/>
      </c>
      <c r="C1487" s="27" t="str">
        <f>IFERROR(VLOOKUP(A1487,القائمة!$A$3:$F$112,3,FALSE),"")</f>
        <v/>
      </c>
      <c r="D1487" s="36" t="str">
        <f>IFERROR(VLOOKUP(A1487,القائمة!$A$3:$F$112,4,FALSE),"")</f>
        <v/>
      </c>
      <c r="E1487" s="36" t="str">
        <f>IFERROR(VLOOKUP(A1487,القائمة!$A$3:$F$112,5,FALSE),"")</f>
        <v/>
      </c>
      <c r="F1487" s="37" t="str">
        <f>IFERROR(VLOOKUP(A1487,القائمة!$A$3:$F$112,6,FALSE),"")</f>
        <v/>
      </c>
      <c r="P1487" s="27">
        <f t="shared" si="49"/>
        <v>0</v>
      </c>
      <c r="Q1487" s="27">
        <f t="shared" si="48"/>
        <v>0</v>
      </c>
    </row>
    <row r="1488" spans="2:17" x14ac:dyDescent="0.45">
      <c r="B1488" s="27" t="str">
        <f>IFERROR(VLOOKUP(A1488,القائمة!$A$3:$F$112,2,FALSE),"")</f>
        <v/>
      </c>
      <c r="C1488" s="27" t="str">
        <f>IFERROR(VLOOKUP(A1488,القائمة!$A$3:$F$112,3,FALSE),"")</f>
        <v/>
      </c>
      <c r="D1488" s="36" t="str">
        <f>IFERROR(VLOOKUP(A1488,القائمة!$A$3:$F$112,4,FALSE),"")</f>
        <v/>
      </c>
      <c r="E1488" s="36" t="str">
        <f>IFERROR(VLOOKUP(A1488,القائمة!$A$3:$F$112,5,FALSE),"")</f>
        <v/>
      </c>
      <c r="F1488" s="37" t="str">
        <f>IFERROR(VLOOKUP(A1488,القائمة!$A$3:$F$112,6,FALSE),"")</f>
        <v/>
      </c>
      <c r="P1488" s="27">
        <f t="shared" si="49"/>
        <v>0</v>
      </c>
      <c r="Q1488" s="27">
        <f t="shared" si="48"/>
        <v>0</v>
      </c>
    </row>
    <row r="1489" spans="2:17" x14ac:dyDescent="0.45">
      <c r="B1489" s="27" t="str">
        <f>IFERROR(VLOOKUP(A1489,القائمة!$A$3:$F$112,2,FALSE),"")</f>
        <v/>
      </c>
      <c r="C1489" s="27" t="str">
        <f>IFERROR(VLOOKUP(A1489,القائمة!$A$3:$F$112,3,FALSE),"")</f>
        <v/>
      </c>
      <c r="D1489" s="36" t="str">
        <f>IFERROR(VLOOKUP(A1489,القائمة!$A$3:$F$112,4,FALSE),"")</f>
        <v/>
      </c>
      <c r="E1489" s="36" t="str">
        <f>IFERROR(VLOOKUP(A1489,القائمة!$A$3:$F$112,5,FALSE),"")</f>
        <v/>
      </c>
      <c r="F1489" s="37" t="str">
        <f>IFERROR(VLOOKUP(A1489,القائمة!$A$3:$F$112,6,FALSE),"")</f>
        <v/>
      </c>
      <c r="P1489" s="27">
        <f t="shared" si="49"/>
        <v>0</v>
      </c>
      <c r="Q1489" s="27">
        <f t="shared" si="48"/>
        <v>0</v>
      </c>
    </row>
    <row r="1490" spans="2:17" x14ac:dyDescent="0.45">
      <c r="B1490" s="27" t="str">
        <f>IFERROR(VLOOKUP(A1490,القائمة!$A$3:$F$112,2,FALSE),"")</f>
        <v/>
      </c>
      <c r="C1490" s="27" t="str">
        <f>IFERROR(VLOOKUP(A1490,القائمة!$A$3:$F$112,3,FALSE),"")</f>
        <v/>
      </c>
      <c r="D1490" s="36" t="str">
        <f>IFERROR(VLOOKUP(A1490,القائمة!$A$3:$F$112,4,FALSE),"")</f>
        <v/>
      </c>
      <c r="E1490" s="36" t="str">
        <f>IFERROR(VLOOKUP(A1490,القائمة!$A$3:$F$112,5,FALSE),"")</f>
        <v/>
      </c>
      <c r="F1490" s="37" t="str">
        <f>IFERROR(VLOOKUP(A1490,القائمة!$A$3:$F$112,6,FALSE),"")</f>
        <v/>
      </c>
      <c r="P1490" s="27">
        <f t="shared" si="49"/>
        <v>0</v>
      </c>
      <c r="Q1490" s="27">
        <f t="shared" si="48"/>
        <v>0</v>
      </c>
    </row>
    <row r="1491" spans="2:17" x14ac:dyDescent="0.45">
      <c r="B1491" s="27" t="str">
        <f>IFERROR(VLOOKUP(A1491,القائمة!$A$3:$F$112,2,FALSE),"")</f>
        <v/>
      </c>
      <c r="C1491" s="27" t="str">
        <f>IFERROR(VLOOKUP(A1491,القائمة!$A$3:$F$112,3,FALSE),"")</f>
        <v/>
      </c>
      <c r="D1491" s="36" t="str">
        <f>IFERROR(VLOOKUP(A1491,القائمة!$A$3:$F$112,4,FALSE),"")</f>
        <v/>
      </c>
      <c r="E1491" s="36" t="str">
        <f>IFERROR(VLOOKUP(A1491,القائمة!$A$3:$F$112,5,FALSE),"")</f>
        <v/>
      </c>
      <c r="F1491" s="37" t="str">
        <f>IFERROR(VLOOKUP(A1491,القائمة!$A$3:$F$112,6,FALSE),"")</f>
        <v/>
      </c>
      <c r="P1491" s="27">
        <f t="shared" si="49"/>
        <v>0</v>
      </c>
      <c r="Q1491" s="27">
        <f t="shared" si="48"/>
        <v>0</v>
      </c>
    </row>
    <row r="1492" spans="2:17" x14ac:dyDescent="0.45">
      <c r="B1492" s="27" t="str">
        <f>IFERROR(VLOOKUP(A1492,القائمة!$A$3:$F$112,2,FALSE),"")</f>
        <v/>
      </c>
      <c r="C1492" s="27" t="str">
        <f>IFERROR(VLOOKUP(A1492,القائمة!$A$3:$F$112,3,FALSE),"")</f>
        <v/>
      </c>
      <c r="D1492" s="36" t="str">
        <f>IFERROR(VLOOKUP(A1492,القائمة!$A$3:$F$112,4,FALSE),"")</f>
        <v/>
      </c>
      <c r="E1492" s="36" t="str">
        <f>IFERROR(VLOOKUP(A1492,القائمة!$A$3:$F$112,5,FALSE),"")</f>
        <v/>
      </c>
      <c r="F1492" s="37" t="str">
        <f>IFERROR(VLOOKUP(A1492,القائمة!$A$3:$F$112,6,FALSE),"")</f>
        <v/>
      </c>
      <c r="P1492" s="27">
        <f t="shared" si="49"/>
        <v>0</v>
      </c>
      <c r="Q1492" s="27">
        <f t="shared" si="48"/>
        <v>0</v>
      </c>
    </row>
    <row r="1493" spans="2:17" x14ac:dyDescent="0.45">
      <c r="B1493" s="27" t="str">
        <f>IFERROR(VLOOKUP(A1493,القائمة!$A$3:$F$112,2,FALSE),"")</f>
        <v/>
      </c>
      <c r="C1493" s="27" t="str">
        <f>IFERROR(VLOOKUP(A1493,القائمة!$A$3:$F$112,3,FALSE),"")</f>
        <v/>
      </c>
      <c r="D1493" s="36" t="str">
        <f>IFERROR(VLOOKUP(A1493,القائمة!$A$3:$F$112,4,FALSE),"")</f>
        <v/>
      </c>
      <c r="E1493" s="36" t="str">
        <f>IFERROR(VLOOKUP(A1493,القائمة!$A$3:$F$112,5,FALSE),"")</f>
        <v/>
      </c>
      <c r="F1493" s="37" t="str">
        <f>IFERROR(VLOOKUP(A1493,القائمة!$A$3:$F$112,6,FALSE),"")</f>
        <v/>
      </c>
      <c r="P1493" s="27">
        <f t="shared" si="49"/>
        <v>0</v>
      </c>
      <c r="Q1493" s="27">
        <f t="shared" si="48"/>
        <v>0</v>
      </c>
    </row>
    <row r="1494" spans="2:17" x14ac:dyDescent="0.45">
      <c r="B1494" s="27" t="str">
        <f>IFERROR(VLOOKUP(A1494,القائمة!$A$3:$F$112,2,FALSE),"")</f>
        <v/>
      </c>
      <c r="C1494" s="27" t="str">
        <f>IFERROR(VLOOKUP(A1494,القائمة!$A$3:$F$112,3,FALSE),"")</f>
        <v/>
      </c>
      <c r="D1494" s="36" t="str">
        <f>IFERROR(VLOOKUP(A1494,القائمة!$A$3:$F$112,4,FALSE),"")</f>
        <v/>
      </c>
      <c r="E1494" s="36" t="str">
        <f>IFERROR(VLOOKUP(A1494,القائمة!$A$3:$F$112,5,FALSE),"")</f>
        <v/>
      </c>
      <c r="F1494" s="37" t="str">
        <f>IFERROR(VLOOKUP(A1494,القائمة!$A$3:$F$112,6,FALSE),"")</f>
        <v/>
      </c>
      <c r="P1494" s="27">
        <f t="shared" si="49"/>
        <v>0</v>
      </c>
      <c r="Q1494" s="27">
        <f t="shared" si="48"/>
        <v>0</v>
      </c>
    </row>
    <row r="1495" spans="2:17" x14ac:dyDescent="0.45">
      <c r="B1495" s="27" t="str">
        <f>IFERROR(VLOOKUP(A1495,القائمة!$A$3:$F$112,2,FALSE),"")</f>
        <v/>
      </c>
      <c r="C1495" s="27" t="str">
        <f>IFERROR(VLOOKUP(A1495,القائمة!$A$3:$F$112,3,FALSE),"")</f>
        <v/>
      </c>
      <c r="D1495" s="36" t="str">
        <f>IFERROR(VLOOKUP(A1495,القائمة!$A$3:$F$112,4,FALSE),"")</f>
        <v/>
      </c>
      <c r="E1495" s="36" t="str">
        <f>IFERROR(VLOOKUP(A1495,القائمة!$A$3:$F$112,5,FALSE),"")</f>
        <v/>
      </c>
      <c r="F1495" s="37" t="str">
        <f>IFERROR(VLOOKUP(A1495,القائمة!$A$3:$F$112,6,FALSE),"")</f>
        <v/>
      </c>
      <c r="P1495" s="27">
        <f t="shared" si="49"/>
        <v>0</v>
      </c>
      <c r="Q1495" s="27">
        <f t="shared" si="48"/>
        <v>0</v>
      </c>
    </row>
    <row r="1496" spans="2:17" x14ac:dyDescent="0.45">
      <c r="B1496" s="27" t="str">
        <f>IFERROR(VLOOKUP(A1496,القائمة!$A$3:$F$112,2,FALSE),"")</f>
        <v/>
      </c>
      <c r="C1496" s="27" t="str">
        <f>IFERROR(VLOOKUP(A1496,القائمة!$A$3:$F$112,3,FALSE),"")</f>
        <v/>
      </c>
      <c r="D1496" s="36" t="str">
        <f>IFERROR(VLOOKUP(A1496,القائمة!$A$3:$F$112,4,FALSE),"")</f>
        <v/>
      </c>
      <c r="E1496" s="36" t="str">
        <f>IFERROR(VLOOKUP(A1496,القائمة!$A$3:$F$112,5,FALSE),"")</f>
        <v/>
      </c>
      <c r="F1496" s="37" t="str">
        <f>IFERROR(VLOOKUP(A1496,القائمة!$A$3:$F$112,6,FALSE),"")</f>
        <v/>
      </c>
      <c r="P1496" s="27">
        <f t="shared" si="49"/>
        <v>0</v>
      </c>
      <c r="Q1496" s="27">
        <f t="shared" si="48"/>
        <v>0</v>
      </c>
    </row>
    <row r="1497" spans="2:17" x14ac:dyDescent="0.45">
      <c r="B1497" s="27" t="str">
        <f>IFERROR(VLOOKUP(A1497,القائمة!$A$3:$F$112,2,FALSE),"")</f>
        <v/>
      </c>
      <c r="C1497" s="27" t="str">
        <f>IFERROR(VLOOKUP(A1497,القائمة!$A$3:$F$112,3,FALSE),"")</f>
        <v/>
      </c>
      <c r="D1497" s="36" t="str">
        <f>IFERROR(VLOOKUP(A1497,القائمة!$A$3:$F$112,4,FALSE),"")</f>
        <v/>
      </c>
      <c r="E1497" s="36" t="str">
        <f>IFERROR(VLOOKUP(A1497,القائمة!$A$3:$F$112,5,FALSE),"")</f>
        <v/>
      </c>
      <c r="F1497" s="37" t="str">
        <f>IFERROR(VLOOKUP(A1497,القائمة!$A$3:$F$112,6,FALSE),"")</f>
        <v/>
      </c>
      <c r="P1497" s="27">
        <f t="shared" si="49"/>
        <v>0</v>
      </c>
      <c r="Q1497" s="27">
        <f t="shared" si="48"/>
        <v>0</v>
      </c>
    </row>
    <row r="1498" spans="2:17" x14ac:dyDescent="0.45">
      <c r="B1498" s="27" t="str">
        <f>IFERROR(VLOOKUP(A1498,القائمة!$A$3:$F$112,2,FALSE),"")</f>
        <v/>
      </c>
      <c r="C1498" s="27" t="str">
        <f>IFERROR(VLOOKUP(A1498,القائمة!$A$3:$F$112,3,FALSE),"")</f>
        <v/>
      </c>
      <c r="D1498" s="36" t="str">
        <f>IFERROR(VLOOKUP(A1498,القائمة!$A$3:$F$112,4,FALSE),"")</f>
        <v/>
      </c>
      <c r="E1498" s="36" t="str">
        <f>IFERROR(VLOOKUP(A1498,القائمة!$A$3:$F$112,5,FALSE),"")</f>
        <v/>
      </c>
      <c r="F1498" s="37" t="str">
        <f>IFERROR(VLOOKUP(A1498,القائمة!$A$3:$F$112,6,FALSE),"")</f>
        <v/>
      </c>
      <c r="P1498" s="27">
        <f t="shared" si="49"/>
        <v>0</v>
      </c>
      <c r="Q1498" s="27">
        <f t="shared" si="48"/>
        <v>0</v>
      </c>
    </row>
    <row r="1499" spans="2:17" x14ac:dyDescent="0.45">
      <c r="B1499" s="27" t="str">
        <f>IFERROR(VLOOKUP(A1499,القائمة!$A$3:$F$112,2,FALSE),"")</f>
        <v/>
      </c>
      <c r="C1499" s="27" t="str">
        <f>IFERROR(VLOOKUP(A1499,القائمة!$A$3:$F$112,3,FALSE),"")</f>
        <v/>
      </c>
      <c r="D1499" s="36" t="str">
        <f>IFERROR(VLOOKUP(A1499,القائمة!$A$3:$F$112,4,FALSE),"")</f>
        <v/>
      </c>
      <c r="E1499" s="36" t="str">
        <f>IFERROR(VLOOKUP(A1499,القائمة!$A$3:$F$112,5,FALSE),"")</f>
        <v/>
      </c>
      <c r="F1499" s="37" t="str">
        <f>IFERROR(VLOOKUP(A1499,القائمة!$A$3:$F$112,6,FALSE),"")</f>
        <v/>
      </c>
      <c r="P1499" s="27">
        <f t="shared" si="49"/>
        <v>0</v>
      </c>
      <c r="Q1499" s="27">
        <f t="shared" si="48"/>
        <v>0</v>
      </c>
    </row>
    <row r="1500" spans="2:17" x14ac:dyDescent="0.45">
      <c r="B1500" s="27" t="str">
        <f>IFERROR(VLOOKUP(A1500,القائمة!$A$3:$F$112,2,FALSE),"")</f>
        <v/>
      </c>
      <c r="C1500" s="27" t="str">
        <f>IFERROR(VLOOKUP(A1500,القائمة!$A$3:$F$112,3,FALSE),"")</f>
        <v/>
      </c>
      <c r="D1500" s="36" t="str">
        <f>IFERROR(VLOOKUP(A1500,القائمة!$A$3:$F$112,4,FALSE),"")</f>
        <v/>
      </c>
      <c r="E1500" s="36" t="str">
        <f>IFERROR(VLOOKUP(A1500,القائمة!$A$3:$F$112,5,FALSE),"")</f>
        <v/>
      </c>
      <c r="F1500" s="37" t="str">
        <f>IFERROR(VLOOKUP(A1500,القائمة!$A$3:$F$112,6,FALSE),"")</f>
        <v/>
      </c>
      <c r="P1500" s="27">
        <f t="shared" si="49"/>
        <v>0</v>
      </c>
      <c r="Q1500" s="27">
        <f t="shared" si="48"/>
        <v>0</v>
      </c>
    </row>
    <row r="1501" spans="2:17" x14ac:dyDescent="0.45">
      <c r="B1501" s="27" t="str">
        <f>IFERROR(VLOOKUP(A1501,القائمة!$A$3:$F$112,2,FALSE),"")</f>
        <v/>
      </c>
      <c r="C1501" s="27" t="str">
        <f>IFERROR(VLOOKUP(A1501,القائمة!$A$3:$F$112,3,FALSE),"")</f>
        <v/>
      </c>
      <c r="D1501" s="36" t="str">
        <f>IFERROR(VLOOKUP(A1501,القائمة!$A$3:$F$112,4,FALSE),"")</f>
        <v/>
      </c>
      <c r="E1501" s="36" t="str">
        <f>IFERROR(VLOOKUP(A1501,القائمة!$A$3:$F$112,5,FALSE),"")</f>
        <v/>
      </c>
      <c r="F1501" s="37" t="str">
        <f>IFERROR(VLOOKUP(A1501,القائمة!$A$3:$F$112,6,FALSE),"")</f>
        <v/>
      </c>
      <c r="P1501" s="27">
        <f t="shared" si="49"/>
        <v>0</v>
      </c>
      <c r="Q1501" s="27">
        <f t="shared" si="48"/>
        <v>0</v>
      </c>
    </row>
    <row r="1502" spans="2:17" x14ac:dyDescent="0.45">
      <c r="B1502" s="27" t="str">
        <f>IFERROR(VLOOKUP(A1502,القائمة!$A$3:$F$112,2,FALSE),"")</f>
        <v/>
      </c>
      <c r="C1502" s="27" t="str">
        <f>IFERROR(VLOOKUP(A1502,القائمة!$A$3:$F$112,3,FALSE),"")</f>
        <v/>
      </c>
      <c r="D1502" s="36" t="str">
        <f>IFERROR(VLOOKUP(A1502,القائمة!$A$3:$F$112,4,FALSE),"")</f>
        <v/>
      </c>
      <c r="E1502" s="36" t="str">
        <f>IFERROR(VLOOKUP(A1502,القائمة!$A$3:$F$112,5,FALSE),"")</f>
        <v/>
      </c>
      <c r="F1502" s="37" t="str">
        <f>IFERROR(VLOOKUP(A1502,القائمة!$A$3:$F$112,6,FALSE),"")</f>
        <v/>
      </c>
      <c r="P1502" s="27">
        <f t="shared" si="49"/>
        <v>0</v>
      </c>
      <c r="Q1502" s="27">
        <f t="shared" si="48"/>
        <v>0</v>
      </c>
    </row>
    <row r="1503" spans="2:17" x14ac:dyDescent="0.45">
      <c r="B1503" s="27" t="str">
        <f>IFERROR(VLOOKUP(A1503,القائمة!$A$3:$F$112,2,FALSE),"")</f>
        <v/>
      </c>
      <c r="C1503" s="27" t="str">
        <f>IFERROR(VLOOKUP(A1503,القائمة!$A$3:$F$112,3,FALSE),"")</f>
        <v/>
      </c>
      <c r="D1503" s="36" t="str">
        <f>IFERROR(VLOOKUP(A1503,القائمة!$A$3:$F$112,4,FALSE),"")</f>
        <v/>
      </c>
      <c r="E1503" s="36" t="str">
        <f>IFERROR(VLOOKUP(A1503,القائمة!$A$3:$F$112,5,FALSE),"")</f>
        <v/>
      </c>
      <c r="F1503" s="37" t="str">
        <f>IFERROR(VLOOKUP(A1503,القائمة!$A$3:$F$112,6,FALSE),"")</f>
        <v/>
      </c>
      <c r="P1503" s="27">
        <f t="shared" si="49"/>
        <v>0</v>
      </c>
      <c r="Q1503" s="27">
        <f t="shared" si="48"/>
        <v>0</v>
      </c>
    </row>
    <row r="1504" spans="2:17" x14ac:dyDescent="0.45">
      <c r="B1504" s="27" t="str">
        <f>IFERROR(VLOOKUP(A1504,القائمة!$A$3:$F$112,2,FALSE),"")</f>
        <v/>
      </c>
      <c r="C1504" s="27" t="str">
        <f>IFERROR(VLOOKUP(A1504,القائمة!$A$3:$F$112,3,FALSE),"")</f>
        <v/>
      </c>
      <c r="D1504" s="36" t="str">
        <f>IFERROR(VLOOKUP(A1504,القائمة!$A$3:$F$112,4,FALSE),"")</f>
        <v/>
      </c>
      <c r="E1504" s="36" t="str">
        <f>IFERROR(VLOOKUP(A1504,القائمة!$A$3:$F$112,5,FALSE),"")</f>
        <v/>
      </c>
      <c r="F1504" s="37" t="str">
        <f>IFERROR(VLOOKUP(A1504,القائمة!$A$3:$F$112,6,FALSE),"")</f>
        <v/>
      </c>
      <c r="P1504" s="27">
        <f t="shared" si="49"/>
        <v>0</v>
      </c>
      <c r="Q1504" s="27">
        <f t="shared" si="48"/>
        <v>0</v>
      </c>
    </row>
    <row r="1505" spans="2:17" x14ac:dyDescent="0.45">
      <c r="B1505" s="27" t="str">
        <f>IFERROR(VLOOKUP(A1505,القائمة!$A$3:$F$112,2,FALSE),"")</f>
        <v/>
      </c>
      <c r="C1505" s="27" t="str">
        <f>IFERROR(VLOOKUP(A1505,القائمة!$A$3:$F$112,3,FALSE),"")</f>
        <v/>
      </c>
      <c r="D1505" s="36" t="str">
        <f>IFERROR(VLOOKUP(A1505,القائمة!$A$3:$F$112,4,FALSE),"")</f>
        <v/>
      </c>
      <c r="E1505" s="36" t="str">
        <f>IFERROR(VLOOKUP(A1505,القائمة!$A$3:$F$112,5,FALSE),"")</f>
        <v/>
      </c>
      <c r="F1505" s="37" t="str">
        <f>IFERROR(VLOOKUP(A1505,القائمة!$A$3:$F$112,6,FALSE),"")</f>
        <v/>
      </c>
      <c r="P1505" s="27">
        <f t="shared" si="49"/>
        <v>0</v>
      </c>
      <c r="Q1505" s="27">
        <f t="shared" si="48"/>
        <v>0</v>
      </c>
    </row>
    <row r="1506" spans="2:17" x14ac:dyDescent="0.45">
      <c r="B1506" s="27" t="str">
        <f>IFERROR(VLOOKUP(A1506,القائمة!$A$3:$F$112,2,FALSE),"")</f>
        <v/>
      </c>
      <c r="C1506" s="27" t="str">
        <f>IFERROR(VLOOKUP(A1506,القائمة!$A$3:$F$112,3,FALSE),"")</f>
        <v/>
      </c>
      <c r="D1506" s="36" t="str">
        <f>IFERROR(VLOOKUP(A1506,القائمة!$A$3:$F$112,4,FALSE),"")</f>
        <v/>
      </c>
      <c r="E1506" s="36" t="str">
        <f>IFERROR(VLOOKUP(A1506,القائمة!$A$3:$F$112,5,FALSE),"")</f>
        <v/>
      </c>
      <c r="F1506" s="37" t="str">
        <f>IFERROR(VLOOKUP(A1506,القائمة!$A$3:$F$112,6,FALSE),"")</f>
        <v/>
      </c>
      <c r="P1506" s="27">
        <f t="shared" si="49"/>
        <v>0</v>
      </c>
      <c r="Q1506" s="27">
        <f t="shared" si="48"/>
        <v>0</v>
      </c>
    </row>
    <row r="1507" spans="2:17" x14ac:dyDescent="0.45">
      <c r="B1507" s="27" t="str">
        <f>IFERROR(VLOOKUP(A1507,القائمة!$A$3:$F$112,2,FALSE),"")</f>
        <v/>
      </c>
      <c r="C1507" s="27" t="str">
        <f>IFERROR(VLOOKUP(A1507,القائمة!$A$3:$F$112,3,FALSE),"")</f>
        <v/>
      </c>
      <c r="D1507" s="36" t="str">
        <f>IFERROR(VLOOKUP(A1507,القائمة!$A$3:$F$112,4,FALSE),"")</f>
        <v/>
      </c>
      <c r="E1507" s="36" t="str">
        <f>IFERROR(VLOOKUP(A1507,القائمة!$A$3:$F$112,5,FALSE),"")</f>
        <v/>
      </c>
      <c r="F1507" s="37" t="str">
        <f>IFERROR(VLOOKUP(A1507,القائمة!$A$3:$F$112,6,FALSE),"")</f>
        <v/>
      </c>
      <c r="P1507" s="27">
        <f t="shared" si="49"/>
        <v>0</v>
      </c>
      <c r="Q1507" s="27">
        <f t="shared" si="48"/>
        <v>0</v>
      </c>
    </row>
    <row r="1508" spans="2:17" x14ac:dyDescent="0.45">
      <c r="B1508" s="27" t="str">
        <f>IFERROR(VLOOKUP(A1508,القائمة!$A$3:$F$112,2,FALSE),"")</f>
        <v/>
      </c>
      <c r="C1508" s="27" t="str">
        <f>IFERROR(VLOOKUP(A1508,القائمة!$A$3:$F$112,3,FALSE),"")</f>
        <v/>
      </c>
      <c r="D1508" s="36" t="str">
        <f>IFERROR(VLOOKUP(A1508,القائمة!$A$3:$F$112,4,FALSE),"")</f>
        <v/>
      </c>
      <c r="E1508" s="36" t="str">
        <f>IFERROR(VLOOKUP(A1508,القائمة!$A$3:$F$112,5,FALSE),"")</f>
        <v/>
      </c>
      <c r="F1508" s="37" t="str">
        <f>IFERROR(VLOOKUP(A1508,القائمة!$A$3:$F$112,6,FALSE),"")</f>
        <v/>
      </c>
      <c r="P1508" s="27">
        <f t="shared" si="49"/>
        <v>0</v>
      </c>
      <c r="Q1508" s="27">
        <f t="shared" si="48"/>
        <v>0</v>
      </c>
    </row>
    <row r="1509" spans="2:17" x14ac:dyDescent="0.45">
      <c r="B1509" s="27" t="str">
        <f>IFERROR(VLOOKUP(A1509,القائمة!$A$3:$F$112,2,FALSE),"")</f>
        <v/>
      </c>
      <c r="C1509" s="27" t="str">
        <f>IFERROR(VLOOKUP(A1509,القائمة!$A$3:$F$112,3,FALSE),"")</f>
        <v/>
      </c>
      <c r="D1509" s="36" t="str">
        <f>IFERROR(VLOOKUP(A1509,القائمة!$A$3:$F$112,4,FALSE),"")</f>
        <v/>
      </c>
      <c r="E1509" s="36" t="str">
        <f>IFERROR(VLOOKUP(A1509,القائمة!$A$3:$F$112,5,FALSE),"")</f>
        <v/>
      </c>
      <c r="F1509" s="37" t="str">
        <f>IFERROR(VLOOKUP(A1509,القائمة!$A$3:$F$112,6,FALSE),"")</f>
        <v/>
      </c>
      <c r="P1509" s="27">
        <f t="shared" si="49"/>
        <v>0</v>
      </c>
      <c r="Q1509" s="27">
        <f t="shared" si="48"/>
        <v>0</v>
      </c>
    </row>
    <row r="1510" spans="2:17" x14ac:dyDescent="0.45">
      <c r="B1510" s="27" t="str">
        <f>IFERROR(VLOOKUP(A1510,القائمة!$A$3:$F$112,2,FALSE),"")</f>
        <v/>
      </c>
      <c r="C1510" s="27" t="str">
        <f>IFERROR(VLOOKUP(A1510,القائمة!$A$3:$F$112,3,FALSE),"")</f>
        <v/>
      </c>
      <c r="D1510" s="36" t="str">
        <f>IFERROR(VLOOKUP(A1510,القائمة!$A$3:$F$112,4,FALSE),"")</f>
        <v/>
      </c>
      <c r="E1510" s="36" t="str">
        <f>IFERROR(VLOOKUP(A1510,القائمة!$A$3:$F$112,5,FALSE),"")</f>
        <v/>
      </c>
      <c r="F1510" s="37" t="str">
        <f>IFERROR(VLOOKUP(A1510,القائمة!$A$3:$F$112,6,FALSE),"")</f>
        <v/>
      </c>
      <c r="P1510" s="27">
        <f t="shared" si="49"/>
        <v>0</v>
      </c>
      <c r="Q1510" s="27">
        <f t="shared" si="48"/>
        <v>0</v>
      </c>
    </row>
    <row r="1511" spans="2:17" x14ac:dyDescent="0.45">
      <c r="B1511" s="27" t="str">
        <f>IFERROR(VLOOKUP(A1511,القائمة!$A$3:$F$112,2,FALSE),"")</f>
        <v/>
      </c>
      <c r="C1511" s="27" t="str">
        <f>IFERROR(VLOOKUP(A1511,القائمة!$A$3:$F$112,3,FALSE),"")</f>
        <v/>
      </c>
      <c r="D1511" s="36" t="str">
        <f>IFERROR(VLOOKUP(A1511,القائمة!$A$3:$F$112,4,FALSE),"")</f>
        <v/>
      </c>
      <c r="E1511" s="36" t="str">
        <f>IFERROR(VLOOKUP(A1511,القائمة!$A$3:$F$112,5,FALSE),"")</f>
        <v/>
      </c>
      <c r="F1511" s="37" t="str">
        <f>IFERROR(VLOOKUP(A1511,القائمة!$A$3:$F$112,6,FALSE),"")</f>
        <v/>
      </c>
      <c r="P1511" s="27">
        <f t="shared" si="49"/>
        <v>0</v>
      </c>
      <c r="Q1511" s="27">
        <f t="shared" si="48"/>
        <v>0</v>
      </c>
    </row>
    <row r="1512" spans="2:17" x14ac:dyDescent="0.45">
      <c r="B1512" s="27" t="str">
        <f>IFERROR(VLOOKUP(A1512,القائمة!$A$3:$F$112,2,FALSE),"")</f>
        <v/>
      </c>
      <c r="C1512" s="27" t="str">
        <f>IFERROR(VLOOKUP(A1512,القائمة!$A$3:$F$112,3,FALSE),"")</f>
        <v/>
      </c>
      <c r="D1512" s="36" t="str">
        <f>IFERROR(VLOOKUP(A1512,القائمة!$A$3:$F$112,4,FALSE),"")</f>
        <v/>
      </c>
      <c r="E1512" s="36" t="str">
        <f>IFERROR(VLOOKUP(A1512,القائمة!$A$3:$F$112,5,FALSE),"")</f>
        <v/>
      </c>
      <c r="F1512" s="37" t="str">
        <f>IFERROR(VLOOKUP(A1512,القائمة!$A$3:$F$112,6,FALSE),"")</f>
        <v/>
      </c>
      <c r="P1512" s="27">
        <f t="shared" si="49"/>
        <v>0</v>
      </c>
      <c r="Q1512" s="27">
        <f t="shared" si="48"/>
        <v>0</v>
      </c>
    </row>
    <row r="1513" spans="2:17" x14ac:dyDescent="0.45">
      <c r="B1513" s="27" t="str">
        <f>IFERROR(VLOOKUP(A1513,القائمة!$A$3:$F$112,2,FALSE),"")</f>
        <v/>
      </c>
      <c r="C1513" s="27" t="str">
        <f>IFERROR(VLOOKUP(A1513,القائمة!$A$3:$F$112,3,FALSE),"")</f>
        <v/>
      </c>
      <c r="D1513" s="36" t="str">
        <f>IFERROR(VLOOKUP(A1513,القائمة!$A$3:$F$112,4,FALSE),"")</f>
        <v/>
      </c>
      <c r="E1513" s="36" t="str">
        <f>IFERROR(VLOOKUP(A1513,القائمة!$A$3:$F$112,5,FALSE),"")</f>
        <v/>
      </c>
      <c r="F1513" s="37" t="str">
        <f>IFERROR(VLOOKUP(A1513,القائمة!$A$3:$F$112,6,FALSE),"")</f>
        <v/>
      </c>
      <c r="P1513" s="27">
        <f t="shared" si="49"/>
        <v>0</v>
      </c>
      <c r="Q1513" s="27">
        <f t="shared" si="48"/>
        <v>0</v>
      </c>
    </row>
    <row r="1514" spans="2:17" x14ac:dyDescent="0.45">
      <c r="B1514" s="27" t="str">
        <f>IFERROR(VLOOKUP(A1514,القائمة!$A$3:$F$112,2,FALSE),"")</f>
        <v/>
      </c>
      <c r="C1514" s="27" t="str">
        <f>IFERROR(VLOOKUP(A1514,القائمة!$A$3:$F$112,3,FALSE),"")</f>
        <v/>
      </c>
      <c r="D1514" s="36" t="str">
        <f>IFERROR(VLOOKUP(A1514,القائمة!$A$3:$F$112,4,FALSE),"")</f>
        <v/>
      </c>
      <c r="E1514" s="36" t="str">
        <f>IFERROR(VLOOKUP(A1514,القائمة!$A$3:$F$112,5,FALSE),"")</f>
        <v/>
      </c>
      <c r="F1514" s="37" t="str">
        <f>IFERROR(VLOOKUP(A1514,القائمة!$A$3:$F$112,6,FALSE),"")</f>
        <v/>
      </c>
      <c r="P1514" s="27">
        <f t="shared" si="49"/>
        <v>0</v>
      </c>
      <c r="Q1514" s="27">
        <f t="shared" si="48"/>
        <v>0</v>
      </c>
    </row>
    <row r="1515" spans="2:17" x14ac:dyDescent="0.45">
      <c r="B1515" s="27" t="str">
        <f>IFERROR(VLOOKUP(A1515,القائمة!$A$3:$F$112,2,FALSE),"")</f>
        <v/>
      </c>
      <c r="C1515" s="27" t="str">
        <f>IFERROR(VLOOKUP(A1515,القائمة!$A$3:$F$112,3,FALSE),"")</f>
        <v/>
      </c>
      <c r="D1515" s="36" t="str">
        <f>IFERROR(VLOOKUP(A1515,القائمة!$A$3:$F$112,4,FALSE),"")</f>
        <v/>
      </c>
      <c r="E1515" s="36" t="str">
        <f>IFERROR(VLOOKUP(A1515,القائمة!$A$3:$F$112,5,FALSE),"")</f>
        <v/>
      </c>
      <c r="F1515" s="37" t="str">
        <f>IFERROR(VLOOKUP(A1515,القائمة!$A$3:$F$112,6,FALSE),"")</f>
        <v/>
      </c>
      <c r="P1515" s="27">
        <f t="shared" si="49"/>
        <v>0</v>
      </c>
      <c r="Q1515" s="27">
        <f t="shared" si="48"/>
        <v>0</v>
      </c>
    </row>
    <row r="1516" spans="2:17" x14ac:dyDescent="0.45">
      <c r="B1516" s="27" t="str">
        <f>IFERROR(VLOOKUP(A1516,القائمة!$A$3:$F$112,2,FALSE),"")</f>
        <v/>
      </c>
      <c r="C1516" s="27" t="str">
        <f>IFERROR(VLOOKUP(A1516,القائمة!$A$3:$F$112,3,FALSE),"")</f>
        <v/>
      </c>
      <c r="D1516" s="36" t="str">
        <f>IFERROR(VLOOKUP(A1516,القائمة!$A$3:$F$112,4,FALSE),"")</f>
        <v/>
      </c>
      <c r="E1516" s="36" t="str">
        <f>IFERROR(VLOOKUP(A1516,القائمة!$A$3:$F$112,5,FALSE),"")</f>
        <v/>
      </c>
      <c r="F1516" s="37" t="str">
        <f>IFERROR(VLOOKUP(A1516,القائمة!$A$3:$F$112,6,FALSE),"")</f>
        <v/>
      </c>
      <c r="P1516" s="27">
        <f t="shared" si="49"/>
        <v>0</v>
      </c>
      <c r="Q1516" s="27">
        <f t="shared" si="48"/>
        <v>0</v>
      </c>
    </row>
    <row r="1517" spans="2:17" x14ac:dyDescent="0.45">
      <c r="B1517" s="27" t="str">
        <f>IFERROR(VLOOKUP(A1517,القائمة!$A$3:$F$112,2,FALSE),"")</f>
        <v/>
      </c>
      <c r="C1517" s="27" t="str">
        <f>IFERROR(VLOOKUP(A1517,القائمة!$A$3:$F$112,3,FALSE),"")</f>
        <v/>
      </c>
      <c r="D1517" s="36" t="str">
        <f>IFERROR(VLOOKUP(A1517,القائمة!$A$3:$F$112,4,FALSE),"")</f>
        <v/>
      </c>
      <c r="E1517" s="36" t="str">
        <f>IFERROR(VLOOKUP(A1517,القائمة!$A$3:$F$112,5,FALSE),"")</f>
        <v/>
      </c>
      <c r="F1517" s="37" t="str">
        <f>IFERROR(VLOOKUP(A1517,القائمة!$A$3:$F$112,6,FALSE),"")</f>
        <v/>
      </c>
      <c r="P1517" s="27">
        <f t="shared" si="49"/>
        <v>0</v>
      </c>
      <c r="Q1517" s="27">
        <f t="shared" si="48"/>
        <v>0</v>
      </c>
    </row>
    <row r="1518" spans="2:17" x14ac:dyDescent="0.45">
      <c r="B1518" s="27" t="str">
        <f>IFERROR(VLOOKUP(A1518,القائمة!$A$3:$F$112,2,FALSE),"")</f>
        <v/>
      </c>
      <c r="C1518" s="27" t="str">
        <f>IFERROR(VLOOKUP(A1518,القائمة!$A$3:$F$112,3,FALSE),"")</f>
        <v/>
      </c>
      <c r="D1518" s="36" t="str">
        <f>IFERROR(VLOOKUP(A1518,القائمة!$A$3:$F$112,4,FALSE),"")</f>
        <v/>
      </c>
      <c r="E1518" s="36" t="str">
        <f>IFERROR(VLOOKUP(A1518,القائمة!$A$3:$F$112,5,FALSE),"")</f>
        <v/>
      </c>
      <c r="F1518" s="37" t="str">
        <f>IFERROR(VLOOKUP(A1518,القائمة!$A$3:$F$112,6,FALSE),"")</f>
        <v/>
      </c>
      <c r="P1518" s="27">
        <f t="shared" si="49"/>
        <v>0</v>
      </c>
      <c r="Q1518" s="27">
        <f t="shared" si="48"/>
        <v>0</v>
      </c>
    </row>
    <row r="1519" spans="2:17" x14ac:dyDescent="0.45">
      <c r="B1519" s="27" t="str">
        <f>IFERROR(VLOOKUP(A1519,القائمة!$A$3:$F$112,2,FALSE),"")</f>
        <v/>
      </c>
      <c r="C1519" s="27" t="str">
        <f>IFERROR(VLOOKUP(A1519,القائمة!$A$3:$F$112,3,FALSE),"")</f>
        <v/>
      </c>
      <c r="D1519" s="36" t="str">
        <f>IFERROR(VLOOKUP(A1519,القائمة!$A$3:$F$112,4,FALSE),"")</f>
        <v/>
      </c>
      <c r="E1519" s="36" t="str">
        <f>IFERROR(VLOOKUP(A1519,القائمة!$A$3:$F$112,5,FALSE),"")</f>
        <v/>
      </c>
      <c r="F1519" s="37" t="str">
        <f>IFERROR(VLOOKUP(A1519,القائمة!$A$3:$F$112,6,FALSE),"")</f>
        <v/>
      </c>
      <c r="P1519" s="27">
        <f t="shared" si="49"/>
        <v>0</v>
      </c>
      <c r="Q1519" s="27">
        <f t="shared" si="48"/>
        <v>0</v>
      </c>
    </row>
    <row r="1520" spans="2:17" x14ac:dyDescent="0.45">
      <c r="B1520" s="27" t="str">
        <f>IFERROR(VLOOKUP(A1520,القائمة!$A$3:$F$112,2,FALSE),"")</f>
        <v/>
      </c>
      <c r="C1520" s="27" t="str">
        <f>IFERROR(VLOOKUP(A1520,القائمة!$A$3:$F$112,3,FALSE),"")</f>
        <v/>
      </c>
      <c r="D1520" s="36" t="str">
        <f>IFERROR(VLOOKUP(A1520,القائمة!$A$3:$F$112,4,FALSE),"")</f>
        <v/>
      </c>
      <c r="E1520" s="36" t="str">
        <f>IFERROR(VLOOKUP(A1520,القائمة!$A$3:$F$112,5,FALSE),"")</f>
        <v/>
      </c>
      <c r="F1520" s="37" t="str">
        <f>IFERROR(VLOOKUP(A1520,القائمة!$A$3:$F$112,6,FALSE),"")</f>
        <v/>
      </c>
      <c r="P1520" s="27">
        <f t="shared" si="49"/>
        <v>0</v>
      </c>
      <c r="Q1520" s="27">
        <f t="shared" si="48"/>
        <v>0</v>
      </c>
    </row>
    <row r="1521" spans="2:17" x14ac:dyDescent="0.45">
      <c r="B1521" s="27" t="str">
        <f>IFERROR(VLOOKUP(A1521,القائمة!$A$3:$F$112,2,FALSE),"")</f>
        <v/>
      </c>
      <c r="C1521" s="27" t="str">
        <f>IFERROR(VLOOKUP(A1521,القائمة!$A$3:$F$112,3,FALSE),"")</f>
        <v/>
      </c>
      <c r="D1521" s="36" t="str">
        <f>IFERROR(VLOOKUP(A1521,القائمة!$A$3:$F$112,4,FALSE),"")</f>
        <v/>
      </c>
      <c r="E1521" s="36" t="str">
        <f>IFERROR(VLOOKUP(A1521,القائمة!$A$3:$F$112,5,FALSE),"")</f>
        <v/>
      </c>
      <c r="F1521" s="37" t="str">
        <f>IFERROR(VLOOKUP(A1521,القائمة!$A$3:$F$112,6,FALSE),"")</f>
        <v/>
      </c>
      <c r="P1521" s="27">
        <f t="shared" si="49"/>
        <v>0</v>
      </c>
      <c r="Q1521" s="27">
        <f t="shared" si="48"/>
        <v>0</v>
      </c>
    </row>
    <row r="1522" spans="2:17" x14ac:dyDescent="0.45">
      <c r="B1522" s="27" t="str">
        <f>IFERROR(VLOOKUP(A1522,القائمة!$A$3:$F$112,2,FALSE),"")</f>
        <v/>
      </c>
      <c r="C1522" s="27" t="str">
        <f>IFERROR(VLOOKUP(A1522,القائمة!$A$3:$F$112,3,FALSE),"")</f>
        <v/>
      </c>
      <c r="D1522" s="36" t="str">
        <f>IFERROR(VLOOKUP(A1522,القائمة!$A$3:$F$112,4,FALSE),"")</f>
        <v/>
      </c>
      <c r="E1522" s="36" t="str">
        <f>IFERROR(VLOOKUP(A1522,القائمة!$A$3:$F$112,5,FALSE),"")</f>
        <v/>
      </c>
      <c r="F1522" s="37" t="str">
        <f>IFERROR(VLOOKUP(A1522,القائمة!$A$3:$F$112,6,FALSE),"")</f>
        <v/>
      </c>
      <c r="P1522" s="27">
        <f t="shared" si="49"/>
        <v>0</v>
      </c>
      <c r="Q1522" s="27">
        <f t="shared" si="48"/>
        <v>0</v>
      </c>
    </row>
    <row r="1523" spans="2:17" x14ac:dyDescent="0.45">
      <c r="B1523" s="27" t="str">
        <f>IFERROR(VLOOKUP(A1523,القائمة!$A$3:$F$112,2,FALSE),"")</f>
        <v/>
      </c>
      <c r="C1523" s="27" t="str">
        <f>IFERROR(VLOOKUP(A1523,القائمة!$A$3:$F$112,3,FALSE),"")</f>
        <v/>
      </c>
      <c r="D1523" s="36" t="str">
        <f>IFERROR(VLOOKUP(A1523,القائمة!$A$3:$F$112,4,FALSE),"")</f>
        <v/>
      </c>
      <c r="E1523" s="36" t="str">
        <f>IFERROR(VLOOKUP(A1523,القائمة!$A$3:$F$112,5,FALSE),"")</f>
        <v/>
      </c>
      <c r="F1523" s="37" t="str">
        <f>IFERROR(VLOOKUP(A1523,القائمة!$A$3:$F$112,6,FALSE),"")</f>
        <v/>
      </c>
      <c r="P1523" s="27">
        <f t="shared" si="49"/>
        <v>0</v>
      </c>
      <c r="Q1523" s="27">
        <f t="shared" si="48"/>
        <v>0</v>
      </c>
    </row>
    <row r="1524" spans="2:17" x14ac:dyDescent="0.45">
      <c r="B1524" s="27" t="str">
        <f>IFERROR(VLOOKUP(A1524,القائمة!$A$3:$F$112,2,FALSE),"")</f>
        <v/>
      </c>
      <c r="C1524" s="27" t="str">
        <f>IFERROR(VLOOKUP(A1524,القائمة!$A$3:$F$112,3,FALSE),"")</f>
        <v/>
      </c>
      <c r="D1524" s="36" t="str">
        <f>IFERROR(VLOOKUP(A1524,القائمة!$A$3:$F$112,4,FALSE),"")</f>
        <v/>
      </c>
      <c r="E1524" s="36" t="str">
        <f>IFERROR(VLOOKUP(A1524,القائمة!$A$3:$F$112,5,FALSE),"")</f>
        <v/>
      </c>
      <c r="F1524" s="37" t="str">
        <f>IFERROR(VLOOKUP(A1524,القائمة!$A$3:$F$112,6,FALSE),"")</f>
        <v/>
      </c>
      <c r="P1524" s="27">
        <f t="shared" si="49"/>
        <v>0</v>
      </c>
      <c r="Q1524" s="27">
        <f t="shared" si="48"/>
        <v>0</v>
      </c>
    </row>
    <row r="1525" spans="2:17" x14ac:dyDescent="0.45">
      <c r="B1525" s="27" t="str">
        <f>IFERROR(VLOOKUP(A1525,القائمة!$A$3:$F$112,2,FALSE),"")</f>
        <v/>
      </c>
      <c r="C1525" s="27" t="str">
        <f>IFERROR(VLOOKUP(A1525,القائمة!$A$3:$F$112,3,FALSE),"")</f>
        <v/>
      </c>
      <c r="D1525" s="36" t="str">
        <f>IFERROR(VLOOKUP(A1525,القائمة!$A$3:$F$112,4,FALSE),"")</f>
        <v/>
      </c>
      <c r="E1525" s="36" t="str">
        <f>IFERROR(VLOOKUP(A1525,القائمة!$A$3:$F$112,5,FALSE),"")</f>
        <v/>
      </c>
      <c r="F1525" s="37" t="str">
        <f>IFERROR(VLOOKUP(A1525,القائمة!$A$3:$F$112,6,FALSE),"")</f>
        <v/>
      </c>
      <c r="P1525" s="27">
        <f t="shared" si="49"/>
        <v>0</v>
      </c>
      <c r="Q1525" s="27">
        <f t="shared" si="48"/>
        <v>0</v>
      </c>
    </row>
    <row r="1526" spans="2:17" x14ac:dyDescent="0.45">
      <c r="B1526" s="27" t="str">
        <f>IFERROR(VLOOKUP(A1526,القائمة!$A$3:$F$112,2,FALSE),"")</f>
        <v/>
      </c>
      <c r="C1526" s="27" t="str">
        <f>IFERROR(VLOOKUP(A1526,القائمة!$A$3:$F$112,3,FALSE),"")</f>
        <v/>
      </c>
      <c r="D1526" s="36" t="str">
        <f>IFERROR(VLOOKUP(A1526,القائمة!$A$3:$F$112,4,FALSE),"")</f>
        <v/>
      </c>
      <c r="E1526" s="36" t="str">
        <f>IFERROR(VLOOKUP(A1526,القائمة!$A$3:$F$112,5,FALSE),"")</f>
        <v/>
      </c>
      <c r="F1526" s="37" t="str">
        <f>IFERROR(VLOOKUP(A1526,القائمة!$A$3:$F$112,6,FALSE),"")</f>
        <v/>
      </c>
      <c r="P1526" s="27">
        <f t="shared" si="49"/>
        <v>0</v>
      </c>
      <c r="Q1526" s="27">
        <f t="shared" si="48"/>
        <v>0</v>
      </c>
    </row>
    <row r="1527" spans="2:17" x14ac:dyDescent="0.45">
      <c r="B1527" s="27" t="str">
        <f>IFERROR(VLOOKUP(A1527,القائمة!$A$3:$F$112,2,FALSE),"")</f>
        <v/>
      </c>
      <c r="C1527" s="27" t="str">
        <f>IFERROR(VLOOKUP(A1527,القائمة!$A$3:$F$112,3,FALSE),"")</f>
        <v/>
      </c>
      <c r="D1527" s="36" t="str">
        <f>IFERROR(VLOOKUP(A1527,القائمة!$A$3:$F$112,4,FALSE),"")</f>
        <v/>
      </c>
      <c r="E1527" s="36" t="str">
        <f>IFERROR(VLOOKUP(A1527,القائمة!$A$3:$F$112,5,FALSE),"")</f>
        <v/>
      </c>
      <c r="F1527" s="37" t="str">
        <f>IFERROR(VLOOKUP(A1527,القائمة!$A$3:$F$112,6,FALSE),"")</f>
        <v/>
      </c>
      <c r="P1527" s="27">
        <f t="shared" si="49"/>
        <v>0</v>
      </c>
      <c r="Q1527" s="27">
        <f t="shared" si="48"/>
        <v>0</v>
      </c>
    </row>
    <row r="1528" spans="2:17" x14ac:dyDescent="0.45">
      <c r="B1528" s="27" t="str">
        <f>IFERROR(VLOOKUP(A1528,القائمة!$A$3:$F$112,2,FALSE),"")</f>
        <v/>
      </c>
      <c r="C1528" s="27" t="str">
        <f>IFERROR(VLOOKUP(A1528,القائمة!$A$3:$F$112,3,FALSE),"")</f>
        <v/>
      </c>
      <c r="D1528" s="36" t="str">
        <f>IFERROR(VLOOKUP(A1528,القائمة!$A$3:$F$112,4,FALSE),"")</f>
        <v/>
      </c>
      <c r="E1528" s="36" t="str">
        <f>IFERROR(VLOOKUP(A1528,القائمة!$A$3:$F$112,5,FALSE),"")</f>
        <v/>
      </c>
      <c r="F1528" s="37" t="str">
        <f>IFERROR(VLOOKUP(A1528,القائمة!$A$3:$F$112,6,FALSE),"")</f>
        <v/>
      </c>
      <c r="P1528" s="27">
        <f t="shared" si="49"/>
        <v>0</v>
      </c>
      <c r="Q1528" s="27">
        <f t="shared" si="48"/>
        <v>0</v>
      </c>
    </row>
    <row r="1529" spans="2:17" x14ac:dyDescent="0.45">
      <c r="B1529" s="27" t="str">
        <f>IFERROR(VLOOKUP(A1529,القائمة!$A$3:$F$112,2,FALSE),"")</f>
        <v/>
      </c>
      <c r="C1529" s="27" t="str">
        <f>IFERROR(VLOOKUP(A1529,القائمة!$A$3:$F$112,3,FALSE),"")</f>
        <v/>
      </c>
      <c r="D1529" s="36" t="str">
        <f>IFERROR(VLOOKUP(A1529,القائمة!$A$3:$F$112,4,FALSE),"")</f>
        <v/>
      </c>
      <c r="E1529" s="36" t="str">
        <f>IFERROR(VLOOKUP(A1529,القائمة!$A$3:$F$112,5,FALSE),"")</f>
        <v/>
      </c>
      <c r="F1529" s="37" t="str">
        <f>IFERROR(VLOOKUP(A1529,القائمة!$A$3:$F$112,6,FALSE),"")</f>
        <v/>
      </c>
      <c r="P1529" s="27">
        <f t="shared" si="49"/>
        <v>0</v>
      </c>
      <c r="Q1529" s="27">
        <f t="shared" si="48"/>
        <v>0</v>
      </c>
    </row>
    <row r="1530" spans="2:17" x14ac:dyDescent="0.45">
      <c r="B1530" s="27" t="str">
        <f>IFERROR(VLOOKUP(A1530,القائمة!$A$3:$F$112,2,FALSE),"")</f>
        <v/>
      </c>
      <c r="C1530" s="27" t="str">
        <f>IFERROR(VLOOKUP(A1530,القائمة!$A$3:$F$112,3,FALSE),"")</f>
        <v/>
      </c>
      <c r="D1530" s="36" t="str">
        <f>IFERROR(VLOOKUP(A1530,القائمة!$A$3:$F$112,4,FALSE),"")</f>
        <v/>
      </c>
      <c r="E1530" s="36" t="str">
        <f>IFERROR(VLOOKUP(A1530,القائمة!$A$3:$F$112,5,FALSE),"")</f>
        <v/>
      </c>
      <c r="F1530" s="37" t="str">
        <f>IFERROR(VLOOKUP(A1530,القائمة!$A$3:$F$112,6,FALSE),"")</f>
        <v/>
      </c>
      <c r="P1530" s="27">
        <f t="shared" si="49"/>
        <v>0</v>
      </c>
      <c r="Q1530" s="27">
        <f t="shared" si="48"/>
        <v>0</v>
      </c>
    </row>
    <row r="1531" spans="2:17" x14ac:dyDescent="0.45">
      <c r="B1531" s="27" t="str">
        <f>IFERROR(VLOOKUP(A1531,القائمة!$A$3:$F$112,2,FALSE),"")</f>
        <v/>
      </c>
      <c r="C1531" s="27" t="str">
        <f>IFERROR(VLOOKUP(A1531,القائمة!$A$3:$F$112,3,FALSE),"")</f>
        <v/>
      </c>
      <c r="D1531" s="36" t="str">
        <f>IFERROR(VLOOKUP(A1531,القائمة!$A$3:$F$112,4,FALSE),"")</f>
        <v/>
      </c>
      <c r="E1531" s="36" t="str">
        <f>IFERROR(VLOOKUP(A1531,القائمة!$A$3:$F$112,5,FALSE),"")</f>
        <v/>
      </c>
      <c r="F1531" s="37" t="str">
        <f>IFERROR(VLOOKUP(A1531,القائمة!$A$3:$F$112,6,FALSE),"")</f>
        <v/>
      </c>
      <c r="P1531" s="27">
        <f t="shared" si="49"/>
        <v>0</v>
      </c>
      <c r="Q1531" s="27">
        <f t="shared" si="48"/>
        <v>0</v>
      </c>
    </row>
    <row r="1532" spans="2:17" x14ac:dyDescent="0.45">
      <c r="B1532" s="27" t="str">
        <f>IFERROR(VLOOKUP(A1532,القائمة!$A$3:$F$112,2,FALSE),"")</f>
        <v/>
      </c>
      <c r="C1532" s="27" t="str">
        <f>IFERROR(VLOOKUP(A1532,القائمة!$A$3:$F$112,3,FALSE),"")</f>
        <v/>
      </c>
      <c r="D1532" s="36" t="str">
        <f>IFERROR(VLOOKUP(A1532,القائمة!$A$3:$F$112,4,FALSE),"")</f>
        <v/>
      </c>
      <c r="E1532" s="36" t="str">
        <f>IFERROR(VLOOKUP(A1532,القائمة!$A$3:$F$112,5,FALSE),"")</f>
        <v/>
      </c>
      <c r="F1532" s="37" t="str">
        <f>IFERROR(VLOOKUP(A1532,القائمة!$A$3:$F$112,6,FALSE),"")</f>
        <v/>
      </c>
      <c r="P1532" s="27">
        <f t="shared" si="49"/>
        <v>0</v>
      </c>
      <c r="Q1532" s="27">
        <f t="shared" si="48"/>
        <v>0</v>
      </c>
    </row>
    <row r="1533" spans="2:17" x14ac:dyDescent="0.45">
      <c r="B1533" s="27" t="str">
        <f>IFERROR(VLOOKUP(A1533,القائمة!$A$3:$F$112,2,FALSE),"")</f>
        <v/>
      </c>
      <c r="C1533" s="27" t="str">
        <f>IFERROR(VLOOKUP(A1533,القائمة!$A$3:$F$112,3,FALSE),"")</f>
        <v/>
      </c>
      <c r="D1533" s="36" t="str">
        <f>IFERROR(VLOOKUP(A1533,القائمة!$A$3:$F$112,4,FALSE),"")</f>
        <v/>
      </c>
      <c r="E1533" s="36" t="str">
        <f>IFERROR(VLOOKUP(A1533,القائمة!$A$3:$F$112,5,FALSE),"")</f>
        <v/>
      </c>
      <c r="F1533" s="37" t="str">
        <f>IFERROR(VLOOKUP(A1533,القائمة!$A$3:$F$112,6,FALSE),"")</f>
        <v/>
      </c>
      <c r="P1533" s="27">
        <f t="shared" si="49"/>
        <v>0</v>
      </c>
      <c r="Q1533" s="27">
        <f t="shared" si="48"/>
        <v>0</v>
      </c>
    </row>
    <row r="1534" spans="2:17" x14ac:dyDescent="0.45">
      <c r="B1534" s="27" t="str">
        <f>IFERROR(VLOOKUP(A1534,القائمة!$A$3:$F$112,2,FALSE),"")</f>
        <v/>
      </c>
      <c r="C1534" s="27" t="str">
        <f>IFERROR(VLOOKUP(A1534,القائمة!$A$3:$F$112,3,FALSE),"")</f>
        <v/>
      </c>
      <c r="D1534" s="36" t="str">
        <f>IFERROR(VLOOKUP(A1534,القائمة!$A$3:$F$112,4,FALSE),"")</f>
        <v/>
      </c>
      <c r="E1534" s="36" t="str">
        <f>IFERROR(VLOOKUP(A1534,القائمة!$A$3:$F$112,5,FALSE),"")</f>
        <v/>
      </c>
      <c r="F1534" s="37" t="str">
        <f>IFERROR(VLOOKUP(A1534,القائمة!$A$3:$F$112,6,FALSE),"")</f>
        <v/>
      </c>
      <c r="P1534" s="27">
        <f t="shared" si="49"/>
        <v>0</v>
      </c>
      <c r="Q1534" s="27">
        <f t="shared" si="48"/>
        <v>0</v>
      </c>
    </row>
    <row r="1535" spans="2:17" x14ac:dyDescent="0.45">
      <c r="B1535" s="27" t="str">
        <f>IFERROR(VLOOKUP(A1535,القائمة!$A$3:$F$112,2,FALSE),"")</f>
        <v/>
      </c>
      <c r="C1535" s="27" t="str">
        <f>IFERROR(VLOOKUP(A1535,القائمة!$A$3:$F$112,3,FALSE),"")</f>
        <v/>
      </c>
      <c r="D1535" s="36" t="str">
        <f>IFERROR(VLOOKUP(A1535,القائمة!$A$3:$F$112,4,FALSE),"")</f>
        <v/>
      </c>
      <c r="E1535" s="36" t="str">
        <f>IFERROR(VLOOKUP(A1535,القائمة!$A$3:$F$112,5,FALSE),"")</f>
        <v/>
      </c>
      <c r="F1535" s="37" t="str">
        <f>IFERROR(VLOOKUP(A1535,القائمة!$A$3:$F$112,6,FALSE),"")</f>
        <v/>
      </c>
      <c r="P1535" s="27">
        <f t="shared" si="49"/>
        <v>0</v>
      </c>
      <c r="Q1535" s="27">
        <f t="shared" si="48"/>
        <v>0</v>
      </c>
    </row>
    <row r="1536" spans="2:17" x14ac:dyDescent="0.45">
      <c r="B1536" s="27" t="str">
        <f>IFERROR(VLOOKUP(A1536,القائمة!$A$3:$F$112,2,FALSE),"")</f>
        <v/>
      </c>
      <c r="C1536" s="27" t="str">
        <f>IFERROR(VLOOKUP(A1536,القائمة!$A$3:$F$112,3,FALSE),"")</f>
        <v/>
      </c>
      <c r="D1536" s="36" t="str">
        <f>IFERROR(VLOOKUP(A1536,القائمة!$A$3:$F$112,4,FALSE),"")</f>
        <v/>
      </c>
      <c r="E1536" s="36" t="str">
        <f>IFERROR(VLOOKUP(A1536,القائمة!$A$3:$F$112,5,FALSE),"")</f>
        <v/>
      </c>
      <c r="F1536" s="37" t="str">
        <f>IFERROR(VLOOKUP(A1536,القائمة!$A$3:$F$112,6,FALSE),"")</f>
        <v/>
      </c>
      <c r="P1536" s="27">
        <f t="shared" si="49"/>
        <v>0</v>
      </c>
      <c r="Q1536" s="27">
        <f t="shared" si="48"/>
        <v>0</v>
      </c>
    </row>
    <row r="1537" spans="2:17" x14ac:dyDescent="0.45">
      <c r="B1537" s="27" t="str">
        <f>IFERROR(VLOOKUP(A1537,القائمة!$A$3:$F$112,2,FALSE),"")</f>
        <v/>
      </c>
      <c r="C1537" s="27" t="str">
        <f>IFERROR(VLOOKUP(A1537,القائمة!$A$3:$F$112,3,FALSE),"")</f>
        <v/>
      </c>
      <c r="D1537" s="36" t="str">
        <f>IFERROR(VLOOKUP(A1537,القائمة!$A$3:$F$112,4,FALSE),"")</f>
        <v/>
      </c>
      <c r="E1537" s="36" t="str">
        <f>IFERROR(VLOOKUP(A1537,القائمة!$A$3:$F$112,5,FALSE),"")</f>
        <v/>
      </c>
      <c r="F1537" s="37" t="str">
        <f>IFERROR(VLOOKUP(A1537,القائمة!$A$3:$F$112,6,FALSE),"")</f>
        <v/>
      </c>
      <c r="P1537" s="27">
        <f t="shared" si="49"/>
        <v>0</v>
      </c>
      <c r="Q1537" s="27">
        <f t="shared" si="48"/>
        <v>0</v>
      </c>
    </row>
    <row r="1538" spans="2:17" x14ac:dyDescent="0.45">
      <c r="B1538" s="27" t="str">
        <f>IFERROR(VLOOKUP(A1538,القائمة!$A$3:$F$112,2,FALSE),"")</f>
        <v/>
      </c>
      <c r="C1538" s="27" t="str">
        <f>IFERROR(VLOOKUP(A1538,القائمة!$A$3:$F$112,3,FALSE),"")</f>
        <v/>
      </c>
      <c r="D1538" s="36" t="str">
        <f>IFERROR(VLOOKUP(A1538,القائمة!$A$3:$F$112,4,FALSE),"")</f>
        <v/>
      </c>
      <c r="E1538" s="36" t="str">
        <f>IFERROR(VLOOKUP(A1538,القائمة!$A$3:$F$112,5,FALSE),"")</f>
        <v/>
      </c>
      <c r="F1538" s="37" t="str">
        <f>IFERROR(VLOOKUP(A1538,القائمة!$A$3:$F$112,6,FALSE),"")</f>
        <v/>
      </c>
      <c r="P1538" s="27">
        <f t="shared" si="49"/>
        <v>0</v>
      </c>
      <c r="Q1538" s="27">
        <f t="shared" si="48"/>
        <v>0</v>
      </c>
    </row>
    <row r="1539" spans="2:17" x14ac:dyDescent="0.45">
      <c r="B1539" s="27" t="str">
        <f>IFERROR(VLOOKUP(A1539,القائمة!$A$3:$F$112,2,FALSE),"")</f>
        <v/>
      </c>
      <c r="C1539" s="27" t="str">
        <f>IFERROR(VLOOKUP(A1539,القائمة!$A$3:$F$112,3,FALSE),"")</f>
        <v/>
      </c>
      <c r="D1539" s="36" t="str">
        <f>IFERROR(VLOOKUP(A1539,القائمة!$A$3:$F$112,4,FALSE),"")</f>
        <v/>
      </c>
      <c r="E1539" s="36" t="str">
        <f>IFERROR(VLOOKUP(A1539,القائمة!$A$3:$F$112,5,FALSE),"")</f>
        <v/>
      </c>
      <c r="F1539" s="37" t="str">
        <f>IFERROR(VLOOKUP(A1539,القائمة!$A$3:$F$112,6,FALSE),"")</f>
        <v/>
      </c>
      <c r="P1539" s="27">
        <f t="shared" si="49"/>
        <v>0</v>
      </c>
      <c r="Q1539" s="27">
        <f t="shared" ref="Q1539:Q1602" si="50">+P1539+L1539-M1539</f>
        <v>0</v>
      </c>
    </row>
    <row r="1540" spans="2:17" x14ac:dyDescent="0.45">
      <c r="B1540" s="27" t="str">
        <f>IFERROR(VLOOKUP(A1540,القائمة!$A$3:$F$112,2,FALSE),"")</f>
        <v/>
      </c>
      <c r="C1540" s="27" t="str">
        <f>IFERROR(VLOOKUP(A1540,القائمة!$A$3:$F$112,3,FALSE),"")</f>
        <v/>
      </c>
      <c r="D1540" s="36" t="str">
        <f>IFERROR(VLOOKUP(A1540,القائمة!$A$3:$F$112,4,FALSE),"")</f>
        <v/>
      </c>
      <c r="E1540" s="36" t="str">
        <f>IFERROR(VLOOKUP(A1540,القائمة!$A$3:$F$112,5,FALSE),"")</f>
        <v/>
      </c>
      <c r="F1540" s="37" t="str">
        <f>IFERROR(VLOOKUP(A1540,القائمة!$A$3:$F$112,6,FALSE),"")</f>
        <v/>
      </c>
      <c r="P1540" s="27">
        <f t="shared" ref="P1540:P1603" si="51">J1540-K1540</f>
        <v>0</v>
      </c>
      <c r="Q1540" s="27">
        <f t="shared" si="50"/>
        <v>0</v>
      </c>
    </row>
    <row r="1541" spans="2:17" x14ac:dyDescent="0.45">
      <c r="B1541" s="27" t="str">
        <f>IFERROR(VLOOKUP(A1541,القائمة!$A$3:$F$112,2,FALSE),"")</f>
        <v/>
      </c>
      <c r="C1541" s="27" t="str">
        <f>IFERROR(VLOOKUP(A1541,القائمة!$A$3:$F$112,3,FALSE),"")</f>
        <v/>
      </c>
      <c r="D1541" s="36" t="str">
        <f>IFERROR(VLOOKUP(A1541,القائمة!$A$3:$F$112,4,FALSE),"")</f>
        <v/>
      </c>
      <c r="E1541" s="36" t="str">
        <f>IFERROR(VLOOKUP(A1541,القائمة!$A$3:$F$112,5,FALSE),"")</f>
        <v/>
      </c>
      <c r="F1541" s="37" t="str">
        <f>IFERROR(VLOOKUP(A1541,القائمة!$A$3:$F$112,6,FALSE),"")</f>
        <v/>
      </c>
      <c r="P1541" s="27">
        <f t="shared" si="51"/>
        <v>0</v>
      </c>
      <c r="Q1541" s="27">
        <f t="shared" si="50"/>
        <v>0</v>
      </c>
    </row>
    <row r="1542" spans="2:17" x14ac:dyDescent="0.45">
      <c r="B1542" s="27" t="str">
        <f>IFERROR(VLOOKUP(A1542,القائمة!$A$3:$F$112,2,FALSE),"")</f>
        <v/>
      </c>
      <c r="C1542" s="27" t="str">
        <f>IFERROR(VLOOKUP(A1542,القائمة!$A$3:$F$112,3,FALSE),"")</f>
        <v/>
      </c>
      <c r="D1542" s="36" t="str">
        <f>IFERROR(VLOOKUP(A1542,القائمة!$A$3:$F$112,4,FALSE),"")</f>
        <v/>
      </c>
      <c r="E1542" s="36" t="str">
        <f>IFERROR(VLOOKUP(A1542,القائمة!$A$3:$F$112,5,FALSE),"")</f>
        <v/>
      </c>
      <c r="F1542" s="37" t="str">
        <f>IFERROR(VLOOKUP(A1542,القائمة!$A$3:$F$112,6,FALSE),"")</f>
        <v/>
      </c>
      <c r="P1542" s="27">
        <f t="shared" si="51"/>
        <v>0</v>
      </c>
      <c r="Q1542" s="27">
        <f t="shared" si="50"/>
        <v>0</v>
      </c>
    </row>
    <row r="1543" spans="2:17" x14ac:dyDescent="0.45">
      <c r="B1543" s="27" t="str">
        <f>IFERROR(VLOOKUP(A1543,القائمة!$A$3:$F$112,2,FALSE),"")</f>
        <v/>
      </c>
      <c r="C1543" s="27" t="str">
        <f>IFERROR(VLOOKUP(A1543,القائمة!$A$3:$F$112,3,FALSE),"")</f>
        <v/>
      </c>
      <c r="D1543" s="36" t="str">
        <f>IFERROR(VLOOKUP(A1543,القائمة!$A$3:$F$112,4,FALSE),"")</f>
        <v/>
      </c>
      <c r="E1543" s="36" t="str">
        <f>IFERROR(VLOOKUP(A1543,القائمة!$A$3:$F$112,5,FALSE),"")</f>
        <v/>
      </c>
      <c r="F1543" s="37" t="str">
        <f>IFERROR(VLOOKUP(A1543,القائمة!$A$3:$F$112,6,FALSE),"")</f>
        <v/>
      </c>
      <c r="P1543" s="27">
        <f t="shared" si="51"/>
        <v>0</v>
      </c>
      <c r="Q1543" s="27">
        <f t="shared" si="50"/>
        <v>0</v>
      </c>
    </row>
    <row r="1544" spans="2:17" x14ac:dyDescent="0.45">
      <c r="B1544" s="27" t="str">
        <f>IFERROR(VLOOKUP(A1544,القائمة!$A$3:$F$112,2,FALSE),"")</f>
        <v/>
      </c>
      <c r="C1544" s="27" t="str">
        <f>IFERROR(VLOOKUP(A1544,القائمة!$A$3:$F$112,3,FALSE),"")</f>
        <v/>
      </c>
      <c r="D1544" s="36" t="str">
        <f>IFERROR(VLOOKUP(A1544,القائمة!$A$3:$F$112,4,FALSE),"")</f>
        <v/>
      </c>
      <c r="E1544" s="36" t="str">
        <f>IFERROR(VLOOKUP(A1544,القائمة!$A$3:$F$112,5,FALSE),"")</f>
        <v/>
      </c>
      <c r="F1544" s="37" t="str">
        <f>IFERROR(VLOOKUP(A1544,القائمة!$A$3:$F$112,6,FALSE),"")</f>
        <v/>
      </c>
      <c r="P1544" s="27">
        <f t="shared" si="51"/>
        <v>0</v>
      </c>
      <c r="Q1544" s="27">
        <f t="shared" si="50"/>
        <v>0</v>
      </c>
    </row>
    <row r="1545" spans="2:17" x14ac:dyDescent="0.45">
      <c r="B1545" s="27" t="str">
        <f>IFERROR(VLOOKUP(A1545,القائمة!$A$3:$F$112,2,FALSE),"")</f>
        <v/>
      </c>
      <c r="C1545" s="27" t="str">
        <f>IFERROR(VLOOKUP(A1545,القائمة!$A$3:$F$112,3,FALSE),"")</f>
        <v/>
      </c>
      <c r="D1545" s="36" t="str">
        <f>IFERROR(VLOOKUP(A1545,القائمة!$A$3:$F$112,4,FALSE),"")</f>
        <v/>
      </c>
      <c r="E1545" s="36" t="str">
        <f>IFERROR(VLOOKUP(A1545,القائمة!$A$3:$F$112,5,FALSE),"")</f>
        <v/>
      </c>
      <c r="F1545" s="37" t="str">
        <f>IFERROR(VLOOKUP(A1545,القائمة!$A$3:$F$112,6,FALSE),"")</f>
        <v/>
      </c>
      <c r="P1545" s="27">
        <f t="shared" si="51"/>
        <v>0</v>
      </c>
      <c r="Q1545" s="27">
        <f t="shared" si="50"/>
        <v>0</v>
      </c>
    </row>
    <row r="1546" spans="2:17" x14ac:dyDescent="0.45">
      <c r="B1546" s="27" t="str">
        <f>IFERROR(VLOOKUP(A1546,القائمة!$A$3:$F$112,2,FALSE),"")</f>
        <v/>
      </c>
      <c r="C1546" s="27" t="str">
        <f>IFERROR(VLOOKUP(A1546,القائمة!$A$3:$F$112,3,FALSE),"")</f>
        <v/>
      </c>
      <c r="D1546" s="36" t="str">
        <f>IFERROR(VLOOKUP(A1546,القائمة!$A$3:$F$112,4,FALSE),"")</f>
        <v/>
      </c>
      <c r="E1546" s="36" t="str">
        <f>IFERROR(VLOOKUP(A1546,القائمة!$A$3:$F$112,5,FALSE),"")</f>
        <v/>
      </c>
      <c r="F1546" s="37" t="str">
        <f>IFERROR(VLOOKUP(A1546,القائمة!$A$3:$F$112,6,FALSE),"")</f>
        <v/>
      </c>
      <c r="P1546" s="27">
        <f t="shared" si="51"/>
        <v>0</v>
      </c>
      <c r="Q1546" s="27">
        <f t="shared" si="50"/>
        <v>0</v>
      </c>
    </row>
    <row r="1547" spans="2:17" x14ac:dyDescent="0.45">
      <c r="B1547" s="27" t="str">
        <f>IFERROR(VLOOKUP(A1547,القائمة!$A$3:$F$112,2,FALSE),"")</f>
        <v/>
      </c>
      <c r="C1547" s="27" t="str">
        <f>IFERROR(VLOOKUP(A1547,القائمة!$A$3:$F$112,3,FALSE),"")</f>
        <v/>
      </c>
      <c r="D1547" s="36" t="str">
        <f>IFERROR(VLOOKUP(A1547,القائمة!$A$3:$F$112,4,FALSE),"")</f>
        <v/>
      </c>
      <c r="E1547" s="36" t="str">
        <f>IFERROR(VLOOKUP(A1547,القائمة!$A$3:$F$112,5,FALSE),"")</f>
        <v/>
      </c>
      <c r="F1547" s="37" t="str">
        <f>IFERROR(VLOOKUP(A1547,القائمة!$A$3:$F$112,6,FALSE),"")</f>
        <v/>
      </c>
      <c r="P1547" s="27">
        <f t="shared" si="51"/>
        <v>0</v>
      </c>
      <c r="Q1547" s="27">
        <f t="shared" si="50"/>
        <v>0</v>
      </c>
    </row>
    <row r="1548" spans="2:17" x14ac:dyDescent="0.45">
      <c r="B1548" s="27" t="str">
        <f>IFERROR(VLOOKUP(A1548,القائمة!$A$3:$F$112,2,FALSE),"")</f>
        <v/>
      </c>
      <c r="C1548" s="27" t="str">
        <f>IFERROR(VLOOKUP(A1548,القائمة!$A$3:$F$112,3,FALSE),"")</f>
        <v/>
      </c>
      <c r="D1548" s="36" t="str">
        <f>IFERROR(VLOOKUP(A1548,القائمة!$A$3:$F$112,4,FALSE),"")</f>
        <v/>
      </c>
      <c r="E1548" s="36" t="str">
        <f>IFERROR(VLOOKUP(A1548,القائمة!$A$3:$F$112,5,FALSE),"")</f>
        <v/>
      </c>
      <c r="F1548" s="37" t="str">
        <f>IFERROR(VLOOKUP(A1548,القائمة!$A$3:$F$112,6,FALSE),"")</f>
        <v/>
      </c>
      <c r="P1548" s="27">
        <f t="shared" si="51"/>
        <v>0</v>
      </c>
      <c r="Q1548" s="27">
        <f t="shared" si="50"/>
        <v>0</v>
      </c>
    </row>
    <row r="1549" spans="2:17" x14ac:dyDescent="0.45">
      <c r="B1549" s="27" t="str">
        <f>IFERROR(VLOOKUP(A1549,القائمة!$A$3:$F$112,2,FALSE),"")</f>
        <v/>
      </c>
      <c r="C1549" s="27" t="str">
        <f>IFERROR(VLOOKUP(A1549,القائمة!$A$3:$F$112,3,FALSE),"")</f>
        <v/>
      </c>
      <c r="D1549" s="36" t="str">
        <f>IFERROR(VLOOKUP(A1549,القائمة!$A$3:$F$112,4,FALSE),"")</f>
        <v/>
      </c>
      <c r="E1549" s="36" t="str">
        <f>IFERROR(VLOOKUP(A1549,القائمة!$A$3:$F$112,5,FALSE),"")</f>
        <v/>
      </c>
      <c r="F1549" s="37" t="str">
        <f>IFERROR(VLOOKUP(A1549,القائمة!$A$3:$F$112,6,FALSE),"")</f>
        <v/>
      </c>
      <c r="P1549" s="27">
        <f t="shared" si="51"/>
        <v>0</v>
      </c>
      <c r="Q1549" s="27">
        <f t="shared" si="50"/>
        <v>0</v>
      </c>
    </row>
    <row r="1550" spans="2:17" x14ac:dyDescent="0.45">
      <c r="B1550" s="27" t="str">
        <f>IFERROR(VLOOKUP(A1550,القائمة!$A$3:$F$112,2,FALSE),"")</f>
        <v/>
      </c>
      <c r="C1550" s="27" t="str">
        <f>IFERROR(VLOOKUP(A1550,القائمة!$A$3:$F$112,3,FALSE),"")</f>
        <v/>
      </c>
      <c r="D1550" s="36" t="str">
        <f>IFERROR(VLOOKUP(A1550,القائمة!$A$3:$F$112,4,FALSE),"")</f>
        <v/>
      </c>
      <c r="E1550" s="36" t="str">
        <f>IFERROR(VLOOKUP(A1550,القائمة!$A$3:$F$112,5,FALSE),"")</f>
        <v/>
      </c>
      <c r="F1550" s="37" t="str">
        <f>IFERROR(VLOOKUP(A1550,القائمة!$A$3:$F$112,6,FALSE),"")</f>
        <v/>
      </c>
      <c r="P1550" s="27">
        <f t="shared" si="51"/>
        <v>0</v>
      </c>
      <c r="Q1550" s="27">
        <f t="shared" si="50"/>
        <v>0</v>
      </c>
    </row>
    <row r="1551" spans="2:17" x14ac:dyDescent="0.45">
      <c r="B1551" s="27" t="str">
        <f>IFERROR(VLOOKUP(A1551,القائمة!$A$3:$F$112,2,FALSE),"")</f>
        <v/>
      </c>
      <c r="C1551" s="27" t="str">
        <f>IFERROR(VLOOKUP(A1551,القائمة!$A$3:$F$112,3,FALSE),"")</f>
        <v/>
      </c>
      <c r="D1551" s="36" t="str">
        <f>IFERROR(VLOOKUP(A1551,القائمة!$A$3:$F$112,4,FALSE),"")</f>
        <v/>
      </c>
      <c r="E1551" s="36" t="str">
        <f>IFERROR(VLOOKUP(A1551,القائمة!$A$3:$F$112,5,FALSE),"")</f>
        <v/>
      </c>
      <c r="F1551" s="37" t="str">
        <f>IFERROR(VLOOKUP(A1551,القائمة!$A$3:$F$112,6,FALSE),"")</f>
        <v/>
      </c>
      <c r="P1551" s="27">
        <f t="shared" si="51"/>
        <v>0</v>
      </c>
      <c r="Q1551" s="27">
        <f t="shared" si="50"/>
        <v>0</v>
      </c>
    </row>
    <row r="1552" spans="2:17" x14ac:dyDescent="0.45">
      <c r="B1552" s="27" t="str">
        <f>IFERROR(VLOOKUP(A1552,القائمة!$A$3:$F$112,2,FALSE),"")</f>
        <v/>
      </c>
      <c r="C1552" s="27" t="str">
        <f>IFERROR(VLOOKUP(A1552,القائمة!$A$3:$F$112,3,FALSE),"")</f>
        <v/>
      </c>
      <c r="D1552" s="36" t="str">
        <f>IFERROR(VLOOKUP(A1552,القائمة!$A$3:$F$112,4,FALSE),"")</f>
        <v/>
      </c>
      <c r="E1552" s="36" t="str">
        <f>IFERROR(VLOOKUP(A1552,القائمة!$A$3:$F$112,5,FALSE),"")</f>
        <v/>
      </c>
      <c r="F1552" s="37" t="str">
        <f>IFERROR(VLOOKUP(A1552,القائمة!$A$3:$F$112,6,FALSE),"")</f>
        <v/>
      </c>
      <c r="P1552" s="27">
        <f t="shared" si="51"/>
        <v>0</v>
      </c>
      <c r="Q1552" s="27">
        <f t="shared" si="50"/>
        <v>0</v>
      </c>
    </row>
    <row r="1553" spans="2:17" x14ac:dyDescent="0.45">
      <c r="B1553" s="27" t="str">
        <f>IFERROR(VLOOKUP(A1553,القائمة!$A$3:$F$112,2,FALSE),"")</f>
        <v/>
      </c>
      <c r="C1553" s="27" t="str">
        <f>IFERROR(VLOOKUP(A1553,القائمة!$A$3:$F$112,3,FALSE),"")</f>
        <v/>
      </c>
      <c r="D1553" s="36" t="str">
        <f>IFERROR(VLOOKUP(A1553,القائمة!$A$3:$F$112,4,FALSE),"")</f>
        <v/>
      </c>
      <c r="E1553" s="36" t="str">
        <f>IFERROR(VLOOKUP(A1553,القائمة!$A$3:$F$112,5,FALSE),"")</f>
        <v/>
      </c>
      <c r="F1553" s="37" t="str">
        <f>IFERROR(VLOOKUP(A1553,القائمة!$A$3:$F$112,6,FALSE),"")</f>
        <v/>
      </c>
      <c r="P1553" s="27">
        <f t="shared" si="51"/>
        <v>0</v>
      </c>
      <c r="Q1553" s="27">
        <f t="shared" si="50"/>
        <v>0</v>
      </c>
    </row>
    <row r="1554" spans="2:17" x14ac:dyDescent="0.45">
      <c r="B1554" s="27" t="str">
        <f>IFERROR(VLOOKUP(A1554,القائمة!$A$3:$F$112,2,FALSE),"")</f>
        <v/>
      </c>
      <c r="C1554" s="27" t="str">
        <f>IFERROR(VLOOKUP(A1554,القائمة!$A$3:$F$112,3,FALSE),"")</f>
        <v/>
      </c>
      <c r="D1554" s="36" t="str">
        <f>IFERROR(VLOOKUP(A1554,القائمة!$A$3:$F$112,4,FALSE),"")</f>
        <v/>
      </c>
      <c r="E1554" s="36" t="str">
        <f>IFERROR(VLOOKUP(A1554,القائمة!$A$3:$F$112,5,FALSE),"")</f>
        <v/>
      </c>
      <c r="F1554" s="37" t="str">
        <f>IFERROR(VLOOKUP(A1554,القائمة!$A$3:$F$112,6,FALSE),"")</f>
        <v/>
      </c>
      <c r="P1554" s="27">
        <f t="shared" si="51"/>
        <v>0</v>
      </c>
      <c r="Q1554" s="27">
        <f t="shared" si="50"/>
        <v>0</v>
      </c>
    </row>
    <row r="1555" spans="2:17" x14ac:dyDescent="0.45">
      <c r="B1555" s="27" t="str">
        <f>IFERROR(VLOOKUP(A1555,القائمة!$A$3:$F$112,2,FALSE),"")</f>
        <v/>
      </c>
      <c r="C1555" s="27" t="str">
        <f>IFERROR(VLOOKUP(A1555,القائمة!$A$3:$F$112,3,FALSE),"")</f>
        <v/>
      </c>
      <c r="D1555" s="36" t="str">
        <f>IFERROR(VLOOKUP(A1555,القائمة!$A$3:$F$112,4,FALSE),"")</f>
        <v/>
      </c>
      <c r="E1555" s="36" t="str">
        <f>IFERROR(VLOOKUP(A1555,القائمة!$A$3:$F$112,5,FALSE),"")</f>
        <v/>
      </c>
      <c r="F1555" s="37" t="str">
        <f>IFERROR(VLOOKUP(A1555,القائمة!$A$3:$F$112,6,FALSE),"")</f>
        <v/>
      </c>
      <c r="P1555" s="27">
        <f t="shared" si="51"/>
        <v>0</v>
      </c>
      <c r="Q1555" s="27">
        <f t="shared" si="50"/>
        <v>0</v>
      </c>
    </row>
    <row r="1556" spans="2:17" x14ac:dyDescent="0.45">
      <c r="B1556" s="27" t="str">
        <f>IFERROR(VLOOKUP(A1556,القائمة!$A$3:$F$112,2,FALSE),"")</f>
        <v/>
      </c>
      <c r="C1556" s="27" t="str">
        <f>IFERROR(VLOOKUP(A1556,القائمة!$A$3:$F$112,3,FALSE),"")</f>
        <v/>
      </c>
      <c r="D1556" s="36" t="str">
        <f>IFERROR(VLOOKUP(A1556,القائمة!$A$3:$F$112,4,FALSE),"")</f>
        <v/>
      </c>
      <c r="E1556" s="36" t="str">
        <f>IFERROR(VLOOKUP(A1556,القائمة!$A$3:$F$112,5,FALSE),"")</f>
        <v/>
      </c>
      <c r="F1556" s="37" t="str">
        <f>IFERROR(VLOOKUP(A1556,القائمة!$A$3:$F$112,6,FALSE),"")</f>
        <v/>
      </c>
      <c r="P1556" s="27">
        <f t="shared" si="51"/>
        <v>0</v>
      </c>
      <c r="Q1556" s="27">
        <f t="shared" si="50"/>
        <v>0</v>
      </c>
    </row>
    <row r="1557" spans="2:17" x14ac:dyDescent="0.45">
      <c r="B1557" s="27" t="str">
        <f>IFERROR(VLOOKUP(A1557,القائمة!$A$3:$F$112,2,FALSE),"")</f>
        <v/>
      </c>
      <c r="C1557" s="27" t="str">
        <f>IFERROR(VLOOKUP(A1557,القائمة!$A$3:$F$112,3,FALSE),"")</f>
        <v/>
      </c>
      <c r="D1557" s="36" t="str">
        <f>IFERROR(VLOOKUP(A1557,القائمة!$A$3:$F$112,4,FALSE),"")</f>
        <v/>
      </c>
      <c r="E1557" s="36" t="str">
        <f>IFERROR(VLOOKUP(A1557,القائمة!$A$3:$F$112,5,FALSE),"")</f>
        <v/>
      </c>
      <c r="F1557" s="37" t="str">
        <f>IFERROR(VLOOKUP(A1557,القائمة!$A$3:$F$112,6,FALSE),"")</f>
        <v/>
      </c>
      <c r="P1557" s="27">
        <f t="shared" si="51"/>
        <v>0</v>
      </c>
      <c r="Q1557" s="27">
        <f t="shared" si="50"/>
        <v>0</v>
      </c>
    </row>
    <row r="1558" spans="2:17" x14ac:dyDescent="0.45">
      <c r="B1558" s="27" t="str">
        <f>IFERROR(VLOOKUP(A1558,القائمة!$A$3:$F$112,2,FALSE),"")</f>
        <v/>
      </c>
      <c r="C1558" s="27" t="str">
        <f>IFERROR(VLOOKUP(A1558,القائمة!$A$3:$F$112,3,FALSE),"")</f>
        <v/>
      </c>
      <c r="D1558" s="36" t="str">
        <f>IFERROR(VLOOKUP(A1558,القائمة!$A$3:$F$112,4,FALSE),"")</f>
        <v/>
      </c>
      <c r="E1558" s="36" t="str">
        <f>IFERROR(VLOOKUP(A1558,القائمة!$A$3:$F$112,5,FALSE),"")</f>
        <v/>
      </c>
      <c r="F1558" s="37" t="str">
        <f>IFERROR(VLOOKUP(A1558,القائمة!$A$3:$F$112,6,FALSE),"")</f>
        <v/>
      </c>
      <c r="P1558" s="27">
        <f t="shared" si="51"/>
        <v>0</v>
      </c>
      <c r="Q1558" s="27">
        <f t="shared" si="50"/>
        <v>0</v>
      </c>
    </row>
    <row r="1559" spans="2:17" x14ac:dyDescent="0.45">
      <c r="B1559" s="27" t="str">
        <f>IFERROR(VLOOKUP(A1559,القائمة!$A$3:$F$112,2,FALSE),"")</f>
        <v/>
      </c>
      <c r="C1559" s="27" t="str">
        <f>IFERROR(VLOOKUP(A1559,القائمة!$A$3:$F$112,3,FALSE),"")</f>
        <v/>
      </c>
      <c r="D1559" s="36" t="str">
        <f>IFERROR(VLOOKUP(A1559,القائمة!$A$3:$F$112,4,FALSE),"")</f>
        <v/>
      </c>
      <c r="E1559" s="36" t="str">
        <f>IFERROR(VLOOKUP(A1559,القائمة!$A$3:$F$112,5,FALSE),"")</f>
        <v/>
      </c>
      <c r="F1559" s="37" t="str">
        <f>IFERROR(VLOOKUP(A1559,القائمة!$A$3:$F$112,6,FALSE),"")</f>
        <v/>
      </c>
      <c r="P1559" s="27">
        <f t="shared" si="51"/>
        <v>0</v>
      </c>
      <c r="Q1559" s="27">
        <f t="shared" si="50"/>
        <v>0</v>
      </c>
    </row>
    <row r="1560" spans="2:17" x14ac:dyDescent="0.45">
      <c r="B1560" s="27" t="str">
        <f>IFERROR(VLOOKUP(A1560,القائمة!$A$3:$F$112,2,FALSE),"")</f>
        <v/>
      </c>
      <c r="C1560" s="27" t="str">
        <f>IFERROR(VLOOKUP(A1560,القائمة!$A$3:$F$112,3,FALSE),"")</f>
        <v/>
      </c>
      <c r="D1560" s="36" t="str">
        <f>IFERROR(VLOOKUP(A1560,القائمة!$A$3:$F$112,4,FALSE),"")</f>
        <v/>
      </c>
      <c r="E1560" s="36" t="str">
        <f>IFERROR(VLOOKUP(A1560,القائمة!$A$3:$F$112,5,FALSE),"")</f>
        <v/>
      </c>
      <c r="F1560" s="37" t="str">
        <f>IFERROR(VLOOKUP(A1560,القائمة!$A$3:$F$112,6,FALSE),"")</f>
        <v/>
      </c>
      <c r="P1560" s="27">
        <f t="shared" si="51"/>
        <v>0</v>
      </c>
      <c r="Q1560" s="27">
        <f t="shared" si="50"/>
        <v>0</v>
      </c>
    </row>
    <row r="1561" spans="2:17" x14ac:dyDescent="0.45">
      <c r="B1561" s="27" t="str">
        <f>IFERROR(VLOOKUP(A1561,القائمة!$A$3:$F$112,2,FALSE),"")</f>
        <v/>
      </c>
      <c r="C1561" s="27" t="str">
        <f>IFERROR(VLOOKUP(A1561,القائمة!$A$3:$F$112,3,FALSE),"")</f>
        <v/>
      </c>
      <c r="D1561" s="36" t="str">
        <f>IFERROR(VLOOKUP(A1561,القائمة!$A$3:$F$112,4,FALSE),"")</f>
        <v/>
      </c>
      <c r="E1561" s="36" t="str">
        <f>IFERROR(VLOOKUP(A1561,القائمة!$A$3:$F$112,5,FALSE),"")</f>
        <v/>
      </c>
      <c r="F1561" s="37" t="str">
        <f>IFERROR(VLOOKUP(A1561,القائمة!$A$3:$F$112,6,FALSE),"")</f>
        <v/>
      </c>
      <c r="P1561" s="27">
        <f t="shared" si="51"/>
        <v>0</v>
      </c>
      <c r="Q1561" s="27">
        <f t="shared" si="50"/>
        <v>0</v>
      </c>
    </row>
    <row r="1562" spans="2:17" x14ac:dyDescent="0.45">
      <c r="B1562" s="27" t="str">
        <f>IFERROR(VLOOKUP(A1562,القائمة!$A$3:$F$112,2,FALSE),"")</f>
        <v/>
      </c>
      <c r="C1562" s="27" t="str">
        <f>IFERROR(VLOOKUP(A1562,القائمة!$A$3:$F$112,3,FALSE),"")</f>
        <v/>
      </c>
      <c r="D1562" s="36" t="str">
        <f>IFERROR(VLOOKUP(A1562,القائمة!$A$3:$F$112,4,FALSE),"")</f>
        <v/>
      </c>
      <c r="E1562" s="36" t="str">
        <f>IFERROR(VLOOKUP(A1562,القائمة!$A$3:$F$112,5,FALSE),"")</f>
        <v/>
      </c>
      <c r="F1562" s="37" t="str">
        <f>IFERROR(VLOOKUP(A1562,القائمة!$A$3:$F$112,6,FALSE),"")</f>
        <v/>
      </c>
      <c r="P1562" s="27">
        <f t="shared" si="51"/>
        <v>0</v>
      </c>
      <c r="Q1562" s="27">
        <f t="shared" si="50"/>
        <v>0</v>
      </c>
    </row>
    <row r="1563" spans="2:17" x14ac:dyDescent="0.45">
      <c r="B1563" s="27" t="str">
        <f>IFERROR(VLOOKUP(A1563,القائمة!$A$3:$F$112,2,FALSE),"")</f>
        <v/>
      </c>
      <c r="C1563" s="27" t="str">
        <f>IFERROR(VLOOKUP(A1563,القائمة!$A$3:$F$112,3,FALSE),"")</f>
        <v/>
      </c>
      <c r="D1563" s="36" t="str">
        <f>IFERROR(VLOOKUP(A1563,القائمة!$A$3:$F$112,4,FALSE),"")</f>
        <v/>
      </c>
      <c r="E1563" s="36" t="str">
        <f>IFERROR(VLOOKUP(A1563,القائمة!$A$3:$F$112,5,FALSE),"")</f>
        <v/>
      </c>
      <c r="F1563" s="37" t="str">
        <f>IFERROR(VLOOKUP(A1563,القائمة!$A$3:$F$112,6,FALSE),"")</f>
        <v/>
      </c>
      <c r="P1563" s="27">
        <f t="shared" si="51"/>
        <v>0</v>
      </c>
      <c r="Q1563" s="27">
        <f t="shared" si="50"/>
        <v>0</v>
      </c>
    </row>
    <row r="1564" spans="2:17" x14ac:dyDescent="0.45">
      <c r="B1564" s="27" t="str">
        <f>IFERROR(VLOOKUP(A1564,القائمة!$A$3:$F$112,2,FALSE),"")</f>
        <v/>
      </c>
      <c r="C1564" s="27" t="str">
        <f>IFERROR(VLOOKUP(A1564,القائمة!$A$3:$F$112,3,FALSE),"")</f>
        <v/>
      </c>
      <c r="D1564" s="36" t="str">
        <f>IFERROR(VLOOKUP(A1564,القائمة!$A$3:$F$112,4,FALSE),"")</f>
        <v/>
      </c>
      <c r="E1564" s="36" t="str">
        <f>IFERROR(VLOOKUP(A1564,القائمة!$A$3:$F$112,5,FALSE),"")</f>
        <v/>
      </c>
      <c r="F1564" s="37" t="str">
        <f>IFERROR(VLOOKUP(A1564,القائمة!$A$3:$F$112,6,FALSE),"")</f>
        <v/>
      </c>
      <c r="P1564" s="27">
        <f t="shared" si="51"/>
        <v>0</v>
      </c>
      <c r="Q1564" s="27">
        <f t="shared" si="50"/>
        <v>0</v>
      </c>
    </row>
    <row r="1565" spans="2:17" x14ac:dyDescent="0.45">
      <c r="B1565" s="27" t="str">
        <f>IFERROR(VLOOKUP(A1565,القائمة!$A$3:$F$112,2,FALSE),"")</f>
        <v/>
      </c>
      <c r="C1565" s="27" t="str">
        <f>IFERROR(VLOOKUP(A1565,القائمة!$A$3:$F$112,3,FALSE),"")</f>
        <v/>
      </c>
      <c r="D1565" s="36" t="str">
        <f>IFERROR(VLOOKUP(A1565,القائمة!$A$3:$F$112,4,FALSE),"")</f>
        <v/>
      </c>
      <c r="E1565" s="36" t="str">
        <f>IFERROR(VLOOKUP(A1565,القائمة!$A$3:$F$112,5,FALSE),"")</f>
        <v/>
      </c>
      <c r="F1565" s="37" t="str">
        <f>IFERROR(VLOOKUP(A1565,القائمة!$A$3:$F$112,6,FALSE),"")</f>
        <v/>
      </c>
      <c r="P1565" s="27">
        <f t="shared" si="51"/>
        <v>0</v>
      </c>
      <c r="Q1565" s="27">
        <f t="shared" si="50"/>
        <v>0</v>
      </c>
    </row>
    <row r="1566" spans="2:17" x14ac:dyDescent="0.45">
      <c r="B1566" s="27" t="str">
        <f>IFERROR(VLOOKUP(A1566,القائمة!$A$3:$F$112,2,FALSE),"")</f>
        <v/>
      </c>
      <c r="C1566" s="27" t="str">
        <f>IFERROR(VLOOKUP(A1566,القائمة!$A$3:$F$112,3,FALSE),"")</f>
        <v/>
      </c>
      <c r="D1566" s="36" t="str">
        <f>IFERROR(VLOOKUP(A1566,القائمة!$A$3:$F$112,4,FALSE),"")</f>
        <v/>
      </c>
      <c r="E1566" s="36" t="str">
        <f>IFERROR(VLOOKUP(A1566,القائمة!$A$3:$F$112,5,FALSE),"")</f>
        <v/>
      </c>
      <c r="F1566" s="37" t="str">
        <f>IFERROR(VLOOKUP(A1566,القائمة!$A$3:$F$112,6,FALSE),"")</f>
        <v/>
      </c>
      <c r="P1566" s="27">
        <f t="shared" si="51"/>
        <v>0</v>
      </c>
      <c r="Q1566" s="27">
        <f t="shared" si="50"/>
        <v>0</v>
      </c>
    </row>
    <row r="1567" spans="2:17" x14ac:dyDescent="0.45">
      <c r="B1567" s="27" t="str">
        <f>IFERROR(VLOOKUP(A1567,القائمة!$A$3:$F$112,2,FALSE),"")</f>
        <v/>
      </c>
      <c r="C1567" s="27" t="str">
        <f>IFERROR(VLOOKUP(A1567,القائمة!$A$3:$F$112,3,FALSE),"")</f>
        <v/>
      </c>
      <c r="D1567" s="36" t="str">
        <f>IFERROR(VLOOKUP(A1567,القائمة!$A$3:$F$112,4,FALSE),"")</f>
        <v/>
      </c>
      <c r="E1567" s="36" t="str">
        <f>IFERROR(VLOOKUP(A1567,القائمة!$A$3:$F$112,5,FALSE),"")</f>
        <v/>
      </c>
      <c r="F1567" s="37" t="str">
        <f>IFERROR(VLOOKUP(A1567,القائمة!$A$3:$F$112,6,FALSE),"")</f>
        <v/>
      </c>
      <c r="P1567" s="27">
        <f t="shared" si="51"/>
        <v>0</v>
      </c>
      <c r="Q1567" s="27">
        <f t="shared" si="50"/>
        <v>0</v>
      </c>
    </row>
    <row r="1568" spans="2:17" x14ac:dyDescent="0.45">
      <c r="B1568" s="27" t="str">
        <f>IFERROR(VLOOKUP(A1568,القائمة!$A$3:$F$112,2,FALSE),"")</f>
        <v/>
      </c>
      <c r="C1568" s="27" t="str">
        <f>IFERROR(VLOOKUP(A1568,القائمة!$A$3:$F$112,3,FALSE),"")</f>
        <v/>
      </c>
      <c r="D1568" s="36" t="str">
        <f>IFERROR(VLOOKUP(A1568,القائمة!$A$3:$F$112,4,FALSE),"")</f>
        <v/>
      </c>
      <c r="E1568" s="36" t="str">
        <f>IFERROR(VLOOKUP(A1568,القائمة!$A$3:$F$112,5,FALSE),"")</f>
        <v/>
      </c>
      <c r="F1568" s="37" t="str">
        <f>IFERROR(VLOOKUP(A1568,القائمة!$A$3:$F$112,6,FALSE),"")</f>
        <v/>
      </c>
      <c r="P1568" s="27">
        <f t="shared" si="51"/>
        <v>0</v>
      </c>
      <c r="Q1568" s="27">
        <f t="shared" si="50"/>
        <v>0</v>
      </c>
    </row>
    <row r="1569" spans="2:17" x14ac:dyDescent="0.45">
      <c r="B1569" s="27" t="str">
        <f>IFERROR(VLOOKUP(A1569,القائمة!$A$3:$F$112,2,FALSE),"")</f>
        <v/>
      </c>
      <c r="C1569" s="27" t="str">
        <f>IFERROR(VLOOKUP(A1569,القائمة!$A$3:$F$112,3,FALSE),"")</f>
        <v/>
      </c>
      <c r="D1569" s="36" t="str">
        <f>IFERROR(VLOOKUP(A1569,القائمة!$A$3:$F$112,4,FALSE),"")</f>
        <v/>
      </c>
      <c r="E1569" s="36" t="str">
        <f>IFERROR(VLOOKUP(A1569,القائمة!$A$3:$F$112,5,FALSE),"")</f>
        <v/>
      </c>
      <c r="F1569" s="37" t="str">
        <f>IFERROR(VLOOKUP(A1569,القائمة!$A$3:$F$112,6,FALSE),"")</f>
        <v/>
      </c>
      <c r="P1569" s="27">
        <f t="shared" si="51"/>
        <v>0</v>
      </c>
      <c r="Q1569" s="27">
        <f t="shared" si="50"/>
        <v>0</v>
      </c>
    </row>
    <row r="1570" spans="2:17" x14ac:dyDescent="0.45">
      <c r="B1570" s="27" t="str">
        <f>IFERROR(VLOOKUP(A1570,القائمة!$A$3:$F$112,2,FALSE),"")</f>
        <v/>
      </c>
      <c r="C1570" s="27" t="str">
        <f>IFERROR(VLOOKUP(A1570,القائمة!$A$3:$F$112,3,FALSE),"")</f>
        <v/>
      </c>
      <c r="D1570" s="36" t="str">
        <f>IFERROR(VLOOKUP(A1570,القائمة!$A$3:$F$112,4,FALSE),"")</f>
        <v/>
      </c>
      <c r="E1570" s="36" t="str">
        <f>IFERROR(VLOOKUP(A1570,القائمة!$A$3:$F$112,5,FALSE),"")</f>
        <v/>
      </c>
      <c r="F1570" s="37" t="str">
        <f>IFERROR(VLOOKUP(A1570,القائمة!$A$3:$F$112,6,FALSE),"")</f>
        <v/>
      </c>
      <c r="P1570" s="27">
        <f t="shared" si="51"/>
        <v>0</v>
      </c>
      <c r="Q1570" s="27">
        <f t="shared" si="50"/>
        <v>0</v>
      </c>
    </row>
    <row r="1571" spans="2:17" x14ac:dyDescent="0.45">
      <c r="B1571" s="27" t="str">
        <f>IFERROR(VLOOKUP(A1571,القائمة!$A$3:$F$112,2,FALSE),"")</f>
        <v/>
      </c>
      <c r="C1571" s="27" t="str">
        <f>IFERROR(VLOOKUP(A1571,القائمة!$A$3:$F$112,3,FALSE),"")</f>
        <v/>
      </c>
      <c r="D1571" s="36" t="str">
        <f>IFERROR(VLOOKUP(A1571,القائمة!$A$3:$F$112,4,FALSE),"")</f>
        <v/>
      </c>
      <c r="E1571" s="36" t="str">
        <f>IFERROR(VLOOKUP(A1571,القائمة!$A$3:$F$112,5,FALSE),"")</f>
        <v/>
      </c>
      <c r="F1571" s="37" t="str">
        <f>IFERROR(VLOOKUP(A1571,القائمة!$A$3:$F$112,6,FALSE),"")</f>
        <v/>
      </c>
      <c r="P1571" s="27">
        <f t="shared" si="51"/>
        <v>0</v>
      </c>
      <c r="Q1571" s="27">
        <f t="shared" si="50"/>
        <v>0</v>
      </c>
    </row>
    <row r="1572" spans="2:17" x14ac:dyDescent="0.45">
      <c r="B1572" s="27" t="str">
        <f>IFERROR(VLOOKUP(A1572,القائمة!$A$3:$F$112,2,FALSE),"")</f>
        <v/>
      </c>
      <c r="C1572" s="27" t="str">
        <f>IFERROR(VLOOKUP(A1572,القائمة!$A$3:$F$112,3,FALSE),"")</f>
        <v/>
      </c>
      <c r="D1572" s="36" t="str">
        <f>IFERROR(VLOOKUP(A1572,القائمة!$A$3:$F$112,4,FALSE),"")</f>
        <v/>
      </c>
      <c r="E1572" s="36" t="str">
        <f>IFERROR(VLOOKUP(A1572,القائمة!$A$3:$F$112,5,FALSE),"")</f>
        <v/>
      </c>
      <c r="F1572" s="37" t="str">
        <f>IFERROR(VLOOKUP(A1572,القائمة!$A$3:$F$112,6,FALSE),"")</f>
        <v/>
      </c>
      <c r="P1572" s="27">
        <f t="shared" si="51"/>
        <v>0</v>
      </c>
      <c r="Q1572" s="27">
        <f t="shared" si="50"/>
        <v>0</v>
      </c>
    </row>
    <row r="1573" spans="2:17" x14ac:dyDescent="0.45">
      <c r="B1573" s="27" t="str">
        <f>IFERROR(VLOOKUP(A1573,القائمة!$A$3:$F$112,2,FALSE),"")</f>
        <v/>
      </c>
      <c r="C1573" s="27" t="str">
        <f>IFERROR(VLOOKUP(A1573,القائمة!$A$3:$F$112,3,FALSE),"")</f>
        <v/>
      </c>
      <c r="D1573" s="36" t="str">
        <f>IFERROR(VLOOKUP(A1573,القائمة!$A$3:$F$112,4,FALSE),"")</f>
        <v/>
      </c>
      <c r="E1573" s="36" t="str">
        <f>IFERROR(VLOOKUP(A1573,القائمة!$A$3:$F$112,5,FALSE),"")</f>
        <v/>
      </c>
      <c r="F1573" s="37" t="str">
        <f>IFERROR(VLOOKUP(A1573,القائمة!$A$3:$F$112,6,FALSE),"")</f>
        <v/>
      </c>
      <c r="P1573" s="27">
        <f t="shared" si="51"/>
        <v>0</v>
      </c>
      <c r="Q1573" s="27">
        <f t="shared" si="50"/>
        <v>0</v>
      </c>
    </row>
    <row r="1574" spans="2:17" x14ac:dyDescent="0.45">
      <c r="B1574" s="27" t="str">
        <f>IFERROR(VLOOKUP(A1574,القائمة!$A$3:$F$112,2,FALSE),"")</f>
        <v/>
      </c>
      <c r="C1574" s="27" t="str">
        <f>IFERROR(VLOOKUP(A1574,القائمة!$A$3:$F$112,3,FALSE),"")</f>
        <v/>
      </c>
      <c r="D1574" s="36" t="str">
        <f>IFERROR(VLOOKUP(A1574,القائمة!$A$3:$F$112,4,FALSE),"")</f>
        <v/>
      </c>
      <c r="E1574" s="36" t="str">
        <f>IFERROR(VLOOKUP(A1574,القائمة!$A$3:$F$112,5,FALSE),"")</f>
        <v/>
      </c>
      <c r="F1574" s="37" t="str">
        <f>IFERROR(VLOOKUP(A1574,القائمة!$A$3:$F$112,6,FALSE),"")</f>
        <v/>
      </c>
      <c r="P1574" s="27">
        <f t="shared" si="51"/>
        <v>0</v>
      </c>
      <c r="Q1574" s="27">
        <f t="shared" si="50"/>
        <v>0</v>
      </c>
    </row>
    <row r="1575" spans="2:17" x14ac:dyDescent="0.45">
      <c r="B1575" s="27" t="str">
        <f>IFERROR(VLOOKUP(A1575,القائمة!$A$3:$F$112,2,FALSE),"")</f>
        <v/>
      </c>
      <c r="C1575" s="27" t="str">
        <f>IFERROR(VLOOKUP(A1575,القائمة!$A$3:$F$112,3,FALSE),"")</f>
        <v/>
      </c>
      <c r="D1575" s="36" t="str">
        <f>IFERROR(VLOOKUP(A1575,القائمة!$A$3:$F$112,4,FALSE),"")</f>
        <v/>
      </c>
      <c r="E1575" s="36" t="str">
        <f>IFERROR(VLOOKUP(A1575,القائمة!$A$3:$F$112,5,FALSE),"")</f>
        <v/>
      </c>
      <c r="F1575" s="37" t="str">
        <f>IFERROR(VLOOKUP(A1575,القائمة!$A$3:$F$112,6,FALSE),"")</f>
        <v/>
      </c>
      <c r="P1575" s="27">
        <f t="shared" si="51"/>
        <v>0</v>
      </c>
      <c r="Q1575" s="27">
        <f t="shared" si="50"/>
        <v>0</v>
      </c>
    </row>
    <row r="1576" spans="2:17" x14ac:dyDescent="0.45">
      <c r="B1576" s="27" t="str">
        <f>IFERROR(VLOOKUP(A1576,القائمة!$A$3:$F$112,2,FALSE),"")</f>
        <v/>
      </c>
      <c r="C1576" s="27" t="str">
        <f>IFERROR(VLOOKUP(A1576,القائمة!$A$3:$F$112,3,FALSE),"")</f>
        <v/>
      </c>
      <c r="D1576" s="36" t="str">
        <f>IFERROR(VLOOKUP(A1576,القائمة!$A$3:$F$112,4,FALSE),"")</f>
        <v/>
      </c>
      <c r="E1576" s="36" t="str">
        <f>IFERROR(VLOOKUP(A1576,القائمة!$A$3:$F$112,5,FALSE),"")</f>
        <v/>
      </c>
      <c r="F1576" s="37" t="str">
        <f>IFERROR(VLOOKUP(A1576,القائمة!$A$3:$F$112,6,FALSE),"")</f>
        <v/>
      </c>
      <c r="P1576" s="27">
        <f t="shared" si="51"/>
        <v>0</v>
      </c>
      <c r="Q1576" s="27">
        <f t="shared" si="50"/>
        <v>0</v>
      </c>
    </row>
    <row r="1577" spans="2:17" x14ac:dyDescent="0.45">
      <c r="B1577" s="27" t="str">
        <f>IFERROR(VLOOKUP(A1577,القائمة!$A$3:$F$112,2,FALSE),"")</f>
        <v/>
      </c>
      <c r="C1577" s="27" t="str">
        <f>IFERROR(VLOOKUP(A1577,القائمة!$A$3:$F$112,3,FALSE),"")</f>
        <v/>
      </c>
      <c r="D1577" s="36" t="str">
        <f>IFERROR(VLOOKUP(A1577,القائمة!$A$3:$F$112,4,FALSE),"")</f>
        <v/>
      </c>
      <c r="E1577" s="36" t="str">
        <f>IFERROR(VLOOKUP(A1577,القائمة!$A$3:$F$112,5,FALSE),"")</f>
        <v/>
      </c>
      <c r="F1577" s="37" t="str">
        <f>IFERROR(VLOOKUP(A1577,القائمة!$A$3:$F$112,6,FALSE),"")</f>
        <v/>
      </c>
      <c r="P1577" s="27">
        <f t="shared" si="51"/>
        <v>0</v>
      </c>
      <c r="Q1577" s="27">
        <f t="shared" si="50"/>
        <v>0</v>
      </c>
    </row>
    <row r="1578" spans="2:17" x14ac:dyDescent="0.45">
      <c r="B1578" s="27" t="str">
        <f>IFERROR(VLOOKUP(A1578,القائمة!$A$3:$F$112,2,FALSE),"")</f>
        <v/>
      </c>
      <c r="C1578" s="27" t="str">
        <f>IFERROR(VLOOKUP(A1578,القائمة!$A$3:$F$112,3,FALSE),"")</f>
        <v/>
      </c>
      <c r="D1578" s="36" t="str">
        <f>IFERROR(VLOOKUP(A1578,القائمة!$A$3:$F$112,4,FALSE),"")</f>
        <v/>
      </c>
      <c r="E1578" s="36" t="str">
        <f>IFERROR(VLOOKUP(A1578,القائمة!$A$3:$F$112,5,FALSE),"")</f>
        <v/>
      </c>
      <c r="F1578" s="37" t="str">
        <f>IFERROR(VLOOKUP(A1578,القائمة!$A$3:$F$112,6,FALSE),"")</f>
        <v/>
      </c>
      <c r="P1578" s="27">
        <f t="shared" si="51"/>
        <v>0</v>
      </c>
      <c r="Q1578" s="27">
        <f t="shared" si="50"/>
        <v>0</v>
      </c>
    </row>
    <row r="1579" spans="2:17" x14ac:dyDescent="0.45">
      <c r="B1579" s="27" t="str">
        <f>IFERROR(VLOOKUP(A1579,القائمة!$A$3:$F$112,2,FALSE),"")</f>
        <v/>
      </c>
      <c r="C1579" s="27" t="str">
        <f>IFERROR(VLOOKUP(A1579,القائمة!$A$3:$F$112,3,FALSE),"")</f>
        <v/>
      </c>
      <c r="D1579" s="36" t="str">
        <f>IFERROR(VLOOKUP(A1579,القائمة!$A$3:$F$112,4,FALSE),"")</f>
        <v/>
      </c>
      <c r="E1579" s="36" t="str">
        <f>IFERROR(VLOOKUP(A1579,القائمة!$A$3:$F$112,5,FALSE),"")</f>
        <v/>
      </c>
      <c r="F1579" s="37" t="str">
        <f>IFERROR(VLOOKUP(A1579,القائمة!$A$3:$F$112,6,FALSE),"")</f>
        <v/>
      </c>
      <c r="P1579" s="27">
        <f t="shared" si="51"/>
        <v>0</v>
      </c>
      <c r="Q1579" s="27">
        <f t="shared" si="50"/>
        <v>0</v>
      </c>
    </row>
    <row r="1580" spans="2:17" x14ac:dyDescent="0.45">
      <c r="B1580" s="27" t="str">
        <f>IFERROR(VLOOKUP(A1580,القائمة!$A$3:$F$112,2,FALSE),"")</f>
        <v/>
      </c>
      <c r="C1580" s="27" t="str">
        <f>IFERROR(VLOOKUP(A1580,القائمة!$A$3:$F$112,3,FALSE),"")</f>
        <v/>
      </c>
      <c r="D1580" s="36" t="str">
        <f>IFERROR(VLOOKUP(A1580,القائمة!$A$3:$F$112,4,FALSE),"")</f>
        <v/>
      </c>
      <c r="E1580" s="36" t="str">
        <f>IFERROR(VLOOKUP(A1580,القائمة!$A$3:$F$112,5,FALSE),"")</f>
        <v/>
      </c>
      <c r="F1580" s="37" t="str">
        <f>IFERROR(VLOOKUP(A1580,القائمة!$A$3:$F$112,6,FALSE),"")</f>
        <v/>
      </c>
      <c r="P1580" s="27">
        <f t="shared" si="51"/>
        <v>0</v>
      </c>
      <c r="Q1580" s="27">
        <f t="shared" si="50"/>
        <v>0</v>
      </c>
    </row>
    <row r="1581" spans="2:17" x14ac:dyDescent="0.45">
      <c r="B1581" s="27" t="str">
        <f>IFERROR(VLOOKUP(A1581,القائمة!$A$3:$F$112,2,FALSE),"")</f>
        <v/>
      </c>
      <c r="C1581" s="27" t="str">
        <f>IFERROR(VLOOKUP(A1581,القائمة!$A$3:$F$112,3,FALSE),"")</f>
        <v/>
      </c>
      <c r="D1581" s="36" t="str">
        <f>IFERROR(VLOOKUP(A1581,القائمة!$A$3:$F$112,4,FALSE),"")</f>
        <v/>
      </c>
      <c r="E1581" s="36" t="str">
        <f>IFERROR(VLOOKUP(A1581,القائمة!$A$3:$F$112,5,FALSE),"")</f>
        <v/>
      </c>
      <c r="F1581" s="37" t="str">
        <f>IFERROR(VLOOKUP(A1581,القائمة!$A$3:$F$112,6,FALSE),"")</f>
        <v/>
      </c>
      <c r="P1581" s="27">
        <f t="shared" si="51"/>
        <v>0</v>
      </c>
      <c r="Q1581" s="27">
        <f t="shared" si="50"/>
        <v>0</v>
      </c>
    </row>
    <row r="1582" spans="2:17" x14ac:dyDescent="0.45">
      <c r="B1582" s="27" t="str">
        <f>IFERROR(VLOOKUP(A1582,القائمة!$A$3:$F$112,2,FALSE),"")</f>
        <v/>
      </c>
      <c r="C1582" s="27" t="str">
        <f>IFERROR(VLOOKUP(A1582,القائمة!$A$3:$F$112,3,FALSE),"")</f>
        <v/>
      </c>
      <c r="D1582" s="36" t="str">
        <f>IFERROR(VLOOKUP(A1582,القائمة!$A$3:$F$112,4,FALSE),"")</f>
        <v/>
      </c>
      <c r="E1582" s="36" t="str">
        <f>IFERROR(VLOOKUP(A1582,القائمة!$A$3:$F$112,5,FALSE),"")</f>
        <v/>
      </c>
      <c r="F1582" s="37" t="str">
        <f>IFERROR(VLOOKUP(A1582,القائمة!$A$3:$F$112,6,FALSE),"")</f>
        <v/>
      </c>
      <c r="P1582" s="27">
        <f t="shared" si="51"/>
        <v>0</v>
      </c>
      <c r="Q1582" s="27">
        <f t="shared" si="50"/>
        <v>0</v>
      </c>
    </row>
    <row r="1583" spans="2:17" x14ac:dyDescent="0.45">
      <c r="B1583" s="27" t="str">
        <f>IFERROR(VLOOKUP(A1583,القائمة!$A$3:$F$112,2,FALSE),"")</f>
        <v/>
      </c>
      <c r="C1583" s="27" t="str">
        <f>IFERROR(VLOOKUP(A1583,القائمة!$A$3:$F$112,3,FALSE),"")</f>
        <v/>
      </c>
      <c r="D1583" s="36" t="str">
        <f>IFERROR(VLOOKUP(A1583,القائمة!$A$3:$F$112,4,FALSE),"")</f>
        <v/>
      </c>
      <c r="E1583" s="36" t="str">
        <f>IFERROR(VLOOKUP(A1583,القائمة!$A$3:$F$112,5,FALSE),"")</f>
        <v/>
      </c>
      <c r="F1583" s="37" t="str">
        <f>IFERROR(VLOOKUP(A1583,القائمة!$A$3:$F$112,6,FALSE),"")</f>
        <v/>
      </c>
      <c r="P1583" s="27">
        <f t="shared" si="51"/>
        <v>0</v>
      </c>
      <c r="Q1583" s="27">
        <f t="shared" si="50"/>
        <v>0</v>
      </c>
    </row>
    <row r="1584" spans="2:17" x14ac:dyDescent="0.45">
      <c r="B1584" s="27" t="str">
        <f>IFERROR(VLOOKUP(A1584,القائمة!$A$3:$F$112,2,FALSE),"")</f>
        <v/>
      </c>
      <c r="C1584" s="27" t="str">
        <f>IFERROR(VLOOKUP(A1584,القائمة!$A$3:$F$112,3,FALSE),"")</f>
        <v/>
      </c>
      <c r="D1584" s="36" t="str">
        <f>IFERROR(VLOOKUP(A1584,القائمة!$A$3:$F$112,4,FALSE),"")</f>
        <v/>
      </c>
      <c r="E1584" s="36" t="str">
        <f>IFERROR(VLOOKUP(A1584,القائمة!$A$3:$F$112,5,FALSE),"")</f>
        <v/>
      </c>
      <c r="F1584" s="37" t="str">
        <f>IFERROR(VLOOKUP(A1584,القائمة!$A$3:$F$112,6,FALSE),"")</f>
        <v/>
      </c>
      <c r="P1584" s="27">
        <f t="shared" si="51"/>
        <v>0</v>
      </c>
      <c r="Q1584" s="27">
        <f t="shared" si="50"/>
        <v>0</v>
      </c>
    </row>
    <row r="1585" spans="2:17" x14ac:dyDescent="0.45">
      <c r="B1585" s="27" t="str">
        <f>IFERROR(VLOOKUP(A1585,القائمة!$A$3:$F$112,2,FALSE),"")</f>
        <v/>
      </c>
      <c r="C1585" s="27" t="str">
        <f>IFERROR(VLOOKUP(A1585,القائمة!$A$3:$F$112,3,FALSE),"")</f>
        <v/>
      </c>
      <c r="D1585" s="36" t="str">
        <f>IFERROR(VLOOKUP(A1585,القائمة!$A$3:$F$112,4,FALSE),"")</f>
        <v/>
      </c>
      <c r="E1585" s="36" t="str">
        <f>IFERROR(VLOOKUP(A1585,القائمة!$A$3:$F$112,5,FALSE),"")</f>
        <v/>
      </c>
      <c r="F1585" s="37" t="str">
        <f>IFERROR(VLOOKUP(A1585,القائمة!$A$3:$F$112,6,FALSE),"")</f>
        <v/>
      </c>
      <c r="P1585" s="27">
        <f t="shared" si="51"/>
        <v>0</v>
      </c>
      <c r="Q1585" s="27">
        <f t="shared" si="50"/>
        <v>0</v>
      </c>
    </row>
    <row r="1586" spans="2:17" x14ac:dyDescent="0.45">
      <c r="B1586" s="27" t="str">
        <f>IFERROR(VLOOKUP(A1586,القائمة!$A$3:$F$112,2,FALSE),"")</f>
        <v/>
      </c>
      <c r="C1586" s="27" t="str">
        <f>IFERROR(VLOOKUP(A1586,القائمة!$A$3:$F$112,3,FALSE),"")</f>
        <v/>
      </c>
      <c r="D1586" s="36" t="str">
        <f>IFERROR(VLOOKUP(A1586,القائمة!$A$3:$F$112,4,FALSE),"")</f>
        <v/>
      </c>
      <c r="E1586" s="36" t="str">
        <f>IFERROR(VLOOKUP(A1586,القائمة!$A$3:$F$112,5,FALSE),"")</f>
        <v/>
      </c>
      <c r="F1586" s="37" t="str">
        <f>IFERROR(VLOOKUP(A1586,القائمة!$A$3:$F$112,6,FALSE),"")</f>
        <v/>
      </c>
      <c r="P1586" s="27">
        <f t="shared" si="51"/>
        <v>0</v>
      </c>
      <c r="Q1586" s="27">
        <f t="shared" si="50"/>
        <v>0</v>
      </c>
    </row>
    <row r="1587" spans="2:17" x14ac:dyDescent="0.45">
      <c r="B1587" s="27" t="str">
        <f>IFERROR(VLOOKUP(A1587,القائمة!$A$3:$F$112,2,FALSE),"")</f>
        <v/>
      </c>
      <c r="C1587" s="27" t="str">
        <f>IFERROR(VLOOKUP(A1587,القائمة!$A$3:$F$112,3,FALSE),"")</f>
        <v/>
      </c>
      <c r="D1587" s="36" t="str">
        <f>IFERROR(VLOOKUP(A1587,القائمة!$A$3:$F$112,4,FALSE),"")</f>
        <v/>
      </c>
      <c r="E1587" s="36" t="str">
        <f>IFERROR(VLOOKUP(A1587,القائمة!$A$3:$F$112,5,FALSE),"")</f>
        <v/>
      </c>
      <c r="F1587" s="37" t="str">
        <f>IFERROR(VLOOKUP(A1587,القائمة!$A$3:$F$112,6,FALSE),"")</f>
        <v/>
      </c>
      <c r="P1587" s="27">
        <f t="shared" si="51"/>
        <v>0</v>
      </c>
      <c r="Q1587" s="27">
        <f t="shared" si="50"/>
        <v>0</v>
      </c>
    </row>
    <row r="1588" spans="2:17" x14ac:dyDescent="0.45">
      <c r="B1588" s="27" t="str">
        <f>IFERROR(VLOOKUP(A1588,القائمة!$A$3:$F$112,2,FALSE),"")</f>
        <v/>
      </c>
      <c r="C1588" s="27" t="str">
        <f>IFERROR(VLOOKUP(A1588,القائمة!$A$3:$F$112,3,FALSE),"")</f>
        <v/>
      </c>
      <c r="D1588" s="36" t="str">
        <f>IFERROR(VLOOKUP(A1588,القائمة!$A$3:$F$112,4,FALSE),"")</f>
        <v/>
      </c>
      <c r="E1588" s="36" t="str">
        <f>IFERROR(VLOOKUP(A1588,القائمة!$A$3:$F$112,5,FALSE),"")</f>
        <v/>
      </c>
      <c r="F1588" s="37" t="str">
        <f>IFERROR(VLOOKUP(A1588,القائمة!$A$3:$F$112,6,FALSE),"")</f>
        <v/>
      </c>
      <c r="P1588" s="27">
        <f t="shared" si="51"/>
        <v>0</v>
      </c>
      <c r="Q1588" s="27">
        <f t="shared" si="50"/>
        <v>0</v>
      </c>
    </row>
    <row r="1589" spans="2:17" x14ac:dyDescent="0.45">
      <c r="B1589" s="27" t="str">
        <f>IFERROR(VLOOKUP(A1589,القائمة!$A$3:$F$112,2,FALSE),"")</f>
        <v/>
      </c>
      <c r="C1589" s="27" t="str">
        <f>IFERROR(VLOOKUP(A1589,القائمة!$A$3:$F$112,3,FALSE),"")</f>
        <v/>
      </c>
      <c r="D1589" s="36" t="str">
        <f>IFERROR(VLOOKUP(A1589,القائمة!$A$3:$F$112,4,FALSE),"")</f>
        <v/>
      </c>
      <c r="E1589" s="36" t="str">
        <f>IFERROR(VLOOKUP(A1589,القائمة!$A$3:$F$112,5,FALSE),"")</f>
        <v/>
      </c>
      <c r="F1589" s="37" t="str">
        <f>IFERROR(VLOOKUP(A1589,القائمة!$A$3:$F$112,6,FALSE),"")</f>
        <v/>
      </c>
      <c r="P1589" s="27">
        <f t="shared" si="51"/>
        <v>0</v>
      </c>
      <c r="Q1589" s="27">
        <f t="shared" si="50"/>
        <v>0</v>
      </c>
    </row>
    <row r="1590" spans="2:17" x14ac:dyDescent="0.45">
      <c r="B1590" s="27" t="str">
        <f>IFERROR(VLOOKUP(A1590,القائمة!$A$3:$F$112,2,FALSE),"")</f>
        <v/>
      </c>
      <c r="C1590" s="27" t="str">
        <f>IFERROR(VLOOKUP(A1590,القائمة!$A$3:$F$112,3,FALSE),"")</f>
        <v/>
      </c>
      <c r="D1590" s="36" t="str">
        <f>IFERROR(VLOOKUP(A1590,القائمة!$A$3:$F$112,4,FALSE),"")</f>
        <v/>
      </c>
      <c r="E1590" s="36" t="str">
        <f>IFERROR(VLOOKUP(A1590,القائمة!$A$3:$F$112,5,FALSE),"")</f>
        <v/>
      </c>
      <c r="F1590" s="37" t="str">
        <f>IFERROR(VLOOKUP(A1590,القائمة!$A$3:$F$112,6,FALSE),"")</f>
        <v/>
      </c>
      <c r="P1590" s="27">
        <f t="shared" si="51"/>
        <v>0</v>
      </c>
      <c r="Q1590" s="27">
        <f t="shared" si="50"/>
        <v>0</v>
      </c>
    </row>
    <row r="1591" spans="2:17" x14ac:dyDescent="0.45">
      <c r="B1591" s="27" t="str">
        <f>IFERROR(VLOOKUP(A1591,القائمة!$A$3:$F$112,2,FALSE),"")</f>
        <v/>
      </c>
      <c r="C1591" s="27" t="str">
        <f>IFERROR(VLOOKUP(A1591,القائمة!$A$3:$F$112,3,FALSE),"")</f>
        <v/>
      </c>
      <c r="D1591" s="36" t="str">
        <f>IFERROR(VLOOKUP(A1591,القائمة!$A$3:$F$112,4,FALSE),"")</f>
        <v/>
      </c>
      <c r="E1591" s="36" t="str">
        <f>IFERROR(VLOOKUP(A1591,القائمة!$A$3:$F$112,5,FALSE),"")</f>
        <v/>
      </c>
      <c r="F1591" s="37" t="str">
        <f>IFERROR(VLOOKUP(A1591,القائمة!$A$3:$F$112,6,FALSE),"")</f>
        <v/>
      </c>
      <c r="P1591" s="27">
        <f t="shared" si="51"/>
        <v>0</v>
      </c>
      <c r="Q1591" s="27">
        <f t="shared" si="50"/>
        <v>0</v>
      </c>
    </row>
    <row r="1592" spans="2:17" x14ac:dyDescent="0.45">
      <c r="B1592" s="27" t="str">
        <f>IFERROR(VLOOKUP(A1592,القائمة!$A$3:$F$112,2,FALSE),"")</f>
        <v/>
      </c>
      <c r="C1592" s="27" t="str">
        <f>IFERROR(VLOOKUP(A1592,القائمة!$A$3:$F$112,3,FALSE),"")</f>
        <v/>
      </c>
      <c r="D1592" s="36" t="str">
        <f>IFERROR(VLOOKUP(A1592,القائمة!$A$3:$F$112,4,FALSE),"")</f>
        <v/>
      </c>
      <c r="E1592" s="36" t="str">
        <f>IFERROR(VLOOKUP(A1592,القائمة!$A$3:$F$112,5,FALSE),"")</f>
        <v/>
      </c>
      <c r="F1592" s="37" t="str">
        <f>IFERROR(VLOOKUP(A1592,القائمة!$A$3:$F$112,6,FALSE),"")</f>
        <v/>
      </c>
      <c r="P1592" s="27">
        <f t="shared" si="51"/>
        <v>0</v>
      </c>
      <c r="Q1592" s="27">
        <f t="shared" si="50"/>
        <v>0</v>
      </c>
    </row>
    <row r="1593" spans="2:17" x14ac:dyDescent="0.45">
      <c r="B1593" s="27" t="str">
        <f>IFERROR(VLOOKUP(A1593,القائمة!$A$3:$F$112,2,FALSE),"")</f>
        <v/>
      </c>
      <c r="C1593" s="27" t="str">
        <f>IFERROR(VLOOKUP(A1593,القائمة!$A$3:$F$112,3,FALSE),"")</f>
        <v/>
      </c>
      <c r="D1593" s="36" t="str">
        <f>IFERROR(VLOOKUP(A1593,القائمة!$A$3:$F$112,4,FALSE),"")</f>
        <v/>
      </c>
      <c r="E1593" s="36" t="str">
        <f>IFERROR(VLOOKUP(A1593,القائمة!$A$3:$F$112,5,FALSE),"")</f>
        <v/>
      </c>
      <c r="F1593" s="37" t="str">
        <f>IFERROR(VLOOKUP(A1593,القائمة!$A$3:$F$112,6,FALSE),"")</f>
        <v/>
      </c>
      <c r="P1593" s="27">
        <f t="shared" si="51"/>
        <v>0</v>
      </c>
      <c r="Q1593" s="27">
        <f t="shared" si="50"/>
        <v>0</v>
      </c>
    </row>
    <row r="1594" spans="2:17" x14ac:dyDescent="0.45">
      <c r="B1594" s="27" t="str">
        <f>IFERROR(VLOOKUP(A1594,القائمة!$A$3:$F$112,2,FALSE),"")</f>
        <v/>
      </c>
      <c r="C1594" s="27" t="str">
        <f>IFERROR(VLOOKUP(A1594,القائمة!$A$3:$F$112,3,FALSE),"")</f>
        <v/>
      </c>
      <c r="D1594" s="36" t="str">
        <f>IFERROR(VLOOKUP(A1594,القائمة!$A$3:$F$112,4,FALSE),"")</f>
        <v/>
      </c>
      <c r="E1594" s="36" t="str">
        <f>IFERROR(VLOOKUP(A1594,القائمة!$A$3:$F$112,5,FALSE),"")</f>
        <v/>
      </c>
      <c r="F1594" s="37" t="str">
        <f>IFERROR(VLOOKUP(A1594,القائمة!$A$3:$F$112,6,FALSE),"")</f>
        <v/>
      </c>
      <c r="P1594" s="27">
        <f t="shared" si="51"/>
        <v>0</v>
      </c>
      <c r="Q1594" s="27">
        <f t="shared" si="50"/>
        <v>0</v>
      </c>
    </row>
    <row r="1595" spans="2:17" x14ac:dyDescent="0.45">
      <c r="B1595" s="27" t="str">
        <f>IFERROR(VLOOKUP(A1595,القائمة!$A$3:$F$112,2,FALSE),"")</f>
        <v/>
      </c>
      <c r="C1595" s="27" t="str">
        <f>IFERROR(VLOOKUP(A1595,القائمة!$A$3:$F$112,3,FALSE),"")</f>
        <v/>
      </c>
      <c r="D1595" s="36" t="str">
        <f>IFERROR(VLOOKUP(A1595,القائمة!$A$3:$F$112,4,FALSE),"")</f>
        <v/>
      </c>
      <c r="E1595" s="36" t="str">
        <f>IFERROR(VLOOKUP(A1595,القائمة!$A$3:$F$112,5,FALSE),"")</f>
        <v/>
      </c>
      <c r="F1595" s="37" t="str">
        <f>IFERROR(VLOOKUP(A1595,القائمة!$A$3:$F$112,6,FALSE),"")</f>
        <v/>
      </c>
      <c r="P1595" s="27">
        <f t="shared" si="51"/>
        <v>0</v>
      </c>
      <c r="Q1595" s="27">
        <f t="shared" si="50"/>
        <v>0</v>
      </c>
    </row>
    <row r="1596" spans="2:17" x14ac:dyDescent="0.45">
      <c r="B1596" s="27" t="str">
        <f>IFERROR(VLOOKUP(A1596,القائمة!$A$3:$F$112,2,FALSE),"")</f>
        <v/>
      </c>
      <c r="C1596" s="27" t="str">
        <f>IFERROR(VLOOKUP(A1596,القائمة!$A$3:$F$112,3,FALSE),"")</f>
        <v/>
      </c>
      <c r="D1596" s="36" t="str">
        <f>IFERROR(VLOOKUP(A1596,القائمة!$A$3:$F$112,4,FALSE),"")</f>
        <v/>
      </c>
      <c r="E1596" s="36" t="str">
        <f>IFERROR(VLOOKUP(A1596,القائمة!$A$3:$F$112,5,FALSE),"")</f>
        <v/>
      </c>
      <c r="F1596" s="37" t="str">
        <f>IFERROR(VLOOKUP(A1596,القائمة!$A$3:$F$112,6,FALSE),"")</f>
        <v/>
      </c>
      <c r="P1596" s="27">
        <f t="shared" si="51"/>
        <v>0</v>
      </c>
      <c r="Q1596" s="27">
        <f t="shared" si="50"/>
        <v>0</v>
      </c>
    </row>
    <row r="1597" spans="2:17" x14ac:dyDescent="0.45">
      <c r="B1597" s="27" t="str">
        <f>IFERROR(VLOOKUP(A1597,القائمة!$A$3:$F$112,2,FALSE),"")</f>
        <v/>
      </c>
      <c r="C1597" s="27" t="str">
        <f>IFERROR(VLOOKUP(A1597,القائمة!$A$3:$F$112,3,FALSE),"")</f>
        <v/>
      </c>
      <c r="D1597" s="36" t="str">
        <f>IFERROR(VLOOKUP(A1597,القائمة!$A$3:$F$112,4,FALSE),"")</f>
        <v/>
      </c>
      <c r="E1597" s="36" t="str">
        <f>IFERROR(VLOOKUP(A1597,القائمة!$A$3:$F$112,5,FALSE),"")</f>
        <v/>
      </c>
      <c r="F1597" s="37" t="str">
        <f>IFERROR(VLOOKUP(A1597,القائمة!$A$3:$F$112,6,FALSE),"")</f>
        <v/>
      </c>
      <c r="P1597" s="27">
        <f t="shared" si="51"/>
        <v>0</v>
      </c>
      <c r="Q1597" s="27">
        <f t="shared" si="50"/>
        <v>0</v>
      </c>
    </row>
    <row r="1598" spans="2:17" x14ac:dyDescent="0.45">
      <c r="B1598" s="27" t="str">
        <f>IFERROR(VLOOKUP(A1598,القائمة!$A$3:$F$112,2,FALSE),"")</f>
        <v/>
      </c>
      <c r="C1598" s="27" t="str">
        <f>IFERROR(VLOOKUP(A1598,القائمة!$A$3:$F$112,3,FALSE),"")</f>
        <v/>
      </c>
      <c r="D1598" s="36" t="str">
        <f>IFERROR(VLOOKUP(A1598,القائمة!$A$3:$F$112,4,FALSE),"")</f>
        <v/>
      </c>
      <c r="E1598" s="36" t="str">
        <f>IFERROR(VLOOKUP(A1598,القائمة!$A$3:$F$112,5,FALSE),"")</f>
        <v/>
      </c>
      <c r="F1598" s="37" t="str">
        <f>IFERROR(VLOOKUP(A1598,القائمة!$A$3:$F$112,6,FALSE),"")</f>
        <v/>
      </c>
      <c r="P1598" s="27">
        <f t="shared" si="51"/>
        <v>0</v>
      </c>
      <c r="Q1598" s="27">
        <f t="shared" si="50"/>
        <v>0</v>
      </c>
    </row>
    <row r="1599" spans="2:17" x14ac:dyDescent="0.45">
      <c r="B1599" s="27" t="str">
        <f>IFERROR(VLOOKUP(A1599,القائمة!$A$3:$F$112,2,FALSE),"")</f>
        <v/>
      </c>
      <c r="C1599" s="27" t="str">
        <f>IFERROR(VLOOKUP(A1599,القائمة!$A$3:$F$112,3,FALSE),"")</f>
        <v/>
      </c>
      <c r="D1599" s="36" t="str">
        <f>IFERROR(VLOOKUP(A1599,القائمة!$A$3:$F$112,4,FALSE),"")</f>
        <v/>
      </c>
      <c r="E1599" s="36" t="str">
        <f>IFERROR(VLOOKUP(A1599,القائمة!$A$3:$F$112,5,FALSE),"")</f>
        <v/>
      </c>
      <c r="F1599" s="37" t="str">
        <f>IFERROR(VLOOKUP(A1599,القائمة!$A$3:$F$112,6,FALSE),"")</f>
        <v/>
      </c>
      <c r="P1599" s="27">
        <f t="shared" si="51"/>
        <v>0</v>
      </c>
      <c r="Q1599" s="27">
        <f t="shared" si="50"/>
        <v>0</v>
      </c>
    </row>
    <row r="1600" spans="2:17" x14ac:dyDescent="0.45">
      <c r="B1600" s="27" t="str">
        <f>IFERROR(VLOOKUP(A1600,القائمة!$A$3:$F$112,2,FALSE),"")</f>
        <v/>
      </c>
      <c r="C1600" s="27" t="str">
        <f>IFERROR(VLOOKUP(A1600,القائمة!$A$3:$F$112,3,FALSE),"")</f>
        <v/>
      </c>
      <c r="D1600" s="36" t="str">
        <f>IFERROR(VLOOKUP(A1600,القائمة!$A$3:$F$112,4,FALSE),"")</f>
        <v/>
      </c>
      <c r="E1600" s="36" t="str">
        <f>IFERROR(VLOOKUP(A1600,القائمة!$A$3:$F$112,5,FALSE),"")</f>
        <v/>
      </c>
      <c r="F1600" s="37" t="str">
        <f>IFERROR(VLOOKUP(A1600,القائمة!$A$3:$F$112,6,FALSE),"")</f>
        <v/>
      </c>
      <c r="P1600" s="27">
        <f t="shared" si="51"/>
        <v>0</v>
      </c>
      <c r="Q1600" s="27">
        <f t="shared" si="50"/>
        <v>0</v>
      </c>
    </row>
    <row r="1601" spans="2:17" x14ac:dyDescent="0.45">
      <c r="B1601" s="27" t="str">
        <f>IFERROR(VLOOKUP(A1601,القائمة!$A$3:$F$112,2,FALSE),"")</f>
        <v/>
      </c>
      <c r="C1601" s="27" t="str">
        <f>IFERROR(VLOOKUP(A1601,القائمة!$A$3:$F$112,3,FALSE),"")</f>
        <v/>
      </c>
      <c r="D1601" s="36" t="str">
        <f>IFERROR(VLOOKUP(A1601,القائمة!$A$3:$F$112,4,FALSE),"")</f>
        <v/>
      </c>
      <c r="E1601" s="36" t="str">
        <f>IFERROR(VLOOKUP(A1601,القائمة!$A$3:$F$112,5,FALSE),"")</f>
        <v/>
      </c>
      <c r="F1601" s="37" t="str">
        <f>IFERROR(VLOOKUP(A1601,القائمة!$A$3:$F$112,6,FALSE),"")</f>
        <v/>
      </c>
      <c r="P1601" s="27">
        <f t="shared" si="51"/>
        <v>0</v>
      </c>
      <c r="Q1601" s="27">
        <f t="shared" si="50"/>
        <v>0</v>
      </c>
    </row>
    <row r="1602" spans="2:17" x14ac:dyDescent="0.45">
      <c r="B1602" s="27" t="str">
        <f>IFERROR(VLOOKUP(A1602,القائمة!$A$3:$F$112,2,FALSE),"")</f>
        <v/>
      </c>
      <c r="C1602" s="27" t="str">
        <f>IFERROR(VLOOKUP(A1602,القائمة!$A$3:$F$112,3,FALSE),"")</f>
        <v/>
      </c>
      <c r="D1602" s="36" t="str">
        <f>IFERROR(VLOOKUP(A1602,القائمة!$A$3:$F$112,4,FALSE),"")</f>
        <v/>
      </c>
      <c r="E1602" s="36" t="str">
        <f>IFERROR(VLOOKUP(A1602,القائمة!$A$3:$F$112,5,FALSE),"")</f>
        <v/>
      </c>
      <c r="F1602" s="37" t="str">
        <f>IFERROR(VLOOKUP(A1602,القائمة!$A$3:$F$112,6,FALSE),"")</f>
        <v/>
      </c>
      <c r="P1602" s="27">
        <f t="shared" si="51"/>
        <v>0</v>
      </c>
      <c r="Q1602" s="27">
        <f t="shared" si="50"/>
        <v>0</v>
      </c>
    </row>
    <row r="1603" spans="2:17" x14ac:dyDescent="0.45">
      <c r="B1603" s="27" t="str">
        <f>IFERROR(VLOOKUP(A1603,القائمة!$A$3:$F$112,2,FALSE),"")</f>
        <v/>
      </c>
      <c r="C1603" s="27" t="str">
        <f>IFERROR(VLOOKUP(A1603,القائمة!$A$3:$F$112,3,FALSE),"")</f>
        <v/>
      </c>
      <c r="D1603" s="36" t="str">
        <f>IFERROR(VLOOKUP(A1603,القائمة!$A$3:$F$112,4,FALSE),"")</f>
        <v/>
      </c>
      <c r="E1603" s="36" t="str">
        <f>IFERROR(VLOOKUP(A1603,القائمة!$A$3:$F$112,5,FALSE),"")</f>
        <v/>
      </c>
      <c r="F1603" s="37" t="str">
        <f>IFERROR(VLOOKUP(A1603,القائمة!$A$3:$F$112,6,FALSE),"")</f>
        <v/>
      </c>
      <c r="P1603" s="27">
        <f t="shared" si="51"/>
        <v>0</v>
      </c>
      <c r="Q1603" s="27">
        <f t="shared" ref="Q1603:Q1666" si="52">+P1603+L1603-M1603</f>
        <v>0</v>
      </c>
    </row>
    <row r="1604" spans="2:17" x14ac:dyDescent="0.45">
      <c r="B1604" s="27" t="str">
        <f>IFERROR(VLOOKUP(A1604,القائمة!$A$3:$F$112,2,FALSE),"")</f>
        <v/>
      </c>
      <c r="C1604" s="27" t="str">
        <f>IFERROR(VLOOKUP(A1604,القائمة!$A$3:$F$112,3,FALSE),"")</f>
        <v/>
      </c>
      <c r="D1604" s="36" t="str">
        <f>IFERROR(VLOOKUP(A1604,القائمة!$A$3:$F$112,4,FALSE),"")</f>
        <v/>
      </c>
      <c r="E1604" s="36" t="str">
        <f>IFERROR(VLOOKUP(A1604,القائمة!$A$3:$F$112,5,FALSE),"")</f>
        <v/>
      </c>
      <c r="F1604" s="37" t="str">
        <f>IFERROR(VLOOKUP(A1604,القائمة!$A$3:$F$112,6,FALSE),"")</f>
        <v/>
      </c>
      <c r="P1604" s="27">
        <f t="shared" ref="P1604:P1667" si="53">J1604-K1604</f>
        <v>0</v>
      </c>
      <c r="Q1604" s="27">
        <f t="shared" si="52"/>
        <v>0</v>
      </c>
    </row>
    <row r="1605" spans="2:17" x14ac:dyDescent="0.45">
      <c r="B1605" s="27" t="str">
        <f>IFERROR(VLOOKUP(A1605,القائمة!$A$3:$F$112,2,FALSE),"")</f>
        <v/>
      </c>
      <c r="C1605" s="27" t="str">
        <f>IFERROR(VLOOKUP(A1605,القائمة!$A$3:$F$112,3,FALSE),"")</f>
        <v/>
      </c>
      <c r="D1605" s="36" t="str">
        <f>IFERROR(VLOOKUP(A1605,القائمة!$A$3:$F$112,4,FALSE),"")</f>
        <v/>
      </c>
      <c r="E1605" s="36" t="str">
        <f>IFERROR(VLOOKUP(A1605,القائمة!$A$3:$F$112,5,FALSE),"")</f>
        <v/>
      </c>
      <c r="F1605" s="37" t="str">
        <f>IFERROR(VLOOKUP(A1605,القائمة!$A$3:$F$112,6,FALSE),"")</f>
        <v/>
      </c>
      <c r="P1605" s="27">
        <f t="shared" si="53"/>
        <v>0</v>
      </c>
      <c r="Q1605" s="27">
        <f t="shared" si="52"/>
        <v>0</v>
      </c>
    </row>
    <row r="1606" spans="2:17" x14ac:dyDescent="0.45">
      <c r="B1606" s="27" t="str">
        <f>IFERROR(VLOOKUP(A1606,القائمة!$A$3:$F$112,2,FALSE),"")</f>
        <v/>
      </c>
      <c r="C1606" s="27" t="str">
        <f>IFERROR(VLOOKUP(A1606,القائمة!$A$3:$F$112,3,FALSE),"")</f>
        <v/>
      </c>
      <c r="D1606" s="36" t="str">
        <f>IFERROR(VLOOKUP(A1606,القائمة!$A$3:$F$112,4,FALSE),"")</f>
        <v/>
      </c>
      <c r="E1606" s="36" t="str">
        <f>IFERROR(VLOOKUP(A1606,القائمة!$A$3:$F$112,5,FALSE),"")</f>
        <v/>
      </c>
      <c r="F1606" s="37" t="str">
        <f>IFERROR(VLOOKUP(A1606,القائمة!$A$3:$F$112,6,FALSE),"")</f>
        <v/>
      </c>
      <c r="P1606" s="27">
        <f t="shared" si="53"/>
        <v>0</v>
      </c>
      <c r="Q1606" s="27">
        <f t="shared" si="52"/>
        <v>0</v>
      </c>
    </row>
    <row r="1607" spans="2:17" x14ac:dyDescent="0.45">
      <c r="B1607" s="27" t="str">
        <f>IFERROR(VLOOKUP(A1607,القائمة!$A$3:$F$112,2,FALSE),"")</f>
        <v/>
      </c>
      <c r="C1607" s="27" t="str">
        <f>IFERROR(VLOOKUP(A1607,القائمة!$A$3:$F$112,3,FALSE),"")</f>
        <v/>
      </c>
      <c r="D1607" s="36" t="str">
        <f>IFERROR(VLOOKUP(A1607,القائمة!$A$3:$F$112,4,FALSE),"")</f>
        <v/>
      </c>
      <c r="E1607" s="36" t="str">
        <f>IFERROR(VLOOKUP(A1607,القائمة!$A$3:$F$112,5,FALSE),"")</f>
        <v/>
      </c>
      <c r="F1607" s="37" t="str">
        <f>IFERROR(VLOOKUP(A1607,القائمة!$A$3:$F$112,6,FALSE),"")</f>
        <v/>
      </c>
      <c r="P1607" s="27">
        <f t="shared" si="53"/>
        <v>0</v>
      </c>
      <c r="Q1607" s="27">
        <f t="shared" si="52"/>
        <v>0</v>
      </c>
    </row>
    <row r="1608" spans="2:17" x14ac:dyDescent="0.45">
      <c r="B1608" s="27" t="str">
        <f>IFERROR(VLOOKUP(A1608,القائمة!$A$3:$F$112,2,FALSE),"")</f>
        <v/>
      </c>
      <c r="C1608" s="27" t="str">
        <f>IFERROR(VLOOKUP(A1608,القائمة!$A$3:$F$112,3,FALSE),"")</f>
        <v/>
      </c>
      <c r="D1608" s="36" t="str">
        <f>IFERROR(VLOOKUP(A1608,القائمة!$A$3:$F$112,4,FALSE),"")</f>
        <v/>
      </c>
      <c r="E1608" s="36" t="str">
        <f>IFERROR(VLOOKUP(A1608,القائمة!$A$3:$F$112,5,FALSE),"")</f>
        <v/>
      </c>
      <c r="F1608" s="37" t="str">
        <f>IFERROR(VLOOKUP(A1608,القائمة!$A$3:$F$112,6,FALSE),"")</f>
        <v/>
      </c>
      <c r="P1608" s="27">
        <f t="shared" si="53"/>
        <v>0</v>
      </c>
      <c r="Q1608" s="27">
        <f t="shared" si="52"/>
        <v>0</v>
      </c>
    </row>
    <row r="1609" spans="2:17" x14ac:dyDescent="0.45">
      <c r="B1609" s="27" t="str">
        <f>IFERROR(VLOOKUP(A1609,القائمة!$A$3:$F$112,2,FALSE),"")</f>
        <v/>
      </c>
      <c r="C1609" s="27" t="str">
        <f>IFERROR(VLOOKUP(A1609,القائمة!$A$3:$F$112,3,FALSE),"")</f>
        <v/>
      </c>
      <c r="D1609" s="36" t="str">
        <f>IFERROR(VLOOKUP(A1609,القائمة!$A$3:$F$112,4,FALSE),"")</f>
        <v/>
      </c>
      <c r="E1609" s="36" t="str">
        <f>IFERROR(VLOOKUP(A1609,القائمة!$A$3:$F$112,5,FALSE),"")</f>
        <v/>
      </c>
      <c r="F1609" s="37" t="str">
        <f>IFERROR(VLOOKUP(A1609,القائمة!$A$3:$F$112,6,FALSE),"")</f>
        <v/>
      </c>
      <c r="P1609" s="27">
        <f t="shared" si="53"/>
        <v>0</v>
      </c>
      <c r="Q1609" s="27">
        <f t="shared" si="52"/>
        <v>0</v>
      </c>
    </row>
    <row r="1610" spans="2:17" x14ac:dyDescent="0.45">
      <c r="B1610" s="27" t="str">
        <f>IFERROR(VLOOKUP(A1610,القائمة!$A$3:$F$112,2,FALSE),"")</f>
        <v/>
      </c>
      <c r="C1610" s="27" t="str">
        <f>IFERROR(VLOOKUP(A1610,القائمة!$A$3:$F$112,3,FALSE),"")</f>
        <v/>
      </c>
      <c r="D1610" s="36" t="str">
        <f>IFERROR(VLOOKUP(A1610,القائمة!$A$3:$F$112,4,FALSE),"")</f>
        <v/>
      </c>
      <c r="E1610" s="36" t="str">
        <f>IFERROR(VLOOKUP(A1610,القائمة!$A$3:$F$112,5,FALSE),"")</f>
        <v/>
      </c>
      <c r="F1610" s="37" t="str">
        <f>IFERROR(VLOOKUP(A1610,القائمة!$A$3:$F$112,6,FALSE),"")</f>
        <v/>
      </c>
      <c r="P1610" s="27">
        <f t="shared" si="53"/>
        <v>0</v>
      </c>
      <c r="Q1610" s="27">
        <f t="shared" si="52"/>
        <v>0</v>
      </c>
    </row>
    <row r="1611" spans="2:17" x14ac:dyDescent="0.45">
      <c r="B1611" s="27" t="str">
        <f>IFERROR(VLOOKUP(A1611,القائمة!$A$3:$F$112,2,FALSE),"")</f>
        <v/>
      </c>
      <c r="C1611" s="27" t="str">
        <f>IFERROR(VLOOKUP(A1611,القائمة!$A$3:$F$112,3,FALSE),"")</f>
        <v/>
      </c>
      <c r="D1611" s="36" t="str">
        <f>IFERROR(VLOOKUP(A1611,القائمة!$A$3:$F$112,4,FALSE),"")</f>
        <v/>
      </c>
      <c r="E1611" s="36" t="str">
        <f>IFERROR(VLOOKUP(A1611,القائمة!$A$3:$F$112,5,FALSE),"")</f>
        <v/>
      </c>
      <c r="F1611" s="37" t="str">
        <f>IFERROR(VLOOKUP(A1611,القائمة!$A$3:$F$112,6,FALSE),"")</f>
        <v/>
      </c>
      <c r="P1611" s="27">
        <f t="shared" si="53"/>
        <v>0</v>
      </c>
      <c r="Q1611" s="27">
        <f t="shared" si="52"/>
        <v>0</v>
      </c>
    </row>
    <row r="1612" spans="2:17" x14ac:dyDescent="0.45">
      <c r="B1612" s="27" t="str">
        <f>IFERROR(VLOOKUP(A1612,القائمة!$A$3:$F$112,2,FALSE),"")</f>
        <v/>
      </c>
      <c r="C1612" s="27" t="str">
        <f>IFERROR(VLOOKUP(A1612,القائمة!$A$3:$F$112,3,FALSE),"")</f>
        <v/>
      </c>
      <c r="D1612" s="36" t="str">
        <f>IFERROR(VLOOKUP(A1612,القائمة!$A$3:$F$112,4,FALSE),"")</f>
        <v/>
      </c>
      <c r="E1612" s="36" t="str">
        <f>IFERROR(VLOOKUP(A1612,القائمة!$A$3:$F$112,5,FALSE),"")</f>
        <v/>
      </c>
      <c r="F1612" s="37" t="str">
        <f>IFERROR(VLOOKUP(A1612,القائمة!$A$3:$F$112,6,FALSE),"")</f>
        <v/>
      </c>
      <c r="P1612" s="27">
        <f t="shared" si="53"/>
        <v>0</v>
      </c>
      <c r="Q1612" s="27">
        <f t="shared" si="52"/>
        <v>0</v>
      </c>
    </row>
    <row r="1613" spans="2:17" x14ac:dyDescent="0.45">
      <c r="B1613" s="27" t="str">
        <f>IFERROR(VLOOKUP(A1613,القائمة!$A$3:$F$112,2,FALSE),"")</f>
        <v/>
      </c>
      <c r="C1613" s="27" t="str">
        <f>IFERROR(VLOOKUP(A1613,القائمة!$A$3:$F$112,3,FALSE),"")</f>
        <v/>
      </c>
      <c r="D1613" s="36" t="str">
        <f>IFERROR(VLOOKUP(A1613,القائمة!$A$3:$F$112,4,FALSE),"")</f>
        <v/>
      </c>
      <c r="E1613" s="36" t="str">
        <f>IFERROR(VLOOKUP(A1613,القائمة!$A$3:$F$112,5,FALSE),"")</f>
        <v/>
      </c>
      <c r="F1613" s="37" t="str">
        <f>IFERROR(VLOOKUP(A1613,القائمة!$A$3:$F$112,6,FALSE),"")</f>
        <v/>
      </c>
      <c r="P1613" s="27">
        <f t="shared" si="53"/>
        <v>0</v>
      </c>
      <c r="Q1613" s="27">
        <f t="shared" si="52"/>
        <v>0</v>
      </c>
    </row>
    <row r="1614" spans="2:17" x14ac:dyDescent="0.45">
      <c r="B1614" s="27" t="str">
        <f>IFERROR(VLOOKUP(A1614,القائمة!$A$3:$F$112,2,FALSE),"")</f>
        <v/>
      </c>
      <c r="C1614" s="27" t="str">
        <f>IFERROR(VLOOKUP(A1614,القائمة!$A$3:$F$112,3,FALSE),"")</f>
        <v/>
      </c>
      <c r="D1614" s="36" t="str">
        <f>IFERROR(VLOOKUP(A1614,القائمة!$A$3:$F$112,4,FALSE),"")</f>
        <v/>
      </c>
      <c r="E1614" s="36" t="str">
        <f>IFERROR(VLOOKUP(A1614,القائمة!$A$3:$F$112,5,FALSE),"")</f>
        <v/>
      </c>
      <c r="F1614" s="37" t="str">
        <f>IFERROR(VLOOKUP(A1614,القائمة!$A$3:$F$112,6,FALSE),"")</f>
        <v/>
      </c>
      <c r="P1614" s="27">
        <f t="shared" si="53"/>
        <v>0</v>
      </c>
      <c r="Q1614" s="27">
        <f t="shared" si="52"/>
        <v>0</v>
      </c>
    </row>
    <row r="1615" spans="2:17" x14ac:dyDescent="0.45">
      <c r="B1615" s="27" t="str">
        <f>IFERROR(VLOOKUP(A1615,القائمة!$A$3:$F$112,2,FALSE),"")</f>
        <v/>
      </c>
      <c r="C1615" s="27" t="str">
        <f>IFERROR(VLOOKUP(A1615,القائمة!$A$3:$F$112,3,FALSE),"")</f>
        <v/>
      </c>
      <c r="D1615" s="36" t="str">
        <f>IFERROR(VLOOKUP(A1615,القائمة!$A$3:$F$112,4,FALSE),"")</f>
        <v/>
      </c>
      <c r="E1615" s="36" t="str">
        <f>IFERROR(VLOOKUP(A1615,القائمة!$A$3:$F$112,5,FALSE),"")</f>
        <v/>
      </c>
      <c r="F1615" s="37" t="str">
        <f>IFERROR(VLOOKUP(A1615,القائمة!$A$3:$F$112,6,FALSE),"")</f>
        <v/>
      </c>
      <c r="P1615" s="27">
        <f t="shared" si="53"/>
        <v>0</v>
      </c>
      <c r="Q1615" s="27">
        <f t="shared" si="52"/>
        <v>0</v>
      </c>
    </row>
    <row r="1616" spans="2:17" x14ac:dyDescent="0.45">
      <c r="B1616" s="27" t="str">
        <f>IFERROR(VLOOKUP(A1616,القائمة!$A$3:$F$112,2,FALSE),"")</f>
        <v/>
      </c>
      <c r="C1616" s="27" t="str">
        <f>IFERROR(VLOOKUP(A1616,القائمة!$A$3:$F$112,3,FALSE),"")</f>
        <v/>
      </c>
      <c r="D1616" s="36" t="str">
        <f>IFERROR(VLOOKUP(A1616,القائمة!$A$3:$F$112,4,FALSE),"")</f>
        <v/>
      </c>
      <c r="E1616" s="36" t="str">
        <f>IFERROR(VLOOKUP(A1616,القائمة!$A$3:$F$112,5,FALSE),"")</f>
        <v/>
      </c>
      <c r="F1616" s="37" t="str">
        <f>IFERROR(VLOOKUP(A1616,القائمة!$A$3:$F$112,6,FALSE),"")</f>
        <v/>
      </c>
      <c r="P1616" s="27">
        <f t="shared" si="53"/>
        <v>0</v>
      </c>
      <c r="Q1616" s="27">
        <f t="shared" si="52"/>
        <v>0</v>
      </c>
    </row>
    <row r="1617" spans="2:17" x14ac:dyDescent="0.45">
      <c r="B1617" s="27" t="str">
        <f>IFERROR(VLOOKUP(A1617,القائمة!$A$3:$F$112,2,FALSE),"")</f>
        <v/>
      </c>
      <c r="C1617" s="27" t="str">
        <f>IFERROR(VLOOKUP(A1617,القائمة!$A$3:$F$112,3,FALSE),"")</f>
        <v/>
      </c>
      <c r="D1617" s="36" t="str">
        <f>IFERROR(VLOOKUP(A1617,القائمة!$A$3:$F$112,4,FALSE),"")</f>
        <v/>
      </c>
      <c r="E1617" s="36" t="str">
        <f>IFERROR(VLOOKUP(A1617,القائمة!$A$3:$F$112,5,FALSE),"")</f>
        <v/>
      </c>
      <c r="F1617" s="37" t="str">
        <f>IFERROR(VLOOKUP(A1617,القائمة!$A$3:$F$112,6,FALSE),"")</f>
        <v/>
      </c>
      <c r="P1617" s="27">
        <f t="shared" si="53"/>
        <v>0</v>
      </c>
      <c r="Q1617" s="27">
        <f t="shared" si="52"/>
        <v>0</v>
      </c>
    </row>
    <row r="1618" spans="2:17" x14ac:dyDescent="0.45">
      <c r="B1618" s="27" t="str">
        <f>IFERROR(VLOOKUP(A1618,القائمة!$A$3:$F$112,2,FALSE),"")</f>
        <v/>
      </c>
      <c r="C1618" s="27" t="str">
        <f>IFERROR(VLOOKUP(A1618,القائمة!$A$3:$F$112,3,FALSE),"")</f>
        <v/>
      </c>
      <c r="D1618" s="36" t="str">
        <f>IFERROR(VLOOKUP(A1618,القائمة!$A$3:$F$112,4,FALSE),"")</f>
        <v/>
      </c>
      <c r="E1618" s="36" t="str">
        <f>IFERROR(VLOOKUP(A1618,القائمة!$A$3:$F$112,5,FALSE),"")</f>
        <v/>
      </c>
      <c r="F1618" s="37" t="str">
        <f>IFERROR(VLOOKUP(A1618,القائمة!$A$3:$F$112,6,FALSE),"")</f>
        <v/>
      </c>
      <c r="P1618" s="27">
        <f t="shared" si="53"/>
        <v>0</v>
      </c>
      <c r="Q1618" s="27">
        <f t="shared" si="52"/>
        <v>0</v>
      </c>
    </row>
    <row r="1619" spans="2:17" x14ac:dyDescent="0.45">
      <c r="B1619" s="27" t="str">
        <f>IFERROR(VLOOKUP(A1619,القائمة!$A$3:$F$112,2,FALSE),"")</f>
        <v/>
      </c>
      <c r="C1619" s="27" t="str">
        <f>IFERROR(VLOOKUP(A1619,القائمة!$A$3:$F$112,3,FALSE),"")</f>
        <v/>
      </c>
      <c r="D1619" s="36" t="str">
        <f>IFERROR(VLOOKUP(A1619,القائمة!$A$3:$F$112,4,FALSE),"")</f>
        <v/>
      </c>
      <c r="E1619" s="36" t="str">
        <f>IFERROR(VLOOKUP(A1619,القائمة!$A$3:$F$112,5,FALSE),"")</f>
        <v/>
      </c>
      <c r="F1619" s="37" t="str">
        <f>IFERROR(VLOOKUP(A1619,القائمة!$A$3:$F$112,6,FALSE),"")</f>
        <v/>
      </c>
      <c r="P1619" s="27">
        <f t="shared" si="53"/>
        <v>0</v>
      </c>
      <c r="Q1619" s="27">
        <f t="shared" si="52"/>
        <v>0</v>
      </c>
    </row>
    <row r="1620" spans="2:17" x14ac:dyDescent="0.45">
      <c r="B1620" s="27" t="str">
        <f>IFERROR(VLOOKUP(A1620,القائمة!$A$3:$F$112,2,FALSE),"")</f>
        <v/>
      </c>
      <c r="C1620" s="27" t="str">
        <f>IFERROR(VLOOKUP(A1620,القائمة!$A$3:$F$112,3,FALSE),"")</f>
        <v/>
      </c>
      <c r="D1620" s="36" t="str">
        <f>IFERROR(VLOOKUP(A1620,القائمة!$A$3:$F$112,4,FALSE),"")</f>
        <v/>
      </c>
      <c r="E1620" s="36" t="str">
        <f>IFERROR(VLOOKUP(A1620,القائمة!$A$3:$F$112,5,FALSE),"")</f>
        <v/>
      </c>
      <c r="F1620" s="37" t="str">
        <f>IFERROR(VLOOKUP(A1620,القائمة!$A$3:$F$112,6,FALSE),"")</f>
        <v/>
      </c>
      <c r="P1620" s="27">
        <f t="shared" si="53"/>
        <v>0</v>
      </c>
      <c r="Q1620" s="27">
        <f t="shared" si="52"/>
        <v>0</v>
      </c>
    </row>
    <row r="1621" spans="2:17" x14ac:dyDescent="0.45">
      <c r="B1621" s="27" t="str">
        <f>IFERROR(VLOOKUP(A1621,القائمة!$A$3:$F$112,2,FALSE),"")</f>
        <v/>
      </c>
      <c r="C1621" s="27" t="str">
        <f>IFERROR(VLOOKUP(A1621,القائمة!$A$3:$F$112,3,FALSE),"")</f>
        <v/>
      </c>
      <c r="D1621" s="36" t="str">
        <f>IFERROR(VLOOKUP(A1621,القائمة!$A$3:$F$112,4,FALSE),"")</f>
        <v/>
      </c>
      <c r="E1621" s="36" t="str">
        <f>IFERROR(VLOOKUP(A1621,القائمة!$A$3:$F$112,5,FALSE),"")</f>
        <v/>
      </c>
      <c r="F1621" s="37" t="str">
        <f>IFERROR(VLOOKUP(A1621,القائمة!$A$3:$F$112,6,FALSE),"")</f>
        <v/>
      </c>
      <c r="P1621" s="27">
        <f t="shared" si="53"/>
        <v>0</v>
      </c>
      <c r="Q1621" s="27">
        <f t="shared" si="52"/>
        <v>0</v>
      </c>
    </row>
    <row r="1622" spans="2:17" x14ac:dyDescent="0.45">
      <c r="B1622" s="27" t="str">
        <f>IFERROR(VLOOKUP(A1622,القائمة!$A$3:$F$112,2,FALSE),"")</f>
        <v/>
      </c>
      <c r="C1622" s="27" t="str">
        <f>IFERROR(VLOOKUP(A1622,القائمة!$A$3:$F$112,3,FALSE),"")</f>
        <v/>
      </c>
      <c r="D1622" s="36" t="str">
        <f>IFERROR(VLOOKUP(A1622,القائمة!$A$3:$F$112,4,FALSE),"")</f>
        <v/>
      </c>
      <c r="E1622" s="36" t="str">
        <f>IFERROR(VLOOKUP(A1622,القائمة!$A$3:$F$112,5,FALSE),"")</f>
        <v/>
      </c>
      <c r="F1622" s="37" t="str">
        <f>IFERROR(VLOOKUP(A1622,القائمة!$A$3:$F$112,6,FALSE),"")</f>
        <v/>
      </c>
      <c r="P1622" s="27">
        <f t="shared" si="53"/>
        <v>0</v>
      </c>
      <c r="Q1622" s="27">
        <f t="shared" si="52"/>
        <v>0</v>
      </c>
    </row>
    <row r="1623" spans="2:17" x14ac:dyDescent="0.45">
      <c r="B1623" s="27" t="str">
        <f>IFERROR(VLOOKUP(A1623,القائمة!$A$3:$F$112,2,FALSE),"")</f>
        <v/>
      </c>
      <c r="C1623" s="27" t="str">
        <f>IFERROR(VLOOKUP(A1623,القائمة!$A$3:$F$112,3,FALSE),"")</f>
        <v/>
      </c>
      <c r="D1623" s="36" t="str">
        <f>IFERROR(VLOOKUP(A1623,القائمة!$A$3:$F$112,4,FALSE),"")</f>
        <v/>
      </c>
      <c r="E1623" s="36" t="str">
        <f>IFERROR(VLOOKUP(A1623,القائمة!$A$3:$F$112,5,FALSE),"")</f>
        <v/>
      </c>
      <c r="F1623" s="37" t="str">
        <f>IFERROR(VLOOKUP(A1623,القائمة!$A$3:$F$112,6,FALSE),"")</f>
        <v/>
      </c>
      <c r="P1623" s="27">
        <f t="shared" si="53"/>
        <v>0</v>
      </c>
      <c r="Q1623" s="27">
        <f t="shared" si="52"/>
        <v>0</v>
      </c>
    </row>
    <row r="1624" spans="2:17" x14ac:dyDescent="0.45">
      <c r="B1624" s="27" t="str">
        <f>IFERROR(VLOOKUP(A1624,القائمة!$A$3:$F$112,2,FALSE),"")</f>
        <v/>
      </c>
      <c r="C1624" s="27" t="str">
        <f>IFERROR(VLOOKUP(A1624,القائمة!$A$3:$F$112,3,FALSE),"")</f>
        <v/>
      </c>
      <c r="D1624" s="36" t="str">
        <f>IFERROR(VLOOKUP(A1624,القائمة!$A$3:$F$112,4,FALSE),"")</f>
        <v/>
      </c>
      <c r="E1624" s="36" t="str">
        <f>IFERROR(VLOOKUP(A1624,القائمة!$A$3:$F$112,5,FALSE),"")</f>
        <v/>
      </c>
      <c r="F1624" s="37" t="str">
        <f>IFERROR(VLOOKUP(A1624,القائمة!$A$3:$F$112,6,FALSE),"")</f>
        <v/>
      </c>
      <c r="P1624" s="27">
        <f t="shared" si="53"/>
        <v>0</v>
      </c>
      <c r="Q1624" s="27">
        <f t="shared" si="52"/>
        <v>0</v>
      </c>
    </row>
    <row r="1625" spans="2:17" x14ac:dyDescent="0.45">
      <c r="B1625" s="27" t="str">
        <f>IFERROR(VLOOKUP(A1625,القائمة!$A$3:$F$112,2,FALSE),"")</f>
        <v/>
      </c>
      <c r="C1625" s="27" t="str">
        <f>IFERROR(VLOOKUP(A1625,القائمة!$A$3:$F$112,3,FALSE),"")</f>
        <v/>
      </c>
      <c r="D1625" s="36" t="str">
        <f>IFERROR(VLOOKUP(A1625,القائمة!$A$3:$F$112,4,FALSE),"")</f>
        <v/>
      </c>
      <c r="E1625" s="36" t="str">
        <f>IFERROR(VLOOKUP(A1625,القائمة!$A$3:$F$112,5,FALSE),"")</f>
        <v/>
      </c>
      <c r="F1625" s="37" t="str">
        <f>IFERROR(VLOOKUP(A1625,القائمة!$A$3:$F$112,6,FALSE),"")</f>
        <v/>
      </c>
      <c r="P1625" s="27">
        <f t="shared" si="53"/>
        <v>0</v>
      </c>
      <c r="Q1625" s="27">
        <f t="shared" si="52"/>
        <v>0</v>
      </c>
    </row>
    <row r="1626" spans="2:17" x14ac:dyDescent="0.45">
      <c r="B1626" s="27" t="str">
        <f>IFERROR(VLOOKUP(A1626,القائمة!$A$3:$F$112,2,FALSE),"")</f>
        <v/>
      </c>
      <c r="C1626" s="27" t="str">
        <f>IFERROR(VLOOKUP(A1626,القائمة!$A$3:$F$112,3,FALSE),"")</f>
        <v/>
      </c>
      <c r="D1626" s="36" t="str">
        <f>IFERROR(VLOOKUP(A1626,القائمة!$A$3:$F$112,4,FALSE),"")</f>
        <v/>
      </c>
      <c r="E1626" s="36" t="str">
        <f>IFERROR(VLOOKUP(A1626,القائمة!$A$3:$F$112,5,FALSE),"")</f>
        <v/>
      </c>
      <c r="F1626" s="37" t="str">
        <f>IFERROR(VLOOKUP(A1626,القائمة!$A$3:$F$112,6,FALSE),"")</f>
        <v/>
      </c>
      <c r="P1626" s="27">
        <f t="shared" si="53"/>
        <v>0</v>
      </c>
      <c r="Q1626" s="27">
        <f t="shared" si="52"/>
        <v>0</v>
      </c>
    </row>
    <row r="1627" spans="2:17" x14ac:dyDescent="0.45">
      <c r="B1627" s="27" t="str">
        <f>IFERROR(VLOOKUP(A1627,القائمة!$A$3:$F$112,2,FALSE),"")</f>
        <v/>
      </c>
      <c r="C1627" s="27" t="str">
        <f>IFERROR(VLOOKUP(A1627,القائمة!$A$3:$F$112,3,FALSE),"")</f>
        <v/>
      </c>
      <c r="D1627" s="36" t="str">
        <f>IFERROR(VLOOKUP(A1627,القائمة!$A$3:$F$112,4,FALSE),"")</f>
        <v/>
      </c>
      <c r="E1627" s="36" t="str">
        <f>IFERROR(VLOOKUP(A1627,القائمة!$A$3:$F$112,5,FALSE),"")</f>
        <v/>
      </c>
      <c r="F1627" s="37" t="str">
        <f>IFERROR(VLOOKUP(A1627,القائمة!$A$3:$F$112,6,FALSE),"")</f>
        <v/>
      </c>
      <c r="P1627" s="27">
        <f t="shared" si="53"/>
        <v>0</v>
      </c>
      <c r="Q1627" s="27">
        <f t="shared" si="52"/>
        <v>0</v>
      </c>
    </row>
    <row r="1628" spans="2:17" x14ac:dyDescent="0.45">
      <c r="B1628" s="27" t="str">
        <f>IFERROR(VLOOKUP(A1628,القائمة!$A$3:$F$112,2,FALSE),"")</f>
        <v/>
      </c>
      <c r="C1628" s="27" t="str">
        <f>IFERROR(VLOOKUP(A1628,القائمة!$A$3:$F$112,3,FALSE),"")</f>
        <v/>
      </c>
      <c r="D1628" s="36" t="str">
        <f>IFERROR(VLOOKUP(A1628,القائمة!$A$3:$F$112,4,FALSE),"")</f>
        <v/>
      </c>
      <c r="E1628" s="36" t="str">
        <f>IFERROR(VLOOKUP(A1628,القائمة!$A$3:$F$112,5,FALSE),"")</f>
        <v/>
      </c>
      <c r="F1628" s="37" t="str">
        <f>IFERROR(VLOOKUP(A1628,القائمة!$A$3:$F$112,6,FALSE),"")</f>
        <v/>
      </c>
      <c r="P1628" s="27">
        <f t="shared" si="53"/>
        <v>0</v>
      </c>
      <c r="Q1628" s="27">
        <f t="shared" si="52"/>
        <v>0</v>
      </c>
    </row>
    <row r="1629" spans="2:17" x14ac:dyDescent="0.45">
      <c r="B1629" s="27" t="str">
        <f>IFERROR(VLOOKUP(A1629,القائمة!$A$3:$F$112,2,FALSE),"")</f>
        <v/>
      </c>
      <c r="C1629" s="27" t="str">
        <f>IFERROR(VLOOKUP(A1629,القائمة!$A$3:$F$112,3,FALSE),"")</f>
        <v/>
      </c>
      <c r="D1629" s="36" t="str">
        <f>IFERROR(VLOOKUP(A1629,القائمة!$A$3:$F$112,4,FALSE),"")</f>
        <v/>
      </c>
      <c r="E1629" s="36" t="str">
        <f>IFERROR(VLOOKUP(A1629,القائمة!$A$3:$F$112,5,FALSE),"")</f>
        <v/>
      </c>
      <c r="F1629" s="37" t="str">
        <f>IFERROR(VLOOKUP(A1629,القائمة!$A$3:$F$112,6,FALSE),"")</f>
        <v/>
      </c>
      <c r="P1629" s="27">
        <f t="shared" si="53"/>
        <v>0</v>
      </c>
      <c r="Q1629" s="27">
        <f t="shared" si="52"/>
        <v>0</v>
      </c>
    </row>
    <row r="1630" spans="2:17" x14ac:dyDescent="0.45">
      <c r="B1630" s="27" t="str">
        <f>IFERROR(VLOOKUP(A1630,القائمة!$A$3:$F$112,2,FALSE),"")</f>
        <v/>
      </c>
      <c r="C1630" s="27" t="str">
        <f>IFERROR(VLOOKUP(A1630,القائمة!$A$3:$F$112,3,FALSE),"")</f>
        <v/>
      </c>
      <c r="D1630" s="36" t="str">
        <f>IFERROR(VLOOKUP(A1630,القائمة!$A$3:$F$112,4,FALSE),"")</f>
        <v/>
      </c>
      <c r="E1630" s="36" t="str">
        <f>IFERROR(VLOOKUP(A1630,القائمة!$A$3:$F$112,5,FALSE),"")</f>
        <v/>
      </c>
      <c r="F1630" s="37" t="str">
        <f>IFERROR(VLOOKUP(A1630,القائمة!$A$3:$F$112,6,FALSE),"")</f>
        <v/>
      </c>
      <c r="P1630" s="27">
        <f t="shared" si="53"/>
        <v>0</v>
      </c>
      <c r="Q1630" s="27">
        <f t="shared" si="52"/>
        <v>0</v>
      </c>
    </row>
    <row r="1631" spans="2:17" x14ac:dyDescent="0.45">
      <c r="B1631" s="27" t="str">
        <f>IFERROR(VLOOKUP(A1631,القائمة!$A$3:$F$112,2,FALSE),"")</f>
        <v/>
      </c>
      <c r="C1631" s="27" t="str">
        <f>IFERROR(VLOOKUP(A1631,القائمة!$A$3:$F$112,3,FALSE),"")</f>
        <v/>
      </c>
      <c r="D1631" s="36" t="str">
        <f>IFERROR(VLOOKUP(A1631,القائمة!$A$3:$F$112,4,FALSE),"")</f>
        <v/>
      </c>
      <c r="E1631" s="36" t="str">
        <f>IFERROR(VLOOKUP(A1631,القائمة!$A$3:$F$112,5,FALSE),"")</f>
        <v/>
      </c>
      <c r="F1631" s="37" t="str">
        <f>IFERROR(VLOOKUP(A1631,القائمة!$A$3:$F$112,6,FALSE),"")</f>
        <v/>
      </c>
      <c r="P1631" s="27">
        <f t="shared" si="53"/>
        <v>0</v>
      </c>
      <c r="Q1631" s="27">
        <f t="shared" si="52"/>
        <v>0</v>
      </c>
    </row>
    <row r="1632" spans="2:17" x14ac:dyDescent="0.45">
      <c r="B1632" s="27" t="str">
        <f>IFERROR(VLOOKUP(A1632,القائمة!$A$3:$F$112,2,FALSE),"")</f>
        <v/>
      </c>
      <c r="C1632" s="27" t="str">
        <f>IFERROR(VLOOKUP(A1632,القائمة!$A$3:$F$112,3,FALSE),"")</f>
        <v/>
      </c>
      <c r="D1632" s="36" t="str">
        <f>IFERROR(VLOOKUP(A1632,القائمة!$A$3:$F$112,4,FALSE),"")</f>
        <v/>
      </c>
      <c r="E1632" s="36" t="str">
        <f>IFERROR(VLOOKUP(A1632,القائمة!$A$3:$F$112,5,FALSE),"")</f>
        <v/>
      </c>
      <c r="F1632" s="37" t="str">
        <f>IFERROR(VLOOKUP(A1632,القائمة!$A$3:$F$112,6,FALSE),"")</f>
        <v/>
      </c>
      <c r="P1632" s="27">
        <f t="shared" si="53"/>
        <v>0</v>
      </c>
      <c r="Q1632" s="27">
        <f t="shared" si="52"/>
        <v>0</v>
      </c>
    </row>
    <row r="1633" spans="2:17" x14ac:dyDescent="0.45">
      <c r="B1633" s="27" t="str">
        <f>IFERROR(VLOOKUP(A1633,القائمة!$A$3:$F$112,2,FALSE),"")</f>
        <v/>
      </c>
      <c r="C1633" s="27" t="str">
        <f>IFERROR(VLOOKUP(A1633,القائمة!$A$3:$F$112,3,FALSE),"")</f>
        <v/>
      </c>
      <c r="D1633" s="36" t="str">
        <f>IFERROR(VLOOKUP(A1633,القائمة!$A$3:$F$112,4,FALSE),"")</f>
        <v/>
      </c>
      <c r="E1633" s="36" t="str">
        <f>IFERROR(VLOOKUP(A1633,القائمة!$A$3:$F$112,5,FALSE),"")</f>
        <v/>
      </c>
      <c r="F1633" s="37" t="str">
        <f>IFERROR(VLOOKUP(A1633,القائمة!$A$3:$F$112,6,FALSE),"")</f>
        <v/>
      </c>
      <c r="P1633" s="27">
        <f t="shared" si="53"/>
        <v>0</v>
      </c>
      <c r="Q1633" s="27">
        <f t="shared" si="52"/>
        <v>0</v>
      </c>
    </row>
    <row r="1634" spans="2:17" x14ac:dyDescent="0.45">
      <c r="B1634" s="27" t="str">
        <f>IFERROR(VLOOKUP(A1634,القائمة!$A$3:$F$112,2,FALSE),"")</f>
        <v/>
      </c>
      <c r="C1634" s="27" t="str">
        <f>IFERROR(VLOOKUP(A1634,القائمة!$A$3:$F$112,3,FALSE),"")</f>
        <v/>
      </c>
      <c r="D1634" s="36" t="str">
        <f>IFERROR(VLOOKUP(A1634,القائمة!$A$3:$F$112,4,FALSE),"")</f>
        <v/>
      </c>
      <c r="E1634" s="36" t="str">
        <f>IFERROR(VLOOKUP(A1634,القائمة!$A$3:$F$112,5,FALSE),"")</f>
        <v/>
      </c>
      <c r="F1634" s="37" t="str">
        <f>IFERROR(VLOOKUP(A1634,القائمة!$A$3:$F$112,6,FALSE),"")</f>
        <v/>
      </c>
      <c r="P1634" s="27">
        <f t="shared" si="53"/>
        <v>0</v>
      </c>
      <c r="Q1634" s="27">
        <f t="shared" si="52"/>
        <v>0</v>
      </c>
    </row>
    <row r="1635" spans="2:17" x14ac:dyDescent="0.45">
      <c r="B1635" s="27" t="str">
        <f>IFERROR(VLOOKUP(A1635,القائمة!$A$3:$F$112,2,FALSE),"")</f>
        <v/>
      </c>
      <c r="C1635" s="27" t="str">
        <f>IFERROR(VLOOKUP(A1635,القائمة!$A$3:$F$112,3,FALSE),"")</f>
        <v/>
      </c>
      <c r="D1635" s="36" t="str">
        <f>IFERROR(VLOOKUP(A1635,القائمة!$A$3:$F$112,4,FALSE),"")</f>
        <v/>
      </c>
      <c r="E1635" s="36" t="str">
        <f>IFERROR(VLOOKUP(A1635,القائمة!$A$3:$F$112,5,FALSE),"")</f>
        <v/>
      </c>
      <c r="F1635" s="37" t="str">
        <f>IFERROR(VLOOKUP(A1635,القائمة!$A$3:$F$112,6,FALSE),"")</f>
        <v/>
      </c>
      <c r="P1635" s="27">
        <f t="shared" si="53"/>
        <v>0</v>
      </c>
      <c r="Q1635" s="27">
        <f t="shared" si="52"/>
        <v>0</v>
      </c>
    </row>
    <row r="1636" spans="2:17" x14ac:dyDescent="0.45">
      <c r="B1636" s="27" t="str">
        <f>IFERROR(VLOOKUP(A1636,القائمة!$A$3:$F$112,2,FALSE),"")</f>
        <v/>
      </c>
      <c r="C1636" s="27" t="str">
        <f>IFERROR(VLOOKUP(A1636,القائمة!$A$3:$F$112,3,FALSE),"")</f>
        <v/>
      </c>
      <c r="D1636" s="36" t="str">
        <f>IFERROR(VLOOKUP(A1636,القائمة!$A$3:$F$112,4,FALSE),"")</f>
        <v/>
      </c>
      <c r="E1636" s="36" t="str">
        <f>IFERROR(VLOOKUP(A1636,القائمة!$A$3:$F$112,5,FALSE),"")</f>
        <v/>
      </c>
      <c r="F1636" s="37" t="str">
        <f>IFERROR(VLOOKUP(A1636,القائمة!$A$3:$F$112,6,FALSE),"")</f>
        <v/>
      </c>
      <c r="P1636" s="27">
        <f t="shared" si="53"/>
        <v>0</v>
      </c>
      <c r="Q1636" s="27">
        <f t="shared" si="52"/>
        <v>0</v>
      </c>
    </row>
    <row r="1637" spans="2:17" x14ac:dyDescent="0.45">
      <c r="B1637" s="27" t="str">
        <f>IFERROR(VLOOKUP(A1637,القائمة!$A$3:$F$112,2,FALSE),"")</f>
        <v/>
      </c>
      <c r="C1637" s="27" t="str">
        <f>IFERROR(VLOOKUP(A1637,القائمة!$A$3:$F$112,3,FALSE),"")</f>
        <v/>
      </c>
      <c r="D1637" s="36" t="str">
        <f>IFERROR(VLOOKUP(A1637,القائمة!$A$3:$F$112,4,FALSE),"")</f>
        <v/>
      </c>
      <c r="E1637" s="36" t="str">
        <f>IFERROR(VLOOKUP(A1637,القائمة!$A$3:$F$112,5,FALSE),"")</f>
        <v/>
      </c>
      <c r="F1637" s="37" t="str">
        <f>IFERROR(VLOOKUP(A1637,القائمة!$A$3:$F$112,6,FALSE),"")</f>
        <v/>
      </c>
      <c r="P1637" s="27">
        <f t="shared" si="53"/>
        <v>0</v>
      </c>
      <c r="Q1637" s="27">
        <f t="shared" si="52"/>
        <v>0</v>
      </c>
    </row>
    <row r="1638" spans="2:17" x14ac:dyDescent="0.45">
      <c r="B1638" s="27" t="str">
        <f>IFERROR(VLOOKUP(A1638,القائمة!$A$3:$F$112,2,FALSE),"")</f>
        <v/>
      </c>
      <c r="C1638" s="27" t="str">
        <f>IFERROR(VLOOKUP(A1638,القائمة!$A$3:$F$112,3,FALSE),"")</f>
        <v/>
      </c>
      <c r="D1638" s="36" t="str">
        <f>IFERROR(VLOOKUP(A1638,القائمة!$A$3:$F$112,4,FALSE),"")</f>
        <v/>
      </c>
      <c r="E1638" s="36" t="str">
        <f>IFERROR(VLOOKUP(A1638,القائمة!$A$3:$F$112,5,FALSE),"")</f>
        <v/>
      </c>
      <c r="F1638" s="37" t="str">
        <f>IFERROR(VLOOKUP(A1638,القائمة!$A$3:$F$112,6,FALSE),"")</f>
        <v/>
      </c>
      <c r="P1638" s="27">
        <f t="shared" si="53"/>
        <v>0</v>
      </c>
      <c r="Q1638" s="27">
        <f t="shared" si="52"/>
        <v>0</v>
      </c>
    </row>
    <row r="1639" spans="2:17" x14ac:dyDescent="0.45">
      <c r="B1639" s="27" t="str">
        <f>IFERROR(VLOOKUP(A1639,القائمة!$A$3:$F$112,2,FALSE),"")</f>
        <v/>
      </c>
      <c r="C1639" s="27" t="str">
        <f>IFERROR(VLOOKUP(A1639,القائمة!$A$3:$F$112,3,FALSE),"")</f>
        <v/>
      </c>
      <c r="D1639" s="36" t="str">
        <f>IFERROR(VLOOKUP(A1639,القائمة!$A$3:$F$112,4,FALSE),"")</f>
        <v/>
      </c>
      <c r="E1639" s="36" t="str">
        <f>IFERROR(VLOOKUP(A1639,القائمة!$A$3:$F$112,5,FALSE),"")</f>
        <v/>
      </c>
      <c r="F1639" s="37" t="str">
        <f>IFERROR(VLOOKUP(A1639,القائمة!$A$3:$F$112,6,FALSE),"")</f>
        <v/>
      </c>
      <c r="P1639" s="27">
        <f t="shared" si="53"/>
        <v>0</v>
      </c>
      <c r="Q1639" s="27">
        <f t="shared" si="52"/>
        <v>0</v>
      </c>
    </row>
    <row r="1640" spans="2:17" x14ac:dyDescent="0.45">
      <c r="B1640" s="27" t="str">
        <f>IFERROR(VLOOKUP(A1640,القائمة!$A$3:$F$112,2,FALSE),"")</f>
        <v/>
      </c>
      <c r="C1640" s="27" t="str">
        <f>IFERROR(VLOOKUP(A1640,القائمة!$A$3:$F$112,3,FALSE),"")</f>
        <v/>
      </c>
      <c r="D1640" s="36" t="str">
        <f>IFERROR(VLOOKUP(A1640,القائمة!$A$3:$F$112,4,FALSE),"")</f>
        <v/>
      </c>
      <c r="E1640" s="36" t="str">
        <f>IFERROR(VLOOKUP(A1640,القائمة!$A$3:$F$112,5,FALSE),"")</f>
        <v/>
      </c>
      <c r="F1640" s="37" t="str">
        <f>IFERROR(VLOOKUP(A1640,القائمة!$A$3:$F$112,6,FALSE),"")</f>
        <v/>
      </c>
      <c r="P1640" s="27">
        <f t="shared" si="53"/>
        <v>0</v>
      </c>
      <c r="Q1640" s="27">
        <f t="shared" si="52"/>
        <v>0</v>
      </c>
    </row>
    <row r="1641" spans="2:17" x14ac:dyDescent="0.45">
      <c r="B1641" s="27" t="str">
        <f>IFERROR(VLOOKUP(A1641,القائمة!$A$3:$F$112,2,FALSE),"")</f>
        <v/>
      </c>
      <c r="C1641" s="27" t="str">
        <f>IFERROR(VLOOKUP(A1641,القائمة!$A$3:$F$112,3,FALSE),"")</f>
        <v/>
      </c>
      <c r="D1641" s="36" t="str">
        <f>IFERROR(VLOOKUP(A1641,القائمة!$A$3:$F$112,4,FALSE),"")</f>
        <v/>
      </c>
      <c r="E1641" s="36" t="str">
        <f>IFERROR(VLOOKUP(A1641,القائمة!$A$3:$F$112,5,FALSE),"")</f>
        <v/>
      </c>
      <c r="F1641" s="37" t="str">
        <f>IFERROR(VLOOKUP(A1641,القائمة!$A$3:$F$112,6,FALSE),"")</f>
        <v/>
      </c>
      <c r="P1641" s="27">
        <f t="shared" si="53"/>
        <v>0</v>
      </c>
      <c r="Q1641" s="27">
        <f t="shared" si="52"/>
        <v>0</v>
      </c>
    </row>
    <row r="1642" spans="2:17" x14ac:dyDescent="0.45">
      <c r="B1642" s="27" t="str">
        <f>IFERROR(VLOOKUP(A1642,القائمة!$A$3:$F$112,2,FALSE),"")</f>
        <v/>
      </c>
      <c r="C1642" s="27" t="str">
        <f>IFERROR(VLOOKUP(A1642,القائمة!$A$3:$F$112,3,FALSE),"")</f>
        <v/>
      </c>
      <c r="D1642" s="36" t="str">
        <f>IFERROR(VLOOKUP(A1642,القائمة!$A$3:$F$112,4,FALSE),"")</f>
        <v/>
      </c>
      <c r="E1642" s="36" t="str">
        <f>IFERROR(VLOOKUP(A1642,القائمة!$A$3:$F$112,5,FALSE),"")</f>
        <v/>
      </c>
      <c r="F1642" s="37" t="str">
        <f>IFERROR(VLOOKUP(A1642,القائمة!$A$3:$F$112,6,FALSE),"")</f>
        <v/>
      </c>
      <c r="P1642" s="27">
        <f t="shared" si="53"/>
        <v>0</v>
      </c>
      <c r="Q1642" s="27">
        <f t="shared" si="52"/>
        <v>0</v>
      </c>
    </row>
    <row r="1643" spans="2:17" x14ac:dyDescent="0.45">
      <c r="B1643" s="27" t="str">
        <f>IFERROR(VLOOKUP(A1643,القائمة!$A$3:$F$112,2,FALSE),"")</f>
        <v/>
      </c>
      <c r="C1643" s="27" t="str">
        <f>IFERROR(VLOOKUP(A1643,القائمة!$A$3:$F$112,3,FALSE),"")</f>
        <v/>
      </c>
      <c r="D1643" s="36" t="str">
        <f>IFERROR(VLOOKUP(A1643,القائمة!$A$3:$F$112,4,FALSE),"")</f>
        <v/>
      </c>
      <c r="E1643" s="36" t="str">
        <f>IFERROR(VLOOKUP(A1643,القائمة!$A$3:$F$112,5,FALSE),"")</f>
        <v/>
      </c>
      <c r="F1643" s="37" t="str">
        <f>IFERROR(VLOOKUP(A1643,القائمة!$A$3:$F$112,6,FALSE),"")</f>
        <v/>
      </c>
      <c r="P1643" s="27">
        <f t="shared" si="53"/>
        <v>0</v>
      </c>
      <c r="Q1643" s="27">
        <f t="shared" si="52"/>
        <v>0</v>
      </c>
    </row>
    <row r="1644" spans="2:17" x14ac:dyDescent="0.45">
      <c r="B1644" s="27" t="str">
        <f>IFERROR(VLOOKUP(A1644,القائمة!$A$3:$F$112,2,FALSE),"")</f>
        <v/>
      </c>
      <c r="C1644" s="27" t="str">
        <f>IFERROR(VLOOKUP(A1644,القائمة!$A$3:$F$112,3,FALSE),"")</f>
        <v/>
      </c>
      <c r="D1644" s="36" t="str">
        <f>IFERROR(VLOOKUP(A1644,القائمة!$A$3:$F$112,4,FALSE),"")</f>
        <v/>
      </c>
      <c r="E1644" s="36" t="str">
        <f>IFERROR(VLOOKUP(A1644,القائمة!$A$3:$F$112,5,FALSE),"")</f>
        <v/>
      </c>
      <c r="F1644" s="37" t="str">
        <f>IFERROR(VLOOKUP(A1644,القائمة!$A$3:$F$112,6,FALSE),"")</f>
        <v/>
      </c>
      <c r="P1644" s="27">
        <f t="shared" si="53"/>
        <v>0</v>
      </c>
      <c r="Q1644" s="27">
        <f t="shared" si="52"/>
        <v>0</v>
      </c>
    </row>
    <row r="1645" spans="2:17" x14ac:dyDescent="0.45">
      <c r="B1645" s="27" t="str">
        <f>IFERROR(VLOOKUP(A1645,القائمة!$A$3:$F$112,2,FALSE),"")</f>
        <v/>
      </c>
      <c r="C1645" s="27" t="str">
        <f>IFERROR(VLOOKUP(A1645,القائمة!$A$3:$F$112,3,FALSE),"")</f>
        <v/>
      </c>
      <c r="D1645" s="36" t="str">
        <f>IFERROR(VLOOKUP(A1645,القائمة!$A$3:$F$112,4,FALSE),"")</f>
        <v/>
      </c>
      <c r="E1645" s="36" t="str">
        <f>IFERROR(VLOOKUP(A1645,القائمة!$A$3:$F$112,5,FALSE),"")</f>
        <v/>
      </c>
      <c r="F1645" s="37" t="str">
        <f>IFERROR(VLOOKUP(A1645,القائمة!$A$3:$F$112,6,FALSE),"")</f>
        <v/>
      </c>
      <c r="P1645" s="27">
        <f t="shared" si="53"/>
        <v>0</v>
      </c>
      <c r="Q1645" s="27">
        <f t="shared" si="52"/>
        <v>0</v>
      </c>
    </row>
    <row r="1646" spans="2:17" x14ac:dyDescent="0.45">
      <c r="B1646" s="27" t="str">
        <f>IFERROR(VLOOKUP(A1646,القائمة!$A$3:$F$112,2,FALSE),"")</f>
        <v/>
      </c>
      <c r="C1646" s="27" t="str">
        <f>IFERROR(VLOOKUP(A1646,القائمة!$A$3:$F$112,3,FALSE),"")</f>
        <v/>
      </c>
      <c r="D1646" s="36" t="str">
        <f>IFERROR(VLOOKUP(A1646,القائمة!$A$3:$F$112,4,FALSE),"")</f>
        <v/>
      </c>
      <c r="E1646" s="36" t="str">
        <f>IFERROR(VLOOKUP(A1646,القائمة!$A$3:$F$112,5,FALSE),"")</f>
        <v/>
      </c>
      <c r="F1646" s="37" t="str">
        <f>IFERROR(VLOOKUP(A1646,القائمة!$A$3:$F$112,6,FALSE),"")</f>
        <v/>
      </c>
      <c r="P1646" s="27">
        <f t="shared" si="53"/>
        <v>0</v>
      </c>
      <c r="Q1646" s="27">
        <f t="shared" si="52"/>
        <v>0</v>
      </c>
    </row>
    <row r="1647" spans="2:17" x14ac:dyDescent="0.45">
      <c r="B1647" s="27" t="str">
        <f>IFERROR(VLOOKUP(A1647,القائمة!$A$3:$F$112,2,FALSE),"")</f>
        <v/>
      </c>
      <c r="C1647" s="27" t="str">
        <f>IFERROR(VLOOKUP(A1647,القائمة!$A$3:$F$112,3,FALSE),"")</f>
        <v/>
      </c>
      <c r="D1647" s="36" t="str">
        <f>IFERROR(VLOOKUP(A1647,القائمة!$A$3:$F$112,4,FALSE),"")</f>
        <v/>
      </c>
      <c r="E1647" s="36" t="str">
        <f>IFERROR(VLOOKUP(A1647,القائمة!$A$3:$F$112,5,FALSE),"")</f>
        <v/>
      </c>
      <c r="F1647" s="37" t="str">
        <f>IFERROR(VLOOKUP(A1647,القائمة!$A$3:$F$112,6,FALSE),"")</f>
        <v/>
      </c>
      <c r="P1647" s="27">
        <f t="shared" si="53"/>
        <v>0</v>
      </c>
      <c r="Q1647" s="27">
        <f t="shared" si="52"/>
        <v>0</v>
      </c>
    </row>
    <row r="1648" spans="2:17" x14ac:dyDescent="0.45">
      <c r="B1648" s="27" t="str">
        <f>IFERROR(VLOOKUP(A1648,القائمة!$A$3:$F$112,2,FALSE),"")</f>
        <v/>
      </c>
      <c r="C1648" s="27" t="str">
        <f>IFERROR(VLOOKUP(A1648,القائمة!$A$3:$F$112,3,FALSE),"")</f>
        <v/>
      </c>
      <c r="D1648" s="36" t="str">
        <f>IFERROR(VLOOKUP(A1648,القائمة!$A$3:$F$112,4,FALSE),"")</f>
        <v/>
      </c>
      <c r="E1648" s="36" t="str">
        <f>IFERROR(VLOOKUP(A1648,القائمة!$A$3:$F$112,5,FALSE),"")</f>
        <v/>
      </c>
      <c r="F1648" s="37" t="str">
        <f>IFERROR(VLOOKUP(A1648,القائمة!$A$3:$F$112,6,FALSE),"")</f>
        <v/>
      </c>
      <c r="P1648" s="27">
        <f t="shared" si="53"/>
        <v>0</v>
      </c>
      <c r="Q1648" s="27">
        <f t="shared" si="52"/>
        <v>0</v>
      </c>
    </row>
    <row r="1649" spans="2:17" x14ac:dyDescent="0.45">
      <c r="B1649" s="27" t="str">
        <f>IFERROR(VLOOKUP(A1649,القائمة!$A$3:$F$112,2,FALSE),"")</f>
        <v/>
      </c>
      <c r="C1649" s="27" t="str">
        <f>IFERROR(VLOOKUP(A1649,القائمة!$A$3:$F$112,3,FALSE),"")</f>
        <v/>
      </c>
      <c r="D1649" s="36" t="str">
        <f>IFERROR(VLOOKUP(A1649,القائمة!$A$3:$F$112,4,FALSE),"")</f>
        <v/>
      </c>
      <c r="E1649" s="36" t="str">
        <f>IFERROR(VLOOKUP(A1649,القائمة!$A$3:$F$112,5,FALSE),"")</f>
        <v/>
      </c>
      <c r="F1649" s="37" t="str">
        <f>IFERROR(VLOOKUP(A1649,القائمة!$A$3:$F$112,6,FALSE),"")</f>
        <v/>
      </c>
      <c r="P1649" s="27">
        <f t="shared" si="53"/>
        <v>0</v>
      </c>
      <c r="Q1649" s="27">
        <f t="shared" si="52"/>
        <v>0</v>
      </c>
    </row>
    <row r="1650" spans="2:17" x14ac:dyDescent="0.45">
      <c r="B1650" s="27" t="str">
        <f>IFERROR(VLOOKUP(A1650,القائمة!$A$3:$F$112,2,FALSE),"")</f>
        <v/>
      </c>
      <c r="C1650" s="27" t="str">
        <f>IFERROR(VLOOKUP(A1650,القائمة!$A$3:$F$112,3,FALSE),"")</f>
        <v/>
      </c>
      <c r="D1650" s="36" t="str">
        <f>IFERROR(VLOOKUP(A1650,القائمة!$A$3:$F$112,4,FALSE),"")</f>
        <v/>
      </c>
      <c r="E1650" s="36" t="str">
        <f>IFERROR(VLOOKUP(A1650,القائمة!$A$3:$F$112,5,FALSE),"")</f>
        <v/>
      </c>
      <c r="F1650" s="37" t="str">
        <f>IFERROR(VLOOKUP(A1650,القائمة!$A$3:$F$112,6,FALSE),"")</f>
        <v/>
      </c>
      <c r="P1650" s="27">
        <f t="shared" si="53"/>
        <v>0</v>
      </c>
      <c r="Q1650" s="27">
        <f t="shared" si="52"/>
        <v>0</v>
      </c>
    </row>
    <row r="1651" spans="2:17" x14ac:dyDescent="0.45">
      <c r="B1651" s="27" t="str">
        <f>IFERROR(VLOOKUP(A1651,القائمة!$A$3:$F$112,2,FALSE),"")</f>
        <v/>
      </c>
      <c r="C1651" s="27" t="str">
        <f>IFERROR(VLOOKUP(A1651,القائمة!$A$3:$F$112,3,FALSE),"")</f>
        <v/>
      </c>
      <c r="D1651" s="36" t="str">
        <f>IFERROR(VLOOKUP(A1651,القائمة!$A$3:$F$112,4,FALSE),"")</f>
        <v/>
      </c>
      <c r="E1651" s="36" t="str">
        <f>IFERROR(VLOOKUP(A1651,القائمة!$A$3:$F$112,5,FALSE),"")</f>
        <v/>
      </c>
      <c r="F1651" s="37" t="str">
        <f>IFERROR(VLOOKUP(A1651,القائمة!$A$3:$F$112,6,FALSE),"")</f>
        <v/>
      </c>
      <c r="P1651" s="27">
        <f t="shared" si="53"/>
        <v>0</v>
      </c>
      <c r="Q1651" s="27">
        <f t="shared" si="52"/>
        <v>0</v>
      </c>
    </row>
    <row r="1652" spans="2:17" x14ac:dyDescent="0.45">
      <c r="B1652" s="27" t="str">
        <f>IFERROR(VLOOKUP(A1652,القائمة!$A$3:$F$112,2,FALSE),"")</f>
        <v/>
      </c>
      <c r="C1652" s="27" t="str">
        <f>IFERROR(VLOOKUP(A1652,القائمة!$A$3:$F$112,3,FALSE),"")</f>
        <v/>
      </c>
      <c r="D1652" s="36" t="str">
        <f>IFERROR(VLOOKUP(A1652,القائمة!$A$3:$F$112,4,FALSE),"")</f>
        <v/>
      </c>
      <c r="E1652" s="36" t="str">
        <f>IFERROR(VLOOKUP(A1652,القائمة!$A$3:$F$112,5,FALSE),"")</f>
        <v/>
      </c>
      <c r="F1652" s="37" t="str">
        <f>IFERROR(VLOOKUP(A1652,القائمة!$A$3:$F$112,6,FALSE),"")</f>
        <v/>
      </c>
      <c r="P1652" s="27">
        <f t="shared" si="53"/>
        <v>0</v>
      </c>
      <c r="Q1652" s="27">
        <f t="shared" si="52"/>
        <v>0</v>
      </c>
    </row>
    <row r="1653" spans="2:17" x14ac:dyDescent="0.45">
      <c r="B1653" s="27" t="str">
        <f>IFERROR(VLOOKUP(A1653,القائمة!$A$3:$F$112,2,FALSE),"")</f>
        <v/>
      </c>
      <c r="C1653" s="27" t="str">
        <f>IFERROR(VLOOKUP(A1653,القائمة!$A$3:$F$112,3,FALSE),"")</f>
        <v/>
      </c>
      <c r="D1653" s="36" t="str">
        <f>IFERROR(VLOOKUP(A1653,القائمة!$A$3:$F$112,4,FALSE),"")</f>
        <v/>
      </c>
      <c r="E1653" s="36" t="str">
        <f>IFERROR(VLOOKUP(A1653,القائمة!$A$3:$F$112,5,FALSE),"")</f>
        <v/>
      </c>
      <c r="F1653" s="37" t="str">
        <f>IFERROR(VLOOKUP(A1653,القائمة!$A$3:$F$112,6,FALSE),"")</f>
        <v/>
      </c>
      <c r="P1653" s="27">
        <f t="shared" si="53"/>
        <v>0</v>
      </c>
      <c r="Q1653" s="27">
        <f t="shared" si="52"/>
        <v>0</v>
      </c>
    </row>
    <row r="1654" spans="2:17" x14ac:dyDescent="0.45">
      <c r="B1654" s="27" t="str">
        <f>IFERROR(VLOOKUP(A1654,القائمة!$A$3:$F$112,2,FALSE),"")</f>
        <v/>
      </c>
      <c r="C1654" s="27" t="str">
        <f>IFERROR(VLOOKUP(A1654,القائمة!$A$3:$F$112,3,FALSE),"")</f>
        <v/>
      </c>
      <c r="D1654" s="36" t="str">
        <f>IFERROR(VLOOKUP(A1654,القائمة!$A$3:$F$112,4,FALSE),"")</f>
        <v/>
      </c>
      <c r="E1654" s="36" t="str">
        <f>IFERROR(VLOOKUP(A1654,القائمة!$A$3:$F$112,5,FALSE),"")</f>
        <v/>
      </c>
      <c r="F1654" s="37" t="str">
        <f>IFERROR(VLOOKUP(A1654,القائمة!$A$3:$F$112,6,FALSE),"")</f>
        <v/>
      </c>
      <c r="P1654" s="27">
        <f t="shared" si="53"/>
        <v>0</v>
      </c>
      <c r="Q1654" s="27">
        <f t="shared" si="52"/>
        <v>0</v>
      </c>
    </row>
    <row r="1655" spans="2:17" x14ac:dyDescent="0.45">
      <c r="B1655" s="27" t="str">
        <f>IFERROR(VLOOKUP(A1655,القائمة!$A$3:$F$112,2,FALSE),"")</f>
        <v/>
      </c>
      <c r="C1655" s="27" t="str">
        <f>IFERROR(VLOOKUP(A1655,القائمة!$A$3:$F$112,3,FALSE),"")</f>
        <v/>
      </c>
      <c r="D1655" s="36" t="str">
        <f>IFERROR(VLOOKUP(A1655,القائمة!$A$3:$F$112,4,FALSE),"")</f>
        <v/>
      </c>
      <c r="E1655" s="36" t="str">
        <f>IFERROR(VLOOKUP(A1655,القائمة!$A$3:$F$112,5,FALSE),"")</f>
        <v/>
      </c>
      <c r="F1655" s="37" t="str">
        <f>IFERROR(VLOOKUP(A1655,القائمة!$A$3:$F$112,6,FALSE),"")</f>
        <v/>
      </c>
      <c r="P1655" s="27">
        <f t="shared" si="53"/>
        <v>0</v>
      </c>
      <c r="Q1655" s="27">
        <f t="shared" si="52"/>
        <v>0</v>
      </c>
    </row>
    <row r="1656" spans="2:17" x14ac:dyDescent="0.45">
      <c r="B1656" s="27" t="str">
        <f>IFERROR(VLOOKUP(A1656,القائمة!$A$3:$F$112,2,FALSE),"")</f>
        <v/>
      </c>
      <c r="C1656" s="27" t="str">
        <f>IFERROR(VLOOKUP(A1656,القائمة!$A$3:$F$112,3,FALSE),"")</f>
        <v/>
      </c>
      <c r="D1656" s="36" t="str">
        <f>IFERROR(VLOOKUP(A1656,القائمة!$A$3:$F$112,4,FALSE),"")</f>
        <v/>
      </c>
      <c r="E1656" s="36" t="str">
        <f>IFERROR(VLOOKUP(A1656,القائمة!$A$3:$F$112,5,FALSE),"")</f>
        <v/>
      </c>
      <c r="F1656" s="37" t="str">
        <f>IFERROR(VLOOKUP(A1656,القائمة!$A$3:$F$112,6,FALSE),"")</f>
        <v/>
      </c>
      <c r="P1656" s="27">
        <f t="shared" si="53"/>
        <v>0</v>
      </c>
      <c r="Q1656" s="27">
        <f t="shared" si="52"/>
        <v>0</v>
      </c>
    </row>
    <row r="1657" spans="2:17" x14ac:dyDescent="0.45">
      <c r="B1657" s="27" t="str">
        <f>IFERROR(VLOOKUP(A1657,القائمة!$A$3:$F$112,2,FALSE),"")</f>
        <v/>
      </c>
      <c r="C1657" s="27" t="str">
        <f>IFERROR(VLOOKUP(A1657,القائمة!$A$3:$F$112,3,FALSE),"")</f>
        <v/>
      </c>
      <c r="D1657" s="36" t="str">
        <f>IFERROR(VLOOKUP(A1657,القائمة!$A$3:$F$112,4,FALSE),"")</f>
        <v/>
      </c>
      <c r="E1657" s="36" t="str">
        <f>IFERROR(VLOOKUP(A1657,القائمة!$A$3:$F$112,5,FALSE),"")</f>
        <v/>
      </c>
      <c r="F1657" s="37" t="str">
        <f>IFERROR(VLOOKUP(A1657,القائمة!$A$3:$F$112,6,FALSE),"")</f>
        <v/>
      </c>
      <c r="P1657" s="27">
        <f t="shared" si="53"/>
        <v>0</v>
      </c>
      <c r="Q1657" s="27">
        <f t="shared" si="52"/>
        <v>0</v>
      </c>
    </row>
    <row r="1658" spans="2:17" x14ac:dyDescent="0.45">
      <c r="B1658" s="27" t="str">
        <f>IFERROR(VLOOKUP(A1658,القائمة!$A$3:$F$112,2,FALSE),"")</f>
        <v/>
      </c>
      <c r="C1658" s="27" t="str">
        <f>IFERROR(VLOOKUP(A1658,القائمة!$A$3:$F$112,3,FALSE),"")</f>
        <v/>
      </c>
      <c r="D1658" s="36" t="str">
        <f>IFERROR(VLOOKUP(A1658,القائمة!$A$3:$F$112,4,FALSE),"")</f>
        <v/>
      </c>
      <c r="E1658" s="36" t="str">
        <f>IFERROR(VLOOKUP(A1658,القائمة!$A$3:$F$112,5,FALSE),"")</f>
        <v/>
      </c>
      <c r="F1658" s="37" t="str">
        <f>IFERROR(VLOOKUP(A1658,القائمة!$A$3:$F$112,6,FALSE),"")</f>
        <v/>
      </c>
      <c r="P1658" s="27">
        <f t="shared" si="53"/>
        <v>0</v>
      </c>
      <c r="Q1658" s="27">
        <f t="shared" si="52"/>
        <v>0</v>
      </c>
    </row>
    <row r="1659" spans="2:17" x14ac:dyDescent="0.45">
      <c r="B1659" s="27" t="str">
        <f>IFERROR(VLOOKUP(A1659,القائمة!$A$3:$F$112,2,FALSE),"")</f>
        <v/>
      </c>
      <c r="C1659" s="27" t="str">
        <f>IFERROR(VLOOKUP(A1659,القائمة!$A$3:$F$112,3,FALSE),"")</f>
        <v/>
      </c>
      <c r="D1659" s="36" t="str">
        <f>IFERROR(VLOOKUP(A1659,القائمة!$A$3:$F$112,4,FALSE),"")</f>
        <v/>
      </c>
      <c r="E1659" s="36" t="str">
        <f>IFERROR(VLOOKUP(A1659,القائمة!$A$3:$F$112,5,FALSE),"")</f>
        <v/>
      </c>
      <c r="F1659" s="37" t="str">
        <f>IFERROR(VLOOKUP(A1659,القائمة!$A$3:$F$112,6,FALSE),"")</f>
        <v/>
      </c>
      <c r="P1659" s="27">
        <f t="shared" si="53"/>
        <v>0</v>
      </c>
      <c r="Q1659" s="27">
        <f t="shared" si="52"/>
        <v>0</v>
      </c>
    </row>
    <row r="1660" spans="2:17" x14ac:dyDescent="0.45">
      <c r="B1660" s="27" t="str">
        <f>IFERROR(VLOOKUP(A1660,القائمة!$A$3:$F$112,2,FALSE),"")</f>
        <v/>
      </c>
      <c r="C1660" s="27" t="str">
        <f>IFERROR(VLOOKUP(A1660,القائمة!$A$3:$F$112,3,FALSE),"")</f>
        <v/>
      </c>
      <c r="D1660" s="36" t="str">
        <f>IFERROR(VLOOKUP(A1660,القائمة!$A$3:$F$112,4,FALSE),"")</f>
        <v/>
      </c>
      <c r="E1660" s="36" t="str">
        <f>IFERROR(VLOOKUP(A1660,القائمة!$A$3:$F$112,5,FALSE),"")</f>
        <v/>
      </c>
      <c r="F1660" s="37" t="str">
        <f>IFERROR(VLOOKUP(A1660,القائمة!$A$3:$F$112,6,FALSE),"")</f>
        <v/>
      </c>
      <c r="P1660" s="27">
        <f t="shared" si="53"/>
        <v>0</v>
      </c>
      <c r="Q1660" s="27">
        <f t="shared" si="52"/>
        <v>0</v>
      </c>
    </row>
    <row r="1661" spans="2:17" x14ac:dyDescent="0.45">
      <c r="B1661" s="27" t="str">
        <f>IFERROR(VLOOKUP(A1661,القائمة!$A$3:$F$112,2,FALSE),"")</f>
        <v/>
      </c>
      <c r="C1661" s="27" t="str">
        <f>IFERROR(VLOOKUP(A1661,القائمة!$A$3:$F$112,3,FALSE),"")</f>
        <v/>
      </c>
      <c r="D1661" s="36" t="str">
        <f>IFERROR(VLOOKUP(A1661,القائمة!$A$3:$F$112,4,FALSE),"")</f>
        <v/>
      </c>
      <c r="E1661" s="36" t="str">
        <f>IFERROR(VLOOKUP(A1661,القائمة!$A$3:$F$112,5,FALSE),"")</f>
        <v/>
      </c>
      <c r="F1661" s="37" t="str">
        <f>IFERROR(VLOOKUP(A1661,القائمة!$A$3:$F$112,6,FALSE),"")</f>
        <v/>
      </c>
      <c r="P1661" s="27">
        <f t="shared" si="53"/>
        <v>0</v>
      </c>
      <c r="Q1661" s="27">
        <f t="shared" si="52"/>
        <v>0</v>
      </c>
    </row>
    <row r="1662" spans="2:17" x14ac:dyDescent="0.45">
      <c r="B1662" s="27" t="str">
        <f>IFERROR(VLOOKUP(A1662,القائمة!$A$3:$F$112,2,FALSE),"")</f>
        <v/>
      </c>
      <c r="C1662" s="27" t="str">
        <f>IFERROR(VLOOKUP(A1662,القائمة!$A$3:$F$112,3,FALSE),"")</f>
        <v/>
      </c>
      <c r="D1662" s="36" t="str">
        <f>IFERROR(VLOOKUP(A1662,القائمة!$A$3:$F$112,4,FALSE),"")</f>
        <v/>
      </c>
      <c r="E1662" s="36" t="str">
        <f>IFERROR(VLOOKUP(A1662,القائمة!$A$3:$F$112,5,FALSE),"")</f>
        <v/>
      </c>
      <c r="F1662" s="37" t="str">
        <f>IFERROR(VLOOKUP(A1662,القائمة!$A$3:$F$112,6,FALSE),"")</f>
        <v/>
      </c>
      <c r="P1662" s="27">
        <f t="shared" si="53"/>
        <v>0</v>
      </c>
      <c r="Q1662" s="27">
        <f t="shared" si="52"/>
        <v>0</v>
      </c>
    </row>
    <row r="1663" spans="2:17" x14ac:dyDescent="0.45">
      <c r="B1663" s="27" t="str">
        <f>IFERROR(VLOOKUP(A1663,القائمة!$A$3:$F$112,2,FALSE),"")</f>
        <v/>
      </c>
      <c r="C1663" s="27" t="str">
        <f>IFERROR(VLOOKUP(A1663,القائمة!$A$3:$F$112,3,FALSE),"")</f>
        <v/>
      </c>
      <c r="D1663" s="36" t="str">
        <f>IFERROR(VLOOKUP(A1663,القائمة!$A$3:$F$112,4,FALSE),"")</f>
        <v/>
      </c>
      <c r="E1663" s="36" t="str">
        <f>IFERROR(VLOOKUP(A1663,القائمة!$A$3:$F$112,5,FALSE),"")</f>
        <v/>
      </c>
      <c r="F1663" s="37" t="str">
        <f>IFERROR(VLOOKUP(A1663,القائمة!$A$3:$F$112,6,FALSE),"")</f>
        <v/>
      </c>
      <c r="P1663" s="27">
        <f t="shared" si="53"/>
        <v>0</v>
      </c>
      <c r="Q1663" s="27">
        <f t="shared" si="52"/>
        <v>0</v>
      </c>
    </row>
    <row r="1664" spans="2:17" x14ac:dyDescent="0.45">
      <c r="B1664" s="27" t="str">
        <f>IFERROR(VLOOKUP(A1664,القائمة!$A$3:$F$112,2,FALSE),"")</f>
        <v/>
      </c>
      <c r="C1664" s="27" t="str">
        <f>IFERROR(VLOOKUP(A1664,القائمة!$A$3:$F$112,3,FALSE),"")</f>
        <v/>
      </c>
      <c r="D1664" s="36" t="str">
        <f>IFERROR(VLOOKUP(A1664,القائمة!$A$3:$F$112,4,FALSE),"")</f>
        <v/>
      </c>
      <c r="E1664" s="36" t="str">
        <f>IFERROR(VLOOKUP(A1664,القائمة!$A$3:$F$112,5,FALSE),"")</f>
        <v/>
      </c>
      <c r="F1664" s="37" t="str">
        <f>IFERROR(VLOOKUP(A1664,القائمة!$A$3:$F$112,6,FALSE),"")</f>
        <v/>
      </c>
      <c r="P1664" s="27">
        <f t="shared" si="53"/>
        <v>0</v>
      </c>
      <c r="Q1664" s="27">
        <f t="shared" si="52"/>
        <v>0</v>
      </c>
    </row>
    <row r="1665" spans="2:17" x14ac:dyDescent="0.45">
      <c r="B1665" s="27" t="str">
        <f>IFERROR(VLOOKUP(A1665,القائمة!$A$3:$F$112,2,FALSE),"")</f>
        <v/>
      </c>
      <c r="C1665" s="27" t="str">
        <f>IFERROR(VLOOKUP(A1665,القائمة!$A$3:$F$112,3,FALSE),"")</f>
        <v/>
      </c>
      <c r="D1665" s="36" t="str">
        <f>IFERROR(VLOOKUP(A1665,القائمة!$A$3:$F$112,4,FALSE),"")</f>
        <v/>
      </c>
      <c r="E1665" s="36" t="str">
        <f>IFERROR(VLOOKUP(A1665,القائمة!$A$3:$F$112,5,FALSE),"")</f>
        <v/>
      </c>
      <c r="F1665" s="37" t="str">
        <f>IFERROR(VLOOKUP(A1665,القائمة!$A$3:$F$112,6,FALSE),"")</f>
        <v/>
      </c>
      <c r="P1665" s="27">
        <f t="shared" si="53"/>
        <v>0</v>
      </c>
      <c r="Q1665" s="27">
        <f t="shared" si="52"/>
        <v>0</v>
      </c>
    </row>
    <row r="1666" spans="2:17" x14ac:dyDescent="0.45">
      <c r="B1666" s="27" t="str">
        <f>IFERROR(VLOOKUP(A1666,القائمة!$A$3:$F$112,2,FALSE),"")</f>
        <v/>
      </c>
      <c r="C1666" s="27" t="str">
        <f>IFERROR(VLOOKUP(A1666,القائمة!$A$3:$F$112,3,FALSE),"")</f>
        <v/>
      </c>
      <c r="D1666" s="36" t="str">
        <f>IFERROR(VLOOKUP(A1666,القائمة!$A$3:$F$112,4,FALSE),"")</f>
        <v/>
      </c>
      <c r="E1666" s="36" t="str">
        <f>IFERROR(VLOOKUP(A1666,القائمة!$A$3:$F$112,5,FALSE),"")</f>
        <v/>
      </c>
      <c r="F1666" s="37" t="str">
        <f>IFERROR(VLOOKUP(A1666,القائمة!$A$3:$F$112,6,FALSE),"")</f>
        <v/>
      </c>
      <c r="P1666" s="27">
        <f t="shared" si="53"/>
        <v>0</v>
      </c>
      <c r="Q1666" s="27">
        <f t="shared" si="52"/>
        <v>0</v>
      </c>
    </row>
    <row r="1667" spans="2:17" x14ac:dyDescent="0.45">
      <c r="B1667" s="27" t="str">
        <f>IFERROR(VLOOKUP(A1667,القائمة!$A$3:$F$112,2,FALSE),"")</f>
        <v/>
      </c>
      <c r="C1667" s="27" t="str">
        <f>IFERROR(VLOOKUP(A1667,القائمة!$A$3:$F$112,3,FALSE),"")</f>
        <v/>
      </c>
      <c r="D1667" s="36" t="str">
        <f>IFERROR(VLOOKUP(A1667,القائمة!$A$3:$F$112,4,FALSE),"")</f>
        <v/>
      </c>
      <c r="E1667" s="36" t="str">
        <f>IFERROR(VLOOKUP(A1667,القائمة!$A$3:$F$112,5,FALSE),"")</f>
        <v/>
      </c>
      <c r="F1667" s="37" t="str">
        <f>IFERROR(VLOOKUP(A1667,القائمة!$A$3:$F$112,6,FALSE),"")</f>
        <v/>
      </c>
      <c r="P1667" s="27">
        <f t="shared" si="53"/>
        <v>0</v>
      </c>
      <c r="Q1667" s="27">
        <f t="shared" ref="Q1667:Q1730" si="54">+P1667+L1667-M1667</f>
        <v>0</v>
      </c>
    </row>
    <row r="1668" spans="2:17" x14ac:dyDescent="0.45">
      <c r="B1668" s="27" t="str">
        <f>IFERROR(VLOOKUP(A1668,القائمة!$A$3:$F$112,2,FALSE),"")</f>
        <v/>
      </c>
      <c r="C1668" s="27" t="str">
        <f>IFERROR(VLOOKUP(A1668,القائمة!$A$3:$F$112,3,FALSE),"")</f>
        <v/>
      </c>
      <c r="D1668" s="36" t="str">
        <f>IFERROR(VLOOKUP(A1668,القائمة!$A$3:$F$112,4,FALSE),"")</f>
        <v/>
      </c>
      <c r="E1668" s="36" t="str">
        <f>IFERROR(VLOOKUP(A1668,القائمة!$A$3:$F$112,5,FALSE),"")</f>
        <v/>
      </c>
      <c r="F1668" s="37" t="str">
        <f>IFERROR(VLOOKUP(A1668,القائمة!$A$3:$F$112,6,FALSE),"")</f>
        <v/>
      </c>
      <c r="P1668" s="27">
        <f t="shared" ref="P1668:P1731" si="55">J1668-K1668</f>
        <v>0</v>
      </c>
      <c r="Q1668" s="27">
        <f t="shared" si="54"/>
        <v>0</v>
      </c>
    </row>
    <row r="1669" spans="2:17" x14ac:dyDescent="0.45">
      <c r="B1669" s="27" t="str">
        <f>IFERROR(VLOOKUP(A1669,القائمة!$A$3:$F$112,2,FALSE),"")</f>
        <v/>
      </c>
      <c r="C1669" s="27" t="str">
        <f>IFERROR(VLOOKUP(A1669,القائمة!$A$3:$F$112,3,FALSE),"")</f>
        <v/>
      </c>
      <c r="D1669" s="36" t="str">
        <f>IFERROR(VLOOKUP(A1669,القائمة!$A$3:$F$112,4,FALSE),"")</f>
        <v/>
      </c>
      <c r="E1669" s="36" t="str">
        <f>IFERROR(VLOOKUP(A1669,القائمة!$A$3:$F$112,5,FALSE),"")</f>
        <v/>
      </c>
      <c r="F1669" s="37" t="str">
        <f>IFERROR(VLOOKUP(A1669,القائمة!$A$3:$F$112,6,FALSE),"")</f>
        <v/>
      </c>
      <c r="P1669" s="27">
        <f t="shared" si="55"/>
        <v>0</v>
      </c>
      <c r="Q1669" s="27">
        <f t="shared" si="54"/>
        <v>0</v>
      </c>
    </row>
    <row r="1670" spans="2:17" x14ac:dyDescent="0.45">
      <c r="B1670" s="27" t="str">
        <f>IFERROR(VLOOKUP(A1670,القائمة!$A$3:$F$112,2,FALSE),"")</f>
        <v/>
      </c>
      <c r="C1670" s="27" t="str">
        <f>IFERROR(VLOOKUP(A1670,القائمة!$A$3:$F$112,3,FALSE),"")</f>
        <v/>
      </c>
      <c r="D1670" s="36" t="str">
        <f>IFERROR(VLOOKUP(A1670,القائمة!$A$3:$F$112,4,FALSE),"")</f>
        <v/>
      </c>
      <c r="E1670" s="36" t="str">
        <f>IFERROR(VLOOKUP(A1670,القائمة!$A$3:$F$112,5,FALSE),"")</f>
        <v/>
      </c>
      <c r="F1670" s="37" t="str">
        <f>IFERROR(VLOOKUP(A1670,القائمة!$A$3:$F$112,6,FALSE),"")</f>
        <v/>
      </c>
      <c r="P1670" s="27">
        <f t="shared" si="55"/>
        <v>0</v>
      </c>
      <c r="Q1670" s="27">
        <f t="shared" si="54"/>
        <v>0</v>
      </c>
    </row>
    <row r="1671" spans="2:17" x14ac:dyDescent="0.45">
      <c r="B1671" s="27" t="str">
        <f>IFERROR(VLOOKUP(A1671,القائمة!$A$3:$F$112,2,FALSE),"")</f>
        <v/>
      </c>
      <c r="C1671" s="27" t="str">
        <f>IFERROR(VLOOKUP(A1671,القائمة!$A$3:$F$112,3,FALSE),"")</f>
        <v/>
      </c>
      <c r="D1671" s="36" t="str">
        <f>IFERROR(VLOOKUP(A1671,القائمة!$A$3:$F$112,4,FALSE),"")</f>
        <v/>
      </c>
      <c r="E1671" s="36" t="str">
        <f>IFERROR(VLOOKUP(A1671,القائمة!$A$3:$F$112,5,FALSE),"")</f>
        <v/>
      </c>
      <c r="F1671" s="37" t="str">
        <f>IFERROR(VLOOKUP(A1671,القائمة!$A$3:$F$112,6,FALSE),"")</f>
        <v/>
      </c>
      <c r="P1671" s="27">
        <f t="shared" si="55"/>
        <v>0</v>
      </c>
      <c r="Q1671" s="27">
        <f t="shared" si="54"/>
        <v>0</v>
      </c>
    </row>
    <row r="1672" spans="2:17" x14ac:dyDescent="0.45">
      <c r="B1672" s="27" t="str">
        <f>IFERROR(VLOOKUP(A1672,القائمة!$A$3:$F$112,2,FALSE),"")</f>
        <v/>
      </c>
      <c r="C1672" s="27" t="str">
        <f>IFERROR(VLOOKUP(A1672,القائمة!$A$3:$F$112,3,FALSE),"")</f>
        <v/>
      </c>
      <c r="D1672" s="36" t="str">
        <f>IFERROR(VLOOKUP(A1672,القائمة!$A$3:$F$112,4,FALSE),"")</f>
        <v/>
      </c>
      <c r="E1672" s="36" t="str">
        <f>IFERROR(VLOOKUP(A1672,القائمة!$A$3:$F$112,5,FALSE),"")</f>
        <v/>
      </c>
      <c r="F1672" s="37" t="str">
        <f>IFERROR(VLOOKUP(A1672,القائمة!$A$3:$F$112,6,FALSE),"")</f>
        <v/>
      </c>
      <c r="P1672" s="27">
        <f t="shared" si="55"/>
        <v>0</v>
      </c>
      <c r="Q1672" s="27">
        <f t="shared" si="54"/>
        <v>0</v>
      </c>
    </row>
    <row r="1673" spans="2:17" x14ac:dyDescent="0.45">
      <c r="B1673" s="27" t="str">
        <f>IFERROR(VLOOKUP(A1673,القائمة!$A$3:$F$112,2,FALSE),"")</f>
        <v/>
      </c>
      <c r="C1673" s="27" t="str">
        <f>IFERROR(VLOOKUP(A1673,القائمة!$A$3:$F$112,3,FALSE),"")</f>
        <v/>
      </c>
      <c r="D1673" s="36" t="str">
        <f>IFERROR(VLOOKUP(A1673,القائمة!$A$3:$F$112,4,FALSE),"")</f>
        <v/>
      </c>
      <c r="E1673" s="36" t="str">
        <f>IFERROR(VLOOKUP(A1673,القائمة!$A$3:$F$112,5,FALSE),"")</f>
        <v/>
      </c>
      <c r="F1673" s="37" t="str">
        <f>IFERROR(VLOOKUP(A1673,القائمة!$A$3:$F$112,6,FALSE),"")</f>
        <v/>
      </c>
      <c r="P1673" s="27">
        <f t="shared" si="55"/>
        <v>0</v>
      </c>
      <c r="Q1673" s="27">
        <f t="shared" si="54"/>
        <v>0</v>
      </c>
    </row>
    <row r="1674" spans="2:17" x14ac:dyDescent="0.45">
      <c r="B1674" s="27" t="str">
        <f>IFERROR(VLOOKUP(A1674,القائمة!$A$3:$F$112,2,FALSE),"")</f>
        <v/>
      </c>
      <c r="C1674" s="27" t="str">
        <f>IFERROR(VLOOKUP(A1674,القائمة!$A$3:$F$112,3,FALSE),"")</f>
        <v/>
      </c>
      <c r="D1674" s="36" t="str">
        <f>IFERROR(VLOOKUP(A1674,القائمة!$A$3:$F$112,4,FALSE),"")</f>
        <v/>
      </c>
      <c r="E1674" s="36" t="str">
        <f>IFERROR(VLOOKUP(A1674,القائمة!$A$3:$F$112,5,FALSE),"")</f>
        <v/>
      </c>
      <c r="F1674" s="37" t="str">
        <f>IFERROR(VLOOKUP(A1674,القائمة!$A$3:$F$112,6,FALSE),"")</f>
        <v/>
      </c>
      <c r="P1674" s="27">
        <f t="shared" si="55"/>
        <v>0</v>
      </c>
      <c r="Q1674" s="27">
        <f t="shared" si="54"/>
        <v>0</v>
      </c>
    </row>
    <row r="1675" spans="2:17" x14ac:dyDescent="0.45">
      <c r="B1675" s="27" t="str">
        <f>IFERROR(VLOOKUP(A1675,القائمة!$A$3:$F$112,2,FALSE),"")</f>
        <v/>
      </c>
      <c r="C1675" s="27" t="str">
        <f>IFERROR(VLOOKUP(A1675,القائمة!$A$3:$F$112,3,FALSE),"")</f>
        <v/>
      </c>
      <c r="D1675" s="36" t="str">
        <f>IFERROR(VLOOKUP(A1675,القائمة!$A$3:$F$112,4,FALSE),"")</f>
        <v/>
      </c>
      <c r="E1675" s="36" t="str">
        <f>IFERROR(VLOOKUP(A1675,القائمة!$A$3:$F$112,5,FALSE),"")</f>
        <v/>
      </c>
      <c r="F1675" s="37" t="str">
        <f>IFERROR(VLOOKUP(A1675,القائمة!$A$3:$F$112,6,FALSE),"")</f>
        <v/>
      </c>
      <c r="P1675" s="27">
        <f t="shared" si="55"/>
        <v>0</v>
      </c>
      <c r="Q1675" s="27">
        <f t="shared" si="54"/>
        <v>0</v>
      </c>
    </row>
    <row r="1676" spans="2:17" x14ac:dyDescent="0.45">
      <c r="B1676" s="27" t="str">
        <f>IFERROR(VLOOKUP(A1676,القائمة!$A$3:$F$112,2,FALSE),"")</f>
        <v/>
      </c>
      <c r="C1676" s="27" t="str">
        <f>IFERROR(VLOOKUP(A1676,القائمة!$A$3:$F$112,3,FALSE),"")</f>
        <v/>
      </c>
      <c r="D1676" s="36" t="str">
        <f>IFERROR(VLOOKUP(A1676,القائمة!$A$3:$F$112,4,FALSE),"")</f>
        <v/>
      </c>
      <c r="E1676" s="36" t="str">
        <f>IFERROR(VLOOKUP(A1676,القائمة!$A$3:$F$112,5,FALSE),"")</f>
        <v/>
      </c>
      <c r="F1676" s="37" t="str">
        <f>IFERROR(VLOOKUP(A1676,القائمة!$A$3:$F$112,6,FALSE),"")</f>
        <v/>
      </c>
      <c r="P1676" s="27">
        <f t="shared" si="55"/>
        <v>0</v>
      </c>
      <c r="Q1676" s="27">
        <f t="shared" si="54"/>
        <v>0</v>
      </c>
    </row>
    <row r="1677" spans="2:17" x14ac:dyDescent="0.45">
      <c r="B1677" s="27" t="str">
        <f>IFERROR(VLOOKUP(A1677,القائمة!$A$3:$F$112,2,FALSE),"")</f>
        <v/>
      </c>
      <c r="C1677" s="27" t="str">
        <f>IFERROR(VLOOKUP(A1677,القائمة!$A$3:$F$112,3,FALSE),"")</f>
        <v/>
      </c>
      <c r="D1677" s="36" t="str">
        <f>IFERROR(VLOOKUP(A1677,القائمة!$A$3:$F$112,4,FALSE),"")</f>
        <v/>
      </c>
      <c r="E1677" s="36" t="str">
        <f>IFERROR(VLOOKUP(A1677,القائمة!$A$3:$F$112,5,FALSE),"")</f>
        <v/>
      </c>
      <c r="F1677" s="37" t="str">
        <f>IFERROR(VLOOKUP(A1677,القائمة!$A$3:$F$112,6,FALSE),"")</f>
        <v/>
      </c>
      <c r="P1677" s="27">
        <f t="shared" si="55"/>
        <v>0</v>
      </c>
      <c r="Q1677" s="27">
        <f t="shared" si="54"/>
        <v>0</v>
      </c>
    </row>
    <row r="1678" spans="2:17" x14ac:dyDescent="0.45">
      <c r="B1678" s="27" t="str">
        <f>IFERROR(VLOOKUP(A1678,القائمة!$A$3:$F$112,2,FALSE),"")</f>
        <v/>
      </c>
      <c r="C1678" s="27" t="str">
        <f>IFERROR(VLOOKUP(A1678,القائمة!$A$3:$F$112,3,FALSE),"")</f>
        <v/>
      </c>
      <c r="D1678" s="36" t="str">
        <f>IFERROR(VLOOKUP(A1678,القائمة!$A$3:$F$112,4,FALSE),"")</f>
        <v/>
      </c>
      <c r="E1678" s="36" t="str">
        <f>IFERROR(VLOOKUP(A1678,القائمة!$A$3:$F$112,5,FALSE),"")</f>
        <v/>
      </c>
      <c r="F1678" s="37" t="str">
        <f>IFERROR(VLOOKUP(A1678,القائمة!$A$3:$F$112,6,FALSE),"")</f>
        <v/>
      </c>
      <c r="P1678" s="27">
        <f t="shared" si="55"/>
        <v>0</v>
      </c>
      <c r="Q1678" s="27">
        <f t="shared" si="54"/>
        <v>0</v>
      </c>
    </row>
    <row r="1679" spans="2:17" x14ac:dyDescent="0.45">
      <c r="B1679" s="27" t="str">
        <f>IFERROR(VLOOKUP(A1679,القائمة!$A$3:$F$112,2,FALSE),"")</f>
        <v/>
      </c>
      <c r="C1679" s="27" t="str">
        <f>IFERROR(VLOOKUP(A1679,القائمة!$A$3:$F$112,3,FALSE),"")</f>
        <v/>
      </c>
      <c r="D1679" s="36" t="str">
        <f>IFERROR(VLOOKUP(A1679,القائمة!$A$3:$F$112,4,FALSE),"")</f>
        <v/>
      </c>
      <c r="E1679" s="36" t="str">
        <f>IFERROR(VLOOKUP(A1679,القائمة!$A$3:$F$112,5,FALSE),"")</f>
        <v/>
      </c>
      <c r="F1679" s="37" t="str">
        <f>IFERROR(VLOOKUP(A1679,القائمة!$A$3:$F$112,6,FALSE),"")</f>
        <v/>
      </c>
      <c r="P1679" s="27">
        <f t="shared" si="55"/>
        <v>0</v>
      </c>
      <c r="Q1679" s="27">
        <f t="shared" si="54"/>
        <v>0</v>
      </c>
    </row>
    <row r="1680" spans="2:17" x14ac:dyDescent="0.45">
      <c r="B1680" s="27" t="str">
        <f>IFERROR(VLOOKUP(A1680,القائمة!$A$3:$F$112,2,FALSE),"")</f>
        <v/>
      </c>
      <c r="C1680" s="27" t="str">
        <f>IFERROR(VLOOKUP(A1680,القائمة!$A$3:$F$112,3,FALSE),"")</f>
        <v/>
      </c>
      <c r="D1680" s="36" t="str">
        <f>IFERROR(VLOOKUP(A1680,القائمة!$A$3:$F$112,4,FALSE),"")</f>
        <v/>
      </c>
      <c r="E1680" s="36" t="str">
        <f>IFERROR(VLOOKUP(A1680,القائمة!$A$3:$F$112,5,FALSE),"")</f>
        <v/>
      </c>
      <c r="F1680" s="37" t="str">
        <f>IFERROR(VLOOKUP(A1680,القائمة!$A$3:$F$112,6,FALSE),"")</f>
        <v/>
      </c>
      <c r="P1680" s="27">
        <f t="shared" si="55"/>
        <v>0</v>
      </c>
      <c r="Q1680" s="27">
        <f t="shared" si="54"/>
        <v>0</v>
      </c>
    </row>
    <row r="1681" spans="2:17" x14ac:dyDescent="0.45">
      <c r="B1681" s="27" t="str">
        <f>IFERROR(VLOOKUP(A1681,القائمة!$A$3:$F$112,2,FALSE),"")</f>
        <v/>
      </c>
      <c r="C1681" s="27" t="str">
        <f>IFERROR(VLOOKUP(A1681,القائمة!$A$3:$F$112,3,FALSE),"")</f>
        <v/>
      </c>
      <c r="D1681" s="36" t="str">
        <f>IFERROR(VLOOKUP(A1681,القائمة!$A$3:$F$112,4,FALSE),"")</f>
        <v/>
      </c>
      <c r="E1681" s="36" t="str">
        <f>IFERROR(VLOOKUP(A1681,القائمة!$A$3:$F$112,5,FALSE),"")</f>
        <v/>
      </c>
      <c r="F1681" s="37" t="str">
        <f>IFERROR(VLOOKUP(A1681,القائمة!$A$3:$F$112,6,FALSE),"")</f>
        <v/>
      </c>
      <c r="P1681" s="27">
        <f t="shared" si="55"/>
        <v>0</v>
      </c>
      <c r="Q1681" s="27">
        <f t="shared" si="54"/>
        <v>0</v>
      </c>
    </row>
    <row r="1682" spans="2:17" x14ac:dyDescent="0.45">
      <c r="B1682" s="27" t="str">
        <f>IFERROR(VLOOKUP(A1682,القائمة!$A$3:$F$112,2,FALSE),"")</f>
        <v/>
      </c>
      <c r="C1682" s="27" t="str">
        <f>IFERROR(VLOOKUP(A1682,القائمة!$A$3:$F$112,3,FALSE),"")</f>
        <v/>
      </c>
      <c r="D1682" s="36" t="str">
        <f>IFERROR(VLOOKUP(A1682,القائمة!$A$3:$F$112,4,FALSE),"")</f>
        <v/>
      </c>
      <c r="E1682" s="36" t="str">
        <f>IFERROR(VLOOKUP(A1682,القائمة!$A$3:$F$112,5,FALSE),"")</f>
        <v/>
      </c>
      <c r="F1682" s="37" t="str">
        <f>IFERROR(VLOOKUP(A1682,القائمة!$A$3:$F$112,6,FALSE),"")</f>
        <v/>
      </c>
      <c r="P1682" s="27">
        <f t="shared" si="55"/>
        <v>0</v>
      </c>
      <c r="Q1682" s="27">
        <f t="shared" si="54"/>
        <v>0</v>
      </c>
    </row>
    <row r="1683" spans="2:17" x14ac:dyDescent="0.45">
      <c r="B1683" s="27" t="str">
        <f>IFERROR(VLOOKUP(A1683,القائمة!$A$3:$F$112,2,FALSE),"")</f>
        <v/>
      </c>
      <c r="C1683" s="27" t="str">
        <f>IFERROR(VLOOKUP(A1683,القائمة!$A$3:$F$112,3,FALSE),"")</f>
        <v/>
      </c>
      <c r="D1683" s="36" t="str">
        <f>IFERROR(VLOOKUP(A1683,القائمة!$A$3:$F$112,4,FALSE),"")</f>
        <v/>
      </c>
      <c r="E1683" s="36" t="str">
        <f>IFERROR(VLOOKUP(A1683,القائمة!$A$3:$F$112,5,FALSE),"")</f>
        <v/>
      </c>
      <c r="F1683" s="37" t="str">
        <f>IFERROR(VLOOKUP(A1683,القائمة!$A$3:$F$112,6,FALSE),"")</f>
        <v/>
      </c>
      <c r="P1683" s="27">
        <f t="shared" si="55"/>
        <v>0</v>
      </c>
      <c r="Q1683" s="27">
        <f t="shared" si="54"/>
        <v>0</v>
      </c>
    </row>
    <row r="1684" spans="2:17" x14ac:dyDescent="0.45">
      <c r="B1684" s="27" t="str">
        <f>IFERROR(VLOOKUP(A1684,القائمة!$A$3:$F$112,2,FALSE),"")</f>
        <v/>
      </c>
      <c r="C1684" s="27" t="str">
        <f>IFERROR(VLOOKUP(A1684,القائمة!$A$3:$F$112,3,FALSE),"")</f>
        <v/>
      </c>
      <c r="D1684" s="36" t="str">
        <f>IFERROR(VLOOKUP(A1684,القائمة!$A$3:$F$112,4,FALSE),"")</f>
        <v/>
      </c>
      <c r="E1684" s="36" t="str">
        <f>IFERROR(VLOOKUP(A1684,القائمة!$A$3:$F$112,5,FALSE),"")</f>
        <v/>
      </c>
      <c r="F1684" s="37" t="str">
        <f>IFERROR(VLOOKUP(A1684,القائمة!$A$3:$F$112,6,FALSE),"")</f>
        <v/>
      </c>
      <c r="P1684" s="27">
        <f t="shared" si="55"/>
        <v>0</v>
      </c>
      <c r="Q1684" s="27">
        <f t="shared" si="54"/>
        <v>0</v>
      </c>
    </row>
    <row r="1685" spans="2:17" x14ac:dyDescent="0.45">
      <c r="B1685" s="27" t="str">
        <f>IFERROR(VLOOKUP(A1685,القائمة!$A$3:$F$112,2,FALSE),"")</f>
        <v/>
      </c>
      <c r="C1685" s="27" t="str">
        <f>IFERROR(VLOOKUP(A1685,القائمة!$A$3:$F$112,3,FALSE),"")</f>
        <v/>
      </c>
      <c r="D1685" s="36" t="str">
        <f>IFERROR(VLOOKUP(A1685,القائمة!$A$3:$F$112,4,FALSE),"")</f>
        <v/>
      </c>
      <c r="E1685" s="36" t="str">
        <f>IFERROR(VLOOKUP(A1685,القائمة!$A$3:$F$112,5,FALSE),"")</f>
        <v/>
      </c>
      <c r="F1685" s="37" t="str">
        <f>IFERROR(VLOOKUP(A1685,القائمة!$A$3:$F$112,6,FALSE),"")</f>
        <v/>
      </c>
      <c r="P1685" s="27">
        <f t="shared" si="55"/>
        <v>0</v>
      </c>
      <c r="Q1685" s="27">
        <f t="shared" si="54"/>
        <v>0</v>
      </c>
    </row>
    <row r="1686" spans="2:17" x14ac:dyDescent="0.45">
      <c r="B1686" s="27" t="str">
        <f>IFERROR(VLOOKUP(A1686,القائمة!$A$3:$F$112,2,FALSE),"")</f>
        <v/>
      </c>
      <c r="C1686" s="27" t="str">
        <f>IFERROR(VLOOKUP(A1686,القائمة!$A$3:$F$112,3,FALSE),"")</f>
        <v/>
      </c>
      <c r="D1686" s="36" t="str">
        <f>IFERROR(VLOOKUP(A1686,القائمة!$A$3:$F$112,4,FALSE),"")</f>
        <v/>
      </c>
      <c r="E1686" s="36" t="str">
        <f>IFERROR(VLOOKUP(A1686,القائمة!$A$3:$F$112,5,FALSE),"")</f>
        <v/>
      </c>
      <c r="F1686" s="37" t="str">
        <f>IFERROR(VLOOKUP(A1686,القائمة!$A$3:$F$112,6,FALSE),"")</f>
        <v/>
      </c>
      <c r="P1686" s="27">
        <f t="shared" si="55"/>
        <v>0</v>
      </c>
      <c r="Q1686" s="27">
        <f t="shared" si="54"/>
        <v>0</v>
      </c>
    </row>
    <row r="1687" spans="2:17" x14ac:dyDescent="0.45">
      <c r="B1687" s="27" t="str">
        <f>IFERROR(VLOOKUP(A1687,القائمة!$A$3:$F$112,2,FALSE),"")</f>
        <v/>
      </c>
      <c r="C1687" s="27" t="str">
        <f>IFERROR(VLOOKUP(A1687,القائمة!$A$3:$F$112,3,FALSE),"")</f>
        <v/>
      </c>
      <c r="D1687" s="36" t="str">
        <f>IFERROR(VLOOKUP(A1687,القائمة!$A$3:$F$112,4,FALSE),"")</f>
        <v/>
      </c>
      <c r="E1687" s="36" t="str">
        <f>IFERROR(VLOOKUP(A1687,القائمة!$A$3:$F$112,5,FALSE),"")</f>
        <v/>
      </c>
      <c r="F1687" s="37" t="str">
        <f>IFERROR(VLOOKUP(A1687,القائمة!$A$3:$F$112,6,FALSE),"")</f>
        <v/>
      </c>
      <c r="P1687" s="27">
        <f t="shared" si="55"/>
        <v>0</v>
      </c>
      <c r="Q1687" s="27">
        <f t="shared" si="54"/>
        <v>0</v>
      </c>
    </row>
    <row r="1688" spans="2:17" x14ac:dyDescent="0.45">
      <c r="B1688" s="27" t="str">
        <f>IFERROR(VLOOKUP(A1688,القائمة!$A$3:$F$112,2,FALSE),"")</f>
        <v/>
      </c>
      <c r="C1688" s="27" t="str">
        <f>IFERROR(VLOOKUP(A1688,القائمة!$A$3:$F$112,3,FALSE),"")</f>
        <v/>
      </c>
      <c r="D1688" s="36" t="str">
        <f>IFERROR(VLOOKUP(A1688,القائمة!$A$3:$F$112,4,FALSE),"")</f>
        <v/>
      </c>
      <c r="E1688" s="36" t="str">
        <f>IFERROR(VLOOKUP(A1688,القائمة!$A$3:$F$112,5,FALSE),"")</f>
        <v/>
      </c>
      <c r="F1688" s="37" t="str">
        <f>IFERROR(VLOOKUP(A1688,القائمة!$A$3:$F$112,6,FALSE),"")</f>
        <v/>
      </c>
      <c r="P1688" s="27">
        <f t="shared" si="55"/>
        <v>0</v>
      </c>
      <c r="Q1688" s="27">
        <f t="shared" si="54"/>
        <v>0</v>
      </c>
    </row>
    <row r="1689" spans="2:17" x14ac:dyDescent="0.45">
      <c r="B1689" s="27" t="str">
        <f>IFERROR(VLOOKUP(A1689,القائمة!$A$3:$F$112,2,FALSE),"")</f>
        <v/>
      </c>
      <c r="C1689" s="27" t="str">
        <f>IFERROR(VLOOKUP(A1689,القائمة!$A$3:$F$112,3,FALSE),"")</f>
        <v/>
      </c>
      <c r="D1689" s="36" t="str">
        <f>IFERROR(VLOOKUP(A1689,القائمة!$A$3:$F$112,4,FALSE),"")</f>
        <v/>
      </c>
      <c r="E1689" s="36" t="str">
        <f>IFERROR(VLOOKUP(A1689,القائمة!$A$3:$F$112,5,FALSE),"")</f>
        <v/>
      </c>
      <c r="F1689" s="37" t="str">
        <f>IFERROR(VLOOKUP(A1689,القائمة!$A$3:$F$112,6,FALSE),"")</f>
        <v/>
      </c>
      <c r="P1689" s="27">
        <f t="shared" si="55"/>
        <v>0</v>
      </c>
      <c r="Q1689" s="27">
        <f t="shared" si="54"/>
        <v>0</v>
      </c>
    </row>
    <row r="1690" spans="2:17" x14ac:dyDescent="0.45">
      <c r="B1690" s="27" t="str">
        <f>IFERROR(VLOOKUP(A1690,القائمة!$A$3:$F$112,2,FALSE),"")</f>
        <v/>
      </c>
      <c r="C1690" s="27" t="str">
        <f>IFERROR(VLOOKUP(A1690,القائمة!$A$3:$F$112,3,FALSE),"")</f>
        <v/>
      </c>
      <c r="D1690" s="36" t="str">
        <f>IFERROR(VLOOKUP(A1690,القائمة!$A$3:$F$112,4,FALSE),"")</f>
        <v/>
      </c>
      <c r="E1690" s="36" t="str">
        <f>IFERROR(VLOOKUP(A1690,القائمة!$A$3:$F$112,5,FALSE),"")</f>
        <v/>
      </c>
      <c r="F1690" s="37" t="str">
        <f>IFERROR(VLOOKUP(A1690,القائمة!$A$3:$F$112,6,FALSE),"")</f>
        <v/>
      </c>
      <c r="P1690" s="27">
        <f t="shared" si="55"/>
        <v>0</v>
      </c>
      <c r="Q1690" s="27">
        <f t="shared" si="54"/>
        <v>0</v>
      </c>
    </row>
    <row r="1691" spans="2:17" x14ac:dyDescent="0.45">
      <c r="B1691" s="27" t="str">
        <f>IFERROR(VLOOKUP(A1691,القائمة!$A$3:$F$112,2,FALSE),"")</f>
        <v/>
      </c>
      <c r="C1691" s="27" t="str">
        <f>IFERROR(VLOOKUP(A1691,القائمة!$A$3:$F$112,3,FALSE),"")</f>
        <v/>
      </c>
      <c r="D1691" s="36" t="str">
        <f>IFERROR(VLOOKUP(A1691,القائمة!$A$3:$F$112,4,FALSE),"")</f>
        <v/>
      </c>
      <c r="E1691" s="36" t="str">
        <f>IFERROR(VLOOKUP(A1691,القائمة!$A$3:$F$112,5,FALSE),"")</f>
        <v/>
      </c>
      <c r="F1691" s="37" t="str">
        <f>IFERROR(VLOOKUP(A1691,القائمة!$A$3:$F$112,6,FALSE),"")</f>
        <v/>
      </c>
      <c r="P1691" s="27">
        <f t="shared" si="55"/>
        <v>0</v>
      </c>
      <c r="Q1691" s="27">
        <f t="shared" si="54"/>
        <v>0</v>
      </c>
    </row>
    <row r="1692" spans="2:17" x14ac:dyDescent="0.45">
      <c r="B1692" s="27" t="str">
        <f>IFERROR(VLOOKUP(A1692,القائمة!$A$3:$F$112,2,FALSE),"")</f>
        <v/>
      </c>
      <c r="C1692" s="27" t="str">
        <f>IFERROR(VLOOKUP(A1692,القائمة!$A$3:$F$112,3,FALSE),"")</f>
        <v/>
      </c>
      <c r="D1692" s="36" t="str">
        <f>IFERROR(VLOOKUP(A1692,القائمة!$A$3:$F$112,4,FALSE),"")</f>
        <v/>
      </c>
      <c r="E1692" s="36" t="str">
        <f>IFERROR(VLOOKUP(A1692,القائمة!$A$3:$F$112,5,FALSE),"")</f>
        <v/>
      </c>
      <c r="F1692" s="37" t="str">
        <f>IFERROR(VLOOKUP(A1692,القائمة!$A$3:$F$112,6,FALSE),"")</f>
        <v/>
      </c>
      <c r="P1692" s="27">
        <f t="shared" si="55"/>
        <v>0</v>
      </c>
      <c r="Q1692" s="27">
        <f t="shared" si="54"/>
        <v>0</v>
      </c>
    </row>
    <row r="1693" spans="2:17" x14ac:dyDescent="0.45">
      <c r="B1693" s="27" t="str">
        <f>IFERROR(VLOOKUP(A1693,القائمة!$A$3:$F$112,2,FALSE),"")</f>
        <v/>
      </c>
      <c r="C1693" s="27" t="str">
        <f>IFERROR(VLOOKUP(A1693,القائمة!$A$3:$F$112,3,FALSE),"")</f>
        <v/>
      </c>
      <c r="D1693" s="36" t="str">
        <f>IFERROR(VLOOKUP(A1693,القائمة!$A$3:$F$112,4,FALSE),"")</f>
        <v/>
      </c>
      <c r="E1693" s="36" t="str">
        <f>IFERROR(VLOOKUP(A1693,القائمة!$A$3:$F$112,5,FALSE),"")</f>
        <v/>
      </c>
      <c r="F1693" s="37" t="str">
        <f>IFERROR(VLOOKUP(A1693,القائمة!$A$3:$F$112,6,FALSE),"")</f>
        <v/>
      </c>
      <c r="P1693" s="27">
        <f t="shared" si="55"/>
        <v>0</v>
      </c>
      <c r="Q1693" s="27">
        <f t="shared" si="54"/>
        <v>0</v>
      </c>
    </row>
    <row r="1694" spans="2:17" x14ac:dyDescent="0.45">
      <c r="B1694" s="27" t="str">
        <f>IFERROR(VLOOKUP(A1694,القائمة!$A$3:$F$112,2,FALSE),"")</f>
        <v/>
      </c>
      <c r="C1694" s="27" t="str">
        <f>IFERROR(VLOOKUP(A1694,القائمة!$A$3:$F$112,3,FALSE),"")</f>
        <v/>
      </c>
      <c r="D1694" s="36" t="str">
        <f>IFERROR(VLOOKUP(A1694,القائمة!$A$3:$F$112,4,FALSE),"")</f>
        <v/>
      </c>
      <c r="E1694" s="36" t="str">
        <f>IFERROR(VLOOKUP(A1694,القائمة!$A$3:$F$112,5,FALSE),"")</f>
        <v/>
      </c>
      <c r="F1694" s="37" t="str">
        <f>IFERROR(VLOOKUP(A1694,القائمة!$A$3:$F$112,6,FALSE),"")</f>
        <v/>
      </c>
      <c r="P1694" s="27">
        <f t="shared" si="55"/>
        <v>0</v>
      </c>
      <c r="Q1694" s="27">
        <f t="shared" si="54"/>
        <v>0</v>
      </c>
    </row>
    <row r="1695" spans="2:17" x14ac:dyDescent="0.45">
      <c r="B1695" s="27" t="str">
        <f>IFERROR(VLOOKUP(A1695,القائمة!$A$3:$F$112,2,FALSE),"")</f>
        <v/>
      </c>
      <c r="C1695" s="27" t="str">
        <f>IFERROR(VLOOKUP(A1695,القائمة!$A$3:$F$112,3,FALSE),"")</f>
        <v/>
      </c>
      <c r="D1695" s="36" t="str">
        <f>IFERROR(VLOOKUP(A1695,القائمة!$A$3:$F$112,4,FALSE),"")</f>
        <v/>
      </c>
      <c r="E1695" s="36" t="str">
        <f>IFERROR(VLOOKUP(A1695,القائمة!$A$3:$F$112,5,FALSE),"")</f>
        <v/>
      </c>
      <c r="F1695" s="37" t="str">
        <f>IFERROR(VLOOKUP(A1695,القائمة!$A$3:$F$112,6,FALSE),"")</f>
        <v/>
      </c>
      <c r="P1695" s="27">
        <f t="shared" si="55"/>
        <v>0</v>
      </c>
      <c r="Q1695" s="27">
        <f t="shared" si="54"/>
        <v>0</v>
      </c>
    </row>
    <row r="1696" spans="2:17" x14ac:dyDescent="0.45">
      <c r="B1696" s="27" t="str">
        <f>IFERROR(VLOOKUP(A1696,القائمة!$A$3:$F$112,2,FALSE),"")</f>
        <v/>
      </c>
      <c r="C1696" s="27" t="str">
        <f>IFERROR(VLOOKUP(A1696,القائمة!$A$3:$F$112,3,FALSE),"")</f>
        <v/>
      </c>
      <c r="D1696" s="36" t="str">
        <f>IFERROR(VLOOKUP(A1696,القائمة!$A$3:$F$112,4,FALSE),"")</f>
        <v/>
      </c>
      <c r="E1696" s="36" t="str">
        <f>IFERROR(VLOOKUP(A1696,القائمة!$A$3:$F$112,5,FALSE),"")</f>
        <v/>
      </c>
      <c r="F1696" s="37" t="str">
        <f>IFERROR(VLOOKUP(A1696,القائمة!$A$3:$F$112,6,FALSE),"")</f>
        <v/>
      </c>
      <c r="P1696" s="27">
        <f t="shared" si="55"/>
        <v>0</v>
      </c>
      <c r="Q1696" s="27">
        <f t="shared" si="54"/>
        <v>0</v>
      </c>
    </row>
    <row r="1697" spans="2:17" x14ac:dyDescent="0.45">
      <c r="B1697" s="27" t="str">
        <f>IFERROR(VLOOKUP(A1697,القائمة!$A$3:$F$112,2,FALSE),"")</f>
        <v/>
      </c>
      <c r="C1697" s="27" t="str">
        <f>IFERROR(VLOOKUP(A1697,القائمة!$A$3:$F$112,3,FALSE),"")</f>
        <v/>
      </c>
      <c r="D1697" s="36" t="str">
        <f>IFERROR(VLOOKUP(A1697,القائمة!$A$3:$F$112,4,FALSE),"")</f>
        <v/>
      </c>
      <c r="E1697" s="36" t="str">
        <f>IFERROR(VLOOKUP(A1697,القائمة!$A$3:$F$112,5,FALSE),"")</f>
        <v/>
      </c>
      <c r="F1697" s="37" t="str">
        <f>IFERROR(VLOOKUP(A1697,القائمة!$A$3:$F$112,6,FALSE),"")</f>
        <v/>
      </c>
      <c r="P1697" s="27">
        <f t="shared" si="55"/>
        <v>0</v>
      </c>
      <c r="Q1697" s="27">
        <f t="shared" si="54"/>
        <v>0</v>
      </c>
    </row>
    <row r="1698" spans="2:17" x14ac:dyDescent="0.45">
      <c r="B1698" s="27" t="str">
        <f>IFERROR(VLOOKUP(A1698,القائمة!$A$3:$F$112,2,FALSE),"")</f>
        <v/>
      </c>
      <c r="C1698" s="27" t="str">
        <f>IFERROR(VLOOKUP(A1698,القائمة!$A$3:$F$112,3,FALSE),"")</f>
        <v/>
      </c>
      <c r="D1698" s="36" t="str">
        <f>IFERROR(VLOOKUP(A1698,القائمة!$A$3:$F$112,4,FALSE),"")</f>
        <v/>
      </c>
      <c r="E1698" s="36" t="str">
        <f>IFERROR(VLOOKUP(A1698,القائمة!$A$3:$F$112,5,FALSE),"")</f>
        <v/>
      </c>
      <c r="F1698" s="37" t="str">
        <f>IFERROR(VLOOKUP(A1698,القائمة!$A$3:$F$112,6,FALSE),"")</f>
        <v/>
      </c>
      <c r="P1698" s="27">
        <f t="shared" si="55"/>
        <v>0</v>
      </c>
      <c r="Q1698" s="27">
        <f t="shared" si="54"/>
        <v>0</v>
      </c>
    </row>
    <row r="1699" spans="2:17" x14ac:dyDescent="0.45">
      <c r="B1699" s="27" t="str">
        <f>IFERROR(VLOOKUP(A1699,القائمة!$A$3:$F$112,2,FALSE),"")</f>
        <v/>
      </c>
      <c r="C1699" s="27" t="str">
        <f>IFERROR(VLOOKUP(A1699,القائمة!$A$3:$F$112,3,FALSE),"")</f>
        <v/>
      </c>
      <c r="D1699" s="36" t="str">
        <f>IFERROR(VLOOKUP(A1699,القائمة!$A$3:$F$112,4,FALSE),"")</f>
        <v/>
      </c>
      <c r="E1699" s="36" t="str">
        <f>IFERROR(VLOOKUP(A1699,القائمة!$A$3:$F$112,5,FALSE),"")</f>
        <v/>
      </c>
      <c r="F1699" s="37" t="str">
        <f>IFERROR(VLOOKUP(A1699,القائمة!$A$3:$F$112,6,FALSE),"")</f>
        <v/>
      </c>
      <c r="P1699" s="27">
        <f t="shared" si="55"/>
        <v>0</v>
      </c>
      <c r="Q1699" s="27">
        <f t="shared" si="54"/>
        <v>0</v>
      </c>
    </row>
    <row r="1700" spans="2:17" x14ac:dyDescent="0.45">
      <c r="B1700" s="27" t="str">
        <f>IFERROR(VLOOKUP(A1700,القائمة!$A$3:$F$112,2,FALSE),"")</f>
        <v/>
      </c>
      <c r="C1700" s="27" t="str">
        <f>IFERROR(VLOOKUP(A1700,القائمة!$A$3:$F$112,3,FALSE),"")</f>
        <v/>
      </c>
      <c r="D1700" s="36" t="str">
        <f>IFERROR(VLOOKUP(A1700,القائمة!$A$3:$F$112,4,FALSE),"")</f>
        <v/>
      </c>
      <c r="E1700" s="36" t="str">
        <f>IFERROR(VLOOKUP(A1700,القائمة!$A$3:$F$112,5,FALSE),"")</f>
        <v/>
      </c>
      <c r="F1700" s="37" t="str">
        <f>IFERROR(VLOOKUP(A1700,القائمة!$A$3:$F$112,6,FALSE),"")</f>
        <v/>
      </c>
      <c r="P1700" s="27">
        <f t="shared" si="55"/>
        <v>0</v>
      </c>
      <c r="Q1700" s="27">
        <f t="shared" si="54"/>
        <v>0</v>
      </c>
    </row>
    <row r="1701" spans="2:17" x14ac:dyDescent="0.45">
      <c r="B1701" s="27" t="str">
        <f>IFERROR(VLOOKUP(A1701,القائمة!$A$3:$F$112,2,FALSE),"")</f>
        <v/>
      </c>
      <c r="C1701" s="27" t="str">
        <f>IFERROR(VLOOKUP(A1701,القائمة!$A$3:$F$112,3,FALSE),"")</f>
        <v/>
      </c>
      <c r="D1701" s="36" t="str">
        <f>IFERROR(VLOOKUP(A1701,القائمة!$A$3:$F$112,4,FALSE),"")</f>
        <v/>
      </c>
      <c r="E1701" s="36" t="str">
        <f>IFERROR(VLOOKUP(A1701,القائمة!$A$3:$F$112,5,FALSE),"")</f>
        <v/>
      </c>
      <c r="F1701" s="37" t="str">
        <f>IFERROR(VLOOKUP(A1701,القائمة!$A$3:$F$112,6,FALSE),"")</f>
        <v/>
      </c>
      <c r="P1701" s="27">
        <f t="shared" si="55"/>
        <v>0</v>
      </c>
      <c r="Q1701" s="27">
        <f t="shared" si="54"/>
        <v>0</v>
      </c>
    </row>
    <row r="1702" spans="2:17" x14ac:dyDescent="0.45">
      <c r="B1702" s="27" t="str">
        <f>IFERROR(VLOOKUP(A1702,القائمة!$A$3:$F$112,2,FALSE),"")</f>
        <v/>
      </c>
      <c r="C1702" s="27" t="str">
        <f>IFERROR(VLOOKUP(A1702,القائمة!$A$3:$F$112,3,FALSE),"")</f>
        <v/>
      </c>
      <c r="D1702" s="36" t="str">
        <f>IFERROR(VLOOKUP(A1702,القائمة!$A$3:$F$112,4,FALSE),"")</f>
        <v/>
      </c>
      <c r="E1702" s="36" t="str">
        <f>IFERROR(VLOOKUP(A1702,القائمة!$A$3:$F$112,5,FALSE),"")</f>
        <v/>
      </c>
      <c r="F1702" s="37" t="str">
        <f>IFERROR(VLOOKUP(A1702,القائمة!$A$3:$F$112,6,FALSE),"")</f>
        <v/>
      </c>
      <c r="P1702" s="27">
        <f t="shared" si="55"/>
        <v>0</v>
      </c>
      <c r="Q1702" s="27">
        <f t="shared" si="54"/>
        <v>0</v>
      </c>
    </row>
    <row r="1703" spans="2:17" x14ac:dyDescent="0.45">
      <c r="B1703" s="27" t="str">
        <f>IFERROR(VLOOKUP(A1703,القائمة!$A$3:$F$112,2,FALSE),"")</f>
        <v/>
      </c>
      <c r="C1703" s="27" t="str">
        <f>IFERROR(VLOOKUP(A1703,القائمة!$A$3:$F$112,3,FALSE),"")</f>
        <v/>
      </c>
      <c r="D1703" s="36" t="str">
        <f>IFERROR(VLOOKUP(A1703,القائمة!$A$3:$F$112,4,FALSE),"")</f>
        <v/>
      </c>
      <c r="E1703" s="36" t="str">
        <f>IFERROR(VLOOKUP(A1703,القائمة!$A$3:$F$112,5,FALSE),"")</f>
        <v/>
      </c>
      <c r="F1703" s="37" t="str">
        <f>IFERROR(VLOOKUP(A1703,القائمة!$A$3:$F$112,6,FALSE),"")</f>
        <v/>
      </c>
      <c r="P1703" s="27">
        <f t="shared" si="55"/>
        <v>0</v>
      </c>
      <c r="Q1703" s="27">
        <f t="shared" si="54"/>
        <v>0</v>
      </c>
    </row>
    <row r="1704" spans="2:17" x14ac:dyDescent="0.45">
      <c r="B1704" s="27" t="str">
        <f>IFERROR(VLOOKUP(A1704,القائمة!$A$3:$F$112,2,FALSE),"")</f>
        <v/>
      </c>
      <c r="C1704" s="27" t="str">
        <f>IFERROR(VLOOKUP(A1704,القائمة!$A$3:$F$112,3,FALSE),"")</f>
        <v/>
      </c>
      <c r="D1704" s="36" t="str">
        <f>IFERROR(VLOOKUP(A1704,القائمة!$A$3:$F$112,4,FALSE),"")</f>
        <v/>
      </c>
      <c r="E1704" s="36" t="str">
        <f>IFERROR(VLOOKUP(A1704,القائمة!$A$3:$F$112,5,FALSE),"")</f>
        <v/>
      </c>
      <c r="F1704" s="37" t="str">
        <f>IFERROR(VLOOKUP(A1704,القائمة!$A$3:$F$112,6,FALSE),"")</f>
        <v/>
      </c>
      <c r="P1704" s="27">
        <f t="shared" si="55"/>
        <v>0</v>
      </c>
      <c r="Q1704" s="27">
        <f t="shared" si="54"/>
        <v>0</v>
      </c>
    </row>
    <row r="1705" spans="2:17" x14ac:dyDescent="0.45">
      <c r="B1705" s="27" t="str">
        <f>IFERROR(VLOOKUP(A1705,القائمة!$A$3:$F$112,2,FALSE),"")</f>
        <v/>
      </c>
      <c r="C1705" s="27" t="str">
        <f>IFERROR(VLOOKUP(A1705,القائمة!$A$3:$F$112,3,FALSE),"")</f>
        <v/>
      </c>
      <c r="D1705" s="36" t="str">
        <f>IFERROR(VLOOKUP(A1705,القائمة!$A$3:$F$112,4,FALSE),"")</f>
        <v/>
      </c>
      <c r="E1705" s="36" t="str">
        <f>IFERROR(VLOOKUP(A1705,القائمة!$A$3:$F$112,5,FALSE),"")</f>
        <v/>
      </c>
      <c r="F1705" s="37" t="str">
        <f>IFERROR(VLOOKUP(A1705,القائمة!$A$3:$F$112,6,FALSE),"")</f>
        <v/>
      </c>
      <c r="P1705" s="27">
        <f t="shared" si="55"/>
        <v>0</v>
      </c>
      <c r="Q1705" s="27">
        <f t="shared" si="54"/>
        <v>0</v>
      </c>
    </row>
    <row r="1706" spans="2:17" x14ac:dyDescent="0.45">
      <c r="B1706" s="27" t="str">
        <f>IFERROR(VLOOKUP(A1706,القائمة!$A$3:$F$112,2,FALSE),"")</f>
        <v/>
      </c>
      <c r="C1706" s="27" t="str">
        <f>IFERROR(VLOOKUP(A1706,القائمة!$A$3:$F$112,3,FALSE),"")</f>
        <v/>
      </c>
      <c r="D1706" s="36" t="str">
        <f>IFERROR(VLOOKUP(A1706,القائمة!$A$3:$F$112,4,FALSE),"")</f>
        <v/>
      </c>
      <c r="E1706" s="36" t="str">
        <f>IFERROR(VLOOKUP(A1706,القائمة!$A$3:$F$112,5,FALSE),"")</f>
        <v/>
      </c>
      <c r="F1706" s="37" t="str">
        <f>IFERROR(VLOOKUP(A1706,القائمة!$A$3:$F$112,6,FALSE),"")</f>
        <v/>
      </c>
      <c r="P1706" s="27">
        <f t="shared" si="55"/>
        <v>0</v>
      </c>
      <c r="Q1706" s="27">
        <f t="shared" si="54"/>
        <v>0</v>
      </c>
    </row>
    <row r="1707" spans="2:17" x14ac:dyDescent="0.45">
      <c r="B1707" s="27" t="str">
        <f>IFERROR(VLOOKUP(A1707,القائمة!$A$3:$F$112,2,FALSE),"")</f>
        <v/>
      </c>
      <c r="C1707" s="27" t="str">
        <f>IFERROR(VLOOKUP(A1707,القائمة!$A$3:$F$112,3,FALSE),"")</f>
        <v/>
      </c>
      <c r="D1707" s="36" t="str">
        <f>IFERROR(VLOOKUP(A1707,القائمة!$A$3:$F$112,4,FALSE),"")</f>
        <v/>
      </c>
      <c r="E1707" s="36" t="str">
        <f>IFERROR(VLOOKUP(A1707,القائمة!$A$3:$F$112,5,FALSE),"")</f>
        <v/>
      </c>
      <c r="F1707" s="37" t="str">
        <f>IFERROR(VLOOKUP(A1707,القائمة!$A$3:$F$112,6,FALSE),"")</f>
        <v/>
      </c>
      <c r="P1707" s="27">
        <f t="shared" si="55"/>
        <v>0</v>
      </c>
      <c r="Q1707" s="27">
        <f t="shared" si="54"/>
        <v>0</v>
      </c>
    </row>
    <row r="1708" spans="2:17" x14ac:dyDescent="0.45">
      <c r="B1708" s="27" t="str">
        <f>IFERROR(VLOOKUP(A1708,القائمة!$A$3:$F$112,2,FALSE),"")</f>
        <v/>
      </c>
      <c r="C1708" s="27" t="str">
        <f>IFERROR(VLOOKUP(A1708,القائمة!$A$3:$F$112,3,FALSE),"")</f>
        <v/>
      </c>
      <c r="D1708" s="36" t="str">
        <f>IFERROR(VLOOKUP(A1708,القائمة!$A$3:$F$112,4,FALSE),"")</f>
        <v/>
      </c>
      <c r="E1708" s="36" t="str">
        <f>IFERROR(VLOOKUP(A1708,القائمة!$A$3:$F$112,5,FALSE),"")</f>
        <v/>
      </c>
      <c r="F1708" s="37" t="str">
        <f>IFERROR(VLOOKUP(A1708,القائمة!$A$3:$F$112,6,FALSE),"")</f>
        <v/>
      </c>
      <c r="P1708" s="27">
        <f t="shared" si="55"/>
        <v>0</v>
      </c>
      <c r="Q1708" s="27">
        <f t="shared" si="54"/>
        <v>0</v>
      </c>
    </row>
    <row r="1709" spans="2:17" x14ac:dyDescent="0.45">
      <c r="B1709" s="27" t="str">
        <f>IFERROR(VLOOKUP(A1709,القائمة!$A$3:$F$112,2,FALSE),"")</f>
        <v/>
      </c>
      <c r="C1709" s="27" t="str">
        <f>IFERROR(VLOOKUP(A1709,القائمة!$A$3:$F$112,3,FALSE),"")</f>
        <v/>
      </c>
      <c r="D1709" s="36" t="str">
        <f>IFERROR(VLOOKUP(A1709,القائمة!$A$3:$F$112,4,FALSE),"")</f>
        <v/>
      </c>
      <c r="E1709" s="36" t="str">
        <f>IFERROR(VLOOKUP(A1709,القائمة!$A$3:$F$112,5,FALSE),"")</f>
        <v/>
      </c>
      <c r="F1709" s="37" t="str">
        <f>IFERROR(VLOOKUP(A1709,القائمة!$A$3:$F$112,6,FALSE),"")</f>
        <v/>
      </c>
      <c r="P1709" s="27">
        <f t="shared" si="55"/>
        <v>0</v>
      </c>
      <c r="Q1709" s="27">
        <f t="shared" si="54"/>
        <v>0</v>
      </c>
    </row>
    <row r="1710" spans="2:17" x14ac:dyDescent="0.45">
      <c r="B1710" s="27" t="str">
        <f>IFERROR(VLOOKUP(A1710,القائمة!$A$3:$F$112,2,FALSE),"")</f>
        <v/>
      </c>
      <c r="C1710" s="27" t="str">
        <f>IFERROR(VLOOKUP(A1710,القائمة!$A$3:$F$112,3,FALSE),"")</f>
        <v/>
      </c>
      <c r="D1710" s="36" t="str">
        <f>IFERROR(VLOOKUP(A1710,القائمة!$A$3:$F$112,4,FALSE),"")</f>
        <v/>
      </c>
      <c r="E1710" s="36" t="str">
        <f>IFERROR(VLOOKUP(A1710,القائمة!$A$3:$F$112,5,FALSE),"")</f>
        <v/>
      </c>
      <c r="F1710" s="37" t="str">
        <f>IFERROR(VLOOKUP(A1710,القائمة!$A$3:$F$112,6,FALSE),"")</f>
        <v/>
      </c>
      <c r="P1710" s="27">
        <f t="shared" si="55"/>
        <v>0</v>
      </c>
      <c r="Q1710" s="27">
        <f t="shared" si="54"/>
        <v>0</v>
      </c>
    </row>
    <row r="1711" spans="2:17" x14ac:dyDescent="0.45">
      <c r="B1711" s="27" t="str">
        <f>IFERROR(VLOOKUP(A1711,القائمة!$A$3:$F$112,2,FALSE),"")</f>
        <v/>
      </c>
      <c r="C1711" s="27" t="str">
        <f>IFERROR(VLOOKUP(A1711,القائمة!$A$3:$F$112,3,FALSE),"")</f>
        <v/>
      </c>
      <c r="D1711" s="36" t="str">
        <f>IFERROR(VLOOKUP(A1711,القائمة!$A$3:$F$112,4,FALSE),"")</f>
        <v/>
      </c>
      <c r="E1711" s="36" t="str">
        <f>IFERROR(VLOOKUP(A1711,القائمة!$A$3:$F$112,5,FALSE),"")</f>
        <v/>
      </c>
      <c r="F1711" s="37" t="str">
        <f>IFERROR(VLOOKUP(A1711,القائمة!$A$3:$F$112,6,FALSE),"")</f>
        <v/>
      </c>
      <c r="P1711" s="27">
        <f t="shared" si="55"/>
        <v>0</v>
      </c>
      <c r="Q1711" s="27">
        <f t="shared" si="54"/>
        <v>0</v>
      </c>
    </row>
    <row r="1712" spans="2:17" x14ac:dyDescent="0.45">
      <c r="B1712" s="27" t="str">
        <f>IFERROR(VLOOKUP(A1712,القائمة!$A$3:$F$112,2,FALSE),"")</f>
        <v/>
      </c>
      <c r="C1712" s="27" t="str">
        <f>IFERROR(VLOOKUP(A1712,القائمة!$A$3:$F$112,3,FALSE),"")</f>
        <v/>
      </c>
      <c r="D1712" s="36" t="str">
        <f>IFERROR(VLOOKUP(A1712,القائمة!$A$3:$F$112,4,FALSE),"")</f>
        <v/>
      </c>
      <c r="E1712" s="36" t="str">
        <f>IFERROR(VLOOKUP(A1712,القائمة!$A$3:$F$112,5,FALSE),"")</f>
        <v/>
      </c>
      <c r="F1712" s="37" t="str">
        <f>IFERROR(VLOOKUP(A1712,القائمة!$A$3:$F$112,6,FALSE),"")</f>
        <v/>
      </c>
      <c r="P1712" s="27">
        <f t="shared" si="55"/>
        <v>0</v>
      </c>
      <c r="Q1712" s="27">
        <f t="shared" si="54"/>
        <v>0</v>
      </c>
    </row>
    <row r="1713" spans="2:17" x14ac:dyDescent="0.45">
      <c r="B1713" s="27" t="str">
        <f>IFERROR(VLOOKUP(A1713,القائمة!$A$3:$F$112,2,FALSE),"")</f>
        <v/>
      </c>
      <c r="C1713" s="27" t="str">
        <f>IFERROR(VLOOKUP(A1713,القائمة!$A$3:$F$112,3,FALSE),"")</f>
        <v/>
      </c>
      <c r="D1713" s="36" t="str">
        <f>IFERROR(VLOOKUP(A1713,القائمة!$A$3:$F$112,4,FALSE),"")</f>
        <v/>
      </c>
      <c r="E1713" s="36" t="str">
        <f>IFERROR(VLOOKUP(A1713,القائمة!$A$3:$F$112,5,FALSE),"")</f>
        <v/>
      </c>
      <c r="F1713" s="37" t="str">
        <f>IFERROR(VLOOKUP(A1713,القائمة!$A$3:$F$112,6,FALSE),"")</f>
        <v/>
      </c>
      <c r="P1713" s="27">
        <f t="shared" si="55"/>
        <v>0</v>
      </c>
      <c r="Q1713" s="27">
        <f t="shared" si="54"/>
        <v>0</v>
      </c>
    </row>
    <row r="1714" spans="2:17" x14ac:dyDescent="0.45">
      <c r="B1714" s="27" t="str">
        <f>IFERROR(VLOOKUP(A1714,القائمة!$A$3:$F$112,2,FALSE),"")</f>
        <v/>
      </c>
      <c r="C1714" s="27" t="str">
        <f>IFERROR(VLOOKUP(A1714,القائمة!$A$3:$F$112,3,FALSE),"")</f>
        <v/>
      </c>
      <c r="D1714" s="36" t="str">
        <f>IFERROR(VLOOKUP(A1714,القائمة!$A$3:$F$112,4,FALSE),"")</f>
        <v/>
      </c>
      <c r="E1714" s="36" t="str">
        <f>IFERROR(VLOOKUP(A1714,القائمة!$A$3:$F$112,5,FALSE),"")</f>
        <v/>
      </c>
      <c r="F1714" s="37" t="str">
        <f>IFERROR(VLOOKUP(A1714,القائمة!$A$3:$F$112,6,FALSE),"")</f>
        <v/>
      </c>
      <c r="P1714" s="27">
        <f t="shared" si="55"/>
        <v>0</v>
      </c>
      <c r="Q1714" s="27">
        <f t="shared" si="54"/>
        <v>0</v>
      </c>
    </row>
    <row r="1715" spans="2:17" x14ac:dyDescent="0.45">
      <c r="B1715" s="27" t="str">
        <f>IFERROR(VLOOKUP(A1715,القائمة!$A$3:$F$112,2,FALSE),"")</f>
        <v/>
      </c>
      <c r="C1715" s="27" t="str">
        <f>IFERROR(VLOOKUP(A1715,القائمة!$A$3:$F$112,3,FALSE),"")</f>
        <v/>
      </c>
      <c r="D1715" s="36" t="str">
        <f>IFERROR(VLOOKUP(A1715,القائمة!$A$3:$F$112,4,FALSE),"")</f>
        <v/>
      </c>
      <c r="E1715" s="36" t="str">
        <f>IFERROR(VLOOKUP(A1715,القائمة!$A$3:$F$112,5,FALSE),"")</f>
        <v/>
      </c>
      <c r="F1715" s="37" t="str">
        <f>IFERROR(VLOOKUP(A1715,القائمة!$A$3:$F$112,6,FALSE),"")</f>
        <v/>
      </c>
      <c r="P1715" s="27">
        <f t="shared" si="55"/>
        <v>0</v>
      </c>
      <c r="Q1715" s="27">
        <f t="shared" si="54"/>
        <v>0</v>
      </c>
    </row>
    <row r="1716" spans="2:17" x14ac:dyDescent="0.45">
      <c r="B1716" s="27" t="str">
        <f>IFERROR(VLOOKUP(A1716,القائمة!$A$3:$F$112,2,FALSE),"")</f>
        <v/>
      </c>
      <c r="C1716" s="27" t="str">
        <f>IFERROR(VLOOKUP(A1716,القائمة!$A$3:$F$112,3,FALSE),"")</f>
        <v/>
      </c>
      <c r="D1716" s="36" t="str">
        <f>IFERROR(VLOOKUP(A1716,القائمة!$A$3:$F$112,4,FALSE),"")</f>
        <v/>
      </c>
      <c r="E1716" s="36" t="str">
        <f>IFERROR(VLOOKUP(A1716,القائمة!$A$3:$F$112,5,FALSE),"")</f>
        <v/>
      </c>
      <c r="F1716" s="37" t="str">
        <f>IFERROR(VLOOKUP(A1716,القائمة!$A$3:$F$112,6,FALSE),"")</f>
        <v/>
      </c>
      <c r="P1716" s="27">
        <f t="shared" si="55"/>
        <v>0</v>
      </c>
      <c r="Q1716" s="27">
        <f t="shared" si="54"/>
        <v>0</v>
      </c>
    </row>
    <row r="1717" spans="2:17" x14ac:dyDescent="0.45">
      <c r="B1717" s="27" t="str">
        <f>IFERROR(VLOOKUP(A1717,القائمة!$A$3:$F$112,2,FALSE),"")</f>
        <v/>
      </c>
      <c r="C1717" s="27" t="str">
        <f>IFERROR(VLOOKUP(A1717,القائمة!$A$3:$F$112,3,FALSE),"")</f>
        <v/>
      </c>
      <c r="D1717" s="36" t="str">
        <f>IFERROR(VLOOKUP(A1717,القائمة!$A$3:$F$112,4,FALSE),"")</f>
        <v/>
      </c>
      <c r="E1717" s="36" t="str">
        <f>IFERROR(VLOOKUP(A1717,القائمة!$A$3:$F$112,5,FALSE),"")</f>
        <v/>
      </c>
      <c r="F1717" s="37" t="str">
        <f>IFERROR(VLOOKUP(A1717,القائمة!$A$3:$F$112,6,FALSE),"")</f>
        <v/>
      </c>
      <c r="P1717" s="27">
        <f t="shared" si="55"/>
        <v>0</v>
      </c>
      <c r="Q1717" s="27">
        <f t="shared" si="54"/>
        <v>0</v>
      </c>
    </row>
    <row r="1718" spans="2:17" x14ac:dyDescent="0.45">
      <c r="B1718" s="27" t="str">
        <f>IFERROR(VLOOKUP(A1718,القائمة!$A$3:$F$112,2,FALSE),"")</f>
        <v/>
      </c>
      <c r="C1718" s="27" t="str">
        <f>IFERROR(VLOOKUP(A1718,القائمة!$A$3:$F$112,3,FALSE),"")</f>
        <v/>
      </c>
      <c r="D1718" s="36" t="str">
        <f>IFERROR(VLOOKUP(A1718,القائمة!$A$3:$F$112,4,FALSE),"")</f>
        <v/>
      </c>
      <c r="E1718" s="36" t="str">
        <f>IFERROR(VLOOKUP(A1718,القائمة!$A$3:$F$112,5,FALSE),"")</f>
        <v/>
      </c>
      <c r="F1718" s="37" t="str">
        <f>IFERROR(VLOOKUP(A1718,القائمة!$A$3:$F$112,6,FALSE),"")</f>
        <v/>
      </c>
      <c r="P1718" s="27">
        <f t="shared" si="55"/>
        <v>0</v>
      </c>
      <c r="Q1718" s="27">
        <f t="shared" si="54"/>
        <v>0</v>
      </c>
    </row>
    <row r="1719" spans="2:17" x14ac:dyDescent="0.45">
      <c r="B1719" s="27" t="str">
        <f>IFERROR(VLOOKUP(A1719,القائمة!$A$3:$F$112,2,FALSE),"")</f>
        <v/>
      </c>
      <c r="C1719" s="27" t="str">
        <f>IFERROR(VLOOKUP(A1719,القائمة!$A$3:$F$112,3,FALSE),"")</f>
        <v/>
      </c>
      <c r="D1719" s="36" t="str">
        <f>IFERROR(VLOOKUP(A1719,القائمة!$A$3:$F$112,4,FALSE),"")</f>
        <v/>
      </c>
      <c r="E1719" s="36" t="str">
        <f>IFERROR(VLOOKUP(A1719,القائمة!$A$3:$F$112,5,FALSE),"")</f>
        <v/>
      </c>
      <c r="F1719" s="37" t="str">
        <f>IFERROR(VLOOKUP(A1719,القائمة!$A$3:$F$112,6,FALSE),"")</f>
        <v/>
      </c>
      <c r="P1719" s="27">
        <f t="shared" si="55"/>
        <v>0</v>
      </c>
      <c r="Q1719" s="27">
        <f t="shared" si="54"/>
        <v>0</v>
      </c>
    </row>
    <row r="1720" spans="2:17" x14ac:dyDescent="0.45">
      <c r="B1720" s="27" t="str">
        <f>IFERROR(VLOOKUP(A1720,القائمة!$A$3:$F$112,2,FALSE),"")</f>
        <v/>
      </c>
      <c r="C1720" s="27" t="str">
        <f>IFERROR(VLOOKUP(A1720,القائمة!$A$3:$F$112,3,FALSE),"")</f>
        <v/>
      </c>
      <c r="D1720" s="36" t="str">
        <f>IFERROR(VLOOKUP(A1720,القائمة!$A$3:$F$112,4,FALSE),"")</f>
        <v/>
      </c>
      <c r="E1720" s="36" t="str">
        <f>IFERROR(VLOOKUP(A1720,القائمة!$A$3:$F$112,5,FALSE),"")</f>
        <v/>
      </c>
      <c r="F1720" s="37" t="str">
        <f>IFERROR(VLOOKUP(A1720,القائمة!$A$3:$F$112,6,FALSE),"")</f>
        <v/>
      </c>
      <c r="P1720" s="27">
        <f t="shared" si="55"/>
        <v>0</v>
      </c>
      <c r="Q1720" s="27">
        <f t="shared" si="54"/>
        <v>0</v>
      </c>
    </row>
    <row r="1721" spans="2:17" x14ac:dyDescent="0.45">
      <c r="B1721" s="27" t="str">
        <f>IFERROR(VLOOKUP(A1721,القائمة!$A$3:$F$112,2,FALSE),"")</f>
        <v/>
      </c>
      <c r="C1721" s="27" t="str">
        <f>IFERROR(VLOOKUP(A1721,القائمة!$A$3:$F$112,3,FALSE),"")</f>
        <v/>
      </c>
      <c r="D1721" s="36" t="str">
        <f>IFERROR(VLOOKUP(A1721,القائمة!$A$3:$F$112,4,FALSE),"")</f>
        <v/>
      </c>
      <c r="E1721" s="36" t="str">
        <f>IFERROR(VLOOKUP(A1721,القائمة!$A$3:$F$112,5,FALSE),"")</f>
        <v/>
      </c>
      <c r="F1721" s="37" t="str">
        <f>IFERROR(VLOOKUP(A1721,القائمة!$A$3:$F$112,6,FALSE),"")</f>
        <v/>
      </c>
      <c r="P1721" s="27">
        <f t="shared" si="55"/>
        <v>0</v>
      </c>
      <c r="Q1721" s="27">
        <f t="shared" si="54"/>
        <v>0</v>
      </c>
    </row>
    <row r="1722" spans="2:17" x14ac:dyDescent="0.45">
      <c r="B1722" s="27" t="str">
        <f>IFERROR(VLOOKUP(A1722,القائمة!$A$3:$F$112,2,FALSE),"")</f>
        <v/>
      </c>
      <c r="C1722" s="27" t="str">
        <f>IFERROR(VLOOKUP(A1722,القائمة!$A$3:$F$112,3,FALSE),"")</f>
        <v/>
      </c>
      <c r="D1722" s="36" t="str">
        <f>IFERROR(VLOOKUP(A1722,القائمة!$A$3:$F$112,4,FALSE),"")</f>
        <v/>
      </c>
      <c r="E1722" s="36" t="str">
        <f>IFERROR(VLOOKUP(A1722,القائمة!$A$3:$F$112,5,FALSE),"")</f>
        <v/>
      </c>
      <c r="F1722" s="37" t="str">
        <f>IFERROR(VLOOKUP(A1722,القائمة!$A$3:$F$112,6,FALSE),"")</f>
        <v/>
      </c>
      <c r="P1722" s="27">
        <f t="shared" si="55"/>
        <v>0</v>
      </c>
      <c r="Q1722" s="27">
        <f t="shared" si="54"/>
        <v>0</v>
      </c>
    </row>
    <row r="1723" spans="2:17" x14ac:dyDescent="0.45">
      <c r="B1723" s="27" t="str">
        <f>IFERROR(VLOOKUP(A1723,القائمة!$A$3:$F$112,2,FALSE),"")</f>
        <v/>
      </c>
      <c r="C1723" s="27" t="str">
        <f>IFERROR(VLOOKUP(A1723,القائمة!$A$3:$F$112,3,FALSE),"")</f>
        <v/>
      </c>
      <c r="D1723" s="36" t="str">
        <f>IFERROR(VLOOKUP(A1723,القائمة!$A$3:$F$112,4,FALSE),"")</f>
        <v/>
      </c>
      <c r="E1723" s="36" t="str">
        <f>IFERROR(VLOOKUP(A1723,القائمة!$A$3:$F$112,5,FALSE),"")</f>
        <v/>
      </c>
      <c r="F1723" s="37" t="str">
        <f>IFERROR(VLOOKUP(A1723,القائمة!$A$3:$F$112,6,FALSE),"")</f>
        <v/>
      </c>
      <c r="P1723" s="27">
        <f t="shared" si="55"/>
        <v>0</v>
      </c>
      <c r="Q1723" s="27">
        <f t="shared" si="54"/>
        <v>0</v>
      </c>
    </row>
    <row r="1724" spans="2:17" x14ac:dyDescent="0.45">
      <c r="B1724" s="27" t="str">
        <f>IFERROR(VLOOKUP(A1724,القائمة!$A$3:$F$112,2,FALSE),"")</f>
        <v/>
      </c>
      <c r="C1724" s="27" t="str">
        <f>IFERROR(VLOOKUP(A1724,القائمة!$A$3:$F$112,3,FALSE),"")</f>
        <v/>
      </c>
      <c r="D1724" s="36" t="str">
        <f>IFERROR(VLOOKUP(A1724,القائمة!$A$3:$F$112,4,FALSE),"")</f>
        <v/>
      </c>
      <c r="E1724" s="36" t="str">
        <f>IFERROR(VLOOKUP(A1724,القائمة!$A$3:$F$112,5,FALSE),"")</f>
        <v/>
      </c>
      <c r="F1724" s="37" t="str">
        <f>IFERROR(VLOOKUP(A1724,القائمة!$A$3:$F$112,6,FALSE),"")</f>
        <v/>
      </c>
      <c r="P1724" s="27">
        <f t="shared" si="55"/>
        <v>0</v>
      </c>
      <c r="Q1724" s="27">
        <f t="shared" si="54"/>
        <v>0</v>
      </c>
    </row>
    <row r="1725" spans="2:17" x14ac:dyDescent="0.45">
      <c r="B1725" s="27" t="str">
        <f>IFERROR(VLOOKUP(A1725,القائمة!$A$3:$F$112,2,FALSE),"")</f>
        <v/>
      </c>
      <c r="C1725" s="27" t="str">
        <f>IFERROR(VLOOKUP(A1725,القائمة!$A$3:$F$112,3,FALSE),"")</f>
        <v/>
      </c>
      <c r="D1725" s="36" t="str">
        <f>IFERROR(VLOOKUP(A1725,القائمة!$A$3:$F$112,4,FALSE),"")</f>
        <v/>
      </c>
      <c r="E1725" s="36" t="str">
        <f>IFERROR(VLOOKUP(A1725,القائمة!$A$3:$F$112,5,FALSE),"")</f>
        <v/>
      </c>
      <c r="F1725" s="37" t="str">
        <f>IFERROR(VLOOKUP(A1725,القائمة!$A$3:$F$112,6,FALSE),"")</f>
        <v/>
      </c>
      <c r="P1725" s="27">
        <f t="shared" si="55"/>
        <v>0</v>
      </c>
      <c r="Q1725" s="27">
        <f t="shared" si="54"/>
        <v>0</v>
      </c>
    </row>
    <row r="1726" spans="2:17" x14ac:dyDescent="0.45">
      <c r="B1726" s="27" t="str">
        <f>IFERROR(VLOOKUP(A1726,القائمة!$A$3:$F$112,2,FALSE),"")</f>
        <v/>
      </c>
      <c r="C1726" s="27" t="str">
        <f>IFERROR(VLOOKUP(A1726,القائمة!$A$3:$F$112,3,FALSE),"")</f>
        <v/>
      </c>
      <c r="D1726" s="36" t="str">
        <f>IFERROR(VLOOKUP(A1726,القائمة!$A$3:$F$112,4,FALSE),"")</f>
        <v/>
      </c>
      <c r="E1726" s="36" t="str">
        <f>IFERROR(VLOOKUP(A1726,القائمة!$A$3:$F$112,5,FALSE),"")</f>
        <v/>
      </c>
      <c r="F1726" s="37" t="str">
        <f>IFERROR(VLOOKUP(A1726,القائمة!$A$3:$F$112,6,FALSE),"")</f>
        <v/>
      </c>
      <c r="P1726" s="27">
        <f t="shared" si="55"/>
        <v>0</v>
      </c>
      <c r="Q1726" s="27">
        <f t="shared" si="54"/>
        <v>0</v>
      </c>
    </row>
    <row r="1727" spans="2:17" x14ac:dyDescent="0.45">
      <c r="B1727" s="27" t="str">
        <f>IFERROR(VLOOKUP(A1727,القائمة!$A$3:$F$112,2,FALSE),"")</f>
        <v/>
      </c>
      <c r="C1727" s="27" t="str">
        <f>IFERROR(VLOOKUP(A1727,القائمة!$A$3:$F$112,3,FALSE),"")</f>
        <v/>
      </c>
      <c r="D1727" s="36" t="str">
        <f>IFERROR(VLOOKUP(A1727,القائمة!$A$3:$F$112,4,FALSE),"")</f>
        <v/>
      </c>
      <c r="E1727" s="36" t="str">
        <f>IFERROR(VLOOKUP(A1727,القائمة!$A$3:$F$112,5,FALSE),"")</f>
        <v/>
      </c>
      <c r="F1727" s="37" t="str">
        <f>IFERROR(VLOOKUP(A1727,القائمة!$A$3:$F$112,6,FALSE),"")</f>
        <v/>
      </c>
      <c r="P1727" s="27">
        <f t="shared" si="55"/>
        <v>0</v>
      </c>
      <c r="Q1727" s="27">
        <f t="shared" si="54"/>
        <v>0</v>
      </c>
    </row>
    <row r="1728" spans="2:17" x14ac:dyDescent="0.45">
      <c r="B1728" s="27" t="str">
        <f>IFERROR(VLOOKUP(A1728,القائمة!$A$3:$F$112,2,FALSE),"")</f>
        <v/>
      </c>
      <c r="C1728" s="27" t="str">
        <f>IFERROR(VLOOKUP(A1728,القائمة!$A$3:$F$112,3,FALSE),"")</f>
        <v/>
      </c>
      <c r="D1728" s="36" t="str">
        <f>IFERROR(VLOOKUP(A1728,القائمة!$A$3:$F$112,4,FALSE),"")</f>
        <v/>
      </c>
      <c r="E1728" s="36" t="str">
        <f>IFERROR(VLOOKUP(A1728,القائمة!$A$3:$F$112,5,FALSE),"")</f>
        <v/>
      </c>
      <c r="F1728" s="37" t="str">
        <f>IFERROR(VLOOKUP(A1728,القائمة!$A$3:$F$112,6,FALSE),"")</f>
        <v/>
      </c>
      <c r="P1728" s="27">
        <f t="shared" si="55"/>
        <v>0</v>
      </c>
      <c r="Q1728" s="27">
        <f t="shared" si="54"/>
        <v>0</v>
      </c>
    </row>
    <row r="1729" spans="2:17" x14ac:dyDescent="0.45">
      <c r="B1729" s="27" t="str">
        <f>IFERROR(VLOOKUP(A1729,القائمة!$A$3:$F$112,2,FALSE),"")</f>
        <v/>
      </c>
      <c r="C1729" s="27" t="str">
        <f>IFERROR(VLOOKUP(A1729,القائمة!$A$3:$F$112,3,FALSE),"")</f>
        <v/>
      </c>
      <c r="D1729" s="36" t="str">
        <f>IFERROR(VLOOKUP(A1729,القائمة!$A$3:$F$112,4,FALSE),"")</f>
        <v/>
      </c>
      <c r="E1729" s="36" t="str">
        <f>IFERROR(VLOOKUP(A1729,القائمة!$A$3:$F$112,5,FALSE),"")</f>
        <v/>
      </c>
      <c r="F1729" s="37" t="str">
        <f>IFERROR(VLOOKUP(A1729,القائمة!$A$3:$F$112,6,FALSE),"")</f>
        <v/>
      </c>
      <c r="P1729" s="27">
        <f t="shared" si="55"/>
        <v>0</v>
      </c>
      <c r="Q1729" s="27">
        <f t="shared" si="54"/>
        <v>0</v>
      </c>
    </row>
    <row r="1730" spans="2:17" x14ac:dyDescent="0.45">
      <c r="B1730" s="27" t="str">
        <f>IFERROR(VLOOKUP(A1730,القائمة!$A$3:$F$112,2,FALSE),"")</f>
        <v/>
      </c>
      <c r="C1730" s="27" t="str">
        <f>IFERROR(VLOOKUP(A1730,القائمة!$A$3:$F$112,3,FALSE),"")</f>
        <v/>
      </c>
      <c r="D1730" s="36" t="str">
        <f>IFERROR(VLOOKUP(A1730,القائمة!$A$3:$F$112,4,FALSE),"")</f>
        <v/>
      </c>
      <c r="E1730" s="36" t="str">
        <f>IFERROR(VLOOKUP(A1730,القائمة!$A$3:$F$112,5,FALSE),"")</f>
        <v/>
      </c>
      <c r="F1730" s="37" t="str">
        <f>IFERROR(VLOOKUP(A1730,القائمة!$A$3:$F$112,6,FALSE),"")</f>
        <v/>
      </c>
      <c r="P1730" s="27">
        <f t="shared" si="55"/>
        <v>0</v>
      </c>
      <c r="Q1730" s="27">
        <f t="shared" si="54"/>
        <v>0</v>
      </c>
    </row>
    <row r="1731" spans="2:17" x14ac:dyDescent="0.45">
      <c r="B1731" s="27" t="str">
        <f>IFERROR(VLOOKUP(A1731,القائمة!$A$3:$F$112,2,FALSE),"")</f>
        <v/>
      </c>
      <c r="C1731" s="27" t="str">
        <f>IFERROR(VLOOKUP(A1731,القائمة!$A$3:$F$112,3,FALSE),"")</f>
        <v/>
      </c>
      <c r="D1731" s="36" t="str">
        <f>IFERROR(VLOOKUP(A1731,القائمة!$A$3:$F$112,4,FALSE),"")</f>
        <v/>
      </c>
      <c r="E1731" s="36" t="str">
        <f>IFERROR(VLOOKUP(A1731,القائمة!$A$3:$F$112,5,FALSE),"")</f>
        <v/>
      </c>
      <c r="F1731" s="37" t="str">
        <f>IFERROR(VLOOKUP(A1731,القائمة!$A$3:$F$112,6,FALSE),"")</f>
        <v/>
      </c>
      <c r="P1731" s="27">
        <f t="shared" si="55"/>
        <v>0</v>
      </c>
      <c r="Q1731" s="27">
        <f t="shared" ref="Q1731:Q1794" si="56">+P1731+L1731-M1731</f>
        <v>0</v>
      </c>
    </row>
    <row r="1732" spans="2:17" x14ac:dyDescent="0.45">
      <c r="B1732" s="27" t="str">
        <f>IFERROR(VLOOKUP(A1732,القائمة!$A$3:$F$112,2,FALSE),"")</f>
        <v/>
      </c>
      <c r="C1732" s="27" t="str">
        <f>IFERROR(VLOOKUP(A1732,القائمة!$A$3:$F$112,3,FALSE),"")</f>
        <v/>
      </c>
      <c r="D1732" s="36" t="str">
        <f>IFERROR(VLOOKUP(A1732,القائمة!$A$3:$F$112,4,FALSE),"")</f>
        <v/>
      </c>
      <c r="E1732" s="36" t="str">
        <f>IFERROR(VLOOKUP(A1732,القائمة!$A$3:$F$112,5,FALSE),"")</f>
        <v/>
      </c>
      <c r="F1732" s="37" t="str">
        <f>IFERROR(VLOOKUP(A1732,القائمة!$A$3:$F$112,6,FALSE),"")</f>
        <v/>
      </c>
      <c r="P1732" s="27">
        <f t="shared" ref="P1732:P1795" si="57">J1732-K1732</f>
        <v>0</v>
      </c>
      <c r="Q1732" s="27">
        <f t="shared" si="56"/>
        <v>0</v>
      </c>
    </row>
    <row r="1733" spans="2:17" x14ac:dyDescent="0.45">
      <c r="B1733" s="27" t="str">
        <f>IFERROR(VLOOKUP(A1733,القائمة!$A$3:$F$112,2,FALSE),"")</f>
        <v/>
      </c>
      <c r="C1733" s="27" t="str">
        <f>IFERROR(VLOOKUP(A1733,القائمة!$A$3:$F$112,3,FALSE),"")</f>
        <v/>
      </c>
      <c r="D1733" s="36" t="str">
        <f>IFERROR(VLOOKUP(A1733,القائمة!$A$3:$F$112,4,FALSE),"")</f>
        <v/>
      </c>
      <c r="E1733" s="36" t="str">
        <f>IFERROR(VLOOKUP(A1733,القائمة!$A$3:$F$112,5,FALSE),"")</f>
        <v/>
      </c>
      <c r="F1733" s="37" t="str">
        <f>IFERROR(VLOOKUP(A1733,القائمة!$A$3:$F$112,6,FALSE),"")</f>
        <v/>
      </c>
      <c r="P1733" s="27">
        <f t="shared" si="57"/>
        <v>0</v>
      </c>
      <c r="Q1733" s="27">
        <f t="shared" si="56"/>
        <v>0</v>
      </c>
    </row>
    <row r="1734" spans="2:17" x14ac:dyDescent="0.45">
      <c r="B1734" s="27" t="str">
        <f>IFERROR(VLOOKUP(A1734,القائمة!$A$3:$F$112,2,FALSE),"")</f>
        <v/>
      </c>
      <c r="C1734" s="27" t="str">
        <f>IFERROR(VLOOKUP(A1734,القائمة!$A$3:$F$112,3,FALSE),"")</f>
        <v/>
      </c>
      <c r="D1734" s="36" t="str">
        <f>IFERROR(VLOOKUP(A1734,القائمة!$A$3:$F$112,4,FALSE),"")</f>
        <v/>
      </c>
      <c r="E1734" s="36" t="str">
        <f>IFERROR(VLOOKUP(A1734,القائمة!$A$3:$F$112,5,FALSE),"")</f>
        <v/>
      </c>
      <c r="F1734" s="37" t="str">
        <f>IFERROR(VLOOKUP(A1734,القائمة!$A$3:$F$112,6,FALSE),"")</f>
        <v/>
      </c>
      <c r="P1734" s="27">
        <f t="shared" si="57"/>
        <v>0</v>
      </c>
      <c r="Q1734" s="27">
        <f t="shared" si="56"/>
        <v>0</v>
      </c>
    </row>
    <row r="1735" spans="2:17" x14ac:dyDescent="0.45">
      <c r="B1735" s="27" t="str">
        <f>IFERROR(VLOOKUP(A1735,القائمة!$A$3:$F$112,2,FALSE),"")</f>
        <v/>
      </c>
      <c r="C1735" s="27" t="str">
        <f>IFERROR(VLOOKUP(A1735,القائمة!$A$3:$F$112,3,FALSE),"")</f>
        <v/>
      </c>
      <c r="D1735" s="36" t="str">
        <f>IFERROR(VLOOKUP(A1735,القائمة!$A$3:$F$112,4,FALSE),"")</f>
        <v/>
      </c>
      <c r="E1735" s="36" t="str">
        <f>IFERROR(VLOOKUP(A1735,القائمة!$A$3:$F$112,5,FALSE),"")</f>
        <v/>
      </c>
      <c r="F1735" s="37" t="str">
        <f>IFERROR(VLOOKUP(A1735,القائمة!$A$3:$F$112,6,FALSE),"")</f>
        <v/>
      </c>
      <c r="P1735" s="27">
        <f t="shared" si="57"/>
        <v>0</v>
      </c>
      <c r="Q1735" s="27">
        <f t="shared" si="56"/>
        <v>0</v>
      </c>
    </row>
    <row r="1736" spans="2:17" x14ac:dyDescent="0.45">
      <c r="B1736" s="27" t="str">
        <f>IFERROR(VLOOKUP(A1736,القائمة!$A$3:$F$112,2,FALSE),"")</f>
        <v/>
      </c>
      <c r="C1736" s="27" t="str">
        <f>IFERROR(VLOOKUP(A1736,القائمة!$A$3:$F$112,3,FALSE),"")</f>
        <v/>
      </c>
      <c r="D1736" s="36" t="str">
        <f>IFERROR(VLOOKUP(A1736,القائمة!$A$3:$F$112,4,FALSE),"")</f>
        <v/>
      </c>
      <c r="E1736" s="36" t="str">
        <f>IFERROR(VLOOKUP(A1736,القائمة!$A$3:$F$112,5,FALSE),"")</f>
        <v/>
      </c>
      <c r="F1736" s="37" t="str">
        <f>IFERROR(VLOOKUP(A1736,القائمة!$A$3:$F$112,6,FALSE),"")</f>
        <v/>
      </c>
      <c r="P1736" s="27">
        <f t="shared" si="57"/>
        <v>0</v>
      </c>
      <c r="Q1736" s="27">
        <f t="shared" si="56"/>
        <v>0</v>
      </c>
    </row>
    <row r="1737" spans="2:17" x14ac:dyDescent="0.45">
      <c r="B1737" s="27" t="str">
        <f>IFERROR(VLOOKUP(A1737,القائمة!$A$3:$F$112,2,FALSE),"")</f>
        <v/>
      </c>
      <c r="C1737" s="27" t="str">
        <f>IFERROR(VLOOKUP(A1737,القائمة!$A$3:$F$112,3,FALSE),"")</f>
        <v/>
      </c>
      <c r="D1737" s="36" t="str">
        <f>IFERROR(VLOOKUP(A1737,القائمة!$A$3:$F$112,4,FALSE),"")</f>
        <v/>
      </c>
      <c r="E1737" s="36" t="str">
        <f>IFERROR(VLOOKUP(A1737,القائمة!$A$3:$F$112,5,FALSE),"")</f>
        <v/>
      </c>
      <c r="F1737" s="37" t="str">
        <f>IFERROR(VLOOKUP(A1737,القائمة!$A$3:$F$112,6,FALSE),"")</f>
        <v/>
      </c>
      <c r="P1737" s="27">
        <f t="shared" si="57"/>
        <v>0</v>
      </c>
      <c r="Q1737" s="27">
        <f t="shared" si="56"/>
        <v>0</v>
      </c>
    </row>
    <row r="1738" spans="2:17" x14ac:dyDescent="0.45">
      <c r="B1738" s="27" t="str">
        <f>IFERROR(VLOOKUP(A1738,القائمة!$A$3:$F$112,2,FALSE),"")</f>
        <v/>
      </c>
      <c r="C1738" s="27" t="str">
        <f>IFERROR(VLOOKUP(A1738,القائمة!$A$3:$F$112,3,FALSE),"")</f>
        <v/>
      </c>
      <c r="D1738" s="36" t="str">
        <f>IFERROR(VLOOKUP(A1738,القائمة!$A$3:$F$112,4,FALSE),"")</f>
        <v/>
      </c>
      <c r="E1738" s="36" t="str">
        <f>IFERROR(VLOOKUP(A1738,القائمة!$A$3:$F$112,5,FALSE),"")</f>
        <v/>
      </c>
      <c r="F1738" s="37" t="str">
        <f>IFERROR(VLOOKUP(A1738,القائمة!$A$3:$F$112,6,FALSE),"")</f>
        <v/>
      </c>
      <c r="P1738" s="27">
        <f t="shared" si="57"/>
        <v>0</v>
      </c>
      <c r="Q1738" s="27">
        <f t="shared" si="56"/>
        <v>0</v>
      </c>
    </row>
    <row r="1739" spans="2:17" x14ac:dyDescent="0.45">
      <c r="B1739" s="27" t="str">
        <f>IFERROR(VLOOKUP(A1739,القائمة!$A$3:$F$112,2,FALSE),"")</f>
        <v/>
      </c>
      <c r="C1739" s="27" t="str">
        <f>IFERROR(VLOOKUP(A1739,القائمة!$A$3:$F$112,3,FALSE),"")</f>
        <v/>
      </c>
      <c r="D1739" s="36" t="str">
        <f>IFERROR(VLOOKUP(A1739,القائمة!$A$3:$F$112,4,FALSE),"")</f>
        <v/>
      </c>
      <c r="E1739" s="36" t="str">
        <f>IFERROR(VLOOKUP(A1739,القائمة!$A$3:$F$112,5,FALSE),"")</f>
        <v/>
      </c>
      <c r="F1739" s="37" t="str">
        <f>IFERROR(VLOOKUP(A1739,القائمة!$A$3:$F$112,6,FALSE),"")</f>
        <v/>
      </c>
      <c r="P1739" s="27">
        <f t="shared" si="57"/>
        <v>0</v>
      </c>
      <c r="Q1739" s="27">
        <f t="shared" si="56"/>
        <v>0</v>
      </c>
    </row>
    <row r="1740" spans="2:17" x14ac:dyDescent="0.45">
      <c r="B1740" s="27" t="str">
        <f>IFERROR(VLOOKUP(A1740,القائمة!$A$3:$F$112,2,FALSE),"")</f>
        <v/>
      </c>
      <c r="C1740" s="27" t="str">
        <f>IFERROR(VLOOKUP(A1740,القائمة!$A$3:$F$112,3,FALSE),"")</f>
        <v/>
      </c>
      <c r="D1740" s="36" t="str">
        <f>IFERROR(VLOOKUP(A1740,القائمة!$A$3:$F$112,4,FALSE),"")</f>
        <v/>
      </c>
      <c r="E1740" s="36" t="str">
        <f>IFERROR(VLOOKUP(A1740,القائمة!$A$3:$F$112,5,FALSE),"")</f>
        <v/>
      </c>
      <c r="F1740" s="37" t="str">
        <f>IFERROR(VLOOKUP(A1740,القائمة!$A$3:$F$112,6,FALSE),"")</f>
        <v/>
      </c>
      <c r="P1740" s="27">
        <f t="shared" si="57"/>
        <v>0</v>
      </c>
      <c r="Q1740" s="27">
        <f t="shared" si="56"/>
        <v>0</v>
      </c>
    </row>
    <row r="1741" spans="2:17" x14ac:dyDescent="0.45">
      <c r="B1741" s="27" t="str">
        <f>IFERROR(VLOOKUP(A1741,القائمة!$A$3:$F$112,2,FALSE),"")</f>
        <v/>
      </c>
      <c r="C1741" s="27" t="str">
        <f>IFERROR(VLOOKUP(A1741,القائمة!$A$3:$F$112,3,FALSE),"")</f>
        <v/>
      </c>
      <c r="D1741" s="36" t="str">
        <f>IFERROR(VLOOKUP(A1741,القائمة!$A$3:$F$112,4,FALSE),"")</f>
        <v/>
      </c>
      <c r="E1741" s="36" t="str">
        <f>IFERROR(VLOOKUP(A1741,القائمة!$A$3:$F$112,5,FALSE),"")</f>
        <v/>
      </c>
      <c r="F1741" s="37" t="str">
        <f>IFERROR(VLOOKUP(A1741,القائمة!$A$3:$F$112,6,FALSE),"")</f>
        <v/>
      </c>
      <c r="P1741" s="27">
        <f t="shared" si="57"/>
        <v>0</v>
      </c>
      <c r="Q1741" s="27">
        <f t="shared" si="56"/>
        <v>0</v>
      </c>
    </row>
    <row r="1742" spans="2:17" x14ac:dyDescent="0.45">
      <c r="B1742" s="27" t="str">
        <f>IFERROR(VLOOKUP(A1742,القائمة!$A$3:$F$112,2,FALSE),"")</f>
        <v/>
      </c>
      <c r="C1742" s="27" t="str">
        <f>IFERROR(VLOOKUP(A1742,القائمة!$A$3:$F$112,3,FALSE),"")</f>
        <v/>
      </c>
      <c r="D1742" s="36" t="str">
        <f>IFERROR(VLOOKUP(A1742,القائمة!$A$3:$F$112,4,FALSE),"")</f>
        <v/>
      </c>
      <c r="E1742" s="36" t="str">
        <f>IFERROR(VLOOKUP(A1742,القائمة!$A$3:$F$112,5,FALSE),"")</f>
        <v/>
      </c>
      <c r="F1742" s="37" t="str">
        <f>IFERROR(VLOOKUP(A1742,القائمة!$A$3:$F$112,6,FALSE),"")</f>
        <v/>
      </c>
      <c r="P1742" s="27">
        <f t="shared" si="57"/>
        <v>0</v>
      </c>
      <c r="Q1742" s="27">
        <f t="shared" si="56"/>
        <v>0</v>
      </c>
    </row>
    <row r="1743" spans="2:17" x14ac:dyDescent="0.45">
      <c r="B1743" s="27" t="str">
        <f>IFERROR(VLOOKUP(A1743,القائمة!$A$3:$F$112,2,FALSE),"")</f>
        <v/>
      </c>
      <c r="C1743" s="27" t="str">
        <f>IFERROR(VLOOKUP(A1743,القائمة!$A$3:$F$112,3,FALSE),"")</f>
        <v/>
      </c>
      <c r="D1743" s="36" t="str">
        <f>IFERROR(VLOOKUP(A1743,القائمة!$A$3:$F$112,4,FALSE),"")</f>
        <v/>
      </c>
      <c r="E1743" s="36" t="str">
        <f>IFERROR(VLOOKUP(A1743,القائمة!$A$3:$F$112,5,FALSE),"")</f>
        <v/>
      </c>
      <c r="F1743" s="37" t="str">
        <f>IFERROR(VLOOKUP(A1743,القائمة!$A$3:$F$112,6,FALSE),"")</f>
        <v/>
      </c>
      <c r="P1743" s="27">
        <f t="shared" si="57"/>
        <v>0</v>
      </c>
      <c r="Q1743" s="27">
        <f t="shared" si="56"/>
        <v>0</v>
      </c>
    </row>
    <row r="1744" spans="2:17" x14ac:dyDescent="0.45">
      <c r="B1744" s="27" t="str">
        <f>IFERROR(VLOOKUP(A1744,القائمة!$A$3:$F$112,2,FALSE),"")</f>
        <v/>
      </c>
      <c r="C1744" s="27" t="str">
        <f>IFERROR(VLOOKUP(A1744,القائمة!$A$3:$F$112,3,FALSE),"")</f>
        <v/>
      </c>
      <c r="D1744" s="36" t="str">
        <f>IFERROR(VLOOKUP(A1744,القائمة!$A$3:$F$112,4,FALSE),"")</f>
        <v/>
      </c>
      <c r="E1744" s="36" t="str">
        <f>IFERROR(VLOOKUP(A1744,القائمة!$A$3:$F$112,5,FALSE),"")</f>
        <v/>
      </c>
      <c r="F1744" s="37" t="str">
        <f>IFERROR(VLOOKUP(A1744,القائمة!$A$3:$F$112,6,FALSE),"")</f>
        <v/>
      </c>
      <c r="P1744" s="27">
        <f t="shared" si="57"/>
        <v>0</v>
      </c>
      <c r="Q1744" s="27">
        <f t="shared" si="56"/>
        <v>0</v>
      </c>
    </row>
    <row r="1745" spans="2:17" x14ac:dyDescent="0.45">
      <c r="B1745" s="27" t="str">
        <f>IFERROR(VLOOKUP(A1745,القائمة!$A$3:$F$112,2,FALSE),"")</f>
        <v/>
      </c>
      <c r="C1745" s="27" t="str">
        <f>IFERROR(VLOOKUP(A1745,القائمة!$A$3:$F$112,3,FALSE),"")</f>
        <v/>
      </c>
      <c r="D1745" s="36" t="str">
        <f>IFERROR(VLOOKUP(A1745,القائمة!$A$3:$F$112,4,FALSE),"")</f>
        <v/>
      </c>
      <c r="E1745" s="36" t="str">
        <f>IFERROR(VLOOKUP(A1745,القائمة!$A$3:$F$112,5,FALSE),"")</f>
        <v/>
      </c>
      <c r="F1745" s="37" t="str">
        <f>IFERROR(VLOOKUP(A1745,القائمة!$A$3:$F$112,6,FALSE),"")</f>
        <v/>
      </c>
      <c r="P1745" s="27">
        <f t="shared" si="57"/>
        <v>0</v>
      </c>
      <c r="Q1745" s="27">
        <f t="shared" si="56"/>
        <v>0</v>
      </c>
    </row>
    <row r="1746" spans="2:17" x14ac:dyDescent="0.45">
      <c r="B1746" s="27" t="str">
        <f>IFERROR(VLOOKUP(A1746,القائمة!$A$3:$F$112,2,FALSE),"")</f>
        <v/>
      </c>
      <c r="C1746" s="27" t="str">
        <f>IFERROR(VLOOKUP(A1746,القائمة!$A$3:$F$112,3,FALSE),"")</f>
        <v/>
      </c>
      <c r="D1746" s="36" t="str">
        <f>IFERROR(VLOOKUP(A1746,القائمة!$A$3:$F$112,4,FALSE),"")</f>
        <v/>
      </c>
      <c r="E1746" s="36" t="str">
        <f>IFERROR(VLOOKUP(A1746,القائمة!$A$3:$F$112,5,FALSE),"")</f>
        <v/>
      </c>
      <c r="F1746" s="37" t="str">
        <f>IFERROR(VLOOKUP(A1746,القائمة!$A$3:$F$112,6,FALSE),"")</f>
        <v/>
      </c>
      <c r="P1746" s="27">
        <f t="shared" si="57"/>
        <v>0</v>
      </c>
      <c r="Q1746" s="27">
        <f t="shared" si="56"/>
        <v>0</v>
      </c>
    </row>
    <row r="1747" spans="2:17" x14ac:dyDescent="0.45">
      <c r="B1747" s="27" t="str">
        <f>IFERROR(VLOOKUP(A1747,القائمة!$A$3:$F$112,2,FALSE),"")</f>
        <v/>
      </c>
      <c r="C1747" s="27" t="str">
        <f>IFERROR(VLOOKUP(A1747,القائمة!$A$3:$F$112,3,FALSE),"")</f>
        <v/>
      </c>
      <c r="D1747" s="36" t="str">
        <f>IFERROR(VLOOKUP(A1747,القائمة!$A$3:$F$112,4,FALSE),"")</f>
        <v/>
      </c>
      <c r="E1747" s="36" t="str">
        <f>IFERROR(VLOOKUP(A1747,القائمة!$A$3:$F$112,5,FALSE),"")</f>
        <v/>
      </c>
      <c r="F1747" s="37" t="str">
        <f>IFERROR(VLOOKUP(A1747,القائمة!$A$3:$F$112,6,FALSE),"")</f>
        <v/>
      </c>
      <c r="P1747" s="27">
        <f t="shared" si="57"/>
        <v>0</v>
      </c>
      <c r="Q1747" s="27">
        <f t="shared" si="56"/>
        <v>0</v>
      </c>
    </row>
    <row r="1748" spans="2:17" x14ac:dyDescent="0.45">
      <c r="B1748" s="27" t="str">
        <f>IFERROR(VLOOKUP(A1748,القائمة!$A$3:$F$112,2,FALSE),"")</f>
        <v/>
      </c>
      <c r="C1748" s="27" t="str">
        <f>IFERROR(VLOOKUP(A1748,القائمة!$A$3:$F$112,3,FALSE),"")</f>
        <v/>
      </c>
      <c r="D1748" s="36" t="str">
        <f>IFERROR(VLOOKUP(A1748,القائمة!$A$3:$F$112,4,FALSE),"")</f>
        <v/>
      </c>
      <c r="E1748" s="36" t="str">
        <f>IFERROR(VLOOKUP(A1748,القائمة!$A$3:$F$112,5,FALSE),"")</f>
        <v/>
      </c>
      <c r="F1748" s="37" t="str">
        <f>IFERROR(VLOOKUP(A1748,القائمة!$A$3:$F$112,6,FALSE),"")</f>
        <v/>
      </c>
      <c r="P1748" s="27">
        <f t="shared" si="57"/>
        <v>0</v>
      </c>
      <c r="Q1748" s="27">
        <f t="shared" si="56"/>
        <v>0</v>
      </c>
    </row>
    <row r="1749" spans="2:17" x14ac:dyDescent="0.45">
      <c r="B1749" s="27" t="str">
        <f>IFERROR(VLOOKUP(A1749,القائمة!$A$3:$F$112,2,FALSE),"")</f>
        <v/>
      </c>
      <c r="C1749" s="27" t="str">
        <f>IFERROR(VLOOKUP(A1749,القائمة!$A$3:$F$112,3,FALSE),"")</f>
        <v/>
      </c>
      <c r="D1749" s="36" t="str">
        <f>IFERROR(VLOOKUP(A1749,القائمة!$A$3:$F$112,4,FALSE),"")</f>
        <v/>
      </c>
      <c r="E1749" s="36" t="str">
        <f>IFERROR(VLOOKUP(A1749,القائمة!$A$3:$F$112,5,FALSE),"")</f>
        <v/>
      </c>
      <c r="F1749" s="37" t="str">
        <f>IFERROR(VLOOKUP(A1749,القائمة!$A$3:$F$112,6,FALSE),"")</f>
        <v/>
      </c>
      <c r="P1749" s="27">
        <f t="shared" si="57"/>
        <v>0</v>
      </c>
      <c r="Q1749" s="27">
        <f t="shared" si="56"/>
        <v>0</v>
      </c>
    </row>
    <row r="1750" spans="2:17" x14ac:dyDescent="0.45">
      <c r="B1750" s="27" t="str">
        <f>IFERROR(VLOOKUP(A1750,القائمة!$A$3:$F$112,2,FALSE),"")</f>
        <v/>
      </c>
      <c r="C1750" s="27" t="str">
        <f>IFERROR(VLOOKUP(A1750,القائمة!$A$3:$F$112,3,FALSE),"")</f>
        <v/>
      </c>
      <c r="D1750" s="36" t="str">
        <f>IFERROR(VLOOKUP(A1750,القائمة!$A$3:$F$112,4,FALSE),"")</f>
        <v/>
      </c>
      <c r="E1750" s="36" t="str">
        <f>IFERROR(VLOOKUP(A1750,القائمة!$A$3:$F$112,5,FALSE),"")</f>
        <v/>
      </c>
      <c r="F1750" s="37" t="str">
        <f>IFERROR(VLOOKUP(A1750,القائمة!$A$3:$F$112,6,FALSE),"")</f>
        <v/>
      </c>
      <c r="P1750" s="27">
        <f t="shared" si="57"/>
        <v>0</v>
      </c>
      <c r="Q1750" s="27">
        <f t="shared" si="56"/>
        <v>0</v>
      </c>
    </row>
    <row r="1751" spans="2:17" x14ac:dyDescent="0.45">
      <c r="B1751" s="27" t="str">
        <f>IFERROR(VLOOKUP(A1751,القائمة!$A$3:$F$112,2,FALSE),"")</f>
        <v/>
      </c>
      <c r="C1751" s="27" t="str">
        <f>IFERROR(VLOOKUP(A1751,القائمة!$A$3:$F$112,3,FALSE),"")</f>
        <v/>
      </c>
      <c r="D1751" s="36" t="str">
        <f>IFERROR(VLOOKUP(A1751,القائمة!$A$3:$F$112,4,FALSE),"")</f>
        <v/>
      </c>
      <c r="E1751" s="36" t="str">
        <f>IFERROR(VLOOKUP(A1751,القائمة!$A$3:$F$112,5,FALSE),"")</f>
        <v/>
      </c>
      <c r="F1751" s="37" t="str">
        <f>IFERROR(VLOOKUP(A1751,القائمة!$A$3:$F$112,6,FALSE),"")</f>
        <v/>
      </c>
      <c r="P1751" s="27">
        <f t="shared" si="57"/>
        <v>0</v>
      </c>
      <c r="Q1751" s="27">
        <f t="shared" si="56"/>
        <v>0</v>
      </c>
    </row>
    <row r="1752" spans="2:17" x14ac:dyDescent="0.45">
      <c r="B1752" s="27" t="str">
        <f>IFERROR(VLOOKUP(A1752,القائمة!$A$3:$F$112,2,FALSE),"")</f>
        <v/>
      </c>
      <c r="C1752" s="27" t="str">
        <f>IFERROR(VLOOKUP(A1752,القائمة!$A$3:$F$112,3,FALSE),"")</f>
        <v/>
      </c>
      <c r="D1752" s="36" t="str">
        <f>IFERROR(VLOOKUP(A1752,القائمة!$A$3:$F$112,4,FALSE),"")</f>
        <v/>
      </c>
      <c r="E1752" s="36" t="str">
        <f>IFERROR(VLOOKUP(A1752,القائمة!$A$3:$F$112,5,FALSE),"")</f>
        <v/>
      </c>
      <c r="F1752" s="37" t="str">
        <f>IFERROR(VLOOKUP(A1752,القائمة!$A$3:$F$112,6,FALSE),"")</f>
        <v/>
      </c>
      <c r="P1752" s="27">
        <f t="shared" si="57"/>
        <v>0</v>
      </c>
      <c r="Q1752" s="27">
        <f t="shared" si="56"/>
        <v>0</v>
      </c>
    </row>
    <row r="1753" spans="2:17" x14ac:dyDescent="0.45">
      <c r="B1753" s="27" t="str">
        <f>IFERROR(VLOOKUP(A1753,القائمة!$A$3:$F$112,2,FALSE),"")</f>
        <v/>
      </c>
      <c r="C1753" s="27" t="str">
        <f>IFERROR(VLOOKUP(A1753,القائمة!$A$3:$F$112,3,FALSE),"")</f>
        <v/>
      </c>
      <c r="D1753" s="36" t="str">
        <f>IFERROR(VLOOKUP(A1753,القائمة!$A$3:$F$112,4,FALSE),"")</f>
        <v/>
      </c>
      <c r="E1753" s="36" t="str">
        <f>IFERROR(VLOOKUP(A1753,القائمة!$A$3:$F$112,5,FALSE),"")</f>
        <v/>
      </c>
      <c r="F1753" s="37" t="str">
        <f>IFERROR(VLOOKUP(A1753,القائمة!$A$3:$F$112,6,FALSE),"")</f>
        <v/>
      </c>
      <c r="P1753" s="27">
        <f t="shared" si="57"/>
        <v>0</v>
      </c>
      <c r="Q1753" s="27">
        <f t="shared" si="56"/>
        <v>0</v>
      </c>
    </row>
    <row r="1754" spans="2:17" x14ac:dyDescent="0.45">
      <c r="B1754" s="27" t="str">
        <f>IFERROR(VLOOKUP(A1754,القائمة!$A$3:$F$112,2,FALSE),"")</f>
        <v/>
      </c>
      <c r="C1754" s="27" t="str">
        <f>IFERROR(VLOOKUP(A1754,القائمة!$A$3:$F$112,3,FALSE),"")</f>
        <v/>
      </c>
      <c r="D1754" s="36" t="str">
        <f>IFERROR(VLOOKUP(A1754,القائمة!$A$3:$F$112,4,FALSE),"")</f>
        <v/>
      </c>
      <c r="E1754" s="36" t="str">
        <f>IFERROR(VLOOKUP(A1754,القائمة!$A$3:$F$112,5,FALSE),"")</f>
        <v/>
      </c>
      <c r="F1754" s="37" t="str">
        <f>IFERROR(VLOOKUP(A1754,القائمة!$A$3:$F$112,6,FALSE),"")</f>
        <v/>
      </c>
      <c r="P1754" s="27">
        <f t="shared" si="57"/>
        <v>0</v>
      </c>
      <c r="Q1754" s="27">
        <f t="shared" si="56"/>
        <v>0</v>
      </c>
    </row>
    <row r="1755" spans="2:17" x14ac:dyDescent="0.45">
      <c r="B1755" s="27" t="str">
        <f>IFERROR(VLOOKUP(A1755,القائمة!$A$3:$F$112,2,FALSE),"")</f>
        <v/>
      </c>
      <c r="C1755" s="27" t="str">
        <f>IFERROR(VLOOKUP(A1755,القائمة!$A$3:$F$112,3,FALSE),"")</f>
        <v/>
      </c>
      <c r="D1755" s="36" t="str">
        <f>IFERROR(VLOOKUP(A1755,القائمة!$A$3:$F$112,4,FALSE),"")</f>
        <v/>
      </c>
      <c r="E1755" s="36" t="str">
        <f>IFERROR(VLOOKUP(A1755,القائمة!$A$3:$F$112,5,FALSE),"")</f>
        <v/>
      </c>
      <c r="F1755" s="37" t="str">
        <f>IFERROR(VLOOKUP(A1755,القائمة!$A$3:$F$112,6,FALSE),"")</f>
        <v/>
      </c>
      <c r="P1755" s="27">
        <f t="shared" si="57"/>
        <v>0</v>
      </c>
      <c r="Q1755" s="27">
        <f t="shared" si="56"/>
        <v>0</v>
      </c>
    </row>
    <row r="1756" spans="2:17" x14ac:dyDescent="0.45">
      <c r="B1756" s="27" t="str">
        <f>IFERROR(VLOOKUP(A1756,القائمة!$A$3:$F$112,2,FALSE),"")</f>
        <v/>
      </c>
      <c r="C1756" s="27" t="str">
        <f>IFERROR(VLOOKUP(A1756,القائمة!$A$3:$F$112,3,FALSE),"")</f>
        <v/>
      </c>
      <c r="D1756" s="36" t="str">
        <f>IFERROR(VLOOKUP(A1756,القائمة!$A$3:$F$112,4,FALSE),"")</f>
        <v/>
      </c>
      <c r="E1756" s="36" t="str">
        <f>IFERROR(VLOOKUP(A1756,القائمة!$A$3:$F$112,5,FALSE),"")</f>
        <v/>
      </c>
      <c r="F1756" s="37" t="str">
        <f>IFERROR(VLOOKUP(A1756,القائمة!$A$3:$F$112,6,FALSE),"")</f>
        <v/>
      </c>
      <c r="P1756" s="27">
        <f t="shared" si="57"/>
        <v>0</v>
      </c>
      <c r="Q1756" s="27">
        <f t="shared" si="56"/>
        <v>0</v>
      </c>
    </row>
    <row r="1757" spans="2:17" x14ac:dyDescent="0.45">
      <c r="B1757" s="27" t="str">
        <f>IFERROR(VLOOKUP(A1757,القائمة!$A$3:$F$112,2,FALSE),"")</f>
        <v/>
      </c>
      <c r="C1757" s="27" t="str">
        <f>IFERROR(VLOOKUP(A1757,القائمة!$A$3:$F$112,3,FALSE),"")</f>
        <v/>
      </c>
      <c r="D1757" s="36" t="str">
        <f>IFERROR(VLOOKUP(A1757,القائمة!$A$3:$F$112,4,FALSE),"")</f>
        <v/>
      </c>
      <c r="E1757" s="36" t="str">
        <f>IFERROR(VLOOKUP(A1757,القائمة!$A$3:$F$112,5,FALSE),"")</f>
        <v/>
      </c>
      <c r="F1757" s="37" t="str">
        <f>IFERROR(VLOOKUP(A1757,القائمة!$A$3:$F$112,6,FALSE),"")</f>
        <v/>
      </c>
      <c r="P1757" s="27">
        <f t="shared" si="57"/>
        <v>0</v>
      </c>
      <c r="Q1757" s="27">
        <f t="shared" si="56"/>
        <v>0</v>
      </c>
    </row>
    <row r="1758" spans="2:17" x14ac:dyDescent="0.45">
      <c r="B1758" s="27" t="str">
        <f>IFERROR(VLOOKUP(A1758,القائمة!$A$3:$F$112,2,FALSE),"")</f>
        <v/>
      </c>
      <c r="C1758" s="27" t="str">
        <f>IFERROR(VLOOKUP(A1758,القائمة!$A$3:$F$112,3,FALSE),"")</f>
        <v/>
      </c>
      <c r="D1758" s="36" t="str">
        <f>IFERROR(VLOOKUP(A1758,القائمة!$A$3:$F$112,4,FALSE),"")</f>
        <v/>
      </c>
      <c r="E1758" s="36" t="str">
        <f>IFERROR(VLOOKUP(A1758,القائمة!$A$3:$F$112,5,FALSE),"")</f>
        <v/>
      </c>
      <c r="F1758" s="37" t="str">
        <f>IFERROR(VLOOKUP(A1758,القائمة!$A$3:$F$112,6,FALSE),"")</f>
        <v/>
      </c>
      <c r="P1758" s="27">
        <f t="shared" si="57"/>
        <v>0</v>
      </c>
      <c r="Q1758" s="27">
        <f t="shared" si="56"/>
        <v>0</v>
      </c>
    </row>
    <row r="1759" spans="2:17" x14ac:dyDescent="0.45">
      <c r="B1759" s="27" t="str">
        <f>IFERROR(VLOOKUP(A1759,القائمة!$A$3:$F$112,2,FALSE),"")</f>
        <v/>
      </c>
      <c r="C1759" s="27" t="str">
        <f>IFERROR(VLOOKUP(A1759,القائمة!$A$3:$F$112,3,FALSE),"")</f>
        <v/>
      </c>
      <c r="D1759" s="36" t="str">
        <f>IFERROR(VLOOKUP(A1759,القائمة!$A$3:$F$112,4,FALSE),"")</f>
        <v/>
      </c>
      <c r="E1759" s="36" t="str">
        <f>IFERROR(VLOOKUP(A1759,القائمة!$A$3:$F$112,5,FALSE),"")</f>
        <v/>
      </c>
      <c r="F1759" s="37" t="str">
        <f>IFERROR(VLOOKUP(A1759,القائمة!$A$3:$F$112,6,FALSE),"")</f>
        <v/>
      </c>
      <c r="P1759" s="27">
        <f t="shared" si="57"/>
        <v>0</v>
      </c>
      <c r="Q1759" s="27">
        <f t="shared" si="56"/>
        <v>0</v>
      </c>
    </row>
    <row r="1760" spans="2:17" x14ac:dyDescent="0.45">
      <c r="B1760" s="27" t="str">
        <f>IFERROR(VLOOKUP(A1760,القائمة!$A$3:$F$112,2,FALSE),"")</f>
        <v/>
      </c>
      <c r="C1760" s="27" t="str">
        <f>IFERROR(VLOOKUP(A1760,القائمة!$A$3:$F$112,3,FALSE),"")</f>
        <v/>
      </c>
      <c r="D1760" s="36" t="str">
        <f>IFERROR(VLOOKUP(A1760,القائمة!$A$3:$F$112,4,FALSE),"")</f>
        <v/>
      </c>
      <c r="E1760" s="36" t="str">
        <f>IFERROR(VLOOKUP(A1760,القائمة!$A$3:$F$112,5,FALSE),"")</f>
        <v/>
      </c>
      <c r="F1760" s="37" t="str">
        <f>IFERROR(VLOOKUP(A1760,القائمة!$A$3:$F$112,6,FALSE),"")</f>
        <v/>
      </c>
      <c r="P1760" s="27">
        <f t="shared" si="57"/>
        <v>0</v>
      </c>
      <c r="Q1760" s="27">
        <f t="shared" si="56"/>
        <v>0</v>
      </c>
    </row>
    <row r="1761" spans="2:17" x14ac:dyDescent="0.45">
      <c r="B1761" s="27" t="str">
        <f>IFERROR(VLOOKUP(A1761,القائمة!$A$3:$F$112,2,FALSE),"")</f>
        <v/>
      </c>
      <c r="C1761" s="27" t="str">
        <f>IFERROR(VLOOKUP(A1761,القائمة!$A$3:$F$112,3,FALSE),"")</f>
        <v/>
      </c>
      <c r="D1761" s="36" t="str">
        <f>IFERROR(VLOOKUP(A1761,القائمة!$A$3:$F$112,4,FALSE),"")</f>
        <v/>
      </c>
      <c r="E1761" s="36" t="str">
        <f>IFERROR(VLOOKUP(A1761,القائمة!$A$3:$F$112,5,FALSE),"")</f>
        <v/>
      </c>
      <c r="F1761" s="37" t="str">
        <f>IFERROR(VLOOKUP(A1761,القائمة!$A$3:$F$112,6,FALSE),"")</f>
        <v/>
      </c>
      <c r="P1761" s="27">
        <f t="shared" si="57"/>
        <v>0</v>
      </c>
      <c r="Q1761" s="27">
        <f t="shared" si="56"/>
        <v>0</v>
      </c>
    </row>
    <row r="1762" spans="2:17" x14ac:dyDescent="0.45">
      <c r="B1762" s="27" t="str">
        <f>IFERROR(VLOOKUP(A1762,القائمة!$A$3:$F$112,2,FALSE),"")</f>
        <v/>
      </c>
      <c r="C1762" s="27" t="str">
        <f>IFERROR(VLOOKUP(A1762,القائمة!$A$3:$F$112,3,FALSE),"")</f>
        <v/>
      </c>
      <c r="D1762" s="36" t="str">
        <f>IFERROR(VLOOKUP(A1762,القائمة!$A$3:$F$112,4,FALSE),"")</f>
        <v/>
      </c>
      <c r="E1762" s="36" t="str">
        <f>IFERROR(VLOOKUP(A1762,القائمة!$A$3:$F$112,5,FALSE),"")</f>
        <v/>
      </c>
      <c r="F1762" s="37" t="str">
        <f>IFERROR(VLOOKUP(A1762,القائمة!$A$3:$F$112,6,FALSE),"")</f>
        <v/>
      </c>
      <c r="P1762" s="27">
        <f t="shared" si="57"/>
        <v>0</v>
      </c>
      <c r="Q1762" s="27">
        <f t="shared" si="56"/>
        <v>0</v>
      </c>
    </row>
    <row r="1763" spans="2:17" x14ac:dyDescent="0.45">
      <c r="B1763" s="27" t="str">
        <f>IFERROR(VLOOKUP(A1763,القائمة!$A$3:$F$112,2,FALSE),"")</f>
        <v/>
      </c>
      <c r="C1763" s="27" t="str">
        <f>IFERROR(VLOOKUP(A1763,القائمة!$A$3:$F$112,3,FALSE),"")</f>
        <v/>
      </c>
      <c r="D1763" s="36" t="str">
        <f>IFERROR(VLOOKUP(A1763,القائمة!$A$3:$F$112,4,FALSE),"")</f>
        <v/>
      </c>
      <c r="E1763" s="36" t="str">
        <f>IFERROR(VLOOKUP(A1763,القائمة!$A$3:$F$112,5,FALSE),"")</f>
        <v/>
      </c>
      <c r="F1763" s="37" t="str">
        <f>IFERROR(VLOOKUP(A1763,القائمة!$A$3:$F$112,6,FALSE),"")</f>
        <v/>
      </c>
      <c r="P1763" s="27">
        <f t="shared" si="57"/>
        <v>0</v>
      </c>
      <c r="Q1763" s="27">
        <f t="shared" si="56"/>
        <v>0</v>
      </c>
    </row>
    <row r="1764" spans="2:17" x14ac:dyDescent="0.45">
      <c r="B1764" s="27" t="str">
        <f>IFERROR(VLOOKUP(A1764,القائمة!$A$3:$F$112,2,FALSE),"")</f>
        <v/>
      </c>
      <c r="C1764" s="27" t="str">
        <f>IFERROR(VLOOKUP(A1764,القائمة!$A$3:$F$112,3,FALSE),"")</f>
        <v/>
      </c>
      <c r="D1764" s="36" t="str">
        <f>IFERROR(VLOOKUP(A1764,القائمة!$A$3:$F$112,4,FALSE),"")</f>
        <v/>
      </c>
      <c r="E1764" s="36" t="str">
        <f>IFERROR(VLOOKUP(A1764,القائمة!$A$3:$F$112,5,FALSE),"")</f>
        <v/>
      </c>
      <c r="F1764" s="37" t="str">
        <f>IFERROR(VLOOKUP(A1764,القائمة!$A$3:$F$112,6,FALSE),"")</f>
        <v/>
      </c>
      <c r="P1764" s="27">
        <f t="shared" si="57"/>
        <v>0</v>
      </c>
      <c r="Q1764" s="27">
        <f t="shared" si="56"/>
        <v>0</v>
      </c>
    </row>
    <row r="1765" spans="2:17" x14ac:dyDescent="0.45">
      <c r="B1765" s="27" t="str">
        <f>IFERROR(VLOOKUP(A1765,القائمة!$A$3:$F$112,2,FALSE),"")</f>
        <v/>
      </c>
      <c r="C1765" s="27" t="str">
        <f>IFERROR(VLOOKUP(A1765,القائمة!$A$3:$F$112,3,FALSE),"")</f>
        <v/>
      </c>
      <c r="D1765" s="36" t="str">
        <f>IFERROR(VLOOKUP(A1765,القائمة!$A$3:$F$112,4,FALSE),"")</f>
        <v/>
      </c>
      <c r="E1765" s="36" t="str">
        <f>IFERROR(VLOOKUP(A1765,القائمة!$A$3:$F$112,5,FALSE),"")</f>
        <v/>
      </c>
      <c r="F1765" s="37" t="str">
        <f>IFERROR(VLOOKUP(A1765,القائمة!$A$3:$F$112,6,FALSE),"")</f>
        <v/>
      </c>
      <c r="P1765" s="27">
        <f t="shared" si="57"/>
        <v>0</v>
      </c>
      <c r="Q1765" s="27">
        <f t="shared" si="56"/>
        <v>0</v>
      </c>
    </row>
    <row r="1766" spans="2:17" x14ac:dyDescent="0.45">
      <c r="B1766" s="27" t="str">
        <f>IFERROR(VLOOKUP(A1766,القائمة!$A$3:$F$112,2,FALSE),"")</f>
        <v/>
      </c>
      <c r="C1766" s="27" t="str">
        <f>IFERROR(VLOOKUP(A1766,القائمة!$A$3:$F$112,3,FALSE),"")</f>
        <v/>
      </c>
      <c r="D1766" s="36" t="str">
        <f>IFERROR(VLOOKUP(A1766,القائمة!$A$3:$F$112,4,FALSE),"")</f>
        <v/>
      </c>
      <c r="E1766" s="36" t="str">
        <f>IFERROR(VLOOKUP(A1766,القائمة!$A$3:$F$112,5,FALSE),"")</f>
        <v/>
      </c>
      <c r="F1766" s="37" t="str">
        <f>IFERROR(VLOOKUP(A1766,القائمة!$A$3:$F$112,6,FALSE),"")</f>
        <v/>
      </c>
      <c r="P1766" s="27">
        <f t="shared" si="57"/>
        <v>0</v>
      </c>
      <c r="Q1766" s="27">
        <f t="shared" si="56"/>
        <v>0</v>
      </c>
    </row>
    <row r="1767" spans="2:17" x14ac:dyDescent="0.45">
      <c r="B1767" s="27" t="str">
        <f>IFERROR(VLOOKUP(A1767,القائمة!$A$3:$F$112,2,FALSE),"")</f>
        <v/>
      </c>
      <c r="C1767" s="27" t="str">
        <f>IFERROR(VLOOKUP(A1767,القائمة!$A$3:$F$112,3,FALSE),"")</f>
        <v/>
      </c>
      <c r="D1767" s="36" t="str">
        <f>IFERROR(VLOOKUP(A1767,القائمة!$A$3:$F$112,4,FALSE),"")</f>
        <v/>
      </c>
      <c r="E1767" s="36" t="str">
        <f>IFERROR(VLOOKUP(A1767,القائمة!$A$3:$F$112,5,FALSE),"")</f>
        <v/>
      </c>
      <c r="F1767" s="37" t="str">
        <f>IFERROR(VLOOKUP(A1767,القائمة!$A$3:$F$112,6,FALSE),"")</f>
        <v/>
      </c>
      <c r="P1767" s="27">
        <f t="shared" si="57"/>
        <v>0</v>
      </c>
      <c r="Q1767" s="27">
        <f t="shared" si="56"/>
        <v>0</v>
      </c>
    </row>
    <row r="1768" spans="2:17" x14ac:dyDescent="0.45">
      <c r="B1768" s="27" t="str">
        <f>IFERROR(VLOOKUP(A1768,القائمة!$A$3:$F$112,2,FALSE),"")</f>
        <v/>
      </c>
      <c r="C1768" s="27" t="str">
        <f>IFERROR(VLOOKUP(A1768,القائمة!$A$3:$F$112,3,FALSE),"")</f>
        <v/>
      </c>
      <c r="D1768" s="36" t="str">
        <f>IFERROR(VLOOKUP(A1768,القائمة!$A$3:$F$112,4,FALSE),"")</f>
        <v/>
      </c>
      <c r="E1768" s="36" t="str">
        <f>IFERROR(VLOOKUP(A1768,القائمة!$A$3:$F$112,5,FALSE),"")</f>
        <v/>
      </c>
      <c r="F1768" s="37" t="str">
        <f>IFERROR(VLOOKUP(A1768,القائمة!$A$3:$F$112,6,FALSE),"")</f>
        <v/>
      </c>
      <c r="P1768" s="27">
        <f t="shared" si="57"/>
        <v>0</v>
      </c>
      <c r="Q1768" s="27">
        <f t="shared" si="56"/>
        <v>0</v>
      </c>
    </row>
    <row r="1769" spans="2:17" x14ac:dyDescent="0.45">
      <c r="B1769" s="27" t="str">
        <f>IFERROR(VLOOKUP(A1769,القائمة!$A$3:$F$112,2,FALSE),"")</f>
        <v/>
      </c>
      <c r="C1769" s="27" t="str">
        <f>IFERROR(VLOOKUP(A1769,القائمة!$A$3:$F$112,3,FALSE),"")</f>
        <v/>
      </c>
      <c r="D1769" s="36" t="str">
        <f>IFERROR(VLOOKUP(A1769,القائمة!$A$3:$F$112,4,FALSE),"")</f>
        <v/>
      </c>
      <c r="E1769" s="36" t="str">
        <f>IFERROR(VLOOKUP(A1769,القائمة!$A$3:$F$112,5,FALSE),"")</f>
        <v/>
      </c>
      <c r="F1769" s="37" t="str">
        <f>IFERROR(VLOOKUP(A1769,القائمة!$A$3:$F$112,6,FALSE),"")</f>
        <v/>
      </c>
      <c r="P1769" s="27">
        <f t="shared" si="57"/>
        <v>0</v>
      </c>
      <c r="Q1769" s="27">
        <f t="shared" si="56"/>
        <v>0</v>
      </c>
    </row>
    <row r="1770" spans="2:17" x14ac:dyDescent="0.45">
      <c r="B1770" s="27" t="str">
        <f>IFERROR(VLOOKUP(A1770,القائمة!$A$3:$F$112,2,FALSE),"")</f>
        <v/>
      </c>
      <c r="C1770" s="27" t="str">
        <f>IFERROR(VLOOKUP(A1770,القائمة!$A$3:$F$112,3,FALSE),"")</f>
        <v/>
      </c>
      <c r="D1770" s="36" t="str">
        <f>IFERROR(VLOOKUP(A1770,القائمة!$A$3:$F$112,4,FALSE),"")</f>
        <v/>
      </c>
      <c r="E1770" s="36" t="str">
        <f>IFERROR(VLOOKUP(A1770,القائمة!$A$3:$F$112,5,FALSE),"")</f>
        <v/>
      </c>
      <c r="F1770" s="37" t="str">
        <f>IFERROR(VLOOKUP(A1770,القائمة!$A$3:$F$112,6,FALSE),"")</f>
        <v/>
      </c>
      <c r="P1770" s="27">
        <f t="shared" si="57"/>
        <v>0</v>
      </c>
      <c r="Q1770" s="27">
        <f t="shared" si="56"/>
        <v>0</v>
      </c>
    </row>
    <row r="1771" spans="2:17" x14ac:dyDescent="0.45">
      <c r="B1771" s="27" t="str">
        <f>IFERROR(VLOOKUP(A1771,القائمة!$A$3:$F$112,2,FALSE),"")</f>
        <v/>
      </c>
      <c r="C1771" s="27" t="str">
        <f>IFERROR(VLOOKUP(A1771,القائمة!$A$3:$F$112,3,FALSE),"")</f>
        <v/>
      </c>
      <c r="D1771" s="36" t="str">
        <f>IFERROR(VLOOKUP(A1771,القائمة!$A$3:$F$112,4,FALSE),"")</f>
        <v/>
      </c>
      <c r="E1771" s="36" t="str">
        <f>IFERROR(VLOOKUP(A1771,القائمة!$A$3:$F$112,5,FALSE),"")</f>
        <v/>
      </c>
      <c r="F1771" s="37" t="str">
        <f>IFERROR(VLOOKUP(A1771,القائمة!$A$3:$F$112,6,FALSE),"")</f>
        <v/>
      </c>
      <c r="P1771" s="27">
        <f t="shared" si="57"/>
        <v>0</v>
      </c>
      <c r="Q1771" s="27">
        <f t="shared" si="56"/>
        <v>0</v>
      </c>
    </row>
    <row r="1772" spans="2:17" x14ac:dyDescent="0.45">
      <c r="B1772" s="27" t="str">
        <f>IFERROR(VLOOKUP(A1772,القائمة!$A$3:$F$112,2,FALSE),"")</f>
        <v/>
      </c>
      <c r="C1772" s="27" t="str">
        <f>IFERROR(VLOOKUP(A1772,القائمة!$A$3:$F$112,3,FALSE),"")</f>
        <v/>
      </c>
      <c r="D1772" s="36" t="str">
        <f>IFERROR(VLOOKUP(A1772,القائمة!$A$3:$F$112,4,FALSE),"")</f>
        <v/>
      </c>
      <c r="E1772" s="36" t="str">
        <f>IFERROR(VLOOKUP(A1772,القائمة!$A$3:$F$112,5,FALSE),"")</f>
        <v/>
      </c>
      <c r="F1772" s="37" t="str">
        <f>IFERROR(VLOOKUP(A1772,القائمة!$A$3:$F$112,6,FALSE),"")</f>
        <v/>
      </c>
      <c r="P1772" s="27">
        <f t="shared" si="57"/>
        <v>0</v>
      </c>
      <c r="Q1772" s="27">
        <f t="shared" si="56"/>
        <v>0</v>
      </c>
    </row>
    <row r="1773" spans="2:17" x14ac:dyDescent="0.45">
      <c r="B1773" s="27" t="str">
        <f>IFERROR(VLOOKUP(A1773,القائمة!$A$3:$F$112,2,FALSE),"")</f>
        <v/>
      </c>
      <c r="C1773" s="27" t="str">
        <f>IFERROR(VLOOKUP(A1773,القائمة!$A$3:$F$112,3,FALSE),"")</f>
        <v/>
      </c>
      <c r="D1773" s="36" t="str">
        <f>IFERROR(VLOOKUP(A1773,القائمة!$A$3:$F$112,4,FALSE),"")</f>
        <v/>
      </c>
      <c r="E1773" s="36" t="str">
        <f>IFERROR(VLOOKUP(A1773,القائمة!$A$3:$F$112,5,FALSE),"")</f>
        <v/>
      </c>
      <c r="F1773" s="37" t="str">
        <f>IFERROR(VLOOKUP(A1773,القائمة!$A$3:$F$112,6,FALSE),"")</f>
        <v/>
      </c>
      <c r="P1773" s="27">
        <f t="shared" si="57"/>
        <v>0</v>
      </c>
      <c r="Q1773" s="27">
        <f t="shared" si="56"/>
        <v>0</v>
      </c>
    </row>
    <row r="1774" spans="2:17" x14ac:dyDescent="0.45">
      <c r="B1774" s="27" t="str">
        <f>IFERROR(VLOOKUP(A1774,القائمة!$A$3:$F$112,2,FALSE),"")</f>
        <v/>
      </c>
      <c r="C1774" s="27" t="str">
        <f>IFERROR(VLOOKUP(A1774,القائمة!$A$3:$F$112,3,FALSE),"")</f>
        <v/>
      </c>
      <c r="D1774" s="36" t="str">
        <f>IFERROR(VLOOKUP(A1774,القائمة!$A$3:$F$112,4,FALSE),"")</f>
        <v/>
      </c>
      <c r="E1774" s="36" t="str">
        <f>IFERROR(VLOOKUP(A1774,القائمة!$A$3:$F$112,5,FALSE),"")</f>
        <v/>
      </c>
      <c r="F1774" s="37" t="str">
        <f>IFERROR(VLOOKUP(A1774,القائمة!$A$3:$F$112,6,FALSE),"")</f>
        <v/>
      </c>
      <c r="P1774" s="27">
        <f t="shared" si="57"/>
        <v>0</v>
      </c>
      <c r="Q1774" s="27">
        <f t="shared" si="56"/>
        <v>0</v>
      </c>
    </row>
    <row r="1775" spans="2:17" x14ac:dyDescent="0.45">
      <c r="B1775" s="27" t="str">
        <f>IFERROR(VLOOKUP(A1775,القائمة!$A$3:$F$112,2,FALSE),"")</f>
        <v/>
      </c>
      <c r="C1775" s="27" t="str">
        <f>IFERROR(VLOOKUP(A1775,القائمة!$A$3:$F$112,3,FALSE),"")</f>
        <v/>
      </c>
      <c r="D1775" s="36" t="str">
        <f>IFERROR(VLOOKUP(A1775,القائمة!$A$3:$F$112,4,FALSE),"")</f>
        <v/>
      </c>
      <c r="E1775" s="36" t="str">
        <f>IFERROR(VLOOKUP(A1775,القائمة!$A$3:$F$112,5,FALSE),"")</f>
        <v/>
      </c>
      <c r="F1775" s="37" t="str">
        <f>IFERROR(VLOOKUP(A1775,القائمة!$A$3:$F$112,6,FALSE),"")</f>
        <v/>
      </c>
      <c r="P1775" s="27">
        <f t="shared" si="57"/>
        <v>0</v>
      </c>
      <c r="Q1775" s="27">
        <f t="shared" si="56"/>
        <v>0</v>
      </c>
    </row>
    <row r="1776" spans="2:17" x14ac:dyDescent="0.45">
      <c r="B1776" s="27" t="str">
        <f>IFERROR(VLOOKUP(A1776,القائمة!$A$3:$F$112,2,FALSE),"")</f>
        <v/>
      </c>
      <c r="C1776" s="27" t="str">
        <f>IFERROR(VLOOKUP(A1776,القائمة!$A$3:$F$112,3,FALSE),"")</f>
        <v/>
      </c>
      <c r="D1776" s="36" t="str">
        <f>IFERROR(VLOOKUP(A1776,القائمة!$A$3:$F$112,4,FALSE),"")</f>
        <v/>
      </c>
      <c r="E1776" s="36" t="str">
        <f>IFERROR(VLOOKUP(A1776,القائمة!$A$3:$F$112,5,FALSE),"")</f>
        <v/>
      </c>
      <c r="F1776" s="37" t="str">
        <f>IFERROR(VLOOKUP(A1776,القائمة!$A$3:$F$112,6,FALSE),"")</f>
        <v/>
      </c>
      <c r="P1776" s="27">
        <f t="shared" si="57"/>
        <v>0</v>
      </c>
      <c r="Q1776" s="27">
        <f t="shared" si="56"/>
        <v>0</v>
      </c>
    </row>
    <row r="1777" spans="2:17" x14ac:dyDescent="0.45">
      <c r="B1777" s="27" t="str">
        <f>IFERROR(VLOOKUP(A1777,القائمة!$A$3:$F$112,2,FALSE),"")</f>
        <v/>
      </c>
      <c r="C1777" s="27" t="str">
        <f>IFERROR(VLOOKUP(A1777,القائمة!$A$3:$F$112,3,FALSE),"")</f>
        <v/>
      </c>
      <c r="D1777" s="36" t="str">
        <f>IFERROR(VLOOKUP(A1777,القائمة!$A$3:$F$112,4,FALSE),"")</f>
        <v/>
      </c>
      <c r="E1777" s="36" t="str">
        <f>IFERROR(VLOOKUP(A1777,القائمة!$A$3:$F$112,5,FALSE),"")</f>
        <v/>
      </c>
      <c r="F1777" s="37" t="str">
        <f>IFERROR(VLOOKUP(A1777,القائمة!$A$3:$F$112,6,FALSE),"")</f>
        <v/>
      </c>
      <c r="P1777" s="27">
        <f t="shared" si="57"/>
        <v>0</v>
      </c>
      <c r="Q1777" s="27">
        <f t="shared" si="56"/>
        <v>0</v>
      </c>
    </row>
    <row r="1778" spans="2:17" x14ac:dyDescent="0.45">
      <c r="B1778" s="27" t="str">
        <f>IFERROR(VLOOKUP(A1778,القائمة!$A$3:$F$112,2,FALSE),"")</f>
        <v/>
      </c>
      <c r="C1778" s="27" t="str">
        <f>IFERROR(VLOOKUP(A1778,القائمة!$A$3:$F$112,3,FALSE),"")</f>
        <v/>
      </c>
      <c r="D1778" s="36" t="str">
        <f>IFERROR(VLOOKUP(A1778,القائمة!$A$3:$F$112,4,FALSE),"")</f>
        <v/>
      </c>
      <c r="E1778" s="36" t="str">
        <f>IFERROR(VLOOKUP(A1778,القائمة!$A$3:$F$112,5,FALSE),"")</f>
        <v/>
      </c>
      <c r="F1778" s="37" t="str">
        <f>IFERROR(VLOOKUP(A1778,القائمة!$A$3:$F$112,6,FALSE),"")</f>
        <v/>
      </c>
      <c r="P1778" s="27">
        <f t="shared" si="57"/>
        <v>0</v>
      </c>
      <c r="Q1778" s="27">
        <f t="shared" si="56"/>
        <v>0</v>
      </c>
    </row>
    <row r="1779" spans="2:17" x14ac:dyDescent="0.45">
      <c r="B1779" s="27" t="str">
        <f>IFERROR(VLOOKUP(A1779,القائمة!$A$3:$F$112,2,FALSE),"")</f>
        <v/>
      </c>
      <c r="C1779" s="27" t="str">
        <f>IFERROR(VLOOKUP(A1779,القائمة!$A$3:$F$112,3,FALSE),"")</f>
        <v/>
      </c>
      <c r="D1779" s="36" t="str">
        <f>IFERROR(VLOOKUP(A1779,القائمة!$A$3:$F$112,4,FALSE),"")</f>
        <v/>
      </c>
      <c r="E1779" s="36" t="str">
        <f>IFERROR(VLOOKUP(A1779,القائمة!$A$3:$F$112,5,FALSE),"")</f>
        <v/>
      </c>
      <c r="F1779" s="37" t="str">
        <f>IFERROR(VLOOKUP(A1779,القائمة!$A$3:$F$112,6,FALSE),"")</f>
        <v/>
      </c>
      <c r="P1779" s="27">
        <f t="shared" si="57"/>
        <v>0</v>
      </c>
      <c r="Q1779" s="27">
        <f t="shared" si="56"/>
        <v>0</v>
      </c>
    </row>
    <row r="1780" spans="2:17" x14ac:dyDescent="0.45">
      <c r="B1780" s="27" t="str">
        <f>IFERROR(VLOOKUP(A1780,القائمة!$A$3:$F$112,2,FALSE),"")</f>
        <v/>
      </c>
      <c r="C1780" s="27" t="str">
        <f>IFERROR(VLOOKUP(A1780,القائمة!$A$3:$F$112,3,FALSE),"")</f>
        <v/>
      </c>
      <c r="D1780" s="36" t="str">
        <f>IFERROR(VLOOKUP(A1780,القائمة!$A$3:$F$112,4,FALSE),"")</f>
        <v/>
      </c>
      <c r="E1780" s="36" t="str">
        <f>IFERROR(VLOOKUP(A1780,القائمة!$A$3:$F$112,5,FALSE),"")</f>
        <v/>
      </c>
      <c r="F1780" s="37" t="str">
        <f>IFERROR(VLOOKUP(A1780,القائمة!$A$3:$F$112,6,FALSE),"")</f>
        <v/>
      </c>
      <c r="P1780" s="27">
        <f t="shared" si="57"/>
        <v>0</v>
      </c>
      <c r="Q1780" s="27">
        <f t="shared" si="56"/>
        <v>0</v>
      </c>
    </row>
    <row r="1781" spans="2:17" x14ac:dyDescent="0.45">
      <c r="B1781" s="27" t="str">
        <f>IFERROR(VLOOKUP(A1781,القائمة!$A$3:$F$112,2,FALSE),"")</f>
        <v/>
      </c>
      <c r="C1781" s="27" t="str">
        <f>IFERROR(VLOOKUP(A1781,القائمة!$A$3:$F$112,3,FALSE),"")</f>
        <v/>
      </c>
      <c r="D1781" s="36" t="str">
        <f>IFERROR(VLOOKUP(A1781,القائمة!$A$3:$F$112,4,FALSE),"")</f>
        <v/>
      </c>
      <c r="E1781" s="36" t="str">
        <f>IFERROR(VLOOKUP(A1781,القائمة!$A$3:$F$112,5,FALSE),"")</f>
        <v/>
      </c>
      <c r="F1781" s="37" t="str">
        <f>IFERROR(VLOOKUP(A1781,القائمة!$A$3:$F$112,6,FALSE),"")</f>
        <v/>
      </c>
      <c r="P1781" s="27">
        <f t="shared" si="57"/>
        <v>0</v>
      </c>
      <c r="Q1781" s="27">
        <f t="shared" si="56"/>
        <v>0</v>
      </c>
    </row>
    <row r="1782" spans="2:17" x14ac:dyDescent="0.45">
      <c r="B1782" s="27" t="str">
        <f>IFERROR(VLOOKUP(A1782,القائمة!$A$3:$F$112,2,FALSE),"")</f>
        <v/>
      </c>
      <c r="C1782" s="27" t="str">
        <f>IFERROR(VLOOKUP(A1782,القائمة!$A$3:$F$112,3,FALSE),"")</f>
        <v/>
      </c>
      <c r="D1782" s="36" t="str">
        <f>IFERROR(VLOOKUP(A1782,القائمة!$A$3:$F$112,4,FALSE),"")</f>
        <v/>
      </c>
      <c r="E1782" s="36" t="str">
        <f>IFERROR(VLOOKUP(A1782,القائمة!$A$3:$F$112,5,FALSE),"")</f>
        <v/>
      </c>
      <c r="F1782" s="37" t="str">
        <f>IFERROR(VLOOKUP(A1782,القائمة!$A$3:$F$112,6,FALSE),"")</f>
        <v/>
      </c>
      <c r="P1782" s="27">
        <f t="shared" si="57"/>
        <v>0</v>
      </c>
      <c r="Q1782" s="27">
        <f t="shared" si="56"/>
        <v>0</v>
      </c>
    </row>
    <row r="1783" spans="2:17" x14ac:dyDescent="0.45">
      <c r="B1783" s="27" t="str">
        <f>IFERROR(VLOOKUP(A1783,القائمة!$A$3:$F$112,2,FALSE),"")</f>
        <v/>
      </c>
      <c r="C1783" s="27" t="str">
        <f>IFERROR(VLOOKUP(A1783,القائمة!$A$3:$F$112,3,FALSE),"")</f>
        <v/>
      </c>
      <c r="D1783" s="36" t="str">
        <f>IFERROR(VLOOKUP(A1783,القائمة!$A$3:$F$112,4,FALSE),"")</f>
        <v/>
      </c>
      <c r="E1783" s="36" t="str">
        <f>IFERROR(VLOOKUP(A1783,القائمة!$A$3:$F$112,5,FALSE),"")</f>
        <v/>
      </c>
      <c r="F1783" s="37" t="str">
        <f>IFERROR(VLOOKUP(A1783,القائمة!$A$3:$F$112,6,FALSE),"")</f>
        <v/>
      </c>
      <c r="P1783" s="27">
        <f t="shared" si="57"/>
        <v>0</v>
      </c>
      <c r="Q1783" s="27">
        <f t="shared" si="56"/>
        <v>0</v>
      </c>
    </row>
    <row r="1784" spans="2:17" x14ac:dyDescent="0.45">
      <c r="B1784" s="27" t="str">
        <f>IFERROR(VLOOKUP(A1784,القائمة!$A$3:$F$112,2,FALSE),"")</f>
        <v/>
      </c>
      <c r="C1784" s="27" t="str">
        <f>IFERROR(VLOOKUP(A1784,القائمة!$A$3:$F$112,3,FALSE),"")</f>
        <v/>
      </c>
      <c r="D1784" s="36" t="str">
        <f>IFERROR(VLOOKUP(A1784,القائمة!$A$3:$F$112,4,FALSE),"")</f>
        <v/>
      </c>
      <c r="E1784" s="36" t="str">
        <f>IFERROR(VLOOKUP(A1784,القائمة!$A$3:$F$112,5,FALSE),"")</f>
        <v/>
      </c>
      <c r="F1784" s="37" t="str">
        <f>IFERROR(VLOOKUP(A1784,القائمة!$A$3:$F$112,6,FALSE),"")</f>
        <v/>
      </c>
      <c r="P1784" s="27">
        <f t="shared" si="57"/>
        <v>0</v>
      </c>
      <c r="Q1784" s="27">
        <f t="shared" si="56"/>
        <v>0</v>
      </c>
    </row>
    <row r="1785" spans="2:17" x14ac:dyDescent="0.45">
      <c r="B1785" s="27" t="str">
        <f>IFERROR(VLOOKUP(A1785,القائمة!$A$3:$F$112,2,FALSE),"")</f>
        <v/>
      </c>
      <c r="C1785" s="27" t="str">
        <f>IFERROR(VLOOKUP(A1785,القائمة!$A$3:$F$112,3,FALSE),"")</f>
        <v/>
      </c>
      <c r="D1785" s="36" t="str">
        <f>IFERROR(VLOOKUP(A1785,القائمة!$A$3:$F$112,4,FALSE),"")</f>
        <v/>
      </c>
      <c r="E1785" s="36" t="str">
        <f>IFERROR(VLOOKUP(A1785,القائمة!$A$3:$F$112,5,FALSE),"")</f>
        <v/>
      </c>
      <c r="F1785" s="37" t="str">
        <f>IFERROR(VLOOKUP(A1785,القائمة!$A$3:$F$112,6,FALSE),"")</f>
        <v/>
      </c>
      <c r="P1785" s="27">
        <f t="shared" si="57"/>
        <v>0</v>
      </c>
      <c r="Q1785" s="27">
        <f t="shared" si="56"/>
        <v>0</v>
      </c>
    </row>
    <row r="1786" spans="2:17" x14ac:dyDescent="0.45">
      <c r="B1786" s="27" t="str">
        <f>IFERROR(VLOOKUP(A1786,القائمة!$A$3:$F$112,2,FALSE),"")</f>
        <v/>
      </c>
      <c r="C1786" s="27" t="str">
        <f>IFERROR(VLOOKUP(A1786,القائمة!$A$3:$F$112,3,FALSE),"")</f>
        <v/>
      </c>
      <c r="D1786" s="36" t="str">
        <f>IFERROR(VLOOKUP(A1786,القائمة!$A$3:$F$112,4,FALSE),"")</f>
        <v/>
      </c>
      <c r="E1786" s="36" t="str">
        <f>IFERROR(VLOOKUP(A1786,القائمة!$A$3:$F$112,5,FALSE),"")</f>
        <v/>
      </c>
      <c r="F1786" s="37" t="str">
        <f>IFERROR(VLOOKUP(A1786,القائمة!$A$3:$F$112,6,FALSE),"")</f>
        <v/>
      </c>
      <c r="P1786" s="27">
        <f t="shared" si="57"/>
        <v>0</v>
      </c>
      <c r="Q1786" s="27">
        <f t="shared" si="56"/>
        <v>0</v>
      </c>
    </row>
    <row r="1787" spans="2:17" x14ac:dyDescent="0.45">
      <c r="B1787" s="27" t="str">
        <f>IFERROR(VLOOKUP(A1787,القائمة!$A$3:$F$112,2,FALSE),"")</f>
        <v/>
      </c>
      <c r="C1787" s="27" t="str">
        <f>IFERROR(VLOOKUP(A1787,القائمة!$A$3:$F$112,3,FALSE),"")</f>
        <v/>
      </c>
      <c r="D1787" s="36" t="str">
        <f>IFERROR(VLOOKUP(A1787,القائمة!$A$3:$F$112,4,FALSE),"")</f>
        <v/>
      </c>
      <c r="E1787" s="36" t="str">
        <f>IFERROR(VLOOKUP(A1787,القائمة!$A$3:$F$112,5,FALSE),"")</f>
        <v/>
      </c>
      <c r="F1787" s="37" t="str">
        <f>IFERROR(VLOOKUP(A1787,القائمة!$A$3:$F$112,6,FALSE),"")</f>
        <v/>
      </c>
      <c r="P1787" s="27">
        <f t="shared" si="57"/>
        <v>0</v>
      </c>
      <c r="Q1787" s="27">
        <f t="shared" si="56"/>
        <v>0</v>
      </c>
    </row>
    <row r="1788" spans="2:17" x14ac:dyDescent="0.45">
      <c r="B1788" s="27" t="str">
        <f>IFERROR(VLOOKUP(A1788,القائمة!$A$3:$F$112,2,FALSE),"")</f>
        <v/>
      </c>
      <c r="C1788" s="27" t="str">
        <f>IFERROR(VLOOKUP(A1788,القائمة!$A$3:$F$112,3,FALSE),"")</f>
        <v/>
      </c>
      <c r="D1788" s="36" t="str">
        <f>IFERROR(VLOOKUP(A1788,القائمة!$A$3:$F$112,4,FALSE),"")</f>
        <v/>
      </c>
      <c r="E1788" s="36" t="str">
        <f>IFERROR(VLOOKUP(A1788,القائمة!$A$3:$F$112,5,FALSE),"")</f>
        <v/>
      </c>
      <c r="F1788" s="37" t="str">
        <f>IFERROR(VLOOKUP(A1788,القائمة!$A$3:$F$112,6,FALSE),"")</f>
        <v/>
      </c>
      <c r="P1788" s="27">
        <f t="shared" si="57"/>
        <v>0</v>
      </c>
      <c r="Q1788" s="27">
        <f t="shared" si="56"/>
        <v>0</v>
      </c>
    </row>
    <row r="1789" spans="2:17" x14ac:dyDescent="0.45">
      <c r="B1789" s="27" t="str">
        <f>IFERROR(VLOOKUP(A1789,القائمة!$A$3:$F$112,2,FALSE),"")</f>
        <v/>
      </c>
      <c r="C1789" s="27" t="str">
        <f>IFERROR(VLOOKUP(A1789,القائمة!$A$3:$F$112,3,FALSE),"")</f>
        <v/>
      </c>
      <c r="D1789" s="36" t="str">
        <f>IFERROR(VLOOKUP(A1789,القائمة!$A$3:$F$112,4,FALSE),"")</f>
        <v/>
      </c>
      <c r="E1789" s="36" t="str">
        <f>IFERROR(VLOOKUP(A1789,القائمة!$A$3:$F$112,5,FALSE),"")</f>
        <v/>
      </c>
      <c r="F1789" s="37" t="str">
        <f>IFERROR(VLOOKUP(A1789,القائمة!$A$3:$F$112,6,FALSE),"")</f>
        <v/>
      </c>
      <c r="P1789" s="27">
        <f t="shared" si="57"/>
        <v>0</v>
      </c>
      <c r="Q1789" s="27">
        <f t="shared" si="56"/>
        <v>0</v>
      </c>
    </row>
    <row r="1790" spans="2:17" x14ac:dyDescent="0.45">
      <c r="B1790" s="27" t="str">
        <f>IFERROR(VLOOKUP(A1790,القائمة!$A$3:$F$112,2,FALSE),"")</f>
        <v/>
      </c>
      <c r="C1790" s="27" t="str">
        <f>IFERROR(VLOOKUP(A1790,القائمة!$A$3:$F$112,3,FALSE),"")</f>
        <v/>
      </c>
      <c r="D1790" s="36" t="str">
        <f>IFERROR(VLOOKUP(A1790,القائمة!$A$3:$F$112,4,FALSE),"")</f>
        <v/>
      </c>
      <c r="E1790" s="36" t="str">
        <f>IFERROR(VLOOKUP(A1790,القائمة!$A$3:$F$112,5,FALSE),"")</f>
        <v/>
      </c>
      <c r="F1790" s="37" t="str">
        <f>IFERROR(VLOOKUP(A1790,القائمة!$A$3:$F$112,6,FALSE),"")</f>
        <v/>
      </c>
      <c r="P1790" s="27">
        <f t="shared" si="57"/>
        <v>0</v>
      </c>
      <c r="Q1790" s="27">
        <f t="shared" si="56"/>
        <v>0</v>
      </c>
    </row>
    <row r="1791" spans="2:17" x14ac:dyDescent="0.45">
      <c r="B1791" s="27" t="str">
        <f>IFERROR(VLOOKUP(A1791,القائمة!$A$3:$F$112,2,FALSE),"")</f>
        <v/>
      </c>
      <c r="C1791" s="27" t="str">
        <f>IFERROR(VLOOKUP(A1791,القائمة!$A$3:$F$112,3,FALSE),"")</f>
        <v/>
      </c>
      <c r="D1791" s="36" t="str">
        <f>IFERROR(VLOOKUP(A1791,القائمة!$A$3:$F$112,4,FALSE),"")</f>
        <v/>
      </c>
      <c r="E1791" s="36" t="str">
        <f>IFERROR(VLOOKUP(A1791,القائمة!$A$3:$F$112,5,FALSE),"")</f>
        <v/>
      </c>
      <c r="F1791" s="37" t="str">
        <f>IFERROR(VLOOKUP(A1791,القائمة!$A$3:$F$112,6,FALSE),"")</f>
        <v/>
      </c>
      <c r="P1791" s="27">
        <f t="shared" si="57"/>
        <v>0</v>
      </c>
      <c r="Q1791" s="27">
        <f t="shared" si="56"/>
        <v>0</v>
      </c>
    </row>
    <row r="1792" spans="2:17" x14ac:dyDescent="0.45">
      <c r="B1792" s="27" t="str">
        <f>IFERROR(VLOOKUP(A1792,القائمة!$A$3:$F$112,2,FALSE),"")</f>
        <v/>
      </c>
      <c r="C1792" s="27" t="str">
        <f>IFERROR(VLOOKUP(A1792,القائمة!$A$3:$F$112,3,FALSE),"")</f>
        <v/>
      </c>
      <c r="D1792" s="36" t="str">
        <f>IFERROR(VLOOKUP(A1792,القائمة!$A$3:$F$112,4,FALSE),"")</f>
        <v/>
      </c>
      <c r="E1792" s="36" t="str">
        <f>IFERROR(VLOOKUP(A1792,القائمة!$A$3:$F$112,5,FALSE),"")</f>
        <v/>
      </c>
      <c r="F1792" s="37" t="str">
        <f>IFERROR(VLOOKUP(A1792,القائمة!$A$3:$F$112,6,FALSE),"")</f>
        <v/>
      </c>
      <c r="P1792" s="27">
        <f t="shared" si="57"/>
        <v>0</v>
      </c>
      <c r="Q1792" s="27">
        <f t="shared" si="56"/>
        <v>0</v>
      </c>
    </row>
    <row r="1793" spans="2:17" x14ac:dyDescent="0.45">
      <c r="B1793" s="27" t="str">
        <f>IFERROR(VLOOKUP(A1793,القائمة!$A$3:$F$112,2,FALSE),"")</f>
        <v/>
      </c>
      <c r="C1793" s="27" t="str">
        <f>IFERROR(VLOOKUP(A1793,القائمة!$A$3:$F$112,3,FALSE),"")</f>
        <v/>
      </c>
      <c r="D1793" s="36" t="str">
        <f>IFERROR(VLOOKUP(A1793,القائمة!$A$3:$F$112,4,FALSE),"")</f>
        <v/>
      </c>
      <c r="E1793" s="36" t="str">
        <f>IFERROR(VLOOKUP(A1793,القائمة!$A$3:$F$112,5,FALSE),"")</f>
        <v/>
      </c>
      <c r="F1793" s="37" t="str">
        <f>IFERROR(VLOOKUP(A1793,القائمة!$A$3:$F$112,6,FALSE),"")</f>
        <v/>
      </c>
      <c r="P1793" s="27">
        <f t="shared" si="57"/>
        <v>0</v>
      </c>
      <c r="Q1793" s="27">
        <f t="shared" si="56"/>
        <v>0</v>
      </c>
    </row>
    <row r="1794" spans="2:17" x14ac:dyDescent="0.45">
      <c r="B1794" s="27" t="str">
        <f>IFERROR(VLOOKUP(A1794,القائمة!$A$3:$F$112,2,FALSE),"")</f>
        <v/>
      </c>
      <c r="C1794" s="27" t="str">
        <f>IFERROR(VLOOKUP(A1794,القائمة!$A$3:$F$112,3,FALSE),"")</f>
        <v/>
      </c>
      <c r="D1794" s="36" t="str">
        <f>IFERROR(VLOOKUP(A1794,القائمة!$A$3:$F$112,4,FALSE),"")</f>
        <v/>
      </c>
      <c r="E1794" s="36" t="str">
        <f>IFERROR(VLOOKUP(A1794,القائمة!$A$3:$F$112,5,FALSE),"")</f>
        <v/>
      </c>
      <c r="F1794" s="37" t="str">
        <f>IFERROR(VLOOKUP(A1794,القائمة!$A$3:$F$112,6,FALSE),"")</f>
        <v/>
      </c>
      <c r="P1794" s="27">
        <f t="shared" si="57"/>
        <v>0</v>
      </c>
      <c r="Q1794" s="27">
        <f t="shared" si="56"/>
        <v>0</v>
      </c>
    </row>
    <row r="1795" spans="2:17" x14ac:dyDescent="0.45">
      <c r="B1795" s="27" t="str">
        <f>IFERROR(VLOOKUP(A1795,القائمة!$A$3:$F$112,2,FALSE),"")</f>
        <v/>
      </c>
      <c r="C1795" s="27" t="str">
        <f>IFERROR(VLOOKUP(A1795,القائمة!$A$3:$F$112,3,FALSE),"")</f>
        <v/>
      </c>
      <c r="D1795" s="36" t="str">
        <f>IFERROR(VLOOKUP(A1795,القائمة!$A$3:$F$112,4,FALSE),"")</f>
        <v/>
      </c>
      <c r="E1795" s="36" t="str">
        <f>IFERROR(VLOOKUP(A1795,القائمة!$A$3:$F$112,5,FALSE),"")</f>
        <v/>
      </c>
      <c r="F1795" s="37" t="str">
        <f>IFERROR(VLOOKUP(A1795,القائمة!$A$3:$F$112,6,FALSE),"")</f>
        <v/>
      </c>
      <c r="P1795" s="27">
        <f t="shared" si="57"/>
        <v>0</v>
      </c>
      <c r="Q1795" s="27">
        <f t="shared" ref="Q1795:Q1858" si="58">+P1795+L1795-M1795</f>
        <v>0</v>
      </c>
    </row>
    <row r="1796" spans="2:17" x14ac:dyDescent="0.45">
      <c r="B1796" s="27" t="str">
        <f>IFERROR(VLOOKUP(A1796,القائمة!$A$3:$F$112,2,FALSE),"")</f>
        <v/>
      </c>
      <c r="C1796" s="27" t="str">
        <f>IFERROR(VLOOKUP(A1796,القائمة!$A$3:$F$112,3,FALSE),"")</f>
        <v/>
      </c>
      <c r="D1796" s="36" t="str">
        <f>IFERROR(VLOOKUP(A1796,القائمة!$A$3:$F$112,4,FALSE),"")</f>
        <v/>
      </c>
      <c r="E1796" s="36" t="str">
        <f>IFERROR(VLOOKUP(A1796,القائمة!$A$3:$F$112,5,FALSE),"")</f>
        <v/>
      </c>
      <c r="F1796" s="37" t="str">
        <f>IFERROR(VLOOKUP(A1796,القائمة!$A$3:$F$112,6,FALSE),"")</f>
        <v/>
      </c>
      <c r="P1796" s="27">
        <f t="shared" ref="P1796:P1859" si="59">J1796-K1796</f>
        <v>0</v>
      </c>
      <c r="Q1796" s="27">
        <f t="shared" si="58"/>
        <v>0</v>
      </c>
    </row>
    <row r="1797" spans="2:17" x14ac:dyDescent="0.45">
      <c r="B1797" s="27" t="str">
        <f>IFERROR(VLOOKUP(A1797,القائمة!$A$3:$F$112,2,FALSE),"")</f>
        <v/>
      </c>
      <c r="C1797" s="27" t="str">
        <f>IFERROR(VLOOKUP(A1797,القائمة!$A$3:$F$112,3,FALSE),"")</f>
        <v/>
      </c>
      <c r="D1797" s="36" t="str">
        <f>IFERROR(VLOOKUP(A1797,القائمة!$A$3:$F$112,4,FALSE),"")</f>
        <v/>
      </c>
      <c r="E1797" s="36" t="str">
        <f>IFERROR(VLOOKUP(A1797,القائمة!$A$3:$F$112,5,FALSE),"")</f>
        <v/>
      </c>
      <c r="F1797" s="37" t="str">
        <f>IFERROR(VLOOKUP(A1797,القائمة!$A$3:$F$112,6,FALSE),"")</f>
        <v/>
      </c>
      <c r="P1797" s="27">
        <f t="shared" si="59"/>
        <v>0</v>
      </c>
      <c r="Q1797" s="27">
        <f t="shared" si="58"/>
        <v>0</v>
      </c>
    </row>
    <row r="1798" spans="2:17" x14ac:dyDescent="0.45">
      <c r="B1798" s="27" t="str">
        <f>IFERROR(VLOOKUP(A1798,القائمة!$A$3:$F$112,2,FALSE),"")</f>
        <v/>
      </c>
      <c r="C1798" s="27" t="str">
        <f>IFERROR(VLOOKUP(A1798,القائمة!$A$3:$F$112,3,FALSE),"")</f>
        <v/>
      </c>
      <c r="D1798" s="36" t="str">
        <f>IFERROR(VLOOKUP(A1798,القائمة!$A$3:$F$112,4,FALSE),"")</f>
        <v/>
      </c>
      <c r="E1798" s="36" t="str">
        <f>IFERROR(VLOOKUP(A1798,القائمة!$A$3:$F$112,5,FALSE),"")</f>
        <v/>
      </c>
      <c r="F1798" s="37" t="str">
        <f>IFERROR(VLOOKUP(A1798,القائمة!$A$3:$F$112,6,FALSE),"")</f>
        <v/>
      </c>
      <c r="P1798" s="27">
        <f t="shared" si="59"/>
        <v>0</v>
      </c>
      <c r="Q1798" s="27">
        <f t="shared" si="58"/>
        <v>0</v>
      </c>
    </row>
    <row r="1799" spans="2:17" x14ac:dyDescent="0.45">
      <c r="B1799" s="27" t="str">
        <f>IFERROR(VLOOKUP(A1799,القائمة!$A$3:$F$112,2,FALSE),"")</f>
        <v/>
      </c>
      <c r="C1799" s="27" t="str">
        <f>IFERROR(VLOOKUP(A1799,القائمة!$A$3:$F$112,3,FALSE),"")</f>
        <v/>
      </c>
      <c r="D1799" s="36" t="str">
        <f>IFERROR(VLOOKUP(A1799,القائمة!$A$3:$F$112,4,FALSE),"")</f>
        <v/>
      </c>
      <c r="E1799" s="36" t="str">
        <f>IFERROR(VLOOKUP(A1799,القائمة!$A$3:$F$112,5,FALSE),"")</f>
        <v/>
      </c>
      <c r="F1799" s="37" t="str">
        <f>IFERROR(VLOOKUP(A1799,القائمة!$A$3:$F$112,6,FALSE),"")</f>
        <v/>
      </c>
      <c r="P1799" s="27">
        <f t="shared" si="59"/>
        <v>0</v>
      </c>
      <c r="Q1799" s="27">
        <f t="shared" si="58"/>
        <v>0</v>
      </c>
    </row>
    <row r="1800" spans="2:17" x14ac:dyDescent="0.45">
      <c r="B1800" s="27" t="str">
        <f>IFERROR(VLOOKUP(A1800,القائمة!$A$3:$F$112,2,FALSE),"")</f>
        <v/>
      </c>
      <c r="C1800" s="27" t="str">
        <f>IFERROR(VLOOKUP(A1800,القائمة!$A$3:$F$112,3,FALSE),"")</f>
        <v/>
      </c>
      <c r="D1800" s="36" t="str">
        <f>IFERROR(VLOOKUP(A1800,القائمة!$A$3:$F$112,4,FALSE),"")</f>
        <v/>
      </c>
      <c r="E1800" s="36" t="str">
        <f>IFERROR(VLOOKUP(A1800,القائمة!$A$3:$F$112,5,FALSE),"")</f>
        <v/>
      </c>
      <c r="F1800" s="37" t="str">
        <f>IFERROR(VLOOKUP(A1800,القائمة!$A$3:$F$112,6,FALSE),"")</f>
        <v/>
      </c>
      <c r="P1800" s="27">
        <f t="shared" si="59"/>
        <v>0</v>
      </c>
      <c r="Q1800" s="27">
        <f t="shared" si="58"/>
        <v>0</v>
      </c>
    </row>
    <row r="1801" spans="2:17" x14ac:dyDescent="0.45">
      <c r="B1801" s="27" t="str">
        <f>IFERROR(VLOOKUP(A1801,القائمة!$A$3:$F$112,2,FALSE),"")</f>
        <v/>
      </c>
      <c r="C1801" s="27" t="str">
        <f>IFERROR(VLOOKUP(A1801,القائمة!$A$3:$F$112,3,FALSE),"")</f>
        <v/>
      </c>
      <c r="D1801" s="36" t="str">
        <f>IFERROR(VLOOKUP(A1801,القائمة!$A$3:$F$112,4,FALSE),"")</f>
        <v/>
      </c>
      <c r="E1801" s="36" t="str">
        <f>IFERROR(VLOOKUP(A1801,القائمة!$A$3:$F$112,5,FALSE),"")</f>
        <v/>
      </c>
      <c r="F1801" s="37" t="str">
        <f>IFERROR(VLOOKUP(A1801,القائمة!$A$3:$F$112,6,FALSE),"")</f>
        <v/>
      </c>
      <c r="P1801" s="27">
        <f t="shared" si="59"/>
        <v>0</v>
      </c>
      <c r="Q1801" s="27">
        <f t="shared" si="58"/>
        <v>0</v>
      </c>
    </row>
    <row r="1802" spans="2:17" x14ac:dyDescent="0.45">
      <c r="B1802" s="27" t="str">
        <f>IFERROR(VLOOKUP(A1802,القائمة!$A$3:$F$112,2,FALSE),"")</f>
        <v/>
      </c>
      <c r="C1802" s="27" t="str">
        <f>IFERROR(VLOOKUP(A1802,القائمة!$A$3:$F$112,3,FALSE),"")</f>
        <v/>
      </c>
      <c r="D1802" s="36" t="str">
        <f>IFERROR(VLOOKUP(A1802,القائمة!$A$3:$F$112,4,FALSE),"")</f>
        <v/>
      </c>
      <c r="E1802" s="36" t="str">
        <f>IFERROR(VLOOKUP(A1802,القائمة!$A$3:$F$112,5,FALSE),"")</f>
        <v/>
      </c>
      <c r="F1802" s="37" t="str">
        <f>IFERROR(VLOOKUP(A1802,القائمة!$A$3:$F$112,6,FALSE),"")</f>
        <v/>
      </c>
      <c r="P1802" s="27">
        <f t="shared" si="59"/>
        <v>0</v>
      </c>
      <c r="Q1802" s="27">
        <f t="shared" si="58"/>
        <v>0</v>
      </c>
    </row>
    <row r="1803" spans="2:17" x14ac:dyDescent="0.45">
      <c r="B1803" s="27" t="str">
        <f>IFERROR(VLOOKUP(A1803,القائمة!$A$3:$F$112,2,FALSE),"")</f>
        <v/>
      </c>
      <c r="C1803" s="27" t="str">
        <f>IFERROR(VLOOKUP(A1803,القائمة!$A$3:$F$112,3,FALSE),"")</f>
        <v/>
      </c>
      <c r="D1803" s="36" t="str">
        <f>IFERROR(VLOOKUP(A1803,القائمة!$A$3:$F$112,4,FALSE),"")</f>
        <v/>
      </c>
      <c r="E1803" s="36" t="str">
        <f>IFERROR(VLOOKUP(A1803,القائمة!$A$3:$F$112,5,FALSE),"")</f>
        <v/>
      </c>
      <c r="F1803" s="37" t="str">
        <f>IFERROR(VLOOKUP(A1803,القائمة!$A$3:$F$112,6,FALSE),"")</f>
        <v/>
      </c>
      <c r="P1803" s="27">
        <f t="shared" si="59"/>
        <v>0</v>
      </c>
      <c r="Q1803" s="27">
        <f t="shared" si="58"/>
        <v>0</v>
      </c>
    </row>
    <row r="1804" spans="2:17" x14ac:dyDescent="0.45">
      <c r="B1804" s="27" t="str">
        <f>IFERROR(VLOOKUP(A1804,القائمة!$A$3:$F$112,2,FALSE),"")</f>
        <v/>
      </c>
      <c r="C1804" s="27" t="str">
        <f>IFERROR(VLOOKUP(A1804,القائمة!$A$3:$F$112,3,FALSE),"")</f>
        <v/>
      </c>
      <c r="D1804" s="36" t="str">
        <f>IFERROR(VLOOKUP(A1804,القائمة!$A$3:$F$112,4,FALSE),"")</f>
        <v/>
      </c>
      <c r="E1804" s="36" t="str">
        <f>IFERROR(VLOOKUP(A1804,القائمة!$A$3:$F$112,5,FALSE),"")</f>
        <v/>
      </c>
      <c r="F1804" s="37" t="str">
        <f>IFERROR(VLOOKUP(A1804,القائمة!$A$3:$F$112,6,FALSE),"")</f>
        <v/>
      </c>
      <c r="P1804" s="27">
        <f t="shared" si="59"/>
        <v>0</v>
      </c>
      <c r="Q1804" s="27">
        <f t="shared" si="58"/>
        <v>0</v>
      </c>
    </row>
    <row r="1805" spans="2:17" x14ac:dyDescent="0.45">
      <c r="B1805" s="27" t="str">
        <f>IFERROR(VLOOKUP(A1805,القائمة!$A$3:$F$112,2,FALSE),"")</f>
        <v/>
      </c>
      <c r="C1805" s="27" t="str">
        <f>IFERROR(VLOOKUP(A1805,القائمة!$A$3:$F$112,3,FALSE),"")</f>
        <v/>
      </c>
      <c r="D1805" s="36" t="str">
        <f>IFERROR(VLOOKUP(A1805,القائمة!$A$3:$F$112,4,FALSE),"")</f>
        <v/>
      </c>
      <c r="E1805" s="36" t="str">
        <f>IFERROR(VLOOKUP(A1805,القائمة!$A$3:$F$112,5,FALSE),"")</f>
        <v/>
      </c>
      <c r="F1805" s="37" t="str">
        <f>IFERROR(VLOOKUP(A1805,القائمة!$A$3:$F$112,6,FALSE),"")</f>
        <v/>
      </c>
      <c r="P1805" s="27">
        <f t="shared" si="59"/>
        <v>0</v>
      </c>
      <c r="Q1805" s="27">
        <f t="shared" si="58"/>
        <v>0</v>
      </c>
    </row>
    <row r="1806" spans="2:17" x14ac:dyDescent="0.45">
      <c r="B1806" s="27" t="str">
        <f>IFERROR(VLOOKUP(A1806,القائمة!$A$3:$F$112,2,FALSE),"")</f>
        <v/>
      </c>
      <c r="C1806" s="27" t="str">
        <f>IFERROR(VLOOKUP(A1806,القائمة!$A$3:$F$112,3,FALSE),"")</f>
        <v/>
      </c>
      <c r="D1806" s="36" t="str">
        <f>IFERROR(VLOOKUP(A1806,القائمة!$A$3:$F$112,4,FALSE),"")</f>
        <v/>
      </c>
      <c r="E1806" s="36" t="str">
        <f>IFERROR(VLOOKUP(A1806,القائمة!$A$3:$F$112,5,FALSE),"")</f>
        <v/>
      </c>
      <c r="F1806" s="37" t="str">
        <f>IFERROR(VLOOKUP(A1806,القائمة!$A$3:$F$112,6,FALSE),"")</f>
        <v/>
      </c>
      <c r="P1806" s="27">
        <f t="shared" si="59"/>
        <v>0</v>
      </c>
      <c r="Q1806" s="27">
        <f t="shared" si="58"/>
        <v>0</v>
      </c>
    </row>
    <row r="1807" spans="2:17" x14ac:dyDescent="0.45">
      <c r="B1807" s="27" t="str">
        <f>IFERROR(VLOOKUP(A1807,القائمة!$A$3:$F$112,2,FALSE),"")</f>
        <v/>
      </c>
      <c r="C1807" s="27" t="str">
        <f>IFERROR(VLOOKUP(A1807,القائمة!$A$3:$F$112,3,FALSE),"")</f>
        <v/>
      </c>
      <c r="D1807" s="36" t="str">
        <f>IFERROR(VLOOKUP(A1807,القائمة!$A$3:$F$112,4,FALSE),"")</f>
        <v/>
      </c>
      <c r="E1807" s="36" t="str">
        <f>IFERROR(VLOOKUP(A1807,القائمة!$A$3:$F$112,5,FALSE),"")</f>
        <v/>
      </c>
      <c r="F1807" s="37" t="str">
        <f>IFERROR(VLOOKUP(A1807,القائمة!$A$3:$F$112,6,FALSE),"")</f>
        <v/>
      </c>
      <c r="P1807" s="27">
        <f t="shared" si="59"/>
        <v>0</v>
      </c>
      <c r="Q1807" s="27">
        <f t="shared" si="58"/>
        <v>0</v>
      </c>
    </row>
    <row r="1808" spans="2:17" x14ac:dyDescent="0.45">
      <c r="B1808" s="27" t="str">
        <f>IFERROR(VLOOKUP(A1808,القائمة!$A$3:$F$112,2,FALSE),"")</f>
        <v/>
      </c>
      <c r="C1808" s="27" t="str">
        <f>IFERROR(VLOOKUP(A1808,القائمة!$A$3:$F$112,3,FALSE),"")</f>
        <v/>
      </c>
      <c r="D1808" s="36" t="str">
        <f>IFERROR(VLOOKUP(A1808,القائمة!$A$3:$F$112,4,FALSE),"")</f>
        <v/>
      </c>
      <c r="E1808" s="36" t="str">
        <f>IFERROR(VLOOKUP(A1808,القائمة!$A$3:$F$112,5,FALSE),"")</f>
        <v/>
      </c>
      <c r="F1808" s="37" t="str">
        <f>IFERROR(VLOOKUP(A1808,القائمة!$A$3:$F$112,6,FALSE),"")</f>
        <v/>
      </c>
      <c r="P1808" s="27">
        <f t="shared" si="59"/>
        <v>0</v>
      </c>
      <c r="Q1808" s="27">
        <f t="shared" si="58"/>
        <v>0</v>
      </c>
    </row>
    <row r="1809" spans="2:17" x14ac:dyDescent="0.45">
      <c r="B1809" s="27" t="str">
        <f>IFERROR(VLOOKUP(A1809,القائمة!$A$3:$F$112,2,FALSE),"")</f>
        <v/>
      </c>
      <c r="C1809" s="27" t="str">
        <f>IFERROR(VLOOKUP(A1809,القائمة!$A$3:$F$112,3,FALSE),"")</f>
        <v/>
      </c>
      <c r="D1809" s="36" t="str">
        <f>IFERROR(VLOOKUP(A1809,القائمة!$A$3:$F$112,4,FALSE),"")</f>
        <v/>
      </c>
      <c r="E1809" s="36" t="str">
        <f>IFERROR(VLOOKUP(A1809,القائمة!$A$3:$F$112,5,FALSE),"")</f>
        <v/>
      </c>
      <c r="F1809" s="37" t="str">
        <f>IFERROR(VLOOKUP(A1809,القائمة!$A$3:$F$112,6,FALSE),"")</f>
        <v/>
      </c>
      <c r="P1809" s="27">
        <f t="shared" si="59"/>
        <v>0</v>
      </c>
      <c r="Q1809" s="27">
        <f t="shared" si="58"/>
        <v>0</v>
      </c>
    </row>
    <row r="1810" spans="2:17" x14ac:dyDescent="0.45">
      <c r="B1810" s="27" t="str">
        <f>IFERROR(VLOOKUP(A1810,القائمة!$A$3:$F$112,2,FALSE),"")</f>
        <v/>
      </c>
      <c r="C1810" s="27" t="str">
        <f>IFERROR(VLOOKUP(A1810,القائمة!$A$3:$F$112,3,FALSE),"")</f>
        <v/>
      </c>
      <c r="D1810" s="36" t="str">
        <f>IFERROR(VLOOKUP(A1810,القائمة!$A$3:$F$112,4,FALSE),"")</f>
        <v/>
      </c>
      <c r="E1810" s="36" t="str">
        <f>IFERROR(VLOOKUP(A1810,القائمة!$A$3:$F$112,5,FALSE),"")</f>
        <v/>
      </c>
      <c r="F1810" s="37" t="str">
        <f>IFERROR(VLOOKUP(A1810,القائمة!$A$3:$F$112,6,FALSE),"")</f>
        <v/>
      </c>
      <c r="P1810" s="27">
        <f t="shared" si="59"/>
        <v>0</v>
      </c>
      <c r="Q1810" s="27">
        <f t="shared" si="58"/>
        <v>0</v>
      </c>
    </row>
    <row r="1811" spans="2:17" x14ac:dyDescent="0.45">
      <c r="B1811" s="27" t="str">
        <f>IFERROR(VLOOKUP(A1811,القائمة!$A$3:$F$112,2,FALSE),"")</f>
        <v/>
      </c>
      <c r="C1811" s="27" t="str">
        <f>IFERROR(VLOOKUP(A1811,القائمة!$A$3:$F$112,3,FALSE),"")</f>
        <v/>
      </c>
      <c r="D1811" s="36" t="str">
        <f>IFERROR(VLOOKUP(A1811,القائمة!$A$3:$F$112,4,FALSE),"")</f>
        <v/>
      </c>
      <c r="E1811" s="36" t="str">
        <f>IFERROR(VLOOKUP(A1811,القائمة!$A$3:$F$112,5,FALSE),"")</f>
        <v/>
      </c>
      <c r="F1811" s="37" t="str">
        <f>IFERROR(VLOOKUP(A1811,القائمة!$A$3:$F$112,6,FALSE),"")</f>
        <v/>
      </c>
      <c r="P1811" s="27">
        <f t="shared" si="59"/>
        <v>0</v>
      </c>
      <c r="Q1811" s="27">
        <f t="shared" si="58"/>
        <v>0</v>
      </c>
    </row>
    <row r="1812" spans="2:17" x14ac:dyDescent="0.45">
      <c r="B1812" s="27" t="str">
        <f>IFERROR(VLOOKUP(A1812,القائمة!$A$3:$F$112,2,FALSE),"")</f>
        <v/>
      </c>
      <c r="C1812" s="27" t="str">
        <f>IFERROR(VLOOKUP(A1812,القائمة!$A$3:$F$112,3,FALSE),"")</f>
        <v/>
      </c>
      <c r="D1812" s="36" t="str">
        <f>IFERROR(VLOOKUP(A1812,القائمة!$A$3:$F$112,4,FALSE),"")</f>
        <v/>
      </c>
      <c r="E1812" s="36" t="str">
        <f>IFERROR(VLOOKUP(A1812,القائمة!$A$3:$F$112,5,FALSE),"")</f>
        <v/>
      </c>
      <c r="F1812" s="37" t="str">
        <f>IFERROR(VLOOKUP(A1812,القائمة!$A$3:$F$112,6,FALSE),"")</f>
        <v/>
      </c>
      <c r="P1812" s="27">
        <f t="shared" si="59"/>
        <v>0</v>
      </c>
      <c r="Q1812" s="27">
        <f t="shared" si="58"/>
        <v>0</v>
      </c>
    </row>
    <row r="1813" spans="2:17" x14ac:dyDescent="0.45">
      <c r="B1813" s="27" t="str">
        <f>IFERROR(VLOOKUP(A1813,القائمة!$A$3:$F$112,2,FALSE),"")</f>
        <v/>
      </c>
      <c r="C1813" s="27" t="str">
        <f>IFERROR(VLOOKUP(A1813,القائمة!$A$3:$F$112,3,FALSE),"")</f>
        <v/>
      </c>
      <c r="D1813" s="36" t="str">
        <f>IFERROR(VLOOKUP(A1813,القائمة!$A$3:$F$112,4,FALSE),"")</f>
        <v/>
      </c>
      <c r="E1813" s="36" t="str">
        <f>IFERROR(VLOOKUP(A1813,القائمة!$A$3:$F$112,5,FALSE),"")</f>
        <v/>
      </c>
      <c r="F1813" s="37" t="str">
        <f>IFERROR(VLOOKUP(A1813,القائمة!$A$3:$F$112,6,FALSE),"")</f>
        <v/>
      </c>
      <c r="P1813" s="27">
        <f t="shared" si="59"/>
        <v>0</v>
      </c>
      <c r="Q1813" s="27">
        <f t="shared" si="58"/>
        <v>0</v>
      </c>
    </row>
    <row r="1814" spans="2:17" x14ac:dyDescent="0.45">
      <c r="B1814" s="27" t="str">
        <f>IFERROR(VLOOKUP(A1814,القائمة!$A$3:$F$112,2,FALSE),"")</f>
        <v/>
      </c>
      <c r="C1814" s="27" t="str">
        <f>IFERROR(VLOOKUP(A1814,القائمة!$A$3:$F$112,3,FALSE),"")</f>
        <v/>
      </c>
      <c r="D1814" s="36" t="str">
        <f>IFERROR(VLOOKUP(A1814,القائمة!$A$3:$F$112,4,FALSE),"")</f>
        <v/>
      </c>
      <c r="E1814" s="36" t="str">
        <f>IFERROR(VLOOKUP(A1814,القائمة!$A$3:$F$112,5,FALSE),"")</f>
        <v/>
      </c>
      <c r="F1814" s="37" t="str">
        <f>IFERROR(VLOOKUP(A1814,القائمة!$A$3:$F$112,6,FALSE),"")</f>
        <v/>
      </c>
      <c r="P1814" s="27">
        <f t="shared" si="59"/>
        <v>0</v>
      </c>
      <c r="Q1814" s="27">
        <f t="shared" si="58"/>
        <v>0</v>
      </c>
    </row>
    <row r="1815" spans="2:17" x14ac:dyDescent="0.45">
      <c r="B1815" s="27" t="str">
        <f>IFERROR(VLOOKUP(A1815,القائمة!$A$3:$F$112,2,FALSE),"")</f>
        <v/>
      </c>
      <c r="C1815" s="27" t="str">
        <f>IFERROR(VLOOKUP(A1815,القائمة!$A$3:$F$112,3,FALSE),"")</f>
        <v/>
      </c>
      <c r="D1815" s="36" t="str">
        <f>IFERROR(VLOOKUP(A1815,القائمة!$A$3:$F$112,4,FALSE),"")</f>
        <v/>
      </c>
      <c r="E1815" s="36" t="str">
        <f>IFERROR(VLOOKUP(A1815,القائمة!$A$3:$F$112,5,FALSE),"")</f>
        <v/>
      </c>
      <c r="F1815" s="37" t="str">
        <f>IFERROR(VLOOKUP(A1815,القائمة!$A$3:$F$112,6,FALSE),"")</f>
        <v/>
      </c>
      <c r="P1815" s="27">
        <f t="shared" si="59"/>
        <v>0</v>
      </c>
      <c r="Q1815" s="27">
        <f t="shared" si="58"/>
        <v>0</v>
      </c>
    </row>
    <row r="1816" spans="2:17" x14ac:dyDescent="0.45">
      <c r="B1816" s="27" t="str">
        <f>IFERROR(VLOOKUP(A1816,القائمة!$A$3:$F$112,2,FALSE),"")</f>
        <v/>
      </c>
      <c r="C1816" s="27" t="str">
        <f>IFERROR(VLOOKUP(A1816,القائمة!$A$3:$F$112,3,FALSE),"")</f>
        <v/>
      </c>
      <c r="D1816" s="36" t="str">
        <f>IFERROR(VLOOKUP(A1816,القائمة!$A$3:$F$112,4,FALSE),"")</f>
        <v/>
      </c>
      <c r="E1816" s="36" t="str">
        <f>IFERROR(VLOOKUP(A1816,القائمة!$A$3:$F$112,5,FALSE),"")</f>
        <v/>
      </c>
      <c r="F1816" s="37" t="str">
        <f>IFERROR(VLOOKUP(A1816,القائمة!$A$3:$F$112,6,FALSE),"")</f>
        <v/>
      </c>
      <c r="P1816" s="27">
        <f t="shared" si="59"/>
        <v>0</v>
      </c>
      <c r="Q1816" s="27">
        <f t="shared" si="58"/>
        <v>0</v>
      </c>
    </row>
    <row r="1817" spans="2:17" x14ac:dyDescent="0.45">
      <c r="B1817" s="27" t="str">
        <f>IFERROR(VLOOKUP(A1817,القائمة!$A$3:$F$112,2,FALSE),"")</f>
        <v/>
      </c>
      <c r="C1817" s="27" t="str">
        <f>IFERROR(VLOOKUP(A1817,القائمة!$A$3:$F$112,3,FALSE),"")</f>
        <v/>
      </c>
      <c r="D1817" s="36" t="str">
        <f>IFERROR(VLOOKUP(A1817,القائمة!$A$3:$F$112,4,FALSE),"")</f>
        <v/>
      </c>
      <c r="E1817" s="36" t="str">
        <f>IFERROR(VLOOKUP(A1817,القائمة!$A$3:$F$112,5,FALSE),"")</f>
        <v/>
      </c>
      <c r="F1817" s="37" t="str">
        <f>IFERROR(VLOOKUP(A1817,القائمة!$A$3:$F$112,6,FALSE),"")</f>
        <v/>
      </c>
      <c r="P1817" s="27">
        <f t="shared" si="59"/>
        <v>0</v>
      </c>
      <c r="Q1817" s="27">
        <f t="shared" si="58"/>
        <v>0</v>
      </c>
    </row>
    <row r="1818" spans="2:17" x14ac:dyDescent="0.45">
      <c r="B1818" s="27" t="str">
        <f>IFERROR(VLOOKUP(A1818,القائمة!$A$3:$F$112,2,FALSE),"")</f>
        <v/>
      </c>
      <c r="C1818" s="27" t="str">
        <f>IFERROR(VLOOKUP(A1818,القائمة!$A$3:$F$112,3,FALSE),"")</f>
        <v/>
      </c>
      <c r="D1818" s="36" t="str">
        <f>IFERROR(VLOOKUP(A1818,القائمة!$A$3:$F$112,4,FALSE),"")</f>
        <v/>
      </c>
      <c r="E1818" s="36" t="str">
        <f>IFERROR(VLOOKUP(A1818,القائمة!$A$3:$F$112,5,FALSE),"")</f>
        <v/>
      </c>
      <c r="F1818" s="37" t="str">
        <f>IFERROR(VLOOKUP(A1818,القائمة!$A$3:$F$112,6,FALSE),"")</f>
        <v/>
      </c>
      <c r="P1818" s="27">
        <f t="shared" si="59"/>
        <v>0</v>
      </c>
      <c r="Q1818" s="27">
        <f t="shared" si="58"/>
        <v>0</v>
      </c>
    </row>
    <row r="1819" spans="2:17" x14ac:dyDescent="0.45">
      <c r="B1819" s="27" t="str">
        <f>IFERROR(VLOOKUP(A1819,القائمة!$A$3:$F$112,2,FALSE),"")</f>
        <v/>
      </c>
      <c r="C1819" s="27" t="str">
        <f>IFERROR(VLOOKUP(A1819,القائمة!$A$3:$F$112,3,FALSE),"")</f>
        <v/>
      </c>
      <c r="D1819" s="36" t="str">
        <f>IFERROR(VLOOKUP(A1819,القائمة!$A$3:$F$112,4,FALSE),"")</f>
        <v/>
      </c>
      <c r="E1819" s="36" t="str">
        <f>IFERROR(VLOOKUP(A1819,القائمة!$A$3:$F$112,5,FALSE),"")</f>
        <v/>
      </c>
      <c r="F1819" s="37" t="str">
        <f>IFERROR(VLOOKUP(A1819,القائمة!$A$3:$F$112,6,FALSE),"")</f>
        <v/>
      </c>
      <c r="P1819" s="27">
        <f t="shared" si="59"/>
        <v>0</v>
      </c>
      <c r="Q1819" s="27">
        <f t="shared" si="58"/>
        <v>0</v>
      </c>
    </row>
    <row r="1820" spans="2:17" x14ac:dyDescent="0.45">
      <c r="B1820" s="27" t="str">
        <f>IFERROR(VLOOKUP(A1820,القائمة!$A$3:$F$112,2,FALSE),"")</f>
        <v/>
      </c>
      <c r="C1820" s="27" t="str">
        <f>IFERROR(VLOOKUP(A1820,القائمة!$A$3:$F$112,3,FALSE),"")</f>
        <v/>
      </c>
      <c r="D1820" s="36" t="str">
        <f>IFERROR(VLOOKUP(A1820,القائمة!$A$3:$F$112,4,FALSE),"")</f>
        <v/>
      </c>
      <c r="E1820" s="36" t="str">
        <f>IFERROR(VLOOKUP(A1820,القائمة!$A$3:$F$112,5,FALSE),"")</f>
        <v/>
      </c>
      <c r="F1820" s="37" t="str">
        <f>IFERROR(VLOOKUP(A1820,القائمة!$A$3:$F$112,6,FALSE),"")</f>
        <v/>
      </c>
      <c r="P1820" s="27">
        <f t="shared" si="59"/>
        <v>0</v>
      </c>
      <c r="Q1820" s="27">
        <f t="shared" si="58"/>
        <v>0</v>
      </c>
    </row>
    <row r="1821" spans="2:17" x14ac:dyDescent="0.45">
      <c r="B1821" s="27" t="str">
        <f>IFERROR(VLOOKUP(A1821,القائمة!$A$3:$F$112,2,FALSE),"")</f>
        <v/>
      </c>
      <c r="C1821" s="27" t="str">
        <f>IFERROR(VLOOKUP(A1821,القائمة!$A$3:$F$112,3,FALSE),"")</f>
        <v/>
      </c>
      <c r="D1821" s="36" t="str">
        <f>IFERROR(VLOOKUP(A1821,القائمة!$A$3:$F$112,4,FALSE),"")</f>
        <v/>
      </c>
      <c r="E1821" s="36" t="str">
        <f>IFERROR(VLOOKUP(A1821,القائمة!$A$3:$F$112,5,FALSE),"")</f>
        <v/>
      </c>
      <c r="F1821" s="37" t="str">
        <f>IFERROR(VLOOKUP(A1821,القائمة!$A$3:$F$112,6,FALSE),"")</f>
        <v/>
      </c>
      <c r="P1821" s="27">
        <f t="shared" si="59"/>
        <v>0</v>
      </c>
      <c r="Q1821" s="27">
        <f t="shared" si="58"/>
        <v>0</v>
      </c>
    </row>
    <row r="1822" spans="2:17" x14ac:dyDescent="0.45">
      <c r="B1822" s="27" t="str">
        <f>IFERROR(VLOOKUP(A1822,القائمة!$A$3:$F$112,2,FALSE),"")</f>
        <v/>
      </c>
      <c r="C1822" s="27" t="str">
        <f>IFERROR(VLOOKUP(A1822,القائمة!$A$3:$F$112,3,FALSE),"")</f>
        <v/>
      </c>
      <c r="D1822" s="36" t="str">
        <f>IFERROR(VLOOKUP(A1822,القائمة!$A$3:$F$112,4,FALSE),"")</f>
        <v/>
      </c>
      <c r="E1822" s="36" t="str">
        <f>IFERROR(VLOOKUP(A1822,القائمة!$A$3:$F$112,5,FALSE),"")</f>
        <v/>
      </c>
      <c r="F1822" s="37" t="str">
        <f>IFERROR(VLOOKUP(A1822,القائمة!$A$3:$F$112,6,FALSE),"")</f>
        <v/>
      </c>
      <c r="P1822" s="27">
        <f t="shared" si="59"/>
        <v>0</v>
      </c>
      <c r="Q1822" s="27">
        <f t="shared" si="58"/>
        <v>0</v>
      </c>
    </row>
    <row r="1823" spans="2:17" x14ac:dyDescent="0.45">
      <c r="B1823" s="27" t="str">
        <f>IFERROR(VLOOKUP(A1823,القائمة!$A$3:$F$112,2,FALSE),"")</f>
        <v/>
      </c>
      <c r="C1823" s="27" t="str">
        <f>IFERROR(VLOOKUP(A1823,القائمة!$A$3:$F$112,3,FALSE),"")</f>
        <v/>
      </c>
      <c r="D1823" s="36" t="str">
        <f>IFERROR(VLOOKUP(A1823,القائمة!$A$3:$F$112,4,FALSE),"")</f>
        <v/>
      </c>
      <c r="E1823" s="36" t="str">
        <f>IFERROR(VLOOKUP(A1823,القائمة!$A$3:$F$112,5,FALSE),"")</f>
        <v/>
      </c>
      <c r="F1823" s="37" t="str">
        <f>IFERROR(VLOOKUP(A1823,القائمة!$A$3:$F$112,6,FALSE),"")</f>
        <v/>
      </c>
      <c r="P1823" s="27">
        <f t="shared" si="59"/>
        <v>0</v>
      </c>
      <c r="Q1823" s="27">
        <f t="shared" si="58"/>
        <v>0</v>
      </c>
    </row>
    <row r="1824" spans="2:17" x14ac:dyDescent="0.45">
      <c r="B1824" s="27" t="str">
        <f>IFERROR(VLOOKUP(A1824,القائمة!$A$3:$F$112,2,FALSE),"")</f>
        <v/>
      </c>
      <c r="C1824" s="27" t="str">
        <f>IFERROR(VLOOKUP(A1824,القائمة!$A$3:$F$112,3,FALSE),"")</f>
        <v/>
      </c>
      <c r="D1824" s="36" t="str">
        <f>IFERROR(VLOOKUP(A1824,القائمة!$A$3:$F$112,4,FALSE),"")</f>
        <v/>
      </c>
      <c r="E1824" s="36" t="str">
        <f>IFERROR(VLOOKUP(A1824,القائمة!$A$3:$F$112,5,FALSE),"")</f>
        <v/>
      </c>
      <c r="F1824" s="37" t="str">
        <f>IFERROR(VLOOKUP(A1824,القائمة!$A$3:$F$112,6,FALSE),"")</f>
        <v/>
      </c>
      <c r="P1824" s="27">
        <f t="shared" si="59"/>
        <v>0</v>
      </c>
      <c r="Q1824" s="27">
        <f t="shared" si="58"/>
        <v>0</v>
      </c>
    </row>
    <row r="1825" spans="2:17" x14ac:dyDescent="0.45">
      <c r="B1825" s="27" t="str">
        <f>IFERROR(VLOOKUP(A1825,القائمة!$A$3:$F$112,2,FALSE),"")</f>
        <v/>
      </c>
      <c r="C1825" s="27" t="str">
        <f>IFERROR(VLOOKUP(A1825,القائمة!$A$3:$F$112,3,FALSE),"")</f>
        <v/>
      </c>
      <c r="D1825" s="36" t="str">
        <f>IFERROR(VLOOKUP(A1825,القائمة!$A$3:$F$112,4,FALSE),"")</f>
        <v/>
      </c>
      <c r="E1825" s="36" t="str">
        <f>IFERROR(VLOOKUP(A1825,القائمة!$A$3:$F$112,5,FALSE),"")</f>
        <v/>
      </c>
      <c r="F1825" s="37" t="str">
        <f>IFERROR(VLOOKUP(A1825,القائمة!$A$3:$F$112,6,FALSE),"")</f>
        <v/>
      </c>
      <c r="P1825" s="27">
        <f t="shared" si="59"/>
        <v>0</v>
      </c>
      <c r="Q1825" s="27">
        <f t="shared" si="58"/>
        <v>0</v>
      </c>
    </row>
    <row r="1826" spans="2:17" x14ac:dyDescent="0.45">
      <c r="B1826" s="27" t="str">
        <f>IFERROR(VLOOKUP(A1826,القائمة!$A$3:$F$112,2,FALSE),"")</f>
        <v/>
      </c>
      <c r="C1826" s="27" t="str">
        <f>IFERROR(VLOOKUP(A1826,القائمة!$A$3:$F$112,3,FALSE),"")</f>
        <v/>
      </c>
      <c r="D1826" s="36" t="str">
        <f>IFERROR(VLOOKUP(A1826,القائمة!$A$3:$F$112,4,FALSE),"")</f>
        <v/>
      </c>
      <c r="E1826" s="36" t="str">
        <f>IFERROR(VLOOKUP(A1826,القائمة!$A$3:$F$112,5,FALSE),"")</f>
        <v/>
      </c>
      <c r="F1826" s="37" t="str">
        <f>IFERROR(VLOOKUP(A1826,القائمة!$A$3:$F$112,6,FALSE),"")</f>
        <v/>
      </c>
      <c r="P1826" s="27">
        <f t="shared" si="59"/>
        <v>0</v>
      </c>
      <c r="Q1826" s="27">
        <f t="shared" si="58"/>
        <v>0</v>
      </c>
    </row>
    <row r="1827" spans="2:17" x14ac:dyDescent="0.45">
      <c r="B1827" s="27" t="str">
        <f>IFERROR(VLOOKUP(A1827,القائمة!$A$3:$F$112,2,FALSE),"")</f>
        <v/>
      </c>
      <c r="C1827" s="27" t="str">
        <f>IFERROR(VLOOKUP(A1827,القائمة!$A$3:$F$112,3,FALSE),"")</f>
        <v/>
      </c>
      <c r="D1827" s="36" t="str">
        <f>IFERROR(VLOOKUP(A1827,القائمة!$A$3:$F$112,4,FALSE),"")</f>
        <v/>
      </c>
      <c r="E1827" s="36" t="str">
        <f>IFERROR(VLOOKUP(A1827,القائمة!$A$3:$F$112,5,FALSE),"")</f>
        <v/>
      </c>
      <c r="F1827" s="37" t="str">
        <f>IFERROR(VLOOKUP(A1827,القائمة!$A$3:$F$112,6,FALSE),"")</f>
        <v/>
      </c>
      <c r="P1827" s="27">
        <f t="shared" si="59"/>
        <v>0</v>
      </c>
      <c r="Q1827" s="27">
        <f t="shared" si="58"/>
        <v>0</v>
      </c>
    </row>
    <row r="1828" spans="2:17" x14ac:dyDescent="0.45">
      <c r="B1828" s="27" t="str">
        <f>IFERROR(VLOOKUP(A1828,القائمة!$A$3:$F$112,2,FALSE),"")</f>
        <v/>
      </c>
      <c r="C1828" s="27" t="str">
        <f>IFERROR(VLOOKUP(A1828,القائمة!$A$3:$F$112,3,FALSE),"")</f>
        <v/>
      </c>
      <c r="D1828" s="36" t="str">
        <f>IFERROR(VLOOKUP(A1828,القائمة!$A$3:$F$112,4,FALSE),"")</f>
        <v/>
      </c>
      <c r="E1828" s="36" t="str">
        <f>IFERROR(VLOOKUP(A1828,القائمة!$A$3:$F$112,5,FALSE),"")</f>
        <v/>
      </c>
      <c r="F1828" s="37" t="str">
        <f>IFERROR(VLOOKUP(A1828,القائمة!$A$3:$F$112,6,FALSE),"")</f>
        <v/>
      </c>
      <c r="P1828" s="27">
        <f t="shared" si="59"/>
        <v>0</v>
      </c>
      <c r="Q1828" s="27">
        <f t="shared" si="58"/>
        <v>0</v>
      </c>
    </row>
    <row r="1829" spans="2:17" x14ac:dyDescent="0.45">
      <c r="B1829" s="27" t="str">
        <f>IFERROR(VLOOKUP(A1829,القائمة!$A$3:$F$112,2,FALSE),"")</f>
        <v/>
      </c>
      <c r="C1829" s="27" t="str">
        <f>IFERROR(VLOOKUP(A1829,القائمة!$A$3:$F$112,3,FALSE),"")</f>
        <v/>
      </c>
      <c r="D1829" s="36" t="str">
        <f>IFERROR(VLOOKUP(A1829,القائمة!$A$3:$F$112,4,FALSE),"")</f>
        <v/>
      </c>
      <c r="E1829" s="36" t="str">
        <f>IFERROR(VLOOKUP(A1829,القائمة!$A$3:$F$112,5,FALSE),"")</f>
        <v/>
      </c>
      <c r="F1829" s="37" t="str">
        <f>IFERROR(VLOOKUP(A1829,القائمة!$A$3:$F$112,6,FALSE),"")</f>
        <v/>
      </c>
      <c r="P1829" s="27">
        <f t="shared" si="59"/>
        <v>0</v>
      </c>
      <c r="Q1829" s="27">
        <f t="shared" si="58"/>
        <v>0</v>
      </c>
    </row>
    <row r="1830" spans="2:17" x14ac:dyDescent="0.45">
      <c r="B1830" s="27" t="str">
        <f>IFERROR(VLOOKUP(A1830,القائمة!$A$3:$F$112,2,FALSE),"")</f>
        <v/>
      </c>
      <c r="C1830" s="27" t="str">
        <f>IFERROR(VLOOKUP(A1830,القائمة!$A$3:$F$112,3,FALSE),"")</f>
        <v/>
      </c>
      <c r="D1830" s="36" t="str">
        <f>IFERROR(VLOOKUP(A1830,القائمة!$A$3:$F$112,4,FALSE),"")</f>
        <v/>
      </c>
      <c r="E1830" s="36" t="str">
        <f>IFERROR(VLOOKUP(A1830,القائمة!$A$3:$F$112,5,FALSE),"")</f>
        <v/>
      </c>
      <c r="F1830" s="37" t="str">
        <f>IFERROR(VLOOKUP(A1830,القائمة!$A$3:$F$112,6,FALSE),"")</f>
        <v/>
      </c>
      <c r="P1830" s="27">
        <f t="shared" si="59"/>
        <v>0</v>
      </c>
      <c r="Q1830" s="27">
        <f t="shared" si="58"/>
        <v>0</v>
      </c>
    </row>
    <row r="1831" spans="2:17" x14ac:dyDescent="0.45">
      <c r="B1831" s="27" t="str">
        <f>IFERROR(VLOOKUP(A1831,القائمة!$A$3:$F$112,2,FALSE),"")</f>
        <v/>
      </c>
      <c r="C1831" s="27" t="str">
        <f>IFERROR(VLOOKUP(A1831,القائمة!$A$3:$F$112,3,FALSE),"")</f>
        <v/>
      </c>
      <c r="D1831" s="36" t="str">
        <f>IFERROR(VLOOKUP(A1831,القائمة!$A$3:$F$112,4,FALSE),"")</f>
        <v/>
      </c>
      <c r="E1831" s="36" t="str">
        <f>IFERROR(VLOOKUP(A1831,القائمة!$A$3:$F$112,5,FALSE),"")</f>
        <v/>
      </c>
      <c r="F1831" s="37" t="str">
        <f>IFERROR(VLOOKUP(A1831,القائمة!$A$3:$F$112,6,FALSE),"")</f>
        <v/>
      </c>
      <c r="P1831" s="27">
        <f t="shared" si="59"/>
        <v>0</v>
      </c>
      <c r="Q1831" s="27">
        <f t="shared" si="58"/>
        <v>0</v>
      </c>
    </row>
    <row r="1832" spans="2:17" x14ac:dyDescent="0.45">
      <c r="B1832" s="27" t="str">
        <f>IFERROR(VLOOKUP(A1832,القائمة!$A$3:$F$112,2,FALSE),"")</f>
        <v/>
      </c>
      <c r="C1832" s="27" t="str">
        <f>IFERROR(VLOOKUP(A1832,القائمة!$A$3:$F$112,3,FALSE),"")</f>
        <v/>
      </c>
      <c r="D1832" s="36" t="str">
        <f>IFERROR(VLOOKUP(A1832,القائمة!$A$3:$F$112,4,FALSE),"")</f>
        <v/>
      </c>
      <c r="E1832" s="36" t="str">
        <f>IFERROR(VLOOKUP(A1832,القائمة!$A$3:$F$112,5,FALSE),"")</f>
        <v/>
      </c>
      <c r="F1832" s="37" t="str">
        <f>IFERROR(VLOOKUP(A1832,القائمة!$A$3:$F$112,6,FALSE),"")</f>
        <v/>
      </c>
      <c r="P1832" s="27">
        <f t="shared" si="59"/>
        <v>0</v>
      </c>
      <c r="Q1832" s="27">
        <f t="shared" si="58"/>
        <v>0</v>
      </c>
    </row>
    <row r="1833" spans="2:17" x14ac:dyDescent="0.45">
      <c r="B1833" s="27" t="str">
        <f>IFERROR(VLOOKUP(A1833,القائمة!$A$3:$F$112,2,FALSE),"")</f>
        <v/>
      </c>
      <c r="C1833" s="27" t="str">
        <f>IFERROR(VLOOKUP(A1833,القائمة!$A$3:$F$112,3,FALSE),"")</f>
        <v/>
      </c>
      <c r="D1833" s="36" t="str">
        <f>IFERROR(VLOOKUP(A1833,القائمة!$A$3:$F$112,4,FALSE),"")</f>
        <v/>
      </c>
      <c r="E1833" s="36" t="str">
        <f>IFERROR(VLOOKUP(A1833,القائمة!$A$3:$F$112,5,FALSE),"")</f>
        <v/>
      </c>
      <c r="F1833" s="37" t="str">
        <f>IFERROR(VLOOKUP(A1833,القائمة!$A$3:$F$112,6,FALSE),"")</f>
        <v/>
      </c>
      <c r="P1833" s="27">
        <f t="shared" si="59"/>
        <v>0</v>
      </c>
      <c r="Q1833" s="27">
        <f t="shared" si="58"/>
        <v>0</v>
      </c>
    </row>
    <row r="1834" spans="2:17" x14ac:dyDescent="0.45">
      <c r="B1834" s="27" t="str">
        <f>IFERROR(VLOOKUP(A1834,القائمة!$A$3:$F$112,2,FALSE),"")</f>
        <v/>
      </c>
      <c r="C1834" s="27" t="str">
        <f>IFERROR(VLOOKUP(A1834,القائمة!$A$3:$F$112,3,FALSE),"")</f>
        <v/>
      </c>
      <c r="D1834" s="36" t="str">
        <f>IFERROR(VLOOKUP(A1834,القائمة!$A$3:$F$112,4,FALSE),"")</f>
        <v/>
      </c>
      <c r="E1834" s="36" t="str">
        <f>IFERROR(VLOOKUP(A1834,القائمة!$A$3:$F$112,5,FALSE),"")</f>
        <v/>
      </c>
      <c r="F1834" s="37" t="str">
        <f>IFERROR(VLOOKUP(A1834,القائمة!$A$3:$F$112,6,FALSE),"")</f>
        <v/>
      </c>
      <c r="P1834" s="27">
        <f t="shared" si="59"/>
        <v>0</v>
      </c>
      <c r="Q1834" s="27">
        <f t="shared" si="58"/>
        <v>0</v>
      </c>
    </row>
    <row r="1835" spans="2:17" x14ac:dyDescent="0.45">
      <c r="B1835" s="27" t="str">
        <f>IFERROR(VLOOKUP(A1835,القائمة!$A$3:$F$112,2,FALSE),"")</f>
        <v/>
      </c>
      <c r="C1835" s="27" t="str">
        <f>IFERROR(VLOOKUP(A1835,القائمة!$A$3:$F$112,3,FALSE),"")</f>
        <v/>
      </c>
      <c r="D1835" s="36" t="str">
        <f>IFERROR(VLOOKUP(A1835,القائمة!$A$3:$F$112,4,FALSE),"")</f>
        <v/>
      </c>
      <c r="E1835" s="36" t="str">
        <f>IFERROR(VLOOKUP(A1835,القائمة!$A$3:$F$112,5,FALSE),"")</f>
        <v/>
      </c>
      <c r="F1835" s="37" t="str">
        <f>IFERROR(VLOOKUP(A1835,القائمة!$A$3:$F$112,6,FALSE),"")</f>
        <v/>
      </c>
      <c r="P1835" s="27">
        <f t="shared" si="59"/>
        <v>0</v>
      </c>
      <c r="Q1835" s="27">
        <f t="shared" si="58"/>
        <v>0</v>
      </c>
    </row>
    <row r="1836" spans="2:17" x14ac:dyDescent="0.45">
      <c r="B1836" s="27" t="str">
        <f>IFERROR(VLOOKUP(A1836,القائمة!$A$3:$F$112,2,FALSE),"")</f>
        <v/>
      </c>
      <c r="C1836" s="27" t="str">
        <f>IFERROR(VLOOKUP(A1836,القائمة!$A$3:$F$112,3,FALSE),"")</f>
        <v/>
      </c>
      <c r="D1836" s="36" t="str">
        <f>IFERROR(VLOOKUP(A1836,القائمة!$A$3:$F$112,4,FALSE),"")</f>
        <v/>
      </c>
      <c r="E1836" s="36" t="str">
        <f>IFERROR(VLOOKUP(A1836,القائمة!$A$3:$F$112,5,FALSE),"")</f>
        <v/>
      </c>
      <c r="F1836" s="37" t="str">
        <f>IFERROR(VLOOKUP(A1836,القائمة!$A$3:$F$112,6,FALSE),"")</f>
        <v/>
      </c>
      <c r="P1836" s="27">
        <f t="shared" si="59"/>
        <v>0</v>
      </c>
      <c r="Q1836" s="27">
        <f t="shared" si="58"/>
        <v>0</v>
      </c>
    </row>
    <row r="1837" spans="2:17" x14ac:dyDescent="0.45">
      <c r="B1837" s="27" t="str">
        <f>IFERROR(VLOOKUP(A1837,القائمة!$A$3:$F$112,2,FALSE),"")</f>
        <v/>
      </c>
      <c r="C1837" s="27" t="str">
        <f>IFERROR(VLOOKUP(A1837,القائمة!$A$3:$F$112,3,FALSE),"")</f>
        <v/>
      </c>
      <c r="D1837" s="36" t="str">
        <f>IFERROR(VLOOKUP(A1837,القائمة!$A$3:$F$112,4,FALSE),"")</f>
        <v/>
      </c>
      <c r="E1837" s="36" t="str">
        <f>IFERROR(VLOOKUP(A1837,القائمة!$A$3:$F$112,5,FALSE),"")</f>
        <v/>
      </c>
      <c r="F1837" s="37" t="str">
        <f>IFERROR(VLOOKUP(A1837,القائمة!$A$3:$F$112,6,FALSE),"")</f>
        <v/>
      </c>
      <c r="P1837" s="27">
        <f t="shared" si="59"/>
        <v>0</v>
      </c>
      <c r="Q1837" s="27">
        <f t="shared" si="58"/>
        <v>0</v>
      </c>
    </row>
    <row r="1838" spans="2:17" x14ac:dyDescent="0.45">
      <c r="B1838" s="27" t="str">
        <f>IFERROR(VLOOKUP(A1838,القائمة!$A$3:$F$112,2,FALSE),"")</f>
        <v/>
      </c>
      <c r="C1838" s="27" t="str">
        <f>IFERROR(VLOOKUP(A1838,القائمة!$A$3:$F$112,3,FALSE),"")</f>
        <v/>
      </c>
      <c r="D1838" s="36" t="str">
        <f>IFERROR(VLOOKUP(A1838,القائمة!$A$3:$F$112,4,FALSE),"")</f>
        <v/>
      </c>
      <c r="E1838" s="36" t="str">
        <f>IFERROR(VLOOKUP(A1838,القائمة!$A$3:$F$112,5,FALSE),"")</f>
        <v/>
      </c>
      <c r="F1838" s="37" t="str">
        <f>IFERROR(VLOOKUP(A1838,القائمة!$A$3:$F$112,6,FALSE),"")</f>
        <v/>
      </c>
      <c r="P1838" s="27">
        <f t="shared" si="59"/>
        <v>0</v>
      </c>
      <c r="Q1838" s="27">
        <f t="shared" si="58"/>
        <v>0</v>
      </c>
    </row>
    <row r="1839" spans="2:17" x14ac:dyDescent="0.45">
      <c r="B1839" s="27" t="str">
        <f>IFERROR(VLOOKUP(A1839,القائمة!$A$3:$F$112,2,FALSE),"")</f>
        <v/>
      </c>
      <c r="C1839" s="27" t="str">
        <f>IFERROR(VLOOKUP(A1839,القائمة!$A$3:$F$112,3,FALSE),"")</f>
        <v/>
      </c>
      <c r="D1839" s="36" t="str">
        <f>IFERROR(VLOOKUP(A1839,القائمة!$A$3:$F$112,4,FALSE),"")</f>
        <v/>
      </c>
      <c r="E1839" s="36" t="str">
        <f>IFERROR(VLOOKUP(A1839,القائمة!$A$3:$F$112,5,FALSE),"")</f>
        <v/>
      </c>
      <c r="F1839" s="37" t="str">
        <f>IFERROR(VLOOKUP(A1839,القائمة!$A$3:$F$112,6,FALSE),"")</f>
        <v/>
      </c>
      <c r="P1839" s="27">
        <f t="shared" si="59"/>
        <v>0</v>
      </c>
      <c r="Q1839" s="27">
        <f t="shared" si="58"/>
        <v>0</v>
      </c>
    </row>
    <row r="1840" spans="2:17" x14ac:dyDescent="0.45">
      <c r="B1840" s="27" t="str">
        <f>IFERROR(VLOOKUP(A1840,القائمة!$A$3:$F$112,2,FALSE),"")</f>
        <v/>
      </c>
      <c r="C1840" s="27" t="str">
        <f>IFERROR(VLOOKUP(A1840,القائمة!$A$3:$F$112,3,FALSE),"")</f>
        <v/>
      </c>
      <c r="D1840" s="36" t="str">
        <f>IFERROR(VLOOKUP(A1840,القائمة!$A$3:$F$112,4,FALSE),"")</f>
        <v/>
      </c>
      <c r="E1840" s="36" t="str">
        <f>IFERROR(VLOOKUP(A1840,القائمة!$A$3:$F$112,5,FALSE),"")</f>
        <v/>
      </c>
      <c r="F1840" s="37" t="str">
        <f>IFERROR(VLOOKUP(A1840,القائمة!$A$3:$F$112,6,FALSE),"")</f>
        <v/>
      </c>
      <c r="P1840" s="27">
        <f t="shared" si="59"/>
        <v>0</v>
      </c>
      <c r="Q1840" s="27">
        <f t="shared" si="58"/>
        <v>0</v>
      </c>
    </row>
    <row r="1841" spans="2:17" x14ac:dyDescent="0.45">
      <c r="B1841" s="27" t="str">
        <f>IFERROR(VLOOKUP(A1841,القائمة!$A$3:$F$112,2,FALSE),"")</f>
        <v/>
      </c>
      <c r="C1841" s="27" t="str">
        <f>IFERROR(VLOOKUP(A1841,القائمة!$A$3:$F$112,3,FALSE),"")</f>
        <v/>
      </c>
      <c r="D1841" s="36" t="str">
        <f>IFERROR(VLOOKUP(A1841,القائمة!$A$3:$F$112,4,FALSE),"")</f>
        <v/>
      </c>
      <c r="E1841" s="36" t="str">
        <f>IFERROR(VLOOKUP(A1841,القائمة!$A$3:$F$112,5,FALSE),"")</f>
        <v/>
      </c>
      <c r="F1841" s="37" t="str">
        <f>IFERROR(VLOOKUP(A1841,القائمة!$A$3:$F$112,6,FALSE),"")</f>
        <v/>
      </c>
      <c r="P1841" s="27">
        <f t="shared" si="59"/>
        <v>0</v>
      </c>
      <c r="Q1841" s="27">
        <f t="shared" si="58"/>
        <v>0</v>
      </c>
    </row>
    <row r="1842" spans="2:17" x14ac:dyDescent="0.45">
      <c r="B1842" s="27" t="str">
        <f>IFERROR(VLOOKUP(A1842,القائمة!$A$3:$F$112,2,FALSE),"")</f>
        <v/>
      </c>
      <c r="C1842" s="27" t="str">
        <f>IFERROR(VLOOKUP(A1842,القائمة!$A$3:$F$112,3,FALSE),"")</f>
        <v/>
      </c>
      <c r="D1842" s="36" t="str">
        <f>IFERROR(VLOOKUP(A1842,القائمة!$A$3:$F$112,4,FALSE),"")</f>
        <v/>
      </c>
      <c r="E1842" s="36" t="str">
        <f>IFERROR(VLOOKUP(A1842,القائمة!$A$3:$F$112,5,FALSE),"")</f>
        <v/>
      </c>
      <c r="F1842" s="37" t="str">
        <f>IFERROR(VLOOKUP(A1842,القائمة!$A$3:$F$112,6,FALSE),"")</f>
        <v/>
      </c>
      <c r="P1842" s="27">
        <f t="shared" si="59"/>
        <v>0</v>
      </c>
      <c r="Q1842" s="27">
        <f t="shared" si="58"/>
        <v>0</v>
      </c>
    </row>
    <row r="1843" spans="2:17" x14ac:dyDescent="0.45">
      <c r="B1843" s="27" t="str">
        <f>IFERROR(VLOOKUP(A1843,القائمة!$A$3:$F$112,2,FALSE),"")</f>
        <v/>
      </c>
      <c r="C1843" s="27" t="str">
        <f>IFERROR(VLOOKUP(A1843,القائمة!$A$3:$F$112,3,FALSE),"")</f>
        <v/>
      </c>
      <c r="D1843" s="36" t="str">
        <f>IFERROR(VLOOKUP(A1843,القائمة!$A$3:$F$112,4,FALSE),"")</f>
        <v/>
      </c>
      <c r="E1843" s="36" t="str">
        <f>IFERROR(VLOOKUP(A1843,القائمة!$A$3:$F$112,5,FALSE),"")</f>
        <v/>
      </c>
      <c r="F1843" s="37" t="str">
        <f>IFERROR(VLOOKUP(A1843,القائمة!$A$3:$F$112,6,FALSE),"")</f>
        <v/>
      </c>
      <c r="P1843" s="27">
        <f t="shared" si="59"/>
        <v>0</v>
      </c>
      <c r="Q1843" s="27">
        <f t="shared" si="58"/>
        <v>0</v>
      </c>
    </row>
    <row r="1844" spans="2:17" x14ac:dyDescent="0.45">
      <c r="B1844" s="27" t="str">
        <f>IFERROR(VLOOKUP(A1844,القائمة!$A$3:$F$112,2,FALSE),"")</f>
        <v/>
      </c>
      <c r="C1844" s="27" t="str">
        <f>IFERROR(VLOOKUP(A1844,القائمة!$A$3:$F$112,3,FALSE),"")</f>
        <v/>
      </c>
      <c r="D1844" s="36" t="str">
        <f>IFERROR(VLOOKUP(A1844,القائمة!$A$3:$F$112,4,FALSE),"")</f>
        <v/>
      </c>
      <c r="E1844" s="36" t="str">
        <f>IFERROR(VLOOKUP(A1844,القائمة!$A$3:$F$112,5,FALSE),"")</f>
        <v/>
      </c>
      <c r="F1844" s="37" t="str">
        <f>IFERROR(VLOOKUP(A1844,القائمة!$A$3:$F$112,6,FALSE),"")</f>
        <v/>
      </c>
      <c r="P1844" s="27">
        <f t="shared" si="59"/>
        <v>0</v>
      </c>
      <c r="Q1844" s="27">
        <f t="shared" si="58"/>
        <v>0</v>
      </c>
    </row>
    <row r="1845" spans="2:17" x14ac:dyDescent="0.45">
      <c r="B1845" s="27" t="str">
        <f>IFERROR(VLOOKUP(A1845,القائمة!$A$3:$F$112,2,FALSE),"")</f>
        <v/>
      </c>
      <c r="C1845" s="27" t="str">
        <f>IFERROR(VLOOKUP(A1845,القائمة!$A$3:$F$112,3,FALSE),"")</f>
        <v/>
      </c>
      <c r="D1845" s="36" t="str">
        <f>IFERROR(VLOOKUP(A1845,القائمة!$A$3:$F$112,4,FALSE),"")</f>
        <v/>
      </c>
      <c r="E1845" s="36" t="str">
        <f>IFERROR(VLOOKUP(A1845,القائمة!$A$3:$F$112,5,FALSE),"")</f>
        <v/>
      </c>
      <c r="F1845" s="37" t="str">
        <f>IFERROR(VLOOKUP(A1845,القائمة!$A$3:$F$112,6,FALSE),"")</f>
        <v/>
      </c>
      <c r="P1845" s="27">
        <f t="shared" si="59"/>
        <v>0</v>
      </c>
      <c r="Q1845" s="27">
        <f t="shared" si="58"/>
        <v>0</v>
      </c>
    </row>
    <row r="1846" spans="2:17" x14ac:dyDescent="0.45">
      <c r="B1846" s="27" t="str">
        <f>IFERROR(VLOOKUP(A1846,القائمة!$A$3:$F$112,2,FALSE),"")</f>
        <v/>
      </c>
      <c r="C1846" s="27" t="str">
        <f>IFERROR(VLOOKUP(A1846,القائمة!$A$3:$F$112,3,FALSE),"")</f>
        <v/>
      </c>
      <c r="D1846" s="36" t="str">
        <f>IFERROR(VLOOKUP(A1846,القائمة!$A$3:$F$112,4,FALSE),"")</f>
        <v/>
      </c>
      <c r="E1846" s="36" t="str">
        <f>IFERROR(VLOOKUP(A1846,القائمة!$A$3:$F$112,5,FALSE),"")</f>
        <v/>
      </c>
      <c r="F1846" s="37" t="str">
        <f>IFERROR(VLOOKUP(A1846,القائمة!$A$3:$F$112,6,FALSE),"")</f>
        <v/>
      </c>
      <c r="P1846" s="27">
        <f t="shared" si="59"/>
        <v>0</v>
      </c>
      <c r="Q1846" s="27">
        <f t="shared" si="58"/>
        <v>0</v>
      </c>
    </row>
    <row r="1847" spans="2:17" x14ac:dyDescent="0.45">
      <c r="B1847" s="27" t="str">
        <f>IFERROR(VLOOKUP(A1847,القائمة!$A$3:$F$112,2,FALSE),"")</f>
        <v/>
      </c>
      <c r="C1847" s="27" t="str">
        <f>IFERROR(VLOOKUP(A1847,القائمة!$A$3:$F$112,3,FALSE),"")</f>
        <v/>
      </c>
      <c r="D1847" s="36" t="str">
        <f>IFERROR(VLOOKUP(A1847,القائمة!$A$3:$F$112,4,FALSE),"")</f>
        <v/>
      </c>
      <c r="E1847" s="36" t="str">
        <f>IFERROR(VLOOKUP(A1847,القائمة!$A$3:$F$112,5,FALSE),"")</f>
        <v/>
      </c>
      <c r="F1847" s="37" t="str">
        <f>IFERROR(VLOOKUP(A1847,القائمة!$A$3:$F$112,6,FALSE),"")</f>
        <v/>
      </c>
      <c r="P1847" s="27">
        <f t="shared" si="59"/>
        <v>0</v>
      </c>
      <c r="Q1847" s="27">
        <f t="shared" si="58"/>
        <v>0</v>
      </c>
    </row>
    <row r="1848" spans="2:17" x14ac:dyDescent="0.45">
      <c r="B1848" s="27" t="str">
        <f>IFERROR(VLOOKUP(A1848,القائمة!$A$3:$F$112,2,FALSE),"")</f>
        <v/>
      </c>
      <c r="C1848" s="27" t="str">
        <f>IFERROR(VLOOKUP(A1848,القائمة!$A$3:$F$112,3,FALSE),"")</f>
        <v/>
      </c>
      <c r="D1848" s="36" t="str">
        <f>IFERROR(VLOOKUP(A1848,القائمة!$A$3:$F$112,4,FALSE),"")</f>
        <v/>
      </c>
      <c r="E1848" s="36" t="str">
        <f>IFERROR(VLOOKUP(A1848,القائمة!$A$3:$F$112,5,FALSE),"")</f>
        <v/>
      </c>
      <c r="F1848" s="37" t="str">
        <f>IFERROR(VLOOKUP(A1848,القائمة!$A$3:$F$112,6,FALSE),"")</f>
        <v/>
      </c>
      <c r="P1848" s="27">
        <f t="shared" si="59"/>
        <v>0</v>
      </c>
      <c r="Q1848" s="27">
        <f t="shared" si="58"/>
        <v>0</v>
      </c>
    </row>
    <row r="1849" spans="2:17" x14ac:dyDescent="0.45">
      <c r="B1849" s="27" t="str">
        <f>IFERROR(VLOOKUP(A1849,القائمة!$A$3:$F$112,2,FALSE),"")</f>
        <v/>
      </c>
      <c r="C1849" s="27" t="str">
        <f>IFERROR(VLOOKUP(A1849,القائمة!$A$3:$F$112,3,FALSE),"")</f>
        <v/>
      </c>
      <c r="D1849" s="36" t="str">
        <f>IFERROR(VLOOKUP(A1849,القائمة!$A$3:$F$112,4,FALSE),"")</f>
        <v/>
      </c>
      <c r="E1849" s="36" t="str">
        <f>IFERROR(VLOOKUP(A1849,القائمة!$A$3:$F$112,5,FALSE),"")</f>
        <v/>
      </c>
      <c r="F1849" s="37" t="str">
        <f>IFERROR(VLOOKUP(A1849,القائمة!$A$3:$F$112,6,FALSE),"")</f>
        <v/>
      </c>
      <c r="P1849" s="27">
        <f t="shared" si="59"/>
        <v>0</v>
      </c>
      <c r="Q1849" s="27">
        <f t="shared" si="58"/>
        <v>0</v>
      </c>
    </row>
    <row r="1850" spans="2:17" x14ac:dyDescent="0.45">
      <c r="B1850" s="27" t="str">
        <f>IFERROR(VLOOKUP(A1850,القائمة!$A$3:$F$112,2,FALSE),"")</f>
        <v/>
      </c>
      <c r="C1850" s="27" t="str">
        <f>IFERROR(VLOOKUP(A1850,القائمة!$A$3:$F$112,3,FALSE),"")</f>
        <v/>
      </c>
      <c r="D1850" s="36" t="str">
        <f>IFERROR(VLOOKUP(A1850,القائمة!$A$3:$F$112,4,FALSE),"")</f>
        <v/>
      </c>
      <c r="E1850" s="36" t="str">
        <f>IFERROR(VLOOKUP(A1850,القائمة!$A$3:$F$112,5,FALSE),"")</f>
        <v/>
      </c>
      <c r="F1850" s="37" t="str">
        <f>IFERROR(VLOOKUP(A1850,القائمة!$A$3:$F$112,6,FALSE),"")</f>
        <v/>
      </c>
      <c r="P1850" s="27">
        <f t="shared" si="59"/>
        <v>0</v>
      </c>
      <c r="Q1850" s="27">
        <f t="shared" si="58"/>
        <v>0</v>
      </c>
    </row>
    <row r="1851" spans="2:17" x14ac:dyDescent="0.45">
      <c r="B1851" s="27" t="str">
        <f>IFERROR(VLOOKUP(A1851,القائمة!$A$3:$F$112,2,FALSE),"")</f>
        <v/>
      </c>
      <c r="C1851" s="27" t="str">
        <f>IFERROR(VLOOKUP(A1851,القائمة!$A$3:$F$112,3,FALSE),"")</f>
        <v/>
      </c>
      <c r="D1851" s="36" t="str">
        <f>IFERROR(VLOOKUP(A1851,القائمة!$A$3:$F$112,4,FALSE),"")</f>
        <v/>
      </c>
      <c r="E1851" s="36" t="str">
        <f>IFERROR(VLOOKUP(A1851,القائمة!$A$3:$F$112,5,FALSE),"")</f>
        <v/>
      </c>
      <c r="F1851" s="37" t="str">
        <f>IFERROR(VLOOKUP(A1851,القائمة!$A$3:$F$112,6,FALSE),"")</f>
        <v/>
      </c>
      <c r="P1851" s="27">
        <f t="shared" si="59"/>
        <v>0</v>
      </c>
      <c r="Q1851" s="27">
        <f t="shared" si="58"/>
        <v>0</v>
      </c>
    </row>
    <row r="1852" spans="2:17" x14ac:dyDescent="0.45">
      <c r="B1852" s="27" t="str">
        <f>IFERROR(VLOOKUP(A1852,القائمة!$A$3:$F$112,2,FALSE),"")</f>
        <v/>
      </c>
      <c r="C1852" s="27" t="str">
        <f>IFERROR(VLOOKUP(A1852,القائمة!$A$3:$F$112,3,FALSE),"")</f>
        <v/>
      </c>
      <c r="D1852" s="36" t="str">
        <f>IFERROR(VLOOKUP(A1852,القائمة!$A$3:$F$112,4,FALSE),"")</f>
        <v/>
      </c>
      <c r="E1852" s="36" t="str">
        <f>IFERROR(VLOOKUP(A1852,القائمة!$A$3:$F$112,5,FALSE),"")</f>
        <v/>
      </c>
      <c r="F1852" s="37" t="str">
        <f>IFERROR(VLOOKUP(A1852,القائمة!$A$3:$F$112,6,FALSE),"")</f>
        <v/>
      </c>
      <c r="P1852" s="27">
        <f t="shared" si="59"/>
        <v>0</v>
      </c>
      <c r="Q1852" s="27">
        <f t="shared" si="58"/>
        <v>0</v>
      </c>
    </row>
    <row r="1853" spans="2:17" x14ac:dyDescent="0.45">
      <c r="B1853" s="27" t="str">
        <f>IFERROR(VLOOKUP(A1853,القائمة!$A$3:$F$112,2,FALSE),"")</f>
        <v/>
      </c>
      <c r="C1853" s="27" t="str">
        <f>IFERROR(VLOOKUP(A1853,القائمة!$A$3:$F$112,3,FALSE),"")</f>
        <v/>
      </c>
      <c r="D1853" s="36" t="str">
        <f>IFERROR(VLOOKUP(A1853,القائمة!$A$3:$F$112,4,FALSE),"")</f>
        <v/>
      </c>
      <c r="E1853" s="36" t="str">
        <f>IFERROR(VLOOKUP(A1853,القائمة!$A$3:$F$112,5,FALSE),"")</f>
        <v/>
      </c>
      <c r="F1853" s="37" t="str">
        <f>IFERROR(VLOOKUP(A1853,القائمة!$A$3:$F$112,6,FALSE),"")</f>
        <v/>
      </c>
      <c r="P1853" s="27">
        <f t="shared" si="59"/>
        <v>0</v>
      </c>
      <c r="Q1853" s="27">
        <f t="shared" si="58"/>
        <v>0</v>
      </c>
    </row>
    <row r="1854" spans="2:17" x14ac:dyDescent="0.45">
      <c r="B1854" s="27" t="str">
        <f>IFERROR(VLOOKUP(A1854,القائمة!$A$3:$F$112,2,FALSE),"")</f>
        <v/>
      </c>
      <c r="C1854" s="27" t="str">
        <f>IFERROR(VLOOKUP(A1854,القائمة!$A$3:$F$112,3,FALSE),"")</f>
        <v/>
      </c>
      <c r="D1854" s="36" t="str">
        <f>IFERROR(VLOOKUP(A1854,القائمة!$A$3:$F$112,4,FALSE),"")</f>
        <v/>
      </c>
      <c r="E1854" s="36" t="str">
        <f>IFERROR(VLOOKUP(A1854,القائمة!$A$3:$F$112,5,FALSE),"")</f>
        <v/>
      </c>
      <c r="F1854" s="37" t="str">
        <f>IFERROR(VLOOKUP(A1854,القائمة!$A$3:$F$112,6,FALSE),"")</f>
        <v/>
      </c>
      <c r="P1854" s="27">
        <f t="shared" si="59"/>
        <v>0</v>
      </c>
      <c r="Q1854" s="27">
        <f t="shared" si="58"/>
        <v>0</v>
      </c>
    </row>
    <row r="1855" spans="2:17" x14ac:dyDescent="0.45">
      <c r="B1855" s="27" t="str">
        <f>IFERROR(VLOOKUP(A1855,القائمة!$A$3:$F$112,2,FALSE),"")</f>
        <v/>
      </c>
      <c r="C1855" s="27" t="str">
        <f>IFERROR(VLOOKUP(A1855,القائمة!$A$3:$F$112,3,FALSE),"")</f>
        <v/>
      </c>
      <c r="D1855" s="36" t="str">
        <f>IFERROR(VLOOKUP(A1855,القائمة!$A$3:$F$112,4,FALSE),"")</f>
        <v/>
      </c>
      <c r="E1855" s="36" t="str">
        <f>IFERROR(VLOOKUP(A1855,القائمة!$A$3:$F$112,5,FALSE),"")</f>
        <v/>
      </c>
      <c r="F1855" s="37" t="str">
        <f>IFERROR(VLOOKUP(A1855,القائمة!$A$3:$F$112,6,FALSE),"")</f>
        <v/>
      </c>
      <c r="P1855" s="27">
        <f t="shared" si="59"/>
        <v>0</v>
      </c>
      <c r="Q1855" s="27">
        <f t="shared" si="58"/>
        <v>0</v>
      </c>
    </row>
    <row r="1856" spans="2:17" x14ac:dyDescent="0.45">
      <c r="B1856" s="27" t="str">
        <f>IFERROR(VLOOKUP(A1856,القائمة!$A$3:$F$112,2,FALSE),"")</f>
        <v/>
      </c>
      <c r="C1856" s="27" t="str">
        <f>IFERROR(VLOOKUP(A1856,القائمة!$A$3:$F$112,3,FALSE),"")</f>
        <v/>
      </c>
      <c r="D1856" s="36" t="str">
        <f>IFERROR(VLOOKUP(A1856,القائمة!$A$3:$F$112,4,FALSE),"")</f>
        <v/>
      </c>
      <c r="E1856" s="36" t="str">
        <f>IFERROR(VLOOKUP(A1856,القائمة!$A$3:$F$112,5,FALSE),"")</f>
        <v/>
      </c>
      <c r="F1856" s="37" t="str">
        <f>IFERROR(VLOOKUP(A1856,القائمة!$A$3:$F$112,6,FALSE),"")</f>
        <v/>
      </c>
      <c r="P1856" s="27">
        <f t="shared" si="59"/>
        <v>0</v>
      </c>
      <c r="Q1856" s="27">
        <f t="shared" si="58"/>
        <v>0</v>
      </c>
    </row>
    <row r="1857" spans="2:17" x14ac:dyDescent="0.45">
      <c r="B1857" s="27" t="str">
        <f>IFERROR(VLOOKUP(A1857,القائمة!$A$3:$F$112,2,FALSE),"")</f>
        <v/>
      </c>
      <c r="C1857" s="27" t="str">
        <f>IFERROR(VLOOKUP(A1857,القائمة!$A$3:$F$112,3,FALSE),"")</f>
        <v/>
      </c>
      <c r="D1857" s="36" t="str">
        <f>IFERROR(VLOOKUP(A1857,القائمة!$A$3:$F$112,4,FALSE),"")</f>
        <v/>
      </c>
      <c r="E1857" s="36" t="str">
        <f>IFERROR(VLOOKUP(A1857,القائمة!$A$3:$F$112,5,FALSE),"")</f>
        <v/>
      </c>
      <c r="F1857" s="37" t="str">
        <f>IFERROR(VLOOKUP(A1857,القائمة!$A$3:$F$112,6,FALSE),"")</f>
        <v/>
      </c>
      <c r="P1857" s="27">
        <f t="shared" si="59"/>
        <v>0</v>
      </c>
      <c r="Q1857" s="27">
        <f t="shared" si="58"/>
        <v>0</v>
      </c>
    </row>
    <row r="1858" spans="2:17" x14ac:dyDescent="0.45">
      <c r="B1858" s="27" t="str">
        <f>IFERROR(VLOOKUP(A1858,القائمة!$A$3:$F$112,2,FALSE),"")</f>
        <v/>
      </c>
      <c r="C1858" s="27" t="str">
        <f>IFERROR(VLOOKUP(A1858,القائمة!$A$3:$F$112,3,FALSE),"")</f>
        <v/>
      </c>
      <c r="D1858" s="36" t="str">
        <f>IFERROR(VLOOKUP(A1858,القائمة!$A$3:$F$112,4,FALSE),"")</f>
        <v/>
      </c>
      <c r="E1858" s="36" t="str">
        <f>IFERROR(VLOOKUP(A1858,القائمة!$A$3:$F$112,5,FALSE),"")</f>
        <v/>
      </c>
      <c r="F1858" s="37" t="str">
        <f>IFERROR(VLOOKUP(A1858,القائمة!$A$3:$F$112,6,FALSE),"")</f>
        <v/>
      </c>
      <c r="P1858" s="27">
        <f t="shared" si="59"/>
        <v>0</v>
      </c>
      <c r="Q1858" s="27">
        <f t="shared" si="58"/>
        <v>0</v>
      </c>
    </row>
    <row r="1859" spans="2:17" x14ac:dyDescent="0.45">
      <c r="B1859" s="27" t="str">
        <f>IFERROR(VLOOKUP(A1859,القائمة!$A$3:$F$112,2,FALSE),"")</f>
        <v/>
      </c>
      <c r="C1859" s="27" t="str">
        <f>IFERROR(VLOOKUP(A1859,القائمة!$A$3:$F$112,3,FALSE),"")</f>
        <v/>
      </c>
      <c r="D1859" s="36" t="str">
        <f>IFERROR(VLOOKUP(A1859,القائمة!$A$3:$F$112,4,FALSE),"")</f>
        <v/>
      </c>
      <c r="E1859" s="36" t="str">
        <f>IFERROR(VLOOKUP(A1859,القائمة!$A$3:$F$112,5,FALSE),"")</f>
        <v/>
      </c>
      <c r="F1859" s="37" t="str">
        <f>IFERROR(VLOOKUP(A1859,القائمة!$A$3:$F$112,6,FALSE),"")</f>
        <v/>
      </c>
      <c r="P1859" s="27">
        <f t="shared" si="59"/>
        <v>0</v>
      </c>
      <c r="Q1859" s="27">
        <f t="shared" ref="Q1859:Q1922" si="60">+P1859+L1859-M1859</f>
        <v>0</v>
      </c>
    </row>
    <row r="1860" spans="2:17" x14ac:dyDescent="0.45">
      <c r="B1860" s="27" t="str">
        <f>IFERROR(VLOOKUP(A1860,القائمة!$A$3:$F$112,2,FALSE),"")</f>
        <v/>
      </c>
      <c r="C1860" s="27" t="str">
        <f>IFERROR(VLOOKUP(A1860,القائمة!$A$3:$F$112,3,FALSE),"")</f>
        <v/>
      </c>
      <c r="D1860" s="36" t="str">
        <f>IFERROR(VLOOKUP(A1860,القائمة!$A$3:$F$112,4,FALSE),"")</f>
        <v/>
      </c>
      <c r="E1860" s="36" t="str">
        <f>IFERROR(VLOOKUP(A1860,القائمة!$A$3:$F$112,5,FALSE),"")</f>
        <v/>
      </c>
      <c r="F1860" s="37" t="str">
        <f>IFERROR(VLOOKUP(A1860,القائمة!$A$3:$F$112,6,FALSE),"")</f>
        <v/>
      </c>
      <c r="P1860" s="27">
        <f t="shared" ref="P1860:P1923" si="61">J1860-K1860</f>
        <v>0</v>
      </c>
      <c r="Q1860" s="27">
        <f t="shared" si="60"/>
        <v>0</v>
      </c>
    </row>
    <row r="1861" spans="2:17" x14ac:dyDescent="0.45">
      <c r="B1861" s="27" t="str">
        <f>IFERROR(VLOOKUP(A1861,القائمة!$A$3:$F$112,2,FALSE),"")</f>
        <v/>
      </c>
      <c r="C1861" s="27" t="str">
        <f>IFERROR(VLOOKUP(A1861,القائمة!$A$3:$F$112,3,FALSE),"")</f>
        <v/>
      </c>
      <c r="D1861" s="36" t="str">
        <f>IFERROR(VLOOKUP(A1861,القائمة!$A$3:$F$112,4,FALSE),"")</f>
        <v/>
      </c>
      <c r="E1861" s="36" t="str">
        <f>IFERROR(VLOOKUP(A1861,القائمة!$A$3:$F$112,5,FALSE),"")</f>
        <v/>
      </c>
      <c r="F1861" s="37" t="str">
        <f>IFERROR(VLOOKUP(A1861,القائمة!$A$3:$F$112,6,FALSE),"")</f>
        <v/>
      </c>
      <c r="P1861" s="27">
        <f t="shared" si="61"/>
        <v>0</v>
      </c>
      <c r="Q1861" s="27">
        <f t="shared" si="60"/>
        <v>0</v>
      </c>
    </row>
    <row r="1862" spans="2:17" x14ac:dyDescent="0.45">
      <c r="B1862" s="27" t="str">
        <f>IFERROR(VLOOKUP(A1862,القائمة!$A$3:$F$112,2,FALSE),"")</f>
        <v/>
      </c>
      <c r="C1862" s="27" t="str">
        <f>IFERROR(VLOOKUP(A1862,القائمة!$A$3:$F$112,3,FALSE),"")</f>
        <v/>
      </c>
      <c r="D1862" s="36" t="str">
        <f>IFERROR(VLOOKUP(A1862,القائمة!$A$3:$F$112,4,FALSE),"")</f>
        <v/>
      </c>
      <c r="E1862" s="36" t="str">
        <f>IFERROR(VLOOKUP(A1862,القائمة!$A$3:$F$112,5,FALSE),"")</f>
        <v/>
      </c>
      <c r="F1862" s="37" t="str">
        <f>IFERROR(VLOOKUP(A1862,القائمة!$A$3:$F$112,6,FALSE),"")</f>
        <v/>
      </c>
      <c r="P1862" s="27">
        <f t="shared" si="61"/>
        <v>0</v>
      </c>
      <c r="Q1862" s="27">
        <f t="shared" si="60"/>
        <v>0</v>
      </c>
    </row>
    <row r="1863" spans="2:17" x14ac:dyDescent="0.45">
      <c r="B1863" s="27" t="str">
        <f>IFERROR(VLOOKUP(A1863,القائمة!$A$3:$F$112,2,FALSE),"")</f>
        <v/>
      </c>
      <c r="C1863" s="27" t="str">
        <f>IFERROR(VLOOKUP(A1863,القائمة!$A$3:$F$112,3,FALSE),"")</f>
        <v/>
      </c>
      <c r="D1863" s="36" t="str">
        <f>IFERROR(VLOOKUP(A1863,القائمة!$A$3:$F$112,4,FALSE),"")</f>
        <v/>
      </c>
      <c r="E1863" s="36" t="str">
        <f>IFERROR(VLOOKUP(A1863,القائمة!$A$3:$F$112,5,FALSE),"")</f>
        <v/>
      </c>
      <c r="F1863" s="37" t="str">
        <f>IFERROR(VLOOKUP(A1863,القائمة!$A$3:$F$112,6,FALSE),"")</f>
        <v/>
      </c>
      <c r="P1863" s="27">
        <f t="shared" si="61"/>
        <v>0</v>
      </c>
      <c r="Q1863" s="27">
        <f t="shared" si="60"/>
        <v>0</v>
      </c>
    </row>
    <row r="1864" spans="2:17" x14ac:dyDescent="0.45">
      <c r="B1864" s="27" t="str">
        <f>IFERROR(VLOOKUP(A1864,القائمة!$A$3:$F$112,2,FALSE),"")</f>
        <v/>
      </c>
      <c r="C1864" s="27" t="str">
        <f>IFERROR(VLOOKUP(A1864,القائمة!$A$3:$F$112,3,FALSE),"")</f>
        <v/>
      </c>
      <c r="D1864" s="36" t="str">
        <f>IFERROR(VLOOKUP(A1864,القائمة!$A$3:$F$112,4,FALSE),"")</f>
        <v/>
      </c>
      <c r="E1864" s="36" t="str">
        <f>IFERROR(VLOOKUP(A1864,القائمة!$A$3:$F$112,5,FALSE),"")</f>
        <v/>
      </c>
      <c r="F1864" s="37" t="str">
        <f>IFERROR(VLOOKUP(A1864,القائمة!$A$3:$F$112,6,FALSE),"")</f>
        <v/>
      </c>
      <c r="P1864" s="27">
        <f t="shared" si="61"/>
        <v>0</v>
      </c>
      <c r="Q1864" s="27">
        <f t="shared" si="60"/>
        <v>0</v>
      </c>
    </row>
    <row r="1865" spans="2:17" x14ac:dyDescent="0.45">
      <c r="B1865" s="27" t="str">
        <f>IFERROR(VLOOKUP(A1865,القائمة!$A$3:$F$112,2,FALSE),"")</f>
        <v/>
      </c>
      <c r="C1865" s="27" t="str">
        <f>IFERROR(VLOOKUP(A1865,القائمة!$A$3:$F$112,3,FALSE),"")</f>
        <v/>
      </c>
      <c r="D1865" s="36" t="str">
        <f>IFERROR(VLOOKUP(A1865,القائمة!$A$3:$F$112,4,FALSE),"")</f>
        <v/>
      </c>
      <c r="E1865" s="36" t="str">
        <f>IFERROR(VLOOKUP(A1865,القائمة!$A$3:$F$112,5,FALSE),"")</f>
        <v/>
      </c>
      <c r="F1865" s="37" t="str">
        <f>IFERROR(VLOOKUP(A1865,القائمة!$A$3:$F$112,6,FALSE),"")</f>
        <v/>
      </c>
      <c r="P1865" s="27">
        <f t="shared" si="61"/>
        <v>0</v>
      </c>
      <c r="Q1865" s="27">
        <f t="shared" si="60"/>
        <v>0</v>
      </c>
    </row>
    <row r="1866" spans="2:17" x14ac:dyDescent="0.45">
      <c r="B1866" s="27" t="str">
        <f>IFERROR(VLOOKUP(A1866,القائمة!$A$3:$F$112,2,FALSE),"")</f>
        <v/>
      </c>
      <c r="C1866" s="27" t="str">
        <f>IFERROR(VLOOKUP(A1866,القائمة!$A$3:$F$112,3,FALSE),"")</f>
        <v/>
      </c>
      <c r="D1866" s="36" t="str">
        <f>IFERROR(VLOOKUP(A1866,القائمة!$A$3:$F$112,4,FALSE),"")</f>
        <v/>
      </c>
      <c r="E1866" s="36" t="str">
        <f>IFERROR(VLOOKUP(A1866,القائمة!$A$3:$F$112,5,FALSE),"")</f>
        <v/>
      </c>
      <c r="F1866" s="37" t="str">
        <f>IFERROR(VLOOKUP(A1866,القائمة!$A$3:$F$112,6,FALSE),"")</f>
        <v/>
      </c>
      <c r="P1866" s="27">
        <f t="shared" si="61"/>
        <v>0</v>
      </c>
      <c r="Q1866" s="27">
        <f t="shared" si="60"/>
        <v>0</v>
      </c>
    </row>
    <row r="1867" spans="2:17" x14ac:dyDescent="0.45">
      <c r="B1867" s="27" t="str">
        <f>IFERROR(VLOOKUP(A1867,القائمة!$A$3:$F$112,2,FALSE),"")</f>
        <v/>
      </c>
      <c r="C1867" s="27" t="str">
        <f>IFERROR(VLOOKUP(A1867,القائمة!$A$3:$F$112,3,FALSE),"")</f>
        <v/>
      </c>
      <c r="D1867" s="36" t="str">
        <f>IFERROR(VLOOKUP(A1867,القائمة!$A$3:$F$112,4,FALSE),"")</f>
        <v/>
      </c>
      <c r="E1867" s="36" t="str">
        <f>IFERROR(VLOOKUP(A1867,القائمة!$A$3:$F$112,5,FALSE),"")</f>
        <v/>
      </c>
      <c r="F1867" s="37" t="str">
        <f>IFERROR(VLOOKUP(A1867,القائمة!$A$3:$F$112,6,FALSE),"")</f>
        <v/>
      </c>
      <c r="P1867" s="27">
        <f t="shared" si="61"/>
        <v>0</v>
      </c>
      <c r="Q1867" s="27">
        <f t="shared" si="60"/>
        <v>0</v>
      </c>
    </row>
    <row r="1868" spans="2:17" x14ac:dyDescent="0.45">
      <c r="B1868" s="27" t="str">
        <f>IFERROR(VLOOKUP(A1868,القائمة!$A$3:$F$112,2,FALSE),"")</f>
        <v/>
      </c>
      <c r="C1868" s="27" t="str">
        <f>IFERROR(VLOOKUP(A1868,القائمة!$A$3:$F$112,3,FALSE),"")</f>
        <v/>
      </c>
      <c r="D1868" s="36" t="str">
        <f>IFERROR(VLOOKUP(A1868,القائمة!$A$3:$F$112,4,FALSE),"")</f>
        <v/>
      </c>
      <c r="E1868" s="36" t="str">
        <f>IFERROR(VLOOKUP(A1868,القائمة!$A$3:$F$112,5,FALSE),"")</f>
        <v/>
      </c>
      <c r="F1868" s="37" t="str">
        <f>IFERROR(VLOOKUP(A1868,القائمة!$A$3:$F$112,6,FALSE),"")</f>
        <v/>
      </c>
      <c r="P1868" s="27">
        <f t="shared" si="61"/>
        <v>0</v>
      </c>
      <c r="Q1868" s="27">
        <f t="shared" si="60"/>
        <v>0</v>
      </c>
    </row>
    <row r="1869" spans="2:17" x14ac:dyDescent="0.45">
      <c r="B1869" s="27" t="str">
        <f>IFERROR(VLOOKUP(A1869,القائمة!$A$3:$F$112,2,FALSE),"")</f>
        <v/>
      </c>
      <c r="C1869" s="27" t="str">
        <f>IFERROR(VLOOKUP(A1869,القائمة!$A$3:$F$112,3,FALSE),"")</f>
        <v/>
      </c>
      <c r="D1869" s="36" t="str">
        <f>IFERROR(VLOOKUP(A1869,القائمة!$A$3:$F$112,4,FALSE),"")</f>
        <v/>
      </c>
      <c r="E1869" s="36" t="str">
        <f>IFERROR(VLOOKUP(A1869,القائمة!$A$3:$F$112,5,FALSE),"")</f>
        <v/>
      </c>
      <c r="F1869" s="37" t="str">
        <f>IFERROR(VLOOKUP(A1869,القائمة!$A$3:$F$112,6,FALSE),"")</f>
        <v/>
      </c>
      <c r="P1869" s="27">
        <f t="shared" si="61"/>
        <v>0</v>
      </c>
      <c r="Q1869" s="27">
        <f t="shared" si="60"/>
        <v>0</v>
      </c>
    </row>
    <row r="1870" spans="2:17" x14ac:dyDescent="0.45">
      <c r="B1870" s="27" t="str">
        <f>IFERROR(VLOOKUP(A1870,القائمة!$A$3:$F$112,2,FALSE),"")</f>
        <v/>
      </c>
      <c r="C1870" s="27" t="str">
        <f>IFERROR(VLOOKUP(A1870,القائمة!$A$3:$F$112,3,FALSE),"")</f>
        <v/>
      </c>
      <c r="D1870" s="36" t="str">
        <f>IFERROR(VLOOKUP(A1870,القائمة!$A$3:$F$112,4,FALSE),"")</f>
        <v/>
      </c>
      <c r="E1870" s="36" t="str">
        <f>IFERROR(VLOOKUP(A1870,القائمة!$A$3:$F$112,5,FALSE),"")</f>
        <v/>
      </c>
      <c r="F1870" s="37" t="str">
        <f>IFERROR(VLOOKUP(A1870,القائمة!$A$3:$F$112,6,FALSE),"")</f>
        <v/>
      </c>
      <c r="P1870" s="27">
        <f t="shared" si="61"/>
        <v>0</v>
      </c>
      <c r="Q1870" s="27">
        <f t="shared" si="60"/>
        <v>0</v>
      </c>
    </row>
    <row r="1871" spans="2:17" x14ac:dyDescent="0.45">
      <c r="B1871" s="27" t="str">
        <f>IFERROR(VLOOKUP(A1871,القائمة!$A$3:$F$112,2,FALSE),"")</f>
        <v/>
      </c>
      <c r="C1871" s="27" t="str">
        <f>IFERROR(VLOOKUP(A1871,القائمة!$A$3:$F$112,3,FALSE),"")</f>
        <v/>
      </c>
      <c r="D1871" s="36" t="str">
        <f>IFERROR(VLOOKUP(A1871,القائمة!$A$3:$F$112,4,FALSE),"")</f>
        <v/>
      </c>
      <c r="E1871" s="36" t="str">
        <f>IFERROR(VLOOKUP(A1871,القائمة!$A$3:$F$112,5,FALSE),"")</f>
        <v/>
      </c>
      <c r="F1871" s="37" t="str">
        <f>IFERROR(VLOOKUP(A1871,القائمة!$A$3:$F$112,6,FALSE),"")</f>
        <v/>
      </c>
      <c r="P1871" s="27">
        <f t="shared" si="61"/>
        <v>0</v>
      </c>
      <c r="Q1871" s="27">
        <f t="shared" si="60"/>
        <v>0</v>
      </c>
    </row>
    <row r="1872" spans="2:17" x14ac:dyDescent="0.45">
      <c r="B1872" s="27" t="str">
        <f>IFERROR(VLOOKUP(A1872,القائمة!$A$3:$F$112,2,FALSE),"")</f>
        <v/>
      </c>
      <c r="C1872" s="27" t="str">
        <f>IFERROR(VLOOKUP(A1872,القائمة!$A$3:$F$112,3,FALSE),"")</f>
        <v/>
      </c>
      <c r="D1872" s="36" t="str">
        <f>IFERROR(VLOOKUP(A1872,القائمة!$A$3:$F$112,4,FALSE),"")</f>
        <v/>
      </c>
      <c r="E1872" s="36" t="str">
        <f>IFERROR(VLOOKUP(A1872,القائمة!$A$3:$F$112,5,FALSE),"")</f>
        <v/>
      </c>
      <c r="F1872" s="37" t="str">
        <f>IFERROR(VLOOKUP(A1872,القائمة!$A$3:$F$112,6,FALSE),"")</f>
        <v/>
      </c>
      <c r="P1872" s="27">
        <f t="shared" si="61"/>
        <v>0</v>
      </c>
      <c r="Q1872" s="27">
        <f t="shared" si="60"/>
        <v>0</v>
      </c>
    </row>
    <row r="1873" spans="2:17" x14ac:dyDescent="0.45">
      <c r="B1873" s="27" t="str">
        <f>IFERROR(VLOOKUP(A1873,القائمة!$A$3:$F$112,2,FALSE),"")</f>
        <v/>
      </c>
      <c r="C1873" s="27" t="str">
        <f>IFERROR(VLOOKUP(A1873,القائمة!$A$3:$F$112,3,FALSE),"")</f>
        <v/>
      </c>
      <c r="D1873" s="36" t="str">
        <f>IFERROR(VLOOKUP(A1873,القائمة!$A$3:$F$112,4,FALSE),"")</f>
        <v/>
      </c>
      <c r="E1873" s="36" t="str">
        <f>IFERROR(VLOOKUP(A1873,القائمة!$A$3:$F$112,5,FALSE),"")</f>
        <v/>
      </c>
      <c r="F1873" s="37" t="str">
        <f>IFERROR(VLOOKUP(A1873,القائمة!$A$3:$F$112,6,FALSE),"")</f>
        <v/>
      </c>
      <c r="P1873" s="27">
        <f t="shared" si="61"/>
        <v>0</v>
      </c>
      <c r="Q1873" s="27">
        <f t="shared" si="60"/>
        <v>0</v>
      </c>
    </row>
    <row r="1874" spans="2:17" x14ac:dyDescent="0.45">
      <c r="B1874" s="27" t="str">
        <f>IFERROR(VLOOKUP(A1874,القائمة!$A$3:$F$112,2,FALSE),"")</f>
        <v/>
      </c>
      <c r="C1874" s="27" t="str">
        <f>IFERROR(VLOOKUP(A1874,القائمة!$A$3:$F$112,3,FALSE),"")</f>
        <v/>
      </c>
      <c r="D1874" s="36" t="str">
        <f>IFERROR(VLOOKUP(A1874,القائمة!$A$3:$F$112,4,FALSE),"")</f>
        <v/>
      </c>
      <c r="E1874" s="36" t="str">
        <f>IFERROR(VLOOKUP(A1874,القائمة!$A$3:$F$112,5,FALSE),"")</f>
        <v/>
      </c>
      <c r="F1874" s="37" t="str">
        <f>IFERROR(VLOOKUP(A1874,القائمة!$A$3:$F$112,6,FALSE),"")</f>
        <v/>
      </c>
      <c r="P1874" s="27">
        <f t="shared" si="61"/>
        <v>0</v>
      </c>
      <c r="Q1874" s="27">
        <f t="shared" si="60"/>
        <v>0</v>
      </c>
    </row>
    <row r="1875" spans="2:17" x14ac:dyDescent="0.45">
      <c r="B1875" s="27" t="str">
        <f>IFERROR(VLOOKUP(A1875,القائمة!$A$3:$F$112,2,FALSE),"")</f>
        <v/>
      </c>
      <c r="C1875" s="27" t="str">
        <f>IFERROR(VLOOKUP(A1875,القائمة!$A$3:$F$112,3,FALSE),"")</f>
        <v/>
      </c>
      <c r="D1875" s="36" t="str">
        <f>IFERROR(VLOOKUP(A1875,القائمة!$A$3:$F$112,4,FALSE),"")</f>
        <v/>
      </c>
      <c r="E1875" s="36" t="str">
        <f>IFERROR(VLOOKUP(A1875,القائمة!$A$3:$F$112,5,FALSE),"")</f>
        <v/>
      </c>
      <c r="F1875" s="37" t="str">
        <f>IFERROR(VLOOKUP(A1875,القائمة!$A$3:$F$112,6,FALSE),"")</f>
        <v/>
      </c>
      <c r="P1875" s="27">
        <f t="shared" si="61"/>
        <v>0</v>
      </c>
      <c r="Q1875" s="27">
        <f t="shared" si="60"/>
        <v>0</v>
      </c>
    </row>
    <row r="1876" spans="2:17" x14ac:dyDescent="0.45">
      <c r="B1876" s="27" t="str">
        <f>IFERROR(VLOOKUP(A1876,القائمة!$A$3:$F$112,2,FALSE),"")</f>
        <v/>
      </c>
      <c r="C1876" s="27" t="str">
        <f>IFERROR(VLOOKUP(A1876,القائمة!$A$3:$F$112,3,FALSE),"")</f>
        <v/>
      </c>
      <c r="D1876" s="36" t="str">
        <f>IFERROR(VLOOKUP(A1876,القائمة!$A$3:$F$112,4,FALSE),"")</f>
        <v/>
      </c>
      <c r="E1876" s="36" t="str">
        <f>IFERROR(VLOOKUP(A1876,القائمة!$A$3:$F$112,5,FALSE),"")</f>
        <v/>
      </c>
      <c r="F1876" s="37" t="str">
        <f>IFERROR(VLOOKUP(A1876,القائمة!$A$3:$F$112,6,FALSE),"")</f>
        <v/>
      </c>
      <c r="P1876" s="27">
        <f t="shared" si="61"/>
        <v>0</v>
      </c>
      <c r="Q1876" s="27">
        <f t="shared" si="60"/>
        <v>0</v>
      </c>
    </row>
    <row r="1877" spans="2:17" x14ac:dyDescent="0.45">
      <c r="B1877" s="27" t="str">
        <f>IFERROR(VLOOKUP(A1877,القائمة!$A$3:$F$112,2,FALSE),"")</f>
        <v/>
      </c>
      <c r="C1877" s="27" t="str">
        <f>IFERROR(VLOOKUP(A1877,القائمة!$A$3:$F$112,3,FALSE),"")</f>
        <v/>
      </c>
      <c r="D1877" s="36" t="str">
        <f>IFERROR(VLOOKUP(A1877,القائمة!$A$3:$F$112,4,FALSE),"")</f>
        <v/>
      </c>
      <c r="E1877" s="36" t="str">
        <f>IFERROR(VLOOKUP(A1877,القائمة!$A$3:$F$112,5,FALSE),"")</f>
        <v/>
      </c>
      <c r="F1877" s="37" t="str">
        <f>IFERROR(VLOOKUP(A1877,القائمة!$A$3:$F$112,6,FALSE),"")</f>
        <v/>
      </c>
      <c r="P1877" s="27">
        <f t="shared" si="61"/>
        <v>0</v>
      </c>
      <c r="Q1877" s="27">
        <f t="shared" si="60"/>
        <v>0</v>
      </c>
    </row>
    <row r="1878" spans="2:17" x14ac:dyDescent="0.45">
      <c r="B1878" s="27" t="str">
        <f>IFERROR(VLOOKUP(A1878,القائمة!$A$3:$F$112,2,FALSE),"")</f>
        <v/>
      </c>
      <c r="C1878" s="27" t="str">
        <f>IFERROR(VLOOKUP(A1878,القائمة!$A$3:$F$112,3,FALSE),"")</f>
        <v/>
      </c>
      <c r="D1878" s="36" t="str">
        <f>IFERROR(VLOOKUP(A1878,القائمة!$A$3:$F$112,4,FALSE),"")</f>
        <v/>
      </c>
      <c r="E1878" s="36" t="str">
        <f>IFERROR(VLOOKUP(A1878,القائمة!$A$3:$F$112,5,FALSE),"")</f>
        <v/>
      </c>
      <c r="F1878" s="37" t="str">
        <f>IFERROR(VLOOKUP(A1878,القائمة!$A$3:$F$112,6,FALSE),"")</f>
        <v/>
      </c>
      <c r="P1878" s="27">
        <f t="shared" si="61"/>
        <v>0</v>
      </c>
      <c r="Q1878" s="27">
        <f t="shared" si="60"/>
        <v>0</v>
      </c>
    </row>
    <row r="1879" spans="2:17" x14ac:dyDescent="0.45">
      <c r="B1879" s="27" t="str">
        <f>IFERROR(VLOOKUP(A1879,القائمة!$A$3:$F$112,2,FALSE),"")</f>
        <v/>
      </c>
      <c r="C1879" s="27" t="str">
        <f>IFERROR(VLOOKUP(A1879,القائمة!$A$3:$F$112,3,FALSE),"")</f>
        <v/>
      </c>
      <c r="D1879" s="36" t="str">
        <f>IFERROR(VLOOKUP(A1879,القائمة!$A$3:$F$112,4,FALSE),"")</f>
        <v/>
      </c>
      <c r="E1879" s="36" t="str">
        <f>IFERROR(VLOOKUP(A1879,القائمة!$A$3:$F$112,5,FALSE),"")</f>
        <v/>
      </c>
      <c r="F1879" s="37" t="str">
        <f>IFERROR(VLOOKUP(A1879,القائمة!$A$3:$F$112,6,FALSE),"")</f>
        <v/>
      </c>
      <c r="P1879" s="27">
        <f t="shared" si="61"/>
        <v>0</v>
      </c>
      <c r="Q1879" s="27">
        <f t="shared" si="60"/>
        <v>0</v>
      </c>
    </row>
    <row r="1880" spans="2:17" x14ac:dyDescent="0.45">
      <c r="B1880" s="27" t="str">
        <f>IFERROR(VLOOKUP(A1880,القائمة!$A$3:$F$112,2,FALSE),"")</f>
        <v/>
      </c>
      <c r="C1880" s="27" t="str">
        <f>IFERROR(VLOOKUP(A1880,القائمة!$A$3:$F$112,3,FALSE),"")</f>
        <v/>
      </c>
      <c r="D1880" s="36" t="str">
        <f>IFERROR(VLOOKUP(A1880,القائمة!$A$3:$F$112,4,FALSE),"")</f>
        <v/>
      </c>
      <c r="E1880" s="36" t="str">
        <f>IFERROR(VLOOKUP(A1880,القائمة!$A$3:$F$112,5,FALSE),"")</f>
        <v/>
      </c>
      <c r="F1880" s="37" t="str">
        <f>IFERROR(VLOOKUP(A1880,القائمة!$A$3:$F$112,6,FALSE),"")</f>
        <v/>
      </c>
      <c r="P1880" s="27">
        <f t="shared" si="61"/>
        <v>0</v>
      </c>
      <c r="Q1880" s="27">
        <f t="shared" si="60"/>
        <v>0</v>
      </c>
    </row>
    <row r="1881" spans="2:17" x14ac:dyDescent="0.45">
      <c r="B1881" s="27" t="str">
        <f>IFERROR(VLOOKUP(A1881,القائمة!$A$3:$F$112,2,FALSE),"")</f>
        <v/>
      </c>
      <c r="C1881" s="27" t="str">
        <f>IFERROR(VLOOKUP(A1881,القائمة!$A$3:$F$112,3,FALSE),"")</f>
        <v/>
      </c>
      <c r="D1881" s="36" t="str">
        <f>IFERROR(VLOOKUP(A1881,القائمة!$A$3:$F$112,4,FALSE),"")</f>
        <v/>
      </c>
      <c r="E1881" s="36" t="str">
        <f>IFERROR(VLOOKUP(A1881,القائمة!$A$3:$F$112,5,FALSE),"")</f>
        <v/>
      </c>
      <c r="F1881" s="37" t="str">
        <f>IFERROR(VLOOKUP(A1881,القائمة!$A$3:$F$112,6,FALSE),"")</f>
        <v/>
      </c>
      <c r="P1881" s="27">
        <f t="shared" si="61"/>
        <v>0</v>
      </c>
      <c r="Q1881" s="27">
        <f t="shared" si="60"/>
        <v>0</v>
      </c>
    </row>
    <row r="1882" spans="2:17" x14ac:dyDescent="0.45">
      <c r="B1882" s="27" t="str">
        <f>IFERROR(VLOOKUP(A1882,القائمة!$A$3:$F$112,2,FALSE),"")</f>
        <v/>
      </c>
      <c r="C1882" s="27" t="str">
        <f>IFERROR(VLOOKUP(A1882,القائمة!$A$3:$F$112,3,FALSE),"")</f>
        <v/>
      </c>
      <c r="D1882" s="36" t="str">
        <f>IFERROR(VLOOKUP(A1882,القائمة!$A$3:$F$112,4,FALSE),"")</f>
        <v/>
      </c>
      <c r="E1882" s="36" t="str">
        <f>IFERROR(VLOOKUP(A1882,القائمة!$A$3:$F$112,5,FALSE),"")</f>
        <v/>
      </c>
      <c r="F1882" s="37" t="str">
        <f>IFERROR(VLOOKUP(A1882,القائمة!$A$3:$F$112,6,FALSE),"")</f>
        <v/>
      </c>
      <c r="P1882" s="27">
        <f t="shared" si="61"/>
        <v>0</v>
      </c>
      <c r="Q1882" s="27">
        <f t="shared" si="60"/>
        <v>0</v>
      </c>
    </row>
    <row r="1883" spans="2:17" x14ac:dyDescent="0.45">
      <c r="B1883" s="27" t="str">
        <f>IFERROR(VLOOKUP(A1883,القائمة!$A$3:$F$112,2,FALSE),"")</f>
        <v/>
      </c>
      <c r="C1883" s="27" t="str">
        <f>IFERROR(VLOOKUP(A1883,القائمة!$A$3:$F$112,3,FALSE),"")</f>
        <v/>
      </c>
      <c r="D1883" s="36" t="str">
        <f>IFERROR(VLOOKUP(A1883,القائمة!$A$3:$F$112,4,FALSE),"")</f>
        <v/>
      </c>
      <c r="E1883" s="36" t="str">
        <f>IFERROR(VLOOKUP(A1883,القائمة!$A$3:$F$112,5,FALSE),"")</f>
        <v/>
      </c>
      <c r="F1883" s="37" t="str">
        <f>IFERROR(VLOOKUP(A1883,القائمة!$A$3:$F$112,6,FALSE),"")</f>
        <v/>
      </c>
      <c r="P1883" s="27">
        <f t="shared" si="61"/>
        <v>0</v>
      </c>
      <c r="Q1883" s="27">
        <f t="shared" si="60"/>
        <v>0</v>
      </c>
    </row>
    <row r="1884" spans="2:17" x14ac:dyDescent="0.45">
      <c r="B1884" s="27" t="str">
        <f>IFERROR(VLOOKUP(A1884,القائمة!$A$3:$F$112,2,FALSE),"")</f>
        <v/>
      </c>
      <c r="C1884" s="27" t="str">
        <f>IFERROR(VLOOKUP(A1884,القائمة!$A$3:$F$112,3,FALSE),"")</f>
        <v/>
      </c>
      <c r="D1884" s="36" t="str">
        <f>IFERROR(VLOOKUP(A1884,القائمة!$A$3:$F$112,4,FALSE),"")</f>
        <v/>
      </c>
      <c r="E1884" s="36" t="str">
        <f>IFERROR(VLOOKUP(A1884,القائمة!$A$3:$F$112,5,FALSE),"")</f>
        <v/>
      </c>
      <c r="F1884" s="37" t="str">
        <f>IFERROR(VLOOKUP(A1884,القائمة!$A$3:$F$112,6,FALSE),"")</f>
        <v/>
      </c>
      <c r="P1884" s="27">
        <f t="shared" si="61"/>
        <v>0</v>
      </c>
      <c r="Q1884" s="27">
        <f t="shared" si="60"/>
        <v>0</v>
      </c>
    </row>
    <row r="1885" spans="2:17" x14ac:dyDescent="0.45">
      <c r="B1885" s="27" t="str">
        <f>IFERROR(VLOOKUP(A1885,القائمة!$A$3:$F$112,2,FALSE),"")</f>
        <v/>
      </c>
      <c r="C1885" s="27" t="str">
        <f>IFERROR(VLOOKUP(A1885,القائمة!$A$3:$F$112,3,FALSE),"")</f>
        <v/>
      </c>
      <c r="D1885" s="36" t="str">
        <f>IFERROR(VLOOKUP(A1885,القائمة!$A$3:$F$112,4,FALSE),"")</f>
        <v/>
      </c>
      <c r="E1885" s="36" t="str">
        <f>IFERROR(VLOOKUP(A1885,القائمة!$A$3:$F$112,5,FALSE),"")</f>
        <v/>
      </c>
      <c r="F1885" s="37" t="str">
        <f>IFERROR(VLOOKUP(A1885,القائمة!$A$3:$F$112,6,FALSE),"")</f>
        <v/>
      </c>
      <c r="P1885" s="27">
        <f t="shared" si="61"/>
        <v>0</v>
      </c>
      <c r="Q1885" s="27">
        <f t="shared" si="60"/>
        <v>0</v>
      </c>
    </row>
    <row r="1886" spans="2:17" x14ac:dyDescent="0.45">
      <c r="B1886" s="27" t="str">
        <f>IFERROR(VLOOKUP(A1886,القائمة!$A$3:$F$112,2,FALSE),"")</f>
        <v/>
      </c>
      <c r="C1886" s="27" t="str">
        <f>IFERROR(VLOOKUP(A1886,القائمة!$A$3:$F$112,3,FALSE),"")</f>
        <v/>
      </c>
      <c r="D1886" s="36" t="str">
        <f>IFERROR(VLOOKUP(A1886,القائمة!$A$3:$F$112,4,FALSE),"")</f>
        <v/>
      </c>
      <c r="E1886" s="36" t="str">
        <f>IFERROR(VLOOKUP(A1886,القائمة!$A$3:$F$112,5,FALSE),"")</f>
        <v/>
      </c>
      <c r="F1886" s="37" t="str">
        <f>IFERROR(VLOOKUP(A1886,القائمة!$A$3:$F$112,6,FALSE),"")</f>
        <v/>
      </c>
      <c r="P1886" s="27">
        <f t="shared" si="61"/>
        <v>0</v>
      </c>
      <c r="Q1886" s="27">
        <f t="shared" si="60"/>
        <v>0</v>
      </c>
    </row>
    <row r="1887" spans="2:17" x14ac:dyDescent="0.45">
      <c r="B1887" s="27" t="str">
        <f>IFERROR(VLOOKUP(A1887,القائمة!$A$3:$F$112,2,FALSE),"")</f>
        <v/>
      </c>
      <c r="C1887" s="27" t="str">
        <f>IFERROR(VLOOKUP(A1887,القائمة!$A$3:$F$112,3,FALSE),"")</f>
        <v/>
      </c>
      <c r="D1887" s="36" t="str">
        <f>IFERROR(VLOOKUP(A1887,القائمة!$A$3:$F$112,4,FALSE),"")</f>
        <v/>
      </c>
      <c r="E1887" s="36" t="str">
        <f>IFERROR(VLOOKUP(A1887,القائمة!$A$3:$F$112,5,FALSE),"")</f>
        <v/>
      </c>
      <c r="F1887" s="37" t="str">
        <f>IFERROR(VLOOKUP(A1887,القائمة!$A$3:$F$112,6,FALSE),"")</f>
        <v/>
      </c>
      <c r="P1887" s="27">
        <f t="shared" si="61"/>
        <v>0</v>
      </c>
      <c r="Q1887" s="27">
        <f t="shared" si="60"/>
        <v>0</v>
      </c>
    </row>
    <row r="1888" spans="2:17" x14ac:dyDescent="0.45">
      <c r="B1888" s="27" t="str">
        <f>IFERROR(VLOOKUP(A1888,القائمة!$A$3:$F$112,2,FALSE),"")</f>
        <v/>
      </c>
      <c r="C1888" s="27" t="str">
        <f>IFERROR(VLOOKUP(A1888,القائمة!$A$3:$F$112,3,FALSE),"")</f>
        <v/>
      </c>
      <c r="D1888" s="36" t="str">
        <f>IFERROR(VLOOKUP(A1888,القائمة!$A$3:$F$112,4,FALSE),"")</f>
        <v/>
      </c>
      <c r="E1888" s="36" t="str">
        <f>IFERROR(VLOOKUP(A1888,القائمة!$A$3:$F$112,5,FALSE),"")</f>
        <v/>
      </c>
      <c r="F1888" s="37" t="str">
        <f>IFERROR(VLOOKUP(A1888,القائمة!$A$3:$F$112,6,FALSE),"")</f>
        <v/>
      </c>
      <c r="P1888" s="27">
        <f t="shared" si="61"/>
        <v>0</v>
      </c>
      <c r="Q1888" s="27">
        <f t="shared" si="60"/>
        <v>0</v>
      </c>
    </row>
    <row r="1889" spans="2:17" x14ac:dyDescent="0.45">
      <c r="B1889" s="27" t="str">
        <f>IFERROR(VLOOKUP(A1889,القائمة!$A$3:$F$112,2,FALSE),"")</f>
        <v/>
      </c>
      <c r="C1889" s="27" t="str">
        <f>IFERROR(VLOOKUP(A1889,القائمة!$A$3:$F$112,3,FALSE),"")</f>
        <v/>
      </c>
      <c r="D1889" s="36" t="str">
        <f>IFERROR(VLOOKUP(A1889,القائمة!$A$3:$F$112,4,FALSE),"")</f>
        <v/>
      </c>
      <c r="E1889" s="36" t="str">
        <f>IFERROR(VLOOKUP(A1889,القائمة!$A$3:$F$112,5,FALSE),"")</f>
        <v/>
      </c>
      <c r="F1889" s="37" t="str">
        <f>IFERROR(VLOOKUP(A1889,القائمة!$A$3:$F$112,6,FALSE),"")</f>
        <v/>
      </c>
      <c r="P1889" s="27">
        <f t="shared" si="61"/>
        <v>0</v>
      </c>
      <c r="Q1889" s="27">
        <f t="shared" si="60"/>
        <v>0</v>
      </c>
    </row>
    <row r="1890" spans="2:17" x14ac:dyDescent="0.45">
      <c r="B1890" s="27" t="str">
        <f>IFERROR(VLOOKUP(A1890,القائمة!$A$3:$F$112,2,FALSE),"")</f>
        <v/>
      </c>
      <c r="C1890" s="27" t="str">
        <f>IFERROR(VLOOKUP(A1890,القائمة!$A$3:$F$112,3,FALSE),"")</f>
        <v/>
      </c>
      <c r="D1890" s="36" t="str">
        <f>IFERROR(VLOOKUP(A1890,القائمة!$A$3:$F$112,4,FALSE),"")</f>
        <v/>
      </c>
      <c r="E1890" s="36" t="str">
        <f>IFERROR(VLOOKUP(A1890,القائمة!$A$3:$F$112,5,FALSE),"")</f>
        <v/>
      </c>
      <c r="F1890" s="37" t="str">
        <f>IFERROR(VLOOKUP(A1890,القائمة!$A$3:$F$112,6,FALSE),"")</f>
        <v/>
      </c>
      <c r="P1890" s="27">
        <f t="shared" si="61"/>
        <v>0</v>
      </c>
      <c r="Q1890" s="27">
        <f t="shared" si="60"/>
        <v>0</v>
      </c>
    </row>
    <row r="1891" spans="2:17" x14ac:dyDescent="0.45">
      <c r="B1891" s="27" t="str">
        <f>IFERROR(VLOOKUP(A1891,القائمة!$A$3:$F$112,2,FALSE),"")</f>
        <v/>
      </c>
      <c r="C1891" s="27" t="str">
        <f>IFERROR(VLOOKUP(A1891,القائمة!$A$3:$F$112,3,FALSE),"")</f>
        <v/>
      </c>
      <c r="D1891" s="36" t="str">
        <f>IFERROR(VLOOKUP(A1891,القائمة!$A$3:$F$112,4,FALSE),"")</f>
        <v/>
      </c>
      <c r="E1891" s="36" t="str">
        <f>IFERROR(VLOOKUP(A1891,القائمة!$A$3:$F$112,5,FALSE),"")</f>
        <v/>
      </c>
      <c r="F1891" s="37" t="str">
        <f>IFERROR(VLOOKUP(A1891,القائمة!$A$3:$F$112,6,FALSE),"")</f>
        <v/>
      </c>
      <c r="P1891" s="27">
        <f t="shared" si="61"/>
        <v>0</v>
      </c>
      <c r="Q1891" s="27">
        <f t="shared" si="60"/>
        <v>0</v>
      </c>
    </row>
    <row r="1892" spans="2:17" x14ac:dyDescent="0.45">
      <c r="B1892" s="27" t="str">
        <f>IFERROR(VLOOKUP(A1892,القائمة!$A$3:$F$112,2,FALSE),"")</f>
        <v/>
      </c>
      <c r="C1892" s="27" t="str">
        <f>IFERROR(VLOOKUP(A1892,القائمة!$A$3:$F$112,3,FALSE),"")</f>
        <v/>
      </c>
      <c r="D1892" s="36" t="str">
        <f>IFERROR(VLOOKUP(A1892,القائمة!$A$3:$F$112,4,FALSE),"")</f>
        <v/>
      </c>
      <c r="E1892" s="36" t="str">
        <f>IFERROR(VLOOKUP(A1892,القائمة!$A$3:$F$112,5,FALSE),"")</f>
        <v/>
      </c>
      <c r="F1892" s="37" t="str">
        <f>IFERROR(VLOOKUP(A1892,القائمة!$A$3:$F$112,6,FALSE),"")</f>
        <v/>
      </c>
      <c r="P1892" s="27">
        <f t="shared" si="61"/>
        <v>0</v>
      </c>
      <c r="Q1892" s="27">
        <f t="shared" si="60"/>
        <v>0</v>
      </c>
    </row>
    <row r="1893" spans="2:17" x14ac:dyDescent="0.45">
      <c r="B1893" s="27" t="str">
        <f>IFERROR(VLOOKUP(A1893,القائمة!$A$3:$F$112,2,FALSE),"")</f>
        <v/>
      </c>
      <c r="C1893" s="27" t="str">
        <f>IFERROR(VLOOKUP(A1893,القائمة!$A$3:$F$112,3,FALSE),"")</f>
        <v/>
      </c>
      <c r="D1893" s="36" t="str">
        <f>IFERROR(VLOOKUP(A1893,القائمة!$A$3:$F$112,4,FALSE),"")</f>
        <v/>
      </c>
      <c r="E1893" s="36" t="str">
        <f>IFERROR(VLOOKUP(A1893,القائمة!$A$3:$F$112,5,FALSE),"")</f>
        <v/>
      </c>
      <c r="F1893" s="37" t="str">
        <f>IFERROR(VLOOKUP(A1893,القائمة!$A$3:$F$112,6,FALSE),"")</f>
        <v/>
      </c>
      <c r="P1893" s="27">
        <f t="shared" si="61"/>
        <v>0</v>
      </c>
      <c r="Q1893" s="27">
        <f t="shared" si="60"/>
        <v>0</v>
      </c>
    </row>
    <row r="1894" spans="2:17" x14ac:dyDescent="0.45">
      <c r="B1894" s="27" t="str">
        <f>IFERROR(VLOOKUP(A1894,القائمة!$A$3:$F$112,2,FALSE),"")</f>
        <v/>
      </c>
      <c r="C1894" s="27" t="str">
        <f>IFERROR(VLOOKUP(A1894,القائمة!$A$3:$F$112,3,FALSE),"")</f>
        <v/>
      </c>
      <c r="D1894" s="36" t="str">
        <f>IFERROR(VLOOKUP(A1894,القائمة!$A$3:$F$112,4,FALSE),"")</f>
        <v/>
      </c>
      <c r="E1894" s="36" t="str">
        <f>IFERROR(VLOOKUP(A1894,القائمة!$A$3:$F$112,5,FALSE),"")</f>
        <v/>
      </c>
      <c r="F1894" s="37" t="str">
        <f>IFERROR(VLOOKUP(A1894,القائمة!$A$3:$F$112,6,FALSE),"")</f>
        <v/>
      </c>
      <c r="P1894" s="27">
        <f t="shared" si="61"/>
        <v>0</v>
      </c>
      <c r="Q1894" s="27">
        <f t="shared" si="60"/>
        <v>0</v>
      </c>
    </row>
    <row r="1895" spans="2:17" x14ac:dyDescent="0.45">
      <c r="B1895" s="27" t="str">
        <f>IFERROR(VLOOKUP(A1895,القائمة!$A$3:$F$112,2,FALSE),"")</f>
        <v/>
      </c>
      <c r="C1895" s="27" t="str">
        <f>IFERROR(VLOOKUP(A1895,القائمة!$A$3:$F$112,3,FALSE),"")</f>
        <v/>
      </c>
      <c r="D1895" s="36" t="str">
        <f>IFERROR(VLOOKUP(A1895,القائمة!$A$3:$F$112,4,FALSE),"")</f>
        <v/>
      </c>
      <c r="E1895" s="36" t="str">
        <f>IFERROR(VLOOKUP(A1895,القائمة!$A$3:$F$112,5,FALSE),"")</f>
        <v/>
      </c>
      <c r="F1895" s="37" t="str">
        <f>IFERROR(VLOOKUP(A1895,القائمة!$A$3:$F$112,6,FALSE),"")</f>
        <v/>
      </c>
      <c r="P1895" s="27">
        <f t="shared" si="61"/>
        <v>0</v>
      </c>
      <c r="Q1895" s="27">
        <f t="shared" si="60"/>
        <v>0</v>
      </c>
    </row>
    <row r="1896" spans="2:17" x14ac:dyDescent="0.45">
      <c r="B1896" s="27" t="str">
        <f>IFERROR(VLOOKUP(A1896,القائمة!$A$3:$F$112,2,FALSE),"")</f>
        <v/>
      </c>
      <c r="C1896" s="27" t="str">
        <f>IFERROR(VLOOKUP(A1896,القائمة!$A$3:$F$112,3,FALSE),"")</f>
        <v/>
      </c>
      <c r="D1896" s="36" t="str">
        <f>IFERROR(VLOOKUP(A1896,القائمة!$A$3:$F$112,4,FALSE),"")</f>
        <v/>
      </c>
      <c r="E1896" s="36" t="str">
        <f>IFERROR(VLOOKUP(A1896,القائمة!$A$3:$F$112,5,FALSE),"")</f>
        <v/>
      </c>
      <c r="F1896" s="37" t="str">
        <f>IFERROR(VLOOKUP(A1896,القائمة!$A$3:$F$112,6,FALSE),"")</f>
        <v/>
      </c>
      <c r="P1896" s="27">
        <f t="shared" si="61"/>
        <v>0</v>
      </c>
      <c r="Q1896" s="27">
        <f t="shared" si="60"/>
        <v>0</v>
      </c>
    </row>
    <row r="1897" spans="2:17" x14ac:dyDescent="0.45">
      <c r="B1897" s="27" t="str">
        <f>IFERROR(VLOOKUP(A1897,القائمة!$A$3:$F$112,2,FALSE),"")</f>
        <v/>
      </c>
      <c r="C1897" s="27" t="str">
        <f>IFERROR(VLOOKUP(A1897,القائمة!$A$3:$F$112,3,FALSE),"")</f>
        <v/>
      </c>
      <c r="D1897" s="36" t="str">
        <f>IFERROR(VLOOKUP(A1897,القائمة!$A$3:$F$112,4,FALSE),"")</f>
        <v/>
      </c>
      <c r="E1897" s="36" t="str">
        <f>IFERROR(VLOOKUP(A1897,القائمة!$A$3:$F$112,5,FALSE),"")</f>
        <v/>
      </c>
      <c r="F1897" s="37" t="str">
        <f>IFERROR(VLOOKUP(A1897,القائمة!$A$3:$F$112,6,FALSE),"")</f>
        <v/>
      </c>
      <c r="P1897" s="27">
        <f t="shared" si="61"/>
        <v>0</v>
      </c>
      <c r="Q1897" s="27">
        <f t="shared" si="60"/>
        <v>0</v>
      </c>
    </row>
    <row r="1898" spans="2:17" x14ac:dyDescent="0.45">
      <c r="B1898" s="27" t="str">
        <f>IFERROR(VLOOKUP(A1898,القائمة!$A$3:$F$112,2,FALSE),"")</f>
        <v/>
      </c>
      <c r="C1898" s="27" t="str">
        <f>IFERROR(VLOOKUP(A1898,القائمة!$A$3:$F$112,3,FALSE),"")</f>
        <v/>
      </c>
      <c r="D1898" s="36" t="str">
        <f>IFERROR(VLOOKUP(A1898,القائمة!$A$3:$F$112,4,FALSE),"")</f>
        <v/>
      </c>
      <c r="E1898" s="36" t="str">
        <f>IFERROR(VLOOKUP(A1898,القائمة!$A$3:$F$112,5,FALSE),"")</f>
        <v/>
      </c>
      <c r="F1898" s="37" t="str">
        <f>IFERROR(VLOOKUP(A1898,القائمة!$A$3:$F$112,6,FALSE),"")</f>
        <v/>
      </c>
      <c r="P1898" s="27">
        <f t="shared" si="61"/>
        <v>0</v>
      </c>
      <c r="Q1898" s="27">
        <f t="shared" si="60"/>
        <v>0</v>
      </c>
    </row>
    <row r="1899" spans="2:17" x14ac:dyDescent="0.45">
      <c r="B1899" s="27" t="str">
        <f>IFERROR(VLOOKUP(A1899,القائمة!$A$3:$F$112,2,FALSE),"")</f>
        <v/>
      </c>
      <c r="C1899" s="27" t="str">
        <f>IFERROR(VLOOKUP(A1899,القائمة!$A$3:$F$112,3,FALSE),"")</f>
        <v/>
      </c>
      <c r="D1899" s="36" t="str">
        <f>IFERROR(VLOOKUP(A1899,القائمة!$A$3:$F$112,4,FALSE),"")</f>
        <v/>
      </c>
      <c r="E1899" s="36" t="str">
        <f>IFERROR(VLOOKUP(A1899,القائمة!$A$3:$F$112,5,FALSE),"")</f>
        <v/>
      </c>
      <c r="F1899" s="37" t="str">
        <f>IFERROR(VLOOKUP(A1899,القائمة!$A$3:$F$112,6,FALSE),"")</f>
        <v/>
      </c>
      <c r="P1899" s="27">
        <f t="shared" si="61"/>
        <v>0</v>
      </c>
      <c r="Q1899" s="27">
        <f t="shared" si="60"/>
        <v>0</v>
      </c>
    </row>
    <row r="1900" spans="2:17" x14ac:dyDescent="0.45">
      <c r="B1900" s="27" t="str">
        <f>IFERROR(VLOOKUP(A1900,القائمة!$A$3:$F$112,2,FALSE),"")</f>
        <v/>
      </c>
      <c r="C1900" s="27" t="str">
        <f>IFERROR(VLOOKUP(A1900,القائمة!$A$3:$F$112,3,FALSE),"")</f>
        <v/>
      </c>
      <c r="D1900" s="36" t="str">
        <f>IFERROR(VLOOKUP(A1900,القائمة!$A$3:$F$112,4,FALSE),"")</f>
        <v/>
      </c>
      <c r="E1900" s="36" t="str">
        <f>IFERROR(VLOOKUP(A1900,القائمة!$A$3:$F$112,5,FALSE),"")</f>
        <v/>
      </c>
      <c r="F1900" s="37" t="str">
        <f>IFERROR(VLOOKUP(A1900,القائمة!$A$3:$F$112,6,FALSE),"")</f>
        <v/>
      </c>
      <c r="P1900" s="27">
        <f t="shared" si="61"/>
        <v>0</v>
      </c>
      <c r="Q1900" s="27">
        <f t="shared" si="60"/>
        <v>0</v>
      </c>
    </row>
    <row r="1901" spans="2:17" x14ac:dyDescent="0.45">
      <c r="B1901" s="27" t="str">
        <f>IFERROR(VLOOKUP(A1901,القائمة!$A$3:$F$112,2,FALSE),"")</f>
        <v/>
      </c>
      <c r="C1901" s="27" t="str">
        <f>IFERROR(VLOOKUP(A1901,القائمة!$A$3:$F$112,3,FALSE),"")</f>
        <v/>
      </c>
      <c r="D1901" s="36" t="str">
        <f>IFERROR(VLOOKUP(A1901,القائمة!$A$3:$F$112,4,FALSE),"")</f>
        <v/>
      </c>
      <c r="E1901" s="36" t="str">
        <f>IFERROR(VLOOKUP(A1901,القائمة!$A$3:$F$112,5,FALSE),"")</f>
        <v/>
      </c>
      <c r="F1901" s="37" t="str">
        <f>IFERROR(VLOOKUP(A1901,القائمة!$A$3:$F$112,6,FALSE),"")</f>
        <v/>
      </c>
      <c r="P1901" s="27">
        <f t="shared" si="61"/>
        <v>0</v>
      </c>
      <c r="Q1901" s="27">
        <f t="shared" si="60"/>
        <v>0</v>
      </c>
    </row>
    <row r="1902" spans="2:17" x14ac:dyDescent="0.45">
      <c r="B1902" s="27" t="str">
        <f>IFERROR(VLOOKUP(A1902,القائمة!$A$3:$F$112,2,FALSE),"")</f>
        <v/>
      </c>
      <c r="C1902" s="27" t="str">
        <f>IFERROR(VLOOKUP(A1902,القائمة!$A$3:$F$112,3,FALSE),"")</f>
        <v/>
      </c>
      <c r="D1902" s="36" t="str">
        <f>IFERROR(VLOOKUP(A1902,القائمة!$A$3:$F$112,4,FALSE),"")</f>
        <v/>
      </c>
      <c r="E1902" s="36" t="str">
        <f>IFERROR(VLOOKUP(A1902,القائمة!$A$3:$F$112,5,FALSE),"")</f>
        <v/>
      </c>
      <c r="F1902" s="37" t="str">
        <f>IFERROR(VLOOKUP(A1902,القائمة!$A$3:$F$112,6,FALSE),"")</f>
        <v/>
      </c>
      <c r="P1902" s="27">
        <f t="shared" si="61"/>
        <v>0</v>
      </c>
      <c r="Q1902" s="27">
        <f t="shared" si="60"/>
        <v>0</v>
      </c>
    </row>
    <row r="1903" spans="2:17" x14ac:dyDescent="0.45">
      <c r="B1903" s="27" t="str">
        <f>IFERROR(VLOOKUP(A1903,القائمة!$A$3:$F$112,2,FALSE),"")</f>
        <v/>
      </c>
      <c r="C1903" s="27" t="str">
        <f>IFERROR(VLOOKUP(A1903,القائمة!$A$3:$F$112,3,FALSE),"")</f>
        <v/>
      </c>
      <c r="D1903" s="36" t="str">
        <f>IFERROR(VLOOKUP(A1903,القائمة!$A$3:$F$112,4,FALSE),"")</f>
        <v/>
      </c>
      <c r="E1903" s="36" t="str">
        <f>IFERROR(VLOOKUP(A1903,القائمة!$A$3:$F$112,5,FALSE),"")</f>
        <v/>
      </c>
      <c r="F1903" s="37" t="str">
        <f>IFERROR(VLOOKUP(A1903,القائمة!$A$3:$F$112,6,FALSE),"")</f>
        <v/>
      </c>
      <c r="P1903" s="27">
        <f t="shared" si="61"/>
        <v>0</v>
      </c>
      <c r="Q1903" s="27">
        <f t="shared" si="60"/>
        <v>0</v>
      </c>
    </row>
    <row r="1904" spans="2:17" x14ac:dyDescent="0.45">
      <c r="B1904" s="27" t="str">
        <f>IFERROR(VLOOKUP(A1904,القائمة!$A$3:$F$112,2,FALSE),"")</f>
        <v/>
      </c>
      <c r="C1904" s="27" t="str">
        <f>IFERROR(VLOOKUP(A1904,القائمة!$A$3:$F$112,3,FALSE),"")</f>
        <v/>
      </c>
      <c r="D1904" s="36" t="str">
        <f>IFERROR(VLOOKUP(A1904,القائمة!$A$3:$F$112,4,FALSE),"")</f>
        <v/>
      </c>
      <c r="E1904" s="36" t="str">
        <f>IFERROR(VLOOKUP(A1904,القائمة!$A$3:$F$112,5,FALSE),"")</f>
        <v/>
      </c>
      <c r="F1904" s="37" t="str">
        <f>IFERROR(VLOOKUP(A1904,القائمة!$A$3:$F$112,6,FALSE),"")</f>
        <v/>
      </c>
      <c r="P1904" s="27">
        <f t="shared" si="61"/>
        <v>0</v>
      </c>
      <c r="Q1904" s="27">
        <f t="shared" si="60"/>
        <v>0</v>
      </c>
    </row>
    <row r="1905" spans="2:17" x14ac:dyDescent="0.45">
      <c r="B1905" s="27" t="str">
        <f>IFERROR(VLOOKUP(A1905,القائمة!$A$3:$F$112,2,FALSE),"")</f>
        <v/>
      </c>
      <c r="C1905" s="27" t="str">
        <f>IFERROR(VLOOKUP(A1905,القائمة!$A$3:$F$112,3,FALSE),"")</f>
        <v/>
      </c>
      <c r="D1905" s="36" t="str">
        <f>IFERROR(VLOOKUP(A1905,القائمة!$A$3:$F$112,4,FALSE),"")</f>
        <v/>
      </c>
      <c r="E1905" s="36" t="str">
        <f>IFERROR(VLOOKUP(A1905,القائمة!$A$3:$F$112,5,FALSE),"")</f>
        <v/>
      </c>
      <c r="F1905" s="37" t="str">
        <f>IFERROR(VLOOKUP(A1905,القائمة!$A$3:$F$112,6,FALSE),"")</f>
        <v/>
      </c>
      <c r="P1905" s="27">
        <f t="shared" si="61"/>
        <v>0</v>
      </c>
      <c r="Q1905" s="27">
        <f t="shared" si="60"/>
        <v>0</v>
      </c>
    </row>
    <row r="1906" spans="2:17" x14ac:dyDescent="0.45">
      <c r="B1906" s="27" t="str">
        <f>IFERROR(VLOOKUP(A1906,القائمة!$A$3:$F$112,2,FALSE),"")</f>
        <v/>
      </c>
      <c r="C1906" s="27" t="str">
        <f>IFERROR(VLOOKUP(A1906,القائمة!$A$3:$F$112,3,FALSE),"")</f>
        <v/>
      </c>
      <c r="D1906" s="36" t="str">
        <f>IFERROR(VLOOKUP(A1906,القائمة!$A$3:$F$112,4,FALSE),"")</f>
        <v/>
      </c>
      <c r="E1906" s="36" t="str">
        <f>IFERROR(VLOOKUP(A1906,القائمة!$A$3:$F$112,5,FALSE),"")</f>
        <v/>
      </c>
      <c r="F1906" s="37" t="str">
        <f>IFERROR(VLOOKUP(A1906,القائمة!$A$3:$F$112,6,FALSE),"")</f>
        <v/>
      </c>
      <c r="P1906" s="27">
        <f t="shared" si="61"/>
        <v>0</v>
      </c>
      <c r="Q1906" s="27">
        <f t="shared" si="60"/>
        <v>0</v>
      </c>
    </row>
    <row r="1907" spans="2:17" x14ac:dyDescent="0.45">
      <c r="B1907" s="27" t="str">
        <f>IFERROR(VLOOKUP(A1907,القائمة!$A$3:$F$112,2,FALSE),"")</f>
        <v/>
      </c>
      <c r="C1907" s="27" t="str">
        <f>IFERROR(VLOOKUP(A1907,القائمة!$A$3:$F$112,3,FALSE),"")</f>
        <v/>
      </c>
      <c r="D1907" s="36" t="str">
        <f>IFERROR(VLOOKUP(A1907,القائمة!$A$3:$F$112,4,FALSE),"")</f>
        <v/>
      </c>
      <c r="E1907" s="36" t="str">
        <f>IFERROR(VLOOKUP(A1907,القائمة!$A$3:$F$112,5,FALSE),"")</f>
        <v/>
      </c>
      <c r="F1907" s="37" t="str">
        <f>IFERROR(VLOOKUP(A1907,القائمة!$A$3:$F$112,6,FALSE),"")</f>
        <v/>
      </c>
      <c r="P1907" s="27">
        <f t="shared" si="61"/>
        <v>0</v>
      </c>
      <c r="Q1907" s="27">
        <f t="shared" si="60"/>
        <v>0</v>
      </c>
    </row>
    <row r="1908" spans="2:17" x14ac:dyDescent="0.45">
      <c r="B1908" s="27" t="str">
        <f>IFERROR(VLOOKUP(A1908,القائمة!$A$3:$F$112,2,FALSE),"")</f>
        <v/>
      </c>
      <c r="C1908" s="27" t="str">
        <f>IFERROR(VLOOKUP(A1908,القائمة!$A$3:$F$112,3,FALSE),"")</f>
        <v/>
      </c>
      <c r="D1908" s="36" t="str">
        <f>IFERROR(VLOOKUP(A1908,القائمة!$A$3:$F$112,4,FALSE),"")</f>
        <v/>
      </c>
      <c r="E1908" s="36" t="str">
        <f>IFERROR(VLOOKUP(A1908,القائمة!$A$3:$F$112,5,FALSE),"")</f>
        <v/>
      </c>
      <c r="F1908" s="37" t="str">
        <f>IFERROR(VLOOKUP(A1908,القائمة!$A$3:$F$112,6,FALSE),"")</f>
        <v/>
      </c>
      <c r="P1908" s="27">
        <f t="shared" si="61"/>
        <v>0</v>
      </c>
      <c r="Q1908" s="27">
        <f t="shared" si="60"/>
        <v>0</v>
      </c>
    </row>
    <row r="1909" spans="2:17" x14ac:dyDescent="0.45">
      <c r="B1909" s="27" t="str">
        <f>IFERROR(VLOOKUP(A1909,القائمة!$A$3:$F$112,2,FALSE),"")</f>
        <v/>
      </c>
      <c r="C1909" s="27" t="str">
        <f>IFERROR(VLOOKUP(A1909,القائمة!$A$3:$F$112,3,FALSE),"")</f>
        <v/>
      </c>
      <c r="D1909" s="36" t="str">
        <f>IFERROR(VLOOKUP(A1909,القائمة!$A$3:$F$112,4,FALSE),"")</f>
        <v/>
      </c>
      <c r="E1909" s="36" t="str">
        <f>IFERROR(VLOOKUP(A1909,القائمة!$A$3:$F$112,5,FALSE),"")</f>
        <v/>
      </c>
      <c r="F1909" s="37" t="str">
        <f>IFERROR(VLOOKUP(A1909,القائمة!$A$3:$F$112,6,FALSE),"")</f>
        <v/>
      </c>
      <c r="P1909" s="27">
        <f t="shared" si="61"/>
        <v>0</v>
      </c>
      <c r="Q1909" s="27">
        <f t="shared" si="60"/>
        <v>0</v>
      </c>
    </row>
    <row r="1910" spans="2:17" x14ac:dyDescent="0.45">
      <c r="B1910" s="27" t="str">
        <f>IFERROR(VLOOKUP(A1910,القائمة!$A$3:$F$112,2,FALSE),"")</f>
        <v/>
      </c>
      <c r="C1910" s="27" t="str">
        <f>IFERROR(VLOOKUP(A1910,القائمة!$A$3:$F$112,3,FALSE),"")</f>
        <v/>
      </c>
      <c r="D1910" s="36" t="str">
        <f>IFERROR(VLOOKUP(A1910,القائمة!$A$3:$F$112,4,FALSE),"")</f>
        <v/>
      </c>
      <c r="E1910" s="36" t="str">
        <f>IFERROR(VLOOKUP(A1910,القائمة!$A$3:$F$112,5,FALSE),"")</f>
        <v/>
      </c>
      <c r="F1910" s="37" t="str">
        <f>IFERROR(VLOOKUP(A1910,القائمة!$A$3:$F$112,6,FALSE),"")</f>
        <v/>
      </c>
      <c r="P1910" s="27">
        <f t="shared" si="61"/>
        <v>0</v>
      </c>
      <c r="Q1910" s="27">
        <f t="shared" si="60"/>
        <v>0</v>
      </c>
    </row>
    <row r="1911" spans="2:17" x14ac:dyDescent="0.45">
      <c r="B1911" s="27" t="str">
        <f>IFERROR(VLOOKUP(A1911,القائمة!$A$3:$F$112,2,FALSE),"")</f>
        <v/>
      </c>
      <c r="C1911" s="27" t="str">
        <f>IFERROR(VLOOKUP(A1911,القائمة!$A$3:$F$112,3,FALSE),"")</f>
        <v/>
      </c>
      <c r="D1911" s="36" t="str">
        <f>IFERROR(VLOOKUP(A1911,القائمة!$A$3:$F$112,4,FALSE),"")</f>
        <v/>
      </c>
      <c r="E1911" s="36" t="str">
        <f>IFERROR(VLOOKUP(A1911,القائمة!$A$3:$F$112,5,FALSE),"")</f>
        <v/>
      </c>
      <c r="F1911" s="37" t="str">
        <f>IFERROR(VLOOKUP(A1911,القائمة!$A$3:$F$112,6,FALSE),"")</f>
        <v/>
      </c>
      <c r="P1911" s="27">
        <f t="shared" si="61"/>
        <v>0</v>
      </c>
      <c r="Q1911" s="27">
        <f t="shared" si="60"/>
        <v>0</v>
      </c>
    </row>
    <row r="1912" spans="2:17" x14ac:dyDescent="0.45">
      <c r="B1912" s="27" t="str">
        <f>IFERROR(VLOOKUP(A1912,القائمة!$A$3:$F$112,2,FALSE),"")</f>
        <v/>
      </c>
      <c r="C1912" s="27" t="str">
        <f>IFERROR(VLOOKUP(A1912,القائمة!$A$3:$F$112,3,FALSE),"")</f>
        <v/>
      </c>
      <c r="D1912" s="36" t="str">
        <f>IFERROR(VLOOKUP(A1912,القائمة!$A$3:$F$112,4,FALSE),"")</f>
        <v/>
      </c>
      <c r="E1912" s="36" t="str">
        <f>IFERROR(VLOOKUP(A1912,القائمة!$A$3:$F$112,5,FALSE),"")</f>
        <v/>
      </c>
      <c r="F1912" s="37" t="str">
        <f>IFERROR(VLOOKUP(A1912,القائمة!$A$3:$F$112,6,FALSE),"")</f>
        <v/>
      </c>
      <c r="P1912" s="27">
        <f t="shared" si="61"/>
        <v>0</v>
      </c>
      <c r="Q1912" s="27">
        <f t="shared" si="60"/>
        <v>0</v>
      </c>
    </row>
    <row r="1913" spans="2:17" x14ac:dyDescent="0.45">
      <c r="B1913" s="27" t="str">
        <f>IFERROR(VLOOKUP(A1913,القائمة!$A$3:$F$112,2,FALSE),"")</f>
        <v/>
      </c>
      <c r="C1913" s="27" t="str">
        <f>IFERROR(VLOOKUP(A1913,القائمة!$A$3:$F$112,3,FALSE),"")</f>
        <v/>
      </c>
      <c r="D1913" s="36" t="str">
        <f>IFERROR(VLOOKUP(A1913,القائمة!$A$3:$F$112,4,FALSE),"")</f>
        <v/>
      </c>
      <c r="E1913" s="36" t="str">
        <f>IFERROR(VLOOKUP(A1913,القائمة!$A$3:$F$112,5,FALSE),"")</f>
        <v/>
      </c>
      <c r="F1913" s="37" t="str">
        <f>IFERROR(VLOOKUP(A1913,القائمة!$A$3:$F$112,6,FALSE),"")</f>
        <v/>
      </c>
      <c r="P1913" s="27">
        <f t="shared" si="61"/>
        <v>0</v>
      </c>
      <c r="Q1913" s="27">
        <f t="shared" si="60"/>
        <v>0</v>
      </c>
    </row>
    <row r="1914" spans="2:17" x14ac:dyDescent="0.45">
      <c r="B1914" s="27" t="str">
        <f>IFERROR(VLOOKUP(A1914,القائمة!$A$3:$F$112,2,FALSE),"")</f>
        <v/>
      </c>
      <c r="C1914" s="27" t="str">
        <f>IFERROR(VLOOKUP(A1914,القائمة!$A$3:$F$112,3,FALSE),"")</f>
        <v/>
      </c>
      <c r="D1914" s="36" t="str">
        <f>IFERROR(VLOOKUP(A1914,القائمة!$A$3:$F$112,4,FALSE),"")</f>
        <v/>
      </c>
      <c r="E1914" s="36" t="str">
        <f>IFERROR(VLOOKUP(A1914,القائمة!$A$3:$F$112,5,FALSE),"")</f>
        <v/>
      </c>
      <c r="F1914" s="37" t="str">
        <f>IFERROR(VLOOKUP(A1914,القائمة!$A$3:$F$112,6,FALSE),"")</f>
        <v/>
      </c>
      <c r="P1914" s="27">
        <f t="shared" si="61"/>
        <v>0</v>
      </c>
      <c r="Q1914" s="27">
        <f t="shared" si="60"/>
        <v>0</v>
      </c>
    </row>
    <row r="1915" spans="2:17" x14ac:dyDescent="0.45">
      <c r="B1915" s="27" t="str">
        <f>IFERROR(VLOOKUP(A1915,القائمة!$A$3:$F$112,2,FALSE),"")</f>
        <v/>
      </c>
      <c r="C1915" s="27" t="str">
        <f>IFERROR(VLOOKUP(A1915,القائمة!$A$3:$F$112,3,FALSE),"")</f>
        <v/>
      </c>
      <c r="D1915" s="36" t="str">
        <f>IFERROR(VLOOKUP(A1915,القائمة!$A$3:$F$112,4,FALSE),"")</f>
        <v/>
      </c>
      <c r="E1915" s="36" t="str">
        <f>IFERROR(VLOOKUP(A1915,القائمة!$A$3:$F$112,5,FALSE),"")</f>
        <v/>
      </c>
      <c r="F1915" s="37" t="str">
        <f>IFERROR(VLOOKUP(A1915,القائمة!$A$3:$F$112,6,FALSE),"")</f>
        <v/>
      </c>
      <c r="P1915" s="27">
        <f t="shared" si="61"/>
        <v>0</v>
      </c>
      <c r="Q1915" s="27">
        <f t="shared" si="60"/>
        <v>0</v>
      </c>
    </row>
    <row r="1916" spans="2:17" x14ac:dyDescent="0.45">
      <c r="B1916" s="27" t="str">
        <f>IFERROR(VLOOKUP(A1916,القائمة!$A$3:$F$112,2,FALSE),"")</f>
        <v/>
      </c>
      <c r="C1916" s="27" t="str">
        <f>IFERROR(VLOOKUP(A1916,القائمة!$A$3:$F$112,3,FALSE),"")</f>
        <v/>
      </c>
      <c r="D1916" s="36" t="str">
        <f>IFERROR(VLOOKUP(A1916,القائمة!$A$3:$F$112,4,FALSE),"")</f>
        <v/>
      </c>
      <c r="E1916" s="36" t="str">
        <f>IFERROR(VLOOKUP(A1916,القائمة!$A$3:$F$112,5,FALSE),"")</f>
        <v/>
      </c>
      <c r="F1916" s="37" t="str">
        <f>IFERROR(VLOOKUP(A1916,القائمة!$A$3:$F$112,6,FALSE),"")</f>
        <v/>
      </c>
      <c r="P1916" s="27">
        <f t="shared" si="61"/>
        <v>0</v>
      </c>
      <c r="Q1916" s="27">
        <f t="shared" si="60"/>
        <v>0</v>
      </c>
    </row>
    <row r="1917" spans="2:17" x14ac:dyDescent="0.45">
      <c r="B1917" s="27" t="str">
        <f>IFERROR(VLOOKUP(A1917,القائمة!$A$3:$F$112,2,FALSE),"")</f>
        <v/>
      </c>
      <c r="C1917" s="27" t="str">
        <f>IFERROR(VLOOKUP(A1917,القائمة!$A$3:$F$112,3,FALSE),"")</f>
        <v/>
      </c>
      <c r="D1917" s="36" t="str">
        <f>IFERROR(VLOOKUP(A1917,القائمة!$A$3:$F$112,4,FALSE),"")</f>
        <v/>
      </c>
      <c r="E1917" s="36" t="str">
        <f>IFERROR(VLOOKUP(A1917,القائمة!$A$3:$F$112,5,FALSE),"")</f>
        <v/>
      </c>
      <c r="F1917" s="37" t="str">
        <f>IFERROR(VLOOKUP(A1917,القائمة!$A$3:$F$112,6,FALSE),"")</f>
        <v/>
      </c>
      <c r="P1917" s="27">
        <f t="shared" si="61"/>
        <v>0</v>
      </c>
      <c r="Q1917" s="27">
        <f t="shared" si="60"/>
        <v>0</v>
      </c>
    </row>
    <row r="1918" spans="2:17" x14ac:dyDescent="0.45">
      <c r="B1918" s="27" t="str">
        <f>IFERROR(VLOOKUP(A1918,القائمة!$A$3:$F$112,2,FALSE),"")</f>
        <v/>
      </c>
      <c r="C1918" s="27" t="str">
        <f>IFERROR(VLOOKUP(A1918,القائمة!$A$3:$F$112,3,FALSE),"")</f>
        <v/>
      </c>
      <c r="D1918" s="36" t="str">
        <f>IFERROR(VLOOKUP(A1918,القائمة!$A$3:$F$112,4,FALSE),"")</f>
        <v/>
      </c>
      <c r="E1918" s="36" t="str">
        <f>IFERROR(VLOOKUP(A1918,القائمة!$A$3:$F$112,5,FALSE),"")</f>
        <v/>
      </c>
      <c r="F1918" s="37" t="str">
        <f>IFERROR(VLOOKUP(A1918,القائمة!$A$3:$F$112,6,FALSE),"")</f>
        <v/>
      </c>
      <c r="P1918" s="27">
        <f t="shared" si="61"/>
        <v>0</v>
      </c>
      <c r="Q1918" s="27">
        <f t="shared" si="60"/>
        <v>0</v>
      </c>
    </row>
    <row r="1919" spans="2:17" x14ac:dyDescent="0.45">
      <c r="B1919" s="27" t="str">
        <f>IFERROR(VLOOKUP(A1919,القائمة!$A$3:$F$112,2,FALSE),"")</f>
        <v/>
      </c>
      <c r="C1919" s="27" t="str">
        <f>IFERROR(VLOOKUP(A1919,القائمة!$A$3:$F$112,3,FALSE),"")</f>
        <v/>
      </c>
      <c r="D1919" s="36" t="str">
        <f>IFERROR(VLOOKUP(A1919,القائمة!$A$3:$F$112,4,FALSE),"")</f>
        <v/>
      </c>
      <c r="E1919" s="36" t="str">
        <f>IFERROR(VLOOKUP(A1919,القائمة!$A$3:$F$112,5,FALSE),"")</f>
        <v/>
      </c>
      <c r="F1919" s="37" t="str">
        <f>IFERROR(VLOOKUP(A1919,القائمة!$A$3:$F$112,6,FALSE),"")</f>
        <v/>
      </c>
      <c r="P1919" s="27">
        <f t="shared" si="61"/>
        <v>0</v>
      </c>
      <c r="Q1919" s="27">
        <f t="shared" si="60"/>
        <v>0</v>
      </c>
    </row>
    <row r="1920" spans="2:17" x14ac:dyDescent="0.45">
      <c r="B1920" s="27" t="str">
        <f>IFERROR(VLOOKUP(A1920,القائمة!$A$3:$F$112,2,FALSE),"")</f>
        <v/>
      </c>
      <c r="C1920" s="27" t="str">
        <f>IFERROR(VLOOKUP(A1920,القائمة!$A$3:$F$112,3,FALSE),"")</f>
        <v/>
      </c>
      <c r="D1920" s="36" t="str">
        <f>IFERROR(VLOOKUP(A1920,القائمة!$A$3:$F$112,4,FALSE),"")</f>
        <v/>
      </c>
      <c r="E1920" s="36" t="str">
        <f>IFERROR(VLOOKUP(A1920,القائمة!$A$3:$F$112,5,FALSE),"")</f>
        <v/>
      </c>
      <c r="F1920" s="37" t="str">
        <f>IFERROR(VLOOKUP(A1920,القائمة!$A$3:$F$112,6,FALSE),"")</f>
        <v/>
      </c>
      <c r="P1920" s="27">
        <f t="shared" si="61"/>
        <v>0</v>
      </c>
      <c r="Q1920" s="27">
        <f t="shared" si="60"/>
        <v>0</v>
      </c>
    </row>
    <row r="1921" spans="2:17" x14ac:dyDescent="0.45">
      <c r="B1921" s="27" t="str">
        <f>IFERROR(VLOOKUP(A1921,القائمة!$A$3:$F$112,2,FALSE),"")</f>
        <v/>
      </c>
      <c r="C1921" s="27" t="str">
        <f>IFERROR(VLOOKUP(A1921,القائمة!$A$3:$F$112,3,FALSE),"")</f>
        <v/>
      </c>
      <c r="D1921" s="36" t="str">
        <f>IFERROR(VLOOKUP(A1921,القائمة!$A$3:$F$112,4,FALSE),"")</f>
        <v/>
      </c>
      <c r="E1921" s="36" t="str">
        <f>IFERROR(VLOOKUP(A1921,القائمة!$A$3:$F$112,5,FALSE),"")</f>
        <v/>
      </c>
      <c r="F1921" s="37" t="str">
        <f>IFERROR(VLOOKUP(A1921,القائمة!$A$3:$F$112,6,FALSE),"")</f>
        <v/>
      </c>
      <c r="P1921" s="27">
        <f t="shared" si="61"/>
        <v>0</v>
      </c>
      <c r="Q1921" s="27">
        <f t="shared" si="60"/>
        <v>0</v>
      </c>
    </row>
    <row r="1922" spans="2:17" x14ac:dyDescent="0.45">
      <c r="B1922" s="27" t="str">
        <f>IFERROR(VLOOKUP(A1922,القائمة!$A$3:$F$112,2,FALSE),"")</f>
        <v/>
      </c>
      <c r="C1922" s="27" t="str">
        <f>IFERROR(VLOOKUP(A1922,القائمة!$A$3:$F$112,3,FALSE),"")</f>
        <v/>
      </c>
      <c r="D1922" s="36" t="str">
        <f>IFERROR(VLOOKUP(A1922,القائمة!$A$3:$F$112,4,FALSE),"")</f>
        <v/>
      </c>
      <c r="E1922" s="36" t="str">
        <f>IFERROR(VLOOKUP(A1922,القائمة!$A$3:$F$112,5,FALSE),"")</f>
        <v/>
      </c>
      <c r="F1922" s="37" t="str">
        <f>IFERROR(VLOOKUP(A1922,القائمة!$A$3:$F$112,6,FALSE),"")</f>
        <v/>
      </c>
      <c r="P1922" s="27">
        <f t="shared" si="61"/>
        <v>0</v>
      </c>
      <c r="Q1922" s="27">
        <f t="shared" si="60"/>
        <v>0</v>
      </c>
    </row>
    <row r="1923" spans="2:17" x14ac:dyDescent="0.45">
      <c r="B1923" s="27" t="str">
        <f>IFERROR(VLOOKUP(A1923,القائمة!$A$3:$F$112,2,FALSE),"")</f>
        <v/>
      </c>
      <c r="C1923" s="27" t="str">
        <f>IFERROR(VLOOKUP(A1923,القائمة!$A$3:$F$112,3,FALSE),"")</f>
        <v/>
      </c>
      <c r="D1923" s="36" t="str">
        <f>IFERROR(VLOOKUP(A1923,القائمة!$A$3:$F$112,4,FALSE),"")</f>
        <v/>
      </c>
      <c r="E1923" s="36" t="str">
        <f>IFERROR(VLOOKUP(A1923,القائمة!$A$3:$F$112,5,FALSE),"")</f>
        <v/>
      </c>
      <c r="F1923" s="37" t="str">
        <f>IFERROR(VLOOKUP(A1923,القائمة!$A$3:$F$112,6,FALSE),"")</f>
        <v/>
      </c>
      <c r="P1923" s="27">
        <f t="shared" si="61"/>
        <v>0</v>
      </c>
      <c r="Q1923" s="27">
        <f t="shared" ref="Q1923:Q1986" si="62">+P1923+L1923-M1923</f>
        <v>0</v>
      </c>
    </row>
    <row r="1924" spans="2:17" x14ac:dyDescent="0.45">
      <c r="B1924" s="27" t="str">
        <f>IFERROR(VLOOKUP(A1924,القائمة!$A$3:$F$112,2,FALSE),"")</f>
        <v/>
      </c>
      <c r="C1924" s="27" t="str">
        <f>IFERROR(VLOOKUP(A1924,القائمة!$A$3:$F$112,3,FALSE),"")</f>
        <v/>
      </c>
      <c r="D1924" s="36" t="str">
        <f>IFERROR(VLOOKUP(A1924,القائمة!$A$3:$F$112,4,FALSE),"")</f>
        <v/>
      </c>
      <c r="E1924" s="36" t="str">
        <f>IFERROR(VLOOKUP(A1924,القائمة!$A$3:$F$112,5,FALSE),"")</f>
        <v/>
      </c>
      <c r="F1924" s="37" t="str">
        <f>IFERROR(VLOOKUP(A1924,القائمة!$A$3:$F$112,6,FALSE),"")</f>
        <v/>
      </c>
      <c r="P1924" s="27">
        <f t="shared" ref="P1924:P1987" si="63">J1924-K1924</f>
        <v>0</v>
      </c>
      <c r="Q1924" s="27">
        <f t="shared" si="62"/>
        <v>0</v>
      </c>
    </row>
    <row r="1925" spans="2:17" x14ac:dyDescent="0.45">
      <c r="B1925" s="27" t="str">
        <f>IFERROR(VLOOKUP(A1925,القائمة!$A$3:$F$112,2,FALSE),"")</f>
        <v/>
      </c>
      <c r="C1925" s="27" t="str">
        <f>IFERROR(VLOOKUP(A1925,القائمة!$A$3:$F$112,3,FALSE),"")</f>
        <v/>
      </c>
      <c r="D1925" s="36" t="str">
        <f>IFERROR(VLOOKUP(A1925,القائمة!$A$3:$F$112,4,FALSE),"")</f>
        <v/>
      </c>
      <c r="E1925" s="36" t="str">
        <f>IFERROR(VLOOKUP(A1925,القائمة!$A$3:$F$112,5,FALSE),"")</f>
        <v/>
      </c>
      <c r="F1925" s="37" t="str">
        <f>IFERROR(VLOOKUP(A1925,القائمة!$A$3:$F$112,6,FALSE),"")</f>
        <v/>
      </c>
      <c r="P1925" s="27">
        <f t="shared" si="63"/>
        <v>0</v>
      </c>
      <c r="Q1925" s="27">
        <f t="shared" si="62"/>
        <v>0</v>
      </c>
    </row>
    <row r="1926" spans="2:17" x14ac:dyDescent="0.45">
      <c r="B1926" s="27" t="str">
        <f>IFERROR(VLOOKUP(A1926,القائمة!$A$3:$F$112,2,FALSE),"")</f>
        <v/>
      </c>
      <c r="C1926" s="27" t="str">
        <f>IFERROR(VLOOKUP(A1926,القائمة!$A$3:$F$112,3,FALSE),"")</f>
        <v/>
      </c>
      <c r="D1926" s="36" t="str">
        <f>IFERROR(VLOOKUP(A1926,القائمة!$A$3:$F$112,4,FALSE),"")</f>
        <v/>
      </c>
      <c r="E1926" s="36" t="str">
        <f>IFERROR(VLOOKUP(A1926,القائمة!$A$3:$F$112,5,FALSE),"")</f>
        <v/>
      </c>
      <c r="F1926" s="37" t="str">
        <f>IFERROR(VLOOKUP(A1926,القائمة!$A$3:$F$112,6,FALSE),"")</f>
        <v/>
      </c>
      <c r="P1926" s="27">
        <f t="shared" si="63"/>
        <v>0</v>
      </c>
      <c r="Q1926" s="27">
        <f t="shared" si="62"/>
        <v>0</v>
      </c>
    </row>
    <row r="1927" spans="2:17" x14ac:dyDescent="0.45">
      <c r="B1927" s="27" t="str">
        <f>IFERROR(VLOOKUP(A1927,القائمة!$A$3:$F$112,2,FALSE),"")</f>
        <v/>
      </c>
      <c r="C1927" s="27" t="str">
        <f>IFERROR(VLOOKUP(A1927,القائمة!$A$3:$F$112,3,FALSE),"")</f>
        <v/>
      </c>
      <c r="D1927" s="36" t="str">
        <f>IFERROR(VLOOKUP(A1927,القائمة!$A$3:$F$112,4,FALSE),"")</f>
        <v/>
      </c>
      <c r="E1927" s="36" t="str">
        <f>IFERROR(VLOOKUP(A1927,القائمة!$A$3:$F$112,5,FALSE),"")</f>
        <v/>
      </c>
      <c r="F1927" s="37" t="str">
        <f>IFERROR(VLOOKUP(A1927,القائمة!$A$3:$F$112,6,FALSE),"")</f>
        <v/>
      </c>
      <c r="P1927" s="27">
        <f t="shared" si="63"/>
        <v>0</v>
      </c>
      <c r="Q1927" s="27">
        <f t="shared" si="62"/>
        <v>0</v>
      </c>
    </row>
    <row r="1928" spans="2:17" x14ac:dyDescent="0.45">
      <c r="B1928" s="27" t="str">
        <f>IFERROR(VLOOKUP(A1928,القائمة!$A$3:$F$112,2,FALSE),"")</f>
        <v/>
      </c>
      <c r="C1928" s="27" t="str">
        <f>IFERROR(VLOOKUP(A1928,القائمة!$A$3:$F$112,3,FALSE),"")</f>
        <v/>
      </c>
      <c r="D1928" s="36" t="str">
        <f>IFERROR(VLOOKUP(A1928,القائمة!$A$3:$F$112,4,FALSE),"")</f>
        <v/>
      </c>
      <c r="E1928" s="36" t="str">
        <f>IFERROR(VLOOKUP(A1928,القائمة!$A$3:$F$112,5,FALSE),"")</f>
        <v/>
      </c>
      <c r="F1928" s="37" t="str">
        <f>IFERROR(VLOOKUP(A1928,القائمة!$A$3:$F$112,6,FALSE),"")</f>
        <v/>
      </c>
      <c r="P1928" s="27">
        <f t="shared" si="63"/>
        <v>0</v>
      </c>
      <c r="Q1928" s="27">
        <f t="shared" si="62"/>
        <v>0</v>
      </c>
    </row>
    <row r="1929" spans="2:17" x14ac:dyDescent="0.45">
      <c r="B1929" s="27" t="str">
        <f>IFERROR(VLOOKUP(A1929,القائمة!$A$3:$F$112,2,FALSE),"")</f>
        <v/>
      </c>
      <c r="C1929" s="27" t="str">
        <f>IFERROR(VLOOKUP(A1929,القائمة!$A$3:$F$112,3,FALSE),"")</f>
        <v/>
      </c>
      <c r="D1929" s="36" t="str">
        <f>IFERROR(VLOOKUP(A1929,القائمة!$A$3:$F$112,4,FALSE),"")</f>
        <v/>
      </c>
      <c r="E1929" s="36" t="str">
        <f>IFERROR(VLOOKUP(A1929,القائمة!$A$3:$F$112,5,FALSE),"")</f>
        <v/>
      </c>
      <c r="F1929" s="37" t="str">
        <f>IFERROR(VLOOKUP(A1929,القائمة!$A$3:$F$112,6,FALSE),"")</f>
        <v/>
      </c>
      <c r="P1929" s="27">
        <f t="shared" si="63"/>
        <v>0</v>
      </c>
      <c r="Q1929" s="27">
        <f t="shared" si="62"/>
        <v>0</v>
      </c>
    </row>
    <row r="1930" spans="2:17" x14ac:dyDescent="0.45">
      <c r="B1930" s="27" t="str">
        <f>IFERROR(VLOOKUP(A1930,القائمة!$A$3:$F$112,2,FALSE),"")</f>
        <v/>
      </c>
      <c r="C1930" s="27" t="str">
        <f>IFERROR(VLOOKUP(A1930,القائمة!$A$3:$F$112,3,FALSE),"")</f>
        <v/>
      </c>
      <c r="D1930" s="36" t="str">
        <f>IFERROR(VLOOKUP(A1930,القائمة!$A$3:$F$112,4,FALSE),"")</f>
        <v/>
      </c>
      <c r="E1930" s="36" t="str">
        <f>IFERROR(VLOOKUP(A1930,القائمة!$A$3:$F$112,5,FALSE),"")</f>
        <v/>
      </c>
      <c r="F1930" s="37" t="str">
        <f>IFERROR(VLOOKUP(A1930,القائمة!$A$3:$F$112,6,FALSE),"")</f>
        <v/>
      </c>
      <c r="P1930" s="27">
        <f t="shared" si="63"/>
        <v>0</v>
      </c>
      <c r="Q1930" s="27">
        <f t="shared" si="62"/>
        <v>0</v>
      </c>
    </row>
    <row r="1931" spans="2:17" x14ac:dyDescent="0.45">
      <c r="B1931" s="27" t="str">
        <f>IFERROR(VLOOKUP(A1931,القائمة!$A$3:$F$112,2,FALSE),"")</f>
        <v/>
      </c>
      <c r="C1931" s="27" t="str">
        <f>IFERROR(VLOOKUP(A1931,القائمة!$A$3:$F$112,3,FALSE),"")</f>
        <v/>
      </c>
      <c r="D1931" s="36" t="str">
        <f>IFERROR(VLOOKUP(A1931,القائمة!$A$3:$F$112,4,FALSE),"")</f>
        <v/>
      </c>
      <c r="E1931" s="36" t="str">
        <f>IFERROR(VLOOKUP(A1931,القائمة!$A$3:$F$112,5,FALSE),"")</f>
        <v/>
      </c>
      <c r="F1931" s="37" t="str">
        <f>IFERROR(VLOOKUP(A1931,القائمة!$A$3:$F$112,6,FALSE),"")</f>
        <v/>
      </c>
      <c r="P1931" s="27">
        <f t="shared" si="63"/>
        <v>0</v>
      </c>
      <c r="Q1931" s="27">
        <f t="shared" si="62"/>
        <v>0</v>
      </c>
    </row>
    <row r="1932" spans="2:17" x14ac:dyDescent="0.45">
      <c r="B1932" s="27" t="str">
        <f>IFERROR(VLOOKUP(A1932,القائمة!$A$3:$F$112,2,FALSE),"")</f>
        <v/>
      </c>
      <c r="C1932" s="27" t="str">
        <f>IFERROR(VLOOKUP(A1932,القائمة!$A$3:$F$112,3,FALSE),"")</f>
        <v/>
      </c>
      <c r="D1932" s="36" t="str">
        <f>IFERROR(VLOOKUP(A1932,القائمة!$A$3:$F$112,4,FALSE),"")</f>
        <v/>
      </c>
      <c r="E1932" s="36" t="str">
        <f>IFERROR(VLOOKUP(A1932,القائمة!$A$3:$F$112,5,FALSE),"")</f>
        <v/>
      </c>
      <c r="F1932" s="37" t="str">
        <f>IFERROR(VLOOKUP(A1932,القائمة!$A$3:$F$112,6,FALSE),"")</f>
        <v/>
      </c>
      <c r="P1932" s="27">
        <f t="shared" si="63"/>
        <v>0</v>
      </c>
      <c r="Q1932" s="27">
        <f t="shared" si="62"/>
        <v>0</v>
      </c>
    </row>
    <row r="1933" spans="2:17" x14ac:dyDescent="0.45">
      <c r="B1933" s="27" t="str">
        <f>IFERROR(VLOOKUP(A1933,القائمة!$A$3:$F$112,2,FALSE),"")</f>
        <v/>
      </c>
      <c r="C1933" s="27" t="str">
        <f>IFERROR(VLOOKUP(A1933,القائمة!$A$3:$F$112,3,FALSE),"")</f>
        <v/>
      </c>
      <c r="D1933" s="36" t="str">
        <f>IFERROR(VLOOKUP(A1933,القائمة!$A$3:$F$112,4,FALSE),"")</f>
        <v/>
      </c>
      <c r="E1933" s="36" t="str">
        <f>IFERROR(VLOOKUP(A1933,القائمة!$A$3:$F$112,5,FALSE),"")</f>
        <v/>
      </c>
      <c r="F1933" s="37" t="str">
        <f>IFERROR(VLOOKUP(A1933,القائمة!$A$3:$F$112,6,FALSE),"")</f>
        <v/>
      </c>
      <c r="P1933" s="27">
        <f t="shared" si="63"/>
        <v>0</v>
      </c>
      <c r="Q1933" s="27">
        <f t="shared" si="62"/>
        <v>0</v>
      </c>
    </row>
    <row r="1934" spans="2:17" x14ac:dyDescent="0.45">
      <c r="B1934" s="27" t="str">
        <f>IFERROR(VLOOKUP(A1934,القائمة!$A$3:$F$112,2,FALSE),"")</f>
        <v/>
      </c>
      <c r="C1934" s="27" t="str">
        <f>IFERROR(VLOOKUP(A1934,القائمة!$A$3:$F$112,3,FALSE),"")</f>
        <v/>
      </c>
      <c r="D1934" s="36" t="str">
        <f>IFERROR(VLOOKUP(A1934,القائمة!$A$3:$F$112,4,FALSE),"")</f>
        <v/>
      </c>
      <c r="E1934" s="36" t="str">
        <f>IFERROR(VLOOKUP(A1934,القائمة!$A$3:$F$112,5,FALSE),"")</f>
        <v/>
      </c>
      <c r="F1934" s="37" t="str">
        <f>IFERROR(VLOOKUP(A1934,القائمة!$A$3:$F$112,6,FALSE),"")</f>
        <v/>
      </c>
      <c r="P1934" s="27">
        <f t="shared" si="63"/>
        <v>0</v>
      </c>
      <c r="Q1934" s="27">
        <f t="shared" si="62"/>
        <v>0</v>
      </c>
    </row>
    <row r="1935" spans="2:17" x14ac:dyDescent="0.45">
      <c r="B1935" s="27" t="str">
        <f>IFERROR(VLOOKUP(A1935,القائمة!$A$3:$F$112,2,FALSE),"")</f>
        <v/>
      </c>
      <c r="C1935" s="27" t="str">
        <f>IFERROR(VLOOKUP(A1935,القائمة!$A$3:$F$112,3,FALSE),"")</f>
        <v/>
      </c>
      <c r="D1935" s="36" t="str">
        <f>IFERROR(VLOOKUP(A1935,القائمة!$A$3:$F$112,4,FALSE),"")</f>
        <v/>
      </c>
      <c r="E1935" s="36" t="str">
        <f>IFERROR(VLOOKUP(A1935,القائمة!$A$3:$F$112,5,FALSE),"")</f>
        <v/>
      </c>
      <c r="F1935" s="37" t="str">
        <f>IFERROR(VLOOKUP(A1935,القائمة!$A$3:$F$112,6,FALSE),"")</f>
        <v/>
      </c>
      <c r="P1935" s="27">
        <f t="shared" si="63"/>
        <v>0</v>
      </c>
      <c r="Q1935" s="27">
        <f t="shared" si="62"/>
        <v>0</v>
      </c>
    </row>
    <row r="1936" spans="2:17" x14ac:dyDescent="0.45">
      <c r="B1936" s="27" t="str">
        <f>IFERROR(VLOOKUP(A1936,القائمة!$A$3:$F$112,2,FALSE),"")</f>
        <v/>
      </c>
      <c r="C1936" s="27" t="str">
        <f>IFERROR(VLOOKUP(A1936,القائمة!$A$3:$F$112,3,FALSE),"")</f>
        <v/>
      </c>
      <c r="D1936" s="36" t="str">
        <f>IFERROR(VLOOKUP(A1936,القائمة!$A$3:$F$112,4,FALSE),"")</f>
        <v/>
      </c>
      <c r="E1936" s="36" t="str">
        <f>IFERROR(VLOOKUP(A1936,القائمة!$A$3:$F$112,5,FALSE),"")</f>
        <v/>
      </c>
      <c r="F1936" s="37" t="str">
        <f>IFERROR(VLOOKUP(A1936,القائمة!$A$3:$F$112,6,FALSE),"")</f>
        <v/>
      </c>
      <c r="P1936" s="27">
        <f t="shared" si="63"/>
        <v>0</v>
      </c>
      <c r="Q1936" s="27">
        <f t="shared" si="62"/>
        <v>0</v>
      </c>
    </row>
    <row r="1937" spans="2:17" x14ac:dyDescent="0.45">
      <c r="B1937" s="27" t="str">
        <f>IFERROR(VLOOKUP(A1937,القائمة!$A$3:$F$112,2,FALSE),"")</f>
        <v/>
      </c>
      <c r="C1937" s="27" t="str">
        <f>IFERROR(VLOOKUP(A1937,القائمة!$A$3:$F$112,3,FALSE),"")</f>
        <v/>
      </c>
      <c r="D1937" s="36" t="str">
        <f>IFERROR(VLOOKUP(A1937,القائمة!$A$3:$F$112,4,FALSE),"")</f>
        <v/>
      </c>
      <c r="E1937" s="36" t="str">
        <f>IFERROR(VLOOKUP(A1937,القائمة!$A$3:$F$112,5,FALSE),"")</f>
        <v/>
      </c>
      <c r="F1937" s="37" t="str">
        <f>IFERROR(VLOOKUP(A1937,القائمة!$A$3:$F$112,6,FALSE),"")</f>
        <v/>
      </c>
      <c r="P1937" s="27">
        <f t="shared" si="63"/>
        <v>0</v>
      </c>
      <c r="Q1937" s="27">
        <f t="shared" si="62"/>
        <v>0</v>
      </c>
    </row>
    <row r="1938" spans="2:17" x14ac:dyDescent="0.45">
      <c r="B1938" s="27" t="str">
        <f>IFERROR(VLOOKUP(A1938,القائمة!$A$3:$F$112,2,FALSE),"")</f>
        <v/>
      </c>
      <c r="C1938" s="27" t="str">
        <f>IFERROR(VLOOKUP(A1938,القائمة!$A$3:$F$112,3,FALSE),"")</f>
        <v/>
      </c>
      <c r="D1938" s="36" t="str">
        <f>IFERROR(VLOOKUP(A1938,القائمة!$A$3:$F$112,4,FALSE),"")</f>
        <v/>
      </c>
      <c r="E1938" s="36" t="str">
        <f>IFERROR(VLOOKUP(A1938,القائمة!$A$3:$F$112,5,FALSE),"")</f>
        <v/>
      </c>
      <c r="F1938" s="37" t="str">
        <f>IFERROR(VLOOKUP(A1938,القائمة!$A$3:$F$112,6,FALSE),"")</f>
        <v/>
      </c>
      <c r="P1938" s="27">
        <f t="shared" si="63"/>
        <v>0</v>
      </c>
      <c r="Q1938" s="27">
        <f t="shared" si="62"/>
        <v>0</v>
      </c>
    </row>
    <row r="1939" spans="2:17" x14ac:dyDescent="0.45">
      <c r="B1939" s="27" t="str">
        <f>IFERROR(VLOOKUP(A1939,القائمة!$A$3:$F$112,2,FALSE),"")</f>
        <v/>
      </c>
      <c r="C1939" s="27" t="str">
        <f>IFERROR(VLOOKUP(A1939,القائمة!$A$3:$F$112,3,FALSE),"")</f>
        <v/>
      </c>
      <c r="D1939" s="36" t="str">
        <f>IFERROR(VLOOKUP(A1939,القائمة!$A$3:$F$112,4,FALSE),"")</f>
        <v/>
      </c>
      <c r="E1939" s="36" t="str">
        <f>IFERROR(VLOOKUP(A1939,القائمة!$A$3:$F$112,5,FALSE),"")</f>
        <v/>
      </c>
      <c r="F1939" s="37" t="str">
        <f>IFERROR(VLOOKUP(A1939,القائمة!$A$3:$F$112,6,FALSE),"")</f>
        <v/>
      </c>
      <c r="P1939" s="27">
        <f t="shared" si="63"/>
        <v>0</v>
      </c>
      <c r="Q1939" s="27">
        <f t="shared" si="62"/>
        <v>0</v>
      </c>
    </row>
    <row r="1940" spans="2:17" x14ac:dyDescent="0.45">
      <c r="B1940" s="27" t="str">
        <f>IFERROR(VLOOKUP(A1940,القائمة!$A$3:$F$112,2,FALSE),"")</f>
        <v/>
      </c>
      <c r="C1940" s="27" t="str">
        <f>IFERROR(VLOOKUP(A1940,القائمة!$A$3:$F$112,3,FALSE),"")</f>
        <v/>
      </c>
      <c r="D1940" s="36" t="str">
        <f>IFERROR(VLOOKUP(A1940,القائمة!$A$3:$F$112,4,FALSE),"")</f>
        <v/>
      </c>
      <c r="E1940" s="36" t="str">
        <f>IFERROR(VLOOKUP(A1940,القائمة!$A$3:$F$112,5,FALSE),"")</f>
        <v/>
      </c>
      <c r="F1940" s="37" t="str">
        <f>IFERROR(VLOOKUP(A1940,القائمة!$A$3:$F$112,6,FALSE),"")</f>
        <v/>
      </c>
      <c r="P1940" s="27">
        <f t="shared" si="63"/>
        <v>0</v>
      </c>
      <c r="Q1940" s="27">
        <f t="shared" si="62"/>
        <v>0</v>
      </c>
    </row>
    <row r="1941" spans="2:17" x14ac:dyDescent="0.45">
      <c r="B1941" s="27" t="str">
        <f>IFERROR(VLOOKUP(A1941,القائمة!$A$3:$F$112,2,FALSE),"")</f>
        <v/>
      </c>
      <c r="C1941" s="27" t="str">
        <f>IFERROR(VLOOKUP(A1941,القائمة!$A$3:$F$112,3,FALSE),"")</f>
        <v/>
      </c>
      <c r="D1941" s="36" t="str">
        <f>IFERROR(VLOOKUP(A1941,القائمة!$A$3:$F$112,4,FALSE),"")</f>
        <v/>
      </c>
      <c r="E1941" s="36" t="str">
        <f>IFERROR(VLOOKUP(A1941,القائمة!$A$3:$F$112,5,FALSE),"")</f>
        <v/>
      </c>
      <c r="F1941" s="37" t="str">
        <f>IFERROR(VLOOKUP(A1941,القائمة!$A$3:$F$112,6,FALSE),"")</f>
        <v/>
      </c>
      <c r="P1941" s="27">
        <f t="shared" si="63"/>
        <v>0</v>
      </c>
      <c r="Q1941" s="27">
        <f t="shared" si="62"/>
        <v>0</v>
      </c>
    </row>
    <row r="1942" spans="2:17" x14ac:dyDescent="0.45">
      <c r="B1942" s="27" t="str">
        <f>IFERROR(VLOOKUP(A1942,القائمة!$A$3:$F$112,2,FALSE),"")</f>
        <v/>
      </c>
      <c r="C1942" s="27" t="str">
        <f>IFERROR(VLOOKUP(A1942,القائمة!$A$3:$F$112,3,FALSE),"")</f>
        <v/>
      </c>
      <c r="D1942" s="36" t="str">
        <f>IFERROR(VLOOKUP(A1942,القائمة!$A$3:$F$112,4,FALSE),"")</f>
        <v/>
      </c>
      <c r="E1942" s="36" t="str">
        <f>IFERROR(VLOOKUP(A1942,القائمة!$A$3:$F$112,5,FALSE),"")</f>
        <v/>
      </c>
      <c r="F1942" s="37" t="str">
        <f>IFERROR(VLOOKUP(A1942,القائمة!$A$3:$F$112,6,FALSE),"")</f>
        <v/>
      </c>
      <c r="P1942" s="27">
        <f t="shared" si="63"/>
        <v>0</v>
      </c>
      <c r="Q1942" s="27">
        <f t="shared" si="62"/>
        <v>0</v>
      </c>
    </row>
    <row r="1943" spans="2:17" x14ac:dyDescent="0.45">
      <c r="B1943" s="27" t="str">
        <f>IFERROR(VLOOKUP(A1943,القائمة!$A$3:$F$112,2,FALSE),"")</f>
        <v/>
      </c>
      <c r="C1943" s="27" t="str">
        <f>IFERROR(VLOOKUP(A1943,القائمة!$A$3:$F$112,3,FALSE),"")</f>
        <v/>
      </c>
      <c r="D1943" s="36" t="str">
        <f>IFERROR(VLOOKUP(A1943,القائمة!$A$3:$F$112,4,FALSE),"")</f>
        <v/>
      </c>
      <c r="E1943" s="36" t="str">
        <f>IFERROR(VLOOKUP(A1943,القائمة!$A$3:$F$112,5,FALSE),"")</f>
        <v/>
      </c>
      <c r="F1943" s="37" t="str">
        <f>IFERROR(VLOOKUP(A1943,القائمة!$A$3:$F$112,6,FALSE),"")</f>
        <v/>
      </c>
      <c r="P1943" s="27">
        <f t="shared" si="63"/>
        <v>0</v>
      </c>
      <c r="Q1943" s="27">
        <f t="shared" si="62"/>
        <v>0</v>
      </c>
    </row>
    <row r="1944" spans="2:17" x14ac:dyDescent="0.45">
      <c r="B1944" s="27" t="str">
        <f>IFERROR(VLOOKUP(A1944,القائمة!$A$3:$F$112,2,FALSE),"")</f>
        <v/>
      </c>
      <c r="C1944" s="27" t="str">
        <f>IFERROR(VLOOKUP(A1944,القائمة!$A$3:$F$112,3,FALSE),"")</f>
        <v/>
      </c>
      <c r="D1944" s="36" t="str">
        <f>IFERROR(VLOOKUP(A1944,القائمة!$A$3:$F$112,4,FALSE),"")</f>
        <v/>
      </c>
      <c r="E1944" s="36" t="str">
        <f>IFERROR(VLOOKUP(A1944,القائمة!$A$3:$F$112,5,FALSE),"")</f>
        <v/>
      </c>
      <c r="F1944" s="37" t="str">
        <f>IFERROR(VLOOKUP(A1944,القائمة!$A$3:$F$112,6,FALSE),"")</f>
        <v/>
      </c>
      <c r="P1944" s="27">
        <f t="shared" si="63"/>
        <v>0</v>
      </c>
      <c r="Q1944" s="27">
        <f t="shared" si="62"/>
        <v>0</v>
      </c>
    </row>
    <row r="1945" spans="2:17" x14ac:dyDescent="0.45">
      <c r="B1945" s="27" t="str">
        <f>IFERROR(VLOOKUP(A1945,القائمة!$A$3:$F$112,2,FALSE),"")</f>
        <v/>
      </c>
      <c r="C1945" s="27" t="str">
        <f>IFERROR(VLOOKUP(A1945,القائمة!$A$3:$F$112,3,FALSE),"")</f>
        <v/>
      </c>
      <c r="D1945" s="36" t="str">
        <f>IFERROR(VLOOKUP(A1945,القائمة!$A$3:$F$112,4,FALSE),"")</f>
        <v/>
      </c>
      <c r="E1945" s="36" t="str">
        <f>IFERROR(VLOOKUP(A1945,القائمة!$A$3:$F$112,5,FALSE),"")</f>
        <v/>
      </c>
      <c r="F1945" s="37" t="str">
        <f>IFERROR(VLOOKUP(A1945,القائمة!$A$3:$F$112,6,FALSE),"")</f>
        <v/>
      </c>
      <c r="P1945" s="27">
        <f t="shared" si="63"/>
        <v>0</v>
      </c>
      <c r="Q1945" s="27">
        <f t="shared" si="62"/>
        <v>0</v>
      </c>
    </row>
    <row r="1946" spans="2:17" x14ac:dyDescent="0.45">
      <c r="B1946" s="27" t="str">
        <f>IFERROR(VLOOKUP(A1946,القائمة!$A$3:$F$112,2,FALSE),"")</f>
        <v/>
      </c>
      <c r="C1946" s="27" t="str">
        <f>IFERROR(VLOOKUP(A1946,القائمة!$A$3:$F$112,3,FALSE),"")</f>
        <v/>
      </c>
      <c r="D1946" s="36" t="str">
        <f>IFERROR(VLOOKUP(A1946,القائمة!$A$3:$F$112,4,FALSE),"")</f>
        <v/>
      </c>
      <c r="E1946" s="36" t="str">
        <f>IFERROR(VLOOKUP(A1946,القائمة!$A$3:$F$112,5,FALSE),"")</f>
        <v/>
      </c>
      <c r="F1946" s="37" t="str">
        <f>IFERROR(VLOOKUP(A1946,القائمة!$A$3:$F$112,6,FALSE),"")</f>
        <v/>
      </c>
      <c r="P1946" s="27">
        <f t="shared" si="63"/>
        <v>0</v>
      </c>
      <c r="Q1946" s="27">
        <f t="shared" si="62"/>
        <v>0</v>
      </c>
    </row>
    <row r="1947" spans="2:17" x14ac:dyDescent="0.45">
      <c r="B1947" s="27" t="str">
        <f>IFERROR(VLOOKUP(A1947,القائمة!$A$3:$F$112,2,FALSE),"")</f>
        <v/>
      </c>
      <c r="C1947" s="27" t="str">
        <f>IFERROR(VLOOKUP(A1947,القائمة!$A$3:$F$112,3,FALSE),"")</f>
        <v/>
      </c>
      <c r="D1947" s="36" t="str">
        <f>IFERROR(VLOOKUP(A1947,القائمة!$A$3:$F$112,4,FALSE),"")</f>
        <v/>
      </c>
      <c r="E1947" s="36" t="str">
        <f>IFERROR(VLOOKUP(A1947,القائمة!$A$3:$F$112,5,FALSE),"")</f>
        <v/>
      </c>
      <c r="F1947" s="37" t="str">
        <f>IFERROR(VLOOKUP(A1947,القائمة!$A$3:$F$112,6,FALSE),"")</f>
        <v/>
      </c>
      <c r="P1947" s="27">
        <f t="shared" si="63"/>
        <v>0</v>
      </c>
      <c r="Q1947" s="27">
        <f t="shared" si="62"/>
        <v>0</v>
      </c>
    </row>
    <row r="1948" spans="2:17" x14ac:dyDescent="0.45">
      <c r="B1948" s="27" t="str">
        <f>IFERROR(VLOOKUP(A1948,القائمة!$A$3:$F$112,2,FALSE),"")</f>
        <v/>
      </c>
      <c r="C1948" s="27" t="str">
        <f>IFERROR(VLOOKUP(A1948,القائمة!$A$3:$F$112,3,FALSE),"")</f>
        <v/>
      </c>
      <c r="D1948" s="36" t="str">
        <f>IFERROR(VLOOKUP(A1948,القائمة!$A$3:$F$112,4,FALSE),"")</f>
        <v/>
      </c>
      <c r="E1948" s="36" t="str">
        <f>IFERROR(VLOOKUP(A1948,القائمة!$A$3:$F$112,5,FALSE),"")</f>
        <v/>
      </c>
      <c r="F1948" s="37" t="str">
        <f>IFERROR(VLOOKUP(A1948,القائمة!$A$3:$F$112,6,FALSE),"")</f>
        <v/>
      </c>
      <c r="P1948" s="27">
        <f t="shared" si="63"/>
        <v>0</v>
      </c>
      <c r="Q1948" s="27">
        <f t="shared" si="62"/>
        <v>0</v>
      </c>
    </row>
    <row r="1949" spans="2:17" x14ac:dyDescent="0.45">
      <c r="B1949" s="27" t="str">
        <f>IFERROR(VLOOKUP(A1949,القائمة!$A$3:$F$112,2,FALSE),"")</f>
        <v/>
      </c>
      <c r="C1949" s="27" t="str">
        <f>IFERROR(VLOOKUP(A1949,القائمة!$A$3:$F$112,3,FALSE),"")</f>
        <v/>
      </c>
      <c r="D1949" s="36" t="str">
        <f>IFERROR(VLOOKUP(A1949,القائمة!$A$3:$F$112,4,FALSE),"")</f>
        <v/>
      </c>
      <c r="E1949" s="36" t="str">
        <f>IFERROR(VLOOKUP(A1949,القائمة!$A$3:$F$112,5,FALSE),"")</f>
        <v/>
      </c>
      <c r="F1949" s="37" t="str">
        <f>IFERROR(VLOOKUP(A1949,القائمة!$A$3:$F$112,6,FALSE),"")</f>
        <v/>
      </c>
      <c r="P1949" s="27">
        <f t="shared" si="63"/>
        <v>0</v>
      </c>
      <c r="Q1949" s="27">
        <f t="shared" si="62"/>
        <v>0</v>
      </c>
    </row>
    <row r="1950" spans="2:17" x14ac:dyDescent="0.45">
      <c r="B1950" s="27" t="str">
        <f>IFERROR(VLOOKUP(A1950,القائمة!$A$3:$F$112,2,FALSE),"")</f>
        <v/>
      </c>
      <c r="C1950" s="27" t="str">
        <f>IFERROR(VLOOKUP(A1950,القائمة!$A$3:$F$112,3,FALSE),"")</f>
        <v/>
      </c>
      <c r="D1950" s="36" t="str">
        <f>IFERROR(VLOOKUP(A1950,القائمة!$A$3:$F$112,4,FALSE),"")</f>
        <v/>
      </c>
      <c r="E1950" s="36" t="str">
        <f>IFERROR(VLOOKUP(A1950,القائمة!$A$3:$F$112,5,FALSE),"")</f>
        <v/>
      </c>
      <c r="F1950" s="37" t="str">
        <f>IFERROR(VLOOKUP(A1950,القائمة!$A$3:$F$112,6,FALSE),"")</f>
        <v/>
      </c>
      <c r="P1950" s="27">
        <f t="shared" si="63"/>
        <v>0</v>
      </c>
      <c r="Q1950" s="27">
        <f t="shared" si="62"/>
        <v>0</v>
      </c>
    </row>
    <row r="1951" spans="2:17" x14ac:dyDescent="0.45">
      <c r="B1951" s="27" t="str">
        <f>IFERROR(VLOOKUP(A1951,القائمة!$A$3:$F$112,2,FALSE),"")</f>
        <v/>
      </c>
      <c r="C1951" s="27" t="str">
        <f>IFERROR(VLOOKUP(A1951,القائمة!$A$3:$F$112,3,FALSE),"")</f>
        <v/>
      </c>
      <c r="D1951" s="36" t="str">
        <f>IFERROR(VLOOKUP(A1951,القائمة!$A$3:$F$112,4,FALSE),"")</f>
        <v/>
      </c>
      <c r="E1951" s="36" t="str">
        <f>IFERROR(VLOOKUP(A1951,القائمة!$A$3:$F$112,5,FALSE),"")</f>
        <v/>
      </c>
      <c r="F1951" s="37" t="str">
        <f>IFERROR(VLOOKUP(A1951,القائمة!$A$3:$F$112,6,FALSE),"")</f>
        <v/>
      </c>
      <c r="P1951" s="27">
        <f t="shared" si="63"/>
        <v>0</v>
      </c>
      <c r="Q1951" s="27">
        <f t="shared" si="62"/>
        <v>0</v>
      </c>
    </row>
    <row r="1952" spans="2:17" x14ac:dyDescent="0.45">
      <c r="B1952" s="27" t="str">
        <f>IFERROR(VLOOKUP(A1952,القائمة!$A$3:$F$112,2,FALSE),"")</f>
        <v/>
      </c>
      <c r="C1952" s="27" t="str">
        <f>IFERROR(VLOOKUP(A1952,القائمة!$A$3:$F$112,3,FALSE),"")</f>
        <v/>
      </c>
      <c r="D1952" s="36" t="str">
        <f>IFERROR(VLOOKUP(A1952,القائمة!$A$3:$F$112,4,FALSE),"")</f>
        <v/>
      </c>
      <c r="E1952" s="36" t="str">
        <f>IFERROR(VLOOKUP(A1952,القائمة!$A$3:$F$112,5,FALSE),"")</f>
        <v/>
      </c>
      <c r="F1952" s="37" t="str">
        <f>IFERROR(VLOOKUP(A1952,القائمة!$A$3:$F$112,6,FALSE),"")</f>
        <v/>
      </c>
      <c r="P1952" s="27">
        <f t="shared" si="63"/>
        <v>0</v>
      </c>
      <c r="Q1952" s="27">
        <f t="shared" si="62"/>
        <v>0</v>
      </c>
    </row>
    <row r="1953" spans="2:17" x14ac:dyDescent="0.45">
      <c r="B1953" s="27" t="str">
        <f>IFERROR(VLOOKUP(A1953,القائمة!$A$3:$F$112,2,FALSE),"")</f>
        <v/>
      </c>
      <c r="C1953" s="27" t="str">
        <f>IFERROR(VLOOKUP(A1953,القائمة!$A$3:$F$112,3,FALSE),"")</f>
        <v/>
      </c>
      <c r="D1953" s="36" t="str">
        <f>IFERROR(VLOOKUP(A1953,القائمة!$A$3:$F$112,4,FALSE),"")</f>
        <v/>
      </c>
      <c r="E1953" s="36" t="str">
        <f>IFERROR(VLOOKUP(A1953,القائمة!$A$3:$F$112,5,FALSE),"")</f>
        <v/>
      </c>
      <c r="F1953" s="37" t="str">
        <f>IFERROR(VLOOKUP(A1953,القائمة!$A$3:$F$112,6,FALSE),"")</f>
        <v/>
      </c>
      <c r="P1953" s="27">
        <f t="shared" si="63"/>
        <v>0</v>
      </c>
      <c r="Q1953" s="27">
        <f t="shared" si="62"/>
        <v>0</v>
      </c>
    </row>
    <row r="1954" spans="2:17" x14ac:dyDescent="0.45">
      <c r="B1954" s="27" t="str">
        <f>IFERROR(VLOOKUP(A1954,القائمة!$A$3:$F$112,2,FALSE),"")</f>
        <v/>
      </c>
      <c r="C1954" s="27" t="str">
        <f>IFERROR(VLOOKUP(A1954,القائمة!$A$3:$F$112,3,FALSE),"")</f>
        <v/>
      </c>
      <c r="D1954" s="36" t="str">
        <f>IFERROR(VLOOKUP(A1954,القائمة!$A$3:$F$112,4,FALSE),"")</f>
        <v/>
      </c>
      <c r="E1954" s="36" t="str">
        <f>IFERROR(VLOOKUP(A1954,القائمة!$A$3:$F$112,5,FALSE),"")</f>
        <v/>
      </c>
      <c r="F1954" s="37" t="str">
        <f>IFERROR(VLOOKUP(A1954,القائمة!$A$3:$F$112,6,FALSE),"")</f>
        <v/>
      </c>
      <c r="P1954" s="27">
        <f t="shared" si="63"/>
        <v>0</v>
      </c>
      <c r="Q1954" s="27">
        <f t="shared" si="62"/>
        <v>0</v>
      </c>
    </row>
    <row r="1955" spans="2:17" x14ac:dyDescent="0.45">
      <c r="B1955" s="27" t="str">
        <f>IFERROR(VLOOKUP(A1955,القائمة!$A$3:$F$112,2,FALSE),"")</f>
        <v/>
      </c>
      <c r="C1955" s="27" t="str">
        <f>IFERROR(VLOOKUP(A1955,القائمة!$A$3:$F$112,3,FALSE),"")</f>
        <v/>
      </c>
      <c r="D1955" s="36" t="str">
        <f>IFERROR(VLOOKUP(A1955,القائمة!$A$3:$F$112,4,FALSE),"")</f>
        <v/>
      </c>
      <c r="E1955" s="36" t="str">
        <f>IFERROR(VLOOKUP(A1955,القائمة!$A$3:$F$112,5,FALSE),"")</f>
        <v/>
      </c>
      <c r="F1955" s="37" t="str">
        <f>IFERROR(VLOOKUP(A1955,القائمة!$A$3:$F$112,6,FALSE),"")</f>
        <v/>
      </c>
      <c r="P1955" s="27">
        <f t="shared" si="63"/>
        <v>0</v>
      </c>
      <c r="Q1955" s="27">
        <f t="shared" si="62"/>
        <v>0</v>
      </c>
    </row>
    <row r="1956" spans="2:17" x14ac:dyDescent="0.45">
      <c r="B1956" s="27" t="str">
        <f>IFERROR(VLOOKUP(A1956,القائمة!$A$3:$F$112,2,FALSE),"")</f>
        <v/>
      </c>
      <c r="C1956" s="27" t="str">
        <f>IFERROR(VLOOKUP(A1956,القائمة!$A$3:$F$112,3,FALSE),"")</f>
        <v/>
      </c>
      <c r="D1956" s="36" t="str">
        <f>IFERROR(VLOOKUP(A1956,القائمة!$A$3:$F$112,4,FALSE),"")</f>
        <v/>
      </c>
      <c r="E1956" s="36" t="str">
        <f>IFERROR(VLOOKUP(A1956,القائمة!$A$3:$F$112,5,FALSE),"")</f>
        <v/>
      </c>
      <c r="F1956" s="37" t="str">
        <f>IFERROR(VLOOKUP(A1956,القائمة!$A$3:$F$112,6,FALSE),"")</f>
        <v/>
      </c>
      <c r="P1956" s="27">
        <f t="shared" si="63"/>
        <v>0</v>
      </c>
      <c r="Q1956" s="27">
        <f t="shared" si="62"/>
        <v>0</v>
      </c>
    </row>
    <row r="1957" spans="2:17" x14ac:dyDescent="0.45">
      <c r="B1957" s="27" t="str">
        <f>IFERROR(VLOOKUP(A1957,القائمة!$A$3:$F$112,2,FALSE),"")</f>
        <v/>
      </c>
      <c r="C1957" s="27" t="str">
        <f>IFERROR(VLOOKUP(A1957,القائمة!$A$3:$F$112,3,FALSE),"")</f>
        <v/>
      </c>
      <c r="D1957" s="36" t="str">
        <f>IFERROR(VLOOKUP(A1957,القائمة!$A$3:$F$112,4,FALSE),"")</f>
        <v/>
      </c>
      <c r="E1957" s="36" t="str">
        <f>IFERROR(VLOOKUP(A1957,القائمة!$A$3:$F$112,5,FALSE),"")</f>
        <v/>
      </c>
      <c r="F1957" s="37" t="str">
        <f>IFERROR(VLOOKUP(A1957,القائمة!$A$3:$F$112,6,FALSE),"")</f>
        <v/>
      </c>
      <c r="P1957" s="27">
        <f t="shared" si="63"/>
        <v>0</v>
      </c>
      <c r="Q1957" s="27">
        <f t="shared" si="62"/>
        <v>0</v>
      </c>
    </row>
    <row r="1958" spans="2:17" x14ac:dyDescent="0.45">
      <c r="B1958" s="27" t="str">
        <f>IFERROR(VLOOKUP(A1958,القائمة!$A$3:$F$112,2,FALSE),"")</f>
        <v/>
      </c>
      <c r="C1958" s="27" t="str">
        <f>IFERROR(VLOOKUP(A1958,القائمة!$A$3:$F$112,3,FALSE),"")</f>
        <v/>
      </c>
      <c r="D1958" s="36" t="str">
        <f>IFERROR(VLOOKUP(A1958,القائمة!$A$3:$F$112,4,FALSE),"")</f>
        <v/>
      </c>
      <c r="E1958" s="36" t="str">
        <f>IFERROR(VLOOKUP(A1958,القائمة!$A$3:$F$112,5,FALSE),"")</f>
        <v/>
      </c>
      <c r="F1958" s="37" t="str">
        <f>IFERROR(VLOOKUP(A1958,القائمة!$A$3:$F$112,6,FALSE),"")</f>
        <v/>
      </c>
      <c r="P1958" s="27">
        <f t="shared" si="63"/>
        <v>0</v>
      </c>
      <c r="Q1958" s="27">
        <f t="shared" si="62"/>
        <v>0</v>
      </c>
    </row>
    <row r="1959" spans="2:17" x14ac:dyDescent="0.45">
      <c r="B1959" s="27" t="str">
        <f>IFERROR(VLOOKUP(A1959,القائمة!$A$3:$F$112,2,FALSE),"")</f>
        <v/>
      </c>
      <c r="C1959" s="27" t="str">
        <f>IFERROR(VLOOKUP(A1959,القائمة!$A$3:$F$112,3,FALSE),"")</f>
        <v/>
      </c>
      <c r="D1959" s="36" t="str">
        <f>IFERROR(VLOOKUP(A1959,القائمة!$A$3:$F$112,4,FALSE),"")</f>
        <v/>
      </c>
      <c r="E1959" s="36" t="str">
        <f>IFERROR(VLOOKUP(A1959,القائمة!$A$3:$F$112,5,FALSE),"")</f>
        <v/>
      </c>
      <c r="F1959" s="37" t="str">
        <f>IFERROR(VLOOKUP(A1959,القائمة!$A$3:$F$112,6,FALSE),"")</f>
        <v/>
      </c>
      <c r="P1959" s="27">
        <f t="shared" si="63"/>
        <v>0</v>
      </c>
      <c r="Q1959" s="27">
        <f t="shared" si="62"/>
        <v>0</v>
      </c>
    </row>
    <row r="1960" spans="2:17" x14ac:dyDescent="0.45">
      <c r="B1960" s="27" t="str">
        <f>IFERROR(VLOOKUP(A1960,القائمة!$A$3:$F$112,2,FALSE),"")</f>
        <v/>
      </c>
      <c r="C1960" s="27" t="str">
        <f>IFERROR(VLOOKUP(A1960,القائمة!$A$3:$F$112,3,FALSE),"")</f>
        <v/>
      </c>
      <c r="D1960" s="36" t="str">
        <f>IFERROR(VLOOKUP(A1960,القائمة!$A$3:$F$112,4,FALSE),"")</f>
        <v/>
      </c>
      <c r="E1960" s="36" t="str">
        <f>IFERROR(VLOOKUP(A1960,القائمة!$A$3:$F$112,5,FALSE),"")</f>
        <v/>
      </c>
      <c r="F1960" s="37" t="str">
        <f>IFERROR(VLOOKUP(A1960,القائمة!$A$3:$F$112,6,FALSE),"")</f>
        <v/>
      </c>
      <c r="P1960" s="27">
        <f t="shared" si="63"/>
        <v>0</v>
      </c>
      <c r="Q1960" s="27">
        <f t="shared" si="62"/>
        <v>0</v>
      </c>
    </row>
    <row r="1961" spans="2:17" x14ac:dyDescent="0.45">
      <c r="B1961" s="27" t="str">
        <f>IFERROR(VLOOKUP(A1961,القائمة!$A$3:$F$112,2,FALSE),"")</f>
        <v/>
      </c>
      <c r="C1961" s="27" t="str">
        <f>IFERROR(VLOOKUP(A1961,القائمة!$A$3:$F$112,3,FALSE),"")</f>
        <v/>
      </c>
      <c r="D1961" s="36" t="str">
        <f>IFERROR(VLOOKUP(A1961,القائمة!$A$3:$F$112,4,FALSE),"")</f>
        <v/>
      </c>
      <c r="E1961" s="36" t="str">
        <f>IFERROR(VLOOKUP(A1961,القائمة!$A$3:$F$112,5,FALSE),"")</f>
        <v/>
      </c>
      <c r="F1961" s="37" t="str">
        <f>IFERROR(VLOOKUP(A1961,القائمة!$A$3:$F$112,6,FALSE),"")</f>
        <v/>
      </c>
      <c r="P1961" s="27">
        <f t="shared" si="63"/>
        <v>0</v>
      </c>
      <c r="Q1961" s="27">
        <f t="shared" si="62"/>
        <v>0</v>
      </c>
    </row>
    <row r="1962" spans="2:17" x14ac:dyDescent="0.45">
      <c r="B1962" s="27" t="str">
        <f>IFERROR(VLOOKUP(A1962,القائمة!$A$3:$F$112,2,FALSE),"")</f>
        <v/>
      </c>
      <c r="C1962" s="27" t="str">
        <f>IFERROR(VLOOKUP(A1962,القائمة!$A$3:$F$112,3,FALSE),"")</f>
        <v/>
      </c>
      <c r="D1962" s="36" t="str">
        <f>IFERROR(VLOOKUP(A1962,القائمة!$A$3:$F$112,4,FALSE),"")</f>
        <v/>
      </c>
      <c r="E1962" s="36" t="str">
        <f>IFERROR(VLOOKUP(A1962,القائمة!$A$3:$F$112,5,FALSE),"")</f>
        <v/>
      </c>
      <c r="F1962" s="37" t="str">
        <f>IFERROR(VLOOKUP(A1962,القائمة!$A$3:$F$112,6,FALSE),"")</f>
        <v/>
      </c>
      <c r="P1962" s="27">
        <f t="shared" si="63"/>
        <v>0</v>
      </c>
      <c r="Q1962" s="27">
        <f t="shared" si="62"/>
        <v>0</v>
      </c>
    </row>
    <row r="1963" spans="2:17" x14ac:dyDescent="0.45">
      <c r="B1963" s="27" t="str">
        <f>IFERROR(VLOOKUP(A1963,القائمة!$A$3:$F$112,2,FALSE),"")</f>
        <v/>
      </c>
      <c r="C1963" s="27" t="str">
        <f>IFERROR(VLOOKUP(A1963,القائمة!$A$3:$F$112,3,FALSE),"")</f>
        <v/>
      </c>
      <c r="D1963" s="36" t="str">
        <f>IFERROR(VLOOKUP(A1963,القائمة!$A$3:$F$112,4,FALSE),"")</f>
        <v/>
      </c>
      <c r="E1963" s="36" t="str">
        <f>IFERROR(VLOOKUP(A1963,القائمة!$A$3:$F$112,5,FALSE),"")</f>
        <v/>
      </c>
      <c r="F1963" s="37" t="str">
        <f>IFERROR(VLOOKUP(A1963,القائمة!$A$3:$F$112,6,FALSE),"")</f>
        <v/>
      </c>
      <c r="P1963" s="27">
        <f t="shared" si="63"/>
        <v>0</v>
      </c>
      <c r="Q1963" s="27">
        <f t="shared" si="62"/>
        <v>0</v>
      </c>
    </row>
    <row r="1964" spans="2:17" x14ac:dyDescent="0.45">
      <c r="B1964" s="27" t="str">
        <f>IFERROR(VLOOKUP(A1964,القائمة!$A$3:$F$112,2,FALSE),"")</f>
        <v/>
      </c>
      <c r="C1964" s="27" t="str">
        <f>IFERROR(VLOOKUP(A1964,القائمة!$A$3:$F$112,3,FALSE),"")</f>
        <v/>
      </c>
      <c r="D1964" s="36" t="str">
        <f>IFERROR(VLOOKUP(A1964,القائمة!$A$3:$F$112,4,FALSE),"")</f>
        <v/>
      </c>
      <c r="E1964" s="36" t="str">
        <f>IFERROR(VLOOKUP(A1964,القائمة!$A$3:$F$112,5,FALSE),"")</f>
        <v/>
      </c>
      <c r="F1964" s="37" t="str">
        <f>IFERROR(VLOOKUP(A1964,القائمة!$A$3:$F$112,6,FALSE),"")</f>
        <v/>
      </c>
      <c r="P1964" s="27">
        <f t="shared" si="63"/>
        <v>0</v>
      </c>
      <c r="Q1964" s="27">
        <f t="shared" si="62"/>
        <v>0</v>
      </c>
    </row>
    <row r="1965" spans="2:17" x14ac:dyDescent="0.45">
      <c r="B1965" s="27" t="str">
        <f>IFERROR(VLOOKUP(A1965,القائمة!$A$3:$F$112,2,FALSE),"")</f>
        <v/>
      </c>
      <c r="C1965" s="27" t="str">
        <f>IFERROR(VLOOKUP(A1965,القائمة!$A$3:$F$112,3,FALSE),"")</f>
        <v/>
      </c>
      <c r="D1965" s="36" t="str">
        <f>IFERROR(VLOOKUP(A1965,القائمة!$A$3:$F$112,4,FALSE),"")</f>
        <v/>
      </c>
      <c r="E1965" s="36" t="str">
        <f>IFERROR(VLOOKUP(A1965,القائمة!$A$3:$F$112,5,FALSE),"")</f>
        <v/>
      </c>
      <c r="F1965" s="37" t="str">
        <f>IFERROR(VLOOKUP(A1965,القائمة!$A$3:$F$112,6,FALSE),"")</f>
        <v/>
      </c>
      <c r="P1965" s="27">
        <f t="shared" si="63"/>
        <v>0</v>
      </c>
      <c r="Q1965" s="27">
        <f t="shared" si="62"/>
        <v>0</v>
      </c>
    </row>
    <row r="1966" spans="2:17" x14ac:dyDescent="0.45">
      <c r="B1966" s="27" t="str">
        <f>IFERROR(VLOOKUP(A1966,القائمة!$A$3:$F$112,2,FALSE),"")</f>
        <v/>
      </c>
      <c r="C1966" s="27" t="str">
        <f>IFERROR(VLOOKUP(A1966,القائمة!$A$3:$F$112,3,FALSE),"")</f>
        <v/>
      </c>
      <c r="D1966" s="36" t="str">
        <f>IFERROR(VLOOKUP(A1966,القائمة!$A$3:$F$112,4,FALSE),"")</f>
        <v/>
      </c>
      <c r="E1966" s="36" t="str">
        <f>IFERROR(VLOOKUP(A1966,القائمة!$A$3:$F$112,5,FALSE),"")</f>
        <v/>
      </c>
      <c r="F1966" s="37" t="str">
        <f>IFERROR(VLOOKUP(A1966,القائمة!$A$3:$F$112,6,FALSE),"")</f>
        <v/>
      </c>
      <c r="P1966" s="27">
        <f t="shared" si="63"/>
        <v>0</v>
      </c>
      <c r="Q1966" s="27">
        <f t="shared" si="62"/>
        <v>0</v>
      </c>
    </row>
    <row r="1967" spans="2:17" x14ac:dyDescent="0.45">
      <c r="B1967" s="27" t="str">
        <f>IFERROR(VLOOKUP(A1967,القائمة!$A$3:$F$112,2,FALSE),"")</f>
        <v/>
      </c>
      <c r="C1967" s="27" t="str">
        <f>IFERROR(VLOOKUP(A1967,القائمة!$A$3:$F$112,3,FALSE),"")</f>
        <v/>
      </c>
      <c r="D1967" s="36" t="str">
        <f>IFERROR(VLOOKUP(A1967,القائمة!$A$3:$F$112,4,FALSE),"")</f>
        <v/>
      </c>
      <c r="E1967" s="36" t="str">
        <f>IFERROR(VLOOKUP(A1967,القائمة!$A$3:$F$112,5,FALSE),"")</f>
        <v/>
      </c>
      <c r="F1967" s="37" t="str">
        <f>IFERROR(VLOOKUP(A1967,القائمة!$A$3:$F$112,6,FALSE),"")</f>
        <v/>
      </c>
      <c r="P1967" s="27">
        <f t="shared" si="63"/>
        <v>0</v>
      </c>
      <c r="Q1967" s="27">
        <f t="shared" si="62"/>
        <v>0</v>
      </c>
    </row>
    <row r="1968" spans="2:17" x14ac:dyDescent="0.45">
      <c r="B1968" s="27" t="str">
        <f>IFERROR(VLOOKUP(A1968,القائمة!$A$3:$F$112,2,FALSE),"")</f>
        <v/>
      </c>
      <c r="C1968" s="27" t="str">
        <f>IFERROR(VLOOKUP(A1968,القائمة!$A$3:$F$112,3,FALSE),"")</f>
        <v/>
      </c>
      <c r="D1968" s="36" t="str">
        <f>IFERROR(VLOOKUP(A1968,القائمة!$A$3:$F$112,4,FALSE),"")</f>
        <v/>
      </c>
      <c r="E1968" s="36" t="str">
        <f>IFERROR(VLOOKUP(A1968,القائمة!$A$3:$F$112,5,FALSE),"")</f>
        <v/>
      </c>
      <c r="F1968" s="37" t="str">
        <f>IFERROR(VLOOKUP(A1968,القائمة!$A$3:$F$112,6,FALSE),"")</f>
        <v/>
      </c>
      <c r="P1968" s="27">
        <f t="shared" si="63"/>
        <v>0</v>
      </c>
      <c r="Q1968" s="27">
        <f t="shared" si="62"/>
        <v>0</v>
      </c>
    </row>
    <row r="1969" spans="2:17" x14ac:dyDescent="0.45">
      <c r="B1969" s="27" t="str">
        <f>IFERROR(VLOOKUP(A1969,القائمة!$A$3:$F$112,2,FALSE),"")</f>
        <v/>
      </c>
      <c r="C1969" s="27" t="str">
        <f>IFERROR(VLOOKUP(A1969,القائمة!$A$3:$F$112,3,FALSE),"")</f>
        <v/>
      </c>
      <c r="D1969" s="36" t="str">
        <f>IFERROR(VLOOKUP(A1969,القائمة!$A$3:$F$112,4,FALSE),"")</f>
        <v/>
      </c>
      <c r="E1969" s="36" t="str">
        <f>IFERROR(VLOOKUP(A1969,القائمة!$A$3:$F$112,5,FALSE),"")</f>
        <v/>
      </c>
      <c r="F1969" s="37" t="str">
        <f>IFERROR(VLOOKUP(A1969,القائمة!$A$3:$F$112,6,FALSE),"")</f>
        <v/>
      </c>
      <c r="P1969" s="27">
        <f t="shared" si="63"/>
        <v>0</v>
      </c>
      <c r="Q1969" s="27">
        <f t="shared" si="62"/>
        <v>0</v>
      </c>
    </row>
    <row r="1970" spans="2:17" x14ac:dyDescent="0.45">
      <c r="B1970" s="27" t="str">
        <f>IFERROR(VLOOKUP(A1970,القائمة!$A$3:$F$112,2,FALSE),"")</f>
        <v/>
      </c>
      <c r="C1970" s="27" t="str">
        <f>IFERROR(VLOOKUP(A1970,القائمة!$A$3:$F$112,3,FALSE),"")</f>
        <v/>
      </c>
      <c r="D1970" s="36" t="str">
        <f>IFERROR(VLOOKUP(A1970,القائمة!$A$3:$F$112,4,FALSE),"")</f>
        <v/>
      </c>
      <c r="E1970" s="36" t="str">
        <f>IFERROR(VLOOKUP(A1970,القائمة!$A$3:$F$112,5,FALSE),"")</f>
        <v/>
      </c>
      <c r="F1970" s="37" t="str">
        <f>IFERROR(VLOOKUP(A1970,القائمة!$A$3:$F$112,6,FALSE),"")</f>
        <v/>
      </c>
      <c r="P1970" s="27">
        <f t="shared" si="63"/>
        <v>0</v>
      </c>
      <c r="Q1970" s="27">
        <f t="shared" si="62"/>
        <v>0</v>
      </c>
    </row>
    <row r="1971" spans="2:17" x14ac:dyDescent="0.45">
      <c r="B1971" s="27" t="str">
        <f>IFERROR(VLOOKUP(A1971,القائمة!$A$3:$F$112,2,FALSE),"")</f>
        <v/>
      </c>
      <c r="C1971" s="27" t="str">
        <f>IFERROR(VLOOKUP(A1971,القائمة!$A$3:$F$112,3,FALSE),"")</f>
        <v/>
      </c>
      <c r="D1971" s="36" t="str">
        <f>IFERROR(VLOOKUP(A1971,القائمة!$A$3:$F$112,4,FALSE),"")</f>
        <v/>
      </c>
      <c r="E1971" s="36" t="str">
        <f>IFERROR(VLOOKUP(A1971,القائمة!$A$3:$F$112,5,FALSE),"")</f>
        <v/>
      </c>
      <c r="F1971" s="37" t="str">
        <f>IFERROR(VLOOKUP(A1971,القائمة!$A$3:$F$112,6,FALSE),"")</f>
        <v/>
      </c>
      <c r="P1971" s="27">
        <f t="shared" si="63"/>
        <v>0</v>
      </c>
      <c r="Q1971" s="27">
        <f t="shared" si="62"/>
        <v>0</v>
      </c>
    </row>
    <row r="1972" spans="2:17" x14ac:dyDescent="0.45">
      <c r="B1972" s="27" t="str">
        <f>IFERROR(VLOOKUP(A1972,القائمة!$A$3:$F$112,2,FALSE),"")</f>
        <v/>
      </c>
      <c r="C1972" s="27" t="str">
        <f>IFERROR(VLOOKUP(A1972,القائمة!$A$3:$F$112,3,FALSE),"")</f>
        <v/>
      </c>
      <c r="D1972" s="36" t="str">
        <f>IFERROR(VLOOKUP(A1972,القائمة!$A$3:$F$112,4,FALSE),"")</f>
        <v/>
      </c>
      <c r="E1972" s="36" t="str">
        <f>IFERROR(VLOOKUP(A1972,القائمة!$A$3:$F$112,5,FALSE),"")</f>
        <v/>
      </c>
      <c r="F1972" s="37" t="str">
        <f>IFERROR(VLOOKUP(A1972,القائمة!$A$3:$F$112,6,FALSE),"")</f>
        <v/>
      </c>
      <c r="P1972" s="27">
        <f t="shared" si="63"/>
        <v>0</v>
      </c>
      <c r="Q1972" s="27">
        <f t="shared" si="62"/>
        <v>0</v>
      </c>
    </row>
    <row r="1973" spans="2:17" x14ac:dyDescent="0.45">
      <c r="B1973" s="27" t="str">
        <f>IFERROR(VLOOKUP(A1973,القائمة!$A$3:$F$112,2,FALSE),"")</f>
        <v/>
      </c>
      <c r="C1973" s="27" t="str">
        <f>IFERROR(VLOOKUP(A1973,القائمة!$A$3:$F$112,3,FALSE),"")</f>
        <v/>
      </c>
      <c r="D1973" s="36" t="str">
        <f>IFERROR(VLOOKUP(A1973,القائمة!$A$3:$F$112,4,FALSE),"")</f>
        <v/>
      </c>
      <c r="E1973" s="36" t="str">
        <f>IFERROR(VLOOKUP(A1973,القائمة!$A$3:$F$112,5,FALSE),"")</f>
        <v/>
      </c>
      <c r="F1973" s="37" t="str">
        <f>IFERROR(VLOOKUP(A1973,القائمة!$A$3:$F$112,6,FALSE),"")</f>
        <v/>
      </c>
      <c r="P1973" s="27">
        <f t="shared" si="63"/>
        <v>0</v>
      </c>
      <c r="Q1973" s="27">
        <f t="shared" si="62"/>
        <v>0</v>
      </c>
    </row>
    <row r="1974" spans="2:17" x14ac:dyDescent="0.45">
      <c r="B1974" s="27" t="str">
        <f>IFERROR(VLOOKUP(A1974,القائمة!$A$3:$F$112,2,FALSE),"")</f>
        <v/>
      </c>
      <c r="C1974" s="27" t="str">
        <f>IFERROR(VLOOKUP(A1974,القائمة!$A$3:$F$112,3,FALSE),"")</f>
        <v/>
      </c>
      <c r="D1974" s="36" t="str">
        <f>IFERROR(VLOOKUP(A1974,القائمة!$A$3:$F$112,4,FALSE),"")</f>
        <v/>
      </c>
      <c r="E1974" s="36" t="str">
        <f>IFERROR(VLOOKUP(A1974,القائمة!$A$3:$F$112,5,FALSE),"")</f>
        <v/>
      </c>
      <c r="F1974" s="37" t="str">
        <f>IFERROR(VLOOKUP(A1974,القائمة!$A$3:$F$112,6,FALSE),"")</f>
        <v/>
      </c>
      <c r="P1974" s="27">
        <f t="shared" si="63"/>
        <v>0</v>
      </c>
      <c r="Q1974" s="27">
        <f t="shared" si="62"/>
        <v>0</v>
      </c>
    </row>
    <row r="1975" spans="2:17" x14ac:dyDescent="0.45">
      <c r="B1975" s="27" t="str">
        <f>IFERROR(VLOOKUP(A1975,القائمة!$A$3:$F$112,2,FALSE),"")</f>
        <v/>
      </c>
      <c r="C1975" s="27" t="str">
        <f>IFERROR(VLOOKUP(A1975,القائمة!$A$3:$F$112,3,FALSE),"")</f>
        <v/>
      </c>
      <c r="D1975" s="36" t="str">
        <f>IFERROR(VLOOKUP(A1975,القائمة!$A$3:$F$112,4,FALSE),"")</f>
        <v/>
      </c>
      <c r="E1975" s="36" t="str">
        <f>IFERROR(VLOOKUP(A1975,القائمة!$A$3:$F$112,5,FALSE),"")</f>
        <v/>
      </c>
      <c r="F1975" s="37" t="str">
        <f>IFERROR(VLOOKUP(A1975,القائمة!$A$3:$F$112,6,FALSE),"")</f>
        <v/>
      </c>
      <c r="P1975" s="27">
        <f t="shared" si="63"/>
        <v>0</v>
      </c>
      <c r="Q1975" s="27">
        <f t="shared" si="62"/>
        <v>0</v>
      </c>
    </row>
    <row r="1976" spans="2:17" x14ac:dyDescent="0.45">
      <c r="B1976" s="27" t="str">
        <f>IFERROR(VLOOKUP(A1976,القائمة!$A$3:$F$112,2,FALSE),"")</f>
        <v/>
      </c>
      <c r="C1976" s="27" t="str">
        <f>IFERROR(VLOOKUP(A1976,القائمة!$A$3:$F$112,3,FALSE),"")</f>
        <v/>
      </c>
      <c r="D1976" s="36" t="str">
        <f>IFERROR(VLOOKUP(A1976,القائمة!$A$3:$F$112,4,FALSE),"")</f>
        <v/>
      </c>
      <c r="E1976" s="36" t="str">
        <f>IFERROR(VLOOKUP(A1976,القائمة!$A$3:$F$112,5,FALSE),"")</f>
        <v/>
      </c>
      <c r="F1976" s="37" t="str">
        <f>IFERROR(VLOOKUP(A1976,القائمة!$A$3:$F$112,6,FALSE),"")</f>
        <v/>
      </c>
      <c r="P1976" s="27">
        <f t="shared" si="63"/>
        <v>0</v>
      </c>
      <c r="Q1976" s="27">
        <f t="shared" si="62"/>
        <v>0</v>
      </c>
    </row>
    <row r="1977" spans="2:17" x14ac:dyDescent="0.45">
      <c r="B1977" s="27" t="str">
        <f>IFERROR(VLOOKUP(A1977,القائمة!$A$3:$F$112,2,FALSE),"")</f>
        <v/>
      </c>
      <c r="C1977" s="27" t="str">
        <f>IFERROR(VLOOKUP(A1977,القائمة!$A$3:$F$112,3,FALSE),"")</f>
        <v/>
      </c>
      <c r="D1977" s="36" t="str">
        <f>IFERROR(VLOOKUP(A1977,القائمة!$A$3:$F$112,4,FALSE),"")</f>
        <v/>
      </c>
      <c r="E1977" s="36" t="str">
        <f>IFERROR(VLOOKUP(A1977,القائمة!$A$3:$F$112,5,FALSE),"")</f>
        <v/>
      </c>
      <c r="F1977" s="37" t="str">
        <f>IFERROR(VLOOKUP(A1977,القائمة!$A$3:$F$112,6,FALSE),"")</f>
        <v/>
      </c>
      <c r="P1977" s="27">
        <f t="shared" si="63"/>
        <v>0</v>
      </c>
      <c r="Q1977" s="27">
        <f t="shared" si="62"/>
        <v>0</v>
      </c>
    </row>
    <row r="1978" spans="2:17" x14ac:dyDescent="0.45">
      <c r="B1978" s="27" t="str">
        <f>IFERROR(VLOOKUP(A1978,القائمة!$A$3:$F$112,2,FALSE),"")</f>
        <v/>
      </c>
      <c r="C1978" s="27" t="str">
        <f>IFERROR(VLOOKUP(A1978,القائمة!$A$3:$F$112,3,FALSE),"")</f>
        <v/>
      </c>
      <c r="D1978" s="36" t="str">
        <f>IFERROR(VLOOKUP(A1978,القائمة!$A$3:$F$112,4,FALSE),"")</f>
        <v/>
      </c>
      <c r="E1978" s="36" t="str">
        <f>IFERROR(VLOOKUP(A1978,القائمة!$A$3:$F$112,5,FALSE),"")</f>
        <v/>
      </c>
      <c r="F1978" s="37" t="str">
        <f>IFERROR(VLOOKUP(A1978,القائمة!$A$3:$F$112,6,FALSE),"")</f>
        <v/>
      </c>
      <c r="P1978" s="27">
        <f t="shared" si="63"/>
        <v>0</v>
      </c>
      <c r="Q1978" s="27">
        <f t="shared" si="62"/>
        <v>0</v>
      </c>
    </row>
    <row r="1979" spans="2:17" x14ac:dyDescent="0.45">
      <c r="B1979" s="27" t="str">
        <f>IFERROR(VLOOKUP(A1979,القائمة!$A$3:$F$112,2,FALSE),"")</f>
        <v/>
      </c>
      <c r="C1979" s="27" t="str">
        <f>IFERROR(VLOOKUP(A1979,القائمة!$A$3:$F$112,3,FALSE),"")</f>
        <v/>
      </c>
      <c r="D1979" s="36" t="str">
        <f>IFERROR(VLOOKUP(A1979,القائمة!$A$3:$F$112,4,FALSE),"")</f>
        <v/>
      </c>
      <c r="E1979" s="36" t="str">
        <f>IFERROR(VLOOKUP(A1979,القائمة!$A$3:$F$112,5,FALSE),"")</f>
        <v/>
      </c>
      <c r="F1979" s="37" t="str">
        <f>IFERROR(VLOOKUP(A1979,القائمة!$A$3:$F$112,6,FALSE),"")</f>
        <v/>
      </c>
      <c r="P1979" s="27">
        <f t="shared" si="63"/>
        <v>0</v>
      </c>
      <c r="Q1979" s="27">
        <f t="shared" si="62"/>
        <v>0</v>
      </c>
    </row>
    <row r="1980" spans="2:17" x14ac:dyDescent="0.45">
      <c r="B1980" s="27" t="str">
        <f>IFERROR(VLOOKUP(A1980,القائمة!$A$3:$F$112,2,FALSE),"")</f>
        <v/>
      </c>
      <c r="C1980" s="27" t="str">
        <f>IFERROR(VLOOKUP(A1980,القائمة!$A$3:$F$112,3,FALSE),"")</f>
        <v/>
      </c>
      <c r="D1980" s="36" t="str">
        <f>IFERROR(VLOOKUP(A1980,القائمة!$A$3:$F$112,4,FALSE),"")</f>
        <v/>
      </c>
      <c r="E1980" s="36" t="str">
        <f>IFERROR(VLOOKUP(A1980,القائمة!$A$3:$F$112,5,FALSE),"")</f>
        <v/>
      </c>
      <c r="F1980" s="37" t="str">
        <f>IFERROR(VLOOKUP(A1980,القائمة!$A$3:$F$112,6,FALSE),"")</f>
        <v/>
      </c>
      <c r="P1980" s="27">
        <f t="shared" si="63"/>
        <v>0</v>
      </c>
      <c r="Q1980" s="27">
        <f t="shared" si="62"/>
        <v>0</v>
      </c>
    </row>
    <row r="1981" spans="2:17" x14ac:dyDescent="0.45">
      <c r="B1981" s="27" t="str">
        <f>IFERROR(VLOOKUP(A1981,القائمة!$A$3:$F$112,2,FALSE),"")</f>
        <v/>
      </c>
      <c r="C1981" s="27" t="str">
        <f>IFERROR(VLOOKUP(A1981,القائمة!$A$3:$F$112,3,FALSE),"")</f>
        <v/>
      </c>
      <c r="D1981" s="36" t="str">
        <f>IFERROR(VLOOKUP(A1981,القائمة!$A$3:$F$112,4,FALSE),"")</f>
        <v/>
      </c>
      <c r="E1981" s="36" t="str">
        <f>IFERROR(VLOOKUP(A1981,القائمة!$A$3:$F$112,5,FALSE),"")</f>
        <v/>
      </c>
      <c r="F1981" s="37" t="str">
        <f>IFERROR(VLOOKUP(A1981,القائمة!$A$3:$F$112,6,FALSE),"")</f>
        <v/>
      </c>
      <c r="P1981" s="27">
        <f t="shared" si="63"/>
        <v>0</v>
      </c>
      <c r="Q1981" s="27">
        <f t="shared" si="62"/>
        <v>0</v>
      </c>
    </row>
    <row r="1982" spans="2:17" x14ac:dyDescent="0.45">
      <c r="B1982" s="27" t="str">
        <f>IFERROR(VLOOKUP(A1982,القائمة!$A$3:$F$112,2,FALSE),"")</f>
        <v/>
      </c>
      <c r="C1982" s="27" t="str">
        <f>IFERROR(VLOOKUP(A1982,القائمة!$A$3:$F$112,3,FALSE),"")</f>
        <v/>
      </c>
      <c r="D1982" s="36" t="str">
        <f>IFERROR(VLOOKUP(A1982,القائمة!$A$3:$F$112,4,FALSE),"")</f>
        <v/>
      </c>
      <c r="E1982" s="36" t="str">
        <f>IFERROR(VLOOKUP(A1982,القائمة!$A$3:$F$112,5,FALSE),"")</f>
        <v/>
      </c>
      <c r="F1982" s="37" t="str">
        <f>IFERROR(VLOOKUP(A1982,القائمة!$A$3:$F$112,6,FALSE),"")</f>
        <v/>
      </c>
      <c r="P1982" s="27">
        <f t="shared" si="63"/>
        <v>0</v>
      </c>
      <c r="Q1982" s="27">
        <f t="shared" si="62"/>
        <v>0</v>
      </c>
    </row>
    <row r="1983" spans="2:17" x14ac:dyDescent="0.45">
      <c r="B1983" s="27" t="str">
        <f>IFERROR(VLOOKUP(A1983,القائمة!$A$3:$F$112,2,FALSE),"")</f>
        <v/>
      </c>
      <c r="C1983" s="27" t="str">
        <f>IFERROR(VLOOKUP(A1983,القائمة!$A$3:$F$112,3,FALSE),"")</f>
        <v/>
      </c>
      <c r="D1983" s="36" t="str">
        <f>IFERROR(VLOOKUP(A1983,القائمة!$A$3:$F$112,4,FALSE),"")</f>
        <v/>
      </c>
      <c r="E1983" s="36" t="str">
        <f>IFERROR(VLOOKUP(A1983,القائمة!$A$3:$F$112,5,FALSE),"")</f>
        <v/>
      </c>
      <c r="F1983" s="37" t="str">
        <f>IFERROR(VLOOKUP(A1983,القائمة!$A$3:$F$112,6,FALSE),"")</f>
        <v/>
      </c>
      <c r="P1983" s="27">
        <f t="shared" si="63"/>
        <v>0</v>
      </c>
      <c r="Q1983" s="27">
        <f t="shared" si="62"/>
        <v>0</v>
      </c>
    </row>
    <row r="1984" spans="2:17" x14ac:dyDescent="0.45">
      <c r="B1984" s="27" t="str">
        <f>IFERROR(VLOOKUP(A1984,القائمة!$A$3:$F$112,2,FALSE),"")</f>
        <v/>
      </c>
      <c r="C1984" s="27" t="str">
        <f>IFERROR(VLOOKUP(A1984,القائمة!$A$3:$F$112,3,FALSE),"")</f>
        <v/>
      </c>
      <c r="D1984" s="36" t="str">
        <f>IFERROR(VLOOKUP(A1984,القائمة!$A$3:$F$112,4,FALSE),"")</f>
        <v/>
      </c>
      <c r="E1984" s="36" t="str">
        <f>IFERROR(VLOOKUP(A1984,القائمة!$A$3:$F$112,5,FALSE),"")</f>
        <v/>
      </c>
      <c r="F1984" s="37" t="str">
        <f>IFERROR(VLOOKUP(A1984,القائمة!$A$3:$F$112,6,FALSE),"")</f>
        <v/>
      </c>
      <c r="P1984" s="27">
        <f t="shared" si="63"/>
        <v>0</v>
      </c>
      <c r="Q1984" s="27">
        <f t="shared" si="62"/>
        <v>0</v>
      </c>
    </row>
    <row r="1985" spans="2:17" x14ac:dyDescent="0.45">
      <c r="B1985" s="27" t="str">
        <f>IFERROR(VLOOKUP(A1985,القائمة!$A$3:$F$112,2,FALSE),"")</f>
        <v/>
      </c>
      <c r="C1985" s="27" t="str">
        <f>IFERROR(VLOOKUP(A1985,القائمة!$A$3:$F$112,3,FALSE),"")</f>
        <v/>
      </c>
      <c r="D1985" s="36" t="str">
        <f>IFERROR(VLOOKUP(A1985,القائمة!$A$3:$F$112,4,FALSE),"")</f>
        <v/>
      </c>
      <c r="E1985" s="36" t="str">
        <f>IFERROR(VLOOKUP(A1985,القائمة!$A$3:$F$112,5,FALSE),"")</f>
        <v/>
      </c>
      <c r="F1985" s="37" t="str">
        <f>IFERROR(VLOOKUP(A1985,القائمة!$A$3:$F$112,6,FALSE),"")</f>
        <v/>
      </c>
      <c r="P1985" s="27">
        <f t="shared" si="63"/>
        <v>0</v>
      </c>
      <c r="Q1985" s="27">
        <f t="shared" si="62"/>
        <v>0</v>
      </c>
    </row>
    <row r="1986" spans="2:17" x14ac:dyDescent="0.45">
      <c r="B1986" s="27" t="str">
        <f>IFERROR(VLOOKUP(A1986,القائمة!$A$3:$F$112,2,FALSE),"")</f>
        <v/>
      </c>
      <c r="C1986" s="27" t="str">
        <f>IFERROR(VLOOKUP(A1986,القائمة!$A$3:$F$112,3,FALSE),"")</f>
        <v/>
      </c>
      <c r="D1986" s="36" t="str">
        <f>IFERROR(VLOOKUP(A1986,القائمة!$A$3:$F$112,4,FALSE),"")</f>
        <v/>
      </c>
      <c r="E1986" s="36" t="str">
        <f>IFERROR(VLOOKUP(A1986,القائمة!$A$3:$F$112,5,FALSE),"")</f>
        <v/>
      </c>
      <c r="F1986" s="37" t="str">
        <f>IFERROR(VLOOKUP(A1986,القائمة!$A$3:$F$112,6,FALSE),"")</f>
        <v/>
      </c>
      <c r="P1986" s="27">
        <f t="shared" si="63"/>
        <v>0</v>
      </c>
      <c r="Q1986" s="27">
        <f t="shared" si="62"/>
        <v>0</v>
      </c>
    </row>
    <row r="1987" spans="2:17" x14ac:dyDescent="0.45">
      <c r="B1987" s="27" t="str">
        <f>IFERROR(VLOOKUP(A1987,القائمة!$A$3:$F$112,2,FALSE),"")</f>
        <v/>
      </c>
      <c r="C1987" s="27" t="str">
        <f>IFERROR(VLOOKUP(A1987,القائمة!$A$3:$F$112,3,FALSE),"")</f>
        <v/>
      </c>
      <c r="D1987" s="36" t="str">
        <f>IFERROR(VLOOKUP(A1987,القائمة!$A$3:$F$112,4,FALSE),"")</f>
        <v/>
      </c>
      <c r="E1987" s="36" t="str">
        <f>IFERROR(VLOOKUP(A1987,القائمة!$A$3:$F$112,5,FALSE),"")</f>
        <v/>
      </c>
      <c r="F1987" s="37" t="str">
        <f>IFERROR(VLOOKUP(A1987,القائمة!$A$3:$F$112,6,FALSE),"")</f>
        <v/>
      </c>
      <c r="P1987" s="27">
        <f t="shared" si="63"/>
        <v>0</v>
      </c>
      <c r="Q1987" s="27">
        <f t="shared" ref="Q1987:Q2001" si="64">+P1987+L1987-M1987</f>
        <v>0</v>
      </c>
    </row>
    <row r="1988" spans="2:17" x14ac:dyDescent="0.45">
      <c r="B1988" s="27" t="str">
        <f>IFERROR(VLOOKUP(A1988,القائمة!$A$3:$F$112,2,FALSE),"")</f>
        <v/>
      </c>
      <c r="C1988" s="27" t="str">
        <f>IFERROR(VLOOKUP(A1988,القائمة!$A$3:$F$112,3,FALSE),"")</f>
        <v/>
      </c>
      <c r="D1988" s="36" t="str">
        <f>IFERROR(VLOOKUP(A1988,القائمة!$A$3:$F$112,4,FALSE),"")</f>
        <v/>
      </c>
      <c r="E1988" s="36" t="str">
        <f>IFERROR(VLOOKUP(A1988,القائمة!$A$3:$F$112,5,FALSE),"")</f>
        <v/>
      </c>
      <c r="F1988" s="37" t="str">
        <f>IFERROR(VLOOKUP(A1988,القائمة!$A$3:$F$112,6,FALSE),"")</f>
        <v/>
      </c>
      <c r="P1988" s="27">
        <f t="shared" ref="P1988:P2001" si="65">J1988-K1988</f>
        <v>0</v>
      </c>
      <c r="Q1988" s="27">
        <f t="shared" si="64"/>
        <v>0</v>
      </c>
    </row>
    <row r="1989" spans="2:17" x14ac:dyDescent="0.45">
      <c r="B1989" s="27" t="str">
        <f>IFERROR(VLOOKUP(A1989,القائمة!$A$3:$F$112,2,FALSE),"")</f>
        <v/>
      </c>
      <c r="C1989" s="27" t="str">
        <f>IFERROR(VLOOKUP(A1989,القائمة!$A$3:$F$112,3,FALSE),"")</f>
        <v/>
      </c>
      <c r="D1989" s="36" t="str">
        <f>IFERROR(VLOOKUP(A1989,القائمة!$A$3:$F$112,4,FALSE),"")</f>
        <v/>
      </c>
      <c r="E1989" s="36" t="str">
        <f>IFERROR(VLOOKUP(A1989,القائمة!$A$3:$F$112,5,FALSE),"")</f>
        <v/>
      </c>
      <c r="F1989" s="37" t="str">
        <f>IFERROR(VLOOKUP(A1989,القائمة!$A$3:$F$112,6,FALSE),"")</f>
        <v/>
      </c>
      <c r="P1989" s="27">
        <f t="shared" si="65"/>
        <v>0</v>
      </c>
      <c r="Q1989" s="27">
        <f t="shared" si="64"/>
        <v>0</v>
      </c>
    </row>
    <row r="1990" spans="2:17" x14ac:dyDescent="0.45">
      <c r="B1990" s="27" t="str">
        <f>IFERROR(VLOOKUP(A1990,القائمة!$A$3:$F$112,2,FALSE),"")</f>
        <v/>
      </c>
      <c r="C1990" s="27" t="str">
        <f>IFERROR(VLOOKUP(A1990,القائمة!$A$3:$F$112,3,FALSE),"")</f>
        <v/>
      </c>
      <c r="D1990" s="36" t="str">
        <f>IFERROR(VLOOKUP(A1990,القائمة!$A$3:$F$112,4,FALSE),"")</f>
        <v/>
      </c>
      <c r="E1990" s="36" t="str">
        <f>IFERROR(VLOOKUP(A1990,القائمة!$A$3:$F$112,5,FALSE),"")</f>
        <v/>
      </c>
      <c r="F1990" s="37" t="str">
        <f>IFERROR(VLOOKUP(A1990,القائمة!$A$3:$F$112,6,FALSE),"")</f>
        <v/>
      </c>
      <c r="P1990" s="27">
        <f t="shared" si="65"/>
        <v>0</v>
      </c>
      <c r="Q1990" s="27">
        <f t="shared" si="64"/>
        <v>0</v>
      </c>
    </row>
    <row r="1991" spans="2:17" x14ac:dyDescent="0.45">
      <c r="B1991" s="27" t="str">
        <f>IFERROR(VLOOKUP(A1991,القائمة!$A$3:$F$112,2,FALSE),"")</f>
        <v/>
      </c>
      <c r="C1991" s="27" t="str">
        <f>IFERROR(VLOOKUP(A1991,القائمة!$A$3:$F$112,3,FALSE),"")</f>
        <v/>
      </c>
      <c r="D1991" s="36" t="str">
        <f>IFERROR(VLOOKUP(A1991,القائمة!$A$3:$F$112,4,FALSE),"")</f>
        <v/>
      </c>
      <c r="E1991" s="36" t="str">
        <f>IFERROR(VLOOKUP(A1991,القائمة!$A$3:$F$112,5,FALSE),"")</f>
        <v/>
      </c>
      <c r="F1991" s="37" t="str">
        <f>IFERROR(VLOOKUP(A1991,القائمة!$A$3:$F$112,6,FALSE),"")</f>
        <v/>
      </c>
      <c r="P1991" s="27">
        <f t="shared" si="65"/>
        <v>0</v>
      </c>
      <c r="Q1991" s="27">
        <f t="shared" si="64"/>
        <v>0</v>
      </c>
    </row>
    <row r="1992" spans="2:17" x14ac:dyDescent="0.45">
      <c r="B1992" s="27" t="str">
        <f>IFERROR(VLOOKUP(A1992,القائمة!$A$3:$F$112,2,FALSE),"")</f>
        <v/>
      </c>
      <c r="C1992" s="27" t="str">
        <f>IFERROR(VLOOKUP(A1992,القائمة!$A$3:$F$112,3,FALSE),"")</f>
        <v/>
      </c>
      <c r="D1992" s="36" t="str">
        <f>IFERROR(VLOOKUP(A1992,القائمة!$A$3:$F$112,4,FALSE),"")</f>
        <v/>
      </c>
      <c r="E1992" s="36" t="str">
        <f>IFERROR(VLOOKUP(A1992,القائمة!$A$3:$F$112,5,FALSE),"")</f>
        <v/>
      </c>
      <c r="F1992" s="37" t="str">
        <f>IFERROR(VLOOKUP(A1992,القائمة!$A$3:$F$112,6,FALSE),"")</f>
        <v/>
      </c>
      <c r="P1992" s="27">
        <f t="shared" si="65"/>
        <v>0</v>
      </c>
      <c r="Q1992" s="27">
        <f t="shared" si="64"/>
        <v>0</v>
      </c>
    </row>
    <row r="1993" spans="2:17" x14ac:dyDescent="0.45">
      <c r="B1993" s="27" t="str">
        <f>IFERROR(VLOOKUP(A1993,القائمة!$A$3:$F$112,2,FALSE),"")</f>
        <v/>
      </c>
      <c r="C1993" s="27" t="str">
        <f>IFERROR(VLOOKUP(A1993,القائمة!$A$3:$F$112,3,FALSE),"")</f>
        <v/>
      </c>
      <c r="D1993" s="36" t="str">
        <f>IFERROR(VLOOKUP(A1993,القائمة!$A$3:$F$112,4,FALSE),"")</f>
        <v/>
      </c>
      <c r="E1993" s="36" t="str">
        <f>IFERROR(VLOOKUP(A1993,القائمة!$A$3:$F$112,5,FALSE),"")</f>
        <v/>
      </c>
      <c r="F1993" s="37" t="str">
        <f>IFERROR(VLOOKUP(A1993,القائمة!$A$3:$F$112,6,FALSE),"")</f>
        <v/>
      </c>
      <c r="P1993" s="27">
        <f t="shared" si="65"/>
        <v>0</v>
      </c>
      <c r="Q1993" s="27">
        <f t="shared" si="64"/>
        <v>0</v>
      </c>
    </row>
    <row r="1994" spans="2:17" x14ac:dyDescent="0.45">
      <c r="B1994" s="27" t="str">
        <f>IFERROR(VLOOKUP(A1994,القائمة!$A$3:$F$112,2,FALSE),"")</f>
        <v/>
      </c>
      <c r="C1994" s="27" t="str">
        <f>IFERROR(VLOOKUP(A1994,القائمة!$A$3:$F$112,3,FALSE),"")</f>
        <v/>
      </c>
      <c r="D1994" s="36" t="str">
        <f>IFERROR(VLOOKUP(A1994,القائمة!$A$3:$F$112,4,FALSE),"")</f>
        <v/>
      </c>
      <c r="E1994" s="36" t="str">
        <f>IFERROR(VLOOKUP(A1994,القائمة!$A$3:$F$112,5,FALSE),"")</f>
        <v/>
      </c>
      <c r="F1994" s="37" t="str">
        <f>IFERROR(VLOOKUP(A1994,القائمة!$A$3:$F$112,6,FALSE),"")</f>
        <v/>
      </c>
      <c r="P1994" s="27">
        <f t="shared" si="65"/>
        <v>0</v>
      </c>
      <c r="Q1994" s="27">
        <f t="shared" si="64"/>
        <v>0</v>
      </c>
    </row>
    <row r="1995" spans="2:17" x14ac:dyDescent="0.45">
      <c r="B1995" s="27" t="str">
        <f>IFERROR(VLOOKUP(A1995,القائمة!$A$3:$F$112,2,FALSE),"")</f>
        <v/>
      </c>
      <c r="C1995" s="27" t="str">
        <f>IFERROR(VLOOKUP(A1995,القائمة!$A$3:$F$112,3,FALSE),"")</f>
        <v/>
      </c>
      <c r="D1995" s="36" t="str">
        <f>IFERROR(VLOOKUP(A1995,القائمة!$A$3:$F$112,4,FALSE),"")</f>
        <v/>
      </c>
      <c r="E1995" s="36" t="str">
        <f>IFERROR(VLOOKUP(A1995,القائمة!$A$3:$F$112,5,FALSE),"")</f>
        <v/>
      </c>
      <c r="F1995" s="37" t="str">
        <f>IFERROR(VLOOKUP(A1995,القائمة!$A$3:$F$112,6,FALSE),"")</f>
        <v/>
      </c>
      <c r="P1995" s="27">
        <f t="shared" si="65"/>
        <v>0</v>
      </c>
      <c r="Q1995" s="27">
        <f t="shared" si="64"/>
        <v>0</v>
      </c>
    </row>
    <row r="1996" spans="2:17" x14ac:dyDescent="0.45">
      <c r="B1996" s="27" t="str">
        <f>IFERROR(VLOOKUP(A1996,القائمة!$A$3:$F$112,2,FALSE),"")</f>
        <v/>
      </c>
      <c r="C1996" s="27" t="str">
        <f>IFERROR(VLOOKUP(A1996,القائمة!$A$3:$F$112,3,FALSE),"")</f>
        <v/>
      </c>
      <c r="D1996" s="36" t="str">
        <f>IFERROR(VLOOKUP(A1996,القائمة!$A$3:$F$112,4,FALSE),"")</f>
        <v/>
      </c>
      <c r="E1996" s="36" t="str">
        <f>IFERROR(VLOOKUP(A1996,القائمة!$A$3:$F$112,5,FALSE),"")</f>
        <v/>
      </c>
      <c r="F1996" s="37" t="str">
        <f>IFERROR(VLOOKUP(A1996,القائمة!$A$3:$F$112,6,FALSE),"")</f>
        <v/>
      </c>
      <c r="P1996" s="27">
        <f t="shared" si="65"/>
        <v>0</v>
      </c>
      <c r="Q1996" s="27">
        <f t="shared" si="64"/>
        <v>0</v>
      </c>
    </row>
    <row r="1997" spans="2:17" x14ac:dyDescent="0.45">
      <c r="B1997" s="27" t="str">
        <f>IFERROR(VLOOKUP(A1997,القائمة!$A$3:$F$112,2,FALSE),"")</f>
        <v/>
      </c>
      <c r="C1997" s="27" t="str">
        <f>IFERROR(VLOOKUP(A1997,القائمة!$A$3:$F$112,3,FALSE),"")</f>
        <v/>
      </c>
      <c r="D1997" s="36" t="str">
        <f>IFERROR(VLOOKUP(A1997,القائمة!$A$3:$F$112,4,FALSE),"")</f>
        <v/>
      </c>
      <c r="E1997" s="36" t="str">
        <f>IFERROR(VLOOKUP(A1997,القائمة!$A$3:$F$112,5,FALSE),"")</f>
        <v/>
      </c>
      <c r="F1997" s="37" t="str">
        <f>IFERROR(VLOOKUP(A1997,القائمة!$A$3:$F$112,6,FALSE),"")</f>
        <v/>
      </c>
      <c r="P1997" s="27">
        <f t="shared" si="65"/>
        <v>0</v>
      </c>
      <c r="Q1997" s="27">
        <f t="shared" si="64"/>
        <v>0</v>
      </c>
    </row>
    <row r="1998" spans="2:17" x14ac:dyDescent="0.45">
      <c r="B1998" s="27" t="str">
        <f>IFERROR(VLOOKUP(A1998,القائمة!$A$3:$F$112,2,FALSE),"")</f>
        <v/>
      </c>
      <c r="C1998" s="27" t="str">
        <f>IFERROR(VLOOKUP(A1998,القائمة!$A$3:$F$112,3,FALSE),"")</f>
        <v/>
      </c>
      <c r="D1998" s="36" t="str">
        <f>IFERROR(VLOOKUP(A1998,القائمة!$A$3:$F$112,4,FALSE),"")</f>
        <v/>
      </c>
      <c r="E1998" s="36" t="str">
        <f>IFERROR(VLOOKUP(A1998,القائمة!$A$3:$F$112,5,FALSE),"")</f>
        <v/>
      </c>
      <c r="F1998" s="37" t="str">
        <f>IFERROR(VLOOKUP(A1998,القائمة!$A$3:$F$112,6,FALSE),"")</f>
        <v/>
      </c>
      <c r="P1998" s="27">
        <f t="shared" si="65"/>
        <v>0</v>
      </c>
      <c r="Q1998" s="27">
        <f t="shared" si="64"/>
        <v>0</v>
      </c>
    </row>
    <row r="1999" spans="2:17" x14ac:dyDescent="0.45">
      <c r="B1999" s="27" t="str">
        <f>IFERROR(VLOOKUP(A1999,القائمة!$A$3:$F$112,2,FALSE),"")</f>
        <v/>
      </c>
      <c r="C1999" s="27" t="str">
        <f>IFERROR(VLOOKUP(A1999,القائمة!$A$3:$F$112,3,FALSE),"")</f>
        <v/>
      </c>
      <c r="D1999" s="36" t="str">
        <f>IFERROR(VLOOKUP(A1999,القائمة!$A$3:$F$112,4,FALSE),"")</f>
        <v/>
      </c>
      <c r="E1999" s="36" t="str">
        <f>IFERROR(VLOOKUP(A1999,القائمة!$A$3:$F$112,5,FALSE),"")</f>
        <v/>
      </c>
      <c r="F1999" s="37" t="str">
        <f>IFERROR(VLOOKUP(A1999,القائمة!$A$3:$F$112,6,FALSE),"")</f>
        <v/>
      </c>
      <c r="P1999" s="27">
        <f t="shared" si="65"/>
        <v>0</v>
      </c>
      <c r="Q1999" s="27">
        <f t="shared" si="64"/>
        <v>0</v>
      </c>
    </row>
    <row r="2000" spans="2:17" x14ac:dyDescent="0.45">
      <c r="B2000" s="27" t="str">
        <f>IFERROR(VLOOKUP(A2000,القائمة!$A$3:$F$112,2,FALSE),"")</f>
        <v/>
      </c>
      <c r="C2000" s="27" t="str">
        <f>IFERROR(VLOOKUP(A2000,القائمة!$A$3:$F$112,3,FALSE),"")</f>
        <v/>
      </c>
      <c r="D2000" s="36" t="str">
        <f>IFERROR(VLOOKUP(A2000,القائمة!$A$3:$F$112,4,FALSE),"")</f>
        <v/>
      </c>
      <c r="E2000" s="36" t="str">
        <f>IFERROR(VLOOKUP(A2000,القائمة!$A$3:$F$112,5,FALSE),"")</f>
        <v/>
      </c>
      <c r="F2000" s="37" t="str">
        <f>IFERROR(VLOOKUP(A2000,القائمة!$A$3:$F$112,6,FALSE),"")</f>
        <v/>
      </c>
      <c r="P2000" s="27">
        <f t="shared" si="65"/>
        <v>0</v>
      </c>
      <c r="Q2000" s="27">
        <f t="shared" si="64"/>
        <v>0</v>
      </c>
    </row>
    <row r="2001" spans="2:17" x14ac:dyDescent="0.45">
      <c r="B2001" s="27" t="str">
        <f>IFERROR(VLOOKUP(A2001,القائمة!$A$3:$F$112,2,FALSE),"")</f>
        <v/>
      </c>
      <c r="C2001" s="27" t="str">
        <f>IFERROR(VLOOKUP(A2001,القائمة!$A$3:$F$112,3,FALSE),"")</f>
        <v/>
      </c>
      <c r="D2001" s="36" t="str">
        <f>IFERROR(VLOOKUP(A2001,القائمة!$A$3:$F$112,4,FALSE),"")</f>
        <v/>
      </c>
      <c r="E2001" s="36" t="str">
        <f>IFERROR(VLOOKUP(A2001,القائمة!$A$3:$F$112,5,FALSE),"")</f>
        <v/>
      </c>
      <c r="F2001" s="37" t="str">
        <f>IFERROR(VLOOKUP(A2001,القائمة!$A$3:$F$112,6,FALSE),"")</f>
        <v/>
      </c>
      <c r="P2001" s="27">
        <f t="shared" si="65"/>
        <v>0</v>
      </c>
      <c r="Q2001" s="27">
        <f t="shared" si="64"/>
        <v>0</v>
      </c>
    </row>
  </sheetData>
  <autoFilter ref="A2:S2001" xr:uid="{00000000-0009-0000-0000-000003000000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4193-CFBE-4CFD-8D41-C528D8A90D6E}">
  <sheetPr>
    <tabColor rgb="FF92D050"/>
  </sheetPr>
  <dimension ref="A1:M109"/>
  <sheetViews>
    <sheetView rightToLeft="1" zoomScaleNormal="100" workbookViewId="0">
      <pane xSplit="1" ySplit="1" topLeftCell="B2" activePane="bottomRight" state="frozen"/>
      <selection activeCell="A105" sqref="A105"/>
      <selection pane="topRight" activeCell="A105" sqref="A105"/>
      <selection pane="bottomLeft" activeCell="A105" sqref="A105"/>
      <selection pane="bottomRight" activeCell="P23" sqref="P23:P24"/>
    </sheetView>
  </sheetViews>
  <sheetFormatPr defaultColWidth="8.85546875" defaultRowHeight="18" x14ac:dyDescent="0.45"/>
  <cols>
    <col min="1" max="1" width="8.28515625" style="21" bestFit="1" customWidth="1"/>
    <col min="2" max="2" width="24.7109375" style="21" bestFit="1" customWidth="1"/>
    <col min="3" max="3" width="22" style="21" bestFit="1" customWidth="1"/>
    <col min="4" max="4" width="6.7109375" style="21" bestFit="1" customWidth="1"/>
    <col min="5" max="5" width="10.28515625" style="21" bestFit="1" customWidth="1"/>
    <col min="6" max="6" width="8.7109375" style="21" bestFit="1" customWidth="1"/>
    <col min="7" max="8" width="8" style="21" bestFit="1" customWidth="1"/>
    <col min="9" max="9" width="6.28515625" style="21" bestFit="1" customWidth="1"/>
    <col min="10" max="11" width="7.5703125" style="21" bestFit="1" customWidth="1"/>
    <col min="12" max="12" width="6.42578125" style="21" bestFit="1" customWidth="1"/>
    <col min="13" max="13" width="6" style="21" bestFit="1" customWidth="1"/>
    <col min="14" max="16384" width="8.85546875" style="21"/>
  </cols>
  <sheetData>
    <row r="1" spans="1:13" x14ac:dyDescent="0.45">
      <c r="A1" s="40" t="s">
        <v>116</v>
      </c>
      <c r="B1" s="40" t="s">
        <v>104</v>
      </c>
      <c r="C1" s="40" t="s">
        <v>103</v>
      </c>
      <c r="D1" s="40" t="s">
        <v>106</v>
      </c>
      <c r="E1" s="40" t="s">
        <v>107</v>
      </c>
      <c r="F1" s="41" t="s">
        <v>117</v>
      </c>
      <c r="G1" s="41" t="s">
        <v>118</v>
      </c>
      <c r="H1" s="41" t="s">
        <v>119</v>
      </c>
      <c r="I1" s="41" t="s">
        <v>120</v>
      </c>
      <c r="J1" s="41" t="s">
        <v>121</v>
      </c>
      <c r="K1" s="41" t="s">
        <v>122</v>
      </c>
      <c r="L1" s="41" t="s">
        <v>123</v>
      </c>
      <c r="M1" s="41" t="s">
        <v>124</v>
      </c>
    </row>
    <row r="2" spans="1:13" x14ac:dyDescent="0.45">
      <c r="A2" s="42">
        <v>1</v>
      </c>
      <c r="B2" s="42" t="s">
        <v>7</v>
      </c>
      <c r="C2" s="42" t="s">
        <v>9</v>
      </c>
      <c r="D2" s="41"/>
      <c r="E2" s="41"/>
      <c r="F2" s="43">
        <v>874353.06000000052</v>
      </c>
      <c r="G2" s="43">
        <v>974832.45000000007</v>
      </c>
      <c r="H2" s="44">
        <v>874353.06</v>
      </c>
      <c r="I2" s="44"/>
      <c r="J2" s="44">
        <v>19589620.949999999</v>
      </c>
      <c r="K2" s="44">
        <v>19690100.34</v>
      </c>
      <c r="L2" s="44"/>
      <c r="M2" s="44"/>
    </row>
    <row r="3" spans="1:13" x14ac:dyDescent="0.45">
      <c r="A3" s="41"/>
      <c r="B3" s="41"/>
      <c r="C3" s="42" t="s">
        <v>6</v>
      </c>
      <c r="D3" s="41"/>
      <c r="E3" s="41"/>
      <c r="F3" s="43">
        <v>3636.2900000000081</v>
      </c>
      <c r="G3" s="43">
        <v>0</v>
      </c>
      <c r="H3" s="44">
        <v>3636.29</v>
      </c>
      <c r="I3" s="44"/>
      <c r="J3" s="44">
        <v>220700</v>
      </c>
      <c r="K3" s="44">
        <v>217063.71</v>
      </c>
      <c r="L3" s="44"/>
      <c r="M3" s="44"/>
    </row>
    <row r="4" spans="1:13" x14ac:dyDescent="0.45">
      <c r="A4" s="41"/>
      <c r="B4" s="42" t="s">
        <v>211</v>
      </c>
      <c r="C4" s="41"/>
      <c r="D4" s="41"/>
      <c r="E4" s="41"/>
      <c r="F4" s="43">
        <v>877989.35000000056</v>
      </c>
      <c r="G4" s="43">
        <v>974832.45000000007</v>
      </c>
      <c r="H4" s="44">
        <v>877989.35000000009</v>
      </c>
      <c r="I4" s="44"/>
      <c r="J4" s="44">
        <v>19810320.949999999</v>
      </c>
      <c r="K4" s="44">
        <v>19907164.050000001</v>
      </c>
      <c r="L4" s="44"/>
      <c r="M4" s="44"/>
    </row>
    <row r="5" spans="1:13" x14ac:dyDescent="0.45">
      <c r="A5" s="42">
        <v>2</v>
      </c>
      <c r="B5" s="42" t="s">
        <v>12</v>
      </c>
      <c r="C5" s="42" t="s">
        <v>11</v>
      </c>
      <c r="D5" s="41"/>
      <c r="E5" s="41"/>
      <c r="F5" s="43">
        <v>3182524.5800000019</v>
      </c>
      <c r="G5" s="43">
        <v>3472424.7</v>
      </c>
      <c r="H5" s="44">
        <v>3182524.58</v>
      </c>
      <c r="I5" s="44"/>
      <c r="J5" s="44">
        <v>15717003.49</v>
      </c>
      <c r="K5" s="44">
        <v>16006903.609999999</v>
      </c>
      <c r="L5" s="44"/>
      <c r="M5" s="44"/>
    </row>
    <row r="6" spans="1:13" x14ac:dyDescent="0.45">
      <c r="A6" s="41"/>
      <c r="B6" s="42" t="s">
        <v>212</v>
      </c>
      <c r="C6" s="41"/>
      <c r="D6" s="41"/>
      <c r="E6" s="41"/>
      <c r="F6" s="43">
        <v>3182524.5800000019</v>
      </c>
      <c r="G6" s="43">
        <v>3472424.7</v>
      </c>
      <c r="H6" s="44">
        <v>3182524.58</v>
      </c>
      <c r="I6" s="44"/>
      <c r="J6" s="44">
        <v>15717003.49</v>
      </c>
      <c r="K6" s="44">
        <v>16006903.609999999</v>
      </c>
      <c r="L6" s="44"/>
      <c r="M6" s="44"/>
    </row>
    <row r="7" spans="1:13" x14ac:dyDescent="0.45">
      <c r="A7" s="42">
        <v>3</v>
      </c>
      <c r="B7" s="42" t="s">
        <v>15</v>
      </c>
      <c r="C7" s="42" t="s">
        <v>17</v>
      </c>
      <c r="D7" s="41"/>
      <c r="E7" s="41"/>
      <c r="F7" s="43">
        <v>917596.15</v>
      </c>
      <c r="G7" s="43">
        <v>1016976.2399999999</v>
      </c>
      <c r="H7" s="44">
        <v>917596.15</v>
      </c>
      <c r="I7" s="44"/>
      <c r="J7" s="44">
        <v>598541.80000000005</v>
      </c>
      <c r="K7" s="44">
        <v>697921.8899999999</v>
      </c>
      <c r="L7" s="44"/>
      <c r="M7" s="44"/>
    </row>
    <row r="8" spans="1:13" x14ac:dyDescent="0.45">
      <c r="A8" s="41"/>
      <c r="B8" s="41"/>
      <c r="C8" s="42" t="s">
        <v>18</v>
      </c>
      <c r="D8" s="41"/>
      <c r="E8" s="41"/>
      <c r="F8" s="43">
        <v>47247</v>
      </c>
      <c r="G8" s="43">
        <v>16349</v>
      </c>
      <c r="H8" s="44">
        <v>47247</v>
      </c>
      <c r="I8" s="44"/>
      <c r="J8" s="44">
        <v>183818.5</v>
      </c>
      <c r="K8" s="44">
        <v>152920.5</v>
      </c>
      <c r="L8" s="44"/>
      <c r="M8" s="44"/>
    </row>
    <row r="9" spans="1:13" x14ac:dyDescent="0.45">
      <c r="A9" s="41"/>
      <c r="B9" s="41"/>
      <c r="C9" s="42" t="s">
        <v>21</v>
      </c>
      <c r="D9" s="41"/>
      <c r="E9" s="41"/>
      <c r="F9" s="43">
        <v>0</v>
      </c>
      <c r="G9" s="43">
        <v>0</v>
      </c>
      <c r="H9" s="44">
        <v>0</v>
      </c>
      <c r="I9" s="44"/>
      <c r="J9" s="44">
        <v>3237200</v>
      </c>
      <c r="K9" s="44">
        <v>3237200</v>
      </c>
      <c r="L9" s="44"/>
      <c r="M9" s="44"/>
    </row>
    <row r="10" spans="1:13" x14ac:dyDescent="0.45">
      <c r="A10" s="41"/>
      <c r="B10" s="41"/>
      <c r="C10" s="42" t="s">
        <v>19</v>
      </c>
      <c r="D10" s="41"/>
      <c r="E10" s="41"/>
      <c r="F10" s="43">
        <v>-52144.450000000026</v>
      </c>
      <c r="G10" s="43">
        <v>-35618.749999999993</v>
      </c>
      <c r="H10" s="44">
        <v>-52144.45</v>
      </c>
      <c r="I10" s="44"/>
      <c r="J10" s="44">
        <v>1905039.8</v>
      </c>
      <c r="K10" s="44">
        <v>1921565.5000000002</v>
      </c>
      <c r="L10" s="44"/>
      <c r="M10" s="44"/>
    </row>
    <row r="11" spans="1:13" x14ac:dyDescent="0.45">
      <c r="A11" s="41"/>
      <c r="B11" s="42" t="s">
        <v>213</v>
      </c>
      <c r="C11" s="41"/>
      <c r="D11" s="41"/>
      <c r="E11" s="41"/>
      <c r="F11" s="43">
        <v>912698.7</v>
      </c>
      <c r="G11" s="43">
        <v>997706.48999999987</v>
      </c>
      <c r="H11" s="44">
        <v>912698.70000000007</v>
      </c>
      <c r="I11" s="44"/>
      <c r="J11" s="44">
        <v>5924600.0999999996</v>
      </c>
      <c r="K11" s="44">
        <v>6009607.8899999997</v>
      </c>
      <c r="L11" s="44"/>
      <c r="M11" s="44"/>
    </row>
    <row r="12" spans="1:13" x14ac:dyDescent="0.45">
      <c r="A12" s="42">
        <v>6</v>
      </c>
      <c r="B12" s="42" t="s">
        <v>25</v>
      </c>
      <c r="C12" s="42" t="s">
        <v>30</v>
      </c>
      <c r="D12" s="41"/>
      <c r="E12" s="41"/>
      <c r="F12" s="43">
        <v>19483.669999999998</v>
      </c>
      <c r="G12" s="43">
        <v>22302.239999999998</v>
      </c>
      <c r="H12" s="44">
        <v>19483.669999999998</v>
      </c>
      <c r="I12" s="44"/>
      <c r="J12" s="44">
        <v>0</v>
      </c>
      <c r="K12" s="44">
        <v>2818.57</v>
      </c>
      <c r="L12" s="44"/>
      <c r="M12" s="44"/>
    </row>
    <row r="13" spans="1:13" x14ac:dyDescent="0.45">
      <c r="A13" s="41"/>
      <c r="B13" s="41"/>
      <c r="C13" s="42" t="s">
        <v>27</v>
      </c>
      <c r="D13" s="41"/>
      <c r="E13" s="41"/>
      <c r="F13" s="43">
        <v>676869.71000000008</v>
      </c>
      <c r="G13" s="43">
        <v>341256.86</v>
      </c>
      <c r="H13" s="44">
        <v>676869.71000000008</v>
      </c>
      <c r="I13" s="44"/>
      <c r="J13" s="44">
        <v>635855.22</v>
      </c>
      <c r="K13" s="44">
        <v>300242.37</v>
      </c>
      <c r="L13" s="44"/>
      <c r="M13" s="44"/>
    </row>
    <row r="14" spans="1:13" x14ac:dyDescent="0.45">
      <c r="A14" s="41"/>
      <c r="B14" s="41"/>
      <c r="C14" s="42" t="s">
        <v>33</v>
      </c>
      <c r="D14" s="41"/>
      <c r="E14" s="41"/>
      <c r="F14" s="43">
        <v>34583.160000000003</v>
      </c>
      <c r="G14" s="43">
        <v>38742.699999999997</v>
      </c>
      <c r="H14" s="44">
        <v>34583.160000000003</v>
      </c>
      <c r="I14" s="44"/>
      <c r="J14" s="44">
        <v>14759.88</v>
      </c>
      <c r="K14" s="44">
        <v>18919.419999999998</v>
      </c>
      <c r="L14" s="44"/>
      <c r="M14" s="44"/>
    </row>
    <row r="15" spans="1:13" x14ac:dyDescent="0.45">
      <c r="A15" s="41"/>
      <c r="B15" s="41"/>
      <c r="C15" s="42" t="s">
        <v>29</v>
      </c>
      <c r="D15" s="41"/>
      <c r="E15" s="41"/>
      <c r="F15" s="43">
        <v>90285.31</v>
      </c>
      <c r="G15" s="43">
        <v>110000</v>
      </c>
      <c r="H15" s="44">
        <v>90285.31</v>
      </c>
      <c r="I15" s="44"/>
      <c r="J15" s="44">
        <v>9210.7099999999991</v>
      </c>
      <c r="K15" s="44">
        <v>28925.4</v>
      </c>
      <c r="L15" s="44"/>
      <c r="M15" s="44"/>
    </row>
    <row r="16" spans="1:13" x14ac:dyDescent="0.45">
      <c r="A16" s="41"/>
      <c r="B16" s="42" t="s">
        <v>214</v>
      </c>
      <c r="C16" s="41"/>
      <c r="D16" s="41"/>
      <c r="E16" s="41"/>
      <c r="F16" s="43">
        <v>821221.85000000009</v>
      </c>
      <c r="G16" s="43">
        <v>512301.8</v>
      </c>
      <c r="H16" s="44">
        <v>821221.85000000009</v>
      </c>
      <c r="I16" s="44"/>
      <c r="J16" s="44">
        <v>659825.80999999994</v>
      </c>
      <c r="K16" s="44">
        <v>350905.76</v>
      </c>
      <c r="L16" s="44"/>
      <c r="M16" s="44"/>
    </row>
    <row r="17" spans="1:13" x14ac:dyDescent="0.45">
      <c r="A17" s="42">
        <v>12</v>
      </c>
      <c r="B17" s="42" t="s">
        <v>42</v>
      </c>
      <c r="C17" s="42" t="s">
        <v>41</v>
      </c>
      <c r="D17" s="41"/>
      <c r="E17" s="41"/>
      <c r="F17" s="43">
        <v>-2831768.2199999997</v>
      </c>
      <c r="G17" s="43">
        <v>-1893227.26</v>
      </c>
      <c r="H17" s="44">
        <v>-2831768.22</v>
      </c>
      <c r="I17" s="44"/>
      <c r="J17" s="44">
        <v>3738636.6</v>
      </c>
      <c r="K17" s="44">
        <v>4677177.5599999996</v>
      </c>
      <c r="L17" s="44"/>
      <c r="M17" s="44"/>
    </row>
    <row r="18" spans="1:13" x14ac:dyDescent="0.45">
      <c r="A18" s="41"/>
      <c r="B18" s="42" t="s">
        <v>215</v>
      </c>
      <c r="C18" s="41"/>
      <c r="D18" s="41"/>
      <c r="E18" s="41"/>
      <c r="F18" s="43">
        <v>-2831768.2199999997</v>
      </c>
      <c r="G18" s="43">
        <v>-1893227.26</v>
      </c>
      <c r="H18" s="44">
        <v>-2831768.22</v>
      </c>
      <c r="I18" s="44"/>
      <c r="J18" s="44">
        <v>3738636.6</v>
      </c>
      <c r="K18" s="44">
        <v>4677177.5599999996</v>
      </c>
      <c r="L18" s="44"/>
      <c r="M18" s="44"/>
    </row>
    <row r="19" spans="1:13" x14ac:dyDescent="0.45">
      <c r="A19" s="42">
        <v>13</v>
      </c>
      <c r="B19" s="42" t="s">
        <v>44</v>
      </c>
      <c r="C19" s="42" t="s">
        <v>45</v>
      </c>
      <c r="D19" s="41"/>
      <c r="E19" s="41"/>
      <c r="F19" s="43">
        <v>-860791.39</v>
      </c>
      <c r="G19" s="43">
        <v>-528482</v>
      </c>
      <c r="H19" s="44">
        <v>-860791.39</v>
      </c>
      <c r="I19" s="44"/>
      <c r="J19" s="44">
        <v>6838053.4400000004</v>
      </c>
      <c r="K19" s="44">
        <v>7170362.8300000001</v>
      </c>
      <c r="L19" s="44"/>
      <c r="M19" s="44"/>
    </row>
    <row r="20" spans="1:13" x14ac:dyDescent="0.45">
      <c r="A20" s="41"/>
      <c r="B20" s="41"/>
      <c r="C20" s="42" t="s">
        <v>46</v>
      </c>
      <c r="D20" s="41"/>
      <c r="E20" s="41"/>
      <c r="F20" s="43">
        <v>-477733.50999999995</v>
      </c>
      <c r="G20" s="43">
        <v>-823073.18</v>
      </c>
      <c r="H20" s="44">
        <v>-477733.51000000013</v>
      </c>
      <c r="I20" s="44"/>
      <c r="J20" s="44">
        <v>2397333.6500000004</v>
      </c>
      <c r="K20" s="44">
        <v>2051993.98</v>
      </c>
      <c r="L20" s="44"/>
      <c r="M20" s="44"/>
    </row>
    <row r="21" spans="1:13" x14ac:dyDescent="0.45">
      <c r="A21" s="41"/>
      <c r="B21" s="42" t="s">
        <v>216</v>
      </c>
      <c r="C21" s="41"/>
      <c r="D21" s="41"/>
      <c r="E21" s="41"/>
      <c r="F21" s="43">
        <v>-1338524.8999999999</v>
      </c>
      <c r="G21" s="43">
        <v>-1351555.1800000002</v>
      </c>
      <c r="H21" s="44">
        <v>-1338524.9000000001</v>
      </c>
      <c r="I21" s="44"/>
      <c r="J21" s="44">
        <v>9235387.0899999999</v>
      </c>
      <c r="K21" s="44">
        <v>9222356.8100000005</v>
      </c>
      <c r="L21" s="44"/>
      <c r="M21" s="44"/>
    </row>
    <row r="22" spans="1:13" x14ac:dyDescent="0.45">
      <c r="A22" s="42">
        <v>17</v>
      </c>
      <c r="B22" s="42" t="s">
        <v>52</v>
      </c>
      <c r="C22" s="42" t="s">
        <v>51</v>
      </c>
      <c r="D22" s="41"/>
      <c r="E22" s="41"/>
      <c r="F22" s="43">
        <v>-96081</v>
      </c>
      <c r="G22" s="43">
        <v>-105349</v>
      </c>
      <c r="H22" s="44">
        <v>-96081</v>
      </c>
      <c r="I22" s="44"/>
      <c r="J22" s="44">
        <v>105349</v>
      </c>
      <c r="K22" s="44">
        <v>96081</v>
      </c>
      <c r="L22" s="44"/>
      <c r="M22" s="44"/>
    </row>
    <row r="23" spans="1:13" x14ac:dyDescent="0.45">
      <c r="A23" s="41"/>
      <c r="B23" s="42" t="s">
        <v>217</v>
      </c>
      <c r="C23" s="41"/>
      <c r="D23" s="41"/>
      <c r="E23" s="41"/>
      <c r="F23" s="43">
        <v>-96081</v>
      </c>
      <c r="G23" s="43">
        <v>-105349</v>
      </c>
      <c r="H23" s="44">
        <v>-96081</v>
      </c>
      <c r="I23" s="44"/>
      <c r="J23" s="44">
        <v>105349</v>
      </c>
      <c r="K23" s="44">
        <v>96081</v>
      </c>
      <c r="L23" s="44"/>
      <c r="M23" s="44"/>
    </row>
    <row r="24" spans="1:13" x14ac:dyDescent="0.45">
      <c r="A24" s="42">
        <v>19</v>
      </c>
      <c r="B24" s="42" t="s">
        <v>55</v>
      </c>
      <c r="C24" s="45" t="s">
        <v>55</v>
      </c>
      <c r="D24" s="41"/>
      <c r="E24" s="41"/>
      <c r="F24" s="43">
        <v>-334861.57999999996</v>
      </c>
      <c r="G24" s="43">
        <v>-271750.74</v>
      </c>
      <c r="H24" s="44">
        <v>-334861.58</v>
      </c>
      <c r="I24" s="44"/>
      <c r="J24" s="44">
        <v>51006.84</v>
      </c>
      <c r="K24" s="44">
        <v>114117.68</v>
      </c>
      <c r="L24" s="44"/>
      <c r="M24" s="44"/>
    </row>
    <row r="25" spans="1:13" x14ac:dyDescent="0.45">
      <c r="A25" s="41"/>
      <c r="B25" s="42" t="s">
        <v>218</v>
      </c>
      <c r="C25" s="41"/>
      <c r="D25" s="41"/>
      <c r="E25" s="41"/>
      <c r="F25" s="43">
        <v>-334861.57999999996</v>
      </c>
      <c r="G25" s="43">
        <v>-271750.74</v>
      </c>
      <c r="H25" s="44">
        <v>-334861.58</v>
      </c>
      <c r="I25" s="44"/>
      <c r="J25" s="44">
        <v>51006.84</v>
      </c>
      <c r="K25" s="44">
        <v>114117.68</v>
      </c>
      <c r="L25" s="44"/>
      <c r="M25" s="44"/>
    </row>
    <row r="26" spans="1:13" x14ac:dyDescent="0.45">
      <c r="A26" s="42">
        <v>20</v>
      </c>
      <c r="B26" s="42" t="s">
        <v>57</v>
      </c>
      <c r="C26" s="42" t="s">
        <v>56</v>
      </c>
      <c r="D26" s="41"/>
      <c r="E26" s="41"/>
      <c r="F26" s="43">
        <v>2745136.5500000003</v>
      </c>
      <c r="G26" s="43">
        <v>1829098.85</v>
      </c>
      <c r="H26" s="44">
        <v>2745136.5500000003</v>
      </c>
      <c r="I26" s="44"/>
      <c r="J26" s="44">
        <v>2428734.4500000002</v>
      </c>
      <c r="K26" s="44">
        <v>1512696.75</v>
      </c>
      <c r="L26" s="44"/>
      <c r="M26" s="44"/>
    </row>
    <row r="27" spans="1:13" x14ac:dyDescent="0.45">
      <c r="A27" s="41"/>
      <c r="B27" s="42" t="s">
        <v>219</v>
      </c>
      <c r="C27" s="41"/>
      <c r="D27" s="41"/>
      <c r="E27" s="41"/>
      <c r="F27" s="43">
        <v>2745136.5500000003</v>
      </c>
      <c r="G27" s="43">
        <v>1829098.85</v>
      </c>
      <c r="H27" s="44">
        <v>2745136.5500000003</v>
      </c>
      <c r="I27" s="44"/>
      <c r="J27" s="44">
        <v>2428734.4500000002</v>
      </c>
      <c r="K27" s="44">
        <v>1512696.75</v>
      </c>
      <c r="L27" s="44"/>
      <c r="M27" s="44"/>
    </row>
    <row r="28" spans="1:13" x14ac:dyDescent="0.45">
      <c r="A28" s="42">
        <v>21</v>
      </c>
      <c r="B28" s="42" t="s">
        <v>59</v>
      </c>
      <c r="C28" s="42" t="s">
        <v>59</v>
      </c>
      <c r="D28" s="41"/>
      <c r="E28" s="41"/>
      <c r="F28" s="43">
        <v>-100000</v>
      </c>
      <c r="G28" s="43">
        <v>-70000</v>
      </c>
      <c r="H28" s="44">
        <v>-100000</v>
      </c>
      <c r="I28" s="44"/>
      <c r="J28" s="44">
        <v>20000</v>
      </c>
      <c r="K28" s="44">
        <v>50000</v>
      </c>
      <c r="L28" s="44"/>
      <c r="M28" s="44"/>
    </row>
    <row r="29" spans="1:13" x14ac:dyDescent="0.45">
      <c r="A29" s="41"/>
      <c r="B29" s="42" t="s">
        <v>220</v>
      </c>
      <c r="C29" s="41"/>
      <c r="D29" s="41"/>
      <c r="E29" s="41"/>
      <c r="F29" s="43">
        <v>-100000</v>
      </c>
      <c r="G29" s="43">
        <v>-70000</v>
      </c>
      <c r="H29" s="44">
        <v>-100000</v>
      </c>
      <c r="I29" s="44"/>
      <c r="J29" s="44">
        <v>20000</v>
      </c>
      <c r="K29" s="44">
        <v>50000</v>
      </c>
      <c r="L29" s="44"/>
      <c r="M29" s="44"/>
    </row>
    <row r="30" spans="1:13" x14ac:dyDescent="0.45">
      <c r="A30" s="42">
        <v>24</v>
      </c>
      <c r="B30" s="42" t="s">
        <v>62</v>
      </c>
      <c r="C30" s="42" t="s">
        <v>62</v>
      </c>
      <c r="D30" s="41"/>
      <c r="E30" s="41"/>
      <c r="F30" s="43">
        <v>-4094482.1100000041</v>
      </c>
      <c r="G30" s="43">
        <v>-4094482.1100000041</v>
      </c>
      <c r="H30" s="44">
        <v>-4094482.1100000041</v>
      </c>
      <c r="I30" s="44"/>
      <c r="J30" s="44">
        <v>0</v>
      </c>
      <c r="K30" s="44">
        <v>0</v>
      </c>
      <c r="L30" s="44"/>
      <c r="M30" s="44"/>
    </row>
    <row r="31" spans="1:13" x14ac:dyDescent="0.45">
      <c r="A31" s="41"/>
      <c r="B31" s="42" t="s">
        <v>221</v>
      </c>
      <c r="C31" s="41"/>
      <c r="D31" s="41"/>
      <c r="E31" s="41"/>
      <c r="F31" s="43">
        <v>-4094482.1100000041</v>
      </c>
      <c r="G31" s="43">
        <v>-4094482.1100000041</v>
      </c>
      <c r="H31" s="44">
        <v>-4094482.1100000041</v>
      </c>
      <c r="I31" s="44"/>
      <c r="J31" s="44">
        <v>0</v>
      </c>
      <c r="K31" s="44">
        <v>0</v>
      </c>
      <c r="L31" s="44"/>
      <c r="M31" s="44"/>
    </row>
    <row r="32" spans="1:13" x14ac:dyDescent="0.45">
      <c r="A32" s="42">
        <v>25</v>
      </c>
      <c r="B32" s="42" t="s">
        <v>64</v>
      </c>
      <c r="C32" s="42" t="s">
        <v>63</v>
      </c>
      <c r="D32" s="41"/>
      <c r="E32" s="41"/>
      <c r="F32" s="43">
        <v>-13178070.649999999</v>
      </c>
      <c r="G32" s="43">
        <v>0</v>
      </c>
      <c r="H32" s="44">
        <v>-13178070.65</v>
      </c>
      <c r="I32" s="44"/>
      <c r="J32" s="44">
        <v>488888.88</v>
      </c>
      <c r="K32" s="44">
        <v>13666959.529999999</v>
      </c>
      <c r="L32" s="44"/>
      <c r="M32" s="44"/>
    </row>
    <row r="33" spans="1:13" x14ac:dyDescent="0.45">
      <c r="A33" s="41"/>
      <c r="B33" s="41"/>
      <c r="C33" s="42" t="s">
        <v>66</v>
      </c>
      <c r="D33" s="42" t="s">
        <v>147</v>
      </c>
      <c r="E33" s="42" t="s">
        <v>179</v>
      </c>
      <c r="F33" s="43">
        <v>-21104.65</v>
      </c>
      <c r="G33" s="43">
        <v>0</v>
      </c>
      <c r="H33" s="44">
        <v>-21104.65</v>
      </c>
      <c r="I33" s="44"/>
      <c r="J33" s="44">
        <v>0</v>
      </c>
      <c r="K33" s="44">
        <v>21104.65</v>
      </c>
      <c r="L33" s="44"/>
      <c r="M33" s="44"/>
    </row>
    <row r="34" spans="1:13" x14ac:dyDescent="0.45">
      <c r="A34" s="41"/>
      <c r="B34" s="41"/>
      <c r="C34" s="42" t="s">
        <v>222</v>
      </c>
      <c r="D34" s="41"/>
      <c r="E34" s="41"/>
      <c r="F34" s="43">
        <v>-21104.65</v>
      </c>
      <c r="G34" s="43">
        <v>0</v>
      </c>
      <c r="H34" s="44">
        <v>-21104.65</v>
      </c>
      <c r="I34" s="44"/>
      <c r="J34" s="44">
        <v>0</v>
      </c>
      <c r="K34" s="44">
        <v>21104.65</v>
      </c>
      <c r="L34" s="44"/>
      <c r="M34" s="44"/>
    </row>
    <row r="35" spans="1:13" x14ac:dyDescent="0.45">
      <c r="A35" s="41"/>
      <c r="B35" s="42" t="s">
        <v>223</v>
      </c>
      <c r="C35" s="41"/>
      <c r="D35" s="41"/>
      <c r="E35" s="41"/>
      <c r="F35" s="43">
        <v>-13199175.299999999</v>
      </c>
      <c r="G35" s="43">
        <v>0</v>
      </c>
      <c r="H35" s="44">
        <v>-13199175.300000001</v>
      </c>
      <c r="I35" s="44"/>
      <c r="J35" s="44">
        <v>488888.88</v>
      </c>
      <c r="K35" s="44">
        <v>13688064.18</v>
      </c>
      <c r="L35" s="44"/>
      <c r="M35" s="44"/>
    </row>
    <row r="36" spans="1:13" x14ac:dyDescent="0.45">
      <c r="A36" s="42">
        <v>26</v>
      </c>
      <c r="B36" s="42" t="s">
        <v>69</v>
      </c>
      <c r="C36" s="42" t="s">
        <v>74</v>
      </c>
      <c r="D36" s="41"/>
      <c r="E36" s="41"/>
      <c r="F36" s="43">
        <v>843680.64999999991</v>
      </c>
      <c r="G36" s="43">
        <v>0</v>
      </c>
      <c r="H36" s="44">
        <v>843680.64999999991</v>
      </c>
      <c r="I36" s="44"/>
      <c r="J36" s="44">
        <v>846608.14999999991</v>
      </c>
      <c r="K36" s="44">
        <v>2927.5</v>
      </c>
      <c r="L36" s="44"/>
      <c r="M36" s="44"/>
    </row>
    <row r="37" spans="1:13" x14ac:dyDescent="0.45">
      <c r="A37" s="41"/>
      <c r="B37" s="41"/>
      <c r="C37" s="42" t="s">
        <v>70</v>
      </c>
      <c r="D37" s="41"/>
      <c r="E37" s="41"/>
      <c r="F37" s="43">
        <v>2476506.7199999997</v>
      </c>
      <c r="G37" s="43">
        <v>0</v>
      </c>
      <c r="H37" s="44">
        <v>2476506.7199999997</v>
      </c>
      <c r="I37" s="44"/>
      <c r="J37" s="44">
        <v>2476506.7199999997</v>
      </c>
      <c r="K37" s="44">
        <v>0</v>
      </c>
      <c r="L37" s="44"/>
      <c r="M37" s="44"/>
    </row>
    <row r="38" spans="1:13" x14ac:dyDescent="0.45">
      <c r="A38" s="41"/>
      <c r="B38" s="42" t="s">
        <v>224</v>
      </c>
      <c r="C38" s="41"/>
      <c r="D38" s="41"/>
      <c r="E38" s="41"/>
      <c r="F38" s="43">
        <v>3320187.3699999996</v>
      </c>
      <c r="G38" s="43">
        <v>0</v>
      </c>
      <c r="H38" s="44">
        <v>3320187.3699999996</v>
      </c>
      <c r="I38" s="44"/>
      <c r="J38" s="44">
        <v>3323114.8699999996</v>
      </c>
      <c r="K38" s="44">
        <v>2927.5</v>
      </c>
      <c r="L38" s="44"/>
      <c r="M38" s="44"/>
    </row>
    <row r="39" spans="1:13" x14ac:dyDescent="0.45">
      <c r="A39" s="42">
        <v>28</v>
      </c>
      <c r="B39" s="42" t="s">
        <v>91</v>
      </c>
      <c r="C39" s="42" t="s">
        <v>91</v>
      </c>
      <c r="D39" s="41"/>
      <c r="E39" s="41"/>
      <c r="F39" s="43">
        <v>10036215.729999997</v>
      </c>
      <c r="G39" s="43">
        <v>0</v>
      </c>
      <c r="H39" s="44">
        <v>10036215.729999997</v>
      </c>
      <c r="I39" s="44"/>
      <c r="J39" s="44">
        <v>10080091.959999999</v>
      </c>
      <c r="K39" s="44">
        <v>43876.229999999996</v>
      </c>
      <c r="L39" s="44"/>
      <c r="M39" s="44"/>
    </row>
    <row r="40" spans="1:13" x14ac:dyDescent="0.45">
      <c r="A40" s="41"/>
      <c r="B40" s="42" t="s">
        <v>225</v>
      </c>
      <c r="C40" s="41"/>
      <c r="D40" s="41"/>
      <c r="E40" s="41"/>
      <c r="F40" s="43">
        <v>10036215.729999997</v>
      </c>
      <c r="G40" s="43">
        <v>0</v>
      </c>
      <c r="H40" s="44">
        <v>10036215.729999997</v>
      </c>
      <c r="I40" s="44"/>
      <c r="J40" s="44">
        <v>10080091.959999999</v>
      </c>
      <c r="K40" s="44">
        <v>43876.229999999996</v>
      </c>
      <c r="L40" s="44"/>
      <c r="M40" s="44"/>
    </row>
    <row r="41" spans="1:13" x14ac:dyDescent="0.45">
      <c r="A41" s="42">
        <v>30</v>
      </c>
      <c r="B41" s="42" t="s">
        <v>99</v>
      </c>
      <c r="C41" s="42" t="s">
        <v>99</v>
      </c>
      <c r="D41" s="41"/>
      <c r="E41" s="41"/>
      <c r="F41" s="43">
        <v>98918.98000000001</v>
      </c>
      <c r="G41" s="43">
        <v>0</v>
      </c>
      <c r="H41" s="44">
        <v>98918.98000000001</v>
      </c>
      <c r="I41" s="44"/>
      <c r="J41" s="44">
        <v>139005.76000000001</v>
      </c>
      <c r="K41" s="44">
        <v>40086.78</v>
      </c>
      <c r="L41" s="44"/>
      <c r="M41" s="44"/>
    </row>
    <row r="42" spans="1:13" x14ac:dyDescent="0.45">
      <c r="A42" s="41"/>
      <c r="B42" s="42" t="s">
        <v>226</v>
      </c>
      <c r="C42" s="41"/>
      <c r="D42" s="41"/>
      <c r="E42" s="41"/>
      <c r="F42" s="43">
        <v>98918.98000000001</v>
      </c>
      <c r="G42" s="43">
        <v>0</v>
      </c>
      <c r="H42" s="44">
        <v>98918.98000000001</v>
      </c>
      <c r="I42" s="44"/>
      <c r="J42" s="44">
        <v>139005.76000000001</v>
      </c>
      <c r="K42" s="44">
        <v>40086.78</v>
      </c>
      <c r="L42" s="44"/>
      <c r="M42" s="44"/>
    </row>
    <row r="43" spans="1:13" x14ac:dyDescent="0.45">
      <c r="A43" s="42" t="s">
        <v>227</v>
      </c>
      <c r="B43" s="41"/>
      <c r="C43" s="41"/>
      <c r="D43" s="41"/>
      <c r="E43" s="41"/>
      <c r="F43" s="43">
        <v>-4.1618477553129196E-9</v>
      </c>
      <c r="G43" s="43">
        <v>0</v>
      </c>
      <c r="H43" s="44">
        <v>-7.8871380537748337E-9</v>
      </c>
      <c r="I43" s="44"/>
      <c r="J43" s="44">
        <v>71721965.799999997</v>
      </c>
      <c r="K43" s="44">
        <v>71721965.799999997</v>
      </c>
      <c r="L43" s="44"/>
      <c r="M43" s="44"/>
    </row>
    <row r="44" spans="1:13" x14ac:dyDescent="0.4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4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4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</row>
    <row r="47" spans="1:13" x14ac:dyDescent="0.4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3" x14ac:dyDescent="0.4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</row>
    <row r="49" spans="1:13" x14ac:dyDescent="0.4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</row>
    <row r="50" spans="1:13" x14ac:dyDescent="0.4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</row>
    <row r="51" spans="1:13" x14ac:dyDescent="0.4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spans="1:13" x14ac:dyDescent="0.4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</row>
    <row r="53" spans="1:13" x14ac:dyDescent="0.4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</row>
    <row r="54" spans="1:13" x14ac:dyDescent="0.4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</row>
    <row r="55" spans="1:13" x14ac:dyDescent="0.4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6" spans="1:13" x14ac:dyDescent="0.4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</row>
    <row r="57" spans="1:13" x14ac:dyDescent="0.4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</row>
    <row r="58" spans="1:13" x14ac:dyDescent="0.4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</row>
    <row r="59" spans="1:13" x14ac:dyDescent="0.4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</row>
    <row r="60" spans="1:13" x14ac:dyDescent="0.4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</row>
    <row r="61" spans="1:13" x14ac:dyDescent="0.4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1:13" x14ac:dyDescent="0.4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13" x14ac:dyDescent="0.4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1:13" x14ac:dyDescent="0.4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spans="1:13" x14ac:dyDescent="0.4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1:13" x14ac:dyDescent="0.4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</row>
    <row r="67" spans="1:13" x14ac:dyDescent="0.4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</row>
    <row r="68" spans="1:13" x14ac:dyDescent="0.4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</row>
    <row r="69" spans="1:13" x14ac:dyDescent="0.4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</row>
    <row r="70" spans="1:13" x14ac:dyDescent="0.4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</row>
    <row r="71" spans="1:13" x14ac:dyDescent="0.4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</row>
    <row r="72" spans="1:13" x14ac:dyDescent="0.4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</row>
    <row r="73" spans="1:13" x14ac:dyDescent="0.4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</row>
    <row r="74" spans="1:13" x14ac:dyDescent="0.4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</row>
    <row r="75" spans="1:13" x14ac:dyDescent="0.4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</row>
    <row r="76" spans="1:13" x14ac:dyDescent="0.4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spans="1:13" x14ac:dyDescent="0.4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</row>
    <row r="78" spans="1:13" x14ac:dyDescent="0.4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</row>
    <row r="79" spans="1:13" x14ac:dyDescent="0.4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</row>
    <row r="80" spans="1:13" x14ac:dyDescent="0.4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</row>
    <row r="81" spans="1:13" x14ac:dyDescent="0.4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</row>
    <row r="82" spans="1:13" x14ac:dyDescent="0.4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</row>
    <row r="83" spans="1:13" x14ac:dyDescent="0.4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</row>
    <row r="84" spans="1:13" x14ac:dyDescent="0.4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</row>
    <row r="85" spans="1:13" x14ac:dyDescent="0.4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</row>
    <row r="86" spans="1:13" x14ac:dyDescent="0.45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</row>
    <row r="87" spans="1:13" x14ac:dyDescent="0.45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</row>
    <row r="88" spans="1:13" x14ac:dyDescent="0.45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</row>
    <row r="89" spans="1:13" x14ac:dyDescent="0.45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</row>
    <row r="90" spans="1:13" x14ac:dyDescent="0.45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</row>
    <row r="91" spans="1:13" x14ac:dyDescent="0.4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</row>
    <row r="92" spans="1:13" x14ac:dyDescent="0.4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spans="1:13" x14ac:dyDescent="0.4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</row>
    <row r="94" spans="1:13" x14ac:dyDescent="0.4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</row>
    <row r="95" spans="1:13" x14ac:dyDescent="0.4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</row>
    <row r="96" spans="1:13" x14ac:dyDescent="0.45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</row>
    <row r="97" spans="1:13" x14ac:dyDescent="0.4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</row>
    <row r="98" spans="1:13" x14ac:dyDescent="0.4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</row>
    <row r="99" spans="1:13" x14ac:dyDescent="0.4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</row>
    <row r="100" spans="1:13" x14ac:dyDescent="0.4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</row>
    <row r="101" spans="1:13" x14ac:dyDescent="0.4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</row>
    <row r="102" spans="1:13" x14ac:dyDescent="0.4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</row>
    <row r="103" spans="1:13" x14ac:dyDescent="0.4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</row>
    <row r="104" spans="1:13" x14ac:dyDescent="0.4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</row>
    <row r="105" spans="1:13" x14ac:dyDescent="0.4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</row>
    <row r="106" spans="1:13" x14ac:dyDescent="0.4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</row>
    <row r="107" spans="1:13" x14ac:dyDescent="0.4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</row>
    <row r="108" spans="1:13" x14ac:dyDescent="0.4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</row>
    <row r="109" spans="1:13" x14ac:dyDescent="0.4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</row>
  </sheetData>
  <pageMargins left="0.11811023622047245" right="0.24" top="0.74803149606299213" bottom="0.74803149606299213" header="0.31496062992125984" footer="0.31496062992125984"/>
  <pageSetup paperSize="9" scale="8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F0E0-F360-4613-A85F-1C0C9E781F44}">
  <sheetPr>
    <tabColor rgb="FF92D050"/>
  </sheetPr>
  <dimension ref="A1:L47"/>
  <sheetViews>
    <sheetView rightToLeft="1" zoomScale="90" zoomScaleNormal="90" workbookViewId="0">
      <pane xSplit="2" ySplit="3" topLeftCell="C4" activePane="bottomRight" state="frozen"/>
      <selection activeCell="A105" sqref="A105"/>
      <selection pane="topRight" activeCell="A105" sqref="A105"/>
      <selection pane="bottomLeft" activeCell="A105" sqref="A105"/>
      <selection pane="bottomRight" activeCell="P21" activeCellId="1" sqref="R15 P21"/>
    </sheetView>
  </sheetViews>
  <sheetFormatPr defaultColWidth="8.85546875" defaultRowHeight="18" x14ac:dyDescent="0.45"/>
  <cols>
    <col min="1" max="1" width="10" style="21" bestFit="1" customWidth="1"/>
    <col min="2" max="2" width="30" style="21" bestFit="1" customWidth="1"/>
    <col min="3" max="3" width="25.85546875" style="21" bestFit="1" customWidth="1"/>
    <col min="4" max="4" width="9.140625" style="21" bestFit="1" customWidth="1"/>
    <col min="5" max="5" width="21.140625" style="21" bestFit="1" customWidth="1"/>
    <col min="6" max="6" width="6.42578125" style="21" bestFit="1" customWidth="1"/>
    <col min="7" max="7" width="10.42578125" style="21" bestFit="1" customWidth="1"/>
    <col min="8" max="8" width="12.7109375" style="21" bestFit="1" customWidth="1"/>
    <col min="9" max="10" width="11.28515625" style="21" bestFit="1" customWidth="1"/>
    <col min="11" max="11" width="11.85546875" style="21" bestFit="1" customWidth="1"/>
    <col min="12" max="12" width="6.85546875" style="21" bestFit="1" customWidth="1"/>
    <col min="13" max="14" width="7.7109375" style="21" bestFit="1" customWidth="1"/>
    <col min="15" max="16384" width="8.85546875" style="21"/>
  </cols>
  <sheetData>
    <row r="1" spans="1:12" s="21" customFormat="1" x14ac:dyDescent="0.45">
      <c r="A1" s="40" t="s">
        <v>4</v>
      </c>
      <c r="B1" s="42" t="s">
        <v>65</v>
      </c>
    </row>
    <row r="3" spans="1:12" s="21" customFormat="1" x14ac:dyDescent="0.45">
      <c r="A3" s="40" t="s">
        <v>116</v>
      </c>
      <c r="B3" s="40" t="s">
        <v>104</v>
      </c>
      <c r="C3" s="40" t="s">
        <v>103</v>
      </c>
      <c r="D3" s="40" t="s">
        <v>0</v>
      </c>
      <c r="E3" s="40" t="s">
        <v>102</v>
      </c>
      <c r="F3" s="40" t="s">
        <v>106</v>
      </c>
      <c r="G3" s="40" t="s">
        <v>107</v>
      </c>
      <c r="H3" s="41" t="s">
        <v>117</v>
      </c>
      <c r="I3" s="41" t="s">
        <v>121</v>
      </c>
      <c r="J3" s="41" t="s">
        <v>122</v>
      </c>
      <c r="K3" s="41" t="s">
        <v>119</v>
      </c>
      <c r="L3" s="41" t="s">
        <v>120</v>
      </c>
    </row>
    <row r="4" spans="1:12" s="21" customFormat="1" x14ac:dyDescent="0.45">
      <c r="A4" s="42">
        <v>25</v>
      </c>
      <c r="B4" s="42" t="s">
        <v>64</v>
      </c>
      <c r="C4" s="42" t="s">
        <v>63</v>
      </c>
      <c r="D4" s="41"/>
      <c r="E4" s="41"/>
      <c r="F4" s="41"/>
      <c r="G4" s="41"/>
      <c r="H4" s="43">
        <v>-13178070.649999999</v>
      </c>
      <c r="I4" s="44">
        <v>488888.88</v>
      </c>
      <c r="J4" s="44">
        <v>13666959.529999999</v>
      </c>
      <c r="K4" s="44">
        <v>-13178070.65</v>
      </c>
      <c r="L4" s="44"/>
    </row>
    <row r="5" spans="1:12" s="21" customFormat="1" x14ac:dyDescent="0.45">
      <c r="A5" s="41"/>
      <c r="B5" s="41"/>
      <c r="C5" s="42" t="s">
        <v>66</v>
      </c>
      <c r="D5" s="42">
        <v>2502</v>
      </c>
      <c r="E5" s="42">
        <v>0</v>
      </c>
      <c r="F5" s="41"/>
      <c r="G5" s="41"/>
      <c r="H5" s="43">
        <v>-21104.65</v>
      </c>
      <c r="I5" s="44">
        <v>0</v>
      </c>
      <c r="J5" s="44">
        <v>21104.65</v>
      </c>
      <c r="K5" s="44">
        <v>-21104.65</v>
      </c>
      <c r="L5" s="44"/>
    </row>
    <row r="6" spans="1:12" s="21" customFormat="1" x14ac:dyDescent="0.45">
      <c r="A6" s="41"/>
      <c r="B6" s="41"/>
      <c r="C6" s="42" t="s">
        <v>222</v>
      </c>
      <c r="D6" s="41"/>
      <c r="E6" s="41"/>
      <c r="F6" s="41"/>
      <c r="G6" s="41"/>
      <c r="H6" s="43">
        <v>-21104.65</v>
      </c>
      <c r="I6" s="44">
        <v>0</v>
      </c>
      <c r="J6" s="44">
        <v>21104.65</v>
      </c>
      <c r="K6" s="44">
        <v>-21104.65</v>
      </c>
      <c r="L6" s="44"/>
    </row>
    <row r="7" spans="1:12" s="21" customFormat="1" x14ac:dyDescent="0.45">
      <c r="A7" s="41"/>
      <c r="B7" s="42" t="s">
        <v>223</v>
      </c>
      <c r="C7" s="41"/>
      <c r="D7" s="41"/>
      <c r="E7" s="41"/>
      <c r="F7" s="41"/>
      <c r="G7" s="41"/>
      <c r="H7" s="43">
        <v>-13199175.299999999</v>
      </c>
      <c r="I7" s="44">
        <v>488888.88</v>
      </c>
      <c r="J7" s="44">
        <v>13688064.18</v>
      </c>
      <c r="K7" s="44">
        <v>-13199175.300000001</v>
      </c>
      <c r="L7" s="44"/>
    </row>
    <row r="8" spans="1:12" s="21" customFormat="1" x14ac:dyDescent="0.45">
      <c r="A8" s="42">
        <v>26</v>
      </c>
      <c r="B8" s="42" t="s">
        <v>69</v>
      </c>
      <c r="C8" s="42" t="s">
        <v>74</v>
      </c>
      <c r="D8" s="42">
        <v>2608</v>
      </c>
      <c r="E8" s="42" t="s">
        <v>86</v>
      </c>
      <c r="F8" s="41"/>
      <c r="G8" s="41"/>
      <c r="H8" s="43">
        <v>179580.12</v>
      </c>
      <c r="I8" s="44">
        <v>179620.12</v>
      </c>
      <c r="J8" s="44">
        <v>40</v>
      </c>
      <c r="K8" s="44">
        <v>179580.12</v>
      </c>
      <c r="L8" s="44"/>
    </row>
    <row r="9" spans="1:12" s="21" customFormat="1" x14ac:dyDescent="0.45">
      <c r="A9" s="41"/>
      <c r="B9" s="41"/>
      <c r="C9" s="41"/>
      <c r="D9" s="42">
        <v>2613</v>
      </c>
      <c r="E9" s="42" t="s">
        <v>87</v>
      </c>
      <c r="F9" s="41"/>
      <c r="G9" s="41"/>
      <c r="H9" s="43">
        <v>1400</v>
      </c>
      <c r="I9" s="44">
        <v>1400</v>
      </c>
      <c r="J9" s="44">
        <v>0</v>
      </c>
      <c r="K9" s="44">
        <v>1400</v>
      </c>
      <c r="L9" s="44"/>
    </row>
    <row r="10" spans="1:12" s="21" customFormat="1" x14ac:dyDescent="0.45">
      <c r="A10" s="41"/>
      <c r="B10" s="41"/>
      <c r="C10" s="41"/>
      <c r="D10" s="42">
        <v>2615</v>
      </c>
      <c r="E10" s="42" t="s">
        <v>82</v>
      </c>
      <c r="F10" s="41"/>
      <c r="G10" s="41"/>
      <c r="H10" s="43">
        <v>43802.33</v>
      </c>
      <c r="I10" s="44">
        <v>43802.33</v>
      </c>
      <c r="J10" s="44">
        <v>0</v>
      </c>
      <c r="K10" s="44">
        <v>43802.33</v>
      </c>
      <c r="L10" s="44"/>
    </row>
    <row r="11" spans="1:12" s="21" customFormat="1" x14ac:dyDescent="0.45">
      <c r="A11" s="41"/>
      <c r="B11" s="41"/>
      <c r="C11" s="41"/>
      <c r="D11" s="42">
        <v>2616</v>
      </c>
      <c r="E11" s="42" t="s">
        <v>88</v>
      </c>
      <c r="F11" s="41"/>
      <c r="G11" s="41"/>
      <c r="H11" s="43">
        <v>21132.02</v>
      </c>
      <c r="I11" s="44">
        <v>21132.02</v>
      </c>
      <c r="J11" s="44">
        <v>0</v>
      </c>
      <c r="K11" s="44">
        <v>21132.02</v>
      </c>
      <c r="L11" s="44"/>
    </row>
    <row r="12" spans="1:12" s="21" customFormat="1" x14ac:dyDescent="0.45">
      <c r="A12" s="41"/>
      <c r="B12" s="41"/>
      <c r="C12" s="41"/>
      <c r="D12" s="42">
        <v>2620</v>
      </c>
      <c r="E12" s="42" t="s">
        <v>84</v>
      </c>
      <c r="F12" s="41"/>
      <c r="G12" s="41"/>
      <c r="H12" s="43">
        <v>597766.18000000005</v>
      </c>
      <c r="I12" s="44">
        <v>600653.68000000005</v>
      </c>
      <c r="J12" s="44">
        <v>2887.5</v>
      </c>
      <c r="K12" s="44">
        <v>597766.18000000005</v>
      </c>
      <c r="L12" s="44"/>
    </row>
    <row r="13" spans="1:12" s="21" customFormat="1" x14ac:dyDescent="0.45">
      <c r="A13" s="41"/>
      <c r="B13" s="41"/>
      <c r="C13" s="42" t="s">
        <v>228</v>
      </c>
      <c r="D13" s="41"/>
      <c r="E13" s="41"/>
      <c r="F13" s="41"/>
      <c r="G13" s="41"/>
      <c r="H13" s="43">
        <v>843680.65</v>
      </c>
      <c r="I13" s="44">
        <v>846608.15</v>
      </c>
      <c r="J13" s="44">
        <v>2927.5</v>
      </c>
      <c r="K13" s="44">
        <v>843680.65</v>
      </c>
      <c r="L13" s="44"/>
    </row>
    <row r="14" spans="1:12" s="21" customFormat="1" x14ac:dyDescent="0.45">
      <c r="A14" s="41"/>
      <c r="B14" s="41"/>
      <c r="C14" s="42" t="s">
        <v>70</v>
      </c>
      <c r="D14" s="41"/>
      <c r="E14" s="41"/>
      <c r="F14" s="41"/>
      <c r="G14" s="41"/>
      <c r="H14" s="43">
        <v>2476506.7199999997</v>
      </c>
      <c r="I14" s="44">
        <v>2476506.7199999997</v>
      </c>
      <c r="J14" s="44">
        <v>0</v>
      </c>
      <c r="K14" s="44">
        <v>2476506.7199999997</v>
      </c>
      <c r="L14" s="44"/>
    </row>
    <row r="15" spans="1:12" s="21" customFormat="1" x14ac:dyDescent="0.45">
      <c r="A15" s="41"/>
      <c r="B15" s="42" t="s">
        <v>224</v>
      </c>
      <c r="C15" s="41"/>
      <c r="D15" s="41"/>
      <c r="E15" s="41"/>
      <c r="F15" s="41"/>
      <c r="G15" s="41"/>
      <c r="H15" s="43">
        <v>3320187.3699999996</v>
      </c>
      <c r="I15" s="44">
        <v>3323114.8699999996</v>
      </c>
      <c r="J15" s="44">
        <v>2927.5</v>
      </c>
      <c r="K15" s="44">
        <v>3320187.3699999996</v>
      </c>
      <c r="L15" s="44"/>
    </row>
    <row r="16" spans="1:12" s="21" customFormat="1" x14ac:dyDescent="0.45">
      <c r="A16" s="42">
        <v>28</v>
      </c>
      <c r="B16" s="42" t="s">
        <v>91</v>
      </c>
      <c r="C16" s="42" t="s">
        <v>91</v>
      </c>
      <c r="D16" s="42">
        <v>2801</v>
      </c>
      <c r="E16" s="42" t="s">
        <v>73</v>
      </c>
      <c r="F16" s="41"/>
      <c r="G16" s="41"/>
      <c r="H16" s="43">
        <v>7591721.9100000001</v>
      </c>
      <c r="I16" s="44">
        <v>7591721.9100000001</v>
      </c>
      <c r="J16" s="44">
        <v>0</v>
      </c>
      <c r="K16" s="44">
        <v>7591721.9100000001</v>
      </c>
      <c r="L16" s="44"/>
    </row>
    <row r="17" spans="1:12" s="21" customFormat="1" x14ac:dyDescent="0.45">
      <c r="A17" s="41"/>
      <c r="B17" s="41"/>
      <c r="C17" s="41"/>
      <c r="D17" s="42">
        <v>2802</v>
      </c>
      <c r="E17" s="42" t="s">
        <v>75</v>
      </c>
      <c r="F17" s="41"/>
      <c r="G17" s="41"/>
      <c r="H17" s="43">
        <v>419930.69</v>
      </c>
      <c r="I17" s="44">
        <v>419930.69</v>
      </c>
      <c r="J17" s="44">
        <v>0</v>
      </c>
      <c r="K17" s="44">
        <v>419930.69</v>
      </c>
      <c r="L17" s="44"/>
    </row>
    <row r="18" spans="1:12" s="21" customFormat="1" x14ac:dyDescent="0.45">
      <c r="A18" s="41"/>
      <c r="B18" s="41"/>
      <c r="C18" s="41"/>
      <c r="D18" s="42">
        <v>2803</v>
      </c>
      <c r="E18" s="42" t="s">
        <v>76</v>
      </c>
      <c r="F18" s="41"/>
      <c r="G18" s="41"/>
      <c r="H18" s="43">
        <v>318349.21999999997</v>
      </c>
      <c r="I18" s="44">
        <v>346530.64999999997</v>
      </c>
      <c r="J18" s="44">
        <v>28181.43</v>
      </c>
      <c r="K18" s="44">
        <v>318349.21999999997</v>
      </c>
      <c r="L18" s="44"/>
    </row>
    <row r="19" spans="1:12" s="21" customFormat="1" x14ac:dyDescent="0.45">
      <c r="A19" s="41"/>
      <c r="B19" s="41"/>
      <c r="C19" s="41"/>
      <c r="D19" s="42">
        <v>2804</v>
      </c>
      <c r="E19" s="42" t="s">
        <v>86</v>
      </c>
      <c r="F19" s="41"/>
      <c r="G19" s="41"/>
      <c r="H19" s="43">
        <v>6803</v>
      </c>
      <c r="I19" s="44">
        <v>6803</v>
      </c>
      <c r="J19" s="44">
        <v>0</v>
      </c>
      <c r="K19" s="44">
        <v>6803</v>
      </c>
      <c r="L19" s="44"/>
    </row>
    <row r="20" spans="1:12" s="21" customFormat="1" x14ac:dyDescent="0.45">
      <c r="A20" s="41"/>
      <c r="B20" s="41"/>
      <c r="C20" s="41"/>
      <c r="D20" s="42">
        <v>2805</v>
      </c>
      <c r="E20" s="42" t="s">
        <v>77</v>
      </c>
      <c r="F20" s="41"/>
      <c r="G20" s="41"/>
      <c r="H20" s="43">
        <v>114117.68</v>
      </c>
      <c r="I20" s="44">
        <v>114117.68</v>
      </c>
      <c r="J20" s="44">
        <v>0</v>
      </c>
      <c r="K20" s="44">
        <v>114117.68</v>
      </c>
      <c r="L20" s="44"/>
    </row>
    <row r="21" spans="1:12" s="21" customFormat="1" x14ac:dyDescent="0.45">
      <c r="A21" s="41"/>
      <c r="B21" s="41"/>
      <c r="C21" s="41"/>
      <c r="D21" s="42">
        <v>2806</v>
      </c>
      <c r="E21" s="42" t="s">
        <v>92</v>
      </c>
      <c r="F21" s="41"/>
      <c r="G21" s="41"/>
      <c r="H21" s="43">
        <v>63190.65</v>
      </c>
      <c r="I21" s="44">
        <v>63190.65</v>
      </c>
      <c r="J21" s="44">
        <v>0</v>
      </c>
      <c r="K21" s="44">
        <v>63190.65</v>
      </c>
      <c r="L21" s="44"/>
    </row>
    <row r="22" spans="1:12" s="21" customFormat="1" x14ac:dyDescent="0.45">
      <c r="A22" s="41"/>
      <c r="B22" s="41"/>
      <c r="C22" s="41"/>
      <c r="D22" s="42">
        <v>2807</v>
      </c>
      <c r="E22" s="42" t="s">
        <v>78</v>
      </c>
      <c r="F22" s="41"/>
      <c r="G22" s="41"/>
      <c r="H22" s="43">
        <v>203270.26</v>
      </c>
      <c r="I22" s="44">
        <v>203270.26</v>
      </c>
      <c r="J22" s="44">
        <v>0</v>
      </c>
      <c r="K22" s="44">
        <v>203270.26</v>
      </c>
      <c r="L22" s="44"/>
    </row>
    <row r="23" spans="1:12" s="21" customFormat="1" x14ac:dyDescent="0.45">
      <c r="A23" s="41"/>
      <c r="B23" s="41"/>
      <c r="C23" s="41"/>
      <c r="D23" s="42">
        <v>2808</v>
      </c>
      <c r="E23" s="42" t="s">
        <v>79</v>
      </c>
      <c r="F23" s="41"/>
      <c r="G23" s="41"/>
      <c r="H23" s="43">
        <v>834944.7</v>
      </c>
      <c r="I23" s="44">
        <v>839670.7</v>
      </c>
      <c r="J23" s="44">
        <v>4726</v>
      </c>
      <c r="K23" s="44">
        <v>834944.7</v>
      </c>
      <c r="L23" s="44"/>
    </row>
    <row r="24" spans="1:12" s="21" customFormat="1" x14ac:dyDescent="0.45">
      <c r="A24" s="41"/>
      <c r="B24" s="41"/>
      <c r="C24" s="41"/>
      <c r="D24" s="42">
        <v>2809</v>
      </c>
      <c r="E24" s="42" t="s">
        <v>80</v>
      </c>
      <c r="F24" s="41"/>
      <c r="G24" s="41"/>
      <c r="H24" s="43">
        <v>30351.040000000001</v>
      </c>
      <c r="I24" s="44">
        <v>30351.040000000001</v>
      </c>
      <c r="J24" s="44">
        <v>0</v>
      </c>
      <c r="K24" s="44">
        <v>30351.040000000001</v>
      </c>
      <c r="L24" s="44"/>
    </row>
    <row r="25" spans="1:12" s="21" customFormat="1" x14ac:dyDescent="0.45">
      <c r="A25" s="41"/>
      <c r="B25" s="41"/>
      <c r="C25" s="41"/>
      <c r="D25" s="42">
        <v>2810</v>
      </c>
      <c r="E25" s="42" t="s">
        <v>87</v>
      </c>
      <c r="F25" s="41"/>
      <c r="G25" s="41"/>
      <c r="H25" s="43">
        <v>23784.190000000002</v>
      </c>
      <c r="I25" s="44">
        <v>23784.190000000002</v>
      </c>
      <c r="J25" s="44">
        <v>0</v>
      </c>
      <c r="K25" s="44">
        <v>23784.190000000002</v>
      </c>
      <c r="L25" s="44"/>
    </row>
    <row r="26" spans="1:12" s="21" customFormat="1" x14ac:dyDescent="0.45">
      <c r="A26" s="41"/>
      <c r="B26" s="41"/>
      <c r="C26" s="41"/>
      <c r="D26" s="42">
        <v>2811</v>
      </c>
      <c r="E26" s="42" t="s">
        <v>81</v>
      </c>
      <c r="F26" s="41"/>
      <c r="G26" s="41"/>
      <c r="H26" s="43">
        <v>28413.29</v>
      </c>
      <c r="I26" s="44">
        <v>29848.74</v>
      </c>
      <c r="J26" s="44">
        <v>1435.45</v>
      </c>
      <c r="K26" s="44">
        <v>28413.29</v>
      </c>
      <c r="L26" s="44"/>
    </row>
    <row r="27" spans="1:12" s="21" customFormat="1" x14ac:dyDescent="0.45">
      <c r="A27" s="41"/>
      <c r="B27" s="41"/>
      <c r="C27" s="41"/>
      <c r="D27" s="42">
        <v>2815</v>
      </c>
      <c r="E27" s="42" t="s">
        <v>93</v>
      </c>
      <c r="F27" s="41"/>
      <c r="G27" s="41"/>
      <c r="H27" s="43">
        <v>19999.560000000001</v>
      </c>
      <c r="I27" s="44">
        <v>19999.560000000001</v>
      </c>
      <c r="J27" s="44">
        <v>0</v>
      </c>
      <c r="K27" s="44">
        <v>19999.560000000001</v>
      </c>
      <c r="L27" s="44"/>
    </row>
    <row r="28" spans="1:12" s="21" customFormat="1" x14ac:dyDescent="0.45">
      <c r="A28" s="41"/>
      <c r="B28" s="41"/>
      <c r="C28" s="41"/>
      <c r="D28" s="42">
        <v>2816</v>
      </c>
      <c r="E28" s="42" t="s">
        <v>90</v>
      </c>
      <c r="F28" s="41"/>
      <c r="G28" s="41"/>
      <c r="H28" s="43">
        <v>173863.82</v>
      </c>
      <c r="I28" s="44">
        <v>173863.82</v>
      </c>
      <c r="J28" s="44">
        <v>0</v>
      </c>
      <c r="K28" s="44">
        <v>173863.82</v>
      </c>
      <c r="L28" s="44"/>
    </row>
    <row r="29" spans="1:12" s="21" customFormat="1" x14ac:dyDescent="0.45">
      <c r="A29" s="41"/>
      <c r="B29" s="41"/>
      <c r="C29" s="41"/>
      <c r="D29" s="42">
        <v>2817</v>
      </c>
      <c r="E29" s="42" t="s">
        <v>83</v>
      </c>
      <c r="F29" s="41"/>
      <c r="G29" s="41"/>
      <c r="H29" s="43">
        <v>64294.549999999996</v>
      </c>
      <c r="I29" s="44">
        <v>64294.549999999996</v>
      </c>
      <c r="J29" s="44">
        <v>0</v>
      </c>
      <c r="K29" s="44">
        <v>64294.549999999996</v>
      </c>
      <c r="L29" s="44"/>
    </row>
    <row r="30" spans="1:12" s="21" customFormat="1" x14ac:dyDescent="0.45">
      <c r="A30" s="41"/>
      <c r="B30" s="41"/>
      <c r="C30" s="41"/>
      <c r="D30" s="42">
        <v>2818</v>
      </c>
      <c r="E30" s="42" t="s">
        <v>94</v>
      </c>
      <c r="F30" s="41"/>
      <c r="G30" s="41"/>
      <c r="H30" s="43">
        <v>34360.080000000002</v>
      </c>
      <c r="I30" s="44">
        <v>34893.43</v>
      </c>
      <c r="J30" s="44">
        <v>533.35</v>
      </c>
      <c r="K30" s="44">
        <v>34360.080000000002</v>
      </c>
      <c r="L30" s="44"/>
    </row>
    <row r="31" spans="1:12" s="21" customFormat="1" x14ac:dyDescent="0.45">
      <c r="A31" s="41"/>
      <c r="B31" s="41"/>
      <c r="C31" s="41"/>
      <c r="D31" s="42">
        <v>2819</v>
      </c>
      <c r="E31" s="42" t="s">
        <v>84</v>
      </c>
      <c r="F31" s="41"/>
      <c r="G31" s="41"/>
      <c r="H31" s="43">
        <v>108821.09</v>
      </c>
      <c r="I31" s="44">
        <v>117821.09</v>
      </c>
      <c r="J31" s="44">
        <v>9000</v>
      </c>
      <c r="K31" s="44">
        <v>108821.09</v>
      </c>
      <c r="L31" s="44"/>
    </row>
    <row r="32" spans="1:12" s="21" customFormat="1" x14ac:dyDescent="0.45">
      <c r="A32" s="41"/>
      <c r="B32" s="41"/>
      <c r="C32" s="42" t="s">
        <v>225</v>
      </c>
      <c r="D32" s="41"/>
      <c r="E32" s="41"/>
      <c r="F32" s="41"/>
      <c r="G32" s="41"/>
      <c r="H32" s="43">
        <v>10036215.729999999</v>
      </c>
      <c r="I32" s="44">
        <v>10080091.960000001</v>
      </c>
      <c r="J32" s="44">
        <v>43876.229999999996</v>
      </c>
      <c r="K32" s="44">
        <v>10036215.729999999</v>
      </c>
      <c r="L32" s="44"/>
    </row>
    <row r="33" spans="1:12" s="21" customFormat="1" x14ac:dyDescent="0.45">
      <c r="A33" s="41"/>
      <c r="B33" s="42" t="s">
        <v>225</v>
      </c>
      <c r="C33" s="41"/>
      <c r="D33" s="41"/>
      <c r="E33" s="41"/>
      <c r="F33" s="41"/>
      <c r="G33" s="41"/>
      <c r="H33" s="43">
        <v>10036215.729999999</v>
      </c>
      <c r="I33" s="44">
        <v>10080091.960000001</v>
      </c>
      <c r="J33" s="44">
        <v>43876.229999999996</v>
      </c>
      <c r="K33" s="44">
        <v>10036215.729999999</v>
      </c>
      <c r="L33" s="44"/>
    </row>
    <row r="34" spans="1:12" s="21" customFormat="1" x14ac:dyDescent="0.45">
      <c r="A34" s="42">
        <v>30</v>
      </c>
      <c r="B34" s="42" t="s">
        <v>99</v>
      </c>
      <c r="C34" s="42" t="s">
        <v>99</v>
      </c>
      <c r="D34" s="41"/>
      <c r="E34" s="41"/>
      <c r="F34" s="41"/>
      <c r="G34" s="41"/>
      <c r="H34" s="43">
        <v>98918.98</v>
      </c>
      <c r="I34" s="44">
        <v>139005.76000000001</v>
      </c>
      <c r="J34" s="44">
        <v>40086.78</v>
      </c>
      <c r="K34" s="44">
        <v>98918.98</v>
      </c>
      <c r="L34" s="44"/>
    </row>
    <row r="35" spans="1:12" s="21" customFormat="1" x14ac:dyDescent="0.45">
      <c r="A35" s="41"/>
      <c r="B35" s="42" t="s">
        <v>226</v>
      </c>
      <c r="C35" s="41"/>
      <c r="D35" s="41"/>
      <c r="E35" s="41"/>
      <c r="F35" s="41"/>
      <c r="G35" s="41"/>
      <c r="H35" s="43">
        <v>98918.98</v>
      </c>
      <c r="I35" s="44">
        <v>139005.76000000001</v>
      </c>
      <c r="J35" s="44">
        <v>40086.78</v>
      </c>
      <c r="K35" s="44">
        <v>98918.98</v>
      </c>
      <c r="L35" s="44"/>
    </row>
    <row r="36" spans="1:12" s="21" customFormat="1" x14ac:dyDescent="0.45">
      <c r="A36" s="42" t="s">
        <v>227</v>
      </c>
      <c r="B36" s="41"/>
      <c r="C36" s="41"/>
      <c r="D36" s="41"/>
      <c r="E36" s="41"/>
      <c r="F36" s="41"/>
      <c r="G36" s="41"/>
      <c r="H36" s="43">
        <v>256146.78000000014</v>
      </c>
      <c r="I36" s="44">
        <v>14031101.469999999</v>
      </c>
      <c r="J36" s="44">
        <v>13774954.689999998</v>
      </c>
      <c r="K36" s="44">
        <v>256146.77999999642</v>
      </c>
      <c r="L36" s="44"/>
    </row>
    <row r="37" spans="1:12" s="21" customFormat="1" x14ac:dyDescent="0.4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spans="1:12" s="21" customFormat="1" x14ac:dyDescent="0.4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spans="1:12" s="21" customFormat="1" x14ac:dyDescent="0.4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spans="1:12" s="21" customFormat="1" x14ac:dyDescent="0.4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spans="1:12" s="21" customFormat="1" x14ac:dyDescent="0.4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spans="1:12" s="21" customFormat="1" x14ac:dyDescent="0.4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spans="1:12" s="21" customFormat="1" x14ac:dyDescent="0.4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spans="1:12" s="21" customFormat="1" x14ac:dyDescent="0.4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</row>
    <row r="45" spans="1:12" s="21" customFormat="1" x14ac:dyDescent="0.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</row>
    <row r="46" spans="1:12" s="21" customFormat="1" x14ac:dyDescent="0.4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spans="1:12" s="21" customFormat="1" x14ac:dyDescent="0.4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</row>
  </sheetData>
  <pageMargins left="0.11811023622047245" right="0.24" top="0.74803149606299213" bottom="0.74803149606299213" header="0.31496062992125984" footer="0.31496062992125984"/>
  <pageSetup paperSize="9" scale="8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9044-F3F1-4ECF-B344-8EB84ADBE320}">
  <sheetPr>
    <tabColor rgb="FF92D050"/>
  </sheetPr>
  <dimension ref="A1:N268"/>
  <sheetViews>
    <sheetView rightToLeft="1" view="pageBreakPreview" zoomScale="117" zoomScaleNormal="100" zoomScaleSheetLayoutView="117" workbookViewId="0">
      <pane xSplit="1" ySplit="3" topLeftCell="B4" activePane="bottomRight" state="frozen"/>
      <selection activeCell="A105" sqref="A105"/>
      <selection pane="topRight" activeCell="A105" sqref="A105"/>
      <selection pane="bottomLeft" activeCell="A105" sqref="A105"/>
      <selection pane="bottomRight" activeCell="G5" sqref="G5"/>
    </sheetView>
  </sheetViews>
  <sheetFormatPr defaultColWidth="8.85546875" defaultRowHeight="14.25" x14ac:dyDescent="0.2"/>
  <cols>
    <col min="1" max="1" width="8.28515625" style="1" bestFit="1" customWidth="1"/>
    <col min="2" max="2" width="10.5703125" style="1" bestFit="1" customWidth="1"/>
    <col min="3" max="3" width="7.28515625" style="1" bestFit="1" customWidth="1"/>
    <col min="4" max="4" width="6.85546875" style="1" bestFit="1" customWidth="1"/>
    <col min="5" max="6" width="11" style="1" bestFit="1" customWidth="1"/>
    <col min="7" max="7" width="9.85546875" style="1" bestFit="1" customWidth="1"/>
    <col min="8" max="8" width="7" style="1" bestFit="1" customWidth="1"/>
    <col min="9" max="10" width="10.5703125" style="1" bestFit="1" customWidth="1"/>
    <col min="11" max="13" width="11" style="1" bestFit="1" customWidth="1"/>
    <col min="14" max="16384" width="8.85546875" style="1"/>
  </cols>
  <sheetData>
    <row r="1" spans="1:13" x14ac:dyDescent="0.2">
      <c r="A1" s="19" t="s">
        <v>116</v>
      </c>
      <c r="B1" s="3" t="s">
        <v>11</v>
      </c>
      <c r="C1"/>
      <c r="D1"/>
      <c r="E1"/>
      <c r="F1"/>
      <c r="G1"/>
      <c r="H1"/>
      <c r="I1"/>
      <c r="J1"/>
      <c r="K1"/>
      <c r="L1"/>
      <c r="M1"/>
    </row>
    <row r="2" spans="1:13" x14ac:dyDescent="0.2">
      <c r="A2"/>
      <c r="B2"/>
      <c r="C2"/>
      <c r="D2"/>
      <c r="E2"/>
      <c r="F2"/>
      <c r="G2"/>
      <c r="H2"/>
      <c r="I2"/>
      <c r="J2"/>
      <c r="K2"/>
      <c r="L2"/>
      <c r="M2"/>
    </row>
    <row r="3" spans="1:13" x14ac:dyDescent="0.2">
      <c r="A3" s="19" t="s">
        <v>116</v>
      </c>
      <c r="B3" s="19" t="s">
        <v>107</v>
      </c>
      <c r="C3" t="s">
        <v>123</v>
      </c>
      <c r="D3" t="s">
        <v>124</v>
      </c>
      <c r="E3" t="s">
        <v>121</v>
      </c>
      <c r="F3" t="s">
        <v>122</v>
      </c>
      <c r="G3" t="s">
        <v>119</v>
      </c>
      <c r="H3" t="s">
        <v>120</v>
      </c>
      <c r="I3" t="s">
        <v>117</v>
      </c>
      <c r="J3" t="s">
        <v>118</v>
      </c>
      <c r="K3"/>
      <c r="L3"/>
      <c r="M3"/>
    </row>
    <row r="4" spans="1:13" x14ac:dyDescent="0.2">
      <c r="A4" s="3" t="s">
        <v>146</v>
      </c>
      <c r="B4" s="3" t="s">
        <v>178</v>
      </c>
      <c r="C4" s="5"/>
      <c r="D4" s="5"/>
      <c r="E4" s="5">
        <v>15717003.49</v>
      </c>
      <c r="F4" s="5">
        <v>16006903.609999999</v>
      </c>
      <c r="G4" s="5">
        <v>3182524.58</v>
      </c>
      <c r="H4" s="5"/>
      <c r="I4" s="4">
        <v>3182524.5800000019</v>
      </c>
      <c r="J4" s="4">
        <v>3472424.7</v>
      </c>
      <c r="K4"/>
      <c r="L4"/>
      <c r="M4"/>
    </row>
    <row r="5" spans="1:13" x14ac:dyDescent="0.2">
      <c r="A5" s="3" t="s">
        <v>125</v>
      </c>
      <c r="B5"/>
      <c r="C5" s="5"/>
      <c r="D5" s="5"/>
      <c r="E5" s="5">
        <v>15717003.49</v>
      </c>
      <c r="F5" s="5">
        <v>16006903.609999999</v>
      </c>
      <c r="G5" s="5">
        <v>3182524.58</v>
      </c>
      <c r="H5" s="5"/>
      <c r="I5" s="4">
        <v>3182524.5800000019</v>
      </c>
      <c r="J5" s="4">
        <v>3472424.7</v>
      </c>
      <c r="K5"/>
      <c r="L5"/>
      <c r="M5"/>
    </row>
    <row r="6" spans="1:13" x14ac:dyDescent="0.2">
      <c r="A6"/>
      <c r="B6"/>
      <c r="C6"/>
      <c r="D6"/>
      <c r="E6"/>
      <c r="F6"/>
      <c r="G6"/>
      <c r="H6"/>
      <c r="I6"/>
      <c r="J6"/>
      <c r="K6"/>
      <c r="L6"/>
      <c r="M6"/>
    </row>
    <row r="7" spans="1:13" x14ac:dyDescent="0.2">
      <c r="A7"/>
      <c r="B7"/>
      <c r="C7"/>
      <c r="D7"/>
      <c r="E7"/>
      <c r="F7"/>
      <c r="G7"/>
      <c r="H7"/>
      <c r="I7"/>
      <c r="J7"/>
      <c r="K7"/>
      <c r="L7"/>
      <c r="M7"/>
    </row>
    <row r="8" spans="1:13" x14ac:dyDescent="0.2">
      <c r="A8"/>
      <c r="B8"/>
      <c r="C8"/>
      <c r="D8"/>
      <c r="E8"/>
      <c r="F8"/>
      <c r="G8"/>
      <c r="H8"/>
      <c r="I8"/>
      <c r="J8"/>
      <c r="K8"/>
      <c r="L8"/>
      <c r="M8"/>
    </row>
    <row r="9" spans="1:13" x14ac:dyDescent="0.2">
      <c r="A9"/>
      <c r="B9"/>
      <c r="C9"/>
      <c r="D9"/>
      <c r="E9"/>
      <c r="F9"/>
      <c r="G9"/>
      <c r="H9"/>
      <c r="I9"/>
      <c r="J9"/>
      <c r="K9"/>
      <c r="L9"/>
      <c r="M9"/>
    </row>
    <row r="10" spans="1:13" x14ac:dyDescent="0.2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2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2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x14ac:dyDescent="0.2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x14ac:dyDescent="0.2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2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x14ac:dyDescent="0.2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4" x14ac:dyDescent="0.2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4" x14ac:dyDescent="0.2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4" x14ac:dyDescent="0.2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4" x14ac:dyDescent="0.2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4" x14ac:dyDescent="0.2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4" x14ac:dyDescent="0.2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4" x14ac:dyDescent="0.2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4" x14ac:dyDescent="0.2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4" x14ac:dyDescent="0.2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4" x14ac:dyDescent="0.2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4" x14ac:dyDescent="0.2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4" x14ac:dyDescent="0.2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4" x14ac:dyDescent="0.2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4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1">
        <v>75027</v>
      </c>
    </row>
    <row r="31" spans="1:14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1">
        <v>7876921</v>
      </c>
    </row>
    <row r="32" spans="1:14" x14ac:dyDescent="0.2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2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2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2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2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2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2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2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2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2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2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2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2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2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2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">
      <c r="A94"/>
      <c r="B94"/>
      <c r="C94"/>
      <c r="D94"/>
      <c r="E94"/>
      <c r="F94"/>
      <c r="G94"/>
      <c r="H94"/>
      <c r="I94"/>
      <c r="J94"/>
    </row>
    <row r="95" spans="1:13" x14ac:dyDescent="0.2">
      <c r="A95"/>
      <c r="B95"/>
      <c r="C95"/>
      <c r="D95"/>
      <c r="E95"/>
      <c r="F95"/>
      <c r="G95"/>
      <c r="H95"/>
      <c r="I95"/>
      <c r="J95"/>
    </row>
    <row r="96" spans="1:13" x14ac:dyDescent="0.2">
      <c r="A96"/>
      <c r="B96"/>
      <c r="C96"/>
      <c r="D96"/>
      <c r="E96"/>
      <c r="F96"/>
      <c r="G96"/>
      <c r="H96"/>
      <c r="I96"/>
      <c r="J96"/>
    </row>
    <row r="97" spans="1:10" x14ac:dyDescent="0.2">
      <c r="A97"/>
      <c r="B97"/>
      <c r="C97"/>
      <c r="D97"/>
      <c r="E97"/>
      <c r="F97"/>
      <c r="G97"/>
      <c r="H97"/>
      <c r="I97"/>
      <c r="J97"/>
    </row>
    <row r="98" spans="1:10" x14ac:dyDescent="0.2">
      <c r="A98"/>
      <c r="B98"/>
      <c r="C98"/>
      <c r="D98"/>
      <c r="E98"/>
      <c r="F98"/>
      <c r="G98"/>
      <c r="H98"/>
      <c r="I98"/>
      <c r="J98"/>
    </row>
    <row r="99" spans="1:10" x14ac:dyDescent="0.2">
      <c r="A99"/>
      <c r="B99"/>
      <c r="C99"/>
      <c r="D99"/>
      <c r="E99"/>
      <c r="F99"/>
      <c r="G99"/>
      <c r="H99"/>
      <c r="I99"/>
      <c r="J99"/>
    </row>
    <row r="100" spans="1:10" x14ac:dyDescent="0.2">
      <c r="A100"/>
      <c r="B100"/>
      <c r="C100"/>
      <c r="D100"/>
      <c r="E100"/>
      <c r="F100"/>
      <c r="G100"/>
      <c r="H100"/>
      <c r="I100"/>
      <c r="J100"/>
    </row>
    <row r="101" spans="1:10" x14ac:dyDescent="0.2">
      <c r="A101"/>
      <c r="B101"/>
      <c r="C101"/>
      <c r="D101"/>
      <c r="E101"/>
      <c r="F101"/>
      <c r="G101"/>
      <c r="H101"/>
      <c r="I101"/>
      <c r="J101"/>
    </row>
    <row r="102" spans="1:10" x14ac:dyDescent="0.2">
      <c r="A102"/>
      <c r="B102"/>
      <c r="C102"/>
      <c r="D102"/>
      <c r="E102"/>
      <c r="F102"/>
      <c r="G102"/>
      <c r="H102"/>
      <c r="I102"/>
      <c r="J102"/>
    </row>
    <row r="103" spans="1:10" x14ac:dyDescent="0.2">
      <c r="A103"/>
      <c r="B103"/>
      <c r="C103"/>
      <c r="D103"/>
      <c r="E103"/>
      <c r="F103"/>
      <c r="G103"/>
      <c r="H103"/>
      <c r="I103"/>
      <c r="J103"/>
    </row>
    <row r="104" spans="1:10" x14ac:dyDescent="0.2">
      <c r="A104"/>
      <c r="B104"/>
      <c r="C104"/>
      <c r="D104"/>
      <c r="E104"/>
      <c r="F104"/>
      <c r="G104"/>
      <c r="H104"/>
      <c r="I104"/>
      <c r="J104"/>
    </row>
    <row r="105" spans="1:10" x14ac:dyDescent="0.2">
      <c r="A105"/>
      <c r="B105"/>
      <c r="C105"/>
      <c r="D105"/>
      <c r="E105"/>
      <c r="F105"/>
      <c r="G105"/>
      <c r="H105"/>
      <c r="I105"/>
      <c r="J105"/>
    </row>
    <row r="106" spans="1:10" x14ac:dyDescent="0.2">
      <c r="A106"/>
      <c r="B106"/>
      <c r="C106"/>
      <c r="D106"/>
      <c r="E106"/>
      <c r="F106"/>
      <c r="G106"/>
      <c r="H106"/>
      <c r="I106"/>
      <c r="J106"/>
    </row>
    <row r="107" spans="1:10" x14ac:dyDescent="0.2">
      <c r="A107"/>
      <c r="B107"/>
      <c r="C107"/>
      <c r="D107"/>
      <c r="E107"/>
      <c r="F107"/>
      <c r="G107"/>
      <c r="H107"/>
      <c r="I107"/>
      <c r="J107"/>
    </row>
    <row r="108" spans="1:10" x14ac:dyDescent="0.2">
      <c r="A108"/>
      <c r="B108"/>
      <c r="C108"/>
      <c r="D108"/>
      <c r="E108"/>
      <c r="F108"/>
      <c r="G108"/>
      <c r="H108"/>
      <c r="I108"/>
      <c r="J108"/>
    </row>
    <row r="109" spans="1:10" x14ac:dyDescent="0.2">
      <c r="A109"/>
      <c r="B109"/>
      <c r="C109"/>
      <c r="D109"/>
      <c r="E109"/>
      <c r="F109"/>
      <c r="G109"/>
      <c r="H109"/>
      <c r="I109"/>
      <c r="J109"/>
    </row>
    <row r="110" spans="1:10" x14ac:dyDescent="0.2">
      <c r="A110"/>
      <c r="B110"/>
      <c r="C110"/>
      <c r="D110"/>
      <c r="E110"/>
      <c r="F110"/>
      <c r="G110"/>
      <c r="H110"/>
      <c r="I110"/>
      <c r="J110"/>
    </row>
    <row r="111" spans="1:10" x14ac:dyDescent="0.2">
      <c r="A111"/>
      <c r="B111"/>
      <c r="C111"/>
      <c r="D111"/>
      <c r="E111"/>
      <c r="F111"/>
      <c r="G111"/>
      <c r="H111"/>
      <c r="I111"/>
      <c r="J111"/>
    </row>
    <row r="112" spans="1:10" x14ac:dyDescent="0.2">
      <c r="A112"/>
      <c r="B112"/>
      <c r="C112"/>
      <c r="D112"/>
      <c r="E112"/>
      <c r="F112"/>
      <c r="G112"/>
      <c r="H112"/>
      <c r="I112"/>
      <c r="J112"/>
    </row>
    <row r="113" spans="1:10" x14ac:dyDescent="0.2">
      <c r="A113"/>
      <c r="B113"/>
      <c r="C113"/>
      <c r="D113"/>
      <c r="E113"/>
      <c r="F113"/>
      <c r="G113"/>
      <c r="H113"/>
      <c r="I113"/>
      <c r="J113"/>
    </row>
    <row r="114" spans="1:10" x14ac:dyDescent="0.2">
      <c r="A114"/>
      <c r="B114"/>
      <c r="C114"/>
      <c r="D114"/>
      <c r="E114"/>
      <c r="F114"/>
      <c r="G114"/>
      <c r="H114"/>
      <c r="I114"/>
      <c r="J114"/>
    </row>
    <row r="115" spans="1:10" x14ac:dyDescent="0.2">
      <c r="A115"/>
      <c r="B115"/>
      <c r="C115"/>
      <c r="D115"/>
      <c r="E115"/>
      <c r="F115"/>
      <c r="G115"/>
      <c r="H115"/>
      <c r="I115"/>
      <c r="J115"/>
    </row>
    <row r="116" spans="1:10" x14ac:dyDescent="0.2">
      <c r="A116"/>
      <c r="B116"/>
      <c r="C116"/>
      <c r="D116"/>
      <c r="E116"/>
      <c r="F116"/>
      <c r="G116"/>
      <c r="H116"/>
      <c r="I116"/>
      <c r="J116"/>
    </row>
    <row r="117" spans="1:10" x14ac:dyDescent="0.2">
      <c r="A117"/>
      <c r="B117"/>
      <c r="C117"/>
      <c r="D117"/>
      <c r="E117"/>
      <c r="F117"/>
      <c r="G117"/>
      <c r="H117"/>
      <c r="I117"/>
      <c r="J117"/>
    </row>
    <row r="118" spans="1:10" x14ac:dyDescent="0.2">
      <c r="A118"/>
      <c r="B118"/>
      <c r="C118"/>
      <c r="D118"/>
      <c r="E118"/>
      <c r="F118"/>
      <c r="G118"/>
      <c r="H118"/>
      <c r="I118"/>
      <c r="J118"/>
    </row>
    <row r="119" spans="1:10" x14ac:dyDescent="0.2">
      <c r="A119"/>
      <c r="B119"/>
      <c r="C119"/>
      <c r="D119"/>
      <c r="E119"/>
      <c r="F119"/>
      <c r="G119"/>
      <c r="H119"/>
      <c r="I119"/>
      <c r="J119"/>
    </row>
    <row r="120" spans="1:10" x14ac:dyDescent="0.2">
      <c r="A120"/>
      <c r="B120"/>
      <c r="C120"/>
      <c r="D120"/>
      <c r="E120"/>
      <c r="F120"/>
      <c r="G120"/>
      <c r="H120"/>
      <c r="I120"/>
      <c r="J120"/>
    </row>
    <row r="121" spans="1:10" x14ac:dyDescent="0.2">
      <c r="A121"/>
      <c r="B121"/>
      <c r="C121"/>
      <c r="D121"/>
      <c r="E121"/>
      <c r="F121"/>
      <c r="G121"/>
      <c r="H121"/>
      <c r="I121"/>
      <c r="J121"/>
    </row>
    <row r="122" spans="1:10" x14ac:dyDescent="0.2">
      <c r="A122"/>
      <c r="B122"/>
      <c r="C122"/>
      <c r="D122"/>
      <c r="E122"/>
      <c r="F122"/>
      <c r="G122"/>
      <c r="H122"/>
      <c r="I122"/>
      <c r="J122"/>
    </row>
    <row r="123" spans="1:10" x14ac:dyDescent="0.2">
      <c r="A123"/>
      <c r="B123"/>
      <c r="C123"/>
      <c r="D123"/>
      <c r="E123"/>
      <c r="F123"/>
      <c r="G123"/>
      <c r="H123"/>
      <c r="I123"/>
      <c r="J123"/>
    </row>
    <row r="124" spans="1:10" x14ac:dyDescent="0.2">
      <c r="A124"/>
      <c r="B124"/>
      <c r="C124"/>
      <c r="D124"/>
      <c r="E124"/>
      <c r="F124"/>
      <c r="G124"/>
      <c r="H124"/>
      <c r="I124"/>
      <c r="J124"/>
    </row>
    <row r="125" spans="1:10" x14ac:dyDescent="0.2">
      <c r="A125"/>
      <c r="B125"/>
      <c r="C125"/>
      <c r="D125"/>
      <c r="E125"/>
      <c r="F125"/>
      <c r="G125"/>
      <c r="H125"/>
      <c r="I125"/>
      <c r="J125"/>
    </row>
    <row r="126" spans="1:10" x14ac:dyDescent="0.2">
      <c r="A126"/>
      <c r="B126"/>
      <c r="C126"/>
      <c r="D126"/>
      <c r="E126"/>
      <c r="F126"/>
      <c r="G126"/>
      <c r="H126"/>
      <c r="I126"/>
      <c r="J126"/>
    </row>
    <row r="127" spans="1:10" x14ac:dyDescent="0.2">
      <c r="A127"/>
      <c r="B127"/>
      <c r="C127"/>
      <c r="D127"/>
      <c r="E127"/>
      <c r="F127"/>
      <c r="G127"/>
      <c r="H127"/>
      <c r="I127"/>
      <c r="J127"/>
    </row>
    <row r="128" spans="1:10" x14ac:dyDescent="0.2">
      <c r="A128"/>
      <c r="B128"/>
      <c r="C128"/>
      <c r="D128"/>
      <c r="E128"/>
      <c r="F128"/>
      <c r="G128"/>
      <c r="H128"/>
      <c r="I128"/>
      <c r="J128"/>
    </row>
    <row r="129" spans="1:10" x14ac:dyDescent="0.2">
      <c r="A129"/>
      <c r="B129"/>
      <c r="C129"/>
      <c r="D129"/>
      <c r="E129"/>
      <c r="F129"/>
      <c r="G129"/>
      <c r="H129"/>
      <c r="I129"/>
      <c r="J129"/>
    </row>
    <row r="130" spans="1:10" x14ac:dyDescent="0.2">
      <c r="A130"/>
      <c r="B130"/>
      <c r="C130"/>
      <c r="D130"/>
      <c r="E130"/>
      <c r="F130"/>
      <c r="G130"/>
      <c r="H130"/>
      <c r="I130"/>
      <c r="J130"/>
    </row>
    <row r="131" spans="1:10" x14ac:dyDescent="0.2">
      <c r="A131"/>
      <c r="B131"/>
      <c r="C131"/>
      <c r="D131"/>
      <c r="E131"/>
      <c r="F131"/>
      <c r="G131"/>
      <c r="H131"/>
      <c r="I131"/>
      <c r="J131"/>
    </row>
    <row r="132" spans="1:10" x14ac:dyDescent="0.2">
      <c r="A132"/>
      <c r="B132"/>
      <c r="C132"/>
      <c r="D132"/>
      <c r="E132"/>
      <c r="F132"/>
      <c r="G132"/>
      <c r="H132"/>
      <c r="I132"/>
      <c r="J132"/>
    </row>
    <row r="133" spans="1:10" x14ac:dyDescent="0.2">
      <c r="A133"/>
      <c r="B133"/>
      <c r="C133"/>
      <c r="D133"/>
      <c r="E133"/>
      <c r="F133"/>
      <c r="G133"/>
      <c r="H133"/>
      <c r="I133"/>
      <c r="J133"/>
    </row>
    <row r="134" spans="1:10" x14ac:dyDescent="0.2">
      <c r="A134"/>
      <c r="B134"/>
      <c r="C134"/>
      <c r="D134"/>
      <c r="E134"/>
      <c r="F134"/>
      <c r="G134"/>
      <c r="H134"/>
      <c r="I134"/>
      <c r="J134"/>
    </row>
    <row r="135" spans="1:10" x14ac:dyDescent="0.2">
      <c r="A135"/>
      <c r="B135"/>
      <c r="C135"/>
      <c r="D135"/>
      <c r="E135"/>
      <c r="F135"/>
      <c r="G135"/>
      <c r="H135"/>
      <c r="I135"/>
      <c r="J135"/>
    </row>
    <row r="136" spans="1:10" x14ac:dyDescent="0.2">
      <c r="A136"/>
      <c r="B136"/>
      <c r="C136"/>
      <c r="D136"/>
      <c r="E136"/>
      <c r="F136"/>
      <c r="G136"/>
      <c r="H136"/>
      <c r="I136"/>
      <c r="J136"/>
    </row>
    <row r="137" spans="1:10" x14ac:dyDescent="0.2">
      <c r="A137"/>
      <c r="B137"/>
      <c r="C137"/>
      <c r="D137"/>
      <c r="E137"/>
      <c r="F137"/>
      <c r="G137"/>
      <c r="H137"/>
      <c r="I137"/>
      <c r="J137"/>
    </row>
    <row r="138" spans="1:10" x14ac:dyDescent="0.2">
      <c r="A138"/>
      <c r="B138"/>
      <c r="C138"/>
      <c r="D138"/>
      <c r="E138"/>
      <c r="F138"/>
      <c r="G138"/>
      <c r="H138"/>
      <c r="I138"/>
      <c r="J138"/>
    </row>
    <row r="139" spans="1:10" x14ac:dyDescent="0.2">
      <c r="A139"/>
      <c r="B139"/>
      <c r="C139"/>
      <c r="D139"/>
      <c r="E139"/>
      <c r="F139"/>
      <c r="G139"/>
      <c r="H139"/>
      <c r="I139"/>
      <c r="J139"/>
    </row>
    <row r="140" spans="1:10" x14ac:dyDescent="0.2">
      <c r="A140"/>
      <c r="B140"/>
      <c r="C140"/>
      <c r="D140"/>
      <c r="E140"/>
      <c r="F140"/>
      <c r="G140"/>
      <c r="H140"/>
      <c r="I140"/>
      <c r="J140"/>
    </row>
    <row r="141" spans="1:10" x14ac:dyDescent="0.2">
      <c r="A141"/>
      <c r="B141"/>
      <c r="C141"/>
      <c r="D141"/>
      <c r="E141"/>
      <c r="F141"/>
      <c r="G141"/>
      <c r="H141"/>
      <c r="I141"/>
      <c r="J141"/>
    </row>
    <row r="142" spans="1:10" x14ac:dyDescent="0.2">
      <c r="A142"/>
      <c r="B142"/>
      <c r="C142"/>
      <c r="D142"/>
      <c r="E142"/>
      <c r="F142"/>
      <c r="G142"/>
      <c r="H142"/>
      <c r="I142"/>
      <c r="J142"/>
    </row>
    <row r="143" spans="1:10" x14ac:dyDescent="0.2">
      <c r="A143"/>
      <c r="B143"/>
      <c r="C143"/>
      <c r="D143"/>
      <c r="E143"/>
      <c r="F143"/>
      <c r="G143"/>
      <c r="H143"/>
      <c r="I143"/>
      <c r="J143"/>
    </row>
    <row r="144" spans="1:10" x14ac:dyDescent="0.2">
      <c r="A144"/>
      <c r="B144"/>
      <c r="C144"/>
      <c r="D144"/>
      <c r="E144"/>
      <c r="F144"/>
      <c r="G144"/>
      <c r="H144"/>
      <c r="I144"/>
      <c r="J144"/>
    </row>
    <row r="145" spans="1:10" x14ac:dyDescent="0.2">
      <c r="A145"/>
      <c r="B145"/>
      <c r="C145"/>
      <c r="D145"/>
      <c r="E145"/>
      <c r="F145"/>
      <c r="G145"/>
      <c r="H145"/>
      <c r="I145"/>
      <c r="J145"/>
    </row>
    <row r="146" spans="1:10" x14ac:dyDescent="0.2">
      <c r="A146"/>
      <c r="B146"/>
      <c r="C146"/>
      <c r="D146"/>
      <c r="E146"/>
      <c r="F146"/>
      <c r="G146"/>
      <c r="H146"/>
      <c r="I146"/>
      <c r="J146"/>
    </row>
    <row r="147" spans="1:10" x14ac:dyDescent="0.2">
      <c r="A147"/>
      <c r="B147"/>
      <c r="C147"/>
      <c r="D147"/>
      <c r="E147"/>
      <c r="F147"/>
      <c r="G147"/>
      <c r="H147"/>
      <c r="I147"/>
      <c r="J147"/>
    </row>
    <row r="148" spans="1:10" x14ac:dyDescent="0.2">
      <c r="A148"/>
      <c r="B148"/>
      <c r="C148"/>
      <c r="D148"/>
      <c r="E148"/>
      <c r="F148"/>
      <c r="G148"/>
      <c r="H148"/>
      <c r="I148"/>
      <c r="J148"/>
    </row>
    <row r="149" spans="1:10" x14ac:dyDescent="0.2">
      <c r="A149"/>
      <c r="B149"/>
      <c r="C149"/>
      <c r="D149"/>
      <c r="E149"/>
      <c r="F149"/>
      <c r="G149"/>
      <c r="H149"/>
      <c r="I149"/>
      <c r="J149"/>
    </row>
    <row r="150" spans="1:10" x14ac:dyDescent="0.2">
      <c r="A150"/>
      <c r="B150"/>
      <c r="C150"/>
      <c r="D150"/>
      <c r="E150"/>
      <c r="F150"/>
      <c r="G150"/>
      <c r="H150"/>
      <c r="I150"/>
      <c r="J150"/>
    </row>
    <row r="151" spans="1:10" x14ac:dyDescent="0.2">
      <c r="A151"/>
      <c r="B151"/>
      <c r="C151"/>
      <c r="D151"/>
      <c r="E151"/>
      <c r="F151"/>
      <c r="G151"/>
      <c r="H151"/>
      <c r="I151"/>
      <c r="J151"/>
    </row>
    <row r="152" spans="1:10" x14ac:dyDescent="0.2">
      <c r="A152"/>
      <c r="B152"/>
      <c r="C152"/>
      <c r="D152"/>
      <c r="E152"/>
      <c r="F152"/>
      <c r="G152"/>
      <c r="H152"/>
      <c r="I152"/>
      <c r="J152"/>
    </row>
    <row r="153" spans="1:10" x14ac:dyDescent="0.2">
      <c r="A153"/>
      <c r="B153"/>
      <c r="C153"/>
      <c r="D153"/>
      <c r="E153"/>
      <c r="F153"/>
      <c r="G153"/>
      <c r="H153"/>
      <c r="I153"/>
      <c r="J153"/>
    </row>
    <row r="154" spans="1:10" x14ac:dyDescent="0.2">
      <c r="A154"/>
      <c r="B154"/>
      <c r="C154"/>
      <c r="D154"/>
      <c r="E154"/>
      <c r="F154"/>
      <c r="G154"/>
      <c r="H154"/>
      <c r="I154"/>
      <c r="J154"/>
    </row>
    <row r="155" spans="1:10" x14ac:dyDescent="0.2">
      <c r="A155"/>
      <c r="B155"/>
      <c r="C155"/>
      <c r="D155"/>
      <c r="E155"/>
      <c r="F155"/>
      <c r="G155"/>
      <c r="H155"/>
      <c r="I155"/>
      <c r="J155"/>
    </row>
    <row r="156" spans="1:10" x14ac:dyDescent="0.2">
      <c r="A156"/>
      <c r="B156"/>
      <c r="C156"/>
      <c r="D156"/>
      <c r="E156"/>
      <c r="F156"/>
      <c r="G156"/>
      <c r="H156"/>
      <c r="I156"/>
      <c r="J156"/>
    </row>
    <row r="157" spans="1:10" x14ac:dyDescent="0.2">
      <c r="A157"/>
      <c r="B157"/>
      <c r="C157"/>
      <c r="D157"/>
      <c r="E157"/>
      <c r="F157"/>
      <c r="G157"/>
      <c r="H157"/>
      <c r="I157"/>
      <c r="J157"/>
    </row>
    <row r="158" spans="1:10" x14ac:dyDescent="0.2">
      <c r="A158"/>
      <c r="B158"/>
      <c r="C158"/>
      <c r="D158"/>
      <c r="E158"/>
      <c r="F158"/>
      <c r="G158"/>
      <c r="H158"/>
      <c r="I158"/>
      <c r="J158"/>
    </row>
    <row r="159" spans="1:10" x14ac:dyDescent="0.2">
      <c r="A159"/>
      <c r="B159"/>
      <c r="C159"/>
      <c r="D159"/>
      <c r="E159"/>
      <c r="F159"/>
      <c r="G159"/>
      <c r="H159"/>
      <c r="I159"/>
      <c r="J159"/>
    </row>
    <row r="160" spans="1:10" x14ac:dyDescent="0.2">
      <c r="A160"/>
      <c r="B160"/>
      <c r="C160"/>
      <c r="D160"/>
      <c r="E160"/>
      <c r="F160"/>
      <c r="G160"/>
      <c r="H160"/>
      <c r="I160"/>
      <c r="J160"/>
    </row>
    <row r="161" spans="1:10" x14ac:dyDescent="0.2">
      <c r="A161"/>
      <c r="B161"/>
      <c r="C161"/>
      <c r="D161"/>
      <c r="E161"/>
      <c r="F161"/>
      <c r="G161"/>
      <c r="H161"/>
      <c r="I161"/>
      <c r="J161"/>
    </row>
    <row r="162" spans="1:10" x14ac:dyDescent="0.2">
      <c r="A162"/>
      <c r="B162"/>
      <c r="C162"/>
      <c r="D162"/>
      <c r="E162"/>
      <c r="F162"/>
      <c r="G162"/>
      <c r="H162"/>
      <c r="I162"/>
      <c r="J162"/>
    </row>
    <row r="163" spans="1:10" x14ac:dyDescent="0.2">
      <c r="A163"/>
      <c r="B163"/>
      <c r="C163"/>
      <c r="D163"/>
      <c r="E163"/>
      <c r="F163"/>
      <c r="G163"/>
      <c r="H163"/>
      <c r="I163"/>
      <c r="J163"/>
    </row>
    <row r="164" spans="1:10" x14ac:dyDescent="0.2">
      <c r="A164"/>
      <c r="B164"/>
      <c r="C164"/>
      <c r="D164"/>
      <c r="E164"/>
      <c r="F164"/>
      <c r="G164"/>
      <c r="H164"/>
      <c r="I164"/>
      <c r="J164"/>
    </row>
    <row r="165" spans="1:10" x14ac:dyDescent="0.2">
      <c r="A165"/>
      <c r="B165"/>
      <c r="C165"/>
      <c r="D165"/>
      <c r="E165"/>
      <c r="F165"/>
      <c r="G165"/>
      <c r="H165"/>
      <c r="I165"/>
      <c r="J165"/>
    </row>
    <row r="166" spans="1:10" x14ac:dyDescent="0.2">
      <c r="A166"/>
      <c r="B166"/>
      <c r="C166"/>
      <c r="D166"/>
      <c r="E166"/>
      <c r="F166"/>
      <c r="G166"/>
      <c r="H166"/>
      <c r="I166"/>
      <c r="J166"/>
    </row>
    <row r="167" spans="1:10" x14ac:dyDescent="0.2">
      <c r="A167"/>
      <c r="B167"/>
      <c r="C167"/>
      <c r="D167"/>
      <c r="E167"/>
      <c r="F167"/>
      <c r="G167"/>
      <c r="H167"/>
      <c r="I167"/>
      <c r="J167"/>
    </row>
    <row r="168" spans="1:10" x14ac:dyDescent="0.2">
      <c r="A168"/>
      <c r="B168"/>
      <c r="C168"/>
      <c r="D168"/>
      <c r="E168"/>
      <c r="F168"/>
      <c r="G168"/>
      <c r="H168"/>
      <c r="I168"/>
      <c r="J168"/>
    </row>
    <row r="169" spans="1:10" x14ac:dyDescent="0.2">
      <c r="A169"/>
      <c r="B169"/>
      <c r="C169"/>
      <c r="D169"/>
      <c r="E169"/>
      <c r="F169"/>
      <c r="G169"/>
      <c r="H169"/>
      <c r="I169"/>
      <c r="J169"/>
    </row>
    <row r="170" spans="1:10" x14ac:dyDescent="0.2">
      <c r="A170"/>
      <c r="B170"/>
      <c r="C170"/>
      <c r="D170"/>
      <c r="E170"/>
      <c r="F170"/>
      <c r="G170"/>
      <c r="H170"/>
      <c r="I170"/>
      <c r="J170"/>
    </row>
    <row r="171" spans="1:10" x14ac:dyDescent="0.2">
      <c r="A171"/>
      <c r="B171"/>
      <c r="C171"/>
      <c r="D171"/>
      <c r="E171"/>
      <c r="F171"/>
      <c r="G171"/>
      <c r="H171"/>
      <c r="I171"/>
      <c r="J171"/>
    </row>
    <row r="172" spans="1:10" x14ac:dyDescent="0.2">
      <c r="A172"/>
      <c r="B172"/>
      <c r="C172"/>
      <c r="D172"/>
      <c r="E172"/>
      <c r="F172"/>
      <c r="G172"/>
      <c r="H172"/>
      <c r="I172"/>
      <c r="J172"/>
    </row>
    <row r="173" spans="1:10" x14ac:dyDescent="0.2">
      <c r="A173"/>
      <c r="B173"/>
      <c r="C173"/>
      <c r="D173"/>
      <c r="E173"/>
      <c r="F173"/>
      <c r="G173"/>
      <c r="H173"/>
      <c r="I173"/>
      <c r="J173"/>
    </row>
    <row r="174" spans="1:10" x14ac:dyDescent="0.2">
      <c r="A174"/>
      <c r="B174"/>
      <c r="C174"/>
      <c r="D174"/>
      <c r="E174"/>
      <c r="F174"/>
      <c r="G174"/>
      <c r="H174"/>
      <c r="I174"/>
      <c r="J174"/>
    </row>
    <row r="175" spans="1:10" x14ac:dyDescent="0.2">
      <c r="A175"/>
      <c r="B175"/>
      <c r="C175"/>
      <c r="D175"/>
      <c r="E175"/>
      <c r="F175"/>
      <c r="G175"/>
      <c r="H175"/>
      <c r="I175"/>
      <c r="J175"/>
    </row>
    <row r="176" spans="1:10" x14ac:dyDescent="0.2">
      <c r="A176"/>
      <c r="B176"/>
      <c r="C176"/>
      <c r="D176"/>
      <c r="E176"/>
      <c r="F176"/>
      <c r="G176"/>
      <c r="H176"/>
      <c r="I176"/>
      <c r="J176"/>
    </row>
    <row r="177" spans="1:10" x14ac:dyDescent="0.2">
      <c r="A177"/>
      <c r="B177"/>
      <c r="C177"/>
      <c r="D177"/>
      <c r="E177"/>
      <c r="F177"/>
      <c r="G177"/>
      <c r="H177"/>
      <c r="I177"/>
      <c r="J177"/>
    </row>
    <row r="178" spans="1:10" x14ac:dyDescent="0.2">
      <c r="A178"/>
      <c r="B178"/>
      <c r="C178"/>
      <c r="D178"/>
      <c r="E178"/>
      <c r="F178"/>
      <c r="G178"/>
      <c r="H178"/>
      <c r="I178"/>
      <c r="J178"/>
    </row>
    <row r="179" spans="1:10" x14ac:dyDescent="0.2">
      <c r="A179"/>
      <c r="B179"/>
      <c r="C179"/>
      <c r="D179"/>
      <c r="E179"/>
      <c r="F179"/>
      <c r="G179"/>
      <c r="H179"/>
      <c r="I179"/>
      <c r="J179"/>
    </row>
    <row r="180" spans="1:10" x14ac:dyDescent="0.2">
      <c r="A180"/>
      <c r="B180"/>
      <c r="C180"/>
      <c r="D180"/>
      <c r="E180"/>
      <c r="F180"/>
      <c r="G180"/>
      <c r="H180"/>
      <c r="I180"/>
      <c r="J180"/>
    </row>
    <row r="181" spans="1:10" x14ac:dyDescent="0.2">
      <c r="A181"/>
      <c r="B181"/>
      <c r="C181"/>
      <c r="D181"/>
      <c r="E181"/>
      <c r="F181"/>
      <c r="G181"/>
      <c r="H181"/>
      <c r="I181"/>
      <c r="J181"/>
    </row>
    <row r="182" spans="1:10" x14ac:dyDescent="0.2">
      <c r="A182"/>
      <c r="B182"/>
      <c r="C182"/>
      <c r="D182"/>
      <c r="E182"/>
      <c r="F182"/>
      <c r="G182"/>
      <c r="H182"/>
      <c r="I182"/>
      <c r="J182"/>
    </row>
    <row r="183" spans="1:10" x14ac:dyDescent="0.2">
      <c r="A183"/>
      <c r="B183"/>
      <c r="C183"/>
      <c r="D183"/>
      <c r="E183"/>
      <c r="F183"/>
      <c r="G183"/>
      <c r="H183"/>
      <c r="I183"/>
      <c r="J183"/>
    </row>
    <row r="184" spans="1:10" x14ac:dyDescent="0.2">
      <c r="A184"/>
      <c r="B184"/>
      <c r="C184"/>
      <c r="D184"/>
      <c r="E184"/>
      <c r="F184"/>
      <c r="G184"/>
      <c r="H184"/>
      <c r="I184"/>
      <c r="J184"/>
    </row>
    <row r="185" spans="1:10" x14ac:dyDescent="0.2">
      <c r="A185"/>
      <c r="B185"/>
      <c r="C185"/>
      <c r="D185"/>
      <c r="E185"/>
      <c r="F185"/>
      <c r="G185"/>
      <c r="H185"/>
      <c r="I185"/>
      <c r="J185"/>
    </row>
    <row r="186" spans="1:10" x14ac:dyDescent="0.2">
      <c r="A186"/>
      <c r="B186"/>
      <c r="C186"/>
      <c r="D186"/>
      <c r="E186"/>
      <c r="F186"/>
      <c r="G186"/>
      <c r="H186"/>
      <c r="I186"/>
      <c r="J186"/>
    </row>
    <row r="187" spans="1:10" x14ac:dyDescent="0.2">
      <c r="A187"/>
      <c r="B187"/>
      <c r="C187"/>
      <c r="D187"/>
      <c r="E187"/>
      <c r="F187"/>
      <c r="G187"/>
      <c r="H187"/>
      <c r="I187"/>
      <c r="J187"/>
    </row>
    <row r="188" spans="1:10" x14ac:dyDescent="0.2">
      <c r="A188"/>
      <c r="B188"/>
      <c r="C188"/>
      <c r="D188"/>
      <c r="E188"/>
      <c r="F188"/>
      <c r="G188"/>
      <c r="H188"/>
      <c r="I188"/>
      <c r="J188"/>
    </row>
    <row r="189" spans="1:10" x14ac:dyDescent="0.2">
      <c r="A189"/>
      <c r="B189"/>
      <c r="C189"/>
      <c r="D189"/>
      <c r="E189"/>
      <c r="F189"/>
      <c r="G189"/>
      <c r="H189"/>
      <c r="I189"/>
      <c r="J189"/>
    </row>
    <row r="190" spans="1:10" x14ac:dyDescent="0.2">
      <c r="A190"/>
      <c r="B190"/>
      <c r="C190"/>
      <c r="D190"/>
      <c r="E190"/>
      <c r="F190"/>
      <c r="G190"/>
      <c r="H190"/>
      <c r="I190"/>
      <c r="J190"/>
    </row>
    <row r="191" spans="1:10" x14ac:dyDescent="0.2">
      <c r="A191"/>
      <c r="B191"/>
      <c r="C191"/>
      <c r="D191"/>
      <c r="E191"/>
      <c r="F191"/>
      <c r="G191"/>
      <c r="H191"/>
      <c r="I191"/>
      <c r="J191"/>
    </row>
    <row r="192" spans="1:10" x14ac:dyDescent="0.2">
      <c r="A192"/>
      <c r="B192"/>
      <c r="C192"/>
      <c r="D192"/>
      <c r="E192"/>
      <c r="F192"/>
      <c r="G192"/>
      <c r="H192"/>
      <c r="I192"/>
      <c r="J192"/>
    </row>
    <row r="193" spans="1:10" x14ac:dyDescent="0.2">
      <c r="A193"/>
      <c r="B193"/>
      <c r="C193"/>
      <c r="D193"/>
      <c r="E193"/>
      <c r="F193"/>
      <c r="G193"/>
      <c r="H193"/>
      <c r="I193"/>
      <c r="J193"/>
    </row>
    <row r="194" spans="1:10" x14ac:dyDescent="0.2">
      <c r="A194"/>
      <c r="B194"/>
      <c r="C194"/>
      <c r="D194"/>
      <c r="E194"/>
      <c r="F194"/>
      <c r="G194"/>
      <c r="H194"/>
      <c r="I194"/>
      <c r="J194"/>
    </row>
    <row r="195" spans="1:10" x14ac:dyDescent="0.2">
      <c r="A195"/>
      <c r="B195"/>
      <c r="C195"/>
      <c r="D195"/>
      <c r="E195"/>
      <c r="F195"/>
      <c r="G195"/>
      <c r="H195"/>
      <c r="I195"/>
      <c r="J195"/>
    </row>
    <row r="196" spans="1:10" x14ac:dyDescent="0.2">
      <c r="A196"/>
      <c r="B196"/>
      <c r="C196"/>
      <c r="D196"/>
      <c r="E196"/>
      <c r="F196"/>
      <c r="G196"/>
      <c r="H196"/>
      <c r="I196"/>
      <c r="J196"/>
    </row>
    <row r="197" spans="1:10" x14ac:dyDescent="0.2">
      <c r="A197"/>
      <c r="B197"/>
      <c r="C197"/>
      <c r="D197"/>
      <c r="E197"/>
      <c r="F197"/>
      <c r="G197"/>
      <c r="H197"/>
      <c r="I197"/>
      <c r="J197"/>
    </row>
    <row r="198" spans="1:10" x14ac:dyDescent="0.2">
      <c r="A198"/>
      <c r="B198"/>
      <c r="C198"/>
      <c r="D198"/>
      <c r="E198"/>
      <c r="F198"/>
      <c r="G198"/>
      <c r="H198"/>
      <c r="I198"/>
      <c r="J198"/>
    </row>
    <row r="199" spans="1:10" x14ac:dyDescent="0.2">
      <c r="A199"/>
      <c r="B199"/>
      <c r="C199"/>
      <c r="D199"/>
      <c r="E199"/>
      <c r="F199"/>
      <c r="G199"/>
      <c r="H199"/>
      <c r="I199"/>
      <c r="J199"/>
    </row>
    <row r="200" spans="1:10" x14ac:dyDescent="0.2">
      <c r="A200"/>
      <c r="B200"/>
      <c r="C200"/>
      <c r="D200"/>
      <c r="E200"/>
      <c r="F200"/>
      <c r="G200"/>
      <c r="H200"/>
      <c r="I200"/>
      <c r="J200"/>
    </row>
    <row r="201" spans="1:10" x14ac:dyDescent="0.2">
      <c r="A201"/>
      <c r="B201"/>
      <c r="C201"/>
      <c r="D201"/>
      <c r="E201"/>
      <c r="F201"/>
      <c r="G201"/>
      <c r="H201"/>
      <c r="I201"/>
      <c r="J201"/>
    </row>
    <row r="202" spans="1:10" x14ac:dyDescent="0.2">
      <c r="A202"/>
      <c r="B202"/>
      <c r="C202"/>
      <c r="D202"/>
      <c r="E202"/>
      <c r="F202"/>
      <c r="G202"/>
      <c r="H202"/>
      <c r="I202"/>
      <c r="J202"/>
    </row>
    <row r="203" spans="1:10" x14ac:dyDescent="0.2">
      <c r="A203"/>
      <c r="B203"/>
      <c r="C203"/>
      <c r="D203"/>
      <c r="E203"/>
      <c r="F203"/>
      <c r="G203"/>
      <c r="H203"/>
      <c r="I203"/>
      <c r="J203"/>
    </row>
    <row r="204" spans="1:10" x14ac:dyDescent="0.2">
      <c r="A204"/>
      <c r="B204"/>
      <c r="C204"/>
      <c r="D204"/>
      <c r="E204"/>
      <c r="F204"/>
      <c r="G204"/>
      <c r="H204"/>
      <c r="I204"/>
      <c r="J204"/>
    </row>
    <row r="205" spans="1:10" x14ac:dyDescent="0.2">
      <c r="A205"/>
      <c r="B205"/>
      <c r="C205"/>
      <c r="D205"/>
      <c r="E205"/>
      <c r="F205"/>
      <c r="G205"/>
      <c r="H205"/>
      <c r="I205"/>
      <c r="J205"/>
    </row>
    <row r="206" spans="1:10" x14ac:dyDescent="0.2">
      <c r="A206"/>
      <c r="B206"/>
      <c r="C206"/>
      <c r="D206"/>
      <c r="E206"/>
      <c r="F206"/>
      <c r="G206"/>
      <c r="H206"/>
      <c r="I206"/>
      <c r="J206"/>
    </row>
    <row r="207" spans="1:10" x14ac:dyDescent="0.2">
      <c r="A207"/>
      <c r="B207"/>
      <c r="C207"/>
      <c r="D207"/>
      <c r="E207"/>
      <c r="F207"/>
      <c r="G207"/>
      <c r="H207"/>
      <c r="I207"/>
      <c r="J207"/>
    </row>
    <row r="208" spans="1:10" x14ac:dyDescent="0.2">
      <c r="A208"/>
      <c r="B208"/>
      <c r="C208"/>
      <c r="D208"/>
      <c r="E208"/>
      <c r="F208"/>
      <c r="G208"/>
      <c r="H208"/>
      <c r="I208"/>
      <c r="J208"/>
    </row>
    <row r="209" spans="1:10" x14ac:dyDescent="0.2">
      <c r="A209"/>
      <c r="B209"/>
      <c r="C209"/>
      <c r="D209"/>
      <c r="E209"/>
      <c r="F209"/>
      <c r="G209"/>
      <c r="H209"/>
      <c r="I209"/>
      <c r="J209"/>
    </row>
    <row r="210" spans="1:10" x14ac:dyDescent="0.2">
      <c r="A210"/>
      <c r="B210"/>
      <c r="C210"/>
      <c r="D210"/>
      <c r="E210"/>
      <c r="F210"/>
      <c r="G210"/>
      <c r="H210"/>
      <c r="I210"/>
      <c r="J210"/>
    </row>
    <row r="211" spans="1:10" x14ac:dyDescent="0.2">
      <c r="A211"/>
      <c r="B211"/>
      <c r="C211"/>
      <c r="D211"/>
      <c r="E211"/>
      <c r="F211"/>
      <c r="G211"/>
      <c r="H211"/>
      <c r="I211"/>
      <c r="J211"/>
    </row>
    <row r="212" spans="1:10" x14ac:dyDescent="0.2">
      <c r="A212"/>
      <c r="B212"/>
      <c r="C212"/>
      <c r="D212"/>
      <c r="E212"/>
      <c r="F212"/>
      <c r="G212"/>
      <c r="H212"/>
      <c r="I212"/>
      <c r="J212"/>
    </row>
    <row r="213" spans="1:10" x14ac:dyDescent="0.2">
      <c r="A213"/>
      <c r="B213"/>
      <c r="C213"/>
      <c r="D213"/>
      <c r="E213"/>
      <c r="F213"/>
      <c r="G213"/>
      <c r="H213"/>
      <c r="I213"/>
      <c r="J213"/>
    </row>
    <row r="214" spans="1:10" x14ac:dyDescent="0.2">
      <c r="A214"/>
      <c r="B214"/>
      <c r="C214"/>
      <c r="D214"/>
      <c r="E214"/>
      <c r="F214"/>
      <c r="G214"/>
      <c r="H214"/>
      <c r="I214"/>
      <c r="J214"/>
    </row>
    <row r="215" spans="1:10" x14ac:dyDescent="0.2">
      <c r="A215"/>
      <c r="B215"/>
      <c r="C215"/>
      <c r="D215"/>
      <c r="E215"/>
      <c r="F215"/>
      <c r="G215"/>
      <c r="H215"/>
      <c r="I215"/>
      <c r="J215"/>
    </row>
    <row r="216" spans="1:10" x14ac:dyDescent="0.2">
      <c r="A216"/>
      <c r="B216"/>
      <c r="C216"/>
      <c r="D216"/>
      <c r="E216"/>
      <c r="F216"/>
      <c r="G216"/>
      <c r="H216"/>
      <c r="I216"/>
      <c r="J216"/>
    </row>
    <row r="217" spans="1:10" x14ac:dyDescent="0.2">
      <c r="A217"/>
      <c r="B217"/>
      <c r="C217"/>
      <c r="D217"/>
      <c r="E217"/>
      <c r="F217"/>
      <c r="G217"/>
      <c r="H217"/>
      <c r="I217"/>
      <c r="J217"/>
    </row>
    <row r="218" spans="1:10" x14ac:dyDescent="0.2">
      <c r="A218"/>
      <c r="B218"/>
      <c r="C218"/>
      <c r="D218"/>
      <c r="E218"/>
      <c r="F218"/>
      <c r="G218"/>
      <c r="H218"/>
      <c r="I218"/>
      <c r="J218"/>
    </row>
    <row r="219" spans="1:10" x14ac:dyDescent="0.2">
      <c r="A219"/>
      <c r="B219"/>
      <c r="C219"/>
      <c r="D219"/>
      <c r="E219"/>
      <c r="F219"/>
      <c r="G219"/>
      <c r="H219"/>
      <c r="I219"/>
      <c r="J219"/>
    </row>
    <row r="220" spans="1:10" x14ac:dyDescent="0.2">
      <c r="A220"/>
      <c r="B220"/>
      <c r="C220"/>
      <c r="D220"/>
      <c r="E220"/>
      <c r="F220"/>
      <c r="G220"/>
      <c r="H220"/>
      <c r="I220"/>
      <c r="J220"/>
    </row>
    <row r="221" spans="1:10" x14ac:dyDescent="0.2">
      <c r="A221"/>
      <c r="B221"/>
      <c r="C221"/>
      <c r="D221"/>
      <c r="E221"/>
      <c r="F221"/>
      <c r="G221"/>
      <c r="H221"/>
      <c r="I221"/>
      <c r="J221"/>
    </row>
    <row r="222" spans="1:10" x14ac:dyDescent="0.2">
      <c r="A222"/>
      <c r="B222"/>
      <c r="C222"/>
      <c r="D222"/>
      <c r="E222"/>
      <c r="F222"/>
      <c r="G222"/>
      <c r="H222"/>
      <c r="I222"/>
      <c r="J222"/>
    </row>
    <row r="223" spans="1:10" x14ac:dyDescent="0.2">
      <c r="A223"/>
      <c r="B223"/>
      <c r="C223"/>
      <c r="D223"/>
      <c r="E223"/>
      <c r="F223"/>
      <c r="G223"/>
      <c r="H223"/>
      <c r="I223"/>
      <c r="J223"/>
    </row>
    <row r="224" spans="1:10" x14ac:dyDescent="0.2">
      <c r="A224"/>
      <c r="B224"/>
      <c r="C224"/>
      <c r="D224"/>
      <c r="E224"/>
      <c r="F224"/>
      <c r="G224"/>
      <c r="H224"/>
      <c r="I224"/>
      <c r="J224"/>
    </row>
    <row r="225" spans="1:10" x14ac:dyDescent="0.2">
      <c r="A225"/>
      <c r="B225"/>
      <c r="C225"/>
      <c r="D225"/>
      <c r="E225"/>
      <c r="F225"/>
      <c r="G225"/>
      <c r="H225"/>
      <c r="I225"/>
      <c r="J225"/>
    </row>
    <row r="226" spans="1:10" x14ac:dyDescent="0.2">
      <c r="A226"/>
      <c r="B226"/>
      <c r="C226"/>
      <c r="D226"/>
      <c r="E226"/>
      <c r="F226"/>
      <c r="G226"/>
      <c r="H226"/>
      <c r="I226"/>
      <c r="J226"/>
    </row>
    <row r="227" spans="1:10" x14ac:dyDescent="0.2">
      <c r="A227"/>
      <c r="B227"/>
      <c r="C227"/>
      <c r="D227"/>
      <c r="E227"/>
      <c r="F227"/>
      <c r="G227"/>
      <c r="H227"/>
      <c r="I227"/>
      <c r="J227"/>
    </row>
    <row r="228" spans="1:10" x14ac:dyDescent="0.2">
      <c r="A228"/>
      <c r="B228"/>
      <c r="C228"/>
      <c r="D228"/>
      <c r="E228"/>
      <c r="F228"/>
      <c r="G228"/>
      <c r="H228"/>
      <c r="I228"/>
      <c r="J228"/>
    </row>
    <row r="229" spans="1:10" x14ac:dyDescent="0.2">
      <c r="A229"/>
      <c r="B229"/>
      <c r="C229"/>
      <c r="D229"/>
      <c r="E229"/>
      <c r="F229"/>
      <c r="G229"/>
      <c r="H229"/>
      <c r="I229"/>
      <c r="J229"/>
    </row>
    <row r="230" spans="1:10" x14ac:dyDescent="0.2">
      <c r="A230"/>
      <c r="B230"/>
      <c r="C230"/>
      <c r="D230"/>
      <c r="E230"/>
      <c r="F230"/>
      <c r="G230"/>
      <c r="H230"/>
      <c r="I230"/>
      <c r="J230"/>
    </row>
    <row r="231" spans="1:10" x14ac:dyDescent="0.2">
      <c r="A231"/>
      <c r="B231"/>
      <c r="C231"/>
      <c r="D231"/>
      <c r="E231"/>
      <c r="F231"/>
      <c r="G231"/>
      <c r="H231"/>
      <c r="I231"/>
      <c r="J231"/>
    </row>
    <row r="232" spans="1:10" x14ac:dyDescent="0.2">
      <c r="A232"/>
      <c r="B232"/>
      <c r="C232"/>
      <c r="D232"/>
      <c r="E232"/>
      <c r="F232"/>
      <c r="G232"/>
      <c r="H232"/>
      <c r="I232"/>
      <c r="J232"/>
    </row>
    <row r="233" spans="1:10" x14ac:dyDescent="0.2">
      <c r="A233"/>
      <c r="B233"/>
      <c r="C233"/>
      <c r="D233"/>
      <c r="E233"/>
      <c r="F233"/>
      <c r="G233"/>
      <c r="H233"/>
      <c r="I233"/>
      <c r="J233"/>
    </row>
    <row r="234" spans="1:10" x14ac:dyDescent="0.2">
      <c r="A234"/>
      <c r="B234"/>
      <c r="C234"/>
      <c r="D234"/>
      <c r="E234"/>
      <c r="F234"/>
      <c r="G234"/>
      <c r="H234"/>
      <c r="I234"/>
      <c r="J234"/>
    </row>
    <row r="235" spans="1:10" x14ac:dyDescent="0.2">
      <c r="A235"/>
      <c r="B235"/>
      <c r="C235"/>
      <c r="D235"/>
      <c r="E235"/>
      <c r="F235"/>
      <c r="G235"/>
      <c r="H235"/>
      <c r="I235"/>
      <c r="J235"/>
    </row>
    <row r="236" spans="1:10" x14ac:dyDescent="0.2">
      <c r="A236"/>
      <c r="B236"/>
      <c r="C236"/>
      <c r="D236"/>
      <c r="E236"/>
      <c r="F236"/>
      <c r="G236"/>
      <c r="H236"/>
      <c r="I236"/>
      <c r="J236"/>
    </row>
    <row r="237" spans="1:10" x14ac:dyDescent="0.2">
      <c r="A237"/>
      <c r="B237"/>
      <c r="C237"/>
      <c r="D237"/>
      <c r="E237"/>
      <c r="F237"/>
      <c r="G237"/>
      <c r="H237"/>
      <c r="I237"/>
      <c r="J237"/>
    </row>
    <row r="238" spans="1:10" x14ac:dyDescent="0.2">
      <c r="A238"/>
      <c r="B238"/>
      <c r="C238"/>
      <c r="D238"/>
      <c r="E238"/>
      <c r="F238"/>
      <c r="G238"/>
      <c r="H238"/>
      <c r="I238"/>
      <c r="J238"/>
    </row>
    <row r="239" spans="1:10" x14ac:dyDescent="0.2">
      <c r="A239"/>
      <c r="B239"/>
      <c r="C239"/>
      <c r="D239"/>
      <c r="E239"/>
      <c r="F239"/>
      <c r="G239"/>
      <c r="H239"/>
      <c r="I239"/>
      <c r="J239"/>
    </row>
    <row r="240" spans="1:10" x14ac:dyDescent="0.2">
      <c r="A240"/>
      <c r="B240"/>
      <c r="C240"/>
      <c r="D240"/>
      <c r="E240"/>
      <c r="F240"/>
      <c r="G240"/>
      <c r="H240"/>
      <c r="I240"/>
      <c r="J240"/>
    </row>
    <row r="241" spans="1:10" x14ac:dyDescent="0.2">
      <c r="A241"/>
      <c r="B241"/>
      <c r="C241"/>
      <c r="D241"/>
      <c r="E241"/>
      <c r="F241"/>
      <c r="G241"/>
      <c r="H241"/>
      <c r="I241"/>
      <c r="J241"/>
    </row>
    <row r="242" spans="1:10" x14ac:dyDescent="0.2">
      <c r="A242"/>
      <c r="B242"/>
      <c r="C242"/>
      <c r="D242"/>
      <c r="E242"/>
      <c r="F242"/>
      <c r="G242"/>
      <c r="H242"/>
      <c r="I242"/>
      <c r="J242"/>
    </row>
    <row r="243" spans="1:10" x14ac:dyDescent="0.2">
      <c r="A243"/>
      <c r="B243"/>
      <c r="C243"/>
      <c r="D243"/>
      <c r="E243"/>
      <c r="F243"/>
      <c r="G243"/>
      <c r="H243"/>
      <c r="I243"/>
      <c r="J243"/>
    </row>
    <row r="244" spans="1:10" x14ac:dyDescent="0.2">
      <c r="A244"/>
      <c r="B244"/>
      <c r="C244"/>
      <c r="D244"/>
      <c r="E244"/>
      <c r="F244"/>
      <c r="G244"/>
      <c r="H244"/>
      <c r="I244"/>
      <c r="J244"/>
    </row>
    <row r="245" spans="1:10" x14ac:dyDescent="0.2">
      <c r="A245"/>
      <c r="B245"/>
      <c r="C245"/>
      <c r="D245"/>
      <c r="E245"/>
      <c r="F245"/>
      <c r="G245"/>
      <c r="H245"/>
      <c r="I245"/>
      <c r="J245"/>
    </row>
    <row r="246" spans="1:10" x14ac:dyDescent="0.2">
      <c r="A246"/>
      <c r="B246"/>
      <c r="C246"/>
      <c r="D246"/>
      <c r="E246"/>
      <c r="F246"/>
      <c r="G246"/>
      <c r="H246"/>
      <c r="I246"/>
      <c r="J246"/>
    </row>
    <row r="247" spans="1:10" x14ac:dyDescent="0.2">
      <c r="A247"/>
      <c r="B247"/>
      <c r="C247"/>
      <c r="D247"/>
      <c r="E247"/>
      <c r="F247"/>
      <c r="G247"/>
      <c r="H247"/>
      <c r="I247"/>
      <c r="J247"/>
    </row>
    <row r="248" spans="1:10" x14ac:dyDescent="0.2">
      <c r="A248"/>
      <c r="B248"/>
      <c r="C248"/>
      <c r="D248"/>
      <c r="E248"/>
      <c r="F248"/>
      <c r="G248"/>
      <c r="H248"/>
      <c r="I248"/>
      <c r="J248"/>
    </row>
    <row r="249" spans="1:10" x14ac:dyDescent="0.2">
      <c r="A249"/>
      <c r="B249"/>
      <c r="C249"/>
      <c r="D249"/>
      <c r="E249"/>
      <c r="F249"/>
      <c r="G249"/>
      <c r="H249"/>
      <c r="I249"/>
      <c r="J249"/>
    </row>
    <row r="250" spans="1:10" x14ac:dyDescent="0.2">
      <c r="A250"/>
      <c r="B250"/>
      <c r="C250"/>
      <c r="D250"/>
      <c r="E250"/>
      <c r="F250"/>
      <c r="G250"/>
      <c r="H250"/>
      <c r="I250"/>
      <c r="J250"/>
    </row>
    <row r="251" spans="1:10" x14ac:dyDescent="0.2">
      <c r="A251"/>
      <c r="B251"/>
      <c r="C251"/>
      <c r="D251"/>
      <c r="E251"/>
      <c r="F251"/>
      <c r="G251"/>
      <c r="H251"/>
      <c r="I251"/>
      <c r="J251"/>
    </row>
    <row r="252" spans="1:10" x14ac:dyDescent="0.2">
      <c r="A252"/>
      <c r="B252"/>
      <c r="C252"/>
      <c r="D252"/>
      <c r="E252"/>
      <c r="F252"/>
      <c r="G252"/>
      <c r="H252"/>
      <c r="I252"/>
      <c r="J252"/>
    </row>
    <row r="253" spans="1:10" x14ac:dyDescent="0.2">
      <c r="A253"/>
      <c r="B253"/>
      <c r="C253"/>
      <c r="D253"/>
      <c r="E253"/>
      <c r="F253"/>
      <c r="G253"/>
      <c r="H253"/>
      <c r="I253"/>
      <c r="J253"/>
    </row>
    <row r="254" spans="1:10" x14ac:dyDescent="0.2">
      <c r="A254"/>
      <c r="B254"/>
      <c r="C254"/>
      <c r="D254"/>
      <c r="E254"/>
      <c r="F254"/>
      <c r="G254"/>
      <c r="H254"/>
      <c r="I254"/>
      <c r="J254"/>
    </row>
    <row r="255" spans="1:10" x14ac:dyDescent="0.2">
      <c r="A255"/>
      <c r="B255"/>
      <c r="C255"/>
      <c r="D255"/>
      <c r="E255"/>
      <c r="F255"/>
      <c r="G255"/>
      <c r="H255"/>
      <c r="I255"/>
      <c r="J255"/>
    </row>
    <row r="256" spans="1:10" x14ac:dyDescent="0.2">
      <c r="A256"/>
      <c r="B256"/>
      <c r="C256"/>
      <c r="D256"/>
      <c r="E256"/>
      <c r="F256"/>
      <c r="G256"/>
      <c r="H256"/>
      <c r="I256"/>
      <c r="J256"/>
    </row>
    <row r="257" spans="1:10" x14ac:dyDescent="0.2">
      <c r="A257"/>
      <c r="B257"/>
      <c r="C257"/>
      <c r="D257"/>
      <c r="E257"/>
      <c r="F257"/>
      <c r="G257"/>
      <c r="H257"/>
      <c r="I257"/>
      <c r="J257"/>
    </row>
    <row r="258" spans="1:10" x14ac:dyDescent="0.2">
      <c r="A258"/>
      <c r="B258"/>
      <c r="C258"/>
      <c r="D258"/>
      <c r="E258"/>
      <c r="F258"/>
      <c r="G258"/>
      <c r="H258"/>
      <c r="I258"/>
      <c r="J258"/>
    </row>
    <row r="259" spans="1:10" x14ac:dyDescent="0.2">
      <c r="A259"/>
      <c r="B259"/>
      <c r="C259"/>
      <c r="D259"/>
      <c r="E259"/>
      <c r="F259"/>
      <c r="G259"/>
      <c r="H259"/>
      <c r="I259"/>
      <c r="J259"/>
    </row>
    <row r="260" spans="1:10" x14ac:dyDescent="0.2">
      <c r="A260"/>
      <c r="B260"/>
      <c r="C260"/>
      <c r="D260"/>
      <c r="E260"/>
      <c r="F260"/>
      <c r="G260"/>
      <c r="H260"/>
      <c r="I260"/>
      <c r="J260"/>
    </row>
    <row r="261" spans="1:10" x14ac:dyDescent="0.2">
      <c r="A261"/>
      <c r="B261"/>
      <c r="C261"/>
      <c r="D261"/>
      <c r="E261"/>
      <c r="F261"/>
      <c r="G261"/>
      <c r="H261"/>
      <c r="I261"/>
      <c r="J261"/>
    </row>
    <row r="262" spans="1:10" x14ac:dyDescent="0.2">
      <c r="A262"/>
      <c r="B262"/>
      <c r="C262"/>
      <c r="D262"/>
      <c r="E262"/>
      <c r="F262"/>
      <c r="G262"/>
      <c r="H262"/>
      <c r="I262"/>
      <c r="J262"/>
    </row>
    <row r="263" spans="1:10" x14ac:dyDescent="0.2">
      <c r="A263"/>
      <c r="B263"/>
      <c r="C263"/>
      <c r="D263"/>
      <c r="E263"/>
      <c r="F263"/>
      <c r="G263"/>
      <c r="H263"/>
      <c r="I263"/>
      <c r="J263"/>
    </row>
    <row r="264" spans="1:10" x14ac:dyDescent="0.2">
      <c r="A264"/>
      <c r="B264"/>
      <c r="C264"/>
      <c r="D264"/>
      <c r="E264"/>
      <c r="F264"/>
      <c r="G264"/>
      <c r="H264"/>
      <c r="I264"/>
      <c r="J264"/>
    </row>
    <row r="265" spans="1:10" x14ac:dyDescent="0.2">
      <c r="A265"/>
      <c r="B265"/>
      <c r="C265"/>
      <c r="D265"/>
      <c r="E265"/>
      <c r="F265"/>
      <c r="G265"/>
      <c r="H265"/>
      <c r="I265"/>
      <c r="J265"/>
    </row>
    <row r="266" spans="1:10" x14ac:dyDescent="0.2">
      <c r="A266"/>
      <c r="B266"/>
      <c r="C266"/>
      <c r="D266"/>
      <c r="E266"/>
      <c r="F266"/>
      <c r="G266"/>
      <c r="H266"/>
      <c r="I266"/>
      <c r="J266"/>
    </row>
    <row r="267" spans="1:10" x14ac:dyDescent="0.2">
      <c r="A267"/>
      <c r="B267"/>
      <c r="C267"/>
      <c r="D267"/>
      <c r="E267"/>
      <c r="F267"/>
      <c r="G267"/>
      <c r="H267"/>
      <c r="I267"/>
      <c r="J267"/>
    </row>
    <row r="268" spans="1:10" x14ac:dyDescent="0.2">
      <c r="A268"/>
      <c r="B268"/>
      <c r="C268"/>
      <c r="D268"/>
      <c r="E268"/>
      <c r="F268"/>
      <c r="G268"/>
      <c r="H268"/>
      <c r="I268"/>
      <c r="J268"/>
    </row>
  </sheetData>
  <printOptions horizontalCentered="1"/>
  <pageMargins left="0.11811023622047245" right="0.23622047244094491" top="0.74803149606299213" bottom="0.74803149606299213" header="0.31496062992125984" footer="0.31496062992125984"/>
  <pageSetup paperSize="9" scale="94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A0F1-187D-4140-8126-9E3D4231967A}">
  <sheetPr>
    <tabColor rgb="FF92D050"/>
  </sheetPr>
  <dimension ref="A1:N268"/>
  <sheetViews>
    <sheetView rightToLeft="1" view="pageBreakPreview" zoomScale="107" zoomScaleNormal="100" zoomScaleSheetLayoutView="107" workbookViewId="0">
      <pane xSplit="1" ySplit="3" topLeftCell="C10" activePane="bottomRight" state="frozen"/>
      <selection activeCell="A105" sqref="A105"/>
      <selection pane="topRight" activeCell="A105" sqref="A105"/>
      <selection pane="bottomLeft" activeCell="A105" sqref="A105"/>
      <selection pane="bottomRight" activeCell="H14" sqref="H14"/>
    </sheetView>
  </sheetViews>
  <sheetFormatPr defaultColWidth="8.85546875" defaultRowHeight="14.25" x14ac:dyDescent="0.2"/>
  <cols>
    <col min="1" max="1" width="6.85546875" style="1" bestFit="1" customWidth="1"/>
    <col min="2" max="2" width="23.85546875" style="1" bestFit="1" customWidth="1"/>
    <col min="3" max="3" width="10.85546875" style="1" bestFit="1" customWidth="1"/>
    <col min="4" max="4" width="29" style="1" bestFit="1" customWidth="1"/>
    <col min="5" max="5" width="7.28515625" style="1" bestFit="1" customWidth="1"/>
    <col min="6" max="6" width="6.85546875" style="1" bestFit="1" customWidth="1"/>
    <col min="7" max="7" width="11" style="1" bestFit="1" customWidth="1"/>
    <col min="8" max="8" width="8.140625" style="1" bestFit="1" customWidth="1"/>
    <col min="9" max="9" width="11" style="1" bestFit="1" customWidth="1"/>
    <col min="10" max="10" width="7" style="1" bestFit="1" customWidth="1"/>
    <col min="11" max="11" width="11.7109375" style="1" bestFit="1" customWidth="1"/>
    <col min="12" max="12" width="7.85546875" style="1" bestFit="1" customWidth="1"/>
    <col min="13" max="13" width="11" style="1" bestFit="1" customWidth="1"/>
    <col min="14" max="16384" width="8.85546875" style="1"/>
  </cols>
  <sheetData>
    <row r="1" spans="1:13" x14ac:dyDescent="0.2">
      <c r="A1" s="19" t="s">
        <v>116</v>
      </c>
      <c r="B1" s="3" t="s">
        <v>91</v>
      </c>
      <c r="C1"/>
      <c r="D1"/>
      <c r="E1"/>
      <c r="F1"/>
      <c r="G1"/>
      <c r="H1"/>
      <c r="I1"/>
      <c r="J1"/>
      <c r="K1"/>
      <c r="L1"/>
      <c r="M1"/>
    </row>
    <row r="2" spans="1:13" x14ac:dyDescent="0.2">
      <c r="A2"/>
      <c r="B2"/>
      <c r="C2"/>
      <c r="D2"/>
      <c r="E2"/>
      <c r="F2"/>
      <c r="G2"/>
      <c r="H2"/>
      <c r="I2"/>
      <c r="J2"/>
      <c r="K2"/>
      <c r="L2"/>
      <c r="M2"/>
    </row>
    <row r="3" spans="1:13" x14ac:dyDescent="0.2">
      <c r="A3" s="19" t="s">
        <v>116</v>
      </c>
      <c r="B3" s="19" t="s">
        <v>102</v>
      </c>
      <c r="C3" s="19" t="s">
        <v>106</v>
      </c>
      <c r="D3" s="19" t="s">
        <v>107</v>
      </c>
      <c r="E3" t="s">
        <v>123</v>
      </c>
      <c r="F3" t="s">
        <v>124</v>
      </c>
      <c r="G3" t="s">
        <v>121</v>
      </c>
      <c r="H3" t="s">
        <v>122</v>
      </c>
      <c r="I3" t="s">
        <v>119</v>
      </c>
      <c r="J3" t="s">
        <v>120</v>
      </c>
      <c r="K3" t="s">
        <v>117</v>
      </c>
      <c r="L3" t="s">
        <v>118</v>
      </c>
      <c r="M3"/>
    </row>
    <row r="4" spans="1:13" x14ac:dyDescent="0.2">
      <c r="A4" s="3">
        <v>2801</v>
      </c>
      <c r="B4" s="3" t="s">
        <v>73</v>
      </c>
      <c r="C4" s="3" t="s">
        <v>148</v>
      </c>
      <c r="D4" s="3" t="s">
        <v>180</v>
      </c>
      <c r="E4" s="5"/>
      <c r="F4" s="5"/>
      <c r="G4" s="5">
        <v>3199796.84</v>
      </c>
      <c r="H4" s="5">
        <v>0</v>
      </c>
      <c r="I4" s="5">
        <v>3199796.84</v>
      </c>
      <c r="J4" s="5"/>
      <c r="K4" s="4">
        <v>3199796.84</v>
      </c>
      <c r="L4" s="4">
        <v>0</v>
      </c>
      <c r="M4"/>
    </row>
    <row r="5" spans="1:13" x14ac:dyDescent="0.2">
      <c r="A5"/>
      <c r="B5"/>
      <c r="C5" s="3" t="s">
        <v>149</v>
      </c>
      <c r="D5" s="3" t="s">
        <v>181</v>
      </c>
      <c r="E5" s="5"/>
      <c r="F5" s="5"/>
      <c r="G5" s="5">
        <v>818000</v>
      </c>
      <c r="H5" s="5">
        <v>0</v>
      </c>
      <c r="I5" s="5">
        <v>818000</v>
      </c>
      <c r="J5" s="5"/>
      <c r="K5" s="4">
        <v>818000</v>
      </c>
      <c r="L5" s="4">
        <v>0</v>
      </c>
      <c r="M5"/>
    </row>
    <row r="6" spans="1:13" x14ac:dyDescent="0.2">
      <c r="A6"/>
      <c r="B6"/>
      <c r="C6" s="3" t="s">
        <v>150</v>
      </c>
      <c r="D6" s="3" t="s">
        <v>182</v>
      </c>
      <c r="E6" s="5"/>
      <c r="F6" s="5"/>
      <c r="G6" s="5">
        <v>3166783.07</v>
      </c>
      <c r="H6" s="5">
        <v>0</v>
      </c>
      <c r="I6" s="5">
        <v>3166783.07</v>
      </c>
      <c r="J6" s="5"/>
      <c r="K6" s="4">
        <v>3166783.07</v>
      </c>
      <c r="L6" s="4">
        <v>0</v>
      </c>
      <c r="M6"/>
    </row>
    <row r="7" spans="1:13" x14ac:dyDescent="0.2">
      <c r="A7"/>
      <c r="B7"/>
      <c r="C7" s="3" t="s">
        <v>155</v>
      </c>
      <c r="D7" s="3" t="s">
        <v>187</v>
      </c>
      <c r="E7" s="5"/>
      <c r="F7" s="5"/>
      <c r="G7" s="5">
        <v>407142</v>
      </c>
      <c r="H7" s="5">
        <v>0</v>
      </c>
      <c r="I7" s="5">
        <v>407142</v>
      </c>
      <c r="J7" s="5"/>
      <c r="K7" s="4">
        <v>407142</v>
      </c>
      <c r="L7" s="4">
        <v>0</v>
      </c>
      <c r="M7"/>
    </row>
    <row r="8" spans="1:13" x14ac:dyDescent="0.2">
      <c r="A8"/>
      <c r="B8" s="3" t="s">
        <v>126</v>
      </c>
      <c r="C8"/>
      <c r="D8"/>
      <c r="E8" s="5"/>
      <c r="F8" s="5"/>
      <c r="G8" s="5">
        <v>7591721.9100000001</v>
      </c>
      <c r="H8" s="5">
        <v>0</v>
      </c>
      <c r="I8" s="5">
        <v>7591721.9100000001</v>
      </c>
      <c r="J8" s="5"/>
      <c r="K8" s="4">
        <v>7591721.9100000001</v>
      </c>
      <c r="L8" s="4">
        <v>0</v>
      </c>
      <c r="M8"/>
    </row>
    <row r="9" spans="1:13" x14ac:dyDescent="0.2">
      <c r="A9" s="3">
        <v>2802</v>
      </c>
      <c r="B9" s="3" t="s">
        <v>75</v>
      </c>
      <c r="C9" s="3" t="s">
        <v>151</v>
      </c>
      <c r="D9" s="3" t="s">
        <v>183</v>
      </c>
      <c r="E9" s="5"/>
      <c r="F9" s="5"/>
      <c r="G9" s="5">
        <v>419930.69</v>
      </c>
      <c r="H9" s="5">
        <v>0</v>
      </c>
      <c r="I9" s="5">
        <v>419930.69</v>
      </c>
      <c r="J9" s="5"/>
      <c r="K9" s="4">
        <v>419930.69</v>
      </c>
      <c r="L9" s="4">
        <v>0</v>
      </c>
      <c r="M9"/>
    </row>
    <row r="10" spans="1:13" x14ac:dyDescent="0.2">
      <c r="A10"/>
      <c r="B10" s="3" t="s">
        <v>127</v>
      </c>
      <c r="C10"/>
      <c r="D10"/>
      <c r="E10" s="5"/>
      <c r="F10" s="5"/>
      <c r="G10" s="5">
        <v>419930.69</v>
      </c>
      <c r="H10" s="5">
        <v>0</v>
      </c>
      <c r="I10" s="5">
        <v>419930.69</v>
      </c>
      <c r="J10" s="5"/>
      <c r="K10" s="4">
        <v>419930.69</v>
      </c>
      <c r="L10" s="4">
        <v>0</v>
      </c>
      <c r="M10"/>
    </row>
    <row r="11" spans="1:13" x14ac:dyDescent="0.2">
      <c r="A11" s="3">
        <v>2803</v>
      </c>
      <c r="B11" s="3" t="s">
        <v>76</v>
      </c>
      <c r="C11" s="3" t="s">
        <v>156</v>
      </c>
      <c r="D11" s="3" t="s">
        <v>188</v>
      </c>
      <c r="E11" s="5"/>
      <c r="F11" s="5"/>
      <c r="G11" s="5">
        <v>330935.92</v>
      </c>
      <c r="H11" s="5">
        <v>28181.43</v>
      </c>
      <c r="I11" s="5">
        <v>302754.49</v>
      </c>
      <c r="J11" s="5"/>
      <c r="K11" s="4">
        <v>302754.49</v>
      </c>
      <c r="L11" s="4">
        <v>0</v>
      </c>
      <c r="M11"/>
    </row>
    <row r="12" spans="1:13" x14ac:dyDescent="0.2">
      <c r="A12"/>
      <c r="B12"/>
      <c r="C12" s="3" t="s">
        <v>169</v>
      </c>
      <c r="D12" s="3" t="s">
        <v>201</v>
      </c>
      <c r="E12" s="5"/>
      <c r="F12" s="5"/>
      <c r="G12" s="5">
        <v>15594.73</v>
      </c>
      <c r="H12" s="5">
        <v>0</v>
      </c>
      <c r="I12" s="5">
        <v>15594.73</v>
      </c>
      <c r="J12" s="5"/>
      <c r="K12" s="4">
        <v>15594.73</v>
      </c>
      <c r="L12" s="4">
        <v>0</v>
      </c>
      <c r="M12"/>
    </row>
    <row r="13" spans="1:13" x14ac:dyDescent="0.2">
      <c r="A13"/>
      <c r="B13" s="3" t="s">
        <v>128</v>
      </c>
      <c r="C13"/>
      <c r="D13"/>
      <c r="E13" s="5"/>
      <c r="F13" s="5"/>
      <c r="G13" s="5">
        <v>346530.64999999997</v>
      </c>
      <c r="H13" s="5">
        <v>28181.43</v>
      </c>
      <c r="I13" s="5">
        <v>318349.21999999997</v>
      </c>
      <c r="J13" s="5"/>
      <c r="K13" s="4">
        <v>318349.21999999997</v>
      </c>
      <c r="L13" s="4">
        <v>0</v>
      </c>
      <c r="M13"/>
    </row>
    <row r="14" spans="1:13" x14ac:dyDescent="0.2">
      <c r="A14" s="3">
        <v>2804</v>
      </c>
      <c r="B14" s="3" t="s">
        <v>86</v>
      </c>
      <c r="C14" s="3" t="s">
        <v>168</v>
      </c>
      <c r="D14" s="3" t="s">
        <v>200</v>
      </c>
      <c r="E14" s="5"/>
      <c r="F14" s="5"/>
      <c r="G14" s="5">
        <v>6803</v>
      </c>
      <c r="H14" s="5">
        <v>0</v>
      </c>
      <c r="I14" s="5">
        <v>6803</v>
      </c>
      <c r="J14" s="5"/>
      <c r="K14" s="4">
        <v>6803</v>
      </c>
      <c r="L14" s="4">
        <v>0</v>
      </c>
      <c r="M14"/>
    </row>
    <row r="15" spans="1:13" x14ac:dyDescent="0.2">
      <c r="A15"/>
      <c r="B15" s="3" t="s">
        <v>129</v>
      </c>
      <c r="C15"/>
      <c r="D15"/>
      <c r="E15" s="5"/>
      <c r="F15" s="5"/>
      <c r="G15" s="5">
        <v>6803</v>
      </c>
      <c r="H15" s="5">
        <v>0</v>
      </c>
      <c r="I15" s="5">
        <v>6803</v>
      </c>
      <c r="J15" s="5"/>
      <c r="K15" s="4">
        <v>6803</v>
      </c>
      <c r="L15" s="4">
        <v>0</v>
      </c>
      <c r="M15"/>
    </row>
    <row r="16" spans="1:13" x14ac:dyDescent="0.2">
      <c r="A16" s="3">
        <v>2808</v>
      </c>
      <c r="B16" s="3" t="s">
        <v>79</v>
      </c>
      <c r="C16" s="3" t="s">
        <v>163</v>
      </c>
      <c r="D16" s="3" t="s">
        <v>195</v>
      </c>
      <c r="E16" s="5"/>
      <c r="F16" s="5"/>
      <c r="G16" s="5">
        <v>520045</v>
      </c>
      <c r="H16" s="5">
        <v>4726</v>
      </c>
      <c r="I16" s="5">
        <v>515319</v>
      </c>
      <c r="J16" s="5"/>
      <c r="K16" s="4">
        <v>515319</v>
      </c>
      <c r="L16" s="4">
        <v>0</v>
      </c>
      <c r="M16"/>
    </row>
    <row r="17" spans="1:14" x14ac:dyDescent="0.2">
      <c r="A17"/>
      <c r="B17"/>
      <c r="C17" s="3" t="s">
        <v>164</v>
      </c>
      <c r="D17" s="3" t="s">
        <v>196</v>
      </c>
      <c r="E17" s="5"/>
      <c r="F17" s="5"/>
      <c r="G17" s="5">
        <v>42734</v>
      </c>
      <c r="H17" s="5">
        <v>0</v>
      </c>
      <c r="I17" s="5">
        <v>42734</v>
      </c>
      <c r="J17" s="5"/>
      <c r="K17" s="4">
        <v>42734</v>
      </c>
      <c r="L17" s="4">
        <v>0</v>
      </c>
      <c r="M17"/>
    </row>
    <row r="18" spans="1:14" x14ac:dyDescent="0.2">
      <c r="A18"/>
      <c r="B18"/>
      <c r="C18" s="3" t="s">
        <v>165</v>
      </c>
      <c r="D18" s="3" t="s">
        <v>197</v>
      </c>
      <c r="E18" s="5"/>
      <c r="F18" s="5"/>
      <c r="G18" s="5">
        <v>235119.34</v>
      </c>
      <c r="H18" s="5">
        <v>0</v>
      </c>
      <c r="I18" s="5">
        <v>235119.34</v>
      </c>
      <c r="J18" s="5"/>
      <c r="K18" s="4">
        <v>235119.34</v>
      </c>
      <c r="L18" s="4">
        <v>0</v>
      </c>
      <c r="M18"/>
    </row>
    <row r="19" spans="1:14" x14ac:dyDescent="0.2">
      <c r="A19"/>
      <c r="B19"/>
      <c r="C19" s="3" t="s">
        <v>174</v>
      </c>
      <c r="D19" s="3" t="s">
        <v>206</v>
      </c>
      <c r="E19" s="5"/>
      <c r="F19" s="5"/>
      <c r="G19" s="5">
        <v>1120</v>
      </c>
      <c r="H19" s="5">
        <v>0</v>
      </c>
      <c r="I19" s="5">
        <v>1120</v>
      </c>
      <c r="J19" s="5"/>
      <c r="K19" s="4">
        <v>1120</v>
      </c>
      <c r="L19" s="4">
        <v>0</v>
      </c>
      <c r="M19"/>
    </row>
    <row r="20" spans="1:14" x14ac:dyDescent="0.2">
      <c r="A20"/>
      <c r="B20"/>
      <c r="C20" s="3" t="s">
        <v>176</v>
      </c>
      <c r="D20" s="3" t="s">
        <v>208</v>
      </c>
      <c r="E20" s="5"/>
      <c r="F20" s="5"/>
      <c r="G20" s="5">
        <v>40652.36</v>
      </c>
      <c r="H20" s="5">
        <v>0</v>
      </c>
      <c r="I20" s="5">
        <v>40652.36</v>
      </c>
      <c r="J20" s="5"/>
      <c r="K20" s="4">
        <v>40652.36</v>
      </c>
      <c r="L20" s="4">
        <v>0</v>
      </c>
      <c r="M20"/>
    </row>
    <row r="21" spans="1:14" x14ac:dyDescent="0.2">
      <c r="A21"/>
      <c r="B21" s="3" t="s">
        <v>130</v>
      </c>
      <c r="C21"/>
      <c r="D21"/>
      <c r="E21" s="5"/>
      <c r="F21" s="5"/>
      <c r="G21" s="5">
        <v>839670.7</v>
      </c>
      <c r="H21" s="5">
        <v>4726</v>
      </c>
      <c r="I21" s="5">
        <v>834944.7</v>
      </c>
      <c r="J21" s="5"/>
      <c r="K21" s="4">
        <v>834944.7</v>
      </c>
      <c r="L21" s="4">
        <v>0</v>
      </c>
      <c r="M21"/>
    </row>
    <row r="22" spans="1:14" x14ac:dyDescent="0.2">
      <c r="A22" s="3">
        <v>2810</v>
      </c>
      <c r="B22" s="3" t="s">
        <v>87</v>
      </c>
      <c r="C22" s="3" t="s">
        <v>159</v>
      </c>
      <c r="D22" s="3" t="s">
        <v>191</v>
      </c>
      <c r="E22" s="5"/>
      <c r="F22" s="5"/>
      <c r="G22" s="5">
        <v>15400.1</v>
      </c>
      <c r="H22" s="5">
        <v>0</v>
      </c>
      <c r="I22" s="5">
        <v>15400.1</v>
      </c>
      <c r="J22" s="5"/>
      <c r="K22" s="4">
        <v>15400.1</v>
      </c>
      <c r="L22" s="4">
        <v>0</v>
      </c>
      <c r="M22"/>
    </row>
    <row r="23" spans="1:14" x14ac:dyDescent="0.2">
      <c r="A23"/>
      <c r="B23"/>
      <c r="C23" s="3" t="s">
        <v>166</v>
      </c>
      <c r="D23" s="3" t="s">
        <v>198</v>
      </c>
      <c r="E23" s="5"/>
      <c r="F23" s="5"/>
      <c r="G23" s="5">
        <v>8384.09</v>
      </c>
      <c r="H23" s="5">
        <v>0</v>
      </c>
      <c r="I23" s="5">
        <v>8384.09</v>
      </c>
      <c r="J23" s="5"/>
      <c r="K23" s="4">
        <v>8384.09</v>
      </c>
      <c r="L23" s="4">
        <v>0</v>
      </c>
      <c r="M23"/>
    </row>
    <row r="24" spans="1:14" x14ac:dyDescent="0.2">
      <c r="A24"/>
      <c r="B24" s="3" t="s">
        <v>131</v>
      </c>
      <c r="C24"/>
      <c r="D24"/>
      <c r="E24" s="5"/>
      <c r="F24" s="5"/>
      <c r="G24" s="5">
        <v>23784.190000000002</v>
      </c>
      <c r="H24" s="5">
        <v>0</v>
      </c>
      <c r="I24" s="5">
        <v>23784.190000000002</v>
      </c>
      <c r="J24" s="5"/>
      <c r="K24" s="4">
        <v>23784.190000000002</v>
      </c>
      <c r="L24" s="4">
        <v>0</v>
      </c>
      <c r="M24"/>
    </row>
    <row r="25" spans="1:14" x14ac:dyDescent="0.2">
      <c r="A25" s="3">
        <v>2811</v>
      </c>
      <c r="B25" s="3" t="s">
        <v>81</v>
      </c>
      <c r="C25" s="3" t="s">
        <v>173</v>
      </c>
      <c r="D25" s="3" t="s">
        <v>205</v>
      </c>
      <c r="E25" s="5"/>
      <c r="F25" s="5"/>
      <c r="G25" s="5">
        <v>3126.61</v>
      </c>
      <c r="H25" s="5">
        <v>0</v>
      </c>
      <c r="I25" s="5">
        <v>3126.61</v>
      </c>
      <c r="J25" s="5"/>
      <c r="K25" s="4">
        <v>3126.61</v>
      </c>
      <c r="L25" s="4">
        <v>0</v>
      </c>
      <c r="M25"/>
    </row>
    <row r="26" spans="1:14" x14ac:dyDescent="0.2">
      <c r="A26"/>
      <c r="B26"/>
      <c r="C26" s="3" t="s">
        <v>175</v>
      </c>
      <c r="D26" s="3" t="s">
        <v>207</v>
      </c>
      <c r="E26" s="5"/>
      <c r="F26" s="5"/>
      <c r="G26" s="5">
        <v>26722.13</v>
      </c>
      <c r="H26" s="5">
        <v>1435.45</v>
      </c>
      <c r="I26" s="5">
        <v>25286.68</v>
      </c>
      <c r="J26" s="5"/>
      <c r="K26" s="4">
        <v>25286.68</v>
      </c>
      <c r="L26" s="4">
        <v>0</v>
      </c>
      <c r="M26"/>
    </row>
    <row r="27" spans="1:14" x14ac:dyDescent="0.2">
      <c r="A27"/>
      <c r="B27" s="3" t="s">
        <v>132</v>
      </c>
      <c r="C27"/>
      <c r="D27"/>
      <c r="E27" s="5"/>
      <c r="F27" s="5"/>
      <c r="G27" s="5">
        <v>29848.74</v>
      </c>
      <c r="H27" s="5">
        <v>1435.45</v>
      </c>
      <c r="I27" s="5">
        <v>28413.29</v>
      </c>
      <c r="J27" s="5"/>
      <c r="K27" s="4">
        <v>28413.29</v>
      </c>
      <c r="L27" s="4">
        <v>0</v>
      </c>
      <c r="M27"/>
    </row>
    <row r="28" spans="1:14" x14ac:dyDescent="0.2">
      <c r="A28" s="3">
        <v>2815</v>
      </c>
      <c r="B28" s="3" t="s">
        <v>93</v>
      </c>
      <c r="C28" s="3" t="s">
        <v>162</v>
      </c>
      <c r="D28" s="3" t="s">
        <v>194</v>
      </c>
      <c r="E28" s="5"/>
      <c r="F28" s="5"/>
      <c r="G28" s="5">
        <v>19999.560000000001</v>
      </c>
      <c r="H28" s="5">
        <v>0</v>
      </c>
      <c r="I28" s="5">
        <v>19999.560000000001</v>
      </c>
      <c r="J28" s="5"/>
      <c r="K28" s="4">
        <v>19999.560000000001</v>
      </c>
      <c r="L28" s="4">
        <v>0</v>
      </c>
      <c r="M28"/>
    </row>
    <row r="29" spans="1:14" x14ac:dyDescent="0.2">
      <c r="A29"/>
      <c r="B29" s="3" t="s">
        <v>133</v>
      </c>
      <c r="C29"/>
      <c r="D29"/>
      <c r="E29" s="5"/>
      <c r="F29" s="5"/>
      <c r="G29" s="5">
        <v>19999.560000000001</v>
      </c>
      <c r="H29" s="5">
        <v>0</v>
      </c>
      <c r="I29" s="5">
        <v>19999.560000000001</v>
      </c>
      <c r="J29" s="5"/>
      <c r="K29" s="4">
        <v>19999.560000000001</v>
      </c>
      <c r="L29" s="4">
        <v>0</v>
      </c>
      <c r="M29"/>
    </row>
    <row r="30" spans="1:14" x14ac:dyDescent="0.2">
      <c r="A30" s="3">
        <v>2817</v>
      </c>
      <c r="B30" s="3" t="s">
        <v>83</v>
      </c>
      <c r="C30" s="3" t="s">
        <v>157</v>
      </c>
      <c r="D30" s="3" t="s">
        <v>189</v>
      </c>
      <c r="E30" s="5"/>
      <c r="F30" s="5"/>
      <c r="G30" s="5">
        <v>57079.81</v>
      </c>
      <c r="H30" s="5">
        <v>0</v>
      </c>
      <c r="I30" s="5">
        <v>57079.81</v>
      </c>
      <c r="J30" s="5"/>
      <c r="K30" s="4">
        <v>57079.81</v>
      </c>
      <c r="L30" s="4">
        <v>0</v>
      </c>
      <c r="M30"/>
      <c r="N30" s="1">
        <v>75027</v>
      </c>
    </row>
    <row r="31" spans="1:14" x14ac:dyDescent="0.2">
      <c r="A31"/>
      <c r="B31"/>
      <c r="C31" s="3" t="s">
        <v>158</v>
      </c>
      <c r="D31" s="3" t="s">
        <v>190</v>
      </c>
      <c r="E31" s="5"/>
      <c r="F31" s="5"/>
      <c r="G31" s="5">
        <v>7214.74</v>
      </c>
      <c r="H31" s="5">
        <v>0</v>
      </c>
      <c r="I31" s="5">
        <v>7214.74</v>
      </c>
      <c r="J31" s="5"/>
      <c r="K31" s="4">
        <v>7214.74</v>
      </c>
      <c r="L31" s="4">
        <v>0</v>
      </c>
      <c r="M31"/>
      <c r="N31" s="1">
        <v>7876921</v>
      </c>
    </row>
    <row r="32" spans="1:14" x14ac:dyDescent="0.2">
      <c r="A32"/>
      <c r="B32" s="3" t="s">
        <v>134</v>
      </c>
      <c r="C32"/>
      <c r="D32"/>
      <c r="E32" s="5"/>
      <c r="F32" s="5"/>
      <c r="G32" s="5">
        <v>64294.549999999996</v>
      </c>
      <c r="H32" s="5">
        <v>0</v>
      </c>
      <c r="I32" s="5">
        <v>64294.549999999996</v>
      </c>
      <c r="J32" s="5"/>
      <c r="K32" s="4">
        <v>64294.549999999996</v>
      </c>
      <c r="L32" s="4">
        <v>0</v>
      </c>
      <c r="M32"/>
    </row>
    <row r="33" spans="1:13" x14ac:dyDescent="0.2">
      <c r="A33" s="3">
        <v>2818</v>
      </c>
      <c r="B33" s="3" t="s">
        <v>94</v>
      </c>
      <c r="C33" s="3" t="s">
        <v>161</v>
      </c>
      <c r="D33" s="3" t="s">
        <v>193</v>
      </c>
      <c r="E33" s="5"/>
      <c r="F33" s="5"/>
      <c r="G33" s="5">
        <v>34893.43</v>
      </c>
      <c r="H33" s="5">
        <v>533.35</v>
      </c>
      <c r="I33" s="5">
        <v>34360.080000000002</v>
      </c>
      <c r="J33" s="5"/>
      <c r="K33" s="4">
        <v>34360.080000000002</v>
      </c>
      <c r="L33" s="4">
        <v>0</v>
      </c>
      <c r="M33"/>
    </row>
    <row r="34" spans="1:13" x14ac:dyDescent="0.2">
      <c r="A34"/>
      <c r="B34" s="3" t="s">
        <v>135</v>
      </c>
      <c r="C34"/>
      <c r="D34"/>
      <c r="E34" s="5"/>
      <c r="F34" s="5"/>
      <c r="G34" s="5">
        <v>34893.43</v>
      </c>
      <c r="H34" s="5">
        <v>533.35</v>
      </c>
      <c r="I34" s="5">
        <v>34360.080000000002</v>
      </c>
      <c r="J34" s="5"/>
      <c r="K34" s="4">
        <v>34360.080000000002</v>
      </c>
      <c r="L34" s="4">
        <v>0</v>
      </c>
      <c r="M34"/>
    </row>
    <row r="35" spans="1:13" x14ac:dyDescent="0.2">
      <c r="A35" s="3">
        <v>2819</v>
      </c>
      <c r="B35" s="3" t="s">
        <v>84</v>
      </c>
      <c r="C35" s="3" t="s">
        <v>167</v>
      </c>
      <c r="D35" s="3" t="s">
        <v>199</v>
      </c>
      <c r="E35" s="5"/>
      <c r="F35" s="5"/>
      <c r="G35" s="5">
        <v>22180.12</v>
      </c>
      <c r="H35" s="5">
        <v>0</v>
      </c>
      <c r="I35" s="5">
        <v>22180.12</v>
      </c>
      <c r="J35" s="5"/>
      <c r="K35" s="4">
        <v>22180.12</v>
      </c>
      <c r="L35" s="4">
        <v>0</v>
      </c>
      <c r="M35"/>
    </row>
    <row r="36" spans="1:13" x14ac:dyDescent="0.2">
      <c r="A36"/>
      <c r="B36"/>
      <c r="C36" s="3" t="s">
        <v>170</v>
      </c>
      <c r="D36" s="3" t="s">
        <v>202</v>
      </c>
      <c r="E36" s="5"/>
      <c r="F36" s="5"/>
      <c r="G36" s="5">
        <v>17838.7</v>
      </c>
      <c r="H36" s="5">
        <v>0</v>
      </c>
      <c r="I36" s="5">
        <v>17838.7</v>
      </c>
      <c r="J36" s="5"/>
      <c r="K36" s="4">
        <v>17838.7</v>
      </c>
      <c r="L36" s="4">
        <v>0</v>
      </c>
      <c r="M36"/>
    </row>
    <row r="37" spans="1:13" x14ac:dyDescent="0.2">
      <c r="A37"/>
      <c r="B37"/>
      <c r="C37" s="3" t="s">
        <v>171</v>
      </c>
      <c r="D37" s="3" t="s">
        <v>203</v>
      </c>
      <c r="E37" s="5"/>
      <c r="F37" s="5"/>
      <c r="G37" s="5">
        <v>69000</v>
      </c>
      <c r="H37" s="5">
        <v>9000</v>
      </c>
      <c r="I37" s="5">
        <v>60000</v>
      </c>
      <c r="J37" s="5"/>
      <c r="K37" s="4">
        <v>60000</v>
      </c>
      <c r="L37" s="4">
        <v>0</v>
      </c>
      <c r="M37"/>
    </row>
    <row r="38" spans="1:13" x14ac:dyDescent="0.2">
      <c r="A38"/>
      <c r="B38"/>
      <c r="C38" s="3" t="s">
        <v>177</v>
      </c>
      <c r="D38" s="3" t="s">
        <v>209</v>
      </c>
      <c r="E38" s="5"/>
      <c r="F38" s="5"/>
      <c r="G38" s="5">
        <v>8802.27</v>
      </c>
      <c r="H38" s="5">
        <v>0</v>
      </c>
      <c r="I38" s="5">
        <v>8802.27</v>
      </c>
      <c r="J38" s="5"/>
      <c r="K38" s="4">
        <v>8802.27</v>
      </c>
      <c r="L38" s="4">
        <v>0</v>
      </c>
      <c r="M38"/>
    </row>
    <row r="39" spans="1:13" x14ac:dyDescent="0.2">
      <c r="A39"/>
      <c r="B39" s="3" t="s">
        <v>136</v>
      </c>
      <c r="C39"/>
      <c r="D39"/>
      <c r="E39" s="5"/>
      <c r="F39" s="5"/>
      <c r="G39" s="5">
        <v>117821.09000000001</v>
      </c>
      <c r="H39" s="5">
        <v>9000</v>
      </c>
      <c r="I39" s="5">
        <v>108821.09000000001</v>
      </c>
      <c r="J39" s="5"/>
      <c r="K39" s="4">
        <v>108821.09000000001</v>
      </c>
      <c r="L39" s="4">
        <v>0</v>
      </c>
      <c r="M39"/>
    </row>
    <row r="40" spans="1:13" x14ac:dyDescent="0.2">
      <c r="A40" s="3">
        <v>2809</v>
      </c>
      <c r="B40" s="3" t="s">
        <v>80</v>
      </c>
      <c r="C40" s="3" t="s">
        <v>172</v>
      </c>
      <c r="D40" s="3" t="s">
        <v>204</v>
      </c>
      <c r="E40" s="5"/>
      <c r="F40" s="5"/>
      <c r="G40" s="5">
        <v>30351.040000000001</v>
      </c>
      <c r="H40" s="5">
        <v>0</v>
      </c>
      <c r="I40" s="5">
        <v>30351.040000000001</v>
      </c>
      <c r="J40" s="5"/>
      <c r="K40" s="4">
        <v>30351.040000000001</v>
      </c>
      <c r="L40" s="4">
        <v>0</v>
      </c>
      <c r="M40"/>
    </row>
    <row r="41" spans="1:13" x14ac:dyDescent="0.2">
      <c r="A41"/>
      <c r="B41" s="3" t="s">
        <v>137</v>
      </c>
      <c r="C41"/>
      <c r="D41"/>
      <c r="E41" s="5"/>
      <c r="F41" s="5"/>
      <c r="G41" s="5">
        <v>30351.040000000001</v>
      </c>
      <c r="H41" s="5">
        <v>0</v>
      </c>
      <c r="I41" s="5">
        <v>30351.040000000001</v>
      </c>
      <c r="J41" s="5"/>
      <c r="K41" s="4">
        <v>30351.040000000001</v>
      </c>
      <c r="L41" s="4">
        <v>0</v>
      </c>
      <c r="M41"/>
    </row>
    <row r="42" spans="1:13" x14ac:dyDescent="0.2">
      <c r="A42" s="3">
        <v>2807</v>
      </c>
      <c r="B42" s="3" t="s">
        <v>78</v>
      </c>
      <c r="C42" s="3" t="s">
        <v>160</v>
      </c>
      <c r="D42" s="3" t="s">
        <v>192</v>
      </c>
      <c r="E42" s="5"/>
      <c r="F42" s="5"/>
      <c r="G42" s="5">
        <v>203270.26</v>
      </c>
      <c r="H42" s="5">
        <v>0</v>
      </c>
      <c r="I42" s="5">
        <v>203270.26</v>
      </c>
      <c r="J42" s="5"/>
      <c r="K42" s="4">
        <v>203270.26</v>
      </c>
      <c r="L42" s="4">
        <v>0</v>
      </c>
      <c r="M42"/>
    </row>
    <row r="43" spans="1:13" x14ac:dyDescent="0.2">
      <c r="A43"/>
      <c r="B43" s="3" t="s">
        <v>138</v>
      </c>
      <c r="C43"/>
      <c r="D43"/>
      <c r="E43" s="5"/>
      <c r="F43" s="5"/>
      <c r="G43" s="5">
        <v>203270.26</v>
      </c>
      <c r="H43" s="5">
        <v>0</v>
      </c>
      <c r="I43" s="5">
        <v>203270.26</v>
      </c>
      <c r="J43" s="5"/>
      <c r="K43" s="4">
        <v>203270.26</v>
      </c>
      <c r="L43" s="4">
        <v>0</v>
      </c>
      <c r="M43"/>
    </row>
    <row r="44" spans="1:13" x14ac:dyDescent="0.2">
      <c r="A44" s="3">
        <v>2805</v>
      </c>
      <c r="B44" s="3" t="s">
        <v>77</v>
      </c>
      <c r="C44" s="3" t="s">
        <v>153</v>
      </c>
      <c r="D44" s="3" t="s">
        <v>185</v>
      </c>
      <c r="E44" s="5"/>
      <c r="F44" s="5"/>
      <c r="G44" s="5">
        <v>114117.68</v>
      </c>
      <c r="H44" s="5">
        <v>0</v>
      </c>
      <c r="I44" s="5">
        <v>114117.68</v>
      </c>
      <c r="J44" s="5"/>
      <c r="K44" s="4">
        <v>114117.68</v>
      </c>
      <c r="L44" s="4">
        <v>0</v>
      </c>
      <c r="M44"/>
    </row>
    <row r="45" spans="1:13" x14ac:dyDescent="0.2">
      <c r="A45"/>
      <c r="B45" s="3" t="s">
        <v>139</v>
      </c>
      <c r="C45"/>
      <c r="D45"/>
      <c r="E45" s="5"/>
      <c r="F45" s="5"/>
      <c r="G45" s="5">
        <v>114117.68</v>
      </c>
      <c r="H45" s="5">
        <v>0</v>
      </c>
      <c r="I45" s="5">
        <v>114117.68</v>
      </c>
      <c r="J45" s="5"/>
      <c r="K45" s="4">
        <v>114117.68</v>
      </c>
      <c r="L45" s="4">
        <v>0</v>
      </c>
      <c r="M45"/>
    </row>
    <row r="46" spans="1:13" x14ac:dyDescent="0.2">
      <c r="A46" s="3">
        <v>2816</v>
      </c>
      <c r="B46" s="3" t="s">
        <v>90</v>
      </c>
      <c r="C46" s="3" t="s">
        <v>154</v>
      </c>
      <c r="D46" s="3" t="s">
        <v>186</v>
      </c>
      <c r="E46" s="5"/>
      <c r="F46" s="5"/>
      <c r="G46" s="5">
        <v>173863.82</v>
      </c>
      <c r="H46" s="5">
        <v>0</v>
      </c>
      <c r="I46" s="5">
        <v>173863.82</v>
      </c>
      <c r="J46" s="5"/>
      <c r="K46" s="4">
        <v>173863.82</v>
      </c>
      <c r="L46" s="4">
        <v>0</v>
      </c>
      <c r="M46"/>
    </row>
    <row r="47" spans="1:13" x14ac:dyDescent="0.2">
      <c r="A47"/>
      <c r="B47" s="3" t="s">
        <v>140</v>
      </c>
      <c r="C47"/>
      <c r="D47"/>
      <c r="E47" s="5"/>
      <c r="F47" s="5"/>
      <c r="G47" s="5">
        <v>173863.82</v>
      </c>
      <c r="H47" s="5">
        <v>0</v>
      </c>
      <c r="I47" s="5">
        <v>173863.82</v>
      </c>
      <c r="J47" s="5"/>
      <c r="K47" s="4">
        <v>173863.82</v>
      </c>
      <c r="L47" s="4">
        <v>0</v>
      </c>
      <c r="M47"/>
    </row>
    <row r="48" spans="1:13" x14ac:dyDescent="0.2">
      <c r="A48" s="3">
        <v>2806</v>
      </c>
      <c r="B48" s="3" t="s">
        <v>92</v>
      </c>
      <c r="C48" s="3" t="s">
        <v>152</v>
      </c>
      <c r="D48" s="3" t="s">
        <v>184</v>
      </c>
      <c r="E48" s="5"/>
      <c r="F48" s="5"/>
      <c r="G48" s="5">
        <v>63190.65</v>
      </c>
      <c r="H48" s="5">
        <v>0</v>
      </c>
      <c r="I48" s="5">
        <v>63190.65</v>
      </c>
      <c r="J48" s="5"/>
      <c r="K48" s="4">
        <v>63190.65</v>
      </c>
      <c r="L48" s="4">
        <v>0</v>
      </c>
      <c r="M48"/>
    </row>
    <row r="49" spans="1:13" x14ac:dyDescent="0.2">
      <c r="A49"/>
      <c r="B49" s="3" t="s">
        <v>210</v>
      </c>
      <c r="C49"/>
      <c r="D49"/>
      <c r="E49" s="5"/>
      <c r="F49" s="5"/>
      <c r="G49" s="5">
        <v>63190.65</v>
      </c>
      <c r="H49" s="5">
        <v>0</v>
      </c>
      <c r="I49" s="5">
        <v>63190.65</v>
      </c>
      <c r="J49" s="5"/>
      <c r="K49" s="4">
        <v>63190.65</v>
      </c>
      <c r="L49" s="4">
        <v>0</v>
      </c>
      <c r="M49"/>
    </row>
    <row r="50" spans="1:13" x14ac:dyDescent="0.2">
      <c r="A50" s="3" t="s">
        <v>125</v>
      </c>
      <c r="B50"/>
      <c r="C50"/>
      <c r="D50"/>
      <c r="E50" s="5"/>
      <c r="F50" s="5"/>
      <c r="G50" s="5">
        <v>10080091.959999997</v>
      </c>
      <c r="H50" s="5">
        <v>43876.229999999996</v>
      </c>
      <c r="I50" s="5">
        <v>10036215.729999997</v>
      </c>
      <c r="J50" s="5"/>
      <c r="K50" s="4">
        <v>10036215.729999997</v>
      </c>
      <c r="L50" s="4">
        <v>0</v>
      </c>
      <c r="M5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x14ac:dyDescent="0.2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x14ac:dyDescent="0.2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x14ac:dyDescent="0.2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2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x14ac:dyDescent="0.2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x14ac:dyDescent="0.2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x14ac:dyDescent="0.2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x14ac:dyDescent="0.2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x14ac:dyDescent="0.2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x14ac:dyDescent="0.2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x14ac:dyDescent="0.2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x14ac:dyDescent="0.2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x14ac:dyDescent="0.2">
      <c r="A94"/>
      <c r="B94"/>
      <c r="C94"/>
      <c r="D94"/>
      <c r="E94"/>
      <c r="F94"/>
      <c r="G94"/>
      <c r="H94"/>
      <c r="I94"/>
      <c r="J94"/>
    </row>
    <row r="95" spans="1:13" x14ac:dyDescent="0.2">
      <c r="A95"/>
      <c r="B95"/>
      <c r="C95"/>
      <c r="D95"/>
      <c r="E95"/>
      <c r="F95"/>
      <c r="G95"/>
      <c r="H95"/>
      <c r="I95"/>
      <c r="J95"/>
    </row>
    <row r="96" spans="1:13" x14ac:dyDescent="0.2">
      <c r="A96"/>
      <c r="B96"/>
      <c r="C96"/>
      <c r="D96"/>
      <c r="E96"/>
      <c r="F96"/>
      <c r="G96"/>
      <c r="H96"/>
      <c r="I96"/>
      <c r="J96"/>
    </row>
    <row r="97" spans="1:10" x14ac:dyDescent="0.2">
      <c r="A97"/>
      <c r="B97"/>
      <c r="C97"/>
      <c r="D97"/>
      <c r="E97"/>
      <c r="F97"/>
      <c r="G97"/>
      <c r="H97"/>
      <c r="I97"/>
      <c r="J97"/>
    </row>
    <row r="98" spans="1:10" x14ac:dyDescent="0.2">
      <c r="A98"/>
      <c r="B98"/>
      <c r="C98"/>
      <c r="D98"/>
      <c r="E98"/>
      <c r="F98"/>
      <c r="G98"/>
      <c r="H98"/>
      <c r="I98"/>
      <c r="J98"/>
    </row>
    <row r="99" spans="1:10" x14ac:dyDescent="0.2">
      <c r="A99"/>
      <c r="B99"/>
      <c r="C99"/>
      <c r="D99"/>
      <c r="E99"/>
      <c r="F99"/>
      <c r="G99"/>
      <c r="H99"/>
      <c r="I99"/>
      <c r="J99"/>
    </row>
    <row r="100" spans="1:10" x14ac:dyDescent="0.2">
      <c r="A100"/>
      <c r="B100"/>
      <c r="C100"/>
      <c r="D100"/>
      <c r="E100"/>
      <c r="F100"/>
      <c r="G100"/>
      <c r="H100"/>
      <c r="I100"/>
      <c r="J100"/>
    </row>
    <row r="101" spans="1:10" x14ac:dyDescent="0.2">
      <c r="A101"/>
      <c r="B101"/>
      <c r="C101"/>
      <c r="D101"/>
      <c r="E101"/>
      <c r="F101"/>
      <c r="G101"/>
      <c r="H101"/>
      <c r="I101"/>
      <c r="J101"/>
    </row>
    <row r="102" spans="1:10" x14ac:dyDescent="0.2">
      <c r="A102"/>
      <c r="B102"/>
      <c r="C102"/>
      <c r="D102"/>
      <c r="E102"/>
      <c r="F102"/>
      <c r="G102"/>
      <c r="H102"/>
      <c r="I102"/>
      <c r="J102"/>
    </row>
    <row r="103" spans="1:10" x14ac:dyDescent="0.2">
      <c r="A103"/>
      <c r="B103"/>
      <c r="C103"/>
      <c r="D103"/>
      <c r="E103"/>
      <c r="F103"/>
      <c r="G103"/>
      <c r="H103"/>
      <c r="I103"/>
      <c r="J103"/>
    </row>
    <row r="104" spans="1:10" x14ac:dyDescent="0.2">
      <c r="A104"/>
      <c r="B104"/>
      <c r="C104"/>
      <c r="D104"/>
      <c r="E104"/>
      <c r="F104"/>
      <c r="G104"/>
      <c r="H104"/>
      <c r="I104"/>
      <c r="J104"/>
    </row>
    <row r="105" spans="1:10" x14ac:dyDescent="0.2">
      <c r="A105"/>
      <c r="B105"/>
      <c r="C105"/>
      <c r="D105"/>
      <c r="E105"/>
      <c r="F105"/>
      <c r="G105"/>
      <c r="H105"/>
      <c r="I105"/>
      <c r="J105"/>
    </row>
    <row r="106" spans="1:10" x14ac:dyDescent="0.2">
      <c r="A106"/>
      <c r="B106"/>
      <c r="C106"/>
      <c r="D106"/>
      <c r="E106"/>
      <c r="F106"/>
      <c r="G106"/>
      <c r="H106"/>
      <c r="I106"/>
      <c r="J106"/>
    </row>
    <row r="107" spans="1:10" x14ac:dyDescent="0.2">
      <c r="A107"/>
      <c r="B107"/>
      <c r="C107"/>
      <c r="D107"/>
      <c r="E107"/>
      <c r="F107"/>
      <c r="G107"/>
      <c r="H107"/>
      <c r="I107"/>
      <c r="J107"/>
    </row>
    <row r="108" spans="1:10" x14ac:dyDescent="0.2">
      <c r="A108"/>
      <c r="B108"/>
      <c r="C108"/>
      <c r="D108"/>
      <c r="E108"/>
      <c r="F108"/>
      <c r="G108"/>
      <c r="H108"/>
      <c r="I108"/>
      <c r="J108"/>
    </row>
    <row r="109" spans="1:10" x14ac:dyDescent="0.2">
      <c r="A109"/>
      <c r="B109"/>
      <c r="C109"/>
      <c r="D109"/>
      <c r="E109"/>
      <c r="F109"/>
      <c r="G109"/>
      <c r="H109"/>
      <c r="I109"/>
      <c r="J109"/>
    </row>
    <row r="110" spans="1:10" x14ac:dyDescent="0.2">
      <c r="A110"/>
      <c r="B110"/>
      <c r="C110"/>
      <c r="D110"/>
      <c r="E110"/>
      <c r="F110"/>
      <c r="G110"/>
      <c r="H110"/>
      <c r="I110"/>
      <c r="J110"/>
    </row>
    <row r="111" spans="1:10" x14ac:dyDescent="0.2">
      <c r="A111"/>
      <c r="B111"/>
      <c r="C111"/>
      <c r="D111"/>
      <c r="E111"/>
      <c r="F111"/>
      <c r="G111"/>
      <c r="H111"/>
      <c r="I111"/>
      <c r="J111"/>
    </row>
    <row r="112" spans="1:10" x14ac:dyDescent="0.2">
      <c r="A112"/>
      <c r="B112"/>
      <c r="C112"/>
      <c r="D112"/>
      <c r="E112"/>
      <c r="F112"/>
      <c r="G112"/>
      <c r="H112"/>
      <c r="I112"/>
      <c r="J112"/>
    </row>
    <row r="113" spans="1:10" x14ac:dyDescent="0.2">
      <c r="A113"/>
      <c r="B113"/>
      <c r="C113"/>
      <c r="D113"/>
      <c r="E113"/>
      <c r="F113"/>
      <c r="G113"/>
      <c r="H113"/>
      <c r="I113"/>
      <c r="J113"/>
    </row>
    <row r="114" spans="1:10" x14ac:dyDescent="0.2">
      <c r="A114"/>
      <c r="B114"/>
      <c r="C114"/>
      <c r="D114"/>
      <c r="E114"/>
      <c r="F114"/>
      <c r="G114"/>
      <c r="H114"/>
      <c r="I114"/>
      <c r="J114"/>
    </row>
    <row r="115" spans="1:10" x14ac:dyDescent="0.2">
      <c r="A115"/>
      <c r="B115"/>
      <c r="C115"/>
      <c r="D115"/>
      <c r="E115"/>
      <c r="F115"/>
      <c r="G115"/>
      <c r="H115"/>
      <c r="I115"/>
      <c r="J115"/>
    </row>
    <row r="116" spans="1:10" x14ac:dyDescent="0.2">
      <c r="A116"/>
      <c r="B116"/>
      <c r="C116"/>
      <c r="D116"/>
      <c r="E116"/>
      <c r="F116"/>
      <c r="G116"/>
      <c r="H116"/>
      <c r="I116"/>
      <c r="J116"/>
    </row>
    <row r="117" spans="1:10" x14ac:dyDescent="0.2">
      <c r="A117"/>
      <c r="B117"/>
      <c r="C117"/>
      <c r="D117"/>
      <c r="E117"/>
      <c r="F117"/>
      <c r="G117"/>
      <c r="H117"/>
      <c r="I117"/>
      <c r="J117"/>
    </row>
    <row r="118" spans="1:10" x14ac:dyDescent="0.2">
      <c r="A118"/>
      <c r="B118"/>
      <c r="C118"/>
      <c r="D118"/>
      <c r="E118"/>
      <c r="F118"/>
      <c r="G118"/>
      <c r="H118"/>
      <c r="I118"/>
      <c r="J118"/>
    </row>
    <row r="119" spans="1:10" x14ac:dyDescent="0.2">
      <c r="A119"/>
      <c r="B119"/>
      <c r="C119"/>
      <c r="D119"/>
      <c r="E119"/>
      <c r="F119"/>
      <c r="G119"/>
      <c r="H119"/>
      <c r="I119"/>
      <c r="J119"/>
    </row>
    <row r="120" spans="1:10" x14ac:dyDescent="0.2">
      <c r="A120"/>
      <c r="B120"/>
      <c r="C120"/>
      <c r="D120"/>
      <c r="E120"/>
      <c r="F120"/>
      <c r="G120"/>
      <c r="H120"/>
      <c r="I120"/>
      <c r="J120"/>
    </row>
    <row r="121" spans="1:10" x14ac:dyDescent="0.2">
      <c r="A121"/>
      <c r="B121"/>
      <c r="C121"/>
      <c r="D121"/>
      <c r="E121"/>
      <c r="F121"/>
      <c r="G121"/>
      <c r="H121"/>
      <c r="I121"/>
      <c r="J121"/>
    </row>
    <row r="122" spans="1:10" x14ac:dyDescent="0.2">
      <c r="A122"/>
      <c r="B122"/>
      <c r="C122"/>
      <c r="D122"/>
      <c r="E122"/>
      <c r="F122"/>
      <c r="G122"/>
      <c r="H122"/>
      <c r="I122"/>
      <c r="J122"/>
    </row>
    <row r="123" spans="1:10" x14ac:dyDescent="0.2">
      <c r="A123"/>
      <c r="B123"/>
      <c r="C123"/>
      <c r="D123"/>
      <c r="E123"/>
      <c r="F123"/>
      <c r="G123"/>
      <c r="H123"/>
      <c r="I123"/>
      <c r="J123"/>
    </row>
    <row r="124" spans="1:10" x14ac:dyDescent="0.2">
      <c r="A124"/>
      <c r="B124"/>
      <c r="C124"/>
      <c r="D124"/>
      <c r="E124"/>
      <c r="F124"/>
      <c r="G124"/>
      <c r="H124"/>
      <c r="I124"/>
      <c r="J124"/>
    </row>
    <row r="125" spans="1:10" x14ac:dyDescent="0.2">
      <c r="A125"/>
      <c r="B125"/>
      <c r="C125"/>
      <c r="D125"/>
      <c r="E125"/>
      <c r="F125"/>
      <c r="G125"/>
      <c r="H125"/>
      <c r="I125"/>
      <c r="J125"/>
    </row>
    <row r="126" spans="1:10" x14ac:dyDescent="0.2">
      <c r="A126"/>
      <c r="B126"/>
      <c r="C126"/>
      <c r="D126"/>
      <c r="E126"/>
      <c r="F126"/>
      <c r="G126"/>
      <c r="H126"/>
      <c r="I126"/>
      <c r="J126"/>
    </row>
    <row r="127" spans="1:10" x14ac:dyDescent="0.2">
      <c r="A127"/>
      <c r="B127"/>
      <c r="C127"/>
      <c r="D127"/>
      <c r="E127"/>
      <c r="F127"/>
      <c r="G127"/>
      <c r="H127"/>
      <c r="I127"/>
      <c r="J127"/>
    </row>
    <row r="128" spans="1:10" x14ac:dyDescent="0.2">
      <c r="A128"/>
      <c r="B128"/>
      <c r="C128"/>
      <c r="D128"/>
      <c r="E128"/>
      <c r="F128"/>
      <c r="G128"/>
      <c r="H128"/>
      <c r="I128"/>
      <c r="J128"/>
    </row>
    <row r="129" spans="1:10" x14ac:dyDescent="0.2">
      <c r="A129"/>
      <c r="B129"/>
      <c r="C129"/>
      <c r="D129"/>
      <c r="E129"/>
      <c r="F129"/>
      <c r="G129"/>
      <c r="H129"/>
      <c r="I129"/>
      <c r="J129"/>
    </row>
    <row r="130" spans="1:10" x14ac:dyDescent="0.2">
      <c r="A130"/>
      <c r="B130"/>
      <c r="C130"/>
      <c r="D130"/>
      <c r="E130"/>
      <c r="F130"/>
      <c r="G130"/>
      <c r="H130"/>
      <c r="I130"/>
      <c r="J130"/>
    </row>
    <row r="131" spans="1:10" x14ac:dyDescent="0.2">
      <c r="A131"/>
      <c r="B131"/>
      <c r="C131"/>
      <c r="D131"/>
      <c r="E131"/>
      <c r="F131"/>
      <c r="G131"/>
      <c r="H131"/>
      <c r="I131"/>
      <c r="J131"/>
    </row>
    <row r="132" spans="1:10" x14ac:dyDescent="0.2">
      <c r="A132"/>
      <c r="B132"/>
      <c r="C132"/>
      <c r="D132"/>
      <c r="E132"/>
      <c r="F132"/>
      <c r="G132"/>
      <c r="H132"/>
      <c r="I132"/>
      <c r="J132"/>
    </row>
    <row r="133" spans="1:10" x14ac:dyDescent="0.2">
      <c r="A133"/>
      <c r="B133"/>
      <c r="C133"/>
      <c r="D133"/>
      <c r="E133"/>
      <c r="F133"/>
      <c r="G133"/>
      <c r="H133"/>
      <c r="I133"/>
      <c r="J133"/>
    </row>
    <row r="134" spans="1:10" x14ac:dyDescent="0.2">
      <c r="A134"/>
      <c r="B134"/>
      <c r="C134"/>
      <c r="D134"/>
      <c r="E134"/>
      <c r="F134"/>
      <c r="G134"/>
      <c r="H134"/>
      <c r="I134"/>
      <c r="J134"/>
    </row>
    <row r="135" spans="1:10" x14ac:dyDescent="0.2">
      <c r="A135"/>
      <c r="B135"/>
      <c r="C135"/>
      <c r="D135"/>
      <c r="E135"/>
      <c r="F135"/>
      <c r="G135"/>
      <c r="H135"/>
      <c r="I135"/>
      <c r="J135"/>
    </row>
    <row r="136" spans="1:10" x14ac:dyDescent="0.2">
      <c r="A136"/>
      <c r="B136"/>
      <c r="C136"/>
      <c r="D136"/>
      <c r="E136"/>
      <c r="F136"/>
      <c r="G136"/>
      <c r="H136"/>
      <c r="I136"/>
      <c r="J136"/>
    </row>
    <row r="137" spans="1:10" x14ac:dyDescent="0.2">
      <c r="A137"/>
      <c r="B137"/>
      <c r="C137"/>
      <c r="D137"/>
      <c r="E137"/>
      <c r="F137"/>
      <c r="G137"/>
      <c r="H137"/>
      <c r="I137"/>
      <c r="J137"/>
    </row>
    <row r="138" spans="1:10" x14ac:dyDescent="0.2">
      <c r="A138"/>
      <c r="B138"/>
      <c r="C138"/>
      <c r="D138"/>
      <c r="E138"/>
      <c r="F138"/>
      <c r="G138"/>
      <c r="H138"/>
      <c r="I138"/>
      <c r="J138"/>
    </row>
    <row r="139" spans="1:10" x14ac:dyDescent="0.2">
      <c r="A139"/>
      <c r="B139"/>
      <c r="C139"/>
      <c r="D139"/>
      <c r="E139"/>
      <c r="F139"/>
      <c r="G139"/>
      <c r="H139"/>
      <c r="I139"/>
      <c r="J139"/>
    </row>
    <row r="140" spans="1:10" x14ac:dyDescent="0.2">
      <c r="A140"/>
      <c r="B140"/>
      <c r="C140"/>
      <c r="D140"/>
      <c r="E140"/>
      <c r="F140"/>
      <c r="G140"/>
      <c r="H140"/>
      <c r="I140"/>
      <c r="J140"/>
    </row>
    <row r="141" spans="1:10" x14ac:dyDescent="0.2">
      <c r="A141"/>
      <c r="B141"/>
      <c r="C141"/>
      <c r="D141"/>
      <c r="E141"/>
      <c r="F141"/>
      <c r="G141"/>
      <c r="H141"/>
      <c r="I141"/>
      <c r="J141"/>
    </row>
    <row r="142" spans="1:10" x14ac:dyDescent="0.2">
      <c r="A142"/>
      <c r="B142"/>
      <c r="C142"/>
      <c r="D142"/>
      <c r="E142"/>
      <c r="F142"/>
      <c r="G142"/>
      <c r="H142"/>
      <c r="I142"/>
      <c r="J142"/>
    </row>
    <row r="143" spans="1:10" x14ac:dyDescent="0.2">
      <c r="A143"/>
      <c r="B143"/>
      <c r="C143"/>
      <c r="D143"/>
      <c r="E143"/>
      <c r="F143"/>
      <c r="G143"/>
      <c r="H143"/>
      <c r="I143"/>
      <c r="J143"/>
    </row>
    <row r="144" spans="1:10" x14ac:dyDescent="0.2">
      <c r="A144"/>
      <c r="B144"/>
      <c r="C144"/>
      <c r="D144"/>
      <c r="E144"/>
      <c r="F144"/>
      <c r="G144"/>
      <c r="H144"/>
      <c r="I144"/>
      <c r="J144"/>
    </row>
    <row r="145" spans="1:10" x14ac:dyDescent="0.2">
      <c r="A145"/>
      <c r="B145"/>
      <c r="C145"/>
      <c r="D145"/>
      <c r="E145"/>
      <c r="F145"/>
      <c r="G145"/>
      <c r="H145"/>
      <c r="I145"/>
      <c r="J145"/>
    </row>
    <row r="146" spans="1:10" x14ac:dyDescent="0.2">
      <c r="A146"/>
      <c r="B146"/>
      <c r="C146"/>
      <c r="D146"/>
      <c r="E146"/>
      <c r="F146"/>
      <c r="G146"/>
      <c r="H146"/>
      <c r="I146"/>
      <c r="J146"/>
    </row>
    <row r="147" spans="1:10" x14ac:dyDescent="0.2">
      <c r="A147"/>
      <c r="B147"/>
      <c r="C147"/>
      <c r="D147"/>
      <c r="E147"/>
      <c r="F147"/>
      <c r="G147"/>
      <c r="H147"/>
      <c r="I147"/>
      <c r="J147"/>
    </row>
    <row r="148" spans="1:10" x14ac:dyDescent="0.2">
      <c r="A148"/>
      <c r="B148"/>
      <c r="C148"/>
      <c r="D148"/>
      <c r="E148"/>
      <c r="F148"/>
      <c r="G148"/>
      <c r="H148"/>
      <c r="I148"/>
      <c r="J148"/>
    </row>
    <row r="149" spans="1:10" x14ac:dyDescent="0.2">
      <c r="A149"/>
      <c r="B149"/>
      <c r="C149"/>
      <c r="D149"/>
      <c r="E149"/>
      <c r="F149"/>
      <c r="G149"/>
      <c r="H149"/>
      <c r="I149"/>
      <c r="J149"/>
    </row>
    <row r="150" spans="1:10" x14ac:dyDescent="0.2">
      <c r="A150"/>
      <c r="B150"/>
      <c r="C150"/>
      <c r="D150"/>
      <c r="E150"/>
      <c r="F150"/>
      <c r="G150"/>
      <c r="H150"/>
      <c r="I150"/>
      <c r="J150"/>
    </row>
    <row r="151" spans="1:10" x14ac:dyDescent="0.2">
      <c r="A151"/>
      <c r="B151"/>
      <c r="C151"/>
      <c r="D151"/>
      <c r="E151"/>
      <c r="F151"/>
      <c r="G151"/>
      <c r="H151"/>
      <c r="I151"/>
      <c r="J151"/>
    </row>
    <row r="152" spans="1:10" x14ac:dyDescent="0.2">
      <c r="A152"/>
      <c r="B152"/>
      <c r="C152"/>
      <c r="D152"/>
      <c r="E152"/>
      <c r="F152"/>
      <c r="G152"/>
      <c r="H152"/>
      <c r="I152"/>
      <c r="J152"/>
    </row>
    <row r="153" spans="1:10" x14ac:dyDescent="0.2">
      <c r="A153"/>
      <c r="B153"/>
      <c r="C153"/>
      <c r="D153"/>
      <c r="E153"/>
      <c r="F153"/>
      <c r="G153"/>
      <c r="H153"/>
      <c r="I153"/>
      <c r="J153"/>
    </row>
    <row r="154" spans="1:10" x14ac:dyDescent="0.2">
      <c r="A154"/>
      <c r="B154"/>
      <c r="C154"/>
      <c r="D154"/>
      <c r="E154"/>
      <c r="F154"/>
      <c r="G154"/>
      <c r="H154"/>
      <c r="I154"/>
      <c r="J154"/>
    </row>
    <row r="155" spans="1:10" x14ac:dyDescent="0.2">
      <c r="A155"/>
      <c r="B155"/>
      <c r="C155"/>
      <c r="D155"/>
      <c r="E155"/>
      <c r="F155"/>
      <c r="G155"/>
      <c r="H155"/>
      <c r="I155"/>
      <c r="J155"/>
    </row>
    <row r="156" spans="1:10" x14ac:dyDescent="0.2">
      <c r="A156"/>
      <c r="B156"/>
      <c r="C156"/>
      <c r="D156"/>
      <c r="E156"/>
      <c r="F156"/>
      <c r="G156"/>
      <c r="H156"/>
      <c r="I156"/>
      <c r="J156"/>
    </row>
    <row r="157" spans="1:10" x14ac:dyDescent="0.2">
      <c r="A157"/>
      <c r="B157"/>
      <c r="C157"/>
      <c r="D157"/>
      <c r="E157"/>
      <c r="F157"/>
      <c r="G157"/>
      <c r="H157"/>
      <c r="I157"/>
      <c r="J157"/>
    </row>
    <row r="158" spans="1:10" x14ac:dyDescent="0.2">
      <c r="A158"/>
      <c r="B158"/>
      <c r="C158"/>
      <c r="D158"/>
      <c r="E158"/>
      <c r="F158"/>
      <c r="G158"/>
      <c r="H158"/>
      <c r="I158"/>
      <c r="J158"/>
    </row>
    <row r="159" spans="1:10" x14ac:dyDescent="0.2">
      <c r="A159"/>
      <c r="B159"/>
      <c r="C159"/>
      <c r="D159"/>
      <c r="E159"/>
      <c r="F159"/>
      <c r="G159"/>
      <c r="H159"/>
      <c r="I159"/>
      <c r="J159"/>
    </row>
    <row r="160" spans="1:10" x14ac:dyDescent="0.2">
      <c r="A160"/>
      <c r="B160"/>
      <c r="C160"/>
      <c r="D160"/>
      <c r="E160"/>
      <c r="F160"/>
      <c r="G160"/>
      <c r="H160"/>
      <c r="I160"/>
      <c r="J160"/>
    </row>
    <row r="161" spans="1:10" x14ac:dyDescent="0.2">
      <c r="A161"/>
      <c r="B161"/>
      <c r="C161"/>
      <c r="D161"/>
      <c r="E161"/>
      <c r="F161"/>
      <c r="G161"/>
      <c r="H161"/>
      <c r="I161"/>
      <c r="J161"/>
    </row>
    <row r="162" spans="1:10" x14ac:dyDescent="0.2">
      <c r="A162"/>
      <c r="B162"/>
      <c r="C162"/>
      <c r="D162"/>
      <c r="E162"/>
      <c r="F162"/>
      <c r="G162"/>
      <c r="H162"/>
      <c r="I162"/>
      <c r="J162"/>
    </row>
    <row r="163" spans="1:10" x14ac:dyDescent="0.2">
      <c r="A163"/>
      <c r="B163"/>
      <c r="C163"/>
      <c r="D163"/>
      <c r="E163"/>
      <c r="F163"/>
      <c r="G163"/>
      <c r="H163"/>
      <c r="I163"/>
      <c r="J163"/>
    </row>
    <row r="164" spans="1:10" x14ac:dyDescent="0.2">
      <c r="A164"/>
      <c r="B164"/>
      <c r="C164"/>
      <c r="D164"/>
      <c r="E164"/>
      <c r="F164"/>
      <c r="G164"/>
      <c r="H164"/>
      <c r="I164"/>
      <c r="J164"/>
    </row>
    <row r="165" spans="1:10" x14ac:dyDescent="0.2">
      <c r="A165"/>
      <c r="B165"/>
      <c r="C165"/>
      <c r="D165"/>
      <c r="E165"/>
      <c r="F165"/>
      <c r="G165"/>
      <c r="H165"/>
      <c r="I165"/>
      <c r="J165"/>
    </row>
    <row r="166" spans="1:10" x14ac:dyDescent="0.2">
      <c r="A166"/>
      <c r="B166"/>
      <c r="C166"/>
      <c r="D166"/>
      <c r="E166"/>
      <c r="F166"/>
      <c r="G166"/>
      <c r="H166"/>
      <c r="I166"/>
      <c r="J166"/>
    </row>
    <row r="167" spans="1:10" x14ac:dyDescent="0.2">
      <c r="A167"/>
      <c r="B167"/>
      <c r="C167"/>
      <c r="D167"/>
      <c r="E167"/>
      <c r="F167"/>
      <c r="G167"/>
      <c r="H167"/>
      <c r="I167"/>
      <c r="J167"/>
    </row>
    <row r="168" spans="1:10" x14ac:dyDescent="0.2">
      <c r="A168"/>
      <c r="B168"/>
      <c r="C168"/>
      <c r="D168"/>
      <c r="E168"/>
      <c r="F168"/>
      <c r="G168"/>
      <c r="H168"/>
      <c r="I168"/>
      <c r="J168"/>
    </row>
    <row r="169" spans="1:10" x14ac:dyDescent="0.2">
      <c r="A169"/>
      <c r="B169"/>
      <c r="C169"/>
      <c r="D169"/>
      <c r="E169"/>
      <c r="F169"/>
      <c r="G169"/>
      <c r="H169"/>
      <c r="I169"/>
      <c r="J169"/>
    </row>
    <row r="170" spans="1:10" x14ac:dyDescent="0.2">
      <c r="A170"/>
      <c r="B170"/>
      <c r="C170"/>
      <c r="D170"/>
      <c r="E170"/>
      <c r="F170"/>
      <c r="G170"/>
      <c r="H170"/>
      <c r="I170"/>
      <c r="J170"/>
    </row>
    <row r="171" spans="1:10" x14ac:dyDescent="0.2">
      <c r="A171"/>
      <c r="B171"/>
      <c r="C171"/>
      <c r="D171"/>
      <c r="E171"/>
      <c r="F171"/>
      <c r="G171"/>
      <c r="H171"/>
      <c r="I171"/>
      <c r="J171"/>
    </row>
    <row r="172" spans="1:10" x14ac:dyDescent="0.2">
      <c r="A172"/>
      <c r="B172"/>
      <c r="C172"/>
      <c r="D172"/>
      <c r="E172"/>
      <c r="F172"/>
      <c r="G172"/>
      <c r="H172"/>
      <c r="I172"/>
      <c r="J172"/>
    </row>
    <row r="173" spans="1:10" x14ac:dyDescent="0.2">
      <c r="A173"/>
      <c r="B173"/>
      <c r="C173"/>
      <c r="D173"/>
      <c r="E173"/>
      <c r="F173"/>
      <c r="G173"/>
      <c r="H173"/>
      <c r="I173"/>
      <c r="J173"/>
    </row>
    <row r="174" spans="1:10" x14ac:dyDescent="0.2">
      <c r="A174"/>
      <c r="B174"/>
      <c r="C174"/>
      <c r="D174"/>
      <c r="E174"/>
      <c r="F174"/>
      <c r="G174"/>
      <c r="H174"/>
      <c r="I174"/>
      <c r="J174"/>
    </row>
    <row r="175" spans="1:10" x14ac:dyDescent="0.2">
      <c r="A175"/>
      <c r="B175"/>
      <c r="C175"/>
      <c r="D175"/>
      <c r="E175"/>
      <c r="F175"/>
      <c r="G175"/>
      <c r="H175"/>
      <c r="I175"/>
      <c r="J175"/>
    </row>
    <row r="176" spans="1:10" x14ac:dyDescent="0.2">
      <c r="A176"/>
      <c r="B176"/>
      <c r="C176"/>
      <c r="D176"/>
      <c r="E176"/>
      <c r="F176"/>
      <c r="G176"/>
      <c r="H176"/>
      <c r="I176"/>
      <c r="J176"/>
    </row>
    <row r="177" spans="1:10" x14ac:dyDescent="0.2">
      <c r="A177"/>
      <c r="B177"/>
      <c r="C177"/>
      <c r="D177"/>
      <c r="E177"/>
      <c r="F177"/>
      <c r="G177"/>
      <c r="H177"/>
      <c r="I177"/>
      <c r="J177"/>
    </row>
    <row r="178" spans="1:10" x14ac:dyDescent="0.2">
      <c r="A178"/>
      <c r="B178"/>
      <c r="C178"/>
      <c r="D178"/>
      <c r="E178"/>
      <c r="F178"/>
      <c r="G178"/>
      <c r="H178"/>
      <c r="I178"/>
      <c r="J178"/>
    </row>
    <row r="179" spans="1:10" x14ac:dyDescent="0.2">
      <c r="A179"/>
      <c r="B179"/>
      <c r="C179"/>
      <c r="D179"/>
      <c r="E179"/>
      <c r="F179"/>
      <c r="G179"/>
      <c r="H179"/>
      <c r="I179"/>
      <c r="J179"/>
    </row>
    <row r="180" spans="1:10" x14ac:dyDescent="0.2">
      <c r="A180"/>
      <c r="B180"/>
      <c r="C180"/>
      <c r="D180"/>
      <c r="E180"/>
      <c r="F180"/>
      <c r="G180"/>
      <c r="H180"/>
      <c r="I180"/>
      <c r="J180"/>
    </row>
    <row r="181" spans="1:10" x14ac:dyDescent="0.2">
      <c r="A181"/>
      <c r="B181"/>
      <c r="C181"/>
      <c r="D181"/>
      <c r="E181"/>
      <c r="F181"/>
      <c r="G181"/>
      <c r="H181"/>
      <c r="I181"/>
      <c r="J181"/>
    </row>
    <row r="182" spans="1:10" x14ac:dyDescent="0.2">
      <c r="A182"/>
      <c r="B182"/>
      <c r="C182"/>
      <c r="D182"/>
      <c r="E182"/>
      <c r="F182"/>
      <c r="G182"/>
      <c r="H182"/>
      <c r="I182"/>
      <c r="J182"/>
    </row>
    <row r="183" spans="1:10" x14ac:dyDescent="0.2">
      <c r="A183"/>
      <c r="B183"/>
      <c r="C183"/>
      <c r="D183"/>
      <c r="E183"/>
      <c r="F183"/>
      <c r="G183"/>
      <c r="H183"/>
      <c r="I183"/>
      <c r="J183"/>
    </row>
    <row r="184" spans="1:10" x14ac:dyDescent="0.2">
      <c r="A184"/>
      <c r="B184"/>
      <c r="C184"/>
      <c r="D184"/>
      <c r="E184"/>
      <c r="F184"/>
      <c r="G184"/>
      <c r="H184"/>
      <c r="I184"/>
      <c r="J184"/>
    </row>
    <row r="185" spans="1:10" x14ac:dyDescent="0.2">
      <c r="A185"/>
      <c r="B185"/>
      <c r="C185"/>
      <c r="D185"/>
      <c r="E185"/>
      <c r="F185"/>
      <c r="G185"/>
      <c r="H185"/>
      <c r="I185"/>
      <c r="J185"/>
    </row>
    <row r="186" spans="1:10" x14ac:dyDescent="0.2">
      <c r="A186"/>
      <c r="B186"/>
      <c r="C186"/>
      <c r="D186"/>
      <c r="E186"/>
      <c r="F186"/>
      <c r="G186"/>
      <c r="H186"/>
      <c r="I186"/>
      <c r="J186"/>
    </row>
    <row r="187" spans="1:10" x14ac:dyDescent="0.2">
      <c r="A187"/>
      <c r="B187"/>
      <c r="C187"/>
      <c r="D187"/>
      <c r="E187"/>
      <c r="F187"/>
      <c r="G187"/>
      <c r="H187"/>
      <c r="I187"/>
      <c r="J187"/>
    </row>
    <row r="188" spans="1:10" x14ac:dyDescent="0.2">
      <c r="A188"/>
      <c r="B188"/>
      <c r="C188"/>
      <c r="D188"/>
      <c r="E188"/>
      <c r="F188"/>
      <c r="G188"/>
      <c r="H188"/>
      <c r="I188"/>
      <c r="J188"/>
    </row>
    <row r="189" spans="1:10" x14ac:dyDescent="0.2">
      <c r="A189"/>
      <c r="B189"/>
      <c r="C189"/>
      <c r="D189"/>
      <c r="E189"/>
      <c r="F189"/>
      <c r="G189"/>
      <c r="H189"/>
      <c r="I189"/>
      <c r="J189"/>
    </row>
    <row r="190" spans="1:10" x14ac:dyDescent="0.2">
      <c r="A190"/>
      <c r="B190"/>
      <c r="C190"/>
      <c r="D190"/>
      <c r="E190"/>
      <c r="F190"/>
      <c r="G190"/>
      <c r="H190"/>
      <c r="I190"/>
      <c r="J190"/>
    </row>
    <row r="191" spans="1:10" x14ac:dyDescent="0.2">
      <c r="A191"/>
      <c r="B191"/>
      <c r="C191"/>
      <c r="D191"/>
      <c r="E191"/>
      <c r="F191"/>
      <c r="G191"/>
      <c r="H191"/>
      <c r="I191"/>
      <c r="J191"/>
    </row>
    <row r="192" spans="1:10" x14ac:dyDescent="0.2">
      <c r="A192"/>
      <c r="B192"/>
      <c r="C192"/>
      <c r="D192"/>
      <c r="E192"/>
      <c r="F192"/>
      <c r="G192"/>
      <c r="H192"/>
      <c r="I192"/>
      <c r="J192"/>
    </row>
    <row r="193" spans="1:10" x14ac:dyDescent="0.2">
      <c r="A193"/>
      <c r="B193"/>
      <c r="C193"/>
      <c r="D193"/>
      <c r="E193"/>
      <c r="F193"/>
      <c r="G193"/>
      <c r="H193"/>
      <c r="I193"/>
      <c r="J193"/>
    </row>
    <row r="194" spans="1:10" x14ac:dyDescent="0.2">
      <c r="A194"/>
      <c r="B194"/>
      <c r="C194"/>
      <c r="D194"/>
      <c r="E194"/>
      <c r="F194"/>
      <c r="G194"/>
      <c r="H194"/>
      <c r="I194"/>
      <c r="J194"/>
    </row>
    <row r="195" spans="1:10" x14ac:dyDescent="0.2">
      <c r="A195"/>
      <c r="B195"/>
      <c r="C195"/>
      <c r="D195"/>
      <c r="E195"/>
      <c r="F195"/>
      <c r="G195"/>
      <c r="H195"/>
      <c r="I195"/>
      <c r="J195"/>
    </row>
    <row r="196" spans="1:10" x14ac:dyDescent="0.2">
      <c r="A196"/>
      <c r="B196"/>
      <c r="C196"/>
      <c r="D196"/>
      <c r="E196"/>
      <c r="F196"/>
      <c r="G196"/>
      <c r="H196"/>
      <c r="I196"/>
      <c r="J196"/>
    </row>
    <row r="197" spans="1:10" x14ac:dyDescent="0.2">
      <c r="A197"/>
      <c r="B197"/>
      <c r="C197"/>
      <c r="D197"/>
      <c r="E197"/>
      <c r="F197"/>
      <c r="G197"/>
      <c r="H197"/>
      <c r="I197"/>
      <c r="J197"/>
    </row>
    <row r="198" spans="1:10" x14ac:dyDescent="0.2">
      <c r="A198"/>
      <c r="B198"/>
      <c r="C198"/>
      <c r="D198"/>
      <c r="E198"/>
      <c r="F198"/>
      <c r="G198"/>
      <c r="H198"/>
      <c r="I198"/>
      <c r="J198"/>
    </row>
    <row r="199" spans="1:10" x14ac:dyDescent="0.2">
      <c r="A199"/>
      <c r="B199"/>
      <c r="C199"/>
      <c r="D199"/>
      <c r="E199"/>
      <c r="F199"/>
      <c r="G199"/>
      <c r="H199"/>
      <c r="I199"/>
      <c r="J199"/>
    </row>
    <row r="200" spans="1:10" x14ac:dyDescent="0.2">
      <c r="A200"/>
      <c r="B200"/>
      <c r="C200"/>
      <c r="D200"/>
      <c r="E200"/>
      <c r="F200"/>
      <c r="G200"/>
      <c r="H200"/>
      <c r="I200"/>
      <c r="J200"/>
    </row>
    <row r="201" spans="1:10" x14ac:dyDescent="0.2">
      <c r="A201"/>
      <c r="B201"/>
      <c r="C201"/>
      <c r="D201"/>
      <c r="E201"/>
      <c r="F201"/>
      <c r="G201"/>
      <c r="H201"/>
      <c r="I201"/>
      <c r="J201"/>
    </row>
    <row r="202" spans="1:10" x14ac:dyDescent="0.2">
      <c r="A202"/>
      <c r="B202"/>
      <c r="C202"/>
      <c r="D202"/>
      <c r="E202"/>
      <c r="F202"/>
      <c r="G202"/>
      <c r="H202"/>
      <c r="I202"/>
      <c r="J202"/>
    </row>
    <row r="203" spans="1:10" x14ac:dyDescent="0.2">
      <c r="A203"/>
      <c r="B203"/>
      <c r="C203"/>
      <c r="D203"/>
      <c r="E203"/>
      <c r="F203"/>
      <c r="G203"/>
      <c r="H203"/>
      <c r="I203"/>
      <c r="J203"/>
    </row>
    <row r="204" spans="1:10" x14ac:dyDescent="0.2">
      <c r="A204"/>
      <c r="B204"/>
      <c r="C204"/>
      <c r="D204"/>
      <c r="E204"/>
      <c r="F204"/>
      <c r="G204"/>
      <c r="H204"/>
      <c r="I204"/>
      <c r="J204"/>
    </row>
    <row r="205" spans="1:10" x14ac:dyDescent="0.2">
      <c r="A205"/>
      <c r="B205"/>
      <c r="C205"/>
      <c r="D205"/>
      <c r="E205"/>
      <c r="F205"/>
      <c r="G205"/>
      <c r="H205"/>
      <c r="I205"/>
      <c r="J205"/>
    </row>
    <row r="206" spans="1:10" x14ac:dyDescent="0.2">
      <c r="A206"/>
      <c r="B206"/>
      <c r="C206"/>
      <c r="D206"/>
      <c r="E206"/>
      <c r="F206"/>
      <c r="G206"/>
      <c r="H206"/>
      <c r="I206"/>
      <c r="J206"/>
    </row>
    <row r="207" spans="1:10" x14ac:dyDescent="0.2">
      <c r="A207"/>
      <c r="B207"/>
      <c r="C207"/>
      <c r="D207"/>
      <c r="E207"/>
      <c r="F207"/>
      <c r="G207"/>
      <c r="H207"/>
      <c r="I207"/>
      <c r="J207"/>
    </row>
    <row r="208" spans="1:10" x14ac:dyDescent="0.2">
      <c r="A208"/>
      <c r="B208"/>
      <c r="C208"/>
      <c r="D208"/>
      <c r="E208"/>
      <c r="F208"/>
      <c r="G208"/>
      <c r="H208"/>
      <c r="I208"/>
      <c r="J208"/>
    </row>
    <row r="209" spans="1:10" x14ac:dyDescent="0.2">
      <c r="A209"/>
      <c r="B209"/>
      <c r="C209"/>
      <c r="D209"/>
      <c r="E209"/>
      <c r="F209"/>
      <c r="G209"/>
      <c r="H209"/>
      <c r="I209"/>
      <c r="J209"/>
    </row>
    <row r="210" spans="1:10" x14ac:dyDescent="0.2">
      <c r="A210"/>
      <c r="B210"/>
      <c r="C210"/>
      <c r="D210"/>
      <c r="E210"/>
      <c r="F210"/>
      <c r="G210"/>
      <c r="H210"/>
      <c r="I210"/>
      <c r="J210"/>
    </row>
    <row r="211" spans="1:10" x14ac:dyDescent="0.2">
      <c r="A211"/>
      <c r="B211"/>
      <c r="C211"/>
      <c r="D211"/>
      <c r="E211"/>
      <c r="F211"/>
      <c r="G211"/>
      <c r="H211"/>
      <c r="I211"/>
      <c r="J211"/>
    </row>
    <row r="212" spans="1:10" x14ac:dyDescent="0.2">
      <c r="A212"/>
      <c r="B212"/>
      <c r="C212"/>
      <c r="D212"/>
      <c r="E212"/>
      <c r="F212"/>
      <c r="G212"/>
      <c r="H212"/>
      <c r="I212"/>
      <c r="J212"/>
    </row>
    <row r="213" spans="1:10" x14ac:dyDescent="0.2">
      <c r="A213"/>
      <c r="B213"/>
      <c r="C213"/>
      <c r="D213"/>
      <c r="E213"/>
      <c r="F213"/>
      <c r="G213"/>
      <c r="H213"/>
      <c r="I213"/>
      <c r="J213"/>
    </row>
    <row r="214" spans="1:10" x14ac:dyDescent="0.2">
      <c r="A214"/>
      <c r="B214"/>
      <c r="C214"/>
      <c r="D214"/>
      <c r="E214"/>
      <c r="F214"/>
      <c r="G214"/>
      <c r="H214"/>
      <c r="I214"/>
      <c r="J214"/>
    </row>
    <row r="215" spans="1:10" x14ac:dyDescent="0.2">
      <c r="A215"/>
      <c r="B215"/>
      <c r="C215"/>
      <c r="D215"/>
      <c r="E215"/>
      <c r="F215"/>
      <c r="G215"/>
      <c r="H215"/>
      <c r="I215"/>
      <c r="J215"/>
    </row>
    <row r="216" spans="1:10" x14ac:dyDescent="0.2">
      <c r="A216"/>
      <c r="B216"/>
      <c r="C216"/>
      <c r="D216"/>
      <c r="E216"/>
      <c r="F216"/>
      <c r="G216"/>
      <c r="H216"/>
      <c r="I216"/>
      <c r="J216"/>
    </row>
    <row r="217" spans="1:10" x14ac:dyDescent="0.2">
      <c r="A217"/>
      <c r="B217"/>
      <c r="C217"/>
      <c r="D217"/>
      <c r="E217"/>
      <c r="F217"/>
      <c r="G217"/>
      <c r="H217"/>
      <c r="I217"/>
      <c r="J217"/>
    </row>
    <row r="218" spans="1:10" x14ac:dyDescent="0.2">
      <c r="A218"/>
      <c r="B218"/>
      <c r="C218"/>
      <c r="D218"/>
      <c r="E218"/>
      <c r="F218"/>
      <c r="G218"/>
      <c r="H218"/>
      <c r="I218"/>
      <c r="J218"/>
    </row>
    <row r="219" spans="1:10" x14ac:dyDescent="0.2">
      <c r="A219"/>
      <c r="B219"/>
      <c r="C219"/>
      <c r="D219"/>
      <c r="E219"/>
      <c r="F219"/>
      <c r="G219"/>
      <c r="H219"/>
      <c r="I219"/>
      <c r="J219"/>
    </row>
    <row r="220" spans="1:10" x14ac:dyDescent="0.2">
      <c r="A220"/>
      <c r="B220"/>
      <c r="C220"/>
      <c r="D220"/>
      <c r="E220"/>
      <c r="F220"/>
      <c r="G220"/>
      <c r="H220"/>
      <c r="I220"/>
      <c r="J220"/>
    </row>
    <row r="221" spans="1:10" x14ac:dyDescent="0.2">
      <c r="A221"/>
      <c r="B221"/>
      <c r="C221"/>
      <c r="D221"/>
      <c r="E221"/>
      <c r="F221"/>
      <c r="G221"/>
      <c r="H221"/>
      <c r="I221"/>
      <c r="J221"/>
    </row>
    <row r="222" spans="1:10" x14ac:dyDescent="0.2">
      <c r="A222"/>
      <c r="B222"/>
      <c r="C222"/>
      <c r="D222"/>
      <c r="E222"/>
      <c r="F222"/>
      <c r="G222"/>
      <c r="H222"/>
      <c r="I222"/>
      <c r="J222"/>
    </row>
    <row r="223" spans="1:10" x14ac:dyDescent="0.2">
      <c r="A223"/>
      <c r="B223"/>
      <c r="C223"/>
      <c r="D223"/>
      <c r="E223"/>
      <c r="F223"/>
      <c r="G223"/>
      <c r="H223"/>
      <c r="I223"/>
      <c r="J223"/>
    </row>
    <row r="224" spans="1:10" x14ac:dyDescent="0.2">
      <c r="A224"/>
      <c r="B224"/>
      <c r="C224"/>
      <c r="D224"/>
      <c r="E224"/>
      <c r="F224"/>
      <c r="G224"/>
      <c r="H224"/>
      <c r="I224"/>
      <c r="J224"/>
    </row>
    <row r="225" spans="1:10" x14ac:dyDescent="0.2">
      <c r="A225"/>
      <c r="B225"/>
      <c r="C225"/>
      <c r="D225"/>
      <c r="E225"/>
      <c r="F225"/>
      <c r="G225"/>
      <c r="H225"/>
      <c r="I225"/>
      <c r="J225"/>
    </row>
    <row r="226" spans="1:10" x14ac:dyDescent="0.2">
      <c r="A226"/>
      <c r="B226"/>
      <c r="C226"/>
      <c r="D226"/>
      <c r="E226"/>
      <c r="F226"/>
      <c r="G226"/>
      <c r="H226"/>
      <c r="I226"/>
      <c r="J226"/>
    </row>
    <row r="227" spans="1:10" x14ac:dyDescent="0.2">
      <c r="A227"/>
      <c r="B227"/>
      <c r="C227"/>
      <c r="D227"/>
      <c r="E227"/>
      <c r="F227"/>
      <c r="G227"/>
      <c r="H227"/>
      <c r="I227"/>
      <c r="J227"/>
    </row>
    <row r="228" spans="1:10" x14ac:dyDescent="0.2">
      <c r="A228"/>
      <c r="B228"/>
      <c r="C228"/>
      <c r="D228"/>
      <c r="E228"/>
      <c r="F228"/>
      <c r="G228"/>
      <c r="H228"/>
      <c r="I228"/>
      <c r="J228"/>
    </row>
    <row r="229" spans="1:10" x14ac:dyDescent="0.2">
      <c r="A229"/>
      <c r="B229"/>
      <c r="C229"/>
      <c r="D229"/>
      <c r="E229"/>
      <c r="F229"/>
      <c r="G229"/>
      <c r="H229"/>
      <c r="I229"/>
      <c r="J229"/>
    </row>
    <row r="230" spans="1:10" x14ac:dyDescent="0.2">
      <c r="A230"/>
      <c r="B230"/>
      <c r="C230"/>
      <c r="D230"/>
      <c r="E230"/>
      <c r="F230"/>
      <c r="G230"/>
      <c r="H230"/>
      <c r="I230"/>
      <c r="J230"/>
    </row>
    <row r="231" spans="1:10" x14ac:dyDescent="0.2">
      <c r="A231"/>
      <c r="B231"/>
      <c r="C231"/>
      <c r="D231"/>
      <c r="E231"/>
      <c r="F231"/>
      <c r="G231"/>
      <c r="H231"/>
      <c r="I231"/>
      <c r="J231"/>
    </row>
    <row r="232" spans="1:10" x14ac:dyDescent="0.2">
      <c r="A232"/>
      <c r="B232"/>
      <c r="C232"/>
      <c r="D232"/>
      <c r="E232"/>
      <c r="F232"/>
      <c r="G232"/>
      <c r="H232"/>
      <c r="I232"/>
      <c r="J232"/>
    </row>
    <row r="233" spans="1:10" x14ac:dyDescent="0.2">
      <c r="A233"/>
      <c r="B233"/>
      <c r="C233"/>
      <c r="D233"/>
      <c r="E233"/>
      <c r="F233"/>
      <c r="G233"/>
      <c r="H233"/>
      <c r="I233"/>
      <c r="J233"/>
    </row>
    <row r="234" spans="1:10" x14ac:dyDescent="0.2">
      <c r="A234"/>
      <c r="B234"/>
      <c r="C234"/>
      <c r="D234"/>
      <c r="E234"/>
      <c r="F234"/>
      <c r="G234"/>
      <c r="H234"/>
      <c r="I234"/>
      <c r="J234"/>
    </row>
    <row r="235" spans="1:10" x14ac:dyDescent="0.2">
      <c r="A235"/>
      <c r="B235"/>
      <c r="C235"/>
      <c r="D235"/>
      <c r="E235"/>
      <c r="F235"/>
      <c r="G235"/>
      <c r="H235"/>
      <c r="I235"/>
      <c r="J235"/>
    </row>
    <row r="236" spans="1:10" x14ac:dyDescent="0.2">
      <c r="A236"/>
      <c r="B236"/>
      <c r="C236"/>
      <c r="D236"/>
      <c r="E236"/>
      <c r="F236"/>
      <c r="G236"/>
      <c r="H236"/>
      <c r="I236"/>
      <c r="J236"/>
    </row>
    <row r="237" spans="1:10" x14ac:dyDescent="0.2">
      <c r="A237"/>
      <c r="B237"/>
      <c r="C237"/>
      <c r="D237"/>
      <c r="E237"/>
      <c r="F237"/>
      <c r="G237"/>
      <c r="H237"/>
      <c r="I237"/>
      <c r="J237"/>
    </row>
    <row r="238" spans="1:10" x14ac:dyDescent="0.2">
      <c r="A238"/>
      <c r="B238"/>
      <c r="C238"/>
      <c r="D238"/>
      <c r="E238"/>
      <c r="F238"/>
      <c r="G238"/>
      <c r="H238"/>
      <c r="I238"/>
      <c r="J238"/>
    </row>
    <row r="239" spans="1:10" x14ac:dyDescent="0.2">
      <c r="A239"/>
      <c r="B239"/>
      <c r="C239"/>
      <c r="D239"/>
      <c r="E239"/>
      <c r="F239"/>
      <c r="G239"/>
      <c r="H239"/>
      <c r="I239"/>
      <c r="J239"/>
    </row>
    <row r="240" spans="1:10" x14ac:dyDescent="0.2">
      <c r="A240"/>
      <c r="B240"/>
      <c r="C240"/>
      <c r="D240"/>
      <c r="E240"/>
      <c r="F240"/>
      <c r="G240"/>
      <c r="H240"/>
      <c r="I240"/>
      <c r="J240"/>
    </row>
    <row r="241" spans="1:10" x14ac:dyDescent="0.2">
      <c r="A241"/>
      <c r="B241"/>
      <c r="C241"/>
      <c r="D241"/>
      <c r="E241"/>
      <c r="F241"/>
      <c r="G241"/>
      <c r="H241"/>
      <c r="I241"/>
      <c r="J241"/>
    </row>
    <row r="242" spans="1:10" x14ac:dyDescent="0.2">
      <c r="A242"/>
      <c r="B242"/>
      <c r="C242"/>
      <c r="D242"/>
      <c r="E242"/>
      <c r="F242"/>
      <c r="G242"/>
      <c r="H242"/>
      <c r="I242"/>
      <c r="J242"/>
    </row>
    <row r="243" spans="1:10" x14ac:dyDescent="0.2">
      <c r="A243"/>
      <c r="B243"/>
      <c r="C243"/>
      <c r="D243"/>
      <c r="E243"/>
      <c r="F243"/>
      <c r="G243"/>
      <c r="H243"/>
      <c r="I243"/>
      <c r="J243"/>
    </row>
    <row r="244" spans="1:10" x14ac:dyDescent="0.2">
      <c r="A244"/>
      <c r="B244"/>
      <c r="C244"/>
      <c r="D244"/>
      <c r="E244"/>
      <c r="F244"/>
      <c r="G244"/>
      <c r="H244"/>
      <c r="I244"/>
      <c r="J244"/>
    </row>
    <row r="245" spans="1:10" x14ac:dyDescent="0.2">
      <c r="A245"/>
      <c r="B245"/>
      <c r="C245"/>
      <c r="D245"/>
      <c r="E245"/>
      <c r="F245"/>
      <c r="G245"/>
      <c r="H245"/>
      <c r="I245"/>
      <c r="J245"/>
    </row>
    <row r="246" spans="1:10" x14ac:dyDescent="0.2">
      <c r="A246"/>
      <c r="B246"/>
      <c r="C246"/>
      <c r="D246"/>
      <c r="E246"/>
      <c r="F246"/>
      <c r="G246"/>
      <c r="H246"/>
      <c r="I246"/>
      <c r="J246"/>
    </row>
    <row r="247" spans="1:10" x14ac:dyDescent="0.2">
      <c r="A247"/>
      <c r="B247"/>
      <c r="C247"/>
      <c r="D247"/>
      <c r="E247"/>
      <c r="F247"/>
      <c r="G247"/>
      <c r="H247"/>
      <c r="I247"/>
      <c r="J247"/>
    </row>
    <row r="248" spans="1:10" x14ac:dyDescent="0.2">
      <c r="A248"/>
      <c r="B248"/>
      <c r="C248"/>
      <c r="D248"/>
      <c r="E248"/>
      <c r="F248"/>
      <c r="G248"/>
      <c r="H248"/>
      <c r="I248"/>
      <c r="J248"/>
    </row>
    <row r="249" spans="1:10" x14ac:dyDescent="0.2">
      <c r="A249"/>
      <c r="B249"/>
      <c r="C249"/>
      <c r="D249"/>
      <c r="E249"/>
      <c r="F249"/>
      <c r="G249"/>
      <c r="H249"/>
      <c r="I249"/>
      <c r="J249"/>
    </row>
    <row r="250" spans="1:10" x14ac:dyDescent="0.2">
      <c r="A250"/>
      <c r="B250"/>
      <c r="C250"/>
      <c r="D250"/>
      <c r="E250"/>
      <c r="F250"/>
      <c r="G250"/>
      <c r="H250"/>
      <c r="I250"/>
      <c r="J250"/>
    </row>
    <row r="251" spans="1:10" x14ac:dyDescent="0.2">
      <c r="A251"/>
      <c r="B251"/>
      <c r="C251"/>
      <c r="D251"/>
      <c r="E251"/>
      <c r="F251"/>
      <c r="G251"/>
      <c r="H251"/>
      <c r="I251"/>
      <c r="J251"/>
    </row>
    <row r="252" spans="1:10" x14ac:dyDescent="0.2">
      <c r="A252"/>
      <c r="B252"/>
      <c r="C252"/>
      <c r="D252"/>
      <c r="E252"/>
      <c r="F252"/>
      <c r="G252"/>
      <c r="H252"/>
      <c r="I252"/>
      <c r="J252"/>
    </row>
    <row r="253" spans="1:10" x14ac:dyDescent="0.2">
      <c r="A253"/>
      <c r="B253"/>
      <c r="C253"/>
      <c r="D253"/>
      <c r="E253"/>
      <c r="F253"/>
      <c r="G253"/>
      <c r="H253"/>
      <c r="I253"/>
      <c r="J253"/>
    </row>
    <row r="254" spans="1:10" x14ac:dyDescent="0.2">
      <c r="A254"/>
      <c r="B254"/>
      <c r="C254"/>
      <c r="D254"/>
      <c r="E254"/>
      <c r="F254"/>
      <c r="G254"/>
      <c r="H254"/>
      <c r="I254"/>
      <c r="J254"/>
    </row>
    <row r="255" spans="1:10" x14ac:dyDescent="0.2">
      <c r="A255"/>
      <c r="B255"/>
      <c r="C255"/>
      <c r="D255"/>
      <c r="E255"/>
      <c r="F255"/>
      <c r="G255"/>
      <c r="H255"/>
      <c r="I255"/>
      <c r="J255"/>
    </row>
    <row r="256" spans="1:10" x14ac:dyDescent="0.2">
      <c r="A256"/>
      <c r="B256"/>
      <c r="C256"/>
      <c r="D256"/>
      <c r="E256"/>
      <c r="F256"/>
      <c r="G256"/>
      <c r="H256"/>
      <c r="I256"/>
      <c r="J256"/>
    </row>
    <row r="257" spans="1:10" x14ac:dyDescent="0.2">
      <c r="A257"/>
      <c r="B257"/>
      <c r="C257"/>
      <c r="D257"/>
      <c r="E257"/>
      <c r="F257"/>
      <c r="G257"/>
      <c r="H257"/>
      <c r="I257"/>
      <c r="J257"/>
    </row>
    <row r="258" spans="1:10" x14ac:dyDescent="0.2">
      <c r="A258"/>
      <c r="B258"/>
      <c r="C258"/>
      <c r="D258"/>
      <c r="E258"/>
      <c r="F258"/>
      <c r="G258"/>
      <c r="H258"/>
      <c r="I258"/>
      <c r="J258"/>
    </row>
    <row r="259" spans="1:10" x14ac:dyDescent="0.2">
      <c r="A259"/>
      <c r="B259"/>
      <c r="C259"/>
      <c r="D259"/>
      <c r="E259"/>
      <c r="F259"/>
      <c r="G259"/>
      <c r="H259"/>
      <c r="I259"/>
      <c r="J259"/>
    </row>
    <row r="260" spans="1:10" x14ac:dyDescent="0.2">
      <c r="A260"/>
      <c r="B260"/>
      <c r="C260"/>
      <c r="D260"/>
      <c r="E260"/>
      <c r="F260"/>
      <c r="G260"/>
      <c r="H260"/>
      <c r="I260"/>
      <c r="J260"/>
    </row>
    <row r="261" spans="1:10" x14ac:dyDescent="0.2">
      <c r="A261"/>
      <c r="B261"/>
      <c r="C261"/>
      <c r="D261"/>
      <c r="E261"/>
      <c r="F261"/>
      <c r="G261"/>
      <c r="H261"/>
      <c r="I261"/>
      <c r="J261"/>
    </row>
    <row r="262" spans="1:10" x14ac:dyDescent="0.2">
      <c r="A262"/>
      <c r="B262"/>
      <c r="C262"/>
      <c r="D262"/>
      <c r="E262"/>
      <c r="F262"/>
      <c r="G262"/>
      <c r="H262"/>
      <c r="I262"/>
      <c r="J262"/>
    </row>
    <row r="263" spans="1:10" x14ac:dyDescent="0.2">
      <c r="A263"/>
      <c r="B263"/>
      <c r="C263"/>
      <c r="D263"/>
      <c r="E263"/>
      <c r="F263"/>
      <c r="G263"/>
      <c r="H263"/>
      <c r="I263"/>
      <c r="J263"/>
    </row>
    <row r="264" spans="1:10" x14ac:dyDescent="0.2">
      <c r="A264"/>
      <c r="B264"/>
      <c r="C264"/>
      <c r="D264"/>
      <c r="E264"/>
      <c r="F264"/>
      <c r="G264"/>
      <c r="H264"/>
      <c r="I264"/>
      <c r="J264"/>
    </row>
    <row r="265" spans="1:10" x14ac:dyDescent="0.2">
      <c r="A265"/>
      <c r="B265"/>
      <c r="C265"/>
      <c r="D265"/>
      <c r="E265"/>
      <c r="F265"/>
      <c r="G265"/>
      <c r="H265"/>
      <c r="I265"/>
      <c r="J265"/>
    </row>
    <row r="266" spans="1:10" x14ac:dyDescent="0.2">
      <c r="A266"/>
      <c r="B266"/>
      <c r="C266"/>
      <c r="D266"/>
      <c r="E266"/>
      <c r="F266"/>
      <c r="G266"/>
      <c r="H266"/>
      <c r="I266"/>
      <c r="J266"/>
    </row>
    <row r="267" spans="1:10" x14ac:dyDescent="0.2">
      <c r="A267"/>
      <c r="B267"/>
      <c r="C267"/>
      <c r="D267"/>
      <c r="E267"/>
      <c r="F267"/>
      <c r="G267"/>
      <c r="H267"/>
      <c r="I267"/>
      <c r="J267"/>
    </row>
    <row r="268" spans="1:10" x14ac:dyDescent="0.2">
      <c r="A268"/>
      <c r="B268"/>
      <c r="C268"/>
      <c r="D268"/>
      <c r="E268"/>
      <c r="F268"/>
      <c r="G268"/>
      <c r="H268"/>
      <c r="I268"/>
      <c r="J268"/>
    </row>
  </sheetData>
  <printOptions horizontalCentered="1"/>
  <pageMargins left="0.11811023622047245" right="0.23622047244094491" top="0.74803149606299213" bottom="0.74803149606299213" header="0.31496062992125984" footer="0.31496062992125984"/>
  <pageSetup paperSize="9" scale="80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28EC-9BDA-4724-8431-0B3329D8A631}">
  <dimension ref="A1:I61"/>
  <sheetViews>
    <sheetView rightToLeft="1" view="pageBreakPreview" zoomScaleNormal="100" zoomScaleSheetLayoutView="100" workbookViewId="0">
      <selection activeCell="H12" sqref="H12"/>
    </sheetView>
  </sheetViews>
  <sheetFormatPr defaultColWidth="8.85546875" defaultRowHeight="14.25" x14ac:dyDescent="0.2"/>
  <cols>
    <col min="1" max="1" width="3" style="1" bestFit="1" customWidth="1"/>
    <col min="2" max="2" width="12.28515625" style="7" customWidth="1"/>
    <col min="3" max="3" width="15" style="7" customWidth="1"/>
    <col min="4" max="4" width="12" style="7" customWidth="1"/>
    <col min="5" max="5" width="15" style="7" customWidth="1"/>
    <col min="6" max="6" width="13.140625" style="7" customWidth="1"/>
    <col min="7" max="7" width="15" style="7" customWidth="1"/>
    <col min="8" max="8" width="13" style="7" customWidth="1"/>
    <col min="9" max="9" width="17.7109375" style="7" customWidth="1"/>
    <col min="10" max="16384" width="8.85546875" style="1"/>
  </cols>
  <sheetData>
    <row r="1" spans="1:9" x14ac:dyDescent="0.2">
      <c r="B1" s="6" t="s">
        <v>141</v>
      </c>
      <c r="I1" s="8">
        <f>+G15+G30</f>
        <v>0</v>
      </c>
    </row>
    <row r="2" spans="1:9" x14ac:dyDescent="0.2">
      <c r="A2" s="2"/>
      <c r="B2" s="9">
        <v>0.05</v>
      </c>
      <c r="C2" s="10"/>
      <c r="D2" s="9">
        <v>0.15</v>
      </c>
      <c r="E2" s="10"/>
      <c r="F2" s="10" t="s">
        <v>142</v>
      </c>
      <c r="G2" s="11"/>
      <c r="H2" s="11"/>
    </row>
    <row r="3" spans="1:9" x14ac:dyDescent="0.2">
      <c r="A3" s="2">
        <v>1</v>
      </c>
      <c r="B3" s="12"/>
      <c r="C3" s="12">
        <f t="shared" ref="C3:C14" si="0">ROUND(+B3*0.05,2)</f>
        <v>0</v>
      </c>
      <c r="D3" s="12"/>
      <c r="E3" s="12">
        <f t="shared" ref="E3:E14" si="1">ROUND(+D3*0.15,2)</f>
        <v>0</v>
      </c>
      <c r="F3" s="11"/>
      <c r="G3" s="13">
        <f t="shared" ref="G3:G14" si="2">+B3+D3+F3</f>
        <v>0</v>
      </c>
      <c r="H3" s="13">
        <f t="shared" ref="H3:H14" si="3">+C3+E3</f>
        <v>0</v>
      </c>
      <c r="I3" s="14">
        <f>+G3+G18</f>
        <v>0</v>
      </c>
    </row>
    <row r="4" spans="1:9" x14ac:dyDescent="0.2">
      <c r="A4" s="2">
        <v>2</v>
      </c>
      <c r="B4" s="12"/>
      <c r="C4" s="12">
        <f t="shared" si="0"/>
        <v>0</v>
      </c>
      <c r="D4" s="12"/>
      <c r="E4" s="12">
        <f t="shared" si="1"/>
        <v>0</v>
      </c>
      <c r="F4" s="11"/>
      <c r="G4" s="13">
        <f t="shared" si="2"/>
        <v>0</v>
      </c>
      <c r="H4" s="13">
        <f t="shared" si="3"/>
        <v>0</v>
      </c>
      <c r="I4" s="14">
        <f t="shared" ref="I4:I14" si="4">+G4+G19</f>
        <v>0</v>
      </c>
    </row>
    <row r="5" spans="1:9" x14ac:dyDescent="0.2">
      <c r="A5" s="2">
        <v>3</v>
      </c>
      <c r="B5" s="12"/>
      <c r="C5" s="12">
        <f t="shared" si="0"/>
        <v>0</v>
      </c>
      <c r="D5" s="12"/>
      <c r="E5" s="12">
        <f t="shared" si="1"/>
        <v>0</v>
      </c>
      <c r="F5" s="11"/>
      <c r="G5" s="13">
        <f t="shared" si="2"/>
        <v>0</v>
      </c>
      <c r="H5" s="13">
        <f t="shared" si="3"/>
        <v>0</v>
      </c>
      <c r="I5" s="14">
        <f t="shared" si="4"/>
        <v>0</v>
      </c>
    </row>
    <row r="6" spans="1:9" x14ac:dyDescent="0.2">
      <c r="A6" s="2">
        <v>4</v>
      </c>
      <c r="B6" s="12"/>
      <c r="C6" s="12">
        <f t="shared" si="0"/>
        <v>0</v>
      </c>
      <c r="D6" s="12"/>
      <c r="E6" s="12">
        <f t="shared" si="1"/>
        <v>0</v>
      </c>
      <c r="F6" s="11"/>
      <c r="G6" s="13">
        <f t="shared" si="2"/>
        <v>0</v>
      </c>
      <c r="H6" s="13">
        <f t="shared" si="3"/>
        <v>0</v>
      </c>
      <c r="I6" s="14">
        <f t="shared" si="4"/>
        <v>0</v>
      </c>
    </row>
    <row r="7" spans="1:9" x14ac:dyDescent="0.2">
      <c r="A7" s="2">
        <v>5</v>
      </c>
      <c r="B7" s="12"/>
      <c r="C7" s="12">
        <f t="shared" si="0"/>
        <v>0</v>
      </c>
      <c r="D7" s="12"/>
      <c r="E7" s="12">
        <f t="shared" si="1"/>
        <v>0</v>
      </c>
      <c r="F7" s="11"/>
      <c r="G7" s="13">
        <f t="shared" si="2"/>
        <v>0</v>
      </c>
      <c r="H7" s="13">
        <f t="shared" si="3"/>
        <v>0</v>
      </c>
      <c r="I7" s="14">
        <f t="shared" si="4"/>
        <v>0</v>
      </c>
    </row>
    <row r="8" spans="1:9" x14ac:dyDescent="0.2">
      <c r="A8" s="2">
        <v>6</v>
      </c>
      <c r="B8" s="12"/>
      <c r="C8" s="12">
        <f t="shared" si="0"/>
        <v>0</v>
      </c>
      <c r="D8" s="12"/>
      <c r="E8" s="12">
        <f t="shared" si="1"/>
        <v>0</v>
      </c>
      <c r="F8" s="11"/>
      <c r="G8" s="13">
        <f t="shared" si="2"/>
        <v>0</v>
      </c>
      <c r="H8" s="13">
        <f t="shared" si="3"/>
        <v>0</v>
      </c>
      <c r="I8" s="14">
        <f t="shared" si="4"/>
        <v>0</v>
      </c>
    </row>
    <row r="9" spans="1:9" x14ac:dyDescent="0.2">
      <c r="A9" s="2">
        <v>7</v>
      </c>
      <c r="B9" s="12"/>
      <c r="C9" s="12">
        <f t="shared" si="0"/>
        <v>0</v>
      </c>
      <c r="D9" s="12"/>
      <c r="E9" s="12">
        <f t="shared" si="1"/>
        <v>0</v>
      </c>
      <c r="F9" s="11"/>
      <c r="G9" s="13">
        <f t="shared" si="2"/>
        <v>0</v>
      </c>
      <c r="H9" s="13">
        <f t="shared" si="3"/>
        <v>0</v>
      </c>
      <c r="I9" s="14">
        <f t="shared" si="4"/>
        <v>0</v>
      </c>
    </row>
    <row r="10" spans="1:9" x14ac:dyDescent="0.2">
      <c r="A10" s="2">
        <v>8</v>
      </c>
      <c r="B10" s="12"/>
      <c r="C10" s="12">
        <f t="shared" si="0"/>
        <v>0</v>
      </c>
      <c r="D10" s="12"/>
      <c r="E10" s="12">
        <f t="shared" si="1"/>
        <v>0</v>
      </c>
      <c r="F10" s="11"/>
      <c r="G10" s="13">
        <f t="shared" si="2"/>
        <v>0</v>
      </c>
      <c r="H10" s="13">
        <f t="shared" si="3"/>
        <v>0</v>
      </c>
      <c r="I10" s="14">
        <f t="shared" si="4"/>
        <v>0</v>
      </c>
    </row>
    <row r="11" spans="1:9" x14ac:dyDescent="0.2">
      <c r="A11" s="2">
        <v>9</v>
      </c>
      <c r="B11" s="12"/>
      <c r="C11" s="12">
        <f t="shared" si="0"/>
        <v>0</v>
      </c>
      <c r="D11" s="12"/>
      <c r="E11" s="12">
        <f t="shared" si="1"/>
        <v>0</v>
      </c>
      <c r="F11" s="11"/>
      <c r="G11" s="13">
        <f t="shared" si="2"/>
        <v>0</v>
      </c>
      <c r="H11" s="13">
        <f t="shared" si="3"/>
        <v>0</v>
      </c>
      <c r="I11" s="14">
        <f t="shared" si="4"/>
        <v>0</v>
      </c>
    </row>
    <row r="12" spans="1:9" x14ac:dyDescent="0.2">
      <c r="A12" s="2">
        <v>10</v>
      </c>
      <c r="B12" s="12"/>
      <c r="C12" s="12">
        <f t="shared" si="0"/>
        <v>0</v>
      </c>
      <c r="D12" s="12"/>
      <c r="E12" s="12">
        <f t="shared" si="1"/>
        <v>0</v>
      </c>
      <c r="F12" s="11"/>
      <c r="G12" s="13">
        <f t="shared" si="2"/>
        <v>0</v>
      </c>
      <c r="H12" s="13">
        <f t="shared" si="3"/>
        <v>0</v>
      </c>
      <c r="I12" s="14">
        <f t="shared" si="4"/>
        <v>0</v>
      </c>
    </row>
    <row r="13" spans="1:9" x14ac:dyDescent="0.2">
      <c r="A13" s="2">
        <v>11</v>
      </c>
      <c r="B13" s="12"/>
      <c r="C13" s="12">
        <f t="shared" si="0"/>
        <v>0</v>
      </c>
      <c r="D13" s="12"/>
      <c r="E13" s="12">
        <f t="shared" si="1"/>
        <v>0</v>
      </c>
      <c r="F13" s="11"/>
      <c r="G13" s="13">
        <f t="shared" si="2"/>
        <v>0</v>
      </c>
      <c r="H13" s="13">
        <f t="shared" si="3"/>
        <v>0</v>
      </c>
      <c r="I13" s="14">
        <f t="shared" si="4"/>
        <v>0</v>
      </c>
    </row>
    <row r="14" spans="1:9" x14ac:dyDescent="0.2">
      <c r="A14" s="2">
        <v>12</v>
      </c>
      <c r="B14" s="12"/>
      <c r="C14" s="12">
        <f t="shared" si="0"/>
        <v>0</v>
      </c>
      <c r="D14" s="12"/>
      <c r="E14" s="12">
        <f t="shared" si="1"/>
        <v>0</v>
      </c>
      <c r="F14" s="11"/>
      <c r="G14" s="13">
        <f t="shared" si="2"/>
        <v>0</v>
      </c>
      <c r="H14" s="13">
        <f t="shared" si="3"/>
        <v>0</v>
      </c>
      <c r="I14" s="14">
        <f t="shared" si="4"/>
        <v>0</v>
      </c>
    </row>
    <row r="15" spans="1:9" x14ac:dyDescent="0.2">
      <c r="B15" s="15"/>
      <c r="C15" s="15"/>
      <c r="D15" s="15"/>
      <c r="G15" s="8">
        <f>SUM(G3:G14)</f>
        <v>0</v>
      </c>
    </row>
    <row r="16" spans="1:9" x14ac:dyDescent="0.2">
      <c r="B16" s="6" t="s">
        <v>143</v>
      </c>
    </row>
    <row r="17" spans="1:9" x14ac:dyDescent="0.2">
      <c r="A17" s="2"/>
      <c r="B17" s="9"/>
      <c r="C17" s="10"/>
      <c r="D17" s="9"/>
      <c r="E17" s="10"/>
      <c r="F17" s="10"/>
      <c r="G17" s="11"/>
      <c r="H17" s="11"/>
    </row>
    <row r="18" spans="1:9" x14ac:dyDescent="0.2">
      <c r="A18" s="2">
        <v>1</v>
      </c>
      <c r="B18" s="12"/>
      <c r="C18" s="12"/>
      <c r="D18" s="12"/>
      <c r="E18" s="12"/>
      <c r="F18" s="11"/>
      <c r="G18" s="13">
        <f t="shared" ref="G18:G29" si="5">+B18+D18+F18</f>
        <v>0</v>
      </c>
      <c r="H18" s="11"/>
    </row>
    <row r="19" spans="1:9" x14ac:dyDescent="0.2">
      <c r="A19" s="2">
        <v>2</v>
      </c>
      <c r="B19" s="12"/>
      <c r="C19" s="12"/>
      <c r="D19" s="12"/>
      <c r="E19" s="12"/>
      <c r="F19" s="11"/>
      <c r="G19" s="13">
        <f t="shared" si="5"/>
        <v>0</v>
      </c>
      <c r="H19" s="11"/>
    </row>
    <row r="20" spans="1:9" x14ac:dyDescent="0.2">
      <c r="A20" s="2">
        <v>3</v>
      </c>
      <c r="B20" s="12"/>
      <c r="C20" s="12"/>
      <c r="D20" s="12"/>
      <c r="E20" s="12"/>
      <c r="F20" s="11"/>
      <c r="G20" s="13">
        <f t="shared" si="5"/>
        <v>0</v>
      </c>
      <c r="H20" s="11"/>
    </row>
    <row r="21" spans="1:9" x14ac:dyDescent="0.2">
      <c r="A21" s="2">
        <v>4</v>
      </c>
      <c r="B21" s="12"/>
      <c r="C21" s="12"/>
      <c r="D21" s="12"/>
      <c r="E21" s="12"/>
      <c r="F21" s="11"/>
      <c r="G21" s="13">
        <f t="shared" si="5"/>
        <v>0</v>
      </c>
      <c r="H21" s="11"/>
    </row>
    <row r="22" spans="1:9" x14ac:dyDescent="0.2">
      <c r="A22" s="2">
        <v>5</v>
      </c>
      <c r="B22" s="12"/>
      <c r="C22" s="12"/>
      <c r="D22" s="12"/>
      <c r="E22" s="12"/>
      <c r="F22" s="11"/>
      <c r="G22" s="13">
        <f t="shared" si="5"/>
        <v>0</v>
      </c>
      <c r="H22" s="11"/>
    </row>
    <row r="23" spans="1:9" x14ac:dyDescent="0.2">
      <c r="A23" s="2">
        <v>6</v>
      </c>
      <c r="B23" s="12"/>
      <c r="C23" s="12"/>
      <c r="D23" s="12"/>
      <c r="E23" s="12"/>
      <c r="F23" s="11"/>
      <c r="G23" s="13">
        <f t="shared" si="5"/>
        <v>0</v>
      </c>
      <c r="H23" s="11"/>
    </row>
    <row r="24" spans="1:9" x14ac:dyDescent="0.2">
      <c r="A24" s="2">
        <v>7</v>
      </c>
      <c r="B24" s="12"/>
      <c r="C24" s="12"/>
      <c r="D24" s="12"/>
      <c r="E24" s="12"/>
      <c r="F24" s="11"/>
      <c r="G24" s="13">
        <f t="shared" si="5"/>
        <v>0</v>
      </c>
      <c r="H24" s="11"/>
    </row>
    <row r="25" spans="1:9" x14ac:dyDescent="0.2">
      <c r="A25" s="2">
        <v>8</v>
      </c>
      <c r="B25" s="12"/>
      <c r="C25" s="12"/>
      <c r="D25" s="12"/>
      <c r="E25" s="12"/>
      <c r="F25" s="11"/>
      <c r="G25" s="13">
        <f t="shared" si="5"/>
        <v>0</v>
      </c>
      <c r="H25" s="11"/>
    </row>
    <row r="26" spans="1:9" x14ac:dyDescent="0.2">
      <c r="A26" s="2">
        <v>9</v>
      </c>
      <c r="B26" s="12"/>
      <c r="C26" s="12"/>
      <c r="D26" s="12"/>
      <c r="E26" s="12"/>
      <c r="F26" s="11"/>
      <c r="G26" s="13">
        <f t="shared" si="5"/>
        <v>0</v>
      </c>
      <c r="H26" s="11"/>
    </row>
    <row r="27" spans="1:9" x14ac:dyDescent="0.2">
      <c r="A27" s="2">
        <v>10</v>
      </c>
      <c r="B27" s="12"/>
      <c r="C27" s="12"/>
      <c r="D27" s="12"/>
      <c r="E27" s="12"/>
      <c r="F27" s="11"/>
      <c r="G27" s="13">
        <f t="shared" si="5"/>
        <v>0</v>
      </c>
      <c r="H27" s="11"/>
    </row>
    <row r="28" spans="1:9" x14ac:dyDescent="0.2">
      <c r="A28" s="2">
        <v>11</v>
      </c>
      <c r="B28" s="12"/>
      <c r="C28" s="12"/>
      <c r="D28" s="12"/>
      <c r="E28" s="12"/>
      <c r="F28" s="11"/>
      <c r="G28" s="13">
        <f t="shared" si="5"/>
        <v>0</v>
      </c>
      <c r="H28" s="11"/>
    </row>
    <row r="29" spans="1:9" x14ac:dyDescent="0.2">
      <c r="A29" s="2">
        <v>12</v>
      </c>
      <c r="B29" s="12"/>
      <c r="C29" s="12"/>
      <c r="D29" s="12"/>
      <c r="E29" s="12"/>
      <c r="F29" s="11"/>
      <c r="G29" s="13">
        <f t="shared" si="5"/>
        <v>0</v>
      </c>
      <c r="H29" s="11"/>
      <c r="I29" s="16"/>
    </row>
    <row r="30" spans="1:9" x14ac:dyDescent="0.2">
      <c r="B30" s="15"/>
      <c r="D30" s="15"/>
      <c r="G30" s="8">
        <f>SUM(G18:G29)</f>
        <v>0</v>
      </c>
      <c r="I30" s="1"/>
    </row>
    <row r="31" spans="1:9" x14ac:dyDescent="0.2">
      <c r="B31" s="15"/>
      <c r="D31" s="15"/>
      <c r="G31" s="17"/>
    </row>
    <row r="32" spans="1:9" x14ac:dyDescent="0.2">
      <c r="B32" s="6" t="s">
        <v>144</v>
      </c>
    </row>
    <row r="33" spans="1:9" x14ac:dyDescent="0.2">
      <c r="A33" s="2"/>
      <c r="B33" s="9">
        <v>0.05</v>
      </c>
      <c r="C33" s="10"/>
      <c r="D33" s="9">
        <v>0.15</v>
      </c>
      <c r="E33" s="10"/>
      <c r="F33" s="10" t="s">
        <v>142</v>
      </c>
      <c r="G33" s="11"/>
      <c r="H33" s="11"/>
      <c r="I33" s="8">
        <f>G46+G61</f>
        <v>0</v>
      </c>
    </row>
    <row r="34" spans="1:9" x14ac:dyDescent="0.2">
      <c r="A34" s="2">
        <v>1</v>
      </c>
      <c r="B34" s="12"/>
      <c r="C34" s="12">
        <f t="shared" ref="C34:C45" si="6">ROUND(+B34*0.05,2)</f>
        <v>0</v>
      </c>
      <c r="D34" s="12"/>
      <c r="E34" s="12">
        <f t="shared" ref="E34:E45" si="7">ROUND(+D34*0.15,2)</f>
        <v>0</v>
      </c>
      <c r="F34" s="11"/>
      <c r="G34" s="13">
        <f t="shared" ref="G34:G45" si="8">+B34+D34+F34</f>
        <v>0</v>
      </c>
      <c r="H34" s="13">
        <f t="shared" ref="H34:H45" si="9">+C34+E34</f>
        <v>0</v>
      </c>
      <c r="I34" s="14">
        <f>+G34+G49</f>
        <v>0</v>
      </c>
    </row>
    <row r="35" spans="1:9" x14ac:dyDescent="0.2">
      <c r="A35" s="2">
        <v>2</v>
      </c>
      <c r="B35" s="12"/>
      <c r="C35" s="12">
        <f t="shared" si="6"/>
        <v>0</v>
      </c>
      <c r="D35" s="12"/>
      <c r="E35" s="12">
        <f t="shared" si="7"/>
        <v>0</v>
      </c>
      <c r="F35" s="11"/>
      <c r="G35" s="13">
        <f t="shared" si="8"/>
        <v>0</v>
      </c>
      <c r="H35" s="13">
        <f t="shared" si="9"/>
        <v>0</v>
      </c>
      <c r="I35" s="14">
        <f t="shared" ref="I35:I45" si="10">+G35+G50</f>
        <v>0</v>
      </c>
    </row>
    <row r="36" spans="1:9" x14ac:dyDescent="0.2">
      <c r="A36" s="2">
        <v>3</v>
      </c>
      <c r="B36" s="12"/>
      <c r="C36" s="12">
        <f t="shared" si="6"/>
        <v>0</v>
      </c>
      <c r="D36" s="12"/>
      <c r="E36" s="12">
        <f t="shared" si="7"/>
        <v>0</v>
      </c>
      <c r="F36" s="11"/>
      <c r="G36" s="13">
        <f t="shared" si="8"/>
        <v>0</v>
      </c>
      <c r="H36" s="13">
        <f t="shared" si="9"/>
        <v>0</v>
      </c>
      <c r="I36" s="14">
        <f t="shared" si="10"/>
        <v>0</v>
      </c>
    </row>
    <row r="37" spans="1:9" x14ac:dyDescent="0.2">
      <c r="A37" s="2">
        <v>4</v>
      </c>
      <c r="B37" s="12"/>
      <c r="C37" s="12">
        <f t="shared" si="6"/>
        <v>0</v>
      </c>
      <c r="D37" s="12"/>
      <c r="E37" s="12">
        <f t="shared" si="7"/>
        <v>0</v>
      </c>
      <c r="F37" s="11"/>
      <c r="G37" s="13">
        <f t="shared" si="8"/>
        <v>0</v>
      </c>
      <c r="H37" s="13">
        <f t="shared" si="9"/>
        <v>0</v>
      </c>
      <c r="I37" s="14">
        <f t="shared" si="10"/>
        <v>0</v>
      </c>
    </row>
    <row r="38" spans="1:9" x14ac:dyDescent="0.2">
      <c r="A38" s="2">
        <v>5</v>
      </c>
      <c r="B38" s="12"/>
      <c r="C38" s="12">
        <f t="shared" si="6"/>
        <v>0</v>
      </c>
      <c r="D38" s="12"/>
      <c r="E38" s="12">
        <f t="shared" si="7"/>
        <v>0</v>
      </c>
      <c r="F38" s="11"/>
      <c r="G38" s="13">
        <f t="shared" si="8"/>
        <v>0</v>
      </c>
      <c r="H38" s="13">
        <f t="shared" si="9"/>
        <v>0</v>
      </c>
      <c r="I38" s="14">
        <f t="shared" si="10"/>
        <v>0</v>
      </c>
    </row>
    <row r="39" spans="1:9" x14ac:dyDescent="0.2">
      <c r="A39" s="2">
        <v>6</v>
      </c>
      <c r="B39" s="12"/>
      <c r="C39" s="12">
        <f t="shared" si="6"/>
        <v>0</v>
      </c>
      <c r="D39" s="12"/>
      <c r="E39" s="12">
        <f t="shared" si="7"/>
        <v>0</v>
      </c>
      <c r="F39" s="11"/>
      <c r="G39" s="13">
        <f t="shared" si="8"/>
        <v>0</v>
      </c>
      <c r="H39" s="13">
        <f t="shared" si="9"/>
        <v>0</v>
      </c>
      <c r="I39" s="14">
        <f t="shared" si="10"/>
        <v>0</v>
      </c>
    </row>
    <row r="40" spans="1:9" x14ac:dyDescent="0.2">
      <c r="A40" s="2">
        <v>7</v>
      </c>
      <c r="B40" s="12"/>
      <c r="C40" s="12">
        <f t="shared" si="6"/>
        <v>0</v>
      </c>
      <c r="D40" s="12"/>
      <c r="E40" s="12">
        <f t="shared" si="7"/>
        <v>0</v>
      </c>
      <c r="F40" s="11"/>
      <c r="G40" s="13">
        <f t="shared" si="8"/>
        <v>0</v>
      </c>
      <c r="H40" s="13">
        <f t="shared" si="9"/>
        <v>0</v>
      </c>
      <c r="I40" s="14">
        <f t="shared" si="10"/>
        <v>0</v>
      </c>
    </row>
    <row r="41" spans="1:9" x14ac:dyDescent="0.2">
      <c r="A41" s="2">
        <v>8</v>
      </c>
      <c r="B41" s="12"/>
      <c r="C41" s="12">
        <f t="shared" si="6"/>
        <v>0</v>
      </c>
      <c r="D41" s="12"/>
      <c r="E41" s="12">
        <f t="shared" si="7"/>
        <v>0</v>
      </c>
      <c r="F41" s="11"/>
      <c r="G41" s="13">
        <f t="shared" si="8"/>
        <v>0</v>
      </c>
      <c r="H41" s="13">
        <f t="shared" si="9"/>
        <v>0</v>
      </c>
      <c r="I41" s="14">
        <f t="shared" si="10"/>
        <v>0</v>
      </c>
    </row>
    <row r="42" spans="1:9" x14ac:dyDescent="0.2">
      <c r="A42" s="2">
        <v>9</v>
      </c>
      <c r="B42" s="12"/>
      <c r="C42" s="12">
        <f t="shared" si="6"/>
        <v>0</v>
      </c>
      <c r="D42" s="12"/>
      <c r="E42" s="12">
        <f t="shared" si="7"/>
        <v>0</v>
      </c>
      <c r="F42" s="11"/>
      <c r="G42" s="13">
        <f t="shared" si="8"/>
        <v>0</v>
      </c>
      <c r="H42" s="13">
        <f t="shared" si="9"/>
        <v>0</v>
      </c>
      <c r="I42" s="14">
        <f t="shared" si="10"/>
        <v>0</v>
      </c>
    </row>
    <row r="43" spans="1:9" x14ac:dyDescent="0.2">
      <c r="A43" s="2">
        <v>10</v>
      </c>
      <c r="B43" s="12"/>
      <c r="C43" s="12">
        <f t="shared" si="6"/>
        <v>0</v>
      </c>
      <c r="D43" s="12"/>
      <c r="E43" s="12">
        <f t="shared" si="7"/>
        <v>0</v>
      </c>
      <c r="F43" s="11"/>
      <c r="G43" s="13">
        <f t="shared" si="8"/>
        <v>0</v>
      </c>
      <c r="H43" s="13">
        <f t="shared" si="9"/>
        <v>0</v>
      </c>
      <c r="I43" s="14">
        <f t="shared" si="10"/>
        <v>0</v>
      </c>
    </row>
    <row r="44" spans="1:9" x14ac:dyDescent="0.2">
      <c r="A44" s="2">
        <v>11</v>
      </c>
      <c r="B44" s="12"/>
      <c r="C44" s="12">
        <f t="shared" si="6"/>
        <v>0</v>
      </c>
      <c r="D44" s="12"/>
      <c r="E44" s="12">
        <f t="shared" si="7"/>
        <v>0</v>
      </c>
      <c r="F44" s="11"/>
      <c r="G44" s="13">
        <f t="shared" si="8"/>
        <v>0</v>
      </c>
      <c r="H44" s="13">
        <f t="shared" si="9"/>
        <v>0</v>
      </c>
      <c r="I44" s="14">
        <f t="shared" si="10"/>
        <v>0</v>
      </c>
    </row>
    <row r="45" spans="1:9" x14ac:dyDescent="0.2">
      <c r="A45" s="2">
        <v>12</v>
      </c>
      <c r="B45" s="12"/>
      <c r="C45" s="12">
        <f t="shared" si="6"/>
        <v>0</v>
      </c>
      <c r="D45" s="12"/>
      <c r="E45" s="12">
        <f t="shared" si="7"/>
        <v>0</v>
      </c>
      <c r="F45" s="11"/>
      <c r="G45" s="13">
        <f t="shared" si="8"/>
        <v>0</v>
      </c>
      <c r="H45" s="13">
        <f t="shared" si="9"/>
        <v>0</v>
      </c>
      <c r="I45" s="14">
        <f t="shared" si="10"/>
        <v>0</v>
      </c>
    </row>
    <row r="46" spans="1:9" x14ac:dyDescent="0.2">
      <c r="B46" s="15"/>
      <c r="D46" s="15"/>
      <c r="G46" s="8">
        <f>SUM(G34:G45)</f>
        <v>0</v>
      </c>
      <c r="I46" s="16"/>
    </row>
    <row r="47" spans="1:9" x14ac:dyDescent="0.2">
      <c r="B47" s="6" t="s">
        <v>145</v>
      </c>
    </row>
    <row r="48" spans="1:9" x14ac:dyDescent="0.2">
      <c r="A48" s="2"/>
      <c r="B48" s="9">
        <v>0.05</v>
      </c>
      <c r="C48" s="10"/>
      <c r="D48" s="9">
        <v>0.15</v>
      </c>
      <c r="E48" s="10"/>
      <c r="F48" s="10" t="s">
        <v>142</v>
      </c>
      <c r="G48" s="11"/>
      <c r="H48" s="11"/>
    </row>
    <row r="49" spans="1:9" x14ac:dyDescent="0.2">
      <c r="A49" s="2">
        <v>1</v>
      </c>
      <c r="B49" s="12"/>
      <c r="C49" s="12">
        <f>ROUND(+B49*0.05,2)</f>
        <v>0</v>
      </c>
      <c r="D49" s="12"/>
      <c r="E49" s="12">
        <f t="shared" ref="E49:E60" si="11">ROUND(+D49*0.15,2)</f>
        <v>0</v>
      </c>
      <c r="F49" s="11"/>
      <c r="G49" s="13">
        <f t="shared" ref="G49:G60" si="12">+B49+D49+F49</f>
        <v>0</v>
      </c>
      <c r="H49" s="13">
        <f t="shared" ref="H49:H60" si="13">+C49+E49</f>
        <v>0</v>
      </c>
      <c r="I49" s="18">
        <f>+H3-H34-H49</f>
        <v>0</v>
      </c>
    </row>
    <row r="50" spans="1:9" x14ac:dyDescent="0.2">
      <c r="A50" s="2">
        <v>2</v>
      </c>
      <c r="B50" s="12"/>
      <c r="C50" s="12">
        <f t="shared" ref="C50:C60" si="14">ROUND(+B50*0.05,2)</f>
        <v>0</v>
      </c>
      <c r="D50" s="12"/>
      <c r="E50" s="12">
        <f t="shared" si="11"/>
        <v>0</v>
      </c>
      <c r="F50" s="11"/>
      <c r="G50" s="13">
        <f t="shared" si="12"/>
        <v>0</v>
      </c>
      <c r="H50" s="13">
        <f t="shared" si="13"/>
        <v>0</v>
      </c>
      <c r="I50" s="18">
        <f t="shared" ref="I50:I60" si="15">+H4-H35-H50</f>
        <v>0</v>
      </c>
    </row>
    <row r="51" spans="1:9" x14ac:dyDescent="0.2">
      <c r="A51" s="2">
        <v>3</v>
      </c>
      <c r="B51" s="12"/>
      <c r="C51" s="12">
        <f t="shared" si="14"/>
        <v>0</v>
      </c>
      <c r="D51" s="12"/>
      <c r="E51" s="12">
        <f t="shared" si="11"/>
        <v>0</v>
      </c>
      <c r="F51" s="11"/>
      <c r="G51" s="13">
        <f t="shared" si="12"/>
        <v>0</v>
      </c>
      <c r="H51" s="13">
        <f t="shared" si="13"/>
        <v>0</v>
      </c>
      <c r="I51" s="18">
        <f t="shared" si="15"/>
        <v>0</v>
      </c>
    </row>
    <row r="52" spans="1:9" x14ac:dyDescent="0.2">
      <c r="A52" s="2">
        <v>4</v>
      </c>
      <c r="B52" s="12"/>
      <c r="C52" s="12">
        <f t="shared" si="14"/>
        <v>0</v>
      </c>
      <c r="D52" s="12"/>
      <c r="E52" s="12">
        <f t="shared" si="11"/>
        <v>0</v>
      </c>
      <c r="F52" s="11"/>
      <c r="G52" s="13">
        <f t="shared" si="12"/>
        <v>0</v>
      </c>
      <c r="H52" s="13">
        <f t="shared" si="13"/>
        <v>0</v>
      </c>
      <c r="I52" s="18">
        <f t="shared" si="15"/>
        <v>0</v>
      </c>
    </row>
    <row r="53" spans="1:9" x14ac:dyDescent="0.2">
      <c r="A53" s="2">
        <v>5</v>
      </c>
      <c r="B53" s="12"/>
      <c r="C53" s="12">
        <f t="shared" si="14"/>
        <v>0</v>
      </c>
      <c r="D53" s="12"/>
      <c r="E53" s="12">
        <f t="shared" si="11"/>
        <v>0</v>
      </c>
      <c r="F53" s="11"/>
      <c r="G53" s="13">
        <f t="shared" si="12"/>
        <v>0</v>
      </c>
      <c r="H53" s="13">
        <f t="shared" si="13"/>
        <v>0</v>
      </c>
      <c r="I53" s="18">
        <f t="shared" si="15"/>
        <v>0</v>
      </c>
    </row>
    <row r="54" spans="1:9" x14ac:dyDescent="0.2">
      <c r="A54" s="2">
        <v>6</v>
      </c>
      <c r="B54" s="12"/>
      <c r="C54" s="12">
        <f t="shared" si="14"/>
        <v>0</v>
      </c>
      <c r="D54" s="12"/>
      <c r="E54" s="12">
        <f t="shared" si="11"/>
        <v>0</v>
      </c>
      <c r="F54" s="11"/>
      <c r="G54" s="13">
        <f t="shared" si="12"/>
        <v>0</v>
      </c>
      <c r="H54" s="13">
        <f t="shared" si="13"/>
        <v>0</v>
      </c>
      <c r="I54" s="18">
        <f t="shared" si="15"/>
        <v>0</v>
      </c>
    </row>
    <row r="55" spans="1:9" x14ac:dyDescent="0.2">
      <c r="A55" s="2">
        <v>7</v>
      </c>
      <c r="B55" s="12"/>
      <c r="C55" s="12">
        <f t="shared" si="14"/>
        <v>0</v>
      </c>
      <c r="D55" s="12"/>
      <c r="E55" s="12">
        <f t="shared" si="11"/>
        <v>0</v>
      </c>
      <c r="F55" s="11"/>
      <c r="G55" s="13">
        <f t="shared" si="12"/>
        <v>0</v>
      </c>
      <c r="H55" s="13">
        <f t="shared" si="13"/>
        <v>0</v>
      </c>
      <c r="I55" s="18">
        <f t="shared" si="15"/>
        <v>0</v>
      </c>
    </row>
    <row r="56" spans="1:9" x14ac:dyDescent="0.2">
      <c r="A56" s="2">
        <v>8</v>
      </c>
      <c r="B56" s="12"/>
      <c r="C56" s="12">
        <f t="shared" si="14"/>
        <v>0</v>
      </c>
      <c r="D56" s="12"/>
      <c r="E56" s="12">
        <f t="shared" si="11"/>
        <v>0</v>
      </c>
      <c r="F56" s="11"/>
      <c r="G56" s="13">
        <f t="shared" si="12"/>
        <v>0</v>
      </c>
      <c r="H56" s="13">
        <f t="shared" si="13"/>
        <v>0</v>
      </c>
      <c r="I56" s="18">
        <f t="shared" si="15"/>
        <v>0</v>
      </c>
    </row>
    <row r="57" spans="1:9" x14ac:dyDescent="0.2">
      <c r="A57" s="2">
        <v>9</v>
      </c>
      <c r="B57" s="12"/>
      <c r="C57" s="12">
        <f t="shared" si="14"/>
        <v>0</v>
      </c>
      <c r="D57" s="12"/>
      <c r="E57" s="12">
        <f t="shared" si="11"/>
        <v>0</v>
      </c>
      <c r="F57" s="11"/>
      <c r="G57" s="13">
        <f t="shared" si="12"/>
        <v>0</v>
      </c>
      <c r="H57" s="13">
        <f t="shared" si="13"/>
        <v>0</v>
      </c>
      <c r="I57" s="18">
        <f t="shared" si="15"/>
        <v>0</v>
      </c>
    </row>
    <row r="58" spans="1:9" x14ac:dyDescent="0.2">
      <c r="A58" s="2">
        <v>10</v>
      </c>
      <c r="B58" s="12"/>
      <c r="C58" s="12">
        <f t="shared" si="14"/>
        <v>0</v>
      </c>
      <c r="D58" s="12"/>
      <c r="E58" s="12">
        <f t="shared" si="11"/>
        <v>0</v>
      </c>
      <c r="F58" s="11"/>
      <c r="G58" s="13">
        <f t="shared" si="12"/>
        <v>0</v>
      </c>
      <c r="H58" s="13">
        <f t="shared" si="13"/>
        <v>0</v>
      </c>
      <c r="I58" s="18">
        <f t="shared" si="15"/>
        <v>0</v>
      </c>
    </row>
    <row r="59" spans="1:9" x14ac:dyDescent="0.2">
      <c r="A59" s="2">
        <v>11</v>
      </c>
      <c r="B59" s="12"/>
      <c r="C59" s="12">
        <f t="shared" si="14"/>
        <v>0</v>
      </c>
      <c r="D59" s="12"/>
      <c r="E59" s="12">
        <f t="shared" si="11"/>
        <v>0</v>
      </c>
      <c r="F59" s="11"/>
      <c r="G59" s="13">
        <f t="shared" si="12"/>
        <v>0</v>
      </c>
      <c r="H59" s="13">
        <f t="shared" si="13"/>
        <v>0</v>
      </c>
      <c r="I59" s="18">
        <f t="shared" si="15"/>
        <v>0</v>
      </c>
    </row>
    <row r="60" spans="1:9" x14ac:dyDescent="0.2">
      <c r="A60" s="2">
        <v>12</v>
      </c>
      <c r="B60" s="12"/>
      <c r="C60" s="12">
        <f t="shared" si="14"/>
        <v>0</v>
      </c>
      <c r="D60" s="12"/>
      <c r="E60" s="12">
        <f t="shared" si="11"/>
        <v>0</v>
      </c>
      <c r="F60" s="11"/>
      <c r="G60" s="13">
        <f t="shared" si="12"/>
        <v>0</v>
      </c>
      <c r="H60" s="13">
        <f t="shared" si="13"/>
        <v>0</v>
      </c>
      <c r="I60" s="18">
        <f t="shared" si="15"/>
        <v>0</v>
      </c>
    </row>
    <row r="61" spans="1:9" x14ac:dyDescent="0.2">
      <c r="G61" s="8">
        <f>SUM(G49:G60)</f>
        <v>0</v>
      </c>
    </row>
  </sheetData>
  <pageMargins left="0.27559055118110237" right="0.70866141732283472" top="0.31496062992125984" bottom="0.35433070866141736" header="0.19685039370078741" footer="0.19685039370078741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النطاقات المسماة</vt:lpstr>
      </vt:variant>
      <vt:variant>
        <vt:i4>9</vt:i4>
      </vt:variant>
    </vt:vector>
  </HeadingPairs>
  <TitlesOfParts>
    <vt:vector size="16" baseType="lpstr">
      <vt:lpstr>القائمة</vt:lpstr>
      <vt:lpstr>الميزان</vt:lpstr>
      <vt:lpstr>التحليل</vt:lpstr>
      <vt:lpstr>التحليل (دخل)</vt:lpstr>
      <vt:lpstr>ميزان فرعى</vt:lpstr>
      <vt:lpstr>ميزان فرعى (دخل)</vt:lpstr>
      <vt:lpstr>ق م</vt:lpstr>
      <vt:lpstr>القائمة!Print_Area</vt:lpstr>
      <vt:lpstr>'ق م'!Print_Area</vt:lpstr>
      <vt:lpstr>'ميزان فرعى'!Print_Area</vt:lpstr>
      <vt:lpstr>'ميزان فرعى (دخل)'!Print_Area</vt:lpstr>
      <vt:lpstr>التحليل!Print_Titles</vt:lpstr>
      <vt:lpstr>'التحليل (دخل)'!Print_Titles</vt:lpstr>
      <vt:lpstr>القائمة!Print_Titles</vt:lpstr>
      <vt:lpstr>'ميزان فرعى'!Print_Titles</vt:lpstr>
      <vt:lpstr>'ميزان فرعى (دخل)'!Print_Titles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</dc:creator>
  <cp:lastModifiedBy>DELL</cp:lastModifiedBy>
  <dcterms:created xsi:type="dcterms:W3CDTF">2023-07-12T06:54:03Z</dcterms:created>
  <dcterms:modified xsi:type="dcterms:W3CDTF">2025-04-23T06:27:46Z</dcterms:modified>
</cp:coreProperties>
</file>