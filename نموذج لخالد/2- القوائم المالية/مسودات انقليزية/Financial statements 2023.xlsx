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2.xml" ContentType="application/vnd.ms-excel.person+xml"/>
  <Override PartName="/xl/persons/person1.xml" ContentType="application/vnd.ms-excel.person+xml"/>
  <Override PartName="/xl/persons/person.xml" ContentType="application/vnd.ms-excel.person+xml"/>
  <Override PartName="/xl/persons/person0.xml" ContentType="application/vnd.ms-excel.person+xml"/>
  <Override PartName="/xl/persons/person3.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C:\Users\DELL\OneDrive\Desktop\audit file\متطلبات المراجعة\2- القوائم المالية\"/>
    </mc:Choice>
  </mc:AlternateContent>
  <xr:revisionPtr revIDLastSave="0" documentId="13_ncr:1_{F47A5C8D-4605-4694-8030-62005D291604}" xr6:coauthVersionLast="47" xr6:coauthVersionMax="47" xr10:uidLastSave="{00000000-0000-0000-0000-000000000000}"/>
  <bookViews>
    <workbookView xWindow="-120" yWindow="-120" windowWidth="29040" windowHeight="15720" tabRatio="897" xr2:uid="{00000000-000D-0000-FFFF-FFFF00000000}"/>
  </bookViews>
  <sheets>
    <sheet name="Cover" sheetId="1" r:id="rId1"/>
    <sheet name="Index" sheetId="17" r:id="rId2"/>
    <sheet name="Balance Sheet" sheetId="3" r:id="rId3"/>
    <sheet name="Income Statement" sheetId="5" r:id="rId4"/>
    <sheet name="Partners Equity" sheetId="29" r:id="rId5"/>
    <sheet name="Cash Flow" sheetId="13" r:id="rId6"/>
    <sheet name="1" sheetId="22" r:id="rId7"/>
    <sheet name="2 " sheetId="40" r:id="rId8"/>
    <sheet name="3" sheetId="11" r:id="rId9"/>
    <sheet name="4" sheetId="38" state="hidden" r:id="rId10"/>
    <sheet name="5" sheetId="42" state="hidden" r:id="rId11"/>
    <sheet name="6" sheetId="41" state="hidden" r:id="rId12"/>
    <sheet name="F" sheetId="14" r:id="rId13"/>
    <sheet name="D" sheetId="24" r:id="rId14"/>
    <sheet name="م ا" sheetId="31" state="hidden" r:id="rId15"/>
    <sheet name="L" sheetId="30" r:id="rId16"/>
    <sheet name="C" sheetId="18" r:id="rId17"/>
    <sheet name="P" sheetId="27" r:id="rId18"/>
    <sheet name="P2" sheetId="33" state="hidden" r:id="rId19"/>
    <sheet name="S" sheetId="32" r:id="rId20"/>
    <sheet name="G" sheetId="25" r:id="rId21"/>
    <sheet name="ورقة2" sheetId="45" state="hidden" r:id="rId22"/>
    <sheet name="ورقة1" sheetId="44" state="hidden" r:id="rId23"/>
    <sheet name="z" sheetId="23" r:id="rId24"/>
    <sheet name="Mai1n" sheetId="34" state="hidden" r:id="rId25"/>
    <sheet name="تقييم" sheetId="35" state="hidden" r:id="rId26"/>
    <sheet name="تقييم (2)" sheetId="43" state="hidden" r:id="rId27"/>
    <sheet name="نموذج بينش" sheetId="37" state="hidden" r:id="rId28"/>
  </sheets>
  <definedNames>
    <definedName name="_Toc255726701" localSheetId="7">#REF!</definedName>
    <definedName name="_Toc255726701" localSheetId="9">#REF!</definedName>
    <definedName name="_Toc255726701" localSheetId="10">#REF!</definedName>
    <definedName name="_Toc255726701" localSheetId="11">#REF!</definedName>
    <definedName name="_Toc255726701" localSheetId="19">#REF!</definedName>
    <definedName name="_Toc255726701" localSheetId="25">#REF!</definedName>
    <definedName name="_Toc255726701" localSheetId="26">#REF!</definedName>
    <definedName name="_Toc255726701" localSheetId="14">#REF!</definedName>
    <definedName name="_Toc255726701">#REF!</definedName>
    <definedName name="_xlnm.Print_Area" localSheetId="6">'1'!$A$1:$J$62</definedName>
    <definedName name="_xlnm.Print_Area" localSheetId="7">'2 '!$A$1:$K$84</definedName>
    <definedName name="_xlnm.Print_Area" localSheetId="8">'3'!$A$1:$K$35</definedName>
    <definedName name="_xlnm.Print_Area" localSheetId="9">'4'!$A$1:$P$62</definedName>
    <definedName name="_xlnm.Print_Area" localSheetId="10">'5'!$A$1:$M$41</definedName>
    <definedName name="_xlnm.Print_Area" localSheetId="11">'6'!$A$1:$K$53</definedName>
    <definedName name="_xlnm.Print_Area" localSheetId="2">'Balance Sheet'!$A$1:$M$66</definedName>
    <definedName name="_xlnm.Print_Area" localSheetId="16">'C'!$A$1:$L$111</definedName>
    <definedName name="_xlnm.Print_Area" localSheetId="5">'Cash Flow'!$A$1:$J$56</definedName>
    <definedName name="_xlnm.Print_Area" localSheetId="13">D!$A$1:$K$83</definedName>
    <definedName name="_xlnm.Print_Area" localSheetId="12">F!$A$1:$V$67</definedName>
    <definedName name="_xlnm.Print_Area" localSheetId="20">G!$A$1:$J$42</definedName>
    <definedName name="_xlnm.Print_Area" localSheetId="3">'Income Statement'!$A$1:$G$38</definedName>
    <definedName name="_xlnm.Print_Area" localSheetId="1">Index!$A$1:$D$32</definedName>
    <definedName name="_xlnm.Print_Area" localSheetId="15">L!$A$1:$J$24</definedName>
    <definedName name="_xlnm.Print_Area" localSheetId="24">Mai1n!$A$1:$C$46</definedName>
    <definedName name="_xlnm.Print_Area" localSheetId="17">P!$A$1:$L$45</definedName>
    <definedName name="_xlnm.Print_Area" localSheetId="18">'P2'!$A$1:$E$34</definedName>
    <definedName name="_xlnm.Print_Area" localSheetId="4">'Partners Equity'!$A$1:$G$34</definedName>
    <definedName name="_xlnm.Print_Area" localSheetId="19">S!$A$1:$K$39</definedName>
    <definedName name="_xlnm.Print_Area" localSheetId="23">z!$A$1:$K$55</definedName>
    <definedName name="_xlnm.Print_Area" localSheetId="25">تقييم!$A$1:$G$47</definedName>
    <definedName name="_xlnm.Print_Area" localSheetId="26">'تقييم (2)'!$A$1:$G$42</definedName>
    <definedName name="_xlnm.Print_Area" localSheetId="14">'م ا'!$A$1:$I$36</definedName>
    <definedName name="_xlnm.Print_Area" localSheetId="27">'نموذج بينش'!$A$1:$C$68</definedName>
    <definedName name="_xlnm.Print_Area">#N/A</definedName>
    <definedName name="_xlnm.Print_Titles" localSheetId="24">Mai1n!$2:$8</definedName>
    <definedName name="_xlnm.Print_Titles" localSheetId="25">تقييم!$1:$1</definedName>
    <definedName name="_xlnm.Print_Titles" localSheetId="26">'تقييم (2)'!$1:$1</definedName>
    <definedName name="_xlnm.Print_Titles" localSheetId="27">'نموذج بينش'!$2:$7</definedName>
    <definedName name="wrn.قوائم._.المركز._.المالي."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s>
  <calcPr calcId="191029"/>
</workbook>
</file>

<file path=xl/calcChain.xml><?xml version="1.0" encoding="utf-8"?>
<calcChain xmlns="http://schemas.openxmlformats.org/spreadsheetml/2006/main">
  <c r="D37" i="13" l="1"/>
  <c r="D16" i="13"/>
  <c r="C15" i="32"/>
  <c r="C14" i="32"/>
  <c r="C23" i="32"/>
  <c r="C22" i="32"/>
  <c r="C30" i="32"/>
  <c r="C29" i="32"/>
  <c r="B36" i="27"/>
  <c r="B29" i="27"/>
  <c r="E29" i="32"/>
  <c r="E45" i="22"/>
  <c r="I35" i="13"/>
  <c r="D35" i="13"/>
  <c r="L16" i="27"/>
  <c r="I16" i="27"/>
  <c r="K29" i="32"/>
  <c r="J29" i="32"/>
  <c r="I18" i="30"/>
  <c r="B15" i="13"/>
  <c r="D18" i="13"/>
  <c r="B28" i="33"/>
  <c r="E6" i="29"/>
  <c r="B10" i="29" l="1"/>
  <c r="D18" i="29"/>
  <c r="E18" i="29"/>
  <c r="B38" i="13" l="1"/>
  <c r="C38" i="24"/>
  <c r="E38" i="24"/>
  <c r="B24" i="25"/>
  <c r="D24" i="25"/>
  <c r="C18" i="32"/>
  <c r="E18" i="32"/>
  <c r="D19" i="18"/>
  <c r="D28" i="18" s="1"/>
  <c r="D25" i="18"/>
  <c r="D80" i="18" l="1"/>
  <c r="F80" i="18"/>
  <c r="C26" i="29"/>
  <c r="B15" i="33"/>
  <c r="H30" i="32"/>
  <c r="C35" i="32"/>
  <c r="E35" i="32"/>
  <c r="E27" i="32" s="1"/>
  <c r="J35" i="32"/>
  <c r="F25" i="18"/>
  <c r="F19" i="18"/>
  <c r="F28" i="18" s="1"/>
  <c r="I10" i="13"/>
  <c r="B8" i="29"/>
  <c r="D16" i="5"/>
  <c r="H22" i="32"/>
  <c r="K8" i="32"/>
  <c r="J8" i="32"/>
  <c r="D9" i="18"/>
  <c r="H15" i="24"/>
  <c r="B15" i="5" l="1"/>
  <c r="D17" i="5"/>
  <c r="A13" i="30"/>
  <c r="H18" i="42" l="1"/>
  <c r="B20" i="38"/>
  <c r="H20" i="38"/>
  <c r="D30" i="13" l="1"/>
  <c r="P26" i="25" l="1"/>
  <c r="P24" i="25"/>
  <c r="P15" i="25"/>
  <c r="P14" i="25"/>
  <c r="B26" i="42" l="1"/>
  <c r="I20" i="30" l="1"/>
  <c r="I19" i="30"/>
  <c r="M13" i="14" l="1"/>
  <c r="M14" i="14"/>
  <c r="A14" i="14" l="1"/>
  <c r="E14" i="14"/>
  <c r="A13" i="14"/>
  <c r="E13" i="14"/>
  <c r="C13" i="14" l="1"/>
  <c r="C14" i="14"/>
  <c r="K60" i="14"/>
  <c r="O52" i="14"/>
  <c r="O43" i="14"/>
  <c r="G43" i="14"/>
  <c r="I43" i="14"/>
  <c r="G52" i="14"/>
  <c r="I52" i="14"/>
  <c r="G61" i="14"/>
  <c r="I61" i="14"/>
  <c r="O61" i="14"/>
  <c r="Q61" i="14"/>
  <c r="Q52" i="14"/>
  <c r="Q43" i="14"/>
  <c r="A60" i="14"/>
  <c r="B60" i="14"/>
  <c r="C60" i="14"/>
  <c r="D60" i="14"/>
  <c r="E60" i="14"/>
  <c r="F60" i="14"/>
  <c r="G60" i="14"/>
  <c r="H60" i="14"/>
  <c r="I60" i="14"/>
  <c r="J60" i="14"/>
  <c r="L60" i="14"/>
  <c r="M60" i="14"/>
  <c r="N60" i="14"/>
  <c r="O60" i="14"/>
  <c r="P60" i="14"/>
  <c r="Q60" i="14"/>
  <c r="R60" i="14"/>
  <c r="S60" i="14"/>
  <c r="A51" i="14"/>
  <c r="B51" i="14"/>
  <c r="C51" i="14"/>
  <c r="D51" i="14"/>
  <c r="E51" i="14"/>
  <c r="F51" i="14"/>
  <c r="G51" i="14"/>
  <c r="H51" i="14"/>
  <c r="I51" i="14"/>
  <c r="J51" i="14"/>
  <c r="K51" i="14"/>
  <c r="L51" i="14"/>
  <c r="M51" i="14"/>
  <c r="N51" i="14"/>
  <c r="O51" i="14"/>
  <c r="P51" i="14"/>
  <c r="Q51" i="14"/>
  <c r="R51" i="14"/>
  <c r="S51" i="14"/>
  <c r="A42" i="14"/>
  <c r="B42" i="14"/>
  <c r="C42" i="14"/>
  <c r="D42" i="14"/>
  <c r="F42" i="14"/>
  <c r="G42" i="14"/>
  <c r="H42" i="14"/>
  <c r="J42" i="14"/>
  <c r="L42" i="14"/>
  <c r="M42" i="14"/>
  <c r="N42" i="14"/>
  <c r="O42" i="14"/>
  <c r="P42" i="14"/>
  <c r="Q42" i="14"/>
  <c r="R42" i="14"/>
  <c r="S42" i="14"/>
  <c r="S8" i="14"/>
  <c r="U57" i="14"/>
  <c r="U58" i="14" s="1"/>
  <c r="S48" i="14"/>
  <c r="U49" i="14" s="1"/>
  <c r="U9" i="14"/>
  <c r="H13" i="24"/>
  <c r="A55" i="13" l="1"/>
  <c r="A33" i="29"/>
  <c r="A37" i="5"/>
  <c r="F6" i="29"/>
  <c r="I34" i="13" s="1"/>
  <c r="F7" i="3" l="1"/>
  <c r="D7" i="3"/>
  <c r="A5" i="17" l="1"/>
  <c r="A4" i="5" s="1"/>
  <c r="A4" i="17"/>
  <c r="B4" i="22" l="1"/>
  <c r="A4" i="30" s="1"/>
  <c r="B4" i="29"/>
  <c r="A4" i="13"/>
  <c r="A4" i="3"/>
  <c r="I64" i="38" l="1"/>
  <c r="K64" i="38"/>
  <c r="B19" i="38"/>
  <c r="H19" i="38"/>
  <c r="B17" i="38"/>
  <c r="H17" i="38"/>
  <c r="B18" i="38"/>
  <c r="H18" i="38"/>
  <c r="Q7" i="42" l="1"/>
  <c r="A1" i="42" l="1"/>
  <c r="A5" i="40" l="1"/>
  <c r="B16" i="38" l="1"/>
  <c r="B15" i="38"/>
  <c r="A5" i="24" l="1"/>
  <c r="D34" i="43"/>
  <c r="D33" i="43"/>
  <c r="F30" i="43"/>
  <c r="D30" i="43"/>
  <c r="D21" i="43"/>
  <c r="D20" i="43"/>
  <c r="F17" i="43"/>
  <c r="D17" i="43"/>
  <c r="D20" i="29"/>
  <c r="D34" i="3" s="1"/>
  <c r="D7" i="29"/>
  <c r="B35" i="11"/>
  <c r="A84" i="40"/>
  <c r="D18" i="43" l="1"/>
  <c r="D31" i="43"/>
  <c r="A41" i="42"/>
  <c r="A62" i="38"/>
  <c r="B62" i="18" l="1"/>
  <c r="B53" i="18"/>
  <c r="A111" i="18"/>
  <c r="B66" i="18"/>
  <c r="B58" i="18"/>
  <c r="B45" i="18"/>
  <c r="B36" i="18"/>
  <c r="B14" i="18"/>
  <c r="B9" i="18"/>
  <c r="L51" i="18"/>
  <c r="I51" i="18"/>
  <c r="C52" i="18" s="1"/>
  <c r="D42" i="3"/>
  <c r="F58" i="18"/>
  <c r="D58" i="18"/>
  <c r="K53" i="18"/>
  <c r="F53" i="18"/>
  <c r="K52" i="24"/>
  <c r="H52" i="24"/>
  <c r="B53" i="24" s="1"/>
  <c r="E58" i="24"/>
  <c r="F25" i="3" s="1"/>
  <c r="C58" i="24"/>
  <c r="D25" i="3" s="1"/>
  <c r="E54" i="24"/>
  <c r="C29" i="24"/>
  <c r="E29" i="24"/>
  <c r="D32" i="27" l="1"/>
  <c r="D18" i="27"/>
  <c r="D10" i="27"/>
  <c r="F69" i="18"/>
  <c r="F60" i="18"/>
  <c r="F9" i="18"/>
  <c r="E17" i="24"/>
  <c r="E9" i="24"/>
  <c r="K58" i="18"/>
  <c r="K15" i="24"/>
  <c r="B16" i="24"/>
  <c r="E21" i="24"/>
  <c r="F17" i="3" s="1"/>
  <c r="C21" i="24"/>
  <c r="D17" i="3" s="1"/>
  <c r="S46" i="14"/>
  <c r="R46" i="14"/>
  <c r="Q46" i="14"/>
  <c r="O46" i="14"/>
  <c r="K46" i="14"/>
  <c r="I46" i="14"/>
  <c r="G46" i="14"/>
  <c r="G55" i="14"/>
  <c r="I55" i="14"/>
  <c r="K55" i="14"/>
  <c r="O55" i="14"/>
  <c r="Q55" i="14"/>
  <c r="S55" i="14"/>
  <c r="G64" i="14"/>
  <c r="I64" i="14"/>
  <c r="K64" i="14"/>
  <c r="O64" i="14"/>
  <c r="Q64" i="14"/>
  <c r="S64" i="14"/>
  <c r="V39" i="14"/>
  <c r="S39" i="14"/>
  <c r="U40" i="14" s="1"/>
  <c r="M44" i="14"/>
  <c r="M46" i="14" s="1"/>
  <c r="E44" i="14"/>
  <c r="E46" i="14" s="1"/>
  <c r="A44" i="14"/>
  <c r="A46" i="14" s="1"/>
  <c r="D13" i="3" s="1"/>
  <c r="H50" i="24" l="1"/>
  <c r="H58" i="24"/>
  <c r="I45" i="18"/>
  <c r="K66" i="18"/>
  <c r="H66" i="24"/>
  <c r="H21" i="24"/>
  <c r="K80" i="18"/>
  <c r="I14" i="18"/>
  <c r="H29" i="24"/>
  <c r="J14" i="27"/>
  <c r="H38" i="24"/>
  <c r="K38" i="27"/>
  <c r="C44" i="14"/>
  <c r="C46" i="14" s="1"/>
  <c r="F13" i="3" s="1"/>
  <c r="V57" i="14"/>
  <c r="I30" i="13"/>
  <c r="I21" i="13"/>
  <c r="B9" i="29" l="1"/>
  <c r="B31" i="42" l="1"/>
  <c r="B30" i="42"/>
  <c r="B24" i="42"/>
  <c r="B23" i="42"/>
  <c r="B20" i="42"/>
  <c r="B19" i="42"/>
  <c r="B18" i="42"/>
  <c r="B17" i="42"/>
  <c r="B14" i="42"/>
  <c r="B12" i="42"/>
  <c r="D21" i="42"/>
  <c r="D15" i="42"/>
  <c r="F21" i="42"/>
  <c r="F15" i="42"/>
  <c r="H21" i="42"/>
  <c r="H15" i="42"/>
  <c r="A2" i="42"/>
  <c r="A3" i="42"/>
  <c r="A5" i="42"/>
  <c r="A1" i="38"/>
  <c r="B49" i="38"/>
  <c r="B48" i="38"/>
  <c r="B47" i="38"/>
  <c r="B46" i="38"/>
  <c r="B43" i="38"/>
  <c r="B42" i="38"/>
  <c r="B41" i="38"/>
  <c r="B37" i="38"/>
  <c r="B36" i="38"/>
  <c r="B35" i="38"/>
  <c r="B29" i="38"/>
  <c r="B28" i="38"/>
  <c r="B27" i="38"/>
  <c r="B26" i="38"/>
  <c r="B25" i="38"/>
  <c r="B24" i="38"/>
  <c r="H49" i="38"/>
  <c r="H48" i="38"/>
  <c r="H47" i="38"/>
  <c r="H46" i="38"/>
  <c r="H42" i="38"/>
  <c r="H43" i="38"/>
  <c r="H41" i="38"/>
  <c r="H36" i="38"/>
  <c r="H37" i="38"/>
  <c r="H35" i="38"/>
  <c r="H29" i="38"/>
  <c r="H28" i="38"/>
  <c r="H27" i="38"/>
  <c r="H26" i="38"/>
  <c r="H25" i="38"/>
  <c r="H24" i="38"/>
  <c r="H16" i="38"/>
  <c r="H15" i="38"/>
  <c r="A2" i="38"/>
  <c r="A3" i="38"/>
  <c r="A5" i="38"/>
  <c r="F50" i="38"/>
  <c r="D50" i="38"/>
  <c r="F44" i="38"/>
  <c r="D44" i="38"/>
  <c r="F38" i="38"/>
  <c r="D38" i="38"/>
  <c r="F30" i="38"/>
  <c r="D30" i="38"/>
  <c r="F21" i="38"/>
  <c r="D21" i="38"/>
  <c r="B21" i="38"/>
  <c r="L50" i="38"/>
  <c r="J50" i="38"/>
  <c r="J44" i="38"/>
  <c r="L44" i="38"/>
  <c r="L38" i="38"/>
  <c r="J38" i="38"/>
  <c r="J30" i="38"/>
  <c r="L30" i="38"/>
  <c r="J21" i="38"/>
  <c r="L21" i="38"/>
  <c r="B53" i="41"/>
  <c r="B5" i="41"/>
  <c r="B3" i="41"/>
  <c r="B2" i="41"/>
  <c r="B1" i="41"/>
  <c r="A3" i="40"/>
  <c r="A2" i="40"/>
  <c r="A1" i="40"/>
  <c r="H25" i="42" l="1"/>
  <c r="H27" i="42" s="1"/>
  <c r="H32" i="42" s="1"/>
  <c r="D25" i="42"/>
  <c r="F25" i="42"/>
  <c r="F27" i="42" s="1"/>
  <c r="F32" i="42" s="1"/>
  <c r="B38" i="38"/>
  <c r="H38" i="38"/>
  <c r="B50" i="38"/>
  <c r="H21" i="38"/>
  <c r="B21" i="42"/>
  <c r="B15" i="42"/>
  <c r="H50" i="38"/>
  <c r="B44" i="38"/>
  <c r="H30" i="38"/>
  <c r="H44" i="38"/>
  <c r="B30" i="38"/>
  <c r="B31" i="38" s="1"/>
  <c r="F31" i="38"/>
  <c r="D51" i="38"/>
  <c r="D52" i="38" s="1"/>
  <c r="F51" i="38"/>
  <c r="F52" i="38" s="1"/>
  <c r="D31" i="38"/>
  <c r="J31" i="38"/>
  <c r="J51" i="38"/>
  <c r="J52" i="38" s="1"/>
  <c r="L51" i="38"/>
  <c r="L52" i="38" s="1"/>
  <c r="L31" i="38"/>
  <c r="B25" i="42" l="1"/>
  <c r="F64" i="38"/>
  <c r="D64" i="38"/>
  <c r="J64" i="38"/>
  <c r="B51" i="38"/>
  <c r="B52" i="38" s="1"/>
  <c r="B64" i="38" s="1"/>
  <c r="L64" i="38"/>
  <c r="H51" i="38"/>
  <c r="H52" i="38" s="1"/>
  <c r="H31" i="38"/>
  <c r="A42" i="25"/>
  <c r="B39" i="32"/>
  <c r="B81" i="18"/>
  <c r="A24" i="30"/>
  <c r="A83" i="24"/>
  <c r="A67" i="14"/>
  <c r="K18" i="27"/>
  <c r="I60" i="18"/>
  <c r="K61" i="18" s="1"/>
  <c r="L60" i="18"/>
  <c r="D66" i="18"/>
  <c r="F66" i="18"/>
  <c r="I69" i="18"/>
  <c r="K70" i="18" s="1"/>
  <c r="L69" i="18"/>
  <c r="D21" i="30"/>
  <c r="D24" i="3" s="1"/>
  <c r="H64" i="38" l="1"/>
  <c r="E42" i="24"/>
  <c r="E25" i="24"/>
  <c r="E33" i="24"/>
  <c r="E62" i="24"/>
  <c r="A56" i="13"/>
  <c r="A34" i="29"/>
  <c r="F8" i="3" l="1"/>
  <c r="D45" i="18" l="1"/>
  <c r="F45" i="18" s="1"/>
  <c r="D41" i="3" l="1"/>
  <c r="L8" i="27" l="1"/>
  <c r="R64" i="14" l="1"/>
  <c r="M62" i="14"/>
  <c r="M64" i="14" s="1"/>
  <c r="E62" i="14"/>
  <c r="E64" i="14" s="1"/>
  <c r="A62" i="14"/>
  <c r="A64" i="14" s="1"/>
  <c r="D15" i="3" s="1"/>
  <c r="C62" i="14" l="1"/>
  <c r="C64" i="14" s="1"/>
  <c r="F15" i="3" s="1"/>
  <c r="B16" i="5" l="1"/>
  <c r="B17" i="5" s="1"/>
  <c r="G24" i="25"/>
  <c r="F21" i="30"/>
  <c r="G21" i="30"/>
  <c r="H21" i="30"/>
  <c r="F24" i="3" s="1"/>
  <c r="E21" i="30"/>
  <c r="I8" i="27"/>
  <c r="B9" i="27" s="1"/>
  <c r="D14" i="27"/>
  <c r="B14" i="27"/>
  <c r="O15" i="14"/>
  <c r="F15" i="14"/>
  <c r="G15" i="14"/>
  <c r="H15" i="14"/>
  <c r="I15" i="14"/>
  <c r="D14" i="13" s="1"/>
  <c r="K15" i="14"/>
  <c r="Q15" i="14"/>
  <c r="S15" i="14"/>
  <c r="E66" i="24"/>
  <c r="C66" i="24"/>
  <c r="D28" i="13" l="1"/>
  <c r="D47" i="3"/>
  <c r="F47" i="3"/>
  <c r="C29" i="37"/>
  <c r="B11" i="37"/>
  <c r="I36" i="37"/>
  <c r="C36" i="37"/>
  <c r="C41" i="37" s="1"/>
  <c r="B36" i="37"/>
  <c r="B41" i="37" s="1"/>
  <c r="C33" i="37"/>
  <c r="C38" i="37"/>
  <c r="B38" i="37"/>
  <c r="F21" i="37"/>
  <c r="F22" i="37" s="1"/>
  <c r="F18" i="37"/>
  <c r="F20" i="37" s="1"/>
  <c r="C44" i="37"/>
  <c r="B33" i="37"/>
  <c r="B44" i="37" l="1"/>
  <c r="D39" i="35" l="1"/>
  <c r="D38" i="35"/>
  <c r="F35" i="35"/>
  <c r="D35" i="35"/>
  <c r="D26" i="35"/>
  <c r="D25" i="35"/>
  <c r="F22" i="35"/>
  <c r="D22" i="35"/>
  <c r="D23" i="35" s="1"/>
  <c r="D36" i="35" l="1"/>
  <c r="C6" i="29"/>
  <c r="S12" i="14" l="1"/>
  <c r="M12" i="14" l="1"/>
  <c r="C12" i="14"/>
  <c r="C61" i="14" s="1"/>
  <c r="K12" i="14"/>
  <c r="K43" i="14" s="1"/>
  <c r="S43" i="14"/>
  <c r="C43" i="14" l="1"/>
  <c r="E12" i="14"/>
  <c r="E43" i="14" s="1"/>
  <c r="M43" i="14"/>
  <c r="B5" i="34"/>
  <c r="C52" i="14" l="1"/>
  <c r="E52" i="14"/>
  <c r="E61" i="14" s="1"/>
  <c r="K52" i="14"/>
  <c r="K61" i="14" s="1"/>
  <c r="M52" i="14"/>
  <c r="M61" i="14" s="1"/>
  <c r="S52" i="14"/>
  <c r="S61" i="14" s="1"/>
  <c r="V48" i="14"/>
  <c r="B10" i="34" l="1"/>
  <c r="B30" i="34" s="1"/>
  <c r="B4" i="34"/>
  <c r="B41" i="34" l="1"/>
  <c r="J8" i="25" l="1"/>
  <c r="G18" i="31" l="1"/>
  <c r="G17" i="31"/>
  <c r="G16" i="31"/>
  <c r="D39" i="3" l="1"/>
  <c r="I21" i="30"/>
  <c r="C27" i="32" l="1"/>
  <c r="A12" i="14" l="1"/>
  <c r="B25" i="29"/>
  <c r="C54" i="24" l="1"/>
  <c r="D53" i="18"/>
  <c r="B10" i="27"/>
  <c r="C17" i="24"/>
  <c r="B32" i="27"/>
  <c r="D62" i="18"/>
  <c r="C9" i="24"/>
  <c r="B19" i="27"/>
  <c r="C10" i="34"/>
  <c r="C30" i="34" s="1"/>
  <c r="D8" i="3"/>
  <c r="C25" i="24"/>
  <c r="C42" i="24"/>
  <c r="C33" i="24"/>
  <c r="C62" i="24"/>
  <c r="A2" i="17"/>
  <c r="C41" i="34" l="1"/>
  <c r="A52" i="14"/>
  <c r="A43" i="14"/>
  <c r="A61" i="14"/>
  <c r="B7" i="29"/>
  <c r="D10" i="3"/>
  <c r="F10" i="3"/>
  <c r="E30" i="32" s="1"/>
  <c r="B55" i="23"/>
  <c r="A36" i="31"/>
  <c r="B62" i="22"/>
  <c r="A38" i="5"/>
  <c r="A66" i="3"/>
  <c r="I36" i="13"/>
  <c r="D21" i="3"/>
  <c r="F21" i="3"/>
  <c r="E13" i="24"/>
  <c r="F16" i="3" s="1"/>
  <c r="C13" i="24"/>
  <c r="D16" i="3" s="1"/>
  <c r="K23" i="24"/>
  <c r="H23" i="24"/>
  <c r="B24" i="24" s="1"/>
  <c r="D71" i="18" l="1"/>
  <c r="B71" i="18"/>
  <c r="B37" i="18"/>
  <c r="B54" i="18"/>
  <c r="B10" i="18"/>
  <c r="C55" i="24"/>
  <c r="D54" i="18"/>
  <c r="C18" i="24"/>
  <c r="F54" i="18"/>
  <c r="E55" i="24"/>
  <c r="E18" i="24"/>
  <c r="B33" i="27"/>
  <c r="D19" i="27"/>
  <c r="D33" i="27"/>
  <c r="F70" i="18"/>
  <c r="F61" i="18"/>
  <c r="B14" i="34"/>
  <c r="D8" i="5"/>
  <c r="E26" i="24"/>
  <c r="D11" i="27"/>
  <c r="C26" i="24"/>
  <c r="B11" i="27"/>
  <c r="B13" i="34"/>
  <c r="C14" i="34"/>
  <c r="K9" i="23"/>
  <c r="D15" i="13"/>
  <c r="D12" i="5"/>
  <c r="B25" i="34" s="1"/>
  <c r="B12" i="5"/>
  <c r="C25" i="34" s="1"/>
  <c r="K22" i="32"/>
  <c r="J23" i="32"/>
  <c r="E23" i="32"/>
  <c r="B31" i="13"/>
  <c r="D23" i="13"/>
  <c r="D19" i="13"/>
  <c r="A6" i="30"/>
  <c r="G8" i="25"/>
  <c r="H9" i="25" s="1"/>
  <c r="A3" i="30"/>
  <c r="A2" i="30"/>
  <c r="A1" i="30"/>
  <c r="B5" i="23"/>
  <c r="B2" i="23"/>
  <c r="A5" i="25"/>
  <c r="B2" i="32"/>
  <c r="B5" i="32"/>
  <c r="A2" i="25"/>
  <c r="K14" i="32"/>
  <c r="H14" i="32"/>
  <c r="J15" i="32" s="1"/>
  <c r="A1" i="25"/>
  <c r="A3" i="25"/>
  <c r="D11" i="25"/>
  <c r="B11" i="25"/>
  <c r="E15" i="32"/>
  <c r="F10" i="18"/>
  <c r="D10" i="18"/>
  <c r="E10" i="24"/>
  <c r="C10" i="24"/>
  <c r="E43" i="24"/>
  <c r="C43" i="24"/>
  <c r="E34" i="24"/>
  <c r="C34" i="24"/>
  <c r="E63" i="24"/>
  <c r="C63" i="24"/>
  <c r="D8" i="13"/>
  <c r="B8" i="13"/>
  <c r="B8" i="5"/>
  <c r="L7" i="18"/>
  <c r="I7" i="18"/>
  <c r="C8" i="18" s="1"/>
  <c r="B5" i="18"/>
  <c r="B2" i="18"/>
  <c r="V8" i="14"/>
  <c r="A3" i="31"/>
  <c r="A2" i="31"/>
  <c r="A5" i="14"/>
  <c r="A2" i="14"/>
  <c r="A10" i="31"/>
  <c r="K7" i="24"/>
  <c r="H7" i="24"/>
  <c r="B8" i="24" s="1"/>
  <c r="K40" i="24"/>
  <c r="F40" i="24"/>
  <c r="B41" i="24" s="1"/>
  <c r="K31" i="24"/>
  <c r="H31" i="24"/>
  <c r="B32" i="24" s="1"/>
  <c r="K60" i="24"/>
  <c r="H60" i="24"/>
  <c r="B61" i="24" s="1"/>
  <c r="A2" i="24"/>
  <c r="B5" i="22"/>
  <c r="B3" i="22"/>
  <c r="B2" i="22"/>
  <c r="B1" i="22"/>
  <c r="B5" i="11"/>
  <c r="B2" i="11"/>
  <c r="A5" i="13"/>
  <c r="A5" i="5"/>
  <c r="C7" i="29"/>
  <c r="E7" i="29"/>
  <c r="F7" i="29"/>
  <c r="B3" i="29"/>
  <c r="B2" i="29"/>
  <c r="A2" i="5"/>
  <c r="A2" i="13"/>
  <c r="A4" i="42" l="1"/>
  <c r="A4" i="38"/>
  <c r="A4" i="40"/>
  <c r="B4" i="41"/>
  <c r="F18" i="34"/>
  <c r="D7" i="13"/>
  <c r="D10" i="25"/>
  <c r="E22" i="32"/>
  <c r="E14" i="32"/>
  <c r="B7" i="13"/>
  <c r="B10" i="25"/>
  <c r="A4" i="31"/>
  <c r="B4" i="18"/>
  <c r="B4" i="11"/>
  <c r="B4" i="23"/>
  <c r="A4" i="25"/>
  <c r="A4" i="14"/>
  <c r="B4" i="32"/>
  <c r="A4" i="24"/>
  <c r="F16" i="34"/>
  <c r="A2" i="3"/>
  <c r="B22" i="34" l="1"/>
  <c r="C22" i="34"/>
  <c r="D10" i="5"/>
  <c r="B10" i="5"/>
  <c r="C21" i="34" s="1"/>
  <c r="B3" i="32"/>
  <c r="B1" i="32"/>
  <c r="C6" i="43" l="1"/>
  <c r="F6" i="43" s="1"/>
  <c r="D13" i="5"/>
  <c r="J27" i="32"/>
  <c r="B21" i="34"/>
  <c r="B24" i="37" s="1"/>
  <c r="C7" i="35"/>
  <c r="F7" i="35" s="1"/>
  <c r="C45" i="34"/>
  <c r="C24" i="37"/>
  <c r="F19" i="34"/>
  <c r="B33" i="34"/>
  <c r="B38" i="34" s="1"/>
  <c r="C42" i="34"/>
  <c r="C33" i="34"/>
  <c r="C38" i="34" s="1"/>
  <c r="F17" i="34"/>
  <c r="E34" i="31"/>
  <c r="C34" i="31"/>
  <c r="G30" i="31"/>
  <c r="G29" i="31"/>
  <c r="F19" i="31"/>
  <c r="E19" i="31"/>
  <c r="D19" i="31"/>
  <c r="C19" i="31"/>
  <c r="H19" i="31"/>
  <c r="A1" i="31"/>
  <c r="B42" i="34" l="1"/>
  <c r="B45" i="34"/>
  <c r="F22" i="34"/>
  <c r="B49" i="37"/>
  <c r="B45" i="37"/>
  <c r="B46" i="37"/>
  <c r="F25" i="37"/>
  <c r="B47" i="37"/>
  <c r="B48" i="37"/>
  <c r="C48" i="37"/>
  <c r="C49" i="37"/>
  <c r="C46" i="37"/>
  <c r="C45" i="37"/>
  <c r="C47" i="37"/>
  <c r="B55" i="37"/>
  <c r="C55" i="37" s="1"/>
  <c r="G19" i="31"/>
  <c r="G34" i="31"/>
  <c r="I30" i="31" s="1"/>
  <c r="B1" i="18"/>
  <c r="I29" i="31" l="1"/>
  <c r="A1" i="3" l="1"/>
  <c r="H10" i="30" l="1"/>
  <c r="H9" i="30"/>
  <c r="C50" i="24"/>
  <c r="E50" i="24"/>
  <c r="B23" i="34"/>
  <c r="B43" i="34" s="1"/>
  <c r="E15" i="14"/>
  <c r="A15" i="14" l="1"/>
  <c r="I19" i="13" l="1"/>
  <c r="F22" i="3" l="1"/>
  <c r="B11" i="34" l="1"/>
  <c r="B12" i="37" s="1"/>
  <c r="B37" i="37" s="1"/>
  <c r="B40" i="37" s="1"/>
  <c r="B34" i="34" l="1"/>
  <c r="B37" i="34" s="1"/>
  <c r="F11" i="30"/>
  <c r="A53" i="14"/>
  <c r="A55" i="14" s="1"/>
  <c r="E53" i="14"/>
  <c r="E55" i="14" s="1"/>
  <c r="M53" i="14"/>
  <c r="M55" i="14" s="1"/>
  <c r="D29" i="13"/>
  <c r="R55" i="14"/>
  <c r="C53" i="14" l="1"/>
  <c r="C55" i="14" s="1"/>
  <c r="F14" i="3" s="1"/>
  <c r="B23" i="29" l="1"/>
  <c r="F39" i="3" l="1"/>
  <c r="D36" i="13" l="1"/>
  <c r="D11" i="30"/>
  <c r="H11" i="30" l="1"/>
  <c r="J10" i="30" l="1"/>
  <c r="D34" i="13"/>
  <c r="D38" i="13" s="1"/>
  <c r="J9" i="30"/>
  <c r="M15" i="14" l="1"/>
  <c r="B1" i="29"/>
  <c r="B3" i="23" l="1"/>
  <c r="B3" i="18"/>
  <c r="A3" i="14"/>
  <c r="A3" i="24"/>
  <c r="B3" i="11"/>
  <c r="A3" i="13"/>
  <c r="A3" i="5"/>
  <c r="A3" i="3"/>
  <c r="A3" i="17"/>
  <c r="I22" i="13" l="1"/>
  <c r="I20" i="13"/>
  <c r="I18" i="13"/>
  <c r="D46" i="3"/>
  <c r="D14" i="18"/>
  <c r="B21" i="27" s="1"/>
  <c r="D14" i="3"/>
  <c r="F26" i="3"/>
  <c r="D23" i="3"/>
  <c r="F23" i="3"/>
  <c r="F11" i="18" l="1"/>
  <c r="B13" i="33" s="1"/>
  <c r="D20" i="13"/>
  <c r="F27" i="3"/>
  <c r="B15" i="34" s="1"/>
  <c r="B16" i="37" s="1"/>
  <c r="D26" i="3"/>
  <c r="C11" i="37"/>
  <c r="D40" i="3"/>
  <c r="D22" i="3"/>
  <c r="F14" i="18" l="1"/>
  <c r="D27" i="3"/>
  <c r="C15" i="34" s="1"/>
  <c r="C16" i="37" s="1"/>
  <c r="B34" i="37"/>
  <c r="B35" i="37"/>
  <c r="C11" i="34"/>
  <c r="C12" i="37" s="1"/>
  <c r="D43" i="3"/>
  <c r="C18" i="34" s="1"/>
  <c r="D12" i="3"/>
  <c r="D18" i="3" s="1"/>
  <c r="D45" i="3"/>
  <c r="F45" i="3"/>
  <c r="F40" i="3" l="1"/>
  <c r="D21" i="27"/>
  <c r="D21" i="13"/>
  <c r="C37" i="37"/>
  <c r="C40" i="37" s="1"/>
  <c r="B53" i="37"/>
  <c r="C53" i="37" s="1"/>
  <c r="F24" i="37"/>
  <c r="F23" i="37" s="1"/>
  <c r="C34" i="37"/>
  <c r="C35" i="37"/>
  <c r="C34" i="34"/>
  <c r="C37" i="34" s="1"/>
  <c r="F21" i="34"/>
  <c r="F20" i="34" s="1"/>
  <c r="F43" i="3"/>
  <c r="B18" i="34" s="1"/>
  <c r="B1" i="23"/>
  <c r="A1" i="14"/>
  <c r="A1" i="24"/>
  <c r="B1" i="11"/>
  <c r="A1" i="13"/>
  <c r="A1" i="5"/>
  <c r="A1" i="17"/>
  <c r="B24" i="34" l="1"/>
  <c r="B46" i="34" s="1"/>
  <c r="F46" i="3"/>
  <c r="C24" i="34" l="1"/>
  <c r="C46" i="34" s="1"/>
  <c r="D22" i="13"/>
  <c r="B29" i="37" l="1"/>
  <c r="C15" i="14" l="1"/>
  <c r="D31" i="13" l="1"/>
  <c r="D28" i="3" l="1"/>
  <c r="C16" i="34" s="1"/>
  <c r="C18" i="37" s="1"/>
  <c r="B13" i="5"/>
  <c r="D18" i="5"/>
  <c r="D21" i="5" s="1"/>
  <c r="C6" i="35" l="1"/>
  <c r="F6" i="35" s="1"/>
  <c r="F8" i="35" s="1"/>
  <c r="C27" i="35" s="1"/>
  <c r="D20" i="27"/>
  <c r="D28" i="27" s="1"/>
  <c r="D29" i="27" s="1"/>
  <c r="D36" i="27" s="1"/>
  <c r="B26" i="34"/>
  <c r="B44" i="34" s="1"/>
  <c r="B18" i="5"/>
  <c r="C23" i="34"/>
  <c r="C43" i="34" s="1"/>
  <c r="D10" i="13"/>
  <c r="F12" i="3"/>
  <c r="B25" i="33" s="1"/>
  <c r="B31" i="33" s="1"/>
  <c r="C28" i="35" l="1"/>
  <c r="F18" i="3"/>
  <c r="B21" i="5"/>
  <c r="B20" i="27" s="1"/>
  <c r="C26" i="34" l="1"/>
  <c r="C44" i="34" s="1"/>
  <c r="B10" i="13"/>
  <c r="F28" i="3"/>
  <c r="C7" i="43" s="1"/>
  <c r="F7" i="43" s="1"/>
  <c r="F8" i="43" s="1"/>
  <c r="C36" i="43" l="1"/>
  <c r="C22" i="43"/>
  <c r="C23" i="43"/>
  <c r="C35" i="43"/>
  <c r="B16" i="34"/>
  <c r="B18" i="37" s="1"/>
  <c r="B54" i="37" s="1"/>
  <c r="C54" i="37" s="1"/>
  <c r="C11" i="35"/>
  <c r="F11" i="35" s="1"/>
  <c r="B25" i="13"/>
  <c r="B40" i="13" s="1"/>
  <c r="B42" i="13" l="1"/>
  <c r="B59" i="13" s="1"/>
  <c r="B27" i="42" l="1"/>
  <c r="B32" i="42" s="1"/>
  <c r="D41" i="13"/>
  <c r="B12" i="29" l="1"/>
  <c r="B38" i="27" l="1"/>
  <c r="C19" i="37" s="1"/>
  <c r="B22" i="5"/>
  <c r="B23" i="5" s="1"/>
  <c r="D24" i="13" l="1"/>
  <c r="D25" i="13" s="1"/>
  <c r="D40" i="13" s="1"/>
  <c r="D42" i="13" s="1"/>
  <c r="D59" i="13" s="1"/>
  <c r="D48" i="3"/>
  <c r="D49" i="3" s="1"/>
  <c r="D50" i="3" s="1"/>
  <c r="C19" i="34" s="1"/>
  <c r="C11" i="29"/>
  <c r="B29" i="5"/>
  <c r="C17" i="34" l="1"/>
  <c r="C31" i="34" s="1"/>
  <c r="C18" i="29"/>
  <c r="B18" i="29" s="1"/>
  <c r="B11" i="29"/>
  <c r="F27" i="29"/>
  <c r="C32" i="34" l="1"/>
  <c r="C36" i="34"/>
  <c r="C39" i="37" s="1"/>
  <c r="F32" i="3"/>
  <c r="B9" i="33"/>
  <c r="D32" i="3"/>
  <c r="E20" i="29" l="1"/>
  <c r="D33" i="3" l="1"/>
  <c r="B14" i="29" l="1"/>
  <c r="D35" i="3" l="1"/>
  <c r="B20" i="29"/>
  <c r="B10" i="33" l="1"/>
  <c r="D36" i="3"/>
  <c r="C20" i="34" l="1"/>
  <c r="C35" i="34" s="1"/>
  <c r="D51" i="3"/>
  <c r="D68" i="3" s="1"/>
  <c r="D27" i="42" l="1"/>
  <c r="D32" i="42" s="1"/>
  <c r="E27" i="29" l="1"/>
  <c r="F33" i="3" l="1"/>
  <c r="B12" i="33"/>
  <c r="B19" i="33" s="1"/>
  <c r="D22" i="5" l="1"/>
  <c r="D23" i="5" s="1"/>
  <c r="D38" i="27"/>
  <c r="F48" i="3" l="1"/>
  <c r="F49" i="3" s="1"/>
  <c r="B19" i="37"/>
  <c r="D29" i="5"/>
  <c r="C24" i="29"/>
  <c r="B24" i="29" l="1"/>
  <c r="G24" i="29"/>
  <c r="C27" i="29"/>
  <c r="F50" i="3"/>
  <c r="B19" i="34" s="1"/>
  <c r="B17" i="34"/>
  <c r="F35" i="3" l="1"/>
  <c r="B31" i="34"/>
  <c r="B36" i="34"/>
  <c r="B39" i="37" s="1"/>
  <c r="B56" i="37" s="1"/>
  <c r="C56" i="37" s="1"/>
  <c r="B32" i="34"/>
  <c r="D27" i="29"/>
  <c r="F34" i="3" s="1"/>
  <c r="B26" i="29"/>
  <c r="F36" i="3" l="1"/>
  <c r="F51" i="3" s="1"/>
  <c r="F68" i="3" s="1"/>
  <c r="B27" i="29"/>
  <c r="I27" i="29" s="1"/>
  <c r="B20" i="34" l="1"/>
  <c r="B35" i="34" s="1"/>
  <c r="C12" i="35"/>
  <c r="F12" i="35" s="1"/>
  <c r="F13" i="35" s="1"/>
  <c r="C40" i="35" s="1"/>
  <c r="C41" i="35" l="1"/>
</calcChain>
</file>

<file path=xl/sharedStrings.xml><?xml version="1.0" encoding="utf-8"?>
<sst xmlns="http://schemas.openxmlformats.org/spreadsheetml/2006/main" count="825" uniqueCount="582">
  <si>
    <t>إيضاح</t>
  </si>
  <si>
    <t>راس المال</t>
  </si>
  <si>
    <t>مخصص الزكاة الشرعية</t>
  </si>
  <si>
    <t>الايرادات</t>
  </si>
  <si>
    <t>إجمالي المطلوبات</t>
  </si>
  <si>
    <t xml:space="preserve"> </t>
  </si>
  <si>
    <t>قيمة الحصة</t>
  </si>
  <si>
    <t>تكلفة الايرادات</t>
  </si>
  <si>
    <t>الموجودات الثابتة (بالصافى)</t>
  </si>
  <si>
    <t>عدد الحصص</t>
  </si>
  <si>
    <t>إجمالي الموجودات</t>
  </si>
  <si>
    <t>إجمالي العناصر الموجبة</t>
  </si>
  <si>
    <t>إجمالي العناصر السالبة</t>
  </si>
  <si>
    <t>الارباح المبقاه</t>
  </si>
  <si>
    <t>النقدية ومافي حكمها</t>
  </si>
  <si>
    <t>البيـــــــان</t>
  </si>
  <si>
    <t>طبيعة التعامل</t>
  </si>
  <si>
    <t>الرصيد الافتتاحي</t>
  </si>
  <si>
    <t xml:space="preserve">الحركة خلال السنة </t>
  </si>
  <si>
    <t>الرصيد النهائي</t>
  </si>
  <si>
    <t>مدين</t>
  </si>
  <si>
    <t>دائن</t>
  </si>
  <si>
    <t xml:space="preserve"> الاجمالي                   </t>
  </si>
  <si>
    <t>اسم الشريك</t>
  </si>
  <si>
    <t>الإجمالي</t>
  </si>
  <si>
    <t xml:space="preserve">الاجمالي </t>
  </si>
  <si>
    <t>النسبة المئوية</t>
  </si>
  <si>
    <t>اطراف ذات علاقة مدينة</t>
  </si>
  <si>
    <t>عام</t>
  </si>
  <si>
    <t>13- رأس المال :</t>
  </si>
  <si>
    <t>مصروفات بيعية وتسويقية</t>
  </si>
  <si>
    <t>فرق</t>
  </si>
  <si>
    <t>اطراف ذات علاقة دائنة</t>
  </si>
  <si>
    <t>حدد رأسمال الشركة بـ  ( 150.000 ) ريال مقسم إلى ( 100) حصة عينية متساوية القيمة ، قيمة كل حصة ( 1500 ) ريال تم توزيعها على الشركاء على النحو التالي :</t>
  </si>
  <si>
    <t>مؤسسة متاجرة الأعمال للتجارة</t>
  </si>
  <si>
    <t>مؤسسة مدار الأعمال التجارية</t>
  </si>
  <si>
    <t xml:space="preserve">على عبدالله بن هليل </t>
  </si>
  <si>
    <t xml:space="preserve">دكتور بدر النفسية </t>
  </si>
  <si>
    <t xml:space="preserve">دكتور ابراهيم خالد </t>
  </si>
  <si>
    <t>4</t>
  </si>
  <si>
    <t>5</t>
  </si>
  <si>
    <t>6</t>
  </si>
  <si>
    <t>7</t>
  </si>
  <si>
    <t>10</t>
  </si>
  <si>
    <t>11</t>
  </si>
  <si>
    <t>12</t>
  </si>
  <si>
    <t>14</t>
  </si>
  <si>
    <t>8</t>
  </si>
  <si>
    <t>صافى الربح (الخسارة) قبل الزكاة الشرعية</t>
  </si>
  <si>
    <t>تاريخ الميزانية</t>
  </si>
  <si>
    <t>يوم</t>
  </si>
  <si>
    <t>شهر</t>
  </si>
  <si>
    <t xml:space="preserve"> العناصر الموجبة</t>
  </si>
  <si>
    <t xml:space="preserve"> العناصر السالبة</t>
  </si>
  <si>
    <t>الخسائر المبقاه</t>
  </si>
  <si>
    <t xml:space="preserve">المركز المالى </t>
  </si>
  <si>
    <t>حقوق الملكية</t>
  </si>
  <si>
    <t>الدخل</t>
  </si>
  <si>
    <t>التدفقات</t>
  </si>
  <si>
    <t>ايضاحات مدينة</t>
  </si>
  <si>
    <t>ايضاحات مدينة2</t>
  </si>
  <si>
    <t>اصول ثابتة</t>
  </si>
  <si>
    <t>ايضاحات دائنة</t>
  </si>
  <si>
    <t>مخصصات</t>
  </si>
  <si>
    <t>ايراد و تكلفة</t>
  </si>
  <si>
    <t>عمومية</t>
  </si>
  <si>
    <t>سياسة 1</t>
  </si>
  <si>
    <t>سياسة2</t>
  </si>
  <si>
    <t>الذمم المدينة</t>
  </si>
  <si>
    <t>المقارن</t>
  </si>
  <si>
    <t>الاحتياطى النظامى</t>
  </si>
  <si>
    <t>مخصص مكافاة نهاية الخدمة</t>
  </si>
  <si>
    <t>شرح عناصر الوعاء للزكاة الشرعية</t>
  </si>
  <si>
    <t>هشام الشلفان محاسبون ومراجعون قانونيون</t>
  </si>
  <si>
    <t>ترخيص 510</t>
  </si>
  <si>
    <t>المراجعة التحليلية وبعض النسب الهامة</t>
  </si>
  <si>
    <t xml:space="preserve"> إسم العميل:</t>
  </si>
  <si>
    <t xml:space="preserve"> الفترة المحاسبية:</t>
  </si>
  <si>
    <t xml:space="preserve"> التاريخ:</t>
  </si>
  <si>
    <t xml:space="preserve"> أعد بواسطة:</t>
  </si>
  <si>
    <t xml:space="preserve"> روجع بواسطة:</t>
  </si>
  <si>
    <t>البند</t>
  </si>
  <si>
    <t>السنة الحالية</t>
  </si>
  <si>
    <t>سنة المقارنة</t>
  </si>
  <si>
    <t>الموجودات المتداولة سهلة التحويل إلى نقدية</t>
  </si>
  <si>
    <t>مخزون البضاعة في بداية الفترة</t>
  </si>
  <si>
    <t>مخزون البضاعة في نهاية الفترة</t>
  </si>
  <si>
    <t>إجمالي الموجودات المتداولة</t>
  </si>
  <si>
    <t>إجمالي المطلوبات المتداولة</t>
  </si>
  <si>
    <t>إجمالي المطلوبات طويلة الأجل</t>
  </si>
  <si>
    <t>إجمالي حقوق الملكية</t>
  </si>
  <si>
    <t>مجمل الربح (الخسارة)</t>
  </si>
  <si>
    <t>النسب المالية لبعض عناصر قائمة المركز المالي:</t>
  </si>
  <si>
    <t>البيان</t>
  </si>
  <si>
    <t>نسبة التداول</t>
  </si>
  <si>
    <t>نسبة التداول السريع</t>
  </si>
  <si>
    <t>معدل دوران المخزون</t>
  </si>
  <si>
    <t>معدل دوران العملاء</t>
  </si>
  <si>
    <t>نسبة العائد على حقوق الملكية</t>
  </si>
  <si>
    <t>راس المال العامل</t>
  </si>
  <si>
    <t>متوسط فترة التحصيل</t>
  </si>
  <si>
    <t xml:space="preserve">متوسط فترة التخزين </t>
  </si>
  <si>
    <t>مجمل الربح</t>
  </si>
  <si>
    <t>النسب المالية لبعض عناصر قائمة الدخل:</t>
  </si>
  <si>
    <t>نسبة تكلفة الايرادات</t>
  </si>
  <si>
    <t>نسبة مجمل الربح</t>
  </si>
  <si>
    <t>نسبة صافي الربح</t>
  </si>
  <si>
    <t>نسبة المصروفات البيعية والتسويقية</t>
  </si>
  <si>
    <t>نسبة المصروفات الادارية والعمومية</t>
  </si>
  <si>
    <t>التعليق</t>
  </si>
  <si>
    <t>من خلال التحليل المالي السابق في رأينا أن النتائج تعتبر غير جيدة وذلك وفقاً لنشاط الشركة حيث أن الأرقام المعروضة تعبر عن السنة المالية من 2016/01/01م حتى 2016/12/31م .</t>
  </si>
  <si>
    <t>مصروفات عمومية والادارية</t>
  </si>
  <si>
    <t>من</t>
  </si>
  <si>
    <t>الى</t>
  </si>
  <si>
    <t>فترة</t>
  </si>
  <si>
    <t>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الى تلك الاطراف ، ولا يوجد جدول محدد لإعادة سداد تلك المبالغ كما أنه لا يترتب على سدادها أية أعباء تمويلية وفيما يلي أرصدة أطراف ذوي علاقة كما في 31 ديسمبر فيما يلي:</t>
  </si>
  <si>
    <t>مذكرة تقييم نتائج عملية المراجعة</t>
  </si>
  <si>
    <t xml:space="preserve"> الأهمية النسبية:</t>
  </si>
  <si>
    <t>المبلغ</t>
  </si>
  <si>
    <t>النسب المقترحة</t>
  </si>
  <si>
    <t>النسبة المطبقة</t>
  </si>
  <si>
    <t>الأهمية النسبية</t>
  </si>
  <si>
    <t>صافي الدخل</t>
  </si>
  <si>
    <t>إجمالي الإيرادات</t>
  </si>
  <si>
    <t>5% الى10%</t>
  </si>
  <si>
    <t>الأهمية النسبية لقائمة الدخل (يحدد بالمبلغ الأكبر من المبالغ السابقة)</t>
  </si>
  <si>
    <t>إجمالي الأصول</t>
  </si>
  <si>
    <t>الأهمية النسبية لقائمة المركز المالي (يحدد بالمبلغ الأكبر من المبالغ السابقة)</t>
  </si>
  <si>
    <t>التحريفات و القيد على النطاق</t>
  </si>
  <si>
    <t xml:space="preserve"> الدخل</t>
  </si>
  <si>
    <t>النوع</t>
  </si>
  <si>
    <t>الاجمالى</t>
  </si>
  <si>
    <t>تحريف</t>
  </si>
  <si>
    <t xml:space="preserve">قيد </t>
  </si>
  <si>
    <t>المركز المالى</t>
  </si>
  <si>
    <t xml:space="preserve">تحفظات اخرى/لفت انتباه  </t>
  </si>
  <si>
    <t>نوع التحفظ</t>
  </si>
  <si>
    <t>الاهلاك</t>
  </si>
  <si>
    <t>نسب مالية هامة أخرى :</t>
  </si>
  <si>
    <t>النسب</t>
  </si>
  <si>
    <t>النتيجة</t>
  </si>
  <si>
    <t>مؤشر عدد الايام لتحصيل المبيعات المعلقة</t>
  </si>
  <si>
    <t>مؤشر جودة الاصول</t>
  </si>
  <si>
    <t>مؤشر نمو المبيعات</t>
  </si>
  <si>
    <t xml:space="preserve">مجموع الاستحقاقات الى مجموع الاصول </t>
  </si>
  <si>
    <t xml:space="preserve">الموشرات </t>
  </si>
  <si>
    <t xml:space="preserve">المتغيرات </t>
  </si>
  <si>
    <t>الموشرات الجيدة</t>
  </si>
  <si>
    <t>الموشرات الغير جيدة</t>
  </si>
  <si>
    <t xml:space="preserve">العملاء ÷ المبيعات للسنة الحالية </t>
  </si>
  <si>
    <t xml:space="preserve">العملاء ÷ المبيعات للسنة السابقة </t>
  </si>
  <si>
    <t xml:space="preserve">1-(الاصول المتداولة + صافى الاصول الغير متداولة )÷ اجمالى الاصول للسنة الحالية </t>
  </si>
  <si>
    <t xml:space="preserve">1-(الاصول المتداولة + صافى الاصول الغير متداولة )÷ اجمالى الاصول للسنة السابقة </t>
  </si>
  <si>
    <t xml:space="preserve">مبيعات السنة الحالية </t>
  </si>
  <si>
    <t>مبيعات السنة السابقة</t>
  </si>
  <si>
    <t xml:space="preserve">التغير فى راس المال العامل - التغير فى النقد - التغير فى الضرائب المستحقة - الاهلاك والاستهلاك </t>
  </si>
  <si>
    <t>اجمالى الاصول</t>
  </si>
  <si>
    <t>نموذج بينش</t>
  </si>
  <si>
    <t>سياسة3</t>
  </si>
  <si>
    <t>سياسة4</t>
  </si>
  <si>
    <t>سياسة5</t>
  </si>
  <si>
    <t>سياسة6</t>
  </si>
  <si>
    <t>19</t>
  </si>
  <si>
    <t>على عبدالله البخيت للمحاسبة و المراجعة</t>
  </si>
  <si>
    <t>ترخيص 531</t>
  </si>
  <si>
    <t>22</t>
  </si>
  <si>
    <t>القوائم عن :</t>
  </si>
  <si>
    <t>01</t>
  </si>
  <si>
    <t>*</t>
  </si>
  <si>
    <t>5. % إلى 1.5%</t>
  </si>
  <si>
    <t>YEAR</t>
  </si>
  <si>
    <t>period</t>
  </si>
  <si>
    <t>Pages</t>
  </si>
  <si>
    <t>INDEX</t>
  </si>
  <si>
    <t>(saudi riyal)</t>
  </si>
  <si>
    <t>Note</t>
  </si>
  <si>
    <t>January</t>
  </si>
  <si>
    <t>ASSETS</t>
  </si>
  <si>
    <t>Non-current assets</t>
  </si>
  <si>
    <t>Property, plant and equipment</t>
  </si>
  <si>
    <t>Investments in associates</t>
  </si>
  <si>
    <t>Total non-current assets</t>
  </si>
  <si>
    <t>Current assets</t>
  </si>
  <si>
    <t>Inventories</t>
  </si>
  <si>
    <t>Trade receivables</t>
  </si>
  <si>
    <t>Prepayments and other receivables</t>
  </si>
  <si>
    <t>Cash and cash equivalents</t>
  </si>
  <si>
    <t>Total current assets</t>
  </si>
  <si>
    <t>TOT AL ASSETS</t>
  </si>
  <si>
    <t>EQUITY AND LIABILITIES</t>
  </si>
  <si>
    <t>Equity</t>
  </si>
  <si>
    <t>capital</t>
  </si>
  <si>
    <t>Statutory reserve</t>
  </si>
  <si>
    <t>Total equity</t>
  </si>
  <si>
    <t>Non-current liabilities</t>
  </si>
  <si>
    <t xml:space="preserve"> current liabilities</t>
  </si>
  <si>
    <t>Total Non-current liabilities</t>
  </si>
  <si>
    <t>Total current liabilities</t>
  </si>
  <si>
    <t>Total liabilities</t>
  </si>
  <si>
    <t>Total EQUITY AND LIABILITIES</t>
  </si>
  <si>
    <t>Trade payables</t>
  </si>
  <si>
    <t>Accruals and other payables</t>
  </si>
  <si>
    <t>Provision for zakat</t>
  </si>
  <si>
    <t>Provision for Employees' benefits</t>
  </si>
  <si>
    <t>Selling and distribution expenses</t>
  </si>
  <si>
    <t>General and administrative expenses</t>
  </si>
  <si>
    <t>OPERATING PROFIT</t>
  </si>
  <si>
    <t>Other income</t>
  </si>
  <si>
    <t>Zakat</t>
  </si>
  <si>
    <t>INCOME BEFORE ZAKAT</t>
  </si>
  <si>
    <t>NET INCOME FOR THE YEAR</t>
  </si>
  <si>
    <t>TOTAL COMPREHENSIVE INCOME</t>
  </si>
  <si>
    <t>Other comprehensive income item:</t>
  </si>
  <si>
    <t>The accompanying form integral part of these financial statements.</t>
  </si>
  <si>
    <t>Total</t>
  </si>
  <si>
    <t>Adjustment to reconcile income before zakat to net cash</t>
  </si>
  <si>
    <t>Adjustment about prievious years</t>
  </si>
  <si>
    <t>:provided by operating activities</t>
  </si>
  <si>
    <t>:Cash flow from operating activities</t>
  </si>
  <si>
    <t>Depreciation of property, plant and equipment</t>
  </si>
  <si>
    <t>Gain on disposal of property, plant and equipment</t>
  </si>
  <si>
    <t>Total Expenses</t>
  </si>
  <si>
    <t>Income for Operating process</t>
  </si>
  <si>
    <t>:Working capital changes</t>
  </si>
  <si>
    <t>Zakat paid</t>
  </si>
  <si>
    <t>Employees' benefits paid</t>
  </si>
  <si>
    <t>CASH FLOWS FROM INVESTING ACTIVITIES</t>
  </si>
  <si>
    <t>Additions to property, plant and equipment</t>
  </si>
  <si>
    <t>CASH FLOWS FROM FINANCING ACTIVITIES</t>
  </si>
  <si>
    <t>Net Change in cash and cash equivalents</t>
  </si>
  <si>
    <t>Cash and cash equivalents at the beginning of the year</t>
  </si>
  <si>
    <t>Cash and cash equivalents at the end of the year</t>
  </si>
  <si>
    <t>Short term investments</t>
  </si>
  <si>
    <t xml:space="preserve">Debit Related parties  </t>
  </si>
  <si>
    <t xml:space="preserve">Credit Related parties  </t>
  </si>
  <si>
    <t>Deferred income</t>
  </si>
  <si>
    <t>Long-term leasing creditors</t>
  </si>
  <si>
    <t>Short-term leasing creditors</t>
  </si>
  <si>
    <t>Intangible assets</t>
  </si>
  <si>
    <t>Leasing Fixed Assets  (net)</t>
  </si>
  <si>
    <t>Investment property</t>
  </si>
  <si>
    <t>Revenue</t>
  </si>
  <si>
    <t>Cost of Revenue</t>
  </si>
  <si>
    <t>Cost As</t>
  </si>
  <si>
    <t>Additions</t>
  </si>
  <si>
    <t>For Year</t>
  </si>
  <si>
    <t>Year</t>
  </si>
  <si>
    <t xml:space="preserve">Disposals </t>
  </si>
  <si>
    <t xml:space="preserve">depreciation </t>
  </si>
  <si>
    <t xml:space="preserve">Accum depreciation </t>
  </si>
  <si>
    <t>Net book amounts</t>
  </si>
  <si>
    <t>amortization</t>
  </si>
  <si>
    <t xml:space="preserve">Accum amortization </t>
  </si>
  <si>
    <t>Construction work in progress</t>
  </si>
  <si>
    <t>Cash in hand</t>
  </si>
  <si>
    <t>Lees of Year</t>
  </si>
  <si>
    <t>From year to 5 Years</t>
  </si>
  <si>
    <t>After 5 Years</t>
  </si>
  <si>
    <t>Leasing amount</t>
  </si>
  <si>
    <t>A)</t>
  </si>
  <si>
    <t>B)</t>
  </si>
  <si>
    <t>movement of Provision</t>
  </si>
  <si>
    <t>Balance beginning of yaer</t>
  </si>
  <si>
    <t>addition</t>
  </si>
  <si>
    <t>payment</t>
  </si>
  <si>
    <t>adjustment</t>
  </si>
  <si>
    <t>Provisions</t>
  </si>
  <si>
    <t xml:space="preserve">Branches </t>
  </si>
  <si>
    <t>Register No</t>
  </si>
  <si>
    <t>Register Date</t>
  </si>
  <si>
    <t>City</t>
  </si>
  <si>
    <t>Basis of measurement</t>
  </si>
  <si>
    <t xml:space="preserve">The financial statements have been prepared on the historical cost convention except for the defined benefit obligation which is recognized at the present value of future obligation using the projected unit credit method. </t>
  </si>
  <si>
    <t>Accounting estimates and assumptions</t>
  </si>
  <si>
    <t>General</t>
  </si>
  <si>
    <t xml:space="preserve">Intangible assets comprise of ......................., Intangible assets with finite useful lives that are acquired separately are carried at cost less accumulated amortization and accumulated impairment losses. Amortization is recognized on a straight-line basis over their estimated useful lives of ................years respectively. The estimated useful life and amortization method are reviewed at the end of each reporting period, with the effect of any changes in estimate being accounted for on a prospective basis. Intangible assets with indefinite useful lives that are acquired separately are carried at cost less accumulated impairment losses. </t>
  </si>
  <si>
    <t xml:space="preserve">Intangible assets </t>
  </si>
  <si>
    <t>Asset</t>
  </si>
  <si>
    <t xml:space="preserve"> Dep Rate </t>
  </si>
  <si>
    <t>* Investment property is not measured at fair value on each reporting date, as a result of measuring its fair value in a reliable manner from an undue cost and effort..</t>
  </si>
  <si>
    <t>Property, plant and equipment are recognized  at cost less accumulated depreciation. The cost includes the amount paid for the acquisition of the asset and any costs directly attributable to bringing the asset to operation on site and in the condition necessary for it to be operable in the manner intended by the administration. These may include site setup, delivery, initial handling, installation, assembly and operating testing. To be carried out using the straight-line method over the estimated period of their useful life using the following annual rates:</t>
  </si>
  <si>
    <t>An entity recognizes the carrying amount of property, plant and equipment or recognizes as a separate asset the cost of replacing parts of this item when the cost is incurred and when future economic benefits are probable. The replacement value of the replaced part is written off.</t>
  </si>
  <si>
    <t>The entity applies the cost model to measure all classes of property and equipment. After recognition as an asset, an item of property and equipment is stated at cost less any amortized depreciation and impairment losses, if any.</t>
  </si>
  <si>
    <t xml:space="preserve">Inventories are stated at the lower of cost and net estimated sales value. Costs of inventories are determined on a weighted average cost basis. net estimated sales represents the estimated selling price for inventories less all estimated costs of completion and costs necessary to make the sale and markdown. A provision is made against slow moving, obsolete and damaged inventories. Damaged inventories are identified during the inventory count. Provision for slow moving and obsolete inventories is assessed periodically by management for each inventory category as part of its ongoing financial reporting review. </t>
  </si>
  <si>
    <t>held-to-maturity investments</t>
  </si>
  <si>
    <t>Financial assets available for sale</t>
  </si>
  <si>
    <t>A financial asset or a financial liability is initially recognized at the transaction price including transaction costs except for the initial measurement of financial assets and liabilities subsequently measured at fair value through profit or loss.</t>
  </si>
  <si>
    <t>Subsequent measurement</t>
  </si>
  <si>
    <t>Government Grants</t>
  </si>
  <si>
    <t>Government grants are as follows:</t>
  </si>
  <si>
    <t>C) Grants received by the entity before the revenue recognition controls are recognized as an obligation and the entity measures government grants at the fair value of the assets received or receivable.</t>
  </si>
  <si>
    <t>A) Grants that do not impose certain conditions on future obligation are recognized in the income statement when the grant becomes due to the entity</t>
  </si>
  <si>
    <t>B) Grants that impose certain conditions on the future obligation of the entity are recognized in income only when the obligation conditions are met</t>
  </si>
  <si>
    <t>Borrowing Costs</t>
  </si>
  <si>
    <t>An entity establishes all borrowing costs as an expense in profit or loss in the period in which they are incurred. Using the effective interest method of financial liabilities that are not at fair value through profit or loss.</t>
  </si>
  <si>
    <t>Financial assets and liabilities</t>
  </si>
  <si>
    <t>Frist measurement</t>
  </si>
  <si>
    <t>Financial assets and liabilities are classified as follows:</t>
  </si>
  <si>
    <t>investment properties</t>
  </si>
  <si>
    <t>An enterprise is classified as an investment property if the purpose of retaining the asset is to earn rental income or to develop capital Or both, and are measured at cost, including expenses directly related to the acquisition of the investment property .The cost model used in Section 17 of the (SMEs) where accumulated depreciation and accumulated impairment losses are subtracted If any, because it is impossible to measure what will result from measuring its fair value in a reliable and cost-effective manner.</t>
  </si>
  <si>
    <t>3-  First-time adoption of SMEs :</t>
  </si>
  <si>
    <t xml:space="preserve">3-1 The following is a reconciliation of the Company's statement of financial position reported in accordance with SOCPA to
</t>
  </si>
  <si>
    <t xml:space="preserve"> its statement of financial position under SMEs</t>
  </si>
  <si>
    <t xml:space="preserve">SOCPA </t>
  </si>
  <si>
    <t>impact of conversion</t>
  </si>
  <si>
    <t>SMEs</t>
  </si>
  <si>
    <t>3-A</t>
  </si>
  <si>
    <t>01January2017</t>
  </si>
  <si>
    <t>31DECEMBER2017</t>
  </si>
  <si>
    <t>Provisions are recognized when the Company has a present obligation (legal or constructive) as a resultof a past event, it is probable that an outflow of resources embodying economic benefits will be required to settle the obligation and a reliable estimate can be made of the amount of the obligation.</t>
  </si>
  <si>
    <t>In accordance with the regulations for companies in the kingdom of Saudi Arabia and the Company's articles of association. the Company established a statutory reserve by the appropriation of 10% of net income until the reserve equaled 30% of the share capital</t>
  </si>
  <si>
    <t>Accounts payable and accruals</t>
  </si>
  <si>
    <t>The amount of the liability to be paid for goods and services received is recognized whether or not the entity is invoiced .</t>
  </si>
  <si>
    <t>Under the terms of the labor and labor regulations in Saudi Arabia, the provision for employees' end of service indemnity is recognized by the entity and the expense is charged to the statement of income. The amount of the liability is calculated on the basis of the present value of the earned remuneration due to the employee if the employee leaves his employment as of the statement of financial position date, The amounts paid at the end of service are calculated on the basis of the salaries and allowances of the last employees and the number of years of their accumulated service as described in the labor regulations and workers within the Kingdom of Saudi Arabia. As the measurement of present value and actuarial assumptions will result from undue effort and cost, the actuarial assumptions of the discount rate, retirement age, salary increase and settlement have been disregarded in the period in which they are incurred.</t>
  </si>
  <si>
    <t xml:space="preserve">Employee Benefits - Provision for end of service  </t>
  </si>
  <si>
    <t>Revenue recognition</t>
  </si>
  <si>
    <t xml:space="preserve">Revenues consist of the fair values ​​of the consideration received or receivable from the sale of goods and services within the normal course of an enterprise's business and revenue is recognized when the following conditions are  : </t>
  </si>
  <si>
    <t>Cost of revenue</t>
  </si>
  <si>
    <t>The cost of revenue from cash and Deferred  purchases consists of goods, services, selling and marketing expenses. Other expenses other than the cost of services are classified as administrative and general expenses. Expenses are recorded when incurred as a period expense if the beneficiary periods can not be determined and are charged to the relevant periods.</t>
  </si>
  <si>
    <t>Operating and financing leases</t>
  </si>
  <si>
    <t>Lease contracts are classified as finance leases if the lease results in a material transfer of the interest and the related term of the lease. Other leases are classified as operating leases where the operating income is recognized in the statement of income on a straight-line basis over the lease term.</t>
  </si>
  <si>
    <t>Administrative and general expenses include direct and indirect costs that are not specifically related to the cost of revenue under the IFRS for SMEs. These costs shall be divided between the cost of income and administrative and general expenses, if necessary, in a systematic manner in accordance with the expense function.</t>
  </si>
  <si>
    <t>foreign currency</t>
  </si>
  <si>
    <t>Presentation currency of financial statements</t>
  </si>
  <si>
    <t xml:space="preserve"> a)</t>
  </si>
  <si>
    <t>Items in these financial statements are presented in Saudi Riyal ("SAR"), which is the functional currency of the presentation of the financial statements of the entity.</t>
  </si>
  <si>
    <t>Transactions and balances</t>
  </si>
  <si>
    <t xml:space="preserve"> b)</t>
  </si>
  <si>
    <t>Transactions denominated in foreign currencies are translated into Saudi Riyals at the rates of exchange ruling at the date of the transactions. Foreign currency gains and losses resulting from the settlement of such transactions and from the translation of monetary assets and liabilities denominated in foreign currencies are recognized at the rates prevailing at the end of the period in the statement of income.</t>
  </si>
  <si>
    <t>SOCPA</t>
  </si>
  <si>
    <t xml:space="preserve">Note </t>
  </si>
  <si>
    <t>Re classification</t>
  </si>
  <si>
    <t>Financing expenses</t>
  </si>
  <si>
    <t xml:space="preserve">   depreciacion</t>
  </si>
  <si>
    <t xml:space="preserve">Non-current assets </t>
  </si>
  <si>
    <t>Partner Name</t>
  </si>
  <si>
    <t xml:space="preserve">Total </t>
  </si>
  <si>
    <t>Number of shares</t>
  </si>
  <si>
    <t>Share value</t>
  </si>
  <si>
    <t>The related parties Name</t>
  </si>
  <si>
    <t xml:space="preserve">nature Relationship
 </t>
  </si>
  <si>
    <t>Capital work in progress</t>
  </si>
  <si>
    <t>Leasing  Assets  (net)</t>
  </si>
  <si>
    <t>finance</t>
  </si>
  <si>
    <t>Partner</t>
  </si>
  <si>
    <t>Nature of transactions</t>
  </si>
  <si>
    <t>Financial instruments and risk management</t>
  </si>
  <si>
    <t>The Group's activities expose it to several financial risks: market risk (including currency risk, fair value and cash flows, interest rate risk, credit risk and liquidity risk). The entity's overall risk management program focuses on the volatility of financial markets and seeks to minimize the potential negative impact on the financial performance of the entity. The main types of risk are summarized below:</t>
  </si>
  <si>
    <t>Currency risk</t>
  </si>
  <si>
    <t>Foreign exchange risk represents the risk of change in the value of financial instruments as a result of foreign currency fluctuations. All entity transactions are denominated in Saudi Riyals and consequently the entity's activity is not exposed to currency risk.</t>
  </si>
  <si>
    <t>A-</t>
  </si>
  <si>
    <t>B-</t>
  </si>
  <si>
    <t>C-</t>
  </si>
  <si>
    <t>D-</t>
  </si>
  <si>
    <t>H-</t>
  </si>
  <si>
    <t>M-</t>
  </si>
  <si>
    <t>N-</t>
  </si>
  <si>
    <t>Interest rate risk on cash flows and fair value</t>
  </si>
  <si>
    <t>Is the exposure to various risks related to the volatility of market interest rates on the financial position and cash flows of the entity. The entity has no interest rate risk on its cash flows and fair value.</t>
  </si>
  <si>
    <t>Credit risk</t>
  </si>
  <si>
    <t>Credit risk is the inability of the counterparty to meet its obligations to the entity, causing the other party to incur a financial loss. The entity has no significant concentration of credit risk. Cash is deposited with banks with a sound credit rating..</t>
  </si>
  <si>
    <t>Liquidity risk</t>
  </si>
  <si>
    <t>Is the risk that an entity will not be able to secure the liquidity required to meet liabilities relating to financial instruments. Liquidity risk may result from the inability to sell financial assets quickly and at fair value. Liquidity risk is managed by periodically ensuring that sufficient liquidity is available to meet any obligations in the future.</t>
  </si>
  <si>
    <t>Fair value is the amount at which an asset is exchanged or a liability settled between knowledgeable parties and willing to do so under normal conditions. The entity's financial instruments are grouped on a historical cost basis and differences can arise between book value and fair value estimates. Management considers that the fair values of the financial assets of the entity and its financial liabilities are not materially different from their carrying values.</t>
  </si>
  <si>
    <t xml:space="preserve">Fair value </t>
  </si>
  <si>
    <t>Subsequent events</t>
  </si>
  <si>
    <t xml:space="preserve"> -Previous period data has been reclassified to conform to current period data  .</t>
  </si>
  <si>
    <t xml:space="preserve"> - Figures in the financial statements are rounded to the nearest Saudi Riyals .</t>
  </si>
  <si>
    <t xml:space="preserve"> - The numbers in parentheses are subtracted .</t>
  </si>
  <si>
    <t>10/12/1417 h</t>
  </si>
  <si>
    <t>debit</t>
  </si>
  <si>
    <t>Credit</t>
  </si>
  <si>
    <t>Opening balance</t>
  </si>
  <si>
    <t>Movement during the period</t>
  </si>
  <si>
    <t>Ending Balance</t>
  </si>
  <si>
    <t xml:space="preserve">Total               </t>
  </si>
  <si>
    <t>Fluorite Valves Company</t>
  </si>
  <si>
    <t>Net cash  used in operating activities</t>
  </si>
  <si>
    <t>Net cash generated from investing activities</t>
  </si>
  <si>
    <t>Net cash generated from  financing activities</t>
  </si>
  <si>
    <t xml:space="preserve"> receivables and credit (including trade receivables, short-term investments, cash and cash equivalents).</t>
  </si>
  <si>
    <t>1 - The possibility of reliable measurement of revenue.
2 -The economic benefit is likely to be incurred by the enterprise.
3 -  the entity shall not retain the right of continuing administrative intervention to the extent that it is normally associated with ownership.
4 - the possibility of measuring the cost of business operations and the costs of completion of sales related to it reliably.
5 -The entity shall transfer the significant risks and rewards of ownership of the goods to the buyer  .</t>
  </si>
  <si>
    <t>Approval of financial statements</t>
  </si>
  <si>
    <t>These financial statements were authorized for issue and approved on on 03/02/2019ad  corresponding to 28/05/1440H by the Board of Directors of the Company.</t>
  </si>
  <si>
    <t>There have been no significant subsequent events since the year ended 31 December 2018 that
would have a material impact on the financial position of the Company as reflected in these financial
statements except as mentioned in note …....</t>
  </si>
  <si>
    <t>Investments in Subsidiaries</t>
  </si>
  <si>
    <t>3-B</t>
  </si>
  <si>
    <t>Reclassification of depreciation and presentation of fixed assets based on the expense function in accordance with Section 5 "Income statement and comprehensive income"  of SMEs.</t>
  </si>
  <si>
    <t>Accumulated losses</t>
  </si>
  <si>
    <t xml:space="preserve">FLORIGHT </t>
  </si>
  <si>
    <t>Related by Partner</t>
  </si>
  <si>
    <t>ايجارات وسعي</t>
  </si>
  <si>
    <t xml:space="preserve">مصاريف حكومية </t>
  </si>
  <si>
    <t xml:space="preserve">اهلاكات الاصول الثابتة </t>
  </si>
  <si>
    <t>مصروفات سيارات</t>
  </si>
  <si>
    <t>صيانة واصلاح</t>
  </si>
  <si>
    <t xml:space="preserve">تامينات الاجتماعية </t>
  </si>
  <si>
    <t xml:space="preserve"> م نقل وشحن</t>
  </si>
  <si>
    <t>دعاية وإعلان</t>
  </si>
  <si>
    <t xml:space="preserve">مكتبية ومطبوعات </t>
  </si>
  <si>
    <t>كهرباء ومياة</t>
  </si>
  <si>
    <t>رسوم بنكية وعمولات</t>
  </si>
  <si>
    <t>13</t>
  </si>
  <si>
    <t>Adjustment of professional fees due for an increase of SR 2,325 as accrued expenses and administrative expenses not recognized in 2017   in accordance with Section 10, "Accounting Policies, Estimates and Errors" of SMEs.</t>
  </si>
  <si>
    <t>3-A 3-B</t>
  </si>
  <si>
    <t>The related parties are the entities associated with the entity, its key employees and other entities that are wholly or jointly controlled by, or have significant influence over, the parties. Transactions with related parties consist of payments from  by those parties to support the operations of the entity and its working capital. A fixed schedule for the repayment of these amounts and the payment of which does not entail any financial burdens. The balances of related parties as of December 31 are as follows:</t>
  </si>
  <si>
    <t>Independent auditor's report</t>
  </si>
  <si>
    <t>Statement of financial position</t>
  </si>
  <si>
    <t>statement of profit or loss and other comprehensive income</t>
  </si>
  <si>
    <t>Statement of changes in equity</t>
  </si>
  <si>
    <t>Statement of cash flows</t>
  </si>
  <si>
    <t>Notes to the financial statements</t>
  </si>
  <si>
    <t>December</t>
  </si>
  <si>
    <t>The zakat was calculated for the institution in an estimation, due to the incomplete year of the institution, and when the institution was converted into a company, the zakat was calculated at an amount of 16,076 riyals.</t>
  </si>
  <si>
    <t>force continuity</t>
  </si>
  <si>
    <t>The management meeting was held for the purpose of studying the principle of continuity, and they were approved to support the facility when necessary, and accordingly the financial statements were prepared according to the assumption of continuity.</t>
  </si>
  <si>
    <t>19-</t>
  </si>
  <si>
    <t>Approval of the financial statements</t>
  </si>
  <si>
    <t>The financial statements have been approved by the managing director.</t>
  </si>
  <si>
    <t>20-</t>
  </si>
  <si>
    <t>subsequent events</t>
  </si>
  <si>
    <t>With the beginning of the year 2020, the Corona virus (COVID-19) began to spread around the world at a strong speed, and the virus did not have an impact on human lives only, but on companies and all markets and commercial activities, and the impact of this event on the financial position and business results was actually reflected in The fiscal year ended in 2020, but the world is still apprehensive due to the emergence of new mutations that are no less dangerous than the original virus (Covid-19), and no one can determine the impact of these mutations in a concrete way, and all companies and institutions need to carefully consider the accounting effects, both on Limiting the current and future situation and determining the impact on its business, financial position and business results, as well as on the ability of establishments to ensure their current and future cash flows, which will have an impact on the possibility of the establishment’s continuity or not in the following fiscal years of 2021 CE due to the cumulative impact of this virus on the entire economy .</t>
  </si>
  <si>
    <t>20/A</t>
  </si>
  <si>
    <t>additional capital</t>
  </si>
  <si>
    <t xml:space="preserve">Balance in 05 may 2018 </t>
  </si>
  <si>
    <t>Purchase of real estate, machinery and equipment</t>
  </si>
  <si>
    <t xml:space="preserve"> Related parties  </t>
  </si>
  <si>
    <t>9</t>
  </si>
  <si>
    <t>15</t>
  </si>
  <si>
    <t>16</t>
  </si>
  <si>
    <t xml:space="preserve">prieod from 5 may  to 31 december </t>
  </si>
  <si>
    <t>Basics of preparing financial statements:</t>
  </si>
  <si>
    <t>Applicable accounting standards:</t>
  </si>
  <si>
    <t>The financial statements have been prepared in accordance with the International Financial Reporting Standard for Small and Medium-sized Enterprises approved in the Kingdom of Saudi Arabia and other standards and issuances approved by the Saudi Organization for Auditors and Accountants, and the facility has fully complied with the sections of the International Financial Reporting Standard and those related issuances and standards.</t>
  </si>
  <si>
    <t>2-1</t>
  </si>
  <si>
    <t>2-2</t>
  </si>
  <si>
    <t>The attached financial statements have been prepared on the basis of historical cost and according to the accrual principle of accounting, and in accordance with the International Standard for Financial Reporting for Small and Medium-Sized Enterprises approved by the Saudi Organization for Auditors and Accountants.</t>
  </si>
  <si>
    <t>2-3</t>
  </si>
  <si>
    <t>Presentation currency of the financial statements</t>
  </si>
  <si>
    <t>(A</t>
  </si>
  <si>
    <t>Foreign currency transactions and balances</t>
  </si>
  <si>
    <t>Transactions in foreign currencies are translated into Saudi riyals at the exchange rates prevailing on the date of those transactions. The gains and losses of currency differences resulting from the settlement of such transactions, as well as resulting from the translation of monetary assets and liabilities in foreign currency based on the prevailing currency exchange rates as at the end of the period, are recorded in the income statement.</t>
  </si>
  <si>
    <t>A summary of significant accounting policies:</t>
  </si>
  <si>
    <t>3-</t>
  </si>
  <si>
    <t>Preparing financial statements in accordance with the International Financial Reporting Standard for Small and Medium-sized Enterprises requires the use of estimates and assumptions that affect the amounts of assets and liabilities, disclosure of potential assets and liabilities as at the date of the financial statements, as well as estimating the amounts of revenues and expenses during the financial period. Estimates and assumptions are continually evaluated and are based on past experience and other factors, including expectations of future events that are considered appropriate in the circumstances. The entity makes estimates and assumptions about the future that, by definition, will seldom equal the actual results.</t>
  </si>
  <si>
    <t>3-2</t>
  </si>
  <si>
    <t>3-3</t>
  </si>
  <si>
    <t>3-5</t>
  </si>
  <si>
    <t>3-6</t>
  </si>
  <si>
    <t xml:space="preserve"> Debt instruments classified as current assets or current liabilities are measured at the undiscounted amount of cash or other cash consideration expected to be paid or received Arrangement(Unless, in fact, the arrangement constitutes a financing transaction)</t>
  </si>
  <si>
    <t>Investments in associate companies</t>
  </si>
  <si>
    <t>3-7</t>
  </si>
  <si>
    <t>An associate is an entity, including an entity that is not legally independent such as a partnership, over which the investing entity has significant influence.Which is not a subsidiary or a stake in a joint venture.Significant influence is the ability to participate in the financial and operating policy decisions of the investee, but is not control or control Common to those policies, and they are accounted for at cost minus any accumulated impairment losses.</t>
  </si>
  <si>
    <t>3-8</t>
  </si>
  <si>
    <t>3-10</t>
  </si>
  <si>
    <t>3-11</t>
  </si>
  <si>
    <t>3-9</t>
  </si>
  <si>
    <t>government grants</t>
  </si>
  <si>
    <t>Grants that do not impose on the entity certain conditions relating to future performance are recognized in income when this grant becomes owed to the facility</t>
  </si>
  <si>
    <t>(a)</t>
  </si>
  <si>
    <t>(b)</t>
  </si>
  <si>
    <t>Grants that impose on the entity certain conditions relating to future performance are recognized in income only when the performance conditions are met.</t>
  </si>
  <si>
    <t xml:space="preserve"> The grants obtained by the facility before the revenue recognition criteria are met, are recorded as an obligation An entity measures government grants at the fair value of the assets received or receivable.</t>
  </si>
  <si>
    <t>(c)</t>
  </si>
  <si>
    <t xml:space="preserve">Government grants prove as follows:  </t>
  </si>
  <si>
    <t>Borrowing costs</t>
  </si>
  <si>
    <t>The entity recognizes all borrowing costs as an expense in profit or loss in the period in which they are incurred. Using The effective interest rate method for financial obligations that are not at fair value through profit or loss.</t>
  </si>
  <si>
    <t>Summary of significant accounting policies - continued:</t>
  </si>
  <si>
    <t>3-12</t>
  </si>
  <si>
    <t>3-13</t>
  </si>
  <si>
    <t>3-14</t>
  </si>
  <si>
    <t>3-15</t>
  </si>
  <si>
    <t>3-16</t>
  </si>
  <si>
    <t>3-17</t>
  </si>
  <si>
    <t>type of assets</t>
  </si>
  <si>
    <t xml:space="preserve"> Partner</t>
  </si>
  <si>
    <t>Employee benefits at December 31 consist of the following:</t>
  </si>
  <si>
    <t>Balance at the beginning of the year</t>
  </si>
  <si>
    <t>component during the year</t>
  </si>
  <si>
    <t>actuarial losses*</t>
  </si>
  <si>
    <t>Paid during the year</t>
  </si>
  <si>
    <t>Balance at the end of the period</t>
  </si>
  <si>
    <t>The significant assumptions used in determining the employee benefit obligations are as follows:</t>
  </si>
  <si>
    <t>Discount rate</t>
  </si>
  <si>
    <t>Future salary increase rate</t>
  </si>
  <si>
    <t>retirement age</t>
  </si>
  <si>
    <t>Sensitivity analysis:</t>
  </si>
  <si>
    <t>Statement</t>
  </si>
  <si>
    <t>Leaving Rate</t>
  </si>
  <si>
    <t>change in assumptions</t>
  </si>
  <si>
    <t>The increase in assumptions</t>
  </si>
  <si>
    <t>Trade creditors</t>
  </si>
  <si>
    <t>Advance payments from clients</t>
  </si>
  <si>
    <t>Owners of electronic applications</t>
  </si>
  <si>
    <t>*The additional capital represents: support from related parties to the company and they have waived all these amounts in favor of the company as support in exchange for expansion and spread, and this waiver does not require any rights or obligations on the company.</t>
  </si>
  <si>
    <t>Other comprehensive income</t>
  </si>
  <si>
    <t>Employees' benefits</t>
  </si>
  <si>
    <t>8-18</t>
  </si>
  <si>
    <t>1-3</t>
  </si>
  <si>
    <t>p)</t>
  </si>
  <si>
    <t>31</t>
  </si>
  <si>
    <t>Cash at banks</t>
  </si>
  <si>
    <t>On 05/30/2022, the company's capital was modified from 25,000 Saudi riyals to 3,000,000 Saudi riyals.</t>
  </si>
  <si>
    <t>Furniture</t>
  </si>
  <si>
    <t>computer</t>
  </si>
  <si>
    <t>machinery and equipment</t>
  </si>
  <si>
    <t>(Deduct) the provision for doubtful debts</t>
  </si>
  <si>
    <t>60 سنة</t>
  </si>
  <si>
    <t>withholding tax</t>
  </si>
  <si>
    <t>راس مال إضافي</t>
  </si>
  <si>
    <t>The company’s management recalculated the provision for employee benefits as on December 31, 2021, in accordance with the human resources system, and it had no effect on the year, as this difference is charged to comprehensive income as on December 31, 2021.</t>
  </si>
  <si>
    <t>The results are affected by the assumptions used, especially the leaving service assumptions. The following table shows the change in the defined benefit obligations based on the increase or decrease in the value of the basic assumptions as on December 31, 2021:</t>
  </si>
  <si>
    <t>accrued expenses</t>
  </si>
  <si>
    <t>Electrical appliance</t>
  </si>
  <si>
    <t>Net income for the year after zakat</t>
  </si>
  <si>
    <t>Gain (loss) on sale of property, plant and equipment</t>
  </si>
  <si>
    <t xml:space="preserve">مخصص منافع الموظفين  المستخدم </t>
  </si>
  <si>
    <t>Capital increase</t>
  </si>
  <si>
    <t>(Foreign Company – Limited Liability Company)</t>
  </si>
  <si>
    <t>Riyadh – Kingdom of Saudi Arabia</t>
  </si>
  <si>
    <t>Financial Statements and Independent Auditor’s Report</t>
  </si>
  <si>
    <t>For the Year Ending 31 December 2024</t>
  </si>
  <si>
    <t>For the Period Ended 31 December 2024</t>
  </si>
  <si>
    <t xml:space="preserve"> revenue</t>
  </si>
  <si>
    <t>Shipping and Transportation Expenses</t>
  </si>
  <si>
    <t>Bonuses and Incentives</t>
  </si>
  <si>
    <t>Cost of Goods Sold</t>
  </si>
  <si>
    <t>Operating Expenses</t>
  </si>
  <si>
    <t>prepaid expenses</t>
  </si>
  <si>
    <t>employees' receivables and advances</t>
  </si>
  <si>
    <t>guarantee plan insurance</t>
  </si>
  <si>
    <t>insurance with third parties</t>
  </si>
  <si>
    <t>other debit balances</t>
  </si>
  <si>
    <t>accrued professional fees</t>
  </si>
  <si>
    <t>value-added tax (VAT)</t>
  </si>
  <si>
    <t>accrued expenses - social insurance</t>
  </si>
  <si>
    <t xml:space="preserve">Provision for income tax
</t>
  </si>
  <si>
    <t>INCOME BEFORE income tax</t>
  </si>
  <si>
    <t>income tax</t>
  </si>
  <si>
    <t>salaries and wages and similar expenses</t>
  </si>
  <si>
    <t>social insurance</t>
  </si>
  <si>
    <t>government fees and subscriptions</t>
  </si>
  <si>
    <t>end-of-service gratuity expenses</t>
  </si>
  <si>
    <t>stationery and printing</t>
  </si>
  <si>
    <t>postage, telephone, and internet</t>
  </si>
  <si>
    <t>travel tickets and transportation</t>
  </si>
  <si>
    <t>banking expenses and commissions</t>
  </si>
  <si>
    <t>other expenses</t>
  </si>
  <si>
    <t>programming and maintenance expenses</t>
  </si>
  <si>
    <t>professional fees expenses</t>
  </si>
  <si>
    <t>depreciation of properties, buildings, and equipment</t>
  </si>
  <si>
    <t>additional contributions to capital</t>
  </si>
  <si>
    <t>settlements</t>
  </si>
  <si>
    <t>financing costs</t>
  </si>
  <si>
    <t>income before income tax</t>
  </si>
  <si>
    <t>provisions charged to the period accounts</t>
  </si>
  <si>
    <t>consumption differences</t>
  </si>
  <si>
    <t>fines and penalties</t>
  </si>
  <si>
    <t>owner’s salaries</t>
  </si>
  <si>
    <t>non-deductible expenses</t>
  </si>
  <si>
    <t>amounts paid from provisions during the period</t>
  </si>
  <si>
    <t>deductions from carried-forward losses</t>
  </si>
  <si>
    <t>adjusted net profit</t>
  </si>
  <si>
    <t xml:space="preserve"> The company settled its zakat position with the General Authority of Zakat and Income according to Zakat Certificate No. 3104614357 dated 09/28/1443 AH. This certificate is valid until 10/10/1444 AH corresponding to 04-30-2023 AD.</t>
  </si>
  <si>
    <t>income tax position:</t>
  </si>
  <si>
    <t xml:space="preserve">coverage of previous years' losses
</t>
  </si>
  <si>
    <t>capital increase</t>
  </si>
  <si>
    <t>The income tax is accounted for in the attached financial statements by charging it to the income statement. Any adjustments that may arise from the final tax assessment are recorded in the income statement in the year the assessment is finalized.</t>
  </si>
  <si>
    <t xml:space="preserve"> income tax</t>
  </si>
  <si>
    <t>15/1</t>
  </si>
  <si>
    <t>18-</t>
  </si>
  <si>
    <r>
      <t>Legal entity:</t>
    </r>
    <r>
      <rPr>
        <sz val="12"/>
        <rFont val="Sakkal Majalla"/>
      </rPr>
      <t xml:space="preserve"> (Foreign Company - Limited Liability)</t>
    </r>
  </si>
  <si>
    <r>
      <t>Name of company:</t>
    </r>
    <r>
      <rPr>
        <sz val="12"/>
        <rFont val="Sakkal Majalla"/>
      </rPr>
      <t xml:space="preserve">  00000000000000</t>
    </r>
  </si>
  <si>
    <r>
      <t>Commercial Register:</t>
    </r>
    <r>
      <rPr>
        <sz val="12"/>
        <rFont val="Sakkal Majalla"/>
      </rPr>
      <t xml:space="preserve"> 00000000000000000000000000</t>
    </r>
  </si>
  <si>
    <r>
      <t xml:space="preserve">The principal activities : </t>
    </r>
    <r>
      <rPr>
        <sz val="12"/>
        <rFont val="Sakkal Majalla"/>
      </rPr>
      <t>00000000000000000000000000000000000000000000000</t>
    </r>
  </si>
  <si>
    <r>
      <t>Financial year</t>
    </r>
    <r>
      <rPr>
        <sz val="12.5"/>
        <rFont val="Sakkal Majalla"/>
      </rPr>
      <t>:  0000000000000000000000000000</t>
    </r>
  </si>
  <si>
    <t>The company’s capital is set at (100,000) SAR, divided into (1,000) equal cash shares, each valued at (100) Saudi Riyals. The shares were distributed among the partners as follows:</t>
  </si>
  <si>
    <t>Net income for the year</t>
  </si>
  <si>
    <t xml:space="preserve">Balance in  01 january  2022 </t>
  </si>
  <si>
    <t xml:space="preserve">Balance in  01 january  2023 </t>
  </si>
  <si>
    <t>Balance at 31 December 2023</t>
  </si>
  <si>
    <t>Balance at 31 December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</si>
</sst>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0_-;_-* #,##0\-;_-* &quot;-&quot;_-;_-@_-"/>
    <numFmt numFmtId="165" formatCode="_-* #,##0.00_-;_-* #,##0.00\-;_-* &quot;-&quot;??_-;_-@_-"/>
    <numFmt numFmtId="166" formatCode="_-&quot;ر.س.‏&quot;\ * #,##0_-;_-&quot;ر.س.‏&quot;\ * #,##0\-;_-&quot;ر.س.‏&quot;\ * &quot;-&quot;_-;_-@_-"/>
    <numFmt numFmtId="167" formatCode="_-&quot;ر.س.‏&quot;\ * #,##0.00_-;_-&quot;ر.س.‏&quot;\ * #,##0.00\-;_-&quot;ر.س.‏&quot;\ * &quot;-&quot;??_-;_-@_-"/>
    <numFmt numFmtId="168" formatCode="&quot;&quot;#\);[Red]\(&quot;&quot;#\)"/>
    <numFmt numFmtId="169" formatCode="\-"/>
    <numFmt numFmtId="170" formatCode="#,##0_ ;\-#,##0\ "/>
    <numFmt numFmtId="171" formatCode="_(* #,##0_);_(* \(#,##0\);_(* &quot;-&quot;??_);_(@_)"/>
    <numFmt numFmtId="172" formatCode="0.0%"/>
    <numFmt numFmtId="173" formatCode="_-* #,##0_-;_-* #,##0\-;_-* &quot;-&quot;??_-;_-@_-"/>
    <numFmt numFmtId="174" formatCode="#,##0.00_ ;\-#,##0.00\ "/>
    <numFmt numFmtId="175" formatCode="[$-20B0000]d\ mmmm\ yyyy;@"/>
    <numFmt numFmtId="176" formatCode="\(@\)"/>
    <numFmt numFmtId="177" formatCode="#,##0_-;\(#,##0\)"/>
    <numFmt numFmtId="178" formatCode="##,##0_-;\(##,##0\)_0;\-"/>
    <numFmt numFmtId="179" formatCode="%0"/>
    <numFmt numFmtId="180" formatCode="0.000"/>
    <numFmt numFmtId="181" formatCode="#,##0.000000000000_ ;\-#,##0.000000000000\ "/>
  </numFmts>
  <fonts count="93" x14ac:knownFonts="1">
    <font>
      <sz val="10"/>
      <name val="Arial"/>
      <charset val="178"/>
    </font>
    <font>
      <sz val="12"/>
      <name val="Arabic Transparent"/>
      <charset val="178"/>
    </font>
    <font>
      <b/>
      <u/>
      <sz val="12"/>
      <name val="Arabic Transparent"/>
      <charset val="178"/>
    </font>
    <font>
      <b/>
      <sz val="12"/>
      <name val="Arabic Transparent"/>
      <charset val="178"/>
    </font>
    <font>
      <b/>
      <u val="double"/>
      <sz val="12"/>
      <name val="Arabic Transparent"/>
      <charset val="178"/>
    </font>
    <font>
      <b/>
      <sz val="12"/>
      <name val="Arabic Transparent"/>
    </font>
    <font>
      <sz val="12"/>
      <name val="Arabic Transparent"/>
    </font>
    <font>
      <b/>
      <u/>
      <sz val="12"/>
      <name val="Arabic Transparent"/>
    </font>
    <font>
      <sz val="10"/>
      <name val="Arial"/>
      <family val="2"/>
    </font>
    <font>
      <b/>
      <sz val="11"/>
      <name val="Arabic Transparent"/>
      <charset val="178"/>
    </font>
    <font>
      <sz val="10"/>
      <name val="Arial"/>
      <family val="2"/>
    </font>
    <font>
      <sz val="16"/>
      <name val="Traditional Arabic"/>
      <family val="1"/>
    </font>
    <font>
      <b/>
      <u/>
      <sz val="16"/>
      <name val="Traditional Arabic"/>
      <family val="1"/>
    </font>
    <font>
      <b/>
      <sz val="16"/>
      <name val="Traditional Arabic"/>
      <family val="1"/>
    </font>
    <font>
      <sz val="14"/>
      <name val="Traditional Arabic"/>
      <family val="1"/>
    </font>
    <font>
      <b/>
      <sz val="14"/>
      <name val="Traditional Arabic"/>
      <family val="1"/>
    </font>
    <font>
      <sz val="12"/>
      <name val="Traditional Arabic"/>
      <family val="1"/>
    </font>
    <font>
      <sz val="11"/>
      <color indexed="8"/>
      <name val="Arial"/>
      <family val="2"/>
      <charset val="178"/>
    </font>
    <font>
      <sz val="11"/>
      <color indexed="9"/>
      <name val="Arial"/>
      <family val="2"/>
      <charset val="178"/>
    </font>
    <font>
      <sz val="11"/>
      <color indexed="20"/>
      <name val="Arial"/>
      <family val="2"/>
      <charset val="178"/>
    </font>
    <font>
      <b/>
      <sz val="11"/>
      <color indexed="52"/>
      <name val="Arial"/>
      <family val="2"/>
      <charset val="178"/>
    </font>
    <font>
      <b/>
      <sz val="11"/>
      <color indexed="9"/>
      <name val="Arial"/>
      <family val="2"/>
      <charset val="178"/>
    </font>
    <font>
      <sz val="11"/>
      <color theme="1"/>
      <name val="Arial"/>
      <family val="2"/>
      <charset val="178"/>
      <scheme val="minor"/>
    </font>
    <font>
      <i/>
      <sz val="11"/>
      <color indexed="23"/>
      <name val="Arial"/>
      <family val="2"/>
      <charset val="178"/>
    </font>
    <font>
      <sz val="11"/>
      <color indexed="17"/>
      <name val="Arial"/>
      <family val="2"/>
      <charset val="178"/>
    </font>
    <font>
      <b/>
      <sz val="15"/>
      <color indexed="56"/>
      <name val="Arial"/>
      <family val="2"/>
      <charset val="178"/>
    </font>
    <font>
      <b/>
      <sz val="13"/>
      <color indexed="56"/>
      <name val="Arial"/>
      <family val="2"/>
      <charset val="178"/>
    </font>
    <font>
      <b/>
      <sz val="11"/>
      <color indexed="56"/>
      <name val="Arial"/>
      <family val="2"/>
      <charset val="178"/>
    </font>
    <font>
      <sz val="11"/>
      <color indexed="62"/>
      <name val="Arial"/>
      <family val="2"/>
      <charset val="178"/>
    </font>
    <font>
      <sz val="11"/>
      <color indexed="52"/>
      <name val="Arial"/>
      <family val="2"/>
      <charset val="178"/>
    </font>
    <font>
      <sz val="10"/>
      <name val="Arial"/>
      <family val="2"/>
      <charset val="178"/>
    </font>
    <font>
      <sz val="11"/>
      <color indexed="60"/>
      <name val="Arial"/>
      <family val="2"/>
      <charset val="178"/>
    </font>
    <font>
      <sz val="11"/>
      <color theme="1"/>
      <name val="Calibri"/>
      <family val="2"/>
      <charset val="178"/>
    </font>
    <font>
      <sz val="10"/>
      <name val="Times New Roman (Arabic)"/>
      <charset val="178"/>
    </font>
    <font>
      <sz val="12"/>
      <name val="Arial"/>
      <family val="2"/>
    </font>
    <font>
      <b/>
      <sz val="11"/>
      <color indexed="63"/>
      <name val="Arial"/>
      <family val="2"/>
      <charset val="178"/>
    </font>
    <font>
      <b/>
      <sz val="18"/>
      <color indexed="56"/>
      <name val="Times New Roman"/>
      <family val="2"/>
      <charset val="178"/>
    </font>
    <font>
      <b/>
      <sz val="11"/>
      <color indexed="8"/>
      <name val="Arial"/>
      <family val="2"/>
      <charset val="178"/>
    </font>
    <font>
      <sz val="11"/>
      <color indexed="10"/>
      <name val="Arial"/>
      <family val="2"/>
      <charset val="178"/>
    </font>
    <font>
      <b/>
      <sz val="12"/>
      <name val="Traditional Arabic"/>
      <family val="1"/>
    </font>
    <font>
      <sz val="11"/>
      <name val="Arabic Transparent"/>
      <charset val="178"/>
    </font>
    <font>
      <sz val="16"/>
      <color rgb="FFFF0000"/>
      <name val="Traditional Arabic"/>
      <family val="1"/>
    </font>
    <font>
      <b/>
      <u/>
      <sz val="10"/>
      <name val="Arial"/>
      <family val="2"/>
    </font>
    <font>
      <sz val="10"/>
      <name val="Arabic Transparent"/>
      <charset val="178"/>
    </font>
    <font>
      <sz val="13"/>
      <color indexed="8"/>
      <name val="Arial"/>
      <family val="2"/>
      <scheme val="minor"/>
    </font>
    <font>
      <b/>
      <u/>
      <sz val="10"/>
      <color theme="1"/>
      <name val="Tahoma"/>
      <family val="2"/>
    </font>
    <font>
      <b/>
      <sz val="10"/>
      <color theme="1"/>
      <name val="Tahoma"/>
      <family val="2"/>
    </font>
    <font>
      <sz val="10"/>
      <color theme="1"/>
      <name val="Tahoma"/>
      <family val="2"/>
    </font>
    <font>
      <sz val="9"/>
      <color theme="1"/>
      <name val="Tahoma"/>
      <family val="2"/>
    </font>
    <font>
      <b/>
      <sz val="10"/>
      <name val="Arial"/>
      <family val="2"/>
    </font>
    <font>
      <sz val="10"/>
      <color indexed="8"/>
      <name val="Arial"/>
      <family val="2"/>
    </font>
    <font>
      <b/>
      <sz val="18"/>
      <name val="Traditional Arabic"/>
      <family val="1"/>
    </font>
    <font>
      <sz val="14"/>
      <name val="Arial"/>
      <family val="2"/>
    </font>
    <font>
      <sz val="12"/>
      <name val="Times New Roman"/>
      <family val="1"/>
      <scheme val="major"/>
    </font>
    <font>
      <b/>
      <sz val="11"/>
      <name val="Times New Roman"/>
      <family val="1"/>
      <scheme val="major"/>
    </font>
    <font>
      <b/>
      <sz val="12"/>
      <name val="Times New Roman"/>
      <family val="1"/>
      <scheme val="major"/>
    </font>
    <font>
      <b/>
      <u/>
      <sz val="12"/>
      <name val="Times New Roman"/>
      <family val="1"/>
      <scheme val="major"/>
    </font>
    <font>
      <u/>
      <sz val="12"/>
      <name val="Times New Roman"/>
      <family val="1"/>
      <scheme val="major"/>
    </font>
    <font>
      <u/>
      <sz val="12"/>
      <name val="Arial"/>
      <family val="2"/>
    </font>
    <font>
      <sz val="14"/>
      <name val="Sakkal Majalla"/>
    </font>
    <font>
      <b/>
      <sz val="20"/>
      <name val="Sakkal Majalla"/>
    </font>
    <font>
      <b/>
      <u/>
      <sz val="10"/>
      <name val="Sakkal Majalla"/>
    </font>
    <font>
      <sz val="12"/>
      <name val="Sakkal Majalla"/>
    </font>
    <font>
      <b/>
      <u/>
      <sz val="12"/>
      <name val="Sakkal Majalla"/>
    </font>
    <font>
      <u/>
      <sz val="12"/>
      <name val="Sakkal Majalla"/>
    </font>
    <font>
      <b/>
      <sz val="14"/>
      <name val="Sakkal Majalla"/>
    </font>
    <font>
      <b/>
      <sz val="12"/>
      <name val="Sakkal Majalla"/>
    </font>
    <font>
      <sz val="18"/>
      <color rgb="FF5F6368"/>
      <name val="Sakkal Majalla"/>
    </font>
    <font>
      <b/>
      <u val="double"/>
      <sz val="12"/>
      <name val="Sakkal Majalla"/>
    </font>
    <font>
      <sz val="13"/>
      <color theme="1"/>
      <name val="Sakkal Majalla"/>
    </font>
    <font>
      <b/>
      <u/>
      <sz val="11.5"/>
      <name val="Sakkal Majalla"/>
    </font>
    <font>
      <b/>
      <sz val="11"/>
      <name val="Sakkal Majalla"/>
    </font>
    <font>
      <sz val="16"/>
      <name val="Sakkal Majalla"/>
    </font>
    <font>
      <b/>
      <u/>
      <sz val="16"/>
      <name val="Sakkal Majalla"/>
    </font>
    <font>
      <b/>
      <sz val="16"/>
      <name val="Sakkal Majalla"/>
    </font>
    <font>
      <sz val="16"/>
      <color rgb="FFFF0000"/>
      <name val="Sakkal Majalla"/>
    </font>
    <font>
      <b/>
      <u/>
      <sz val="11"/>
      <name val="Sakkal Majalla"/>
    </font>
    <font>
      <sz val="11"/>
      <name val="Sakkal Majalla"/>
    </font>
    <font>
      <b/>
      <sz val="10"/>
      <color rgb="FF222222"/>
      <name val="Sakkal Majalla"/>
    </font>
    <font>
      <sz val="10"/>
      <color rgb="FF000000"/>
      <name val="Sakkal Majalla"/>
    </font>
    <font>
      <sz val="13"/>
      <name val="Sakkal Majalla"/>
    </font>
    <font>
      <sz val="12.5"/>
      <name val="Sakkal Majalla"/>
    </font>
    <font>
      <b/>
      <u/>
      <sz val="13"/>
      <name val="Sakkal Majalla"/>
    </font>
    <font>
      <sz val="9.9499999999999993"/>
      <color rgb="FF000000"/>
      <name val="Sakkal Majalla"/>
    </font>
    <font>
      <sz val="10"/>
      <name val="Sakkal Majalla"/>
    </font>
    <font>
      <sz val="12"/>
      <color rgb="FFFF0000"/>
      <name val="Sakkal Majalla"/>
    </font>
    <font>
      <b/>
      <sz val="13"/>
      <name val="Sakkal Majalla"/>
    </font>
    <font>
      <b/>
      <u/>
      <sz val="14"/>
      <name val="Sakkal Majalla"/>
    </font>
    <font>
      <u/>
      <sz val="14"/>
      <name val="Sakkal Majalla"/>
    </font>
    <font>
      <sz val="12"/>
      <color indexed="8"/>
      <name val="Sakkal Majalla"/>
    </font>
    <font>
      <b/>
      <sz val="12"/>
      <color indexed="8"/>
      <name val="Sakkal Majalla"/>
    </font>
    <font>
      <sz val="12"/>
      <color indexed="9"/>
      <name val="Sakkal Majalla"/>
    </font>
    <font>
      <b/>
      <u/>
      <sz val="14"/>
      <color rgb="FFFF0000"/>
      <name val="Sakkal Majalla"/>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theme="0"/>
        <bgColor indexed="64"/>
      </patternFill>
    </fill>
    <fill>
      <patternFill patternType="solid">
        <fgColor indexed="13"/>
        <bgColor indexed="64"/>
      </patternFill>
    </fill>
    <fill>
      <patternFill patternType="solid">
        <fgColor rgb="FFD9D9D9"/>
        <bgColor indexed="64"/>
      </patternFill>
    </fill>
    <fill>
      <patternFill patternType="solid">
        <fgColor rgb="FFFFFF00"/>
        <bgColor indexed="64"/>
      </patternFill>
    </fill>
  </fills>
  <borders count="75">
    <border>
      <left/>
      <right/>
      <top/>
      <bottom/>
      <diagonal/>
    </border>
    <border>
      <left/>
      <right/>
      <top style="thin">
        <color indexed="64"/>
      </top>
      <bottom style="double">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hair">
        <color indexed="64"/>
      </bottom>
      <diagonal/>
    </border>
    <border>
      <left/>
      <right style="medium">
        <color indexed="64"/>
      </right>
      <top style="hair">
        <color indexed="64"/>
      </top>
      <bottom style="medium">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bottom/>
      <diagonal/>
    </border>
    <border>
      <left/>
      <right style="thin">
        <color indexed="64"/>
      </right>
      <top/>
      <bottom/>
      <diagonal/>
    </border>
    <border>
      <left/>
      <right style="medium">
        <color indexed="64"/>
      </right>
      <top/>
      <bottom/>
      <diagonal/>
    </border>
    <border>
      <left style="thin">
        <color indexed="64"/>
      </left>
      <right/>
      <top style="hair">
        <color indexed="64"/>
      </top>
      <bottom/>
      <diagonal/>
    </border>
    <border>
      <left/>
      <right style="medium">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5">
    <xf numFmtId="0" fontId="0" fillId="0" borderId="0"/>
    <xf numFmtId="165" fontId="8" fillId="0" borderId="0" applyFont="0" applyFill="0" applyBorder="0" applyAlignment="0" applyProtection="0"/>
    <xf numFmtId="9" fontId="10" fillId="0" borderId="0" applyFont="0" applyFill="0" applyBorder="0" applyAlignment="0" applyProtection="0"/>
    <xf numFmtId="165" fontId="8" fillId="0" borderId="0" applyFont="0" applyFill="0" applyBorder="0" applyAlignment="0" applyProtection="0"/>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5"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9" borderId="0" applyNumberFormat="0" applyBorder="0" applyAlignment="0" applyProtection="0"/>
    <xf numFmtId="0" fontId="19" fillId="3" borderId="0" applyNumberFormat="0" applyBorder="0" applyAlignment="0" applyProtection="0"/>
    <xf numFmtId="0" fontId="20" fillId="20" borderId="8" applyNumberFormat="0" applyAlignment="0" applyProtection="0"/>
    <xf numFmtId="0" fontId="21" fillId="21" borderId="9" applyNumberFormat="0" applyAlignment="0" applyProtection="0"/>
    <xf numFmtId="165" fontId="22" fillId="0" borderId="0" applyFont="0" applyFill="0" applyBorder="0" applyAlignment="0" applyProtection="0"/>
    <xf numFmtId="165" fontId="8" fillId="0" borderId="0" applyFont="0" applyFill="0" applyBorder="0" applyAlignment="0" applyProtection="0"/>
    <xf numFmtId="0" fontId="23" fillId="0" borderId="0" applyNumberFormat="0" applyFill="0" applyBorder="0" applyAlignment="0" applyProtection="0"/>
    <xf numFmtId="0" fontId="24" fillId="4" borderId="0" applyNumberFormat="0" applyBorder="0" applyAlignment="0" applyProtection="0"/>
    <xf numFmtId="0" fontId="25" fillId="0" borderId="10" applyNumberFormat="0" applyFill="0" applyAlignment="0" applyProtection="0"/>
    <xf numFmtId="0" fontId="26" fillId="0" borderId="11" applyNumberFormat="0" applyFill="0" applyAlignment="0" applyProtection="0"/>
    <xf numFmtId="0" fontId="27" fillId="0" borderId="12" applyNumberFormat="0" applyFill="0" applyAlignment="0" applyProtection="0"/>
    <xf numFmtId="0" fontId="27" fillId="0" borderId="0" applyNumberFormat="0" applyFill="0" applyBorder="0" applyAlignment="0" applyProtection="0"/>
    <xf numFmtId="0" fontId="28" fillId="7" borderId="8" applyNumberFormat="0" applyAlignment="0" applyProtection="0"/>
    <xf numFmtId="0" fontId="29" fillId="0" borderId="13" applyNumberFormat="0" applyFill="0" applyAlignment="0" applyProtection="0"/>
    <xf numFmtId="0" fontId="30" fillId="0" borderId="0" applyNumberFormat="0">
      <alignment horizontal="right"/>
    </xf>
    <xf numFmtId="0" fontId="31" fillId="22" borderId="0" applyNumberFormat="0" applyBorder="0" applyAlignment="0" applyProtection="0"/>
    <xf numFmtId="0" fontId="32" fillId="0" borderId="0"/>
    <xf numFmtId="0" fontId="33" fillId="0" borderId="0"/>
    <xf numFmtId="0" fontId="22" fillId="0" borderId="0"/>
    <xf numFmtId="0" fontId="34" fillId="0" borderId="0"/>
    <xf numFmtId="0" fontId="22" fillId="0" borderId="0"/>
    <xf numFmtId="0" fontId="8" fillId="0" borderId="0"/>
    <xf numFmtId="0" fontId="8" fillId="23" borderId="14" applyNumberFormat="0" applyFont="0" applyAlignment="0" applyProtection="0"/>
    <xf numFmtId="0" fontId="35" fillId="20" borderId="15" applyNumberFormat="0" applyAlignment="0" applyProtection="0"/>
    <xf numFmtId="9" fontId="22" fillId="0" borderId="0" applyFont="0" applyFill="0" applyBorder="0" applyAlignment="0" applyProtection="0"/>
    <xf numFmtId="0" fontId="36" fillId="0" borderId="0" applyNumberFormat="0" applyFill="0" applyBorder="0" applyAlignment="0" applyProtection="0"/>
    <xf numFmtId="0" fontId="37" fillId="0" borderId="16" applyNumberFormat="0" applyFill="0" applyAlignment="0" applyProtection="0"/>
    <xf numFmtId="0" fontId="38" fillId="0" borderId="0" applyNumberFormat="0" applyFill="0" applyBorder="0" applyAlignment="0" applyProtection="0"/>
    <xf numFmtId="166" fontId="8" fillId="0" borderId="0" applyFont="0" applyFill="0" applyBorder="0" applyAlignment="0" applyProtection="0"/>
    <xf numFmtId="167" fontId="8" fillId="0" borderId="0" applyFont="0" applyFill="0" applyBorder="0" applyAlignment="0" applyProtection="0"/>
    <xf numFmtId="164" fontId="8" fillId="0" borderId="0" applyFont="0" applyFill="0" applyBorder="0" applyAlignment="0" applyProtection="0"/>
    <xf numFmtId="165" fontId="8" fillId="0" borderId="0" applyFont="0" applyFill="0" applyBorder="0" applyAlignment="0" applyProtection="0"/>
    <xf numFmtId="175" fontId="8" fillId="0" borderId="0"/>
    <xf numFmtId="0" fontId="8" fillId="0" borderId="0"/>
    <xf numFmtId="0" fontId="43" fillId="0" borderId="0"/>
    <xf numFmtId="9" fontId="43" fillId="0" borderId="0" applyFont="0" applyFill="0" applyBorder="0" applyAlignment="0" applyProtection="0"/>
    <xf numFmtId="165" fontId="43" fillId="0" borderId="0" applyFont="0" applyFill="0" applyBorder="0" applyAlignment="0" applyProtection="0"/>
    <xf numFmtId="0" fontId="50" fillId="0" borderId="0">
      <alignment vertical="top"/>
    </xf>
  </cellStyleXfs>
  <cellXfs count="763">
    <xf numFmtId="0" fontId="0" fillId="0" borderId="0" xfId="0"/>
    <xf numFmtId="0" fontId="1" fillId="0" borderId="0" xfId="0" applyFont="1"/>
    <xf numFmtId="0" fontId="3" fillId="0" borderId="0" xfId="0" applyFont="1"/>
    <xf numFmtId="0" fontId="3" fillId="0" borderId="0" xfId="0" applyFont="1" applyAlignment="1">
      <alignment horizontal="left" readingOrder="2"/>
    </xf>
    <xf numFmtId="0" fontId="1" fillId="0" borderId="0" xfId="0" applyFont="1" applyAlignment="1">
      <alignment horizontal="right"/>
    </xf>
    <xf numFmtId="0" fontId="3" fillId="0" borderId="0" xfId="0" applyFont="1" applyAlignment="1">
      <alignment horizontal="left"/>
    </xf>
    <xf numFmtId="0" fontId="1" fillId="0" borderId="0" xfId="0" applyFont="1" applyAlignment="1">
      <alignment horizontal="justify" readingOrder="2"/>
    </xf>
    <xf numFmtId="37" fontId="3" fillId="0" borderId="0" xfId="0" applyNumberFormat="1" applyFont="1" applyAlignment="1">
      <alignment horizontal="right"/>
    </xf>
    <xf numFmtId="0" fontId="3" fillId="0" borderId="0" xfId="0" applyFont="1" applyAlignment="1">
      <alignment horizontal="justify" readingOrder="2"/>
    </xf>
    <xf numFmtId="0" fontId="1" fillId="0" borderId="0" xfId="0" applyFont="1" applyAlignment="1">
      <alignment horizontal="right" readingOrder="2"/>
    </xf>
    <xf numFmtId="0" fontId="4" fillId="0" borderId="0" xfId="0" applyFont="1" applyAlignment="1">
      <alignment horizontal="left" readingOrder="2"/>
    </xf>
    <xf numFmtId="0" fontId="2" fillId="0" borderId="0" xfId="0" applyFont="1"/>
    <xf numFmtId="37" fontId="1" fillId="0" borderId="0" xfId="0" applyNumberFormat="1" applyFont="1" applyAlignment="1">
      <alignment horizontal="right"/>
    </xf>
    <xf numFmtId="37" fontId="6" fillId="0" borderId="0" xfId="0" applyNumberFormat="1" applyFont="1" applyAlignment="1">
      <alignment horizontal="right"/>
    </xf>
    <xf numFmtId="0" fontId="2" fillId="0" borderId="0" xfId="0" applyFont="1" applyAlignment="1">
      <alignment horizontal="center"/>
    </xf>
    <xf numFmtId="0" fontId="6" fillId="0" borderId="0" xfId="0" applyFont="1" applyAlignment="1">
      <alignment horizontal="right"/>
    </xf>
    <xf numFmtId="3" fontId="6" fillId="0" borderId="0" xfId="0" applyNumberFormat="1" applyFont="1" applyAlignment="1">
      <alignment horizontal="right"/>
    </xf>
    <xf numFmtId="164" fontId="6" fillId="0" borderId="0" xfId="0" applyNumberFormat="1" applyFont="1" applyAlignment="1">
      <alignment horizontal="center"/>
    </xf>
    <xf numFmtId="0" fontId="7" fillId="0" borderId="0" xfId="0" applyFont="1"/>
    <xf numFmtId="0" fontId="6" fillId="0" borderId="0" xfId="0" applyFont="1" applyAlignment="1">
      <alignment horizontal="distributed" vertical="distributed" readingOrder="2"/>
    </xf>
    <xf numFmtId="0" fontId="5" fillId="0" borderId="0" xfId="0" applyFont="1"/>
    <xf numFmtId="0" fontId="5" fillId="0" borderId="0" xfId="0" applyFont="1" applyAlignment="1">
      <alignment horizontal="left"/>
    </xf>
    <xf numFmtId="0" fontId="5" fillId="0" borderId="0" xfId="0" applyFont="1" applyAlignment="1">
      <alignment horizontal="right"/>
    </xf>
    <xf numFmtId="0" fontId="1" fillId="0" borderId="0" xfId="0" applyFont="1" applyAlignment="1">
      <alignment horizontal="distributed" vertical="distributed" wrapText="1" readingOrder="2"/>
    </xf>
    <xf numFmtId="0" fontId="1" fillId="0" borderId="0" xfId="0" applyFont="1" applyAlignment="1">
      <alignment horizontal="right" wrapText="1"/>
    </xf>
    <xf numFmtId="0" fontId="11" fillId="0" borderId="0" xfId="0" applyFont="1"/>
    <xf numFmtId="0" fontId="12" fillId="0" borderId="0" xfId="0" applyFont="1"/>
    <xf numFmtId="0" fontId="12" fillId="0" borderId="0" xfId="0" applyFont="1" applyAlignment="1">
      <alignment horizontal="right" readingOrder="2"/>
    </xf>
    <xf numFmtId="0" fontId="11" fillId="0" borderId="0" xfId="0" applyFont="1" applyAlignment="1">
      <alignment readingOrder="2"/>
    </xf>
    <xf numFmtId="173" fontId="13" fillId="0" borderId="5" xfId="3" applyNumberFormat="1" applyFont="1" applyBorder="1" applyAlignment="1">
      <alignment horizontal="center" vertical="center" wrapText="1"/>
    </xf>
    <xf numFmtId="0" fontId="11" fillId="0" borderId="0" xfId="0" applyFont="1" applyAlignment="1">
      <alignment horizontal="center" vertical="center" wrapText="1"/>
    </xf>
    <xf numFmtId="0" fontId="13" fillId="0" borderId="0" xfId="0" applyFont="1"/>
    <xf numFmtId="0" fontId="39" fillId="0" borderId="6" xfId="0" applyFont="1" applyBorder="1" applyAlignment="1">
      <alignment vertical="center" wrapText="1"/>
    </xf>
    <xf numFmtId="172" fontId="11" fillId="0" borderId="5" xfId="2" applyNumberFormat="1" applyFont="1" applyBorder="1"/>
    <xf numFmtId="0" fontId="11" fillId="0" borderId="5" xfId="0" applyFont="1" applyBorder="1"/>
    <xf numFmtId="9" fontId="13" fillId="0" borderId="5" xfId="2" applyFont="1" applyBorder="1"/>
    <xf numFmtId="0" fontId="14" fillId="0" borderId="7" xfId="0" applyFont="1" applyBorder="1" applyAlignment="1">
      <alignment horizontal="center" vertical="center"/>
    </xf>
    <xf numFmtId="0" fontId="40" fillId="0" borderId="0" xfId="0" applyFont="1" applyAlignment="1">
      <alignment horizontal="center"/>
    </xf>
    <xf numFmtId="164" fontId="11" fillId="0" borderId="0" xfId="0" applyNumberFormat="1" applyFont="1"/>
    <xf numFmtId="0" fontId="41" fillId="24" borderId="0" xfId="0" applyFont="1" applyFill="1"/>
    <xf numFmtId="0" fontId="14" fillId="25" borderId="5" xfId="0" applyFont="1" applyFill="1" applyBorder="1" applyAlignment="1">
      <alignment horizontal="right"/>
    </xf>
    <xf numFmtId="0" fontId="13" fillId="0" borderId="5" xfId="0" applyFont="1" applyBorder="1" applyAlignment="1">
      <alignment horizontal="center" vertical="center" wrapText="1"/>
    </xf>
    <xf numFmtId="0" fontId="12" fillId="0" borderId="0" xfId="0" applyFont="1" applyAlignment="1">
      <alignment horizontal="center"/>
    </xf>
    <xf numFmtId="0" fontId="14" fillId="0" borderId="5" xfId="0" applyFont="1" applyBorder="1"/>
    <xf numFmtId="0" fontId="13" fillId="0" borderId="0" xfId="0" applyFont="1" applyAlignment="1">
      <alignment horizontal="center"/>
    </xf>
    <xf numFmtId="0" fontId="13" fillId="0" borderId="0" xfId="3" applyNumberFormat="1" applyFont="1" applyAlignment="1">
      <alignment horizontal="center" vertical="center" wrapText="1"/>
    </xf>
    <xf numFmtId="164" fontId="13" fillId="0" borderId="0" xfId="0" applyNumberFormat="1" applyFont="1" applyAlignment="1">
      <alignment horizontal="center"/>
    </xf>
    <xf numFmtId="173" fontId="13" fillId="0" borderId="0" xfId="0" applyNumberFormat="1" applyFont="1" applyAlignment="1">
      <alignment horizontal="center"/>
    </xf>
    <xf numFmtId="177" fontId="11" fillId="0" borderId="5" xfId="3" applyNumberFormat="1" applyFont="1" applyBorder="1" applyAlignment="1">
      <alignment horizontal="center" vertical="center" wrapText="1"/>
    </xf>
    <xf numFmtId="177" fontId="11" fillId="0" borderId="5" xfId="0" applyNumberFormat="1" applyFont="1" applyBorder="1" applyAlignment="1">
      <alignment horizontal="center" vertical="center" wrapText="1"/>
    </xf>
    <xf numFmtId="177" fontId="1" fillId="0" borderId="5" xfId="0" applyNumberFormat="1" applyFont="1" applyBorder="1" applyAlignment="1">
      <alignment horizontal="center" vertical="center"/>
    </xf>
    <xf numFmtId="177" fontId="13" fillId="0" borderId="5" xfId="3" applyNumberFormat="1" applyFont="1" applyBorder="1" applyAlignment="1">
      <alignment horizontal="center" vertical="center" wrapText="1"/>
    </xf>
    <xf numFmtId="177" fontId="13" fillId="0" borderId="5" xfId="0" applyNumberFormat="1" applyFont="1" applyBorder="1" applyAlignment="1">
      <alignment horizontal="center"/>
    </xf>
    <xf numFmtId="0" fontId="11" fillId="0" borderId="0" xfId="60" applyFont="1" applyAlignment="1">
      <alignment vertical="center"/>
    </xf>
    <xf numFmtId="0" fontId="11" fillId="0" borderId="0" xfId="61" applyFont="1" applyAlignment="1">
      <alignment vertical="center"/>
    </xf>
    <xf numFmtId="0" fontId="13" fillId="0" borderId="20" xfId="60" applyFont="1" applyBorder="1" applyAlignment="1">
      <alignment horizontal="right" vertical="center"/>
    </xf>
    <xf numFmtId="0" fontId="13" fillId="0" borderId="20" xfId="61" applyFont="1" applyBorder="1" applyAlignment="1">
      <alignment horizontal="right" vertical="center"/>
    </xf>
    <xf numFmtId="0" fontId="13" fillId="0" borderId="25" xfId="61" applyFont="1" applyBorder="1" applyAlignment="1">
      <alignment horizontal="right" vertical="center"/>
    </xf>
    <xf numFmtId="0" fontId="13" fillId="0" borderId="28" xfId="60" applyFont="1" applyBorder="1" applyAlignment="1">
      <alignment horizontal="center" vertical="center" shrinkToFit="1" readingOrder="2"/>
    </xf>
    <xf numFmtId="0" fontId="13" fillId="0" borderId="28" xfId="60" applyFont="1" applyBorder="1" applyAlignment="1">
      <alignment horizontal="center" vertical="center" shrinkToFit="1"/>
    </xf>
    <xf numFmtId="178" fontId="13" fillId="0" borderId="29" xfId="60" applyNumberFormat="1" applyFont="1" applyBorder="1" applyAlignment="1">
      <alignment horizontal="right" vertical="center" wrapText="1" readingOrder="2"/>
    </xf>
    <xf numFmtId="0" fontId="11" fillId="0" borderId="0" xfId="60" applyFont="1" applyAlignment="1">
      <alignment vertical="center" wrapText="1"/>
    </xf>
    <xf numFmtId="178" fontId="13" fillId="0" borderId="20" xfId="60" applyNumberFormat="1" applyFont="1" applyBorder="1" applyAlignment="1">
      <alignment horizontal="right" vertical="center" wrapText="1" readingOrder="2"/>
    </xf>
    <xf numFmtId="178" fontId="13" fillId="0" borderId="20" xfId="60" applyNumberFormat="1" applyFont="1" applyBorder="1" applyAlignment="1">
      <alignment horizontal="justify" vertical="center" wrapText="1"/>
    </xf>
    <xf numFmtId="2" fontId="11" fillId="0" borderId="0" xfId="60" applyNumberFormat="1" applyFont="1" applyAlignment="1">
      <alignment vertical="center" wrapText="1"/>
    </xf>
    <xf numFmtId="3" fontId="11" fillId="0" borderId="0" xfId="60" applyNumberFormat="1" applyFont="1" applyAlignment="1">
      <alignment vertical="center" wrapText="1"/>
    </xf>
    <xf numFmtId="178" fontId="13" fillId="0" borderId="25" xfId="60" applyNumberFormat="1" applyFont="1" applyBorder="1" applyAlignment="1">
      <alignment horizontal="right" vertical="center" wrapText="1" readingOrder="2"/>
    </xf>
    <xf numFmtId="178" fontId="13" fillId="0" borderId="30" xfId="60" applyNumberFormat="1" applyFont="1" applyBorder="1" applyAlignment="1">
      <alignment horizontal="right" vertical="center" wrapText="1" readingOrder="2"/>
    </xf>
    <xf numFmtId="0" fontId="44" fillId="0" borderId="0" xfId="61" applyFont="1" applyAlignment="1">
      <alignment vertical="center" wrapText="1" readingOrder="2"/>
    </xf>
    <xf numFmtId="0" fontId="11" fillId="0" borderId="0" xfId="60" applyFont="1" applyAlignment="1">
      <alignment vertical="center" readingOrder="2"/>
    </xf>
    <xf numFmtId="178" fontId="11" fillId="0" borderId="0" xfId="61" applyNumberFormat="1" applyFont="1" applyAlignment="1">
      <alignment vertical="center"/>
    </xf>
    <xf numFmtId="0" fontId="13" fillId="0" borderId="29" xfId="60" applyFont="1" applyBorder="1" applyAlignment="1">
      <alignment horizontal="center" vertical="center"/>
    </xf>
    <xf numFmtId="0" fontId="13" fillId="0" borderId="35" xfId="60" applyFont="1" applyBorder="1" applyAlignment="1">
      <alignment horizontal="center" vertical="center" readingOrder="2"/>
    </xf>
    <xf numFmtId="0" fontId="13" fillId="0" borderId="36" xfId="60" applyFont="1" applyBorder="1" applyAlignment="1">
      <alignment horizontal="center" vertical="center"/>
    </xf>
    <xf numFmtId="0" fontId="11" fillId="0" borderId="20" xfId="60" applyFont="1" applyBorder="1" applyAlignment="1">
      <alignment vertical="center"/>
    </xf>
    <xf numFmtId="179" fontId="11" fillId="0" borderId="21" xfId="62" applyNumberFormat="1" applyFont="1" applyBorder="1" applyAlignment="1">
      <alignment horizontal="center" vertical="center"/>
    </xf>
    <xf numFmtId="178" fontId="11" fillId="0" borderId="20" xfId="60" applyNumberFormat="1" applyFont="1" applyBorder="1" applyAlignment="1">
      <alignment horizontal="justify" vertical="center"/>
    </xf>
    <xf numFmtId="37" fontId="11" fillId="0" borderId="31" xfId="60" applyNumberFormat="1" applyFont="1" applyBorder="1" applyAlignment="1">
      <alignment horizontal="center" vertical="center" wrapText="1" readingOrder="2"/>
    </xf>
    <xf numFmtId="178" fontId="11" fillId="0" borderId="0" xfId="60" applyNumberFormat="1" applyFont="1" applyAlignment="1">
      <alignment horizontal="justify" vertical="center"/>
    </xf>
    <xf numFmtId="173" fontId="11" fillId="0" borderId="0" xfId="63" applyNumberFormat="1" applyFont="1" applyAlignment="1">
      <alignment vertical="center"/>
    </xf>
    <xf numFmtId="178" fontId="11" fillId="0" borderId="30" xfId="60" applyNumberFormat="1" applyFont="1" applyBorder="1" applyAlignment="1">
      <alignment horizontal="justify" vertical="center"/>
    </xf>
    <xf numFmtId="177" fontId="11" fillId="0" borderId="21" xfId="60" applyNumberFormat="1" applyFont="1" applyBorder="1" applyAlignment="1">
      <alignment horizontal="center" vertical="center" wrapText="1" readingOrder="2"/>
    </xf>
    <xf numFmtId="177" fontId="11" fillId="0" borderId="26" xfId="60" applyNumberFormat="1" applyFont="1" applyBorder="1" applyAlignment="1">
      <alignment horizontal="center" vertical="center" wrapText="1" readingOrder="2"/>
    </xf>
    <xf numFmtId="177" fontId="11" fillId="0" borderId="31" xfId="60" applyNumberFormat="1" applyFont="1" applyBorder="1" applyAlignment="1">
      <alignment horizontal="center" vertical="center" wrapText="1" readingOrder="2"/>
    </xf>
    <xf numFmtId="0" fontId="11" fillId="0" borderId="0" xfId="0" applyFont="1" applyAlignment="1">
      <alignment horizontal="right" wrapText="1" readingOrder="2"/>
    </xf>
    <xf numFmtId="0" fontId="46" fillId="0" borderId="0" xfId="0" applyFont="1" applyAlignment="1">
      <alignment horizontal="center" vertical="center" readingOrder="2"/>
    </xf>
    <xf numFmtId="0" fontId="45" fillId="0" borderId="0" xfId="0" applyFont="1" applyAlignment="1">
      <alignment horizontal="right" vertical="center" readingOrder="2"/>
    </xf>
    <xf numFmtId="0" fontId="0" fillId="0" borderId="0" xfId="0" applyAlignment="1">
      <alignment horizontal="center"/>
    </xf>
    <xf numFmtId="0" fontId="0" fillId="0" borderId="0" xfId="0" applyAlignment="1">
      <alignment horizontal="center" vertical="center"/>
    </xf>
    <xf numFmtId="0" fontId="46" fillId="0" borderId="0" xfId="0" applyFont="1" applyAlignment="1">
      <alignment horizontal="right" vertical="center" readingOrder="2"/>
    </xf>
    <xf numFmtId="0" fontId="47" fillId="27" borderId="5" xfId="0" applyFont="1" applyFill="1" applyBorder="1" applyAlignment="1">
      <alignment horizontal="center" vertical="center" wrapText="1" readingOrder="2"/>
    </xf>
    <xf numFmtId="9" fontId="47" fillId="0" borderId="0" xfId="0" applyNumberFormat="1" applyFont="1" applyAlignment="1">
      <alignment horizontal="center" vertical="center" wrapText="1" readingOrder="2"/>
    </xf>
    <xf numFmtId="0" fontId="47" fillId="27" borderId="5" xfId="0" applyFont="1" applyFill="1" applyBorder="1" applyAlignment="1">
      <alignment horizontal="right" vertical="center" wrapText="1" readingOrder="2"/>
    </xf>
    <xf numFmtId="3" fontId="47" fillId="0" borderId="5" xfId="1" applyNumberFormat="1" applyFont="1" applyBorder="1" applyAlignment="1">
      <alignment horizontal="center" vertical="center" wrapText="1" readingOrder="2"/>
    </xf>
    <xf numFmtId="0" fontId="48" fillId="0" borderId="5" xfId="0" applyFont="1" applyBorder="1" applyAlignment="1">
      <alignment horizontal="center" vertical="center" wrapText="1" readingOrder="2"/>
    </xf>
    <xf numFmtId="9" fontId="47" fillId="0" borderId="5" xfId="0" applyNumberFormat="1" applyFont="1" applyBorder="1" applyAlignment="1">
      <alignment horizontal="center" vertical="center" wrapText="1" readingOrder="2"/>
    </xf>
    <xf numFmtId="3" fontId="47" fillId="27" borderId="5" xfId="0" applyNumberFormat="1" applyFont="1" applyFill="1" applyBorder="1" applyAlignment="1">
      <alignment horizontal="center" vertical="center" wrapText="1" readingOrder="2"/>
    </xf>
    <xf numFmtId="0" fontId="8" fillId="0" borderId="0" xfId="0" applyFont="1" applyAlignment="1">
      <alignment horizontal="center"/>
    </xf>
    <xf numFmtId="0" fontId="8" fillId="0" borderId="0" xfId="0" applyFont="1" applyAlignment="1">
      <alignment horizontal="center" vertical="center"/>
    </xf>
    <xf numFmtId="3" fontId="0" fillId="0" borderId="5" xfId="1" applyNumberFormat="1" applyFont="1" applyBorder="1" applyAlignment="1">
      <alignment horizontal="center"/>
    </xf>
    <xf numFmtId="3" fontId="49" fillId="0" borderId="5" xfId="1" applyNumberFormat="1" applyFont="1" applyBorder="1" applyAlignment="1">
      <alignment horizontal="center"/>
    </xf>
    <xf numFmtId="3" fontId="49" fillId="0" borderId="5" xfId="1" applyNumberFormat="1" applyFont="1" applyBorder="1"/>
    <xf numFmtId="0" fontId="49" fillId="0" borderId="0" xfId="0" applyFont="1"/>
    <xf numFmtId="0" fontId="47" fillId="27" borderId="6" xfId="0" applyFont="1" applyFill="1" applyBorder="1" applyAlignment="1">
      <alignment horizontal="center" vertical="center" wrapText="1" readingOrder="2"/>
    </xf>
    <xf numFmtId="3" fontId="8" fillId="0" borderId="5" xfId="1" applyNumberFormat="1" applyBorder="1" applyAlignment="1">
      <alignment horizontal="center"/>
    </xf>
    <xf numFmtId="0" fontId="13" fillId="0" borderId="43" xfId="60" applyFont="1" applyBorder="1" applyAlignment="1">
      <alignment horizontal="center" vertical="center" shrinkToFit="1" readingOrder="2"/>
    </xf>
    <xf numFmtId="0" fontId="13" fillId="0" borderId="44" xfId="60" applyFont="1" applyBorder="1" applyAlignment="1">
      <alignment horizontal="center" vertical="center" shrinkToFit="1"/>
    </xf>
    <xf numFmtId="0" fontId="13" fillId="0" borderId="45" xfId="60" applyFont="1" applyBorder="1" applyAlignment="1">
      <alignment horizontal="center" vertical="center" shrinkToFit="1" readingOrder="2"/>
    </xf>
    <xf numFmtId="0" fontId="13" fillId="0" borderId="46" xfId="60" applyFont="1" applyBorder="1" applyAlignment="1">
      <alignment horizontal="center" vertical="center" shrinkToFit="1" readingOrder="2"/>
    </xf>
    <xf numFmtId="177" fontId="11" fillId="0" borderId="22" xfId="60" applyNumberFormat="1" applyFont="1" applyBorder="1" applyAlignment="1">
      <alignment horizontal="center" vertical="center" wrapText="1" readingOrder="2"/>
    </xf>
    <xf numFmtId="177" fontId="11" fillId="0" borderId="27" xfId="60" applyNumberFormat="1" applyFont="1" applyBorder="1" applyAlignment="1">
      <alignment horizontal="center" vertical="center" wrapText="1" readingOrder="2"/>
    </xf>
    <xf numFmtId="177" fontId="11" fillId="0" borderId="47" xfId="60" applyNumberFormat="1" applyFont="1" applyBorder="1" applyAlignment="1">
      <alignment horizontal="center" vertical="center" wrapText="1" readingOrder="2"/>
    </xf>
    <xf numFmtId="0" fontId="13" fillId="0" borderId="42" xfId="60" applyFont="1" applyBorder="1" applyAlignment="1">
      <alignment horizontal="center" vertical="center"/>
    </xf>
    <xf numFmtId="0" fontId="13" fillId="0" borderId="48" xfId="60" applyFont="1" applyBorder="1" applyAlignment="1">
      <alignment horizontal="center" vertical="center" readingOrder="2"/>
    </xf>
    <xf numFmtId="0" fontId="11" fillId="0" borderId="17" xfId="60" applyFont="1" applyBorder="1" applyAlignment="1">
      <alignment vertical="center"/>
    </xf>
    <xf numFmtId="179" fontId="11" fillId="0" borderId="18" xfId="62" applyNumberFormat="1" applyFont="1" applyBorder="1" applyAlignment="1">
      <alignment horizontal="center" vertical="center"/>
    </xf>
    <xf numFmtId="179" fontId="11" fillId="0" borderId="19" xfId="62" applyNumberFormat="1" applyFont="1" applyBorder="1" applyAlignment="1">
      <alignment horizontal="center" vertical="center"/>
    </xf>
    <xf numFmtId="179" fontId="11" fillId="0" borderId="22" xfId="62" applyNumberFormat="1" applyFont="1" applyBorder="1" applyAlignment="1">
      <alignment horizontal="center" vertical="center"/>
    </xf>
    <xf numFmtId="178" fontId="11" fillId="0" borderId="49" xfId="60" applyNumberFormat="1" applyFont="1" applyBorder="1" applyAlignment="1">
      <alignment horizontal="justify" vertical="center"/>
    </xf>
    <xf numFmtId="37" fontId="11" fillId="0" borderId="50" xfId="60" applyNumberFormat="1" applyFont="1" applyBorder="1" applyAlignment="1">
      <alignment horizontal="center" vertical="center" wrapText="1" readingOrder="2"/>
    </xf>
    <xf numFmtId="37" fontId="11" fillId="0" borderId="51" xfId="60" applyNumberFormat="1" applyFont="1" applyBorder="1" applyAlignment="1">
      <alignment horizontal="center" vertical="center" wrapText="1" readingOrder="2"/>
    </xf>
    <xf numFmtId="0" fontId="13" fillId="0" borderId="52" xfId="60" applyFont="1" applyBorder="1" applyAlignment="1">
      <alignment horizontal="center" vertical="center" readingOrder="2"/>
    </xf>
    <xf numFmtId="178" fontId="11" fillId="0" borderId="29" xfId="60" applyNumberFormat="1" applyFont="1" applyBorder="1" applyAlignment="1">
      <alignment horizontal="justify" vertical="center"/>
    </xf>
    <xf numFmtId="179" fontId="11" fillId="0" borderId="35" xfId="62" applyNumberFormat="1" applyFont="1" applyBorder="1" applyAlignment="1">
      <alignment horizontal="center" vertical="center"/>
    </xf>
    <xf numFmtId="179" fontId="11" fillId="0" borderId="36" xfId="62" applyNumberFormat="1" applyFont="1" applyBorder="1" applyAlignment="1">
      <alignment horizontal="center" vertical="center"/>
    </xf>
    <xf numFmtId="179" fontId="11" fillId="0" borderId="31" xfId="62" applyNumberFormat="1" applyFont="1" applyBorder="1" applyAlignment="1">
      <alignment horizontal="center" vertical="center"/>
    </xf>
    <xf numFmtId="179" fontId="11" fillId="0" borderId="47" xfId="62" applyNumberFormat="1" applyFont="1" applyBorder="1" applyAlignment="1">
      <alignment horizontal="center" vertical="center"/>
    </xf>
    <xf numFmtId="180" fontId="11" fillId="0" borderId="35" xfId="62" applyNumberFormat="1" applyFont="1" applyBorder="1" applyAlignment="1">
      <alignment horizontal="center" vertical="center" readingOrder="2"/>
    </xf>
    <xf numFmtId="180" fontId="11" fillId="0" borderId="21" xfId="62" applyNumberFormat="1" applyFont="1" applyBorder="1" applyAlignment="1">
      <alignment horizontal="center" vertical="center" readingOrder="2"/>
    </xf>
    <xf numFmtId="180" fontId="11" fillId="0" borderId="31" xfId="62" applyNumberFormat="1" applyFont="1" applyBorder="1" applyAlignment="1">
      <alignment horizontal="center" vertical="center" readingOrder="2"/>
    </xf>
    <xf numFmtId="179" fontId="11" fillId="0" borderId="51" xfId="62" applyNumberFormat="1" applyFont="1" applyBorder="1" applyAlignment="1">
      <alignment horizontal="center" vertical="center"/>
    </xf>
    <xf numFmtId="178" fontId="11" fillId="0" borderId="42" xfId="60" applyNumberFormat="1" applyFont="1" applyBorder="1" applyAlignment="1">
      <alignment horizontal="justify" vertical="center"/>
    </xf>
    <xf numFmtId="0" fontId="11" fillId="0" borderId="48" xfId="60" applyFont="1" applyBorder="1" applyAlignment="1">
      <alignment horizontal="center" vertical="center" readingOrder="2"/>
    </xf>
    <xf numFmtId="178" fontId="11" fillId="0" borderId="34" xfId="61" applyNumberFormat="1" applyFont="1" applyBorder="1" applyAlignment="1">
      <alignment horizontal="center" vertical="center"/>
    </xf>
    <xf numFmtId="0" fontId="11" fillId="0" borderId="35" xfId="60" applyFont="1" applyBorder="1" applyAlignment="1">
      <alignment horizontal="center" vertical="center" readingOrder="2"/>
    </xf>
    <xf numFmtId="0" fontId="11" fillId="0" borderId="53" xfId="60" applyFont="1" applyBorder="1" applyAlignment="1">
      <alignment horizontal="center" vertical="center" readingOrder="2"/>
    </xf>
    <xf numFmtId="0" fontId="11" fillId="0" borderId="21" xfId="60" applyFont="1" applyBorder="1" applyAlignment="1">
      <alignment horizontal="center" vertical="center" readingOrder="2"/>
    </xf>
    <xf numFmtId="0" fontId="11" fillId="0" borderId="24" xfId="60" applyFont="1" applyBorder="1" applyAlignment="1">
      <alignment horizontal="center" vertical="center" readingOrder="2"/>
    </xf>
    <xf numFmtId="0" fontId="11" fillId="0" borderId="31" xfId="60" applyFont="1" applyBorder="1" applyAlignment="1">
      <alignment horizontal="center" vertical="center" readingOrder="2"/>
    </xf>
    <xf numFmtId="0" fontId="11" fillId="0" borderId="54" xfId="60" applyFont="1" applyBorder="1" applyAlignment="1">
      <alignment horizontal="center" vertical="center" readingOrder="2"/>
    </xf>
    <xf numFmtId="177" fontId="11" fillId="0" borderId="0" xfId="60" applyNumberFormat="1" applyFont="1" applyAlignment="1">
      <alignment vertical="center" wrapText="1"/>
    </xf>
    <xf numFmtId="0" fontId="11" fillId="0" borderId="62" xfId="60" applyFont="1" applyBorder="1" applyAlignment="1">
      <alignment horizontal="right" vertical="center" readingOrder="2"/>
    </xf>
    <xf numFmtId="178" fontId="11" fillId="0" borderId="63" xfId="61" applyNumberFormat="1" applyFont="1" applyBorder="1" applyAlignment="1">
      <alignment vertical="center"/>
    </xf>
    <xf numFmtId="178" fontId="11" fillId="0" borderId="64" xfId="60" applyNumberFormat="1" applyFont="1" applyBorder="1" applyAlignment="1">
      <alignment horizontal="right" vertical="center" readingOrder="2"/>
    </xf>
    <xf numFmtId="178" fontId="11" fillId="0" borderId="65" xfId="60" applyNumberFormat="1" applyFont="1" applyBorder="1" applyAlignment="1">
      <alignment horizontal="justify" vertical="center"/>
    </xf>
    <xf numFmtId="180" fontId="11" fillId="0" borderId="0" xfId="60" applyNumberFormat="1" applyFont="1" applyAlignment="1">
      <alignment vertical="center"/>
    </xf>
    <xf numFmtId="0" fontId="13" fillId="0" borderId="68" xfId="61" applyFont="1" applyBorder="1" applyAlignment="1">
      <alignment horizontal="right" vertical="center"/>
    </xf>
    <xf numFmtId="0" fontId="15" fillId="0" borderId="70" xfId="61" applyFont="1" applyBorder="1" applyAlignment="1">
      <alignment horizontal="center" vertical="center"/>
    </xf>
    <xf numFmtId="178" fontId="12" fillId="0" borderId="57" xfId="60" applyNumberFormat="1" applyFont="1" applyBorder="1" applyAlignment="1">
      <alignment vertical="center"/>
    </xf>
    <xf numFmtId="178" fontId="12" fillId="0" borderId="58" xfId="60" applyNumberFormat="1" applyFont="1" applyBorder="1" applyAlignment="1">
      <alignment vertical="center"/>
    </xf>
    <xf numFmtId="178" fontId="12" fillId="0" borderId="59" xfId="60" applyNumberFormat="1" applyFont="1" applyBorder="1" applyAlignment="1">
      <alignment vertical="center"/>
    </xf>
    <xf numFmtId="178" fontId="12" fillId="0" borderId="55" xfId="60" applyNumberFormat="1" applyFont="1" applyBorder="1" applyAlignment="1">
      <alignment vertical="center"/>
    </xf>
    <xf numFmtId="178" fontId="12" fillId="0" borderId="56" xfId="60" applyNumberFormat="1" applyFont="1" applyBorder="1" applyAlignment="1">
      <alignment vertical="center"/>
    </xf>
    <xf numFmtId="178" fontId="12" fillId="0" borderId="24" xfId="60" applyNumberFormat="1" applyFont="1" applyBorder="1" applyAlignment="1">
      <alignment vertical="center"/>
    </xf>
    <xf numFmtId="0" fontId="12" fillId="0" borderId="55" xfId="61" applyFont="1" applyBorder="1" applyAlignment="1">
      <alignment vertical="center"/>
    </xf>
    <xf numFmtId="0" fontId="12" fillId="0" borderId="56" xfId="61" applyFont="1" applyBorder="1" applyAlignment="1">
      <alignment vertical="center"/>
    </xf>
    <xf numFmtId="0" fontId="12" fillId="0" borderId="24" xfId="61" applyFont="1" applyBorder="1" applyAlignment="1">
      <alignment vertical="center"/>
    </xf>
    <xf numFmtId="0" fontId="15" fillId="0" borderId="23" xfId="61" applyFont="1" applyBorder="1" applyAlignment="1">
      <alignment vertical="center"/>
    </xf>
    <xf numFmtId="0" fontId="15" fillId="0" borderId="24" xfId="61" applyFont="1" applyBorder="1" applyAlignment="1">
      <alignment vertical="center"/>
    </xf>
    <xf numFmtId="0" fontId="15" fillId="0" borderId="71" xfId="61" applyFont="1" applyBorder="1" applyAlignment="1">
      <alignment vertical="center"/>
    </xf>
    <xf numFmtId="0" fontId="15" fillId="0" borderId="72" xfId="61" applyFont="1" applyBorder="1" applyAlignment="1">
      <alignment vertical="center"/>
    </xf>
    <xf numFmtId="0" fontId="51" fillId="0" borderId="69" xfId="61" applyFont="1" applyBorder="1" applyAlignment="1">
      <alignment horizontal="center" vertical="center"/>
    </xf>
    <xf numFmtId="0" fontId="6" fillId="0" borderId="0" xfId="0" applyFont="1" applyAlignment="1">
      <alignment vertical="distributed" readingOrder="2"/>
    </xf>
    <xf numFmtId="0" fontId="1" fillId="0" borderId="0" xfId="0" applyFont="1" applyAlignment="1">
      <alignment vertical="center" wrapText="1" readingOrder="2"/>
    </xf>
    <xf numFmtId="0" fontId="6" fillId="0" borderId="0" xfId="0" applyFont="1" applyAlignment="1">
      <alignment vertical="center" readingOrder="2"/>
    </xf>
    <xf numFmtId="0" fontId="9" fillId="0" borderId="0" xfId="0" applyFont="1"/>
    <xf numFmtId="37" fontId="40" fillId="0" borderId="0" xfId="0" applyNumberFormat="1" applyFont="1" applyAlignment="1">
      <alignment vertical="center" wrapText="1"/>
    </xf>
    <xf numFmtId="0" fontId="6" fillId="0" borderId="0" xfId="0" applyFont="1" applyAlignment="1">
      <alignment vertical="distributed" wrapText="1" readingOrder="2"/>
    </xf>
    <xf numFmtId="0" fontId="1" fillId="0" borderId="0" xfId="0" applyFont="1" applyAlignment="1">
      <alignment wrapText="1" readingOrder="2"/>
    </xf>
    <xf numFmtId="0" fontId="1" fillId="0" borderId="0" xfId="0" applyFont="1" applyAlignment="1">
      <alignment wrapText="1"/>
    </xf>
    <xf numFmtId="0" fontId="34" fillId="0" borderId="0" xfId="0" applyFont="1"/>
    <xf numFmtId="10" fontId="47" fillId="0" borderId="5" xfId="0" applyNumberFormat="1" applyFont="1" applyBorder="1" applyAlignment="1">
      <alignment horizontal="center" vertical="center" wrapText="1" readingOrder="2"/>
    </xf>
    <xf numFmtId="0" fontId="8" fillId="0" borderId="0" xfId="0" applyFont="1"/>
    <xf numFmtId="0" fontId="53" fillId="0" borderId="0" xfId="0" applyFont="1"/>
    <xf numFmtId="0" fontId="53" fillId="0" borderId="0" xfId="0" applyFont="1" applyAlignment="1">
      <alignment vertical="center"/>
    </xf>
    <xf numFmtId="177" fontId="53" fillId="0" borderId="0" xfId="0" applyNumberFormat="1" applyFont="1" applyAlignment="1">
      <alignment horizontal="center" vertical="center"/>
    </xf>
    <xf numFmtId="3" fontId="53" fillId="0" borderId="0" xfId="0" applyNumberFormat="1" applyFont="1" applyAlignment="1">
      <alignment horizontal="center" vertical="center"/>
    </xf>
    <xf numFmtId="177" fontId="53" fillId="0" borderId="0" xfId="1" applyNumberFormat="1" applyFont="1" applyAlignment="1">
      <alignment horizontal="center" vertical="center" shrinkToFit="1" readingOrder="2"/>
    </xf>
    <xf numFmtId="177" fontId="55" fillId="0" borderId="0" xfId="0" applyNumberFormat="1" applyFont="1" applyAlignment="1">
      <alignment horizontal="right" vertical="center"/>
    </xf>
    <xf numFmtId="37" fontId="53" fillId="0" borderId="0" xfId="0" applyNumberFormat="1" applyFont="1" applyAlignment="1">
      <alignment horizontal="right"/>
    </xf>
    <xf numFmtId="37" fontId="55" fillId="0" borderId="0" xfId="0" applyNumberFormat="1" applyFont="1" applyAlignment="1">
      <alignment horizontal="right"/>
    </xf>
    <xf numFmtId="177" fontId="53" fillId="0" borderId="0" xfId="0" applyNumberFormat="1" applyFont="1" applyAlignment="1">
      <alignment horizontal="right" vertical="center"/>
    </xf>
    <xf numFmtId="0" fontId="53" fillId="0" borderId="0" xfId="0" applyFont="1" applyAlignment="1">
      <alignment horizontal="center" vertical="center"/>
    </xf>
    <xf numFmtId="0" fontId="53" fillId="0" borderId="0" xfId="0" applyFont="1" applyAlignment="1">
      <alignment horizontal="right" vertical="center"/>
    </xf>
    <xf numFmtId="0" fontId="55" fillId="0" borderId="0" xfId="0" applyFont="1" applyAlignment="1">
      <alignment horizontal="right" vertical="center"/>
    </xf>
    <xf numFmtId="0" fontId="53" fillId="0" borderId="0" xfId="0" applyFont="1" applyAlignment="1">
      <alignment vertical="distributed" readingOrder="2"/>
    </xf>
    <xf numFmtId="0" fontId="56" fillId="0" borderId="0" xfId="0" applyFont="1" applyAlignment="1">
      <alignment horizontal="center"/>
    </xf>
    <xf numFmtId="0" fontId="56" fillId="0" borderId="0" xfId="0" applyFont="1" applyAlignment="1">
      <alignment horizontal="left" readingOrder="1"/>
    </xf>
    <xf numFmtId="0" fontId="55" fillId="0" borderId="0" xfId="0" applyFont="1"/>
    <xf numFmtId="0" fontId="53" fillId="0" borderId="0" xfId="0" applyFont="1" applyAlignment="1">
      <alignment horizontal="left" readingOrder="1"/>
    </xf>
    <xf numFmtId="0" fontId="53" fillId="0" borderId="0" xfId="0" applyFont="1" applyAlignment="1">
      <alignment horizontal="justify" readingOrder="2"/>
    </xf>
    <xf numFmtId="0" fontId="53" fillId="0" borderId="0" xfId="0" applyFont="1" applyAlignment="1">
      <alignment horizontal="right" readingOrder="2"/>
    </xf>
    <xf numFmtId="0" fontId="55" fillId="0" borderId="0" xfId="0" applyFont="1" applyAlignment="1">
      <alignment horizontal="left" vertical="center" readingOrder="1"/>
    </xf>
    <xf numFmtId="0" fontId="55" fillId="0" borderId="0" xfId="0" applyFont="1" applyAlignment="1">
      <alignment horizontal="justify" readingOrder="2"/>
    </xf>
    <xf numFmtId="37" fontId="53" fillId="0" borderId="0" xfId="0" applyNumberFormat="1" applyFont="1" applyAlignment="1">
      <alignment horizontal="center"/>
    </xf>
    <xf numFmtId="177" fontId="53" fillId="0" borderId="0" xfId="1" applyNumberFormat="1" applyFont="1" applyAlignment="1">
      <alignment horizontal="center" vertical="distributed" shrinkToFit="1" readingOrder="2"/>
    </xf>
    <xf numFmtId="0" fontId="53" fillId="0" borderId="0" xfId="0" applyFont="1" applyAlignment="1">
      <alignment horizontal="left" vertical="center" readingOrder="1"/>
    </xf>
    <xf numFmtId="177" fontId="55" fillId="0" borderId="0" xfId="0" applyNumberFormat="1" applyFont="1" applyAlignment="1">
      <alignment horizontal="center" vertical="center"/>
    </xf>
    <xf numFmtId="177" fontId="55" fillId="0" borderId="1" xfId="0" applyNumberFormat="1" applyFont="1" applyBorder="1" applyAlignment="1">
      <alignment horizontal="center" vertical="center"/>
    </xf>
    <xf numFmtId="177" fontId="55" fillId="0" borderId="4" xfId="0" applyNumberFormat="1" applyFont="1" applyBorder="1" applyAlignment="1">
      <alignment horizontal="center" vertical="center"/>
    </xf>
    <xf numFmtId="177" fontId="53" fillId="0" borderId="0" xfId="0" applyNumberFormat="1" applyFont="1" applyAlignment="1">
      <alignment horizontal="center"/>
    </xf>
    <xf numFmtId="177" fontId="53" fillId="0" borderId="0" xfId="0" applyNumberFormat="1" applyFont="1"/>
    <xf numFmtId="177" fontId="53" fillId="0" borderId="0" xfId="0" applyNumberFormat="1" applyFont="1" applyAlignment="1">
      <alignment vertical="center"/>
    </xf>
    <xf numFmtId="37" fontId="55" fillId="0" borderId="0" xfId="0" applyNumberFormat="1" applyFont="1" applyAlignment="1">
      <alignment horizontal="right" vertical="center"/>
    </xf>
    <xf numFmtId="0" fontId="53" fillId="0" borderId="3" xfId="0" applyFont="1" applyBorder="1" applyAlignment="1">
      <alignment horizontal="center" vertical="center"/>
    </xf>
    <xf numFmtId="0" fontId="53" fillId="0" borderId="0" xfId="0" applyFont="1" applyAlignment="1">
      <alignment horizontal="center" vertical="center" wrapText="1"/>
    </xf>
    <xf numFmtId="0" fontId="53" fillId="0" borderId="3" xfId="0" applyFont="1" applyBorder="1" applyAlignment="1">
      <alignment vertical="distributed" readingOrder="2"/>
    </xf>
    <xf numFmtId="0" fontId="53" fillId="0" borderId="3" xfId="0" applyFont="1" applyBorder="1" applyAlignment="1">
      <alignment horizontal="right" vertical="center" indent="15"/>
    </xf>
    <xf numFmtId="0" fontId="55" fillId="0" borderId="0" xfId="0" applyFont="1" applyAlignment="1">
      <alignment horizontal="right"/>
    </xf>
    <xf numFmtId="37" fontId="53" fillId="0" borderId="0" xfId="0" applyNumberFormat="1" applyFont="1" applyAlignment="1">
      <alignment horizontal="center" vertical="center" wrapText="1"/>
    </xf>
    <xf numFmtId="0" fontId="53" fillId="0" borderId="2" xfId="0" applyFont="1" applyBorder="1" applyAlignment="1">
      <alignment horizontal="center" vertical="center"/>
    </xf>
    <xf numFmtId="49" fontId="55" fillId="0" borderId="0" xfId="0" applyNumberFormat="1" applyFont="1" applyAlignment="1">
      <alignment horizontal="center" vertical="center"/>
    </xf>
    <xf numFmtId="0" fontId="53" fillId="0" borderId="0" xfId="0" applyFont="1" applyAlignment="1">
      <alignment horizontal="right" vertical="center" indent="1"/>
    </xf>
    <xf numFmtId="176" fontId="55" fillId="0" borderId="0" xfId="0" applyNumberFormat="1" applyFont="1" applyAlignment="1">
      <alignment horizontal="center" vertical="center"/>
    </xf>
    <xf numFmtId="176" fontId="55" fillId="0" borderId="0" xfId="0" applyNumberFormat="1" applyFont="1" applyAlignment="1">
      <alignment horizontal="center" vertical="center" readingOrder="1"/>
    </xf>
    <xf numFmtId="176" fontId="55" fillId="0" borderId="0" xfId="0" applyNumberFormat="1" applyFont="1" applyAlignment="1">
      <alignment horizontal="center" vertical="center" readingOrder="2"/>
    </xf>
    <xf numFmtId="0" fontId="53" fillId="0" borderId="0" xfId="0" applyFont="1" applyAlignment="1">
      <alignment horizontal="left" indent="1"/>
    </xf>
    <xf numFmtId="0" fontId="53" fillId="0" borderId="0" xfId="0" applyFont="1" applyAlignment="1">
      <alignment horizontal="left" vertical="center" indent="1"/>
    </xf>
    <xf numFmtId="0" fontId="53" fillId="0" borderId="0" xfId="0" applyFont="1" applyAlignment="1">
      <alignment horizontal="left" vertical="top" indent="1"/>
    </xf>
    <xf numFmtId="177" fontId="55" fillId="0" borderId="4" xfId="0" applyNumberFormat="1" applyFont="1" applyBorder="1" applyAlignment="1">
      <alignment horizontal="center" vertical="center" shrinkToFit="1" readingOrder="2"/>
    </xf>
    <xf numFmtId="177" fontId="55" fillId="0" borderId="0" xfId="1" applyNumberFormat="1" applyFont="1" applyAlignment="1">
      <alignment horizontal="center" vertical="center" shrinkToFit="1" readingOrder="2"/>
    </xf>
    <xf numFmtId="0" fontId="55" fillId="0" borderId="0" xfId="0" applyFont="1" applyAlignment="1">
      <alignment horizontal="right" vertical="center" indent="1"/>
    </xf>
    <xf numFmtId="177" fontId="53" fillId="0" borderId="4" xfId="1" applyNumberFormat="1" applyFont="1" applyBorder="1" applyAlignment="1">
      <alignment horizontal="center" vertical="distributed" shrinkToFit="1" readingOrder="2"/>
    </xf>
    <xf numFmtId="177" fontId="55" fillId="0" borderId="0" xfId="0" applyNumberFormat="1" applyFont="1" applyAlignment="1">
      <alignment horizontal="right"/>
    </xf>
    <xf numFmtId="0" fontId="57" fillId="0" borderId="0" xfId="0" applyFont="1"/>
    <xf numFmtId="0" fontId="53" fillId="0" borderId="0" xfId="0" applyFont="1" applyAlignment="1">
      <alignment horizontal="right" indent="2"/>
    </xf>
    <xf numFmtId="0" fontId="54" fillId="0" borderId="0" xfId="0" applyFont="1" applyAlignment="1">
      <alignment horizontal="left" vertical="top" readingOrder="1"/>
    </xf>
    <xf numFmtId="0" fontId="53" fillId="0" borderId="3" xfId="0" applyFont="1" applyBorder="1" applyAlignment="1">
      <alignment horizontal="right" vertical="center" readingOrder="1"/>
    </xf>
    <xf numFmtId="0" fontId="53" fillId="0" borderId="3" xfId="0" applyFont="1" applyBorder="1" applyAlignment="1">
      <alignment horizontal="right" vertical="center"/>
    </xf>
    <xf numFmtId="0" fontId="55" fillId="0" borderId="3" xfId="0" applyFont="1" applyBorder="1" applyAlignment="1">
      <alignment horizontal="left" readingOrder="2"/>
    </xf>
    <xf numFmtId="0" fontId="56" fillId="0" borderId="0" xfId="0" applyFont="1" applyAlignment="1">
      <alignment horizontal="left" vertical="center" readingOrder="1"/>
    </xf>
    <xf numFmtId="49" fontId="53" fillId="0" borderId="0" xfId="0" applyNumberFormat="1" applyFont="1" applyAlignment="1">
      <alignment horizontal="left" vertical="center" readingOrder="1"/>
    </xf>
    <xf numFmtId="177" fontId="53" fillId="0" borderId="0" xfId="0" applyNumberFormat="1" applyFont="1" applyAlignment="1">
      <alignment horizontal="center" readingOrder="2"/>
    </xf>
    <xf numFmtId="1" fontId="34" fillId="0" borderId="0" xfId="0" applyNumberFormat="1" applyFont="1"/>
    <xf numFmtId="1" fontId="34" fillId="0" borderId="5" xfId="0" applyNumberFormat="1" applyFont="1" applyBorder="1"/>
    <xf numFmtId="0" fontId="34" fillId="0" borderId="5" xfId="0" applyFont="1" applyBorder="1"/>
    <xf numFmtId="0" fontId="58" fillId="0" borderId="5" xfId="0" applyFont="1" applyBorder="1" applyAlignment="1">
      <alignment vertical="center" readingOrder="2"/>
    </xf>
    <xf numFmtId="1" fontId="52" fillId="0" borderId="5" xfId="0" applyNumberFormat="1" applyFont="1" applyBorder="1"/>
    <xf numFmtId="173" fontId="34" fillId="0" borderId="5" xfId="1" applyNumberFormat="1" applyFont="1" applyBorder="1"/>
    <xf numFmtId="0" fontId="34" fillId="0" borderId="6" xfId="0" applyFont="1" applyBorder="1" applyAlignment="1">
      <alignment horizontal="right"/>
    </xf>
    <xf numFmtId="0" fontId="34" fillId="0" borderId="7" xfId="0" applyFont="1" applyBorder="1" applyAlignment="1">
      <alignment horizontal="right"/>
    </xf>
    <xf numFmtId="173" fontId="1" fillId="0" borderId="5" xfId="1" applyNumberFormat="1" applyFont="1" applyBorder="1"/>
    <xf numFmtId="0" fontId="59" fillId="0" borderId="0" xfId="0" applyFont="1"/>
    <xf numFmtId="0" fontId="60" fillId="0" borderId="0" xfId="0" applyFont="1" applyAlignment="1">
      <alignment horizontal="center"/>
    </xf>
    <xf numFmtId="0" fontId="62" fillId="0" borderId="0" xfId="0" applyFont="1"/>
    <xf numFmtId="0" fontId="63" fillId="0" borderId="0" xfId="0" applyFont="1" applyAlignment="1">
      <alignment horizontal="left"/>
    </xf>
    <xf numFmtId="0" fontId="63" fillId="0" borderId="0" xfId="0" applyFont="1"/>
    <xf numFmtId="0" fontId="62" fillId="0" borderId="0" xfId="0" applyFont="1" applyAlignment="1">
      <alignment horizontal="right"/>
    </xf>
    <xf numFmtId="0" fontId="62" fillId="0" borderId="3" xfId="0" applyFont="1" applyBorder="1"/>
    <xf numFmtId="0" fontId="63" fillId="0" borderId="3" xfId="0" applyFont="1" applyBorder="1" applyAlignment="1">
      <alignment horizontal="left"/>
    </xf>
    <xf numFmtId="0" fontId="63" fillId="0" borderId="0" xfId="0" applyFont="1" applyAlignment="1">
      <alignment horizontal="center"/>
    </xf>
    <xf numFmtId="0" fontId="64" fillId="0" borderId="0" xfId="0" applyFont="1" applyAlignment="1">
      <alignment horizontal="center"/>
    </xf>
    <xf numFmtId="0" fontId="63" fillId="0" borderId="0" xfId="0" applyFont="1" applyAlignment="1">
      <alignment horizontal="left" readingOrder="1"/>
    </xf>
    <xf numFmtId="0" fontId="65" fillId="0" borderId="0" xfId="0" applyFont="1" applyAlignment="1">
      <alignment horizontal="center"/>
    </xf>
    <xf numFmtId="0" fontId="66" fillId="0" borderId="0" xfId="0" applyFont="1"/>
    <xf numFmtId="0" fontId="63" fillId="0" borderId="0" xfId="0" applyFont="1" applyAlignment="1">
      <alignment readingOrder="2"/>
    </xf>
    <xf numFmtId="0" fontId="66" fillId="0" borderId="0" xfId="0" applyFont="1" applyAlignment="1">
      <alignment horizontal="left" readingOrder="1"/>
    </xf>
    <xf numFmtId="0" fontId="62" fillId="0" borderId="0" xfId="0" applyFont="1" applyAlignment="1">
      <alignment horizontal="left" vertical="top" wrapText="1"/>
    </xf>
    <xf numFmtId="0" fontId="62" fillId="0" borderId="0" xfId="0" applyFont="1" applyAlignment="1">
      <alignment vertical="distributed" readingOrder="2"/>
    </xf>
    <xf numFmtId="0" fontId="66" fillId="0" borderId="0" xfId="0" applyFont="1" applyAlignment="1">
      <alignment wrapText="1" readingOrder="2"/>
    </xf>
    <xf numFmtId="3" fontId="66" fillId="0" borderId="0" xfId="0" applyNumberFormat="1" applyFont="1" applyAlignment="1">
      <alignment horizontal="left" readingOrder="1"/>
    </xf>
    <xf numFmtId="0" fontId="63" fillId="0" borderId="0" xfId="0" applyFont="1" applyAlignment="1">
      <alignment horizontal="left" readingOrder="2"/>
    </xf>
    <xf numFmtId="0" fontId="62" fillId="0" borderId="0" xfId="0" applyFont="1" applyAlignment="1">
      <alignment vertical="center" readingOrder="2"/>
    </xf>
    <xf numFmtId="0" fontId="66" fillId="0" borderId="0" xfId="0" applyFont="1" applyAlignment="1">
      <alignment horizontal="left"/>
    </xf>
    <xf numFmtId="37" fontId="62" fillId="0" borderId="0" xfId="0" applyNumberFormat="1" applyFont="1" applyAlignment="1">
      <alignment horizontal="right"/>
    </xf>
    <xf numFmtId="37" fontId="66" fillId="0" borderId="0" xfId="0" applyNumberFormat="1" applyFont="1" applyAlignment="1">
      <alignment horizontal="right"/>
    </xf>
    <xf numFmtId="0" fontId="62" fillId="0" borderId="0" xfId="0" applyFont="1" applyAlignment="1">
      <alignment vertical="center" wrapText="1" readingOrder="2"/>
    </xf>
    <xf numFmtId="0" fontId="67" fillId="0" borderId="0" xfId="0" applyFont="1" applyAlignment="1">
      <alignment horizontal="left" vertical="center"/>
    </xf>
    <xf numFmtId="0" fontId="62" fillId="0" borderId="0" xfId="0" applyFont="1" applyAlignment="1">
      <alignment vertical="top" readingOrder="2"/>
    </xf>
    <xf numFmtId="3" fontId="66" fillId="0" borderId="0" xfId="0" applyNumberFormat="1" applyFont="1" applyAlignment="1">
      <alignment vertical="top" readingOrder="2"/>
    </xf>
    <xf numFmtId="0" fontId="66" fillId="0" borderId="0" xfId="0" applyFont="1" applyAlignment="1">
      <alignment horizontal="left" readingOrder="2"/>
    </xf>
    <xf numFmtId="0" fontId="62" fillId="0" borderId="0" xfId="0" applyFont="1" applyAlignment="1">
      <alignment horizontal="left" readingOrder="1"/>
    </xf>
    <xf numFmtId="3" fontId="62" fillId="0" borderId="0" xfId="0" applyNumberFormat="1" applyFont="1"/>
    <xf numFmtId="169" fontId="66" fillId="0" borderId="0" xfId="0" applyNumberFormat="1" applyFont="1" applyAlignment="1">
      <alignment horizontal="center"/>
    </xf>
    <xf numFmtId="1" fontId="62" fillId="0" borderId="0" xfId="0" applyNumberFormat="1" applyFont="1" applyAlignment="1">
      <alignment horizontal="center"/>
    </xf>
    <xf numFmtId="3" fontId="62" fillId="0" borderId="0" xfId="0" applyNumberFormat="1" applyFont="1" applyAlignment="1">
      <alignment horizontal="right"/>
    </xf>
    <xf numFmtId="0" fontId="62" fillId="0" borderId="0" xfId="0" applyFont="1" applyAlignment="1">
      <alignment horizontal="justify" readingOrder="2"/>
    </xf>
    <xf numFmtId="164" fontId="62" fillId="0" borderId="0" xfId="0" applyNumberFormat="1" applyFont="1" applyAlignment="1">
      <alignment horizontal="center"/>
    </xf>
    <xf numFmtId="0" fontId="62" fillId="0" borderId="0" xfId="0" applyFont="1" applyAlignment="1">
      <alignment horizontal="right" readingOrder="2"/>
    </xf>
    <xf numFmtId="0" fontId="68" fillId="0" borderId="0" xfId="0" applyFont="1" applyAlignment="1">
      <alignment horizontal="left" readingOrder="2"/>
    </xf>
    <xf numFmtId="0" fontId="62" fillId="0" borderId="0" xfId="0" applyFont="1" applyAlignment="1">
      <alignment vertical="center"/>
    </xf>
    <xf numFmtId="3" fontId="62" fillId="0" borderId="0" xfId="0" applyNumberFormat="1" applyFont="1" applyAlignment="1">
      <alignment horizontal="center" vertical="center"/>
    </xf>
    <xf numFmtId="3" fontId="62" fillId="0" borderId="0" xfId="0" applyNumberFormat="1" applyFont="1" applyAlignment="1">
      <alignment horizontal="right" vertical="center"/>
    </xf>
    <xf numFmtId="3" fontId="66" fillId="0" borderId="0" xfId="0" applyNumberFormat="1" applyFont="1" applyAlignment="1">
      <alignment horizontal="left" vertical="center"/>
    </xf>
    <xf numFmtId="0" fontId="66" fillId="0" borderId="0" xfId="0" applyFont="1" applyAlignment="1">
      <alignment horizontal="left" vertical="center"/>
    </xf>
    <xf numFmtId="0" fontId="66" fillId="0" borderId="0" xfId="0" applyFont="1" applyAlignment="1">
      <alignment horizontal="justify" vertical="center" readingOrder="1"/>
    </xf>
    <xf numFmtId="171" fontId="62" fillId="0" borderId="0" xfId="1" applyNumberFormat="1" applyFont="1" applyAlignment="1">
      <alignment vertical="center"/>
    </xf>
    <xf numFmtId="0" fontId="62" fillId="0" borderId="0" xfId="0" applyFont="1" applyAlignment="1">
      <alignment horizontal="right" vertical="center"/>
    </xf>
    <xf numFmtId="0" fontId="66" fillId="0" borderId="0" xfId="0" applyFont="1" applyAlignment="1">
      <alignment vertical="center"/>
    </xf>
    <xf numFmtId="0" fontId="63" fillId="0" borderId="0" xfId="0" applyFont="1" applyAlignment="1">
      <alignment horizontal="right" vertical="center"/>
    </xf>
    <xf numFmtId="0" fontId="66" fillId="0" borderId="0" xfId="0" applyFont="1" applyAlignment="1">
      <alignment horizontal="left" vertical="center" readingOrder="1"/>
    </xf>
    <xf numFmtId="0" fontId="62" fillId="0" borderId="0" xfId="0" applyFont="1" applyAlignment="1">
      <alignment horizontal="left" vertical="center"/>
    </xf>
    <xf numFmtId="0" fontId="63" fillId="0" borderId="0" xfId="0" applyFont="1" applyAlignment="1">
      <alignment horizontal="center" vertical="center" wrapText="1"/>
    </xf>
    <xf numFmtId="0" fontId="62" fillId="0" borderId="0" xfId="0" applyFont="1" applyAlignment="1">
      <alignment horizontal="center" vertical="center"/>
    </xf>
    <xf numFmtId="3" fontId="62" fillId="0" borderId="0" xfId="1" applyNumberFormat="1" applyFont="1" applyAlignment="1">
      <alignment horizontal="center" vertical="center"/>
    </xf>
    <xf numFmtId="37" fontId="66" fillId="0" borderId="0" xfId="0" applyNumberFormat="1" applyFont="1" applyAlignment="1">
      <alignment horizontal="center" vertical="center"/>
    </xf>
    <xf numFmtId="3" fontId="69" fillId="0" borderId="0" xfId="0" applyNumberFormat="1" applyFont="1" applyAlignment="1">
      <alignment horizontal="center" vertical="center" wrapText="1" readingOrder="2"/>
    </xf>
    <xf numFmtId="3" fontId="59" fillId="0" borderId="0" xfId="0" applyNumberFormat="1" applyFont="1" applyAlignment="1">
      <alignment horizontal="centerContinuous" vertical="distributed" shrinkToFit="1" readingOrder="2"/>
    </xf>
    <xf numFmtId="171" fontId="59" fillId="0" borderId="0" xfId="0" applyNumberFormat="1" applyFont="1" applyAlignment="1">
      <alignment horizontal="centerContinuous" vertical="distributed" shrinkToFit="1" readingOrder="2"/>
    </xf>
    <xf numFmtId="49" fontId="62" fillId="0" borderId="0" xfId="0" applyNumberFormat="1" applyFont="1" applyAlignment="1">
      <alignment horizontal="right" vertical="center"/>
    </xf>
    <xf numFmtId="3" fontId="66" fillId="0" borderId="0" xfId="0" applyNumberFormat="1" applyFont="1" applyAlignment="1">
      <alignment vertical="center"/>
    </xf>
    <xf numFmtId="3" fontId="59" fillId="0" borderId="0" xfId="0" applyNumberFormat="1" applyFont="1" applyAlignment="1">
      <alignment horizontal="center" vertical="distributed" shrinkToFit="1" readingOrder="2"/>
    </xf>
    <xf numFmtId="171" fontId="59" fillId="0" borderId="0" xfId="0" applyNumberFormat="1" applyFont="1" applyAlignment="1">
      <alignment horizontal="center" vertical="distributed" shrinkToFit="1" readingOrder="2"/>
    </xf>
    <xf numFmtId="3" fontId="66" fillId="0" borderId="1" xfId="0" applyNumberFormat="1" applyFont="1" applyBorder="1" applyAlignment="1">
      <alignment horizontal="center" vertical="center"/>
    </xf>
    <xf numFmtId="37" fontId="62" fillId="0" borderId="0" xfId="0" applyNumberFormat="1" applyFont="1" applyAlignment="1">
      <alignment horizontal="right" vertical="center"/>
    </xf>
    <xf numFmtId="37" fontId="66" fillId="0" borderId="0" xfId="0" applyNumberFormat="1" applyFont="1"/>
    <xf numFmtId="0" fontId="62" fillId="0" borderId="0" xfId="0" applyFont="1" applyAlignment="1">
      <alignment horizontal="left" readingOrder="2"/>
    </xf>
    <xf numFmtId="0" fontId="66" fillId="0" borderId="0" xfId="0" applyFont="1" applyAlignment="1">
      <alignment horizontal="justify" readingOrder="2"/>
    </xf>
    <xf numFmtId="0" fontId="62" fillId="0" borderId="0" xfId="0" applyFont="1" applyAlignment="1">
      <alignment horizontal="left"/>
    </xf>
    <xf numFmtId="0" fontId="62" fillId="0" borderId="0" xfId="0" applyFont="1" applyAlignment="1">
      <alignment readingOrder="1"/>
    </xf>
    <xf numFmtId="0" fontId="63" fillId="0" borderId="0" xfId="0" applyFont="1" applyAlignment="1">
      <alignment vertical="center" readingOrder="2"/>
    </xf>
    <xf numFmtId="0" fontId="63" fillId="0" borderId="0" xfId="0" applyFont="1" applyAlignment="1">
      <alignment horizontal="left" vertical="center"/>
    </xf>
    <xf numFmtId="0" fontId="66" fillId="0" borderId="0" xfId="0" applyFont="1" applyAlignment="1">
      <alignment horizontal="right" vertical="center"/>
    </xf>
    <xf numFmtId="0" fontId="62" fillId="0" borderId="0" xfId="0" applyFont="1" applyAlignment="1">
      <alignment vertical="center" readingOrder="1"/>
    </xf>
    <xf numFmtId="177" fontId="62" fillId="0" borderId="0" xfId="0" applyNumberFormat="1" applyFont="1" applyAlignment="1">
      <alignment horizontal="center" vertical="center" readingOrder="2"/>
    </xf>
    <xf numFmtId="37" fontId="62" fillId="0" borderId="0" xfId="0" applyNumberFormat="1" applyFont="1" applyAlignment="1">
      <alignment horizontal="center" vertical="center"/>
    </xf>
    <xf numFmtId="177" fontId="62" fillId="0" borderId="0" xfId="0" applyNumberFormat="1" applyFont="1" applyAlignment="1">
      <alignment horizontal="right" vertical="center"/>
    </xf>
    <xf numFmtId="0" fontId="66" fillId="0" borderId="0" xfId="0" applyFont="1" applyAlignment="1">
      <alignment horizontal="center" vertical="center"/>
    </xf>
    <xf numFmtId="37" fontId="62" fillId="0" borderId="0" xfId="0" applyNumberFormat="1" applyFont="1" applyAlignment="1">
      <alignment vertical="center"/>
    </xf>
    <xf numFmtId="177" fontId="69" fillId="0" borderId="0" xfId="0" applyNumberFormat="1" applyFont="1" applyAlignment="1">
      <alignment horizontal="center" vertical="center" wrapText="1" readingOrder="2"/>
    </xf>
    <xf numFmtId="3" fontId="66" fillId="0" borderId="0" xfId="0" applyNumberFormat="1" applyFont="1" applyAlignment="1">
      <alignment horizontal="center" vertical="center"/>
    </xf>
    <xf numFmtId="0" fontId="63" fillId="0" borderId="0" xfId="0" applyFont="1" applyAlignment="1">
      <alignment vertical="center"/>
    </xf>
    <xf numFmtId="0" fontId="66" fillId="0" borderId="0" xfId="0" applyFont="1" applyAlignment="1">
      <alignment horizontal="center" vertical="center" readingOrder="1"/>
    </xf>
    <xf numFmtId="0" fontId="59" fillId="0" borderId="0" xfId="0" applyFont="1" applyAlignment="1">
      <alignment vertical="center"/>
    </xf>
    <xf numFmtId="3" fontId="62" fillId="0" borderId="1" xfId="0" applyNumberFormat="1" applyFont="1" applyBorder="1" applyAlignment="1">
      <alignment horizontal="center" vertical="center"/>
    </xf>
    <xf numFmtId="165" fontId="62" fillId="0" borderId="0" xfId="0" applyNumberFormat="1" applyFont="1"/>
    <xf numFmtId="171" fontId="62" fillId="0" borderId="0" xfId="1" applyNumberFormat="1" applyFont="1"/>
    <xf numFmtId="0" fontId="66" fillId="0" borderId="0" xfId="0" applyFont="1" applyAlignment="1">
      <alignment readingOrder="1"/>
    </xf>
    <xf numFmtId="0" fontId="66" fillId="0" borderId="0" xfId="0" applyFont="1" applyAlignment="1">
      <alignment horizontal="justify" readingOrder="1"/>
    </xf>
    <xf numFmtId="37" fontId="62" fillId="0" borderId="0" xfId="0" applyNumberFormat="1" applyFont="1"/>
    <xf numFmtId="171" fontId="62" fillId="0" borderId="0" xfId="0" applyNumberFormat="1" applyFont="1"/>
    <xf numFmtId="37" fontId="62" fillId="0" borderId="0" xfId="0" applyNumberFormat="1" applyFont="1" applyAlignment="1">
      <alignment horizontal="center" wrapText="1"/>
    </xf>
    <xf numFmtId="0" fontId="66" fillId="0" borderId="0" xfId="0" applyFont="1" applyAlignment="1">
      <alignment horizontal="center"/>
    </xf>
    <xf numFmtId="37" fontId="66" fillId="0" borderId="0" xfId="0" applyNumberFormat="1" applyFont="1" applyAlignment="1">
      <alignment horizontal="center" wrapText="1"/>
    </xf>
    <xf numFmtId="0" fontId="66" fillId="0" borderId="0" xfId="0" applyFont="1" applyAlignment="1">
      <alignment horizontal="left" vertical="center" readingOrder="2"/>
    </xf>
    <xf numFmtId="0" fontId="62" fillId="0" borderId="0" xfId="0" applyFont="1" applyAlignment="1">
      <alignment horizontal="left" vertical="center" readingOrder="1"/>
    </xf>
    <xf numFmtId="165" fontId="62" fillId="0" borderId="0" xfId="1" applyFont="1" applyAlignment="1">
      <alignment vertical="center"/>
    </xf>
    <xf numFmtId="177" fontId="62" fillId="0" borderId="0" xfId="0" applyNumberFormat="1" applyFont="1" applyAlignment="1">
      <alignment horizontal="center" vertical="center"/>
    </xf>
    <xf numFmtId="177" fontId="66" fillId="0" borderId="0" xfId="0" applyNumberFormat="1" applyFont="1" applyAlignment="1">
      <alignment horizontal="center" vertical="center"/>
    </xf>
    <xf numFmtId="177" fontId="66" fillId="0" borderId="1" xfId="0" applyNumberFormat="1" applyFont="1" applyBorder="1" applyAlignment="1">
      <alignment horizontal="center" vertical="center"/>
    </xf>
    <xf numFmtId="0" fontId="62" fillId="0" borderId="0" xfId="0" applyFont="1" applyAlignment="1">
      <alignment horizontal="center"/>
    </xf>
    <xf numFmtId="4" fontId="62" fillId="0" borderId="0" xfId="0" applyNumberFormat="1" applyFont="1"/>
    <xf numFmtId="177" fontId="66" fillId="0" borderId="4" xfId="0" applyNumberFormat="1" applyFont="1" applyBorder="1" applyAlignment="1">
      <alignment horizontal="center" vertical="center"/>
    </xf>
    <xf numFmtId="1" fontId="62" fillId="0" borderId="0" xfId="0" applyNumberFormat="1" applyFont="1" applyAlignment="1">
      <alignment horizontal="left"/>
    </xf>
    <xf numFmtId="3" fontId="62" fillId="0" borderId="0" xfId="0" applyNumberFormat="1" applyFont="1" applyAlignment="1">
      <alignment horizontal="center" readingOrder="2"/>
    </xf>
    <xf numFmtId="0" fontId="62" fillId="0" borderId="0" xfId="0" applyFont="1" applyAlignment="1">
      <alignment horizontal="left" vertical="center" readingOrder="2"/>
    </xf>
    <xf numFmtId="0" fontId="66" fillId="0" borderId="0" xfId="0" applyFont="1" applyAlignment="1">
      <alignment readingOrder="2"/>
    </xf>
    <xf numFmtId="37" fontId="62" fillId="0" borderId="0" xfId="0" applyNumberFormat="1" applyFont="1" applyAlignment="1">
      <alignment horizontal="center"/>
    </xf>
    <xf numFmtId="37" fontId="65" fillId="0" borderId="0" xfId="0" applyNumberFormat="1" applyFont="1" applyAlignment="1">
      <alignment horizontal="right" vertical="center" wrapText="1"/>
    </xf>
    <xf numFmtId="177" fontId="62" fillId="0" borderId="0" xfId="0" applyNumberFormat="1" applyFont="1" applyAlignment="1">
      <alignment horizontal="center" vertical="center" shrinkToFit="1" readingOrder="2"/>
    </xf>
    <xf numFmtId="3" fontId="62" fillId="0" borderId="0" xfId="0" applyNumberFormat="1" applyFont="1" applyAlignment="1">
      <alignment horizontal="left" vertical="center"/>
    </xf>
    <xf numFmtId="0" fontId="66" fillId="0" borderId="0" xfId="0" applyFont="1" applyAlignment="1">
      <alignment horizontal="left" vertical="top" readingOrder="1"/>
    </xf>
    <xf numFmtId="181" fontId="62" fillId="0" borderId="0" xfId="0" applyNumberFormat="1" applyFont="1"/>
    <xf numFmtId="0" fontId="63" fillId="0" borderId="0" xfId="0" applyFont="1" applyAlignment="1">
      <alignment horizontal="center" readingOrder="1"/>
    </xf>
    <xf numFmtId="0" fontId="70" fillId="0" borderId="0" xfId="0" applyFont="1" applyAlignment="1">
      <alignment horizontal="center" vertical="center" wrapText="1"/>
    </xf>
    <xf numFmtId="171" fontId="62" fillId="0" borderId="0" xfId="0" applyNumberFormat="1" applyFont="1" applyAlignment="1">
      <alignment vertical="center"/>
    </xf>
    <xf numFmtId="165" fontId="62" fillId="0" borderId="0" xfId="0" applyNumberFormat="1" applyFont="1" applyAlignment="1">
      <alignment vertical="center"/>
    </xf>
    <xf numFmtId="177" fontId="62" fillId="0" borderId="0" xfId="0" applyNumberFormat="1" applyFont="1" applyAlignment="1">
      <alignment horizontal="center" vertical="center" wrapText="1" readingOrder="2"/>
    </xf>
    <xf numFmtId="170" fontId="66" fillId="0" borderId="0" xfId="0" applyNumberFormat="1" applyFont="1" applyAlignment="1">
      <alignment horizontal="center" vertical="center"/>
    </xf>
    <xf numFmtId="170" fontId="62" fillId="0" borderId="0" xfId="0" applyNumberFormat="1" applyFont="1" applyAlignment="1">
      <alignment horizontal="center" vertical="center"/>
    </xf>
    <xf numFmtId="3" fontId="62" fillId="0" borderId="0" xfId="0" applyNumberFormat="1" applyFont="1" applyAlignment="1">
      <alignment horizontal="center" vertical="center" readingOrder="2"/>
    </xf>
    <xf numFmtId="3" fontId="62" fillId="0" borderId="0" xfId="0" applyNumberFormat="1" applyFont="1" applyAlignment="1">
      <alignment vertical="center"/>
    </xf>
    <xf numFmtId="0" fontId="71" fillId="0" borderId="0" xfId="0" applyFont="1" applyAlignment="1">
      <alignment vertical="center"/>
    </xf>
    <xf numFmtId="172" fontId="66" fillId="0" borderId="0" xfId="2" applyNumberFormat="1" applyFont="1" applyAlignment="1">
      <alignment horizontal="center" vertical="center" readingOrder="2"/>
    </xf>
    <xf numFmtId="10" fontId="66" fillId="0" borderId="0" xfId="2" applyNumberFormat="1" applyFont="1" applyAlignment="1">
      <alignment horizontal="center" vertical="center" readingOrder="2"/>
    </xf>
    <xf numFmtId="9" fontId="66" fillId="0" borderId="0" xfId="2" applyFont="1" applyAlignment="1">
      <alignment horizontal="center" vertical="center" readingOrder="2"/>
    </xf>
    <xf numFmtId="172" fontId="66" fillId="0" borderId="0" xfId="0" applyNumberFormat="1" applyFont="1" applyAlignment="1">
      <alignment horizontal="center" vertical="center" readingOrder="2"/>
    </xf>
    <xf numFmtId="0" fontId="62" fillId="0" borderId="0" xfId="0" applyFont="1" applyAlignment="1">
      <alignment vertical="center" wrapText="1"/>
    </xf>
    <xf numFmtId="0" fontId="62" fillId="0" borderId="3" xfId="0" applyFont="1" applyBorder="1" applyAlignment="1">
      <alignment horizontal="center" vertical="center" wrapText="1"/>
    </xf>
    <xf numFmtId="0" fontId="62" fillId="0" borderId="3" xfId="0" applyFont="1" applyBorder="1" applyAlignment="1">
      <alignment horizontal="center" vertical="center"/>
    </xf>
    <xf numFmtId="10" fontId="62" fillId="0" borderId="0" xfId="2" applyNumberFormat="1" applyFont="1" applyBorder="1" applyAlignment="1">
      <alignment horizontal="center" vertical="justify" readingOrder="2"/>
    </xf>
    <xf numFmtId="177" fontId="62" fillId="0" borderId="0" xfId="0" applyNumberFormat="1" applyFont="1"/>
    <xf numFmtId="177" fontId="62" fillId="0" borderId="0" xfId="0" applyNumberFormat="1" applyFont="1" applyAlignment="1">
      <alignment horizontal="center" vertical="center" wrapText="1"/>
    </xf>
    <xf numFmtId="0" fontId="65" fillId="0" borderId="0" xfId="0" applyFont="1" applyAlignment="1">
      <alignment horizontal="center" vertical="top" readingOrder="1"/>
    </xf>
    <xf numFmtId="170" fontId="62" fillId="0" borderId="0" xfId="0" applyNumberFormat="1" applyFont="1" applyAlignment="1">
      <alignment horizontal="right" vertical="center"/>
    </xf>
    <xf numFmtId="0" fontId="64" fillId="0" borderId="0" xfId="0" applyFont="1" applyAlignment="1">
      <alignment horizontal="left" vertical="center" readingOrder="1"/>
    </xf>
    <xf numFmtId="177" fontId="62" fillId="0" borderId="3" xfId="0" applyNumberFormat="1" applyFont="1" applyBorder="1" applyAlignment="1">
      <alignment horizontal="center" vertical="center"/>
    </xf>
    <xf numFmtId="177" fontId="66" fillId="0" borderId="3" xfId="0" applyNumberFormat="1" applyFont="1" applyBorder="1" applyAlignment="1">
      <alignment horizontal="center" vertical="center"/>
    </xf>
    <xf numFmtId="39" fontId="62" fillId="0" borderId="0" xfId="0" applyNumberFormat="1" applyFont="1" applyAlignment="1">
      <alignment horizontal="right" vertical="center"/>
    </xf>
    <xf numFmtId="177" fontId="62" fillId="0" borderId="0" xfId="0" applyNumberFormat="1" applyFont="1" applyAlignment="1">
      <alignment vertical="center"/>
    </xf>
    <xf numFmtId="0" fontId="66" fillId="0" borderId="0" xfId="0" applyFont="1" applyAlignment="1">
      <alignment vertical="center" readingOrder="1"/>
    </xf>
    <xf numFmtId="0" fontId="62" fillId="0" borderId="0" xfId="0" applyFont="1" applyAlignment="1">
      <alignment horizontal="distributed" vertical="center" wrapText="1" readingOrder="2"/>
    </xf>
    <xf numFmtId="38" fontId="62" fillId="0" borderId="0" xfId="0" applyNumberFormat="1" applyFont="1" applyAlignment="1">
      <alignment horizontal="right" vertical="center"/>
    </xf>
    <xf numFmtId="1" fontId="62" fillId="0" borderId="0" xfId="0" applyNumberFormat="1" applyFont="1" applyAlignment="1">
      <alignment vertical="center"/>
    </xf>
    <xf numFmtId="0" fontId="72" fillId="0" borderId="0" xfId="0" applyFont="1"/>
    <xf numFmtId="0" fontId="73" fillId="0" borderId="0" xfId="0" applyFont="1"/>
    <xf numFmtId="0" fontId="73" fillId="0" borderId="0" xfId="0" applyFont="1" applyAlignment="1">
      <alignment horizontal="left" readingOrder="1"/>
    </xf>
    <xf numFmtId="0" fontId="73" fillId="0" borderId="0" xfId="0" applyFont="1" applyAlignment="1">
      <alignment horizontal="right" readingOrder="2"/>
    </xf>
    <xf numFmtId="0" fontId="62" fillId="0" borderId="3" xfId="0" applyFont="1" applyBorder="1" applyAlignment="1">
      <alignment horizontal="left" vertical="top" wrapText="1"/>
    </xf>
    <xf numFmtId="0" fontId="66" fillId="0" borderId="6" xfId="0" applyFont="1" applyBorder="1" applyAlignment="1">
      <alignment vertical="center" wrapText="1"/>
    </xf>
    <xf numFmtId="0" fontId="72" fillId="0" borderId="0" xfId="0" applyFont="1" applyAlignment="1">
      <alignment horizontal="center" vertical="center" wrapText="1"/>
    </xf>
    <xf numFmtId="172" fontId="72" fillId="0" borderId="5" xfId="2" applyNumberFormat="1" applyFont="1" applyBorder="1"/>
    <xf numFmtId="9" fontId="74" fillId="0" borderId="5" xfId="2" applyFont="1" applyBorder="1"/>
    <xf numFmtId="0" fontId="74" fillId="0" borderId="0" xfId="0" applyFont="1"/>
    <xf numFmtId="0" fontId="72" fillId="0" borderId="0" xfId="0" applyFont="1" applyAlignment="1">
      <alignment readingOrder="2"/>
    </xf>
    <xf numFmtId="0" fontId="72" fillId="0" borderId="0" xfId="0" applyFont="1" applyAlignment="1">
      <alignment horizontal="right" wrapText="1" readingOrder="2"/>
    </xf>
    <xf numFmtId="0" fontId="75" fillId="24" borderId="0" xfId="0" applyFont="1" applyFill="1"/>
    <xf numFmtId="164" fontId="72" fillId="0" borderId="0" xfId="0" applyNumberFormat="1" applyFont="1"/>
    <xf numFmtId="174" fontId="62" fillId="0" borderId="0" xfId="0" applyNumberFormat="1" applyFont="1" applyAlignment="1">
      <alignment vertical="center"/>
    </xf>
    <xf numFmtId="37" fontId="66" fillId="0" borderId="0" xfId="0" applyNumberFormat="1" applyFont="1" applyAlignment="1">
      <alignment horizontal="right" vertical="center"/>
    </xf>
    <xf numFmtId="0" fontId="76" fillId="0" borderId="0" xfId="0" applyFont="1" applyAlignment="1">
      <alignment horizontal="center" vertical="center" wrapText="1"/>
    </xf>
    <xf numFmtId="0" fontId="77" fillId="0" borderId="0" xfId="0" applyFont="1" applyAlignment="1">
      <alignment horizontal="right" vertical="center"/>
    </xf>
    <xf numFmtId="0" fontId="77" fillId="0" borderId="0" xfId="0" applyFont="1" applyAlignment="1">
      <alignment horizontal="center" vertical="center"/>
    </xf>
    <xf numFmtId="0" fontId="71" fillId="0" borderId="0" xfId="0" applyFont="1" applyAlignment="1">
      <alignment horizontal="left" vertical="center" readingOrder="1"/>
    </xf>
    <xf numFmtId="0" fontId="77" fillId="0" borderId="0" xfId="0" applyFont="1" applyAlignment="1">
      <alignment vertical="center"/>
    </xf>
    <xf numFmtId="0" fontId="66" fillId="0" borderId="0" xfId="0" applyFont="1" applyAlignment="1">
      <alignment horizontal="justify" vertical="center" readingOrder="2"/>
    </xf>
    <xf numFmtId="0" fontId="63" fillId="0" borderId="0" xfId="0" applyFont="1" applyAlignment="1">
      <alignment horizontal="center" vertical="center"/>
    </xf>
    <xf numFmtId="0" fontId="59" fillId="0" borderId="0" xfId="0" applyFont="1" applyAlignment="1">
      <alignment horizontal="right" vertical="center"/>
    </xf>
    <xf numFmtId="0" fontId="66" fillId="0" borderId="0" xfId="0" applyFont="1" applyAlignment="1">
      <alignment horizontal="center" vertical="center" wrapText="1"/>
    </xf>
    <xf numFmtId="14" fontId="71" fillId="0" borderId="3" xfId="0" applyNumberFormat="1" applyFont="1" applyBorder="1" applyAlignment="1">
      <alignment horizontal="center" vertical="center"/>
    </xf>
    <xf numFmtId="14" fontId="66" fillId="0" borderId="3" xfId="0" applyNumberFormat="1" applyFont="1" applyBorder="1" applyAlignment="1">
      <alignment horizontal="center" vertical="center"/>
    </xf>
    <xf numFmtId="14" fontId="62" fillId="0" borderId="3" xfId="0" applyNumberFormat="1" applyFont="1" applyBorder="1" applyAlignment="1">
      <alignment horizontal="center" vertical="center"/>
    </xf>
    <xf numFmtId="14" fontId="62" fillId="0" borderId="0" xfId="0" applyNumberFormat="1" applyFont="1" applyAlignment="1">
      <alignment horizontal="center" vertical="center"/>
    </xf>
    <xf numFmtId="14" fontId="66" fillId="0" borderId="3" xfId="0" applyNumberFormat="1" applyFont="1" applyBorder="1" applyAlignment="1">
      <alignment horizontal="center" vertical="center" readingOrder="1"/>
    </xf>
    <xf numFmtId="1" fontId="59" fillId="0" borderId="0" xfId="0" applyNumberFormat="1" applyFont="1" applyAlignment="1">
      <alignment vertical="center"/>
    </xf>
    <xf numFmtId="0" fontId="62" fillId="0" borderId="0" xfId="0" applyFont="1" applyAlignment="1">
      <alignment horizontal="left" vertical="center" wrapText="1"/>
    </xf>
    <xf numFmtId="37" fontId="59" fillId="0" borderId="0" xfId="0" applyNumberFormat="1" applyFont="1" applyAlignment="1">
      <alignment vertical="center"/>
    </xf>
    <xf numFmtId="37" fontId="66" fillId="0" borderId="1" xfId="0" applyNumberFormat="1" applyFont="1" applyBorder="1" applyAlignment="1">
      <alignment horizontal="center" vertical="center"/>
    </xf>
    <xf numFmtId="37" fontId="59" fillId="0" borderId="0" xfId="0" applyNumberFormat="1" applyFont="1" applyAlignment="1">
      <alignment horizontal="right" vertical="center"/>
    </xf>
    <xf numFmtId="9" fontId="62" fillId="0" borderId="0" xfId="2" applyFont="1" applyAlignment="1">
      <alignment vertical="center"/>
    </xf>
    <xf numFmtId="3" fontId="66" fillId="0" borderId="0" xfId="0" applyNumberFormat="1" applyFont="1" applyAlignment="1">
      <alignment horizontal="center"/>
    </xf>
    <xf numFmtId="3" fontId="62" fillId="0" borderId="0" xfId="0" applyNumberFormat="1" applyFont="1" applyAlignment="1">
      <alignment horizontal="center"/>
    </xf>
    <xf numFmtId="37" fontId="66" fillId="25" borderId="0" xfId="0" applyNumberFormat="1" applyFont="1" applyFill="1" applyAlignment="1">
      <alignment horizontal="center" vertical="center"/>
    </xf>
    <xf numFmtId="9" fontId="62" fillId="0" borderId="0" xfId="2" applyFont="1" applyAlignment="1">
      <alignment horizontal="right" vertical="center"/>
    </xf>
    <xf numFmtId="1" fontId="62" fillId="0" borderId="0" xfId="0" applyNumberFormat="1" applyFont="1" applyAlignment="1">
      <alignment horizontal="center" vertical="center"/>
    </xf>
    <xf numFmtId="37" fontId="62" fillId="0" borderId="0" xfId="0" applyNumberFormat="1" applyFont="1" applyAlignment="1">
      <alignment horizontal="left"/>
    </xf>
    <xf numFmtId="37" fontId="66" fillId="0" borderId="0" xfId="0" applyNumberFormat="1" applyFont="1" applyAlignment="1">
      <alignment horizontal="left"/>
    </xf>
    <xf numFmtId="49" fontId="66" fillId="0" borderId="0" xfId="0" applyNumberFormat="1" applyFont="1" applyAlignment="1">
      <alignment horizontal="left" readingOrder="1"/>
    </xf>
    <xf numFmtId="49" fontId="66" fillId="0" borderId="0" xfId="0" applyNumberFormat="1" applyFont="1" applyAlignment="1">
      <alignment horizontal="left" readingOrder="2"/>
    </xf>
    <xf numFmtId="0" fontId="62" fillId="0" borderId="0" xfId="0" applyFont="1" applyAlignment="1">
      <alignment wrapText="1"/>
    </xf>
    <xf numFmtId="0" fontId="66" fillId="0" borderId="0" xfId="0" applyFont="1" applyAlignment="1">
      <alignment vertical="top" wrapText="1"/>
    </xf>
    <xf numFmtId="0" fontId="62" fillId="0" borderId="0" xfId="0" applyFont="1" applyAlignment="1">
      <alignment horizontal="left" wrapText="1"/>
    </xf>
    <xf numFmtId="0" fontId="66" fillId="0" borderId="0" xfId="0" applyFont="1" applyAlignment="1">
      <alignment horizontal="right"/>
    </xf>
    <xf numFmtId="0" fontId="62" fillId="0" borderId="0" xfId="0" applyFont="1" applyAlignment="1">
      <alignment horizontal="left" vertical="top" readingOrder="2"/>
    </xf>
    <xf numFmtId="2" fontId="62" fillId="0" borderId="0" xfId="0" applyNumberFormat="1" applyFont="1" applyAlignment="1">
      <alignment horizontal="left" vertical="top" wrapText="1"/>
    </xf>
    <xf numFmtId="0" fontId="62" fillId="0" borderId="0" xfId="0" applyFont="1" applyAlignment="1">
      <alignment horizontal="left" vertical="distributed" readingOrder="2"/>
    </xf>
    <xf numFmtId="0" fontId="64" fillId="0" borderId="0" xfId="0" applyFont="1" applyAlignment="1">
      <alignment horizontal="left"/>
    </xf>
    <xf numFmtId="0" fontId="78" fillId="0" borderId="0" xfId="0" applyFont="1"/>
    <xf numFmtId="37" fontId="77" fillId="0" borderId="0" xfId="0" applyNumberFormat="1" applyFont="1" applyAlignment="1">
      <alignment vertical="center" wrapText="1"/>
    </xf>
    <xf numFmtId="0" fontId="62" fillId="0" borderId="0" xfId="0" applyFont="1" applyAlignment="1">
      <alignment wrapText="1" readingOrder="2"/>
    </xf>
    <xf numFmtId="0" fontId="62" fillId="0" borderId="0" xfId="0" applyFont="1" applyAlignment="1">
      <alignment horizontal="left" wrapText="1" readingOrder="2"/>
    </xf>
    <xf numFmtId="0" fontId="66" fillId="0" borderId="0" xfId="0" applyFont="1" applyAlignment="1">
      <alignment horizontal="left" wrapText="1" readingOrder="2"/>
    </xf>
    <xf numFmtId="0" fontId="79" fillId="0" borderId="0" xfId="0" applyFont="1" applyAlignment="1">
      <alignment horizontal="justify" vertical="center"/>
    </xf>
    <xf numFmtId="0" fontId="62" fillId="0" borderId="0" xfId="0" applyFont="1" applyAlignment="1">
      <alignment horizontal="left" vertical="center" wrapText="1" readingOrder="2"/>
    </xf>
    <xf numFmtId="0" fontId="62" fillId="0" borderId="0" xfId="0" applyFont="1" applyAlignment="1">
      <alignment vertical="top" wrapText="1"/>
    </xf>
    <xf numFmtId="0" fontId="66" fillId="0" borderId="0" xfId="0" applyFont="1" applyAlignment="1">
      <alignment horizontal="left" vertical="center" wrapText="1"/>
    </xf>
    <xf numFmtId="0" fontId="62" fillId="0" borderId="0" xfId="0" applyFont="1" applyAlignment="1">
      <alignment horizontal="left" vertical="distributed" wrapText="1" readingOrder="2"/>
    </xf>
    <xf numFmtId="173" fontId="64" fillId="0" borderId="0" xfId="1" applyNumberFormat="1" applyFont="1" applyAlignment="1">
      <alignment horizontal="center" vertical="center"/>
    </xf>
    <xf numFmtId="165" fontId="63" fillId="0" borderId="0" xfId="1" applyFont="1" applyAlignment="1">
      <alignment horizontal="center" vertical="center"/>
    </xf>
    <xf numFmtId="173" fontId="63" fillId="0" borderId="0" xfId="1" applyNumberFormat="1" applyFont="1" applyAlignment="1">
      <alignment horizontal="center" vertical="center" wrapText="1"/>
    </xf>
    <xf numFmtId="165" fontId="63" fillId="0" borderId="0" xfId="1" applyFont="1" applyAlignment="1">
      <alignment horizontal="center" vertical="center" wrapText="1"/>
    </xf>
    <xf numFmtId="0" fontId="66" fillId="0" borderId="0" xfId="0" applyFont="1" applyAlignment="1">
      <alignment horizontal="right" vertical="center" readingOrder="2"/>
    </xf>
    <xf numFmtId="173" fontId="62" fillId="0" borderId="0" xfId="1" applyNumberFormat="1" applyFont="1" applyAlignment="1">
      <alignment horizontal="center" vertical="center" wrapText="1"/>
    </xf>
    <xf numFmtId="165" fontId="66" fillId="0" borderId="0" xfId="1" applyFont="1" applyAlignment="1">
      <alignment horizontal="right" vertical="center" wrapText="1"/>
    </xf>
    <xf numFmtId="177" fontId="62" fillId="0" borderId="0" xfId="1" applyNumberFormat="1" applyFont="1" applyAlignment="1">
      <alignment horizontal="center" vertical="center" shrinkToFit="1" readingOrder="2"/>
    </xf>
    <xf numFmtId="0" fontId="84" fillId="0" borderId="0" xfId="0" applyFont="1" applyAlignment="1">
      <alignment vertical="center"/>
    </xf>
    <xf numFmtId="0" fontId="71" fillId="0" borderId="0" xfId="0" applyFont="1" applyAlignment="1">
      <alignment horizontal="left" vertical="center" readingOrder="2"/>
    </xf>
    <xf numFmtId="0" fontId="62" fillId="0" borderId="0" xfId="0" applyFont="1" applyAlignment="1">
      <alignment horizontal="justify" vertical="center" readingOrder="2"/>
    </xf>
    <xf numFmtId="177" fontId="66" fillId="0" borderId="4" xfId="0" applyNumberFormat="1" applyFont="1" applyBorder="1" applyAlignment="1">
      <alignment horizontal="center" vertical="center" shrinkToFit="1" readingOrder="2"/>
    </xf>
    <xf numFmtId="173" fontId="62" fillId="0" borderId="0" xfId="1" applyNumberFormat="1" applyFont="1" applyAlignment="1">
      <alignment horizontal="center" vertical="center"/>
    </xf>
    <xf numFmtId="165" fontId="62" fillId="0" borderId="0" xfId="1" applyFont="1" applyAlignment="1">
      <alignment horizontal="justify" vertical="center" readingOrder="2"/>
    </xf>
    <xf numFmtId="173" fontId="62" fillId="0" borderId="0" xfId="1" applyNumberFormat="1" applyFont="1" applyAlignment="1">
      <alignment horizontal="center" vertical="center" shrinkToFit="1" readingOrder="2"/>
    </xf>
    <xf numFmtId="0" fontId="62" fillId="0" borderId="0" xfId="0" applyFont="1" applyAlignment="1">
      <alignment horizontal="right" vertical="center" readingOrder="2"/>
    </xf>
    <xf numFmtId="0" fontId="85" fillId="0" borderId="0" xfId="0" applyFont="1" applyAlignment="1">
      <alignment vertical="center"/>
    </xf>
    <xf numFmtId="0" fontId="66" fillId="0" borderId="0" xfId="0" applyFont="1" applyAlignment="1">
      <alignment vertical="center" readingOrder="2"/>
    </xf>
    <xf numFmtId="3" fontId="63" fillId="0" borderId="0" xfId="0" applyNumberFormat="1" applyFont="1" applyAlignment="1">
      <alignment horizontal="justify" vertical="center" readingOrder="2"/>
    </xf>
    <xf numFmtId="173" fontId="66" fillId="0" borderId="0" xfId="1" applyNumberFormat="1" applyFont="1" applyAlignment="1">
      <alignment horizontal="center" vertical="center"/>
    </xf>
    <xf numFmtId="165" fontId="66" fillId="0" borderId="0" xfId="1" applyFont="1" applyAlignment="1">
      <alignment horizontal="center" vertical="center"/>
    </xf>
    <xf numFmtId="165" fontId="85" fillId="0" borderId="0" xfId="1" applyFont="1" applyAlignment="1">
      <alignment horizontal="center" vertical="center"/>
    </xf>
    <xf numFmtId="0" fontId="59" fillId="0" borderId="3" xfId="0" applyFont="1" applyBorder="1"/>
    <xf numFmtId="0" fontId="82" fillId="0" borderId="0" xfId="0" applyFont="1" applyAlignment="1">
      <alignment horizontal="center"/>
    </xf>
    <xf numFmtId="0" fontId="86" fillId="0" borderId="0" xfId="0" applyFont="1" applyAlignment="1">
      <alignment horizontal="center"/>
    </xf>
    <xf numFmtId="0" fontId="65" fillId="0" borderId="0" xfId="0" applyFont="1"/>
    <xf numFmtId="0" fontId="87" fillId="0" borderId="0" xfId="0" applyFont="1" applyAlignment="1">
      <alignment horizontal="center" vertical="center"/>
    </xf>
    <xf numFmtId="0" fontId="87" fillId="0" borderId="0" xfId="0" applyFont="1" applyAlignment="1">
      <alignment horizontal="center" vertical="center" wrapText="1"/>
    </xf>
    <xf numFmtId="0" fontId="87" fillId="0" borderId="0" xfId="0" applyFont="1" applyAlignment="1">
      <alignment horizontal="center"/>
    </xf>
    <xf numFmtId="0" fontId="87" fillId="0" borderId="0" xfId="0" applyFont="1" applyAlignment="1">
      <alignment vertical="center"/>
    </xf>
    <xf numFmtId="177" fontId="65" fillId="0" borderId="1" xfId="0" applyNumberFormat="1" applyFont="1" applyBorder="1" applyAlignment="1">
      <alignment horizontal="center" vertical="center"/>
    </xf>
    <xf numFmtId="177" fontId="65" fillId="25" borderId="1" xfId="0" applyNumberFormat="1" applyFont="1" applyFill="1" applyBorder="1" applyAlignment="1">
      <alignment horizontal="center" vertical="center"/>
    </xf>
    <xf numFmtId="37" fontId="59" fillId="0" borderId="0" xfId="0" applyNumberFormat="1" applyFont="1"/>
    <xf numFmtId="177" fontId="59" fillId="0" borderId="0" xfId="0" applyNumberFormat="1" applyFont="1" applyAlignment="1">
      <alignment horizontal="center" vertical="center"/>
    </xf>
    <xf numFmtId="177" fontId="59" fillId="0" borderId="0" xfId="0" applyNumberFormat="1" applyFont="1" applyAlignment="1">
      <alignment horizontal="center" vertical="center" shrinkToFit="1" readingOrder="2"/>
    </xf>
    <xf numFmtId="177" fontId="65" fillId="0" borderId="0" xfId="0" applyNumberFormat="1" applyFont="1" applyAlignment="1">
      <alignment horizontal="center" vertical="center"/>
    </xf>
    <xf numFmtId="37" fontId="65" fillId="0" borderId="0" xfId="0" applyNumberFormat="1" applyFont="1" applyAlignment="1">
      <alignment horizontal="center"/>
    </xf>
    <xf numFmtId="0" fontId="88" fillId="0" borderId="0" xfId="0" applyFont="1"/>
    <xf numFmtId="2" fontId="66" fillId="0" borderId="0" xfId="0" applyNumberFormat="1" applyFont="1" applyAlignment="1">
      <alignment horizontal="left" vertical="center" wrapText="1"/>
    </xf>
    <xf numFmtId="0" fontId="76" fillId="0" borderId="0" xfId="0" applyFont="1" applyAlignment="1">
      <alignment horizontal="left"/>
    </xf>
    <xf numFmtId="10" fontId="62" fillId="0" borderId="0" xfId="0" applyNumberFormat="1" applyFont="1"/>
    <xf numFmtId="165" fontId="62" fillId="0" borderId="0" xfId="1" applyFont="1" applyAlignment="1">
      <alignment horizontal="centerContinuous"/>
    </xf>
    <xf numFmtId="0" fontId="62" fillId="0" borderId="0" xfId="0" applyFont="1" applyAlignment="1">
      <alignment horizontal="centerContinuous"/>
    </xf>
    <xf numFmtId="0" fontId="63" fillId="0" borderId="0" xfId="0" applyFont="1" applyAlignment="1">
      <alignment horizontal="centerContinuous"/>
    </xf>
    <xf numFmtId="165" fontId="76" fillId="0" borderId="0" xfId="1" applyFont="1" applyAlignment="1">
      <alignment horizontal="center" vertical="center" wrapText="1"/>
    </xf>
    <xf numFmtId="3" fontId="84" fillId="0" borderId="0" xfId="0" applyNumberFormat="1" applyFont="1" applyAlignment="1">
      <alignment vertical="center"/>
    </xf>
    <xf numFmtId="165" fontId="65" fillId="0" borderId="0" xfId="1" applyFont="1" applyAlignment="1">
      <alignment horizontal="center" vertical="center"/>
    </xf>
    <xf numFmtId="165" fontId="62" fillId="0" borderId="0" xfId="1" applyFont="1" applyAlignment="1">
      <alignment horizontal="right" vertical="center"/>
    </xf>
    <xf numFmtId="49" fontId="66" fillId="0" borderId="0" xfId="0" applyNumberFormat="1" applyFont="1" applyAlignment="1">
      <alignment horizontal="center" vertical="center"/>
    </xf>
    <xf numFmtId="176" fontId="66" fillId="0" borderId="0" xfId="0" applyNumberFormat="1" applyFont="1" applyAlignment="1">
      <alignment horizontal="center" vertical="center"/>
    </xf>
    <xf numFmtId="168" fontId="62" fillId="0" borderId="0" xfId="0" applyNumberFormat="1" applyFont="1" applyAlignment="1">
      <alignment vertical="center"/>
    </xf>
    <xf numFmtId="177" fontId="89" fillId="0" borderId="0" xfId="0" applyNumberFormat="1" applyFont="1" applyAlignment="1">
      <alignment horizontal="right" vertical="center"/>
    </xf>
    <xf numFmtId="176" fontId="66" fillId="0" borderId="0" xfId="0" applyNumberFormat="1" applyFont="1" applyAlignment="1">
      <alignment horizontal="left" vertical="center"/>
    </xf>
    <xf numFmtId="177" fontId="90" fillId="0" borderId="0" xfId="0" applyNumberFormat="1" applyFont="1" applyAlignment="1">
      <alignment horizontal="right" vertical="center"/>
    </xf>
    <xf numFmtId="177" fontId="59" fillId="0" borderId="0" xfId="0" applyNumberFormat="1" applyFont="1" applyAlignment="1">
      <alignment horizontal="center" vertical="center" readingOrder="2"/>
    </xf>
    <xf numFmtId="177" fontId="62" fillId="0" borderId="3" xfId="0" applyNumberFormat="1" applyFont="1" applyBorder="1" applyAlignment="1">
      <alignment horizontal="center" vertical="center" shrinkToFit="1" readingOrder="2"/>
    </xf>
    <xf numFmtId="165" fontId="62" fillId="0" borderId="0" xfId="1" applyFont="1"/>
    <xf numFmtId="0" fontId="64" fillId="0" borderId="0" xfId="0" applyFont="1"/>
    <xf numFmtId="0" fontId="64" fillId="0" borderId="0" xfId="0" applyFont="1" applyAlignment="1">
      <alignment horizontal="center" vertical="center"/>
    </xf>
    <xf numFmtId="0" fontId="61" fillId="0" borderId="0" xfId="0" applyFont="1" applyAlignment="1">
      <alignment horizontal="center" vertical="center" wrapText="1"/>
    </xf>
    <xf numFmtId="0" fontId="64" fillId="0" borderId="0" xfId="0" applyFont="1" applyAlignment="1">
      <alignment horizontal="center" vertical="center" wrapText="1"/>
    </xf>
    <xf numFmtId="165" fontId="85" fillId="0" borderId="0" xfId="1" applyFont="1" applyAlignment="1">
      <alignment vertical="center"/>
    </xf>
    <xf numFmtId="0" fontId="85" fillId="0" borderId="0" xfId="0" applyFont="1" applyAlignment="1">
      <alignment horizontal="left" vertical="center"/>
    </xf>
    <xf numFmtId="164" fontId="62" fillId="0" borderId="0" xfId="0" applyNumberFormat="1" applyFont="1" applyAlignment="1">
      <alignment horizontal="center" vertical="center"/>
    </xf>
    <xf numFmtId="177" fontId="66" fillId="0" borderId="0" xfId="0" applyNumberFormat="1" applyFont="1" applyAlignment="1">
      <alignment horizontal="right" vertical="center"/>
    </xf>
    <xf numFmtId="14" fontId="91" fillId="0" borderId="0" xfId="0" applyNumberFormat="1" applyFont="1" applyAlignment="1">
      <alignment horizontal="center" vertical="center"/>
    </xf>
    <xf numFmtId="0" fontId="62" fillId="0" borderId="2" xfId="0" applyFont="1" applyBorder="1" applyAlignment="1">
      <alignment horizontal="center" vertical="center"/>
    </xf>
    <xf numFmtId="169" fontId="62" fillId="0" borderId="0" xfId="0" applyNumberFormat="1" applyFont="1" applyAlignment="1">
      <alignment horizontal="center" vertical="center"/>
    </xf>
    <xf numFmtId="49" fontId="62" fillId="0" borderId="0" xfId="0" applyNumberFormat="1" applyFont="1" applyAlignment="1">
      <alignment horizontal="left" vertical="center"/>
    </xf>
    <xf numFmtId="9" fontId="62" fillId="0" borderId="0" xfId="0" applyNumberFormat="1" applyFont="1" applyAlignment="1">
      <alignment vertical="center"/>
    </xf>
    <xf numFmtId="49" fontId="66" fillId="0" borderId="0" xfId="0" applyNumberFormat="1" applyFont="1" applyAlignment="1">
      <alignment horizontal="right" vertical="center"/>
    </xf>
    <xf numFmtId="165" fontId="62" fillId="0" borderId="0" xfId="1" applyFont="1" applyAlignment="1">
      <alignment horizontal="center" vertical="center"/>
    </xf>
    <xf numFmtId="171" fontId="66" fillId="0" borderId="0" xfId="1" applyNumberFormat="1" applyFont="1" applyAlignment="1">
      <alignment vertical="center"/>
    </xf>
    <xf numFmtId="165" fontId="66" fillId="0" borderId="0" xfId="0" applyNumberFormat="1" applyFont="1" applyAlignment="1">
      <alignment vertical="center"/>
    </xf>
    <xf numFmtId="175" fontId="87" fillId="0" borderId="0" xfId="59" applyFont="1" applyAlignment="1">
      <alignment horizontal="center" vertical="center" readingOrder="2"/>
    </xf>
    <xf numFmtId="175" fontId="92" fillId="0" borderId="0" xfId="59" applyFont="1" applyAlignment="1">
      <alignment horizontal="center" vertical="center" readingOrder="2"/>
    </xf>
    <xf numFmtId="175" fontId="87" fillId="0" borderId="0" xfId="59" applyFont="1" applyAlignment="1">
      <alignment vertical="center" readingOrder="2"/>
    </xf>
    <xf numFmtId="175" fontId="87" fillId="0" borderId="0" xfId="59" applyFont="1" applyAlignment="1">
      <alignment horizontal="right" readingOrder="2"/>
    </xf>
    <xf numFmtId="49" fontId="62" fillId="0" borderId="0" xfId="0" applyNumberFormat="1" applyFont="1" applyAlignment="1">
      <alignment horizontal="right"/>
    </xf>
    <xf numFmtId="49" fontId="62" fillId="0" borderId="0" xfId="0" applyNumberFormat="1" applyFont="1" applyAlignment="1">
      <alignment horizontal="right" readingOrder="1"/>
    </xf>
    <xf numFmtId="173" fontId="62" fillId="0" borderId="0" xfId="1" applyNumberFormat="1" applyFont="1"/>
    <xf numFmtId="0" fontId="59" fillId="0" borderId="0" xfId="0" applyFont="1" applyAlignment="1">
      <alignment horizontal="center"/>
    </xf>
    <xf numFmtId="173" fontId="59" fillId="0" borderId="0" xfId="1" applyNumberFormat="1" applyFont="1"/>
    <xf numFmtId="0" fontId="88" fillId="0" borderId="0" xfId="0" applyFont="1" applyAlignment="1">
      <alignment horizontal="center"/>
    </xf>
    <xf numFmtId="0" fontId="71" fillId="0" borderId="0" xfId="0" applyFont="1" applyAlignment="1">
      <alignment horizontal="left"/>
    </xf>
    <xf numFmtId="0" fontId="87" fillId="0" borderId="0" xfId="0" applyFont="1"/>
    <xf numFmtId="49" fontId="59" fillId="0" borderId="0" xfId="0" applyNumberFormat="1" applyFont="1" applyAlignment="1">
      <alignment horizontal="center" readingOrder="1"/>
    </xf>
    <xf numFmtId="0" fontId="59" fillId="0" borderId="0" xfId="0" applyFont="1" applyAlignment="1">
      <alignment horizontal="center" readingOrder="2"/>
    </xf>
    <xf numFmtId="176" fontId="66" fillId="0" borderId="0" xfId="0" applyNumberFormat="1" applyFont="1" applyAlignment="1">
      <alignment horizontal="center" vertical="center" readingOrder="2"/>
    </xf>
    <xf numFmtId="0" fontId="62" fillId="0" borderId="0" xfId="0" applyFont="1" applyAlignment="1">
      <alignment horizontal="left" vertical="center" wrapText="1" readingOrder="1"/>
    </xf>
    <xf numFmtId="0" fontId="86" fillId="0" borderId="5" xfId="0" applyFont="1" applyBorder="1" applyAlignment="1">
      <alignment horizontal="center" vertical="center" wrapText="1"/>
    </xf>
    <xf numFmtId="173" fontId="86" fillId="0" borderId="5" xfId="3" applyNumberFormat="1" applyFont="1" applyBorder="1" applyAlignment="1">
      <alignment horizontal="center" vertical="center" wrapText="1"/>
    </xf>
    <xf numFmtId="177" fontId="80" fillId="25" borderId="7" xfId="0" applyNumberFormat="1" applyFont="1" applyFill="1" applyBorder="1" applyAlignment="1">
      <alignment horizontal="center" vertical="center"/>
    </xf>
    <xf numFmtId="177" fontId="80" fillId="0" borderId="7" xfId="0" applyNumberFormat="1" applyFont="1" applyBorder="1" applyAlignment="1">
      <alignment horizontal="center" vertical="center"/>
    </xf>
    <xf numFmtId="177" fontId="80" fillId="0" borderId="5" xfId="0" applyNumberFormat="1" applyFont="1" applyBorder="1" applyAlignment="1">
      <alignment horizontal="center"/>
    </xf>
    <xf numFmtId="177" fontId="80" fillId="0" borderId="5" xfId="0" applyNumberFormat="1" applyFont="1" applyBorder="1" applyAlignment="1">
      <alignment horizontal="center" vertical="center"/>
    </xf>
    <xf numFmtId="177" fontId="80" fillId="25" borderId="5" xfId="0" applyNumberFormat="1" applyFont="1" applyFill="1" applyBorder="1" applyAlignment="1">
      <alignment horizontal="left"/>
    </xf>
    <xf numFmtId="177" fontId="80" fillId="25" borderId="5" xfId="0" applyNumberFormat="1" applyFont="1" applyFill="1" applyBorder="1" applyAlignment="1">
      <alignment horizontal="left" vertical="center"/>
    </xf>
    <xf numFmtId="177" fontId="86" fillId="0" borderId="5" xfId="0" applyNumberFormat="1" applyFont="1" applyBorder="1" applyAlignment="1">
      <alignment horizontal="center" vertical="center"/>
    </xf>
    <xf numFmtId="176" fontId="66" fillId="0" borderId="0" xfId="0" applyNumberFormat="1" applyFont="1" applyAlignment="1">
      <alignment horizontal="center" vertical="center" readingOrder="1"/>
    </xf>
    <xf numFmtId="1" fontId="62" fillId="0" borderId="0" xfId="0" applyNumberFormat="1" applyFont="1" applyAlignment="1">
      <alignment horizontal="left" vertical="center"/>
    </xf>
    <xf numFmtId="0" fontId="63" fillId="0" borderId="0" xfId="0" applyFont="1" applyAlignment="1">
      <alignment horizontal="left" vertical="center" wrapText="1" readingOrder="1"/>
    </xf>
    <xf numFmtId="0" fontId="80" fillId="0" borderId="0" xfId="0" applyFont="1" applyAlignment="1">
      <alignment horizontal="right" vertical="top" wrapText="1" readingOrder="2"/>
    </xf>
    <xf numFmtId="0" fontId="66" fillId="0" borderId="5" xfId="0" applyFont="1" applyBorder="1" applyAlignment="1">
      <alignment horizontal="center" vertical="center"/>
    </xf>
    <xf numFmtId="0" fontId="62" fillId="0" borderId="5" xfId="0" applyFont="1" applyBorder="1" applyAlignment="1">
      <alignment horizontal="center" vertical="center"/>
    </xf>
    <xf numFmtId="0" fontId="62" fillId="0" borderId="5" xfId="0" applyFont="1" applyBorder="1" applyAlignment="1">
      <alignment horizontal="center"/>
    </xf>
    <xf numFmtId="0" fontId="82" fillId="0" borderId="0" xfId="0" applyFont="1" applyAlignment="1">
      <alignment readingOrder="2"/>
    </xf>
    <xf numFmtId="0" fontId="82" fillId="0" borderId="0" xfId="0" applyFont="1" applyAlignment="1">
      <alignment horizontal="right" wrapText="1" readingOrder="2"/>
    </xf>
    <xf numFmtId="2" fontId="62" fillId="0" borderId="0" xfId="0" applyNumberFormat="1" applyFont="1" applyAlignment="1">
      <alignment horizontal="left" vertical="center" wrapText="1"/>
    </xf>
    <xf numFmtId="0" fontId="83" fillId="0" borderId="0" xfId="0" applyFont="1" applyAlignment="1">
      <alignment horizontal="justify" vertical="center"/>
    </xf>
    <xf numFmtId="2" fontId="62" fillId="0" borderId="0" xfId="0" applyNumberFormat="1" applyFont="1" applyAlignment="1">
      <alignment vertical="center" wrapText="1"/>
    </xf>
    <xf numFmtId="9" fontId="62" fillId="0" borderId="0" xfId="2" applyFont="1" applyFill="1" applyAlignment="1">
      <alignment horizontal="left" readingOrder="1"/>
    </xf>
    <xf numFmtId="9" fontId="62" fillId="0" borderId="0" xfId="2" applyFont="1" applyFill="1" applyAlignment="1">
      <alignment readingOrder="2"/>
    </xf>
    <xf numFmtId="9" fontId="62" fillId="0" borderId="0" xfId="2" applyFont="1" applyFill="1" applyAlignment="1">
      <alignment readingOrder="1"/>
    </xf>
    <xf numFmtId="9" fontId="62" fillId="0" borderId="0" xfId="2" applyFont="1" applyFill="1" applyAlignment="1">
      <alignment horizontal="center" readingOrder="2"/>
    </xf>
    <xf numFmtId="0" fontId="66" fillId="0" borderId="0" xfId="0" applyFont="1" applyAlignment="1">
      <alignment vertical="top" readingOrder="2"/>
    </xf>
    <xf numFmtId="0" fontId="62" fillId="0" borderId="0" xfId="0" applyFont="1" applyAlignment="1">
      <alignment horizontal="distributed" vertical="distributed" readingOrder="2"/>
    </xf>
    <xf numFmtId="177" fontId="86" fillId="0" borderId="5" xfId="0" applyNumberFormat="1" applyFont="1" applyBorder="1" applyAlignment="1">
      <alignment horizontal="left" vertical="center"/>
    </xf>
    <xf numFmtId="2" fontId="62" fillId="0" borderId="0" xfId="0" applyNumberFormat="1" applyFont="1" applyAlignment="1">
      <alignment wrapText="1"/>
    </xf>
    <xf numFmtId="0" fontId="87" fillId="0" borderId="0" xfId="0" applyFont="1" applyAlignment="1">
      <alignment horizontal="center"/>
    </xf>
    <xf numFmtId="0" fontId="87" fillId="0" borderId="0" xfId="0" applyFont="1" applyAlignment="1">
      <alignment horizontal="center" wrapText="1"/>
    </xf>
    <xf numFmtId="175" fontId="87" fillId="0" borderId="0" xfId="59" applyFont="1" applyAlignment="1">
      <alignment horizontal="center" vertical="center" readingOrder="2"/>
    </xf>
    <xf numFmtId="1" fontId="62" fillId="0" borderId="0" xfId="0" applyNumberFormat="1" applyFont="1" applyAlignment="1">
      <alignment horizontal="center" vertical="center"/>
    </xf>
    <xf numFmtId="0" fontId="66" fillId="0" borderId="0" xfId="0" applyFont="1" applyAlignment="1">
      <alignment horizontal="center" vertical="center"/>
    </xf>
    <xf numFmtId="0" fontId="63" fillId="0" borderId="0" xfId="0" applyFont="1" applyAlignment="1">
      <alignment horizontal="left" vertical="center"/>
    </xf>
    <xf numFmtId="0" fontId="66" fillId="0" borderId="0" xfId="0" applyFont="1" applyAlignment="1">
      <alignment horizontal="left" vertical="center"/>
    </xf>
    <xf numFmtId="0" fontId="63" fillId="0" borderId="3" xfId="0" applyFont="1" applyBorder="1" applyAlignment="1">
      <alignment horizontal="left" vertical="center"/>
    </xf>
    <xf numFmtId="0" fontId="76" fillId="0" borderId="0" xfId="0" applyFont="1" applyAlignment="1">
      <alignment horizontal="left"/>
    </xf>
    <xf numFmtId="0" fontId="76" fillId="0" borderId="0" xfId="0" applyFont="1" applyAlignment="1">
      <alignment horizontal="left" vertical="center" wrapText="1"/>
    </xf>
    <xf numFmtId="0" fontId="71" fillId="0" borderId="0" xfId="0" applyFont="1" applyAlignment="1">
      <alignment horizontal="left" vertical="center" wrapText="1"/>
    </xf>
    <xf numFmtId="0" fontId="66" fillId="0" borderId="0" xfId="0" applyFont="1" applyAlignment="1">
      <alignment horizontal="center"/>
    </xf>
    <xf numFmtId="0" fontId="66" fillId="0" borderId="3" xfId="0" applyFont="1" applyBorder="1" applyAlignment="1">
      <alignment horizontal="left" vertical="center"/>
    </xf>
    <xf numFmtId="0" fontId="65" fillId="0" borderId="0" xfId="0" applyFont="1" applyAlignment="1">
      <alignment horizontal="center"/>
    </xf>
    <xf numFmtId="0" fontId="63" fillId="0" borderId="0" xfId="0" applyFont="1"/>
    <xf numFmtId="0" fontId="63" fillId="0" borderId="3" xfId="0" applyFont="1" applyBorder="1" applyAlignment="1">
      <alignment horizontal="left" vertical="center" wrapText="1"/>
    </xf>
    <xf numFmtId="0" fontId="66" fillId="0" borderId="3" xfId="0" applyFont="1" applyBorder="1" applyAlignment="1">
      <alignment horizontal="left" vertical="center" wrapText="1"/>
    </xf>
    <xf numFmtId="2" fontId="66" fillId="0" borderId="0" xfId="0" applyNumberFormat="1" applyFont="1" applyAlignment="1">
      <alignment horizontal="left" vertical="center" wrapText="1"/>
    </xf>
    <xf numFmtId="0" fontId="66" fillId="0" borderId="0" xfId="0" applyFont="1" applyAlignment="1">
      <alignment horizontal="left" vertical="center" readingOrder="2"/>
    </xf>
    <xf numFmtId="0" fontId="62" fillId="0" borderId="0" xfId="0" applyFont="1" applyAlignment="1">
      <alignment horizontal="left" vertical="center" readingOrder="2"/>
    </xf>
    <xf numFmtId="0" fontId="71" fillId="0" borderId="0" xfId="0" applyFont="1" applyAlignment="1">
      <alignment horizontal="left" vertical="center" readingOrder="2"/>
    </xf>
    <xf numFmtId="2" fontId="62" fillId="0" borderId="0" xfId="0" applyNumberFormat="1" applyFont="1" applyAlignment="1">
      <alignment horizontal="left" vertical="center" wrapText="1"/>
    </xf>
    <xf numFmtId="0" fontId="63" fillId="0" borderId="0" xfId="0" applyFont="1" applyAlignment="1">
      <alignment horizontal="left"/>
    </xf>
    <xf numFmtId="0" fontId="66" fillId="0" borderId="0" xfId="0" applyFont="1" applyAlignment="1">
      <alignment horizontal="left"/>
    </xf>
    <xf numFmtId="0" fontId="66" fillId="0" borderId="0" xfId="0" applyFont="1" applyAlignment="1">
      <alignment horizontal="center" vertical="top" readingOrder="2"/>
    </xf>
    <xf numFmtId="0" fontId="66" fillId="0" borderId="6" xfId="0" applyFont="1" applyBorder="1" applyAlignment="1">
      <alignment horizontal="center" vertical="center" wrapText="1"/>
    </xf>
    <xf numFmtId="0" fontId="66" fillId="0" borderId="7" xfId="0" applyFont="1" applyBorder="1" applyAlignment="1">
      <alignment horizontal="center" vertical="center" wrapText="1"/>
    </xf>
    <xf numFmtId="0" fontId="66" fillId="0" borderId="6" xfId="0" applyFont="1" applyBorder="1" applyAlignment="1">
      <alignment horizontal="center" vertical="center"/>
    </xf>
    <xf numFmtId="0" fontId="66" fillId="0" borderId="7" xfId="0" applyFont="1" applyBorder="1" applyAlignment="1">
      <alignment horizontal="center" vertical="center"/>
    </xf>
    <xf numFmtId="14" fontId="62" fillId="0" borderId="6" xfId="0" applyNumberFormat="1" applyFont="1" applyBorder="1" applyAlignment="1">
      <alignment horizontal="center" vertical="center"/>
    </xf>
    <xf numFmtId="14" fontId="62" fillId="0" borderId="7" xfId="0" applyNumberFormat="1" applyFont="1" applyBorder="1" applyAlignment="1">
      <alignment horizontal="center" vertical="center"/>
    </xf>
    <xf numFmtId="0" fontId="62" fillId="0" borderId="6" xfId="0" applyFont="1" applyBorder="1" applyAlignment="1">
      <alignment horizontal="center" vertical="center"/>
    </xf>
    <xf numFmtId="0" fontId="62" fillId="0" borderId="7" xfId="0" applyFont="1" applyBorder="1" applyAlignment="1">
      <alignment horizontal="center" vertical="center"/>
    </xf>
    <xf numFmtId="14" fontId="62" fillId="0" borderId="6" xfId="0" applyNumberFormat="1" applyFont="1" applyBorder="1" applyAlignment="1">
      <alignment horizontal="center"/>
    </xf>
    <xf numFmtId="14" fontId="62" fillId="0" borderId="7" xfId="0" applyNumberFormat="1" applyFont="1" applyBorder="1" applyAlignment="1">
      <alignment horizontal="center"/>
    </xf>
    <xf numFmtId="0" fontId="62" fillId="0" borderId="6" xfId="0" applyFont="1" applyBorder="1" applyAlignment="1">
      <alignment horizontal="center"/>
    </xf>
    <xf numFmtId="0" fontId="62" fillId="0" borderId="7" xfId="0" applyFont="1" applyBorder="1" applyAlignment="1">
      <alignment horizontal="center"/>
    </xf>
    <xf numFmtId="0" fontId="63" fillId="0" borderId="0" xfId="0" applyFont="1" applyAlignment="1">
      <alignment horizontal="left" vertical="center" wrapText="1" readingOrder="1"/>
    </xf>
    <xf numFmtId="0" fontId="62" fillId="0" borderId="0" xfId="0" applyFont="1" applyAlignment="1">
      <alignment horizontal="left" vertical="center" wrapText="1" readingOrder="1"/>
    </xf>
    <xf numFmtId="0" fontId="63" fillId="0" borderId="0" xfId="0" applyFont="1" applyAlignment="1">
      <alignment horizontal="right" vertical="distributed" readingOrder="1"/>
    </xf>
    <xf numFmtId="0" fontId="63" fillId="0" borderId="3" xfId="0" applyFont="1" applyBorder="1" applyAlignment="1">
      <alignment horizontal="left"/>
    </xf>
    <xf numFmtId="9" fontId="62" fillId="0" borderId="0" xfId="2" applyFont="1" applyFill="1" applyAlignment="1">
      <alignment horizontal="center" readingOrder="1"/>
    </xf>
    <xf numFmtId="9" fontId="62" fillId="0" borderId="0" xfId="2" applyFont="1" applyFill="1" applyAlignment="1">
      <alignment horizontal="left" readingOrder="1"/>
    </xf>
    <xf numFmtId="0" fontId="63" fillId="0" borderId="0" xfId="0" applyFont="1" applyAlignment="1">
      <alignment horizontal="right"/>
    </xf>
    <xf numFmtId="2" fontId="62" fillId="0" borderId="0" xfId="0" applyNumberFormat="1" applyFont="1" applyAlignment="1">
      <alignment horizontal="left" vertical="top" wrapText="1"/>
    </xf>
    <xf numFmtId="2" fontId="62" fillId="0" borderId="0" xfId="0" applyNumberFormat="1" applyFont="1" applyAlignment="1">
      <alignment horizontal="left" wrapText="1"/>
    </xf>
    <xf numFmtId="2" fontId="62" fillId="0" borderId="0" xfId="0" applyNumberFormat="1" applyFont="1" applyAlignment="1">
      <alignment horizontal="center"/>
    </xf>
    <xf numFmtId="0" fontId="62" fillId="0" borderId="0" xfId="0" applyFont="1" applyAlignment="1">
      <alignment horizontal="left" wrapText="1"/>
    </xf>
    <xf numFmtId="0" fontId="62" fillId="0" borderId="0" xfId="0" applyFont="1" applyAlignment="1">
      <alignment horizontal="left" vertical="center" wrapText="1"/>
    </xf>
    <xf numFmtId="0" fontId="62" fillId="0" borderId="4" xfId="0" applyFont="1" applyBorder="1" applyAlignment="1">
      <alignment horizontal="center"/>
    </xf>
    <xf numFmtId="0" fontId="62" fillId="0" borderId="0" xfId="0" applyFont="1" applyAlignment="1">
      <alignment horizontal="left" vertical="top" wrapText="1"/>
    </xf>
    <xf numFmtId="9" fontId="62" fillId="0" borderId="0" xfId="2" applyFont="1" applyAlignment="1">
      <alignment horizontal="center" readingOrder="2"/>
    </xf>
    <xf numFmtId="2" fontId="62" fillId="0" borderId="0" xfId="0" applyNumberFormat="1" applyFont="1" applyAlignment="1">
      <alignment horizontal="left" vertical="top" wrapText="1" readingOrder="1"/>
    </xf>
    <xf numFmtId="0" fontId="77" fillId="0" borderId="0" xfId="0" applyFont="1" applyAlignment="1">
      <alignment horizontal="left" vertical="center" wrapText="1"/>
    </xf>
    <xf numFmtId="0" fontId="77" fillId="0" borderId="0" xfId="0" applyFont="1" applyAlignment="1">
      <alignment horizontal="left" wrapText="1"/>
    </xf>
    <xf numFmtId="0" fontId="66" fillId="0" borderId="0" xfId="0" applyFont="1" applyAlignment="1">
      <alignment horizontal="left" vertical="top" wrapText="1"/>
    </xf>
    <xf numFmtId="0" fontId="77" fillId="0" borderId="0" xfId="0" applyFont="1" applyAlignment="1">
      <alignment horizontal="left" vertical="top" wrapText="1"/>
    </xf>
    <xf numFmtId="0" fontId="56" fillId="0" borderId="0" xfId="0" applyFont="1" applyAlignment="1">
      <alignment horizontal="center"/>
    </xf>
    <xf numFmtId="2" fontId="53" fillId="0" borderId="0" xfId="0" applyNumberFormat="1" applyFont="1" applyAlignment="1">
      <alignment horizontal="center"/>
    </xf>
    <xf numFmtId="0" fontId="53" fillId="0" borderId="0" xfId="0" applyFont="1" applyAlignment="1">
      <alignment horizontal="left" vertical="top" wrapText="1" readingOrder="1"/>
    </xf>
    <xf numFmtId="2" fontId="1" fillId="0" borderId="0" xfId="0" applyNumberFormat="1" applyFont="1" applyAlignment="1">
      <alignment horizontal="center"/>
    </xf>
    <xf numFmtId="0" fontId="2" fillId="0" borderId="0" xfId="0" applyFont="1" applyAlignment="1">
      <alignment horizontal="center"/>
    </xf>
    <xf numFmtId="0" fontId="63" fillId="0" borderId="0" xfId="0" applyFont="1" applyAlignment="1">
      <alignment horizontal="center" vertical="center"/>
    </xf>
    <xf numFmtId="0" fontId="62" fillId="0" borderId="0" xfId="0" applyFont="1" applyAlignment="1">
      <alignment horizontal="left" vertical="center"/>
    </xf>
    <xf numFmtId="1" fontId="62" fillId="0" borderId="0" xfId="0" applyNumberFormat="1" applyFont="1" applyAlignment="1">
      <alignment horizontal="center"/>
    </xf>
    <xf numFmtId="0" fontId="13" fillId="0" borderId="5" xfId="0" applyFont="1" applyBorder="1" applyAlignment="1">
      <alignment horizontal="center"/>
    </xf>
    <xf numFmtId="3" fontId="13" fillId="0" borderId="6" xfId="0" applyNumberFormat="1" applyFont="1" applyBorder="1" applyAlignment="1">
      <alignment horizontal="center"/>
    </xf>
    <xf numFmtId="3" fontId="13" fillId="0" borderId="7" xfId="0" applyNumberFormat="1" applyFont="1" applyBorder="1" applyAlignment="1">
      <alignment horizontal="center"/>
    </xf>
    <xf numFmtId="3" fontId="15" fillId="0" borderId="6" xfId="0" applyNumberFormat="1" applyFont="1" applyBorder="1" applyAlignment="1">
      <alignment horizontal="center"/>
    </xf>
    <xf numFmtId="3" fontId="15" fillId="0" borderId="7" xfId="0" applyNumberFormat="1" applyFont="1" applyBorder="1" applyAlignment="1">
      <alignment horizontal="center"/>
    </xf>
    <xf numFmtId="1" fontId="16" fillId="0" borderId="0" xfId="0" applyNumberFormat="1" applyFont="1" applyAlignment="1">
      <alignment horizontal="center"/>
    </xf>
    <xf numFmtId="0" fontId="14" fillId="0" borderId="5" xfId="0" applyFont="1" applyBorder="1" applyAlignment="1">
      <alignment horizontal="center"/>
    </xf>
    <xf numFmtId="3" fontId="11" fillId="0" borderId="6" xfId="0" applyNumberFormat="1" applyFont="1" applyBorder="1" applyAlignment="1">
      <alignment horizontal="center"/>
    </xf>
    <xf numFmtId="3" fontId="11" fillId="0" borderId="7" xfId="0" applyNumberFormat="1" applyFont="1" applyBorder="1" applyAlignment="1">
      <alignment horizontal="center"/>
    </xf>
    <xf numFmtId="3" fontId="14" fillId="0" borderId="6" xfId="0" applyNumberFormat="1" applyFont="1" applyBorder="1" applyAlignment="1">
      <alignment horizontal="center"/>
    </xf>
    <xf numFmtId="3" fontId="14" fillId="0" borderId="7" xfId="0" applyNumberFormat="1" applyFont="1" applyBorder="1" applyAlignment="1">
      <alignment horizontal="center"/>
    </xf>
    <xf numFmtId="0" fontId="14" fillId="25" borderId="6" xfId="0" applyFont="1" applyFill="1" applyBorder="1" applyAlignment="1">
      <alignment horizontal="center"/>
    </xf>
    <xf numFmtId="0" fontId="14" fillId="25" borderId="7" xfId="0" applyFont="1" applyFill="1" applyBorder="1" applyAlignment="1">
      <alignment horizontal="center"/>
    </xf>
    <xf numFmtId="0" fontId="14" fillId="0" borderId="6" xfId="0" applyFont="1" applyBorder="1" applyAlignment="1">
      <alignment horizontal="center"/>
    </xf>
    <xf numFmtId="0" fontId="14" fillId="0" borderId="7" xfId="0" applyFont="1" applyBorder="1" applyAlignment="1">
      <alignment horizontal="center"/>
    </xf>
    <xf numFmtId="0" fontId="12" fillId="0" borderId="0" xfId="0" applyFont="1" applyAlignment="1">
      <alignment horizontal="center"/>
    </xf>
    <xf numFmtId="0" fontId="13" fillId="0" borderId="5" xfId="0" applyFont="1" applyBorder="1" applyAlignment="1">
      <alignment horizontal="center" vertical="center" wrapText="1"/>
    </xf>
    <xf numFmtId="0" fontId="11" fillId="0" borderId="3" xfId="0" applyFont="1" applyBorder="1" applyAlignment="1">
      <alignment horizontal="right" vertical="center" wrapText="1" readingOrder="2"/>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1" fillId="0" borderId="0" xfId="0" applyFont="1" applyAlignment="1">
      <alignment horizontal="right" wrapText="1" readingOrder="2"/>
    </xf>
    <xf numFmtId="15" fontId="2" fillId="0" borderId="0" xfId="0" applyNumberFormat="1" applyFont="1" applyAlignment="1">
      <alignment horizontal="center"/>
    </xf>
    <xf numFmtId="0" fontId="3" fillId="0" borderId="0" xfId="0" applyFont="1" applyAlignment="1">
      <alignment horizontal="center"/>
    </xf>
    <xf numFmtId="0" fontId="74" fillId="0" borderId="5" xfId="0" applyFont="1" applyBorder="1" applyAlignment="1">
      <alignment horizontal="center"/>
    </xf>
    <xf numFmtId="3" fontId="74" fillId="0" borderId="6" xfId="0" applyNumberFormat="1" applyFont="1" applyBorder="1" applyAlignment="1">
      <alignment horizontal="center"/>
    </xf>
    <xf numFmtId="3" fontId="74" fillId="0" borderId="7" xfId="0" applyNumberFormat="1" applyFont="1" applyBorder="1" applyAlignment="1">
      <alignment horizontal="center"/>
    </xf>
    <xf numFmtId="3" fontId="65" fillId="0" borderId="6" xfId="0" applyNumberFormat="1" applyFont="1" applyBorder="1" applyAlignment="1">
      <alignment horizontal="center"/>
    </xf>
    <xf numFmtId="3" fontId="65" fillId="0" borderId="7" xfId="0" applyNumberFormat="1" applyFont="1" applyBorder="1" applyAlignment="1">
      <alignment horizontal="center"/>
    </xf>
    <xf numFmtId="0" fontId="65" fillId="0" borderId="3" xfId="0" applyFont="1" applyBorder="1" applyAlignment="1">
      <alignment horizontal="left" vertical="center" wrapText="1"/>
    </xf>
    <xf numFmtId="0" fontId="59" fillId="25" borderId="6" xfId="0" applyFont="1" applyFill="1" applyBorder="1" applyAlignment="1">
      <alignment horizontal="center"/>
    </xf>
    <xf numFmtId="0" fontId="59" fillId="25" borderId="4" xfId="0" applyFont="1" applyFill="1" applyBorder="1" applyAlignment="1">
      <alignment horizontal="center"/>
    </xf>
    <xf numFmtId="0" fontId="59" fillId="25" borderId="7" xfId="0" applyFont="1" applyFill="1" applyBorder="1" applyAlignment="1">
      <alignment horizontal="center"/>
    </xf>
    <xf numFmtId="3" fontId="72" fillId="0" borderId="6" xfId="0" applyNumberFormat="1" applyFont="1" applyBorder="1" applyAlignment="1">
      <alignment horizontal="center"/>
    </xf>
    <xf numFmtId="3" fontId="72" fillId="0" borderId="7" xfId="0" applyNumberFormat="1" applyFont="1" applyBorder="1" applyAlignment="1">
      <alignment horizontal="center"/>
    </xf>
    <xf numFmtId="3" fontId="59" fillId="0" borderId="6" xfId="0" applyNumberFormat="1" applyFont="1" applyBorder="1" applyAlignment="1">
      <alignment horizontal="center"/>
    </xf>
    <xf numFmtId="3" fontId="59" fillId="0" borderId="7" xfId="0" applyNumberFormat="1" applyFont="1" applyBorder="1" applyAlignment="1">
      <alignment horizontal="center"/>
    </xf>
    <xf numFmtId="0" fontId="74" fillId="0" borderId="6" xfId="0" applyFont="1" applyBorder="1" applyAlignment="1">
      <alignment horizontal="center" vertical="center" wrapText="1"/>
    </xf>
    <xf numFmtId="0" fontId="74" fillId="0" borderId="7" xfId="0" applyFont="1" applyBorder="1" applyAlignment="1">
      <alignment horizontal="center" vertical="center" wrapText="1"/>
    </xf>
    <xf numFmtId="0" fontId="65" fillId="25" borderId="6" xfId="0" applyFont="1" applyFill="1" applyBorder="1" applyAlignment="1">
      <alignment horizontal="left"/>
    </xf>
    <xf numFmtId="0" fontId="65" fillId="25" borderId="4" xfId="0" applyFont="1" applyFill="1" applyBorder="1" applyAlignment="1">
      <alignment horizontal="left"/>
    </xf>
    <xf numFmtId="0" fontId="65" fillId="25" borderId="7" xfId="0" applyFont="1" applyFill="1" applyBorder="1" applyAlignment="1">
      <alignment horizontal="left"/>
    </xf>
    <xf numFmtId="0" fontId="62" fillId="25" borderId="5" xfId="0" applyFont="1" applyFill="1" applyBorder="1" applyAlignment="1">
      <alignment horizontal="center" vertical="center" readingOrder="2"/>
    </xf>
    <xf numFmtId="0" fontId="73" fillId="0" borderId="0" xfId="0" applyFont="1" applyAlignment="1">
      <alignment horizontal="center"/>
    </xf>
    <xf numFmtId="177" fontId="86" fillId="0" borderId="5" xfId="0" applyNumberFormat="1" applyFont="1" applyBorder="1" applyAlignment="1">
      <alignment horizontal="center"/>
    </xf>
    <xf numFmtId="15" fontId="63" fillId="0" borderId="0" xfId="0" applyNumberFormat="1" applyFont="1" applyAlignment="1">
      <alignment horizontal="center"/>
    </xf>
    <xf numFmtId="0" fontId="63" fillId="0" borderId="0" xfId="0" applyFont="1" applyAlignment="1">
      <alignment horizontal="center"/>
    </xf>
    <xf numFmtId="0" fontId="86" fillId="0" borderId="5" xfId="0" applyFont="1" applyBorder="1" applyAlignment="1">
      <alignment horizontal="center" vertical="center" wrapText="1"/>
    </xf>
    <xf numFmtId="0" fontId="59" fillId="0" borderId="3" xfId="0" applyFont="1" applyBorder="1" applyAlignment="1">
      <alignment horizontal="left" vertical="top" wrapText="1"/>
    </xf>
    <xf numFmtId="0" fontId="86" fillId="0" borderId="73" xfId="0" applyFont="1" applyBorder="1" applyAlignment="1">
      <alignment horizontal="center" vertical="center"/>
    </xf>
    <xf numFmtId="0" fontId="86" fillId="0" borderId="74" xfId="0" applyFont="1" applyBorder="1" applyAlignment="1">
      <alignment horizontal="center" vertical="center"/>
    </xf>
    <xf numFmtId="0" fontId="74" fillId="0" borderId="5" xfId="0" applyFont="1" applyBorder="1" applyAlignment="1">
      <alignment horizontal="center" vertical="center" wrapText="1"/>
    </xf>
    <xf numFmtId="0" fontId="65" fillId="0" borderId="5" xfId="0" applyFont="1" applyBorder="1" applyAlignment="1">
      <alignment horizontal="center" vertical="center" wrapText="1"/>
    </xf>
    <xf numFmtId="49" fontId="62" fillId="0" borderId="0" xfId="0" applyNumberFormat="1" applyFont="1" applyAlignment="1">
      <alignment horizontal="left" vertical="center" wrapText="1"/>
    </xf>
    <xf numFmtId="177" fontId="62" fillId="0" borderId="0" xfId="0" applyNumberFormat="1" applyFont="1" applyAlignment="1">
      <alignment horizontal="left" vertical="top" wrapText="1"/>
    </xf>
    <xf numFmtId="49" fontId="63" fillId="0" borderId="0" xfId="0" applyNumberFormat="1" applyFont="1" applyAlignment="1">
      <alignment horizontal="left" vertical="center"/>
    </xf>
    <xf numFmtId="0" fontId="63" fillId="0" borderId="0" xfId="0" applyFont="1" applyAlignment="1">
      <alignment horizontal="right" vertical="center"/>
    </xf>
    <xf numFmtId="1" fontId="86" fillId="0" borderId="0" xfId="0" applyNumberFormat="1" applyFont="1" applyAlignment="1">
      <alignment horizontal="left" vertical="center"/>
    </xf>
    <xf numFmtId="1" fontId="66" fillId="0" borderId="0" xfId="0" applyNumberFormat="1" applyFont="1" applyAlignment="1">
      <alignment horizontal="left" vertical="center"/>
    </xf>
    <xf numFmtId="0" fontId="42" fillId="0" borderId="0" xfId="0" applyFont="1" applyAlignment="1">
      <alignment horizontal="center" vertical="center"/>
    </xf>
    <xf numFmtId="0" fontId="58" fillId="0" borderId="6" xfId="0" applyFont="1" applyBorder="1" applyAlignment="1">
      <alignment horizontal="right" vertical="center" readingOrder="2"/>
    </xf>
    <xf numFmtId="0" fontId="58" fillId="0" borderId="7" xfId="0" applyFont="1" applyBorder="1" applyAlignment="1">
      <alignment horizontal="right" vertical="center" readingOrder="2"/>
    </xf>
    <xf numFmtId="0" fontId="34" fillId="0" borderId="6" xfId="0" applyFont="1" applyBorder="1"/>
    <xf numFmtId="0" fontId="34" fillId="0" borderId="7" xfId="0" applyFont="1" applyBorder="1"/>
    <xf numFmtId="0" fontId="58" fillId="0" borderId="6" xfId="0" applyFont="1" applyBorder="1" applyAlignment="1">
      <alignment vertical="center" readingOrder="2"/>
    </xf>
    <xf numFmtId="0" fontId="58" fillId="0" borderId="7" xfId="0" applyFont="1" applyBorder="1" applyAlignment="1">
      <alignment vertical="center" readingOrder="2"/>
    </xf>
    <xf numFmtId="0" fontId="34" fillId="0" borderId="6" xfId="0" applyFont="1" applyBorder="1" applyAlignment="1">
      <alignment horizontal="right"/>
    </xf>
    <xf numFmtId="0" fontId="34" fillId="0" borderId="7" xfId="0" applyFont="1" applyBorder="1" applyAlignment="1">
      <alignment horizontal="right"/>
    </xf>
    <xf numFmtId="0" fontId="66" fillId="0" borderId="0" xfId="0" applyFont="1" applyAlignment="1">
      <alignment horizontal="left" wrapText="1"/>
    </xf>
    <xf numFmtId="0" fontId="62" fillId="0" borderId="0" xfId="0" applyFont="1" applyAlignment="1">
      <alignment horizontal="right"/>
    </xf>
    <xf numFmtId="0" fontId="63" fillId="0" borderId="0" xfId="0" applyFont="1" applyAlignment="1">
      <alignment horizontal="left" readingOrder="2"/>
    </xf>
    <xf numFmtId="0" fontId="62" fillId="0" borderId="0" xfId="0" applyFont="1" applyAlignment="1">
      <alignment horizontal="left" readingOrder="1"/>
    </xf>
    <xf numFmtId="14" fontId="15" fillId="0" borderId="23" xfId="61" applyNumberFormat="1" applyFont="1" applyBorder="1" applyAlignment="1">
      <alignment horizontal="center" vertical="center" readingOrder="2"/>
    </xf>
    <xf numFmtId="0" fontId="15" fillId="0" borderId="24" xfId="61" applyFont="1" applyBorder="1" applyAlignment="1">
      <alignment horizontal="center" vertical="center" readingOrder="2"/>
    </xf>
    <xf numFmtId="178" fontId="12" fillId="0" borderId="17" xfId="60" applyNumberFormat="1" applyFont="1" applyBorder="1" applyAlignment="1">
      <alignment horizontal="center" vertical="center"/>
    </xf>
    <xf numFmtId="178" fontId="12" fillId="0" borderId="18" xfId="60" applyNumberFormat="1" applyFont="1" applyBorder="1" applyAlignment="1">
      <alignment horizontal="center" vertical="center"/>
    </xf>
    <xf numFmtId="178" fontId="12" fillId="0" borderId="19" xfId="60" applyNumberFormat="1" applyFont="1" applyBorder="1" applyAlignment="1">
      <alignment horizontal="center" vertical="center"/>
    </xf>
    <xf numFmtId="178" fontId="12" fillId="0" borderId="20" xfId="60" applyNumberFormat="1" applyFont="1" applyBorder="1" applyAlignment="1">
      <alignment horizontal="center" vertical="center"/>
    </xf>
    <xf numFmtId="178" fontId="12" fillId="0" borderId="21" xfId="60" applyNumberFormat="1" applyFont="1" applyBorder="1" applyAlignment="1">
      <alignment horizontal="center" vertical="center"/>
    </xf>
    <xf numFmtId="178" fontId="12" fillId="0" borderId="22" xfId="60" applyNumberFormat="1" applyFont="1" applyBorder="1" applyAlignment="1">
      <alignment horizontal="center" vertical="center"/>
    </xf>
    <xf numFmtId="0" fontId="12" fillId="0" borderId="20" xfId="61" applyFont="1" applyBorder="1" applyAlignment="1">
      <alignment horizontal="center" vertical="center"/>
    </xf>
    <xf numFmtId="0" fontId="12" fillId="0" borderId="21" xfId="61" applyFont="1" applyBorder="1" applyAlignment="1">
      <alignment horizontal="center" vertical="center"/>
    </xf>
    <xf numFmtId="0" fontId="12" fillId="0" borderId="22" xfId="61" applyFont="1" applyBorder="1" applyAlignment="1">
      <alignment horizontal="center" vertical="center"/>
    </xf>
    <xf numFmtId="0" fontId="15" fillId="0" borderId="21" xfId="61" applyFont="1" applyBorder="1" applyAlignment="1">
      <alignment horizontal="center" vertical="center"/>
    </xf>
    <xf numFmtId="0" fontId="15" fillId="0" borderId="22" xfId="61" applyFont="1" applyBorder="1" applyAlignment="1">
      <alignment horizontal="center" vertical="center"/>
    </xf>
    <xf numFmtId="178" fontId="11" fillId="26" borderId="0" xfId="60" applyNumberFormat="1" applyFont="1" applyFill="1" applyAlignment="1">
      <alignment horizontal="right" vertical="center" wrapText="1"/>
    </xf>
    <xf numFmtId="0" fontId="15" fillId="0" borderId="26" xfId="61" applyFont="1" applyBorder="1" applyAlignment="1">
      <alignment horizontal="center" vertical="center"/>
    </xf>
    <xf numFmtId="0" fontId="15" fillId="0" borderId="27" xfId="61" applyFont="1" applyBorder="1" applyAlignment="1">
      <alignment horizontal="center" vertical="center"/>
    </xf>
    <xf numFmtId="0" fontId="11" fillId="0" borderId="28" xfId="60" applyFont="1" applyBorder="1" applyAlignment="1">
      <alignment horizontal="center" vertical="center" wrapText="1" shrinkToFit="1"/>
    </xf>
    <xf numFmtId="0" fontId="13" fillId="0" borderId="32" xfId="60" applyFont="1" applyBorder="1" applyAlignment="1">
      <alignment horizontal="center" vertical="center"/>
    </xf>
    <xf numFmtId="0" fontId="13" fillId="0" borderId="33" xfId="60" applyFont="1" applyBorder="1" applyAlignment="1">
      <alignment horizontal="center" vertical="center"/>
    </xf>
    <xf numFmtId="0" fontId="13" fillId="0" borderId="34" xfId="60" applyFont="1" applyBorder="1" applyAlignment="1">
      <alignment horizontal="center" vertical="center"/>
    </xf>
    <xf numFmtId="178" fontId="12" fillId="0" borderId="37" xfId="60" applyNumberFormat="1" applyFont="1" applyBorder="1" applyAlignment="1">
      <alignment horizontal="center" vertical="center"/>
    </xf>
    <xf numFmtId="0" fontId="8" fillId="0" borderId="5" xfId="0" applyFont="1" applyBorder="1" applyAlignment="1">
      <alignment horizontal="center"/>
    </xf>
    <xf numFmtId="0" fontId="0" fillId="0" borderId="5" xfId="0" applyBorder="1" applyAlignment="1">
      <alignment horizontal="center"/>
    </xf>
    <xf numFmtId="0" fontId="45" fillId="0" borderId="0" xfId="0" applyFont="1" applyAlignment="1">
      <alignment horizontal="center" vertical="center" readingOrder="2"/>
    </xf>
    <xf numFmtId="0" fontId="47" fillId="27" borderId="38" xfId="0" applyFont="1" applyFill="1" applyBorder="1" applyAlignment="1">
      <alignment horizontal="right" vertical="center" wrapText="1" readingOrder="2"/>
    </xf>
    <xf numFmtId="0" fontId="47" fillId="27" borderId="3" xfId="0" applyFont="1" applyFill="1" applyBorder="1" applyAlignment="1">
      <alignment horizontal="right" vertical="center" wrapText="1" readingOrder="2"/>
    </xf>
    <xf numFmtId="0" fontId="47" fillId="27" borderId="39" xfId="0" applyFont="1" applyFill="1" applyBorder="1" applyAlignment="1">
      <alignment horizontal="right" vertical="center" wrapText="1" readingOrder="2"/>
    </xf>
    <xf numFmtId="0" fontId="47" fillId="27" borderId="6" xfId="0" applyFont="1" applyFill="1" applyBorder="1" applyAlignment="1">
      <alignment horizontal="center" vertical="center" wrapText="1" readingOrder="2"/>
    </xf>
    <xf numFmtId="0" fontId="47" fillId="27" borderId="7" xfId="0" applyFont="1" applyFill="1" applyBorder="1" applyAlignment="1">
      <alignment horizontal="center" vertical="center" wrapText="1" readingOrder="2"/>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38" xfId="0" applyFont="1" applyBorder="1" applyAlignment="1">
      <alignment horizontal="center" vertical="center"/>
    </xf>
    <xf numFmtId="0" fontId="8" fillId="0" borderId="39" xfId="0" applyFont="1" applyBorder="1" applyAlignment="1">
      <alignment horizontal="center" vertical="center"/>
    </xf>
    <xf numFmtId="3" fontId="49" fillId="0" borderId="6" xfId="0" applyNumberFormat="1" applyFont="1" applyBorder="1" applyAlignment="1">
      <alignment horizontal="center"/>
    </xf>
    <xf numFmtId="3" fontId="49" fillId="0" borderId="4" xfId="0" applyNumberFormat="1" applyFont="1" applyBorder="1" applyAlignment="1">
      <alignment horizontal="center"/>
    </xf>
    <xf numFmtId="3" fontId="49" fillId="0" borderId="7" xfId="0" applyNumberFormat="1" applyFont="1" applyBorder="1" applyAlignment="1">
      <alignment horizontal="center"/>
    </xf>
    <xf numFmtId="0" fontId="11" fillId="0" borderId="42" xfId="60" applyFont="1" applyBorder="1" applyAlignment="1">
      <alignment horizontal="center" vertical="center" wrapText="1" shrinkToFit="1"/>
    </xf>
    <xf numFmtId="178" fontId="11" fillId="0" borderId="32" xfId="60" applyNumberFormat="1" applyFont="1" applyBorder="1" applyAlignment="1">
      <alignment horizontal="center" vertical="center"/>
    </xf>
    <xf numFmtId="178" fontId="11" fillId="0" borderId="33" xfId="60" applyNumberFormat="1" applyFont="1" applyBorder="1" applyAlignment="1">
      <alignment horizontal="center" vertical="center"/>
    </xf>
    <xf numFmtId="178" fontId="11" fillId="0" borderId="34" xfId="60" applyNumberFormat="1" applyFont="1" applyBorder="1" applyAlignment="1">
      <alignment horizontal="center" vertical="center"/>
    </xf>
    <xf numFmtId="178" fontId="11" fillId="0" borderId="66" xfId="60" applyNumberFormat="1" applyFont="1" applyBorder="1" applyAlignment="1">
      <alignment horizontal="center" vertical="center"/>
    </xf>
    <xf numFmtId="178" fontId="11" fillId="0" borderId="67" xfId="60" applyNumberFormat="1" applyFont="1" applyBorder="1" applyAlignment="1">
      <alignment horizontal="center" vertical="center"/>
    </xf>
    <xf numFmtId="0" fontId="14" fillId="0" borderId="62" xfId="60" applyFont="1" applyBorder="1" applyAlignment="1">
      <alignment horizontal="center" vertical="center" readingOrder="2"/>
    </xf>
    <xf numFmtId="0" fontId="14" fillId="0" borderId="63" xfId="60" applyFont="1" applyBorder="1" applyAlignment="1">
      <alignment horizontal="center" vertical="center" readingOrder="2"/>
    </xf>
    <xf numFmtId="0" fontId="11" fillId="0" borderId="64" xfId="60" applyFont="1" applyBorder="1" applyAlignment="1">
      <alignment horizontal="center" vertical="center" readingOrder="2"/>
    </xf>
    <xf numFmtId="0" fontId="11" fillId="0" borderId="65" xfId="60" applyFont="1" applyBorder="1" applyAlignment="1">
      <alignment horizontal="center" vertical="center" readingOrder="2"/>
    </xf>
    <xf numFmtId="178" fontId="11" fillId="0" borderId="60" xfId="60" applyNumberFormat="1" applyFont="1" applyBorder="1" applyAlignment="1">
      <alignment horizontal="center" vertical="center"/>
    </xf>
    <xf numFmtId="178" fontId="11" fillId="0" borderId="61" xfId="60" applyNumberFormat="1" applyFont="1" applyBorder="1" applyAlignment="1">
      <alignment horizontal="center" vertical="center"/>
    </xf>
    <xf numFmtId="0" fontId="11" fillId="0" borderId="62" xfId="60" applyFont="1" applyBorder="1" applyAlignment="1">
      <alignment horizontal="center" vertical="center"/>
    </xf>
    <xf numFmtId="0" fontId="11" fillId="0" borderId="63" xfId="60" applyFont="1" applyBorder="1" applyAlignment="1">
      <alignment horizontal="center" vertical="center"/>
    </xf>
    <xf numFmtId="0" fontId="11" fillId="0" borderId="62" xfId="60" applyFont="1" applyBorder="1" applyAlignment="1">
      <alignment horizontal="center" vertical="center" readingOrder="2"/>
    </xf>
    <xf numFmtId="0" fontId="11" fillId="0" borderId="63" xfId="60" applyFont="1" applyBorder="1" applyAlignment="1">
      <alignment horizontal="center" vertical="center" readingOrder="2"/>
    </xf>
    <xf numFmtId="3" fontId="62" fillId="28" borderId="0" xfId="0" applyNumberFormat="1" applyFont="1" applyFill="1" applyAlignment="1">
      <alignment horizontal="left" vertical="center" wrapText="1"/>
    </xf>
    <xf numFmtId="3" fontId="63" fillId="28" borderId="0" xfId="0" applyNumberFormat="1" applyFont="1" applyFill="1" applyAlignment="1">
      <alignment horizontal="left" vertical="center" wrapText="1"/>
    </xf>
    <xf numFmtId="177" fontId="80" fillId="0" borderId="5" xfId="0" applyNumberFormat="1" applyFont="1" applyFill="1" applyBorder="1" applyAlignment="1">
      <alignment horizontal="center"/>
    </xf>
    <xf numFmtId="177" fontId="65" fillId="0" borderId="0" xfId="0" applyNumberFormat="1" applyFont="1" applyFill="1" applyAlignment="1">
      <alignment horizontal="center" vertical="center"/>
    </xf>
    <xf numFmtId="177" fontId="59" fillId="0" borderId="0" xfId="0" applyNumberFormat="1" applyFont="1" applyFill="1" applyAlignment="1">
      <alignment horizontal="center" vertical="center"/>
    </xf>
    <xf numFmtId="0" fontId="82" fillId="0" borderId="0" xfId="0" applyFont="1" applyAlignment="1">
      <alignment horizontal="left" wrapText="1"/>
    </xf>
    <xf numFmtId="0" fontId="86" fillId="0" borderId="0" xfId="0" applyFont="1" applyAlignment="1">
      <alignment horizontal="left"/>
    </xf>
    <xf numFmtId="0" fontId="82" fillId="0" borderId="0" xfId="0" applyFont="1" applyAlignment="1">
      <alignment horizontal="left"/>
    </xf>
    <xf numFmtId="0" fontId="62" fillId="0" borderId="0" xfId="0" applyFont="1" applyFill="1" applyAlignment="1">
      <alignment horizontal="left"/>
    </xf>
  </cellXfs>
  <cellStyles count="65">
    <cellStyle name="20% - Accent1" xfId="4" xr:uid="{00000000-0005-0000-0000-000000000000}"/>
    <cellStyle name="20% - Accent2" xfId="5" xr:uid="{00000000-0005-0000-0000-000001000000}"/>
    <cellStyle name="20% - Accent3" xfId="6" xr:uid="{00000000-0005-0000-0000-000002000000}"/>
    <cellStyle name="20% - Accent4" xfId="7" xr:uid="{00000000-0005-0000-0000-000003000000}"/>
    <cellStyle name="20% - Accent5" xfId="8" xr:uid="{00000000-0005-0000-0000-000004000000}"/>
    <cellStyle name="20% - Accent6" xfId="9" xr:uid="{00000000-0005-0000-0000-000005000000}"/>
    <cellStyle name="40% - Accent1" xfId="10" xr:uid="{00000000-0005-0000-0000-000006000000}"/>
    <cellStyle name="40% - Accent2" xfId="11" xr:uid="{00000000-0005-0000-0000-000007000000}"/>
    <cellStyle name="40% - Accent3" xfId="12" xr:uid="{00000000-0005-0000-0000-000008000000}"/>
    <cellStyle name="40% - Accent4" xfId="13" xr:uid="{00000000-0005-0000-0000-000009000000}"/>
    <cellStyle name="40% - Accent5" xfId="14" xr:uid="{00000000-0005-0000-0000-00000A000000}"/>
    <cellStyle name="40% - Accent6" xfId="15" xr:uid="{00000000-0005-0000-0000-00000B000000}"/>
    <cellStyle name="60% - Accent1" xfId="16" xr:uid="{00000000-0005-0000-0000-00000C000000}"/>
    <cellStyle name="60% - Accent2" xfId="17" xr:uid="{00000000-0005-0000-0000-00000D000000}"/>
    <cellStyle name="60% - Accent3" xfId="18" xr:uid="{00000000-0005-0000-0000-00000E000000}"/>
    <cellStyle name="60% - Accent4" xfId="19" xr:uid="{00000000-0005-0000-0000-00000F000000}"/>
    <cellStyle name="60% - Accent5" xfId="20" xr:uid="{00000000-0005-0000-0000-000010000000}"/>
    <cellStyle name="60% - Accent6" xfId="21" xr:uid="{00000000-0005-0000-0000-000011000000}"/>
    <cellStyle name="Accent1" xfId="22" xr:uid="{00000000-0005-0000-0000-000012000000}"/>
    <cellStyle name="Accent2" xfId="23" xr:uid="{00000000-0005-0000-0000-000013000000}"/>
    <cellStyle name="Accent3" xfId="24" xr:uid="{00000000-0005-0000-0000-000014000000}"/>
    <cellStyle name="Accent4" xfId="25" xr:uid="{00000000-0005-0000-0000-000015000000}"/>
    <cellStyle name="Accent5" xfId="26" xr:uid="{00000000-0005-0000-0000-000016000000}"/>
    <cellStyle name="Accent6" xfId="27" xr:uid="{00000000-0005-0000-0000-000017000000}"/>
    <cellStyle name="Bad" xfId="28" xr:uid="{00000000-0005-0000-0000-000018000000}"/>
    <cellStyle name="Calculation" xfId="29" xr:uid="{00000000-0005-0000-0000-000019000000}"/>
    <cellStyle name="Check Cell" xfId="30" xr:uid="{00000000-0005-0000-0000-00001A000000}"/>
    <cellStyle name="Comma" xfId="1" builtinId="3"/>
    <cellStyle name="Comma 2" xfId="3" xr:uid="{00000000-0005-0000-0000-00001C000000}"/>
    <cellStyle name="Comma 3" xfId="31" xr:uid="{00000000-0005-0000-0000-00001D000000}"/>
    <cellStyle name="Comma 4" xfId="32" xr:uid="{00000000-0005-0000-0000-00001E000000}"/>
    <cellStyle name="Comma 5" xfId="63" xr:uid="{00000000-0005-0000-0000-00001F000000}"/>
    <cellStyle name="Explanatory Text" xfId="33" xr:uid="{00000000-0005-0000-0000-000020000000}"/>
    <cellStyle name="Good" xfId="34" xr:uid="{00000000-0005-0000-0000-000021000000}"/>
    <cellStyle name="Heading 1" xfId="35" xr:uid="{00000000-0005-0000-0000-000022000000}"/>
    <cellStyle name="Heading 2" xfId="36" xr:uid="{00000000-0005-0000-0000-000023000000}"/>
    <cellStyle name="Heading 3" xfId="37" xr:uid="{00000000-0005-0000-0000-000024000000}"/>
    <cellStyle name="Heading 4" xfId="38" xr:uid="{00000000-0005-0000-0000-000025000000}"/>
    <cellStyle name="Input" xfId="39" xr:uid="{00000000-0005-0000-0000-000026000000}"/>
    <cellStyle name="Linked Cell" xfId="40" xr:uid="{00000000-0005-0000-0000-000027000000}"/>
    <cellStyle name="MS_Arabic" xfId="41" xr:uid="{00000000-0005-0000-0000-000028000000}"/>
    <cellStyle name="Neutral" xfId="42" xr:uid="{00000000-0005-0000-0000-000029000000}"/>
    <cellStyle name="Normal 2" xfId="43" xr:uid="{00000000-0005-0000-0000-00002B000000}"/>
    <cellStyle name="Normal 2 2" xfId="44" xr:uid="{00000000-0005-0000-0000-00002C000000}"/>
    <cellStyle name="Normal 3" xfId="45" xr:uid="{00000000-0005-0000-0000-00002D000000}"/>
    <cellStyle name="Normal 3 2" xfId="46" xr:uid="{00000000-0005-0000-0000-00002E000000}"/>
    <cellStyle name="Normal 4" xfId="47" xr:uid="{00000000-0005-0000-0000-00002F000000}"/>
    <cellStyle name="Normal 5" xfId="48" xr:uid="{00000000-0005-0000-0000-000030000000}"/>
    <cellStyle name="Normal 6" xfId="61" xr:uid="{00000000-0005-0000-0000-000031000000}"/>
    <cellStyle name="Normal 7" xfId="64" xr:uid="{00000000-0005-0000-0000-000032000000}"/>
    <cellStyle name="Normal_إعادة تبويب المصاريف" xfId="60" xr:uid="{00000000-0005-0000-0000-000033000000}"/>
    <cellStyle name="Normal_جي اند بي النسخة العربية" xfId="59" xr:uid="{00000000-0005-0000-0000-000034000000}"/>
    <cellStyle name="Note" xfId="49" xr:uid="{00000000-0005-0000-0000-000035000000}"/>
    <cellStyle name="Output" xfId="50" xr:uid="{00000000-0005-0000-0000-000036000000}"/>
    <cellStyle name="Percent" xfId="2" builtinId="5"/>
    <cellStyle name="Percent 2" xfId="51" xr:uid="{00000000-0005-0000-0000-000038000000}"/>
    <cellStyle name="Percent 3" xfId="62" xr:uid="{00000000-0005-0000-0000-000039000000}"/>
    <cellStyle name="Title" xfId="52" xr:uid="{00000000-0005-0000-0000-00003A000000}"/>
    <cellStyle name="Total" xfId="53" xr:uid="{00000000-0005-0000-0000-00003B000000}"/>
    <cellStyle name="Warning Text" xfId="54" xr:uid="{00000000-0005-0000-0000-00003C000000}"/>
    <cellStyle name="عادي" xfId="0" builtinId="0"/>
    <cellStyle name="عملة [0]_تحليل المبيعات" xfId="55" xr:uid="{00000000-0005-0000-0000-00003E000000}"/>
    <cellStyle name="عملة_تحليل المبيعات" xfId="56" xr:uid="{00000000-0005-0000-0000-00003F000000}"/>
    <cellStyle name="فاصلة [0]_تحليل المبيعات" xfId="57" xr:uid="{00000000-0005-0000-0000-000040000000}"/>
    <cellStyle name="فاصلة_تحليل المبيعات" xfId="58" xr:uid="{00000000-0005-0000-0000-00004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microsoft.com/office/2017/10/relationships/person" Target="persons/person3.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sp macro="" textlink="">
      <xdr:nvSpPr>
        <xdr:cNvPr id="2" name="Line 1">
          <a:extLst>
            <a:ext uri="{FF2B5EF4-FFF2-40B4-BE49-F238E27FC236}">
              <a16:creationId xmlns:a16="http://schemas.microsoft.com/office/drawing/2014/main" id="{00000000-0008-0000-1200-000002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3" name="Line 2">
          <a:extLst>
            <a:ext uri="{FF2B5EF4-FFF2-40B4-BE49-F238E27FC236}">
              <a16:creationId xmlns:a16="http://schemas.microsoft.com/office/drawing/2014/main" id="{00000000-0008-0000-1200-000003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4" name="Line 3">
          <a:extLst>
            <a:ext uri="{FF2B5EF4-FFF2-40B4-BE49-F238E27FC236}">
              <a16:creationId xmlns:a16="http://schemas.microsoft.com/office/drawing/2014/main" id="{00000000-0008-0000-1200-000004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5" name="Line 4">
          <a:extLst>
            <a:ext uri="{FF2B5EF4-FFF2-40B4-BE49-F238E27FC236}">
              <a16:creationId xmlns:a16="http://schemas.microsoft.com/office/drawing/2014/main" id="{00000000-0008-0000-1200-000005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6" name="Line 5">
          <a:extLst>
            <a:ext uri="{FF2B5EF4-FFF2-40B4-BE49-F238E27FC236}">
              <a16:creationId xmlns:a16="http://schemas.microsoft.com/office/drawing/2014/main" id="{00000000-0008-0000-1200-000006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7" name="Line 6">
          <a:extLst>
            <a:ext uri="{FF2B5EF4-FFF2-40B4-BE49-F238E27FC236}">
              <a16:creationId xmlns:a16="http://schemas.microsoft.com/office/drawing/2014/main" id="{00000000-0008-0000-1200-000007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8" name="Line 7">
          <a:extLst>
            <a:ext uri="{FF2B5EF4-FFF2-40B4-BE49-F238E27FC236}">
              <a16:creationId xmlns:a16="http://schemas.microsoft.com/office/drawing/2014/main" id="{00000000-0008-0000-1200-000008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9" name="Line 8">
          <a:extLst>
            <a:ext uri="{FF2B5EF4-FFF2-40B4-BE49-F238E27FC236}">
              <a16:creationId xmlns:a16="http://schemas.microsoft.com/office/drawing/2014/main" id="{00000000-0008-0000-1200-000009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0" name="Line 9">
          <a:extLst>
            <a:ext uri="{FF2B5EF4-FFF2-40B4-BE49-F238E27FC236}">
              <a16:creationId xmlns:a16="http://schemas.microsoft.com/office/drawing/2014/main" id="{00000000-0008-0000-1200-00000A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1" name="Line 10">
          <a:extLst>
            <a:ext uri="{FF2B5EF4-FFF2-40B4-BE49-F238E27FC236}">
              <a16:creationId xmlns:a16="http://schemas.microsoft.com/office/drawing/2014/main" id="{00000000-0008-0000-1200-00000B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2" name="Line 11">
          <a:extLst>
            <a:ext uri="{FF2B5EF4-FFF2-40B4-BE49-F238E27FC236}">
              <a16:creationId xmlns:a16="http://schemas.microsoft.com/office/drawing/2014/main" id="{00000000-0008-0000-1200-00000C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3" name="Line 12">
          <a:extLst>
            <a:ext uri="{FF2B5EF4-FFF2-40B4-BE49-F238E27FC236}">
              <a16:creationId xmlns:a16="http://schemas.microsoft.com/office/drawing/2014/main" id="{00000000-0008-0000-1200-00000D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1200150</xdr:colOff>
      <xdr:row>8</xdr:row>
      <xdr:rowOff>0</xdr:rowOff>
    </xdr:from>
    <xdr:to>
      <xdr:col>1</xdr:col>
      <xdr:colOff>1200150</xdr:colOff>
      <xdr:row>8</xdr:row>
      <xdr:rowOff>0</xdr:rowOff>
    </xdr:to>
    <xdr:sp macro="" textlink="">
      <xdr:nvSpPr>
        <xdr:cNvPr id="14" name="Line 14">
          <a:extLst>
            <a:ext uri="{FF2B5EF4-FFF2-40B4-BE49-F238E27FC236}">
              <a16:creationId xmlns:a16="http://schemas.microsoft.com/office/drawing/2014/main" id="{00000000-0008-0000-1200-00000E000000}"/>
            </a:ext>
          </a:extLst>
        </xdr:cNvPr>
        <xdr:cNvSpPr>
          <a:spLocks noChangeShapeType="1"/>
        </xdr:cNvSpPr>
      </xdr:nvSpPr>
      <xdr:spPr bwMode="auto">
        <a:xfrm flipH="1">
          <a:off x="10069677600" y="2476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8.bin"/><Relationship Id="rId2" Type="http://schemas.openxmlformats.org/officeDocument/2006/relationships/customProperty" Target="../customProperty7.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0.bin"/><Relationship Id="rId2" Type="http://schemas.openxmlformats.org/officeDocument/2006/relationships/customProperty" Target="../customProperty9.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customProperty" Target="../customProperty11.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4.bin"/><Relationship Id="rId2" Type="http://schemas.openxmlformats.org/officeDocument/2006/relationships/customProperty" Target="../customProperty13.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customProperty" Target="../customProperty15.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customProperty" Target="../customProperty23.bin"/><Relationship Id="rId3" Type="http://schemas.openxmlformats.org/officeDocument/2006/relationships/customProperty" Target="../customProperty18.bin"/><Relationship Id="rId7" Type="http://schemas.openxmlformats.org/officeDocument/2006/relationships/customProperty" Target="../customProperty22.bin"/><Relationship Id="rId2" Type="http://schemas.openxmlformats.org/officeDocument/2006/relationships/customProperty" Target="../customProperty17.bin"/><Relationship Id="rId1" Type="http://schemas.openxmlformats.org/officeDocument/2006/relationships/printerSettings" Target="../printerSettings/printerSettings14.bin"/><Relationship Id="rId6" Type="http://schemas.openxmlformats.org/officeDocument/2006/relationships/customProperty" Target="../customProperty21.bin"/><Relationship Id="rId5" Type="http://schemas.openxmlformats.org/officeDocument/2006/relationships/customProperty" Target="../customProperty20.bin"/><Relationship Id="rId4" Type="http://schemas.openxmlformats.org/officeDocument/2006/relationships/customProperty" Target="../customProperty1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ustomProperty" Target="../customProperty25.bin"/><Relationship Id="rId2" Type="http://schemas.openxmlformats.org/officeDocument/2006/relationships/customProperty" Target="../customProperty24.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ustomProperty" Target="../customProperty27.bin"/><Relationship Id="rId2" Type="http://schemas.openxmlformats.org/officeDocument/2006/relationships/customProperty" Target="../customProperty26.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ustomProperty" Target="../customProperty29.bin"/><Relationship Id="rId2" Type="http://schemas.openxmlformats.org/officeDocument/2006/relationships/customProperty" Target="../customProperty28.bin"/><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customProperty" Target="../customProperty31.bin"/><Relationship Id="rId2" Type="http://schemas.openxmlformats.org/officeDocument/2006/relationships/customProperty" Target="../customProperty30.bin"/><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C18"/>
  <sheetViews>
    <sheetView tabSelected="1" view="pageBreakPreview" zoomScaleSheetLayoutView="100" workbookViewId="0">
      <selection activeCell="B21" sqref="B21"/>
    </sheetView>
  </sheetViews>
  <sheetFormatPr defaultColWidth="9.140625" defaultRowHeight="21.75" x14ac:dyDescent="0.5"/>
  <cols>
    <col min="1" max="1" width="17.7109375" style="242" customWidth="1"/>
    <col min="2" max="2" width="69.7109375" style="242" customWidth="1"/>
    <col min="3" max="3" width="17.7109375" style="242" customWidth="1"/>
    <col min="4" max="4" width="26.85546875" style="242" customWidth="1"/>
    <col min="5" max="16384" width="9.140625" style="242"/>
  </cols>
  <sheetData>
    <row r="5" spans="1:3" x14ac:dyDescent="0.5">
      <c r="A5" s="242" t="s">
        <v>5</v>
      </c>
    </row>
    <row r="6" spans="1:3" ht="30.75" x14ac:dyDescent="0.7">
      <c r="B6" s="243"/>
    </row>
    <row r="7" spans="1:3" hidden="1" x14ac:dyDescent="0.5"/>
    <row r="8" spans="1:3" hidden="1" x14ac:dyDescent="0.5"/>
    <row r="9" spans="1:3" hidden="1" x14ac:dyDescent="0.5"/>
    <row r="10" spans="1:3" hidden="1" x14ac:dyDescent="0.5"/>
    <row r="14" spans="1:3" x14ac:dyDescent="0.5">
      <c r="A14" s="566">
        <v>0</v>
      </c>
      <c r="B14" s="566"/>
      <c r="C14" s="566"/>
    </row>
    <row r="15" spans="1:3" x14ac:dyDescent="0.5">
      <c r="A15" s="567" t="s">
        <v>518</v>
      </c>
      <c r="B15" s="566"/>
      <c r="C15" s="566"/>
    </row>
    <row r="16" spans="1:3" x14ac:dyDescent="0.5">
      <c r="A16" s="566" t="s">
        <v>519</v>
      </c>
      <c r="B16" s="566"/>
      <c r="C16" s="566"/>
    </row>
    <row r="17" spans="1:3" x14ac:dyDescent="0.5">
      <c r="A17" s="566" t="s">
        <v>520</v>
      </c>
      <c r="B17" s="566"/>
      <c r="C17" s="566"/>
    </row>
    <row r="18" spans="1:3" x14ac:dyDescent="0.5">
      <c r="A18" s="566" t="s">
        <v>521</v>
      </c>
      <c r="B18" s="566"/>
      <c r="C18" s="566"/>
    </row>
  </sheetData>
  <mergeCells count="5">
    <mergeCell ref="A14:C14"/>
    <mergeCell ref="A15:C15"/>
    <mergeCell ref="A16:C16"/>
    <mergeCell ref="A17:C17"/>
    <mergeCell ref="A18:C18"/>
  </mergeCells>
  <phoneticPr fontId="0" type="noConversion"/>
  <printOptions horizontalCentered="1"/>
  <pageMargins left="0" right="0" top="0" bottom="0" header="0" footer="0"/>
  <pageSetup paperSize="9" scale="96" orientation="portrait" r:id="rId1"/>
  <headerFooter alignWithMargins="0"/>
  <customProperties>
    <customPr name="ExcelFSM_AdjustedButtonPressed" r:id="rId2"/>
    <customPr name="ExcelFSM_DetailsButtonPressed"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31"/>
  <sheetViews>
    <sheetView view="pageBreakPreview" topLeftCell="A4" zoomScale="85" zoomScaleSheetLayoutView="85" workbookViewId="0">
      <selection activeCell="H18" sqref="H18"/>
    </sheetView>
  </sheetViews>
  <sheetFormatPr defaultRowHeight="18.75" x14ac:dyDescent="0.45"/>
  <cols>
    <col min="1" max="1" width="9.7109375" style="244" customWidth="1"/>
    <col min="2" max="2" width="2.7109375" style="244" customWidth="1"/>
    <col min="3" max="3" width="71.28515625" style="244" customWidth="1"/>
    <col min="4" max="4" width="1.7109375" style="244" customWidth="1"/>
    <col min="5" max="5" width="11.7109375" style="244" customWidth="1"/>
    <col min="6" max="6" width="12.7109375" style="244" bestFit="1" customWidth="1"/>
    <col min="7" max="7" width="13.5703125" style="244" bestFit="1" customWidth="1"/>
    <col min="8" max="8" width="10.7109375" style="244" customWidth="1"/>
    <col min="9" max="9" width="11.28515625" style="244" bestFit="1" customWidth="1"/>
    <col min="10" max="11" width="12.7109375" style="244" bestFit="1" customWidth="1"/>
    <col min="12" max="258" width="9.140625" style="244"/>
    <col min="259" max="259" width="70.140625" style="244" customWidth="1"/>
    <col min="260" max="260" width="7" style="244" bestFit="1" customWidth="1"/>
    <col min="261" max="514" width="9.140625" style="244"/>
    <col min="515" max="515" width="70.140625" style="244" customWidth="1"/>
    <col min="516" max="516" width="7" style="244" bestFit="1" customWidth="1"/>
    <col min="517" max="770" width="9.140625" style="244"/>
    <col min="771" max="771" width="70.140625" style="244" customWidth="1"/>
    <col min="772" max="772" width="7" style="244" bestFit="1" customWidth="1"/>
    <col min="773" max="1026" width="9.140625" style="244"/>
    <col min="1027" max="1027" width="70.140625" style="244" customWidth="1"/>
    <col min="1028" max="1028" width="7" style="244" bestFit="1" customWidth="1"/>
    <col min="1029" max="1282" width="9.140625" style="244"/>
    <col min="1283" max="1283" width="70.140625" style="244" customWidth="1"/>
    <col min="1284" max="1284" width="7" style="244" bestFit="1" customWidth="1"/>
    <col min="1285" max="1538" width="9.140625" style="244"/>
    <col min="1539" max="1539" width="70.140625" style="244" customWidth="1"/>
    <col min="1540" max="1540" width="7" style="244" bestFit="1" customWidth="1"/>
    <col min="1541" max="1794" width="9.140625" style="244"/>
    <col min="1795" max="1795" width="70.140625" style="244" customWidth="1"/>
    <col min="1796" max="1796" width="7" style="244" bestFit="1" customWidth="1"/>
    <col min="1797" max="2050" width="9.140625" style="244"/>
    <col min="2051" max="2051" width="70.140625" style="244" customWidth="1"/>
    <col min="2052" max="2052" width="7" style="244" bestFit="1" customWidth="1"/>
    <col min="2053" max="2306" width="9.140625" style="244"/>
    <col min="2307" max="2307" width="70.140625" style="244" customWidth="1"/>
    <col min="2308" max="2308" width="7" style="244" bestFit="1" customWidth="1"/>
    <col min="2309" max="2562" width="9.140625" style="244"/>
    <col min="2563" max="2563" width="70.140625" style="244" customWidth="1"/>
    <col min="2564" max="2564" width="7" style="244" bestFit="1" customWidth="1"/>
    <col min="2565" max="2818" width="9.140625" style="244"/>
    <col min="2819" max="2819" width="70.140625" style="244" customWidth="1"/>
    <col min="2820" max="2820" width="7" style="244" bestFit="1" customWidth="1"/>
    <col min="2821" max="3074" width="9.140625" style="244"/>
    <col min="3075" max="3075" width="70.140625" style="244" customWidth="1"/>
    <col min="3076" max="3076" width="7" style="244" bestFit="1" customWidth="1"/>
    <col min="3077" max="3330" width="9.140625" style="244"/>
    <col min="3331" max="3331" width="70.140625" style="244" customWidth="1"/>
    <col min="3332" max="3332" width="7" style="244" bestFit="1" customWidth="1"/>
    <col min="3333" max="3586" width="9.140625" style="244"/>
    <col min="3587" max="3587" width="70.140625" style="244" customWidth="1"/>
    <col min="3588" max="3588" width="7" style="244" bestFit="1" customWidth="1"/>
    <col min="3589" max="3842" width="9.140625" style="244"/>
    <col min="3843" max="3843" width="70.140625" style="244" customWidth="1"/>
    <col min="3844" max="3844" width="7" style="244" bestFit="1" customWidth="1"/>
    <col min="3845" max="4098" width="9.140625" style="244"/>
    <col min="4099" max="4099" width="70.140625" style="244" customWidth="1"/>
    <col min="4100" max="4100" width="7" style="244" bestFit="1" customWidth="1"/>
    <col min="4101" max="4354" width="9.140625" style="244"/>
    <col min="4355" max="4355" width="70.140625" style="244" customWidth="1"/>
    <col min="4356" max="4356" width="7" style="244" bestFit="1" customWidth="1"/>
    <col min="4357" max="4610" width="9.140625" style="244"/>
    <col min="4611" max="4611" width="70.140625" style="244" customWidth="1"/>
    <col min="4612" max="4612" width="7" style="244" bestFit="1" customWidth="1"/>
    <col min="4613" max="4866" width="9.140625" style="244"/>
    <col min="4867" max="4867" width="70.140625" style="244" customWidth="1"/>
    <col min="4868" max="4868" width="7" style="244" bestFit="1" customWidth="1"/>
    <col min="4869" max="5122" width="9.140625" style="244"/>
    <col min="5123" max="5123" width="70.140625" style="244" customWidth="1"/>
    <col min="5124" max="5124" width="7" style="244" bestFit="1" customWidth="1"/>
    <col min="5125" max="5378" width="9.140625" style="244"/>
    <col min="5379" max="5379" width="70.140625" style="244" customWidth="1"/>
    <col min="5380" max="5380" width="7" style="244" bestFit="1" customWidth="1"/>
    <col min="5381" max="5634" width="9.140625" style="244"/>
    <col min="5635" max="5635" width="70.140625" style="244" customWidth="1"/>
    <col min="5636" max="5636" width="7" style="244" bestFit="1" customWidth="1"/>
    <col min="5637" max="5890" width="9.140625" style="244"/>
    <col min="5891" max="5891" width="70.140625" style="244" customWidth="1"/>
    <col min="5892" max="5892" width="7" style="244" bestFit="1" customWidth="1"/>
    <col min="5893" max="6146" width="9.140625" style="244"/>
    <col min="6147" max="6147" width="70.140625" style="244" customWidth="1"/>
    <col min="6148" max="6148" width="7" style="244" bestFit="1" customWidth="1"/>
    <col min="6149" max="6402" width="9.140625" style="244"/>
    <col min="6403" max="6403" width="70.140625" style="244" customWidth="1"/>
    <col min="6404" max="6404" width="7" style="244" bestFit="1" customWidth="1"/>
    <col min="6405" max="6658" width="9.140625" style="244"/>
    <col min="6659" max="6659" width="70.140625" style="244" customWidth="1"/>
    <col min="6660" max="6660" width="7" style="244" bestFit="1" customWidth="1"/>
    <col min="6661" max="6914" width="9.140625" style="244"/>
    <col min="6915" max="6915" width="70.140625" style="244" customWidth="1"/>
    <col min="6916" max="6916" width="7" style="244" bestFit="1" customWidth="1"/>
    <col min="6917" max="7170" width="9.140625" style="244"/>
    <col min="7171" max="7171" width="70.140625" style="244" customWidth="1"/>
    <col min="7172" max="7172" width="7" style="244" bestFit="1" customWidth="1"/>
    <col min="7173" max="7426" width="9.140625" style="244"/>
    <col min="7427" max="7427" width="70.140625" style="244" customWidth="1"/>
    <col min="7428" max="7428" width="7" style="244" bestFit="1" customWidth="1"/>
    <col min="7429" max="7682" width="9.140625" style="244"/>
    <col min="7683" max="7683" width="70.140625" style="244" customWidth="1"/>
    <col min="7684" max="7684" width="7" style="244" bestFit="1" customWidth="1"/>
    <col min="7685" max="7938" width="9.140625" style="244"/>
    <col min="7939" max="7939" width="70.140625" style="244" customWidth="1"/>
    <col min="7940" max="7940" width="7" style="244" bestFit="1" customWidth="1"/>
    <col min="7941" max="8194" width="9.140625" style="244"/>
    <col min="8195" max="8195" width="70.140625" style="244" customWidth="1"/>
    <col min="8196" max="8196" width="7" style="244" bestFit="1" customWidth="1"/>
    <col min="8197" max="8450" width="9.140625" style="244"/>
    <col min="8451" max="8451" width="70.140625" style="244" customWidth="1"/>
    <col min="8452" max="8452" width="7" style="244" bestFit="1" customWidth="1"/>
    <col min="8453" max="8706" width="9.140625" style="244"/>
    <col min="8707" max="8707" width="70.140625" style="244" customWidth="1"/>
    <col min="8708" max="8708" width="7" style="244" bestFit="1" customWidth="1"/>
    <col min="8709" max="8962" width="9.140625" style="244"/>
    <col min="8963" max="8963" width="70.140625" style="244" customWidth="1"/>
    <col min="8964" max="8964" width="7" style="244" bestFit="1" customWidth="1"/>
    <col min="8965" max="9218" width="9.140625" style="244"/>
    <col min="9219" max="9219" width="70.140625" style="244" customWidth="1"/>
    <col min="9220" max="9220" width="7" style="244" bestFit="1" customWidth="1"/>
    <col min="9221" max="9474" width="9.140625" style="244"/>
    <col min="9475" max="9475" width="70.140625" style="244" customWidth="1"/>
    <col min="9476" max="9476" width="7" style="244" bestFit="1" customWidth="1"/>
    <col min="9477" max="9730" width="9.140625" style="244"/>
    <col min="9731" max="9731" width="70.140625" style="244" customWidth="1"/>
    <col min="9732" max="9732" width="7" style="244" bestFit="1" customWidth="1"/>
    <col min="9733" max="9986" width="9.140625" style="244"/>
    <col min="9987" max="9987" width="70.140625" style="244" customWidth="1"/>
    <col min="9988" max="9988" width="7" style="244" bestFit="1" customWidth="1"/>
    <col min="9989" max="10242" width="9.140625" style="244"/>
    <col min="10243" max="10243" width="70.140625" style="244" customWidth="1"/>
    <col min="10244" max="10244" width="7" style="244" bestFit="1" customWidth="1"/>
    <col min="10245" max="10498" width="9.140625" style="244"/>
    <col min="10499" max="10499" width="70.140625" style="244" customWidth="1"/>
    <col min="10500" max="10500" width="7" style="244" bestFit="1" customWidth="1"/>
    <col min="10501" max="10754" width="9.140625" style="244"/>
    <col min="10755" max="10755" width="70.140625" style="244" customWidth="1"/>
    <col min="10756" max="10756" width="7" style="244" bestFit="1" customWidth="1"/>
    <col min="10757" max="11010" width="9.140625" style="244"/>
    <col min="11011" max="11011" width="70.140625" style="244" customWidth="1"/>
    <col min="11012" max="11012" width="7" style="244" bestFit="1" customWidth="1"/>
    <col min="11013" max="11266" width="9.140625" style="244"/>
    <col min="11267" max="11267" width="70.140625" style="244" customWidth="1"/>
    <col min="11268" max="11268" width="7" style="244" bestFit="1" customWidth="1"/>
    <col min="11269" max="11522" width="9.140625" style="244"/>
    <col min="11523" max="11523" width="70.140625" style="244" customWidth="1"/>
    <col min="11524" max="11524" width="7" style="244" bestFit="1" customWidth="1"/>
    <col min="11525" max="11778" width="9.140625" style="244"/>
    <col min="11779" max="11779" width="70.140625" style="244" customWidth="1"/>
    <col min="11780" max="11780" width="7" style="244" bestFit="1" customWidth="1"/>
    <col min="11781" max="12034" width="9.140625" style="244"/>
    <col min="12035" max="12035" width="70.140625" style="244" customWidth="1"/>
    <col min="12036" max="12036" width="7" style="244" bestFit="1" customWidth="1"/>
    <col min="12037" max="12290" width="9.140625" style="244"/>
    <col min="12291" max="12291" width="70.140625" style="244" customWidth="1"/>
    <col min="12292" max="12292" width="7" style="244" bestFit="1" customWidth="1"/>
    <col min="12293" max="12546" width="9.140625" style="244"/>
    <col min="12547" max="12547" width="70.140625" style="244" customWidth="1"/>
    <col min="12548" max="12548" width="7" style="244" bestFit="1" customWidth="1"/>
    <col min="12549" max="12802" width="9.140625" style="244"/>
    <col min="12803" max="12803" width="70.140625" style="244" customWidth="1"/>
    <col min="12804" max="12804" width="7" style="244" bestFit="1" customWidth="1"/>
    <col min="12805" max="13058" width="9.140625" style="244"/>
    <col min="13059" max="13059" width="70.140625" style="244" customWidth="1"/>
    <col min="13060" max="13060" width="7" style="244" bestFit="1" customWidth="1"/>
    <col min="13061" max="13314" width="9.140625" style="244"/>
    <col min="13315" max="13315" width="70.140625" style="244" customWidth="1"/>
    <col min="13316" max="13316" width="7" style="244" bestFit="1" customWidth="1"/>
    <col min="13317" max="13570" width="9.140625" style="244"/>
    <col min="13571" max="13571" width="70.140625" style="244" customWidth="1"/>
    <col min="13572" max="13572" width="7" style="244" bestFit="1" customWidth="1"/>
    <col min="13573" max="13826" width="9.140625" style="244"/>
    <col min="13827" max="13827" width="70.140625" style="244" customWidth="1"/>
    <col min="13828" max="13828" width="7" style="244" bestFit="1" customWidth="1"/>
    <col min="13829" max="14082" width="9.140625" style="244"/>
    <col min="14083" max="14083" width="70.140625" style="244" customWidth="1"/>
    <col min="14084" max="14084" width="7" style="244" bestFit="1" customWidth="1"/>
    <col min="14085" max="14338" width="9.140625" style="244"/>
    <col min="14339" max="14339" width="70.140625" style="244" customWidth="1"/>
    <col min="14340" max="14340" width="7" style="244" bestFit="1" customWidth="1"/>
    <col min="14341" max="14594" width="9.140625" style="244"/>
    <col min="14595" max="14595" width="70.140625" style="244" customWidth="1"/>
    <col min="14596" max="14596" width="7" style="244" bestFit="1" customWidth="1"/>
    <col min="14597" max="14850" width="9.140625" style="244"/>
    <col min="14851" max="14851" width="70.140625" style="244" customWidth="1"/>
    <col min="14852" max="14852" width="7" style="244" bestFit="1" customWidth="1"/>
    <col min="14853" max="15106" width="9.140625" style="244"/>
    <col min="15107" max="15107" width="70.140625" style="244" customWidth="1"/>
    <col min="15108" max="15108" width="7" style="244" bestFit="1" customWidth="1"/>
    <col min="15109" max="15362" width="9.140625" style="244"/>
    <col min="15363" max="15363" width="70.140625" style="244" customWidth="1"/>
    <col min="15364" max="15364" width="7" style="244" bestFit="1" customWidth="1"/>
    <col min="15365" max="15618" width="9.140625" style="244"/>
    <col min="15619" max="15619" width="70.140625" style="244" customWidth="1"/>
    <col min="15620" max="15620" width="7" style="244" bestFit="1" customWidth="1"/>
    <col min="15621" max="15874" width="9.140625" style="244"/>
    <col min="15875" max="15875" width="70.140625" style="244" customWidth="1"/>
    <col min="15876" max="15876" width="7" style="244" bestFit="1" customWidth="1"/>
    <col min="15877" max="16130" width="9.140625" style="244"/>
    <col min="16131" max="16131" width="70.140625" style="244" customWidth="1"/>
    <col min="16132" max="16132" width="7" style="244" bestFit="1" customWidth="1"/>
    <col min="16133" max="16384" width="9.140625" style="244"/>
  </cols>
  <sheetData>
    <row r="1" spans="1:16384" s="254" customFormat="1" ht="24" customHeight="1" x14ac:dyDescent="0.45">
      <c r="A1" s="245">
        <f>Cover!A14</f>
        <v>0</v>
      </c>
      <c r="B1" s="245"/>
      <c r="C1" s="245"/>
      <c r="D1" s="245"/>
      <c r="E1" s="245"/>
      <c r="F1" s="521"/>
      <c r="G1" s="521"/>
      <c r="H1" s="521"/>
      <c r="I1" s="521"/>
      <c r="J1" s="521"/>
      <c r="K1" s="568"/>
      <c r="L1" s="568"/>
      <c r="M1" s="568"/>
      <c r="N1" s="568"/>
      <c r="O1" s="568"/>
      <c r="P1" s="568"/>
      <c r="Q1" s="568"/>
      <c r="R1" s="568"/>
      <c r="S1" s="568"/>
      <c r="T1" s="568"/>
      <c r="U1" s="568"/>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8"/>
      <c r="BA1" s="568"/>
      <c r="BB1" s="568"/>
      <c r="BC1" s="568"/>
      <c r="BD1" s="568"/>
      <c r="BE1" s="568"/>
      <c r="BF1" s="568"/>
      <c r="BG1" s="568"/>
      <c r="BH1" s="568"/>
      <c r="BI1" s="568"/>
      <c r="BJ1" s="568"/>
      <c r="BK1" s="568"/>
      <c r="BL1" s="568"/>
      <c r="BM1" s="568"/>
      <c r="BN1" s="568"/>
      <c r="BO1" s="568"/>
      <c r="BP1" s="568"/>
      <c r="BQ1" s="568"/>
      <c r="BR1" s="568"/>
      <c r="BS1" s="568"/>
      <c r="BT1" s="568"/>
      <c r="BU1" s="568"/>
      <c r="BV1" s="568"/>
      <c r="BW1" s="568"/>
      <c r="BX1" s="568"/>
      <c r="BY1" s="568"/>
      <c r="BZ1" s="568"/>
      <c r="CA1" s="568"/>
      <c r="CB1" s="568"/>
      <c r="CC1" s="568"/>
      <c r="CD1" s="568"/>
      <c r="CE1" s="568"/>
      <c r="CF1" s="568"/>
      <c r="CG1" s="568"/>
      <c r="CH1" s="568"/>
      <c r="CI1" s="568"/>
      <c r="CJ1" s="568"/>
      <c r="CK1" s="568"/>
      <c r="CL1" s="568"/>
      <c r="CM1" s="568"/>
      <c r="CN1" s="568"/>
      <c r="CO1" s="568"/>
      <c r="CP1" s="568"/>
      <c r="CQ1" s="568"/>
      <c r="CR1" s="568"/>
      <c r="CS1" s="568"/>
      <c r="CT1" s="568"/>
      <c r="CU1" s="568"/>
      <c r="CV1" s="568"/>
      <c r="CW1" s="568"/>
      <c r="CX1" s="568"/>
      <c r="CY1" s="568"/>
      <c r="CZ1" s="568"/>
      <c r="DA1" s="568"/>
      <c r="DB1" s="568"/>
      <c r="DC1" s="568"/>
      <c r="DD1" s="568"/>
      <c r="DE1" s="568"/>
      <c r="DF1" s="568"/>
      <c r="DG1" s="568"/>
      <c r="DH1" s="568"/>
      <c r="DI1" s="568"/>
      <c r="DJ1" s="568"/>
      <c r="DK1" s="568"/>
      <c r="DL1" s="568"/>
      <c r="DM1" s="568"/>
      <c r="DN1" s="568"/>
      <c r="DO1" s="568"/>
      <c r="DP1" s="568"/>
      <c r="DQ1" s="568"/>
      <c r="DR1" s="568"/>
      <c r="DS1" s="568"/>
      <c r="DT1" s="568"/>
      <c r="DU1" s="568"/>
      <c r="DV1" s="568"/>
      <c r="DW1" s="568"/>
      <c r="DX1" s="568"/>
      <c r="DY1" s="568"/>
      <c r="DZ1" s="568"/>
      <c r="EA1" s="568"/>
      <c r="EB1" s="568"/>
      <c r="EC1" s="568"/>
      <c r="ED1" s="568"/>
      <c r="EE1" s="568"/>
      <c r="EF1" s="568"/>
      <c r="EG1" s="568"/>
      <c r="EH1" s="568"/>
      <c r="EI1" s="568"/>
      <c r="EJ1" s="568"/>
      <c r="EK1" s="568"/>
      <c r="EL1" s="568"/>
      <c r="EM1" s="568"/>
      <c r="EN1" s="568"/>
      <c r="EO1" s="568"/>
      <c r="EP1" s="568"/>
      <c r="EQ1" s="568"/>
      <c r="ER1" s="568"/>
      <c r="ES1" s="568"/>
      <c r="ET1" s="568"/>
      <c r="EU1" s="568"/>
      <c r="EV1" s="568"/>
      <c r="EW1" s="568"/>
      <c r="EX1" s="568"/>
      <c r="EY1" s="568"/>
      <c r="EZ1" s="568"/>
      <c r="FA1" s="568"/>
      <c r="FB1" s="568"/>
      <c r="FC1" s="568"/>
      <c r="FD1" s="568"/>
      <c r="FE1" s="568"/>
      <c r="FF1" s="568"/>
      <c r="FG1" s="568"/>
      <c r="FH1" s="568"/>
      <c r="FI1" s="568"/>
      <c r="FJ1" s="568"/>
      <c r="FK1" s="568"/>
      <c r="FL1" s="568"/>
      <c r="FM1" s="568"/>
      <c r="FN1" s="568"/>
      <c r="FO1" s="568"/>
      <c r="FP1" s="568"/>
      <c r="FQ1" s="568"/>
      <c r="FR1" s="568"/>
      <c r="FS1" s="568"/>
      <c r="FT1" s="568"/>
      <c r="FU1" s="568"/>
      <c r="FV1" s="568"/>
      <c r="FW1" s="568"/>
      <c r="FX1" s="568"/>
      <c r="FY1" s="568"/>
      <c r="FZ1" s="568"/>
      <c r="GA1" s="568"/>
      <c r="GB1" s="568"/>
      <c r="GC1" s="568"/>
      <c r="GD1" s="568"/>
      <c r="GE1" s="568"/>
      <c r="GF1" s="568"/>
      <c r="GG1" s="568"/>
      <c r="GH1" s="568"/>
      <c r="GI1" s="568"/>
      <c r="GJ1" s="568"/>
      <c r="GK1" s="568"/>
      <c r="GL1" s="568"/>
      <c r="GM1" s="568"/>
      <c r="GN1" s="568"/>
      <c r="GO1" s="568"/>
      <c r="GP1" s="568"/>
      <c r="GQ1" s="568"/>
      <c r="GR1" s="568"/>
      <c r="GS1" s="568"/>
      <c r="GT1" s="568"/>
      <c r="GU1" s="568"/>
      <c r="GV1" s="568"/>
      <c r="GW1" s="568"/>
      <c r="GX1" s="568"/>
      <c r="GY1" s="568"/>
      <c r="GZ1" s="568"/>
      <c r="HA1" s="568"/>
      <c r="HB1" s="568"/>
      <c r="HC1" s="568"/>
      <c r="HD1" s="568"/>
      <c r="HE1" s="568"/>
      <c r="HF1" s="568"/>
      <c r="HG1" s="568"/>
      <c r="HH1" s="568"/>
      <c r="HI1" s="568"/>
      <c r="HJ1" s="568"/>
      <c r="HK1" s="568"/>
      <c r="HL1" s="568"/>
      <c r="HM1" s="568"/>
      <c r="HN1" s="568"/>
      <c r="HO1" s="568"/>
      <c r="HP1" s="568"/>
      <c r="HQ1" s="568"/>
      <c r="HR1" s="568"/>
      <c r="HS1" s="568"/>
      <c r="HT1" s="568"/>
      <c r="HU1" s="568"/>
      <c r="HV1" s="568"/>
      <c r="HW1" s="568"/>
      <c r="HX1" s="568"/>
      <c r="HY1" s="568"/>
      <c r="HZ1" s="568"/>
      <c r="IA1" s="568"/>
      <c r="IB1" s="568"/>
      <c r="IC1" s="568"/>
      <c r="ID1" s="568"/>
      <c r="IE1" s="568"/>
      <c r="IF1" s="568"/>
      <c r="IG1" s="568"/>
      <c r="IH1" s="568"/>
      <c r="II1" s="568"/>
      <c r="IJ1" s="568"/>
      <c r="IK1" s="568"/>
      <c r="IL1" s="568"/>
      <c r="IM1" s="568"/>
      <c r="IN1" s="568"/>
      <c r="IO1" s="568"/>
      <c r="IP1" s="568"/>
      <c r="IQ1" s="568"/>
      <c r="IR1" s="568"/>
      <c r="IS1" s="568"/>
      <c r="IT1" s="568"/>
      <c r="IU1" s="568"/>
      <c r="IV1" s="568"/>
      <c r="IW1" s="568"/>
      <c r="IX1" s="568"/>
      <c r="IY1" s="568"/>
      <c r="IZ1" s="568"/>
      <c r="JA1" s="568"/>
      <c r="JB1" s="568"/>
      <c r="JC1" s="568"/>
      <c r="JD1" s="568"/>
      <c r="JE1" s="568"/>
      <c r="JF1" s="568"/>
      <c r="JG1" s="568"/>
      <c r="JH1" s="568"/>
      <c r="JI1" s="568"/>
      <c r="JJ1" s="568"/>
      <c r="JK1" s="568"/>
      <c r="JL1" s="568"/>
      <c r="JM1" s="568"/>
      <c r="JN1" s="568"/>
      <c r="JO1" s="568"/>
      <c r="JP1" s="568"/>
      <c r="JQ1" s="568"/>
      <c r="JR1" s="568"/>
      <c r="JS1" s="568"/>
      <c r="JT1" s="568"/>
      <c r="JU1" s="568"/>
      <c r="JV1" s="568"/>
      <c r="JW1" s="568"/>
      <c r="JX1" s="568"/>
      <c r="JY1" s="568"/>
      <c r="JZ1" s="568"/>
      <c r="KA1" s="568"/>
      <c r="KB1" s="568"/>
      <c r="KC1" s="568"/>
      <c r="KD1" s="568"/>
      <c r="KE1" s="568"/>
      <c r="KF1" s="568"/>
      <c r="KG1" s="568"/>
      <c r="KH1" s="568"/>
      <c r="KI1" s="568"/>
      <c r="KJ1" s="568"/>
      <c r="KK1" s="568"/>
      <c r="KL1" s="568"/>
      <c r="KM1" s="568"/>
      <c r="KN1" s="568"/>
      <c r="KO1" s="568"/>
      <c r="KP1" s="568"/>
      <c r="KQ1" s="568"/>
      <c r="KR1" s="568"/>
      <c r="KS1" s="568"/>
      <c r="KT1" s="568"/>
      <c r="KU1" s="568"/>
      <c r="KV1" s="568"/>
      <c r="KW1" s="568"/>
      <c r="KX1" s="568"/>
      <c r="KY1" s="568"/>
      <c r="KZ1" s="568"/>
      <c r="LA1" s="568"/>
      <c r="LB1" s="568"/>
      <c r="LC1" s="568"/>
      <c r="LD1" s="568"/>
      <c r="LE1" s="568"/>
      <c r="LF1" s="568"/>
      <c r="LG1" s="568"/>
      <c r="LH1" s="568"/>
      <c r="LI1" s="568"/>
      <c r="LJ1" s="568"/>
      <c r="LK1" s="568"/>
      <c r="LL1" s="568"/>
      <c r="LM1" s="568"/>
      <c r="LN1" s="568"/>
      <c r="LO1" s="568"/>
      <c r="LP1" s="568"/>
      <c r="LQ1" s="568"/>
      <c r="LR1" s="568"/>
      <c r="LS1" s="568"/>
      <c r="LT1" s="568"/>
      <c r="LU1" s="568"/>
      <c r="LV1" s="568"/>
      <c r="LW1" s="568"/>
      <c r="LX1" s="568"/>
      <c r="LY1" s="568"/>
      <c r="LZ1" s="568"/>
      <c r="MA1" s="568"/>
      <c r="MB1" s="568"/>
      <c r="MC1" s="568"/>
      <c r="MD1" s="568"/>
      <c r="ME1" s="568"/>
      <c r="MF1" s="568"/>
      <c r="MG1" s="568"/>
      <c r="MH1" s="568"/>
      <c r="MI1" s="568"/>
      <c r="MJ1" s="568"/>
      <c r="MK1" s="568"/>
      <c r="ML1" s="568"/>
      <c r="MM1" s="568"/>
      <c r="MN1" s="568"/>
      <c r="MO1" s="568"/>
      <c r="MP1" s="568"/>
      <c r="MQ1" s="568"/>
      <c r="MR1" s="568"/>
      <c r="MS1" s="568"/>
      <c r="MT1" s="568"/>
      <c r="MU1" s="568"/>
      <c r="MV1" s="568"/>
      <c r="MW1" s="568"/>
      <c r="MX1" s="568"/>
      <c r="MY1" s="568"/>
      <c r="MZ1" s="568"/>
      <c r="NA1" s="568"/>
      <c r="NB1" s="568"/>
      <c r="NC1" s="568"/>
      <c r="ND1" s="568"/>
      <c r="NE1" s="568"/>
      <c r="NF1" s="568"/>
      <c r="NG1" s="568"/>
      <c r="NH1" s="568"/>
      <c r="NI1" s="568"/>
      <c r="NJ1" s="568"/>
      <c r="NK1" s="568"/>
      <c r="NL1" s="568"/>
      <c r="NM1" s="568"/>
      <c r="NN1" s="568"/>
      <c r="NO1" s="568"/>
      <c r="NP1" s="568"/>
      <c r="NQ1" s="568"/>
      <c r="NR1" s="568"/>
      <c r="NS1" s="568"/>
      <c r="NT1" s="568"/>
      <c r="NU1" s="568"/>
      <c r="NV1" s="568"/>
      <c r="NW1" s="568"/>
      <c r="NX1" s="568"/>
      <c r="NY1" s="568"/>
      <c r="NZ1" s="568"/>
      <c r="OA1" s="568"/>
      <c r="OB1" s="568"/>
      <c r="OC1" s="568"/>
      <c r="OD1" s="568"/>
      <c r="OE1" s="568"/>
      <c r="OF1" s="568"/>
      <c r="OG1" s="568"/>
      <c r="OH1" s="568"/>
      <c r="OI1" s="568"/>
      <c r="OJ1" s="568"/>
      <c r="OK1" s="568"/>
      <c r="OL1" s="568"/>
      <c r="OM1" s="568"/>
      <c r="ON1" s="568"/>
      <c r="OO1" s="568"/>
      <c r="OP1" s="568"/>
      <c r="OQ1" s="568"/>
      <c r="OR1" s="568"/>
      <c r="OS1" s="568"/>
      <c r="OT1" s="568"/>
      <c r="OU1" s="568"/>
      <c r="OV1" s="568"/>
      <c r="OW1" s="568"/>
      <c r="OX1" s="568"/>
      <c r="OY1" s="568"/>
      <c r="OZ1" s="568"/>
      <c r="PA1" s="568"/>
      <c r="PB1" s="568"/>
      <c r="PC1" s="568"/>
      <c r="PD1" s="568"/>
      <c r="PE1" s="568"/>
      <c r="PF1" s="568"/>
      <c r="PG1" s="568"/>
      <c r="PH1" s="568"/>
      <c r="PI1" s="568"/>
      <c r="PJ1" s="568"/>
      <c r="PK1" s="568"/>
      <c r="PL1" s="568"/>
      <c r="PM1" s="568"/>
      <c r="PN1" s="568"/>
      <c r="PO1" s="568"/>
      <c r="PP1" s="568"/>
      <c r="PQ1" s="568"/>
      <c r="PR1" s="568"/>
      <c r="PS1" s="568"/>
      <c r="PT1" s="568"/>
      <c r="PU1" s="568"/>
      <c r="PV1" s="568"/>
      <c r="PW1" s="568"/>
      <c r="PX1" s="568"/>
      <c r="PY1" s="568"/>
      <c r="PZ1" s="568"/>
      <c r="QA1" s="568"/>
      <c r="QB1" s="568"/>
      <c r="QC1" s="568"/>
      <c r="QD1" s="568"/>
      <c r="QE1" s="568"/>
      <c r="QF1" s="568"/>
      <c r="QG1" s="568"/>
      <c r="QH1" s="568"/>
      <c r="QI1" s="568"/>
      <c r="QJ1" s="568"/>
      <c r="QK1" s="568"/>
      <c r="QL1" s="568"/>
      <c r="QM1" s="568"/>
      <c r="QN1" s="568"/>
      <c r="QO1" s="568"/>
      <c r="QP1" s="568"/>
      <c r="QQ1" s="568"/>
      <c r="QR1" s="568"/>
      <c r="QS1" s="568"/>
      <c r="QT1" s="568"/>
      <c r="QU1" s="568"/>
      <c r="QV1" s="568"/>
      <c r="QW1" s="568"/>
      <c r="QX1" s="568"/>
      <c r="QY1" s="568"/>
      <c r="QZ1" s="568"/>
      <c r="RA1" s="568"/>
      <c r="RB1" s="568"/>
      <c r="RC1" s="568"/>
      <c r="RD1" s="568"/>
      <c r="RE1" s="568"/>
      <c r="RF1" s="568"/>
      <c r="RG1" s="568"/>
      <c r="RH1" s="568"/>
      <c r="RI1" s="568"/>
      <c r="RJ1" s="568"/>
      <c r="RK1" s="568"/>
      <c r="RL1" s="568"/>
      <c r="RM1" s="568"/>
      <c r="RN1" s="568"/>
      <c r="RO1" s="568"/>
      <c r="RP1" s="568"/>
      <c r="RQ1" s="568"/>
      <c r="RR1" s="568"/>
      <c r="RS1" s="568"/>
      <c r="RT1" s="568"/>
      <c r="RU1" s="568"/>
      <c r="RV1" s="568"/>
      <c r="RW1" s="568"/>
      <c r="RX1" s="568"/>
      <c r="RY1" s="568"/>
      <c r="RZ1" s="568"/>
      <c r="SA1" s="568"/>
      <c r="SB1" s="568"/>
      <c r="SC1" s="568"/>
      <c r="SD1" s="568"/>
      <c r="SE1" s="568"/>
      <c r="SF1" s="568"/>
      <c r="SG1" s="568"/>
      <c r="SH1" s="568"/>
      <c r="SI1" s="568"/>
      <c r="SJ1" s="568"/>
      <c r="SK1" s="568"/>
      <c r="SL1" s="568"/>
      <c r="SM1" s="568"/>
      <c r="SN1" s="568"/>
      <c r="SO1" s="568"/>
      <c r="SP1" s="568"/>
      <c r="SQ1" s="568"/>
      <c r="SR1" s="568"/>
      <c r="SS1" s="568"/>
      <c r="ST1" s="568"/>
      <c r="SU1" s="568"/>
      <c r="SV1" s="568"/>
      <c r="SW1" s="568"/>
      <c r="SX1" s="568"/>
      <c r="SY1" s="568"/>
      <c r="SZ1" s="568"/>
      <c r="TA1" s="568"/>
      <c r="TB1" s="568"/>
      <c r="TC1" s="568"/>
      <c r="TD1" s="568"/>
      <c r="TE1" s="568"/>
      <c r="TF1" s="568"/>
      <c r="TG1" s="568"/>
      <c r="TH1" s="568"/>
      <c r="TI1" s="568"/>
      <c r="TJ1" s="568"/>
      <c r="TK1" s="568"/>
      <c r="TL1" s="568"/>
      <c r="TM1" s="568"/>
      <c r="TN1" s="568"/>
      <c r="TO1" s="568"/>
      <c r="TP1" s="568"/>
      <c r="TQ1" s="568"/>
      <c r="TR1" s="568"/>
      <c r="TS1" s="568"/>
      <c r="TT1" s="568"/>
      <c r="TU1" s="568"/>
      <c r="TV1" s="568"/>
      <c r="TW1" s="568"/>
      <c r="TX1" s="568"/>
      <c r="TY1" s="568"/>
      <c r="TZ1" s="568"/>
      <c r="UA1" s="568"/>
      <c r="UB1" s="568"/>
      <c r="UC1" s="568"/>
      <c r="UD1" s="568"/>
      <c r="UE1" s="568"/>
      <c r="UF1" s="568"/>
      <c r="UG1" s="568"/>
      <c r="UH1" s="568"/>
      <c r="UI1" s="568"/>
      <c r="UJ1" s="568"/>
      <c r="UK1" s="568"/>
      <c r="UL1" s="568"/>
      <c r="UM1" s="568"/>
      <c r="UN1" s="568"/>
      <c r="UO1" s="568"/>
      <c r="UP1" s="568"/>
      <c r="UQ1" s="568"/>
      <c r="UR1" s="568"/>
      <c r="US1" s="568"/>
      <c r="UT1" s="568"/>
      <c r="UU1" s="568"/>
      <c r="UV1" s="568"/>
      <c r="UW1" s="568"/>
      <c r="UX1" s="568"/>
      <c r="UY1" s="568"/>
      <c r="UZ1" s="568"/>
      <c r="VA1" s="568"/>
      <c r="VB1" s="568"/>
      <c r="VC1" s="568"/>
      <c r="VD1" s="568"/>
      <c r="VE1" s="568"/>
      <c r="VF1" s="568"/>
      <c r="VG1" s="568"/>
      <c r="VH1" s="568"/>
      <c r="VI1" s="568"/>
      <c r="VJ1" s="568"/>
      <c r="VK1" s="568"/>
      <c r="VL1" s="568"/>
      <c r="VM1" s="568"/>
      <c r="VN1" s="568"/>
      <c r="VO1" s="568"/>
      <c r="VP1" s="568"/>
      <c r="VQ1" s="568"/>
      <c r="VR1" s="568"/>
      <c r="VS1" s="568"/>
      <c r="VT1" s="568"/>
      <c r="VU1" s="568"/>
      <c r="VV1" s="568"/>
      <c r="VW1" s="568"/>
      <c r="VX1" s="568"/>
      <c r="VY1" s="568"/>
      <c r="VZ1" s="568"/>
      <c r="WA1" s="568"/>
      <c r="WB1" s="568"/>
      <c r="WC1" s="568"/>
      <c r="WD1" s="568"/>
      <c r="WE1" s="568"/>
      <c r="WF1" s="568"/>
      <c r="WG1" s="568"/>
      <c r="WH1" s="568"/>
      <c r="WI1" s="568"/>
      <c r="WJ1" s="568"/>
      <c r="WK1" s="568"/>
      <c r="WL1" s="568"/>
      <c r="WM1" s="568"/>
      <c r="WN1" s="568"/>
      <c r="WO1" s="568"/>
      <c r="WP1" s="568"/>
      <c r="WQ1" s="568"/>
      <c r="WR1" s="568"/>
      <c r="WS1" s="568"/>
      <c r="WT1" s="568"/>
      <c r="WU1" s="568"/>
      <c r="WV1" s="568"/>
      <c r="WW1" s="568"/>
      <c r="WX1" s="568"/>
      <c r="WY1" s="568"/>
      <c r="WZ1" s="568"/>
      <c r="XA1" s="568"/>
      <c r="XB1" s="568"/>
      <c r="XC1" s="568"/>
      <c r="XD1" s="568"/>
      <c r="XE1" s="568"/>
      <c r="XF1" s="568"/>
      <c r="XG1" s="568"/>
      <c r="XH1" s="568"/>
      <c r="XI1" s="568"/>
      <c r="XJ1" s="568"/>
      <c r="XK1" s="568"/>
      <c r="XL1" s="568"/>
      <c r="XM1" s="568"/>
      <c r="XN1" s="568"/>
      <c r="XO1" s="568"/>
      <c r="XP1" s="568"/>
      <c r="XQ1" s="568"/>
      <c r="XR1" s="568"/>
      <c r="XS1" s="568"/>
      <c r="XT1" s="568"/>
      <c r="XU1" s="568"/>
      <c r="XV1" s="568"/>
      <c r="XW1" s="568"/>
      <c r="XX1" s="568"/>
      <c r="XY1" s="568"/>
      <c r="XZ1" s="568"/>
      <c r="YA1" s="568"/>
      <c r="YB1" s="568"/>
      <c r="YC1" s="568"/>
      <c r="YD1" s="568"/>
      <c r="YE1" s="568"/>
      <c r="YF1" s="568"/>
      <c r="YG1" s="568"/>
      <c r="YH1" s="568"/>
      <c r="YI1" s="568"/>
      <c r="YJ1" s="568"/>
      <c r="YK1" s="568"/>
      <c r="YL1" s="568"/>
      <c r="YM1" s="568"/>
      <c r="YN1" s="568"/>
      <c r="YO1" s="568"/>
      <c r="YP1" s="568"/>
      <c r="YQ1" s="568"/>
      <c r="YR1" s="568"/>
      <c r="YS1" s="568"/>
      <c r="YT1" s="568"/>
      <c r="YU1" s="568"/>
      <c r="YV1" s="568"/>
      <c r="YW1" s="568"/>
      <c r="YX1" s="568"/>
      <c r="YY1" s="568"/>
      <c r="YZ1" s="568"/>
      <c r="ZA1" s="568"/>
      <c r="ZB1" s="568"/>
      <c r="ZC1" s="568"/>
      <c r="ZD1" s="568"/>
      <c r="ZE1" s="568"/>
      <c r="ZF1" s="568"/>
      <c r="ZG1" s="568"/>
      <c r="ZH1" s="568"/>
      <c r="ZI1" s="568"/>
      <c r="ZJ1" s="568"/>
      <c r="ZK1" s="568"/>
      <c r="ZL1" s="568"/>
      <c r="ZM1" s="568"/>
      <c r="ZN1" s="568"/>
      <c r="ZO1" s="568"/>
      <c r="ZP1" s="568"/>
      <c r="ZQ1" s="568"/>
      <c r="ZR1" s="568"/>
      <c r="ZS1" s="568"/>
      <c r="ZT1" s="568"/>
      <c r="ZU1" s="568"/>
      <c r="ZV1" s="568"/>
      <c r="ZW1" s="568"/>
      <c r="ZX1" s="568"/>
      <c r="ZY1" s="568"/>
      <c r="ZZ1" s="568"/>
      <c r="AAA1" s="568"/>
      <c r="AAB1" s="568"/>
      <c r="AAC1" s="568"/>
      <c r="AAD1" s="568"/>
      <c r="AAE1" s="568"/>
      <c r="AAF1" s="568"/>
      <c r="AAG1" s="568"/>
      <c r="AAH1" s="568"/>
      <c r="AAI1" s="568"/>
      <c r="AAJ1" s="568"/>
      <c r="AAK1" s="568"/>
      <c r="AAL1" s="568"/>
      <c r="AAM1" s="568"/>
      <c r="AAN1" s="568"/>
      <c r="AAO1" s="568"/>
      <c r="AAP1" s="568"/>
      <c r="AAQ1" s="568"/>
      <c r="AAR1" s="568"/>
      <c r="AAS1" s="568"/>
      <c r="AAT1" s="568"/>
      <c r="AAU1" s="568"/>
      <c r="AAV1" s="568"/>
      <c r="AAW1" s="568"/>
      <c r="AAX1" s="568"/>
      <c r="AAY1" s="568"/>
      <c r="AAZ1" s="568"/>
      <c r="ABA1" s="568"/>
      <c r="ABB1" s="568"/>
      <c r="ABC1" s="568"/>
      <c r="ABD1" s="568"/>
      <c r="ABE1" s="568"/>
      <c r="ABF1" s="568"/>
      <c r="ABG1" s="568"/>
      <c r="ABH1" s="568"/>
      <c r="ABI1" s="568"/>
      <c r="ABJ1" s="568"/>
      <c r="ABK1" s="568"/>
      <c r="ABL1" s="568"/>
      <c r="ABM1" s="568"/>
      <c r="ABN1" s="568"/>
      <c r="ABO1" s="568"/>
      <c r="ABP1" s="568"/>
      <c r="ABQ1" s="568"/>
      <c r="ABR1" s="568"/>
      <c r="ABS1" s="568"/>
      <c r="ABT1" s="568"/>
      <c r="ABU1" s="568"/>
      <c r="ABV1" s="568"/>
      <c r="ABW1" s="568"/>
      <c r="ABX1" s="568"/>
      <c r="ABY1" s="568"/>
      <c r="ABZ1" s="568"/>
      <c r="ACA1" s="568"/>
      <c r="ACB1" s="568"/>
      <c r="ACC1" s="568"/>
      <c r="ACD1" s="568"/>
      <c r="ACE1" s="568"/>
      <c r="ACF1" s="568"/>
      <c r="ACG1" s="568"/>
      <c r="ACH1" s="568"/>
      <c r="ACI1" s="568"/>
      <c r="ACJ1" s="568"/>
      <c r="ACK1" s="568"/>
      <c r="ACL1" s="568"/>
      <c r="ACM1" s="568"/>
      <c r="ACN1" s="568"/>
      <c r="ACO1" s="568"/>
      <c r="ACP1" s="568"/>
      <c r="ACQ1" s="568"/>
      <c r="ACR1" s="568"/>
      <c r="ACS1" s="568"/>
      <c r="ACT1" s="568"/>
      <c r="ACU1" s="568"/>
      <c r="ACV1" s="568"/>
      <c r="ACW1" s="568"/>
      <c r="ACX1" s="568"/>
      <c r="ACY1" s="568"/>
      <c r="ACZ1" s="568"/>
      <c r="ADA1" s="568"/>
      <c r="ADB1" s="568"/>
      <c r="ADC1" s="568"/>
      <c r="ADD1" s="568"/>
      <c r="ADE1" s="568"/>
      <c r="ADF1" s="568"/>
      <c r="ADG1" s="568"/>
      <c r="ADH1" s="568"/>
      <c r="ADI1" s="568"/>
      <c r="ADJ1" s="568"/>
      <c r="ADK1" s="568"/>
      <c r="ADL1" s="568"/>
      <c r="ADM1" s="568"/>
      <c r="ADN1" s="568"/>
      <c r="ADO1" s="568"/>
      <c r="ADP1" s="568"/>
      <c r="ADQ1" s="568"/>
      <c r="ADR1" s="568"/>
      <c r="ADS1" s="568"/>
      <c r="ADT1" s="568"/>
      <c r="ADU1" s="568"/>
      <c r="ADV1" s="568"/>
      <c r="ADW1" s="568"/>
      <c r="ADX1" s="568"/>
      <c r="ADY1" s="568"/>
      <c r="ADZ1" s="568"/>
      <c r="AEA1" s="568"/>
      <c r="AEB1" s="568"/>
      <c r="AEC1" s="568"/>
      <c r="AED1" s="568"/>
      <c r="AEE1" s="568"/>
      <c r="AEF1" s="568"/>
      <c r="AEG1" s="568"/>
      <c r="AEH1" s="568"/>
      <c r="AEI1" s="568"/>
      <c r="AEJ1" s="568"/>
      <c r="AEK1" s="568"/>
      <c r="AEL1" s="568"/>
      <c r="AEM1" s="568"/>
      <c r="AEN1" s="568"/>
      <c r="AEO1" s="568"/>
      <c r="AEP1" s="568"/>
      <c r="AEQ1" s="568"/>
      <c r="AER1" s="568"/>
      <c r="AES1" s="568"/>
      <c r="AET1" s="568"/>
      <c r="AEU1" s="568"/>
      <c r="AEV1" s="568"/>
      <c r="AEW1" s="568"/>
      <c r="AEX1" s="568"/>
      <c r="AEY1" s="568"/>
      <c r="AEZ1" s="568"/>
      <c r="AFA1" s="568"/>
      <c r="AFB1" s="568"/>
      <c r="AFC1" s="568"/>
      <c r="AFD1" s="568"/>
      <c r="AFE1" s="568"/>
      <c r="AFF1" s="568"/>
      <c r="AFG1" s="568"/>
      <c r="AFH1" s="568"/>
      <c r="AFI1" s="568"/>
      <c r="AFJ1" s="568"/>
      <c r="AFK1" s="568"/>
      <c r="AFL1" s="568"/>
      <c r="AFM1" s="568"/>
      <c r="AFN1" s="568"/>
      <c r="AFO1" s="568"/>
      <c r="AFP1" s="568"/>
      <c r="AFQ1" s="568"/>
      <c r="AFR1" s="568"/>
      <c r="AFS1" s="568"/>
      <c r="AFT1" s="568"/>
      <c r="AFU1" s="568"/>
      <c r="AFV1" s="568"/>
      <c r="AFW1" s="568"/>
      <c r="AFX1" s="568"/>
      <c r="AFY1" s="568"/>
      <c r="AFZ1" s="568"/>
      <c r="AGA1" s="568"/>
      <c r="AGB1" s="568"/>
      <c r="AGC1" s="568"/>
      <c r="AGD1" s="568"/>
      <c r="AGE1" s="568"/>
      <c r="AGF1" s="568"/>
      <c r="AGG1" s="568"/>
      <c r="AGH1" s="568"/>
      <c r="AGI1" s="568"/>
      <c r="AGJ1" s="568"/>
      <c r="AGK1" s="568"/>
      <c r="AGL1" s="568"/>
      <c r="AGM1" s="568"/>
      <c r="AGN1" s="568"/>
      <c r="AGO1" s="568"/>
      <c r="AGP1" s="568"/>
      <c r="AGQ1" s="568"/>
      <c r="AGR1" s="568"/>
      <c r="AGS1" s="568"/>
      <c r="AGT1" s="568"/>
      <c r="AGU1" s="568"/>
      <c r="AGV1" s="568"/>
      <c r="AGW1" s="568"/>
      <c r="AGX1" s="568"/>
      <c r="AGY1" s="568"/>
      <c r="AGZ1" s="568"/>
      <c r="AHA1" s="568"/>
      <c r="AHB1" s="568"/>
      <c r="AHC1" s="568"/>
      <c r="AHD1" s="568"/>
      <c r="AHE1" s="568"/>
      <c r="AHF1" s="568"/>
      <c r="AHG1" s="568"/>
      <c r="AHH1" s="568"/>
      <c r="AHI1" s="568"/>
      <c r="AHJ1" s="568"/>
      <c r="AHK1" s="568"/>
      <c r="AHL1" s="568"/>
      <c r="AHM1" s="568"/>
      <c r="AHN1" s="568"/>
      <c r="AHO1" s="568"/>
      <c r="AHP1" s="568"/>
      <c r="AHQ1" s="568"/>
      <c r="AHR1" s="568"/>
      <c r="AHS1" s="568"/>
      <c r="AHT1" s="568"/>
      <c r="AHU1" s="568"/>
      <c r="AHV1" s="568"/>
      <c r="AHW1" s="568"/>
      <c r="AHX1" s="568"/>
      <c r="AHY1" s="568"/>
      <c r="AHZ1" s="568"/>
      <c r="AIA1" s="568"/>
      <c r="AIB1" s="568"/>
      <c r="AIC1" s="568"/>
      <c r="AID1" s="568"/>
      <c r="AIE1" s="568"/>
      <c r="AIF1" s="568"/>
      <c r="AIG1" s="568"/>
      <c r="AIH1" s="568"/>
      <c r="AII1" s="568"/>
      <c r="AIJ1" s="568"/>
      <c r="AIK1" s="568"/>
      <c r="AIL1" s="568"/>
      <c r="AIM1" s="568"/>
      <c r="AIN1" s="568"/>
      <c r="AIO1" s="568"/>
      <c r="AIP1" s="568"/>
      <c r="AIQ1" s="568"/>
      <c r="AIR1" s="568"/>
      <c r="AIS1" s="568"/>
      <c r="AIT1" s="568"/>
      <c r="AIU1" s="568"/>
      <c r="AIV1" s="568"/>
      <c r="AIW1" s="568"/>
      <c r="AIX1" s="568"/>
      <c r="AIY1" s="568"/>
      <c r="AIZ1" s="568"/>
      <c r="AJA1" s="568"/>
      <c r="AJB1" s="568"/>
      <c r="AJC1" s="568"/>
      <c r="AJD1" s="568"/>
      <c r="AJE1" s="568"/>
      <c r="AJF1" s="568"/>
      <c r="AJG1" s="568"/>
      <c r="AJH1" s="568"/>
      <c r="AJI1" s="568"/>
      <c r="AJJ1" s="568"/>
      <c r="AJK1" s="568"/>
      <c r="AJL1" s="568"/>
      <c r="AJM1" s="568"/>
      <c r="AJN1" s="568"/>
      <c r="AJO1" s="568"/>
      <c r="AJP1" s="568"/>
      <c r="AJQ1" s="568"/>
      <c r="AJR1" s="568"/>
      <c r="AJS1" s="568"/>
      <c r="AJT1" s="568"/>
      <c r="AJU1" s="568"/>
      <c r="AJV1" s="568"/>
      <c r="AJW1" s="568"/>
      <c r="AJX1" s="568"/>
      <c r="AJY1" s="568"/>
      <c r="AJZ1" s="568"/>
      <c r="AKA1" s="568"/>
      <c r="AKB1" s="568"/>
      <c r="AKC1" s="568"/>
      <c r="AKD1" s="568"/>
      <c r="AKE1" s="568"/>
      <c r="AKF1" s="568"/>
      <c r="AKG1" s="568"/>
      <c r="AKH1" s="568"/>
      <c r="AKI1" s="568"/>
      <c r="AKJ1" s="568"/>
      <c r="AKK1" s="568"/>
      <c r="AKL1" s="568"/>
      <c r="AKM1" s="568"/>
      <c r="AKN1" s="568"/>
      <c r="AKO1" s="568"/>
      <c r="AKP1" s="568"/>
      <c r="AKQ1" s="568"/>
      <c r="AKR1" s="568"/>
      <c r="AKS1" s="568"/>
      <c r="AKT1" s="568"/>
      <c r="AKU1" s="568"/>
      <c r="AKV1" s="568"/>
      <c r="AKW1" s="568"/>
      <c r="AKX1" s="568"/>
      <c r="AKY1" s="568"/>
      <c r="AKZ1" s="568"/>
      <c r="ALA1" s="568"/>
      <c r="ALB1" s="568"/>
      <c r="ALC1" s="568"/>
      <c r="ALD1" s="568"/>
      <c r="ALE1" s="568"/>
      <c r="ALF1" s="568"/>
      <c r="ALG1" s="568"/>
      <c r="ALH1" s="568"/>
      <c r="ALI1" s="568"/>
      <c r="ALJ1" s="568"/>
      <c r="ALK1" s="568"/>
      <c r="ALL1" s="568"/>
      <c r="ALM1" s="568"/>
      <c r="ALN1" s="568"/>
      <c r="ALO1" s="568"/>
      <c r="ALP1" s="568"/>
      <c r="ALQ1" s="568"/>
      <c r="ALR1" s="568"/>
      <c r="ALS1" s="568"/>
      <c r="ALT1" s="568"/>
      <c r="ALU1" s="568"/>
      <c r="ALV1" s="568"/>
      <c r="ALW1" s="568"/>
      <c r="ALX1" s="568"/>
      <c r="ALY1" s="568"/>
      <c r="ALZ1" s="568"/>
      <c r="AMA1" s="568"/>
      <c r="AMB1" s="568"/>
      <c r="AMC1" s="568"/>
      <c r="AMD1" s="568"/>
      <c r="AME1" s="568"/>
      <c r="AMF1" s="568"/>
      <c r="AMG1" s="568"/>
      <c r="AMH1" s="568"/>
      <c r="AMI1" s="568"/>
      <c r="AMJ1" s="568"/>
      <c r="AMK1" s="568"/>
      <c r="AML1" s="568"/>
      <c r="AMM1" s="568"/>
      <c r="AMN1" s="568"/>
      <c r="AMO1" s="568"/>
      <c r="AMP1" s="568"/>
      <c r="AMQ1" s="568"/>
      <c r="AMR1" s="568"/>
      <c r="AMS1" s="568"/>
      <c r="AMT1" s="568"/>
      <c r="AMU1" s="568"/>
      <c r="AMV1" s="568"/>
      <c r="AMW1" s="568"/>
      <c r="AMX1" s="568"/>
      <c r="AMY1" s="568"/>
      <c r="AMZ1" s="568"/>
      <c r="ANA1" s="568"/>
      <c r="ANB1" s="568"/>
      <c r="ANC1" s="568"/>
      <c r="AND1" s="568"/>
      <c r="ANE1" s="568"/>
      <c r="ANF1" s="568"/>
      <c r="ANG1" s="568"/>
      <c r="ANH1" s="568"/>
      <c r="ANI1" s="568"/>
      <c r="ANJ1" s="568"/>
      <c r="ANK1" s="568"/>
      <c r="ANL1" s="568"/>
      <c r="ANM1" s="568"/>
      <c r="ANN1" s="568"/>
      <c r="ANO1" s="568"/>
      <c r="ANP1" s="568"/>
      <c r="ANQ1" s="568"/>
      <c r="ANR1" s="568"/>
      <c r="ANS1" s="568"/>
      <c r="ANT1" s="568"/>
      <c r="ANU1" s="568"/>
      <c r="ANV1" s="568"/>
      <c r="ANW1" s="568"/>
      <c r="ANX1" s="568"/>
      <c r="ANY1" s="568"/>
      <c r="ANZ1" s="568"/>
      <c r="AOA1" s="568"/>
      <c r="AOB1" s="568"/>
      <c r="AOC1" s="568"/>
      <c r="AOD1" s="568"/>
      <c r="AOE1" s="568"/>
      <c r="AOF1" s="568"/>
      <c r="AOG1" s="568"/>
      <c r="AOH1" s="568"/>
      <c r="AOI1" s="568"/>
      <c r="AOJ1" s="568"/>
      <c r="AOK1" s="568"/>
      <c r="AOL1" s="568"/>
      <c r="AOM1" s="568"/>
      <c r="AON1" s="568"/>
      <c r="AOO1" s="568"/>
      <c r="AOP1" s="568"/>
      <c r="AOQ1" s="568"/>
      <c r="AOR1" s="568"/>
      <c r="AOS1" s="568"/>
      <c r="AOT1" s="568"/>
      <c r="AOU1" s="568"/>
      <c r="AOV1" s="568"/>
      <c r="AOW1" s="568"/>
      <c r="AOX1" s="568"/>
      <c r="AOY1" s="568"/>
      <c r="AOZ1" s="568"/>
      <c r="APA1" s="568"/>
      <c r="APB1" s="568"/>
      <c r="APC1" s="568"/>
      <c r="APD1" s="568"/>
      <c r="APE1" s="568"/>
      <c r="APF1" s="568"/>
      <c r="APG1" s="568"/>
      <c r="APH1" s="568"/>
      <c r="API1" s="568"/>
      <c r="APJ1" s="568"/>
      <c r="APK1" s="568"/>
      <c r="APL1" s="568"/>
      <c r="APM1" s="568"/>
      <c r="APN1" s="568"/>
      <c r="APO1" s="568"/>
      <c r="APP1" s="568"/>
      <c r="APQ1" s="568"/>
      <c r="APR1" s="568"/>
      <c r="APS1" s="568"/>
      <c r="APT1" s="568"/>
      <c r="APU1" s="568"/>
      <c r="APV1" s="568"/>
      <c r="APW1" s="568"/>
      <c r="APX1" s="568"/>
      <c r="APY1" s="568"/>
      <c r="APZ1" s="568"/>
      <c r="AQA1" s="568"/>
      <c r="AQB1" s="568"/>
      <c r="AQC1" s="568"/>
      <c r="AQD1" s="568"/>
      <c r="AQE1" s="568"/>
      <c r="AQF1" s="568"/>
      <c r="AQG1" s="568"/>
      <c r="AQH1" s="568"/>
      <c r="AQI1" s="568"/>
      <c r="AQJ1" s="568"/>
      <c r="AQK1" s="568"/>
      <c r="AQL1" s="568"/>
      <c r="AQM1" s="568"/>
      <c r="AQN1" s="568"/>
      <c r="AQO1" s="568"/>
      <c r="AQP1" s="568"/>
      <c r="AQQ1" s="568"/>
      <c r="AQR1" s="568"/>
      <c r="AQS1" s="568"/>
      <c r="AQT1" s="568"/>
      <c r="AQU1" s="568"/>
      <c r="AQV1" s="568"/>
      <c r="AQW1" s="568"/>
      <c r="AQX1" s="568"/>
      <c r="AQY1" s="568"/>
      <c r="AQZ1" s="568"/>
      <c r="ARA1" s="568"/>
      <c r="ARB1" s="568"/>
      <c r="ARC1" s="568"/>
      <c r="ARD1" s="568"/>
      <c r="ARE1" s="568"/>
      <c r="ARF1" s="568"/>
      <c r="ARG1" s="568"/>
      <c r="ARH1" s="568"/>
      <c r="ARI1" s="568"/>
      <c r="ARJ1" s="568"/>
      <c r="ARK1" s="568"/>
      <c r="ARL1" s="568"/>
      <c r="ARM1" s="568"/>
      <c r="ARN1" s="568"/>
      <c r="ARO1" s="568"/>
      <c r="ARP1" s="568"/>
      <c r="ARQ1" s="568"/>
      <c r="ARR1" s="568"/>
      <c r="ARS1" s="568"/>
      <c r="ART1" s="568"/>
      <c r="ARU1" s="568"/>
      <c r="ARV1" s="568"/>
      <c r="ARW1" s="568"/>
      <c r="ARX1" s="568"/>
      <c r="ARY1" s="568"/>
      <c r="ARZ1" s="568"/>
      <c r="ASA1" s="568"/>
      <c r="ASB1" s="568"/>
      <c r="ASC1" s="568"/>
      <c r="ASD1" s="568"/>
      <c r="ASE1" s="568"/>
      <c r="ASF1" s="568"/>
      <c r="ASG1" s="568"/>
      <c r="ASH1" s="568"/>
      <c r="ASI1" s="568"/>
      <c r="ASJ1" s="568"/>
      <c r="ASK1" s="568"/>
      <c r="ASL1" s="568"/>
      <c r="ASM1" s="568"/>
      <c r="ASN1" s="568"/>
      <c r="ASO1" s="568"/>
      <c r="ASP1" s="568"/>
      <c r="ASQ1" s="568"/>
      <c r="ASR1" s="568"/>
      <c r="ASS1" s="568"/>
      <c r="AST1" s="568"/>
      <c r="ASU1" s="568"/>
      <c r="ASV1" s="568"/>
      <c r="ASW1" s="568"/>
      <c r="ASX1" s="568"/>
      <c r="ASY1" s="568"/>
      <c r="ASZ1" s="568"/>
      <c r="ATA1" s="568"/>
      <c r="ATB1" s="568"/>
      <c r="ATC1" s="568"/>
      <c r="ATD1" s="568"/>
      <c r="ATE1" s="568"/>
      <c r="ATF1" s="568"/>
      <c r="ATG1" s="568"/>
      <c r="ATH1" s="568"/>
      <c r="ATI1" s="568"/>
      <c r="ATJ1" s="568"/>
      <c r="ATK1" s="568"/>
      <c r="ATL1" s="568"/>
      <c r="ATM1" s="568"/>
      <c r="ATN1" s="568"/>
      <c r="ATO1" s="568"/>
      <c r="ATP1" s="568"/>
      <c r="ATQ1" s="568"/>
      <c r="ATR1" s="568"/>
      <c r="ATS1" s="568"/>
      <c r="ATT1" s="568"/>
      <c r="ATU1" s="568"/>
      <c r="ATV1" s="568"/>
      <c r="ATW1" s="568"/>
      <c r="ATX1" s="568"/>
      <c r="ATY1" s="568"/>
      <c r="ATZ1" s="568"/>
      <c r="AUA1" s="568"/>
      <c r="AUB1" s="568"/>
      <c r="AUC1" s="568"/>
      <c r="AUD1" s="568"/>
      <c r="AUE1" s="568"/>
      <c r="AUF1" s="568"/>
      <c r="AUG1" s="568"/>
      <c r="AUH1" s="568"/>
      <c r="AUI1" s="568"/>
      <c r="AUJ1" s="568"/>
      <c r="AUK1" s="568"/>
      <c r="AUL1" s="568"/>
      <c r="AUM1" s="568"/>
      <c r="AUN1" s="568"/>
      <c r="AUO1" s="568"/>
      <c r="AUP1" s="568"/>
      <c r="AUQ1" s="568"/>
      <c r="AUR1" s="568"/>
      <c r="AUS1" s="568"/>
      <c r="AUT1" s="568"/>
      <c r="AUU1" s="568"/>
      <c r="AUV1" s="568"/>
      <c r="AUW1" s="568"/>
      <c r="AUX1" s="568"/>
      <c r="AUY1" s="568"/>
      <c r="AUZ1" s="568"/>
      <c r="AVA1" s="568"/>
      <c r="AVB1" s="568"/>
      <c r="AVC1" s="568"/>
      <c r="AVD1" s="568"/>
      <c r="AVE1" s="568"/>
      <c r="AVF1" s="568"/>
      <c r="AVG1" s="568"/>
      <c r="AVH1" s="568"/>
      <c r="AVI1" s="568"/>
      <c r="AVJ1" s="568"/>
      <c r="AVK1" s="568"/>
      <c r="AVL1" s="568"/>
      <c r="AVM1" s="568"/>
      <c r="AVN1" s="568"/>
      <c r="AVO1" s="568"/>
      <c r="AVP1" s="568"/>
      <c r="AVQ1" s="568"/>
      <c r="AVR1" s="568"/>
      <c r="AVS1" s="568"/>
      <c r="AVT1" s="568"/>
      <c r="AVU1" s="568"/>
      <c r="AVV1" s="568"/>
      <c r="AVW1" s="568"/>
      <c r="AVX1" s="568"/>
      <c r="AVY1" s="568"/>
      <c r="AVZ1" s="568"/>
      <c r="AWA1" s="568"/>
      <c r="AWB1" s="568"/>
      <c r="AWC1" s="568"/>
      <c r="AWD1" s="568"/>
      <c r="AWE1" s="568"/>
      <c r="AWF1" s="568"/>
      <c r="AWG1" s="568"/>
      <c r="AWH1" s="568"/>
      <c r="AWI1" s="568"/>
      <c r="AWJ1" s="568"/>
      <c r="AWK1" s="568"/>
      <c r="AWL1" s="568"/>
      <c r="AWM1" s="568"/>
      <c r="AWN1" s="568"/>
      <c r="AWO1" s="568"/>
      <c r="AWP1" s="568"/>
      <c r="AWQ1" s="568"/>
      <c r="AWR1" s="568"/>
      <c r="AWS1" s="568"/>
      <c r="AWT1" s="568"/>
      <c r="AWU1" s="568"/>
      <c r="AWV1" s="568"/>
      <c r="AWW1" s="568"/>
      <c r="AWX1" s="568"/>
      <c r="AWY1" s="568"/>
      <c r="AWZ1" s="568"/>
      <c r="AXA1" s="568"/>
      <c r="AXB1" s="568"/>
      <c r="AXC1" s="568"/>
      <c r="AXD1" s="568"/>
      <c r="AXE1" s="568"/>
      <c r="AXF1" s="568"/>
      <c r="AXG1" s="568"/>
      <c r="AXH1" s="568"/>
      <c r="AXI1" s="568"/>
      <c r="AXJ1" s="568"/>
      <c r="AXK1" s="568"/>
      <c r="AXL1" s="568"/>
      <c r="AXM1" s="568"/>
      <c r="AXN1" s="568"/>
      <c r="AXO1" s="568"/>
      <c r="AXP1" s="568"/>
      <c r="AXQ1" s="568"/>
      <c r="AXR1" s="568"/>
      <c r="AXS1" s="568"/>
      <c r="AXT1" s="568"/>
      <c r="AXU1" s="568"/>
      <c r="AXV1" s="568"/>
      <c r="AXW1" s="568"/>
      <c r="AXX1" s="568"/>
      <c r="AXY1" s="568"/>
      <c r="AXZ1" s="568"/>
      <c r="AYA1" s="568"/>
      <c r="AYB1" s="568"/>
      <c r="AYC1" s="568"/>
      <c r="AYD1" s="568"/>
      <c r="AYE1" s="568"/>
      <c r="AYF1" s="568"/>
      <c r="AYG1" s="568"/>
      <c r="AYH1" s="568"/>
      <c r="AYI1" s="568"/>
      <c r="AYJ1" s="568"/>
      <c r="AYK1" s="568"/>
      <c r="AYL1" s="568"/>
      <c r="AYM1" s="568"/>
      <c r="AYN1" s="568"/>
      <c r="AYO1" s="568"/>
      <c r="AYP1" s="568"/>
      <c r="AYQ1" s="568"/>
      <c r="AYR1" s="568"/>
      <c r="AYS1" s="568"/>
      <c r="AYT1" s="568"/>
      <c r="AYU1" s="568"/>
      <c r="AYV1" s="568"/>
      <c r="AYW1" s="568"/>
      <c r="AYX1" s="568"/>
      <c r="AYY1" s="568"/>
      <c r="AYZ1" s="568"/>
      <c r="AZA1" s="568"/>
      <c r="AZB1" s="568"/>
      <c r="AZC1" s="568"/>
      <c r="AZD1" s="568"/>
      <c r="AZE1" s="568"/>
      <c r="AZF1" s="568"/>
      <c r="AZG1" s="568"/>
      <c r="AZH1" s="568"/>
      <c r="AZI1" s="568"/>
      <c r="AZJ1" s="568"/>
      <c r="AZK1" s="568"/>
      <c r="AZL1" s="568"/>
      <c r="AZM1" s="568"/>
      <c r="AZN1" s="568"/>
      <c r="AZO1" s="568"/>
      <c r="AZP1" s="568"/>
      <c r="AZQ1" s="568"/>
      <c r="AZR1" s="568"/>
      <c r="AZS1" s="568"/>
      <c r="AZT1" s="568"/>
      <c r="AZU1" s="568"/>
      <c r="AZV1" s="568"/>
      <c r="AZW1" s="568"/>
      <c r="AZX1" s="568"/>
      <c r="AZY1" s="568"/>
      <c r="AZZ1" s="568"/>
      <c r="BAA1" s="568"/>
      <c r="BAB1" s="568"/>
      <c r="BAC1" s="568"/>
      <c r="BAD1" s="568"/>
      <c r="BAE1" s="568"/>
      <c r="BAF1" s="568"/>
      <c r="BAG1" s="568"/>
      <c r="BAH1" s="568"/>
      <c r="BAI1" s="568"/>
      <c r="BAJ1" s="568"/>
      <c r="BAK1" s="568"/>
      <c r="BAL1" s="568"/>
      <c r="BAM1" s="568"/>
      <c r="BAN1" s="568"/>
      <c r="BAO1" s="568"/>
      <c r="BAP1" s="568"/>
      <c r="BAQ1" s="568"/>
      <c r="BAR1" s="568"/>
      <c r="BAS1" s="568"/>
      <c r="BAT1" s="568"/>
      <c r="BAU1" s="568"/>
      <c r="BAV1" s="568"/>
      <c r="BAW1" s="568"/>
      <c r="BAX1" s="568"/>
      <c r="BAY1" s="568"/>
      <c r="BAZ1" s="568"/>
      <c r="BBA1" s="568"/>
      <c r="BBB1" s="568"/>
      <c r="BBC1" s="568"/>
      <c r="BBD1" s="568"/>
      <c r="BBE1" s="568"/>
      <c r="BBF1" s="568"/>
      <c r="BBG1" s="568"/>
      <c r="BBH1" s="568"/>
      <c r="BBI1" s="568"/>
      <c r="BBJ1" s="568"/>
      <c r="BBK1" s="568"/>
      <c r="BBL1" s="568"/>
      <c r="BBM1" s="568"/>
      <c r="BBN1" s="568"/>
      <c r="BBO1" s="568"/>
      <c r="BBP1" s="568"/>
      <c r="BBQ1" s="568"/>
      <c r="BBR1" s="568"/>
      <c r="BBS1" s="568"/>
      <c r="BBT1" s="568"/>
      <c r="BBU1" s="568"/>
      <c r="BBV1" s="568"/>
      <c r="BBW1" s="568"/>
      <c r="BBX1" s="568"/>
      <c r="BBY1" s="568"/>
      <c r="BBZ1" s="568"/>
      <c r="BCA1" s="568"/>
      <c r="BCB1" s="568"/>
      <c r="BCC1" s="568"/>
      <c r="BCD1" s="568"/>
      <c r="BCE1" s="568"/>
      <c r="BCF1" s="568"/>
      <c r="BCG1" s="568"/>
      <c r="BCH1" s="568"/>
      <c r="BCI1" s="568"/>
      <c r="BCJ1" s="568"/>
      <c r="BCK1" s="568"/>
      <c r="BCL1" s="568"/>
      <c r="BCM1" s="568"/>
      <c r="BCN1" s="568"/>
      <c r="BCO1" s="568"/>
      <c r="BCP1" s="568"/>
      <c r="BCQ1" s="568"/>
      <c r="BCR1" s="568"/>
      <c r="BCS1" s="568"/>
      <c r="BCT1" s="568"/>
      <c r="BCU1" s="568"/>
      <c r="BCV1" s="568"/>
      <c r="BCW1" s="568"/>
      <c r="BCX1" s="568"/>
      <c r="BCY1" s="568"/>
      <c r="BCZ1" s="568"/>
      <c r="BDA1" s="568"/>
      <c r="BDB1" s="568"/>
      <c r="BDC1" s="568"/>
      <c r="BDD1" s="568"/>
      <c r="BDE1" s="568"/>
      <c r="BDF1" s="568"/>
      <c r="BDG1" s="568"/>
      <c r="BDH1" s="568"/>
      <c r="BDI1" s="568"/>
      <c r="BDJ1" s="568"/>
      <c r="BDK1" s="568"/>
      <c r="BDL1" s="568"/>
      <c r="BDM1" s="568"/>
      <c r="BDN1" s="568"/>
      <c r="BDO1" s="568"/>
      <c r="BDP1" s="568"/>
      <c r="BDQ1" s="568"/>
      <c r="BDR1" s="568"/>
      <c r="BDS1" s="568"/>
      <c r="BDT1" s="568"/>
      <c r="BDU1" s="568"/>
      <c r="BDV1" s="568"/>
      <c r="BDW1" s="568"/>
      <c r="BDX1" s="568"/>
      <c r="BDY1" s="568"/>
      <c r="BDZ1" s="568"/>
      <c r="BEA1" s="568"/>
      <c r="BEB1" s="568"/>
      <c r="BEC1" s="568"/>
      <c r="BED1" s="568"/>
      <c r="BEE1" s="568"/>
      <c r="BEF1" s="568"/>
      <c r="BEG1" s="568"/>
      <c r="BEH1" s="568"/>
      <c r="BEI1" s="568"/>
      <c r="BEJ1" s="568"/>
      <c r="BEK1" s="568"/>
      <c r="BEL1" s="568"/>
      <c r="BEM1" s="568"/>
      <c r="BEN1" s="568"/>
      <c r="BEO1" s="568"/>
      <c r="BEP1" s="568"/>
      <c r="BEQ1" s="568"/>
      <c r="BER1" s="568"/>
      <c r="BES1" s="568"/>
      <c r="BET1" s="568"/>
      <c r="BEU1" s="568"/>
      <c r="BEV1" s="568"/>
      <c r="BEW1" s="568"/>
      <c r="BEX1" s="568"/>
      <c r="BEY1" s="568"/>
      <c r="BEZ1" s="568"/>
      <c r="BFA1" s="568"/>
      <c r="BFB1" s="568"/>
      <c r="BFC1" s="568"/>
      <c r="BFD1" s="568"/>
      <c r="BFE1" s="568"/>
      <c r="BFF1" s="568"/>
      <c r="BFG1" s="568"/>
      <c r="BFH1" s="568"/>
      <c r="BFI1" s="568"/>
      <c r="BFJ1" s="568"/>
      <c r="BFK1" s="568"/>
      <c r="BFL1" s="568"/>
      <c r="BFM1" s="568"/>
      <c r="BFN1" s="568"/>
      <c r="BFO1" s="568"/>
      <c r="BFP1" s="568"/>
      <c r="BFQ1" s="568"/>
      <c r="BFR1" s="568"/>
      <c r="BFS1" s="568"/>
      <c r="BFT1" s="568"/>
      <c r="BFU1" s="568"/>
      <c r="BFV1" s="568"/>
      <c r="BFW1" s="568"/>
      <c r="BFX1" s="568"/>
      <c r="BFY1" s="568"/>
      <c r="BFZ1" s="568"/>
      <c r="BGA1" s="568"/>
      <c r="BGB1" s="568"/>
      <c r="BGC1" s="568"/>
      <c r="BGD1" s="568"/>
      <c r="BGE1" s="568"/>
      <c r="BGF1" s="568"/>
      <c r="BGG1" s="568"/>
      <c r="BGH1" s="568"/>
      <c r="BGI1" s="568"/>
      <c r="BGJ1" s="568"/>
      <c r="BGK1" s="568"/>
      <c r="BGL1" s="568"/>
      <c r="BGM1" s="568"/>
      <c r="BGN1" s="568"/>
      <c r="BGO1" s="568"/>
      <c r="BGP1" s="568"/>
      <c r="BGQ1" s="568"/>
      <c r="BGR1" s="568"/>
      <c r="BGS1" s="568"/>
      <c r="BGT1" s="568"/>
      <c r="BGU1" s="568"/>
      <c r="BGV1" s="568"/>
      <c r="BGW1" s="568"/>
      <c r="BGX1" s="568"/>
      <c r="BGY1" s="568"/>
      <c r="BGZ1" s="568"/>
      <c r="BHA1" s="568"/>
      <c r="BHB1" s="568"/>
      <c r="BHC1" s="568"/>
      <c r="BHD1" s="568"/>
      <c r="BHE1" s="568"/>
      <c r="BHF1" s="568"/>
      <c r="BHG1" s="568"/>
      <c r="BHH1" s="568"/>
      <c r="BHI1" s="568"/>
      <c r="BHJ1" s="568"/>
      <c r="BHK1" s="568"/>
      <c r="BHL1" s="568"/>
      <c r="BHM1" s="568"/>
      <c r="BHN1" s="568"/>
      <c r="BHO1" s="568"/>
      <c r="BHP1" s="568"/>
      <c r="BHQ1" s="568"/>
      <c r="BHR1" s="568"/>
      <c r="BHS1" s="568"/>
      <c r="BHT1" s="568"/>
      <c r="BHU1" s="568"/>
      <c r="BHV1" s="568"/>
      <c r="BHW1" s="568"/>
      <c r="BHX1" s="568"/>
      <c r="BHY1" s="568"/>
      <c r="BHZ1" s="568"/>
      <c r="BIA1" s="568"/>
      <c r="BIB1" s="568"/>
      <c r="BIC1" s="568"/>
      <c r="BID1" s="568"/>
      <c r="BIE1" s="568"/>
      <c r="BIF1" s="568"/>
      <c r="BIG1" s="568"/>
      <c r="BIH1" s="568"/>
      <c r="BII1" s="568"/>
      <c r="BIJ1" s="568"/>
      <c r="BIK1" s="568"/>
      <c r="BIL1" s="568"/>
      <c r="BIM1" s="568"/>
      <c r="BIN1" s="568"/>
      <c r="BIO1" s="568"/>
      <c r="BIP1" s="568"/>
      <c r="BIQ1" s="568"/>
      <c r="BIR1" s="568"/>
      <c r="BIS1" s="568"/>
      <c r="BIT1" s="568"/>
      <c r="BIU1" s="568"/>
      <c r="BIV1" s="568"/>
      <c r="BIW1" s="568"/>
      <c r="BIX1" s="568"/>
      <c r="BIY1" s="568"/>
      <c r="BIZ1" s="568"/>
      <c r="BJA1" s="568"/>
      <c r="BJB1" s="568"/>
      <c r="BJC1" s="568"/>
      <c r="BJD1" s="568"/>
      <c r="BJE1" s="568"/>
      <c r="BJF1" s="568"/>
      <c r="BJG1" s="568"/>
      <c r="BJH1" s="568"/>
      <c r="BJI1" s="568"/>
      <c r="BJJ1" s="568"/>
      <c r="BJK1" s="568"/>
      <c r="BJL1" s="568"/>
      <c r="BJM1" s="568"/>
      <c r="BJN1" s="568"/>
      <c r="BJO1" s="568"/>
      <c r="BJP1" s="568"/>
      <c r="BJQ1" s="568"/>
      <c r="BJR1" s="568"/>
      <c r="BJS1" s="568"/>
      <c r="BJT1" s="568"/>
      <c r="BJU1" s="568"/>
      <c r="BJV1" s="568"/>
      <c r="BJW1" s="568"/>
      <c r="BJX1" s="568"/>
      <c r="BJY1" s="568"/>
      <c r="BJZ1" s="568"/>
      <c r="BKA1" s="568"/>
      <c r="BKB1" s="568"/>
      <c r="BKC1" s="568"/>
      <c r="BKD1" s="568"/>
      <c r="BKE1" s="568"/>
      <c r="BKF1" s="568"/>
      <c r="BKG1" s="568"/>
      <c r="BKH1" s="568"/>
      <c r="BKI1" s="568"/>
      <c r="BKJ1" s="568"/>
      <c r="BKK1" s="568"/>
      <c r="BKL1" s="568"/>
      <c r="BKM1" s="568"/>
      <c r="BKN1" s="568"/>
      <c r="BKO1" s="568"/>
      <c r="BKP1" s="568"/>
      <c r="BKQ1" s="568"/>
      <c r="BKR1" s="568"/>
      <c r="BKS1" s="568"/>
      <c r="BKT1" s="568"/>
      <c r="BKU1" s="568"/>
      <c r="BKV1" s="568"/>
      <c r="BKW1" s="568"/>
      <c r="BKX1" s="568"/>
      <c r="BKY1" s="568"/>
      <c r="BKZ1" s="568"/>
      <c r="BLA1" s="568"/>
      <c r="BLB1" s="568"/>
      <c r="BLC1" s="568"/>
      <c r="BLD1" s="568"/>
      <c r="BLE1" s="568"/>
      <c r="BLF1" s="568"/>
      <c r="BLG1" s="568"/>
      <c r="BLH1" s="568"/>
      <c r="BLI1" s="568"/>
      <c r="BLJ1" s="568"/>
      <c r="BLK1" s="568"/>
      <c r="BLL1" s="568"/>
      <c r="BLM1" s="568"/>
      <c r="BLN1" s="568"/>
      <c r="BLO1" s="568"/>
      <c r="BLP1" s="568"/>
      <c r="BLQ1" s="568"/>
      <c r="BLR1" s="568"/>
      <c r="BLS1" s="568"/>
      <c r="BLT1" s="568"/>
      <c r="BLU1" s="568"/>
      <c r="BLV1" s="568"/>
      <c r="BLW1" s="568"/>
      <c r="BLX1" s="568"/>
      <c r="BLY1" s="568"/>
      <c r="BLZ1" s="568"/>
      <c r="BMA1" s="568"/>
      <c r="BMB1" s="568"/>
      <c r="BMC1" s="568"/>
      <c r="BMD1" s="568"/>
      <c r="BME1" s="568"/>
      <c r="BMF1" s="568"/>
      <c r="BMG1" s="568"/>
      <c r="BMH1" s="568"/>
      <c r="BMI1" s="568"/>
      <c r="BMJ1" s="568"/>
      <c r="BMK1" s="568"/>
      <c r="BML1" s="568"/>
      <c r="BMM1" s="568"/>
      <c r="BMN1" s="568"/>
      <c r="BMO1" s="568"/>
      <c r="BMP1" s="568"/>
      <c r="BMQ1" s="568"/>
      <c r="BMR1" s="568"/>
      <c r="BMS1" s="568"/>
      <c r="BMT1" s="568"/>
      <c r="BMU1" s="568"/>
      <c r="BMV1" s="568"/>
      <c r="BMW1" s="568"/>
      <c r="BMX1" s="568"/>
      <c r="BMY1" s="568"/>
      <c r="BMZ1" s="568"/>
      <c r="BNA1" s="568"/>
      <c r="BNB1" s="568"/>
      <c r="BNC1" s="568"/>
      <c r="BND1" s="568"/>
      <c r="BNE1" s="568"/>
      <c r="BNF1" s="568"/>
      <c r="BNG1" s="568"/>
      <c r="BNH1" s="568"/>
      <c r="BNI1" s="568"/>
      <c r="BNJ1" s="568"/>
      <c r="BNK1" s="568"/>
      <c r="BNL1" s="568"/>
      <c r="BNM1" s="568"/>
      <c r="BNN1" s="568"/>
      <c r="BNO1" s="568"/>
      <c r="BNP1" s="568"/>
      <c r="BNQ1" s="568"/>
      <c r="BNR1" s="568"/>
      <c r="BNS1" s="568"/>
      <c r="BNT1" s="568"/>
      <c r="BNU1" s="568"/>
      <c r="BNV1" s="568"/>
      <c r="BNW1" s="568"/>
      <c r="BNX1" s="568"/>
      <c r="BNY1" s="568"/>
      <c r="BNZ1" s="568"/>
      <c r="BOA1" s="568"/>
      <c r="BOB1" s="568"/>
      <c r="BOC1" s="568"/>
      <c r="BOD1" s="568"/>
      <c r="BOE1" s="568"/>
      <c r="BOF1" s="568"/>
      <c r="BOG1" s="568"/>
      <c r="BOH1" s="568"/>
      <c r="BOI1" s="568"/>
      <c r="BOJ1" s="568"/>
      <c r="BOK1" s="568"/>
      <c r="BOL1" s="568"/>
      <c r="BOM1" s="568"/>
      <c r="BON1" s="568"/>
      <c r="BOO1" s="568"/>
      <c r="BOP1" s="568"/>
      <c r="BOQ1" s="568"/>
      <c r="BOR1" s="568"/>
      <c r="BOS1" s="568"/>
      <c r="BOT1" s="568"/>
      <c r="BOU1" s="568"/>
      <c r="BOV1" s="568"/>
      <c r="BOW1" s="568"/>
      <c r="BOX1" s="568"/>
      <c r="BOY1" s="568"/>
      <c r="BOZ1" s="568"/>
      <c r="BPA1" s="568"/>
      <c r="BPB1" s="568"/>
      <c r="BPC1" s="568"/>
      <c r="BPD1" s="568"/>
      <c r="BPE1" s="568"/>
      <c r="BPF1" s="568"/>
      <c r="BPG1" s="568"/>
      <c r="BPH1" s="568"/>
      <c r="BPI1" s="568"/>
      <c r="BPJ1" s="568"/>
      <c r="BPK1" s="568"/>
      <c r="BPL1" s="568"/>
      <c r="BPM1" s="568"/>
      <c r="BPN1" s="568"/>
      <c r="BPO1" s="568"/>
      <c r="BPP1" s="568"/>
      <c r="BPQ1" s="568"/>
      <c r="BPR1" s="568"/>
      <c r="BPS1" s="568"/>
      <c r="BPT1" s="568"/>
      <c r="BPU1" s="568"/>
      <c r="BPV1" s="568"/>
      <c r="BPW1" s="568"/>
      <c r="BPX1" s="568"/>
      <c r="BPY1" s="568"/>
      <c r="BPZ1" s="568"/>
      <c r="BQA1" s="568"/>
      <c r="BQB1" s="568"/>
      <c r="BQC1" s="568"/>
      <c r="BQD1" s="568"/>
      <c r="BQE1" s="568"/>
      <c r="BQF1" s="568"/>
      <c r="BQG1" s="568"/>
      <c r="BQH1" s="568"/>
      <c r="BQI1" s="568"/>
      <c r="BQJ1" s="568"/>
      <c r="BQK1" s="568"/>
      <c r="BQL1" s="568"/>
      <c r="BQM1" s="568"/>
      <c r="BQN1" s="568"/>
      <c r="BQO1" s="568"/>
      <c r="BQP1" s="568"/>
      <c r="BQQ1" s="568"/>
      <c r="BQR1" s="568"/>
      <c r="BQS1" s="568"/>
      <c r="BQT1" s="568"/>
      <c r="BQU1" s="568"/>
      <c r="BQV1" s="568"/>
      <c r="BQW1" s="568"/>
      <c r="BQX1" s="568"/>
      <c r="BQY1" s="568"/>
      <c r="BQZ1" s="568"/>
      <c r="BRA1" s="568"/>
      <c r="BRB1" s="568"/>
      <c r="BRC1" s="568"/>
      <c r="BRD1" s="568"/>
      <c r="BRE1" s="568"/>
      <c r="BRF1" s="568"/>
      <c r="BRG1" s="568"/>
      <c r="BRH1" s="568"/>
      <c r="BRI1" s="568"/>
      <c r="BRJ1" s="568"/>
      <c r="BRK1" s="568"/>
      <c r="BRL1" s="568"/>
      <c r="BRM1" s="568"/>
      <c r="BRN1" s="568"/>
      <c r="BRO1" s="568"/>
      <c r="BRP1" s="568"/>
      <c r="BRQ1" s="568"/>
      <c r="BRR1" s="568"/>
      <c r="BRS1" s="568"/>
      <c r="BRT1" s="568"/>
      <c r="BRU1" s="568"/>
      <c r="BRV1" s="568"/>
      <c r="BRW1" s="568"/>
      <c r="BRX1" s="568"/>
      <c r="BRY1" s="568"/>
      <c r="BRZ1" s="568"/>
      <c r="BSA1" s="568"/>
      <c r="BSB1" s="568"/>
      <c r="BSC1" s="568"/>
      <c r="BSD1" s="568"/>
      <c r="BSE1" s="568"/>
      <c r="BSF1" s="568"/>
      <c r="BSG1" s="568"/>
      <c r="BSH1" s="568"/>
      <c r="BSI1" s="568"/>
      <c r="BSJ1" s="568"/>
      <c r="BSK1" s="568"/>
      <c r="BSL1" s="568"/>
      <c r="BSM1" s="568"/>
      <c r="BSN1" s="568"/>
      <c r="BSO1" s="568"/>
      <c r="BSP1" s="568"/>
      <c r="BSQ1" s="568"/>
      <c r="BSR1" s="568"/>
      <c r="BSS1" s="568"/>
      <c r="BST1" s="568"/>
      <c r="BSU1" s="568"/>
      <c r="BSV1" s="568"/>
      <c r="BSW1" s="568"/>
      <c r="BSX1" s="568"/>
      <c r="BSY1" s="568"/>
      <c r="BSZ1" s="568"/>
      <c r="BTA1" s="568"/>
      <c r="BTB1" s="568"/>
      <c r="BTC1" s="568"/>
      <c r="BTD1" s="568"/>
      <c r="BTE1" s="568"/>
      <c r="BTF1" s="568"/>
      <c r="BTG1" s="568"/>
      <c r="BTH1" s="568"/>
      <c r="BTI1" s="568"/>
      <c r="BTJ1" s="568"/>
      <c r="BTK1" s="568"/>
      <c r="BTL1" s="568"/>
      <c r="BTM1" s="568"/>
      <c r="BTN1" s="568"/>
      <c r="BTO1" s="568"/>
      <c r="BTP1" s="568"/>
      <c r="BTQ1" s="568"/>
      <c r="BTR1" s="568"/>
      <c r="BTS1" s="568"/>
      <c r="BTT1" s="568"/>
      <c r="BTU1" s="568"/>
      <c r="BTV1" s="568"/>
      <c r="BTW1" s="568"/>
      <c r="BTX1" s="568"/>
      <c r="BTY1" s="568"/>
      <c r="BTZ1" s="568"/>
      <c r="BUA1" s="568"/>
      <c r="BUB1" s="568"/>
      <c r="BUC1" s="568"/>
      <c r="BUD1" s="568"/>
      <c r="BUE1" s="568"/>
      <c r="BUF1" s="568"/>
      <c r="BUG1" s="568"/>
      <c r="BUH1" s="568"/>
      <c r="BUI1" s="568"/>
      <c r="BUJ1" s="568"/>
      <c r="BUK1" s="568"/>
      <c r="BUL1" s="568"/>
      <c r="BUM1" s="568"/>
      <c r="BUN1" s="568"/>
      <c r="BUO1" s="568"/>
      <c r="BUP1" s="568"/>
      <c r="BUQ1" s="568"/>
      <c r="BUR1" s="568"/>
      <c r="BUS1" s="568"/>
      <c r="BUT1" s="568"/>
      <c r="BUU1" s="568"/>
      <c r="BUV1" s="568"/>
      <c r="BUW1" s="568"/>
      <c r="BUX1" s="568"/>
      <c r="BUY1" s="568"/>
      <c r="BUZ1" s="568"/>
      <c r="BVA1" s="568"/>
      <c r="BVB1" s="568"/>
      <c r="BVC1" s="568"/>
      <c r="BVD1" s="568"/>
      <c r="BVE1" s="568"/>
      <c r="BVF1" s="568"/>
      <c r="BVG1" s="568"/>
      <c r="BVH1" s="568"/>
      <c r="BVI1" s="568"/>
      <c r="BVJ1" s="568"/>
      <c r="BVK1" s="568"/>
      <c r="BVL1" s="568"/>
      <c r="BVM1" s="568"/>
      <c r="BVN1" s="568"/>
      <c r="BVO1" s="568"/>
      <c r="BVP1" s="568"/>
      <c r="BVQ1" s="568"/>
      <c r="BVR1" s="568"/>
      <c r="BVS1" s="568"/>
      <c r="BVT1" s="568"/>
      <c r="BVU1" s="568"/>
      <c r="BVV1" s="568"/>
      <c r="BVW1" s="568"/>
      <c r="BVX1" s="568"/>
      <c r="BVY1" s="568"/>
      <c r="BVZ1" s="568"/>
      <c r="BWA1" s="568"/>
      <c r="BWB1" s="568"/>
      <c r="BWC1" s="568"/>
      <c r="BWD1" s="568"/>
      <c r="BWE1" s="568"/>
      <c r="BWF1" s="568"/>
      <c r="BWG1" s="568"/>
      <c r="BWH1" s="568"/>
      <c r="BWI1" s="568"/>
      <c r="BWJ1" s="568"/>
      <c r="BWK1" s="568"/>
      <c r="BWL1" s="568"/>
      <c r="BWM1" s="568"/>
      <c r="BWN1" s="568"/>
      <c r="BWO1" s="568"/>
      <c r="BWP1" s="568"/>
      <c r="BWQ1" s="568"/>
      <c r="BWR1" s="568"/>
      <c r="BWS1" s="568"/>
      <c r="BWT1" s="568"/>
      <c r="BWU1" s="568"/>
      <c r="BWV1" s="568"/>
      <c r="BWW1" s="568"/>
      <c r="BWX1" s="568"/>
      <c r="BWY1" s="568"/>
      <c r="BWZ1" s="568"/>
      <c r="BXA1" s="568"/>
      <c r="BXB1" s="568"/>
      <c r="BXC1" s="568"/>
      <c r="BXD1" s="568"/>
      <c r="BXE1" s="568"/>
      <c r="BXF1" s="568"/>
      <c r="BXG1" s="568"/>
      <c r="BXH1" s="568"/>
      <c r="BXI1" s="568"/>
      <c r="BXJ1" s="568"/>
      <c r="BXK1" s="568"/>
      <c r="BXL1" s="568"/>
      <c r="BXM1" s="568"/>
      <c r="BXN1" s="568"/>
      <c r="BXO1" s="568"/>
      <c r="BXP1" s="568"/>
      <c r="BXQ1" s="568"/>
      <c r="BXR1" s="568"/>
      <c r="BXS1" s="568"/>
      <c r="BXT1" s="568"/>
      <c r="BXU1" s="568"/>
      <c r="BXV1" s="568"/>
      <c r="BXW1" s="568"/>
      <c r="BXX1" s="568"/>
      <c r="BXY1" s="568"/>
      <c r="BXZ1" s="568"/>
      <c r="BYA1" s="568"/>
      <c r="BYB1" s="568"/>
      <c r="BYC1" s="568"/>
      <c r="BYD1" s="568"/>
      <c r="BYE1" s="568"/>
      <c r="BYF1" s="568"/>
      <c r="BYG1" s="568"/>
      <c r="BYH1" s="568"/>
      <c r="BYI1" s="568"/>
      <c r="BYJ1" s="568"/>
      <c r="BYK1" s="568"/>
      <c r="BYL1" s="568"/>
      <c r="BYM1" s="568"/>
      <c r="BYN1" s="568"/>
      <c r="BYO1" s="568"/>
      <c r="BYP1" s="568"/>
      <c r="BYQ1" s="568"/>
      <c r="BYR1" s="568"/>
      <c r="BYS1" s="568"/>
      <c r="BYT1" s="568"/>
      <c r="BYU1" s="568"/>
      <c r="BYV1" s="568"/>
      <c r="BYW1" s="568"/>
      <c r="BYX1" s="568"/>
      <c r="BYY1" s="568"/>
      <c r="BYZ1" s="568"/>
      <c r="BZA1" s="568"/>
      <c r="BZB1" s="568"/>
      <c r="BZC1" s="568"/>
      <c r="BZD1" s="568"/>
      <c r="BZE1" s="568"/>
      <c r="BZF1" s="568"/>
      <c r="BZG1" s="568"/>
      <c r="BZH1" s="568"/>
      <c r="BZI1" s="568"/>
      <c r="BZJ1" s="568"/>
      <c r="BZK1" s="568"/>
      <c r="BZL1" s="568"/>
      <c r="BZM1" s="568"/>
      <c r="BZN1" s="568"/>
      <c r="BZO1" s="568"/>
      <c r="BZP1" s="568"/>
      <c r="BZQ1" s="568"/>
      <c r="BZR1" s="568"/>
      <c r="BZS1" s="568"/>
      <c r="BZT1" s="568"/>
      <c r="BZU1" s="568"/>
      <c r="BZV1" s="568"/>
      <c r="BZW1" s="568"/>
      <c r="BZX1" s="568"/>
      <c r="BZY1" s="568"/>
      <c r="BZZ1" s="568"/>
      <c r="CAA1" s="568"/>
      <c r="CAB1" s="568"/>
      <c r="CAC1" s="568"/>
      <c r="CAD1" s="568"/>
      <c r="CAE1" s="568"/>
      <c r="CAF1" s="568"/>
      <c r="CAG1" s="568"/>
      <c r="CAH1" s="568"/>
      <c r="CAI1" s="568"/>
      <c r="CAJ1" s="568"/>
      <c r="CAK1" s="568"/>
      <c r="CAL1" s="568"/>
      <c r="CAM1" s="568"/>
      <c r="CAN1" s="568"/>
      <c r="CAO1" s="568"/>
      <c r="CAP1" s="568"/>
      <c r="CAQ1" s="568"/>
      <c r="CAR1" s="568"/>
      <c r="CAS1" s="568"/>
      <c r="CAT1" s="568"/>
      <c r="CAU1" s="568"/>
      <c r="CAV1" s="568"/>
      <c r="CAW1" s="568"/>
      <c r="CAX1" s="568"/>
      <c r="CAY1" s="568"/>
      <c r="CAZ1" s="568"/>
      <c r="CBA1" s="568"/>
      <c r="CBB1" s="568"/>
      <c r="CBC1" s="568"/>
      <c r="CBD1" s="568"/>
      <c r="CBE1" s="568"/>
      <c r="CBF1" s="568"/>
      <c r="CBG1" s="568"/>
      <c r="CBH1" s="568"/>
      <c r="CBI1" s="568"/>
      <c r="CBJ1" s="568"/>
      <c r="CBK1" s="568"/>
      <c r="CBL1" s="568"/>
      <c r="CBM1" s="568"/>
      <c r="CBN1" s="568"/>
      <c r="CBO1" s="568"/>
      <c r="CBP1" s="568"/>
      <c r="CBQ1" s="568"/>
      <c r="CBR1" s="568"/>
      <c r="CBS1" s="568"/>
      <c r="CBT1" s="568"/>
      <c r="CBU1" s="568"/>
      <c r="CBV1" s="568"/>
      <c r="CBW1" s="568"/>
      <c r="CBX1" s="568"/>
      <c r="CBY1" s="568"/>
      <c r="CBZ1" s="568"/>
      <c r="CCA1" s="568"/>
      <c r="CCB1" s="568"/>
      <c r="CCC1" s="568"/>
      <c r="CCD1" s="568"/>
      <c r="CCE1" s="568"/>
      <c r="CCF1" s="568"/>
      <c r="CCG1" s="568"/>
      <c r="CCH1" s="568"/>
      <c r="CCI1" s="568"/>
      <c r="CCJ1" s="568"/>
      <c r="CCK1" s="568"/>
      <c r="CCL1" s="568"/>
      <c r="CCM1" s="568"/>
      <c r="CCN1" s="568"/>
      <c r="CCO1" s="568"/>
      <c r="CCP1" s="568"/>
      <c r="CCQ1" s="568"/>
      <c r="CCR1" s="568"/>
      <c r="CCS1" s="568"/>
      <c r="CCT1" s="568"/>
      <c r="CCU1" s="568"/>
      <c r="CCV1" s="568"/>
      <c r="CCW1" s="568"/>
      <c r="CCX1" s="568"/>
      <c r="CCY1" s="568"/>
      <c r="CCZ1" s="568"/>
      <c r="CDA1" s="568"/>
      <c r="CDB1" s="568"/>
      <c r="CDC1" s="568"/>
      <c r="CDD1" s="568"/>
      <c r="CDE1" s="568"/>
      <c r="CDF1" s="568"/>
      <c r="CDG1" s="568"/>
      <c r="CDH1" s="568"/>
      <c r="CDI1" s="568"/>
      <c r="CDJ1" s="568"/>
      <c r="CDK1" s="568"/>
      <c r="CDL1" s="568"/>
      <c r="CDM1" s="568"/>
      <c r="CDN1" s="568"/>
      <c r="CDO1" s="568"/>
      <c r="CDP1" s="568"/>
      <c r="CDQ1" s="568"/>
      <c r="CDR1" s="568"/>
      <c r="CDS1" s="568"/>
      <c r="CDT1" s="568"/>
      <c r="CDU1" s="568"/>
      <c r="CDV1" s="568"/>
      <c r="CDW1" s="568"/>
      <c r="CDX1" s="568"/>
      <c r="CDY1" s="568"/>
      <c r="CDZ1" s="568"/>
      <c r="CEA1" s="568"/>
      <c r="CEB1" s="568"/>
      <c r="CEC1" s="568"/>
      <c r="CED1" s="568"/>
      <c r="CEE1" s="568"/>
      <c r="CEF1" s="568"/>
      <c r="CEG1" s="568"/>
      <c r="CEH1" s="568"/>
      <c r="CEI1" s="568"/>
      <c r="CEJ1" s="568"/>
      <c r="CEK1" s="568"/>
      <c r="CEL1" s="568"/>
      <c r="CEM1" s="568"/>
      <c r="CEN1" s="568"/>
      <c r="CEO1" s="568"/>
      <c r="CEP1" s="568"/>
      <c r="CEQ1" s="568"/>
      <c r="CER1" s="568"/>
      <c r="CES1" s="568"/>
      <c r="CET1" s="568"/>
      <c r="CEU1" s="568"/>
      <c r="CEV1" s="568"/>
      <c r="CEW1" s="568"/>
      <c r="CEX1" s="568"/>
      <c r="CEY1" s="568"/>
      <c r="CEZ1" s="568"/>
      <c r="CFA1" s="568"/>
      <c r="CFB1" s="568"/>
      <c r="CFC1" s="568"/>
      <c r="CFD1" s="568"/>
      <c r="CFE1" s="568"/>
      <c r="CFF1" s="568"/>
      <c r="CFG1" s="568"/>
      <c r="CFH1" s="568"/>
      <c r="CFI1" s="568"/>
      <c r="CFJ1" s="568"/>
      <c r="CFK1" s="568"/>
      <c r="CFL1" s="568"/>
      <c r="CFM1" s="568"/>
      <c r="CFN1" s="568"/>
      <c r="CFO1" s="568"/>
      <c r="CFP1" s="568"/>
      <c r="CFQ1" s="568"/>
      <c r="CFR1" s="568"/>
      <c r="CFS1" s="568"/>
      <c r="CFT1" s="568"/>
      <c r="CFU1" s="568"/>
      <c r="CFV1" s="568"/>
      <c r="CFW1" s="568"/>
      <c r="CFX1" s="568"/>
      <c r="CFY1" s="568"/>
      <c r="CFZ1" s="568"/>
      <c r="CGA1" s="568"/>
      <c r="CGB1" s="568"/>
      <c r="CGC1" s="568"/>
      <c r="CGD1" s="568"/>
      <c r="CGE1" s="568"/>
      <c r="CGF1" s="568"/>
      <c r="CGG1" s="568"/>
      <c r="CGH1" s="568"/>
      <c r="CGI1" s="568"/>
      <c r="CGJ1" s="568"/>
      <c r="CGK1" s="568"/>
      <c r="CGL1" s="568"/>
      <c r="CGM1" s="568"/>
      <c r="CGN1" s="568"/>
      <c r="CGO1" s="568"/>
      <c r="CGP1" s="568"/>
      <c r="CGQ1" s="568"/>
      <c r="CGR1" s="568"/>
      <c r="CGS1" s="568"/>
      <c r="CGT1" s="568"/>
      <c r="CGU1" s="568"/>
      <c r="CGV1" s="568"/>
      <c r="CGW1" s="568"/>
      <c r="CGX1" s="568"/>
      <c r="CGY1" s="568"/>
      <c r="CGZ1" s="568"/>
      <c r="CHA1" s="568"/>
      <c r="CHB1" s="568"/>
      <c r="CHC1" s="568"/>
      <c r="CHD1" s="568"/>
      <c r="CHE1" s="568"/>
      <c r="CHF1" s="568"/>
      <c r="CHG1" s="568"/>
      <c r="CHH1" s="568"/>
      <c r="CHI1" s="568"/>
      <c r="CHJ1" s="568"/>
      <c r="CHK1" s="568"/>
      <c r="CHL1" s="568"/>
      <c r="CHM1" s="568"/>
      <c r="CHN1" s="568"/>
      <c r="CHO1" s="568"/>
      <c r="CHP1" s="568"/>
      <c r="CHQ1" s="568"/>
      <c r="CHR1" s="568"/>
      <c r="CHS1" s="568"/>
      <c r="CHT1" s="568"/>
      <c r="CHU1" s="568"/>
      <c r="CHV1" s="568"/>
      <c r="CHW1" s="568"/>
      <c r="CHX1" s="568"/>
      <c r="CHY1" s="568"/>
      <c r="CHZ1" s="568"/>
      <c r="CIA1" s="568"/>
      <c r="CIB1" s="568"/>
      <c r="CIC1" s="568"/>
      <c r="CID1" s="568"/>
      <c r="CIE1" s="568"/>
      <c r="CIF1" s="568"/>
      <c r="CIG1" s="568"/>
      <c r="CIH1" s="568"/>
      <c r="CII1" s="568"/>
      <c r="CIJ1" s="568"/>
      <c r="CIK1" s="568"/>
      <c r="CIL1" s="568"/>
      <c r="CIM1" s="568"/>
      <c r="CIN1" s="568"/>
      <c r="CIO1" s="568"/>
      <c r="CIP1" s="568"/>
      <c r="CIQ1" s="568"/>
      <c r="CIR1" s="568"/>
      <c r="CIS1" s="568"/>
      <c r="CIT1" s="568"/>
      <c r="CIU1" s="568"/>
      <c r="CIV1" s="568"/>
      <c r="CIW1" s="568"/>
      <c r="CIX1" s="568"/>
      <c r="CIY1" s="568"/>
      <c r="CIZ1" s="568"/>
      <c r="CJA1" s="568"/>
      <c r="CJB1" s="568"/>
      <c r="CJC1" s="568"/>
      <c r="CJD1" s="568"/>
      <c r="CJE1" s="568"/>
      <c r="CJF1" s="568"/>
      <c r="CJG1" s="568"/>
      <c r="CJH1" s="568"/>
      <c r="CJI1" s="568"/>
      <c r="CJJ1" s="568"/>
      <c r="CJK1" s="568"/>
      <c r="CJL1" s="568"/>
      <c r="CJM1" s="568"/>
      <c r="CJN1" s="568"/>
      <c r="CJO1" s="568"/>
      <c r="CJP1" s="568"/>
      <c r="CJQ1" s="568"/>
      <c r="CJR1" s="568"/>
      <c r="CJS1" s="568"/>
      <c r="CJT1" s="568"/>
      <c r="CJU1" s="568"/>
      <c r="CJV1" s="568"/>
      <c r="CJW1" s="568"/>
      <c r="CJX1" s="568"/>
      <c r="CJY1" s="568"/>
      <c r="CJZ1" s="568"/>
      <c r="CKA1" s="568"/>
      <c r="CKB1" s="568"/>
      <c r="CKC1" s="568"/>
      <c r="CKD1" s="568"/>
      <c r="CKE1" s="568"/>
      <c r="CKF1" s="568"/>
      <c r="CKG1" s="568"/>
      <c r="CKH1" s="568"/>
      <c r="CKI1" s="568"/>
      <c r="CKJ1" s="568"/>
      <c r="CKK1" s="568"/>
      <c r="CKL1" s="568"/>
      <c r="CKM1" s="568"/>
      <c r="CKN1" s="568"/>
      <c r="CKO1" s="568"/>
      <c r="CKP1" s="568"/>
      <c r="CKQ1" s="568"/>
      <c r="CKR1" s="568"/>
      <c r="CKS1" s="568"/>
      <c r="CKT1" s="568"/>
      <c r="CKU1" s="568"/>
      <c r="CKV1" s="568"/>
      <c r="CKW1" s="568"/>
      <c r="CKX1" s="568"/>
      <c r="CKY1" s="568"/>
      <c r="CKZ1" s="568"/>
      <c r="CLA1" s="568"/>
      <c r="CLB1" s="568"/>
      <c r="CLC1" s="568"/>
      <c r="CLD1" s="568"/>
      <c r="CLE1" s="568"/>
      <c r="CLF1" s="568"/>
      <c r="CLG1" s="568"/>
      <c r="CLH1" s="568"/>
      <c r="CLI1" s="568"/>
      <c r="CLJ1" s="568"/>
      <c r="CLK1" s="568"/>
      <c r="CLL1" s="568"/>
      <c r="CLM1" s="568"/>
      <c r="CLN1" s="568"/>
      <c r="CLO1" s="568"/>
      <c r="CLP1" s="568"/>
      <c r="CLQ1" s="568"/>
      <c r="CLR1" s="568"/>
      <c r="CLS1" s="568"/>
      <c r="CLT1" s="568"/>
      <c r="CLU1" s="568"/>
      <c r="CLV1" s="568"/>
      <c r="CLW1" s="568"/>
      <c r="CLX1" s="568"/>
      <c r="CLY1" s="568"/>
      <c r="CLZ1" s="568"/>
      <c r="CMA1" s="568"/>
      <c r="CMB1" s="568"/>
      <c r="CMC1" s="568"/>
      <c r="CMD1" s="568"/>
      <c r="CME1" s="568"/>
      <c r="CMF1" s="568"/>
      <c r="CMG1" s="568"/>
      <c r="CMH1" s="568"/>
      <c r="CMI1" s="568"/>
      <c r="CMJ1" s="568"/>
      <c r="CMK1" s="568"/>
      <c r="CML1" s="568"/>
      <c r="CMM1" s="568"/>
      <c r="CMN1" s="568"/>
      <c r="CMO1" s="568"/>
      <c r="CMP1" s="568"/>
      <c r="CMQ1" s="568"/>
      <c r="CMR1" s="568"/>
      <c r="CMS1" s="568"/>
      <c r="CMT1" s="568"/>
      <c r="CMU1" s="568"/>
      <c r="CMV1" s="568"/>
      <c r="CMW1" s="568"/>
      <c r="CMX1" s="568"/>
      <c r="CMY1" s="568"/>
      <c r="CMZ1" s="568"/>
      <c r="CNA1" s="568"/>
      <c r="CNB1" s="568"/>
      <c r="CNC1" s="568"/>
      <c r="CND1" s="568"/>
      <c r="CNE1" s="568"/>
      <c r="CNF1" s="568"/>
      <c r="CNG1" s="568"/>
      <c r="CNH1" s="568"/>
      <c r="CNI1" s="568"/>
      <c r="CNJ1" s="568"/>
      <c r="CNK1" s="568"/>
      <c r="CNL1" s="568"/>
      <c r="CNM1" s="568"/>
      <c r="CNN1" s="568"/>
      <c r="CNO1" s="568"/>
      <c r="CNP1" s="568"/>
      <c r="CNQ1" s="568"/>
      <c r="CNR1" s="568"/>
      <c r="CNS1" s="568"/>
      <c r="CNT1" s="568"/>
      <c r="CNU1" s="568"/>
      <c r="CNV1" s="568"/>
      <c r="CNW1" s="568"/>
      <c r="CNX1" s="568"/>
      <c r="CNY1" s="568"/>
      <c r="CNZ1" s="568"/>
      <c r="COA1" s="568"/>
      <c r="COB1" s="568"/>
      <c r="COC1" s="568"/>
      <c r="COD1" s="568"/>
      <c r="COE1" s="568"/>
      <c r="COF1" s="568"/>
      <c r="COG1" s="568"/>
      <c r="COH1" s="568"/>
      <c r="COI1" s="568"/>
      <c r="COJ1" s="568"/>
      <c r="COK1" s="568"/>
      <c r="COL1" s="568"/>
      <c r="COM1" s="568"/>
      <c r="CON1" s="568"/>
      <c r="COO1" s="568"/>
      <c r="COP1" s="568"/>
      <c r="COQ1" s="568"/>
      <c r="COR1" s="568"/>
      <c r="COS1" s="568"/>
      <c r="COT1" s="568"/>
      <c r="COU1" s="568"/>
      <c r="COV1" s="568"/>
      <c r="COW1" s="568"/>
      <c r="COX1" s="568"/>
      <c r="COY1" s="568"/>
      <c r="COZ1" s="568"/>
      <c r="CPA1" s="568"/>
      <c r="CPB1" s="568"/>
      <c r="CPC1" s="568"/>
      <c r="CPD1" s="568"/>
      <c r="CPE1" s="568"/>
      <c r="CPF1" s="568"/>
      <c r="CPG1" s="568"/>
      <c r="CPH1" s="568"/>
      <c r="CPI1" s="568"/>
      <c r="CPJ1" s="568"/>
      <c r="CPK1" s="568"/>
      <c r="CPL1" s="568"/>
      <c r="CPM1" s="568"/>
      <c r="CPN1" s="568"/>
      <c r="CPO1" s="568"/>
      <c r="CPP1" s="568"/>
      <c r="CPQ1" s="568"/>
      <c r="CPR1" s="568"/>
      <c r="CPS1" s="568"/>
      <c r="CPT1" s="568"/>
      <c r="CPU1" s="568"/>
      <c r="CPV1" s="568"/>
      <c r="CPW1" s="568"/>
      <c r="CPX1" s="568"/>
      <c r="CPY1" s="568"/>
      <c r="CPZ1" s="568"/>
      <c r="CQA1" s="568"/>
      <c r="CQB1" s="568"/>
      <c r="CQC1" s="568"/>
      <c r="CQD1" s="568"/>
      <c r="CQE1" s="568"/>
      <c r="CQF1" s="568"/>
      <c r="CQG1" s="568"/>
      <c r="CQH1" s="568"/>
      <c r="CQI1" s="568"/>
      <c r="CQJ1" s="568"/>
      <c r="CQK1" s="568"/>
      <c r="CQL1" s="568"/>
      <c r="CQM1" s="568"/>
      <c r="CQN1" s="568"/>
      <c r="CQO1" s="568"/>
      <c r="CQP1" s="568"/>
      <c r="CQQ1" s="568"/>
      <c r="CQR1" s="568"/>
      <c r="CQS1" s="568"/>
      <c r="CQT1" s="568"/>
      <c r="CQU1" s="568"/>
      <c r="CQV1" s="568"/>
      <c r="CQW1" s="568"/>
      <c r="CQX1" s="568"/>
      <c r="CQY1" s="568"/>
      <c r="CQZ1" s="568"/>
      <c r="CRA1" s="568"/>
      <c r="CRB1" s="568"/>
      <c r="CRC1" s="568"/>
      <c r="CRD1" s="568"/>
      <c r="CRE1" s="568"/>
      <c r="CRF1" s="568"/>
      <c r="CRG1" s="568"/>
      <c r="CRH1" s="568"/>
      <c r="CRI1" s="568"/>
      <c r="CRJ1" s="568"/>
      <c r="CRK1" s="568"/>
      <c r="CRL1" s="568"/>
      <c r="CRM1" s="568"/>
      <c r="CRN1" s="568"/>
      <c r="CRO1" s="568"/>
      <c r="CRP1" s="568"/>
      <c r="CRQ1" s="568"/>
      <c r="CRR1" s="568"/>
      <c r="CRS1" s="568"/>
      <c r="CRT1" s="568"/>
      <c r="CRU1" s="568"/>
      <c r="CRV1" s="568"/>
      <c r="CRW1" s="568"/>
      <c r="CRX1" s="568"/>
      <c r="CRY1" s="568"/>
      <c r="CRZ1" s="568"/>
      <c r="CSA1" s="568"/>
      <c r="CSB1" s="568"/>
      <c r="CSC1" s="568"/>
      <c r="CSD1" s="568"/>
      <c r="CSE1" s="568"/>
      <c r="CSF1" s="568"/>
      <c r="CSG1" s="568"/>
      <c r="CSH1" s="568"/>
      <c r="CSI1" s="568"/>
      <c r="CSJ1" s="568"/>
      <c r="CSK1" s="568"/>
      <c r="CSL1" s="568"/>
      <c r="CSM1" s="568"/>
      <c r="CSN1" s="568"/>
      <c r="CSO1" s="568"/>
      <c r="CSP1" s="568"/>
      <c r="CSQ1" s="568"/>
      <c r="CSR1" s="568"/>
      <c r="CSS1" s="568"/>
      <c r="CST1" s="568"/>
      <c r="CSU1" s="568"/>
      <c r="CSV1" s="568"/>
      <c r="CSW1" s="568"/>
      <c r="CSX1" s="568"/>
      <c r="CSY1" s="568"/>
      <c r="CSZ1" s="568"/>
      <c r="CTA1" s="568"/>
      <c r="CTB1" s="568"/>
      <c r="CTC1" s="568"/>
      <c r="CTD1" s="568"/>
      <c r="CTE1" s="568"/>
      <c r="CTF1" s="568"/>
      <c r="CTG1" s="568"/>
      <c r="CTH1" s="568"/>
      <c r="CTI1" s="568"/>
      <c r="CTJ1" s="568"/>
      <c r="CTK1" s="568"/>
      <c r="CTL1" s="568"/>
      <c r="CTM1" s="568"/>
      <c r="CTN1" s="568"/>
      <c r="CTO1" s="568"/>
      <c r="CTP1" s="568"/>
      <c r="CTQ1" s="568"/>
      <c r="CTR1" s="568"/>
      <c r="CTS1" s="568"/>
      <c r="CTT1" s="568"/>
      <c r="CTU1" s="568"/>
      <c r="CTV1" s="568"/>
      <c r="CTW1" s="568"/>
      <c r="CTX1" s="568"/>
      <c r="CTY1" s="568"/>
      <c r="CTZ1" s="568"/>
      <c r="CUA1" s="568"/>
      <c r="CUB1" s="568"/>
      <c r="CUC1" s="568"/>
      <c r="CUD1" s="568"/>
      <c r="CUE1" s="568"/>
      <c r="CUF1" s="568"/>
      <c r="CUG1" s="568"/>
      <c r="CUH1" s="568"/>
      <c r="CUI1" s="568"/>
      <c r="CUJ1" s="568"/>
      <c r="CUK1" s="568"/>
      <c r="CUL1" s="568"/>
      <c r="CUM1" s="568"/>
      <c r="CUN1" s="568"/>
      <c r="CUO1" s="568"/>
      <c r="CUP1" s="568"/>
      <c r="CUQ1" s="568"/>
      <c r="CUR1" s="568"/>
      <c r="CUS1" s="568"/>
      <c r="CUT1" s="568"/>
      <c r="CUU1" s="568"/>
      <c r="CUV1" s="568"/>
      <c r="CUW1" s="568"/>
      <c r="CUX1" s="568"/>
      <c r="CUY1" s="568"/>
      <c r="CUZ1" s="568"/>
      <c r="CVA1" s="568"/>
      <c r="CVB1" s="568"/>
      <c r="CVC1" s="568"/>
      <c r="CVD1" s="568"/>
      <c r="CVE1" s="568"/>
      <c r="CVF1" s="568"/>
      <c r="CVG1" s="568"/>
      <c r="CVH1" s="568"/>
      <c r="CVI1" s="568"/>
      <c r="CVJ1" s="568"/>
      <c r="CVK1" s="568"/>
      <c r="CVL1" s="568"/>
      <c r="CVM1" s="568"/>
      <c r="CVN1" s="568"/>
      <c r="CVO1" s="568"/>
      <c r="CVP1" s="568"/>
      <c r="CVQ1" s="568"/>
      <c r="CVR1" s="568"/>
      <c r="CVS1" s="568"/>
      <c r="CVT1" s="568"/>
      <c r="CVU1" s="568"/>
      <c r="CVV1" s="568"/>
      <c r="CVW1" s="568"/>
      <c r="CVX1" s="568"/>
      <c r="CVY1" s="568"/>
      <c r="CVZ1" s="568"/>
      <c r="CWA1" s="568"/>
      <c r="CWB1" s="568"/>
      <c r="CWC1" s="568"/>
      <c r="CWD1" s="568"/>
      <c r="CWE1" s="568"/>
      <c r="CWF1" s="568"/>
      <c r="CWG1" s="568"/>
      <c r="CWH1" s="568"/>
      <c r="CWI1" s="568"/>
      <c r="CWJ1" s="568"/>
      <c r="CWK1" s="568"/>
      <c r="CWL1" s="568"/>
      <c r="CWM1" s="568"/>
      <c r="CWN1" s="568"/>
      <c r="CWO1" s="568"/>
      <c r="CWP1" s="568"/>
      <c r="CWQ1" s="568"/>
      <c r="CWR1" s="568"/>
      <c r="CWS1" s="568"/>
      <c r="CWT1" s="568"/>
      <c r="CWU1" s="568"/>
      <c r="CWV1" s="568"/>
      <c r="CWW1" s="568"/>
      <c r="CWX1" s="568"/>
      <c r="CWY1" s="568"/>
      <c r="CWZ1" s="568"/>
      <c r="CXA1" s="568"/>
      <c r="CXB1" s="568"/>
      <c r="CXC1" s="568"/>
      <c r="CXD1" s="568"/>
      <c r="CXE1" s="568"/>
      <c r="CXF1" s="568"/>
      <c r="CXG1" s="568"/>
      <c r="CXH1" s="568"/>
      <c r="CXI1" s="568"/>
      <c r="CXJ1" s="568"/>
      <c r="CXK1" s="568"/>
      <c r="CXL1" s="568"/>
      <c r="CXM1" s="568"/>
      <c r="CXN1" s="568"/>
      <c r="CXO1" s="568"/>
      <c r="CXP1" s="568"/>
      <c r="CXQ1" s="568"/>
      <c r="CXR1" s="568"/>
      <c r="CXS1" s="568"/>
      <c r="CXT1" s="568"/>
      <c r="CXU1" s="568"/>
      <c r="CXV1" s="568"/>
      <c r="CXW1" s="568"/>
      <c r="CXX1" s="568"/>
      <c r="CXY1" s="568"/>
      <c r="CXZ1" s="568"/>
      <c r="CYA1" s="568"/>
      <c r="CYB1" s="568"/>
      <c r="CYC1" s="568"/>
      <c r="CYD1" s="568"/>
      <c r="CYE1" s="568"/>
      <c r="CYF1" s="568"/>
      <c r="CYG1" s="568"/>
      <c r="CYH1" s="568"/>
      <c r="CYI1" s="568"/>
      <c r="CYJ1" s="568"/>
      <c r="CYK1" s="568"/>
      <c r="CYL1" s="568"/>
      <c r="CYM1" s="568"/>
      <c r="CYN1" s="568"/>
      <c r="CYO1" s="568"/>
      <c r="CYP1" s="568"/>
      <c r="CYQ1" s="568"/>
      <c r="CYR1" s="568"/>
      <c r="CYS1" s="568"/>
      <c r="CYT1" s="568"/>
      <c r="CYU1" s="568"/>
      <c r="CYV1" s="568"/>
      <c r="CYW1" s="568"/>
      <c r="CYX1" s="568"/>
      <c r="CYY1" s="568"/>
      <c r="CYZ1" s="568"/>
      <c r="CZA1" s="568"/>
      <c r="CZB1" s="568"/>
      <c r="CZC1" s="568"/>
      <c r="CZD1" s="568"/>
      <c r="CZE1" s="568"/>
      <c r="CZF1" s="568"/>
      <c r="CZG1" s="568"/>
      <c r="CZH1" s="568"/>
      <c r="CZI1" s="568"/>
      <c r="CZJ1" s="568"/>
      <c r="CZK1" s="568"/>
      <c r="CZL1" s="568"/>
      <c r="CZM1" s="568"/>
      <c r="CZN1" s="568"/>
      <c r="CZO1" s="568"/>
      <c r="CZP1" s="568"/>
      <c r="CZQ1" s="568"/>
      <c r="CZR1" s="568"/>
      <c r="CZS1" s="568"/>
      <c r="CZT1" s="568"/>
      <c r="CZU1" s="568"/>
      <c r="CZV1" s="568"/>
      <c r="CZW1" s="568"/>
      <c r="CZX1" s="568"/>
      <c r="CZY1" s="568"/>
      <c r="CZZ1" s="568"/>
      <c r="DAA1" s="568"/>
      <c r="DAB1" s="568"/>
      <c r="DAC1" s="568"/>
      <c r="DAD1" s="568"/>
      <c r="DAE1" s="568"/>
      <c r="DAF1" s="568"/>
      <c r="DAG1" s="568"/>
      <c r="DAH1" s="568"/>
      <c r="DAI1" s="568"/>
      <c r="DAJ1" s="568"/>
      <c r="DAK1" s="568"/>
      <c r="DAL1" s="568"/>
      <c r="DAM1" s="568"/>
      <c r="DAN1" s="568"/>
      <c r="DAO1" s="568"/>
      <c r="DAP1" s="568"/>
      <c r="DAQ1" s="568"/>
      <c r="DAR1" s="568"/>
      <c r="DAS1" s="568"/>
      <c r="DAT1" s="568"/>
      <c r="DAU1" s="568"/>
      <c r="DAV1" s="568"/>
      <c r="DAW1" s="568"/>
      <c r="DAX1" s="568"/>
      <c r="DAY1" s="568"/>
      <c r="DAZ1" s="568"/>
      <c r="DBA1" s="568"/>
      <c r="DBB1" s="568"/>
      <c r="DBC1" s="568"/>
      <c r="DBD1" s="568"/>
      <c r="DBE1" s="568"/>
      <c r="DBF1" s="568"/>
      <c r="DBG1" s="568"/>
      <c r="DBH1" s="568"/>
      <c r="DBI1" s="568"/>
      <c r="DBJ1" s="568"/>
      <c r="DBK1" s="568"/>
      <c r="DBL1" s="568"/>
      <c r="DBM1" s="568"/>
      <c r="DBN1" s="568"/>
      <c r="DBO1" s="568"/>
      <c r="DBP1" s="568"/>
      <c r="DBQ1" s="568"/>
      <c r="DBR1" s="568"/>
      <c r="DBS1" s="568"/>
      <c r="DBT1" s="568"/>
      <c r="DBU1" s="568"/>
      <c r="DBV1" s="568"/>
      <c r="DBW1" s="568"/>
      <c r="DBX1" s="568"/>
      <c r="DBY1" s="568"/>
      <c r="DBZ1" s="568"/>
      <c r="DCA1" s="568"/>
      <c r="DCB1" s="568"/>
      <c r="DCC1" s="568"/>
      <c r="DCD1" s="568"/>
      <c r="DCE1" s="568"/>
      <c r="DCF1" s="568"/>
      <c r="DCG1" s="568"/>
      <c r="DCH1" s="568"/>
      <c r="DCI1" s="568"/>
      <c r="DCJ1" s="568"/>
      <c r="DCK1" s="568"/>
      <c r="DCL1" s="568"/>
      <c r="DCM1" s="568"/>
      <c r="DCN1" s="568"/>
      <c r="DCO1" s="568"/>
      <c r="DCP1" s="568"/>
      <c r="DCQ1" s="568"/>
      <c r="DCR1" s="568"/>
      <c r="DCS1" s="568"/>
      <c r="DCT1" s="568"/>
      <c r="DCU1" s="568"/>
      <c r="DCV1" s="568"/>
      <c r="DCW1" s="568"/>
      <c r="DCX1" s="568"/>
      <c r="DCY1" s="568"/>
      <c r="DCZ1" s="568"/>
      <c r="DDA1" s="568"/>
      <c r="DDB1" s="568"/>
      <c r="DDC1" s="568"/>
      <c r="DDD1" s="568"/>
      <c r="DDE1" s="568"/>
      <c r="DDF1" s="568"/>
      <c r="DDG1" s="568"/>
      <c r="DDH1" s="568"/>
      <c r="DDI1" s="568"/>
      <c r="DDJ1" s="568"/>
      <c r="DDK1" s="568"/>
      <c r="DDL1" s="568"/>
      <c r="DDM1" s="568"/>
      <c r="DDN1" s="568"/>
      <c r="DDO1" s="568"/>
      <c r="DDP1" s="568"/>
      <c r="DDQ1" s="568"/>
      <c r="DDR1" s="568"/>
      <c r="DDS1" s="568"/>
      <c r="DDT1" s="568"/>
      <c r="DDU1" s="568"/>
      <c r="DDV1" s="568"/>
      <c r="DDW1" s="568"/>
      <c r="DDX1" s="568"/>
      <c r="DDY1" s="568"/>
      <c r="DDZ1" s="568"/>
      <c r="DEA1" s="568"/>
      <c r="DEB1" s="568"/>
      <c r="DEC1" s="568"/>
      <c r="DED1" s="568"/>
      <c r="DEE1" s="568"/>
      <c r="DEF1" s="568"/>
      <c r="DEG1" s="568"/>
      <c r="DEH1" s="568"/>
      <c r="DEI1" s="568"/>
      <c r="DEJ1" s="568"/>
      <c r="DEK1" s="568"/>
      <c r="DEL1" s="568"/>
      <c r="DEM1" s="568"/>
      <c r="DEN1" s="568"/>
      <c r="DEO1" s="568"/>
      <c r="DEP1" s="568"/>
      <c r="DEQ1" s="568"/>
      <c r="DER1" s="568"/>
      <c r="DES1" s="568"/>
      <c r="DET1" s="568"/>
      <c r="DEU1" s="568"/>
      <c r="DEV1" s="568"/>
      <c r="DEW1" s="568"/>
      <c r="DEX1" s="568"/>
      <c r="DEY1" s="568"/>
      <c r="DEZ1" s="568"/>
      <c r="DFA1" s="568"/>
      <c r="DFB1" s="568"/>
      <c r="DFC1" s="568"/>
      <c r="DFD1" s="568"/>
      <c r="DFE1" s="568"/>
      <c r="DFF1" s="568"/>
      <c r="DFG1" s="568"/>
      <c r="DFH1" s="568"/>
      <c r="DFI1" s="568"/>
      <c r="DFJ1" s="568"/>
      <c r="DFK1" s="568"/>
      <c r="DFL1" s="568"/>
      <c r="DFM1" s="568"/>
      <c r="DFN1" s="568"/>
      <c r="DFO1" s="568"/>
      <c r="DFP1" s="568"/>
      <c r="DFQ1" s="568"/>
      <c r="DFR1" s="568"/>
      <c r="DFS1" s="568"/>
      <c r="DFT1" s="568"/>
      <c r="DFU1" s="568"/>
      <c r="DFV1" s="568"/>
      <c r="DFW1" s="568"/>
      <c r="DFX1" s="568"/>
      <c r="DFY1" s="568"/>
      <c r="DFZ1" s="568"/>
      <c r="DGA1" s="568"/>
      <c r="DGB1" s="568"/>
      <c r="DGC1" s="568"/>
      <c r="DGD1" s="568"/>
      <c r="DGE1" s="568"/>
      <c r="DGF1" s="568"/>
      <c r="DGG1" s="568"/>
      <c r="DGH1" s="568"/>
      <c r="DGI1" s="568"/>
      <c r="DGJ1" s="568"/>
      <c r="DGK1" s="568"/>
      <c r="DGL1" s="568"/>
      <c r="DGM1" s="568"/>
      <c r="DGN1" s="568"/>
      <c r="DGO1" s="568"/>
      <c r="DGP1" s="568"/>
      <c r="DGQ1" s="568"/>
      <c r="DGR1" s="568"/>
      <c r="DGS1" s="568"/>
      <c r="DGT1" s="568"/>
      <c r="DGU1" s="568"/>
      <c r="DGV1" s="568"/>
      <c r="DGW1" s="568"/>
      <c r="DGX1" s="568"/>
      <c r="DGY1" s="568"/>
      <c r="DGZ1" s="568"/>
      <c r="DHA1" s="568"/>
      <c r="DHB1" s="568"/>
      <c r="DHC1" s="568"/>
      <c r="DHD1" s="568"/>
      <c r="DHE1" s="568"/>
      <c r="DHF1" s="568"/>
      <c r="DHG1" s="568"/>
      <c r="DHH1" s="568"/>
      <c r="DHI1" s="568"/>
      <c r="DHJ1" s="568"/>
      <c r="DHK1" s="568"/>
      <c r="DHL1" s="568"/>
      <c r="DHM1" s="568"/>
      <c r="DHN1" s="568"/>
      <c r="DHO1" s="568"/>
      <c r="DHP1" s="568"/>
      <c r="DHQ1" s="568"/>
      <c r="DHR1" s="568"/>
      <c r="DHS1" s="568"/>
      <c r="DHT1" s="568"/>
      <c r="DHU1" s="568"/>
      <c r="DHV1" s="568"/>
      <c r="DHW1" s="568"/>
      <c r="DHX1" s="568"/>
      <c r="DHY1" s="568"/>
      <c r="DHZ1" s="568"/>
      <c r="DIA1" s="568"/>
      <c r="DIB1" s="568"/>
      <c r="DIC1" s="568"/>
      <c r="DID1" s="568"/>
      <c r="DIE1" s="568"/>
      <c r="DIF1" s="568"/>
      <c r="DIG1" s="568"/>
      <c r="DIH1" s="568"/>
      <c r="DII1" s="568"/>
      <c r="DIJ1" s="568"/>
      <c r="DIK1" s="568"/>
      <c r="DIL1" s="568"/>
      <c r="DIM1" s="568"/>
      <c r="DIN1" s="568"/>
      <c r="DIO1" s="568"/>
      <c r="DIP1" s="568"/>
      <c r="DIQ1" s="568"/>
      <c r="DIR1" s="568"/>
      <c r="DIS1" s="568"/>
      <c r="DIT1" s="568"/>
      <c r="DIU1" s="568"/>
      <c r="DIV1" s="568"/>
      <c r="DIW1" s="568"/>
      <c r="DIX1" s="568"/>
      <c r="DIY1" s="568"/>
      <c r="DIZ1" s="568"/>
      <c r="DJA1" s="568"/>
      <c r="DJB1" s="568"/>
      <c r="DJC1" s="568"/>
      <c r="DJD1" s="568"/>
      <c r="DJE1" s="568"/>
      <c r="DJF1" s="568"/>
      <c r="DJG1" s="568"/>
      <c r="DJH1" s="568"/>
      <c r="DJI1" s="568"/>
      <c r="DJJ1" s="568"/>
      <c r="DJK1" s="568"/>
      <c r="DJL1" s="568"/>
      <c r="DJM1" s="568"/>
      <c r="DJN1" s="568"/>
      <c r="DJO1" s="568"/>
      <c r="DJP1" s="568"/>
      <c r="DJQ1" s="568"/>
      <c r="DJR1" s="568"/>
      <c r="DJS1" s="568"/>
      <c r="DJT1" s="568"/>
      <c r="DJU1" s="568"/>
      <c r="DJV1" s="568"/>
      <c r="DJW1" s="568"/>
      <c r="DJX1" s="568"/>
      <c r="DJY1" s="568"/>
      <c r="DJZ1" s="568"/>
      <c r="DKA1" s="568"/>
      <c r="DKB1" s="568"/>
      <c r="DKC1" s="568"/>
      <c r="DKD1" s="568"/>
      <c r="DKE1" s="568"/>
      <c r="DKF1" s="568"/>
      <c r="DKG1" s="568"/>
      <c r="DKH1" s="568"/>
      <c r="DKI1" s="568"/>
      <c r="DKJ1" s="568"/>
      <c r="DKK1" s="568"/>
      <c r="DKL1" s="568"/>
      <c r="DKM1" s="568"/>
      <c r="DKN1" s="568"/>
      <c r="DKO1" s="568"/>
      <c r="DKP1" s="568"/>
      <c r="DKQ1" s="568"/>
      <c r="DKR1" s="568"/>
      <c r="DKS1" s="568"/>
      <c r="DKT1" s="568"/>
      <c r="DKU1" s="568"/>
      <c r="DKV1" s="568"/>
      <c r="DKW1" s="568"/>
      <c r="DKX1" s="568"/>
      <c r="DKY1" s="568"/>
      <c r="DKZ1" s="568"/>
      <c r="DLA1" s="568"/>
      <c r="DLB1" s="568"/>
      <c r="DLC1" s="568"/>
      <c r="DLD1" s="568"/>
      <c r="DLE1" s="568"/>
      <c r="DLF1" s="568"/>
      <c r="DLG1" s="568"/>
      <c r="DLH1" s="568"/>
      <c r="DLI1" s="568"/>
      <c r="DLJ1" s="568"/>
      <c r="DLK1" s="568"/>
      <c r="DLL1" s="568"/>
      <c r="DLM1" s="568"/>
      <c r="DLN1" s="568"/>
      <c r="DLO1" s="568"/>
      <c r="DLP1" s="568"/>
      <c r="DLQ1" s="568"/>
      <c r="DLR1" s="568"/>
      <c r="DLS1" s="568"/>
      <c r="DLT1" s="568"/>
      <c r="DLU1" s="568"/>
      <c r="DLV1" s="568"/>
      <c r="DLW1" s="568"/>
      <c r="DLX1" s="568"/>
      <c r="DLY1" s="568"/>
      <c r="DLZ1" s="568"/>
      <c r="DMA1" s="568"/>
      <c r="DMB1" s="568"/>
      <c r="DMC1" s="568"/>
      <c r="DMD1" s="568"/>
      <c r="DME1" s="568"/>
      <c r="DMF1" s="568"/>
      <c r="DMG1" s="568"/>
      <c r="DMH1" s="568"/>
      <c r="DMI1" s="568"/>
      <c r="DMJ1" s="568"/>
      <c r="DMK1" s="568"/>
      <c r="DML1" s="568"/>
      <c r="DMM1" s="568"/>
      <c r="DMN1" s="568"/>
      <c r="DMO1" s="568"/>
      <c r="DMP1" s="568"/>
      <c r="DMQ1" s="568"/>
      <c r="DMR1" s="568"/>
      <c r="DMS1" s="568"/>
      <c r="DMT1" s="568"/>
      <c r="DMU1" s="568"/>
      <c r="DMV1" s="568"/>
      <c r="DMW1" s="568"/>
      <c r="DMX1" s="568"/>
      <c r="DMY1" s="568"/>
      <c r="DMZ1" s="568"/>
      <c r="DNA1" s="568"/>
      <c r="DNB1" s="568"/>
      <c r="DNC1" s="568"/>
      <c r="DND1" s="568"/>
      <c r="DNE1" s="568"/>
      <c r="DNF1" s="568"/>
      <c r="DNG1" s="568"/>
      <c r="DNH1" s="568"/>
      <c r="DNI1" s="568"/>
      <c r="DNJ1" s="568"/>
      <c r="DNK1" s="568"/>
      <c r="DNL1" s="568"/>
      <c r="DNM1" s="568"/>
      <c r="DNN1" s="568"/>
      <c r="DNO1" s="568"/>
      <c r="DNP1" s="568"/>
      <c r="DNQ1" s="568"/>
      <c r="DNR1" s="568"/>
      <c r="DNS1" s="568"/>
      <c r="DNT1" s="568"/>
      <c r="DNU1" s="568"/>
      <c r="DNV1" s="568"/>
      <c r="DNW1" s="568"/>
      <c r="DNX1" s="568"/>
      <c r="DNY1" s="568"/>
      <c r="DNZ1" s="568"/>
      <c r="DOA1" s="568"/>
      <c r="DOB1" s="568"/>
      <c r="DOC1" s="568"/>
      <c r="DOD1" s="568"/>
      <c r="DOE1" s="568"/>
      <c r="DOF1" s="568"/>
      <c r="DOG1" s="568"/>
      <c r="DOH1" s="568"/>
      <c r="DOI1" s="568"/>
      <c r="DOJ1" s="568"/>
      <c r="DOK1" s="568"/>
      <c r="DOL1" s="568"/>
      <c r="DOM1" s="568"/>
      <c r="DON1" s="568"/>
      <c r="DOO1" s="568"/>
      <c r="DOP1" s="568"/>
      <c r="DOQ1" s="568"/>
      <c r="DOR1" s="568"/>
      <c r="DOS1" s="568"/>
      <c r="DOT1" s="568"/>
      <c r="DOU1" s="568"/>
      <c r="DOV1" s="568"/>
      <c r="DOW1" s="568"/>
      <c r="DOX1" s="568"/>
      <c r="DOY1" s="568"/>
      <c r="DOZ1" s="568"/>
      <c r="DPA1" s="568"/>
      <c r="DPB1" s="568"/>
      <c r="DPC1" s="568"/>
      <c r="DPD1" s="568"/>
      <c r="DPE1" s="568"/>
      <c r="DPF1" s="568"/>
      <c r="DPG1" s="568"/>
      <c r="DPH1" s="568"/>
      <c r="DPI1" s="568"/>
      <c r="DPJ1" s="568"/>
      <c r="DPK1" s="568"/>
      <c r="DPL1" s="568"/>
      <c r="DPM1" s="568"/>
      <c r="DPN1" s="568"/>
      <c r="DPO1" s="568"/>
      <c r="DPP1" s="568"/>
      <c r="DPQ1" s="568"/>
      <c r="DPR1" s="568"/>
      <c r="DPS1" s="568"/>
      <c r="DPT1" s="568"/>
      <c r="DPU1" s="568"/>
      <c r="DPV1" s="568"/>
      <c r="DPW1" s="568"/>
      <c r="DPX1" s="568"/>
      <c r="DPY1" s="568"/>
      <c r="DPZ1" s="568"/>
      <c r="DQA1" s="568"/>
      <c r="DQB1" s="568"/>
      <c r="DQC1" s="568"/>
      <c r="DQD1" s="568"/>
      <c r="DQE1" s="568"/>
      <c r="DQF1" s="568"/>
      <c r="DQG1" s="568"/>
      <c r="DQH1" s="568"/>
      <c r="DQI1" s="568"/>
      <c r="DQJ1" s="568"/>
      <c r="DQK1" s="568"/>
      <c r="DQL1" s="568"/>
      <c r="DQM1" s="568"/>
      <c r="DQN1" s="568"/>
      <c r="DQO1" s="568"/>
      <c r="DQP1" s="568"/>
      <c r="DQQ1" s="568"/>
      <c r="DQR1" s="568"/>
      <c r="DQS1" s="568"/>
      <c r="DQT1" s="568"/>
      <c r="DQU1" s="568"/>
      <c r="DQV1" s="568"/>
      <c r="DQW1" s="568"/>
      <c r="DQX1" s="568"/>
      <c r="DQY1" s="568"/>
      <c r="DQZ1" s="568"/>
      <c r="DRA1" s="568"/>
      <c r="DRB1" s="568"/>
      <c r="DRC1" s="568"/>
      <c r="DRD1" s="568"/>
      <c r="DRE1" s="568"/>
      <c r="DRF1" s="568"/>
      <c r="DRG1" s="568"/>
      <c r="DRH1" s="568"/>
      <c r="DRI1" s="568"/>
      <c r="DRJ1" s="568"/>
      <c r="DRK1" s="568"/>
      <c r="DRL1" s="568"/>
      <c r="DRM1" s="568"/>
      <c r="DRN1" s="568"/>
      <c r="DRO1" s="568"/>
      <c r="DRP1" s="568"/>
      <c r="DRQ1" s="568"/>
      <c r="DRR1" s="568"/>
      <c r="DRS1" s="568"/>
      <c r="DRT1" s="568"/>
      <c r="DRU1" s="568"/>
      <c r="DRV1" s="568"/>
      <c r="DRW1" s="568"/>
      <c r="DRX1" s="568"/>
      <c r="DRY1" s="568"/>
      <c r="DRZ1" s="568"/>
      <c r="DSA1" s="568"/>
      <c r="DSB1" s="568"/>
      <c r="DSC1" s="568"/>
      <c r="DSD1" s="568"/>
      <c r="DSE1" s="568"/>
      <c r="DSF1" s="568"/>
      <c r="DSG1" s="568"/>
      <c r="DSH1" s="568"/>
      <c r="DSI1" s="568"/>
      <c r="DSJ1" s="568"/>
      <c r="DSK1" s="568"/>
      <c r="DSL1" s="568"/>
      <c r="DSM1" s="568"/>
      <c r="DSN1" s="568"/>
      <c r="DSO1" s="568"/>
      <c r="DSP1" s="568"/>
      <c r="DSQ1" s="568"/>
      <c r="DSR1" s="568"/>
      <c r="DSS1" s="568"/>
      <c r="DST1" s="568"/>
      <c r="DSU1" s="568"/>
      <c r="DSV1" s="568"/>
      <c r="DSW1" s="568"/>
      <c r="DSX1" s="568"/>
      <c r="DSY1" s="568"/>
      <c r="DSZ1" s="568"/>
      <c r="DTA1" s="568"/>
      <c r="DTB1" s="568"/>
      <c r="DTC1" s="568"/>
      <c r="DTD1" s="568"/>
      <c r="DTE1" s="568"/>
      <c r="DTF1" s="568"/>
      <c r="DTG1" s="568"/>
      <c r="DTH1" s="568"/>
      <c r="DTI1" s="568"/>
      <c r="DTJ1" s="568"/>
      <c r="DTK1" s="568"/>
      <c r="DTL1" s="568"/>
      <c r="DTM1" s="568"/>
      <c r="DTN1" s="568"/>
      <c r="DTO1" s="568"/>
      <c r="DTP1" s="568"/>
      <c r="DTQ1" s="568"/>
      <c r="DTR1" s="568"/>
      <c r="DTS1" s="568"/>
      <c r="DTT1" s="568"/>
      <c r="DTU1" s="568"/>
      <c r="DTV1" s="568"/>
      <c r="DTW1" s="568"/>
      <c r="DTX1" s="568"/>
      <c r="DTY1" s="568"/>
      <c r="DTZ1" s="568"/>
      <c r="DUA1" s="568"/>
      <c r="DUB1" s="568"/>
      <c r="DUC1" s="568"/>
      <c r="DUD1" s="568"/>
      <c r="DUE1" s="568"/>
      <c r="DUF1" s="568"/>
      <c r="DUG1" s="568"/>
      <c r="DUH1" s="568"/>
      <c r="DUI1" s="568"/>
      <c r="DUJ1" s="568"/>
      <c r="DUK1" s="568"/>
      <c r="DUL1" s="568"/>
      <c r="DUM1" s="568"/>
      <c r="DUN1" s="568"/>
      <c r="DUO1" s="568"/>
      <c r="DUP1" s="568"/>
      <c r="DUQ1" s="568"/>
      <c r="DUR1" s="568"/>
      <c r="DUS1" s="568"/>
      <c r="DUT1" s="568"/>
      <c r="DUU1" s="568"/>
      <c r="DUV1" s="568"/>
      <c r="DUW1" s="568"/>
      <c r="DUX1" s="568"/>
      <c r="DUY1" s="568"/>
      <c r="DUZ1" s="568"/>
      <c r="DVA1" s="568"/>
      <c r="DVB1" s="568"/>
      <c r="DVC1" s="568"/>
      <c r="DVD1" s="568"/>
      <c r="DVE1" s="568"/>
      <c r="DVF1" s="568"/>
      <c r="DVG1" s="568"/>
      <c r="DVH1" s="568"/>
      <c r="DVI1" s="568"/>
      <c r="DVJ1" s="568"/>
      <c r="DVK1" s="568"/>
      <c r="DVL1" s="568"/>
      <c r="DVM1" s="568"/>
      <c r="DVN1" s="568"/>
      <c r="DVO1" s="568"/>
      <c r="DVP1" s="568"/>
      <c r="DVQ1" s="568"/>
      <c r="DVR1" s="568"/>
      <c r="DVS1" s="568"/>
      <c r="DVT1" s="568"/>
      <c r="DVU1" s="568"/>
      <c r="DVV1" s="568"/>
      <c r="DVW1" s="568"/>
      <c r="DVX1" s="568"/>
      <c r="DVY1" s="568"/>
      <c r="DVZ1" s="568"/>
      <c r="DWA1" s="568"/>
      <c r="DWB1" s="568"/>
      <c r="DWC1" s="568"/>
      <c r="DWD1" s="568"/>
      <c r="DWE1" s="568"/>
      <c r="DWF1" s="568"/>
      <c r="DWG1" s="568"/>
      <c r="DWH1" s="568"/>
      <c r="DWI1" s="568"/>
      <c r="DWJ1" s="568"/>
      <c r="DWK1" s="568"/>
      <c r="DWL1" s="568"/>
      <c r="DWM1" s="568"/>
      <c r="DWN1" s="568"/>
      <c r="DWO1" s="568"/>
      <c r="DWP1" s="568"/>
      <c r="DWQ1" s="568"/>
      <c r="DWR1" s="568"/>
      <c r="DWS1" s="568"/>
      <c r="DWT1" s="568"/>
      <c r="DWU1" s="568"/>
      <c r="DWV1" s="568"/>
      <c r="DWW1" s="568"/>
      <c r="DWX1" s="568"/>
      <c r="DWY1" s="568"/>
      <c r="DWZ1" s="568"/>
      <c r="DXA1" s="568"/>
      <c r="DXB1" s="568"/>
      <c r="DXC1" s="568"/>
      <c r="DXD1" s="568"/>
      <c r="DXE1" s="568"/>
      <c r="DXF1" s="568"/>
      <c r="DXG1" s="568"/>
      <c r="DXH1" s="568"/>
      <c r="DXI1" s="568"/>
      <c r="DXJ1" s="568"/>
      <c r="DXK1" s="568"/>
      <c r="DXL1" s="568"/>
      <c r="DXM1" s="568"/>
      <c r="DXN1" s="568"/>
      <c r="DXO1" s="568"/>
      <c r="DXP1" s="568"/>
      <c r="DXQ1" s="568"/>
      <c r="DXR1" s="568"/>
      <c r="DXS1" s="568"/>
      <c r="DXT1" s="568"/>
      <c r="DXU1" s="568"/>
      <c r="DXV1" s="568"/>
      <c r="DXW1" s="568"/>
      <c r="DXX1" s="568"/>
      <c r="DXY1" s="568"/>
      <c r="DXZ1" s="568"/>
      <c r="DYA1" s="568"/>
      <c r="DYB1" s="568"/>
      <c r="DYC1" s="568"/>
      <c r="DYD1" s="568"/>
      <c r="DYE1" s="568"/>
      <c r="DYF1" s="568"/>
      <c r="DYG1" s="568"/>
      <c r="DYH1" s="568"/>
      <c r="DYI1" s="568"/>
      <c r="DYJ1" s="568"/>
      <c r="DYK1" s="568"/>
      <c r="DYL1" s="568"/>
      <c r="DYM1" s="568"/>
      <c r="DYN1" s="568"/>
      <c r="DYO1" s="568"/>
      <c r="DYP1" s="568"/>
      <c r="DYQ1" s="568"/>
      <c r="DYR1" s="568"/>
      <c r="DYS1" s="568"/>
      <c r="DYT1" s="568"/>
      <c r="DYU1" s="568"/>
      <c r="DYV1" s="568"/>
      <c r="DYW1" s="568"/>
      <c r="DYX1" s="568"/>
      <c r="DYY1" s="568"/>
      <c r="DYZ1" s="568"/>
      <c r="DZA1" s="568"/>
      <c r="DZB1" s="568"/>
      <c r="DZC1" s="568"/>
      <c r="DZD1" s="568"/>
      <c r="DZE1" s="568"/>
      <c r="DZF1" s="568"/>
      <c r="DZG1" s="568"/>
      <c r="DZH1" s="568"/>
      <c r="DZI1" s="568"/>
      <c r="DZJ1" s="568"/>
      <c r="DZK1" s="568"/>
      <c r="DZL1" s="568"/>
      <c r="DZM1" s="568"/>
      <c r="DZN1" s="568"/>
      <c r="DZO1" s="568"/>
      <c r="DZP1" s="568"/>
      <c r="DZQ1" s="568"/>
      <c r="DZR1" s="568"/>
      <c r="DZS1" s="568"/>
      <c r="DZT1" s="568"/>
      <c r="DZU1" s="568"/>
      <c r="DZV1" s="568"/>
      <c r="DZW1" s="568"/>
      <c r="DZX1" s="568"/>
      <c r="DZY1" s="568"/>
      <c r="DZZ1" s="568"/>
      <c r="EAA1" s="568"/>
      <c r="EAB1" s="568"/>
      <c r="EAC1" s="568"/>
      <c r="EAD1" s="568"/>
      <c r="EAE1" s="568"/>
      <c r="EAF1" s="568"/>
      <c r="EAG1" s="568"/>
      <c r="EAH1" s="568"/>
      <c r="EAI1" s="568"/>
      <c r="EAJ1" s="568"/>
      <c r="EAK1" s="568"/>
      <c r="EAL1" s="568"/>
      <c r="EAM1" s="568"/>
      <c r="EAN1" s="568"/>
      <c r="EAO1" s="568"/>
      <c r="EAP1" s="568"/>
      <c r="EAQ1" s="568"/>
      <c r="EAR1" s="568"/>
      <c r="EAS1" s="568"/>
      <c r="EAT1" s="568"/>
      <c r="EAU1" s="568"/>
      <c r="EAV1" s="568"/>
      <c r="EAW1" s="568"/>
      <c r="EAX1" s="568"/>
      <c r="EAY1" s="568"/>
      <c r="EAZ1" s="568"/>
      <c r="EBA1" s="568"/>
      <c r="EBB1" s="568"/>
      <c r="EBC1" s="568"/>
      <c r="EBD1" s="568"/>
      <c r="EBE1" s="568"/>
      <c r="EBF1" s="568"/>
      <c r="EBG1" s="568"/>
      <c r="EBH1" s="568"/>
      <c r="EBI1" s="568"/>
      <c r="EBJ1" s="568"/>
      <c r="EBK1" s="568"/>
      <c r="EBL1" s="568"/>
      <c r="EBM1" s="568"/>
      <c r="EBN1" s="568"/>
      <c r="EBO1" s="568"/>
      <c r="EBP1" s="568"/>
      <c r="EBQ1" s="568"/>
      <c r="EBR1" s="568"/>
      <c r="EBS1" s="568"/>
      <c r="EBT1" s="568"/>
      <c r="EBU1" s="568"/>
      <c r="EBV1" s="568"/>
      <c r="EBW1" s="568"/>
      <c r="EBX1" s="568"/>
      <c r="EBY1" s="568"/>
      <c r="EBZ1" s="568"/>
      <c r="ECA1" s="568"/>
      <c r="ECB1" s="568"/>
      <c r="ECC1" s="568"/>
      <c r="ECD1" s="568"/>
      <c r="ECE1" s="568"/>
      <c r="ECF1" s="568"/>
      <c r="ECG1" s="568"/>
      <c r="ECH1" s="568"/>
      <c r="ECI1" s="568"/>
      <c r="ECJ1" s="568"/>
      <c r="ECK1" s="568"/>
      <c r="ECL1" s="568"/>
      <c r="ECM1" s="568"/>
      <c r="ECN1" s="568"/>
      <c r="ECO1" s="568"/>
      <c r="ECP1" s="568"/>
      <c r="ECQ1" s="568"/>
      <c r="ECR1" s="568"/>
      <c r="ECS1" s="568"/>
      <c r="ECT1" s="568"/>
      <c r="ECU1" s="568"/>
      <c r="ECV1" s="568"/>
      <c r="ECW1" s="568"/>
      <c r="ECX1" s="568"/>
      <c r="ECY1" s="568"/>
      <c r="ECZ1" s="568"/>
      <c r="EDA1" s="568"/>
      <c r="EDB1" s="568"/>
      <c r="EDC1" s="568"/>
      <c r="EDD1" s="568"/>
      <c r="EDE1" s="568"/>
      <c r="EDF1" s="568"/>
      <c r="EDG1" s="568"/>
      <c r="EDH1" s="568"/>
      <c r="EDI1" s="568"/>
      <c r="EDJ1" s="568"/>
      <c r="EDK1" s="568"/>
      <c r="EDL1" s="568"/>
      <c r="EDM1" s="568"/>
      <c r="EDN1" s="568"/>
      <c r="EDO1" s="568"/>
      <c r="EDP1" s="568"/>
      <c r="EDQ1" s="568"/>
      <c r="EDR1" s="568"/>
      <c r="EDS1" s="568"/>
      <c r="EDT1" s="568"/>
      <c r="EDU1" s="568"/>
      <c r="EDV1" s="568"/>
      <c r="EDW1" s="568"/>
      <c r="EDX1" s="568"/>
      <c r="EDY1" s="568"/>
      <c r="EDZ1" s="568"/>
      <c r="EEA1" s="568"/>
      <c r="EEB1" s="568"/>
      <c r="EEC1" s="568"/>
      <c r="EED1" s="568"/>
      <c r="EEE1" s="568"/>
      <c r="EEF1" s="568"/>
      <c r="EEG1" s="568"/>
      <c r="EEH1" s="568"/>
      <c r="EEI1" s="568"/>
      <c r="EEJ1" s="568"/>
      <c r="EEK1" s="568"/>
      <c r="EEL1" s="568"/>
      <c r="EEM1" s="568"/>
      <c r="EEN1" s="568"/>
      <c r="EEO1" s="568"/>
      <c r="EEP1" s="568"/>
      <c r="EEQ1" s="568"/>
      <c r="EER1" s="568"/>
      <c r="EES1" s="568"/>
      <c r="EET1" s="568"/>
      <c r="EEU1" s="568"/>
      <c r="EEV1" s="568"/>
      <c r="EEW1" s="568"/>
      <c r="EEX1" s="568"/>
      <c r="EEY1" s="568"/>
      <c r="EEZ1" s="568"/>
      <c r="EFA1" s="568"/>
      <c r="EFB1" s="568"/>
      <c r="EFC1" s="568"/>
      <c r="EFD1" s="568"/>
      <c r="EFE1" s="568"/>
      <c r="EFF1" s="568"/>
      <c r="EFG1" s="568"/>
      <c r="EFH1" s="568"/>
      <c r="EFI1" s="568"/>
      <c r="EFJ1" s="568"/>
      <c r="EFK1" s="568"/>
      <c r="EFL1" s="568"/>
      <c r="EFM1" s="568"/>
      <c r="EFN1" s="568"/>
      <c r="EFO1" s="568"/>
      <c r="EFP1" s="568"/>
      <c r="EFQ1" s="568"/>
      <c r="EFR1" s="568"/>
      <c r="EFS1" s="568"/>
      <c r="EFT1" s="568"/>
      <c r="EFU1" s="568"/>
      <c r="EFV1" s="568"/>
      <c r="EFW1" s="568"/>
      <c r="EFX1" s="568"/>
      <c r="EFY1" s="568"/>
      <c r="EFZ1" s="568"/>
      <c r="EGA1" s="568"/>
      <c r="EGB1" s="568"/>
      <c r="EGC1" s="568"/>
      <c r="EGD1" s="568"/>
      <c r="EGE1" s="568"/>
      <c r="EGF1" s="568"/>
      <c r="EGG1" s="568"/>
      <c r="EGH1" s="568"/>
      <c r="EGI1" s="568"/>
      <c r="EGJ1" s="568"/>
      <c r="EGK1" s="568"/>
      <c r="EGL1" s="568"/>
      <c r="EGM1" s="568"/>
      <c r="EGN1" s="568"/>
      <c r="EGO1" s="568"/>
      <c r="EGP1" s="568"/>
      <c r="EGQ1" s="568"/>
      <c r="EGR1" s="568"/>
      <c r="EGS1" s="568"/>
      <c r="EGT1" s="568"/>
      <c r="EGU1" s="568"/>
      <c r="EGV1" s="568"/>
      <c r="EGW1" s="568"/>
      <c r="EGX1" s="568"/>
      <c r="EGY1" s="568"/>
      <c r="EGZ1" s="568"/>
      <c r="EHA1" s="568"/>
      <c r="EHB1" s="568"/>
      <c r="EHC1" s="568"/>
      <c r="EHD1" s="568"/>
      <c r="EHE1" s="568"/>
      <c r="EHF1" s="568"/>
      <c r="EHG1" s="568"/>
      <c r="EHH1" s="568"/>
      <c r="EHI1" s="568"/>
      <c r="EHJ1" s="568"/>
      <c r="EHK1" s="568"/>
      <c r="EHL1" s="568"/>
      <c r="EHM1" s="568"/>
      <c r="EHN1" s="568"/>
      <c r="EHO1" s="568"/>
      <c r="EHP1" s="568"/>
      <c r="EHQ1" s="568"/>
      <c r="EHR1" s="568"/>
      <c r="EHS1" s="568"/>
      <c r="EHT1" s="568"/>
      <c r="EHU1" s="568"/>
      <c r="EHV1" s="568"/>
      <c r="EHW1" s="568"/>
      <c r="EHX1" s="568"/>
      <c r="EHY1" s="568"/>
      <c r="EHZ1" s="568"/>
      <c r="EIA1" s="568"/>
      <c r="EIB1" s="568"/>
      <c r="EIC1" s="568"/>
      <c r="EID1" s="568"/>
      <c r="EIE1" s="568"/>
      <c r="EIF1" s="568"/>
      <c r="EIG1" s="568"/>
      <c r="EIH1" s="568"/>
      <c r="EII1" s="568"/>
      <c r="EIJ1" s="568"/>
      <c r="EIK1" s="568"/>
      <c r="EIL1" s="568"/>
      <c r="EIM1" s="568"/>
      <c r="EIN1" s="568"/>
      <c r="EIO1" s="568"/>
      <c r="EIP1" s="568"/>
      <c r="EIQ1" s="568"/>
      <c r="EIR1" s="568"/>
      <c r="EIS1" s="568"/>
      <c r="EIT1" s="568"/>
      <c r="EIU1" s="568"/>
      <c r="EIV1" s="568"/>
      <c r="EIW1" s="568"/>
      <c r="EIX1" s="568"/>
      <c r="EIY1" s="568"/>
      <c r="EIZ1" s="568"/>
      <c r="EJA1" s="568"/>
      <c r="EJB1" s="568"/>
      <c r="EJC1" s="568"/>
      <c r="EJD1" s="568"/>
      <c r="EJE1" s="568"/>
      <c r="EJF1" s="568"/>
      <c r="EJG1" s="568"/>
      <c r="EJH1" s="568"/>
      <c r="EJI1" s="568"/>
      <c r="EJJ1" s="568"/>
      <c r="EJK1" s="568"/>
      <c r="EJL1" s="568"/>
      <c r="EJM1" s="568"/>
      <c r="EJN1" s="568"/>
      <c r="EJO1" s="568"/>
      <c r="EJP1" s="568"/>
      <c r="EJQ1" s="568"/>
      <c r="EJR1" s="568"/>
      <c r="EJS1" s="568"/>
      <c r="EJT1" s="568"/>
      <c r="EJU1" s="568"/>
      <c r="EJV1" s="568"/>
      <c r="EJW1" s="568"/>
      <c r="EJX1" s="568"/>
      <c r="EJY1" s="568"/>
      <c r="EJZ1" s="568"/>
      <c r="EKA1" s="568"/>
      <c r="EKB1" s="568"/>
      <c r="EKC1" s="568"/>
      <c r="EKD1" s="568"/>
      <c r="EKE1" s="568"/>
      <c r="EKF1" s="568"/>
      <c r="EKG1" s="568"/>
      <c r="EKH1" s="568"/>
      <c r="EKI1" s="568"/>
      <c r="EKJ1" s="568"/>
      <c r="EKK1" s="568"/>
      <c r="EKL1" s="568"/>
      <c r="EKM1" s="568"/>
      <c r="EKN1" s="568"/>
      <c r="EKO1" s="568"/>
      <c r="EKP1" s="568"/>
      <c r="EKQ1" s="568"/>
      <c r="EKR1" s="568"/>
      <c r="EKS1" s="568"/>
      <c r="EKT1" s="568"/>
      <c r="EKU1" s="568"/>
      <c r="EKV1" s="568"/>
      <c r="EKW1" s="568"/>
      <c r="EKX1" s="568"/>
      <c r="EKY1" s="568"/>
      <c r="EKZ1" s="568"/>
      <c r="ELA1" s="568"/>
      <c r="ELB1" s="568"/>
      <c r="ELC1" s="568"/>
      <c r="ELD1" s="568"/>
      <c r="ELE1" s="568"/>
      <c r="ELF1" s="568"/>
      <c r="ELG1" s="568"/>
      <c r="ELH1" s="568"/>
      <c r="ELI1" s="568"/>
      <c r="ELJ1" s="568"/>
      <c r="ELK1" s="568"/>
      <c r="ELL1" s="568"/>
      <c r="ELM1" s="568"/>
      <c r="ELN1" s="568"/>
      <c r="ELO1" s="568"/>
      <c r="ELP1" s="568"/>
      <c r="ELQ1" s="568"/>
      <c r="ELR1" s="568"/>
      <c r="ELS1" s="568"/>
      <c r="ELT1" s="568"/>
      <c r="ELU1" s="568"/>
      <c r="ELV1" s="568"/>
      <c r="ELW1" s="568"/>
      <c r="ELX1" s="568"/>
      <c r="ELY1" s="568"/>
      <c r="ELZ1" s="568"/>
      <c r="EMA1" s="568"/>
      <c r="EMB1" s="568"/>
      <c r="EMC1" s="568"/>
      <c r="EMD1" s="568"/>
      <c r="EME1" s="568"/>
      <c r="EMF1" s="568"/>
      <c r="EMG1" s="568"/>
      <c r="EMH1" s="568"/>
      <c r="EMI1" s="568"/>
      <c r="EMJ1" s="568"/>
      <c r="EMK1" s="568"/>
      <c r="EML1" s="568"/>
      <c r="EMM1" s="568"/>
      <c r="EMN1" s="568"/>
      <c r="EMO1" s="568"/>
      <c r="EMP1" s="568"/>
      <c r="EMQ1" s="568"/>
      <c r="EMR1" s="568"/>
      <c r="EMS1" s="568"/>
      <c r="EMT1" s="568"/>
      <c r="EMU1" s="568"/>
      <c r="EMV1" s="568"/>
      <c r="EMW1" s="568"/>
      <c r="EMX1" s="568"/>
      <c r="EMY1" s="568"/>
      <c r="EMZ1" s="568"/>
      <c r="ENA1" s="568"/>
      <c r="ENB1" s="568"/>
      <c r="ENC1" s="568"/>
      <c r="END1" s="568"/>
      <c r="ENE1" s="568"/>
      <c r="ENF1" s="568"/>
      <c r="ENG1" s="568"/>
      <c r="ENH1" s="568"/>
      <c r="ENI1" s="568"/>
      <c r="ENJ1" s="568"/>
      <c r="ENK1" s="568"/>
      <c r="ENL1" s="568"/>
      <c r="ENM1" s="568"/>
      <c r="ENN1" s="568"/>
      <c r="ENO1" s="568"/>
      <c r="ENP1" s="568"/>
      <c r="ENQ1" s="568"/>
      <c r="ENR1" s="568"/>
      <c r="ENS1" s="568"/>
      <c r="ENT1" s="568"/>
      <c r="ENU1" s="568"/>
      <c r="ENV1" s="568"/>
      <c r="ENW1" s="568"/>
      <c r="ENX1" s="568"/>
      <c r="ENY1" s="568"/>
      <c r="ENZ1" s="568"/>
      <c r="EOA1" s="568"/>
      <c r="EOB1" s="568"/>
      <c r="EOC1" s="568"/>
      <c r="EOD1" s="568"/>
      <c r="EOE1" s="568"/>
      <c r="EOF1" s="568"/>
      <c r="EOG1" s="568"/>
      <c r="EOH1" s="568"/>
      <c r="EOI1" s="568"/>
      <c r="EOJ1" s="568"/>
      <c r="EOK1" s="568"/>
      <c r="EOL1" s="568"/>
      <c r="EOM1" s="568"/>
      <c r="EON1" s="568"/>
      <c r="EOO1" s="568"/>
      <c r="EOP1" s="568"/>
      <c r="EOQ1" s="568"/>
      <c r="EOR1" s="568"/>
      <c r="EOS1" s="568"/>
      <c r="EOT1" s="568"/>
      <c r="EOU1" s="568"/>
      <c r="EOV1" s="568"/>
      <c r="EOW1" s="568"/>
      <c r="EOX1" s="568"/>
      <c r="EOY1" s="568"/>
      <c r="EOZ1" s="568"/>
      <c r="EPA1" s="568"/>
      <c r="EPB1" s="568"/>
      <c r="EPC1" s="568"/>
      <c r="EPD1" s="568"/>
      <c r="EPE1" s="568"/>
      <c r="EPF1" s="568"/>
      <c r="EPG1" s="568"/>
      <c r="EPH1" s="568"/>
      <c r="EPI1" s="568"/>
      <c r="EPJ1" s="568"/>
      <c r="EPK1" s="568"/>
      <c r="EPL1" s="568"/>
      <c r="EPM1" s="568"/>
      <c r="EPN1" s="568"/>
      <c r="EPO1" s="568"/>
      <c r="EPP1" s="568"/>
      <c r="EPQ1" s="568"/>
      <c r="EPR1" s="568"/>
      <c r="EPS1" s="568"/>
      <c r="EPT1" s="568"/>
      <c r="EPU1" s="568"/>
      <c r="EPV1" s="568"/>
      <c r="EPW1" s="568"/>
      <c r="EPX1" s="568"/>
      <c r="EPY1" s="568"/>
      <c r="EPZ1" s="568"/>
      <c r="EQA1" s="568"/>
      <c r="EQB1" s="568"/>
      <c r="EQC1" s="568"/>
      <c r="EQD1" s="568"/>
      <c r="EQE1" s="568"/>
      <c r="EQF1" s="568"/>
      <c r="EQG1" s="568"/>
      <c r="EQH1" s="568"/>
      <c r="EQI1" s="568"/>
      <c r="EQJ1" s="568"/>
      <c r="EQK1" s="568"/>
      <c r="EQL1" s="568"/>
      <c r="EQM1" s="568"/>
      <c r="EQN1" s="568"/>
      <c r="EQO1" s="568"/>
      <c r="EQP1" s="568"/>
      <c r="EQQ1" s="568"/>
      <c r="EQR1" s="568"/>
      <c r="EQS1" s="568"/>
      <c r="EQT1" s="568"/>
      <c r="EQU1" s="568"/>
      <c r="EQV1" s="568"/>
      <c r="EQW1" s="568"/>
      <c r="EQX1" s="568"/>
      <c r="EQY1" s="568"/>
      <c r="EQZ1" s="568"/>
      <c r="ERA1" s="568"/>
      <c r="ERB1" s="568"/>
      <c r="ERC1" s="568"/>
      <c r="ERD1" s="568"/>
      <c r="ERE1" s="568"/>
      <c r="ERF1" s="568"/>
      <c r="ERG1" s="568"/>
      <c r="ERH1" s="568"/>
      <c r="ERI1" s="568"/>
      <c r="ERJ1" s="568"/>
      <c r="ERK1" s="568"/>
      <c r="ERL1" s="568"/>
      <c r="ERM1" s="568"/>
      <c r="ERN1" s="568"/>
      <c r="ERO1" s="568"/>
      <c r="ERP1" s="568"/>
      <c r="ERQ1" s="568"/>
      <c r="ERR1" s="568"/>
      <c r="ERS1" s="568"/>
      <c r="ERT1" s="568"/>
      <c r="ERU1" s="568"/>
      <c r="ERV1" s="568"/>
      <c r="ERW1" s="568"/>
      <c r="ERX1" s="568"/>
      <c r="ERY1" s="568"/>
      <c r="ERZ1" s="568"/>
      <c r="ESA1" s="568"/>
      <c r="ESB1" s="568"/>
      <c r="ESC1" s="568"/>
      <c r="ESD1" s="568"/>
      <c r="ESE1" s="568"/>
      <c r="ESF1" s="568"/>
      <c r="ESG1" s="568"/>
      <c r="ESH1" s="568"/>
      <c r="ESI1" s="568"/>
      <c r="ESJ1" s="568"/>
      <c r="ESK1" s="568"/>
      <c r="ESL1" s="568"/>
      <c r="ESM1" s="568"/>
      <c r="ESN1" s="568"/>
      <c r="ESO1" s="568"/>
      <c r="ESP1" s="568"/>
      <c r="ESQ1" s="568"/>
      <c r="ESR1" s="568"/>
      <c r="ESS1" s="568"/>
      <c r="EST1" s="568"/>
      <c r="ESU1" s="568"/>
      <c r="ESV1" s="568"/>
      <c r="ESW1" s="568"/>
      <c r="ESX1" s="568"/>
      <c r="ESY1" s="568"/>
      <c r="ESZ1" s="568"/>
      <c r="ETA1" s="568"/>
      <c r="ETB1" s="568"/>
      <c r="ETC1" s="568"/>
      <c r="ETD1" s="568"/>
      <c r="ETE1" s="568"/>
      <c r="ETF1" s="568"/>
      <c r="ETG1" s="568"/>
      <c r="ETH1" s="568"/>
      <c r="ETI1" s="568"/>
      <c r="ETJ1" s="568"/>
      <c r="ETK1" s="568"/>
      <c r="ETL1" s="568"/>
      <c r="ETM1" s="568"/>
      <c r="ETN1" s="568"/>
      <c r="ETO1" s="568"/>
      <c r="ETP1" s="568"/>
      <c r="ETQ1" s="568"/>
      <c r="ETR1" s="568"/>
      <c r="ETS1" s="568"/>
      <c r="ETT1" s="568"/>
      <c r="ETU1" s="568"/>
      <c r="ETV1" s="568"/>
      <c r="ETW1" s="568"/>
      <c r="ETX1" s="568"/>
      <c r="ETY1" s="568"/>
      <c r="ETZ1" s="568"/>
      <c r="EUA1" s="568"/>
      <c r="EUB1" s="568"/>
      <c r="EUC1" s="568"/>
      <c r="EUD1" s="568"/>
      <c r="EUE1" s="568"/>
      <c r="EUF1" s="568"/>
      <c r="EUG1" s="568"/>
      <c r="EUH1" s="568"/>
      <c r="EUI1" s="568"/>
      <c r="EUJ1" s="568"/>
      <c r="EUK1" s="568"/>
      <c r="EUL1" s="568"/>
      <c r="EUM1" s="568"/>
      <c r="EUN1" s="568"/>
      <c r="EUO1" s="568"/>
      <c r="EUP1" s="568"/>
      <c r="EUQ1" s="568"/>
      <c r="EUR1" s="568"/>
      <c r="EUS1" s="568"/>
      <c r="EUT1" s="568"/>
      <c r="EUU1" s="568"/>
      <c r="EUV1" s="568"/>
      <c r="EUW1" s="568"/>
      <c r="EUX1" s="568"/>
      <c r="EUY1" s="568"/>
      <c r="EUZ1" s="568"/>
      <c r="EVA1" s="568"/>
      <c r="EVB1" s="568"/>
      <c r="EVC1" s="568"/>
      <c r="EVD1" s="568"/>
      <c r="EVE1" s="568"/>
      <c r="EVF1" s="568"/>
      <c r="EVG1" s="568"/>
      <c r="EVH1" s="568"/>
      <c r="EVI1" s="568"/>
      <c r="EVJ1" s="568"/>
      <c r="EVK1" s="568"/>
      <c r="EVL1" s="568"/>
      <c r="EVM1" s="568"/>
      <c r="EVN1" s="568"/>
      <c r="EVO1" s="568"/>
      <c r="EVP1" s="568"/>
      <c r="EVQ1" s="568"/>
      <c r="EVR1" s="568"/>
      <c r="EVS1" s="568"/>
      <c r="EVT1" s="568"/>
      <c r="EVU1" s="568"/>
      <c r="EVV1" s="568"/>
      <c r="EVW1" s="568"/>
      <c r="EVX1" s="568"/>
      <c r="EVY1" s="568"/>
      <c r="EVZ1" s="568"/>
      <c r="EWA1" s="568"/>
      <c r="EWB1" s="568"/>
      <c r="EWC1" s="568"/>
      <c r="EWD1" s="568"/>
      <c r="EWE1" s="568"/>
      <c r="EWF1" s="568"/>
      <c r="EWG1" s="568"/>
      <c r="EWH1" s="568"/>
      <c r="EWI1" s="568"/>
      <c r="EWJ1" s="568"/>
      <c r="EWK1" s="568"/>
      <c r="EWL1" s="568"/>
      <c r="EWM1" s="568"/>
      <c r="EWN1" s="568"/>
      <c r="EWO1" s="568"/>
      <c r="EWP1" s="568"/>
      <c r="EWQ1" s="568"/>
      <c r="EWR1" s="568"/>
      <c r="EWS1" s="568"/>
      <c r="EWT1" s="568"/>
      <c r="EWU1" s="568"/>
      <c r="EWV1" s="568"/>
      <c r="EWW1" s="568"/>
      <c r="EWX1" s="568"/>
      <c r="EWY1" s="568"/>
      <c r="EWZ1" s="568"/>
      <c r="EXA1" s="568"/>
      <c r="EXB1" s="568"/>
      <c r="EXC1" s="568"/>
      <c r="EXD1" s="568"/>
      <c r="EXE1" s="568"/>
      <c r="EXF1" s="568"/>
      <c r="EXG1" s="568"/>
      <c r="EXH1" s="568"/>
      <c r="EXI1" s="568"/>
      <c r="EXJ1" s="568"/>
      <c r="EXK1" s="568"/>
      <c r="EXL1" s="568"/>
      <c r="EXM1" s="568"/>
      <c r="EXN1" s="568"/>
      <c r="EXO1" s="568"/>
      <c r="EXP1" s="568"/>
      <c r="EXQ1" s="568"/>
      <c r="EXR1" s="568"/>
      <c r="EXS1" s="568"/>
      <c r="EXT1" s="568"/>
      <c r="EXU1" s="568"/>
      <c r="EXV1" s="568"/>
      <c r="EXW1" s="568"/>
      <c r="EXX1" s="568"/>
      <c r="EXY1" s="568"/>
      <c r="EXZ1" s="568"/>
      <c r="EYA1" s="568"/>
      <c r="EYB1" s="568"/>
      <c r="EYC1" s="568"/>
      <c r="EYD1" s="568"/>
      <c r="EYE1" s="568"/>
      <c r="EYF1" s="568"/>
      <c r="EYG1" s="568"/>
      <c r="EYH1" s="568"/>
      <c r="EYI1" s="568"/>
      <c r="EYJ1" s="568"/>
      <c r="EYK1" s="568"/>
      <c r="EYL1" s="568"/>
      <c r="EYM1" s="568"/>
      <c r="EYN1" s="568"/>
      <c r="EYO1" s="568"/>
      <c r="EYP1" s="568"/>
      <c r="EYQ1" s="568"/>
      <c r="EYR1" s="568"/>
      <c r="EYS1" s="568"/>
      <c r="EYT1" s="568"/>
      <c r="EYU1" s="568"/>
      <c r="EYV1" s="568"/>
      <c r="EYW1" s="568"/>
      <c r="EYX1" s="568"/>
      <c r="EYY1" s="568"/>
      <c r="EYZ1" s="568"/>
      <c r="EZA1" s="568"/>
      <c r="EZB1" s="568"/>
      <c r="EZC1" s="568"/>
      <c r="EZD1" s="568"/>
      <c r="EZE1" s="568"/>
      <c r="EZF1" s="568"/>
      <c r="EZG1" s="568"/>
      <c r="EZH1" s="568"/>
      <c r="EZI1" s="568"/>
      <c r="EZJ1" s="568"/>
      <c r="EZK1" s="568"/>
      <c r="EZL1" s="568"/>
      <c r="EZM1" s="568"/>
      <c r="EZN1" s="568"/>
      <c r="EZO1" s="568"/>
      <c r="EZP1" s="568"/>
      <c r="EZQ1" s="568"/>
      <c r="EZR1" s="568"/>
      <c r="EZS1" s="568"/>
      <c r="EZT1" s="568"/>
      <c r="EZU1" s="568"/>
      <c r="EZV1" s="568"/>
      <c r="EZW1" s="568"/>
      <c r="EZX1" s="568"/>
      <c r="EZY1" s="568"/>
      <c r="EZZ1" s="568"/>
      <c r="FAA1" s="568"/>
      <c r="FAB1" s="568"/>
      <c r="FAC1" s="568"/>
      <c r="FAD1" s="568"/>
      <c r="FAE1" s="568"/>
      <c r="FAF1" s="568"/>
      <c r="FAG1" s="568"/>
      <c r="FAH1" s="568"/>
      <c r="FAI1" s="568"/>
      <c r="FAJ1" s="568"/>
      <c r="FAK1" s="568"/>
      <c r="FAL1" s="568"/>
      <c r="FAM1" s="568"/>
      <c r="FAN1" s="568"/>
      <c r="FAO1" s="568"/>
      <c r="FAP1" s="568"/>
      <c r="FAQ1" s="568"/>
      <c r="FAR1" s="568"/>
      <c r="FAS1" s="568"/>
      <c r="FAT1" s="568"/>
      <c r="FAU1" s="568"/>
      <c r="FAV1" s="568"/>
      <c r="FAW1" s="568"/>
      <c r="FAX1" s="568"/>
      <c r="FAY1" s="568"/>
      <c r="FAZ1" s="568"/>
      <c r="FBA1" s="568"/>
      <c r="FBB1" s="568"/>
      <c r="FBC1" s="568"/>
      <c r="FBD1" s="568"/>
      <c r="FBE1" s="568"/>
      <c r="FBF1" s="568"/>
      <c r="FBG1" s="568"/>
      <c r="FBH1" s="568"/>
      <c r="FBI1" s="568"/>
      <c r="FBJ1" s="568"/>
      <c r="FBK1" s="568"/>
      <c r="FBL1" s="568"/>
      <c r="FBM1" s="568"/>
      <c r="FBN1" s="568"/>
      <c r="FBO1" s="568"/>
      <c r="FBP1" s="568"/>
      <c r="FBQ1" s="568"/>
      <c r="FBR1" s="568"/>
      <c r="FBS1" s="568"/>
      <c r="FBT1" s="568"/>
      <c r="FBU1" s="568"/>
      <c r="FBV1" s="568"/>
      <c r="FBW1" s="568"/>
      <c r="FBX1" s="568"/>
      <c r="FBY1" s="568"/>
      <c r="FBZ1" s="568"/>
      <c r="FCA1" s="568"/>
      <c r="FCB1" s="568"/>
      <c r="FCC1" s="568"/>
      <c r="FCD1" s="568"/>
      <c r="FCE1" s="568"/>
      <c r="FCF1" s="568"/>
      <c r="FCG1" s="568"/>
      <c r="FCH1" s="568"/>
      <c r="FCI1" s="568"/>
      <c r="FCJ1" s="568"/>
      <c r="FCK1" s="568"/>
      <c r="FCL1" s="568"/>
      <c r="FCM1" s="568"/>
      <c r="FCN1" s="568"/>
      <c r="FCO1" s="568"/>
      <c r="FCP1" s="568"/>
      <c r="FCQ1" s="568"/>
      <c r="FCR1" s="568"/>
      <c r="FCS1" s="568"/>
      <c r="FCT1" s="568"/>
      <c r="FCU1" s="568"/>
      <c r="FCV1" s="568"/>
      <c r="FCW1" s="568"/>
      <c r="FCX1" s="568"/>
      <c r="FCY1" s="568"/>
      <c r="FCZ1" s="568"/>
      <c r="FDA1" s="568"/>
      <c r="FDB1" s="568"/>
      <c r="FDC1" s="568"/>
      <c r="FDD1" s="568"/>
      <c r="FDE1" s="568"/>
      <c r="FDF1" s="568"/>
      <c r="FDG1" s="568"/>
      <c r="FDH1" s="568"/>
      <c r="FDI1" s="568"/>
      <c r="FDJ1" s="568"/>
      <c r="FDK1" s="568"/>
      <c r="FDL1" s="568"/>
      <c r="FDM1" s="568"/>
      <c r="FDN1" s="568"/>
      <c r="FDO1" s="568"/>
      <c r="FDP1" s="568"/>
      <c r="FDQ1" s="568"/>
      <c r="FDR1" s="568"/>
      <c r="FDS1" s="568"/>
      <c r="FDT1" s="568"/>
      <c r="FDU1" s="568"/>
      <c r="FDV1" s="568"/>
      <c r="FDW1" s="568"/>
      <c r="FDX1" s="568"/>
      <c r="FDY1" s="568"/>
      <c r="FDZ1" s="568"/>
      <c r="FEA1" s="568"/>
      <c r="FEB1" s="568"/>
      <c r="FEC1" s="568"/>
      <c r="FED1" s="568"/>
      <c r="FEE1" s="568"/>
      <c r="FEF1" s="568"/>
      <c r="FEG1" s="568"/>
      <c r="FEH1" s="568"/>
      <c r="FEI1" s="568"/>
      <c r="FEJ1" s="568"/>
      <c r="FEK1" s="568"/>
      <c r="FEL1" s="568"/>
      <c r="FEM1" s="568"/>
      <c r="FEN1" s="568"/>
      <c r="FEO1" s="568"/>
      <c r="FEP1" s="568"/>
      <c r="FEQ1" s="568"/>
      <c r="FER1" s="568"/>
      <c r="FES1" s="568"/>
      <c r="FET1" s="568"/>
      <c r="FEU1" s="568"/>
      <c r="FEV1" s="568"/>
      <c r="FEW1" s="568"/>
      <c r="FEX1" s="568"/>
      <c r="FEY1" s="568"/>
      <c r="FEZ1" s="568"/>
      <c r="FFA1" s="568"/>
      <c r="FFB1" s="568"/>
      <c r="FFC1" s="568"/>
      <c r="FFD1" s="568"/>
      <c r="FFE1" s="568"/>
      <c r="FFF1" s="568"/>
      <c r="FFG1" s="568"/>
      <c r="FFH1" s="568"/>
      <c r="FFI1" s="568"/>
      <c r="FFJ1" s="568"/>
      <c r="FFK1" s="568"/>
      <c r="FFL1" s="568"/>
      <c r="FFM1" s="568"/>
      <c r="FFN1" s="568"/>
      <c r="FFO1" s="568"/>
      <c r="FFP1" s="568"/>
      <c r="FFQ1" s="568"/>
      <c r="FFR1" s="568"/>
      <c r="FFS1" s="568"/>
      <c r="FFT1" s="568"/>
      <c r="FFU1" s="568"/>
      <c r="FFV1" s="568"/>
      <c r="FFW1" s="568"/>
      <c r="FFX1" s="568"/>
      <c r="FFY1" s="568"/>
      <c r="FFZ1" s="568"/>
      <c r="FGA1" s="568"/>
      <c r="FGB1" s="568"/>
      <c r="FGC1" s="568"/>
      <c r="FGD1" s="568"/>
      <c r="FGE1" s="568"/>
      <c r="FGF1" s="568"/>
      <c r="FGG1" s="568"/>
      <c r="FGH1" s="568"/>
      <c r="FGI1" s="568"/>
      <c r="FGJ1" s="568"/>
      <c r="FGK1" s="568"/>
      <c r="FGL1" s="568"/>
      <c r="FGM1" s="568"/>
      <c r="FGN1" s="568"/>
      <c r="FGO1" s="568"/>
      <c r="FGP1" s="568"/>
      <c r="FGQ1" s="568"/>
      <c r="FGR1" s="568"/>
      <c r="FGS1" s="568"/>
      <c r="FGT1" s="568"/>
      <c r="FGU1" s="568"/>
      <c r="FGV1" s="568"/>
      <c r="FGW1" s="568"/>
      <c r="FGX1" s="568"/>
      <c r="FGY1" s="568"/>
      <c r="FGZ1" s="568"/>
      <c r="FHA1" s="568"/>
      <c r="FHB1" s="568"/>
      <c r="FHC1" s="568"/>
      <c r="FHD1" s="568"/>
      <c r="FHE1" s="568"/>
      <c r="FHF1" s="568"/>
      <c r="FHG1" s="568"/>
      <c r="FHH1" s="568"/>
      <c r="FHI1" s="568"/>
      <c r="FHJ1" s="568"/>
      <c r="FHK1" s="568"/>
      <c r="FHL1" s="568"/>
      <c r="FHM1" s="568"/>
      <c r="FHN1" s="568"/>
      <c r="FHO1" s="568"/>
      <c r="FHP1" s="568"/>
      <c r="FHQ1" s="568"/>
      <c r="FHR1" s="568"/>
      <c r="FHS1" s="568"/>
      <c r="FHT1" s="568"/>
      <c r="FHU1" s="568"/>
      <c r="FHV1" s="568"/>
      <c r="FHW1" s="568"/>
      <c r="FHX1" s="568"/>
      <c r="FHY1" s="568"/>
      <c r="FHZ1" s="568"/>
      <c r="FIA1" s="568"/>
      <c r="FIB1" s="568"/>
      <c r="FIC1" s="568"/>
      <c r="FID1" s="568"/>
      <c r="FIE1" s="568"/>
      <c r="FIF1" s="568"/>
      <c r="FIG1" s="568"/>
      <c r="FIH1" s="568"/>
      <c r="FII1" s="568"/>
      <c r="FIJ1" s="568"/>
      <c r="FIK1" s="568"/>
      <c r="FIL1" s="568"/>
      <c r="FIM1" s="568"/>
      <c r="FIN1" s="568"/>
      <c r="FIO1" s="568"/>
      <c r="FIP1" s="568"/>
      <c r="FIQ1" s="568"/>
      <c r="FIR1" s="568"/>
      <c r="FIS1" s="568"/>
      <c r="FIT1" s="568"/>
      <c r="FIU1" s="568"/>
      <c r="FIV1" s="568"/>
      <c r="FIW1" s="568"/>
      <c r="FIX1" s="568"/>
      <c r="FIY1" s="568"/>
      <c r="FIZ1" s="568"/>
      <c r="FJA1" s="568"/>
      <c r="FJB1" s="568"/>
      <c r="FJC1" s="568"/>
      <c r="FJD1" s="568"/>
      <c r="FJE1" s="568"/>
      <c r="FJF1" s="568"/>
      <c r="FJG1" s="568"/>
      <c r="FJH1" s="568"/>
      <c r="FJI1" s="568"/>
      <c r="FJJ1" s="568"/>
      <c r="FJK1" s="568"/>
      <c r="FJL1" s="568"/>
      <c r="FJM1" s="568"/>
      <c r="FJN1" s="568"/>
      <c r="FJO1" s="568"/>
      <c r="FJP1" s="568"/>
      <c r="FJQ1" s="568"/>
      <c r="FJR1" s="568"/>
      <c r="FJS1" s="568"/>
      <c r="FJT1" s="568"/>
      <c r="FJU1" s="568"/>
      <c r="FJV1" s="568"/>
      <c r="FJW1" s="568"/>
      <c r="FJX1" s="568"/>
      <c r="FJY1" s="568"/>
      <c r="FJZ1" s="568"/>
      <c r="FKA1" s="568"/>
      <c r="FKB1" s="568"/>
      <c r="FKC1" s="568"/>
      <c r="FKD1" s="568"/>
      <c r="FKE1" s="568"/>
      <c r="FKF1" s="568"/>
      <c r="FKG1" s="568"/>
      <c r="FKH1" s="568"/>
      <c r="FKI1" s="568"/>
      <c r="FKJ1" s="568"/>
      <c r="FKK1" s="568"/>
      <c r="FKL1" s="568"/>
      <c r="FKM1" s="568"/>
      <c r="FKN1" s="568"/>
      <c r="FKO1" s="568"/>
      <c r="FKP1" s="568"/>
      <c r="FKQ1" s="568"/>
      <c r="FKR1" s="568"/>
      <c r="FKS1" s="568"/>
      <c r="FKT1" s="568"/>
      <c r="FKU1" s="568"/>
      <c r="FKV1" s="568"/>
      <c r="FKW1" s="568"/>
      <c r="FKX1" s="568"/>
      <c r="FKY1" s="568"/>
      <c r="FKZ1" s="568"/>
      <c r="FLA1" s="568"/>
      <c r="FLB1" s="568"/>
      <c r="FLC1" s="568"/>
      <c r="FLD1" s="568"/>
      <c r="FLE1" s="568"/>
      <c r="FLF1" s="568"/>
      <c r="FLG1" s="568"/>
      <c r="FLH1" s="568"/>
      <c r="FLI1" s="568"/>
      <c r="FLJ1" s="568"/>
      <c r="FLK1" s="568"/>
      <c r="FLL1" s="568"/>
      <c r="FLM1" s="568"/>
      <c r="FLN1" s="568"/>
      <c r="FLO1" s="568"/>
      <c r="FLP1" s="568"/>
      <c r="FLQ1" s="568"/>
      <c r="FLR1" s="568"/>
      <c r="FLS1" s="568"/>
      <c r="FLT1" s="568"/>
      <c r="FLU1" s="568"/>
      <c r="FLV1" s="568"/>
      <c r="FLW1" s="568"/>
      <c r="FLX1" s="568"/>
      <c r="FLY1" s="568"/>
      <c r="FLZ1" s="568"/>
      <c r="FMA1" s="568"/>
      <c r="FMB1" s="568"/>
      <c r="FMC1" s="568"/>
      <c r="FMD1" s="568"/>
      <c r="FME1" s="568"/>
      <c r="FMF1" s="568"/>
      <c r="FMG1" s="568"/>
      <c r="FMH1" s="568"/>
      <c r="FMI1" s="568"/>
      <c r="FMJ1" s="568"/>
      <c r="FMK1" s="568"/>
      <c r="FML1" s="568"/>
      <c r="FMM1" s="568"/>
      <c r="FMN1" s="568"/>
      <c r="FMO1" s="568"/>
      <c r="FMP1" s="568"/>
      <c r="FMQ1" s="568"/>
      <c r="FMR1" s="568"/>
      <c r="FMS1" s="568"/>
      <c r="FMT1" s="568"/>
      <c r="FMU1" s="568"/>
      <c r="FMV1" s="568"/>
      <c r="FMW1" s="568"/>
      <c r="FMX1" s="568"/>
      <c r="FMY1" s="568"/>
      <c r="FMZ1" s="568"/>
      <c r="FNA1" s="568"/>
      <c r="FNB1" s="568"/>
      <c r="FNC1" s="568"/>
      <c r="FND1" s="568"/>
      <c r="FNE1" s="568"/>
      <c r="FNF1" s="568"/>
      <c r="FNG1" s="568"/>
      <c r="FNH1" s="568"/>
      <c r="FNI1" s="568"/>
      <c r="FNJ1" s="568"/>
      <c r="FNK1" s="568"/>
      <c r="FNL1" s="568"/>
      <c r="FNM1" s="568"/>
      <c r="FNN1" s="568"/>
      <c r="FNO1" s="568"/>
      <c r="FNP1" s="568"/>
      <c r="FNQ1" s="568"/>
      <c r="FNR1" s="568"/>
      <c r="FNS1" s="568"/>
      <c r="FNT1" s="568"/>
      <c r="FNU1" s="568"/>
      <c r="FNV1" s="568"/>
      <c r="FNW1" s="568"/>
      <c r="FNX1" s="568"/>
      <c r="FNY1" s="568"/>
      <c r="FNZ1" s="568"/>
      <c r="FOA1" s="568"/>
      <c r="FOB1" s="568"/>
      <c r="FOC1" s="568"/>
      <c r="FOD1" s="568"/>
      <c r="FOE1" s="568"/>
      <c r="FOF1" s="568"/>
      <c r="FOG1" s="568"/>
      <c r="FOH1" s="568"/>
      <c r="FOI1" s="568"/>
      <c r="FOJ1" s="568"/>
      <c r="FOK1" s="568"/>
      <c r="FOL1" s="568"/>
      <c r="FOM1" s="568"/>
      <c r="FON1" s="568"/>
      <c r="FOO1" s="568"/>
      <c r="FOP1" s="568"/>
      <c r="FOQ1" s="568"/>
      <c r="FOR1" s="568"/>
      <c r="FOS1" s="568"/>
      <c r="FOT1" s="568"/>
      <c r="FOU1" s="568"/>
      <c r="FOV1" s="568"/>
      <c r="FOW1" s="568"/>
      <c r="FOX1" s="568"/>
      <c r="FOY1" s="568"/>
      <c r="FOZ1" s="568"/>
      <c r="FPA1" s="568"/>
      <c r="FPB1" s="568"/>
      <c r="FPC1" s="568"/>
      <c r="FPD1" s="568"/>
      <c r="FPE1" s="568"/>
      <c r="FPF1" s="568"/>
      <c r="FPG1" s="568"/>
      <c r="FPH1" s="568"/>
      <c r="FPI1" s="568"/>
      <c r="FPJ1" s="568"/>
      <c r="FPK1" s="568"/>
      <c r="FPL1" s="568"/>
      <c r="FPM1" s="568"/>
      <c r="FPN1" s="568"/>
      <c r="FPO1" s="568"/>
      <c r="FPP1" s="568"/>
      <c r="FPQ1" s="568"/>
      <c r="FPR1" s="568"/>
      <c r="FPS1" s="568"/>
      <c r="FPT1" s="568"/>
      <c r="FPU1" s="568"/>
      <c r="FPV1" s="568"/>
      <c r="FPW1" s="568"/>
      <c r="FPX1" s="568"/>
      <c r="FPY1" s="568"/>
      <c r="FPZ1" s="568"/>
      <c r="FQA1" s="568"/>
      <c r="FQB1" s="568"/>
      <c r="FQC1" s="568"/>
      <c r="FQD1" s="568"/>
      <c r="FQE1" s="568"/>
      <c r="FQF1" s="568"/>
      <c r="FQG1" s="568"/>
      <c r="FQH1" s="568"/>
      <c r="FQI1" s="568"/>
      <c r="FQJ1" s="568"/>
      <c r="FQK1" s="568"/>
      <c r="FQL1" s="568"/>
      <c r="FQM1" s="568"/>
      <c r="FQN1" s="568"/>
      <c r="FQO1" s="568"/>
      <c r="FQP1" s="568"/>
      <c r="FQQ1" s="568"/>
      <c r="FQR1" s="568"/>
      <c r="FQS1" s="568"/>
      <c r="FQT1" s="568"/>
      <c r="FQU1" s="568"/>
      <c r="FQV1" s="568"/>
      <c r="FQW1" s="568"/>
      <c r="FQX1" s="568"/>
      <c r="FQY1" s="568"/>
      <c r="FQZ1" s="568"/>
      <c r="FRA1" s="568"/>
      <c r="FRB1" s="568"/>
      <c r="FRC1" s="568"/>
      <c r="FRD1" s="568"/>
      <c r="FRE1" s="568"/>
      <c r="FRF1" s="568"/>
      <c r="FRG1" s="568"/>
      <c r="FRH1" s="568"/>
      <c r="FRI1" s="568"/>
      <c r="FRJ1" s="568"/>
      <c r="FRK1" s="568"/>
      <c r="FRL1" s="568"/>
      <c r="FRM1" s="568"/>
      <c r="FRN1" s="568"/>
      <c r="FRO1" s="568"/>
      <c r="FRP1" s="568"/>
      <c r="FRQ1" s="568"/>
      <c r="FRR1" s="568"/>
      <c r="FRS1" s="568"/>
      <c r="FRT1" s="568"/>
      <c r="FRU1" s="568"/>
      <c r="FRV1" s="568"/>
      <c r="FRW1" s="568"/>
      <c r="FRX1" s="568"/>
      <c r="FRY1" s="568"/>
      <c r="FRZ1" s="568"/>
      <c r="FSA1" s="568"/>
      <c r="FSB1" s="568"/>
      <c r="FSC1" s="568"/>
      <c r="FSD1" s="568"/>
      <c r="FSE1" s="568"/>
      <c r="FSF1" s="568"/>
      <c r="FSG1" s="568"/>
      <c r="FSH1" s="568"/>
      <c r="FSI1" s="568"/>
      <c r="FSJ1" s="568"/>
      <c r="FSK1" s="568"/>
      <c r="FSL1" s="568"/>
      <c r="FSM1" s="568"/>
      <c r="FSN1" s="568"/>
      <c r="FSO1" s="568"/>
      <c r="FSP1" s="568"/>
      <c r="FSQ1" s="568"/>
      <c r="FSR1" s="568"/>
      <c r="FSS1" s="568"/>
      <c r="FST1" s="568"/>
      <c r="FSU1" s="568"/>
      <c r="FSV1" s="568"/>
      <c r="FSW1" s="568"/>
      <c r="FSX1" s="568"/>
      <c r="FSY1" s="568"/>
      <c r="FSZ1" s="568"/>
      <c r="FTA1" s="568"/>
      <c r="FTB1" s="568"/>
      <c r="FTC1" s="568"/>
      <c r="FTD1" s="568"/>
      <c r="FTE1" s="568"/>
      <c r="FTF1" s="568"/>
      <c r="FTG1" s="568"/>
      <c r="FTH1" s="568"/>
      <c r="FTI1" s="568"/>
      <c r="FTJ1" s="568"/>
      <c r="FTK1" s="568"/>
      <c r="FTL1" s="568"/>
      <c r="FTM1" s="568"/>
      <c r="FTN1" s="568"/>
      <c r="FTO1" s="568"/>
      <c r="FTP1" s="568"/>
      <c r="FTQ1" s="568"/>
      <c r="FTR1" s="568"/>
      <c r="FTS1" s="568"/>
      <c r="FTT1" s="568"/>
      <c r="FTU1" s="568"/>
      <c r="FTV1" s="568"/>
      <c r="FTW1" s="568"/>
      <c r="FTX1" s="568"/>
      <c r="FTY1" s="568"/>
      <c r="FTZ1" s="568"/>
      <c r="FUA1" s="568"/>
      <c r="FUB1" s="568"/>
      <c r="FUC1" s="568"/>
      <c r="FUD1" s="568"/>
      <c r="FUE1" s="568"/>
      <c r="FUF1" s="568"/>
      <c r="FUG1" s="568"/>
      <c r="FUH1" s="568"/>
      <c r="FUI1" s="568"/>
      <c r="FUJ1" s="568"/>
      <c r="FUK1" s="568"/>
      <c r="FUL1" s="568"/>
      <c r="FUM1" s="568"/>
      <c r="FUN1" s="568"/>
      <c r="FUO1" s="568"/>
      <c r="FUP1" s="568"/>
      <c r="FUQ1" s="568"/>
      <c r="FUR1" s="568"/>
      <c r="FUS1" s="568"/>
      <c r="FUT1" s="568"/>
      <c r="FUU1" s="568"/>
      <c r="FUV1" s="568"/>
      <c r="FUW1" s="568"/>
      <c r="FUX1" s="568"/>
      <c r="FUY1" s="568"/>
      <c r="FUZ1" s="568"/>
      <c r="FVA1" s="568"/>
      <c r="FVB1" s="568"/>
      <c r="FVC1" s="568"/>
      <c r="FVD1" s="568"/>
      <c r="FVE1" s="568"/>
      <c r="FVF1" s="568"/>
      <c r="FVG1" s="568"/>
      <c r="FVH1" s="568"/>
      <c r="FVI1" s="568"/>
      <c r="FVJ1" s="568"/>
      <c r="FVK1" s="568"/>
      <c r="FVL1" s="568"/>
      <c r="FVM1" s="568"/>
      <c r="FVN1" s="568"/>
      <c r="FVO1" s="568"/>
      <c r="FVP1" s="568"/>
      <c r="FVQ1" s="568"/>
      <c r="FVR1" s="568"/>
      <c r="FVS1" s="568"/>
      <c r="FVT1" s="568"/>
      <c r="FVU1" s="568"/>
      <c r="FVV1" s="568"/>
      <c r="FVW1" s="568"/>
      <c r="FVX1" s="568"/>
      <c r="FVY1" s="568"/>
      <c r="FVZ1" s="568"/>
      <c r="FWA1" s="568"/>
      <c r="FWB1" s="568"/>
      <c r="FWC1" s="568"/>
      <c r="FWD1" s="568"/>
      <c r="FWE1" s="568"/>
      <c r="FWF1" s="568"/>
      <c r="FWG1" s="568"/>
      <c r="FWH1" s="568"/>
      <c r="FWI1" s="568"/>
      <c r="FWJ1" s="568"/>
      <c r="FWK1" s="568"/>
      <c r="FWL1" s="568"/>
      <c r="FWM1" s="568"/>
      <c r="FWN1" s="568"/>
      <c r="FWO1" s="568"/>
      <c r="FWP1" s="568"/>
      <c r="FWQ1" s="568"/>
      <c r="FWR1" s="568"/>
      <c r="FWS1" s="568"/>
      <c r="FWT1" s="568"/>
      <c r="FWU1" s="568"/>
      <c r="FWV1" s="568"/>
      <c r="FWW1" s="568"/>
      <c r="FWX1" s="568"/>
      <c r="FWY1" s="568"/>
      <c r="FWZ1" s="568"/>
      <c r="FXA1" s="568"/>
      <c r="FXB1" s="568"/>
      <c r="FXC1" s="568"/>
      <c r="FXD1" s="568"/>
      <c r="FXE1" s="568"/>
      <c r="FXF1" s="568"/>
      <c r="FXG1" s="568"/>
      <c r="FXH1" s="568"/>
      <c r="FXI1" s="568"/>
      <c r="FXJ1" s="568"/>
      <c r="FXK1" s="568"/>
      <c r="FXL1" s="568"/>
      <c r="FXM1" s="568"/>
      <c r="FXN1" s="568"/>
      <c r="FXO1" s="568"/>
      <c r="FXP1" s="568"/>
      <c r="FXQ1" s="568"/>
      <c r="FXR1" s="568"/>
      <c r="FXS1" s="568"/>
      <c r="FXT1" s="568"/>
      <c r="FXU1" s="568"/>
      <c r="FXV1" s="568"/>
      <c r="FXW1" s="568"/>
      <c r="FXX1" s="568"/>
      <c r="FXY1" s="568"/>
      <c r="FXZ1" s="568"/>
      <c r="FYA1" s="568"/>
      <c r="FYB1" s="568"/>
      <c r="FYC1" s="568"/>
      <c r="FYD1" s="568"/>
      <c r="FYE1" s="568"/>
      <c r="FYF1" s="568"/>
      <c r="FYG1" s="568"/>
      <c r="FYH1" s="568"/>
      <c r="FYI1" s="568"/>
      <c r="FYJ1" s="568"/>
      <c r="FYK1" s="568"/>
      <c r="FYL1" s="568"/>
      <c r="FYM1" s="568"/>
      <c r="FYN1" s="568"/>
      <c r="FYO1" s="568"/>
      <c r="FYP1" s="568"/>
      <c r="FYQ1" s="568"/>
      <c r="FYR1" s="568"/>
      <c r="FYS1" s="568"/>
      <c r="FYT1" s="568"/>
      <c r="FYU1" s="568"/>
      <c r="FYV1" s="568"/>
      <c r="FYW1" s="568"/>
      <c r="FYX1" s="568"/>
      <c r="FYY1" s="568"/>
      <c r="FYZ1" s="568"/>
      <c r="FZA1" s="568"/>
      <c r="FZB1" s="568"/>
      <c r="FZC1" s="568"/>
      <c r="FZD1" s="568"/>
      <c r="FZE1" s="568"/>
      <c r="FZF1" s="568"/>
      <c r="FZG1" s="568"/>
      <c r="FZH1" s="568"/>
      <c r="FZI1" s="568"/>
      <c r="FZJ1" s="568"/>
      <c r="FZK1" s="568"/>
      <c r="FZL1" s="568"/>
      <c r="FZM1" s="568"/>
      <c r="FZN1" s="568"/>
      <c r="FZO1" s="568"/>
      <c r="FZP1" s="568"/>
      <c r="FZQ1" s="568"/>
      <c r="FZR1" s="568"/>
      <c r="FZS1" s="568"/>
      <c r="FZT1" s="568"/>
      <c r="FZU1" s="568"/>
      <c r="FZV1" s="568"/>
      <c r="FZW1" s="568"/>
      <c r="FZX1" s="568"/>
      <c r="FZY1" s="568"/>
      <c r="FZZ1" s="568"/>
      <c r="GAA1" s="568"/>
      <c r="GAB1" s="568"/>
      <c r="GAC1" s="568"/>
      <c r="GAD1" s="568"/>
      <c r="GAE1" s="568"/>
      <c r="GAF1" s="568"/>
      <c r="GAG1" s="568"/>
      <c r="GAH1" s="568"/>
      <c r="GAI1" s="568"/>
      <c r="GAJ1" s="568"/>
      <c r="GAK1" s="568"/>
      <c r="GAL1" s="568"/>
      <c r="GAM1" s="568"/>
      <c r="GAN1" s="568"/>
      <c r="GAO1" s="568"/>
      <c r="GAP1" s="568"/>
      <c r="GAQ1" s="568"/>
      <c r="GAR1" s="568"/>
      <c r="GAS1" s="568"/>
      <c r="GAT1" s="568"/>
      <c r="GAU1" s="568"/>
      <c r="GAV1" s="568"/>
      <c r="GAW1" s="568"/>
      <c r="GAX1" s="568"/>
      <c r="GAY1" s="568"/>
      <c r="GAZ1" s="568"/>
      <c r="GBA1" s="568"/>
      <c r="GBB1" s="568"/>
      <c r="GBC1" s="568"/>
      <c r="GBD1" s="568"/>
      <c r="GBE1" s="568"/>
      <c r="GBF1" s="568"/>
      <c r="GBG1" s="568"/>
      <c r="GBH1" s="568"/>
      <c r="GBI1" s="568"/>
      <c r="GBJ1" s="568"/>
      <c r="GBK1" s="568"/>
      <c r="GBL1" s="568"/>
      <c r="GBM1" s="568"/>
      <c r="GBN1" s="568"/>
      <c r="GBO1" s="568"/>
      <c r="GBP1" s="568"/>
      <c r="GBQ1" s="568"/>
      <c r="GBR1" s="568"/>
      <c r="GBS1" s="568"/>
      <c r="GBT1" s="568"/>
      <c r="GBU1" s="568"/>
      <c r="GBV1" s="568"/>
      <c r="GBW1" s="568"/>
      <c r="GBX1" s="568"/>
      <c r="GBY1" s="568"/>
      <c r="GBZ1" s="568"/>
      <c r="GCA1" s="568"/>
      <c r="GCB1" s="568"/>
      <c r="GCC1" s="568"/>
      <c r="GCD1" s="568"/>
      <c r="GCE1" s="568"/>
      <c r="GCF1" s="568"/>
      <c r="GCG1" s="568"/>
      <c r="GCH1" s="568"/>
      <c r="GCI1" s="568"/>
      <c r="GCJ1" s="568"/>
      <c r="GCK1" s="568"/>
      <c r="GCL1" s="568"/>
      <c r="GCM1" s="568"/>
      <c r="GCN1" s="568"/>
      <c r="GCO1" s="568"/>
      <c r="GCP1" s="568"/>
      <c r="GCQ1" s="568"/>
      <c r="GCR1" s="568"/>
      <c r="GCS1" s="568"/>
      <c r="GCT1" s="568"/>
      <c r="GCU1" s="568"/>
      <c r="GCV1" s="568"/>
      <c r="GCW1" s="568"/>
      <c r="GCX1" s="568"/>
      <c r="GCY1" s="568"/>
      <c r="GCZ1" s="568"/>
      <c r="GDA1" s="568"/>
      <c r="GDB1" s="568"/>
      <c r="GDC1" s="568"/>
      <c r="GDD1" s="568"/>
      <c r="GDE1" s="568"/>
      <c r="GDF1" s="568"/>
      <c r="GDG1" s="568"/>
      <c r="GDH1" s="568"/>
      <c r="GDI1" s="568"/>
      <c r="GDJ1" s="568"/>
      <c r="GDK1" s="568"/>
      <c r="GDL1" s="568"/>
      <c r="GDM1" s="568"/>
      <c r="GDN1" s="568"/>
      <c r="GDO1" s="568"/>
      <c r="GDP1" s="568"/>
      <c r="GDQ1" s="568"/>
      <c r="GDR1" s="568"/>
      <c r="GDS1" s="568"/>
      <c r="GDT1" s="568"/>
      <c r="GDU1" s="568"/>
      <c r="GDV1" s="568"/>
      <c r="GDW1" s="568"/>
      <c r="GDX1" s="568"/>
      <c r="GDY1" s="568"/>
      <c r="GDZ1" s="568"/>
      <c r="GEA1" s="568"/>
      <c r="GEB1" s="568"/>
      <c r="GEC1" s="568"/>
      <c r="GED1" s="568"/>
      <c r="GEE1" s="568"/>
      <c r="GEF1" s="568"/>
      <c r="GEG1" s="568"/>
      <c r="GEH1" s="568"/>
      <c r="GEI1" s="568"/>
      <c r="GEJ1" s="568"/>
      <c r="GEK1" s="568"/>
      <c r="GEL1" s="568"/>
      <c r="GEM1" s="568"/>
      <c r="GEN1" s="568"/>
      <c r="GEO1" s="568"/>
      <c r="GEP1" s="568"/>
      <c r="GEQ1" s="568"/>
      <c r="GER1" s="568"/>
      <c r="GES1" s="568"/>
      <c r="GET1" s="568"/>
      <c r="GEU1" s="568"/>
      <c r="GEV1" s="568"/>
      <c r="GEW1" s="568"/>
      <c r="GEX1" s="568"/>
      <c r="GEY1" s="568"/>
      <c r="GEZ1" s="568"/>
      <c r="GFA1" s="568"/>
      <c r="GFB1" s="568"/>
      <c r="GFC1" s="568"/>
      <c r="GFD1" s="568"/>
      <c r="GFE1" s="568"/>
      <c r="GFF1" s="568"/>
      <c r="GFG1" s="568"/>
      <c r="GFH1" s="568"/>
      <c r="GFI1" s="568"/>
      <c r="GFJ1" s="568"/>
      <c r="GFK1" s="568"/>
      <c r="GFL1" s="568"/>
      <c r="GFM1" s="568"/>
      <c r="GFN1" s="568"/>
      <c r="GFO1" s="568"/>
      <c r="GFP1" s="568"/>
      <c r="GFQ1" s="568"/>
      <c r="GFR1" s="568"/>
      <c r="GFS1" s="568"/>
      <c r="GFT1" s="568"/>
      <c r="GFU1" s="568"/>
      <c r="GFV1" s="568"/>
      <c r="GFW1" s="568"/>
      <c r="GFX1" s="568"/>
      <c r="GFY1" s="568"/>
      <c r="GFZ1" s="568"/>
      <c r="GGA1" s="568"/>
      <c r="GGB1" s="568"/>
      <c r="GGC1" s="568"/>
      <c r="GGD1" s="568"/>
      <c r="GGE1" s="568"/>
      <c r="GGF1" s="568"/>
      <c r="GGG1" s="568"/>
      <c r="GGH1" s="568"/>
      <c r="GGI1" s="568"/>
      <c r="GGJ1" s="568"/>
      <c r="GGK1" s="568"/>
      <c r="GGL1" s="568"/>
      <c r="GGM1" s="568"/>
      <c r="GGN1" s="568"/>
      <c r="GGO1" s="568"/>
      <c r="GGP1" s="568"/>
      <c r="GGQ1" s="568"/>
      <c r="GGR1" s="568"/>
      <c r="GGS1" s="568"/>
      <c r="GGT1" s="568"/>
      <c r="GGU1" s="568"/>
      <c r="GGV1" s="568"/>
      <c r="GGW1" s="568"/>
      <c r="GGX1" s="568"/>
      <c r="GGY1" s="568"/>
      <c r="GGZ1" s="568"/>
      <c r="GHA1" s="568"/>
      <c r="GHB1" s="568"/>
      <c r="GHC1" s="568"/>
      <c r="GHD1" s="568"/>
      <c r="GHE1" s="568"/>
      <c r="GHF1" s="568"/>
      <c r="GHG1" s="568"/>
      <c r="GHH1" s="568"/>
      <c r="GHI1" s="568"/>
      <c r="GHJ1" s="568"/>
      <c r="GHK1" s="568"/>
      <c r="GHL1" s="568"/>
      <c r="GHM1" s="568"/>
      <c r="GHN1" s="568"/>
      <c r="GHO1" s="568"/>
      <c r="GHP1" s="568"/>
      <c r="GHQ1" s="568"/>
      <c r="GHR1" s="568"/>
      <c r="GHS1" s="568"/>
      <c r="GHT1" s="568"/>
      <c r="GHU1" s="568"/>
      <c r="GHV1" s="568"/>
      <c r="GHW1" s="568"/>
      <c r="GHX1" s="568"/>
      <c r="GHY1" s="568"/>
      <c r="GHZ1" s="568"/>
      <c r="GIA1" s="568"/>
      <c r="GIB1" s="568"/>
      <c r="GIC1" s="568"/>
      <c r="GID1" s="568"/>
      <c r="GIE1" s="568"/>
      <c r="GIF1" s="568"/>
      <c r="GIG1" s="568"/>
      <c r="GIH1" s="568"/>
      <c r="GII1" s="568"/>
      <c r="GIJ1" s="568"/>
      <c r="GIK1" s="568"/>
      <c r="GIL1" s="568"/>
      <c r="GIM1" s="568"/>
      <c r="GIN1" s="568"/>
      <c r="GIO1" s="568"/>
      <c r="GIP1" s="568"/>
      <c r="GIQ1" s="568"/>
      <c r="GIR1" s="568"/>
      <c r="GIS1" s="568"/>
      <c r="GIT1" s="568"/>
      <c r="GIU1" s="568"/>
      <c r="GIV1" s="568"/>
      <c r="GIW1" s="568"/>
      <c r="GIX1" s="568"/>
      <c r="GIY1" s="568"/>
      <c r="GIZ1" s="568"/>
      <c r="GJA1" s="568"/>
      <c r="GJB1" s="568"/>
      <c r="GJC1" s="568"/>
      <c r="GJD1" s="568"/>
      <c r="GJE1" s="568"/>
      <c r="GJF1" s="568"/>
      <c r="GJG1" s="568"/>
      <c r="GJH1" s="568"/>
      <c r="GJI1" s="568"/>
      <c r="GJJ1" s="568"/>
      <c r="GJK1" s="568"/>
      <c r="GJL1" s="568"/>
      <c r="GJM1" s="568"/>
      <c r="GJN1" s="568"/>
      <c r="GJO1" s="568"/>
      <c r="GJP1" s="568"/>
      <c r="GJQ1" s="568"/>
      <c r="GJR1" s="568"/>
      <c r="GJS1" s="568"/>
      <c r="GJT1" s="568"/>
      <c r="GJU1" s="568"/>
      <c r="GJV1" s="568"/>
      <c r="GJW1" s="568"/>
      <c r="GJX1" s="568"/>
      <c r="GJY1" s="568"/>
      <c r="GJZ1" s="568"/>
      <c r="GKA1" s="568"/>
      <c r="GKB1" s="568"/>
      <c r="GKC1" s="568"/>
      <c r="GKD1" s="568"/>
      <c r="GKE1" s="568"/>
      <c r="GKF1" s="568"/>
      <c r="GKG1" s="568"/>
      <c r="GKH1" s="568"/>
      <c r="GKI1" s="568"/>
      <c r="GKJ1" s="568"/>
      <c r="GKK1" s="568"/>
      <c r="GKL1" s="568"/>
      <c r="GKM1" s="568"/>
      <c r="GKN1" s="568"/>
      <c r="GKO1" s="568"/>
      <c r="GKP1" s="568"/>
      <c r="GKQ1" s="568"/>
      <c r="GKR1" s="568"/>
      <c r="GKS1" s="568"/>
      <c r="GKT1" s="568"/>
      <c r="GKU1" s="568"/>
      <c r="GKV1" s="568"/>
      <c r="GKW1" s="568"/>
      <c r="GKX1" s="568"/>
      <c r="GKY1" s="568"/>
      <c r="GKZ1" s="568"/>
      <c r="GLA1" s="568"/>
      <c r="GLB1" s="568"/>
      <c r="GLC1" s="568"/>
      <c r="GLD1" s="568"/>
      <c r="GLE1" s="568"/>
      <c r="GLF1" s="568"/>
      <c r="GLG1" s="568"/>
      <c r="GLH1" s="568"/>
      <c r="GLI1" s="568"/>
      <c r="GLJ1" s="568"/>
      <c r="GLK1" s="568"/>
      <c r="GLL1" s="568"/>
      <c r="GLM1" s="568"/>
      <c r="GLN1" s="568"/>
      <c r="GLO1" s="568"/>
      <c r="GLP1" s="568"/>
      <c r="GLQ1" s="568"/>
      <c r="GLR1" s="568"/>
      <c r="GLS1" s="568"/>
      <c r="GLT1" s="568"/>
      <c r="GLU1" s="568"/>
      <c r="GLV1" s="568"/>
      <c r="GLW1" s="568"/>
      <c r="GLX1" s="568"/>
      <c r="GLY1" s="568"/>
      <c r="GLZ1" s="568"/>
      <c r="GMA1" s="568"/>
      <c r="GMB1" s="568"/>
      <c r="GMC1" s="568"/>
      <c r="GMD1" s="568"/>
      <c r="GME1" s="568"/>
      <c r="GMF1" s="568"/>
      <c r="GMG1" s="568"/>
      <c r="GMH1" s="568"/>
      <c r="GMI1" s="568"/>
      <c r="GMJ1" s="568"/>
      <c r="GMK1" s="568"/>
      <c r="GML1" s="568"/>
      <c r="GMM1" s="568"/>
      <c r="GMN1" s="568"/>
      <c r="GMO1" s="568"/>
      <c r="GMP1" s="568"/>
      <c r="GMQ1" s="568"/>
      <c r="GMR1" s="568"/>
      <c r="GMS1" s="568"/>
      <c r="GMT1" s="568"/>
      <c r="GMU1" s="568"/>
      <c r="GMV1" s="568"/>
      <c r="GMW1" s="568"/>
      <c r="GMX1" s="568"/>
      <c r="GMY1" s="568"/>
      <c r="GMZ1" s="568"/>
      <c r="GNA1" s="568"/>
      <c r="GNB1" s="568"/>
      <c r="GNC1" s="568"/>
      <c r="GND1" s="568"/>
      <c r="GNE1" s="568"/>
      <c r="GNF1" s="568"/>
      <c r="GNG1" s="568"/>
      <c r="GNH1" s="568"/>
      <c r="GNI1" s="568"/>
      <c r="GNJ1" s="568"/>
      <c r="GNK1" s="568"/>
      <c r="GNL1" s="568"/>
      <c r="GNM1" s="568"/>
      <c r="GNN1" s="568"/>
      <c r="GNO1" s="568"/>
      <c r="GNP1" s="568"/>
      <c r="GNQ1" s="568"/>
      <c r="GNR1" s="568"/>
      <c r="GNS1" s="568"/>
      <c r="GNT1" s="568"/>
      <c r="GNU1" s="568"/>
      <c r="GNV1" s="568"/>
      <c r="GNW1" s="568"/>
      <c r="GNX1" s="568"/>
      <c r="GNY1" s="568"/>
      <c r="GNZ1" s="568"/>
      <c r="GOA1" s="568"/>
      <c r="GOB1" s="568"/>
      <c r="GOC1" s="568"/>
      <c r="GOD1" s="568"/>
      <c r="GOE1" s="568"/>
      <c r="GOF1" s="568"/>
      <c r="GOG1" s="568"/>
      <c r="GOH1" s="568"/>
      <c r="GOI1" s="568"/>
      <c r="GOJ1" s="568"/>
      <c r="GOK1" s="568"/>
      <c r="GOL1" s="568"/>
      <c r="GOM1" s="568"/>
      <c r="GON1" s="568"/>
      <c r="GOO1" s="568"/>
      <c r="GOP1" s="568"/>
      <c r="GOQ1" s="568"/>
      <c r="GOR1" s="568"/>
      <c r="GOS1" s="568"/>
      <c r="GOT1" s="568"/>
      <c r="GOU1" s="568"/>
      <c r="GOV1" s="568"/>
      <c r="GOW1" s="568"/>
      <c r="GOX1" s="568"/>
      <c r="GOY1" s="568"/>
      <c r="GOZ1" s="568"/>
      <c r="GPA1" s="568"/>
      <c r="GPB1" s="568"/>
      <c r="GPC1" s="568"/>
      <c r="GPD1" s="568"/>
      <c r="GPE1" s="568"/>
      <c r="GPF1" s="568"/>
      <c r="GPG1" s="568"/>
      <c r="GPH1" s="568"/>
      <c r="GPI1" s="568"/>
      <c r="GPJ1" s="568"/>
      <c r="GPK1" s="568"/>
      <c r="GPL1" s="568"/>
      <c r="GPM1" s="568"/>
      <c r="GPN1" s="568"/>
      <c r="GPO1" s="568"/>
      <c r="GPP1" s="568"/>
      <c r="GPQ1" s="568"/>
      <c r="GPR1" s="568"/>
      <c r="GPS1" s="568"/>
      <c r="GPT1" s="568"/>
      <c r="GPU1" s="568"/>
      <c r="GPV1" s="568"/>
      <c r="GPW1" s="568"/>
      <c r="GPX1" s="568"/>
      <c r="GPY1" s="568"/>
      <c r="GPZ1" s="568"/>
      <c r="GQA1" s="568"/>
      <c r="GQB1" s="568"/>
      <c r="GQC1" s="568"/>
      <c r="GQD1" s="568"/>
      <c r="GQE1" s="568"/>
      <c r="GQF1" s="568"/>
      <c r="GQG1" s="568"/>
      <c r="GQH1" s="568"/>
      <c r="GQI1" s="568"/>
      <c r="GQJ1" s="568"/>
      <c r="GQK1" s="568"/>
      <c r="GQL1" s="568"/>
      <c r="GQM1" s="568"/>
      <c r="GQN1" s="568"/>
      <c r="GQO1" s="568"/>
      <c r="GQP1" s="568"/>
      <c r="GQQ1" s="568"/>
      <c r="GQR1" s="568"/>
      <c r="GQS1" s="568"/>
      <c r="GQT1" s="568"/>
      <c r="GQU1" s="568"/>
      <c r="GQV1" s="568"/>
      <c r="GQW1" s="568"/>
      <c r="GQX1" s="568"/>
      <c r="GQY1" s="568"/>
      <c r="GQZ1" s="568"/>
      <c r="GRA1" s="568"/>
      <c r="GRB1" s="568"/>
      <c r="GRC1" s="568"/>
      <c r="GRD1" s="568"/>
      <c r="GRE1" s="568"/>
      <c r="GRF1" s="568"/>
      <c r="GRG1" s="568"/>
      <c r="GRH1" s="568"/>
      <c r="GRI1" s="568"/>
      <c r="GRJ1" s="568"/>
      <c r="GRK1" s="568"/>
      <c r="GRL1" s="568"/>
      <c r="GRM1" s="568"/>
      <c r="GRN1" s="568"/>
      <c r="GRO1" s="568"/>
      <c r="GRP1" s="568"/>
      <c r="GRQ1" s="568"/>
      <c r="GRR1" s="568"/>
      <c r="GRS1" s="568"/>
      <c r="GRT1" s="568"/>
      <c r="GRU1" s="568"/>
      <c r="GRV1" s="568"/>
      <c r="GRW1" s="568"/>
      <c r="GRX1" s="568"/>
      <c r="GRY1" s="568"/>
      <c r="GRZ1" s="568"/>
      <c r="GSA1" s="568"/>
      <c r="GSB1" s="568"/>
      <c r="GSC1" s="568"/>
      <c r="GSD1" s="568"/>
      <c r="GSE1" s="568"/>
      <c r="GSF1" s="568"/>
      <c r="GSG1" s="568"/>
      <c r="GSH1" s="568"/>
      <c r="GSI1" s="568"/>
      <c r="GSJ1" s="568"/>
      <c r="GSK1" s="568"/>
      <c r="GSL1" s="568"/>
      <c r="GSM1" s="568"/>
      <c r="GSN1" s="568"/>
      <c r="GSO1" s="568"/>
      <c r="GSP1" s="568"/>
      <c r="GSQ1" s="568"/>
      <c r="GSR1" s="568"/>
      <c r="GSS1" s="568"/>
      <c r="GST1" s="568"/>
      <c r="GSU1" s="568"/>
      <c r="GSV1" s="568"/>
      <c r="GSW1" s="568"/>
      <c r="GSX1" s="568"/>
      <c r="GSY1" s="568"/>
      <c r="GSZ1" s="568"/>
      <c r="GTA1" s="568"/>
      <c r="GTB1" s="568"/>
      <c r="GTC1" s="568"/>
      <c r="GTD1" s="568"/>
      <c r="GTE1" s="568"/>
      <c r="GTF1" s="568"/>
      <c r="GTG1" s="568"/>
      <c r="GTH1" s="568"/>
      <c r="GTI1" s="568"/>
      <c r="GTJ1" s="568"/>
      <c r="GTK1" s="568"/>
      <c r="GTL1" s="568"/>
      <c r="GTM1" s="568"/>
      <c r="GTN1" s="568"/>
      <c r="GTO1" s="568"/>
      <c r="GTP1" s="568"/>
      <c r="GTQ1" s="568"/>
      <c r="GTR1" s="568"/>
      <c r="GTS1" s="568"/>
      <c r="GTT1" s="568"/>
      <c r="GTU1" s="568"/>
      <c r="GTV1" s="568"/>
      <c r="GTW1" s="568"/>
      <c r="GTX1" s="568"/>
      <c r="GTY1" s="568"/>
      <c r="GTZ1" s="568"/>
      <c r="GUA1" s="568"/>
      <c r="GUB1" s="568"/>
      <c r="GUC1" s="568"/>
      <c r="GUD1" s="568"/>
      <c r="GUE1" s="568"/>
      <c r="GUF1" s="568"/>
      <c r="GUG1" s="568"/>
      <c r="GUH1" s="568"/>
      <c r="GUI1" s="568"/>
      <c r="GUJ1" s="568"/>
      <c r="GUK1" s="568"/>
      <c r="GUL1" s="568"/>
      <c r="GUM1" s="568"/>
      <c r="GUN1" s="568"/>
      <c r="GUO1" s="568"/>
      <c r="GUP1" s="568"/>
      <c r="GUQ1" s="568"/>
      <c r="GUR1" s="568"/>
      <c r="GUS1" s="568"/>
      <c r="GUT1" s="568"/>
      <c r="GUU1" s="568"/>
      <c r="GUV1" s="568"/>
      <c r="GUW1" s="568"/>
      <c r="GUX1" s="568"/>
      <c r="GUY1" s="568"/>
      <c r="GUZ1" s="568"/>
      <c r="GVA1" s="568"/>
      <c r="GVB1" s="568"/>
      <c r="GVC1" s="568"/>
      <c r="GVD1" s="568"/>
      <c r="GVE1" s="568"/>
      <c r="GVF1" s="568"/>
      <c r="GVG1" s="568"/>
      <c r="GVH1" s="568"/>
      <c r="GVI1" s="568"/>
      <c r="GVJ1" s="568"/>
      <c r="GVK1" s="568"/>
      <c r="GVL1" s="568"/>
      <c r="GVM1" s="568"/>
      <c r="GVN1" s="568"/>
      <c r="GVO1" s="568"/>
      <c r="GVP1" s="568"/>
      <c r="GVQ1" s="568"/>
      <c r="GVR1" s="568"/>
      <c r="GVS1" s="568"/>
      <c r="GVT1" s="568"/>
      <c r="GVU1" s="568"/>
      <c r="GVV1" s="568"/>
      <c r="GVW1" s="568"/>
      <c r="GVX1" s="568"/>
      <c r="GVY1" s="568"/>
      <c r="GVZ1" s="568"/>
      <c r="GWA1" s="568"/>
      <c r="GWB1" s="568"/>
      <c r="GWC1" s="568"/>
      <c r="GWD1" s="568"/>
      <c r="GWE1" s="568"/>
      <c r="GWF1" s="568"/>
      <c r="GWG1" s="568"/>
      <c r="GWH1" s="568"/>
      <c r="GWI1" s="568"/>
      <c r="GWJ1" s="568"/>
      <c r="GWK1" s="568"/>
      <c r="GWL1" s="568"/>
      <c r="GWM1" s="568"/>
      <c r="GWN1" s="568"/>
      <c r="GWO1" s="568"/>
      <c r="GWP1" s="568"/>
      <c r="GWQ1" s="568"/>
      <c r="GWR1" s="568"/>
      <c r="GWS1" s="568"/>
      <c r="GWT1" s="568"/>
      <c r="GWU1" s="568"/>
      <c r="GWV1" s="568"/>
      <c r="GWW1" s="568"/>
      <c r="GWX1" s="568"/>
      <c r="GWY1" s="568"/>
      <c r="GWZ1" s="568"/>
      <c r="GXA1" s="568"/>
      <c r="GXB1" s="568"/>
      <c r="GXC1" s="568"/>
      <c r="GXD1" s="568"/>
      <c r="GXE1" s="568"/>
      <c r="GXF1" s="568"/>
      <c r="GXG1" s="568"/>
      <c r="GXH1" s="568"/>
      <c r="GXI1" s="568"/>
      <c r="GXJ1" s="568"/>
      <c r="GXK1" s="568"/>
      <c r="GXL1" s="568"/>
      <c r="GXM1" s="568"/>
      <c r="GXN1" s="568"/>
      <c r="GXO1" s="568"/>
      <c r="GXP1" s="568"/>
      <c r="GXQ1" s="568"/>
      <c r="GXR1" s="568"/>
      <c r="GXS1" s="568"/>
      <c r="GXT1" s="568"/>
      <c r="GXU1" s="568"/>
      <c r="GXV1" s="568"/>
      <c r="GXW1" s="568"/>
      <c r="GXX1" s="568"/>
      <c r="GXY1" s="568"/>
      <c r="GXZ1" s="568"/>
      <c r="GYA1" s="568"/>
      <c r="GYB1" s="568"/>
      <c r="GYC1" s="568"/>
      <c r="GYD1" s="568"/>
      <c r="GYE1" s="568"/>
      <c r="GYF1" s="568"/>
      <c r="GYG1" s="568"/>
      <c r="GYH1" s="568"/>
      <c r="GYI1" s="568"/>
      <c r="GYJ1" s="568"/>
      <c r="GYK1" s="568"/>
      <c r="GYL1" s="568"/>
      <c r="GYM1" s="568"/>
      <c r="GYN1" s="568"/>
      <c r="GYO1" s="568"/>
      <c r="GYP1" s="568"/>
      <c r="GYQ1" s="568"/>
      <c r="GYR1" s="568"/>
      <c r="GYS1" s="568"/>
      <c r="GYT1" s="568"/>
      <c r="GYU1" s="568"/>
      <c r="GYV1" s="568"/>
      <c r="GYW1" s="568"/>
      <c r="GYX1" s="568"/>
      <c r="GYY1" s="568"/>
      <c r="GYZ1" s="568"/>
      <c r="GZA1" s="568"/>
      <c r="GZB1" s="568"/>
      <c r="GZC1" s="568"/>
      <c r="GZD1" s="568"/>
      <c r="GZE1" s="568"/>
      <c r="GZF1" s="568"/>
      <c r="GZG1" s="568"/>
      <c r="GZH1" s="568"/>
      <c r="GZI1" s="568"/>
      <c r="GZJ1" s="568"/>
      <c r="GZK1" s="568"/>
      <c r="GZL1" s="568"/>
      <c r="GZM1" s="568"/>
      <c r="GZN1" s="568"/>
      <c r="GZO1" s="568"/>
      <c r="GZP1" s="568"/>
      <c r="GZQ1" s="568"/>
      <c r="GZR1" s="568"/>
      <c r="GZS1" s="568"/>
      <c r="GZT1" s="568"/>
      <c r="GZU1" s="568"/>
      <c r="GZV1" s="568"/>
      <c r="GZW1" s="568"/>
      <c r="GZX1" s="568"/>
      <c r="GZY1" s="568"/>
      <c r="GZZ1" s="568"/>
      <c r="HAA1" s="568"/>
      <c r="HAB1" s="568"/>
      <c r="HAC1" s="568"/>
      <c r="HAD1" s="568"/>
      <c r="HAE1" s="568"/>
      <c r="HAF1" s="568"/>
      <c r="HAG1" s="568"/>
      <c r="HAH1" s="568"/>
      <c r="HAI1" s="568"/>
      <c r="HAJ1" s="568"/>
      <c r="HAK1" s="568"/>
      <c r="HAL1" s="568"/>
      <c r="HAM1" s="568"/>
      <c r="HAN1" s="568"/>
      <c r="HAO1" s="568"/>
      <c r="HAP1" s="568"/>
      <c r="HAQ1" s="568"/>
      <c r="HAR1" s="568"/>
      <c r="HAS1" s="568"/>
      <c r="HAT1" s="568"/>
      <c r="HAU1" s="568"/>
      <c r="HAV1" s="568"/>
      <c r="HAW1" s="568"/>
      <c r="HAX1" s="568"/>
      <c r="HAY1" s="568"/>
      <c r="HAZ1" s="568"/>
      <c r="HBA1" s="568"/>
      <c r="HBB1" s="568"/>
      <c r="HBC1" s="568"/>
      <c r="HBD1" s="568"/>
      <c r="HBE1" s="568"/>
      <c r="HBF1" s="568"/>
      <c r="HBG1" s="568"/>
      <c r="HBH1" s="568"/>
      <c r="HBI1" s="568"/>
      <c r="HBJ1" s="568"/>
      <c r="HBK1" s="568"/>
      <c r="HBL1" s="568"/>
      <c r="HBM1" s="568"/>
      <c r="HBN1" s="568"/>
      <c r="HBO1" s="568"/>
      <c r="HBP1" s="568"/>
      <c r="HBQ1" s="568"/>
      <c r="HBR1" s="568"/>
      <c r="HBS1" s="568"/>
      <c r="HBT1" s="568"/>
      <c r="HBU1" s="568"/>
      <c r="HBV1" s="568"/>
      <c r="HBW1" s="568"/>
      <c r="HBX1" s="568"/>
      <c r="HBY1" s="568"/>
      <c r="HBZ1" s="568"/>
      <c r="HCA1" s="568"/>
      <c r="HCB1" s="568"/>
      <c r="HCC1" s="568"/>
      <c r="HCD1" s="568"/>
      <c r="HCE1" s="568"/>
      <c r="HCF1" s="568"/>
      <c r="HCG1" s="568"/>
      <c r="HCH1" s="568"/>
      <c r="HCI1" s="568"/>
      <c r="HCJ1" s="568"/>
      <c r="HCK1" s="568"/>
      <c r="HCL1" s="568"/>
      <c r="HCM1" s="568"/>
      <c r="HCN1" s="568"/>
      <c r="HCO1" s="568"/>
      <c r="HCP1" s="568"/>
      <c r="HCQ1" s="568"/>
      <c r="HCR1" s="568"/>
      <c r="HCS1" s="568"/>
      <c r="HCT1" s="568"/>
      <c r="HCU1" s="568"/>
      <c r="HCV1" s="568"/>
      <c r="HCW1" s="568"/>
      <c r="HCX1" s="568"/>
      <c r="HCY1" s="568"/>
      <c r="HCZ1" s="568"/>
      <c r="HDA1" s="568"/>
      <c r="HDB1" s="568"/>
      <c r="HDC1" s="568"/>
      <c r="HDD1" s="568"/>
      <c r="HDE1" s="568"/>
      <c r="HDF1" s="568"/>
      <c r="HDG1" s="568"/>
      <c r="HDH1" s="568"/>
      <c r="HDI1" s="568"/>
      <c r="HDJ1" s="568"/>
      <c r="HDK1" s="568"/>
      <c r="HDL1" s="568"/>
      <c r="HDM1" s="568"/>
      <c r="HDN1" s="568"/>
      <c r="HDO1" s="568"/>
      <c r="HDP1" s="568"/>
      <c r="HDQ1" s="568"/>
      <c r="HDR1" s="568"/>
      <c r="HDS1" s="568"/>
      <c r="HDT1" s="568"/>
      <c r="HDU1" s="568"/>
      <c r="HDV1" s="568"/>
      <c r="HDW1" s="568"/>
      <c r="HDX1" s="568"/>
      <c r="HDY1" s="568"/>
      <c r="HDZ1" s="568"/>
      <c r="HEA1" s="568"/>
      <c r="HEB1" s="568"/>
      <c r="HEC1" s="568"/>
      <c r="HED1" s="568"/>
      <c r="HEE1" s="568"/>
      <c r="HEF1" s="568"/>
      <c r="HEG1" s="568"/>
      <c r="HEH1" s="568"/>
      <c r="HEI1" s="568"/>
      <c r="HEJ1" s="568"/>
      <c r="HEK1" s="568"/>
      <c r="HEL1" s="568"/>
      <c r="HEM1" s="568"/>
      <c r="HEN1" s="568"/>
      <c r="HEO1" s="568"/>
      <c r="HEP1" s="568"/>
      <c r="HEQ1" s="568"/>
      <c r="HER1" s="568"/>
      <c r="HES1" s="568"/>
      <c r="HET1" s="568"/>
      <c r="HEU1" s="568"/>
      <c r="HEV1" s="568"/>
      <c r="HEW1" s="568"/>
      <c r="HEX1" s="568"/>
      <c r="HEY1" s="568"/>
      <c r="HEZ1" s="568"/>
      <c r="HFA1" s="568"/>
      <c r="HFB1" s="568"/>
      <c r="HFC1" s="568"/>
      <c r="HFD1" s="568"/>
      <c r="HFE1" s="568"/>
      <c r="HFF1" s="568"/>
      <c r="HFG1" s="568"/>
      <c r="HFH1" s="568"/>
      <c r="HFI1" s="568"/>
      <c r="HFJ1" s="568"/>
      <c r="HFK1" s="568"/>
      <c r="HFL1" s="568"/>
      <c r="HFM1" s="568"/>
      <c r="HFN1" s="568"/>
      <c r="HFO1" s="568"/>
      <c r="HFP1" s="568"/>
      <c r="HFQ1" s="568"/>
      <c r="HFR1" s="568"/>
      <c r="HFS1" s="568"/>
      <c r="HFT1" s="568"/>
      <c r="HFU1" s="568"/>
      <c r="HFV1" s="568"/>
      <c r="HFW1" s="568"/>
      <c r="HFX1" s="568"/>
      <c r="HFY1" s="568"/>
      <c r="HFZ1" s="568"/>
      <c r="HGA1" s="568"/>
      <c r="HGB1" s="568"/>
      <c r="HGC1" s="568"/>
      <c r="HGD1" s="568"/>
      <c r="HGE1" s="568"/>
      <c r="HGF1" s="568"/>
      <c r="HGG1" s="568"/>
      <c r="HGH1" s="568"/>
      <c r="HGI1" s="568"/>
      <c r="HGJ1" s="568"/>
      <c r="HGK1" s="568"/>
      <c r="HGL1" s="568"/>
      <c r="HGM1" s="568"/>
      <c r="HGN1" s="568"/>
      <c r="HGO1" s="568"/>
      <c r="HGP1" s="568"/>
      <c r="HGQ1" s="568"/>
      <c r="HGR1" s="568"/>
      <c r="HGS1" s="568"/>
      <c r="HGT1" s="568"/>
      <c r="HGU1" s="568"/>
      <c r="HGV1" s="568"/>
      <c r="HGW1" s="568"/>
      <c r="HGX1" s="568"/>
      <c r="HGY1" s="568"/>
      <c r="HGZ1" s="568"/>
      <c r="HHA1" s="568"/>
      <c r="HHB1" s="568"/>
      <c r="HHC1" s="568"/>
      <c r="HHD1" s="568"/>
      <c r="HHE1" s="568"/>
      <c r="HHF1" s="568"/>
      <c r="HHG1" s="568"/>
      <c r="HHH1" s="568"/>
      <c r="HHI1" s="568"/>
      <c r="HHJ1" s="568"/>
      <c r="HHK1" s="568"/>
      <c r="HHL1" s="568"/>
      <c r="HHM1" s="568"/>
      <c r="HHN1" s="568"/>
      <c r="HHO1" s="568"/>
      <c r="HHP1" s="568"/>
      <c r="HHQ1" s="568"/>
      <c r="HHR1" s="568"/>
      <c r="HHS1" s="568"/>
      <c r="HHT1" s="568"/>
      <c r="HHU1" s="568"/>
      <c r="HHV1" s="568"/>
      <c r="HHW1" s="568"/>
      <c r="HHX1" s="568"/>
      <c r="HHY1" s="568"/>
      <c r="HHZ1" s="568"/>
      <c r="HIA1" s="568"/>
      <c r="HIB1" s="568"/>
      <c r="HIC1" s="568"/>
      <c r="HID1" s="568"/>
      <c r="HIE1" s="568"/>
      <c r="HIF1" s="568"/>
      <c r="HIG1" s="568"/>
      <c r="HIH1" s="568"/>
      <c r="HII1" s="568"/>
      <c r="HIJ1" s="568"/>
      <c r="HIK1" s="568"/>
      <c r="HIL1" s="568"/>
      <c r="HIM1" s="568"/>
      <c r="HIN1" s="568"/>
      <c r="HIO1" s="568"/>
      <c r="HIP1" s="568"/>
      <c r="HIQ1" s="568"/>
      <c r="HIR1" s="568"/>
      <c r="HIS1" s="568"/>
      <c r="HIT1" s="568"/>
      <c r="HIU1" s="568"/>
      <c r="HIV1" s="568"/>
      <c r="HIW1" s="568"/>
      <c r="HIX1" s="568"/>
      <c r="HIY1" s="568"/>
      <c r="HIZ1" s="568"/>
      <c r="HJA1" s="568"/>
      <c r="HJB1" s="568"/>
      <c r="HJC1" s="568"/>
      <c r="HJD1" s="568"/>
      <c r="HJE1" s="568"/>
      <c r="HJF1" s="568"/>
      <c r="HJG1" s="568"/>
      <c r="HJH1" s="568"/>
      <c r="HJI1" s="568"/>
      <c r="HJJ1" s="568"/>
      <c r="HJK1" s="568"/>
      <c r="HJL1" s="568"/>
      <c r="HJM1" s="568"/>
      <c r="HJN1" s="568"/>
      <c r="HJO1" s="568"/>
      <c r="HJP1" s="568"/>
      <c r="HJQ1" s="568"/>
      <c r="HJR1" s="568"/>
      <c r="HJS1" s="568"/>
      <c r="HJT1" s="568"/>
      <c r="HJU1" s="568"/>
      <c r="HJV1" s="568"/>
      <c r="HJW1" s="568"/>
      <c r="HJX1" s="568"/>
      <c r="HJY1" s="568"/>
      <c r="HJZ1" s="568"/>
      <c r="HKA1" s="568"/>
      <c r="HKB1" s="568"/>
      <c r="HKC1" s="568"/>
      <c r="HKD1" s="568"/>
      <c r="HKE1" s="568"/>
      <c r="HKF1" s="568"/>
      <c r="HKG1" s="568"/>
      <c r="HKH1" s="568"/>
      <c r="HKI1" s="568"/>
      <c r="HKJ1" s="568"/>
      <c r="HKK1" s="568"/>
      <c r="HKL1" s="568"/>
      <c r="HKM1" s="568"/>
      <c r="HKN1" s="568"/>
      <c r="HKO1" s="568"/>
      <c r="HKP1" s="568"/>
      <c r="HKQ1" s="568"/>
      <c r="HKR1" s="568"/>
      <c r="HKS1" s="568"/>
      <c r="HKT1" s="568"/>
      <c r="HKU1" s="568"/>
      <c r="HKV1" s="568"/>
      <c r="HKW1" s="568"/>
      <c r="HKX1" s="568"/>
      <c r="HKY1" s="568"/>
      <c r="HKZ1" s="568"/>
      <c r="HLA1" s="568"/>
      <c r="HLB1" s="568"/>
      <c r="HLC1" s="568"/>
      <c r="HLD1" s="568"/>
      <c r="HLE1" s="568"/>
      <c r="HLF1" s="568"/>
      <c r="HLG1" s="568"/>
      <c r="HLH1" s="568"/>
      <c r="HLI1" s="568"/>
      <c r="HLJ1" s="568"/>
      <c r="HLK1" s="568"/>
      <c r="HLL1" s="568"/>
      <c r="HLM1" s="568"/>
      <c r="HLN1" s="568"/>
      <c r="HLO1" s="568"/>
      <c r="HLP1" s="568"/>
      <c r="HLQ1" s="568"/>
      <c r="HLR1" s="568"/>
      <c r="HLS1" s="568"/>
      <c r="HLT1" s="568"/>
      <c r="HLU1" s="568"/>
      <c r="HLV1" s="568"/>
      <c r="HLW1" s="568"/>
      <c r="HLX1" s="568"/>
      <c r="HLY1" s="568"/>
      <c r="HLZ1" s="568"/>
      <c r="HMA1" s="568"/>
      <c r="HMB1" s="568"/>
      <c r="HMC1" s="568"/>
      <c r="HMD1" s="568"/>
      <c r="HME1" s="568"/>
      <c r="HMF1" s="568"/>
      <c r="HMG1" s="568"/>
      <c r="HMH1" s="568"/>
      <c r="HMI1" s="568"/>
      <c r="HMJ1" s="568"/>
      <c r="HMK1" s="568"/>
      <c r="HML1" s="568"/>
      <c r="HMM1" s="568"/>
      <c r="HMN1" s="568"/>
      <c r="HMO1" s="568"/>
      <c r="HMP1" s="568"/>
      <c r="HMQ1" s="568"/>
      <c r="HMR1" s="568"/>
      <c r="HMS1" s="568"/>
      <c r="HMT1" s="568"/>
      <c r="HMU1" s="568"/>
      <c r="HMV1" s="568"/>
      <c r="HMW1" s="568"/>
      <c r="HMX1" s="568"/>
      <c r="HMY1" s="568"/>
      <c r="HMZ1" s="568"/>
      <c r="HNA1" s="568"/>
      <c r="HNB1" s="568"/>
      <c r="HNC1" s="568"/>
      <c r="HND1" s="568"/>
      <c r="HNE1" s="568"/>
      <c r="HNF1" s="568"/>
      <c r="HNG1" s="568"/>
      <c r="HNH1" s="568"/>
      <c r="HNI1" s="568"/>
      <c r="HNJ1" s="568"/>
      <c r="HNK1" s="568"/>
      <c r="HNL1" s="568"/>
      <c r="HNM1" s="568"/>
      <c r="HNN1" s="568"/>
      <c r="HNO1" s="568"/>
      <c r="HNP1" s="568"/>
      <c r="HNQ1" s="568"/>
      <c r="HNR1" s="568"/>
      <c r="HNS1" s="568"/>
      <c r="HNT1" s="568"/>
      <c r="HNU1" s="568"/>
      <c r="HNV1" s="568"/>
      <c r="HNW1" s="568"/>
      <c r="HNX1" s="568"/>
      <c r="HNY1" s="568"/>
      <c r="HNZ1" s="568"/>
      <c r="HOA1" s="568"/>
      <c r="HOB1" s="568"/>
      <c r="HOC1" s="568"/>
      <c r="HOD1" s="568"/>
      <c r="HOE1" s="568"/>
      <c r="HOF1" s="568"/>
      <c r="HOG1" s="568"/>
      <c r="HOH1" s="568"/>
      <c r="HOI1" s="568"/>
      <c r="HOJ1" s="568"/>
      <c r="HOK1" s="568"/>
      <c r="HOL1" s="568"/>
      <c r="HOM1" s="568"/>
      <c r="HON1" s="568"/>
      <c r="HOO1" s="568"/>
      <c r="HOP1" s="568"/>
      <c r="HOQ1" s="568"/>
      <c r="HOR1" s="568"/>
      <c r="HOS1" s="568"/>
      <c r="HOT1" s="568"/>
      <c r="HOU1" s="568"/>
      <c r="HOV1" s="568"/>
      <c r="HOW1" s="568"/>
      <c r="HOX1" s="568"/>
      <c r="HOY1" s="568"/>
      <c r="HOZ1" s="568"/>
      <c r="HPA1" s="568"/>
      <c r="HPB1" s="568"/>
      <c r="HPC1" s="568"/>
      <c r="HPD1" s="568"/>
      <c r="HPE1" s="568"/>
      <c r="HPF1" s="568"/>
      <c r="HPG1" s="568"/>
      <c r="HPH1" s="568"/>
      <c r="HPI1" s="568"/>
      <c r="HPJ1" s="568"/>
      <c r="HPK1" s="568"/>
      <c r="HPL1" s="568"/>
      <c r="HPM1" s="568"/>
      <c r="HPN1" s="568"/>
      <c r="HPO1" s="568"/>
      <c r="HPP1" s="568"/>
      <c r="HPQ1" s="568"/>
      <c r="HPR1" s="568"/>
      <c r="HPS1" s="568"/>
      <c r="HPT1" s="568"/>
      <c r="HPU1" s="568"/>
      <c r="HPV1" s="568"/>
      <c r="HPW1" s="568"/>
      <c r="HPX1" s="568"/>
      <c r="HPY1" s="568"/>
      <c r="HPZ1" s="568"/>
      <c r="HQA1" s="568"/>
      <c r="HQB1" s="568"/>
      <c r="HQC1" s="568"/>
      <c r="HQD1" s="568"/>
      <c r="HQE1" s="568"/>
      <c r="HQF1" s="568"/>
      <c r="HQG1" s="568"/>
      <c r="HQH1" s="568"/>
      <c r="HQI1" s="568"/>
      <c r="HQJ1" s="568"/>
      <c r="HQK1" s="568"/>
      <c r="HQL1" s="568"/>
      <c r="HQM1" s="568"/>
      <c r="HQN1" s="568"/>
      <c r="HQO1" s="568"/>
      <c r="HQP1" s="568"/>
      <c r="HQQ1" s="568"/>
      <c r="HQR1" s="568"/>
      <c r="HQS1" s="568"/>
      <c r="HQT1" s="568"/>
      <c r="HQU1" s="568"/>
      <c r="HQV1" s="568"/>
      <c r="HQW1" s="568"/>
      <c r="HQX1" s="568"/>
      <c r="HQY1" s="568"/>
      <c r="HQZ1" s="568"/>
      <c r="HRA1" s="568"/>
      <c r="HRB1" s="568"/>
      <c r="HRC1" s="568"/>
      <c r="HRD1" s="568"/>
      <c r="HRE1" s="568"/>
      <c r="HRF1" s="568"/>
      <c r="HRG1" s="568"/>
      <c r="HRH1" s="568"/>
      <c r="HRI1" s="568"/>
      <c r="HRJ1" s="568"/>
      <c r="HRK1" s="568"/>
      <c r="HRL1" s="568"/>
      <c r="HRM1" s="568"/>
      <c r="HRN1" s="568"/>
      <c r="HRO1" s="568"/>
      <c r="HRP1" s="568"/>
      <c r="HRQ1" s="568"/>
      <c r="HRR1" s="568"/>
      <c r="HRS1" s="568"/>
      <c r="HRT1" s="568"/>
      <c r="HRU1" s="568"/>
      <c r="HRV1" s="568"/>
      <c r="HRW1" s="568"/>
      <c r="HRX1" s="568"/>
      <c r="HRY1" s="568"/>
      <c r="HRZ1" s="568"/>
      <c r="HSA1" s="568"/>
      <c r="HSB1" s="568"/>
      <c r="HSC1" s="568"/>
      <c r="HSD1" s="568"/>
      <c r="HSE1" s="568"/>
      <c r="HSF1" s="568"/>
      <c r="HSG1" s="568"/>
      <c r="HSH1" s="568"/>
      <c r="HSI1" s="568"/>
      <c r="HSJ1" s="568"/>
      <c r="HSK1" s="568"/>
      <c r="HSL1" s="568"/>
      <c r="HSM1" s="568"/>
      <c r="HSN1" s="568"/>
      <c r="HSO1" s="568"/>
      <c r="HSP1" s="568"/>
      <c r="HSQ1" s="568"/>
      <c r="HSR1" s="568"/>
      <c r="HSS1" s="568"/>
      <c r="HST1" s="568"/>
      <c r="HSU1" s="568"/>
      <c r="HSV1" s="568"/>
      <c r="HSW1" s="568"/>
      <c r="HSX1" s="568"/>
      <c r="HSY1" s="568"/>
      <c r="HSZ1" s="568"/>
      <c r="HTA1" s="568"/>
      <c r="HTB1" s="568"/>
      <c r="HTC1" s="568"/>
      <c r="HTD1" s="568"/>
      <c r="HTE1" s="568"/>
      <c r="HTF1" s="568"/>
      <c r="HTG1" s="568"/>
      <c r="HTH1" s="568"/>
      <c r="HTI1" s="568"/>
      <c r="HTJ1" s="568"/>
      <c r="HTK1" s="568"/>
      <c r="HTL1" s="568"/>
      <c r="HTM1" s="568"/>
      <c r="HTN1" s="568"/>
      <c r="HTO1" s="568"/>
      <c r="HTP1" s="568"/>
      <c r="HTQ1" s="568"/>
      <c r="HTR1" s="568"/>
      <c r="HTS1" s="568"/>
      <c r="HTT1" s="568"/>
      <c r="HTU1" s="568"/>
      <c r="HTV1" s="568"/>
      <c r="HTW1" s="568"/>
      <c r="HTX1" s="568"/>
      <c r="HTY1" s="568"/>
      <c r="HTZ1" s="568"/>
      <c r="HUA1" s="568"/>
      <c r="HUB1" s="568"/>
      <c r="HUC1" s="568"/>
      <c r="HUD1" s="568"/>
      <c r="HUE1" s="568"/>
      <c r="HUF1" s="568"/>
      <c r="HUG1" s="568"/>
      <c r="HUH1" s="568"/>
      <c r="HUI1" s="568"/>
      <c r="HUJ1" s="568"/>
      <c r="HUK1" s="568"/>
      <c r="HUL1" s="568"/>
      <c r="HUM1" s="568"/>
      <c r="HUN1" s="568"/>
      <c r="HUO1" s="568"/>
      <c r="HUP1" s="568"/>
      <c r="HUQ1" s="568"/>
      <c r="HUR1" s="568"/>
      <c r="HUS1" s="568"/>
      <c r="HUT1" s="568"/>
      <c r="HUU1" s="568"/>
      <c r="HUV1" s="568"/>
      <c r="HUW1" s="568"/>
      <c r="HUX1" s="568"/>
      <c r="HUY1" s="568"/>
      <c r="HUZ1" s="568"/>
      <c r="HVA1" s="568"/>
      <c r="HVB1" s="568"/>
      <c r="HVC1" s="568"/>
      <c r="HVD1" s="568"/>
      <c r="HVE1" s="568"/>
      <c r="HVF1" s="568"/>
      <c r="HVG1" s="568"/>
      <c r="HVH1" s="568"/>
      <c r="HVI1" s="568"/>
      <c r="HVJ1" s="568"/>
      <c r="HVK1" s="568"/>
      <c r="HVL1" s="568"/>
      <c r="HVM1" s="568"/>
      <c r="HVN1" s="568"/>
      <c r="HVO1" s="568"/>
      <c r="HVP1" s="568"/>
      <c r="HVQ1" s="568"/>
      <c r="HVR1" s="568"/>
      <c r="HVS1" s="568"/>
      <c r="HVT1" s="568"/>
      <c r="HVU1" s="568"/>
      <c r="HVV1" s="568"/>
      <c r="HVW1" s="568"/>
      <c r="HVX1" s="568"/>
      <c r="HVY1" s="568"/>
      <c r="HVZ1" s="568"/>
      <c r="HWA1" s="568"/>
      <c r="HWB1" s="568"/>
      <c r="HWC1" s="568"/>
      <c r="HWD1" s="568"/>
      <c r="HWE1" s="568"/>
      <c r="HWF1" s="568"/>
      <c r="HWG1" s="568"/>
      <c r="HWH1" s="568"/>
      <c r="HWI1" s="568"/>
      <c r="HWJ1" s="568"/>
      <c r="HWK1" s="568"/>
      <c r="HWL1" s="568"/>
      <c r="HWM1" s="568"/>
      <c r="HWN1" s="568"/>
      <c r="HWO1" s="568"/>
      <c r="HWP1" s="568"/>
      <c r="HWQ1" s="568"/>
      <c r="HWR1" s="568"/>
      <c r="HWS1" s="568"/>
      <c r="HWT1" s="568"/>
      <c r="HWU1" s="568"/>
      <c r="HWV1" s="568"/>
      <c r="HWW1" s="568"/>
      <c r="HWX1" s="568"/>
      <c r="HWY1" s="568"/>
      <c r="HWZ1" s="568"/>
      <c r="HXA1" s="568"/>
      <c r="HXB1" s="568"/>
      <c r="HXC1" s="568"/>
      <c r="HXD1" s="568"/>
      <c r="HXE1" s="568"/>
      <c r="HXF1" s="568"/>
      <c r="HXG1" s="568"/>
      <c r="HXH1" s="568"/>
      <c r="HXI1" s="568"/>
      <c r="HXJ1" s="568"/>
      <c r="HXK1" s="568"/>
      <c r="HXL1" s="568"/>
      <c r="HXM1" s="568"/>
      <c r="HXN1" s="568"/>
      <c r="HXO1" s="568"/>
      <c r="HXP1" s="568"/>
      <c r="HXQ1" s="568"/>
      <c r="HXR1" s="568"/>
      <c r="HXS1" s="568"/>
      <c r="HXT1" s="568"/>
      <c r="HXU1" s="568"/>
      <c r="HXV1" s="568"/>
      <c r="HXW1" s="568"/>
      <c r="HXX1" s="568"/>
      <c r="HXY1" s="568"/>
      <c r="HXZ1" s="568"/>
      <c r="HYA1" s="568"/>
      <c r="HYB1" s="568"/>
      <c r="HYC1" s="568"/>
      <c r="HYD1" s="568"/>
      <c r="HYE1" s="568"/>
      <c r="HYF1" s="568"/>
      <c r="HYG1" s="568"/>
      <c r="HYH1" s="568"/>
      <c r="HYI1" s="568"/>
      <c r="HYJ1" s="568"/>
      <c r="HYK1" s="568"/>
      <c r="HYL1" s="568"/>
      <c r="HYM1" s="568"/>
      <c r="HYN1" s="568"/>
      <c r="HYO1" s="568"/>
      <c r="HYP1" s="568"/>
      <c r="HYQ1" s="568"/>
      <c r="HYR1" s="568"/>
      <c r="HYS1" s="568"/>
      <c r="HYT1" s="568"/>
      <c r="HYU1" s="568"/>
      <c r="HYV1" s="568"/>
      <c r="HYW1" s="568"/>
      <c r="HYX1" s="568"/>
      <c r="HYY1" s="568"/>
      <c r="HYZ1" s="568"/>
      <c r="HZA1" s="568"/>
      <c r="HZB1" s="568"/>
      <c r="HZC1" s="568"/>
      <c r="HZD1" s="568"/>
      <c r="HZE1" s="568"/>
      <c r="HZF1" s="568"/>
      <c r="HZG1" s="568"/>
      <c r="HZH1" s="568"/>
      <c r="HZI1" s="568"/>
      <c r="HZJ1" s="568"/>
      <c r="HZK1" s="568"/>
      <c r="HZL1" s="568"/>
      <c r="HZM1" s="568"/>
      <c r="HZN1" s="568"/>
      <c r="HZO1" s="568"/>
      <c r="HZP1" s="568"/>
      <c r="HZQ1" s="568"/>
      <c r="HZR1" s="568"/>
      <c r="HZS1" s="568"/>
      <c r="HZT1" s="568"/>
      <c r="HZU1" s="568"/>
      <c r="HZV1" s="568"/>
      <c r="HZW1" s="568"/>
      <c r="HZX1" s="568"/>
      <c r="HZY1" s="568"/>
      <c r="HZZ1" s="568"/>
      <c r="IAA1" s="568"/>
      <c r="IAB1" s="568"/>
      <c r="IAC1" s="568"/>
      <c r="IAD1" s="568"/>
      <c r="IAE1" s="568"/>
      <c r="IAF1" s="568"/>
      <c r="IAG1" s="568"/>
      <c r="IAH1" s="568"/>
      <c r="IAI1" s="568"/>
      <c r="IAJ1" s="568"/>
      <c r="IAK1" s="568"/>
      <c r="IAL1" s="568"/>
      <c r="IAM1" s="568"/>
      <c r="IAN1" s="568"/>
      <c r="IAO1" s="568"/>
      <c r="IAP1" s="568"/>
      <c r="IAQ1" s="568"/>
      <c r="IAR1" s="568"/>
      <c r="IAS1" s="568"/>
      <c r="IAT1" s="568"/>
      <c r="IAU1" s="568"/>
      <c r="IAV1" s="568"/>
      <c r="IAW1" s="568"/>
      <c r="IAX1" s="568"/>
      <c r="IAY1" s="568"/>
      <c r="IAZ1" s="568"/>
      <c r="IBA1" s="568"/>
      <c r="IBB1" s="568"/>
      <c r="IBC1" s="568"/>
      <c r="IBD1" s="568"/>
      <c r="IBE1" s="568"/>
      <c r="IBF1" s="568"/>
      <c r="IBG1" s="568"/>
      <c r="IBH1" s="568"/>
      <c r="IBI1" s="568"/>
      <c r="IBJ1" s="568"/>
      <c r="IBK1" s="568"/>
      <c r="IBL1" s="568"/>
      <c r="IBM1" s="568"/>
      <c r="IBN1" s="568"/>
      <c r="IBO1" s="568"/>
      <c r="IBP1" s="568"/>
      <c r="IBQ1" s="568"/>
      <c r="IBR1" s="568"/>
      <c r="IBS1" s="568"/>
      <c r="IBT1" s="568"/>
      <c r="IBU1" s="568"/>
      <c r="IBV1" s="568"/>
      <c r="IBW1" s="568"/>
      <c r="IBX1" s="568"/>
      <c r="IBY1" s="568"/>
      <c r="IBZ1" s="568"/>
      <c r="ICA1" s="568"/>
      <c r="ICB1" s="568"/>
      <c r="ICC1" s="568"/>
      <c r="ICD1" s="568"/>
      <c r="ICE1" s="568"/>
      <c r="ICF1" s="568"/>
      <c r="ICG1" s="568"/>
      <c r="ICH1" s="568"/>
      <c r="ICI1" s="568"/>
      <c r="ICJ1" s="568"/>
      <c r="ICK1" s="568"/>
      <c r="ICL1" s="568"/>
      <c r="ICM1" s="568"/>
      <c r="ICN1" s="568"/>
      <c r="ICO1" s="568"/>
      <c r="ICP1" s="568"/>
      <c r="ICQ1" s="568"/>
      <c r="ICR1" s="568"/>
      <c r="ICS1" s="568"/>
      <c r="ICT1" s="568"/>
      <c r="ICU1" s="568"/>
      <c r="ICV1" s="568"/>
      <c r="ICW1" s="568"/>
      <c r="ICX1" s="568"/>
      <c r="ICY1" s="568"/>
      <c r="ICZ1" s="568"/>
      <c r="IDA1" s="568"/>
      <c r="IDB1" s="568"/>
      <c r="IDC1" s="568"/>
      <c r="IDD1" s="568"/>
      <c r="IDE1" s="568"/>
      <c r="IDF1" s="568"/>
      <c r="IDG1" s="568"/>
      <c r="IDH1" s="568"/>
      <c r="IDI1" s="568"/>
      <c r="IDJ1" s="568"/>
      <c r="IDK1" s="568"/>
      <c r="IDL1" s="568"/>
      <c r="IDM1" s="568"/>
      <c r="IDN1" s="568"/>
      <c r="IDO1" s="568"/>
      <c r="IDP1" s="568"/>
      <c r="IDQ1" s="568"/>
      <c r="IDR1" s="568"/>
      <c r="IDS1" s="568"/>
      <c r="IDT1" s="568"/>
      <c r="IDU1" s="568"/>
      <c r="IDV1" s="568"/>
      <c r="IDW1" s="568"/>
      <c r="IDX1" s="568"/>
      <c r="IDY1" s="568"/>
      <c r="IDZ1" s="568"/>
      <c r="IEA1" s="568"/>
      <c r="IEB1" s="568"/>
      <c r="IEC1" s="568"/>
      <c r="IED1" s="568"/>
      <c r="IEE1" s="568"/>
      <c r="IEF1" s="568"/>
      <c r="IEG1" s="568"/>
      <c r="IEH1" s="568"/>
      <c r="IEI1" s="568"/>
      <c r="IEJ1" s="568"/>
      <c r="IEK1" s="568"/>
      <c r="IEL1" s="568"/>
      <c r="IEM1" s="568"/>
      <c r="IEN1" s="568"/>
      <c r="IEO1" s="568"/>
      <c r="IEP1" s="568"/>
      <c r="IEQ1" s="568"/>
      <c r="IER1" s="568"/>
      <c r="IES1" s="568"/>
      <c r="IET1" s="568"/>
      <c r="IEU1" s="568"/>
      <c r="IEV1" s="568"/>
      <c r="IEW1" s="568"/>
      <c r="IEX1" s="568"/>
      <c r="IEY1" s="568"/>
      <c r="IEZ1" s="568"/>
      <c r="IFA1" s="568"/>
      <c r="IFB1" s="568"/>
      <c r="IFC1" s="568"/>
      <c r="IFD1" s="568"/>
      <c r="IFE1" s="568"/>
      <c r="IFF1" s="568"/>
      <c r="IFG1" s="568"/>
      <c r="IFH1" s="568"/>
      <c r="IFI1" s="568"/>
      <c r="IFJ1" s="568"/>
      <c r="IFK1" s="568"/>
      <c r="IFL1" s="568"/>
      <c r="IFM1" s="568"/>
      <c r="IFN1" s="568"/>
      <c r="IFO1" s="568"/>
      <c r="IFP1" s="568"/>
      <c r="IFQ1" s="568"/>
      <c r="IFR1" s="568"/>
      <c r="IFS1" s="568"/>
      <c r="IFT1" s="568"/>
      <c r="IFU1" s="568"/>
      <c r="IFV1" s="568"/>
      <c r="IFW1" s="568"/>
      <c r="IFX1" s="568"/>
      <c r="IFY1" s="568"/>
      <c r="IFZ1" s="568"/>
      <c r="IGA1" s="568"/>
      <c r="IGB1" s="568"/>
      <c r="IGC1" s="568"/>
      <c r="IGD1" s="568"/>
      <c r="IGE1" s="568"/>
      <c r="IGF1" s="568"/>
      <c r="IGG1" s="568"/>
      <c r="IGH1" s="568"/>
      <c r="IGI1" s="568"/>
      <c r="IGJ1" s="568"/>
      <c r="IGK1" s="568"/>
      <c r="IGL1" s="568"/>
      <c r="IGM1" s="568"/>
      <c r="IGN1" s="568"/>
      <c r="IGO1" s="568"/>
      <c r="IGP1" s="568"/>
      <c r="IGQ1" s="568"/>
      <c r="IGR1" s="568"/>
      <c r="IGS1" s="568"/>
      <c r="IGT1" s="568"/>
      <c r="IGU1" s="568"/>
      <c r="IGV1" s="568"/>
      <c r="IGW1" s="568"/>
      <c r="IGX1" s="568"/>
      <c r="IGY1" s="568"/>
      <c r="IGZ1" s="568"/>
      <c r="IHA1" s="568"/>
      <c r="IHB1" s="568"/>
      <c r="IHC1" s="568"/>
      <c r="IHD1" s="568"/>
      <c r="IHE1" s="568"/>
      <c r="IHF1" s="568"/>
      <c r="IHG1" s="568"/>
      <c r="IHH1" s="568"/>
      <c r="IHI1" s="568"/>
      <c r="IHJ1" s="568"/>
      <c r="IHK1" s="568"/>
      <c r="IHL1" s="568"/>
      <c r="IHM1" s="568"/>
      <c r="IHN1" s="568"/>
      <c r="IHO1" s="568"/>
      <c r="IHP1" s="568"/>
      <c r="IHQ1" s="568"/>
      <c r="IHR1" s="568"/>
      <c r="IHS1" s="568"/>
      <c r="IHT1" s="568"/>
      <c r="IHU1" s="568"/>
      <c r="IHV1" s="568"/>
      <c r="IHW1" s="568"/>
      <c r="IHX1" s="568"/>
      <c r="IHY1" s="568"/>
      <c r="IHZ1" s="568"/>
      <c r="IIA1" s="568"/>
      <c r="IIB1" s="568"/>
      <c r="IIC1" s="568"/>
      <c r="IID1" s="568"/>
      <c r="IIE1" s="568"/>
      <c r="IIF1" s="568"/>
      <c r="IIG1" s="568"/>
      <c r="IIH1" s="568"/>
      <c r="III1" s="568"/>
      <c r="IIJ1" s="568"/>
      <c r="IIK1" s="568"/>
      <c r="IIL1" s="568"/>
      <c r="IIM1" s="568"/>
      <c r="IIN1" s="568"/>
      <c r="IIO1" s="568"/>
      <c r="IIP1" s="568"/>
      <c r="IIQ1" s="568"/>
      <c r="IIR1" s="568"/>
      <c r="IIS1" s="568"/>
      <c r="IIT1" s="568"/>
      <c r="IIU1" s="568"/>
      <c r="IIV1" s="568"/>
      <c r="IIW1" s="568"/>
      <c r="IIX1" s="568"/>
      <c r="IIY1" s="568"/>
      <c r="IIZ1" s="568"/>
      <c r="IJA1" s="568"/>
      <c r="IJB1" s="568"/>
      <c r="IJC1" s="568"/>
      <c r="IJD1" s="568"/>
      <c r="IJE1" s="568"/>
      <c r="IJF1" s="568"/>
      <c r="IJG1" s="568"/>
      <c r="IJH1" s="568"/>
      <c r="IJI1" s="568"/>
      <c r="IJJ1" s="568"/>
      <c r="IJK1" s="568"/>
      <c r="IJL1" s="568"/>
      <c r="IJM1" s="568"/>
      <c r="IJN1" s="568"/>
      <c r="IJO1" s="568"/>
      <c r="IJP1" s="568"/>
      <c r="IJQ1" s="568"/>
      <c r="IJR1" s="568"/>
      <c r="IJS1" s="568"/>
      <c r="IJT1" s="568"/>
      <c r="IJU1" s="568"/>
      <c r="IJV1" s="568"/>
      <c r="IJW1" s="568"/>
      <c r="IJX1" s="568"/>
      <c r="IJY1" s="568"/>
      <c r="IJZ1" s="568"/>
      <c r="IKA1" s="568"/>
      <c r="IKB1" s="568"/>
      <c r="IKC1" s="568"/>
      <c r="IKD1" s="568"/>
      <c r="IKE1" s="568"/>
      <c r="IKF1" s="568"/>
      <c r="IKG1" s="568"/>
      <c r="IKH1" s="568"/>
      <c r="IKI1" s="568"/>
      <c r="IKJ1" s="568"/>
      <c r="IKK1" s="568"/>
      <c r="IKL1" s="568"/>
      <c r="IKM1" s="568"/>
      <c r="IKN1" s="568"/>
      <c r="IKO1" s="568"/>
      <c r="IKP1" s="568"/>
      <c r="IKQ1" s="568"/>
      <c r="IKR1" s="568"/>
      <c r="IKS1" s="568"/>
      <c r="IKT1" s="568"/>
      <c r="IKU1" s="568"/>
      <c r="IKV1" s="568"/>
      <c r="IKW1" s="568"/>
      <c r="IKX1" s="568"/>
      <c r="IKY1" s="568"/>
      <c r="IKZ1" s="568"/>
      <c r="ILA1" s="568"/>
      <c r="ILB1" s="568"/>
      <c r="ILC1" s="568"/>
      <c r="ILD1" s="568"/>
      <c r="ILE1" s="568"/>
      <c r="ILF1" s="568"/>
      <c r="ILG1" s="568"/>
      <c r="ILH1" s="568"/>
      <c r="ILI1" s="568"/>
      <c r="ILJ1" s="568"/>
      <c r="ILK1" s="568"/>
      <c r="ILL1" s="568"/>
      <c r="ILM1" s="568"/>
      <c r="ILN1" s="568"/>
      <c r="ILO1" s="568"/>
      <c r="ILP1" s="568"/>
      <c r="ILQ1" s="568"/>
      <c r="ILR1" s="568"/>
      <c r="ILS1" s="568"/>
      <c r="ILT1" s="568"/>
      <c r="ILU1" s="568"/>
      <c r="ILV1" s="568"/>
      <c r="ILW1" s="568"/>
      <c r="ILX1" s="568"/>
      <c r="ILY1" s="568"/>
      <c r="ILZ1" s="568"/>
      <c r="IMA1" s="568"/>
      <c r="IMB1" s="568"/>
      <c r="IMC1" s="568"/>
      <c r="IMD1" s="568"/>
      <c r="IME1" s="568"/>
      <c r="IMF1" s="568"/>
      <c r="IMG1" s="568"/>
      <c r="IMH1" s="568"/>
      <c r="IMI1" s="568"/>
      <c r="IMJ1" s="568"/>
      <c r="IMK1" s="568"/>
      <c r="IML1" s="568"/>
      <c r="IMM1" s="568"/>
      <c r="IMN1" s="568"/>
      <c r="IMO1" s="568"/>
      <c r="IMP1" s="568"/>
      <c r="IMQ1" s="568"/>
      <c r="IMR1" s="568"/>
      <c r="IMS1" s="568"/>
      <c r="IMT1" s="568"/>
      <c r="IMU1" s="568"/>
      <c r="IMV1" s="568"/>
      <c r="IMW1" s="568"/>
      <c r="IMX1" s="568"/>
      <c r="IMY1" s="568"/>
      <c r="IMZ1" s="568"/>
      <c r="INA1" s="568"/>
      <c r="INB1" s="568"/>
      <c r="INC1" s="568"/>
      <c r="IND1" s="568"/>
      <c r="INE1" s="568"/>
      <c r="INF1" s="568"/>
      <c r="ING1" s="568"/>
      <c r="INH1" s="568"/>
      <c r="INI1" s="568"/>
      <c r="INJ1" s="568"/>
      <c r="INK1" s="568"/>
      <c r="INL1" s="568"/>
      <c r="INM1" s="568"/>
      <c r="INN1" s="568"/>
      <c r="INO1" s="568"/>
      <c r="INP1" s="568"/>
      <c r="INQ1" s="568"/>
      <c r="INR1" s="568"/>
      <c r="INS1" s="568"/>
      <c r="INT1" s="568"/>
      <c r="INU1" s="568"/>
      <c r="INV1" s="568"/>
      <c r="INW1" s="568"/>
      <c r="INX1" s="568"/>
      <c r="INY1" s="568"/>
      <c r="INZ1" s="568"/>
      <c r="IOA1" s="568"/>
      <c r="IOB1" s="568"/>
      <c r="IOC1" s="568"/>
      <c r="IOD1" s="568"/>
      <c r="IOE1" s="568"/>
      <c r="IOF1" s="568"/>
      <c r="IOG1" s="568"/>
      <c r="IOH1" s="568"/>
      <c r="IOI1" s="568"/>
      <c r="IOJ1" s="568"/>
      <c r="IOK1" s="568"/>
      <c r="IOL1" s="568"/>
      <c r="IOM1" s="568"/>
      <c r="ION1" s="568"/>
      <c r="IOO1" s="568"/>
      <c r="IOP1" s="568"/>
      <c r="IOQ1" s="568"/>
      <c r="IOR1" s="568"/>
      <c r="IOS1" s="568"/>
      <c r="IOT1" s="568"/>
      <c r="IOU1" s="568"/>
      <c r="IOV1" s="568"/>
      <c r="IOW1" s="568"/>
      <c r="IOX1" s="568"/>
      <c r="IOY1" s="568"/>
      <c r="IOZ1" s="568"/>
      <c r="IPA1" s="568"/>
      <c r="IPB1" s="568"/>
      <c r="IPC1" s="568"/>
      <c r="IPD1" s="568"/>
      <c r="IPE1" s="568"/>
      <c r="IPF1" s="568"/>
      <c r="IPG1" s="568"/>
      <c r="IPH1" s="568"/>
      <c r="IPI1" s="568"/>
      <c r="IPJ1" s="568"/>
      <c r="IPK1" s="568"/>
      <c r="IPL1" s="568"/>
      <c r="IPM1" s="568"/>
      <c r="IPN1" s="568"/>
      <c r="IPO1" s="568"/>
      <c r="IPP1" s="568"/>
      <c r="IPQ1" s="568"/>
      <c r="IPR1" s="568"/>
      <c r="IPS1" s="568"/>
      <c r="IPT1" s="568"/>
      <c r="IPU1" s="568"/>
      <c r="IPV1" s="568"/>
      <c r="IPW1" s="568"/>
      <c r="IPX1" s="568"/>
      <c r="IPY1" s="568"/>
      <c r="IPZ1" s="568"/>
      <c r="IQA1" s="568"/>
      <c r="IQB1" s="568"/>
      <c r="IQC1" s="568"/>
      <c r="IQD1" s="568"/>
      <c r="IQE1" s="568"/>
      <c r="IQF1" s="568"/>
      <c r="IQG1" s="568"/>
      <c r="IQH1" s="568"/>
      <c r="IQI1" s="568"/>
      <c r="IQJ1" s="568"/>
      <c r="IQK1" s="568"/>
      <c r="IQL1" s="568"/>
      <c r="IQM1" s="568"/>
      <c r="IQN1" s="568"/>
      <c r="IQO1" s="568"/>
      <c r="IQP1" s="568"/>
      <c r="IQQ1" s="568"/>
      <c r="IQR1" s="568"/>
      <c r="IQS1" s="568"/>
      <c r="IQT1" s="568"/>
      <c r="IQU1" s="568"/>
      <c r="IQV1" s="568"/>
      <c r="IQW1" s="568"/>
      <c r="IQX1" s="568"/>
      <c r="IQY1" s="568"/>
      <c r="IQZ1" s="568"/>
      <c r="IRA1" s="568"/>
      <c r="IRB1" s="568"/>
      <c r="IRC1" s="568"/>
      <c r="IRD1" s="568"/>
      <c r="IRE1" s="568"/>
      <c r="IRF1" s="568"/>
      <c r="IRG1" s="568"/>
      <c r="IRH1" s="568"/>
      <c r="IRI1" s="568"/>
      <c r="IRJ1" s="568"/>
      <c r="IRK1" s="568"/>
      <c r="IRL1" s="568"/>
      <c r="IRM1" s="568"/>
      <c r="IRN1" s="568"/>
      <c r="IRO1" s="568"/>
      <c r="IRP1" s="568"/>
      <c r="IRQ1" s="568"/>
      <c r="IRR1" s="568"/>
      <c r="IRS1" s="568"/>
      <c r="IRT1" s="568"/>
      <c r="IRU1" s="568"/>
      <c r="IRV1" s="568"/>
      <c r="IRW1" s="568"/>
      <c r="IRX1" s="568"/>
      <c r="IRY1" s="568"/>
      <c r="IRZ1" s="568"/>
      <c r="ISA1" s="568"/>
      <c r="ISB1" s="568"/>
      <c r="ISC1" s="568"/>
      <c r="ISD1" s="568"/>
      <c r="ISE1" s="568"/>
      <c r="ISF1" s="568"/>
      <c r="ISG1" s="568"/>
      <c r="ISH1" s="568"/>
      <c r="ISI1" s="568"/>
      <c r="ISJ1" s="568"/>
      <c r="ISK1" s="568"/>
      <c r="ISL1" s="568"/>
      <c r="ISM1" s="568"/>
      <c r="ISN1" s="568"/>
      <c r="ISO1" s="568"/>
      <c r="ISP1" s="568"/>
      <c r="ISQ1" s="568"/>
      <c r="ISR1" s="568"/>
      <c r="ISS1" s="568"/>
      <c r="IST1" s="568"/>
      <c r="ISU1" s="568"/>
      <c r="ISV1" s="568"/>
      <c r="ISW1" s="568"/>
      <c r="ISX1" s="568"/>
      <c r="ISY1" s="568"/>
      <c r="ISZ1" s="568"/>
      <c r="ITA1" s="568"/>
      <c r="ITB1" s="568"/>
      <c r="ITC1" s="568"/>
      <c r="ITD1" s="568"/>
      <c r="ITE1" s="568"/>
      <c r="ITF1" s="568"/>
      <c r="ITG1" s="568"/>
      <c r="ITH1" s="568"/>
      <c r="ITI1" s="568"/>
      <c r="ITJ1" s="568"/>
      <c r="ITK1" s="568"/>
      <c r="ITL1" s="568"/>
      <c r="ITM1" s="568"/>
      <c r="ITN1" s="568"/>
      <c r="ITO1" s="568"/>
      <c r="ITP1" s="568"/>
      <c r="ITQ1" s="568"/>
      <c r="ITR1" s="568"/>
      <c r="ITS1" s="568"/>
      <c r="ITT1" s="568"/>
      <c r="ITU1" s="568"/>
      <c r="ITV1" s="568"/>
      <c r="ITW1" s="568"/>
      <c r="ITX1" s="568"/>
      <c r="ITY1" s="568"/>
      <c r="ITZ1" s="568"/>
      <c r="IUA1" s="568"/>
      <c r="IUB1" s="568"/>
      <c r="IUC1" s="568"/>
      <c r="IUD1" s="568"/>
      <c r="IUE1" s="568"/>
      <c r="IUF1" s="568"/>
      <c r="IUG1" s="568"/>
      <c r="IUH1" s="568"/>
      <c r="IUI1" s="568"/>
      <c r="IUJ1" s="568"/>
      <c r="IUK1" s="568"/>
      <c r="IUL1" s="568"/>
      <c r="IUM1" s="568"/>
      <c r="IUN1" s="568"/>
      <c r="IUO1" s="568"/>
      <c r="IUP1" s="568"/>
      <c r="IUQ1" s="568"/>
      <c r="IUR1" s="568"/>
      <c r="IUS1" s="568"/>
      <c r="IUT1" s="568"/>
      <c r="IUU1" s="568"/>
      <c r="IUV1" s="568"/>
      <c r="IUW1" s="568"/>
      <c r="IUX1" s="568"/>
      <c r="IUY1" s="568"/>
      <c r="IUZ1" s="568"/>
      <c r="IVA1" s="568"/>
      <c r="IVB1" s="568"/>
      <c r="IVC1" s="568"/>
      <c r="IVD1" s="568"/>
      <c r="IVE1" s="568"/>
      <c r="IVF1" s="568"/>
      <c r="IVG1" s="568"/>
      <c r="IVH1" s="568"/>
      <c r="IVI1" s="568"/>
      <c r="IVJ1" s="568"/>
      <c r="IVK1" s="568"/>
      <c r="IVL1" s="568"/>
      <c r="IVM1" s="568"/>
      <c r="IVN1" s="568"/>
      <c r="IVO1" s="568"/>
      <c r="IVP1" s="568"/>
      <c r="IVQ1" s="568"/>
      <c r="IVR1" s="568"/>
      <c r="IVS1" s="568"/>
      <c r="IVT1" s="568"/>
      <c r="IVU1" s="568"/>
      <c r="IVV1" s="568"/>
      <c r="IVW1" s="568"/>
      <c r="IVX1" s="568"/>
      <c r="IVY1" s="568"/>
      <c r="IVZ1" s="568"/>
      <c r="IWA1" s="568"/>
      <c r="IWB1" s="568"/>
      <c r="IWC1" s="568"/>
      <c r="IWD1" s="568"/>
      <c r="IWE1" s="568"/>
      <c r="IWF1" s="568"/>
      <c r="IWG1" s="568"/>
      <c r="IWH1" s="568"/>
      <c r="IWI1" s="568"/>
      <c r="IWJ1" s="568"/>
      <c r="IWK1" s="568"/>
      <c r="IWL1" s="568"/>
      <c r="IWM1" s="568"/>
      <c r="IWN1" s="568"/>
      <c r="IWO1" s="568"/>
      <c r="IWP1" s="568"/>
      <c r="IWQ1" s="568"/>
      <c r="IWR1" s="568"/>
      <c r="IWS1" s="568"/>
      <c r="IWT1" s="568"/>
      <c r="IWU1" s="568"/>
      <c r="IWV1" s="568"/>
      <c r="IWW1" s="568"/>
      <c r="IWX1" s="568"/>
      <c r="IWY1" s="568"/>
      <c r="IWZ1" s="568"/>
      <c r="IXA1" s="568"/>
      <c r="IXB1" s="568"/>
      <c r="IXC1" s="568"/>
      <c r="IXD1" s="568"/>
      <c r="IXE1" s="568"/>
      <c r="IXF1" s="568"/>
      <c r="IXG1" s="568"/>
      <c r="IXH1" s="568"/>
      <c r="IXI1" s="568"/>
      <c r="IXJ1" s="568"/>
      <c r="IXK1" s="568"/>
      <c r="IXL1" s="568"/>
      <c r="IXM1" s="568"/>
      <c r="IXN1" s="568"/>
      <c r="IXO1" s="568"/>
      <c r="IXP1" s="568"/>
      <c r="IXQ1" s="568"/>
      <c r="IXR1" s="568"/>
      <c r="IXS1" s="568"/>
      <c r="IXT1" s="568"/>
      <c r="IXU1" s="568"/>
      <c r="IXV1" s="568"/>
      <c r="IXW1" s="568"/>
      <c r="IXX1" s="568"/>
      <c r="IXY1" s="568"/>
      <c r="IXZ1" s="568"/>
      <c r="IYA1" s="568"/>
      <c r="IYB1" s="568"/>
      <c r="IYC1" s="568"/>
      <c r="IYD1" s="568"/>
      <c r="IYE1" s="568"/>
      <c r="IYF1" s="568"/>
      <c r="IYG1" s="568"/>
      <c r="IYH1" s="568"/>
      <c r="IYI1" s="568"/>
      <c r="IYJ1" s="568"/>
      <c r="IYK1" s="568"/>
      <c r="IYL1" s="568"/>
      <c r="IYM1" s="568"/>
      <c r="IYN1" s="568"/>
      <c r="IYO1" s="568"/>
      <c r="IYP1" s="568"/>
      <c r="IYQ1" s="568"/>
      <c r="IYR1" s="568"/>
      <c r="IYS1" s="568"/>
      <c r="IYT1" s="568"/>
      <c r="IYU1" s="568"/>
      <c r="IYV1" s="568"/>
      <c r="IYW1" s="568"/>
      <c r="IYX1" s="568"/>
      <c r="IYY1" s="568"/>
      <c r="IYZ1" s="568"/>
      <c r="IZA1" s="568"/>
      <c r="IZB1" s="568"/>
      <c r="IZC1" s="568"/>
      <c r="IZD1" s="568"/>
      <c r="IZE1" s="568"/>
      <c r="IZF1" s="568"/>
      <c r="IZG1" s="568"/>
      <c r="IZH1" s="568"/>
      <c r="IZI1" s="568"/>
      <c r="IZJ1" s="568"/>
      <c r="IZK1" s="568"/>
      <c r="IZL1" s="568"/>
      <c r="IZM1" s="568"/>
      <c r="IZN1" s="568"/>
      <c r="IZO1" s="568"/>
      <c r="IZP1" s="568"/>
      <c r="IZQ1" s="568"/>
      <c r="IZR1" s="568"/>
      <c r="IZS1" s="568"/>
      <c r="IZT1" s="568"/>
      <c r="IZU1" s="568"/>
      <c r="IZV1" s="568"/>
      <c r="IZW1" s="568"/>
      <c r="IZX1" s="568"/>
      <c r="IZY1" s="568"/>
      <c r="IZZ1" s="568"/>
      <c r="JAA1" s="568"/>
      <c r="JAB1" s="568"/>
      <c r="JAC1" s="568"/>
      <c r="JAD1" s="568"/>
      <c r="JAE1" s="568"/>
      <c r="JAF1" s="568"/>
      <c r="JAG1" s="568"/>
      <c r="JAH1" s="568"/>
      <c r="JAI1" s="568"/>
      <c r="JAJ1" s="568"/>
      <c r="JAK1" s="568"/>
      <c r="JAL1" s="568"/>
      <c r="JAM1" s="568"/>
      <c r="JAN1" s="568"/>
      <c r="JAO1" s="568"/>
      <c r="JAP1" s="568"/>
      <c r="JAQ1" s="568"/>
      <c r="JAR1" s="568"/>
      <c r="JAS1" s="568"/>
      <c r="JAT1" s="568"/>
      <c r="JAU1" s="568"/>
      <c r="JAV1" s="568"/>
      <c r="JAW1" s="568"/>
      <c r="JAX1" s="568"/>
      <c r="JAY1" s="568"/>
      <c r="JAZ1" s="568"/>
      <c r="JBA1" s="568"/>
      <c r="JBB1" s="568"/>
      <c r="JBC1" s="568"/>
      <c r="JBD1" s="568"/>
      <c r="JBE1" s="568"/>
      <c r="JBF1" s="568"/>
      <c r="JBG1" s="568"/>
      <c r="JBH1" s="568"/>
      <c r="JBI1" s="568"/>
      <c r="JBJ1" s="568"/>
      <c r="JBK1" s="568"/>
      <c r="JBL1" s="568"/>
      <c r="JBM1" s="568"/>
      <c r="JBN1" s="568"/>
      <c r="JBO1" s="568"/>
      <c r="JBP1" s="568"/>
      <c r="JBQ1" s="568"/>
      <c r="JBR1" s="568"/>
      <c r="JBS1" s="568"/>
      <c r="JBT1" s="568"/>
      <c r="JBU1" s="568"/>
      <c r="JBV1" s="568"/>
      <c r="JBW1" s="568"/>
      <c r="JBX1" s="568"/>
      <c r="JBY1" s="568"/>
      <c r="JBZ1" s="568"/>
      <c r="JCA1" s="568"/>
      <c r="JCB1" s="568"/>
      <c r="JCC1" s="568"/>
      <c r="JCD1" s="568"/>
      <c r="JCE1" s="568"/>
      <c r="JCF1" s="568"/>
      <c r="JCG1" s="568"/>
      <c r="JCH1" s="568"/>
      <c r="JCI1" s="568"/>
      <c r="JCJ1" s="568"/>
      <c r="JCK1" s="568"/>
      <c r="JCL1" s="568"/>
      <c r="JCM1" s="568"/>
      <c r="JCN1" s="568"/>
      <c r="JCO1" s="568"/>
      <c r="JCP1" s="568"/>
      <c r="JCQ1" s="568"/>
      <c r="JCR1" s="568"/>
      <c r="JCS1" s="568"/>
      <c r="JCT1" s="568"/>
      <c r="JCU1" s="568"/>
      <c r="JCV1" s="568"/>
      <c r="JCW1" s="568"/>
      <c r="JCX1" s="568"/>
      <c r="JCY1" s="568"/>
      <c r="JCZ1" s="568"/>
      <c r="JDA1" s="568"/>
      <c r="JDB1" s="568"/>
      <c r="JDC1" s="568"/>
      <c r="JDD1" s="568"/>
      <c r="JDE1" s="568"/>
      <c r="JDF1" s="568"/>
      <c r="JDG1" s="568"/>
      <c r="JDH1" s="568"/>
      <c r="JDI1" s="568"/>
      <c r="JDJ1" s="568"/>
      <c r="JDK1" s="568"/>
      <c r="JDL1" s="568"/>
      <c r="JDM1" s="568"/>
      <c r="JDN1" s="568"/>
      <c r="JDO1" s="568"/>
      <c r="JDP1" s="568"/>
      <c r="JDQ1" s="568"/>
      <c r="JDR1" s="568"/>
      <c r="JDS1" s="568"/>
      <c r="JDT1" s="568"/>
      <c r="JDU1" s="568"/>
      <c r="JDV1" s="568"/>
      <c r="JDW1" s="568"/>
      <c r="JDX1" s="568"/>
      <c r="JDY1" s="568"/>
      <c r="JDZ1" s="568"/>
      <c r="JEA1" s="568"/>
      <c r="JEB1" s="568"/>
      <c r="JEC1" s="568"/>
      <c r="JED1" s="568"/>
      <c r="JEE1" s="568"/>
      <c r="JEF1" s="568"/>
      <c r="JEG1" s="568"/>
      <c r="JEH1" s="568"/>
      <c r="JEI1" s="568"/>
      <c r="JEJ1" s="568"/>
      <c r="JEK1" s="568"/>
      <c r="JEL1" s="568"/>
      <c r="JEM1" s="568"/>
      <c r="JEN1" s="568"/>
      <c r="JEO1" s="568"/>
      <c r="JEP1" s="568"/>
      <c r="JEQ1" s="568"/>
      <c r="JER1" s="568"/>
      <c r="JES1" s="568"/>
      <c r="JET1" s="568"/>
      <c r="JEU1" s="568"/>
      <c r="JEV1" s="568"/>
      <c r="JEW1" s="568"/>
      <c r="JEX1" s="568"/>
      <c r="JEY1" s="568"/>
      <c r="JEZ1" s="568"/>
      <c r="JFA1" s="568"/>
      <c r="JFB1" s="568"/>
      <c r="JFC1" s="568"/>
      <c r="JFD1" s="568"/>
      <c r="JFE1" s="568"/>
      <c r="JFF1" s="568"/>
      <c r="JFG1" s="568"/>
      <c r="JFH1" s="568"/>
      <c r="JFI1" s="568"/>
      <c r="JFJ1" s="568"/>
      <c r="JFK1" s="568"/>
      <c r="JFL1" s="568"/>
      <c r="JFM1" s="568"/>
      <c r="JFN1" s="568"/>
      <c r="JFO1" s="568"/>
      <c r="JFP1" s="568"/>
      <c r="JFQ1" s="568"/>
      <c r="JFR1" s="568"/>
      <c r="JFS1" s="568"/>
      <c r="JFT1" s="568"/>
      <c r="JFU1" s="568"/>
      <c r="JFV1" s="568"/>
      <c r="JFW1" s="568"/>
      <c r="JFX1" s="568"/>
      <c r="JFY1" s="568"/>
      <c r="JFZ1" s="568"/>
      <c r="JGA1" s="568"/>
      <c r="JGB1" s="568"/>
      <c r="JGC1" s="568"/>
      <c r="JGD1" s="568"/>
      <c r="JGE1" s="568"/>
      <c r="JGF1" s="568"/>
      <c r="JGG1" s="568"/>
      <c r="JGH1" s="568"/>
      <c r="JGI1" s="568"/>
      <c r="JGJ1" s="568"/>
      <c r="JGK1" s="568"/>
      <c r="JGL1" s="568"/>
      <c r="JGM1" s="568"/>
      <c r="JGN1" s="568"/>
      <c r="JGO1" s="568"/>
      <c r="JGP1" s="568"/>
      <c r="JGQ1" s="568"/>
      <c r="JGR1" s="568"/>
      <c r="JGS1" s="568"/>
      <c r="JGT1" s="568"/>
      <c r="JGU1" s="568"/>
      <c r="JGV1" s="568"/>
      <c r="JGW1" s="568"/>
      <c r="JGX1" s="568"/>
      <c r="JGY1" s="568"/>
      <c r="JGZ1" s="568"/>
      <c r="JHA1" s="568"/>
      <c r="JHB1" s="568"/>
      <c r="JHC1" s="568"/>
      <c r="JHD1" s="568"/>
      <c r="JHE1" s="568"/>
      <c r="JHF1" s="568"/>
      <c r="JHG1" s="568"/>
      <c r="JHH1" s="568"/>
      <c r="JHI1" s="568"/>
      <c r="JHJ1" s="568"/>
      <c r="JHK1" s="568"/>
      <c r="JHL1" s="568"/>
      <c r="JHM1" s="568"/>
      <c r="JHN1" s="568"/>
      <c r="JHO1" s="568"/>
      <c r="JHP1" s="568"/>
      <c r="JHQ1" s="568"/>
      <c r="JHR1" s="568"/>
      <c r="JHS1" s="568"/>
      <c r="JHT1" s="568"/>
      <c r="JHU1" s="568"/>
      <c r="JHV1" s="568"/>
      <c r="JHW1" s="568"/>
      <c r="JHX1" s="568"/>
      <c r="JHY1" s="568"/>
      <c r="JHZ1" s="568"/>
      <c r="JIA1" s="568"/>
      <c r="JIB1" s="568"/>
      <c r="JIC1" s="568"/>
      <c r="JID1" s="568"/>
      <c r="JIE1" s="568"/>
      <c r="JIF1" s="568"/>
      <c r="JIG1" s="568"/>
      <c r="JIH1" s="568"/>
      <c r="JII1" s="568"/>
      <c r="JIJ1" s="568"/>
      <c r="JIK1" s="568"/>
      <c r="JIL1" s="568"/>
      <c r="JIM1" s="568"/>
      <c r="JIN1" s="568"/>
      <c r="JIO1" s="568"/>
      <c r="JIP1" s="568"/>
      <c r="JIQ1" s="568"/>
      <c r="JIR1" s="568"/>
      <c r="JIS1" s="568"/>
      <c r="JIT1" s="568"/>
      <c r="JIU1" s="568"/>
      <c r="JIV1" s="568"/>
      <c r="JIW1" s="568"/>
      <c r="JIX1" s="568"/>
      <c r="JIY1" s="568"/>
      <c r="JIZ1" s="568"/>
      <c r="JJA1" s="568"/>
      <c r="JJB1" s="568"/>
      <c r="JJC1" s="568"/>
      <c r="JJD1" s="568"/>
      <c r="JJE1" s="568"/>
      <c r="JJF1" s="568"/>
      <c r="JJG1" s="568"/>
      <c r="JJH1" s="568"/>
      <c r="JJI1" s="568"/>
      <c r="JJJ1" s="568"/>
      <c r="JJK1" s="568"/>
      <c r="JJL1" s="568"/>
      <c r="JJM1" s="568"/>
      <c r="JJN1" s="568"/>
      <c r="JJO1" s="568"/>
      <c r="JJP1" s="568"/>
      <c r="JJQ1" s="568"/>
      <c r="JJR1" s="568"/>
      <c r="JJS1" s="568"/>
      <c r="JJT1" s="568"/>
      <c r="JJU1" s="568"/>
      <c r="JJV1" s="568"/>
      <c r="JJW1" s="568"/>
      <c r="JJX1" s="568"/>
      <c r="JJY1" s="568"/>
      <c r="JJZ1" s="568"/>
      <c r="JKA1" s="568"/>
      <c r="JKB1" s="568"/>
      <c r="JKC1" s="568"/>
      <c r="JKD1" s="568"/>
      <c r="JKE1" s="568"/>
      <c r="JKF1" s="568"/>
      <c r="JKG1" s="568"/>
      <c r="JKH1" s="568"/>
      <c r="JKI1" s="568"/>
      <c r="JKJ1" s="568"/>
      <c r="JKK1" s="568"/>
      <c r="JKL1" s="568"/>
      <c r="JKM1" s="568"/>
      <c r="JKN1" s="568"/>
      <c r="JKO1" s="568"/>
      <c r="JKP1" s="568"/>
      <c r="JKQ1" s="568"/>
      <c r="JKR1" s="568"/>
      <c r="JKS1" s="568"/>
      <c r="JKT1" s="568"/>
      <c r="JKU1" s="568"/>
      <c r="JKV1" s="568"/>
      <c r="JKW1" s="568"/>
      <c r="JKX1" s="568"/>
      <c r="JKY1" s="568"/>
      <c r="JKZ1" s="568"/>
      <c r="JLA1" s="568"/>
      <c r="JLB1" s="568"/>
      <c r="JLC1" s="568"/>
      <c r="JLD1" s="568"/>
      <c r="JLE1" s="568"/>
      <c r="JLF1" s="568"/>
      <c r="JLG1" s="568"/>
      <c r="JLH1" s="568"/>
      <c r="JLI1" s="568"/>
      <c r="JLJ1" s="568"/>
      <c r="JLK1" s="568"/>
      <c r="JLL1" s="568"/>
      <c r="JLM1" s="568"/>
      <c r="JLN1" s="568"/>
      <c r="JLO1" s="568"/>
      <c r="JLP1" s="568"/>
      <c r="JLQ1" s="568"/>
      <c r="JLR1" s="568"/>
      <c r="JLS1" s="568"/>
      <c r="JLT1" s="568"/>
      <c r="JLU1" s="568"/>
      <c r="JLV1" s="568"/>
      <c r="JLW1" s="568"/>
      <c r="JLX1" s="568"/>
      <c r="JLY1" s="568"/>
      <c r="JLZ1" s="568"/>
      <c r="JMA1" s="568"/>
      <c r="JMB1" s="568"/>
      <c r="JMC1" s="568"/>
      <c r="JMD1" s="568"/>
      <c r="JME1" s="568"/>
      <c r="JMF1" s="568"/>
      <c r="JMG1" s="568"/>
      <c r="JMH1" s="568"/>
      <c r="JMI1" s="568"/>
      <c r="JMJ1" s="568"/>
      <c r="JMK1" s="568"/>
      <c r="JML1" s="568"/>
      <c r="JMM1" s="568"/>
      <c r="JMN1" s="568"/>
      <c r="JMO1" s="568"/>
      <c r="JMP1" s="568"/>
      <c r="JMQ1" s="568"/>
      <c r="JMR1" s="568"/>
      <c r="JMS1" s="568"/>
      <c r="JMT1" s="568"/>
      <c r="JMU1" s="568"/>
      <c r="JMV1" s="568"/>
      <c r="JMW1" s="568"/>
      <c r="JMX1" s="568"/>
      <c r="JMY1" s="568"/>
      <c r="JMZ1" s="568"/>
      <c r="JNA1" s="568"/>
      <c r="JNB1" s="568"/>
      <c r="JNC1" s="568"/>
      <c r="JND1" s="568"/>
      <c r="JNE1" s="568"/>
      <c r="JNF1" s="568"/>
      <c r="JNG1" s="568"/>
      <c r="JNH1" s="568"/>
      <c r="JNI1" s="568"/>
      <c r="JNJ1" s="568"/>
      <c r="JNK1" s="568"/>
      <c r="JNL1" s="568"/>
      <c r="JNM1" s="568"/>
      <c r="JNN1" s="568"/>
      <c r="JNO1" s="568"/>
      <c r="JNP1" s="568"/>
      <c r="JNQ1" s="568"/>
      <c r="JNR1" s="568"/>
      <c r="JNS1" s="568"/>
      <c r="JNT1" s="568"/>
      <c r="JNU1" s="568"/>
      <c r="JNV1" s="568"/>
      <c r="JNW1" s="568"/>
      <c r="JNX1" s="568"/>
      <c r="JNY1" s="568"/>
      <c r="JNZ1" s="568"/>
      <c r="JOA1" s="568"/>
      <c r="JOB1" s="568"/>
      <c r="JOC1" s="568"/>
      <c r="JOD1" s="568"/>
      <c r="JOE1" s="568"/>
      <c r="JOF1" s="568"/>
      <c r="JOG1" s="568"/>
      <c r="JOH1" s="568"/>
      <c r="JOI1" s="568"/>
      <c r="JOJ1" s="568"/>
      <c r="JOK1" s="568"/>
      <c r="JOL1" s="568"/>
      <c r="JOM1" s="568"/>
      <c r="JON1" s="568"/>
      <c r="JOO1" s="568"/>
      <c r="JOP1" s="568"/>
      <c r="JOQ1" s="568"/>
      <c r="JOR1" s="568"/>
      <c r="JOS1" s="568"/>
      <c r="JOT1" s="568"/>
      <c r="JOU1" s="568"/>
      <c r="JOV1" s="568"/>
      <c r="JOW1" s="568"/>
      <c r="JOX1" s="568"/>
      <c r="JOY1" s="568"/>
      <c r="JOZ1" s="568"/>
      <c r="JPA1" s="568"/>
      <c r="JPB1" s="568"/>
      <c r="JPC1" s="568"/>
      <c r="JPD1" s="568"/>
      <c r="JPE1" s="568"/>
      <c r="JPF1" s="568"/>
      <c r="JPG1" s="568"/>
      <c r="JPH1" s="568"/>
      <c r="JPI1" s="568"/>
      <c r="JPJ1" s="568"/>
      <c r="JPK1" s="568"/>
      <c r="JPL1" s="568"/>
      <c r="JPM1" s="568"/>
      <c r="JPN1" s="568"/>
      <c r="JPO1" s="568"/>
      <c r="JPP1" s="568"/>
      <c r="JPQ1" s="568"/>
      <c r="JPR1" s="568"/>
      <c r="JPS1" s="568"/>
      <c r="JPT1" s="568"/>
      <c r="JPU1" s="568"/>
      <c r="JPV1" s="568"/>
      <c r="JPW1" s="568"/>
      <c r="JPX1" s="568"/>
      <c r="JPY1" s="568"/>
      <c r="JPZ1" s="568"/>
      <c r="JQA1" s="568"/>
      <c r="JQB1" s="568"/>
      <c r="JQC1" s="568"/>
      <c r="JQD1" s="568"/>
      <c r="JQE1" s="568"/>
      <c r="JQF1" s="568"/>
      <c r="JQG1" s="568"/>
      <c r="JQH1" s="568"/>
      <c r="JQI1" s="568"/>
      <c r="JQJ1" s="568"/>
      <c r="JQK1" s="568"/>
      <c r="JQL1" s="568"/>
      <c r="JQM1" s="568"/>
      <c r="JQN1" s="568"/>
      <c r="JQO1" s="568"/>
      <c r="JQP1" s="568"/>
      <c r="JQQ1" s="568"/>
      <c r="JQR1" s="568"/>
      <c r="JQS1" s="568"/>
      <c r="JQT1" s="568"/>
      <c r="JQU1" s="568"/>
      <c r="JQV1" s="568"/>
      <c r="JQW1" s="568"/>
      <c r="JQX1" s="568"/>
      <c r="JQY1" s="568"/>
      <c r="JQZ1" s="568"/>
      <c r="JRA1" s="568"/>
      <c r="JRB1" s="568"/>
      <c r="JRC1" s="568"/>
      <c r="JRD1" s="568"/>
      <c r="JRE1" s="568"/>
      <c r="JRF1" s="568"/>
      <c r="JRG1" s="568"/>
      <c r="JRH1" s="568"/>
      <c r="JRI1" s="568"/>
      <c r="JRJ1" s="568"/>
      <c r="JRK1" s="568"/>
      <c r="JRL1" s="568"/>
      <c r="JRM1" s="568"/>
      <c r="JRN1" s="568"/>
      <c r="JRO1" s="568"/>
      <c r="JRP1" s="568"/>
      <c r="JRQ1" s="568"/>
      <c r="JRR1" s="568"/>
      <c r="JRS1" s="568"/>
      <c r="JRT1" s="568"/>
      <c r="JRU1" s="568"/>
      <c r="JRV1" s="568"/>
      <c r="JRW1" s="568"/>
      <c r="JRX1" s="568"/>
      <c r="JRY1" s="568"/>
      <c r="JRZ1" s="568"/>
      <c r="JSA1" s="568"/>
      <c r="JSB1" s="568"/>
      <c r="JSC1" s="568"/>
      <c r="JSD1" s="568"/>
      <c r="JSE1" s="568"/>
      <c r="JSF1" s="568"/>
      <c r="JSG1" s="568"/>
      <c r="JSH1" s="568"/>
      <c r="JSI1" s="568"/>
      <c r="JSJ1" s="568"/>
      <c r="JSK1" s="568"/>
      <c r="JSL1" s="568"/>
      <c r="JSM1" s="568"/>
      <c r="JSN1" s="568"/>
      <c r="JSO1" s="568"/>
      <c r="JSP1" s="568"/>
      <c r="JSQ1" s="568"/>
      <c r="JSR1" s="568"/>
      <c r="JSS1" s="568"/>
      <c r="JST1" s="568"/>
      <c r="JSU1" s="568"/>
      <c r="JSV1" s="568"/>
      <c r="JSW1" s="568"/>
      <c r="JSX1" s="568"/>
      <c r="JSY1" s="568"/>
      <c r="JSZ1" s="568"/>
      <c r="JTA1" s="568"/>
      <c r="JTB1" s="568"/>
      <c r="JTC1" s="568"/>
      <c r="JTD1" s="568"/>
      <c r="JTE1" s="568"/>
      <c r="JTF1" s="568"/>
      <c r="JTG1" s="568"/>
      <c r="JTH1" s="568"/>
      <c r="JTI1" s="568"/>
      <c r="JTJ1" s="568"/>
      <c r="JTK1" s="568"/>
      <c r="JTL1" s="568"/>
      <c r="JTM1" s="568"/>
      <c r="JTN1" s="568"/>
      <c r="JTO1" s="568"/>
      <c r="JTP1" s="568"/>
      <c r="JTQ1" s="568"/>
      <c r="JTR1" s="568"/>
      <c r="JTS1" s="568"/>
      <c r="JTT1" s="568"/>
      <c r="JTU1" s="568"/>
      <c r="JTV1" s="568"/>
      <c r="JTW1" s="568"/>
      <c r="JTX1" s="568"/>
      <c r="JTY1" s="568"/>
      <c r="JTZ1" s="568"/>
      <c r="JUA1" s="568"/>
      <c r="JUB1" s="568"/>
      <c r="JUC1" s="568"/>
      <c r="JUD1" s="568"/>
      <c r="JUE1" s="568"/>
      <c r="JUF1" s="568"/>
      <c r="JUG1" s="568"/>
      <c r="JUH1" s="568"/>
      <c r="JUI1" s="568"/>
      <c r="JUJ1" s="568"/>
      <c r="JUK1" s="568"/>
      <c r="JUL1" s="568"/>
      <c r="JUM1" s="568"/>
      <c r="JUN1" s="568"/>
      <c r="JUO1" s="568"/>
      <c r="JUP1" s="568"/>
      <c r="JUQ1" s="568"/>
      <c r="JUR1" s="568"/>
      <c r="JUS1" s="568"/>
      <c r="JUT1" s="568"/>
      <c r="JUU1" s="568"/>
      <c r="JUV1" s="568"/>
      <c r="JUW1" s="568"/>
      <c r="JUX1" s="568"/>
      <c r="JUY1" s="568"/>
      <c r="JUZ1" s="568"/>
      <c r="JVA1" s="568"/>
      <c r="JVB1" s="568"/>
      <c r="JVC1" s="568"/>
      <c r="JVD1" s="568"/>
      <c r="JVE1" s="568"/>
      <c r="JVF1" s="568"/>
      <c r="JVG1" s="568"/>
      <c r="JVH1" s="568"/>
      <c r="JVI1" s="568"/>
      <c r="JVJ1" s="568"/>
      <c r="JVK1" s="568"/>
      <c r="JVL1" s="568"/>
      <c r="JVM1" s="568"/>
      <c r="JVN1" s="568"/>
      <c r="JVO1" s="568"/>
      <c r="JVP1" s="568"/>
      <c r="JVQ1" s="568"/>
      <c r="JVR1" s="568"/>
      <c r="JVS1" s="568"/>
      <c r="JVT1" s="568"/>
      <c r="JVU1" s="568"/>
      <c r="JVV1" s="568"/>
      <c r="JVW1" s="568"/>
      <c r="JVX1" s="568"/>
      <c r="JVY1" s="568"/>
      <c r="JVZ1" s="568"/>
      <c r="JWA1" s="568"/>
      <c r="JWB1" s="568"/>
      <c r="JWC1" s="568"/>
      <c r="JWD1" s="568"/>
      <c r="JWE1" s="568"/>
      <c r="JWF1" s="568"/>
      <c r="JWG1" s="568"/>
      <c r="JWH1" s="568"/>
      <c r="JWI1" s="568"/>
      <c r="JWJ1" s="568"/>
      <c r="JWK1" s="568"/>
      <c r="JWL1" s="568"/>
      <c r="JWM1" s="568"/>
      <c r="JWN1" s="568"/>
      <c r="JWO1" s="568"/>
      <c r="JWP1" s="568"/>
      <c r="JWQ1" s="568"/>
      <c r="JWR1" s="568"/>
      <c r="JWS1" s="568"/>
      <c r="JWT1" s="568"/>
      <c r="JWU1" s="568"/>
      <c r="JWV1" s="568"/>
      <c r="JWW1" s="568"/>
      <c r="JWX1" s="568"/>
      <c r="JWY1" s="568"/>
      <c r="JWZ1" s="568"/>
      <c r="JXA1" s="568"/>
      <c r="JXB1" s="568"/>
      <c r="JXC1" s="568"/>
      <c r="JXD1" s="568"/>
      <c r="JXE1" s="568"/>
      <c r="JXF1" s="568"/>
      <c r="JXG1" s="568"/>
      <c r="JXH1" s="568"/>
      <c r="JXI1" s="568"/>
      <c r="JXJ1" s="568"/>
      <c r="JXK1" s="568"/>
      <c r="JXL1" s="568"/>
      <c r="JXM1" s="568"/>
      <c r="JXN1" s="568"/>
      <c r="JXO1" s="568"/>
      <c r="JXP1" s="568"/>
      <c r="JXQ1" s="568"/>
      <c r="JXR1" s="568"/>
      <c r="JXS1" s="568"/>
      <c r="JXT1" s="568"/>
      <c r="JXU1" s="568"/>
      <c r="JXV1" s="568"/>
      <c r="JXW1" s="568"/>
      <c r="JXX1" s="568"/>
      <c r="JXY1" s="568"/>
      <c r="JXZ1" s="568"/>
      <c r="JYA1" s="568"/>
      <c r="JYB1" s="568"/>
      <c r="JYC1" s="568"/>
      <c r="JYD1" s="568"/>
      <c r="JYE1" s="568"/>
      <c r="JYF1" s="568"/>
      <c r="JYG1" s="568"/>
      <c r="JYH1" s="568"/>
      <c r="JYI1" s="568"/>
      <c r="JYJ1" s="568"/>
      <c r="JYK1" s="568"/>
      <c r="JYL1" s="568"/>
      <c r="JYM1" s="568"/>
      <c r="JYN1" s="568"/>
      <c r="JYO1" s="568"/>
      <c r="JYP1" s="568"/>
      <c r="JYQ1" s="568"/>
      <c r="JYR1" s="568"/>
      <c r="JYS1" s="568"/>
      <c r="JYT1" s="568"/>
      <c r="JYU1" s="568"/>
      <c r="JYV1" s="568"/>
      <c r="JYW1" s="568"/>
      <c r="JYX1" s="568"/>
      <c r="JYY1" s="568"/>
      <c r="JYZ1" s="568"/>
      <c r="JZA1" s="568"/>
      <c r="JZB1" s="568"/>
      <c r="JZC1" s="568"/>
      <c r="JZD1" s="568"/>
      <c r="JZE1" s="568"/>
      <c r="JZF1" s="568"/>
      <c r="JZG1" s="568"/>
      <c r="JZH1" s="568"/>
      <c r="JZI1" s="568"/>
      <c r="JZJ1" s="568"/>
      <c r="JZK1" s="568"/>
      <c r="JZL1" s="568"/>
      <c r="JZM1" s="568"/>
      <c r="JZN1" s="568"/>
      <c r="JZO1" s="568"/>
      <c r="JZP1" s="568"/>
      <c r="JZQ1" s="568"/>
      <c r="JZR1" s="568"/>
      <c r="JZS1" s="568"/>
      <c r="JZT1" s="568"/>
      <c r="JZU1" s="568"/>
      <c r="JZV1" s="568"/>
      <c r="JZW1" s="568"/>
      <c r="JZX1" s="568"/>
      <c r="JZY1" s="568"/>
      <c r="JZZ1" s="568"/>
      <c r="KAA1" s="568"/>
      <c r="KAB1" s="568"/>
      <c r="KAC1" s="568"/>
      <c r="KAD1" s="568"/>
      <c r="KAE1" s="568"/>
      <c r="KAF1" s="568"/>
      <c r="KAG1" s="568"/>
      <c r="KAH1" s="568"/>
      <c r="KAI1" s="568"/>
      <c r="KAJ1" s="568"/>
      <c r="KAK1" s="568"/>
      <c r="KAL1" s="568"/>
      <c r="KAM1" s="568"/>
      <c r="KAN1" s="568"/>
      <c r="KAO1" s="568"/>
      <c r="KAP1" s="568"/>
      <c r="KAQ1" s="568"/>
      <c r="KAR1" s="568"/>
      <c r="KAS1" s="568"/>
      <c r="KAT1" s="568"/>
      <c r="KAU1" s="568"/>
      <c r="KAV1" s="568"/>
      <c r="KAW1" s="568"/>
      <c r="KAX1" s="568"/>
      <c r="KAY1" s="568"/>
      <c r="KAZ1" s="568"/>
      <c r="KBA1" s="568"/>
      <c r="KBB1" s="568"/>
      <c r="KBC1" s="568"/>
      <c r="KBD1" s="568"/>
      <c r="KBE1" s="568"/>
      <c r="KBF1" s="568"/>
      <c r="KBG1" s="568"/>
      <c r="KBH1" s="568"/>
      <c r="KBI1" s="568"/>
      <c r="KBJ1" s="568"/>
      <c r="KBK1" s="568"/>
      <c r="KBL1" s="568"/>
      <c r="KBM1" s="568"/>
      <c r="KBN1" s="568"/>
      <c r="KBO1" s="568"/>
      <c r="KBP1" s="568"/>
      <c r="KBQ1" s="568"/>
      <c r="KBR1" s="568"/>
      <c r="KBS1" s="568"/>
      <c r="KBT1" s="568"/>
      <c r="KBU1" s="568"/>
      <c r="KBV1" s="568"/>
      <c r="KBW1" s="568"/>
      <c r="KBX1" s="568"/>
      <c r="KBY1" s="568"/>
      <c r="KBZ1" s="568"/>
      <c r="KCA1" s="568"/>
      <c r="KCB1" s="568"/>
      <c r="KCC1" s="568"/>
      <c r="KCD1" s="568"/>
      <c r="KCE1" s="568"/>
      <c r="KCF1" s="568"/>
      <c r="KCG1" s="568"/>
      <c r="KCH1" s="568"/>
      <c r="KCI1" s="568"/>
      <c r="KCJ1" s="568"/>
      <c r="KCK1" s="568"/>
      <c r="KCL1" s="568"/>
      <c r="KCM1" s="568"/>
      <c r="KCN1" s="568"/>
      <c r="KCO1" s="568"/>
      <c r="KCP1" s="568"/>
      <c r="KCQ1" s="568"/>
      <c r="KCR1" s="568"/>
      <c r="KCS1" s="568"/>
      <c r="KCT1" s="568"/>
      <c r="KCU1" s="568"/>
      <c r="KCV1" s="568"/>
      <c r="KCW1" s="568"/>
      <c r="KCX1" s="568"/>
      <c r="KCY1" s="568"/>
      <c r="KCZ1" s="568"/>
      <c r="KDA1" s="568"/>
      <c r="KDB1" s="568"/>
      <c r="KDC1" s="568"/>
      <c r="KDD1" s="568"/>
      <c r="KDE1" s="568"/>
      <c r="KDF1" s="568"/>
      <c r="KDG1" s="568"/>
      <c r="KDH1" s="568"/>
      <c r="KDI1" s="568"/>
      <c r="KDJ1" s="568"/>
      <c r="KDK1" s="568"/>
      <c r="KDL1" s="568"/>
      <c r="KDM1" s="568"/>
      <c r="KDN1" s="568"/>
      <c r="KDO1" s="568"/>
      <c r="KDP1" s="568"/>
      <c r="KDQ1" s="568"/>
      <c r="KDR1" s="568"/>
      <c r="KDS1" s="568"/>
      <c r="KDT1" s="568"/>
      <c r="KDU1" s="568"/>
      <c r="KDV1" s="568"/>
      <c r="KDW1" s="568"/>
      <c r="KDX1" s="568"/>
      <c r="KDY1" s="568"/>
      <c r="KDZ1" s="568"/>
      <c r="KEA1" s="568"/>
      <c r="KEB1" s="568"/>
      <c r="KEC1" s="568"/>
      <c r="KED1" s="568"/>
      <c r="KEE1" s="568"/>
      <c r="KEF1" s="568"/>
      <c r="KEG1" s="568"/>
      <c r="KEH1" s="568"/>
      <c r="KEI1" s="568"/>
      <c r="KEJ1" s="568"/>
      <c r="KEK1" s="568"/>
      <c r="KEL1" s="568"/>
      <c r="KEM1" s="568"/>
      <c r="KEN1" s="568"/>
      <c r="KEO1" s="568"/>
      <c r="KEP1" s="568"/>
      <c r="KEQ1" s="568"/>
      <c r="KER1" s="568"/>
      <c r="KES1" s="568"/>
      <c r="KET1" s="568"/>
      <c r="KEU1" s="568"/>
      <c r="KEV1" s="568"/>
      <c r="KEW1" s="568"/>
      <c r="KEX1" s="568"/>
      <c r="KEY1" s="568"/>
      <c r="KEZ1" s="568"/>
      <c r="KFA1" s="568"/>
      <c r="KFB1" s="568"/>
      <c r="KFC1" s="568"/>
      <c r="KFD1" s="568"/>
      <c r="KFE1" s="568"/>
      <c r="KFF1" s="568"/>
      <c r="KFG1" s="568"/>
      <c r="KFH1" s="568"/>
      <c r="KFI1" s="568"/>
      <c r="KFJ1" s="568"/>
      <c r="KFK1" s="568"/>
      <c r="KFL1" s="568"/>
      <c r="KFM1" s="568"/>
      <c r="KFN1" s="568"/>
      <c r="KFO1" s="568"/>
      <c r="KFP1" s="568"/>
      <c r="KFQ1" s="568"/>
      <c r="KFR1" s="568"/>
      <c r="KFS1" s="568"/>
      <c r="KFT1" s="568"/>
      <c r="KFU1" s="568"/>
      <c r="KFV1" s="568"/>
      <c r="KFW1" s="568"/>
      <c r="KFX1" s="568"/>
      <c r="KFY1" s="568"/>
      <c r="KFZ1" s="568"/>
      <c r="KGA1" s="568"/>
      <c r="KGB1" s="568"/>
      <c r="KGC1" s="568"/>
      <c r="KGD1" s="568"/>
      <c r="KGE1" s="568"/>
      <c r="KGF1" s="568"/>
      <c r="KGG1" s="568"/>
      <c r="KGH1" s="568"/>
      <c r="KGI1" s="568"/>
      <c r="KGJ1" s="568"/>
      <c r="KGK1" s="568"/>
      <c r="KGL1" s="568"/>
      <c r="KGM1" s="568"/>
      <c r="KGN1" s="568"/>
      <c r="KGO1" s="568"/>
      <c r="KGP1" s="568"/>
      <c r="KGQ1" s="568"/>
      <c r="KGR1" s="568"/>
      <c r="KGS1" s="568"/>
      <c r="KGT1" s="568"/>
      <c r="KGU1" s="568"/>
      <c r="KGV1" s="568"/>
      <c r="KGW1" s="568"/>
      <c r="KGX1" s="568"/>
      <c r="KGY1" s="568"/>
      <c r="KGZ1" s="568"/>
      <c r="KHA1" s="568"/>
      <c r="KHB1" s="568"/>
      <c r="KHC1" s="568"/>
      <c r="KHD1" s="568"/>
      <c r="KHE1" s="568"/>
      <c r="KHF1" s="568"/>
      <c r="KHG1" s="568"/>
      <c r="KHH1" s="568"/>
      <c r="KHI1" s="568"/>
      <c r="KHJ1" s="568"/>
      <c r="KHK1" s="568"/>
      <c r="KHL1" s="568"/>
      <c r="KHM1" s="568"/>
      <c r="KHN1" s="568"/>
      <c r="KHO1" s="568"/>
      <c r="KHP1" s="568"/>
      <c r="KHQ1" s="568"/>
      <c r="KHR1" s="568"/>
      <c r="KHS1" s="568"/>
      <c r="KHT1" s="568"/>
      <c r="KHU1" s="568"/>
      <c r="KHV1" s="568"/>
      <c r="KHW1" s="568"/>
      <c r="KHX1" s="568"/>
      <c r="KHY1" s="568"/>
      <c r="KHZ1" s="568"/>
      <c r="KIA1" s="568"/>
      <c r="KIB1" s="568"/>
      <c r="KIC1" s="568"/>
      <c r="KID1" s="568"/>
      <c r="KIE1" s="568"/>
      <c r="KIF1" s="568"/>
      <c r="KIG1" s="568"/>
      <c r="KIH1" s="568"/>
      <c r="KII1" s="568"/>
      <c r="KIJ1" s="568"/>
      <c r="KIK1" s="568"/>
      <c r="KIL1" s="568"/>
      <c r="KIM1" s="568"/>
      <c r="KIN1" s="568"/>
      <c r="KIO1" s="568"/>
      <c r="KIP1" s="568"/>
      <c r="KIQ1" s="568"/>
      <c r="KIR1" s="568"/>
      <c r="KIS1" s="568"/>
      <c r="KIT1" s="568"/>
      <c r="KIU1" s="568"/>
      <c r="KIV1" s="568"/>
      <c r="KIW1" s="568"/>
      <c r="KIX1" s="568"/>
      <c r="KIY1" s="568"/>
      <c r="KIZ1" s="568"/>
      <c r="KJA1" s="568"/>
      <c r="KJB1" s="568"/>
      <c r="KJC1" s="568"/>
      <c r="KJD1" s="568"/>
      <c r="KJE1" s="568"/>
      <c r="KJF1" s="568"/>
      <c r="KJG1" s="568"/>
      <c r="KJH1" s="568"/>
      <c r="KJI1" s="568"/>
      <c r="KJJ1" s="568"/>
      <c r="KJK1" s="568"/>
      <c r="KJL1" s="568"/>
      <c r="KJM1" s="568"/>
      <c r="KJN1" s="568"/>
      <c r="KJO1" s="568"/>
      <c r="KJP1" s="568"/>
      <c r="KJQ1" s="568"/>
      <c r="KJR1" s="568"/>
      <c r="KJS1" s="568"/>
      <c r="KJT1" s="568"/>
      <c r="KJU1" s="568"/>
      <c r="KJV1" s="568"/>
      <c r="KJW1" s="568"/>
      <c r="KJX1" s="568"/>
      <c r="KJY1" s="568"/>
      <c r="KJZ1" s="568"/>
      <c r="KKA1" s="568"/>
      <c r="KKB1" s="568"/>
      <c r="KKC1" s="568"/>
      <c r="KKD1" s="568"/>
      <c r="KKE1" s="568"/>
      <c r="KKF1" s="568"/>
      <c r="KKG1" s="568"/>
      <c r="KKH1" s="568"/>
      <c r="KKI1" s="568"/>
      <c r="KKJ1" s="568"/>
      <c r="KKK1" s="568"/>
      <c r="KKL1" s="568"/>
      <c r="KKM1" s="568"/>
      <c r="KKN1" s="568"/>
      <c r="KKO1" s="568"/>
      <c r="KKP1" s="568"/>
      <c r="KKQ1" s="568"/>
      <c r="KKR1" s="568"/>
      <c r="KKS1" s="568"/>
      <c r="KKT1" s="568"/>
      <c r="KKU1" s="568"/>
      <c r="KKV1" s="568"/>
      <c r="KKW1" s="568"/>
      <c r="KKX1" s="568"/>
      <c r="KKY1" s="568"/>
      <c r="KKZ1" s="568"/>
      <c r="KLA1" s="568"/>
      <c r="KLB1" s="568"/>
      <c r="KLC1" s="568"/>
      <c r="KLD1" s="568"/>
      <c r="KLE1" s="568"/>
      <c r="KLF1" s="568"/>
      <c r="KLG1" s="568"/>
      <c r="KLH1" s="568"/>
      <c r="KLI1" s="568"/>
      <c r="KLJ1" s="568"/>
      <c r="KLK1" s="568"/>
      <c r="KLL1" s="568"/>
      <c r="KLM1" s="568"/>
      <c r="KLN1" s="568"/>
      <c r="KLO1" s="568"/>
      <c r="KLP1" s="568"/>
      <c r="KLQ1" s="568"/>
      <c r="KLR1" s="568"/>
      <c r="KLS1" s="568"/>
      <c r="KLT1" s="568"/>
      <c r="KLU1" s="568"/>
      <c r="KLV1" s="568"/>
      <c r="KLW1" s="568"/>
      <c r="KLX1" s="568"/>
      <c r="KLY1" s="568"/>
      <c r="KLZ1" s="568"/>
      <c r="KMA1" s="568"/>
      <c r="KMB1" s="568"/>
      <c r="KMC1" s="568"/>
      <c r="KMD1" s="568"/>
      <c r="KME1" s="568"/>
      <c r="KMF1" s="568"/>
      <c r="KMG1" s="568"/>
      <c r="KMH1" s="568"/>
      <c r="KMI1" s="568"/>
      <c r="KMJ1" s="568"/>
      <c r="KMK1" s="568"/>
      <c r="KML1" s="568"/>
      <c r="KMM1" s="568"/>
      <c r="KMN1" s="568"/>
      <c r="KMO1" s="568"/>
      <c r="KMP1" s="568"/>
      <c r="KMQ1" s="568"/>
      <c r="KMR1" s="568"/>
      <c r="KMS1" s="568"/>
      <c r="KMT1" s="568"/>
      <c r="KMU1" s="568"/>
      <c r="KMV1" s="568"/>
      <c r="KMW1" s="568"/>
      <c r="KMX1" s="568"/>
      <c r="KMY1" s="568"/>
      <c r="KMZ1" s="568"/>
      <c r="KNA1" s="568"/>
      <c r="KNB1" s="568"/>
      <c r="KNC1" s="568"/>
      <c r="KND1" s="568"/>
      <c r="KNE1" s="568"/>
      <c r="KNF1" s="568"/>
      <c r="KNG1" s="568"/>
      <c r="KNH1" s="568"/>
      <c r="KNI1" s="568"/>
      <c r="KNJ1" s="568"/>
      <c r="KNK1" s="568"/>
      <c r="KNL1" s="568"/>
      <c r="KNM1" s="568"/>
      <c r="KNN1" s="568"/>
      <c r="KNO1" s="568"/>
      <c r="KNP1" s="568"/>
      <c r="KNQ1" s="568"/>
      <c r="KNR1" s="568"/>
      <c r="KNS1" s="568"/>
      <c r="KNT1" s="568"/>
      <c r="KNU1" s="568"/>
      <c r="KNV1" s="568"/>
      <c r="KNW1" s="568"/>
      <c r="KNX1" s="568"/>
      <c r="KNY1" s="568"/>
      <c r="KNZ1" s="568"/>
      <c r="KOA1" s="568"/>
      <c r="KOB1" s="568"/>
      <c r="KOC1" s="568"/>
      <c r="KOD1" s="568"/>
      <c r="KOE1" s="568"/>
      <c r="KOF1" s="568"/>
      <c r="KOG1" s="568"/>
      <c r="KOH1" s="568"/>
      <c r="KOI1" s="568"/>
      <c r="KOJ1" s="568"/>
      <c r="KOK1" s="568"/>
      <c r="KOL1" s="568"/>
      <c r="KOM1" s="568"/>
      <c r="KON1" s="568"/>
      <c r="KOO1" s="568"/>
      <c r="KOP1" s="568"/>
      <c r="KOQ1" s="568"/>
      <c r="KOR1" s="568"/>
      <c r="KOS1" s="568"/>
      <c r="KOT1" s="568"/>
      <c r="KOU1" s="568"/>
      <c r="KOV1" s="568"/>
      <c r="KOW1" s="568"/>
      <c r="KOX1" s="568"/>
      <c r="KOY1" s="568"/>
      <c r="KOZ1" s="568"/>
      <c r="KPA1" s="568"/>
      <c r="KPB1" s="568"/>
      <c r="KPC1" s="568"/>
      <c r="KPD1" s="568"/>
      <c r="KPE1" s="568"/>
      <c r="KPF1" s="568"/>
      <c r="KPG1" s="568"/>
      <c r="KPH1" s="568"/>
      <c r="KPI1" s="568"/>
      <c r="KPJ1" s="568"/>
      <c r="KPK1" s="568"/>
      <c r="KPL1" s="568"/>
      <c r="KPM1" s="568"/>
      <c r="KPN1" s="568"/>
      <c r="KPO1" s="568"/>
      <c r="KPP1" s="568"/>
      <c r="KPQ1" s="568"/>
      <c r="KPR1" s="568"/>
      <c r="KPS1" s="568"/>
      <c r="KPT1" s="568"/>
      <c r="KPU1" s="568"/>
      <c r="KPV1" s="568"/>
      <c r="KPW1" s="568"/>
      <c r="KPX1" s="568"/>
      <c r="KPY1" s="568"/>
      <c r="KPZ1" s="568"/>
      <c r="KQA1" s="568"/>
      <c r="KQB1" s="568"/>
      <c r="KQC1" s="568"/>
      <c r="KQD1" s="568"/>
      <c r="KQE1" s="568"/>
      <c r="KQF1" s="568"/>
      <c r="KQG1" s="568"/>
      <c r="KQH1" s="568"/>
      <c r="KQI1" s="568"/>
      <c r="KQJ1" s="568"/>
      <c r="KQK1" s="568"/>
      <c r="KQL1" s="568"/>
      <c r="KQM1" s="568"/>
      <c r="KQN1" s="568"/>
      <c r="KQO1" s="568"/>
      <c r="KQP1" s="568"/>
      <c r="KQQ1" s="568"/>
      <c r="KQR1" s="568"/>
      <c r="KQS1" s="568"/>
      <c r="KQT1" s="568"/>
      <c r="KQU1" s="568"/>
      <c r="KQV1" s="568"/>
      <c r="KQW1" s="568"/>
      <c r="KQX1" s="568"/>
      <c r="KQY1" s="568"/>
      <c r="KQZ1" s="568"/>
      <c r="KRA1" s="568"/>
      <c r="KRB1" s="568"/>
      <c r="KRC1" s="568"/>
      <c r="KRD1" s="568"/>
      <c r="KRE1" s="568"/>
      <c r="KRF1" s="568"/>
      <c r="KRG1" s="568"/>
      <c r="KRH1" s="568"/>
      <c r="KRI1" s="568"/>
      <c r="KRJ1" s="568"/>
      <c r="KRK1" s="568"/>
      <c r="KRL1" s="568"/>
      <c r="KRM1" s="568"/>
      <c r="KRN1" s="568"/>
      <c r="KRO1" s="568"/>
      <c r="KRP1" s="568"/>
      <c r="KRQ1" s="568"/>
      <c r="KRR1" s="568"/>
      <c r="KRS1" s="568"/>
      <c r="KRT1" s="568"/>
      <c r="KRU1" s="568"/>
      <c r="KRV1" s="568"/>
      <c r="KRW1" s="568"/>
      <c r="KRX1" s="568"/>
      <c r="KRY1" s="568"/>
      <c r="KRZ1" s="568"/>
      <c r="KSA1" s="568"/>
      <c r="KSB1" s="568"/>
      <c r="KSC1" s="568"/>
      <c r="KSD1" s="568"/>
      <c r="KSE1" s="568"/>
      <c r="KSF1" s="568"/>
      <c r="KSG1" s="568"/>
      <c r="KSH1" s="568"/>
      <c r="KSI1" s="568"/>
      <c r="KSJ1" s="568"/>
      <c r="KSK1" s="568"/>
      <c r="KSL1" s="568"/>
      <c r="KSM1" s="568"/>
      <c r="KSN1" s="568"/>
      <c r="KSO1" s="568"/>
      <c r="KSP1" s="568"/>
      <c r="KSQ1" s="568"/>
      <c r="KSR1" s="568"/>
      <c r="KSS1" s="568"/>
      <c r="KST1" s="568"/>
      <c r="KSU1" s="568"/>
      <c r="KSV1" s="568"/>
      <c r="KSW1" s="568"/>
      <c r="KSX1" s="568"/>
      <c r="KSY1" s="568"/>
      <c r="KSZ1" s="568"/>
      <c r="KTA1" s="568"/>
      <c r="KTB1" s="568"/>
      <c r="KTC1" s="568"/>
      <c r="KTD1" s="568"/>
      <c r="KTE1" s="568"/>
      <c r="KTF1" s="568"/>
      <c r="KTG1" s="568"/>
      <c r="KTH1" s="568"/>
      <c r="KTI1" s="568"/>
      <c r="KTJ1" s="568"/>
      <c r="KTK1" s="568"/>
      <c r="KTL1" s="568"/>
      <c r="KTM1" s="568"/>
      <c r="KTN1" s="568"/>
      <c r="KTO1" s="568"/>
      <c r="KTP1" s="568"/>
      <c r="KTQ1" s="568"/>
      <c r="KTR1" s="568"/>
      <c r="KTS1" s="568"/>
      <c r="KTT1" s="568"/>
      <c r="KTU1" s="568"/>
      <c r="KTV1" s="568"/>
      <c r="KTW1" s="568"/>
      <c r="KTX1" s="568"/>
      <c r="KTY1" s="568"/>
      <c r="KTZ1" s="568"/>
      <c r="KUA1" s="568"/>
      <c r="KUB1" s="568"/>
      <c r="KUC1" s="568"/>
      <c r="KUD1" s="568"/>
      <c r="KUE1" s="568"/>
      <c r="KUF1" s="568"/>
      <c r="KUG1" s="568"/>
      <c r="KUH1" s="568"/>
      <c r="KUI1" s="568"/>
      <c r="KUJ1" s="568"/>
      <c r="KUK1" s="568"/>
      <c r="KUL1" s="568"/>
      <c r="KUM1" s="568"/>
      <c r="KUN1" s="568"/>
      <c r="KUO1" s="568"/>
      <c r="KUP1" s="568"/>
      <c r="KUQ1" s="568"/>
      <c r="KUR1" s="568"/>
      <c r="KUS1" s="568"/>
      <c r="KUT1" s="568"/>
      <c r="KUU1" s="568"/>
      <c r="KUV1" s="568"/>
      <c r="KUW1" s="568"/>
      <c r="KUX1" s="568"/>
      <c r="KUY1" s="568"/>
      <c r="KUZ1" s="568"/>
      <c r="KVA1" s="568"/>
      <c r="KVB1" s="568"/>
      <c r="KVC1" s="568"/>
      <c r="KVD1" s="568"/>
      <c r="KVE1" s="568"/>
      <c r="KVF1" s="568"/>
      <c r="KVG1" s="568"/>
      <c r="KVH1" s="568"/>
      <c r="KVI1" s="568"/>
      <c r="KVJ1" s="568"/>
      <c r="KVK1" s="568"/>
      <c r="KVL1" s="568"/>
      <c r="KVM1" s="568"/>
      <c r="KVN1" s="568"/>
      <c r="KVO1" s="568"/>
      <c r="KVP1" s="568"/>
      <c r="KVQ1" s="568"/>
      <c r="KVR1" s="568"/>
      <c r="KVS1" s="568"/>
      <c r="KVT1" s="568"/>
      <c r="KVU1" s="568"/>
      <c r="KVV1" s="568"/>
      <c r="KVW1" s="568"/>
      <c r="KVX1" s="568"/>
      <c r="KVY1" s="568"/>
      <c r="KVZ1" s="568"/>
      <c r="KWA1" s="568"/>
      <c r="KWB1" s="568"/>
      <c r="KWC1" s="568"/>
      <c r="KWD1" s="568"/>
      <c r="KWE1" s="568"/>
      <c r="KWF1" s="568"/>
      <c r="KWG1" s="568"/>
      <c r="KWH1" s="568"/>
      <c r="KWI1" s="568"/>
      <c r="KWJ1" s="568"/>
      <c r="KWK1" s="568"/>
      <c r="KWL1" s="568"/>
      <c r="KWM1" s="568"/>
      <c r="KWN1" s="568"/>
      <c r="KWO1" s="568"/>
      <c r="KWP1" s="568"/>
      <c r="KWQ1" s="568"/>
      <c r="KWR1" s="568"/>
      <c r="KWS1" s="568"/>
      <c r="KWT1" s="568"/>
      <c r="KWU1" s="568"/>
      <c r="KWV1" s="568"/>
      <c r="KWW1" s="568"/>
      <c r="KWX1" s="568"/>
      <c r="KWY1" s="568"/>
      <c r="KWZ1" s="568"/>
      <c r="KXA1" s="568"/>
      <c r="KXB1" s="568"/>
      <c r="KXC1" s="568"/>
      <c r="KXD1" s="568"/>
      <c r="KXE1" s="568"/>
      <c r="KXF1" s="568"/>
      <c r="KXG1" s="568"/>
      <c r="KXH1" s="568"/>
      <c r="KXI1" s="568"/>
      <c r="KXJ1" s="568"/>
      <c r="KXK1" s="568"/>
      <c r="KXL1" s="568"/>
      <c r="KXM1" s="568"/>
      <c r="KXN1" s="568"/>
      <c r="KXO1" s="568"/>
      <c r="KXP1" s="568"/>
      <c r="KXQ1" s="568"/>
      <c r="KXR1" s="568"/>
      <c r="KXS1" s="568"/>
      <c r="KXT1" s="568"/>
      <c r="KXU1" s="568"/>
      <c r="KXV1" s="568"/>
      <c r="KXW1" s="568"/>
      <c r="KXX1" s="568"/>
      <c r="KXY1" s="568"/>
      <c r="KXZ1" s="568"/>
      <c r="KYA1" s="568"/>
      <c r="KYB1" s="568"/>
      <c r="KYC1" s="568"/>
      <c r="KYD1" s="568"/>
      <c r="KYE1" s="568"/>
      <c r="KYF1" s="568"/>
      <c r="KYG1" s="568"/>
      <c r="KYH1" s="568"/>
      <c r="KYI1" s="568"/>
      <c r="KYJ1" s="568"/>
      <c r="KYK1" s="568"/>
      <c r="KYL1" s="568"/>
      <c r="KYM1" s="568"/>
      <c r="KYN1" s="568"/>
      <c r="KYO1" s="568"/>
      <c r="KYP1" s="568"/>
      <c r="KYQ1" s="568"/>
      <c r="KYR1" s="568"/>
      <c r="KYS1" s="568"/>
      <c r="KYT1" s="568"/>
      <c r="KYU1" s="568"/>
      <c r="KYV1" s="568"/>
      <c r="KYW1" s="568"/>
      <c r="KYX1" s="568"/>
      <c r="KYY1" s="568"/>
      <c r="KYZ1" s="568"/>
      <c r="KZA1" s="568"/>
      <c r="KZB1" s="568"/>
      <c r="KZC1" s="568"/>
      <c r="KZD1" s="568"/>
      <c r="KZE1" s="568"/>
      <c r="KZF1" s="568"/>
      <c r="KZG1" s="568"/>
      <c r="KZH1" s="568"/>
      <c r="KZI1" s="568"/>
      <c r="KZJ1" s="568"/>
      <c r="KZK1" s="568"/>
      <c r="KZL1" s="568"/>
      <c r="KZM1" s="568"/>
      <c r="KZN1" s="568"/>
      <c r="KZO1" s="568"/>
      <c r="KZP1" s="568"/>
      <c r="KZQ1" s="568"/>
      <c r="KZR1" s="568"/>
      <c r="KZS1" s="568"/>
      <c r="KZT1" s="568"/>
      <c r="KZU1" s="568"/>
      <c r="KZV1" s="568"/>
      <c r="KZW1" s="568"/>
      <c r="KZX1" s="568"/>
      <c r="KZY1" s="568"/>
      <c r="KZZ1" s="568"/>
      <c r="LAA1" s="568"/>
      <c r="LAB1" s="568"/>
      <c r="LAC1" s="568"/>
      <c r="LAD1" s="568"/>
      <c r="LAE1" s="568"/>
      <c r="LAF1" s="568"/>
      <c r="LAG1" s="568"/>
      <c r="LAH1" s="568"/>
      <c r="LAI1" s="568"/>
      <c r="LAJ1" s="568"/>
      <c r="LAK1" s="568"/>
      <c r="LAL1" s="568"/>
      <c r="LAM1" s="568"/>
      <c r="LAN1" s="568"/>
      <c r="LAO1" s="568"/>
      <c r="LAP1" s="568"/>
      <c r="LAQ1" s="568"/>
      <c r="LAR1" s="568"/>
      <c r="LAS1" s="568"/>
      <c r="LAT1" s="568"/>
      <c r="LAU1" s="568"/>
      <c r="LAV1" s="568"/>
      <c r="LAW1" s="568"/>
      <c r="LAX1" s="568"/>
      <c r="LAY1" s="568"/>
      <c r="LAZ1" s="568"/>
      <c r="LBA1" s="568"/>
      <c r="LBB1" s="568"/>
      <c r="LBC1" s="568"/>
      <c r="LBD1" s="568"/>
      <c r="LBE1" s="568"/>
      <c r="LBF1" s="568"/>
      <c r="LBG1" s="568"/>
      <c r="LBH1" s="568"/>
      <c r="LBI1" s="568"/>
      <c r="LBJ1" s="568"/>
      <c r="LBK1" s="568"/>
      <c r="LBL1" s="568"/>
      <c r="LBM1" s="568"/>
      <c r="LBN1" s="568"/>
      <c r="LBO1" s="568"/>
      <c r="LBP1" s="568"/>
      <c r="LBQ1" s="568"/>
      <c r="LBR1" s="568"/>
      <c r="LBS1" s="568"/>
      <c r="LBT1" s="568"/>
      <c r="LBU1" s="568"/>
      <c r="LBV1" s="568"/>
      <c r="LBW1" s="568"/>
      <c r="LBX1" s="568"/>
      <c r="LBY1" s="568"/>
      <c r="LBZ1" s="568"/>
      <c r="LCA1" s="568"/>
      <c r="LCB1" s="568"/>
      <c r="LCC1" s="568"/>
      <c r="LCD1" s="568"/>
      <c r="LCE1" s="568"/>
      <c r="LCF1" s="568"/>
      <c r="LCG1" s="568"/>
      <c r="LCH1" s="568"/>
      <c r="LCI1" s="568"/>
      <c r="LCJ1" s="568"/>
      <c r="LCK1" s="568"/>
      <c r="LCL1" s="568"/>
      <c r="LCM1" s="568"/>
      <c r="LCN1" s="568"/>
      <c r="LCO1" s="568"/>
      <c r="LCP1" s="568"/>
      <c r="LCQ1" s="568"/>
      <c r="LCR1" s="568"/>
      <c r="LCS1" s="568"/>
      <c r="LCT1" s="568"/>
      <c r="LCU1" s="568"/>
      <c r="LCV1" s="568"/>
      <c r="LCW1" s="568"/>
      <c r="LCX1" s="568"/>
      <c r="LCY1" s="568"/>
      <c r="LCZ1" s="568"/>
      <c r="LDA1" s="568"/>
      <c r="LDB1" s="568"/>
      <c r="LDC1" s="568"/>
      <c r="LDD1" s="568"/>
      <c r="LDE1" s="568"/>
      <c r="LDF1" s="568"/>
      <c r="LDG1" s="568"/>
      <c r="LDH1" s="568"/>
      <c r="LDI1" s="568"/>
      <c r="LDJ1" s="568"/>
      <c r="LDK1" s="568"/>
      <c r="LDL1" s="568"/>
      <c r="LDM1" s="568"/>
      <c r="LDN1" s="568"/>
      <c r="LDO1" s="568"/>
      <c r="LDP1" s="568"/>
      <c r="LDQ1" s="568"/>
      <c r="LDR1" s="568"/>
      <c r="LDS1" s="568"/>
      <c r="LDT1" s="568"/>
      <c r="LDU1" s="568"/>
      <c r="LDV1" s="568"/>
      <c r="LDW1" s="568"/>
      <c r="LDX1" s="568"/>
      <c r="LDY1" s="568"/>
      <c r="LDZ1" s="568"/>
      <c r="LEA1" s="568"/>
      <c r="LEB1" s="568"/>
      <c r="LEC1" s="568"/>
      <c r="LED1" s="568"/>
      <c r="LEE1" s="568"/>
      <c r="LEF1" s="568"/>
      <c r="LEG1" s="568"/>
      <c r="LEH1" s="568"/>
      <c r="LEI1" s="568"/>
      <c r="LEJ1" s="568"/>
      <c r="LEK1" s="568"/>
      <c r="LEL1" s="568"/>
      <c r="LEM1" s="568"/>
      <c r="LEN1" s="568"/>
      <c r="LEO1" s="568"/>
      <c r="LEP1" s="568"/>
      <c r="LEQ1" s="568"/>
      <c r="LER1" s="568"/>
      <c r="LES1" s="568"/>
      <c r="LET1" s="568"/>
      <c r="LEU1" s="568"/>
      <c r="LEV1" s="568"/>
      <c r="LEW1" s="568"/>
      <c r="LEX1" s="568"/>
      <c r="LEY1" s="568"/>
      <c r="LEZ1" s="568"/>
      <c r="LFA1" s="568"/>
      <c r="LFB1" s="568"/>
      <c r="LFC1" s="568"/>
      <c r="LFD1" s="568"/>
      <c r="LFE1" s="568"/>
      <c r="LFF1" s="568"/>
      <c r="LFG1" s="568"/>
      <c r="LFH1" s="568"/>
      <c r="LFI1" s="568"/>
      <c r="LFJ1" s="568"/>
      <c r="LFK1" s="568"/>
      <c r="LFL1" s="568"/>
      <c r="LFM1" s="568"/>
      <c r="LFN1" s="568"/>
      <c r="LFO1" s="568"/>
      <c r="LFP1" s="568"/>
      <c r="LFQ1" s="568"/>
      <c r="LFR1" s="568"/>
      <c r="LFS1" s="568"/>
      <c r="LFT1" s="568"/>
      <c r="LFU1" s="568"/>
      <c r="LFV1" s="568"/>
      <c r="LFW1" s="568"/>
      <c r="LFX1" s="568"/>
      <c r="LFY1" s="568"/>
      <c r="LFZ1" s="568"/>
      <c r="LGA1" s="568"/>
      <c r="LGB1" s="568"/>
      <c r="LGC1" s="568"/>
      <c r="LGD1" s="568"/>
      <c r="LGE1" s="568"/>
      <c r="LGF1" s="568"/>
      <c r="LGG1" s="568"/>
      <c r="LGH1" s="568"/>
      <c r="LGI1" s="568"/>
      <c r="LGJ1" s="568"/>
      <c r="LGK1" s="568"/>
      <c r="LGL1" s="568"/>
      <c r="LGM1" s="568"/>
      <c r="LGN1" s="568"/>
      <c r="LGO1" s="568"/>
      <c r="LGP1" s="568"/>
      <c r="LGQ1" s="568"/>
      <c r="LGR1" s="568"/>
      <c r="LGS1" s="568"/>
      <c r="LGT1" s="568"/>
      <c r="LGU1" s="568"/>
      <c r="LGV1" s="568"/>
      <c r="LGW1" s="568"/>
      <c r="LGX1" s="568"/>
      <c r="LGY1" s="568"/>
      <c r="LGZ1" s="568"/>
      <c r="LHA1" s="568"/>
      <c r="LHB1" s="568"/>
      <c r="LHC1" s="568"/>
      <c r="LHD1" s="568"/>
      <c r="LHE1" s="568"/>
      <c r="LHF1" s="568"/>
      <c r="LHG1" s="568"/>
      <c r="LHH1" s="568"/>
      <c r="LHI1" s="568"/>
      <c r="LHJ1" s="568"/>
      <c r="LHK1" s="568"/>
      <c r="LHL1" s="568"/>
      <c r="LHM1" s="568"/>
      <c r="LHN1" s="568"/>
      <c r="LHO1" s="568"/>
      <c r="LHP1" s="568"/>
      <c r="LHQ1" s="568"/>
      <c r="LHR1" s="568"/>
      <c r="LHS1" s="568"/>
      <c r="LHT1" s="568"/>
      <c r="LHU1" s="568"/>
      <c r="LHV1" s="568"/>
      <c r="LHW1" s="568"/>
      <c r="LHX1" s="568"/>
      <c r="LHY1" s="568"/>
      <c r="LHZ1" s="568"/>
      <c r="LIA1" s="568"/>
      <c r="LIB1" s="568"/>
      <c r="LIC1" s="568"/>
      <c r="LID1" s="568"/>
      <c r="LIE1" s="568"/>
      <c r="LIF1" s="568"/>
      <c r="LIG1" s="568"/>
      <c r="LIH1" s="568"/>
      <c r="LII1" s="568"/>
      <c r="LIJ1" s="568"/>
      <c r="LIK1" s="568"/>
      <c r="LIL1" s="568"/>
      <c r="LIM1" s="568"/>
      <c r="LIN1" s="568"/>
      <c r="LIO1" s="568"/>
      <c r="LIP1" s="568"/>
      <c r="LIQ1" s="568"/>
      <c r="LIR1" s="568"/>
      <c r="LIS1" s="568"/>
      <c r="LIT1" s="568"/>
      <c r="LIU1" s="568"/>
      <c r="LIV1" s="568"/>
      <c r="LIW1" s="568"/>
      <c r="LIX1" s="568"/>
      <c r="LIY1" s="568"/>
      <c r="LIZ1" s="568"/>
      <c r="LJA1" s="568"/>
      <c r="LJB1" s="568"/>
      <c r="LJC1" s="568"/>
      <c r="LJD1" s="568"/>
      <c r="LJE1" s="568"/>
      <c r="LJF1" s="568"/>
      <c r="LJG1" s="568"/>
      <c r="LJH1" s="568"/>
      <c r="LJI1" s="568"/>
      <c r="LJJ1" s="568"/>
      <c r="LJK1" s="568"/>
      <c r="LJL1" s="568"/>
      <c r="LJM1" s="568"/>
      <c r="LJN1" s="568"/>
      <c r="LJO1" s="568"/>
      <c r="LJP1" s="568"/>
      <c r="LJQ1" s="568"/>
      <c r="LJR1" s="568"/>
      <c r="LJS1" s="568"/>
      <c r="LJT1" s="568"/>
      <c r="LJU1" s="568"/>
      <c r="LJV1" s="568"/>
      <c r="LJW1" s="568"/>
      <c r="LJX1" s="568"/>
      <c r="LJY1" s="568"/>
      <c r="LJZ1" s="568"/>
      <c r="LKA1" s="568"/>
      <c r="LKB1" s="568"/>
      <c r="LKC1" s="568"/>
      <c r="LKD1" s="568"/>
      <c r="LKE1" s="568"/>
      <c r="LKF1" s="568"/>
      <c r="LKG1" s="568"/>
      <c r="LKH1" s="568"/>
      <c r="LKI1" s="568"/>
      <c r="LKJ1" s="568"/>
      <c r="LKK1" s="568"/>
      <c r="LKL1" s="568"/>
      <c r="LKM1" s="568"/>
      <c r="LKN1" s="568"/>
      <c r="LKO1" s="568"/>
      <c r="LKP1" s="568"/>
      <c r="LKQ1" s="568"/>
      <c r="LKR1" s="568"/>
      <c r="LKS1" s="568"/>
      <c r="LKT1" s="568"/>
      <c r="LKU1" s="568"/>
      <c r="LKV1" s="568"/>
      <c r="LKW1" s="568"/>
      <c r="LKX1" s="568"/>
      <c r="LKY1" s="568"/>
      <c r="LKZ1" s="568"/>
      <c r="LLA1" s="568"/>
      <c r="LLB1" s="568"/>
      <c r="LLC1" s="568"/>
      <c r="LLD1" s="568"/>
      <c r="LLE1" s="568"/>
      <c r="LLF1" s="568"/>
      <c r="LLG1" s="568"/>
      <c r="LLH1" s="568"/>
      <c r="LLI1" s="568"/>
      <c r="LLJ1" s="568"/>
      <c r="LLK1" s="568"/>
      <c r="LLL1" s="568"/>
      <c r="LLM1" s="568"/>
      <c r="LLN1" s="568"/>
      <c r="LLO1" s="568"/>
      <c r="LLP1" s="568"/>
      <c r="LLQ1" s="568"/>
      <c r="LLR1" s="568"/>
      <c r="LLS1" s="568"/>
      <c r="LLT1" s="568"/>
      <c r="LLU1" s="568"/>
      <c r="LLV1" s="568"/>
      <c r="LLW1" s="568"/>
      <c r="LLX1" s="568"/>
      <c r="LLY1" s="568"/>
      <c r="LLZ1" s="568"/>
      <c r="LMA1" s="568"/>
      <c r="LMB1" s="568"/>
      <c r="LMC1" s="568"/>
      <c r="LMD1" s="568"/>
      <c r="LME1" s="568"/>
      <c r="LMF1" s="568"/>
      <c r="LMG1" s="568"/>
      <c r="LMH1" s="568"/>
      <c r="LMI1" s="568"/>
      <c r="LMJ1" s="568"/>
      <c r="LMK1" s="568"/>
      <c r="LML1" s="568"/>
      <c r="LMM1" s="568"/>
      <c r="LMN1" s="568"/>
      <c r="LMO1" s="568"/>
      <c r="LMP1" s="568"/>
      <c r="LMQ1" s="568"/>
      <c r="LMR1" s="568"/>
      <c r="LMS1" s="568"/>
      <c r="LMT1" s="568"/>
      <c r="LMU1" s="568"/>
      <c r="LMV1" s="568"/>
      <c r="LMW1" s="568"/>
      <c r="LMX1" s="568"/>
      <c r="LMY1" s="568"/>
      <c r="LMZ1" s="568"/>
      <c r="LNA1" s="568"/>
      <c r="LNB1" s="568"/>
      <c r="LNC1" s="568"/>
      <c r="LND1" s="568"/>
      <c r="LNE1" s="568"/>
      <c r="LNF1" s="568"/>
      <c r="LNG1" s="568"/>
      <c r="LNH1" s="568"/>
      <c r="LNI1" s="568"/>
      <c r="LNJ1" s="568"/>
      <c r="LNK1" s="568"/>
      <c r="LNL1" s="568"/>
      <c r="LNM1" s="568"/>
      <c r="LNN1" s="568"/>
      <c r="LNO1" s="568"/>
      <c r="LNP1" s="568"/>
      <c r="LNQ1" s="568"/>
      <c r="LNR1" s="568"/>
      <c r="LNS1" s="568"/>
      <c r="LNT1" s="568"/>
      <c r="LNU1" s="568"/>
      <c r="LNV1" s="568"/>
      <c r="LNW1" s="568"/>
      <c r="LNX1" s="568"/>
      <c r="LNY1" s="568"/>
      <c r="LNZ1" s="568"/>
      <c r="LOA1" s="568"/>
      <c r="LOB1" s="568"/>
      <c r="LOC1" s="568"/>
      <c r="LOD1" s="568"/>
      <c r="LOE1" s="568"/>
      <c r="LOF1" s="568"/>
      <c r="LOG1" s="568"/>
      <c r="LOH1" s="568"/>
      <c r="LOI1" s="568"/>
      <c r="LOJ1" s="568"/>
      <c r="LOK1" s="568"/>
      <c r="LOL1" s="568"/>
      <c r="LOM1" s="568"/>
      <c r="LON1" s="568"/>
      <c r="LOO1" s="568"/>
      <c r="LOP1" s="568"/>
      <c r="LOQ1" s="568"/>
      <c r="LOR1" s="568"/>
      <c r="LOS1" s="568"/>
      <c r="LOT1" s="568"/>
      <c r="LOU1" s="568"/>
      <c r="LOV1" s="568"/>
      <c r="LOW1" s="568"/>
      <c r="LOX1" s="568"/>
      <c r="LOY1" s="568"/>
      <c r="LOZ1" s="568"/>
      <c r="LPA1" s="568"/>
      <c r="LPB1" s="568"/>
      <c r="LPC1" s="568"/>
      <c r="LPD1" s="568"/>
      <c r="LPE1" s="568"/>
      <c r="LPF1" s="568"/>
      <c r="LPG1" s="568"/>
      <c r="LPH1" s="568"/>
      <c r="LPI1" s="568"/>
      <c r="LPJ1" s="568"/>
      <c r="LPK1" s="568"/>
      <c r="LPL1" s="568"/>
      <c r="LPM1" s="568"/>
      <c r="LPN1" s="568"/>
      <c r="LPO1" s="568"/>
      <c r="LPP1" s="568"/>
      <c r="LPQ1" s="568"/>
      <c r="LPR1" s="568"/>
      <c r="LPS1" s="568"/>
      <c r="LPT1" s="568"/>
      <c r="LPU1" s="568"/>
      <c r="LPV1" s="568"/>
      <c r="LPW1" s="568"/>
      <c r="LPX1" s="568"/>
      <c r="LPY1" s="568"/>
      <c r="LPZ1" s="568"/>
      <c r="LQA1" s="568"/>
      <c r="LQB1" s="568"/>
      <c r="LQC1" s="568"/>
      <c r="LQD1" s="568"/>
      <c r="LQE1" s="568"/>
      <c r="LQF1" s="568"/>
      <c r="LQG1" s="568"/>
      <c r="LQH1" s="568"/>
      <c r="LQI1" s="568"/>
      <c r="LQJ1" s="568"/>
      <c r="LQK1" s="568"/>
      <c r="LQL1" s="568"/>
      <c r="LQM1" s="568"/>
      <c r="LQN1" s="568"/>
      <c r="LQO1" s="568"/>
      <c r="LQP1" s="568"/>
      <c r="LQQ1" s="568"/>
      <c r="LQR1" s="568"/>
      <c r="LQS1" s="568"/>
      <c r="LQT1" s="568"/>
      <c r="LQU1" s="568"/>
      <c r="LQV1" s="568"/>
      <c r="LQW1" s="568"/>
      <c r="LQX1" s="568"/>
      <c r="LQY1" s="568"/>
      <c r="LQZ1" s="568"/>
      <c r="LRA1" s="568"/>
      <c r="LRB1" s="568"/>
      <c r="LRC1" s="568"/>
      <c r="LRD1" s="568"/>
      <c r="LRE1" s="568"/>
      <c r="LRF1" s="568"/>
      <c r="LRG1" s="568"/>
      <c r="LRH1" s="568"/>
      <c r="LRI1" s="568"/>
      <c r="LRJ1" s="568"/>
      <c r="LRK1" s="568"/>
      <c r="LRL1" s="568"/>
      <c r="LRM1" s="568"/>
      <c r="LRN1" s="568"/>
      <c r="LRO1" s="568"/>
      <c r="LRP1" s="568"/>
      <c r="LRQ1" s="568"/>
      <c r="LRR1" s="568"/>
      <c r="LRS1" s="568"/>
      <c r="LRT1" s="568"/>
      <c r="LRU1" s="568"/>
      <c r="LRV1" s="568"/>
      <c r="LRW1" s="568"/>
      <c r="LRX1" s="568"/>
      <c r="LRY1" s="568"/>
      <c r="LRZ1" s="568"/>
      <c r="LSA1" s="568"/>
      <c r="LSB1" s="568"/>
      <c r="LSC1" s="568"/>
      <c r="LSD1" s="568"/>
      <c r="LSE1" s="568"/>
      <c r="LSF1" s="568"/>
      <c r="LSG1" s="568"/>
      <c r="LSH1" s="568"/>
      <c r="LSI1" s="568"/>
      <c r="LSJ1" s="568"/>
      <c r="LSK1" s="568"/>
      <c r="LSL1" s="568"/>
      <c r="LSM1" s="568"/>
      <c r="LSN1" s="568"/>
      <c r="LSO1" s="568"/>
      <c r="LSP1" s="568"/>
      <c r="LSQ1" s="568"/>
      <c r="LSR1" s="568"/>
      <c r="LSS1" s="568"/>
      <c r="LST1" s="568"/>
      <c r="LSU1" s="568"/>
      <c r="LSV1" s="568"/>
      <c r="LSW1" s="568"/>
      <c r="LSX1" s="568"/>
      <c r="LSY1" s="568"/>
      <c r="LSZ1" s="568"/>
      <c r="LTA1" s="568"/>
      <c r="LTB1" s="568"/>
      <c r="LTC1" s="568"/>
      <c r="LTD1" s="568"/>
      <c r="LTE1" s="568"/>
      <c r="LTF1" s="568"/>
      <c r="LTG1" s="568"/>
      <c r="LTH1" s="568"/>
      <c r="LTI1" s="568"/>
      <c r="LTJ1" s="568"/>
      <c r="LTK1" s="568"/>
      <c r="LTL1" s="568"/>
      <c r="LTM1" s="568"/>
      <c r="LTN1" s="568"/>
      <c r="LTO1" s="568"/>
      <c r="LTP1" s="568"/>
      <c r="LTQ1" s="568"/>
      <c r="LTR1" s="568"/>
      <c r="LTS1" s="568"/>
      <c r="LTT1" s="568"/>
      <c r="LTU1" s="568"/>
      <c r="LTV1" s="568"/>
      <c r="LTW1" s="568"/>
      <c r="LTX1" s="568"/>
      <c r="LTY1" s="568"/>
      <c r="LTZ1" s="568"/>
      <c r="LUA1" s="568"/>
      <c r="LUB1" s="568"/>
      <c r="LUC1" s="568"/>
      <c r="LUD1" s="568"/>
      <c r="LUE1" s="568"/>
      <c r="LUF1" s="568"/>
      <c r="LUG1" s="568"/>
      <c r="LUH1" s="568"/>
      <c r="LUI1" s="568"/>
      <c r="LUJ1" s="568"/>
      <c r="LUK1" s="568"/>
      <c r="LUL1" s="568"/>
      <c r="LUM1" s="568"/>
      <c r="LUN1" s="568"/>
      <c r="LUO1" s="568"/>
      <c r="LUP1" s="568"/>
      <c r="LUQ1" s="568"/>
      <c r="LUR1" s="568"/>
      <c r="LUS1" s="568"/>
      <c r="LUT1" s="568"/>
      <c r="LUU1" s="568"/>
      <c r="LUV1" s="568"/>
      <c r="LUW1" s="568"/>
      <c r="LUX1" s="568"/>
      <c r="LUY1" s="568"/>
      <c r="LUZ1" s="568"/>
      <c r="LVA1" s="568"/>
      <c r="LVB1" s="568"/>
      <c r="LVC1" s="568"/>
      <c r="LVD1" s="568"/>
      <c r="LVE1" s="568"/>
      <c r="LVF1" s="568"/>
      <c r="LVG1" s="568"/>
      <c r="LVH1" s="568"/>
      <c r="LVI1" s="568"/>
      <c r="LVJ1" s="568"/>
      <c r="LVK1" s="568"/>
      <c r="LVL1" s="568"/>
      <c r="LVM1" s="568"/>
      <c r="LVN1" s="568"/>
      <c r="LVO1" s="568"/>
      <c r="LVP1" s="568"/>
      <c r="LVQ1" s="568"/>
      <c r="LVR1" s="568"/>
      <c r="LVS1" s="568"/>
      <c r="LVT1" s="568"/>
      <c r="LVU1" s="568"/>
      <c r="LVV1" s="568"/>
      <c r="LVW1" s="568"/>
      <c r="LVX1" s="568"/>
      <c r="LVY1" s="568"/>
      <c r="LVZ1" s="568"/>
      <c r="LWA1" s="568"/>
      <c r="LWB1" s="568"/>
      <c r="LWC1" s="568"/>
      <c r="LWD1" s="568"/>
      <c r="LWE1" s="568"/>
      <c r="LWF1" s="568"/>
      <c r="LWG1" s="568"/>
      <c r="LWH1" s="568"/>
      <c r="LWI1" s="568"/>
      <c r="LWJ1" s="568"/>
      <c r="LWK1" s="568"/>
      <c r="LWL1" s="568"/>
      <c r="LWM1" s="568"/>
      <c r="LWN1" s="568"/>
      <c r="LWO1" s="568"/>
      <c r="LWP1" s="568"/>
      <c r="LWQ1" s="568"/>
      <c r="LWR1" s="568"/>
      <c r="LWS1" s="568"/>
      <c r="LWT1" s="568"/>
      <c r="LWU1" s="568"/>
      <c r="LWV1" s="568"/>
      <c r="LWW1" s="568"/>
      <c r="LWX1" s="568"/>
      <c r="LWY1" s="568"/>
      <c r="LWZ1" s="568"/>
      <c r="LXA1" s="568"/>
      <c r="LXB1" s="568"/>
      <c r="LXC1" s="568"/>
      <c r="LXD1" s="568"/>
      <c r="LXE1" s="568"/>
      <c r="LXF1" s="568"/>
      <c r="LXG1" s="568"/>
      <c r="LXH1" s="568"/>
      <c r="LXI1" s="568"/>
      <c r="LXJ1" s="568"/>
      <c r="LXK1" s="568"/>
      <c r="LXL1" s="568"/>
      <c r="LXM1" s="568"/>
      <c r="LXN1" s="568"/>
      <c r="LXO1" s="568"/>
      <c r="LXP1" s="568"/>
      <c r="LXQ1" s="568"/>
      <c r="LXR1" s="568"/>
      <c r="LXS1" s="568"/>
      <c r="LXT1" s="568"/>
      <c r="LXU1" s="568"/>
      <c r="LXV1" s="568"/>
      <c r="LXW1" s="568"/>
      <c r="LXX1" s="568"/>
      <c r="LXY1" s="568"/>
      <c r="LXZ1" s="568"/>
      <c r="LYA1" s="568"/>
      <c r="LYB1" s="568"/>
      <c r="LYC1" s="568"/>
      <c r="LYD1" s="568"/>
      <c r="LYE1" s="568"/>
      <c r="LYF1" s="568"/>
      <c r="LYG1" s="568"/>
      <c r="LYH1" s="568"/>
      <c r="LYI1" s="568"/>
      <c r="LYJ1" s="568"/>
      <c r="LYK1" s="568"/>
      <c r="LYL1" s="568"/>
      <c r="LYM1" s="568"/>
      <c r="LYN1" s="568"/>
      <c r="LYO1" s="568"/>
      <c r="LYP1" s="568"/>
      <c r="LYQ1" s="568"/>
      <c r="LYR1" s="568"/>
      <c r="LYS1" s="568"/>
      <c r="LYT1" s="568"/>
      <c r="LYU1" s="568"/>
      <c r="LYV1" s="568"/>
      <c r="LYW1" s="568"/>
      <c r="LYX1" s="568"/>
      <c r="LYY1" s="568"/>
      <c r="LYZ1" s="568"/>
      <c r="LZA1" s="568"/>
      <c r="LZB1" s="568"/>
      <c r="LZC1" s="568"/>
      <c r="LZD1" s="568"/>
      <c r="LZE1" s="568"/>
      <c r="LZF1" s="568"/>
      <c r="LZG1" s="568"/>
      <c r="LZH1" s="568"/>
      <c r="LZI1" s="568"/>
      <c r="LZJ1" s="568"/>
      <c r="LZK1" s="568"/>
      <c r="LZL1" s="568"/>
      <c r="LZM1" s="568"/>
      <c r="LZN1" s="568"/>
      <c r="LZO1" s="568"/>
      <c r="LZP1" s="568"/>
      <c r="LZQ1" s="568"/>
      <c r="LZR1" s="568"/>
      <c r="LZS1" s="568"/>
      <c r="LZT1" s="568"/>
      <c r="LZU1" s="568"/>
      <c r="LZV1" s="568"/>
      <c r="LZW1" s="568"/>
      <c r="LZX1" s="568"/>
      <c r="LZY1" s="568"/>
      <c r="LZZ1" s="568"/>
      <c r="MAA1" s="568"/>
      <c r="MAB1" s="568"/>
      <c r="MAC1" s="568"/>
      <c r="MAD1" s="568"/>
      <c r="MAE1" s="568"/>
      <c r="MAF1" s="568"/>
      <c r="MAG1" s="568"/>
      <c r="MAH1" s="568"/>
      <c r="MAI1" s="568"/>
      <c r="MAJ1" s="568"/>
      <c r="MAK1" s="568"/>
      <c r="MAL1" s="568"/>
      <c r="MAM1" s="568"/>
      <c r="MAN1" s="568"/>
      <c r="MAO1" s="568"/>
      <c r="MAP1" s="568"/>
      <c r="MAQ1" s="568"/>
      <c r="MAR1" s="568"/>
      <c r="MAS1" s="568"/>
      <c r="MAT1" s="568"/>
      <c r="MAU1" s="568"/>
      <c r="MAV1" s="568"/>
      <c r="MAW1" s="568"/>
      <c r="MAX1" s="568"/>
      <c r="MAY1" s="568"/>
      <c r="MAZ1" s="568"/>
      <c r="MBA1" s="568"/>
      <c r="MBB1" s="568"/>
      <c r="MBC1" s="568"/>
      <c r="MBD1" s="568"/>
      <c r="MBE1" s="568"/>
      <c r="MBF1" s="568"/>
      <c r="MBG1" s="568"/>
      <c r="MBH1" s="568"/>
      <c r="MBI1" s="568"/>
      <c r="MBJ1" s="568"/>
      <c r="MBK1" s="568"/>
      <c r="MBL1" s="568"/>
      <c r="MBM1" s="568"/>
      <c r="MBN1" s="568"/>
      <c r="MBO1" s="568"/>
      <c r="MBP1" s="568"/>
      <c r="MBQ1" s="568"/>
      <c r="MBR1" s="568"/>
      <c r="MBS1" s="568"/>
      <c r="MBT1" s="568"/>
      <c r="MBU1" s="568"/>
      <c r="MBV1" s="568"/>
      <c r="MBW1" s="568"/>
      <c r="MBX1" s="568"/>
      <c r="MBY1" s="568"/>
      <c r="MBZ1" s="568"/>
      <c r="MCA1" s="568"/>
      <c r="MCB1" s="568"/>
      <c r="MCC1" s="568"/>
      <c r="MCD1" s="568"/>
      <c r="MCE1" s="568"/>
      <c r="MCF1" s="568"/>
      <c r="MCG1" s="568"/>
      <c r="MCH1" s="568"/>
      <c r="MCI1" s="568"/>
      <c r="MCJ1" s="568"/>
      <c r="MCK1" s="568"/>
      <c r="MCL1" s="568"/>
      <c r="MCM1" s="568"/>
      <c r="MCN1" s="568"/>
      <c r="MCO1" s="568"/>
      <c r="MCP1" s="568"/>
      <c r="MCQ1" s="568"/>
      <c r="MCR1" s="568"/>
      <c r="MCS1" s="568"/>
      <c r="MCT1" s="568"/>
      <c r="MCU1" s="568"/>
      <c r="MCV1" s="568"/>
      <c r="MCW1" s="568"/>
      <c r="MCX1" s="568"/>
      <c r="MCY1" s="568"/>
      <c r="MCZ1" s="568"/>
      <c r="MDA1" s="568"/>
      <c r="MDB1" s="568"/>
      <c r="MDC1" s="568"/>
      <c r="MDD1" s="568"/>
      <c r="MDE1" s="568"/>
      <c r="MDF1" s="568"/>
      <c r="MDG1" s="568"/>
      <c r="MDH1" s="568"/>
      <c r="MDI1" s="568"/>
      <c r="MDJ1" s="568"/>
      <c r="MDK1" s="568"/>
      <c r="MDL1" s="568"/>
      <c r="MDM1" s="568"/>
      <c r="MDN1" s="568"/>
      <c r="MDO1" s="568"/>
      <c r="MDP1" s="568"/>
      <c r="MDQ1" s="568"/>
      <c r="MDR1" s="568"/>
      <c r="MDS1" s="568"/>
      <c r="MDT1" s="568"/>
      <c r="MDU1" s="568"/>
      <c r="MDV1" s="568"/>
      <c r="MDW1" s="568"/>
      <c r="MDX1" s="568"/>
      <c r="MDY1" s="568"/>
      <c r="MDZ1" s="568"/>
      <c r="MEA1" s="568"/>
      <c r="MEB1" s="568"/>
      <c r="MEC1" s="568"/>
      <c r="MED1" s="568"/>
      <c r="MEE1" s="568"/>
      <c r="MEF1" s="568"/>
      <c r="MEG1" s="568"/>
      <c r="MEH1" s="568"/>
      <c r="MEI1" s="568"/>
      <c r="MEJ1" s="568"/>
      <c r="MEK1" s="568"/>
      <c r="MEL1" s="568"/>
      <c r="MEM1" s="568"/>
      <c r="MEN1" s="568"/>
      <c r="MEO1" s="568"/>
      <c r="MEP1" s="568"/>
      <c r="MEQ1" s="568"/>
      <c r="MER1" s="568"/>
      <c r="MES1" s="568"/>
      <c r="MET1" s="568"/>
      <c r="MEU1" s="568"/>
      <c r="MEV1" s="568"/>
      <c r="MEW1" s="568"/>
      <c r="MEX1" s="568"/>
      <c r="MEY1" s="568"/>
      <c r="MEZ1" s="568"/>
      <c r="MFA1" s="568"/>
      <c r="MFB1" s="568"/>
      <c r="MFC1" s="568"/>
      <c r="MFD1" s="568"/>
      <c r="MFE1" s="568"/>
      <c r="MFF1" s="568"/>
      <c r="MFG1" s="568"/>
      <c r="MFH1" s="568"/>
      <c r="MFI1" s="568"/>
      <c r="MFJ1" s="568"/>
      <c r="MFK1" s="568"/>
      <c r="MFL1" s="568"/>
      <c r="MFM1" s="568"/>
      <c r="MFN1" s="568"/>
      <c r="MFO1" s="568"/>
      <c r="MFP1" s="568"/>
      <c r="MFQ1" s="568"/>
      <c r="MFR1" s="568"/>
      <c r="MFS1" s="568"/>
      <c r="MFT1" s="568"/>
      <c r="MFU1" s="568"/>
      <c r="MFV1" s="568"/>
      <c r="MFW1" s="568"/>
      <c r="MFX1" s="568"/>
      <c r="MFY1" s="568"/>
      <c r="MFZ1" s="568"/>
      <c r="MGA1" s="568"/>
      <c r="MGB1" s="568"/>
      <c r="MGC1" s="568"/>
      <c r="MGD1" s="568"/>
      <c r="MGE1" s="568"/>
      <c r="MGF1" s="568"/>
      <c r="MGG1" s="568"/>
      <c r="MGH1" s="568"/>
      <c r="MGI1" s="568"/>
      <c r="MGJ1" s="568"/>
      <c r="MGK1" s="568"/>
      <c r="MGL1" s="568"/>
      <c r="MGM1" s="568"/>
      <c r="MGN1" s="568"/>
      <c r="MGO1" s="568"/>
      <c r="MGP1" s="568"/>
      <c r="MGQ1" s="568"/>
      <c r="MGR1" s="568"/>
      <c r="MGS1" s="568"/>
      <c r="MGT1" s="568"/>
      <c r="MGU1" s="568"/>
      <c r="MGV1" s="568"/>
      <c r="MGW1" s="568"/>
      <c r="MGX1" s="568"/>
      <c r="MGY1" s="568"/>
      <c r="MGZ1" s="568"/>
      <c r="MHA1" s="568"/>
      <c r="MHB1" s="568"/>
      <c r="MHC1" s="568"/>
      <c r="MHD1" s="568"/>
      <c r="MHE1" s="568"/>
      <c r="MHF1" s="568"/>
      <c r="MHG1" s="568"/>
      <c r="MHH1" s="568"/>
      <c r="MHI1" s="568"/>
      <c r="MHJ1" s="568"/>
      <c r="MHK1" s="568"/>
      <c r="MHL1" s="568"/>
      <c r="MHM1" s="568"/>
      <c r="MHN1" s="568"/>
      <c r="MHO1" s="568"/>
      <c r="MHP1" s="568"/>
      <c r="MHQ1" s="568"/>
      <c r="MHR1" s="568"/>
      <c r="MHS1" s="568"/>
      <c r="MHT1" s="568"/>
      <c r="MHU1" s="568"/>
      <c r="MHV1" s="568"/>
      <c r="MHW1" s="568"/>
      <c r="MHX1" s="568"/>
      <c r="MHY1" s="568"/>
      <c r="MHZ1" s="568"/>
      <c r="MIA1" s="568"/>
      <c r="MIB1" s="568"/>
      <c r="MIC1" s="568"/>
      <c r="MID1" s="568"/>
      <c r="MIE1" s="568"/>
      <c r="MIF1" s="568"/>
      <c r="MIG1" s="568"/>
      <c r="MIH1" s="568"/>
      <c r="MII1" s="568"/>
      <c r="MIJ1" s="568"/>
      <c r="MIK1" s="568"/>
      <c r="MIL1" s="568"/>
      <c r="MIM1" s="568"/>
      <c r="MIN1" s="568"/>
      <c r="MIO1" s="568"/>
      <c r="MIP1" s="568"/>
      <c r="MIQ1" s="568"/>
      <c r="MIR1" s="568"/>
      <c r="MIS1" s="568"/>
      <c r="MIT1" s="568"/>
      <c r="MIU1" s="568"/>
      <c r="MIV1" s="568"/>
      <c r="MIW1" s="568"/>
      <c r="MIX1" s="568"/>
      <c r="MIY1" s="568"/>
      <c r="MIZ1" s="568"/>
      <c r="MJA1" s="568"/>
      <c r="MJB1" s="568"/>
      <c r="MJC1" s="568"/>
      <c r="MJD1" s="568"/>
      <c r="MJE1" s="568"/>
      <c r="MJF1" s="568"/>
      <c r="MJG1" s="568"/>
      <c r="MJH1" s="568"/>
      <c r="MJI1" s="568"/>
      <c r="MJJ1" s="568"/>
      <c r="MJK1" s="568"/>
      <c r="MJL1" s="568"/>
      <c r="MJM1" s="568"/>
      <c r="MJN1" s="568"/>
      <c r="MJO1" s="568"/>
      <c r="MJP1" s="568"/>
      <c r="MJQ1" s="568"/>
      <c r="MJR1" s="568"/>
      <c r="MJS1" s="568"/>
      <c r="MJT1" s="568"/>
      <c r="MJU1" s="568"/>
      <c r="MJV1" s="568"/>
      <c r="MJW1" s="568"/>
      <c r="MJX1" s="568"/>
      <c r="MJY1" s="568"/>
      <c r="MJZ1" s="568"/>
      <c r="MKA1" s="568"/>
      <c r="MKB1" s="568"/>
      <c r="MKC1" s="568"/>
      <c r="MKD1" s="568"/>
      <c r="MKE1" s="568"/>
      <c r="MKF1" s="568"/>
      <c r="MKG1" s="568"/>
      <c r="MKH1" s="568"/>
      <c r="MKI1" s="568"/>
      <c r="MKJ1" s="568"/>
      <c r="MKK1" s="568"/>
      <c r="MKL1" s="568"/>
      <c r="MKM1" s="568"/>
      <c r="MKN1" s="568"/>
      <c r="MKO1" s="568"/>
      <c r="MKP1" s="568"/>
      <c r="MKQ1" s="568"/>
      <c r="MKR1" s="568"/>
      <c r="MKS1" s="568"/>
      <c r="MKT1" s="568"/>
      <c r="MKU1" s="568"/>
      <c r="MKV1" s="568"/>
      <c r="MKW1" s="568"/>
      <c r="MKX1" s="568"/>
      <c r="MKY1" s="568"/>
      <c r="MKZ1" s="568"/>
      <c r="MLA1" s="568"/>
      <c r="MLB1" s="568"/>
      <c r="MLC1" s="568"/>
      <c r="MLD1" s="568"/>
      <c r="MLE1" s="568"/>
      <c r="MLF1" s="568"/>
      <c r="MLG1" s="568"/>
      <c r="MLH1" s="568"/>
      <c r="MLI1" s="568"/>
      <c r="MLJ1" s="568"/>
      <c r="MLK1" s="568"/>
      <c r="MLL1" s="568"/>
      <c r="MLM1" s="568"/>
      <c r="MLN1" s="568"/>
      <c r="MLO1" s="568"/>
      <c r="MLP1" s="568"/>
      <c r="MLQ1" s="568"/>
      <c r="MLR1" s="568"/>
      <c r="MLS1" s="568"/>
      <c r="MLT1" s="568"/>
      <c r="MLU1" s="568"/>
      <c r="MLV1" s="568"/>
      <c r="MLW1" s="568"/>
      <c r="MLX1" s="568"/>
      <c r="MLY1" s="568"/>
      <c r="MLZ1" s="568"/>
      <c r="MMA1" s="568"/>
      <c r="MMB1" s="568"/>
      <c r="MMC1" s="568"/>
      <c r="MMD1" s="568"/>
      <c r="MME1" s="568"/>
      <c r="MMF1" s="568"/>
      <c r="MMG1" s="568"/>
      <c r="MMH1" s="568"/>
      <c r="MMI1" s="568"/>
      <c r="MMJ1" s="568"/>
      <c r="MMK1" s="568"/>
      <c r="MML1" s="568"/>
      <c r="MMM1" s="568"/>
      <c r="MMN1" s="568"/>
      <c r="MMO1" s="568"/>
      <c r="MMP1" s="568"/>
      <c r="MMQ1" s="568"/>
      <c r="MMR1" s="568"/>
      <c r="MMS1" s="568"/>
      <c r="MMT1" s="568"/>
      <c r="MMU1" s="568"/>
      <c r="MMV1" s="568"/>
      <c r="MMW1" s="568"/>
      <c r="MMX1" s="568"/>
      <c r="MMY1" s="568"/>
      <c r="MMZ1" s="568"/>
      <c r="MNA1" s="568"/>
      <c r="MNB1" s="568"/>
      <c r="MNC1" s="568"/>
      <c r="MND1" s="568"/>
      <c r="MNE1" s="568"/>
      <c r="MNF1" s="568"/>
      <c r="MNG1" s="568"/>
      <c r="MNH1" s="568"/>
      <c r="MNI1" s="568"/>
      <c r="MNJ1" s="568"/>
      <c r="MNK1" s="568"/>
      <c r="MNL1" s="568"/>
      <c r="MNM1" s="568"/>
      <c r="MNN1" s="568"/>
      <c r="MNO1" s="568"/>
      <c r="MNP1" s="568"/>
      <c r="MNQ1" s="568"/>
      <c r="MNR1" s="568"/>
      <c r="MNS1" s="568"/>
      <c r="MNT1" s="568"/>
      <c r="MNU1" s="568"/>
      <c r="MNV1" s="568"/>
      <c r="MNW1" s="568"/>
      <c r="MNX1" s="568"/>
      <c r="MNY1" s="568"/>
      <c r="MNZ1" s="568"/>
      <c r="MOA1" s="568"/>
      <c r="MOB1" s="568"/>
      <c r="MOC1" s="568"/>
      <c r="MOD1" s="568"/>
      <c r="MOE1" s="568"/>
      <c r="MOF1" s="568"/>
      <c r="MOG1" s="568"/>
      <c r="MOH1" s="568"/>
      <c r="MOI1" s="568"/>
      <c r="MOJ1" s="568"/>
      <c r="MOK1" s="568"/>
      <c r="MOL1" s="568"/>
      <c r="MOM1" s="568"/>
      <c r="MON1" s="568"/>
      <c r="MOO1" s="568"/>
      <c r="MOP1" s="568"/>
      <c r="MOQ1" s="568"/>
      <c r="MOR1" s="568"/>
      <c r="MOS1" s="568"/>
      <c r="MOT1" s="568"/>
      <c r="MOU1" s="568"/>
      <c r="MOV1" s="568"/>
      <c r="MOW1" s="568"/>
      <c r="MOX1" s="568"/>
      <c r="MOY1" s="568"/>
      <c r="MOZ1" s="568"/>
      <c r="MPA1" s="568"/>
      <c r="MPB1" s="568"/>
      <c r="MPC1" s="568"/>
      <c r="MPD1" s="568"/>
      <c r="MPE1" s="568"/>
      <c r="MPF1" s="568"/>
      <c r="MPG1" s="568"/>
      <c r="MPH1" s="568"/>
      <c r="MPI1" s="568"/>
      <c r="MPJ1" s="568"/>
      <c r="MPK1" s="568"/>
      <c r="MPL1" s="568"/>
      <c r="MPM1" s="568"/>
      <c r="MPN1" s="568"/>
      <c r="MPO1" s="568"/>
      <c r="MPP1" s="568"/>
      <c r="MPQ1" s="568"/>
      <c r="MPR1" s="568"/>
      <c r="MPS1" s="568"/>
      <c r="MPT1" s="568"/>
      <c r="MPU1" s="568"/>
      <c r="MPV1" s="568"/>
      <c r="MPW1" s="568"/>
      <c r="MPX1" s="568"/>
      <c r="MPY1" s="568"/>
      <c r="MPZ1" s="568"/>
      <c r="MQA1" s="568"/>
      <c r="MQB1" s="568"/>
      <c r="MQC1" s="568"/>
      <c r="MQD1" s="568"/>
      <c r="MQE1" s="568"/>
      <c r="MQF1" s="568"/>
      <c r="MQG1" s="568"/>
      <c r="MQH1" s="568"/>
      <c r="MQI1" s="568"/>
      <c r="MQJ1" s="568"/>
      <c r="MQK1" s="568"/>
      <c r="MQL1" s="568"/>
      <c r="MQM1" s="568"/>
      <c r="MQN1" s="568"/>
      <c r="MQO1" s="568"/>
      <c r="MQP1" s="568"/>
      <c r="MQQ1" s="568"/>
      <c r="MQR1" s="568"/>
      <c r="MQS1" s="568"/>
      <c r="MQT1" s="568"/>
      <c r="MQU1" s="568"/>
      <c r="MQV1" s="568"/>
      <c r="MQW1" s="568"/>
      <c r="MQX1" s="568"/>
      <c r="MQY1" s="568"/>
      <c r="MQZ1" s="568"/>
      <c r="MRA1" s="568"/>
      <c r="MRB1" s="568"/>
      <c r="MRC1" s="568"/>
      <c r="MRD1" s="568"/>
      <c r="MRE1" s="568"/>
      <c r="MRF1" s="568"/>
      <c r="MRG1" s="568"/>
      <c r="MRH1" s="568"/>
      <c r="MRI1" s="568"/>
      <c r="MRJ1" s="568"/>
      <c r="MRK1" s="568"/>
      <c r="MRL1" s="568"/>
      <c r="MRM1" s="568"/>
      <c r="MRN1" s="568"/>
      <c r="MRO1" s="568"/>
      <c r="MRP1" s="568"/>
      <c r="MRQ1" s="568"/>
      <c r="MRR1" s="568"/>
      <c r="MRS1" s="568"/>
      <c r="MRT1" s="568"/>
      <c r="MRU1" s="568"/>
      <c r="MRV1" s="568"/>
      <c r="MRW1" s="568"/>
      <c r="MRX1" s="568"/>
      <c r="MRY1" s="568"/>
      <c r="MRZ1" s="568"/>
      <c r="MSA1" s="568"/>
      <c r="MSB1" s="568"/>
      <c r="MSC1" s="568"/>
      <c r="MSD1" s="568"/>
      <c r="MSE1" s="568"/>
      <c r="MSF1" s="568"/>
      <c r="MSG1" s="568"/>
      <c r="MSH1" s="568"/>
      <c r="MSI1" s="568"/>
      <c r="MSJ1" s="568"/>
      <c r="MSK1" s="568"/>
      <c r="MSL1" s="568"/>
      <c r="MSM1" s="568"/>
      <c r="MSN1" s="568"/>
      <c r="MSO1" s="568"/>
      <c r="MSP1" s="568"/>
      <c r="MSQ1" s="568"/>
      <c r="MSR1" s="568"/>
      <c r="MSS1" s="568"/>
      <c r="MST1" s="568"/>
      <c r="MSU1" s="568"/>
      <c r="MSV1" s="568"/>
      <c r="MSW1" s="568"/>
      <c r="MSX1" s="568"/>
      <c r="MSY1" s="568"/>
      <c r="MSZ1" s="568"/>
      <c r="MTA1" s="568"/>
      <c r="MTB1" s="568"/>
      <c r="MTC1" s="568"/>
      <c r="MTD1" s="568"/>
      <c r="MTE1" s="568"/>
      <c r="MTF1" s="568"/>
      <c r="MTG1" s="568"/>
      <c r="MTH1" s="568"/>
      <c r="MTI1" s="568"/>
      <c r="MTJ1" s="568"/>
      <c r="MTK1" s="568"/>
      <c r="MTL1" s="568"/>
      <c r="MTM1" s="568"/>
      <c r="MTN1" s="568"/>
      <c r="MTO1" s="568"/>
      <c r="MTP1" s="568"/>
      <c r="MTQ1" s="568"/>
      <c r="MTR1" s="568"/>
      <c r="MTS1" s="568"/>
      <c r="MTT1" s="568"/>
      <c r="MTU1" s="568"/>
      <c r="MTV1" s="568"/>
      <c r="MTW1" s="568"/>
      <c r="MTX1" s="568"/>
      <c r="MTY1" s="568"/>
      <c r="MTZ1" s="568"/>
      <c r="MUA1" s="568"/>
      <c r="MUB1" s="568"/>
      <c r="MUC1" s="568"/>
      <c r="MUD1" s="568"/>
      <c r="MUE1" s="568"/>
      <c r="MUF1" s="568"/>
      <c r="MUG1" s="568"/>
      <c r="MUH1" s="568"/>
      <c r="MUI1" s="568"/>
      <c r="MUJ1" s="568"/>
      <c r="MUK1" s="568"/>
      <c r="MUL1" s="568"/>
      <c r="MUM1" s="568"/>
      <c r="MUN1" s="568"/>
      <c r="MUO1" s="568"/>
      <c r="MUP1" s="568"/>
      <c r="MUQ1" s="568"/>
      <c r="MUR1" s="568"/>
      <c r="MUS1" s="568"/>
      <c r="MUT1" s="568"/>
      <c r="MUU1" s="568"/>
      <c r="MUV1" s="568"/>
      <c r="MUW1" s="568"/>
      <c r="MUX1" s="568"/>
      <c r="MUY1" s="568"/>
      <c r="MUZ1" s="568"/>
      <c r="MVA1" s="568"/>
      <c r="MVB1" s="568"/>
      <c r="MVC1" s="568"/>
      <c r="MVD1" s="568"/>
      <c r="MVE1" s="568"/>
      <c r="MVF1" s="568"/>
      <c r="MVG1" s="568"/>
      <c r="MVH1" s="568"/>
      <c r="MVI1" s="568"/>
      <c r="MVJ1" s="568"/>
      <c r="MVK1" s="568"/>
      <c r="MVL1" s="568"/>
      <c r="MVM1" s="568"/>
      <c r="MVN1" s="568"/>
      <c r="MVO1" s="568"/>
      <c r="MVP1" s="568"/>
      <c r="MVQ1" s="568"/>
      <c r="MVR1" s="568"/>
      <c r="MVS1" s="568"/>
      <c r="MVT1" s="568"/>
      <c r="MVU1" s="568"/>
      <c r="MVV1" s="568"/>
      <c r="MVW1" s="568"/>
      <c r="MVX1" s="568"/>
      <c r="MVY1" s="568"/>
      <c r="MVZ1" s="568"/>
      <c r="MWA1" s="568"/>
      <c r="MWB1" s="568"/>
      <c r="MWC1" s="568"/>
      <c r="MWD1" s="568"/>
      <c r="MWE1" s="568"/>
      <c r="MWF1" s="568"/>
      <c r="MWG1" s="568"/>
      <c r="MWH1" s="568"/>
      <c r="MWI1" s="568"/>
      <c r="MWJ1" s="568"/>
      <c r="MWK1" s="568"/>
      <c r="MWL1" s="568"/>
      <c r="MWM1" s="568"/>
      <c r="MWN1" s="568"/>
      <c r="MWO1" s="568"/>
      <c r="MWP1" s="568"/>
      <c r="MWQ1" s="568"/>
      <c r="MWR1" s="568"/>
      <c r="MWS1" s="568"/>
      <c r="MWT1" s="568"/>
      <c r="MWU1" s="568"/>
      <c r="MWV1" s="568"/>
      <c r="MWW1" s="568"/>
      <c r="MWX1" s="568"/>
      <c r="MWY1" s="568"/>
      <c r="MWZ1" s="568"/>
      <c r="MXA1" s="568"/>
      <c r="MXB1" s="568"/>
      <c r="MXC1" s="568"/>
      <c r="MXD1" s="568"/>
      <c r="MXE1" s="568"/>
      <c r="MXF1" s="568"/>
      <c r="MXG1" s="568"/>
      <c r="MXH1" s="568"/>
      <c r="MXI1" s="568"/>
      <c r="MXJ1" s="568"/>
      <c r="MXK1" s="568"/>
      <c r="MXL1" s="568"/>
      <c r="MXM1" s="568"/>
      <c r="MXN1" s="568"/>
      <c r="MXO1" s="568"/>
      <c r="MXP1" s="568"/>
      <c r="MXQ1" s="568"/>
      <c r="MXR1" s="568"/>
      <c r="MXS1" s="568"/>
      <c r="MXT1" s="568"/>
      <c r="MXU1" s="568"/>
      <c r="MXV1" s="568"/>
      <c r="MXW1" s="568"/>
      <c r="MXX1" s="568"/>
      <c r="MXY1" s="568"/>
      <c r="MXZ1" s="568"/>
      <c r="MYA1" s="568"/>
      <c r="MYB1" s="568"/>
      <c r="MYC1" s="568"/>
      <c r="MYD1" s="568"/>
      <c r="MYE1" s="568"/>
      <c r="MYF1" s="568"/>
      <c r="MYG1" s="568"/>
      <c r="MYH1" s="568"/>
      <c r="MYI1" s="568"/>
      <c r="MYJ1" s="568"/>
      <c r="MYK1" s="568"/>
      <c r="MYL1" s="568"/>
      <c r="MYM1" s="568"/>
      <c r="MYN1" s="568"/>
      <c r="MYO1" s="568"/>
      <c r="MYP1" s="568"/>
      <c r="MYQ1" s="568"/>
      <c r="MYR1" s="568"/>
      <c r="MYS1" s="568"/>
      <c r="MYT1" s="568"/>
      <c r="MYU1" s="568"/>
      <c r="MYV1" s="568"/>
      <c r="MYW1" s="568"/>
      <c r="MYX1" s="568"/>
      <c r="MYY1" s="568"/>
      <c r="MYZ1" s="568"/>
      <c r="MZA1" s="568"/>
      <c r="MZB1" s="568"/>
      <c r="MZC1" s="568"/>
      <c r="MZD1" s="568"/>
      <c r="MZE1" s="568"/>
      <c r="MZF1" s="568"/>
      <c r="MZG1" s="568"/>
      <c r="MZH1" s="568"/>
      <c r="MZI1" s="568"/>
      <c r="MZJ1" s="568"/>
      <c r="MZK1" s="568"/>
      <c r="MZL1" s="568"/>
      <c r="MZM1" s="568"/>
      <c r="MZN1" s="568"/>
      <c r="MZO1" s="568"/>
      <c r="MZP1" s="568"/>
      <c r="MZQ1" s="568"/>
      <c r="MZR1" s="568"/>
      <c r="MZS1" s="568"/>
      <c r="MZT1" s="568"/>
      <c r="MZU1" s="568"/>
      <c r="MZV1" s="568"/>
      <c r="MZW1" s="568"/>
      <c r="MZX1" s="568"/>
      <c r="MZY1" s="568"/>
      <c r="MZZ1" s="568"/>
      <c r="NAA1" s="568"/>
      <c r="NAB1" s="568"/>
      <c r="NAC1" s="568"/>
      <c r="NAD1" s="568"/>
      <c r="NAE1" s="568"/>
      <c r="NAF1" s="568"/>
      <c r="NAG1" s="568"/>
      <c r="NAH1" s="568"/>
      <c r="NAI1" s="568"/>
      <c r="NAJ1" s="568"/>
      <c r="NAK1" s="568"/>
      <c r="NAL1" s="568"/>
      <c r="NAM1" s="568"/>
      <c r="NAN1" s="568"/>
      <c r="NAO1" s="568"/>
      <c r="NAP1" s="568"/>
      <c r="NAQ1" s="568"/>
      <c r="NAR1" s="568"/>
      <c r="NAS1" s="568"/>
      <c r="NAT1" s="568"/>
      <c r="NAU1" s="568"/>
      <c r="NAV1" s="568"/>
      <c r="NAW1" s="568"/>
      <c r="NAX1" s="568"/>
      <c r="NAY1" s="568"/>
      <c r="NAZ1" s="568"/>
      <c r="NBA1" s="568"/>
      <c r="NBB1" s="568"/>
      <c r="NBC1" s="568"/>
      <c r="NBD1" s="568"/>
      <c r="NBE1" s="568"/>
      <c r="NBF1" s="568"/>
      <c r="NBG1" s="568"/>
      <c r="NBH1" s="568"/>
      <c r="NBI1" s="568"/>
      <c r="NBJ1" s="568"/>
      <c r="NBK1" s="568"/>
      <c r="NBL1" s="568"/>
      <c r="NBM1" s="568"/>
      <c r="NBN1" s="568"/>
      <c r="NBO1" s="568"/>
      <c r="NBP1" s="568"/>
      <c r="NBQ1" s="568"/>
      <c r="NBR1" s="568"/>
      <c r="NBS1" s="568"/>
      <c r="NBT1" s="568"/>
      <c r="NBU1" s="568"/>
      <c r="NBV1" s="568"/>
      <c r="NBW1" s="568"/>
      <c r="NBX1" s="568"/>
      <c r="NBY1" s="568"/>
      <c r="NBZ1" s="568"/>
      <c r="NCA1" s="568"/>
      <c r="NCB1" s="568"/>
      <c r="NCC1" s="568"/>
      <c r="NCD1" s="568"/>
      <c r="NCE1" s="568"/>
      <c r="NCF1" s="568"/>
      <c r="NCG1" s="568"/>
      <c r="NCH1" s="568"/>
      <c r="NCI1" s="568"/>
      <c r="NCJ1" s="568"/>
      <c r="NCK1" s="568"/>
      <c r="NCL1" s="568"/>
      <c r="NCM1" s="568"/>
      <c r="NCN1" s="568"/>
      <c r="NCO1" s="568"/>
      <c r="NCP1" s="568"/>
      <c r="NCQ1" s="568"/>
      <c r="NCR1" s="568"/>
      <c r="NCS1" s="568"/>
      <c r="NCT1" s="568"/>
      <c r="NCU1" s="568"/>
      <c r="NCV1" s="568"/>
      <c r="NCW1" s="568"/>
      <c r="NCX1" s="568"/>
      <c r="NCY1" s="568"/>
      <c r="NCZ1" s="568"/>
      <c r="NDA1" s="568"/>
      <c r="NDB1" s="568"/>
      <c r="NDC1" s="568"/>
      <c r="NDD1" s="568"/>
      <c r="NDE1" s="568"/>
      <c r="NDF1" s="568"/>
      <c r="NDG1" s="568"/>
      <c r="NDH1" s="568"/>
      <c r="NDI1" s="568"/>
      <c r="NDJ1" s="568"/>
      <c r="NDK1" s="568"/>
      <c r="NDL1" s="568"/>
      <c r="NDM1" s="568"/>
      <c r="NDN1" s="568"/>
      <c r="NDO1" s="568"/>
      <c r="NDP1" s="568"/>
      <c r="NDQ1" s="568"/>
      <c r="NDR1" s="568"/>
      <c r="NDS1" s="568"/>
      <c r="NDT1" s="568"/>
      <c r="NDU1" s="568"/>
      <c r="NDV1" s="568"/>
      <c r="NDW1" s="568"/>
      <c r="NDX1" s="568"/>
      <c r="NDY1" s="568"/>
      <c r="NDZ1" s="568"/>
      <c r="NEA1" s="568"/>
      <c r="NEB1" s="568"/>
      <c r="NEC1" s="568"/>
      <c r="NED1" s="568"/>
      <c r="NEE1" s="568"/>
      <c r="NEF1" s="568"/>
      <c r="NEG1" s="568"/>
      <c r="NEH1" s="568"/>
      <c r="NEI1" s="568"/>
      <c r="NEJ1" s="568"/>
      <c r="NEK1" s="568"/>
      <c r="NEL1" s="568"/>
      <c r="NEM1" s="568"/>
      <c r="NEN1" s="568"/>
      <c r="NEO1" s="568"/>
      <c r="NEP1" s="568"/>
      <c r="NEQ1" s="568"/>
      <c r="NER1" s="568"/>
      <c r="NES1" s="568"/>
      <c r="NET1" s="568"/>
      <c r="NEU1" s="568"/>
      <c r="NEV1" s="568"/>
      <c r="NEW1" s="568"/>
      <c r="NEX1" s="568"/>
      <c r="NEY1" s="568"/>
      <c r="NEZ1" s="568"/>
      <c r="NFA1" s="568"/>
      <c r="NFB1" s="568"/>
      <c r="NFC1" s="568"/>
      <c r="NFD1" s="568"/>
      <c r="NFE1" s="568"/>
      <c r="NFF1" s="568"/>
      <c r="NFG1" s="568"/>
      <c r="NFH1" s="568"/>
      <c r="NFI1" s="568"/>
      <c r="NFJ1" s="568"/>
      <c r="NFK1" s="568"/>
      <c r="NFL1" s="568"/>
      <c r="NFM1" s="568"/>
      <c r="NFN1" s="568"/>
      <c r="NFO1" s="568"/>
      <c r="NFP1" s="568"/>
      <c r="NFQ1" s="568"/>
      <c r="NFR1" s="568"/>
      <c r="NFS1" s="568"/>
      <c r="NFT1" s="568"/>
      <c r="NFU1" s="568"/>
      <c r="NFV1" s="568"/>
      <c r="NFW1" s="568"/>
      <c r="NFX1" s="568"/>
      <c r="NFY1" s="568"/>
      <c r="NFZ1" s="568"/>
      <c r="NGA1" s="568"/>
      <c r="NGB1" s="568"/>
      <c r="NGC1" s="568"/>
      <c r="NGD1" s="568"/>
      <c r="NGE1" s="568"/>
      <c r="NGF1" s="568"/>
      <c r="NGG1" s="568"/>
      <c r="NGH1" s="568"/>
      <c r="NGI1" s="568"/>
      <c r="NGJ1" s="568"/>
      <c r="NGK1" s="568"/>
      <c r="NGL1" s="568"/>
      <c r="NGM1" s="568"/>
      <c r="NGN1" s="568"/>
      <c r="NGO1" s="568"/>
      <c r="NGP1" s="568"/>
      <c r="NGQ1" s="568"/>
      <c r="NGR1" s="568"/>
      <c r="NGS1" s="568"/>
      <c r="NGT1" s="568"/>
      <c r="NGU1" s="568"/>
      <c r="NGV1" s="568"/>
      <c r="NGW1" s="568"/>
      <c r="NGX1" s="568"/>
      <c r="NGY1" s="568"/>
      <c r="NGZ1" s="568"/>
      <c r="NHA1" s="568"/>
      <c r="NHB1" s="568"/>
      <c r="NHC1" s="568"/>
      <c r="NHD1" s="568"/>
      <c r="NHE1" s="568"/>
      <c r="NHF1" s="568"/>
      <c r="NHG1" s="568"/>
      <c r="NHH1" s="568"/>
      <c r="NHI1" s="568"/>
      <c r="NHJ1" s="568"/>
      <c r="NHK1" s="568"/>
      <c r="NHL1" s="568"/>
      <c r="NHM1" s="568"/>
      <c r="NHN1" s="568"/>
      <c r="NHO1" s="568"/>
      <c r="NHP1" s="568"/>
      <c r="NHQ1" s="568"/>
      <c r="NHR1" s="568"/>
      <c r="NHS1" s="568"/>
      <c r="NHT1" s="568"/>
      <c r="NHU1" s="568"/>
      <c r="NHV1" s="568"/>
      <c r="NHW1" s="568"/>
      <c r="NHX1" s="568"/>
      <c r="NHY1" s="568"/>
      <c r="NHZ1" s="568"/>
      <c r="NIA1" s="568"/>
      <c r="NIB1" s="568"/>
      <c r="NIC1" s="568"/>
      <c r="NID1" s="568"/>
      <c r="NIE1" s="568"/>
      <c r="NIF1" s="568"/>
      <c r="NIG1" s="568"/>
      <c r="NIH1" s="568"/>
      <c r="NII1" s="568"/>
      <c r="NIJ1" s="568"/>
      <c r="NIK1" s="568"/>
      <c r="NIL1" s="568"/>
      <c r="NIM1" s="568"/>
      <c r="NIN1" s="568"/>
      <c r="NIO1" s="568"/>
      <c r="NIP1" s="568"/>
      <c r="NIQ1" s="568"/>
      <c r="NIR1" s="568"/>
      <c r="NIS1" s="568"/>
      <c r="NIT1" s="568"/>
      <c r="NIU1" s="568"/>
      <c r="NIV1" s="568"/>
      <c r="NIW1" s="568"/>
      <c r="NIX1" s="568"/>
      <c r="NIY1" s="568"/>
      <c r="NIZ1" s="568"/>
      <c r="NJA1" s="568"/>
      <c r="NJB1" s="568"/>
      <c r="NJC1" s="568"/>
      <c r="NJD1" s="568"/>
      <c r="NJE1" s="568"/>
      <c r="NJF1" s="568"/>
      <c r="NJG1" s="568"/>
      <c r="NJH1" s="568"/>
      <c r="NJI1" s="568"/>
      <c r="NJJ1" s="568"/>
      <c r="NJK1" s="568"/>
      <c r="NJL1" s="568"/>
      <c r="NJM1" s="568"/>
      <c r="NJN1" s="568"/>
      <c r="NJO1" s="568"/>
      <c r="NJP1" s="568"/>
      <c r="NJQ1" s="568"/>
      <c r="NJR1" s="568"/>
      <c r="NJS1" s="568"/>
      <c r="NJT1" s="568"/>
      <c r="NJU1" s="568"/>
      <c r="NJV1" s="568"/>
      <c r="NJW1" s="568"/>
      <c r="NJX1" s="568"/>
      <c r="NJY1" s="568"/>
      <c r="NJZ1" s="568"/>
      <c r="NKA1" s="568"/>
      <c r="NKB1" s="568"/>
      <c r="NKC1" s="568"/>
      <c r="NKD1" s="568"/>
      <c r="NKE1" s="568"/>
      <c r="NKF1" s="568"/>
      <c r="NKG1" s="568"/>
      <c r="NKH1" s="568"/>
      <c r="NKI1" s="568"/>
      <c r="NKJ1" s="568"/>
      <c r="NKK1" s="568"/>
      <c r="NKL1" s="568"/>
      <c r="NKM1" s="568"/>
      <c r="NKN1" s="568"/>
      <c r="NKO1" s="568"/>
      <c r="NKP1" s="568"/>
      <c r="NKQ1" s="568"/>
      <c r="NKR1" s="568"/>
      <c r="NKS1" s="568"/>
      <c r="NKT1" s="568"/>
      <c r="NKU1" s="568"/>
      <c r="NKV1" s="568"/>
      <c r="NKW1" s="568"/>
      <c r="NKX1" s="568"/>
      <c r="NKY1" s="568"/>
      <c r="NKZ1" s="568"/>
      <c r="NLA1" s="568"/>
      <c r="NLB1" s="568"/>
      <c r="NLC1" s="568"/>
      <c r="NLD1" s="568"/>
      <c r="NLE1" s="568"/>
      <c r="NLF1" s="568"/>
      <c r="NLG1" s="568"/>
      <c r="NLH1" s="568"/>
      <c r="NLI1" s="568"/>
      <c r="NLJ1" s="568"/>
      <c r="NLK1" s="568"/>
      <c r="NLL1" s="568"/>
      <c r="NLM1" s="568"/>
      <c r="NLN1" s="568"/>
      <c r="NLO1" s="568"/>
      <c r="NLP1" s="568"/>
      <c r="NLQ1" s="568"/>
      <c r="NLR1" s="568"/>
      <c r="NLS1" s="568"/>
      <c r="NLT1" s="568"/>
      <c r="NLU1" s="568"/>
      <c r="NLV1" s="568"/>
      <c r="NLW1" s="568"/>
      <c r="NLX1" s="568"/>
      <c r="NLY1" s="568"/>
      <c r="NLZ1" s="568"/>
      <c r="NMA1" s="568"/>
      <c r="NMB1" s="568"/>
      <c r="NMC1" s="568"/>
      <c r="NMD1" s="568"/>
      <c r="NME1" s="568"/>
      <c r="NMF1" s="568"/>
      <c r="NMG1" s="568"/>
      <c r="NMH1" s="568"/>
      <c r="NMI1" s="568"/>
      <c r="NMJ1" s="568"/>
      <c r="NMK1" s="568"/>
      <c r="NML1" s="568"/>
      <c r="NMM1" s="568"/>
      <c r="NMN1" s="568"/>
      <c r="NMO1" s="568"/>
      <c r="NMP1" s="568"/>
      <c r="NMQ1" s="568"/>
      <c r="NMR1" s="568"/>
      <c r="NMS1" s="568"/>
      <c r="NMT1" s="568"/>
      <c r="NMU1" s="568"/>
      <c r="NMV1" s="568"/>
      <c r="NMW1" s="568"/>
      <c r="NMX1" s="568"/>
      <c r="NMY1" s="568"/>
      <c r="NMZ1" s="568"/>
      <c r="NNA1" s="568"/>
      <c r="NNB1" s="568"/>
      <c r="NNC1" s="568"/>
      <c r="NND1" s="568"/>
      <c r="NNE1" s="568"/>
      <c r="NNF1" s="568"/>
      <c r="NNG1" s="568"/>
      <c r="NNH1" s="568"/>
      <c r="NNI1" s="568"/>
      <c r="NNJ1" s="568"/>
      <c r="NNK1" s="568"/>
      <c r="NNL1" s="568"/>
      <c r="NNM1" s="568"/>
      <c r="NNN1" s="568"/>
      <c r="NNO1" s="568"/>
      <c r="NNP1" s="568"/>
      <c r="NNQ1" s="568"/>
      <c r="NNR1" s="568"/>
      <c r="NNS1" s="568"/>
      <c r="NNT1" s="568"/>
      <c r="NNU1" s="568"/>
      <c r="NNV1" s="568"/>
      <c r="NNW1" s="568"/>
      <c r="NNX1" s="568"/>
      <c r="NNY1" s="568"/>
      <c r="NNZ1" s="568"/>
      <c r="NOA1" s="568"/>
      <c r="NOB1" s="568"/>
      <c r="NOC1" s="568"/>
      <c r="NOD1" s="568"/>
      <c r="NOE1" s="568"/>
      <c r="NOF1" s="568"/>
      <c r="NOG1" s="568"/>
      <c r="NOH1" s="568"/>
      <c r="NOI1" s="568"/>
      <c r="NOJ1" s="568"/>
      <c r="NOK1" s="568"/>
      <c r="NOL1" s="568"/>
      <c r="NOM1" s="568"/>
      <c r="NON1" s="568"/>
      <c r="NOO1" s="568"/>
      <c r="NOP1" s="568"/>
      <c r="NOQ1" s="568"/>
      <c r="NOR1" s="568"/>
      <c r="NOS1" s="568"/>
      <c r="NOT1" s="568"/>
      <c r="NOU1" s="568"/>
      <c r="NOV1" s="568"/>
      <c r="NOW1" s="568"/>
      <c r="NOX1" s="568"/>
      <c r="NOY1" s="568"/>
      <c r="NOZ1" s="568"/>
      <c r="NPA1" s="568"/>
      <c r="NPB1" s="568"/>
      <c r="NPC1" s="568"/>
      <c r="NPD1" s="568"/>
      <c r="NPE1" s="568"/>
      <c r="NPF1" s="568"/>
      <c r="NPG1" s="568"/>
      <c r="NPH1" s="568"/>
      <c r="NPI1" s="568"/>
      <c r="NPJ1" s="568"/>
      <c r="NPK1" s="568"/>
      <c r="NPL1" s="568"/>
      <c r="NPM1" s="568"/>
      <c r="NPN1" s="568"/>
      <c r="NPO1" s="568"/>
      <c r="NPP1" s="568"/>
      <c r="NPQ1" s="568"/>
      <c r="NPR1" s="568"/>
      <c r="NPS1" s="568"/>
      <c r="NPT1" s="568"/>
      <c r="NPU1" s="568"/>
      <c r="NPV1" s="568"/>
      <c r="NPW1" s="568"/>
      <c r="NPX1" s="568"/>
      <c r="NPY1" s="568"/>
      <c r="NPZ1" s="568"/>
      <c r="NQA1" s="568"/>
      <c r="NQB1" s="568"/>
      <c r="NQC1" s="568"/>
      <c r="NQD1" s="568"/>
      <c r="NQE1" s="568"/>
      <c r="NQF1" s="568"/>
      <c r="NQG1" s="568"/>
      <c r="NQH1" s="568"/>
      <c r="NQI1" s="568"/>
      <c r="NQJ1" s="568"/>
      <c r="NQK1" s="568"/>
      <c r="NQL1" s="568"/>
      <c r="NQM1" s="568"/>
      <c r="NQN1" s="568"/>
      <c r="NQO1" s="568"/>
      <c r="NQP1" s="568"/>
      <c r="NQQ1" s="568"/>
      <c r="NQR1" s="568"/>
      <c r="NQS1" s="568"/>
      <c r="NQT1" s="568"/>
      <c r="NQU1" s="568"/>
      <c r="NQV1" s="568"/>
      <c r="NQW1" s="568"/>
      <c r="NQX1" s="568"/>
      <c r="NQY1" s="568"/>
      <c r="NQZ1" s="568"/>
      <c r="NRA1" s="568"/>
      <c r="NRB1" s="568"/>
      <c r="NRC1" s="568"/>
      <c r="NRD1" s="568"/>
      <c r="NRE1" s="568"/>
      <c r="NRF1" s="568"/>
      <c r="NRG1" s="568"/>
      <c r="NRH1" s="568"/>
      <c r="NRI1" s="568"/>
      <c r="NRJ1" s="568"/>
      <c r="NRK1" s="568"/>
      <c r="NRL1" s="568"/>
      <c r="NRM1" s="568"/>
      <c r="NRN1" s="568"/>
      <c r="NRO1" s="568"/>
      <c r="NRP1" s="568"/>
      <c r="NRQ1" s="568"/>
      <c r="NRR1" s="568"/>
      <c r="NRS1" s="568"/>
      <c r="NRT1" s="568"/>
      <c r="NRU1" s="568"/>
      <c r="NRV1" s="568"/>
      <c r="NRW1" s="568"/>
      <c r="NRX1" s="568"/>
      <c r="NRY1" s="568"/>
      <c r="NRZ1" s="568"/>
      <c r="NSA1" s="568"/>
      <c r="NSB1" s="568"/>
      <c r="NSC1" s="568"/>
      <c r="NSD1" s="568"/>
      <c r="NSE1" s="568"/>
      <c r="NSF1" s="568"/>
      <c r="NSG1" s="568"/>
      <c r="NSH1" s="568"/>
      <c r="NSI1" s="568"/>
      <c r="NSJ1" s="568"/>
      <c r="NSK1" s="568"/>
      <c r="NSL1" s="568"/>
      <c r="NSM1" s="568"/>
      <c r="NSN1" s="568"/>
      <c r="NSO1" s="568"/>
      <c r="NSP1" s="568"/>
      <c r="NSQ1" s="568"/>
      <c r="NSR1" s="568"/>
      <c r="NSS1" s="568"/>
      <c r="NST1" s="568"/>
      <c r="NSU1" s="568"/>
      <c r="NSV1" s="568"/>
      <c r="NSW1" s="568"/>
      <c r="NSX1" s="568"/>
      <c r="NSY1" s="568"/>
      <c r="NSZ1" s="568"/>
      <c r="NTA1" s="568"/>
      <c r="NTB1" s="568"/>
      <c r="NTC1" s="568"/>
      <c r="NTD1" s="568"/>
      <c r="NTE1" s="568"/>
      <c r="NTF1" s="568"/>
      <c r="NTG1" s="568"/>
      <c r="NTH1" s="568"/>
      <c r="NTI1" s="568"/>
      <c r="NTJ1" s="568"/>
      <c r="NTK1" s="568"/>
      <c r="NTL1" s="568"/>
      <c r="NTM1" s="568"/>
      <c r="NTN1" s="568"/>
      <c r="NTO1" s="568"/>
      <c r="NTP1" s="568"/>
      <c r="NTQ1" s="568"/>
      <c r="NTR1" s="568"/>
      <c r="NTS1" s="568"/>
      <c r="NTT1" s="568"/>
      <c r="NTU1" s="568"/>
      <c r="NTV1" s="568"/>
      <c r="NTW1" s="568"/>
      <c r="NTX1" s="568"/>
      <c r="NTY1" s="568"/>
      <c r="NTZ1" s="568"/>
      <c r="NUA1" s="568"/>
      <c r="NUB1" s="568"/>
      <c r="NUC1" s="568"/>
      <c r="NUD1" s="568"/>
      <c r="NUE1" s="568"/>
      <c r="NUF1" s="568"/>
      <c r="NUG1" s="568"/>
      <c r="NUH1" s="568"/>
      <c r="NUI1" s="568"/>
      <c r="NUJ1" s="568"/>
      <c r="NUK1" s="568"/>
      <c r="NUL1" s="568"/>
      <c r="NUM1" s="568"/>
      <c r="NUN1" s="568"/>
      <c r="NUO1" s="568"/>
      <c r="NUP1" s="568"/>
      <c r="NUQ1" s="568"/>
      <c r="NUR1" s="568"/>
      <c r="NUS1" s="568"/>
      <c r="NUT1" s="568"/>
      <c r="NUU1" s="568"/>
      <c r="NUV1" s="568"/>
      <c r="NUW1" s="568"/>
      <c r="NUX1" s="568"/>
      <c r="NUY1" s="568"/>
      <c r="NUZ1" s="568"/>
      <c r="NVA1" s="568"/>
      <c r="NVB1" s="568"/>
      <c r="NVC1" s="568"/>
      <c r="NVD1" s="568"/>
      <c r="NVE1" s="568"/>
      <c r="NVF1" s="568"/>
      <c r="NVG1" s="568"/>
      <c r="NVH1" s="568"/>
      <c r="NVI1" s="568"/>
      <c r="NVJ1" s="568"/>
      <c r="NVK1" s="568"/>
      <c r="NVL1" s="568"/>
      <c r="NVM1" s="568"/>
      <c r="NVN1" s="568"/>
      <c r="NVO1" s="568"/>
      <c r="NVP1" s="568"/>
      <c r="NVQ1" s="568"/>
      <c r="NVR1" s="568"/>
      <c r="NVS1" s="568"/>
      <c r="NVT1" s="568"/>
      <c r="NVU1" s="568"/>
      <c r="NVV1" s="568"/>
      <c r="NVW1" s="568"/>
      <c r="NVX1" s="568"/>
      <c r="NVY1" s="568"/>
      <c r="NVZ1" s="568"/>
      <c r="NWA1" s="568"/>
      <c r="NWB1" s="568"/>
      <c r="NWC1" s="568"/>
      <c r="NWD1" s="568"/>
      <c r="NWE1" s="568"/>
      <c r="NWF1" s="568"/>
      <c r="NWG1" s="568"/>
      <c r="NWH1" s="568"/>
      <c r="NWI1" s="568"/>
      <c r="NWJ1" s="568"/>
      <c r="NWK1" s="568"/>
      <c r="NWL1" s="568"/>
      <c r="NWM1" s="568"/>
      <c r="NWN1" s="568"/>
      <c r="NWO1" s="568"/>
      <c r="NWP1" s="568"/>
      <c r="NWQ1" s="568"/>
      <c r="NWR1" s="568"/>
      <c r="NWS1" s="568"/>
      <c r="NWT1" s="568"/>
      <c r="NWU1" s="568"/>
      <c r="NWV1" s="568"/>
      <c r="NWW1" s="568"/>
      <c r="NWX1" s="568"/>
      <c r="NWY1" s="568"/>
      <c r="NWZ1" s="568"/>
      <c r="NXA1" s="568"/>
      <c r="NXB1" s="568"/>
      <c r="NXC1" s="568"/>
      <c r="NXD1" s="568"/>
      <c r="NXE1" s="568"/>
      <c r="NXF1" s="568"/>
      <c r="NXG1" s="568"/>
      <c r="NXH1" s="568"/>
      <c r="NXI1" s="568"/>
      <c r="NXJ1" s="568"/>
      <c r="NXK1" s="568"/>
      <c r="NXL1" s="568"/>
      <c r="NXM1" s="568"/>
      <c r="NXN1" s="568"/>
      <c r="NXO1" s="568"/>
      <c r="NXP1" s="568"/>
      <c r="NXQ1" s="568"/>
      <c r="NXR1" s="568"/>
      <c r="NXS1" s="568"/>
      <c r="NXT1" s="568"/>
      <c r="NXU1" s="568"/>
      <c r="NXV1" s="568"/>
      <c r="NXW1" s="568"/>
      <c r="NXX1" s="568"/>
      <c r="NXY1" s="568"/>
      <c r="NXZ1" s="568"/>
      <c r="NYA1" s="568"/>
      <c r="NYB1" s="568"/>
      <c r="NYC1" s="568"/>
      <c r="NYD1" s="568"/>
      <c r="NYE1" s="568"/>
      <c r="NYF1" s="568"/>
      <c r="NYG1" s="568"/>
      <c r="NYH1" s="568"/>
      <c r="NYI1" s="568"/>
      <c r="NYJ1" s="568"/>
      <c r="NYK1" s="568"/>
      <c r="NYL1" s="568"/>
      <c r="NYM1" s="568"/>
      <c r="NYN1" s="568"/>
      <c r="NYO1" s="568"/>
      <c r="NYP1" s="568"/>
      <c r="NYQ1" s="568"/>
      <c r="NYR1" s="568"/>
      <c r="NYS1" s="568"/>
      <c r="NYT1" s="568"/>
      <c r="NYU1" s="568"/>
      <c r="NYV1" s="568"/>
      <c r="NYW1" s="568"/>
      <c r="NYX1" s="568"/>
      <c r="NYY1" s="568"/>
      <c r="NYZ1" s="568"/>
      <c r="NZA1" s="568"/>
      <c r="NZB1" s="568"/>
      <c r="NZC1" s="568"/>
      <c r="NZD1" s="568"/>
      <c r="NZE1" s="568"/>
      <c r="NZF1" s="568"/>
      <c r="NZG1" s="568"/>
      <c r="NZH1" s="568"/>
      <c r="NZI1" s="568"/>
      <c r="NZJ1" s="568"/>
      <c r="NZK1" s="568"/>
      <c r="NZL1" s="568"/>
      <c r="NZM1" s="568"/>
      <c r="NZN1" s="568"/>
      <c r="NZO1" s="568"/>
      <c r="NZP1" s="568"/>
      <c r="NZQ1" s="568"/>
      <c r="NZR1" s="568"/>
      <c r="NZS1" s="568"/>
      <c r="NZT1" s="568"/>
      <c r="NZU1" s="568"/>
      <c r="NZV1" s="568"/>
      <c r="NZW1" s="568"/>
      <c r="NZX1" s="568"/>
      <c r="NZY1" s="568"/>
      <c r="NZZ1" s="568"/>
      <c r="OAA1" s="568"/>
      <c r="OAB1" s="568"/>
      <c r="OAC1" s="568"/>
      <c r="OAD1" s="568"/>
      <c r="OAE1" s="568"/>
      <c r="OAF1" s="568"/>
      <c r="OAG1" s="568"/>
      <c r="OAH1" s="568"/>
      <c r="OAI1" s="568"/>
      <c r="OAJ1" s="568"/>
      <c r="OAK1" s="568"/>
      <c r="OAL1" s="568"/>
      <c r="OAM1" s="568"/>
      <c r="OAN1" s="568"/>
      <c r="OAO1" s="568"/>
      <c r="OAP1" s="568"/>
      <c r="OAQ1" s="568"/>
      <c r="OAR1" s="568"/>
      <c r="OAS1" s="568"/>
      <c r="OAT1" s="568"/>
      <c r="OAU1" s="568"/>
      <c r="OAV1" s="568"/>
      <c r="OAW1" s="568"/>
      <c r="OAX1" s="568"/>
      <c r="OAY1" s="568"/>
      <c r="OAZ1" s="568"/>
      <c r="OBA1" s="568"/>
      <c r="OBB1" s="568"/>
      <c r="OBC1" s="568"/>
      <c r="OBD1" s="568"/>
      <c r="OBE1" s="568"/>
      <c r="OBF1" s="568"/>
      <c r="OBG1" s="568"/>
      <c r="OBH1" s="568"/>
      <c r="OBI1" s="568"/>
      <c r="OBJ1" s="568"/>
      <c r="OBK1" s="568"/>
      <c r="OBL1" s="568"/>
      <c r="OBM1" s="568"/>
      <c r="OBN1" s="568"/>
      <c r="OBO1" s="568"/>
      <c r="OBP1" s="568"/>
      <c r="OBQ1" s="568"/>
      <c r="OBR1" s="568"/>
      <c r="OBS1" s="568"/>
      <c r="OBT1" s="568"/>
      <c r="OBU1" s="568"/>
      <c r="OBV1" s="568"/>
      <c r="OBW1" s="568"/>
      <c r="OBX1" s="568"/>
      <c r="OBY1" s="568"/>
      <c r="OBZ1" s="568"/>
      <c r="OCA1" s="568"/>
      <c r="OCB1" s="568"/>
      <c r="OCC1" s="568"/>
      <c r="OCD1" s="568"/>
      <c r="OCE1" s="568"/>
      <c r="OCF1" s="568"/>
      <c r="OCG1" s="568"/>
      <c r="OCH1" s="568"/>
      <c r="OCI1" s="568"/>
      <c r="OCJ1" s="568"/>
      <c r="OCK1" s="568"/>
      <c r="OCL1" s="568"/>
      <c r="OCM1" s="568"/>
      <c r="OCN1" s="568"/>
      <c r="OCO1" s="568"/>
      <c r="OCP1" s="568"/>
      <c r="OCQ1" s="568"/>
      <c r="OCR1" s="568"/>
      <c r="OCS1" s="568"/>
      <c r="OCT1" s="568"/>
      <c r="OCU1" s="568"/>
      <c r="OCV1" s="568"/>
      <c r="OCW1" s="568"/>
      <c r="OCX1" s="568"/>
      <c r="OCY1" s="568"/>
      <c r="OCZ1" s="568"/>
      <c r="ODA1" s="568"/>
      <c r="ODB1" s="568"/>
      <c r="ODC1" s="568"/>
      <c r="ODD1" s="568"/>
      <c r="ODE1" s="568"/>
      <c r="ODF1" s="568"/>
      <c r="ODG1" s="568"/>
      <c r="ODH1" s="568"/>
      <c r="ODI1" s="568"/>
      <c r="ODJ1" s="568"/>
      <c r="ODK1" s="568"/>
      <c r="ODL1" s="568"/>
      <c r="ODM1" s="568"/>
      <c r="ODN1" s="568"/>
      <c r="ODO1" s="568"/>
      <c r="ODP1" s="568"/>
      <c r="ODQ1" s="568"/>
      <c r="ODR1" s="568"/>
      <c r="ODS1" s="568"/>
      <c r="ODT1" s="568"/>
      <c r="ODU1" s="568"/>
      <c r="ODV1" s="568"/>
      <c r="ODW1" s="568"/>
      <c r="ODX1" s="568"/>
      <c r="ODY1" s="568"/>
      <c r="ODZ1" s="568"/>
      <c r="OEA1" s="568"/>
      <c r="OEB1" s="568"/>
      <c r="OEC1" s="568"/>
      <c r="OED1" s="568"/>
      <c r="OEE1" s="568"/>
      <c r="OEF1" s="568"/>
      <c r="OEG1" s="568"/>
      <c r="OEH1" s="568"/>
      <c r="OEI1" s="568"/>
      <c r="OEJ1" s="568"/>
      <c r="OEK1" s="568"/>
      <c r="OEL1" s="568"/>
      <c r="OEM1" s="568"/>
      <c r="OEN1" s="568"/>
      <c r="OEO1" s="568"/>
      <c r="OEP1" s="568"/>
      <c r="OEQ1" s="568"/>
      <c r="OER1" s="568"/>
      <c r="OES1" s="568"/>
      <c r="OET1" s="568"/>
      <c r="OEU1" s="568"/>
      <c r="OEV1" s="568"/>
      <c r="OEW1" s="568"/>
      <c r="OEX1" s="568"/>
      <c r="OEY1" s="568"/>
      <c r="OEZ1" s="568"/>
      <c r="OFA1" s="568"/>
      <c r="OFB1" s="568"/>
      <c r="OFC1" s="568"/>
      <c r="OFD1" s="568"/>
      <c r="OFE1" s="568"/>
      <c r="OFF1" s="568"/>
      <c r="OFG1" s="568"/>
      <c r="OFH1" s="568"/>
      <c r="OFI1" s="568"/>
      <c r="OFJ1" s="568"/>
      <c r="OFK1" s="568"/>
      <c r="OFL1" s="568"/>
      <c r="OFM1" s="568"/>
      <c r="OFN1" s="568"/>
      <c r="OFO1" s="568"/>
      <c r="OFP1" s="568"/>
      <c r="OFQ1" s="568"/>
      <c r="OFR1" s="568"/>
      <c r="OFS1" s="568"/>
      <c r="OFT1" s="568"/>
      <c r="OFU1" s="568"/>
      <c r="OFV1" s="568"/>
      <c r="OFW1" s="568"/>
      <c r="OFX1" s="568"/>
      <c r="OFY1" s="568"/>
      <c r="OFZ1" s="568"/>
      <c r="OGA1" s="568"/>
      <c r="OGB1" s="568"/>
      <c r="OGC1" s="568"/>
      <c r="OGD1" s="568"/>
      <c r="OGE1" s="568"/>
      <c r="OGF1" s="568"/>
      <c r="OGG1" s="568"/>
      <c r="OGH1" s="568"/>
      <c r="OGI1" s="568"/>
      <c r="OGJ1" s="568"/>
      <c r="OGK1" s="568"/>
      <c r="OGL1" s="568"/>
      <c r="OGM1" s="568"/>
      <c r="OGN1" s="568"/>
      <c r="OGO1" s="568"/>
      <c r="OGP1" s="568"/>
      <c r="OGQ1" s="568"/>
      <c r="OGR1" s="568"/>
      <c r="OGS1" s="568"/>
      <c r="OGT1" s="568"/>
      <c r="OGU1" s="568"/>
      <c r="OGV1" s="568"/>
      <c r="OGW1" s="568"/>
      <c r="OGX1" s="568"/>
      <c r="OGY1" s="568"/>
      <c r="OGZ1" s="568"/>
      <c r="OHA1" s="568"/>
      <c r="OHB1" s="568"/>
      <c r="OHC1" s="568"/>
      <c r="OHD1" s="568"/>
      <c r="OHE1" s="568"/>
      <c r="OHF1" s="568"/>
      <c r="OHG1" s="568"/>
      <c r="OHH1" s="568"/>
      <c r="OHI1" s="568"/>
      <c r="OHJ1" s="568"/>
      <c r="OHK1" s="568"/>
      <c r="OHL1" s="568"/>
      <c r="OHM1" s="568"/>
      <c r="OHN1" s="568"/>
      <c r="OHO1" s="568"/>
      <c r="OHP1" s="568"/>
      <c r="OHQ1" s="568"/>
      <c r="OHR1" s="568"/>
      <c r="OHS1" s="568"/>
      <c r="OHT1" s="568"/>
      <c r="OHU1" s="568"/>
      <c r="OHV1" s="568"/>
      <c r="OHW1" s="568"/>
      <c r="OHX1" s="568"/>
      <c r="OHY1" s="568"/>
      <c r="OHZ1" s="568"/>
      <c r="OIA1" s="568"/>
      <c r="OIB1" s="568"/>
      <c r="OIC1" s="568"/>
      <c r="OID1" s="568"/>
      <c r="OIE1" s="568"/>
      <c r="OIF1" s="568"/>
      <c r="OIG1" s="568"/>
      <c r="OIH1" s="568"/>
      <c r="OII1" s="568"/>
      <c r="OIJ1" s="568"/>
      <c r="OIK1" s="568"/>
      <c r="OIL1" s="568"/>
      <c r="OIM1" s="568"/>
      <c r="OIN1" s="568"/>
      <c r="OIO1" s="568"/>
      <c r="OIP1" s="568"/>
      <c r="OIQ1" s="568"/>
      <c r="OIR1" s="568"/>
      <c r="OIS1" s="568"/>
      <c r="OIT1" s="568"/>
      <c r="OIU1" s="568"/>
      <c r="OIV1" s="568"/>
      <c r="OIW1" s="568"/>
      <c r="OIX1" s="568"/>
      <c r="OIY1" s="568"/>
      <c r="OIZ1" s="568"/>
      <c r="OJA1" s="568"/>
      <c r="OJB1" s="568"/>
      <c r="OJC1" s="568"/>
      <c r="OJD1" s="568"/>
      <c r="OJE1" s="568"/>
      <c r="OJF1" s="568"/>
      <c r="OJG1" s="568"/>
      <c r="OJH1" s="568"/>
      <c r="OJI1" s="568"/>
      <c r="OJJ1" s="568"/>
      <c r="OJK1" s="568"/>
      <c r="OJL1" s="568"/>
      <c r="OJM1" s="568"/>
      <c r="OJN1" s="568"/>
      <c r="OJO1" s="568"/>
      <c r="OJP1" s="568"/>
      <c r="OJQ1" s="568"/>
      <c r="OJR1" s="568"/>
      <c r="OJS1" s="568"/>
      <c r="OJT1" s="568"/>
      <c r="OJU1" s="568"/>
      <c r="OJV1" s="568"/>
      <c r="OJW1" s="568"/>
      <c r="OJX1" s="568"/>
      <c r="OJY1" s="568"/>
      <c r="OJZ1" s="568"/>
      <c r="OKA1" s="568"/>
      <c r="OKB1" s="568"/>
      <c r="OKC1" s="568"/>
      <c r="OKD1" s="568"/>
      <c r="OKE1" s="568"/>
      <c r="OKF1" s="568"/>
      <c r="OKG1" s="568"/>
      <c r="OKH1" s="568"/>
      <c r="OKI1" s="568"/>
      <c r="OKJ1" s="568"/>
      <c r="OKK1" s="568"/>
      <c r="OKL1" s="568"/>
      <c r="OKM1" s="568"/>
      <c r="OKN1" s="568"/>
      <c r="OKO1" s="568"/>
      <c r="OKP1" s="568"/>
      <c r="OKQ1" s="568"/>
      <c r="OKR1" s="568"/>
      <c r="OKS1" s="568"/>
      <c r="OKT1" s="568"/>
      <c r="OKU1" s="568"/>
      <c r="OKV1" s="568"/>
      <c r="OKW1" s="568"/>
      <c r="OKX1" s="568"/>
      <c r="OKY1" s="568"/>
      <c r="OKZ1" s="568"/>
      <c r="OLA1" s="568"/>
      <c r="OLB1" s="568"/>
      <c r="OLC1" s="568"/>
      <c r="OLD1" s="568"/>
      <c r="OLE1" s="568"/>
      <c r="OLF1" s="568"/>
      <c r="OLG1" s="568"/>
      <c r="OLH1" s="568"/>
      <c r="OLI1" s="568"/>
      <c r="OLJ1" s="568"/>
      <c r="OLK1" s="568"/>
      <c r="OLL1" s="568"/>
      <c r="OLM1" s="568"/>
      <c r="OLN1" s="568"/>
      <c r="OLO1" s="568"/>
      <c r="OLP1" s="568"/>
      <c r="OLQ1" s="568"/>
      <c r="OLR1" s="568"/>
      <c r="OLS1" s="568"/>
      <c r="OLT1" s="568"/>
      <c r="OLU1" s="568"/>
      <c r="OLV1" s="568"/>
      <c r="OLW1" s="568"/>
      <c r="OLX1" s="568"/>
      <c r="OLY1" s="568"/>
      <c r="OLZ1" s="568"/>
      <c r="OMA1" s="568"/>
      <c r="OMB1" s="568"/>
      <c r="OMC1" s="568"/>
      <c r="OMD1" s="568"/>
      <c r="OME1" s="568"/>
      <c r="OMF1" s="568"/>
      <c r="OMG1" s="568"/>
      <c r="OMH1" s="568"/>
      <c r="OMI1" s="568"/>
      <c r="OMJ1" s="568"/>
      <c r="OMK1" s="568"/>
      <c r="OML1" s="568"/>
      <c r="OMM1" s="568"/>
      <c r="OMN1" s="568"/>
      <c r="OMO1" s="568"/>
      <c r="OMP1" s="568"/>
      <c r="OMQ1" s="568"/>
      <c r="OMR1" s="568"/>
      <c r="OMS1" s="568"/>
      <c r="OMT1" s="568"/>
      <c r="OMU1" s="568"/>
      <c r="OMV1" s="568"/>
      <c r="OMW1" s="568"/>
      <c r="OMX1" s="568"/>
      <c r="OMY1" s="568"/>
      <c r="OMZ1" s="568"/>
      <c r="ONA1" s="568"/>
      <c r="ONB1" s="568"/>
      <c r="ONC1" s="568"/>
      <c r="OND1" s="568"/>
      <c r="ONE1" s="568"/>
      <c r="ONF1" s="568"/>
      <c r="ONG1" s="568"/>
      <c r="ONH1" s="568"/>
      <c r="ONI1" s="568"/>
      <c r="ONJ1" s="568"/>
      <c r="ONK1" s="568"/>
      <c r="ONL1" s="568"/>
      <c r="ONM1" s="568"/>
      <c r="ONN1" s="568"/>
      <c r="ONO1" s="568"/>
      <c r="ONP1" s="568"/>
      <c r="ONQ1" s="568"/>
      <c r="ONR1" s="568"/>
      <c r="ONS1" s="568"/>
      <c r="ONT1" s="568"/>
      <c r="ONU1" s="568"/>
      <c r="ONV1" s="568"/>
      <c r="ONW1" s="568"/>
      <c r="ONX1" s="568"/>
      <c r="ONY1" s="568"/>
      <c r="ONZ1" s="568"/>
      <c r="OOA1" s="568"/>
      <c r="OOB1" s="568"/>
      <c r="OOC1" s="568"/>
      <c r="OOD1" s="568"/>
      <c r="OOE1" s="568"/>
      <c r="OOF1" s="568"/>
      <c r="OOG1" s="568"/>
      <c r="OOH1" s="568"/>
      <c r="OOI1" s="568"/>
      <c r="OOJ1" s="568"/>
      <c r="OOK1" s="568"/>
      <c r="OOL1" s="568"/>
      <c r="OOM1" s="568"/>
      <c r="OON1" s="568"/>
      <c r="OOO1" s="568"/>
      <c r="OOP1" s="568"/>
      <c r="OOQ1" s="568"/>
      <c r="OOR1" s="568"/>
      <c r="OOS1" s="568"/>
      <c r="OOT1" s="568"/>
      <c r="OOU1" s="568"/>
      <c r="OOV1" s="568"/>
      <c r="OOW1" s="568"/>
      <c r="OOX1" s="568"/>
      <c r="OOY1" s="568"/>
      <c r="OOZ1" s="568"/>
      <c r="OPA1" s="568"/>
      <c r="OPB1" s="568"/>
      <c r="OPC1" s="568"/>
      <c r="OPD1" s="568"/>
      <c r="OPE1" s="568"/>
      <c r="OPF1" s="568"/>
      <c r="OPG1" s="568"/>
      <c r="OPH1" s="568"/>
      <c r="OPI1" s="568"/>
      <c r="OPJ1" s="568"/>
      <c r="OPK1" s="568"/>
      <c r="OPL1" s="568"/>
      <c r="OPM1" s="568"/>
      <c r="OPN1" s="568"/>
      <c r="OPO1" s="568"/>
      <c r="OPP1" s="568"/>
      <c r="OPQ1" s="568"/>
      <c r="OPR1" s="568"/>
      <c r="OPS1" s="568"/>
      <c r="OPT1" s="568"/>
      <c r="OPU1" s="568"/>
      <c r="OPV1" s="568"/>
      <c r="OPW1" s="568"/>
      <c r="OPX1" s="568"/>
      <c r="OPY1" s="568"/>
      <c r="OPZ1" s="568"/>
      <c r="OQA1" s="568"/>
      <c r="OQB1" s="568"/>
      <c r="OQC1" s="568"/>
      <c r="OQD1" s="568"/>
      <c r="OQE1" s="568"/>
      <c r="OQF1" s="568"/>
      <c r="OQG1" s="568"/>
      <c r="OQH1" s="568"/>
      <c r="OQI1" s="568"/>
      <c r="OQJ1" s="568"/>
      <c r="OQK1" s="568"/>
      <c r="OQL1" s="568"/>
      <c r="OQM1" s="568"/>
      <c r="OQN1" s="568"/>
      <c r="OQO1" s="568"/>
      <c r="OQP1" s="568"/>
      <c r="OQQ1" s="568"/>
      <c r="OQR1" s="568"/>
      <c r="OQS1" s="568"/>
      <c r="OQT1" s="568"/>
      <c r="OQU1" s="568"/>
      <c r="OQV1" s="568"/>
      <c r="OQW1" s="568"/>
      <c r="OQX1" s="568"/>
      <c r="OQY1" s="568"/>
      <c r="OQZ1" s="568"/>
      <c r="ORA1" s="568"/>
      <c r="ORB1" s="568"/>
      <c r="ORC1" s="568"/>
      <c r="ORD1" s="568"/>
      <c r="ORE1" s="568"/>
      <c r="ORF1" s="568"/>
      <c r="ORG1" s="568"/>
      <c r="ORH1" s="568"/>
      <c r="ORI1" s="568"/>
      <c r="ORJ1" s="568"/>
      <c r="ORK1" s="568"/>
      <c r="ORL1" s="568"/>
      <c r="ORM1" s="568"/>
      <c r="ORN1" s="568"/>
      <c r="ORO1" s="568"/>
      <c r="ORP1" s="568"/>
      <c r="ORQ1" s="568"/>
      <c r="ORR1" s="568"/>
      <c r="ORS1" s="568"/>
      <c r="ORT1" s="568"/>
      <c r="ORU1" s="568"/>
      <c r="ORV1" s="568"/>
      <c r="ORW1" s="568"/>
      <c r="ORX1" s="568"/>
      <c r="ORY1" s="568"/>
      <c r="ORZ1" s="568"/>
      <c r="OSA1" s="568"/>
      <c r="OSB1" s="568"/>
      <c r="OSC1" s="568"/>
      <c r="OSD1" s="568"/>
      <c r="OSE1" s="568"/>
      <c r="OSF1" s="568"/>
      <c r="OSG1" s="568"/>
      <c r="OSH1" s="568"/>
      <c r="OSI1" s="568"/>
      <c r="OSJ1" s="568"/>
      <c r="OSK1" s="568"/>
      <c r="OSL1" s="568"/>
      <c r="OSM1" s="568"/>
      <c r="OSN1" s="568"/>
      <c r="OSO1" s="568"/>
      <c r="OSP1" s="568"/>
      <c r="OSQ1" s="568"/>
      <c r="OSR1" s="568"/>
      <c r="OSS1" s="568"/>
      <c r="OST1" s="568"/>
      <c r="OSU1" s="568"/>
      <c r="OSV1" s="568"/>
      <c r="OSW1" s="568"/>
      <c r="OSX1" s="568"/>
      <c r="OSY1" s="568"/>
      <c r="OSZ1" s="568"/>
      <c r="OTA1" s="568"/>
      <c r="OTB1" s="568"/>
      <c r="OTC1" s="568"/>
      <c r="OTD1" s="568"/>
      <c r="OTE1" s="568"/>
      <c r="OTF1" s="568"/>
      <c r="OTG1" s="568"/>
      <c r="OTH1" s="568"/>
      <c r="OTI1" s="568"/>
      <c r="OTJ1" s="568"/>
      <c r="OTK1" s="568"/>
      <c r="OTL1" s="568"/>
      <c r="OTM1" s="568"/>
      <c r="OTN1" s="568"/>
      <c r="OTO1" s="568"/>
      <c r="OTP1" s="568"/>
      <c r="OTQ1" s="568"/>
      <c r="OTR1" s="568"/>
      <c r="OTS1" s="568"/>
      <c r="OTT1" s="568"/>
      <c r="OTU1" s="568"/>
      <c r="OTV1" s="568"/>
      <c r="OTW1" s="568"/>
      <c r="OTX1" s="568"/>
      <c r="OTY1" s="568"/>
      <c r="OTZ1" s="568"/>
      <c r="OUA1" s="568"/>
      <c r="OUB1" s="568"/>
      <c r="OUC1" s="568"/>
      <c r="OUD1" s="568"/>
      <c r="OUE1" s="568"/>
      <c r="OUF1" s="568"/>
      <c r="OUG1" s="568"/>
      <c r="OUH1" s="568"/>
      <c r="OUI1" s="568"/>
      <c r="OUJ1" s="568"/>
      <c r="OUK1" s="568"/>
      <c r="OUL1" s="568"/>
      <c r="OUM1" s="568"/>
      <c r="OUN1" s="568"/>
      <c r="OUO1" s="568"/>
      <c r="OUP1" s="568"/>
      <c r="OUQ1" s="568"/>
      <c r="OUR1" s="568"/>
      <c r="OUS1" s="568"/>
      <c r="OUT1" s="568"/>
      <c r="OUU1" s="568"/>
      <c r="OUV1" s="568"/>
      <c r="OUW1" s="568"/>
      <c r="OUX1" s="568"/>
      <c r="OUY1" s="568"/>
      <c r="OUZ1" s="568"/>
      <c r="OVA1" s="568"/>
      <c r="OVB1" s="568"/>
      <c r="OVC1" s="568"/>
      <c r="OVD1" s="568"/>
      <c r="OVE1" s="568"/>
      <c r="OVF1" s="568"/>
      <c r="OVG1" s="568"/>
      <c r="OVH1" s="568"/>
      <c r="OVI1" s="568"/>
      <c r="OVJ1" s="568"/>
      <c r="OVK1" s="568"/>
      <c r="OVL1" s="568"/>
      <c r="OVM1" s="568"/>
      <c r="OVN1" s="568"/>
      <c r="OVO1" s="568"/>
      <c r="OVP1" s="568"/>
      <c r="OVQ1" s="568"/>
      <c r="OVR1" s="568"/>
      <c r="OVS1" s="568"/>
      <c r="OVT1" s="568"/>
      <c r="OVU1" s="568"/>
      <c r="OVV1" s="568"/>
      <c r="OVW1" s="568"/>
      <c r="OVX1" s="568"/>
      <c r="OVY1" s="568"/>
      <c r="OVZ1" s="568"/>
      <c r="OWA1" s="568"/>
      <c r="OWB1" s="568"/>
      <c r="OWC1" s="568"/>
      <c r="OWD1" s="568"/>
      <c r="OWE1" s="568"/>
      <c r="OWF1" s="568"/>
      <c r="OWG1" s="568"/>
      <c r="OWH1" s="568"/>
      <c r="OWI1" s="568"/>
      <c r="OWJ1" s="568"/>
      <c r="OWK1" s="568"/>
      <c r="OWL1" s="568"/>
      <c r="OWM1" s="568"/>
      <c r="OWN1" s="568"/>
      <c r="OWO1" s="568"/>
      <c r="OWP1" s="568"/>
      <c r="OWQ1" s="568"/>
      <c r="OWR1" s="568"/>
      <c r="OWS1" s="568"/>
      <c r="OWT1" s="568"/>
      <c r="OWU1" s="568"/>
      <c r="OWV1" s="568"/>
      <c r="OWW1" s="568"/>
      <c r="OWX1" s="568"/>
      <c r="OWY1" s="568"/>
      <c r="OWZ1" s="568"/>
      <c r="OXA1" s="568"/>
      <c r="OXB1" s="568"/>
      <c r="OXC1" s="568"/>
      <c r="OXD1" s="568"/>
      <c r="OXE1" s="568"/>
      <c r="OXF1" s="568"/>
      <c r="OXG1" s="568"/>
      <c r="OXH1" s="568"/>
      <c r="OXI1" s="568"/>
      <c r="OXJ1" s="568"/>
      <c r="OXK1" s="568"/>
      <c r="OXL1" s="568"/>
      <c r="OXM1" s="568"/>
      <c r="OXN1" s="568"/>
      <c r="OXO1" s="568"/>
      <c r="OXP1" s="568"/>
      <c r="OXQ1" s="568"/>
      <c r="OXR1" s="568"/>
      <c r="OXS1" s="568"/>
      <c r="OXT1" s="568"/>
      <c r="OXU1" s="568"/>
      <c r="OXV1" s="568"/>
      <c r="OXW1" s="568"/>
      <c r="OXX1" s="568"/>
      <c r="OXY1" s="568"/>
      <c r="OXZ1" s="568"/>
      <c r="OYA1" s="568"/>
      <c r="OYB1" s="568"/>
      <c r="OYC1" s="568"/>
      <c r="OYD1" s="568"/>
      <c r="OYE1" s="568"/>
      <c r="OYF1" s="568"/>
      <c r="OYG1" s="568"/>
      <c r="OYH1" s="568"/>
      <c r="OYI1" s="568"/>
      <c r="OYJ1" s="568"/>
      <c r="OYK1" s="568"/>
      <c r="OYL1" s="568"/>
      <c r="OYM1" s="568"/>
      <c r="OYN1" s="568"/>
      <c r="OYO1" s="568"/>
      <c r="OYP1" s="568"/>
      <c r="OYQ1" s="568"/>
      <c r="OYR1" s="568"/>
      <c r="OYS1" s="568"/>
      <c r="OYT1" s="568"/>
      <c r="OYU1" s="568"/>
      <c r="OYV1" s="568"/>
      <c r="OYW1" s="568"/>
      <c r="OYX1" s="568"/>
      <c r="OYY1" s="568"/>
      <c r="OYZ1" s="568"/>
      <c r="OZA1" s="568"/>
      <c r="OZB1" s="568"/>
      <c r="OZC1" s="568"/>
      <c r="OZD1" s="568"/>
      <c r="OZE1" s="568"/>
      <c r="OZF1" s="568"/>
      <c r="OZG1" s="568"/>
      <c r="OZH1" s="568"/>
      <c r="OZI1" s="568"/>
      <c r="OZJ1" s="568"/>
      <c r="OZK1" s="568"/>
      <c r="OZL1" s="568"/>
      <c r="OZM1" s="568"/>
      <c r="OZN1" s="568"/>
      <c r="OZO1" s="568"/>
      <c r="OZP1" s="568"/>
      <c r="OZQ1" s="568"/>
      <c r="OZR1" s="568"/>
      <c r="OZS1" s="568"/>
      <c r="OZT1" s="568"/>
      <c r="OZU1" s="568"/>
      <c r="OZV1" s="568"/>
      <c r="OZW1" s="568"/>
      <c r="OZX1" s="568"/>
      <c r="OZY1" s="568"/>
      <c r="OZZ1" s="568"/>
      <c r="PAA1" s="568"/>
      <c r="PAB1" s="568"/>
      <c r="PAC1" s="568"/>
      <c r="PAD1" s="568"/>
      <c r="PAE1" s="568"/>
      <c r="PAF1" s="568"/>
      <c r="PAG1" s="568"/>
      <c r="PAH1" s="568"/>
      <c r="PAI1" s="568"/>
      <c r="PAJ1" s="568"/>
      <c r="PAK1" s="568"/>
      <c r="PAL1" s="568"/>
      <c r="PAM1" s="568"/>
      <c r="PAN1" s="568"/>
      <c r="PAO1" s="568"/>
      <c r="PAP1" s="568"/>
      <c r="PAQ1" s="568"/>
      <c r="PAR1" s="568"/>
      <c r="PAS1" s="568"/>
      <c r="PAT1" s="568"/>
      <c r="PAU1" s="568"/>
      <c r="PAV1" s="568"/>
      <c r="PAW1" s="568"/>
      <c r="PAX1" s="568"/>
      <c r="PAY1" s="568"/>
      <c r="PAZ1" s="568"/>
      <c r="PBA1" s="568"/>
      <c r="PBB1" s="568"/>
      <c r="PBC1" s="568"/>
      <c r="PBD1" s="568"/>
      <c r="PBE1" s="568"/>
      <c r="PBF1" s="568"/>
      <c r="PBG1" s="568"/>
      <c r="PBH1" s="568"/>
      <c r="PBI1" s="568"/>
      <c r="PBJ1" s="568"/>
      <c r="PBK1" s="568"/>
      <c r="PBL1" s="568"/>
      <c r="PBM1" s="568"/>
      <c r="PBN1" s="568"/>
      <c r="PBO1" s="568"/>
      <c r="PBP1" s="568"/>
      <c r="PBQ1" s="568"/>
      <c r="PBR1" s="568"/>
      <c r="PBS1" s="568"/>
      <c r="PBT1" s="568"/>
      <c r="PBU1" s="568"/>
      <c r="PBV1" s="568"/>
      <c r="PBW1" s="568"/>
      <c r="PBX1" s="568"/>
      <c r="PBY1" s="568"/>
      <c r="PBZ1" s="568"/>
      <c r="PCA1" s="568"/>
      <c r="PCB1" s="568"/>
      <c r="PCC1" s="568"/>
      <c r="PCD1" s="568"/>
      <c r="PCE1" s="568"/>
      <c r="PCF1" s="568"/>
      <c r="PCG1" s="568"/>
      <c r="PCH1" s="568"/>
      <c r="PCI1" s="568"/>
      <c r="PCJ1" s="568"/>
      <c r="PCK1" s="568"/>
      <c r="PCL1" s="568"/>
      <c r="PCM1" s="568"/>
      <c r="PCN1" s="568"/>
      <c r="PCO1" s="568"/>
      <c r="PCP1" s="568"/>
      <c r="PCQ1" s="568"/>
      <c r="PCR1" s="568"/>
      <c r="PCS1" s="568"/>
      <c r="PCT1" s="568"/>
      <c r="PCU1" s="568"/>
      <c r="PCV1" s="568"/>
      <c r="PCW1" s="568"/>
      <c r="PCX1" s="568"/>
      <c r="PCY1" s="568"/>
      <c r="PCZ1" s="568"/>
      <c r="PDA1" s="568"/>
      <c r="PDB1" s="568"/>
      <c r="PDC1" s="568"/>
      <c r="PDD1" s="568"/>
      <c r="PDE1" s="568"/>
      <c r="PDF1" s="568"/>
      <c r="PDG1" s="568"/>
      <c r="PDH1" s="568"/>
      <c r="PDI1" s="568"/>
      <c r="PDJ1" s="568"/>
      <c r="PDK1" s="568"/>
      <c r="PDL1" s="568"/>
      <c r="PDM1" s="568"/>
      <c r="PDN1" s="568"/>
      <c r="PDO1" s="568"/>
      <c r="PDP1" s="568"/>
      <c r="PDQ1" s="568"/>
      <c r="PDR1" s="568"/>
      <c r="PDS1" s="568"/>
      <c r="PDT1" s="568"/>
      <c r="PDU1" s="568"/>
      <c r="PDV1" s="568"/>
      <c r="PDW1" s="568"/>
      <c r="PDX1" s="568"/>
      <c r="PDY1" s="568"/>
      <c r="PDZ1" s="568"/>
      <c r="PEA1" s="568"/>
      <c r="PEB1" s="568"/>
      <c r="PEC1" s="568"/>
      <c r="PED1" s="568"/>
      <c r="PEE1" s="568"/>
      <c r="PEF1" s="568"/>
      <c r="PEG1" s="568"/>
      <c r="PEH1" s="568"/>
      <c r="PEI1" s="568"/>
      <c r="PEJ1" s="568"/>
      <c r="PEK1" s="568"/>
      <c r="PEL1" s="568"/>
      <c r="PEM1" s="568"/>
      <c r="PEN1" s="568"/>
      <c r="PEO1" s="568"/>
      <c r="PEP1" s="568"/>
      <c r="PEQ1" s="568"/>
      <c r="PER1" s="568"/>
      <c r="PES1" s="568"/>
      <c r="PET1" s="568"/>
      <c r="PEU1" s="568"/>
      <c r="PEV1" s="568"/>
      <c r="PEW1" s="568"/>
      <c r="PEX1" s="568"/>
      <c r="PEY1" s="568"/>
      <c r="PEZ1" s="568"/>
      <c r="PFA1" s="568"/>
      <c r="PFB1" s="568"/>
      <c r="PFC1" s="568"/>
      <c r="PFD1" s="568"/>
      <c r="PFE1" s="568"/>
      <c r="PFF1" s="568"/>
      <c r="PFG1" s="568"/>
      <c r="PFH1" s="568"/>
      <c r="PFI1" s="568"/>
      <c r="PFJ1" s="568"/>
      <c r="PFK1" s="568"/>
      <c r="PFL1" s="568"/>
      <c r="PFM1" s="568"/>
      <c r="PFN1" s="568"/>
      <c r="PFO1" s="568"/>
      <c r="PFP1" s="568"/>
      <c r="PFQ1" s="568"/>
      <c r="PFR1" s="568"/>
      <c r="PFS1" s="568"/>
      <c r="PFT1" s="568"/>
      <c r="PFU1" s="568"/>
      <c r="PFV1" s="568"/>
      <c r="PFW1" s="568"/>
      <c r="PFX1" s="568"/>
      <c r="PFY1" s="568"/>
      <c r="PFZ1" s="568"/>
      <c r="PGA1" s="568"/>
      <c r="PGB1" s="568"/>
      <c r="PGC1" s="568"/>
      <c r="PGD1" s="568"/>
      <c r="PGE1" s="568"/>
      <c r="PGF1" s="568"/>
      <c r="PGG1" s="568"/>
      <c r="PGH1" s="568"/>
      <c r="PGI1" s="568"/>
      <c r="PGJ1" s="568"/>
      <c r="PGK1" s="568"/>
      <c r="PGL1" s="568"/>
      <c r="PGM1" s="568"/>
      <c r="PGN1" s="568"/>
      <c r="PGO1" s="568"/>
      <c r="PGP1" s="568"/>
      <c r="PGQ1" s="568"/>
      <c r="PGR1" s="568"/>
      <c r="PGS1" s="568"/>
      <c r="PGT1" s="568"/>
      <c r="PGU1" s="568"/>
      <c r="PGV1" s="568"/>
      <c r="PGW1" s="568"/>
      <c r="PGX1" s="568"/>
      <c r="PGY1" s="568"/>
      <c r="PGZ1" s="568"/>
      <c r="PHA1" s="568"/>
      <c r="PHB1" s="568"/>
      <c r="PHC1" s="568"/>
      <c r="PHD1" s="568"/>
      <c r="PHE1" s="568"/>
      <c r="PHF1" s="568"/>
      <c r="PHG1" s="568"/>
      <c r="PHH1" s="568"/>
      <c r="PHI1" s="568"/>
      <c r="PHJ1" s="568"/>
      <c r="PHK1" s="568"/>
      <c r="PHL1" s="568"/>
      <c r="PHM1" s="568"/>
      <c r="PHN1" s="568"/>
      <c r="PHO1" s="568"/>
      <c r="PHP1" s="568"/>
      <c r="PHQ1" s="568"/>
      <c r="PHR1" s="568"/>
      <c r="PHS1" s="568"/>
      <c r="PHT1" s="568"/>
      <c r="PHU1" s="568"/>
      <c r="PHV1" s="568"/>
      <c r="PHW1" s="568"/>
      <c r="PHX1" s="568"/>
      <c r="PHY1" s="568"/>
      <c r="PHZ1" s="568"/>
      <c r="PIA1" s="568"/>
      <c r="PIB1" s="568"/>
      <c r="PIC1" s="568"/>
      <c r="PID1" s="568"/>
      <c r="PIE1" s="568"/>
      <c r="PIF1" s="568"/>
      <c r="PIG1" s="568"/>
      <c r="PIH1" s="568"/>
      <c r="PII1" s="568"/>
      <c r="PIJ1" s="568"/>
      <c r="PIK1" s="568"/>
      <c r="PIL1" s="568"/>
      <c r="PIM1" s="568"/>
      <c r="PIN1" s="568"/>
      <c r="PIO1" s="568"/>
      <c r="PIP1" s="568"/>
      <c r="PIQ1" s="568"/>
      <c r="PIR1" s="568"/>
      <c r="PIS1" s="568"/>
      <c r="PIT1" s="568"/>
      <c r="PIU1" s="568"/>
      <c r="PIV1" s="568"/>
      <c r="PIW1" s="568"/>
      <c r="PIX1" s="568"/>
      <c r="PIY1" s="568"/>
      <c r="PIZ1" s="568"/>
      <c r="PJA1" s="568"/>
      <c r="PJB1" s="568"/>
      <c r="PJC1" s="568"/>
      <c r="PJD1" s="568"/>
      <c r="PJE1" s="568"/>
      <c r="PJF1" s="568"/>
      <c r="PJG1" s="568"/>
      <c r="PJH1" s="568"/>
      <c r="PJI1" s="568"/>
      <c r="PJJ1" s="568"/>
      <c r="PJK1" s="568"/>
      <c r="PJL1" s="568"/>
      <c r="PJM1" s="568"/>
      <c r="PJN1" s="568"/>
      <c r="PJO1" s="568"/>
      <c r="PJP1" s="568"/>
      <c r="PJQ1" s="568"/>
      <c r="PJR1" s="568"/>
      <c r="PJS1" s="568"/>
      <c r="PJT1" s="568"/>
      <c r="PJU1" s="568"/>
      <c r="PJV1" s="568"/>
      <c r="PJW1" s="568"/>
      <c r="PJX1" s="568"/>
      <c r="PJY1" s="568"/>
      <c r="PJZ1" s="568"/>
      <c r="PKA1" s="568"/>
      <c r="PKB1" s="568"/>
      <c r="PKC1" s="568"/>
      <c r="PKD1" s="568"/>
      <c r="PKE1" s="568"/>
      <c r="PKF1" s="568"/>
      <c r="PKG1" s="568"/>
      <c r="PKH1" s="568"/>
      <c r="PKI1" s="568"/>
      <c r="PKJ1" s="568"/>
      <c r="PKK1" s="568"/>
      <c r="PKL1" s="568"/>
      <c r="PKM1" s="568"/>
      <c r="PKN1" s="568"/>
      <c r="PKO1" s="568"/>
      <c r="PKP1" s="568"/>
      <c r="PKQ1" s="568"/>
      <c r="PKR1" s="568"/>
      <c r="PKS1" s="568"/>
      <c r="PKT1" s="568"/>
      <c r="PKU1" s="568"/>
      <c r="PKV1" s="568"/>
      <c r="PKW1" s="568"/>
      <c r="PKX1" s="568"/>
      <c r="PKY1" s="568"/>
      <c r="PKZ1" s="568"/>
      <c r="PLA1" s="568"/>
      <c r="PLB1" s="568"/>
      <c r="PLC1" s="568"/>
      <c r="PLD1" s="568"/>
      <c r="PLE1" s="568"/>
      <c r="PLF1" s="568"/>
      <c r="PLG1" s="568"/>
      <c r="PLH1" s="568"/>
      <c r="PLI1" s="568"/>
      <c r="PLJ1" s="568"/>
      <c r="PLK1" s="568"/>
      <c r="PLL1" s="568"/>
      <c r="PLM1" s="568"/>
      <c r="PLN1" s="568"/>
      <c r="PLO1" s="568"/>
      <c r="PLP1" s="568"/>
      <c r="PLQ1" s="568"/>
      <c r="PLR1" s="568"/>
      <c r="PLS1" s="568"/>
      <c r="PLT1" s="568"/>
      <c r="PLU1" s="568"/>
      <c r="PLV1" s="568"/>
      <c r="PLW1" s="568"/>
      <c r="PLX1" s="568"/>
      <c r="PLY1" s="568"/>
      <c r="PLZ1" s="568"/>
      <c r="PMA1" s="568"/>
      <c r="PMB1" s="568"/>
      <c r="PMC1" s="568"/>
      <c r="PMD1" s="568"/>
      <c r="PME1" s="568"/>
      <c r="PMF1" s="568"/>
      <c r="PMG1" s="568"/>
      <c r="PMH1" s="568"/>
      <c r="PMI1" s="568"/>
      <c r="PMJ1" s="568"/>
      <c r="PMK1" s="568"/>
      <c r="PML1" s="568"/>
      <c r="PMM1" s="568"/>
      <c r="PMN1" s="568"/>
      <c r="PMO1" s="568"/>
      <c r="PMP1" s="568"/>
      <c r="PMQ1" s="568"/>
      <c r="PMR1" s="568"/>
      <c r="PMS1" s="568"/>
      <c r="PMT1" s="568"/>
      <c r="PMU1" s="568"/>
      <c r="PMV1" s="568"/>
      <c r="PMW1" s="568"/>
      <c r="PMX1" s="568"/>
      <c r="PMY1" s="568"/>
      <c r="PMZ1" s="568"/>
      <c r="PNA1" s="568"/>
      <c r="PNB1" s="568"/>
      <c r="PNC1" s="568"/>
      <c r="PND1" s="568"/>
      <c r="PNE1" s="568"/>
      <c r="PNF1" s="568"/>
      <c r="PNG1" s="568"/>
      <c r="PNH1" s="568"/>
      <c r="PNI1" s="568"/>
      <c r="PNJ1" s="568"/>
      <c r="PNK1" s="568"/>
      <c r="PNL1" s="568"/>
      <c r="PNM1" s="568"/>
      <c r="PNN1" s="568"/>
      <c r="PNO1" s="568"/>
      <c r="PNP1" s="568"/>
      <c r="PNQ1" s="568"/>
      <c r="PNR1" s="568"/>
      <c r="PNS1" s="568"/>
      <c r="PNT1" s="568"/>
      <c r="PNU1" s="568"/>
      <c r="PNV1" s="568"/>
      <c r="PNW1" s="568"/>
      <c r="PNX1" s="568"/>
      <c r="PNY1" s="568"/>
      <c r="PNZ1" s="568"/>
      <c r="POA1" s="568"/>
      <c r="POB1" s="568"/>
      <c r="POC1" s="568"/>
      <c r="POD1" s="568"/>
      <c r="POE1" s="568"/>
      <c r="POF1" s="568"/>
      <c r="POG1" s="568"/>
      <c r="POH1" s="568"/>
      <c r="POI1" s="568"/>
      <c r="POJ1" s="568"/>
      <c r="POK1" s="568"/>
      <c r="POL1" s="568"/>
      <c r="POM1" s="568"/>
      <c r="PON1" s="568"/>
      <c r="POO1" s="568"/>
      <c r="POP1" s="568"/>
      <c r="POQ1" s="568"/>
      <c r="POR1" s="568"/>
      <c r="POS1" s="568"/>
      <c r="POT1" s="568"/>
      <c r="POU1" s="568"/>
      <c r="POV1" s="568"/>
      <c r="POW1" s="568"/>
      <c r="POX1" s="568"/>
      <c r="POY1" s="568"/>
      <c r="POZ1" s="568"/>
      <c r="PPA1" s="568"/>
      <c r="PPB1" s="568"/>
      <c r="PPC1" s="568"/>
      <c r="PPD1" s="568"/>
      <c r="PPE1" s="568"/>
      <c r="PPF1" s="568"/>
      <c r="PPG1" s="568"/>
      <c r="PPH1" s="568"/>
      <c r="PPI1" s="568"/>
      <c r="PPJ1" s="568"/>
      <c r="PPK1" s="568"/>
      <c r="PPL1" s="568"/>
      <c r="PPM1" s="568"/>
      <c r="PPN1" s="568"/>
      <c r="PPO1" s="568"/>
      <c r="PPP1" s="568"/>
      <c r="PPQ1" s="568"/>
      <c r="PPR1" s="568"/>
      <c r="PPS1" s="568"/>
      <c r="PPT1" s="568"/>
      <c r="PPU1" s="568"/>
      <c r="PPV1" s="568"/>
      <c r="PPW1" s="568"/>
      <c r="PPX1" s="568"/>
      <c r="PPY1" s="568"/>
      <c r="PPZ1" s="568"/>
      <c r="PQA1" s="568"/>
      <c r="PQB1" s="568"/>
      <c r="PQC1" s="568"/>
      <c r="PQD1" s="568"/>
      <c r="PQE1" s="568"/>
      <c r="PQF1" s="568"/>
      <c r="PQG1" s="568"/>
      <c r="PQH1" s="568"/>
      <c r="PQI1" s="568"/>
      <c r="PQJ1" s="568"/>
      <c r="PQK1" s="568"/>
      <c r="PQL1" s="568"/>
      <c r="PQM1" s="568"/>
      <c r="PQN1" s="568"/>
      <c r="PQO1" s="568"/>
      <c r="PQP1" s="568"/>
      <c r="PQQ1" s="568"/>
      <c r="PQR1" s="568"/>
      <c r="PQS1" s="568"/>
      <c r="PQT1" s="568"/>
      <c r="PQU1" s="568"/>
      <c r="PQV1" s="568"/>
      <c r="PQW1" s="568"/>
      <c r="PQX1" s="568"/>
      <c r="PQY1" s="568"/>
      <c r="PQZ1" s="568"/>
      <c r="PRA1" s="568"/>
      <c r="PRB1" s="568"/>
      <c r="PRC1" s="568"/>
      <c r="PRD1" s="568"/>
      <c r="PRE1" s="568"/>
      <c r="PRF1" s="568"/>
      <c r="PRG1" s="568"/>
      <c r="PRH1" s="568"/>
      <c r="PRI1" s="568"/>
      <c r="PRJ1" s="568"/>
      <c r="PRK1" s="568"/>
      <c r="PRL1" s="568"/>
      <c r="PRM1" s="568"/>
      <c r="PRN1" s="568"/>
      <c r="PRO1" s="568"/>
      <c r="PRP1" s="568"/>
      <c r="PRQ1" s="568"/>
      <c r="PRR1" s="568"/>
      <c r="PRS1" s="568"/>
      <c r="PRT1" s="568"/>
      <c r="PRU1" s="568"/>
      <c r="PRV1" s="568"/>
      <c r="PRW1" s="568"/>
      <c r="PRX1" s="568"/>
      <c r="PRY1" s="568"/>
      <c r="PRZ1" s="568"/>
      <c r="PSA1" s="568"/>
      <c r="PSB1" s="568"/>
      <c r="PSC1" s="568"/>
      <c r="PSD1" s="568"/>
      <c r="PSE1" s="568"/>
      <c r="PSF1" s="568"/>
      <c r="PSG1" s="568"/>
      <c r="PSH1" s="568"/>
      <c r="PSI1" s="568"/>
      <c r="PSJ1" s="568"/>
      <c r="PSK1" s="568"/>
      <c r="PSL1" s="568"/>
      <c r="PSM1" s="568"/>
      <c r="PSN1" s="568"/>
      <c r="PSO1" s="568"/>
      <c r="PSP1" s="568"/>
      <c r="PSQ1" s="568"/>
      <c r="PSR1" s="568"/>
      <c r="PSS1" s="568"/>
      <c r="PST1" s="568"/>
      <c r="PSU1" s="568"/>
      <c r="PSV1" s="568"/>
      <c r="PSW1" s="568"/>
      <c r="PSX1" s="568"/>
      <c r="PSY1" s="568"/>
      <c r="PSZ1" s="568"/>
      <c r="PTA1" s="568"/>
      <c r="PTB1" s="568"/>
      <c r="PTC1" s="568"/>
      <c r="PTD1" s="568"/>
      <c r="PTE1" s="568"/>
      <c r="PTF1" s="568"/>
      <c r="PTG1" s="568"/>
      <c r="PTH1" s="568"/>
      <c r="PTI1" s="568"/>
      <c r="PTJ1" s="568"/>
      <c r="PTK1" s="568"/>
      <c r="PTL1" s="568"/>
      <c r="PTM1" s="568"/>
      <c r="PTN1" s="568"/>
      <c r="PTO1" s="568"/>
      <c r="PTP1" s="568"/>
      <c r="PTQ1" s="568"/>
      <c r="PTR1" s="568"/>
      <c r="PTS1" s="568"/>
      <c r="PTT1" s="568"/>
      <c r="PTU1" s="568"/>
      <c r="PTV1" s="568"/>
      <c r="PTW1" s="568"/>
      <c r="PTX1" s="568"/>
      <c r="PTY1" s="568"/>
      <c r="PTZ1" s="568"/>
      <c r="PUA1" s="568"/>
      <c r="PUB1" s="568"/>
      <c r="PUC1" s="568"/>
      <c r="PUD1" s="568"/>
      <c r="PUE1" s="568"/>
      <c r="PUF1" s="568"/>
      <c r="PUG1" s="568"/>
      <c r="PUH1" s="568"/>
      <c r="PUI1" s="568"/>
      <c r="PUJ1" s="568"/>
      <c r="PUK1" s="568"/>
      <c r="PUL1" s="568"/>
      <c r="PUM1" s="568"/>
      <c r="PUN1" s="568"/>
      <c r="PUO1" s="568"/>
      <c r="PUP1" s="568"/>
      <c r="PUQ1" s="568"/>
      <c r="PUR1" s="568"/>
      <c r="PUS1" s="568"/>
      <c r="PUT1" s="568"/>
      <c r="PUU1" s="568"/>
      <c r="PUV1" s="568"/>
      <c r="PUW1" s="568"/>
      <c r="PUX1" s="568"/>
      <c r="PUY1" s="568"/>
      <c r="PUZ1" s="568"/>
      <c r="PVA1" s="568"/>
      <c r="PVB1" s="568"/>
      <c r="PVC1" s="568"/>
      <c r="PVD1" s="568"/>
      <c r="PVE1" s="568"/>
      <c r="PVF1" s="568"/>
      <c r="PVG1" s="568"/>
      <c r="PVH1" s="568"/>
      <c r="PVI1" s="568"/>
      <c r="PVJ1" s="568"/>
      <c r="PVK1" s="568"/>
      <c r="PVL1" s="568"/>
      <c r="PVM1" s="568"/>
      <c r="PVN1" s="568"/>
      <c r="PVO1" s="568"/>
      <c r="PVP1" s="568"/>
      <c r="PVQ1" s="568"/>
      <c r="PVR1" s="568"/>
      <c r="PVS1" s="568"/>
      <c r="PVT1" s="568"/>
      <c r="PVU1" s="568"/>
      <c r="PVV1" s="568"/>
      <c r="PVW1" s="568"/>
      <c r="PVX1" s="568"/>
      <c r="PVY1" s="568"/>
      <c r="PVZ1" s="568"/>
      <c r="PWA1" s="568"/>
      <c r="PWB1" s="568"/>
      <c r="PWC1" s="568"/>
      <c r="PWD1" s="568"/>
      <c r="PWE1" s="568"/>
      <c r="PWF1" s="568"/>
      <c r="PWG1" s="568"/>
      <c r="PWH1" s="568"/>
      <c r="PWI1" s="568"/>
      <c r="PWJ1" s="568"/>
      <c r="PWK1" s="568"/>
      <c r="PWL1" s="568"/>
      <c r="PWM1" s="568"/>
      <c r="PWN1" s="568"/>
      <c r="PWO1" s="568"/>
      <c r="PWP1" s="568"/>
      <c r="PWQ1" s="568"/>
      <c r="PWR1" s="568"/>
      <c r="PWS1" s="568"/>
      <c r="PWT1" s="568"/>
      <c r="PWU1" s="568"/>
      <c r="PWV1" s="568"/>
      <c r="PWW1" s="568"/>
      <c r="PWX1" s="568"/>
      <c r="PWY1" s="568"/>
      <c r="PWZ1" s="568"/>
      <c r="PXA1" s="568"/>
      <c r="PXB1" s="568"/>
      <c r="PXC1" s="568"/>
      <c r="PXD1" s="568"/>
      <c r="PXE1" s="568"/>
      <c r="PXF1" s="568"/>
      <c r="PXG1" s="568"/>
      <c r="PXH1" s="568"/>
      <c r="PXI1" s="568"/>
      <c r="PXJ1" s="568"/>
      <c r="PXK1" s="568"/>
      <c r="PXL1" s="568"/>
      <c r="PXM1" s="568"/>
      <c r="PXN1" s="568"/>
      <c r="PXO1" s="568"/>
      <c r="PXP1" s="568"/>
      <c r="PXQ1" s="568"/>
      <c r="PXR1" s="568"/>
      <c r="PXS1" s="568"/>
      <c r="PXT1" s="568"/>
      <c r="PXU1" s="568"/>
      <c r="PXV1" s="568"/>
      <c r="PXW1" s="568"/>
      <c r="PXX1" s="568"/>
      <c r="PXY1" s="568"/>
      <c r="PXZ1" s="568"/>
      <c r="PYA1" s="568"/>
      <c r="PYB1" s="568"/>
      <c r="PYC1" s="568"/>
      <c r="PYD1" s="568"/>
      <c r="PYE1" s="568"/>
      <c r="PYF1" s="568"/>
      <c r="PYG1" s="568"/>
      <c r="PYH1" s="568"/>
      <c r="PYI1" s="568"/>
      <c r="PYJ1" s="568"/>
      <c r="PYK1" s="568"/>
      <c r="PYL1" s="568"/>
      <c r="PYM1" s="568"/>
      <c r="PYN1" s="568"/>
      <c r="PYO1" s="568"/>
      <c r="PYP1" s="568"/>
      <c r="PYQ1" s="568"/>
      <c r="PYR1" s="568"/>
      <c r="PYS1" s="568"/>
      <c r="PYT1" s="568"/>
      <c r="PYU1" s="568"/>
      <c r="PYV1" s="568"/>
      <c r="PYW1" s="568"/>
      <c r="PYX1" s="568"/>
      <c r="PYY1" s="568"/>
      <c r="PYZ1" s="568"/>
      <c r="PZA1" s="568"/>
      <c r="PZB1" s="568"/>
      <c r="PZC1" s="568"/>
      <c r="PZD1" s="568"/>
      <c r="PZE1" s="568"/>
      <c r="PZF1" s="568"/>
      <c r="PZG1" s="568"/>
      <c r="PZH1" s="568"/>
      <c r="PZI1" s="568"/>
      <c r="PZJ1" s="568"/>
      <c r="PZK1" s="568"/>
      <c r="PZL1" s="568"/>
      <c r="PZM1" s="568"/>
      <c r="PZN1" s="568"/>
      <c r="PZO1" s="568"/>
      <c r="PZP1" s="568"/>
      <c r="PZQ1" s="568"/>
      <c r="PZR1" s="568"/>
      <c r="PZS1" s="568"/>
      <c r="PZT1" s="568"/>
      <c r="PZU1" s="568"/>
      <c r="PZV1" s="568"/>
      <c r="PZW1" s="568"/>
      <c r="PZX1" s="568"/>
      <c r="PZY1" s="568"/>
      <c r="PZZ1" s="568"/>
      <c r="QAA1" s="568"/>
      <c r="QAB1" s="568"/>
      <c r="QAC1" s="568"/>
      <c r="QAD1" s="568"/>
      <c r="QAE1" s="568"/>
      <c r="QAF1" s="568"/>
      <c r="QAG1" s="568"/>
      <c r="QAH1" s="568"/>
      <c r="QAI1" s="568"/>
      <c r="QAJ1" s="568"/>
      <c r="QAK1" s="568"/>
      <c r="QAL1" s="568"/>
      <c r="QAM1" s="568"/>
      <c r="QAN1" s="568"/>
      <c r="QAO1" s="568"/>
      <c r="QAP1" s="568"/>
      <c r="QAQ1" s="568"/>
      <c r="QAR1" s="568"/>
      <c r="QAS1" s="568"/>
      <c r="QAT1" s="568"/>
      <c r="QAU1" s="568"/>
      <c r="QAV1" s="568"/>
      <c r="QAW1" s="568"/>
      <c r="QAX1" s="568"/>
      <c r="QAY1" s="568"/>
      <c r="QAZ1" s="568"/>
      <c r="QBA1" s="568"/>
      <c r="QBB1" s="568"/>
      <c r="QBC1" s="568"/>
      <c r="QBD1" s="568"/>
      <c r="QBE1" s="568"/>
      <c r="QBF1" s="568"/>
      <c r="QBG1" s="568"/>
      <c r="QBH1" s="568"/>
      <c r="QBI1" s="568"/>
      <c r="QBJ1" s="568"/>
      <c r="QBK1" s="568"/>
      <c r="QBL1" s="568"/>
      <c r="QBM1" s="568"/>
      <c r="QBN1" s="568"/>
      <c r="QBO1" s="568"/>
      <c r="QBP1" s="568"/>
      <c r="QBQ1" s="568"/>
      <c r="QBR1" s="568"/>
      <c r="QBS1" s="568"/>
      <c r="QBT1" s="568"/>
      <c r="QBU1" s="568"/>
      <c r="QBV1" s="568"/>
      <c r="QBW1" s="568"/>
      <c r="QBX1" s="568"/>
      <c r="QBY1" s="568"/>
      <c r="QBZ1" s="568"/>
      <c r="QCA1" s="568"/>
      <c r="QCB1" s="568"/>
      <c r="QCC1" s="568"/>
      <c r="QCD1" s="568"/>
      <c r="QCE1" s="568"/>
      <c r="QCF1" s="568"/>
      <c r="QCG1" s="568"/>
      <c r="QCH1" s="568"/>
      <c r="QCI1" s="568"/>
      <c r="QCJ1" s="568"/>
      <c r="QCK1" s="568"/>
      <c r="QCL1" s="568"/>
      <c r="QCM1" s="568"/>
      <c r="QCN1" s="568"/>
      <c r="QCO1" s="568"/>
      <c r="QCP1" s="568"/>
      <c r="QCQ1" s="568"/>
      <c r="QCR1" s="568"/>
      <c r="QCS1" s="568"/>
      <c r="QCT1" s="568"/>
      <c r="QCU1" s="568"/>
      <c r="QCV1" s="568"/>
      <c r="QCW1" s="568"/>
      <c r="QCX1" s="568"/>
      <c r="QCY1" s="568"/>
      <c r="QCZ1" s="568"/>
      <c r="QDA1" s="568"/>
      <c r="QDB1" s="568"/>
      <c r="QDC1" s="568"/>
      <c r="QDD1" s="568"/>
      <c r="QDE1" s="568"/>
      <c r="QDF1" s="568"/>
      <c r="QDG1" s="568"/>
      <c r="QDH1" s="568"/>
      <c r="QDI1" s="568"/>
      <c r="QDJ1" s="568"/>
      <c r="QDK1" s="568"/>
      <c r="QDL1" s="568"/>
      <c r="QDM1" s="568"/>
      <c r="QDN1" s="568"/>
      <c r="QDO1" s="568"/>
      <c r="QDP1" s="568"/>
      <c r="QDQ1" s="568"/>
      <c r="QDR1" s="568"/>
      <c r="QDS1" s="568"/>
      <c r="QDT1" s="568"/>
      <c r="QDU1" s="568"/>
      <c r="QDV1" s="568"/>
      <c r="QDW1" s="568"/>
      <c r="QDX1" s="568"/>
      <c r="QDY1" s="568"/>
      <c r="QDZ1" s="568"/>
      <c r="QEA1" s="568"/>
      <c r="QEB1" s="568"/>
      <c r="QEC1" s="568"/>
      <c r="QED1" s="568"/>
      <c r="QEE1" s="568"/>
      <c r="QEF1" s="568"/>
      <c r="QEG1" s="568"/>
      <c r="QEH1" s="568"/>
      <c r="QEI1" s="568"/>
      <c r="QEJ1" s="568"/>
      <c r="QEK1" s="568"/>
      <c r="QEL1" s="568"/>
      <c r="QEM1" s="568"/>
      <c r="QEN1" s="568"/>
      <c r="QEO1" s="568"/>
      <c r="QEP1" s="568"/>
      <c r="QEQ1" s="568"/>
      <c r="QER1" s="568"/>
      <c r="QES1" s="568"/>
      <c r="QET1" s="568"/>
      <c r="QEU1" s="568"/>
      <c r="QEV1" s="568"/>
      <c r="QEW1" s="568"/>
      <c r="QEX1" s="568"/>
      <c r="QEY1" s="568"/>
      <c r="QEZ1" s="568"/>
      <c r="QFA1" s="568"/>
      <c r="QFB1" s="568"/>
      <c r="QFC1" s="568"/>
      <c r="QFD1" s="568"/>
      <c r="QFE1" s="568"/>
      <c r="QFF1" s="568"/>
      <c r="QFG1" s="568"/>
      <c r="QFH1" s="568"/>
      <c r="QFI1" s="568"/>
      <c r="QFJ1" s="568"/>
      <c r="QFK1" s="568"/>
      <c r="QFL1" s="568"/>
      <c r="QFM1" s="568"/>
      <c r="QFN1" s="568"/>
      <c r="QFO1" s="568"/>
      <c r="QFP1" s="568"/>
      <c r="QFQ1" s="568"/>
      <c r="QFR1" s="568"/>
      <c r="QFS1" s="568"/>
      <c r="QFT1" s="568"/>
      <c r="QFU1" s="568"/>
      <c r="QFV1" s="568"/>
      <c r="QFW1" s="568"/>
      <c r="QFX1" s="568"/>
      <c r="QFY1" s="568"/>
      <c r="QFZ1" s="568"/>
      <c r="QGA1" s="568"/>
      <c r="QGB1" s="568"/>
      <c r="QGC1" s="568"/>
      <c r="QGD1" s="568"/>
      <c r="QGE1" s="568"/>
      <c r="QGF1" s="568"/>
      <c r="QGG1" s="568"/>
      <c r="QGH1" s="568"/>
      <c r="QGI1" s="568"/>
      <c r="QGJ1" s="568"/>
      <c r="QGK1" s="568"/>
      <c r="QGL1" s="568"/>
      <c r="QGM1" s="568"/>
      <c r="QGN1" s="568"/>
      <c r="QGO1" s="568"/>
      <c r="QGP1" s="568"/>
      <c r="QGQ1" s="568"/>
      <c r="QGR1" s="568"/>
      <c r="QGS1" s="568"/>
      <c r="QGT1" s="568"/>
      <c r="QGU1" s="568"/>
      <c r="QGV1" s="568"/>
      <c r="QGW1" s="568"/>
      <c r="QGX1" s="568"/>
      <c r="QGY1" s="568"/>
      <c r="QGZ1" s="568"/>
      <c r="QHA1" s="568"/>
      <c r="QHB1" s="568"/>
      <c r="QHC1" s="568"/>
      <c r="QHD1" s="568"/>
      <c r="QHE1" s="568"/>
      <c r="QHF1" s="568"/>
      <c r="QHG1" s="568"/>
      <c r="QHH1" s="568"/>
      <c r="QHI1" s="568"/>
      <c r="QHJ1" s="568"/>
      <c r="QHK1" s="568"/>
      <c r="QHL1" s="568"/>
      <c r="QHM1" s="568"/>
      <c r="QHN1" s="568"/>
      <c r="QHO1" s="568"/>
      <c r="QHP1" s="568"/>
      <c r="QHQ1" s="568"/>
      <c r="QHR1" s="568"/>
      <c r="QHS1" s="568"/>
      <c r="QHT1" s="568"/>
      <c r="QHU1" s="568"/>
      <c r="QHV1" s="568"/>
      <c r="QHW1" s="568"/>
      <c r="QHX1" s="568"/>
      <c r="QHY1" s="568"/>
      <c r="QHZ1" s="568"/>
      <c r="QIA1" s="568"/>
      <c r="QIB1" s="568"/>
      <c r="QIC1" s="568"/>
      <c r="QID1" s="568"/>
      <c r="QIE1" s="568"/>
      <c r="QIF1" s="568"/>
      <c r="QIG1" s="568"/>
      <c r="QIH1" s="568"/>
      <c r="QII1" s="568"/>
      <c r="QIJ1" s="568"/>
      <c r="QIK1" s="568"/>
      <c r="QIL1" s="568"/>
      <c r="QIM1" s="568"/>
      <c r="QIN1" s="568"/>
      <c r="QIO1" s="568"/>
      <c r="QIP1" s="568"/>
      <c r="QIQ1" s="568"/>
      <c r="QIR1" s="568"/>
      <c r="QIS1" s="568"/>
      <c r="QIT1" s="568"/>
      <c r="QIU1" s="568"/>
      <c r="QIV1" s="568"/>
      <c r="QIW1" s="568"/>
      <c r="QIX1" s="568"/>
      <c r="QIY1" s="568"/>
      <c r="QIZ1" s="568"/>
      <c r="QJA1" s="568"/>
      <c r="QJB1" s="568"/>
      <c r="QJC1" s="568"/>
      <c r="QJD1" s="568"/>
      <c r="QJE1" s="568"/>
      <c r="QJF1" s="568"/>
      <c r="QJG1" s="568"/>
      <c r="QJH1" s="568"/>
      <c r="QJI1" s="568"/>
      <c r="QJJ1" s="568"/>
      <c r="QJK1" s="568"/>
      <c r="QJL1" s="568"/>
      <c r="QJM1" s="568"/>
      <c r="QJN1" s="568"/>
      <c r="QJO1" s="568"/>
      <c r="QJP1" s="568"/>
      <c r="QJQ1" s="568"/>
      <c r="QJR1" s="568"/>
      <c r="QJS1" s="568"/>
      <c r="QJT1" s="568"/>
      <c r="QJU1" s="568"/>
      <c r="QJV1" s="568"/>
      <c r="QJW1" s="568"/>
      <c r="QJX1" s="568"/>
      <c r="QJY1" s="568"/>
      <c r="QJZ1" s="568"/>
      <c r="QKA1" s="568"/>
      <c r="QKB1" s="568"/>
      <c r="QKC1" s="568"/>
      <c r="QKD1" s="568"/>
      <c r="QKE1" s="568"/>
      <c r="QKF1" s="568"/>
      <c r="QKG1" s="568"/>
      <c r="QKH1" s="568"/>
      <c r="QKI1" s="568"/>
      <c r="QKJ1" s="568"/>
      <c r="QKK1" s="568"/>
      <c r="QKL1" s="568"/>
      <c r="QKM1" s="568"/>
      <c r="QKN1" s="568"/>
      <c r="QKO1" s="568"/>
      <c r="QKP1" s="568"/>
      <c r="QKQ1" s="568"/>
      <c r="QKR1" s="568"/>
      <c r="QKS1" s="568"/>
      <c r="QKT1" s="568"/>
      <c r="QKU1" s="568"/>
      <c r="QKV1" s="568"/>
      <c r="QKW1" s="568"/>
      <c r="QKX1" s="568"/>
      <c r="QKY1" s="568"/>
      <c r="QKZ1" s="568"/>
      <c r="QLA1" s="568"/>
      <c r="QLB1" s="568"/>
      <c r="QLC1" s="568"/>
      <c r="QLD1" s="568"/>
      <c r="QLE1" s="568"/>
      <c r="QLF1" s="568"/>
      <c r="QLG1" s="568"/>
      <c r="QLH1" s="568"/>
      <c r="QLI1" s="568"/>
      <c r="QLJ1" s="568"/>
      <c r="QLK1" s="568"/>
      <c r="QLL1" s="568"/>
      <c r="QLM1" s="568"/>
      <c r="QLN1" s="568"/>
      <c r="QLO1" s="568"/>
      <c r="QLP1" s="568"/>
      <c r="QLQ1" s="568"/>
      <c r="QLR1" s="568"/>
      <c r="QLS1" s="568"/>
      <c r="QLT1" s="568"/>
      <c r="QLU1" s="568"/>
      <c r="QLV1" s="568"/>
      <c r="QLW1" s="568"/>
      <c r="QLX1" s="568"/>
      <c r="QLY1" s="568"/>
      <c r="QLZ1" s="568"/>
      <c r="QMA1" s="568"/>
      <c r="QMB1" s="568"/>
      <c r="QMC1" s="568"/>
      <c r="QMD1" s="568"/>
      <c r="QME1" s="568"/>
      <c r="QMF1" s="568"/>
      <c r="QMG1" s="568"/>
      <c r="QMH1" s="568"/>
      <c r="QMI1" s="568"/>
      <c r="QMJ1" s="568"/>
      <c r="QMK1" s="568"/>
      <c r="QML1" s="568"/>
      <c r="QMM1" s="568"/>
      <c r="QMN1" s="568"/>
      <c r="QMO1" s="568"/>
      <c r="QMP1" s="568"/>
      <c r="QMQ1" s="568"/>
      <c r="QMR1" s="568"/>
      <c r="QMS1" s="568"/>
      <c r="QMT1" s="568"/>
      <c r="QMU1" s="568"/>
      <c r="QMV1" s="568"/>
      <c r="QMW1" s="568"/>
      <c r="QMX1" s="568"/>
      <c r="QMY1" s="568"/>
      <c r="QMZ1" s="568"/>
      <c r="QNA1" s="568"/>
      <c r="QNB1" s="568"/>
      <c r="QNC1" s="568"/>
      <c r="QND1" s="568"/>
      <c r="QNE1" s="568"/>
      <c r="QNF1" s="568"/>
      <c r="QNG1" s="568"/>
      <c r="QNH1" s="568"/>
      <c r="QNI1" s="568"/>
      <c r="QNJ1" s="568"/>
      <c r="QNK1" s="568"/>
      <c r="QNL1" s="568"/>
      <c r="QNM1" s="568"/>
      <c r="QNN1" s="568"/>
      <c r="QNO1" s="568"/>
      <c r="QNP1" s="568"/>
      <c r="QNQ1" s="568"/>
      <c r="QNR1" s="568"/>
      <c r="QNS1" s="568"/>
      <c r="QNT1" s="568"/>
      <c r="QNU1" s="568"/>
      <c r="QNV1" s="568"/>
      <c r="QNW1" s="568"/>
      <c r="QNX1" s="568"/>
      <c r="QNY1" s="568"/>
      <c r="QNZ1" s="568"/>
      <c r="QOA1" s="568"/>
      <c r="QOB1" s="568"/>
      <c r="QOC1" s="568"/>
      <c r="QOD1" s="568"/>
      <c r="QOE1" s="568"/>
      <c r="QOF1" s="568"/>
      <c r="QOG1" s="568"/>
      <c r="QOH1" s="568"/>
      <c r="QOI1" s="568"/>
      <c r="QOJ1" s="568"/>
      <c r="QOK1" s="568"/>
      <c r="QOL1" s="568"/>
      <c r="QOM1" s="568"/>
      <c r="QON1" s="568"/>
      <c r="QOO1" s="568"/>
      <c r="QOP1" s="568"/>
      <c r="QOQ1" s="568"/>
      <c r="QOR1" s="568"/>
      <c r="QOS1" s="568"/>
      <c r="QOT1" s="568"/>
      <c r="QOU1" s="568"/>
      <c r="QOV1" s="568"/>
      <c r="QOW1" s="568"/>
      <c r="QOX1" s="568"/>
      <c r="QOY1" s="568"/>
      <c r="QOZ1" s="568"/>
      <c r="QPA1" s="568"/>
      <c r="QPB1" s="568"/>
      <c r="QPC1" s="568"/>
      <c r="QPD1" s="568"/>
      <c r="QPE1" s="568"/>
      <c r="QPF1" s="568"/>
      <c r="QPG1" s="568"/>
      <c r="QPH1" s="568"/>
      <c r="QPI1" s="568"/>
      <c r="QPJ1" s="568"/>
      <c r="QPK1" s="568"/>
      <c r="QPL1" s="568"/>
      <c r="QPM1" s="568"/>
      <c r="QPN1" s="568"/>
      <c r="QPO1" s="568"/>
      <c r="QPP1" s="568"/>
      <c r="QPQ1" s="568"/>
      <c r="QPR1" s="568"/>
      <c r="QPS1" s="568"/>
      <c r="QPT1" s="568"/>
      <c r="QPU1" s="568"/>
      <c r="QPV1" s="568"/>
      <c r="QPW1" s="568"/>
      <c r="QPX1" s="568"/>
      <c r="QPY1" s="568"/>
      <c r="QPZ1" s="568"/>
      <c r="QQA1" s="568"/>
      <c r="QQB1" s="568"/>
      <c r="QQC1" s="568"/>
      <c r="QQD1" s="568"/>
      <c r="QQE1" s="568"/>
      <c r="QQF1" s="568"/>
      <c r="QQG1" s="568"/>
      <c r="QQH1" s="568"/>
      <c r="QQI1" s="568"/>
      <c r="QQJ1" s="568"/>
      <c r="QQK1" s="568"/>
      <c r="QQL1" s="568"/>
      <c r="QQM1" s="568"/>
      <c r="QQN1" s="568"/>
      <c r="QQO1" s="568"/>
      <c r="QQP1" s="568"/>
      <c r="QQQ1" s="568"/>
      <c r="QQR1" s="568"/>
      <c r="QQS1" s="568"/>
      <c r="QQT1" s="568"/>
      <c r="QQU1" s="568"/>
      <c r="QQV1" s="568"/>
      <c r="QQW1" s="568"/>
      <c r="QQX1" s="568"/>
      <c r="QQY1" s="568"/>
      <c r="QQZ1" s="568"/>
      <c r="QRA1" s="568"/>
      <c r="QRB1" s="568"/>
      <c r="QRC1" s="568"/>
      <c r="QRD1" s="568"/>
      <c r="QRE1" s="568"/>
      <c r="QRF1" s="568"/>
      <c r="QRG1" s="568"/>
      <c r="QRH1" s="568"/>
      <c r="QRI1" s="568"/>
      <c r="QRJ1" s="568"/>
      <c r="QRK1" s="568"/>
      <c r="QRL1" s="568"/>
      <c r="QRM1" s="568"/>
      <c r="QRN1" s="568"/>
      <c r="QRO1" s="568"/>
      <c r="QRP1" s="568"/>
      <c r="QRQ1" s="568"/>
      <c r="QRR1" s="568"/>
      <c r="QRS1" s="568"/>
      <c r="QRT1" s="568"/>
      <c r="QRU1" s="568"/>
      <c r="QRV1" s="568"/>
      <c r="QRW1" s="568"/>
      <c r="QRX1" s="568"/>
      <c r="QRY1" s="568"/>
      <c r="QRZ1" s="568"/>
      <c r="QSA1" s="568"/>
      <c r="QSB1" s="568"/>
      <c r="QSC1" s="568"/>
      <c r="QSD1" s="568"/>
      <c r="QSE1" s="568"/>
      <c r="QSF1" s="568"/>
      <c r="QSG1" s="568"/>
      <c r="QSH1" s="568"/>
      <c r="QSI1" s="568"/>
      <c r="QSJ1" s="568"/>
      <c r="QSK1" s="568"/>
      <c r="QSL1" s="568"/>
      <c r="QSM1" s="568"/>
      <c r="QSN1" s="568"/>
      <c r="QSO1" s="568"/>
      <c r="QSP1" s="568"/>
      <c r="QSQ1" s="568"/>
      <c r="QSR1" s="568"/>
      <c r="QSS1" s="568"/>
      <c r="QST1" s="568"/>
      <c r="QSU1" s="568"/>
      <c r="QSV1" s="568"/>
      <c r="QSW1" s="568"/>
      <c r="QSX1" s="568"/>
      <c r="QSY1" s="568"/>
      <c r="QSZ1" s="568"/>
      <c r="QTA1" s="568"/>
      <c r="QTB1" s="568"/>
      <c r="QTC1" s="568"/>
      <c r="QTD1" s="568"/>
      <c r="QTE1" s="568"/>
      <c r="QTF1" s="568"/>
      <c r="QTG1" s="568"/>
      <c r="QTH1" s="568"/>
      <c r="QTI1" s="568"/>
      <c r="QTJ1" s="568"/>
      <c r="QTK1" s="568"/>
      <c r="QTL1" s="568"/>
      <c r="QTM1" s="568"/>
      <c r="QTN1" s="568"/>
      <c r="QTO1" s="568"/>
      <c r="QTP1" s="568"/>
      <c r="QTQ1" s="568"/>
      <c r="QTR1" s="568"/>
      <c r="QTS1" s="568"/>
      <c r="QTT1" s="568"/>
      <c r="QTU1" s="568"/>
      <c r="QTV1" s="568"/>
      <c r="QTW1" s="568"/>
      <c r="QTX1" s="568"/>
      <c r="QTY1" s="568"/>
      <c r="QTZ1" s="568"/>
      <c r="QUA1" s="568"/>
      <c r="QUB1" s="568"/>
      <c r="QUC1" s="568"/>
      <c r="QUD1" s="568"/>
      <c r="QUE1" s="568"/>
      <c r="QUF1" s="568"/>
      <c r="QUG1" s="568"/>
      <c r="QUH1" s="568"/>
      <c r="QUI1" s="568"/>
      <c r="QUJ1" s="568"/>
      <c r="QUK1" s="568"/>
      <c r="QUL1" s="568"/>
      <c r="QUM1" s="568"/>
      <c r="QUN1" s="568"/>
      <c r="QUO1" s="568"/>
      <c r="QUP1" s="568"/>
      <c r="QUQ1" s="568"/>
      <c r="QUR1" s="568"/>
      <c r="QUS1" s="568"/>
      <c r="QUT1" s="568"/>
      <c r="QUU1" s="568"/>
      <c r="QUV1" s="568"/>
      <c r="QUW1" s="568"/>
      <c r="QUX1" s="568"/>
      <c r="QUY1" s="568"/>
      <c r="QUZ1" s="568"/>
      <c r="QVA1" s="568"/>
      <c r="QVB1" s="568"/>
      <c r="QVC1" s="568"/>
      <c r="QVD1" s="568"/>
      <c r="QVE1" s="568"/>
      <c r="QVF1" s="568"/>
      <c r="QVG1" s="568"/>
      <c r="QVH1" s="568"/>
      <c r="QVI1" s="568"/>
      <c r="QVJ1" s="568"/>
      <c r="QVK1" s="568"/>
      <c r="QVL1" s="568"/>
      <c r="QVM1" s="568"/>
      <c r="QVN1" s="568"/>
      <c r="QVO1" s="568"/>
      <c r="QVP1" s="568"/>
      <c r="QVQ1" s="568"/>
      <c r="QVR1" s="568"/>
      <c r="QVS1" s="568"/>
      <c r="QVT1" s="568"/>
      <c r="QVU1" s="568"/>
      <c r="QVV1" s="568"/>
      <c r="QVW1" s="568"/>
      <c r="QVX1" s="568"/>
      <c r="QVY1" s="568"/>
      <c r="QVZ1" s="568"/>
      <c r="QWA1" s="568"/>
      <c r="QWB1" s="568"/>
      <c r="QWC1" s="568"/>
      <c r="QWD1" s="568"/>
      <c r="QWE1" s="568"/>
      <c r="QWF1" s="568"/>
      <c r="QWG1" s="568"/>
      <c r="QWH1" s="568"/>
      <c r="QWI1" s="568"/>
      <c r="QWJ1" s="568"/>
      <c r="QWK1" s="568"/>
      <c r="QWL1" s="568"/>
      <c r="QWM1" s="568"/>
      <c r="QWN1" s="568"/>
      <c r="QWO1" s="568"/>
      <c r="QWP1" s="568"/>
      <c r="QWQ1" s="568"/>
      <c r="QWR1" s="568"/>
      <c r="QWS1" s="568"/>
      <c r="QWT1" s="568"/>
      <c r="QWU1" s="568"/>
      <c r="QWV1" s="568"/>
      <c r="QWW1" s="568"/>
      <c r="QWX1" s="568"/>
      <c r="QWY1" s="568"/>
      <c r="QWZ1" s="568"/>
      <c r="QXA1" s="568"/>
      <c r="QXB1" s="568"/>
      <c r="QXC1" s="568"/>
      <c r="QXD1" s="568"/>
      <c r="QXE1" s="568"/>
      <c r="QXF1" s="568"/>
      <c r="QXG1" s="568"/>
      <c r="QXH1" s="568"/>
      <c r="QXI1" s="568"/>
      <c r="QXJ1" s="568"/>
      <c r="QXK1" s="568"/>
      <c r="QXL1" s="568"/>
      <c r="QXM1" s="568"/>
      <c r="QXN1" s="568"/>
      <c r="QXO1" s="568"/>
      <c r="QXP1" s="568"/>
      <c r="QXQ1" s="568"/>
      <c r="QXR1" s="568"/>
      <c r="QXS1" s="568"/>
      <c r="QXT1" s="568"/>
      <c r="QXU1" s="568"/>
      <c r="QXV1" s="568"/>
      <c r="QXW1" s="568"/>
      <c r="QXX1" s="568"/>
      <c r="QXY1" s="568"/>
      <c r="QXZ1" s="568"/>
      <c r="QYA1" s="568"/>
      <c r="QYB1" s="568"/>
      <c r="QYC1" s="568"/>
      <c r="QYD1" s="568"/>
      <c r="QYE1" s="568"/>
      <c r="QYF1" s="568"/>
      <c r="QYG1" s="568"/>
      <c r="QYH1" s="568"/>
      <c r="QYI1" s="568"/>
      <c r="QYJ1" s="568"/>
      <c r="QYK1" s="568"/>
      <c r="QYL1" s="568"/>
      <c r="QYM1" s="568"/>
      <c r="QYN1" s="568"/>
      <c r="QYO1" s="568"/>
      <c r="QYP1" s="568"/>
      <c r="QYQ1" s="568"/>
      <c r="QYR1" s="568"/>
      <c r="QYS1" s="568"/>
      <c r="QYT1" s="568"/>
      <c r="QYU1" s="568"/>
      <c r="QYV1" s="568"/>
      <c r="QYW1" s="568"/>
      <c r="QYX1" s="568"/>
      <c r="QYY1" s="568"/>
      <c r="QYZ1" s="568"/>
      <c r="QZA1" s="568"/>
      <c r="QZB1" s="568"/>
      <c r="QZC1" s="568"/>
      <c r="QZD1" s="568"/>
      <c r="QZE1" s="568"/>
      <c r="QZF1" s="568"/>
      <c r="QZG1" s="568"/>
      <c r="QZH1" s="568"/>
      <c r="QZI1" s="568"/>
      <c r="QZJ1" s="568"/>
      <c r="QZK1" s="568"/>
      <c r="QZL1" s="568"/>
      <c r="QZM1" s="568"/>
      <c r="QZN1" s="568"/>
      <c r="QZO1" s="568"/>
      <c r="QZP1" s="568"/>
      <c r="QZQ1" s="568"/>
      <c r="QZR1" s="568"/>
      <c r="QZS1" s="568"/>
      <c r="QZT1" s="568"/>
      <c r="QZU1" s="568"/>
      <c r="QZV1" s="568"/>
      <c r="QZW1" s="568"/>
      <c r="QZX1" s="568"/>
      <c r="QZY1" s="568"/>
      <c r="QZZ1" s="568"/>
      <c r="RAA1" s="568"/>
      <c r="RAB1" s="568"/>
      <c r="RAC1" s="568"/>
      <c r="RAD1" s="568"/>
      <c r="RAE1" s="568"/>
      <c r="RAF1" s="568"/>
      <c r="RAG1" s="568"/>
      <c r="RAH1" s="568"/>
      <c r="RAI1" s="568"/>
      <c r="RAJ1" s="568"/>
      <c r="RAK1" s="568"/>
      <c r="RAL1" s="568"/>
      <c r="RAM1" s="568"/>
      <c r="RAN1" s="568"/>
      <c r="RAO1" s="568"/>
      <c r="RAP1" s="568"/>
      <c r="RAQ1" s="568"/>
      <c r="RAR1" s="568"/>
      <c r="RAS1" s="568"/>
      <c r="RAT1" s="568"/>
      <c r="RAU1" s="568"/>
      <c r="RAV1" s="568"/>
      <c r="RAW1" s="568"/>
      <c r="RAX1" s="568"/>
      <c r="RAY1" s="568"/>
      <c r="RAZ1" s="568"/>
      <c r="RBA1" s="568"/>
      <c r="RBB1" s="568"/>
      <c r="RBC1" s="568"/>
      <c r="RBD1" s="568"/>
      <c r="RBE1" s="568"/>
      <c r="RBF1" s="568"/>
      <c r="RBG1" s="568"/>
      <c r="RBH1" s="568"/>
      <c r="RBI1" s="568"/>
      <c r="RBJ1" s="568"/>
      <c r="RBK1" s="568"/>
      <c r="RBL1" s="568"/>
      <c r="RBM1" s="568"/>
      <c r="RBN1" s="568"/>
      <c r="RBO1" s="568"/>
      <c r="RBP1" s="568"/>
      <c r="RBQ1" s="568"/>
      <c r="RBR1" s="568"/>
      <c r="RBS1" s="568"/>
      <c r="RBT1" s="568"/>
      <c r="RBU1" s="568"/>
      <c r="RBV1" s="568"/>
      <c r="RBW1" s="568"/>
      <c r="RBX1" s="568"/>
      <c r="RBY1" s="568"/>
      <c r="RBZ1" s="568"/>
      <c r="RCA1" s="568"/>
      <c r="RCB1" s="568"/>
      <c r="RCC1" s="568"/>
      <c r="RCD1" s="568"/>
      <c r="RCE1" s="568"/>
      <c r="RCF1" s="568"/>
      <c r="RCG1" s="568"/>
      <c r="RCH1" s="568"/>
      <c r="RCI1" s="568"/>
      <c r="RCJ1" s="568"/>
      <c r="RCK1" s="568"/>
      <c r="RCL1" s="568"/>
      <c r="RCM1" s="568"/>
      <c r="RCN1" s="568"/>
      <c r="RCO1" s="568"/>
      <c r="RCP1" s="568"/>
      <c r="RCQ1" s="568"/>
      <c r="RCR1" s="568"/>
      <c r="RCS1" s="568"/>
      <c r="RCT1" s="568"/>
      <c r="RCU1" s="568"/>
      <c r="RCV1" s="568"/>
      <c r="RCW1" s="568"/>
      <c r="RCX1" s="568"/>
      <c r="RCY1" s="568"/>
      <c r="RCZ1" s="568"/>
      <c r="RDA1" s="568"/>
      <c r="RDB1" s="568"/>
      <c r="RDC1" s="568"/>
      <c r="RDD1" s="568"/>
      <c r="RDE1" s="568"/>
      <c r="RDF1" s="568"/>
      <c r="RDG1" s="568"/>
      <c r="RDH1" s="568"/>
      <c r="RDI1" s="568"/>
      <c r="RDJ1" s="568"/>
      <c r="RDK1" s="568"/>
      <c r="RDL1" s="568"/>
      <c r="RDM1" s="568"/>
      <c r="RDN1" s="568"/>
      <c r="RDO1" s="568"/>
      <c r="RDP1" s="568"/>
      <c r="RDQ1" s="568"/>
      <c r="RDR1" s="568"/>
      <c r="RDS1" s="568"/>
      <c r="RDT1" s="568"/>
      <c r="RDU1" s="568"/>
      <c r="RDV1" s="568"/>
      <c r="RDW1" s="568"/>
      <c r="RDX1" s="568"/>
      <c r="RDY1" s="568"/>
      <c r="RDZ1" s="568"/>
      <c r="REA1" s="568"/>
      <c r="REB1" s="568"/>
      <c r="REC1" s="568"/>
      <c r="RED1" s="568"/>
      <c r="REE1" s="568"/>
      <c r="REF1" s="568"/>
      <c r="REG1" s="568"/>
      <c r="REH1" s="568"/>
      <c r="REI1" s="568"/>
      <c r="REJ1" s="568"/>
      <c r="REK1" s="568"/>
      <c r="REL1" s="568"/>
      <c r="REM1" s="568"/>
      <c r="REN1" s="568"/>
      <c r="REO1" s="568"/>
      <c r="REP1" s="568"/>
      <c r="REQ1" s="568"/>
      <c r="RER1" s="568"/>
      <c r="RES1" s="568"/>
      <c r="RET1" s="568"/>
      <c r="REU1" s="568"/>
      <c r="REV1" s="568"/>
      <c r="REW1" s="568"/>
      <c r="REX1" s="568"/>
      <c r="REY1" s="568"/>
      <c r="REZ1" s="568"/>
      <c r="RFA1" s="568"/>
      <c r="RFB1" s="568"/>
      <c r="RFC1" s="568"/>
      <c r="RFD1" s="568"/>
      <c r="RFE1" s="568"/>
      <c r="RFF1" s="568"/>
      <c r="RFG1" s="568"/>
      <c r="RFH1" s="568"/>
      <c r="RFI1" s="568"/>
      <c r="RFJ1" s="568"/>
      <c r="RFK1" s="568"/>
      <c r="RFL1" s="568"/>
      <c r="RFM1" s="568"/>
      <c r="RFN1" s="568"/>
      <c r="RFO1" s="568"/>
      <c r="RFP1" s="568"/>
      <c r="RFQ1" s="568"/>
      <c r="RFR1" s="568"/>
      <c r="RFS1" s="568"/>
      <c r="RFT1" s="568"/>
      <c r="RFU1" s="568"/>
      <c r="RFV1" s="568"/>
      <c r="RFW1" s="568"/>
      <c r="RFX1" s="568"/>
      <c r="RFY1" s="568"/>
      <c r="RFZ1" s="568"/>
      <c r="RGA1" s="568"/>
      <c r="RGB1" s="568"/>
      <c r="RGC1" s="568"/>
      <c r="RGD1" s="568"/>
      <c r="RGE1" s="568"/>
      <c r="RGF1" s="568"/>
      <c r="RGG1" s="568"/>
      <c r="RGH1" s="568"/>
      <c r="RGI1" s="568"/>
      <c r="RGJ1" s="568"/>
      <c r="RGK1" s="568"/>
      <c r="RGL1" s="568"/>
      <c r="RGM1" s="568"/>
      <c r="RGN1" s="568"/>
      <c r="RGO1" s="568"/>
      <c r="RGP1" s="568"/>
      <c r="RGQ1" s="568"/>
      <c r="RGR1" s="568"/>
      <c r="RGS1" s="568"/>
      <c r="RGT1" s="568"/>
      <c r="RGU1" s="568"/>
      <c r="RGV1" s="568"/>
      <c r="RGW1" s="568"/>
      <c r="RGX1" s="568"/>
      <c r="RGY1" s="568"/>
      <c r="RGZ1" s="568"/>
      <c r="RHA1" s="568"/>
      <c r="RHB1" s="568"/>
      <c r="RHC1" s="568"/>
      <c r="RHD1" s="568"/>
      <c r="RHE1" s="568"/>
      <c r="RHF1" s="568"/>
      <c r="RHG1" s="568"/>
      <c r="RHH1" s="568"/>
      <c r="RHI1" s="568"/>
      <c r="RHJ1" s="568"/>
      <c r="RHK1" s="568"/>
      <c r="RHL1" s="568"/>
      <c r="RHM1" s="568"/>
      <c r="RHN1" s="568"/>
      <c r="RHO1" s="568"/>
      <c r="RHP1" s="568"/>
      <c r="RHQ1" s="568"/>
      <c r="RHR1" s="568"/>
      <c r="RHS1" s="568"/>
      <c r="RHT1" s="568"/>
      <c r="RHU1" s="568"/>
      <c r="RHV1" s="568"/>
      <c r="RHW1" s="568"/>
      <c r="RHX1" s="568"/>
      <c r="RHY1" s="568"/>
      <c r="RHZ1" s="568"/>
      <c r="RIA1" s="568"/>
      <c r="RIB1" s="568"/>
      <c r="RIC1" s="568"/>
      <c r="RID1" s="568"/>
      <c r="RIE1" s="568"/>
      <c r="RIF1" s="568"/>
      <c r="RIG1" s="568"/>
      <c r="RIH1" s="568"/>
      <c r="RII1" s="568"/>
      <c r="RIJ1" s="568"/>
      <c r="RIK1" s="568"/>
      <c r="RIL1" s="568"/>
      <c r="RIM1" s="568"/>
      <c r="RIN1" s="568"/>
      <c r="RIO1" s="568"/>
      <c r="RIP1" s="568"/>
      <c r="RIQ1" s="568"/>
      <c r="RIR1" s="568"/>
      <c r="RIS1" s="568"/>
      <c r="RIT1" s="568"/>
      <c r="RIU1" s="568"/>
      <c r="RIV1" s="568"/>
      <c r="RIW1" s="568"/>
      <c r="RIX1" s="568"/>
      <c r="RIY1" s="568"/>
      <c r="RIZ1" s="568"/>
      <c r="RJA1" s="568"/>
      <c r="RJB1" s="568"/>
      <c r="RJC1" s="568"/>
      <c r="RJD1" s="568"/>
      <c r="RJE1" s="568"/>
      <c r="RJF1" s="568"/>
      <c r="RJG1" s="568"/>
      <c r="RJH1" s="568"/>
      <c r="RJI1" s="568"/>
      <c r="RJJ1" s="568"/>
      <c r="RJK1" s="568"/>
      <c r="RJL1" s="568"/>
      <c r="RJM1" s="568"/>
      <c r="RJN1" s="568"/>
      <c r="RJO1" s="568"/>
      <c r="RJP1" s="568"/>
      <c r="RJQ1" s="568"/>
      <c r="RJR1" s="568"/>
      <c r="RJS1" s="568"/>
      <c r="RJT1" s="568"/>
      <c r="RJU1" s="568"/>
      <c r="RJV1" s="568"/>
      <c r="RJW1" s="568"/>
      <c r="RJX1" s="568"/>
      <c r="RJY1" s="568"/>
      <c r="RJZ1" s="568"/>
      <c r="RKA1" s="568"/>
      <c r="RKB1" s="568"/>
      <c r="RKC1" s="568"/>
      <c r="RKD1" s="568"/>
      <c r="RKE1" s="568"/>
      <c r="RKF1" s="568"/>
      <c r="RKG1" s="568"/>
      <c r="RKH1" s="568"/>
      <c r="RKI1" s="568"/>
      <c r="RKJ1" s="568"/>
      <c r="RKK1" s="568"/>
      <c r="RKL1" s="568"/>
      <c r="RKM1" s="568"/>
      <c r="RKN1" s="568"/>
      <c r="RKO1" s="568"/>
      <c r="RKP1" s="568"/>
      <c r="RKQ1" s="568"/>
      <c r="RKR1" s="568"/>
      <c r="RKS1" s="568"/>
      <c r="RKT1" s="568"/>
      <c r="RKU1" s="568"/>
      <c r="RKV1" s="568"/>
      <c r="RKW1" s="568"/>
      <c r="RKX1" s="568"/>
      <c r="RKY1" s="568"/>
      <c r="RKZ1" s="568"/>
      <c r="RLA1" s="568"/>
      <c r="RLB1" s="568"/>
      <c r="RLC1" s="568"/>
      <c r="RLD1" s="568"/>
      <c r="RLE1" s="568"/>
      <c r="RLF1" s="568"/>
      <c r="RLG1" s="568"/>
      <c r="RLH1" s="568"/>
      <c r="RLI1" s="568"/>
      <c r="RLJ1" s="568"/>
      <c r="RLK1" s="568"/>
      <c r="RLL1" s="568"/>
      <c r="RLM1" s="568"/>
      <c r="RLN1" s="568"/>
      <c r="RLO1" s="568"/>
      <c r="RLP1" s="568"/>
      <c r="RLQ1" s="568"/>
      <c r="RLR1" s="568"/>
      <c r="RLS1" s="568"/>
      <c r="RLT1" s="568"/>
      <c r="RLU1" s="568"/>
      <c r="RLV1" s="568"/>
      <c r="RLW1" s="568"/>
      <c r="RLX1" s="568"/>
      <c r="RLY1" s="568"/>
      <c r="RLZ1" s="568"/>
      <c r="RMA1" s="568"/>
      <c r="RMB1" s="568"/>
      <c r="RMC1" s="568"/>
      <c r="RMD1" s="568"/>
      <c r="RME1" s="568"/>
      <c r="RMF1" s="568"/>
      <c r="RMG1" s="568"/>
      <c r="RMH1" s="568"/>
      <c r="RMI1" s="568"/>
      <c r="RMJ1" s="568"/>
      <c r="RMK1" s="568"/>
      <c r="RML1" s="568"/>
      <c r="RMM1" s="568"/>
      <c r="RMN1" s="568"/>
      <c r="RMO1" s="568"/>
      <c r="RMP1" s="568"/>
      <c r="RMQ1" s="568"/>
      <c r="RMR1" s="568"/>
      <c r="RMS1" s="568"/>
      <c r="RMT1" s="568"/>
      <c r="RMU1" s="568"/>
      <c r="RMV1" s="568"/>
      <c r="RMW1" s="568"/>
      <c r="RMX1" s="568"/>
      <c r="RMY1" s="568"/>
      <c r="RMZ1" s="568"/>
      <c r="RNA1" s="568"/>
      <c r="RNB1" s="568"/>
      <c r="RNC1" s="568"/>
      <c r="RND1" s="568"/>
      <c r="RNE1" s="568"/>
      <c r="RNF1" s="568"/>
      <c r="RNG1" s="568"/>
      <c r="RNH1" s="568"/>
      <c r="RNI1" s="568"/>
      <c r="RNJ1" s="568"/>
      <c r="RNK1" s="568"/>
      <c r="RNL1" s="568"/>
      <c r="RNM1" s="568"/>
      <c r="RNN1" s="568"/>
      <c r="RNO1" s="568"/>
      <c r="RNP1" s="568"/>
      <c r="RNQ1" s="568"/>
      <c r="RNR1" s="568"/>
      <c r="RNS1" s="568"/>
      <c r="RNT1" s="568"/>
      <c r="RNU1" s="568"/>
      <c r="RNV1" s="568"/>
      <c r="RNW1" s="568"/>
      <c r="RNX1" s="568"/>
      <c r="RNY1" s="568"/>
      <c r="RNZ1" s="568"/>
      <c r="ROA1" s="568"/>
      <c r="ROB1" s="568"/>
      <c r="ROC1" s="568"/>
      <c r="ROD1" s="568"/>
      <c r="ROE1" s="568"/>
      <c r="ROF1" s="568"/>
      <c r="ROG1" s="568"/>
      <c r="ROH1" s="568"/>
      <c r="ROI1" s="568"/>
      <c r="ROJ1" s="568"/>
      <c r="ROK1" s="568"/>
      <c r="ROL1" s="568"/>
      <c r="ROM1" s="568"/>
      <c r="RON1" s="568"/>
      <c r="ROO1" s="568"/>
      <c r="ROP1" s="568"/>
      <c r="ROQ1" s="568"/>
      <c r="ROR1" s="568"/>
      <c r="ROS1" s="568"/>
      <c r="ROT1" s="568"/>
      <c r="ROU1" s="568"/>
      <c r="ROV1" s="568"/>
      <c r="ROW1" s="568"/>
      <c r="ROX1" s="568"/>
      <c r="ROY1" s="568"/>
      <c r="ROZ1" s="568"/>
      <c r="RPA1" s="568"/>
      <c r="RPB1" s="568"/>
      <c r="RPC1" s="568"/>
      <c r="RPD1" s="568"/>
      <c r="RPE1" s="568"/>
      <c r="RPF1" s="568"/>
      <c r="RPG1" s="568"/>
      <c r="RPH1" s="568"/>
      <c r="RPI1" s="568"/>
      <c r="RPJ1" s="568"/>
      <c r="RPK1" s="568"/>
      <c r="RPL1" s="568"/>
      <c r="RPM1" s="568"/>
      <c r="RPN1" s="568"/>
      <c r="RPO1" s="568"/>
      <c r="RPP1" s="568"/>
      <c r="RPQ1" s="568"/>
      <c r="RPR1" s="568"/>
      <c r="RPS1" s="568"/>
      <c r="RPT1" s="568"/>
      <c r="RPU1" s="568"/>
      <c r="RPV1" s="568"/>
      <c r="RPW1" s="568"/>
      <c r="RPX1" s="568"/>
      <c r="RPY1" s="568"/>
      <c r="RPZ1" s="568"/>
      <c r="RQA1" s="568"/>
      <c r="RQB1" s="568"/>
      <c r="RQC1" s="568"/>
      <c r="RQD1" s="568"/>
      <c r="RQE1" s="568"/>
      <c r="RQF1" s="568"/>
      <c r="RQG1" s="568"/>
      <c r="RQH1" s="568"/>
      <c r="RQI1" s="568"/>
      <c r="RQJ1" s="568"/>
      <c r="RQK1" s="568"/>
      <c r="RQL1" s="568"/>
      <c r="RQM1" s="568"/>
      <c r="RQN1" s="568"/>
      <c r="RQO1" s="568"/>
      <c r="RQP1" s="568"/>
      <c r="RQQ1" s="568"/>
      <c r="RQR1" s="568"/>
      <c r="RQS1" s="568"/>
      <c r="RQT1" s="568"/>
      <c r="RQU1" s="568"/>
      <c r="RQV1" s="568"/>
      <c r="RQW1" s="568"/>
      <c r="RQX1" s="568"/>
      <c r="RQY1" s="568"/>
      <c r="RQZ1" s="568"/>
      <c r="RRA1" s="568"/>
      <c r="RRB1" s="568"/>
      <c r="RRC1" s="568"/>
      <c r="RRD1" s="568"/>
      <c r="RRE1" s="568"/>
      <c r="RRF1" s="568"/>
      <c r="RRG1" s="568"/>
      <c r="RRH1" s="568"/>
      <c r="RRI1" s="568"/>
      <c r="RRJ1" s="568"/>
      <c r="RRK1" s="568"/>
      <c r="RRL1" s="568"/>
      <c r="RRM1" s="568"/>
      <c r="RRN1" s="568"/>
      <c r="RRO1" s="568"/>
      <c r="RRP1" s="568"/>
      <c r="RRQ1" s="568"/>
      <c r="RRR1" s="568"/>
      <c r="RRS1" s="568"/>
      <c r="RRT1" s="568"/>
      <c r="RRU1" s="568"/>
      <c r="RRV1" s="568"/>
      <c r="RRW1" s="568"/>
      <c r="RRX1" s="568"/>
      <c r="RRY1" s="568"/>
      <c r="RRZ1" s="568"/>
      <c r="RSA1" s="568"/>
      <c r="RSB1" s="568"/>
      <c r="RSC1" s="568"/>
      <c r="RSD1" s="568"/>
      <c r="RSE1" s="568"/>
      <c r="RSF1" s="568"/>
      <c r="RSG1" s="568"/>
      <c r="RSH1" s="568"/>
      <c r="RSI1" s="568"/>
      <c r="RSJ1" s="568"/>
      <c r="RSK1" s="568"/>
      <c r="RSL1" s="568"/>
      <c r="RSM1" s="568"/>
      <c r="RSN1" s="568"/>
      <c r="RSO1" s="568"/>
      <c r="RSP1" s="568"/>
      <c r="RSQ1" s="568"/>
      <c r="RSR1" s="568"/>
      <c r="RSS1" s="568"/>
      <c r="RST1" s="568"/>
      <c r="RSU1" s="568"/>
      <c r="RSV1" s="568"/>
      <c r="RSW1" s="568"/>
      <c r="RSX1" s="568"/>
      <c r="RSY1" s="568"/>
      <c r="RSZ1" s="568"/>
      <c r="RTA1" s="568"/>
      <c r="RTB1" s="568"/>
      <c r="RTC1" s="568"/>
      <c r="RTD1" s="568"/>
      <c r="RTE1" s="568"/>
      <c r="RTF1" s="568"/>
      <c r="RTG1" s="568"/>
      <c r="RTH1" s="568"/>
      <c r="RTI1" s="568"/>
      <c r="RTJ1" s="568"/>
      <c r="RTK1" s="568"/>
      <c r="RTL1" s="568"/>
      <c r="RTM1" s="568"/>
      <c r="RTN1" s="568"/>
      <c r="RTO1" s="568"/>
      <c r="RTP1" s="568"/>
      <c r="RTQ1" s="568"/>
      <c r="RTR1" s="568"/>
      <c r="RTS1" s="568"/>
      <c r="RTT1" s="568"/>
      <c r="RTU1" s="568"/>
      <c r="RTV1" s="568"/>
      <c r="RTW1" s="568"/>
      <c r="RTX1" s="568"/>
      <c r="RTY1" s="568"/>
      <c r="RTZ1" s="568"/>
      <c r="RUA1" s="568"/>
      <c r="RUB1" s="568"/>
      <c r="RUC1" s="568"/>
      <c r="RUD1" s="568"/>
      <c r="RUE1" s="568"/>
      <c r="RUF1" s="568"/>
      <c r="RUG1" s="568"/>
      <c r="RUH1" s="568"/>
      <c r="RUI1" s="568"/>
      <c r="RUJ1" s="568"/>
      <c r="RUK1" s="568"/>
      <c r="RUL1" s="568"/>
      <c r="RUM1" s="568"/>
      <c r="RUN1" s="568"/>
      <c r="RUO1" s="568"/>
      <c r="RUP1" s="568"/>
      <c r="RUQ1" s="568"/>
      <c r="RUR1" s="568"/>
      <c r="RUS1" s="568"/>
      <c r="RUT1" s="568"/>
      <c r="RUU1" s="568"/>
      <c r="RUV1" s="568"/>
      <c r="RUW1" s="568"/>
      <c r="RUX1" s="568"/>
      <c r="RUY1" s="568"/>
      <c r="RUZ1" s="568"/>
      <c r="RVA1" s="568"/>
      <c r="RVB1" s="568"/>
      <c r="RVC1" s="568"/>
      <c r="RVD1" s="568"/>
      <c r="RVE1" s="568"/>
      <c r="RVF1" s="568"/>
      <c r="RVG1" s="568"/>
      <c r="RVH1" s="568"/>
      <c r="RVI1" s="568"/>
      <c r="RVJ1" s="568"/>
      <c r="RVK1" s="568"/>
      <c r="RVL1" s="568"/>
      <c r="RVM1" s="568"/>
      <c r="RVN1" s="568"/>
      <c r="RVO1" s="568"/>
      <c r="RVP1" s="568"/>
      <c r="RVQ1" s="568"/>
      <c r="RVR1" s="568"/>
      <c r="RVS1" s="568"/>
      <c r="RVT1" s="568"/>
      <c r="RVU1" s="568"/>
      <c r="RVV1" s="568"/>
      <c r="RVW1" s="568"/>
      <c r="RVX1" s="568"/>
      <c r="RVY1" s="568"/>
      <c r="RVZ1" s="568"/>
      <c r="RWA1" s="568"/>
      <c r="RWB1" s="568"/>
      <c r="RWC1" s="568"/>
      <c r="RWD1" s="568"/>
      <c r="RWE1" s="568"/>
      <c r="RWF1" s="568"/>
      <c r="RWG1" s="568"/>
      <c r="RWH1" s="568"/>
      <c r="RWI1" s="568"/>
      <c r="RWJ1" s="568"/>
      <c r="RWK1" s="568"/>
      <c r="RWL1" s="568"/>
      <c r="RWM1" s="568"/>
      <c r="RWN1" s="568"/>
      <c r="RWO1" s="568"/>
      <c r="RWP1" s="568"/>
      <c r="RWQ1" s="568"/>
      <c r="RWR1" s="568"/>
      <c r="RWS1" s="568"/>
      <c r="RWT1" s="568"/>
      <c r="RWU1" s="568"/>
      <c r="RWV1" s="568"/>
      <c r="RWW1" s="568"/>
      <c r="RWX1" s="568"/>
      <c r="RWY1" s="568"/>
      <c r="RWZ1" s="568"/>
      <c r="RXA1" s="568"/>
      <c r="RXB1" s="568"/>
      <c r="RXC1" s="568"/>
      <c r="RXD1" s="568"/>
      <c r="RXE1" s="568"/>
      <c r="RXF1" s="568"/>
      <c r="RXG1" s="568"/>
      <c r="RXH1" s="568"/>
      <c r="RXI1" s="568"/>
      <c r="RXJ1" s="568"/>
      <c r="RXK1" s="568"/>
      <c r="RXL1" s="568"/>
      <c r="RXM1" s="568"/>
      <c r="RXN1" s="568"/>
      <c r="RXO1" s="568"/>
      <c r="RXP1" s="568"/>
      <c r="RXQ1" s="568"/>
      <c r="RXR1" s="568"/>
      <c r="RXS1" s="568"/>
      <c r="RXT1" s="568"/>
      <c r="RXU1" s="568"/>
      <c r="RXV1" s="568"/>
      <c r="RXW1" s="568"/>
      <c r="RXX1" s="568"/>
      <c r="RXY1" s="568"/>
      <c r="RXZ1" s="568"/>
      <c r="RYA1" s="568"/>
      <c r="RYB1" s="568"/>
      <c r="RYC1" s="568"/>
      <c r="RYD1" s="568"/>
      <c r="RYE1" s="568"/>
      <c r="RYF1" s="568"/>
      <c r="RYG1" s="568"/>
      <c r="RYH1" s="568"/>
      <c r="RYI1" s="568"/>
      <c r="RYJ1" s="568"/>
      <c r="RYK1" s="568"/>
      <c r="RYL1" s="568"/>
      <c r="RYM1" s="568"/>
      <c r="RYN1" s="568"/>
      <c r="RYO1" s="568"/>
      <c r="RYP1" s="568"/>
      <c r="RYQ1" s="568"/>
      <c r="RYR1" s="568"/>
      <c r="RYS1" s="568"/>
      <c r="RYT1" s="568"/>
      <c r="RYU1" s="568"/>
      <c r="RYV1" s="568"/>
      <c r="RYW1" s="568"/>
      <c r="RYX1" s="568"/>
      <c r="RYY1" s="568"/>
      <c r="RYZ1" s="568"/>
      <c r="RZA1" s="568"/>
      <c r="RZB1" s="568"/>
      <c r="RZC1" s="568"/>
      <c r="RZD1" s="568"/>
      <c r="RZE1" s="568"/>
      <c r="RZF1" s="568"/>
      <c r="RZG1" s="568"/>
      <c r="RZH1" s="568"/>
      <c r="RZI1" s="568"/>
      <c r="RZJ1" s="568"/>
      <c r="RZK1" s="568"/>
      <c r="RZL1" s="568"/>
      <c r="RZM1" s="568"/>
      <c r="RZN1" s="568"/>
      <c r="RZO1" s="568"/>
      <c r="RZP1" s="568"/>
      <c r="RZQ1" s="568"/>
      <c r="RZR1" s="568"/>
      <c r="RZS1" s="568"/>
      <c r="RZT1" s="568"/>
      <c r="RZU1" s="568"/>
      <c r="RZV1" s="568"/>
      <c r="RZW1" s="568"/>
      <c r="RZX1" s="568"/>
      <c r="RZY1" s="568"/>
      <c r="RZZ1" s="568"/>
      <c r="SAA1" s="568"/>
      <c r="SAB1" s="568"/>
      <c r="SAC1" s="568"/>
      <c r="SAD1" s="568"/>
      <c r="SAE1" s="568"/>
      <c r="SAF1" s="568"/>
      <c r="SAG1" s="568"/>
      <c r="SAH1" s="568"/>
      <c r="SAI1" s="568"/>
      <c r="SAJ1" s="568"/>
      <c r="SAK1" s="568"/>
      <c r="SAL1" s="568"/>
      <c r="SAM1" s="568"/>
      <c r="SAN1" s="568"/>
      <c r="SAO1" s="568"/>
      <c r="SAP1" s="568"/>
      <c r="SAQ1" s="568"/>
      <c r="SAR1" s="568"/>
      <c r="SAS1" s="568"/>
      <c r="SAT1" s="568"/>
      <c r="SAU1" s="568"/>
      <c r="SAV1" s="568"/>
      <c r="SAW1" s="568"/>
      <c r="SAX1" s="568"/>
      <c r="SAY1" s="568"/>
      <c r="SAZ1" s="568"/>
      <c r="SBA1" s="568"/>
      <c r="SBB1" s="568"/>
      <c r="SBC1" s="568"/>
      <c r="SBD1" s="568"/>
      <c r="SBE1" s="568"/>
      <c r="SBF1" s="568"/>
      <c r="SBG1" s="568"/>
      <c r="SBH1" s="568"/>
      <c r="SBI1" s="568"/>
      <c r="SBJ1" s="568"/>
      <c r="SBK1" s="568"/>
      <c r="SBL1" s="568"/>
      <c r="SBM1" s="568"/>
      <c r="SBN1" s="568"/>
      <c r="SBO1" s="568"/>
      <c r="SBP1" s="568"/>
      <c r="SBQ1" s="568"/>
      <c r="SBR1" s="568"/>
      <c r="SBS1" s="568"/>
      <c r="SBT1" s="568"/>
      <c r="SBU1" s="568"/>
      <c r="SBV1" s="568"/>
      <c r="SBW1" s="568"/>
      <c r="SBX1" s="568"/>
      <c r="SBY1" s="568"/>
      <c r="SBZ1" s="568"/>
      <c r="SCA1" s="568"/>
      <c r="SCB1" s="568"/>
      <c r="SCC1" s="568"/>
      <c r="SCD1" s="568"/>
      <c r="SCE1" s="568"/>
      <c r="SCF1" s="568"/>
      <c r="SCG1" s="568"/>
      <c r="SCH1" s="568"/>
      <c r="SCI1" s="568"/>
      <c r="SCJ1" s="568"/>
      <c r="SCK1" s="568"/>
      <c r="SCL1" s="568"/>
      <c r="SCM1" s="568"/>
      <c r="SCN1" s="568"/>
      <c r="SCO1" s="568"/>
      <c r="SCP1" s="568"/>
      <c r="SCQ1" s="568"/>
      <c r="SCR1" s="568"/>
      <c r="SCS1" s="568"/>
      <c r="SCT1" s="568"/>
      <c r="SCU1" s="568"/>
      <c r="SCV1" s="568"/>
      <c r="SCW1" s="568"/>
      <c r="SCX1" s="568"/>
      <c r="SCY1" s="568"/>
      <c r="SCZ1" s="568"/>
      <c r="SDA1" s="568"/>
      <c r="SDB1" s="568"/>
      <c r="SDC1" s="568"/>
      <c r="SDD1" s="568"/>
      <c r="SDE1" s="568"/>
      <c r="SDF1" s="568"/>
      <c r="SDG1" s="568"/>
      <c r="SDH1" s="568"/>
      <c r="SDI1" s="568"/>
      <c r="SDJ1" s="568"/>
      <c r="SDK1" s="568"/>
      <c r="SDL1" s="568"/>
      <c r="SDM1" s="568"/>
      <c r="SDN1" s="568"/>
      <c r="SDO1" s="568"/>
      <c r="SDP1" s="568"/>
      <c r="SDQ1" s="568"/>
      <c r="SDR1" s="568"/>
      <c r="SDS1" s="568"/>
      <c r="SDT1" s="568"/>
      <c r="SDU1" s="568"/>
      <c r="SDV1" s="568"/>
      <c r="SDW1" s="568"/>
      <c r="SDX1" s="568"/>
      <c r="SDY1" s="568"/>
      <c r="SDZ1" s="568"/>
      <c r="SEA1" s="568"/>
      <c r="SEB1" s="568"/>
      <c r="SEC1" s="568"/>
      <c r="SED1" s="568"/>
      <c r="SEE1" s="568"/>
      <c r="SEF1" s="568"/>
      <c r="SEG1" s="568"/>
      <c r="SEH1" s="568"/>
      <c r="SEI1" s="568"/>
      <c r="SEJ1" s="568"/>
      <c r="SEK1" s="568"/>
      <c r="SEL1" s="568"/>
      <c r="SEM1" s="568"/>
      <c r="SEN1" s="568"/>
      <c r="SEO1" s="568"/>
      <c r="SEP1" s="568"/>
      <c r="SEQ1" s="568"/>
      <c r="SER1" s="568"/>
      <c r="SES1" s="568"/>
      <c r="SET1" s="568"/>
      <c r="SEU1" s="568"/>
      <c r="SEV1" s="568"/>
      <c r="SEW1" s="568"/>
      <c r="SEX1" s="568"/>
      <c r="SEY1" s="568"/>
      <c r="SEZ1" s="568"/>
      <c r="SFA1" s="568"/>
      <c r="SFB1" s="568"/>
      <c r="SFC1" s="568"/>
      <c r="SFD1" s="568"/>
      <c r="SFE1" s="568"/>
      <c r="SFF1" s="568"/>
      <c r="SFG1" s="568"/>
      <c r="SFH1" s="568"/>
      <c r="SFI1" s="568"/>
      <c r="SFJ1" s="568"/>
      <c r="SFK1" s="568"/>
      <c r="SFL1" s="568"/>
      <c r="SFM1" s="568"/>
      <c r="SFN1" s="568"/>
      <c r="SFO1" s="568"/>
      <c r="SFP1" s="568"/>
      <c r="SFQ1" s="568"/>
      <c r="SFR1" s="568"/>
      <c r="SFS1" s="568"/>
      <c r="SFT1" s="568"/>
      <c r="SFU1" s="568"/>
      <c r="SFV1" s="568"/>
      <c r="SFW1" s="568"/>
      <c r="SFX1" s="568"/>
      <c r="SFY1" s="568"/>
      <c r="SFZ1" s="568"/>
      <c r="SGA1" s="568"/>
      <c r="SGB1" s="568"/>
      <c r="SGC1" s="568"/>
      <c r="SGD1" s="568"/>
      <c r="SGE1" s="568"/>
      <c r="SGF1" s="568"/>
      <c r="SGG1" s="568"/>
      <c r="SGH1" s="568"/>
      <c r="SGI1" s="568"/>
      <c r="SGJ1" s="568"/>
      <c r="SGK1" s="568"/>
      <c r="SGL1" s="568"/>
      <c r="SGM1" s="568"/>
      <c r="SGN1" s="568"/>
      <c r="SGO1" s="568"/>
      <c r="SGP1" s="568"/>
      <c r="SGQ1" s="568"/>
      <c r="SGR1" s="568"/>
      <c r="SGS1" s="568"/>
      <c r="SGT1" s="568"/>
      <c r="SGU1" s="568"/>
      <c r="SGV1" s="568"/>
      <c r="SGW1" s="568"/>
      <c r="SGX1" s="568"/>
      <c r="SGY1" s="568"/>
      <c r="SGZ1" s="568"/>
      <c r="SHA1" s="568"/>
      <c r="SHB1" s="568"/>
      <c r="SHC1" s="568"/>
      <c r="SHD1" s="568"/>
      <c r="SHE1" s="568"/>
      <c r="SHF1" s="568"/>
      <c r="SHG1" s="568"/>
      <c r="SHH1" s="568"/>
      <c r="SHI1" s="568"/>
      <c r="SHJ1" s="568"/>
      <c r="SHK1" s="568"/>
      <c r="SHL1" s="568"/>
      <c r="SHM1" s="568"/>
      <c r="SHN1" s="568"/>
      <c r="SHO1" s="568"/>
      <c r="SHP1" s="568"/>
      <c r="SHQ1" s="568"/>
      <c r="SHR1" s="568"/>
      <c r="SHS1" s="568"/>
      <c r="SHT1" s="568"/>
      <c r="SHU1" s="568"/>
      <c r="SHV1" s="568"/>
      <c r="SHW1" s="568"/>
      <c r="SHX1" s="568"/>
      <c r="SHY1" s="568"/>
      <c r="SHZ1" s="568"/>
      <c r="SIA1" s="568"/>
      <c r="SIB1" s="568"/>
      <c r="SIC1" s="568"/>
      <c r="SID1" s="568"/>
      <c r="SIE1" s="568"/>
      <c r="SIF1" s="568"/>
      <c r="SIG1" s="568"/>
      <c r="SIH1" s="568"/>
      <c r="SII1" s="568"/>
      <c r="SIJ1" s="568"/>
      <c r="SIK1" s="568"/>
      <c r="SIL1" s="568"/>
      <c r="SIM1" s="568"/>
      <c r="SIN1" s="568"/>
      <c r="SIO1" s="568"/>
      <c r="SIP1" s="568"/>
      <c r="SIQ1" s="568"/>
      <c r="SIR1" s="568"/>
      <c r="SIS1" s="568"/>
      <c r="SIT1" s="568"/>
      <c r="SIU1" s="568"/>
      <c r="SIV1" s="568"/>
      <c r="SIW1" s="568"/>
      <c r="SIX1" s="568"/>
      <c r="SIY1" s="568"/>
      <c r="SIZ1" s="568"/>
      <c r="SJA1" s="568"/>
      <c r="SJB1" s="568"/>
      <c r="SJC1" s="568"/>
      <c r="SJD1" s="568"/>
      <c r="SJE1" s="568"/>
      <c r="SJF1" s="568"/>
      <c r="SJG1" s="568"/>
      <c r="SJH1" s="568"/>
      <c r="SJI1" s="568"/>
      <c r="SJJ1" s="568"/>
      <c r="SJK1" s="568"/>
      <c r="SJL1" s="568"/>
      <c r="SJM1" s="568"/>
      <c r="SJN1" s="568"/>
      <c r="SJO1" s="568"/>
      <c r="SJP1" s="568"/>
      <c r="SJQ1" s="568"/>
      <c r="SJR1" s="568"/>
      <c r="SJS1" s="568"/>
      <c r="SJT1" s="568"/>
      <c r="SJU1" s="568"/>
      <c r="SJV1" s="568"/>
      <c r="SJW1" s="568"/>
      <c r="SJX1" s="568"/>
      <c r="SJY1" s="568"/>
      <c r="SJZ1" s="568"/>
      <c r="SKA1" s="568"/>
      <c r="SKB1" s="568"/>
      <c r="SKC1" s="568"/>
      <c r="SKD1" s="568"/>
      <c r="SKE1" s="568"/>
      <c r="SKF1" s="568"/>
      <c r="SKG1" s="568"/>
      <c r="SKH1" s="568"/>
      <c r="SKI1" s="568"/>
      <c r="SKJ1" s="568"/>
      <c r="SKK1" s="568"/>
      <c r="SKL1" s="568"/>
      <c r="SKM1" s="568"/>
      <c r="SKN1" s="568"/>
      <c r="SKO1" s="568"/>
      <c r="SKP1" s="568"/>
      <c r="SKQ1" s="568"/>
      <c r="SKR1" s="568"/>
      <c r="SKS1" s="568"/>
      <c r="SKT1" s="568"/>
      <c r="SKU1" s="568"/>
      <c r="SKV1" s="568"/>
      <c r="SKW1" s="568"/>
      <c r="SKX1" s="568"/>
      <c r="SKY1" s="568"/>
      <c r="SKZ1" s="568"/>
      <c r="SLA1" s="568"/>
      <c r="SLB1" s="568"/>
      <c r="SLC1" s="568"/>
      <c r="SLD1" s="568"/>
      <c r="SLE1" s="568"/>
      <c r="SLF1" s="568"/>
      <c r="SLG1" s="568"/>
      <c r="SLH1" s="568"/>
      <c r="SLI1" s="568"/>
      <c r="SLJ1" s="568"/>
      <c r="SLK1" s="568"/>
      <c r="SLL1" s="568"/>
      <c r="SLM1" s="568"/>
      <c r="SLN1" s="568"/>
      <c r="SLO1" s="568"/>
      <c r="SLP1" s="568"/>
      <c r="SLQ1" s="568"/>
      <c r="SLR1" s="568"/>
      <c r="SLS1" s="568"/>
      <c r="SLT1" s="568"/>
      <c r="SLU1" s="568"/>
      <c r="SLV1" s="568"/>
      <c r="SLW1" s="568"/>
      <c r="SLX1" s="568"/>
      <c r="SLY1" s="568"/>
      <c r="SLZ1" s="568"/>
      <c r="SMA1" s="568"/>
      <c r="SMB1" s="568"/>
      <c r="SMC1" s="568"/>
      <c r="SMD1" s="568"/>
      <c r="SME1" s="568"/>
      <c r="SMF1" s="568"/>
      <c r="SMG1" s="568"/>
      <c r="SMH1" s="568"/>
      <c r="SMI1" s="568"/>
      <c r="SMJ1" s="568"/>
      <c r="SMK1" s="568"/>
      <c r="SML1" s="568"/>
      <c r="SMM1" s="568"/>
      <c r="SMN1" s="568"/>
      <c r="SMO1" s="568"/>
      <c r="SMP1" s="568"/>
      <c r="SMQ1" s="568"/>
      <c r="SMR1" s="568"/>
      <c r="SMS1" s="568"/>
      <c r="SMT1" s="568"/>
      <c r="SMU1" s="568"/>
      <c r="SMV1" s="568"/>
      <c r="SMW1" s="568"/>
      <c r="SMX1" s="568"/>
      <c r="SMY1" s="568"/>
      <c r="SMZ1" s="568"/>
      <c r="SNA1" s="568"/>
      <c r="SNB1" s="568"/>
      <c r="SNC1" s="568"/>
      <c r="SND1" s="568"/>
      <c r="SNE1" s="568"/>
      <c r="SNF1" s="568"/>
      <c r="SNG1" s="568"/>
      <c r="SNH1" s="568"/>
      <c r="SNI1" s="568"/>
      <c r="SNJ1" s="568"/>
      <c r="SNK1" s="568"/>
      <c r="SNL1" s="568"/>
      <c r="SNM1" s="568"/>
      <c r="SNN1" s="568"/>
      <c r="SNO1" s="568"/>
      <c r="SNP1" s="568"/>
      <c r="SNQ1" s="568"/>
      <c r="SNR1" s="568"/>
      <c r="SNS1" s="568"/>
      <c r="SNT1" s="568"/>
      <c r="SNU1" s="568"/>
      <c r="SNV1" s="568"/>
      <c r="SNW1" s="568"/>
      <c r="SNX1" s="568"/>
      <c r="SNY1" s="568"/>
      <c r="SNZ1" s="568"/>
      <c r="SOA1" s="568"/>
      <c r="SOB1" s="568"/>
      <c r="SOC1" s="568"/>
      <c r="SOD1" s="568"/>
      <c r="SOE1" s="568"/>
      <c r="SOF1" s="568"/>
      <c r="SOG1" s="568"/>
      <c r="SOH1" s="568"/>
      <c r="SOI1" s="568"/>
      <c r="SOJ1" s="568"/>
      <c r="SOK1" s="568"/>
      <c r="SOL1" s="568"/>
      <c r="SOM1" s="568"/>
      <c r="SON1" s="568"/>
      <c r="SOO1" s="568"/>
      <c r="SOP1" s="568"/>
      <c r="SOQ1" s="568"/>
      <c r="SOR1" s="568"/>
      <c r="SOS1" s="568"/>
      <c r="SOT1" s="568"/>
      <c r="SOU1" s="568"/>
      <c r="SOV1" s="568"/>
      <c r="SOW1" s="568"/>
      <c r="SOX1" s="568"/>
      <c r="SOY1" s="568"/>
      <c r="SOZ1" s="568"/>
      <c r="SPA1" s="568"/>
      <c r="SPB1" s="568"/>
      <c r="SPC1" s="568"/>
      <c r="SPD1" s="568"/>
      <c r="SPE1" s="568"/>
      <c r="SPF1" s="568"/>
      <c r="SPG1" s="568"/>
      <c r="SPH1" s="568"/>
      <c r="SPI1" s="568"/>
      <c r="SPJ1" s="568"/>
      <c r="SPK1" s="568"/>
      <c r="SPL1" s="568"/>
      <c r="SPM1" s="568"/>
      <c r="SPN1" s="568"/>
      <c r="SPO1" s="568"/>
      <c r="SPP1" s="568"/>
      <c r="SPQ1" s="568"/>
      <c r="SPR1" s="568"/>
      <c r="SPS1" s="568"/>
      <c r="SPT1" s="568"/>
      <c r="SPU1" s="568"/>
      <c r="SPV1" s="568"/>
      <c r="SPW1" s="568"/>
      <c r="SPX1" s="568"/>
      <c r="SPY1" s="568"/>
      <c r="SPZ1" s="568"/>
      <c r="SQA1" s="568"/>
      <c r="SQB1" s="568"/>
      <c r="SQC1" s="568"/>
      <c r="SQD1" s="568"/>
      <c r="SQE1" s="568"/>
      <c r="SQF1" s="568"/>
      <c r="SQG1" s="568"/>
      <c r="SQH1" s="568"/>
      <c r="SQI1" s="568"/>
      <c r="SQJ1" s="568"/>
      <c r="SQK1" s="568"/>
      <c r="SQL1" s="568"/>
      <c r="SQM1" s="568"/>
      <c r="SQN1" s="568"/>
      <c r="SQO1" s="568"/>
      <c r="SQP1" s="568"/>
      <c r="SQQ1" s="568"/>
      <c r="SQR1" s="568"/>
      <c r="SQS1" s="568"/>
      <c r="SQT1" s="568"/>
      <c r="SQU1" s="568"/>
      <c r="SQV1" s="568"/>
      <c r="SQW1" s="568"/>
      <c r="SQX1" s="568"/>
      <c r="SQY1" s="568"/>
      <c r="SQZ1" s="568"/>
      <c r="SRA1" s="568"/>
      <c r="SRB1" s="568"/>
      <c r="SRC1" s="568"/>
      <c r="SRD1" s="568"/>
      <c r="SRE1" s="568"/>
      <c r="SRF1" s="568"/>
      <c r="SRG1" s="568"/>
      <c r="SRH1" s="568"/>
      <c r="SRI1" s="568"/>
      <c r="SRJ1" s="568"/>
      <c r="SRK1" s="568"/>
      <c r="SRL1" s="568"/>
      <c r="SRM1" s="568"/>
      <c r="SRN1" s="568"/>
      <c r="SRO1" s="568"/>
      <c r="SRP1" s="568"/>
      <c r="SRQ1" s="568"/>
      <c r="SRR1" s="568"/>
      <c r="SRS1" s="568"/>
      <c r="SRT1" s="568"/>
      <c r="SRU1" s="568"/>
      <c r="SRV1" s="568"/>
      <c r="SRW1" s="568"/>
      <c r="SRX1" s="568"/>
      <c r="SRY1" s="568"/>
      <c r="SRZ1" s="568"/>
      <c r="SSA1" s="568"/>
      <c r="SSB1" s="568"/>
      <c r="SSC1" s="568"/>
      <c r="SSD1" s="568"/>
      <c r="SSE1" s="568"/>
      <c r="SSF1" s="568"/>
      <c r="SSG1" s="568"/>
      <c r="SSH1" s="568"/>
      <c r="SSI1" s="568"/>
      <c r="SSJ1" s="568"/>
      <c r="SSK1" s="568"/>
      <c r="SSL1" s="568"/>
      <c r="SSM1" s="568"/>
      <c r="SSN1" s="568"/>
      <c r="SSO1" s="568"/>
      <c r="SSP1" s="568"/>
      <c r="SSQ1" s="568"/>
      <c r="SSR1" s="568"/>
      <c r="SSS1" s="568"/>
      <c r="SST1" s="568"/>
      <c r="SSU1" s="568"/>
      <c r="SSV1" s="568"/>
      <c r="SSW1" s="568"/>
      <c r="SSX1" s="568"/>
      <c r="SSY1" s="568"/>
      <c r="SSZ1" s="568"/>
      <c r="STA1" s="568"/>
      <c r="STB1" s="568"/>
      <c r="STC1" s="568"/>
      <c r="STD1" s="568"/>
      <c r="STE1" s="568"/>
      <c r="STF1" s="568"/>
      <c r="STG1" s="568"/>
      <c r="STH1" s="568"/>
      <c r="STI1" s="568"/>
      <c r="STJ1" s="568"/>
      <c r="STK1" s="568"/>
      <c r="STL1" s="568"/>
      <c r="STM1" s="568"/>
      <c r="STN1" s="568"/>
      <c r="STO1" s="568"/>
      <c r="STP1" s="568"/>
      <c r="STQ1" s="568"/>
      <c r="STR1" s="568"/>
      <c r="STS1" s="568"/>
      <c r="STT1" s="568"/>
      <c r="STU1" s="568"/>
      <c r="STV1" s="568"/>
      <c r="STW1" s="568"/>
      <c r="STX1" s="568"/>
      <c r="STY1" s="568"/>
      <c r="STZ1" s="568"/>
      <c r="SUA1" s="568"/>
      <c r="SUB1" s="568"/>
      <c r="SUC1" s="568"/>
      <c r="SUD1" s="568"/>
      <c r="SUE1" s="568"/>
      <c r="SUF1" s="568"/>
      <c r="SUG1" s="568"/>
      <c r="SUH1" s="568"/>
      <c r="SUI1" s="568"/>
      <c r="SUJ1" s="568"/>
      <c r="SUK1" s="568"/>
      <c r="SUL1" s="568"/>
      <c r="SUM1" s="568"/>
      <c r="SUN1" s="568"/>
      <c r="SUO1" s="568"/>
      <c r="SUP1" s="568"/>
      <c r="SUQ1" s="568"/>
      <c r="SUR1" s="568"/>
      <c r="SUS1" s="568"/>
      <c r="SUT1" s="568"/>
      <c r="SUU1" s="568"/>
      <c r="SUV1" s="568"/>
      <c r="SUW1" s="568"/>
      <c r="SUX1" s="568"/>
      <c r="SUY1" s="568"/>
      <c r="SUZ1" s="568"/>
      <c r="SVA1" s="568"/>
      <c r="SVB1" s="568"/>
      <c r="SVC1" s="568"/>
      <c r="SVD1" s="568"/>
      <c r="SVE1" s="568"/>
      <c r="SVF1" s="568"/>
      <c r="SVG1" s="568"/>
      <c r="SVH1" s="568"/>
      <c r="SVI1" s="568"/>
      <c r="SVJ1" s="568"/>
      <c r="SVK1" s="568"/>
      <c r="SVL1" s="568"/>
      <c r="SVM1" s="568"/>
      <c r="SVN1" s="568"/>
      <c r="SVO1" s="568"/>
      <c r="SVP1" s="568"/>
      <c r="SVQ1" s="568"/>
      <c r="SVR1" s="568"/>
      <c r="SVS1" s="568"/>
      <c r="SVT1" s="568"/>
      <c r="SVU1" s="568"/>
      <c r="SVV1" s="568"/>
      <c r="SVW1" s="568"/>
      <c r="SVX1" s="568"/>
      <c r="SVY1" s="568"/>
      <c r="SVZ1" s="568"/>
      <c r="SWA1" s="568"/>
      <c r="SWB1" s="568"/>
      <c r="SWC1" s="568"/>
      <c r="SWD1" s="568"/>
      <c r="SWE1" s="568"/>
      <c r="SWF1" s="568"/>
      <c r="SWG1" s="568"/>
      <c r="SWH1" s="568"/>
      <c r="SWI1" s="568"/>
      <c r="SWJ1" s="568"/>
      <c r="SWK1" s="568"/>
      <c r="SWL1" s="568"/>
      <c r="SWM1" s="568"/>
      <c r="SWN1" s="568"/>
      <c r="SWO1" s="568"/>
      <c r="SWP1" s="568"/>
      <c r="SWQ1" s="568"/>
      <c r="SWR1" s="568"/>
      <c r="SWS1" s="568"/>
      <c r="SWT1" s="568"/>
      <c r="SWU1" s="568"/>
      <c r="SWV1" s="568"/>
      <c r="SWW1" s="568"/>
      <c r="SWX1" s="568"/>
      <c r="SWY1" s="568"/>
      <c r="SWZ1" s="568"/>
      <c r="SXA1" s="568"/>
      <c r="SXB1" s="568"/>
      <c r="SXC1" s="568"/>
      <c r="SXD1" s="568"/>
      <c r="SXE1" s="568"/>
      <c r="SXF1" s="568"/>
      <c r="SXG1" s="568"/>
      <c r="SXH1" s="568"/>
      <c r="SXI1" s="568"/>
      <c r="SXJ1" s="568"/>
      <c r="SXK1" s="568"/>
      <c r="SXL1" s="568"/>
      <c r="SXM1" s="568"/>
      <c r="SXN1" s="568"/>
      <c r="SXO1" s="568"/>
      <c r="SXP1" s="568"/>
      <c r="SXQ1" s="568"/>
      <c r="SXR1" s="568"/>
      <c r="SXS1" s="568"/>
      <c r="SXT1" s="568"/>
      <c r="SXU1" s="568"/>
      <c r="SXV1" s="568"/>
      <c r="SXW1" s="568"/>
      <c r="SXX1" s="568"/>
      <c r="SXY1" s="568"/>
      <c r="SXZ1" s="568"/>
      <c r="SYA1" s="568"/>
      <c r="SYB1" s="568"/>
      <c r="SYC1" s="568"/>
      <c r="SYD1" s="568"/>
      <c r="SYE1" s="568"/>
      <c r="SYF1" s="568"/>
      <c r="SYG1" s="568"/>
      <c r="SYH1" s="568"/>
      <c r="SYI1" s="568"/>
      <c r="SYJ1" s="568"/>
      <c r="SYK1" s="568"/>
      <c r="SYL1" s="568"/>
      <c r="SYM1" s="568"/>
      <c r="SYN1" s="568"/>
      <c r="SYO1" s="568"/>
      <c r="SYP1" s="568"/>
      <c r="SYQ1" s="568"/>
      <c r="SYR1" s="568"/>
      <c r="SYS1" s="568"/>
      <c r="SYT1" s="568"/>
      <c r="SYU1" s="568"/>
      <c r="SYV1" s="568"/>
      <c r="SYW1" s="568"/>
      <c r="SYX1" s="568"/>
      <c r="SYY1" s="568"/>
      <c r="SYZ1" s="568"/>
      <c r="SZA1" s="568"/>
      <c r="SZB1" s="568"/>
      <c r="SZC1" s="568"/>
      <c r="SZD1" s="568"/>
      <c r="SZE1" s="568"/>
      <c r="SZF1" s="568"/>
      <c r="SZG1" s="568"/>
      <c r="SZH1" s="568"/>
      <c r="SZI1" s="568"/>
      <c r="SZJ1" s="568"/>
      <c r="SZK1" s="568"/>
      <c r="SZL1" s="568"/>
      <c r="SZM1" s="568"/>
      <c r="SZN1" s="568"/>
      <c r="SZO1" s="568"/>
      <c r="SZP1" s="568"/>
      <c r="SZQ1" s="568"/>
      <c r="SZR1" s="568"/>
      <c r="SZS1" s="568"/>
      <c r="SZT1" s="568"/>
      <c r="SZU1" s="568"/>
      <c r="SZV1" s="568"/>
      <c r="SZW1" s="568"/>
      <c r="SZX1" s="568"/>
      <c r="SZY1" s="568"/>
      <c r="SZZ1" s="568"/>
      <c r="TAA1" s="568"/>
      <c r="TAB1" s="568"/>
      <c r="TAC1" s="568"/>
      <c r="TAD1" s="568"/>
      <c r="TAE1" s="568"/>
      <c r="TAF1" s="568"/>
      <c r="TAG1" s="568"/>
      <c r="TAH1" s="568"/>
      <c r="TAI1" s="568"/>
      <c r="TAJ1" s="568"/>
      <c r="TAK1" s="568"/>
      <c r="TAL1" s="568"/>
      <c r="TAM1" s="568"/>
      <c r="TAN1" s="568"/>
      <c r="TAO1" s="568"/>
      <c r="TAP1" s="568"/>
      <c r="TAQ1" s="568"/>
      <c r="TAR1" s="568"/>
      <c r="TAS1" s="568"/>
      <c r="TAT1" s="568"/>
      <c r="TAU1" s="568"/>
      <c r="TAV1" s="568"/>
      <c r="TAW1" s="568"/>
      <c r="TAX1" s="568"/>
      <c r="TAY1" s="568"/>
      <c r="TAZ1" s="568"/>
      <c r="TBA1" s="568"/>
      <c r="TBB1" s="568"/>
      <c r="TBC1" s="568"/>
      <c r="TBD1" s="568"/>
      <c r="TBE1" s="568"/>
      <c r="TBF1" s="568"/>
      <c r="TBG1" s="568"/>
      <c r="TBH1" s="568"/>
      <c r="TBI1" s="568"/>
      <c r="TBJ1" s="568"/>
      <c r="TBK1" s="568"/>
      <c r="TBL1" s="568"/>
      <c r="TBM1" s="568"/>
      <c r="TBN1" s="568"/>
      <c r="TBO1" s="568"/>
      <c r="TBP1" s="568"/>
      <c r="TBQ1" s="568"/>
      <c r="TBR1" s="568"/>
      <c r="TBS1" s="568"/>
      <c r="TBT1" s="568"/>
      <c r="TBU1" s="568"/>
      <c r="TBV1" s="568"/>
      <c r="TBW1" s="568"/>
      <c r="TBX1" s="568"/>
      <c r="TBY1" s="568"/>
      <c r="TBZ1" s="568"/>
      <c r="TCA1" s="568"/>
      <c r="TCB1" s="568"/>
      <c r="TCC1" s="568"/>
      <c r="TCD1" s="568"/>
      <c r="TCE1" s="568"/>
      <c r="TCF1" s="568"/>
      <c r="TCG1" s="568"/>
      <c r="TCH1" s="568"/>
      <c r="TCI1" s="568"/>
      <c r="TCJ1" s="568"/>
      <c r="TCK1" s="568"/>
      <c r="TCL1" s="568"/>
      <c r="TCM1" s="568"/>
      <c r="TCN1" s="568"/>
      <c r="TCO1" s="568"/>
      <c r="TCP1" s="568"/>
      <c r="TCQ1" s="568"/>
      <c r="TCR1" s="568"/>
      <c r="TCS1" s="568"/>
      <c r="TCT1" s="568"/>
      <c r="TCU1" s="568"/>
      <c r="TCV1" s="568"/>
      <c r="TCW1" s="568"/>
      <c r="TCX1" s="568"/>
      <c r="TCY1" s="568"/>
      <c r="TCZ1" s="568"/>
      <c r="TDA1" s="568"/>
      <c r="TDB1" s="568"/>
      <c r="TDC1" s="568"/>
      <c r="TDD1" s="568"/>
      <c r="TDE1" s="568"/>
      <c r="TDF1" s="568"/>
      <c r="TDG1" s="568"/>
      <c r="TDH1" s="568"/>
      <c r="TDI1" s="568"/>
      <c r="TDJ1" s="568"/>
      <c r="TDK1" s="568"/>
      <c r="TDL1" s="568"/>
      <c r="TDM1" s="568"/>
      <c r="TDN1" s="568"/>
      <c r="TDO1" s="568"/>
      <c r="TDP1" s="568"/>
      <c r="TDQ1" s="568"/>
      <c r="TDR1" s="568"/>
      <c r="TDS1" s="568"/>
      <c r="TDT1" s="568"/>
      <c r="TDU1" s="568"/>
      <c r="TDV1" s="568"/>
      <c r="TDW1" s="568"/>
      <c r="TDX1" s="568"/>
      <c r="TDY1" s="568"/>
      <c r="TDZ1" s="568"/>
      <c r="TEA1" s="568"/>
      <c r="TEB1" s="568"/>
      <c r="TEC1" s="568"/>
      <c r="TED1" s="568"/>
      <c r="TEE1" s="568"/>
      <c r="TEF1" s="568"/>
      <c r="TEG1" s="568"/>
      <c r="TEH1" s="568"/>
      <c r="TEI1" s="568"/>
      <c r="TEJ1" s="568"/>
      <c r="TEK1" s="568"/>
      <c r="TEL1" s="568"/>
      <c r="TEM1" s="568"/>
      <c r="TEN1" s="568"/>
      <c r="TEO1" s="568"/>
      <c r="TEP1" s="568"/>
      <c r="TEQ1" s="568"/>
      <c r="TER1" s="568"/>
      <c r="TES1" s="568"/>
      <c r="TET1" s="568"/>
      <c r="TEU1" s="568"/>
      <c r="TEV1" s="568"/>
      <c r="TEW1" s="568"/>
      <c r="TEX1" s="568"/>
      <c r="TEY1" s="568"/>
      <c r="TEZ1" s="568"/>
      <c r="TFA1" s="568"/>
      <c r="TFB1" s="568"/>
      <c r="TFC1" s="568"/>
      <c r="TFD1" s="568"/>
      <c r="TFE1" s="568"/>
      <c r="TFF1" s="568"/>
      <c r="TFG1" s="568"/>
      <c r="TFH1" s="568"/>
      <c r="TFI1" s="568"/>
      <c r="TFJ1" s="568"/>
      <c r="TFK1" s="568"/>
      <c r="TFL1" s="568"/>
      <c r="TFM1" s="568"/>
      <c r="TFN1" s="568"/>
      <c r="TFO1" s="568"/>
      <c r="TFP1" s="568"/>
      <c r="TFQ1" s="568"/>
      <c r="TFR1" s="568"/>
      <c r="TFS1" s="568"/>
      <c r="TFT1" s="568"/>
      <c r="TFU1" s="568"/>
      <c r="TFV1" s="568"/>
      <c r="TFW1" s="568"/>
      <c r="TFX1" s="568"/>
      <c r="TFY1" s="568"/>
      <c r="TFZ1" s="568"/>
      <c r="TGA1" s="568"/>
      <c r="TGB1" s="568"/>
      <c r="TGC1" s="568"/>
      <c r="TGD1" s="568"/>
      <c r="TGE1" s="568"/>
      <c r="TGF1" s="568"/>
      <c r="TGG1" s="568"/>
      <c r="TGH1" s="568"/>
      <c r="TGI1" s="568"/>
      <c r="TGJ1" s="568"/>
      <c r="TGK1" s="568"/>
      <c r="TGL1" s="568"/>
      <c r="TGM1" s="568"/>
      <c r="TGN1" s="568"/>
      <c r="TGO1" s="568"/>
      <c r="TGP1" s="568"/>
      <c r="TGQ1" s="568"/>
      <c r="TGR1" s="568"/>
      <c r="TGS1" s="568"/>
      <c r="TGT1" s="568"/>
      <c r="TGU1" s="568"/>
      <c r="TGV1" s="568"/>
      <c r="TGW1" s="568"/>
      <c r="TGX1" s="568"/>
      <c r="TGY1" s="568"/>
      <c r="TGZ1" s="568"/>
      <c r="THA1" s="568"/>
      <c r="THB1" s="568"/>
      <c r="THC1" s="568"/>
      <c r="THD1" s="568"/>
      <c r="THE1" s="568"/>
      <c r="THF1" s="568"/>
      <c r="THG1" s="568"/>
      <c r="THH1" s="568"/>
      <c r="THI1" s="568"/>
      <c r="THJ1" s="568"/>
      <c r="THK1" s="568"/>
      <c r="THL1" s="568"/>
      <c r="THM1" s="568"/>
      <c r="THN1" s="568"/>
      <c r="THO1" s="568"/>
      <c r="THP1" s="568"/>
      <c r="THQ1" s="568"/>
      <c r="THR1" s="568"/>
      <c r="THS1" s="568"/>
      <c r="THT1" s="568"/>
      <c r="THU1" s="568"/>
      <c r="THV1" s="568"/>
      <c r="THW1" s="568"/>
      <c r="THX1" s="568"/>
      <c r="THY1" s="568"/>
      <c r="THZ1" s="568"/>
      <c r="TIA1" s="568"/>
      <c r="TIB1" s="568"/>
      <c r="TIC1" s="568"/>
      <c r="TID1" s="568"/>
      <c r="TIE1" s="568"/>
      <c r="TIF1" s="568"/>
      <c r="TIG1" s="568"/>
      <c r="TIH1" s="568"/>
      <c r="TII1" s="568"/>
      <c r="TIJ1" s="568"/>
      <c r="TIK1" s="568"/>
      <c r="TIL1" s="568"/>
      <c r="TIM1" s="568"/>
      <c r="TIN1" s="568"/>
      <c r="TIO1" s="568"/>
      <c r="TIP1" s="568"/>
      <c r="TIQ1" s="568"/>
      <c r="TIR1" s="568"/>
      <c r="TIS1" s="568"/>
      <c r="TIT1" s="568"/>
      <c r="TIU1" s="568"/>
      <c r="TIV1" s="568"/>
      <c r="TIW1" s="568"/>
      <c r="TIX1" s="568"/>
      <c r="TIY1" s="568"/>
      <c r="TIZ1" s="568"/>
      <c r="TJA1" s="568"/>
      <c r="TJB1" s="568"/>
      <c r="TJC1" s="568"/>
      <c r="TJD1" s="568"/>
      <c r="TJE1" s="568"/>
      <c r="TJF1" s="568"/>
      <c r="TJG1" s="568"/>
      <c r="TJH1" s="568"/>
      <c r="TJI1" s="568"/>
      <c r="TJJ1" s="568"/>
      <c r="TJK1" s="568"/>
      <c r="TJL1" s="568"/>
      <c r="TJM1" s="568"/>
      <c r="TJN1" s="568"/>
      <c r="TJO1" s="568"/>
      <c r="TJP1" s="568"/>
      <c r="TJQ1" s="568"/>
      <c r="TJR1" s="568"/>
      <c r="TJS1" s="568"/>
      <c r="TJT1" s="568"/>
      <c r="TJU1" s="568"/>
      <c r="TJV1" s="568"/>
      <c r="TJW1" s="568"/>
      <c r="TJX1" s="568"/>
      <c r="TJY1" s="568"/>
      <c r="TJZ1" s="568"/>
      <c r="TKA1" s="568"/>
      <c r="TKB1" s="568"/>
      <c r="TKC1" s="568"/>
      <c r="TKD1" s="568"/>
      <c r="TKE1" s="568"/>
      <c r="TKF1" s="568"/>
      <c r="TKG1" s="568"/>
      <c r="TKH1" s="568"/>
      <c r="TKI1" s="568"/>
      <c r="TKJ1" s="568"/>
      <c r="TKK1" s="568"/>
      <c r="TKL1" s="568"/>
      <c r="TKM1" s="568"/>
      <c r="TKN1" s="568"/>
      <c r="TKO1" s="568"/>
      <c r="TKP1" s="568"/>
      <c r="TKQ1" s="568"/>
      <c r="TKR1" s="568"/>
      <c r="TKS1" s="568"/>
      <c r="TKT1" s="568"/>
      <c r="TKU1" s="568"/>
      <c r="TKV1" s="568"/>
      <c r="TKW1" s="568"/>
      <c r="TKX1" s="568"/>
      <c r="TKY1" s="568"/>
      <c r="TKZ1" s="568"/>
      <c r="TLA1" s="568"/>
      <c r="TLB1" s="568"/>
      <c r="TLC1" s="568"/>
      <c r="TLD1" s="568"/>
      <c r="TLE1" s="568"/>
      <c r="TLF1" s="568"/>
      <c r="TLG1" s="568"/>
      <c r="TLH1" s="568"/>
      <c r="TLI1" s="568"/>
      <c r="TLJ1" s="568"/>
      <c r="TLK1" s="568"/>
      <c r="TLL1" s="568"/>
      <c r="TLM1" s="568"/>
      <c r="TLN1" s="568"/>
      <c r="TLO1" s="568"/>
      <c r="TLP1" s="568"/>
      <c r="TLQ1" s="568"/>
      <c r="TLR1" s="568"/>
      <c r="TLS1" s="568"/>
      <c r="TLT1" s="568"/>
      <c r="TLU1" s="568"/>
      <c r="TLV1" s="568"/>
      <c r="TLW1" s="568"/>
      <c r="TLX1" s="568"/>
      <c r="TLY1" s="568"/>
      <c r="TLZ1" s="568"/>
      <c r="TMA1" s="568"/>
      <c r="TMB1" s="568"/>
      <c r="TMC1" s="568"/>
      <c r="TMD1" s="568"/>
      <c r="TME1" s="568"/>
      <c r="TMF1" s="568"/>
      <c r="TMG1" s="568"/>
      <c r="TMH1" s="568"/>
      <c r="TMI1" s="568"/>
      <c r="TMJ1" s="568"/>
      <c r="TMK1" s="568"/>
      <c r="TML1" s="568"/>
      <c r="TMM1" s="568"/>
      <c r="TMN1" s="568"/>
      <c r="TMO1" s="568"/>
      <c r="TMP1" s="568"/>
      <c r="TMQ1" s="568"/>
      <c r="TMR1" s="568"/>
      <c r="TMS1" s="568"/>
      <c r="TMT1" s="568"/>
      <c r="TMU1" s="568"/>
      <c r="TMV1" s="568"/>
      <c r="TMW1" s="568"/>
      <c r="TMX1" s="568"/>
      <c r="TMY1" s="568"/>
      <c r="TMZ1" s="568"/>
      <c r="TNA1" s="568"/>
      <c r="TNB1" s="568"/>
      <c r="TNC1" s="568"/>
      <c r="TND1" s="568"/>
      <c r="TNE1" s="568"/>
      <c r="TNF1" s="568"/>
      <c r="TNG1" s="568"/>
      <c r="TNH1" s="568"/>
      <c r="TNI1" s="568"/>
      <c r="TNJ1" s="568"/>
      <c r="TNK1" s="568"/>
      <c r="TNL1" s="568"/>
      <c r="TNM1" s="568"/>
      <c r="TNN1" s="568"/>
      <c r="TNO1" s="568"/>
      <c r="TNP1" s="568"/>
      <c r="TNQ1" s="568"/>
      <c r="TNR1" s="568"/>
      <c r="TNS1" s="568"/>
      <c r="TNT1" s="568"/>
      <c r="TNU1" s="568"/>
      <c r="TNV1" s="568"/>
      <c r="TNW1" s="568"/>
      <c r="TNX1" s="568"/>
      <c r="TNY1" s="568"/>
      <c r="TNZ1" s="568"/>
      <c r="TOA1" s="568"/>
      <c r="TOB1" s="568"/>
      <c r="TOC1" s="568"/>
      <c r="TOD1" s="568"/>
      <c r="TOE1" s="568"/>
      <c r="TOF1" s="568"/>
      <c r="TOG1" s="568"/>
      <c r="TOH1" s="568"/>
      <c r="TOI1" s="568"/>
      <c r="TOJ1" s="568"/>
      <c r="TOK1" s="568"/>
      <c r="TOL1" s="568"/>
      <c r="TOM1" s="568"/>
      <c r="TON1" s="568"/>
      <c r="TOO1" s="568"/>
      <c r="TOP1" s="568"/>
      <c r="TOQ1" s="568"/>
      <c r="TOR1" s="568"/>
      <c r="TOS1" s="568"/>
      <c r="TOT1" s="568"/>
      <c r="TOU1" s="568"/>
      <c r="TOV1" s="568"/>
      <c r="TOW1" s="568"/>
      <c r="TOX1" s="568"/>
      <c r="TOY1" s="568"/>
      <c r="TOZ1" s="568"/>
      <c r="TPA1" s="568"/>
      <c r="TPB1" s="568"/>
      <c r="TPC1" s="568"/>
      <c r="TPD1" s="568"/>
      <c r="TPE1" s="568"/>
      <c r="TPF1" s="568"/>
      <c r="TPG1" s="568"/>
      <c r="TPH1" s="568"/>
      <c r="TPI1" s="568"/>
      <c r="TPJ1" s="568"/>
      <c r="TPK1" s="568"/>
      <c r="TPL1" s="568"/>
      <c r="TPM1" s="568"/>
      <c r="TPN1" s="568"/>
      <c r="TPO1" s="568"/>
      <c r="TPP1" s="568"/>
      <c r="TPQ1" s="568"/>
      <c r="TPR1" s="568"/>
      <c r="TPS1" s="568"/>
      <c r="TPT1" s="568"/>
      <c r="TPU1" s="568"/>
      <c r="TPV1" s="568"/>
      <c r="TPW1" s="568"/>
      <c r="TPX1" s="568"/>
      <c r="TPY1" s="568"/>
      <c r="TPZ1" s="568"/>
      <c r="TQA1" s="568"/>
      <c r="TQB1" s="568"/>
      <c r="TQC1" s="568"/>
      <c r="TQD1" s="568"/>
      <c r="TQE1" s="568"/>
      <c r="TQF1" s="568"/>
      <c r="TQG1" s="568"/>
      <c r="TQH1" s="568"/>
      <c r="TQI1" s="568"/>
      <c r="TQJ1" s="568"/>
      <c r="TQK1" s="568"/>
      <c r="TQL1" s="568"/>
      <c r="TQM1" s="568"/>
      <c r="TQN1" s="568"/>
      <c r="TQO1" s="568"/>
      <c r="TQP1" s="568"/>
      <c r="TQQ1" s="568"/>
      <c r="TQR1" s="568"/>
      <c r="TQS1" s="568"/>
      <c r="TQT1" s="568"/>
      <c r="TQU1" s="568"/>
      <c r="TQV1" s="568"/>
      <c r="TQW1" s="568"/>
      <c r="TQX1" s="568"/>
      <c r="TQY1" s="568"/>
      <c r="TQZ1" s="568"/>
      <c r="TRA1" s="568"/>
      <c r="TRB1" s="568"/>
      <c r="TRC1" s="568"/>
      <c r="TRD1" s="568"/>
      <c r="TRE1" s="568"/>
      <c r="TRF1" s="568"/>
      <c r="TRG1" s="568"/>
      <c r="TRH1" s="568"/>
      <c r="TRI1" s="568"/>
      <c r="TRJ1" s="568"/>
      <c r="TRK1" s="568"/>
      <c r="TRL1" s="568"/>
      <c r="TRM1" s="568"/>
      <c r="TRN1" s="568"/>
      <c r="TRO1" s="568"/>
      <c r="TRP1" s="568"/>
      <c r="TRQ1" s="568"/>
      <c r="TRR1" s="568"/>
      <c r="TRS1" s="568"/>
      <c r="TRT1" s="568"/>
      <c r="TRU1" s="568"/>
      <c r="TRV1" s="568"/>
      <c r="TRW1" s="568"/>
      <c r="TRX1" s="568"/>
      <c r="TRY1" s="568"/>
      <c r="TRZ1" s="568"/>
      <c r="TSA1" s="568"/>
      <c r="TSB1" s="568"/>
      <c r="TSC1" s="568"/>
      <c r="TSD1" s="568"/>
      <c r="TSE1" s="568"/>
      <c r="TSF1" s="568"/>
      <c r="TSG1" s="568"/>
      <c r="TSH1" s="568"/>
      <c r="TSI1" s="568"/>
      <c r="TSJ1" s="568"/>
      <c r="TSK1" s="568"/>
      <c r="TSL1" s="568"/>
      <c r="TSM1" s="568"/>
      <c r="TSN1" s="568"/>
      <c r="TSO1" s="568"/>
      <c r="TSP1" s="568"/>
      <c r="TSQ1" s="568"/>
      <c r="TSR1" s="568"/>
      <c r="TSS1" s="568"/>
      <c r="TST1" s="568"/>
      <c r="TSU1" s="568"/>
      <c r="TSV1" s="568"/>
      <c r="TSW1" s="568"/>
      <c r="TSX1" s="568"/>
      <c r="TSY1" s="568"/>
      <c r="TSZ1" s="568"/>
      <c r="TTA1" s="568"/>
      <c r="TTB1" s="568"/>
      <c r="TTC1" s="568"/>
      <c r="TTD1" s="568"/>
      <c r="TTE1" s="568"/>
      <c r="TTF1" s="568"/>
      <c r="TTG1" s="568"/>
      <c r="TTH1" s="568"/>
      <c r="TTI1" s="568"/>
      <c r="TTJ1" s="568"/>
      <c r="TTK1" s="568"/>
      <c r="TTL1" s="568"/>
      <c r="TTM1" s="568"/>
      <c r="TTN1" s="568"/>
      <c r="TTO1" s="568"/>
      <c r="TTP1" s="568"/>
      <c r="TTQ1" s="568"/>
      <c r="TTR1" s="568"/>
      <c r="TTS1" s="568"/>
      <c r="TTT1" s="568"/>
      <c r="TTU1" s="568"/>
      <c r="TTV1" s="568"/>
      <c r="TTW1" s="568"/>
      <c r="TTX1" s="568"/>
      <c r="TTY1" s="568"/>
      <c r="TTZ1" s="568"/>
      <c r="TUA1" s="568"/>
      <c r="TUB1" s="568"/>
      <c r="TUC1" s="568"/>
      <c r="TUD1" s="568"/>
      <c r="TUE1" s="568"/>
      <c r="TUF1" s="568"/>
      <c r="TUG1" s="568"/>
      <c r="TUH1" s="568"/>
      <c r="TUI1" s="568"/>
      <c r="TUJ1" s="568"/>
      <c r="TUK1" s="568"/>
      <c r="TUL1" s="568"/>
      <c r="TUM1" s="568"/>
      <c r="TUN1" s="568"/>
      <c r="TUO1" s="568"/>
      <c r="TUP1" s="568"/>
      <c r="TUQ1" s="568"/>
      <c r="TUR1" s="568"/>
      <c r="TUS1" s="568"/>
      <c r="TUT1" s="568"/>
      <c r="TUU1" s="568"/>
      <c r="TUV1" s="568"/>
      <c r="TUW1" s="568"/>
      <c r="TUX1" s="568"/>
      <c r="TUY1" s="568"/>
      <c r="TUZ1" s="568"/>
      <c r="TVA1" s="568"/>
      <c r="TVB1" s="568"/>
      <c r="TVC1" s="568"/>
      <c r="TVD1" s="568"/>
      <c r="TVE1" s="568"/>
      <c r="TVF1" s="568"/>
      <c r="TVG1" s="568"/>
      <c r="TVH1" s="568"/>
      <c r="TVI1" s="568"/>
      <c r="TVJ1" s="568"/>
      <c r="TVK1" s="568"/>
      <c r="TVL1" s="568"/>
      <c r="TVM1" s="568"/>
      <c r="TVN1" s="568"/>
      <c r="TVO1" s="568"/>
      <c r="TVP1" s="568"/>
      <c r="TVQ1" s="568"/>
      <c r="TVR1" s="568"/>
      <c r="TVS1" s="568"/>
      <c r="TVT1" s="568"/>
      <c r="TVU1" s="568"/>
      <c r="TVV1" s="568"/>
      <c r="TVW1" s="568"/>
      <c r="TVX1" s="568"/>
      <c r="TVY1" s="568"/>
      <c r="TVZ1" s="568"/>
      <c r="TWA1" s="568"/>
      <c r="TWB1" s="568"/>
      <c r="TWC1" s="568"/>
      <c r="TWD1" s="568"/>
      <c r="TWE1" s="568"/>
      <c r="TWF1" s="568"/>
      <c r="TWG1" s="568"/>
      <c r="TWH1" s="568"/>
      <c r="TWI1" s="568"/>
      <c r="TWJ1" s="568"/>
      <c r="TWK1" s="568"/>
      <c r="TWL1" s="568"/>
      <c r="TWM1" s="568"/>
      <c r="TWN1" s="568"/>
      <c r="TWO1" s="568"/>
      <c r="TWP1" s="568"/>
      <c r="TWQ1" s="568"/>
      <c r="TWR1" s="568"/>
      <c r="TWS1" s="568"/>
      <c r="TWT1" s="568"/>
      <c r="TWU1" s="568"/>
      <c r="TWV1" s="568"/>
      <c r="TWW1" s="568"/>
      <c r="TWX1" s="568"/>
      <c r="TWY1" s="568"/>
      <c r="TWZ1" s="568"/>
      <c r="TXA1" s="568"/>
      <c r="TXB1" s="568"/>
      <c r="TXC1" s="568"/>
      <c r="TXD1" s="568"/>
      <c r="TXE1" s="568"/>
      <c r="TXF1" s="568"/>
      <c r="TXG1" s="568"/>
      <c r="TXH1" s="568"/>
      <c r="TXI1" s="568"/>
      <c r="TXJ1" s="568"/>
      <c r="TXK1" s="568"/>
      <c r="TXL1" s="568"/>
      <c r="TXM1" s="568"/>
      <c r="TXN1" s="568"/>
      <c r="TXO1" s="568"/>
      <c r="TXP1" s="568"/>
      <c r="TXQ1" s="568"/>
      <c r="TXR1" s="568"/>
      <c r="TXS1" s="568"/>
      <c r="TXT1" s="568"/>
      <c r="TXU1" s="568"/>
      <c r="TXV1" s="568"/>
      <c r="TXW1" s="568"/>
      <c r="TXX1" s="568"/>
      <c r="TXY1" s="568"/>
      <c r="TXZ1" s="568"/>
      <c r="TYA1" s="568"/>
      <c r="TYB1" s="568"/>
      <c r="TYC1" s="568"/>
      <c r="TYD1" s="568"/>
      <c r="TYE1" s="568"/>
      <c r="TYF1" s="568"/>
      <c r="TYG1" s="568"/>
      <c r="TYH1" s="568"/>
      <c r="TYI1" s="568"/>
      <c r="TYJ1" s="568"/>
      <c r="TYK1" s="568"/>
      <c r="TYL1" s="568"/>
      <c r="TYM1" s="568"/>
      <c r="TYN1" s="568"/>
      <c r="TYO1" s="568"/>
      <c r="TYP1" s="568"/>
      <c r="TYQ1" s="568"/>
      <c r="TYR1" s="568"/>
      <c r="TYS1" s="568"/>
      <c r="TYT1" s="568"/>
      <c r="TYU1" s="568"/>
      <c r="TYV1" s="568"/>
      <c r="TYW1" s="568"/>
      <c r="TYX1" s="568"/>
      <c r="TYY1" s="568"/>
      <c r="TYZ1" s="568"/>
      <c r="TZA1" s="568"/>
      <c r="TZB1" s="568"/>
      <c r="TZC1" s="568"/>
      <c r="TZD1" s="568"/>
      <c r="TZE1" s="568"/>
      <c r="TZF1" s="568"/>
      <c r="TZG1" s="568"/>
      <c r="TZH1" s="568"/>
      <c r="TZI1" s="568"/>
      <c r="TZJ1" s="568"/>
      <c r="TZK1" s="568"/>
      <c r="TZL1" s="568"/>
      <c r="TZM1" s="568"/>
      <c r="TZN1" s="568"/>
      <c r="TZO1" s="568"/>
      <c r="TZP1" s="568"/>
      <c r="TZQ1" s="568"/>
      <c r="TZR1" s="568"/>
      <c r="TZS1" s="568"/>
      <c r="TZT1" s="568"/>
      <c r="TZU1" s="568"/>
      <c r="TZV1" s="568"/>
      <c r="TZW1" s="568"/>
      <c r="TZX1" s="568"/>
      <c r="TZY1" s="568"/>
      <c r="TZZ1" s="568"/>
      <c r="UAA1" s="568"/>
      <c r="UAB1" s="568"/>
      <c r="UAC1" s="568"/>
      <c r="UAD1" s="568"/>
      <c r="UAE1" s="568"/>
      <c r="UAF1" s="568"/>
      <c r="UAG1" s="568"/>
      <c r="UAH1" s="568"/>
      <c r="UAI1" s="568"/>
      <c r="UAJ1" s="568"/>
      <c r="UAK1" s="568"/>
      <c r="UAL1" s="568"/>
      <c r="UAM1" s="568"/>
      <c r="UAN1" s="568"/>
      <c r="UAO1" s="568"/>
      <c r="UAP1" s="568"/>
      <c r="UAQ1" s="568"/>
      <c r="UAR1" s="568"/>
      <c r="UAS1" s="568"/>
      <c r="UAT1" s="568"/>
      <c r="UAU1" s="568"/>
      <c r="UAV1" s="568"/>
      <c r="UAW1" s="568"/>
      <c r="UAX1" s="568"/>
      <c r="UAY1" s="568"/>
      <c r="UAZ1" s="568"/>
      <c r="UBA1" s="568"/>
      <c r="UBB1" s="568"/>
      <c r="UBC1" s="568"/>
      <c r="UBD1" s="568"/>
      <c r="UBE1" s="568"/>
      <c r="UBF1" s="568"/>
      <c r="UBG1" s="568"/>
      <c r="UBH1" s="568"/>
      <c r="UBI1" s="568"/>
      <c r="UBJ1" s="568"/>
      <c r="UBK1" s="568"/>
      <c r="UBL1" s="568"/>
      <c r="UBM1" s="568"/>
      <c r="UBN1" s="568"/>
      <c r="UBO1" s="568"/>
      <c r="UBP1" s="568"/>
      <c r="UBQ1" s="568"/>
      <c r="UBR1" s="568"/>
      <c r="UBS1" s="568"/>
      <c r="UBT1" s="568"/>
      <c r="UBU1" s="568"/>
      <c r="UBV1" s="568"/>
      <c r="UBW1" s="568"/>
      <c r="UBX1" s="568"/>
      <c r="UBY1" s="568"/>
      <c r="UBZ1" s="568"/>
      <c r="UCA1" s="568"/>
      <c r="UCB1" s="568"/>
      <c r="UCC1" s="568"/>
      <c r="UCD1" s="568"/>
      <c r="UCE1" s="568"/>
      <c r="UCF1" s="568"/>
      <c r="UCG1" s="568"/>
      <c r="UCH1" s="568"/>
      <c r="UCI1" s="568"/>
      <c r="UCJ1" s="568"/>
      <c r="UCK1" s="568"/>
      <c r="UCL1" s="568"/>
      <c r="UCM1" s="568"/>
      <c r="UCN1" s="568"/>
      <c r="UCO1" s="568"/>
      <c r="UCP1" s="568"/>
      <c r="UCQ1" s="568"/>
      <c r="UCR1" s="568"/>
      <c r="UCS1" s="568"/>
      <c r="UCT1" s="568"/>
      <c r="UCU1" s="568"/>
      <c r="UCV1" s="568"/>
      <c r="UCW1" s="568"/>
      <c r="UCX1" s="568"/>
      <c r="UCY1" s="568"/>
      <c r="UCZ1" s="568"/>
      <c r="UDA1" s="568"/>
      <c r="UDB1" s="568"/>
      <c r="UDC1" s="568"/>
      <c r="UDD1" s="568"/>
      <c r="UDE1" s="568"/>
      <c r="UDF1" s="568"/>
      <c r="UDG1" s="568"/>
      <c r="UDH1" s="568"/>
      <c r="UDI1" s="568"/>
      <c r="UDJ1" s="568"/>
      <c r="UDK1" s="568"/>
      <c r="UDL1" s="568"/>
      <c r="UDM1" s="568"/>
      <c r="UDN1" s="568"/>
      <c r="UDO1" s="568"/>
      <c r="UDP1" s="568"/>
      <c r="UDQ1" s="568"/>
      <c r="UDR1" s="568"/>
      <c r="UDS1" s="568"/>
      <c r="UDT1" s="568"/>
      <c r="UDU1" s="568"/>
      <c r="UDV1" s="568"/>
      <c r="UDW1" s="568"/>
      <c r="UDX1" s="568"/>
      <c r="UDY1" s="568"/>
      <c r="UDZ1" s="568"/>
      <c r="UEA1" s="568"/>
      <c r="UEB1" s="568"/>
      <c r="UEC1" s="568"/>
      <c r="UED1" s="568"/>
      <c r="UEE1" s="568"/>
      <c r="UEF1" s="568"/>
      <c r="UEG1" s="568"/>
      <c r="UEH1" s="568"/>
      <c r="UEI1" s="568"/>
      <c r="UEJ1" s="568"/>
      <c r="UEK1" s="568"/>
      <c r="UEL1" s="568"/>
      <c r="UEM1" s="568"/>
      <c r="UEN1" s="568"/>
      <c r="UEO1" s="568"/>
      <c r="UEP1" s="568"/>
      <c r="UEQ1" s="568"/>
      <c r="UER1" s="568"/>
      <c r="UES1" s="568"/>
      <c r="UET1" s="568"/>
      <c r="UEU1" s="568"/>
      <c r="UEV1" s="568"/>
      <c r="UEW1" s="568"/>
      <c r="UEX1" s="568"/>
      <c r="UEY1" s="568"/>
      <c r="UEZ1" s="568"/>
      <c r="UFA1" s="568"/>
      <c r="UFB1" s="568"/>
      <c r="UFC1" s="568"/>
      <c r="UFD1" s="568"/>
      <c r="UFE1" s="568"/>
      <c r="UFF1" s="568"/>
      <c r="UFG1" s="568"/>
      <c r="UFH1" s="568"/>
      <c r="UFI1" s="568"/>
      <c r="UFJ1" s="568"/>
      <c r="UFK1" s="568"/>
      <c r="UFL1" s="568"/>
      <c r="UFM1" s="568"/>
      <c r="UFN1" s="568"/>
      <c r="UFO1" s="568"/>
      <c r="UFP1" s="568"/>
      <c r="UFQ1" s="568"/>
      <c r="UFR1" s="568"/>
      <c r="UFS1" s="568"/>
      <c r="UFT1" s="568"/>
      <c r="UFU1" s="568"/>
      <c r="UFV1" s="568"/>
      <c r="UFW1" s="568"/>
      <c r="UFX1" s="568"/>
      <c r="UFY1" s="568"/>
      <c r="UFZ1" s="568"/>
      <c r="UGA1" s="568"/>
      <c r="UGB1" s="568"/>
      <c r="UGC1" s="568"/>
      <c r="UGD1" s="568"/>
      <c r="UGE1" s="568"/>
      <c r="UGF1" s="568"/>
      <c r="UGG1" s="568"/>
      <c r="UGH1" s="568"/>
      <c r="UGI1" s="568"/>
      <c r="UGJ1" s="568"/>
      <c r="UGK1" s="568"/>
      <c r="UGL1" s="568"/>
      <c r="UGM1" s="568"/>
      <c r="UGN1" s="568"/>
      <c r="UGO1" s="568"/>
      <c r="UGP1" s="568"/>
      <c r="UGQ1" s="568"/>
      <c r="UGR1" s="568"/>
      <c r="UGS1" s="568"/>
      <c r="UGT1" s="568"/>
      <c r="UGU1" s="568"/>
      <c r="UGV1" s="568"/>
      <c r="UGW1" s="568"/>
      <c r="UGX1" s="568"/>
      <c r="UGY1" s="568"/>
      <c r="UGZ1" s="568"/>
      <c r="UHA1" s="568"/>
      <c r="UHB1" s="568"/>
      <c r="UHC1" s="568"/>
      <c r="UHD1" s="568"/>
      <c r="UHE1" s="568"/>
      <c r="UHF1" s="568"/>
      <c r="UHG1" s="568"/>
      <c r="UHH1" s="568"/>
      <c r="UHI1" s="568"/>
      <c r="UHJ1" s="568"/>
      <c r="UHK1" s="568"/>
      <c r="UHL1" s="568"/>
      <c r="UHM1" s="568"/>
      <c r="UHN1" s="568"/>
      <c r="UHO1" s="568"/>
      <c r="UHP1" s="568"/>
      <c r="UHQ1" s="568"/>
      <c r="UHR1" s="568"/>
      <c r="UHS1" s="568"/>
      <c r="UHT1" s="568"/>
      <c r="UHU1" s="568"/>
      <c r="UHV1" s="568"/>
      <c r="UHW1" s="568"/>
      <c r="UHX1" s="568"/>
      <c r="UHY1" s="568"/>
      <c r="UHZ1" s="568"/>
      <c r="UIA1" s="568"/>
      <c r="UIB1" s="568"/>
      <c r="UIC1" s="568"/>
      <c r="UID1" s="568"/>
      <c r="UIE1" s="568"/>
      <c r="UIF1" s="568"/>
      <c r="UIG1" s="568"/>
      <c r="UIH1" s="568"/>
      <c r="UII1" s="568"/>
      <c r="UIJ1" s="568"/>
      <c r="UIK1" s="568"/>
      <c r="UIL1" s="568"/>
      <c r="UIM1" s="568"/>
      <c r="UIN1" s="568"/>
      <c r="UIO1" s="568"/>
      <c r="UIP1" s="568"/>
      <c r="UIQ1" s="568"/>
      <c r="UIR1" s="568"/>
      <c r="UIS1" s="568"/>
      <c r="UIT1" s="568"/>
      <c r="UIU1" s="568"/>
      <c r="UIV1" s="568"/>
      <c r="UIW1" s="568"/>
      <c r="UIX1" s="568"/>
      <c r="UIY1" s="568"/>
      <c r="UIZ1" s="568"/>
      <c r="UJA1" s="568"/>
      <c r="UJB1" s="568"/>
      <c r="UJC1" s="568"/>
      <c r="UJD1" s="568"/>
      <c r="UJE1" s="568"/>
      <c r="UJF1" s="568"/>
      <c r="UJG1" s="568"/>
      <c r="UJH1" s="568"/>
      <c r="UJI1" s="568"/>
      <c r="UJJ1" s="568"/>
      <c r="UJK1" s="568"/>
      <c r="UJL1" s="568"/>
      <c r="UJM1" s="568"/>
      <c r="UJN1" s="568"/>
      <c r="UJO1" s="568"/>
      <c r="UJP1" s="568"/>
      <c r="UJQ1" s="568"/>
      <c r="UJR1" s="568"/>
      <c r="UJS1" s="568"/>
      <c r="UJT1" s="568"/>
      <c r="UJU1" s="568"/>
      <c r="UJV1" s="568"/>
      <c r="UJW1" s="568"/>
      <c r="UJX1" s="568"/>
      <c r="UJY1" s="568"/>
      <c r="UJZ1" s="568"/>
      <c r="UKA1" s="568"/>
      <c r="UKB1" s="568"/>
      <c r="UKC1" s="568"/>
      <c r="UKD1" s="568"/>
      <c r="UKE1" s="568"/>
      <c r="UKF1" s="568"/>
      <c r="UKG1" s="568"/>
      <c r="UKH1" s="568"/>
      <c r="UKI1" s="568"/>
      <c r="UKJ1" s="568"/>
      <c r="UKK1" s="568"/>
      <c r="UKL1" s="568"/>
      <c r="UKM1" s="568"/>
      <c r="UKN1" s="568"/>
      <c r="UKO1" s="568"/>
      <c r="UKP1" s="568"/>
      <c r="UKQ1" s="568"/>
      <c r="UKR1" s="568"/>
      <c r="UKS1" s="568"/>
      <c r="UKT1" s="568"/>
      <c r="UKU1" s="568"/>
      <c r="UKV1" s="568"/>
      <c r="UKW1" s="568"/>
      <c r="UKX1" s="568"/>
      <c r="UKY1" s="568"/>
      <c r="UKZ1" s="568"/>
      <c r="ULA1" s="568"/>
      <c r="ULB1" s="568"/>
      <c r="ULC1" s="568"/>
      <c r="ULD1" s="568"/>
      <c r="ULE1" s="568"/>
      <c r="ULF1" s="568"/>
      <c r="ULG1" s="568"/>
      <c r="ULH1" s="568"/>
      <c r="ULI1" s="568"/>
      <c r="ULJ1" s="568"/>
      <c r="ULK1" s="568"/>
      <c r="ULL1" s="568"/>
      <c r="ULM1" s="568"/>
      <c r="ULN1" s="568"/>
      <c r="ULO1" s="568"/>
      <c r="ULP1" s="568"/>
      <c r="ULQ1" s="568"/>
      <c r="ULR1" s="568"/>
      <c r="ULS1" s="568"/>
      <c r="ULT1" s="568"/>
      <c r="ULU1" s="568"/>
      <c r="ULV1" s="568"/>
      <c r="ULW1" s="568"/>
      <c r="ULX1" s="568"/>
      <c r="ULY1" s="568"/>
      <c r="ULZ1" s="568"/>
      <c r="UMA1" s="568"/>
      <c r="UMB1" s="568"/>
      <c r="UMC1" s="568"/>
      <c r="UMD1" s="568"/>
      <c r="UME1" s="568"/>
      <c r="UMF1" s="568"/>
      <c r="UMG1" s="568"/>
      <c r="UMH1" s="568"/>
      <c r="UMI1" s="568"/>
      <c r="UMJ1" s="568"/>
      <c r="UMK1" s="568"/>
      <c r="UML1" s="568"/>
      <c r="UMM1" s="568"/>
      <c r="UMN1" s="568"/>
      <c r="UMO1" s="568"/>
      <c r="UMP1" s="568"/>
      <c r="UMQ1" s="568"/>
      <c r="UMR1" s="568"/>
      <c r="UMS1" s="568"/>
      <c r="UMT1" s="568"/>
      <c r="UMU1" s="568"/>
      <c r="UMV1" s="568"/>
      <c r="UMW1" s="568"/>
      <c r="UMX1" s="568"/>
      <c r="UMY1" s="568"/>
      <c r="UMZ1" s="568"/>
      <c r="UNA1" s="568"/>
      <c r="UNB1" s="568"/>
      <c r="UNC1" s="568"/>
      <c r="UND1" s="568"/>
      <c r="UNE1" s="568"/>
      <c r="UNF1" s="568"/>
      <c r="UNG1" s="568"/>
      <c r="UNH1" s="568"/>
      <c r="UNI1" s="568"/>
      <c r="UNJ1" s="568"/>
      <c r="UNK1" s="568"/>
      <c r="UNL1" s="568"/>
      <c r="UNM1" s="568"/>
      <c r="UNN1" s="568"/>
      <c r="UNO1" s="568"/>
      <c r="UNP1" s="568"/>
      <c r="UNQ1" s="568"/>
      <c r="UNR1" s="568"/>
      <c r="UNS1" s="568"/>
      <c r="UNT1" s="568"/>
      <c r="UNU1" s="568"/>
      <c r="UNV1" s="568"/>
      <c r="UNW1" s="568"/>
      <c r="UNX1" s="568"/>
      <c r="UNY1" s="568"/>
      <c r="UNZ1" s="568"/>
      <c r="UOA1" s="568"/>
      <c r="UOB1" s="568"/>
      <c r="UOC1" s="568"/>
      <c r="UOD1" s="568"/>
      <c r="UOE1" s="568"/>
      <c r="UOF1" s="568"/>
      <c r="UOG1" s="568"/>
      <c r="UOH1" s="568"/>
      <c r="UOI1" s="568"/>
      <c r="UOJ1" s="568"/>
      <c r="UOK1" s="568"/>
      <c r="UOL1" s="568"/>
      <c r="UOM1" s="568"/>
      <c r="UON1" s="568"/>
      <c r="UOO1" s="568"/>
      <c r="UOP1" s="568"/>
      <c r="UOQ1" s="568"/>
      <c r="UOR1" s="568"/>
      <c r="UOS1" s="568"/>
      <c r="UOT1" s="568"/>
      <c r="UOU1" s="568"/>
      <c r="UOV1" s="568"/>
      <c r="UOW1" s="568"/>
      <c r="UOX1" s="568"/>
      <c r="UOY1" s="568"/>
      <c r="UOZ1" s="568"/>
      <c r="UPA1" s="568"/>
      <c r="UPB1" s="568"/>
      <c r="UPC1" s="568"/>
      <c r="UPD1" s="568"/>
      <c r="UPE1" s="568"/>
      <c r="UPF1" s="568"/>
      <c r="UPG1" s="568"/>
      <c r="UPH1" s="568"/>
      <c r="UPI1" s="568"/>
      <c r="UPJ1" s="568"/>
      <c r="UPK1" s="568"/>
      <c r="UPL1" s="568"/>
      <c r="UPM1" s="568"/>
      <c r="UPN1" s="568"/>
      <c r="UPO1" s="568"/>
      <c r="UPP1" s="568"/>
      <c r="UPQ1" s="568"/>
      <c r="UPR1" s="568"/>
      <c r="UPS1" s="568"/>
      <c r="UPT1" s="568"/>
      <c r="UPU1" s="568"/>
      <c r="UPV1" s="568"/>
      <c r="UPW1" s="568"/>
      <c r="UPX1" s="568"/>
      <c r="UPY1" s="568"/>
      <c r="UPZ1" s="568"/>
      <c r="UQA1" s="568"/>
      <c r="UQB1" s="568"/>
      <c r="UQC1" s="568"/>
      <c r="UQD1" s="568"/>
      <c r="UQE1" s="568"/>
      <c r="UQF1" s="568"/>
      <c r="UQG1" s="568"/>
      <c r="UQH1" s="568"/>
      <c r="UQI1" s="568"/>
      <c r="UQJ1" s="568"/>
      <c r="UQK1" s="568"/>
      <c r="UQL1" s="568"/>
      <c r="UQM1" s="568"/>
      <c r="UQN1" s="568"/>
      <c r="UQO1" s="568"/>
      <c r="UQP1" s="568"/>
      <c r="UQQ1" s="568"/>
      <c r="UQR1" s="568"/>
      <c r="UQS1" s="568"/>
      <c r="UQT1" s="568"/>
      <c r="UQU1" s="568"/>
      <c r="UQV1" s="568"/>
      <c r="UQW1" s="568"/>
      <c r="UQX1" s="568"/>
      <c r="UQY1" s="568"/>
      <c r="UQZ1" s="568"/>
      <c r="URA1" s="568"/>
      <c r="URB1" s="568"/>
      <c r="URC1" s="568"/>
      <c r="URD1" s="568"/>
      <c r="URE1" s="568"/>
      <c r="URF1" s="568"/>
      <c r="URG1" s="568"/>
      <c r="URH1" s="568"/>
      <c r="URI1" s="568"/>
      <c r="URJ1" s="568"/>
      <c r="URK1" s="568"/>
      <c r="URL1" s="568"/>
      <c r="URM1" s="568"/>
      <c r="URN1" s="568"/>
      <c r="URO1" s="568"/>
      <c r="URP1" s="568"/>
      <c r="URQ1" s="568"/>
      <c r="URR1" s="568"/>
      <c r="URS1" s="568"/>
      <c r="URT1" s="568"/>
      <c r="URU1" s="568"/>
      <c r="URV1" s="568"/>
      <c r="URW1" s="568"/>
      <c r="URX1" s="568"/>
      <c r="URY1" s="568"/>
      <c r="URZ1" s="568"/>
      <c r="USA1" s="568"/>
      <c r="USB1" s="568"/>
      <c r="USC1" s="568"/>
      <c r="USD1" s="568"/>
      <c r="USE1" s="568"/>
      <c r="USF1" s="568"/>
      <c r="USG1" s="568"/>
      <c r="USH1" s="568"/>
      <c r="USI1" s="568"/>
      <c r="USJ1" s="568"/>
      <c r="USK1" s="568"/>
      <c r="USL1" s="568"/>
      <c r="USM1" s="568"/>
      <c r="USN1" s="568"/>
      <c r="USO1" s="568"/>
      <c r="USP1" s="568"/>
      <c r="USQ1" s="568"/>
      <c r="USR1" s="568"/>
      <c r="USS1" s="568"/>
      <c r="UST1" s="568"/>
      <c r="USU1" s="568"/>
      <c r="USV1" s="568"/>
      <c r="USW1" s="568"/>
      <c r="USX1" s="568"/>
      <c r="USY1" s="568"/>
      <c r="USZ1" s="568"/>
      <c r="UTA1" s="568"/>
      <c r="UTB1" s="568"/>
      <c r="UTC1" s="568"/>
      <c r="UTD1" s="568"/>
      <c r="UTE1" s="568"/>
      <c r="UTF1" s="568"/>
      <c r="UTG1" s="568"/>
      <c r="UTH1" s="568"/>
      <c r="UTI1" s="568"/>
      <c r="UTJ1" s="568"/>
      <c r="UTK1" s="568"/>
      <c r="UTL1" s="568"/>
      <c r="UTM1" s="568"/>
      <c r="UTN1" s="568"/>
      <c r="UTO1" s="568"/>
      <c r="UTP1" s="568"/>
      <c r="UTQ1" s="568"/>
      <c r="UTR1" s="568"/>
      <c r="UTS1" s="568"/>
      <c r="UTT1" s="568"/>
      <c r="UTU1" s="568"/>
      <c r="UTV1" s="568"/>
      <c r="UTW1" s="568"/>
      <c r="UTX1" s="568"/>
      <c r="UTY1" s="568"/>
      <c r="UTZ1" s="568"/>
      <c r="UUA1" s="568"/>
      <c r="UUB1" s="568"/>
      <c r="UUC1" s="568"/>
      <c r="UUD1" s="568"/>
      <c r="UUE1" s="568"/>
      <c r="UUF1" s="568"/>
      <c r="UUG1" s="568"/>
      <c r="UUH1" s="568"/>
      <c r="UUI1" s="568"/>
      <c r="UUJ1" s="568"/>
      <c r="UUK1" s="568"/>
      <c r="UUL1" s="568"/>
      <c r="UUM1" s="568"/>
      <c r="UUN1" s="568"/>
      <c r="UUO1" s="568"/>
      <c r="UUP1" s="568"/>
      <c r="UUQ1" s="568"/>
      <c r="UUR1" s="568"/>
      <c r="UUS1" s="568"/>
      <c r="UUT1" s="568"/>
      <c r="UUU1" s="568"/>
      <c r="UUV1" s="568"/>
      <c r="UUW1" s="568"/>
      <c r="UUX1" s="568"/>
      <c r="UUY1" s="568"/>
      <c r="UUZ1" s="568"/>
      <c r="UVA1" s="568"/>
      <c r="UVB1" s="568"/>
      <c r="UVC1" s="568"/>
      <c r="UVD1" s="568"/>
      <c r="UVE1" s="568"/>
      <c r="UVF1" s="568"/>
      <c r="UVG1" s="568"/>
      <c r="UVH1" s="568"/>
      <c r="UVI1" s="568"/>
      <c r="UVJ1" s="568"/>
      <c r="UVK1" s="568"/>
      <c r="UVL1" s="568"/>
      <c r="UVM1" s="568"/>
      <c r="UVN1" s="568"/>
      <c r="UVO1" s="568"/>
      <c r="UVP1" s="568"/>
      <c r="UVQ1" s="568"/>
      <c r="UVR1" s="568"/>
      <c r="UVS1" s="568"/>
      <c r="UVT1" s="568"/>
      <c r="UVU1" s="568"/>
      <c r="UVV1" s="568"/>
      <c r="UVW1" s="568"/>
      <c r="UVX1" s="568"/>
      <c r="UVY1" s="568"/>
      <c r="UVZ1" s="568"/>
      <c r="UWA1" s="568"/>
      <c r="UWB1" s="568"/>
      <c r="UWC1" s="568"/>
      <c r="UWD1" s="568"/>
      <c r="UWE1" s="568"/>
      <c r="UWF1" s="568"/>
      <c r="UWG1" s="568"/>
      <c r="UWH1" s="568"/>
      <c r="UWI1" s="568"/>
      <c r="UWJ1" s="568"/>
      <c r="UWK1" s="568"/>
      <c r="UWL1" s="568"/>
      <c r="UWM1" s="568"/>
      <c r="UWN1" s="568"/>
      <c r="UWO1" s="568"/>
      <c r="UWP1" s="568"/>
      <c r="UWQ1" s="568"/>
      <c r="UWR1" s="568"/>
      <c r="UWS1" s="568"/>
      <c r="UWT1" s="568"/>
      <c r="UWU1" s="568"/>
      <c r="UWV1" s="568"/>
      <c r="UWW1" s="568"/>
      <c r="UWX1" s="568"/>
      <c r="UWY1" s="568"/>
      <c r="UWZ1" s="568"/>
      <c r="UXA1" s="568"/>
      <c r="UXB1" s="568"/>
      <c r="UXC1" s="568"/>
      <c r="UXD1" s="568"/>
      <c r="UXE1" s="568"/>
      <c r="UXF1" s="568"/>
      <c r="UXG1" s="568"/>
      <c r="UXH1" s="568"/>
      <c r="UXI1" s="568"/>
      <c r="UXJ1" s="568"/>
      <c r="UXK1" s="568"/>
      <c r="UXL1" s="568"/>
      <c r="UXM1" s="568"/>
      <c r="UXN1" s="568"/>
      <c r="UXO1" s="568"/>
      <c r="UXP1" s="568"/>
      <c r="UXQ1" s="568"/>
      <c r="UXR1" s="568"/>
      <c r="UXS1" s="568"/>
      <c r="UXT1" s="568"/>
      <c r="UXU1" s="568"/>
      <c r="UXV1" s="568"/>
      <c r="UXW1" s="568"/>
      <c r="UXX1" s="568"/>
      <c r="UXY1" s="568"/>
      <c r="UXZ1" s="568"/>
      <c r="UYA1" s="568"/>
      <c r="UYB1" s="568"/>
      <c r="UYC1" s="568"/>
      <c r="UYD1" s="568"/>
      <c r="UYE1" s="568"/>
      <c r="UYF1" s="568"/>
      <c r="UYG1" s="568"/>
      <c r="UYH1" s="568"/>
      <c r="UYI1" s="568"/>
      <c r="UYJ1" s="568"/>
      <c r="UYK1" s="568"/>
      <c r="UYL1" s="568"/>
      <c r="UYM1" s="568"/>
      <c r="UYN1" s="568"/>
      <c r="UYO1" s="568"/>
      <c r="UYP1" s="568"/>
      <c r="UYQ1" s="568"/>
      <c r="UYR1" s="568"/>
      <c r="UYS1" s="568"/>
      <c r="UYT1" s="568"/>
      <c r="UYU1" s="568"/>
      <c r="UYV1" s="568"/>
      <c r="UYW1" s="568"/>
      <c r="UYX1" s="568"/>
      <c r="UYY1" s="568"/>
      <c r="UYZ1" s="568"/>
      <c r="UZA1" s="568"/>
      <c r="UZB1" s="568"/>
      <c r="UZC1" s="568"/>
      <c r="UZD1" s="568"/>
      <c r="UZE1" s="568"/>
      <c r="UZF1" s="568"/>
      <c r="UZG1" s="568"/>
      <c r="UZH1" s="568"/>
      <c r="UZI1" s="568"/>
      <c r="UZJ1" s="568"/>
      <c r="UZK1" s="568"/>
      <c r="UZL1" s="568"/>
      <c r="UZM1" s="568"/>
      <c r="UZN1" s="568"/>
      <c r="UZO1" s="568"/>
      <c r="UZP1" s="568"/>
      <c r="UZQ1" s="568"/>
      <c r="UZR1" s="568"/>
      <c r="UZS1" s="568"/>
      <c r="UZT1" s="568"/>
      <c r="UZU1" s="568"/>
      <c r="UZV1" s="568"/>
      <c r="UZW1" s="568"/>
      <c r="UZX1" s="568"/>
      <c r="UZY1" s="568"/>
      <c r="UZZ1" s="568"/>
      <c r="VAA1" s="568"/>
      <c r="VAB1" s="568"/>
      <c r="VAC1" s="568"/>
      <c r="VAD1" s="568"/>
      <c r="VAE1" s="568"/>
      <c r="VAF1" s="568"/>
      <c r="VAG1" s="568"/>
      <c r="VAH1" s="568"/>
      <c r="VAI1" s="568"/>
      <c r="VAJ1" s="568"/>
      <c r="VAK1" s="568"/>
      <c r="VAL1" s="568"/>
      <c r="VAM1" s="568"/>
      <c r="VAN1" s="568"/>
      <c r="VAO1" s="568"/>
      <c r="VAP1" s="568"/>
      <c r="VAQ1" s="568"/>
      <c r="VAR1" s="568"/>
      <c r="VAS1" s="568"/>
      <c r="VAT1" s="568"/>
      <c r="VAU1" s="568"/>
      <c r="VAV1" s="568"/>
      <c r="VAW1" s="568"/>
      <c r="VAX1" s="568"/>
      <c r="VAY1" s="568"/>
      <c r="VAZ1" s="568"/>
      <c r="VBA1" s="568"/>
      <c r="VBB1" s="568"/>
      <c r="VBC1" s="568"/>
      <c r="VBD1" s="568"/>
      <c r="VBE1" s="568"/>
      <c r="VBF1" s="568"/>
      <c r="VBG1" s="568"/>
      <c r="VBH1" s="568"/>
      <c r="VBI1" s="568"/>
      <c r="VBJ1" s="568"/>
      <c r="VBK1" s="568"/>
      <c r="VBL1" s="568"/>
      <c r="VBM1" s="568"/>
      <c r="VBN1" s="568"/>
      <c r="VBO1" s="568"/>
      <c r="VBP1" s="568"/>
      <c r="VBQ1" s="568"/>
      <c r="VBR1" s="568"/>
      <c r="VBS1" s="568"/>
      <c r="VBT1" s="568"/>
      <c r="VBU1" s="568"/>
      <c r="VBV1" s="568"/>
      <c r="VBW1" s="568"/>
      <c r="VBX1" s="568"/>
      <c r="VBY1" s="568"/>
      <c r="VBZ1" s="568"/>
      <c r="VCA1" s="568"/>
      <c r="VCB1" s="568"/>
      <c r="VCC1" s="568"/>
      <c r="VCD1" s="568"/>
      <c r="VCE1" s="568"/>
      <c r="VCF1" s="568"/>
      <c r="VCG1" s="568"/>
      <c r="VCH1" s="568"/>
      <c r="VCI1" s="568"/>
      <c r="VCJ1" s="568"/>
      <c r="VCK1" s="568"/>
      <c r="VCL1" s="568"/>
      <c r="VCM1" s="568"/>
      <c r="VCN1" s="568"/>
      <c r="VCO1" s="568"/>
      <c r="VCP1" s="568"/>
      <c r="VCQ1" s="568"/>
      <c r="VCR1" s="568"/>
      <c r="VCS1" s="568"/>
      <c r="VCT1" s="568"/>
      <c r="VCU1" s="568"/>
      <c r="VCV1" s="568"/>
      <c r="VCW1" s="568"/>
      <c r="VCX1" s="568"/>
      <c r="VCY1" s="568"/>
      <c r="VCZ1" s="568"/>
      <c r="VDA1" s="568"/>
      <c r="VDB1" s="568"/>
      <c r="VDC1" s="568"/>
      <c r="VDD1" s="568"/>
      <c r="VDE1" s="568"/>
      <c r="VDF1" s="568"/>
      <c r="VDG1" s="568"/>
      <c r="VDH1" s="568"/>
      <c r="VDI1" s="568"/>
      <c r="VDJ1" s="568"/>
      <c r="VDK1" s="568"/>
      <c r="VDL1" s="568"/>
      <c r="VDM1" s="568"/>
      <c r="VDN1" s="568"/>
      <c r="VDO1" s="568"/>
      <c r="VDP1" s="568"/>
      <c r="VDQ1" s="568"/>
      <c r="VDR1" s="568"/>
      <c r="VDS1" s="568"/>
      <c r="VDT1" s="568"/>
      <c r="VDU1" s="568"/>
      <c r="VDV1" s="568"/>
      <c r="VDW1" s="568"/>
      <c r="VDX1" s="568"/>
      <c r="VDY1" s="568"/>
      <c r="VDZ1" s="568"/>
      <c r="VEA1" s="568"/>
      <c r="VEB1" s="568"/>
      <c r="VEC1" s="568"/>
      <c r="VED1" s="568"/>
      <c r="VEE1" s="568"/>
      <c r="VEF1" s="568"/>
      <c r="VEG1" s="568"/>
      <c r="VEH1" s="568"/>
      <c r="VEI1" s="568"/>
      <c r="VEJ1" s="568"/>
      <c r="VEK1" s="568"/>
      <c r="VEL1" s="568"/>
      <c r="VEM1" s="568"/>
      <c r="VEN1" s="568"/>
      <c r="VEO1" s="568"/>
      <c r="VEP1" s="568"/>
      <c r="VEQ1" s="568"/>
      <c r="VER1" s="568"/>
      <c r="VES1" s="568"/>
      <c r="VET1" s="568"/>
      <c r="VEU1" s="568"/>
      <c r="VEV1" s="568"/>
      <c r="VEW1" s="568"/>
      <c r="VEX1" s="568"/>
      <c r="VEY1" s="568"/>
      <c r="VEZ1" s="568"/>
      <c r="VFA1" s="568"/>
      <c r="VFB1" s="568"/>
      <c r="VFC1" s="568"/>
      <c r="VFD1" s="568"/>
      <c r="VFE1" s="568"/>
      <c r="VFF1" s="568"/>
      <c r="VFG1" s="568"/>
      <c r="VFH1" s="568"/>
      <c r="VFI1" s="568"/>
      <c r="VFJ1" s="568"/>
      <c r="VFK1" s="568"/>
      <c r="VFL1" s="568"/>
      <c r="VFM1" s="568"/>
      <c r="VFN1" s="568"/>
      <c r="VFO1" s="568"/>
      <c r="VFP1" s="568"/>
      <c r="VFQ1" s="568"/>
      <c r="VFR1" s="568"/>
      <c r="VFS1" s="568"/>
      <c r="VFT1" s="568"/>
      <c r="VFU1" s="568"/>
      <c r="VFV1" s="568"/>
      <c r="VFW1" s="568"/>
      <c r="VFX1" s="568"/>
      <c r="VFY1" s="568"/>
      <c r="VFZ1" s="568"/>
      <c r="VGA1" s="568"/>
      <c r="VGB1" s="568"/>
      <c r="VGC1" s="568"/>
      <c r="VGD1" s="568"/>
      <c r="VGE1" s="568"/>
      <c r="VGF1" s="568"/>
      <c r="VGG1" s="568"/>
      <c r="VGH1" s="568"/>
      <c r="VGI1" s="568"/>
      <c r="VGJ1" s="568"/>
      <c r="VGK1" s="568"/>
      <c r="VGL1" s="568"/>
      <c r="VGM1" s="568"/>
      <c r="VGN1" s="568"/>
      <c r="VGO1" s="568"/>
      <c r="VGP1" s="568"/>
      <c r="VGQ1" s="568"/>
      <c r="VGR1" s="568"/>
      <c r="VGS1" s="568"/>
      <c r="VGT1" s="568"/>
      <c r="VGU1" s="568"/>
      <c r="VGV1" s="568"/>
      <c r="VGW1" s="568"/>
      <c r="VGX1" s="568"/>
      <c r="VGY1" s="568"/>
      <c r="VGZ1" s="568"/>
      <c r="VHA1" s="568"/>
      <c r="VHB1" s="568"/>
      <c r="VHC1" s="568"/>
      <c r="VHD1" s="568"/>
      <c r="VHE1" s="568"/>
      <c r="VHF1" s="568"/>
      <c r="VHG1" s="568"/>
      <c r="VHH1" s="568"/>
      <c r="VHI1" s="568"/>
      <c r="VHJ1" s="568"/>
      <c r="VHK1" s="568"/>
      <c r="VHL1" s="568"/>
      <c r="VHM1" s="568"/>
      <c r="VHN1" s="568"/>
      <c r="VHO1" s="568"/>
      <c r="VHP1" s="568"/>
      <c r="VHQ1" s="568"/>
      <c r="VHR1" s="568"/>
      <c r="VHS1" s="568"/>
      <c r="VHT1" s="568"/>
      <c r="VHU1" s="568"/>
      <c r="VHV1" s="568"/>
      <c r="VHW1" s="568"/>
      <c r="VHX1" s="568"/>
      <c r="VHY1" s="568"/>
      <c r="VHZ1" s="568"/>
      <c r="VIA1" s="568"/>
      <c r="VIB1" s="568"/>
      <c r="VIC1" s="568"/>
      <c r="VID1" s="568"/>
      <c r="VIE1" s="568"/>
      <c r="VIF1" s="568"/>
      <c r="VIG1" s="568"/>
      <c r="VIH1" s="568"/>
      <c r="VII1" s="568"/>
      <c r="VIJ1" s="568"/>
      <c r="VIK1" s="568"/>
      <c r="VIL1" s="568"/>
      <c r="VIM1" s="568"/>
      <c r="VIN1" s="568"/>
      <c r="VIO1" s="568"/>
      <c r="VIP1" s="568"/>
      <c r="VIQ1" s="568"/>
      <c r="VIR1" s="568"/>
      <c r="VIS1" s="568"/>
      <c r="VIT1" s="568"/>
      <c r="VIU1" s="568"/>
      <c r="VIV1" s="568"/>
      <c r="VIW1" s="568"/>
      <c r="VIX1" s="568"/>
      <c r="VIY1" s="568"/>
      <c r="VIZ1" s="568"/>
      <c r="VJA1" s="568"/>
      <c r="VJB1" s="568"/>
      <c r="VJC1" s="568"/>
      <c r="VJD1" s="568"/>
      <c r="VJE1" s="568"/>
      <c r="VJF1" s="568"/>
      <c r="VJG1" s="568"/>
      <c r="VJH1" s="568"/>
      <c r="VJI1" s="568"/>
      <c r="VJJ1" s="568"/>
      <c r="VJK1" s="568"/>
      <c r="VJL1" s="568"/>
      <c r="VJM1" s="568"/>
      <c r="VJN1" s="568"/>
      <c r="VJO1" s="568"/>
      <c r="VJP1" s="568"/>
      <c r="VJQ1" s="568"/>
      <c r="VJR1" s="568"/>
      <c r="VJS1" s="568"/>
      <c r="VJT1" s="568"/>
      <c r="VJU1" s="568"/>
      <c r="VJV1" s="568"/>
      <c r="VJW1" s="568"/>
      <c r="VJX1" s="568"/>
      <c r="VJY1" s="568"/>
      <c r="VJZ1" s="568"/>
      <c r="VKA1" s="568"/>
      <c r="VKB1" s="568"/>
      <c r="VKC1" s="568"/>
      <c r="VKD1" s="568"/>
      <c r="VKE1" s="568"/>
      <c r="VKF1" s="568"/>
      <c r="VKG1" s="568"/>
      <c r="VKH1" s="568"/>
      <c r="VKI1" s="568"/>
      <c r="VKJ1" s="568"/>
      <c r="VKK1" s="568"/>
      <c r="VKL1" s="568"/>
      <c r="VKM1" s="568"/>
      <c r="VKN1" s="568"/>
      <c r="VKO1" s="568"/>
      <c r="VKP1" s="568"/>
      <c r="VKQ1" s="568"/>
      <c r="VKR1" s="568"/>
      <c r="VKS1" s="568"/>
      <c r="VKT1" s="568"/>
      <c r="VKU1" s="568"/>
      <c r="VKV1" s="568"/>
      <c r="VKW1" s="568"/>
      <c r="VKX1" s="568"/>
      <c r="VKY1" s="568"/>
      <c r="VKZ1" s="568"/>
      <c r="VLA1" s="568"/>
      <c r="VLB1" s="568"/>
      <c r="VLC1" s="568"/>
      <c r="VLD1" s="568"/>
      <c r="VLE1" s="568"/>
      <c r="VLF1" s="568"/>
      <c r="VLG1" s="568"/>
      <c r="VLH1" s="568"/>
      <c r="VLI1" s="568"/>
      <c r="VLJ1" s="568"/>
      <c r="VLK1" s="568"/>
      <c r="VLL1" s="568"/>
      <c r="VLM1" s="568"/>
      <c r="VLN1" s="568"/>
      <c r="VLO1" s="568"/>
      <c r="VLP1" s="568"/>
      <c r="VLQ1" s="568"/>
      <c r="VLR1" s="568"/>
      <c r="VLS1" s="568"/>
      <c r="VLT1" s="568"/>
      <c r="VLU1" s="568"/>
      <c r="VLV1" s="568"/>
      <c r="VLW1" s="568"/>
      <c r="VLX1" s="568"/>
      <c r="VLY1" s="568"/>
      <c r="VLZ1" s="568"/>
      <c r="VMA1" s="568"/>
      <c r="VMB1" s="568"/>
      <c r="VMC1" s="568"/>
      <c r="VMD1" s="568"/>
      <c r="VME1" s="568"/>
      <c r="VMF1" s="568"/>
      <c r="VMG1" s="568"/>
      <c r="VMH1" s="568"/>
      <c r="VMI1" s="568"/>
      <c r="VMJ1" s="568"/>
      <c r="VMK1" s="568"/>
      <c r="VML1" s="568"/>
      <c r="VMM1" s="568"/>
      <c r="VMN1" s="568"/>
      <c r="VMO1" s="568"/>
      <c r="VMP1" s="568"/>
      <c r="VMQ1" s="568"/>
      <c r="VMR1" s="568"/>
      <c r="VMS1" s="568"/>
      <c r="VMT1" s="568"/>
      <c r="VMU1" s="568"/>
      <c r="VMV1" s="568"/>
      <c r="VMW1" s="568"/>
      <c r="VMX1" s="568"/>
      <c r="VMY1" s="568"/>
      <c r="VMZ1" s="568"/>
      <c r="VNA1" s="568"/>
      <c r="VNB1" s="568"/>
      <c r="VNC1" s="568"/>
      <c r="VND1" s="568"/>
      <c r="VNE1" s="568"/>
      <c r="VNF1" s="568"/>
      <c r="VNG1" s="568"/>
      <c r="VNH1" s="568"/>
      <c r="VNI1" s="568"/>
      <c r="VNJ1" s="568"/>
      <c r="VNK1" s="568"/>
      <c r="VNL1" s="568"/>
      <c r="VNM1" s="568"/>
      <c r="VNN1" s="568"/>
      <c r="VNO1" s="568"/>
      <c r="VNP1" s="568"/>
      <c r="VNQ1" s="568"/>
      <c r="VNR1" s="568"/>
      <c r="VNS1" s="568"/>
      <c r="VNT1" s="568"/>
      <c r="VNU1" s="568"/>
      <c r="VNV1" s="568"/>
      <c r="VNW1" s="568"/>
      <c r="VNX1" s="568"/>
      <c r="VNY1" s="568"/>
      <c r="VNZ1" s="568"/>
      <c r="VOA1" s="568"/>
      <c r="VOB1" s="568"/>
      <c r="VOC1" s="568"/>
      <c r="VOD1" s="568"/>
      <c r="VOE1" s="568"/>
      <c r="VOF1" s="568"/>
      <c r="VOG1" s="568"/>
      <c r="VOH1" s="568"/>
      <c r="VOI1" s="568"/>
      <c r="VOJ1" s="568"/>
      <c r="VOK1" s="568"/>
      <c r="VOL1" s="568"/>
      <c r="VOM1" s="568"/>
      <c r="VON1" s="568"/>
      <c r="VOO1" s="568"/>
      <c r="VOP1" s="568"/>
      <c r="VOQ1" s="568"/>
      <c r="VOR1" s="568"/>
      <c r="VOS1" s="568"/>
      <c r="VOT1" s="568"/>
      <c r="VOU1" s="568"/>
      <c r="VOV1" s="568"/>
      <c r="VOW1" s="568"/>
      <c r="VOX1" s="568"/>
      <c r="VOY1" s="568"/>
      <c r="VOZ1" s="568"/>
      <c r="VPA1" s="568"/>
      <c r="VPB1" s="568"/>
      <c r="VPC1" s="568"/>
      <c r="VPD1" s="568"/>
      <c r="VPE1" s="568"/>
      <c r="VPF1" s="568"/>
      <c r="VPG1" s="568"/>
      <c r="VPH1" s="568"/>
      <c r="VPI1" s="568"/>
      <c r="VPJ1" s="568"/>
      <c r="VPK1" s="568"/>
      <c r="VPL1" s="568"/>
      <c r="VPM1" s="568"/>
      <c r="VPN1" s="568"/>
      <c r="VPO1" s="568"/>
      <c r="VPP1" s="568"/>
      <c r="VPQ1" s="568"/>
      <c r="VPR1" s="568"/>
      <c r="VPS1" s="568"/>
      <c r="VPT1" s="568"/>
      <c r="VPU1" s="568"/>
      <c r="VPV1" s="568"/>
      <c r="VPW1" s="568"/>
      <c r="VPX1" s="568"/>
      <c r="VPY1" s="568"/>
      <c r="VPZ1" s="568"/>
      <c r="VQA1" s="568"/>
      <c r="VQB1" s="568"/>
      <c r="VQC1" s="568"/>
      <c r="VQD1" s="568"/>
      <c r="VQE1" s="568"/>
      <c r="VQF1" s="568"/>
      <c r="VQG1" s="568"/>
      <c r="VQH1" s="568"/>
      <c r="VQI1" s="568"/>
      <c r="VQJ1" s="568"/>
      <c r="VQK1" s="568"/>
      <c r="VQL1" s="568"/>
      <c r="VQM1" s="568"/>
      <c r="VQN1" s="568"/>
      <c r="VQO1" s="568"/>
      <c r="VQP1" s="568"/>
      <c r="VQQ1" s="568"/>
      <c r="VQR1" s="568"/>
      <c r="VQS1" s="568"/>
      <c r="VQT1" s="568"/>
      <c r="VQU1" s="568"/>
      <c r="VQV1" s="568"/>
      <c r="VQW1" s="568"/>
      <c r="VQX1" s="568"/>
      <c r="VQY1" s="568"/>
      <c r="VQZ1" s="568"/>
      <c r="VRA1" s="568"/>
      <c r="VRB1" s="568"/>
      <c r="VRC1" s="568"/>
      <c r="VRD1" s="568"/>
      <c r="VRE1" s="568"/>
      <c r="VRF1" s="568"/>
      <c r="VRG1" s="568"/>
      <c r="VRH1" s="568"/>
      <c r="VRI1" s="568"/>
      <c r="VRJ1" s="568"/>
      <c r="VRK1" s="568"/>
      <c r="VRL1" s="568"/>
      <c r="VRM1" s="568"/>
      <c r="VRN1" s="568"/>
      <c r="VRO1" s="568"/>
      <c r="VRP1" s="568"/>
      <c r="VRQ1" s="568"/>
      <c r="VRR1" s="568"/>
      <c r="VRS1" s="568"/>
      <c r="VRT1" s="568"/>
      <c r="VRU1" s="568"/>
      <c r="VRV1" s="568"/>
      <c r="VRW1" s="568"/>
      <c r="VRX1" s="568"/>
      <c r="VRY1" s="568"/>
      <c r="VRZ1" s="568"/>
      <c r="VSA1" s="568"/>
      <c r="VSB1" s="568"/>
      <c r="VSC1" s="568"/>
      <c r="VSD1" s="568"/>
      <c r="VSE1" s="568"/>
      <c r="VSF1" s="568"/>
      <c r="VSG1" s="568"/>
      <c r="VSH1" s="568"/>
      <c r="VSI1" s="568"/>
      <c r="VSJ1" s="568"/>
      <c r="VSK1" s="568"/>
      <c r="VSL1" s="568"/>
      <c r="VSM1" s="568"/>
      <c r="VSN1" s="568"/>
      <c r="VSO1" s="568"/>
      <c r="VSP1" s="568"/>
      <c r="VSQ1" s="568"/>
      <c r="VSR1" s="568"/>
      <c r="VSS1" s="568"/>
      <c r="VST1" s="568"/>
      <c r="VSU1" s="568"/>
      <c r="VSV1" s="568"/>
      <c r="VSW1" s="568"/>
      <c r="VSX1" s="568"/>
      <c r="VSY1" s="568"/>
      <c r="VSZ1" s="568"/>
      <c r="VTA1" s="568"/>
      <c r="VTB1" s="568"/>
      <c r="VTC1" s="568"/>
      <c r="VTD1" s="568"/>
      <c r="VTE1" s="568"/>
      <c r="VTF1" s="568"/>
      <c r="VTG1" s="568"/>
      <c r="VTH1" s="568"/>
      <c r="VTI1" s="568"/>
      <c r="VTJ1" s="568"/>
      <c r="VTK1" s="568"/>
      <c r="VTL1" s="568"/>
      <c r="VTM1" s="568"/>
      <c r="VTN1" s="568"/>
      <c r="VTO1" s="568"/>
      <c r="VTP1" s="568"/>
      <c r="VTQ1" s="568"/>
      <c r="VTR1" s="568"/>
      <c r="VTS1" s="568"/>
      <c r="VTT1" s="568"/>
      <c r="VTU1" s="568"/>
      <c r="VTV1" s="568"/>
      <c r="VTW1" s="568"/>
      <c r="VTX1" s="568"/>
      <c r="VTY1" s="568"/>
      <c r="VTZ1" s="568"/>
      <c r="VUA1" s="568"/>
      <c r="VUB1" s="568"/>
      <c r="VUC1" s="568"/>
      <c r="VUD1" s="568"/>
      <c r="VUE1" s="568"/>
      <c r="VUF1" s="568"/>
      <c r="VUG1" s="568"/>
      <c r="VUH1" s="568"/>
      <c r="VUI1" s="568"/>
      <c r="VUJ1" s="568"/>
      <c r="VUK1" s="568"/>
      <c r="VUL1" s="568"/>
      <c r="VUM1" s="568"/>
      <c r="VUN1" s="568"/>
      <c r="VUO1" s="568"/>
      <c r="VUP1" s="568"/>
      <c r="VUQ1" s="568"/>
      <c r="VUR1" s="568"/>
      <c r="VUS1" s="568"/>
      <c r="VUT1" s="568"/>
      <c r="VUU1" s="568"/>
      <c r="VUV1" s="568"/>
      <c r="VUW1" s="568"/>
      <c r="VUX1" s="568"/>
      <c r="VUY1" s="568"/>
      <c r="VUZ1" s="568"/>
      <c r="VVA1" s="568"/>
      <c r="VVB1" s="568"/>
      <c r="VVC1" s="568"/>
      <c r="VVD1" s="568"/>
      <c r="VVE1" s="568"/>
      <c r="VVF1" s="568"/>
      <c r="VVG1" s="568"/>
      <c r="VVH1" s="568"/>
      <c r="VVI1" s="568"/>
      <c r="VVJ1" s="568"/>
      <c r="VVK1" s="568"/>
      <c r="VVL1" s="568"/>
      <c r="VVM1" s="568"/>
      <c r="VVN1" s="568"/>
      <c r="VVO1" s="568"/>
      <c r="VVP1" s="568"/>
      <c r="VVQ1" s="568"/>
      <c r="VVR1" s="568"/>
      <c r="VVS1" s="568"/>
      <c r="VVT1" s="568"/>
      <c r="VVU1" s="568"/>
      <c r="VVV1" s="568"/>
      <c r="VVW1" s="568"/>
      <c r="VVX1" s="568"/>
      <c r="VVY1" s="568"/>
      <c r="VVZ1" s="568"/>
      <c r="VWA1" s="568"/>
      <c r="VWB1" s="568"/>
      <c r="VWC1" s="568"/>
      <c r="VWD1" s="568"/>
      <c r="VWE1" s="568"/>
      <c r="VWF1" s="568"/>
      <c r="VWG1" s="568"/>
      <c r="VWH1" s="568"/>
      <c r="VWI1" s="568"/>
      <c r="VWJ1" s="568"/>
      <c r="VWK1" s="568"/>
      <c r="VWL1" s="568"/>
      <c r="VWM1" s="568"/>
      <c r="VWN1" s="568"/>
      <c r="VWO1" s="568"/>
      <c r="VWP1" s="568"/>
      <c r="VWQ1" s="568"/>
      <c r="VWR1" s="568"/>
      <c r="VWS1" s="568"/>
      <c r="VWT1" s="568"/>
      <c r="VWU1" s="568"/>
      <c r="VWV1" s="568"/>
      <c r="VWW1" s="568"/>
      <c r="VWX1" s="568"/>
      <c r="VWY1" s="568"/>
      <c r="VWZ1" s="568"/>
      <c r="VXA1" s="568"/>
      <c r="VXB1" s="568"/>
      <c r="VXC1" s="568"/>
      <c r="VXD1" s="568"/>
      <c r="VXE1" s="568"/>
      <c r="VXF1" s="568"/>
      <c r="VXG1" s="568"/>
      <c r="VXH1" s="568"/>
      <c r="VXI1" s="568"/>
      <c r="VXJ1" s="568"/>
      <c r="VXK1" s="568"/>
      <c r="VXL1" s="568"/>
      <c r="VXM1" s="568"/>
      <c r="VXN1" s="568"/>
      <c r="VXO1" s="568"/>
      <c r="VXP1" s="568"/>
      <c r="VXQ1" s="568"/>
      <c r="VXR1" s="568"/>
      <c r="VXS1" s="568"/>
      <c r="VXT1" s="568"/>
      <c r="VXU1" s="568"/>
      <c r="VXV1" s="568"/>
      <c r="VXW1" s="568"/>
      <c r="VXX1" s="568"/>
      <c r="VXY1" s="568"/>
      <c r="VXZ1" s="568"/>
      <c r="VYA1" s="568"/>
      <c r="VYB1" s="568"/>
      <c r="VYC1" s="568"/>
      <c r="VYD1" s="568"/>
      <c r="VYE1" s="568"/>
      <c r="VYF1" s="568"/>
      <c r="VYG1" s="568"/>
      <c r="VYH1" s="568"/>
      <c r="VYI1" s="568"/>
      <c r="VYJ1" s="568"/>
      <c r="VYK1" s="568"/>
      <c r="VYL1" s="568"/>
      <c r="VYM1" s="568"/>
      <c r="VYN1" s="568"/>
      <c r="VYO1" s="568"/>
      <c r="VYP1" s="568"/>
      <c r="VYQ1" s="568"/>
      <c r="VYR1" s="568"/>
      <c r="VYS1" s="568"/>
      <c r="VYT1" s="568"/>
      <c r="VYU1" s="568"/>
      <c r="VYV1" s="568"/>
      <c r="VYW1" s="568"/>
      <c r="VYX1" s="568"/>
      <c r="VYY1" s="568"/>
      <c r="VYZ1" s="568"/>
      <c r="VZA1" s="568"/>
      <c r="VZB1" s="568"/>
      <c r="VZC1" s="568"/>
      <c r="VZD1" s="568"/>
      <c r="VZE1" s="568"/>
      <c r="VZF1" s="568"/>
      <c r="VZG1" s="568"/>
      <c r="VZH1" s="568"/>
      <c r="VZI1" s="568"/>
      <c r="VZJ1" s="568"/>
      <c r="VZK1" s="568"/>
      <c r="VZL1" s="568"/>
      <c r="VZM1" s="568"/>
      <c r="VZN1" s="568"/>
      <c r="VZO1" s="568"/>
      <c r="VZP1" s="568"/>
      <c r="VZQ1" s="568"/>
      <c r="VZR1" s="568"/>
      <c r="VZS1" s="568"/>
      <c r="VZT1" s="568"/>
      <c r="VZU1" s="568"/>
      <c r="VZV1" s="568"/>
      <c r="VZW1" s="568"/>
      <c r="VZX1" s="568"/>
      <c r="VZY1" s="568"/>
      <c r="VZZ1" s="568"/>
      <c r="WAA1" s="568"/>
      <c r="WAB1" s="568"/>
      <c r="WAC1" s="568"/>
      <c r="WAD1" s="568"/>
      <c r="WAE1" s="568"/>
      <c r="WAF1" s="568"/>
      <c r="WAG1" s="568"/>
      <c r="WAH1" s="568"/>
      <c r="WAI1" s="568"/>
      <c r="WAJ1" s="568"/>
      <c r="WAK1" s="568"/>
      <c r="WAL1" s="568"/>
      <c r="WAM1" s="568"/>
      <c r="WAN1" s="568"/>
      <c r="WAO1" s="568"/>
      <c r="WAP1" s="568"/>
      <c r="WAQ1" s="568"/>
      <c r="WAR1" s="568"/>
      <c r="WAS1" s="568"/>
      <c r="WAT1" s="568"/>
      <c r="WAU1" s="568"/>
      <c r="WAV1" s="568"/>
      <c r="WAW1" s="568"/>
      <c r="WAX1" s="568"/>
      <c r="WAY1" s="568"/>
      <c r="WAZ1" s="568"/>
      <c r="WBA1" s="568"/>
      <c r="WBB1" s="568"/>
      <c r="WBC1" s="568"/>
      <c r="WBD1" s="568"/>
      <c r="WBE1" s="568"/>
      <c r="WBF1" s="568"/>
      <c r="WBG1" s="568"/>
      <c r="WBH1" s="568"/>
      <c r="WBI1" s="568"/>
      <c r="WBJ1" s="568"/>
      <c r="WBK1" s="568"/>
      <c r="WBL1" s="568"/>
      <c r="WBM1" s="568"/>
      <c r="WBN1" s="568"/>
      <c r="WBO1" s="568"/>
      <c r="WBP1" s="568"/>
      <c r="WBQ1" s="568"/>
      <c r="WBR1" s="568"/>
      <c r="WBS1" s="568"/>
      <c r="WBT1" s="568"/>
      <c r="WBU1" s="568"/>
      <c r="WBV1" s="568"/>
      <c r="WBW1" s="568"/>
      <c r="WBX1" s="568"/>
      <c r="WBY1" s="568"/>
      <c r="WBZ1" s="568"/>
      <c r="WCA1" s="568"/>
      <c r="WCB1" s="568"/>
      <c r="WCC1" s="568"/>
      <c r="WCD1" s="568"/>
      <c r="WCE1" s="568"/>
      <c r="WCF1" s="568"/>
      <c r="WCG1" s="568"/>
      <c r="WCH1" s="568"/>
      <c r="WCI1" s="568"/>
      <c r="WCJ1" s="568"/>
      <c r="WCK1" s="568"/>
      <c r="WCL1" s="568"/>
      <c r="WCM1" s="568"/>
      <c r="WCN1" s="568"/>
      <c r="WCO1" s="568"/>
      <c r="WCP1" s="568"/>
      <c r="WCQ1" s="568"/>
      <c r="WCR1" s="568"/>
      <c r="WCS1" s="568"/>
      <c r="WCT1" s="568"/>
      <c r="WCU1" s="568"/>
      <c r="WCV1" s="568"/>
      <c r="WCW1" s="568"/>
      <c r="WCX1" s="568"/>
      <c r="WCY1" s="568"/>
      <c r="WCZ1" s="568"/>
      <c r="WDA1" s="568"/>
      <c r="WDB1" s="568"/>
      <c r="WDC1" s="568"/>
      <c r="WDD1" s="568"/>
      <c r="WDE1" s="568"/>
      <c r="WDF1" s="568"/>
      <c r="WDG1" s="568"/>
      <c r="WDH1" s="568"/>
      <c r="WDI1" s="568"/>
      <c r="WDJ1" s="568"/>
      <c r="WDK1" s="568"/>
      <c r="WDL1" s="568"/>
      <c r="WDM1" s="568"/>
      <c r="WDN1" s="568"/>
      <c r="WDO1" s="568"/>
      <c r="WDP1" s="568"/>
      <c r="WDQ1" s="568"/>
      <c r="WDR1" s="568"/>
      <c r="WDS1" s="568"/>
      <c r="WDT1" s="568"/>
      <c r="WDU1" s="568"/>
      <c r="WDV1" s="568"/>
      <c r="WDW1" s="568"/>
      <c r="WDX1" s="568"/>
      <c r="WDY1" s="568"/>
      <c r="WDZ1" s="568"/>
      <c r="WEA1" s="568"/>
      <c r="WEB1" s="568"/>
      <c r="WEC1" s="568"/>
      <c r="WED1" s="568"/>
      <c r="WEE1" s="568"/>
      <c r="WEF1" s="568"/>
      <c r="WEG1" s="568"/>
      <c r="WEH1" s="568"/>
      <c r="WEI1" s="568"/>
      <c r="WEJ1" s="568"/>
      <c r="WEK1" s="568"/>
      <c r="WEL1" s="568"/>
      <c r="WEM1" s="568"/>
      <c r="WEN1" s="568"/>
      <c r="WEO1" s="568"/>
      <c r="WEP1" s="568"/>
      <c r="WEQ1" s="568"/>
      <c r="WER1" s="568"/>
      <c r="WES1" s="568"/>
      <c r="WET1" s="568"/>
      <c r="WEU1" s="568"/>
      <c r="WEV1" s="568"/>
      <c r="WEW1" s="568"/>
      <c r="WEX1" s="568"/>
      <c r="WEY1" s="568"/>
      <c r="WEZ1" s="568"/>
      <c r="WFA1" s="568"/>
      <c r="WFB1" s="568"/>
      <c r="WFC1" s="568"/>
      <c r="WFD1" s="568"/>
      <c r="WFE1" s="568"/>
      <c r="WFF1" s="568"/>
      <c r="WFG1" s="568"/>
      <c r="WFH1" s="568"/>
      <c r="WFI1" s="568"/>
      <c r="WFJ1" s="568"/>
      <c r="WFK1" s="568"/>
      <c r="WFL1" s="568"/>
      <c r="WFM1" s="568"/>
      <c r="WFN1" s="568"/>
      <c r="WFO1" s="568"/>
      <c r="WFP1" s="568"/>
      <c r="WFQ1" s="568"/>
      <c r="WFR1" s="568"/>
      <c r="WFS1" s="568"/>
      <c r="WFT1" s="568"/>
      <c r="WFU1" s="568"/>
      <c r="WFV1" s="568"/>
      <c r="WFW1" s="568"/>
      <c r="WFX1" s="568"/>
      <c r="WFY1" s="568"/>
      <c r="WFZ1" s="568"/>
      <c r="WGA1" s="568"/>
      <c r="WGB1" s="568"/>
      <c r="WGC1" s="568"/>
      <c r="WGD1" s="568"/>
      <c r="WGE1" s="568"/>
      <c r="WGF1" s="568"/>
      <c r="WGG1" s="568"/>
      <c r="WGH1" s="568"/>
      <c r="WGI1" s="568"/>
      <c r="WGJ1" s="568"/>
      <c r="WGK1" s="568"/>
      <c r="WGL1" s="568"/>
      <c r="WGM1" s="568"/>
      <c r="WGN1" s="568"/>
      <c r="WGO1" s="568"/>
      <c r="WGP1" s="568"/>
      <c r="WGQ1" s="568"/>
      <c r="WGR1" s="568"/>
      <c r="WGS1" s="568"/>
      <c r="WGT1" s="568"/>
      <c r="WGU1" s="568"/>
      <c r="WGV1" s="568"/>
      <c r="WGW1" s="568"/>
      <c r="WGX1" s="568"/>
      <c r="WGY1" s="568"/>
      <c r="WGZ1" s="568"/>
      <c r="WHA1" s="568"/>
      <c r="WHB1" s="568"/>
      <c r="WHC1" s="568"/>
      <c r="WHD1" s="568"/>
      <c r="WHE1" s="568"/>
      <c r="WHF1" s="568"/>
      <c r="WHG1" s="568"/>
      <c r="WHH1" s="568"/>
      <c r="WHI1" s="568"/>
      <c r="WHJ1" s="568"/>
      <c r="WHK1" s="568"/>
      <c r="WHL1" s="568"/>
      <c r="WHM1" s="568"/>
      <c r="WHN1" s="568"/>
      <c r="WHO1" s="568"/>
      <c r="WHP1" s="568"/>
      <c r="WHQ1" s="568"/>
      <c r="WHR1" s="568"/>
      <c r="WHS1" s="568"/>
      <c r="WHT1" s="568"/>
      <c r="WHU1" s="568"/>
      <c r="WHV1" s="568"/>
      <c r="WHW1" s="568"/>
      <c r="WHX1" s="568"/>
      <c r="WHY1" s="568"/>
      <c r="WHZ1" s="568"/>
      <c r="WIA1" s="568"/>
      <c r="WIB1" s="568"/>
      <c r="WIC1" s="568"/>
      <c r="WID1" s="568"/>
      <c r="WIE1" s="568"/>
      <c r="WIF1" s="568"/>
      <c r="WIG1" s="568"/>
      <c r="WIH1" s="568"/>
      <c r="WII1" s="568"/>
      <c r="WIJ1" s="568"/>
      <c r="WIK1" s="568"/>
      <c r="WIL1" s="568"/>
      <c r="WIM1" s="568"/>
      <c r="WIN1" s="568"/>
      <c r="WIO1" s="568"/>
      <c r="WIP1" s="568"/>
      <c r="WIQ1" s="568"/>
      <c r="WIR1" s="568"/>
      <c r="WIS1" s="568"/>
      <c r="WIT1" s="568"/>
      <c r="WIU1" s="568"/>
      <c r="WIV1" s="568"/>
      <c r="WIW1" s="568"/>
      <c r="WIX1" s="568"/>
      <c r="WIY1" s="568"/>
      <c r="WIZ1" s="568"/>
      <c r="WJA1" s="568"/>
      <c r="WJB1" s="568"/>
      <c r="WJC1" s="568"/>
      <c r="WJD1" s="568"/>
      <c r="WJE1" s="568"/>
      <c r="WJF1" s="568"/>
      <c r="WJG1" s="568"/>
      <c r="WJH1" s="568"/>
      <c r="WJI1" s="568"/>
      <c r="WJJ1" s="568"/>
      <c r="WJK1" s="568"/>
      <c r="WJL1" s="568"/>
      <c r="WJM1" s="568"/>
      <c r="WJN1" s="568"/>
      <c r="WJO1" s="568"/>
      <c r="WJP1" s="568"/>
      <c r="WJQ1" s="568"/>
      <c r="WJR1" s="568"/>
      <c r="WJS1" s="568"/>
      <c r="WJT1" s="568"/>
      <c r="WJU1" s="568"/>
      <c r="WJV1" s="568"/>
      <c r="WJW1" s="568"/>
      <c r="WJX1" s="568"/>
      <c r="WJY1" s="568"/>
      <c r="WJZ1" s="568"/>
      <c r="WKA1" s="568"/>
      <c r="WKB1" s="568"/>
      <c r="WKC1" s="568"/>
      <c r="WKD1" s="568"/>
      <c r="WKE1" s="568"/>
      <c r="WKF1" s="568"/>
      <c r="WKG1" s="568"/>
      <c r="WKH1" s="568"/>
      <c r="WKI1" s="568"/>
      <c r="WKJ1" s="568"/>
      <c r="WKK1" s="568"/>
      <c r="WKL1" s="568"/>
      <c r="WKM1" s="568"/>
      <c r="WKN1" s="568"/>
      <c r="WKO1" s="568"/>
      <c r="WKP1" s="568"/>
      <c r="WKQ1" s="568"/>
      <c r="WKR1" s="568"/>
      <c r="WKS1" s="568"/>
      <c r="WKT1" s="568"/>
      <c r="WKU1" s="568"/>
      <c r="WKV1" s="568"/>
      <c r="WKW1" s="568"/>
      <c r="WKX1" s="568"/>
      <c r="WKY1" s="568"/>
      <c r="WKZ1" s="568"/>
      <c r="WLA1" s="568"/>
      <c r="WLB1" s="568"/>
      <c r="WLC1" s="568"/>
      <c r="WLD1" s="568"/>
      <c r="WLE1" s="568"/>
      <c r="WLF1" s="568"/>
      <c r="WLG1" s="568"/>
      <c r="WLH1" s="568"/>
      <c r="WLI1" s="568"/>
      <c r="WLJ1" s="568"/>
      <c r="WLK1" s="568"/>
      <c r="WLL1" s="568"/>
      <c r="WLM1" s="568"/>
      <c r="WLN1" s="568"/>
      <c r="WLO1" s="568"/>
      <c r="WLP1" s="568"/>
      <c r="WLQ1" s="568"/>
      <c r="WLR1" s="568"/>
      <c r="WLS1" s="568"/>
      <c r="WLT1" s="568"/>
      <c r="WLU1" s="568"/>
      <c r="WLV1" s="568"/>
      <c r="WLW1" s="568"/>
      <c r="WLX1" s="568"/>
      <c r="WLY1" s="568"/>
      <c r="WLZ1" s="568"/>
      <c r="WMA1" s="568"/>
      <c r="WMB1" s="568"/>
      <c r="WMC1" s="568"/>
      <c r="WMD1" s="568"/>
      <c r="WME1" s="568"/>
      <c r="WMF1" s="568"/>
      <c r="WMG1" s="568"/>
      <c r="WMH1" s="568"/>
      <c r="WMI1" s="568"/>
      <c r="WMJ1" s="568"/>
      <c r="WMK1" s="568"/>
      <c r="WML1" s="568"/>
      <c r="WMM1" s="568"/>
      <c r="WMN1" s="568"/>
      <c r="WMO1" s="568"/>
      <c r="WMP1" s="568"/>
      <c r="WMQ1" s="568"/>
      <c r="WMR1" s="568"/>
      <c r="WMS1" s="568"/>
      <c r="WMT1" s="568"/>
      <c r="WMU1" s="568"/>
      <c r="WMV1" s="568"/>
      <c r="WMW1" s="568"/>
      <c r="WMX1" s="568"/>
      <c r="WMY1" s="568"/>
      <c r="WMZ1" s="568"/>
      <c r="WNA1" s="568"/>
      <c r="WNB1" s="568"/>
      <c r="WNC1" s="568"/>
      <c r="WND1" s="568"/>
      <c r="WNE1" s="568"/>
      <c r="WNF1" s="568"/>
      <c r="WNG1" s="568"/>
      <c r="WNH1" s="568"/>
      <c r="WNI1" s="568"/>
      <c r="WNJ1" s="568"/>
      <c r="WNK1" s="568"/>
      <c r="WNL1" s="568"/>
      <c r="WNM1" s="568"/>
      <c r="WNN1" s="568"/>
      <c r="WNO1" s="568"/>
      <c r="WNP1" s="568"/>
      <c r="WNQ1" s="568"/>
      <c r="WNR1" s="568"/>
      <c r="WNS1" s="568"/>
      <c r="WNT1" s="568"/>
      <c r="WNU1" s="568"/>
      <c r="WNV1" s="568"/>
      <c r="WNW1" s="568"/>
      <c r="WNX1" s="568"/>
      <c r="WNY1" s="568"/>
      <c r="WNZ1" s="568"/>
      <c r="WOA1" s="568"/>
      <c r="WOB1" s="568"/>
      <c r="WOC1" s="568"/>
      <c r="WOD1" s="568"/>
      <c r="WOE1" s="568"/>
      <c r="WOF1" s="568"/>
      <c r="WOG1" s="568"/>
      <c r="WOH1" s="568"/>
      <c r="WOI1" s="568"/>
      <c r="WOJ1" s="568"/>
      <c r="WOK1" s="568"/>
      <c r="WOL1" s="568"/>
      <c r="WOM1" s="568"/>
      <c r="WON1" s="568"/>
      <c r="WOO1" s="568"/>
      <c r="WOP1" s="568"/>
      <c r="WOQ1" s="568"/>
      <c r="WOR1" s="568"/>
      <c r="WOS1" s="568"/>
      <c r="WOT1" s="568"/>
      <c r="WOU1" s="568"/>
      <c r="WOV1" s="568"/>
      <c r="WOW1" s="568"/>
      <c r="WOX1" s="568"/>
      <c r="WOY1" s="568"/>
      <c r="WOZ1" s="568"/>
      <c r="WPA1" s="568"/>
      <c r="WPB1" s="568"/>
      <c r="WPC1" s="568"/>
      <c r="WPD1" s="568"/>
      <c r="WPE1" s="568"/>
      <c r="WPF1" s="568"/>
      <c r="WPG1" s="568"/>
      <c r="WPH1" s="568"/>
      <c r="WPI1" s="568"/>
      <c r="WPJ1" s="568"/>
      <c r="WPK1" s="568"/>
      <c r="WPL1" s="568"/>
      <c r="WPM1" s="568"/>
      <c r="WPN1" s="568"/>
      <c r="WPO1" s="568"/>
      <c r="WPP1" s="568"/>
      <c r="WPQ1" s="568"/>
      <c r="WPR1" s="568"/>
      <c r="WPS1" s="568"/>
      <c r="WPT1" s="568"/>
      <c r="WPU1" s="568"/>
      <c r="WPV1" s="568"/>
      <c r="WPW1" s="568"/>
      <c r="WPX1" s="568"/>
      <c r="WPY1" s="568"/>
      <c r="WPZ1" s="568"/>
      <c r="WQA1" s="568"/>
      <c r="WQB1" s="568"/>
      <c r="WQC1" s="568"/>
      <c r="WQD1" s="568"/>
      <c r="WQE1" s="568"/>
      <c r="WQF1" s="568"/>
      <c r="WQG1" s="568"/>
      <c r="WQH1" s="568"/>
      <c r="WQI1" s="568"/>
      <c r="WQJ1" s="568"/>
      <c r="WQK1" s="568"/>
      <c r="WQL1" s="568"/>
      <c r="WQM1" s="568"/>
      <c r="WQN1" s="568"/>
      <c r="WQO1" s="568"/>
      <c r="WQP1" s="568"/>
      <c r="WQQ1" s="568"/>
      <c r="WQR1" s="568"/>
      <c r="WQS1" s="568"/>
      <c r="WQT1" s="568"/>
      <c r="WQU1" s="568"/>
      <c r="WQV1" s="568"/>
      <c r="WQW1" s="568"/>
      <c r="WQX1" s="568"/>
      <c r="WQY1" s="568"/>
      <c r="WQZ1" s="568"/>
      <c r="WRA1" s="568"/>
      <c r="WRB1" s="568"/>
      <c r="WRC1" s="568"/>
      <c r="WRD1" s="568"/>
      <c r="WRE1" s="568"/>
      <c r="WRF1" s="568"/>
      <c r="WRG1" s="568"/>
      <c r="WRH1" s="568"/>
      <c r="WRI1" s="568"/>
      <c r="WRJ1" s="568"/>
      <c r="WRK1" s="568"/>
      <c r="WRL1" s="568"/>
      <c r="WRM1" s="568"/>
      <c r="WRN1" s="568"/>
      <c r="WRO1" s="568"/>
      <c r="WRP1" s="568"/>
      <c r="WRQ1" s="568"/>
      <c r="WRR1" s="568"/>
      <c r="WRS1" s="568"/>
      <c r="WRT1" s="568"/>
      <c r="WRU1" s="568"/>
      <c r="WRV1" s="568"/>
      <c r="WRW1" s="568"/>
      <c r="WRX1" s="568"/>
      <c r="WRY1" s="568"/>
      <c r="WRZ1" s="568"/>
      <c r="WSA1" s="568"/>
      <c r="WSB1" s="568"/>
      <c r="WSC1" s="568"/>
      <c r="WSD1" s="568"/>
      <c r="WSE1" s="568"/>
      <c r="WSF1" s="568"/>
      <c r="WSG1" s="568"/>
      <c r="WSH1" s="568"/>
      <c r="WSI1" s="568"/>
      <c r="WSJ1" s="568"/>
      <c r="WSK1" s="568"/>
      <c r="WSL1" s="568"/>
      <c r="WSM1" s="568"/>
      <c r="WSN1" s="568"/>
      <c r="WSO1" s="568"/>
      <c r="WSP1" s="568"/>
      <c r="WSQ1" s="568"/>
      <c r="WSR1" s="568"/>
      <c r="WSS1" s="568"/>
      <c r="WST1" s="568"/>
      <c r="WSU1" s="568"/>
      <c r="WSV1" s="568"/>
      <c r="WSW1" s="568"/>
      <c r="WSX1" s="568"/>
      <c r="WSY1" s="568"/>
      <c r="WSZ1" s="568"/>
      <c r="WTA1" s="568"/>
      <c r="WTB1" s="568"/>
      <c r="WTC1" s="568"/>
      <c r="WTD1" s="568"/>
      <c r="WTE1" s="568"/>
      <c r="WTF1" s="568"/>
      <c r="WTG1" s="568"/>
      <c r="WTH1" s="568"/>
      <c r="WTI1" s="568"/>
      <c r="WTJ1" s="568"/>
      <c r="WTK1" s="568"/>
      <c r="WTL1" s="568"/>
      <c r="WTM1" s="568"/>
      <c r="WTN1" s="568"/>
      <c r="WTO1" s="568"/>
      <c r="WTP1" s="568"/>
      <c r="WTQ1" s="568"/>
      <c r="WTR1" s="568"/>
      <c r="WTS1" s="568"/>
      <c r="WTT1" s="568"/>
      <c r="WTU1" s="568"/>
      <c r="WTV1" s="568"/>
      <c r="WTW1" s="568"/>
      <c r="WTX1" s="568"/>
      <c r="WTY1" s="568"/>
      <c r="WTZ1" s="568"/>
      <c r="WUA1" s="568"/>
      <c r="WUB1" s="568"/>
      <c r="WUC1" s="568"/>
      <c r="WUD1" s="568"/>
      <c r="WUE1" s="568"/>
      <c r="WUF1" s="568"/>
      <c r="WUG1" s="568"/>
      <c r="WUH1" s="568"/>
      <c r="WUI1" s="568"/>
      <c r="WUJ1" s="568"/>
      <c r="WUK1" s="568"/>
      <c r="WUL1" s="568"/>
      <c r="WUM1" s="568"/>
      <c r="WUN1" s="568"/>
      <c r="WUO1" s="568"/>
      <c r="WUP1" s="568"/>
      <c r="WUQ1" s="568"/>
      <c r="WUR1" s="568"/>
      <c r="WUS1" s="568"/>
      <c r="WUT1" s="568"/>
      <c r="WUU1" s="568"/>
      <c r="WUV1" s="568"/>
      <c r="WUW1" s="568"/>
      <c r="WUX1" s="568"/>
      <c r="WUY1" s="568"/>
      <c r="WUZ1" s="568"/>
      <c r="WVA1" s="568"/>
      <c r="WVB1" s="568"/>
      <c r="WVC1" s="568"/>
      <c r="WVD1" s="568"/>
      <c r="WVE1" s="568"/>
      <c r="WVF1" s="568"/>
      <c r="WVG1" s="568"/>
      <c r="WVH1" s="568"/>
      <c r="WVI1" s="568"/>
      <c r="WVJ1" s="568"/>
      <c r="WVK1" s="568"/>
      <c r="WVL1" s="568"/>
      <c r="WVM1" s="568"/>
      <c r="WVN1" s="568"/>
      <c r="WVO1" s="568"/>
      <c r="WVP1" s="568"/>
      <c r="WVQ1" s="568"/>
      <c r="WVR1" s="568"/>
      <c r="WVS1" s="568"/>
      <c r="WVT1" s="568"/>
      <c r="WVU1" s="568"/>
      <c r="WVV1" s="568"/>
      <c r="WVW1" s="568"/>
      <c r="WVX1" s="568"/>
      <c r="WVY1" s="568"/>
      <c r="WVZ1" s="568"/>
      <c r="WWA1" s="568"/>
      <c r="WWB1" s="568"/>
      <c r="WWC1" s="568"/>
      <c r="WWD1" s="568"/>
      <c r="WWE1" s="568"/>
      <c r="WWF1" s="568"/>
      <c r="WWG1" s="568"/>
      <c r="WWH1" s="568"/>
      <c r="WWI1" s="568"/>
      <c r="WWJ1" s="568"/>
      <c r="WWK1" s="568"/>
      <c r="WWL1" s="568"/>
      <c r="WWM1" s="568"/>
      <c r="WWN1" s="568"/>
      <c r="WWO1" s="568"/>
      <c r="WWP1" s="568"/>
      <c r="WWQ1" s="568"/>
      <c r="WWR1" s="568"/>
      <c r="WWS1" s="568"/>
      <c r="WWT1" s="568"/>
      <c r="WWU1" s="568"/>
      <c r="WWV1" s="568"/>
      <c r="WWW1" s="568"/>
      <c r="WWX1" s="568"/>
      <c r="WWY1" s="568"/>
      <c r="WWZ1" s="568"/>
      <c r="WXA1" s="568"/>
      <c r="WXB1" s="568"/>
      <c r="WXC1" s="568"/>
      <c r="WXD1" s="568"/>
      <c r="WXE1" s="568"/>
      <c r="WXF1" s="568"/>
      <c r="WXG1" s="568"/>
      <c r="WXH1" s="568"/>
      <c r="WXI1" s="568"/>
      <c r="WXJ1" s="568"/>
      <c r="WXK1" s="568"/>
      <c r="WXL1" s="568"/>
      <c r="WXM1" s="568"/>
      <c r="WXN1" s="568"/>
      <c r="WXO1" s="568"/>
      <c r="WXP1" s="568"/>
      <c r="WXQ1" s="568"/>
      <c r="WXR1" s="568"/>
      <c r="WXS1" s="568"/>
      <c r="WXT1" s="568"/>
      <c r="WXU1" s="568"/>
      <c r="WXV1" s="568"/>
      <c r="WXW1" s="568"/>
      <c r="WXX1" s="568"/>
      <c r="WXY1" s="568"/>
      <c r="WXZ1" s="568"/>
      <c r="WYA1" s="568"/>
      <c r="WYB1" s="568"/>
      <c r="WYC1" s="568"/>
      <c r="WYD1" s="568"/>
      <c r="WYE1" s="568"/>
      <c r="WYF1" s="568"/>
      <c r="WYG1" s="568"/>
      <c r="WYH1" s="568"/>
      <c r="WYI1" s="568"/>
      <c r="WYJ1" s="568"/>
      <c r="WYK1" s="568"/>
      <c r="WYL1" s="568"/>
      <c r="WYM1" s="568"/>
      <c r="WYN1" s="568"/>
      <c r="WYO1" s="568"/>
      <c r="WYP1" s="568"/>
      <c r="WYQ1" s="568"/>
      <c r="WYR1" s="568"/>
      <c r="WYS1" s="568"/>
      <c r="WYT1" s="568"/>
      <c r="WYU1" s="568"/>
      <c r="WYV1" s="568"/>
      <c r="WYW1" s="568"/>
      <c r="WYX1" s="568"/>
      <c r="WYY1" s="568"/>
      <c r="WYZ1" s="568"/>
      <c r="WZA1" s="568"/>
      <c r="WZB1" s="568"/>
      <c r="WZC1" s="568"/>
      <c r="WZD1" s="568"/>
      <c r="WZE1" s="568"/>
      <c r="WZF1" s="568"/>
      <c r="WZG1" s="568"/>
      <c r="WZH1" s="568"/>
      <c r="WZI1" s="568"/>
      <c r="WZJ1" s="568"/>
      <c r="WZK1" s="568"/>
      <c r="WZL1" s="568"/>
      <c r="WZM1" s="568"/>
      <c r="WZN1" s="568"/>
      <c r="WZO1" s="568"/>
      <c r="WZP1" s="568"/>
      <c r="WZQ1" s="568"/>
      <c r="WZR1" s="568"/>
      <c r="WZS1" s="568"/>
      <c r="WZT1" s="568"/>
      <c r="WZU1" s="568"/>
      <c r="WZV1" s="568"/>
      <c r="WZW1" s="568"/>
      <c r="WZX1" s="568"/>
      <c r="WZY1" s="568"/>
      <c r="WZZ1" s="568"/>
      <c r="XAA1" s="568"/>
      <c r="XAB1" s="568"/>
      <c r="XAC1" s="568"/>
      <c r="XAD1" s="568"/>
      <c r="XAE1" s="568"/>
      <c r="XAF1" s="568"/>
      <c r="XAG1" s="568"/>
      <c r="XAH1" s="568"/>
      <c r="XAI1" s="568"/>
      <c r="XAJ1" s="568"/>
      <c r="XAK1" s="568"/>
      <c r="XAL1" s="568"/>
      <c r="XAM1" s="568"/>
      <c r="XAN1" s="568"/>
      <c r="XAO1" s="568"/>
      <c r="XAP1" s="568"/>
      <c r="XAQ1" s="568"/>
      <c r="XAR1" s="568"/>
      <c r="XAS1" s="568"/>
      <c r="XAT1" s="568"/>
      <c r="XAU1" s="568"/>
      <c r="XAV1" s="568"/>
      <c r="XAW1" s="568"/>
      <c r="XAX1" s="568"/>
      <c r="XAY1" s="568"/>
      <c r="XAZ1" s="568"/>
      <c r="XBA1" s="568"/>
      <c r="XBB1" s="568"/>
      <c r="XBC1" s="568"/>
      <c r="XBD1" s="568"/>
      <c r="XBE1" s="568"/>
      <c r="XBF1" s="568"/>
      <c r="XBG1" s="568"/>
      <c r="XBH1" s="568"/>
      <c r="XBI1" s="568"/>
      <c r="XBJ1" s="568"/>
      <c r="XBK1" s="568"/>
      <c r="XBL1" s="568"/>
      <c r="XBM1" s="568"/>
      <c r="XBN1" s="568"/>
      <c r="XBO1" s="568"/>
      <c r="XBP1" s="568"/>
      <c r="XBQ1" s="568"/>
      <c r="XBR1" s="568"/>
      <c r="XBS1" s="568"/>
      <c r="XBT1" s="568"/>
      <c r="XBU1" s="568"/>
      <c r="XBV1" s="568"/>
      <c r="XBW1" s="568"/>
      <c r="XBX1" s="568"/>
      <c r="XBY1" s="568"/>
      <c r="XBZ1" s="568"/>
      <c r="XCA1" s="568"/>
      <c r="XCB1" s="568"/>
      <c r="XCC1" s="568"/>
      <c r="XCD1" s="568"/>
      <c r="XCE1" s="568"/>
      <c r="XCF1" s="568"/>
      <c r="XCG1" s="568"/>
      <c r="XCH1" s="568"/>
      <c r="XCI1" s="568"/>
      <c r="XCJ1" s="568"/>
      <c r="XCK1" s="568"/>
      <c r="XCL1" s="568"/>
      <c r="XCM1" s="568"/>
      <c r="XCN1" s="568"/>
      <c r="XCO1" s="568"/>
      <c r="XCP1" s="568"/>
      <c r="XCQ1" s="568"/>
      <c r="XCR1" s="568"/>
      <c r="XCS1" s="568"/>
      <c r="XCT1" s="568"/>
      <c r="XCU1" s="568"/>
      <c r="XCV1" s="568"/>
      <c r="XCW1" s="568"/>
      <c r="XCX1" s="568"/>
      <c r="XCY1" s="568"/>
      <c r="XCZ1" s="568"/>
      <c r="XDA1" s="568"/>
      <c r="XDB1" s="568"/>
      <c r="XDC1" s="568"/>
      <c r="XDD1" s="568"/>
      <c r="XDE1" s="568"/>
      <c r="XDF1" s="568"/>
      <c r="XDG1" s="568"/>
      <c r="XDH1" s="568"/>
      <c r="XDI1" s="568"/>
      <c r="XDJ1" s="568"/>
      <c r="XDK1" s="568"/>
      <c r="XDL1" s="568"/>
      <c r="XDM1" s="568"/>
      <c r="XDN1" s="568"/>
      <c r="XDO1" s="568"/>
      <c r="XDP1" s="568"/>
      <c r="XDQ1" s="568"/>
      <c r="XDR1" s="568"/>
      <c r="XDS1" s="568"/>
      <c r="XDT1" s="568"/>
      <c r="XDU1" s="568"/>
      <c r="XDV1" s="568"/>
      <c r="XDW1" s="568"/>
      <c r="XDX1" s="568"/>
      <c r="XDY1" s="568"/>
      <c r="XDZ1" s="568"/>
      <c r="XEA1" s="568"/>
      <c r="XEB1" s="568"/>
      <c r="XEC1" s="568"/>
      <c r="XED1" s="568"/>
      <c r="XEE1" s="568"/>
      <c r="XEF1" s="568"/>
      <c r="XEG1" s="568"/>
      <c r="XEH1" s="568"/>
      <c r="XEI1" s="568"/>
      <c r="XEJ1" s="568"/>
      <c r="XEK1" s="568"/>
      <c r="XEL1" s="568"/>
      <c r="XEM1" s="568"/>
      <c r="XEN1" s="568"/>
      <c r="XEO1" s="568"/>
      <c r="XEP1" s="568"/>
      <c r="XEQ1" s="568"/>
      <c r="XER1" s="568"/>
      <c r="XES1" s="568"/>
      <c r="XET1" s="568"/>
      <c r="XEU1" s="568"/>
      <c r="XEV1" s="568"/>
      <c r="XEW1" s="568"/>
      <c r="XEX1" s="568"/>
      <c r="XEY1" s="568"/>
      <c r="XEZ1" s="568"/>
      <c r="XFA1" s="568"/>
      <c r="XFB1" s="568"/>
      <c r="XFC1" s="568"/>
      <c r="XFD1" s="568"/>
    </row>
    <row r="2" spans="1:16384" s="254" customFormat="1" ht="17.25" customHeight="1" x14ac:dyDescent="0.45">
      <c r="A2" s="245" t="str">
        <f>Cover!A15</f>
        <v>(Foreign Company – Limited Liability Company)</v>
      </c>
      <c r="B2" s="245"/>
      <c r="C2" s="245"/>
      <c r="D2" s="245"/>
      <c r="E2" s="245"/>
      <c r="F2" s="521"/>
      <c r="G2" s="521"/>
      <c r="H2" s="521"/>
      <c r="I2" s="521"/>
      <c r="J2" s="522" t="s">
        <v>170</v>
      </c>
      <c r="K2" s="523" t="s">
        <v>166</v>
      </c>
      <c r="L2" s="523"/>
      <c r="M2" s="523"/>
      <c r="N2" s="523"/>
      <c r="O2" s="523"/>
      <c r="P2" s="568"/>
      <c r="Q2" s="568"/>
      <c r="R2" s="568"/>
      <c r="S2" s="568"/>
      <c r="T2" s="568"/>
      <c r="U2" s="568"/>
      <c r="V2" s="568"/>
      <c r="W2" s="568"/>
      <c r="X2" s="568"/>
      <c r="Y2" s="568"/>
      <c r="Z2" s="568"/>
      <c r="AA2" s="568"/>
      <c r="AB2" s="568"/>
      <c r="AC2" s="568"/>
      <c r="AD2" s="568"/>
      <c r="AE2" s="568"/>
      <c r="AF2" s="568"/>
      <c r="AG2" s="568"/>
      <c r="AH2" s="568"/>
      <c r="AI2" s="568"/>
      <c r="AJ2" s="568"/>
      <c r="AK2" s="568"/>
      <c r="AL2" s="568"/>
      <c r="AM2" s="568"/>
      <c r="AN2" s="568"/>
      <c r="AO2" s="568"/>
      <c r="AP2" s="568"/>
      <c r="AQ2" s="568"/>
      <c r="AR2" s="568"/>
      <c r="AS2" s="568"/>
      <c r="AT2" s="568"/>
      <c r="AU2" s="568"/>
      <c r="AV2" s="568"/>
      <c r="AW2" s="568"/>
      <c r="AX2" s="568"/>
      <c r="AY2" s="568"/>
      <c r="AZ2" s="568"/>
      <c r="BA2" s="568"/>
      <c r="BB2" s="568"/>
      <c r="BC2" s="568"/>
      <c r="BD2" s="568"/>
      <c r="BE2" s="568"/>
      <c r="BF2" s="568"/>
      <c r="BG2" s="568"/>
      <c r="BH2" s="568"/>
      <c r="BI2" s="568"/>
      <c r="BJ2" s="568"/>
      <c r="BK2" s="568"/>
      <c r="BL2" s="568"/>
      <c r="BM2" s="568"/>
      <c r="BN2" s="568"/>
      <c r="BO2" s="568"/>
      <c r="BP2" s="568"/>
      <c r="BQ2" s="568"/>
      <c r="BR2" s="568"/>
      <c r="BS2" s="568"/>
      <c r="BT2" s="568"/>
      <c r="BU2" s="568"/>
      <c r="BV2" s="568"/>
      <c r="BW2" s="568"/>
      <c r="BX2" s="568"/>
      <c r="BY2" s="568"/>
      <c r="BZ2" s="568"/>
      <c r="CA2" s="568"/>
      <c r="CB2" s="568"/>
      <c r="CC2" s="568"/>
      <c r="CD2" s="568"/>
      <c r="CE2" s="568"/>
      <c r="CF2" s="568"/>
      <c r="CG2" s="568"/>
      <c r="CH2" s="568"/>
      <c r="CI2" s="568"/>
      <c r="CJ2" s="568"/>
      <c r="CK2" s="568"/>
      <c r="CL2" s="568"/>
      <c r="CM2" s="568"/>
      <c r="CN2" s="568"/>
      <c r="CO2" s="568"/>
      <c r="CP2" s="568"/>
      <c r="CQ2" s="568"/>
      <c r="CR2" s="568"/>
      <c r="CS2" s="568"/>
      <c r="CT2" s="568"/>
      <c r="CU2" s="568"/>
      <c r="CV2" s="568"/>
      <c r="CW2" s="568"/>
      <c r="CX2" s="568"/>
      <c r="CY2" s="568"/>
      <c r="CZ2" s="568"/>
      <c r="DA2" s="568"/>
      <c r="DB2" s="568"/>
      <c r="DC2" s="568"/>
      <c r="DD2" s="568"/>
      <c r="DE2" s="568"/>
      <c r="DF2" s="568"/>
      <c r="DG2" s="568"/>
      <c r="DH2" s="568"/>
      <c r="DI2" s="568"/>
      <c r="DJ2" s="568"/>
      <c r="DK2" s="568"/>
      <c r="DL2" s="568"/>
      <c r="DM2" s="568"/>
      <c r="DN2" s="568"/>
      <c r="DO2" s="568"/>
      <c r="DP2" s="568"/>
      <c r="DQ2" s="568"/>
      <c r="DR2" s="568"/>
      <c r="DS2" s="568"/>
      <c r="DT2" s="568"/>
      <c r="DU2" s="568"/>
      <c r="DV2" s="568"/>
      <c r="DW2" s="568"/>
      <c r="DX2" s="568"/>
      <c r="DY2" s="568"/>
      <c r="DZ2" s="568"/>
      <c r="EA2" s="568"/>
      <c r="EB2" s="568"/>
      <c r="EC2" s="568"/>
      <c r="ED2" s="568"/>
      <c r="EE2" s="568"/>
      <c r="EF2" s="568"/>
      <c r="EG2" s="568"/>
      <c r="EH2" s="568"/>
      <c r="EI2" s="568"/>
      <c r="EJ2" s="568"/>
      <c r="EK2" s="568"/>
      <c r="EL2" s="568"/>
      <c r="EM2" s="568"/>
      <c r="EN2" s="568"/>
      <c r="EO2" s="568"/>
      <c r="EP2" s="568"/>
      <c r="EQ2" s="568"/>
      <c r="ER2" s="568"/>
      <c r="ES2" s="568"/>
      <c r="ET2" s="568"/>
      <c r="EU2" s="568"/>
      <c r="EV2" s="568"/>
      <c r="EW2" s="568"/>
      <c r="EX2" s="568"/>
      <c r="EY2" s="568"/>
      <c r="EZ2" s="568"/>
      <c r="FA2" s="568"/>
      <c r="FB2" s="568"/>
      <c r="FC2" s="568"/>
      <c r="FD2" s="568"/>
      <c r="FE2" s="568"/>
      <c r="FF2" s="568"/>
      <c r="FG2" s="568"/>
      <c r="FH2" s="568"/>
      <c r="FI2" s="568"/>
      <c r="FJ2" s="568"/>
      <c r="FK2" s="568"/>
      <c r="FL2" s="568"/>
      <c r="FM2" s="568"/>
      <c r="FN2" s="568"/>
      <c r="FO2" s="568"/>
      <c r="FP2" s="568"/>
      <c r="FQ2" s="568"/>
      <c r="FR2" s="568"/>
      <c r="FS2" s="568"/>
      <c r="FT2" s="568"/>
      <c r="FU2" s="568"/>
      <c r="FV2" s="568"/>
      <c r="FW2" s="568"/>
      <c r="FX2" s="568"/>
      <c r="FY2" s="568"/>
      <c r="FZ2" s="568"/>
      <c r="GA2" s="568"/>
      <c r="GB2" s="568"/>
      <c r="GC2" s="568"/>
      <c r="GD2" s="568"/>
      <c r="GE2" s="568"/>
      <c r="GF2" s="568"/>
      <c r="GG2" s="568"/>
      <c r="GH2" s="568"/>
      <c r="GI2" s="568"/>
      <c r="GJ2" s="568"/>
      <c r="GK2" s="568"/>
      <c r="GL2" s="568"/>
      <c r="GM2" s="568"/>
      <c r="GN2" s="568"/>
      <c r="GO2" s="568"/>
      <c r="GP2" s="568"/>
      <c r="GQ2" s="568"/>
      <c r="GR2" s="568"/>
      <c r="GS2" s="568"/>
      <c r="GT2" s="568"/>
      <c r="GU2" s="568"/>
      <c r="GV2" s="568"/>
      <c r="GW2" s="568"/>
      <c r="GX2" s="568"/>
      <c r="GY2" s="568"/>
      <c r="GZ2" s="568"/>
      <c r="HA2" s="568"/>
      <c r="HB2" s="568"/>
      <c r="HC2" s="568"/>
      <c r="HD2" s="568"/>
      <c r="HE2" s="568"/>
      <c r="HF2" s="568"/>
      <c r="HG2" s="568"/>
      <c r="HH2" s="568"/>
      <c r="HI2" s="568"/>
      <c r="HJ2" s="568"/>
      <c r="HK2" s="568"/>
      <c r="HL2" s="568"/>
      <c r="HM2" s="568"/>
      <c r="HN2" s="568"/>
      <c r="HO2" s="568"/>
      <c r="HP2" s="568"/>
      <c r="HQ2" s="568"/>
      <c r="HR2" s="568"/>
      <c r="HS2" s="568"/>
      <c r="HT2" s="568"/>
      <c r="HU2" s="568"/>
      <c r="HV2" s="568"/>
      <c r="HW2" s="568"/>
      <c r="HX2" s="568"/>
      <c r="HY2" s="568"/>
      <c r="HZ2" s="568"/>
      <c r="IA2" s="568"/>
      <c r="IB2" s="568"/>
      <c r="IC2" s="568"/>
      <c r="ID2" s="568"/>
      <c r="IE2" s="568"/>
      <c r="IF2" s="568"/>
      <c r="IG2" s="568"/>
      <c r="IH2" s="568"/>
      <c r="II2" s="568"/>
      <c r="IJ2" s="568"/>
      <c r="IK2" s="568"/>
      <c r="IL2" s="568"/>
      <c r="IM2" s="568"/>
      <c r="IN2" s="568"/>
      <c r="IO2" s="568"/>
      <c r="IP2" s="568"/>
      <c r="IQ2" s="568"/>
      <c r="IR2" s="568"/>
      <c r="IS2" s="568"/>
      <c r="IT2" s="568"/>
      <c r="IU2" s="568"/>
      <c r="IV2" s="568"/>
      <c r="IW2" s="568"/>
      <c r="IX2" s="568"/>
      <c r="IY2" s="568"/>
      <c r="IZ2" s="568"/>
      <c r="JA2" s="568"/>
      <c r="JB2" s="568"/>
      <c r="JC2" s="568"/>
      <c r="JD2" s="568"/>
      <c r="JE2" s="568"/>
      <c r="JF2" s="568"/>
      <c r="JG2" s="568"/>
      <c r="JH2" s="568"/>
      <c r="JI2" s="568"/>
      <c r="JJ2" s="568"/>
      <c r="JK2" s="568"/>
      <c r="JL2" s="568"/>
      <c r="JM2" s="568"/>
      <c r="JN2" s="568"/>
      <c r="JO2" s="568"/>
      <c r="JP2" s="568"/>
      <c r="JQ2" s="568"/>
      <c r="JR2" s="568"/>
      <c r="JS2" s="568"/>
      <c r="JT2" s="568"/>
      <c r="JU2" s="568"/>
      <c r="JV2" s="568"/>
      <c r="JW2" s="568"/>
      <c r="JX2" s="568"/>
      <c r="JY2" s="568"/>
      <c r="JZ2" s="568"/>
      <c r="KA2" s="568"/>
      <c r="KB2" s="568"/>
      <c r="KC2" s="568"/>
      <c r="KD2" s="568"/>
      <c r="KE2" s="568"/>
      <c r="KF2" s="568"/>
      <c r="KG2" s="568"/>
      <c r="KH2" s="568"/>
      <c r="KI2" s="568"/>
      <c r="KJ2" s="568"/>
      <c r="KK2" s="568"/>
      <c r="KL2" s="568"/>
      <c r="KM2" s="568"/>
      <c r="KN2" s="568"/>
      <c r="KO2" s="568"/>
      <c r="KP2" s="568"/>
      <c r="KQ2" s="568"/>
      <c r="KR2" s="568"/>
      <c r="KS2" s="568"/>
      <c r="KT2" s="568"/>
      <c r="KU2" s="568"/>
      <c r="KV2" s="568"/>
      <c r="KW2" s="568"/>
      <c r="KX2" s="568"/>
      <c r="KY2" s="568"/>
      <c r="KZ2" s="568"/>
      <c r="LA2" s="568"/>
      <c r="LB2" s="568"/>
      <c r="LC2" s="568"/>
      <c r="LD2" s="568"/>
      <c r="LE2" s="568"/>
      <c r="LF2" s="568"/>
      <c r="LG2" s="568"/>
      <c r="LH2" s="568"/>
      <c r="LI2" s="568"/>
      <c r="LJ2" s="568"/>
      <c r="LK2" s="568"/>
      <c r="LL2" s="568"/>
      <c r="LM2" s="568"/>
      <c r="LN2" s="568"/>
      <c r="LO2" s="568"/>
      <c r="LP2" s="568"/>
      <c r="LQ2" s="568"/>
      <c r="LR2" s="568"/>
      <c r="LS2" s="568"/>
      <c r="LT2" s="568"/>
      <c r="LU2" s="568"/>
      <c r="LV2" s="568"/>
      <c r="LW2" s="568"/>
      <c r="LX2" s="568"/>
      <c r="LY2" s="568"/>
      <c r="LZ2" s="568"/>
      <c r="MA2" s="568"/>
      <c r="MB2" s="568"/>
      <c r="MC2" s="568"/>
      <c r="MD2" s="568"/>
      <c r="ME2" s="568"/>
      <c r="MF2" s="568"/>
      <c r="MG2" s="568"/>
      <c r="MH2" s="568"/>
      <c r="MI2" s="568"/>
      <c r="MJ2" s="568"/>
      <c r="MK2" s="568"/>
      <c r="ML2" s="568"/>
      <c r="MM2" s="568"/>
      <c r="MN2" s="568"/>
      <c r="MO2" s="568"/>
      <c r="MP2" s="568"/>
      <c r="MQ2" s="568"/>
      <c r="MR2" s="568"/>
      <c r="MS2" s="568"/>
      <c r="MT2" s="568"/>
      <c r="MU2" s="568"/>
      <c r="MV2" s="568"/>
      <c r="MW2" s="568"/>
      <c r="MX2" s="568"/>
      <c r="MY2" s="568"/>
      <c r="MZ2" s="568"/>
      <c r="NA2" s="568"/>
      <c r="NB2" s="568"/>
      <c r="NC2" s="568"/>
      <c r="ND2" s="568"/>
      <c r="NE2" s="568"/>
      <c r="NF2" s="568"/>
      <c r="NG2" s="568"/>
      <c r="NH2" s="568"/>
      <c r="NI2" s="568"/>
      <c r="NJ2" s="568"/>
      <c r="NK2" s="568"/>
      <c r="NL2" s="568"/>
      <c r="NM2" s="568"/>
      <c r="NN2" s="568"/>
      <c r="NO2" s="568"/>
      <c r="NP2" s="568"/>
      <c r="NQ2" s="568"/>
      <c r="NR2" s="568"/>
      <c r="NS2" s="568"/>
      <c r="NT2" s="568"/>
      <c r="NU2" s="568"/>
      <c r="NV2" s="568"/>
      <c r="NW2" s="568"/>
      <c r="NX2" s="568"/>
      <c r="NY2" s="568"/>
      <c r="NZ2" s="568"/>
      <c r="OA2" s="568"/>
      <c r="OB2" s="568"/>
      <c r="OC2" s="568"/>
      <c r="OD2" s="568"/>
      <c r="OE2" s="568"/>
      <c r="OF2" s="568"/>
      <c r="OG2" s="568"/>
      <c r="OH2" s="568"/>
      <c r="OI2" s="568"/>
      <c r="OJ2" s="568"/>
      <c r="OK2" s="568"/>
      <c r="OL2" s="568"/>
      <c r="OM2" s="568"/>
      <c r="ON2" s="568"/>
      <c r="OO2" s="568"/>
      <c r="OP2" s="568"/>
      <c r="OQ2" s="568"/>
      <c r="OR2" s="568"/>
      <c r="OS2" s="568"/>
      <c r="OT2" s="568"/>
      <c r="OU2" s="568"/>
      <c r="OV2" s="568"/>
      <c r="OW2" s="568"/>
      <c r="OX2" s="568"/>
      <c r="OY2" s="568"/>
      <c r="OZ2" s="568"/>
      <c r="PA2" s="568"/>
      <c r="PB2" s="568"/>
      <c r="PC2" s="568"/>
      <c r="PD2" s="568"/>
      <c r="PE2" s="568"/>
      <c r="PF2" s="568"/>
      <c r="PG2" s="568"/>
      <c r="PH2" s="568"/>
      <c r="PI2" s="568"/>
      <c r="PJ2" s="568"/>
      <c r="PK2" s="568"/>
      <c r="PL2" s="568"/>
      <c r="PM2" s="568"/>
      <c r="PN2" s="568"/>
      <c r="PO2" s="568"/>
      <c r="PP2" s="568"/>
      <c r="PQ2" s="568"/>
      <c r="PR2" s="568"/>
      <c r="PS2" s="568"/>
      <c r="PT2" s="568"/>
      <c r="PU2" s="568"/>
      <c r="PV2" s="568"/>
      <c r="PW2" s="568"/>
      <c r="PX2" s="568"/>
      <c r="PY2" s="568"/>
      <c r="PZ2" s="568"/>
      <c r="QA2" s="568"/>
      <c r="QB2" s="568"/>
      <c r="QC2" s="568"/>
      <c r="QD2" s="568"/>
      <c r="QE2" s="568"/>
      <c r="QF2" s="568"/>
      <c r="QG2" s="568"/>
      <c r="QH2" s="568"/>
      <c r="QI2" s="568"/>
      <c r="QJ2" s="568"/>
      <c r="QK2" s="568"/>
      <c r="QL2" s="568"/>
      <c r="QM2" s="568"/>
      <c r="QN2" s="568"/>
      <c r="QO2" s="568"/>
      <c r="QP2" s="568"/>
      <c r="QQ2" s="568"/>
      <c r="QR2" s="568"/>
      <c r="QS2" s="568"/>
      <c r="QT2" s="568"/>
      <c r="QU2" s="568"/>
      <c r="QV2" s="568"/>
      <c r="QW2" s="568"/>
      <c r="QX2" s="568"/>
      <c r="QY2" s="568"/>
      <c r="QZ2" s="568"/>
      <c r="RA2" s="568"/>
      <c r="RB2" s="568"/>
      <c r="RC2" s="568"/>
      <c r="RD2" s="568"/>
      <c r="RE2" s="568"/>
      <c r="RF2" s="568"/>
      <c r="RG2" s="568"/>
      <c r="RH2" s="568"/>
      <c r="RI2" s="568"/>
      <c r="RJ2" s="568"/>
      <c r="RK2" s="568"/>
      <c r="RL2" s="568"/>
      <c r="RM2" s="568"/>
      <c r="RN2" s="568"/>
      <c r="RO2" s="568"/>
      <c r="RP2" s="568"/>
      <c r="RQ2" s="568"/>
      <c r="RR2" s="568"/>
      <c r="RS2" s="568"/>
      <c r="RT2" s="568"/>
      <c r="RU2" s="568"/>
      <c r="RV2" s="568"/>
      <c r="RW2" s="568"/>
      <c r="RX2" s="568"/>
      <c r="RY2" s="568"/>
      <c r="RZ2" s="568"/>
      <c r="SA2" s="568"/>
      <c r="SB2" s="568"/>
      <c r="SC2" s="568"/>
      <c r="SD2" s="568"/>
      <c r="SE2" s="568"/>
      <c r="SF2" s="568"/>
      <c r="SG2" s="568"/>
      <c r="SH2" s="568"/>
      <c r="SI2" s="568"/>
      <c r="SJ2" s="568"/>
      <c r="SK2" s="568"/>
      <c r="SL2" s="568"/>
      <c r="SM2" s="568"/>
      <c r="SN2" s="568"/>
      <c r="SO2" s="568"/>
      <c r="SP2" s="568"/>
      <c r="SQ2" s="568"/>
      <c r="SR2" s="568"/>
      <c r="SS2" s="568"/>
      <c r="ST2" s="568"/>
      <c r="SU2" s="568"/>
      <c r="SV2" s="568"/>
      <c r="SW2" s="568"/>
      <c r="SX2" s="568"/>
      <c r="SY2" s="568"/>
      <c r="SZ2" s="568"/>
      <c r="TA2" s="568"/>
      <c r="TB2" s="568"/>
      <c r="TC2" s="568"/>
      <c r="TD2" s="568"/>
      <c r="TE2" s="568"/>
      <c r="TF2" s="568"/>
      <c r="TG2" s="568"/>
      <c r="TH2" s="568"/>
      <c r="TI2" s="568"/>
      <c r="TJ2" s="568"/>
      <c r="TK2" s="568"/>
      <c r="TL2" s="568"/>
      <c r="TM2" s="568"/>
      <c r="TN2" s="568"/>
      <c r="TO2" s="568"/>
      <c r="TP2" s="568"/>
      <c r="TQ2" s="568"/>
      <c r="TR2" s="568"/>
      <c r="TS2" s="568"/>
      <c r="TT2" s="568"/>
      <c r="TU2" s="568"/>
      <c r="TV2" s="568"/>
      <c r="TW2" s="568"/>
      <c r="TX2" s="568"/>
      <c r="TY2" s="568"/>
      <c r="TZ2" s="568"/>
      <c r="UA2" s="568"/>
      <c r="UB2" s="568"/>
      <c r="UC2" s="568"/>
      <c r="UD2" s="568"/>
      <c r="UE2" s="568"/>
      <c r="UF2" s="568"/>
      <c r="UG2" s="568"/>
      <c r="UH2" s="568"/>
      <c r="UI2" s="568"/>
      <c r="UJ2" s="568"/>
      <c r="UK2" s="568"/>
      <c r="UL2" s="568"/>
      <c r="UM2" s="568"/>
      <c r="UN2" s="568"/>
      <c r="UO2" s="568"/>
      <c r="UP2" s="568"/>
      <c r="UQ2" s="568"/>
      <c r="UR2" s="568"/>
      <c r="US2" s="568"/>
      <c r="UT2" s="568"/>
      <c r="UU2" s="568"/>
      <c r="UV2" s="568"/>
      <c r="UW2" s="568"/>
      <c r="UX2" s="568"/>
      <c r="UY2" s="568"/>
      <c r="UZ2" s="568"/>
      <c r="VA2" s="568"/>
      <c r="VB2" s="568"/>
      <c r="VC2" s="568"/>
      <c r="VD2" s="568"/>
      <c r="VE2" s="568"/>
      <c r="VF2" s="568"/>
      <c r="VG2" s="568"/>
      <c r="VH2" s="568"/>
      <c r="VI2" s="568"/>
      <c r="VJ2" s="568"/>
      <c r="VK2" s="568"/>
      <c r="VL2" s="568"/>
      <c r="VM2" s="568"/>
      <c r="VN2" s="568"/>
      <c r="VO2" s="568"/>
      <c r="VP2" s="568"/>
      <c r="VQ2" s="568"/>
      <c r="VR2" s="568"/>
      <c r="VS2" s="568"/>
      <c r="VT2" s="568"/>
      <c r="VU2" s="568"/>
      <c r="VV2" s="568"/>
      <c r="VW2" s="568"/>
      <c r="VX2" s="568"/>
      <c r="VY2" s="568"/>
      <c r="VZ2" s="568"/>
      <c r="WA2" s="568"/>
      <c r="WB2" s="568"/>
      <c r="WC2" s="568"/>
      <c r="WD2" s="568"/>
      <c r="WE2" s="568"/>
      <c r="WF2" s="568"/>
      <c r="WG2" s="568"/>
      <c r="WH2" s="568"/>
      <c r="WI2" s="568"/>
      <c r="WJ2" s="568"/>
      <c r="WK2" s="568"/>
      <c r="WL2" s="568"/>
      <c r="WM2" s="568"/>
      <c r="WN2" s="568"/>
      <c r="WO2" s="568"/>
      <c r="WP2" s="568"/>
      <c r="WQ2" s="568"/>
      <c r="WR2" s="568"/>
      <c r="WS2" s="568"/>
      <c r="WT2" s="568"/>
      <c r="WU2" s="568"/>
      <c r="WV2" s="568"/>
      <c r="WW2" s="568"/>
      <c r="WX2" s="568"/>
      <c r="WY2" s="568"/>
      <c r="WZ2" s="568"/>
      <c r="XA2" s="568"/>
      <c r="XB2" s="568"/>
      <c r="XC2" s="568"/>
      <c r="XD2" s="568"/>
      <c r="XE2" s="568"/>
      <c r="XF2" s="568"/>
      <c r="XG2" s="568"/>
      <c r="XH2" s="568"/>
      <c r="XI2" s="568"/>
      <c r="XJ2" s="568"/>
      <c r="XK2" s="568"/>
      <c r="XL2" s="568"/>
      <c r="XM2" s="568"/>
      <c r="XN2" s="568"/>
      <c r="XO2" s="568"/>
      <c r="XP2" s="568"/>
      <c r="XQ2" s="568"/>
      <c r="XR2" s="568"/>
      <c r="XS2" s="568"/>
      <c r="XT2" s="568"/>
      <c r="XU2" s="568"/>
      <c r="XV2" s="568"/>
      <c r="XW2" s="568"/>
      <c r="XX2" s="568"/>
      <c r="XY2" s="568"/>
      <c r="XZ2" s="568"/>
      <c r="YA2" s="568"/>
      <c r="YB2" s="568"/>
      <c r="YC2" s="568"/>
      <c r="YD2" s="568"/>
      <c r="YE2" s="568"/>
      <c r="YF2" s="568"/>
      <c r="YG2" s="568"/>
      <c r="YH2" s="568"/>
      <c r="YI2" s="568"/>
      <c r="YJ2" s="568"/>
      <c r="YK2" s="568"/>
      <c r="YL2" s="568"/>
      <c r="YM2" s="568"/>
      <c r="YN2" s="568"/>
      <c r="YO2" s="568"/>
      <c r="YP2" s="568"/>
      <c r="YQ2" s="568"/>
      <c r="YR2" s="568"/>
      <c r="YS2" s="568"/>
      <c r="YT2" s="568"/>
      <c r="YU2" s="568"/>
      <c r="YV2" s="568"/>
      <c r="YW2" s="568"/>
      <c r="YX2" s="568"/>
      <c r="YY2" s="568"/>
      <c r="YZ2" s="568"/>
      <c r="ZA2" s="568"/>
      <c r="ZB2" s="568"/>
      <c r="ZC2" s="568"/>
      <c r="ZD2" s="568"/>
      <c r="ZE2" s="568"/>
      <c r="ZF2" s="568"/>
      <c r="ZG2" s="568"/>
      <c r="ZH2" s="568"/>
      <c r="ZI2" s="568"/>
      <c r="ZJ2" s="568"/>
      <c r="ZK2" s="568"/>
      <c r="ZL2" s="568"/>
      <c r="ZM2" s="568"/>
      <c r="ZN2" s="568"/>
      <c r="ZO2" s="568"/>
      <c r="ZP2" s="568"/>
      <c r="ZQ2" s="568"/>
      <c r="ZR2" s="568"/>
      <c r="ZS2" s="568"/>
      <c r="ZT2" s="568"/>
      <c r="ZU2" s="568"/>
      <c r="ZV2" s="568"/>
      <c r="ZW2" s="568"/>
      <c r="ZX2" s="568"/>
      <c r="ZY2" s="568"/>
      <c r="ZZ2" s="568"/>
      <c r="AAA2" s="568"/>
      <c r="AAB2" s="568"/>
      <c r="AAC2" s="568"/>
      <c r="AAD2" s="568"/>
      <c r="AAE2" s="568"/>
      <c r="AAF2" s="568"/>
      <c r="AAG2" s="568"/>
      <c r="AAH2" s="568"/>
      <c r="AAI2" s="568"/>
      <c r="AAJ2" s="568"/>
      <c r="AAK2" s="568"/>
      <c r="AAL2" s="568"/>
      <c r="AAM2" s="568"/>
      <c r="AAN2" s="568"/>
      <c r="AAO2" s="568"/>
      <c r="AAP2" s="568"/>
      <c r="AAQ2" s="568"/>
      <c r="AAR2" s="568"/>
      <c r="AAS2" s="568"/>
      <c r="AAT2" s="568"/>
      <c r="AAU2" s="568"/>
      <c r="AAV2" s="568"/>
      <c r="AAW2" s="568"/>
      <c r="AAX2" s="568"/>
      <c r="AAY2" s="568"/>
      <c r="AAZ2" s="568"/>
      <c r="ABA2" s="568"/>
      <c r="ABB2" s="568"/>
      <c r="ABC2" s="568"/>
      <c r="ABD2" s="568"/>
      <c r="ABE2" s="568"/>
      <c r="ABF2" s="568"/>
      <c r="ABG2" s="568"/>
      <c r="ABH2" s="568"/>
      <c r="ABI2" s="568"/>
      <c r="ABJ2" s="568"/>
      <c r="ABK2" s="568"/>
      <c r="ABL2" s="568"/>
      <c r="ABM2" s="568"/>
      <c r="ABN2" s="568"/>
      <c r="ABO2" s="568"/>
      <c r="ABP2" s="568"/>
      <c r="ABQ2" s="568"/>
      <c r="ABR2" s="568"/>
      <c r="ABS2" s="568"/>
      <c r="ABT2" s="568"/>
      <c r="ABU2" s="568"/>
      <c r="ABV2" s="568"/>
      <c r="ABW2" s="568"/>
      <c r="ABX2" s="568"/>
      <c r="ABY2" s="568"/>
      <c r="ABZ2" s="568"/>
      <c r="ACA2" s="568"/>
      <c r="ACB2" s="568"/>
      <c r="ACC2" s="568"/>
      <c r="ACD2" s="568"/>
      <c r="ACE2" s="568"/>
      <c r="ACF2" s="568"/>
      <c r="ACG2" s="568"/>
      <c r="ACH2" s="568"/>
      <c r="ACI2" s="568"/>
      <c r="ACJ2" s="568"/>
      <c r="ACK2" s="568"/>
      <c r="ACL2" s="568"/>
      <c r="ACM2" s="568"/>
      <c r="ACN2" s="568"/>
      <c r="ACO2" s="568"/>
      <c r="ACP2" s="568"/>
      <c r="ACQ2" s="568"/>
      <c r="ACR2" s="568"/>
      <c r="ACS2" s="568"/>
      <c r="ACT2" s="568"/>
      <c r="ACU2" s="568"/>
      <c r="ACV2" s="568"/>
      <c r="ACW2" s="568"/>
      <c r="ACX2" s="568"/>
      <c r="ACY2" s="568"/>
      <c r="ACZ2" s="568"/>
      <c r="ADA2" s="568"/>
      <c r="ADB2" s="568"/>
      <c r="ADC2" s="568"/>
      <c r="ADD2" s="568"/>
      <c r="ADE2" s="568"/>
      <c r="ADF2" s="568"/>
      <c r="ADG2" s="568"/>
      <c r="ADH2" s="568"/>
      <c r="ADI2" s="568"/>
      <c r="ADJ2" s="568"/>
      <c r="ADK2" s="568"/>
      <c r="ADL2" s="568"/>
      <c r="ADM2" s="568"/>
      <c r="ADN2" s="568"/>
      <c r="ADO2" s="568"/>
      <c r="ADP2" s="568"/>
      <c r="ADQ2" s="568"/>
      <c r="ADR2" s="568"/>
      <c r="ADS2" s="568"/>
      <c r="ADT2" s="568"/>
      <c r="ADU2" s="568"/>
      <c r="ADV2" s="568"/>
      <c r="ADW2" s="568"/>
      <c r="ADX2" s="568"/>
      <c r="ADY2" s="568"/>
      <c r="ADZ2" s="568"/>
      <c r="AEA2" s="568"/>
      <c r="AEB2" s="568"/>
      <c r="AEC2" s="568"/>
      <c r="AED2" s="568"/>
      <c r="AEE2" s="568"/>
      <c r="AEF2" s="568"/>
      <c r="AEG2" s="568"/>
      <c r="AEH2" s="568"/>
      <c r="AEI2" s="568"/>
      <c r="AEJ2" s="568"/>
      <c r="AEK2" s="568"/>
      <c r="AEL2" s="568"/>
      <c r="AEM2" s="568"/>
      <c r="AEN2" s="568"/>
      <c r="AEO2" s="568"/>
      <c r="AEP2" s="568"/>
      <c r="AEQ2" s="568"/>
      <c r="AER2" s="568"/>
      <c r="AES2" s="568"/>
      <c r="AET2" s="568"/>
      <c r="AEU2" s="568"/>
      <c r="AEV2" s="568"/>
      <c r="AEW2" s="568"/>
      <c r="AEX2" s="568"/>
      <c r="AEY2" s="568"/>
      <c r="AEZ2" s="568"/>
      <c r="AFA2" s="568"/>
      <c r="AFB2" s="568"/>
      <c r="AFC2" s="568"/>
      <c r="AFD2" s="568"/>
      <c r="AFE2" s="568"/>
      <c r="AFF2" s="568"/>
      <c r="AFG2" s="568"/>
      <c r="AFH2" s="568"/>
      <c r="AFI2" s="568"/>
      <c r="AFJ2" s="568"/>
      <c r="AFK2" s="568"/>
      <c r="AFL2" s="568"/>
      <c r="AFM2" s="568"/>
      <c r="AFN2" s="568"/>
      <c r="AFO2" s="568"/>
      <c r="AFP2" s="568"/>
      <c r="AFQ2" s="568"/>
      <c r="AFR2" s="568"/>
      <c r="AFS2" s="568"/>
      <c r="AFT2" s="568"/>
      <c r="AFU2" s="568"/>
      <c r="AFV2" s="568"/>
      <c r="AFW2" s="568"/>
      <c r="AFX2" s="568"/>
      <c r="AFY2" s="568"/>
      <c r="AFZ2" s="568"/>
      <c r="AGA2" s="568"/>
      <c r="AGB2" s="568"/>
      <c r="AGC2" s="568"/>
      <c r="AGD2" s="568"/>
      <c r="AGE2" s="568"/>
      <c r="AGF2" s="568"/>
      <c r="AGG2" s="568"/>
      <c r="AGH2" s="568"/>
      <c r="AGI2" s="568"/>
      <c r="AGJ2" s="568"/>
      <c r="AGK2" s="568"/>
      <c r="AGL2" s="568"/>
      <c r="AGM2" s="568"/>
      <c r="AGN2" s="568"/>
      <c r="AGO2" s="568"/>
      <c r="AGP2" s="568"/>
      <c r="AGQ2" s="568"/>
      <c r="AGR2" s="568"/>
      <c r="AGS2" s="568"/>
      <c r="AGT2" s="568"/>
      <c r="AGU2" s="568"/>
      <c r="AGV2" s="568"/>
      <c r="AGW2" s="568"/>
      <c r="AGX2" s="568"/>
      <c r="AGY2" s="568"/>
      <c r="AGZ2" s="568"/>
      <c r="AHA2" s="568"/>
      <c r="AHB2" s="568"/>
      <c r="AHC2" s="568"/>
      <c r="AHD2" s="568"/>
      <c r="AHE2" s="568"/>
      <c r="AHF2" s="568"/>
      <c r="AHG2" s="568"/>
      <c r="AHH2" s="568"/>
      <c r="AHI2" s="568"/>
      <c r="AHJ2" s="568"/>
      <c r="AHK2" s="568"/>
      <c r="AHL2" s="568"/>
      <c r="AHM2" s="568"/>
      <c r="AHN2" s="568"/>
      <c r="AHO2" s="568"/>
      <c r="AHP2" s="568"/>
      <c r="AHQ2" s="568"/>
      <c r="AHR2" s="568"/>
      <c r="AHS2" s="568"/>
      <c r="AHT2" s="568"/>
      <c r="AHU2" s="568"/>
      <c r="AHV2" s="568"/>
      <c r="AHW2" s="568"/>
      <c r="AHX2" s="568"/>
      <c r="AHY2" s="568"/>
      <c r="AHZ2" s="568"/>
      <c r="AIA2" s="568"/>
      <c r="AIB2" s="568"/>
      <c r="AIC2" s="568"/>
      <c r="AID2" s="568"/>
      <c r="AIE2" s="568"/>
      <c r="AIF2" s="568"/>
      <c r="AIG2" s="568"/>
      <c r="AIH2" s="568"/>
      <c r="AII2" s="568"/>
      <c r="AIJ2" s="568"/>
      <c r="AIK2" s="568"/>
      <c r="AIL2" s="568"/>
      <c r="AIM2" s="568"/>
      <c r="AIN2" s="568"/>
      <c r="AIO2" s="568"/>
      <c r="AIP2" s="568"/>
      <c r="AIQ2" s="568"/>
      <c r="AIR2" s="568"/>
      <c r="AIS2" s="568"/>
      <c r="AIT2" s="568"/>
      <c r="AIU2" s="568"/>
      <c r="AIV2" s="568"/>
      <c r="AIW2" s="568"/>
      <c r="AIX2" s="568"/>
      <c r="AIY2" s="568"/>
      <c r="AIZ2" s="568"/>
      <c r="AJA2" s="568"/>
      <c r="AJB2" s="568"/>
      <c r="AJC2" s="568"/>
      <c r="AJD2" s="568"/>
      <c r="AJE2" s="568"/>
      <c r="AJF2" s="568"/>
      <c r="AJG2" s="568"/>
      <c r="AJH2" s="568"/>
      <c r="AJI2" s="568"/>
      <c r="AJJ2" s="568"/>
      <c r="AJK2" s="568"/>
      <c r="AJL2" s="568"/>
      <c r="AJM2" s="568"/>
      <c r="AJN2" s="568"/>
      <c r="AJO2" s="568"/>
      <c r="AJP2" s="568"/>
      <c r="AJQ2" s="568"/>
      <c r="AJR2" s="568"/>
      <c r="AJS2" s="568"/>
      <c r="AJT2" s="568"/>
      <c r="AJU2" s="568"/>
      <c r="AJV2" s="568"/>
      <c r="AJW2" s="568"/>
      <c r="AJX2" s="568"/>
      <c r="AJY2" s="568"/>
      <c r="AJZ2" s="568"/>
      <c r="AKA2" s="568"/>
      <c r="AKB2" s="568"/>
      <c r="AKC2" s="568"/>
      <c r="AKD2" s="568"/>
      <c r="AKE2" s="568"/>
      <c r="AKF2" s="568"/>
      <c r="AKG2" s="568"/>
      <c r="AKH2" s="568"/>
      <c r="AKI2" s="568"/>
      <c r="AKJ2" s="568"/>
      <c r="AKK2" s="568"/>
      <c r="AKL2" s="568"/>
      <c r="AKM2" s="568"/>
      <c r="AKN2" s="568"/>
      <c r="AKO2" s="568"/>
      <c r="AKP2" s="568"/>
      <c r="AKQ2" s="568"/>
      <c r="AKR2" s="568"/>
      <c r="AKS2" s="568"/>
      <c r="AKT2" s="568"/>
      <c r="AKU2" s="568"/>
      <c r="AKV2" s="568"/>
      <c r="AKW2" s="568"/>
      <c r="AKX2" s="568"/>
      <c r="AKY2" s="568"/>
      <c r="AKZ2" s="568"/>
      <c r="ALA2" s="568"/>
      <c r="ALB2" s="568"/>
      <c r="ALC2" s="568"/>
      <c r="ALD2" s="568"/>
      <c r="ALE2" s="568"/>
      <c r="ALF2" s="568"/>
      <c r="ALG2" s="568"/>
      <c r="ALH2" s="568"/>
      <c r="ALI2" s="568"/>
      <c r="ALJ2" s="568"/>
      <c r="ALK2" s="568"/>
      <c r="ALL2" s="568"/>
      <c r="ALM2" s="568"/>
      <c r="ALN2" s="568"/>
      <c r="ALO2" s="568"/>
      <c r="ALP2" s="568"/>
      <c r="ALQ2" s="568"/>
      <c r="ALR2" s="568"/>
      <c r="ALS2" s="568"/>
      <c r="ALT2" s="568"/>
      <c r="ALU2" s="568"/>
      <c r="ALV2" s="568"/>
      <c r="ALW2" s="568"/>
      <c r="ALX2" s="568"/>
      <c r="ALY2" s="568"/>
      <c r="ALZ2" s="568"/>
      <c r="AMA2" s="568"/>
      <c r="AMB2" s="568"/>
      <c r="AMC2" s="568"/>
      <c r="AMD2" s="568"/>
      <c r="AME2" s="568"/>
      <c r="AMF2" s="568"/>
      <c r="AMG2" s="568"/>
      <c r="AMH2" s="568"/>
      <c r="AMI2" s="568"/>
      <c r="AMJ2" s="568"/>
      <c r="AMK2" s="568"/>
      <c r="AML2" s="568"/>
      <c r="AMM2" s="568"/>
      <c r="AMN2" s="568"/>
      <c r="AMO2" s="568"/>
      <c r="AMP2" s="568"/>
      <c r="AMQ2" s="568"/>
      <c r="AMR2" s="568"/>
      <c r="AMS2" s="568"/>
      <c r="AMT2" s="568"/>
      <c r="AMU2" s="568"/>
      <c r="AMV2" s="568"/>
      <c r="AMW2" s="568"/>
      <c r="AMX2" s="568"/>
      <c r="AMY2" s="568"/>
      <c r="AMZ2" s="568"/>
      <c r="ANA2" s="568"/>
      <c r="ANB2" s="568"/>
      <c r="ANC2" s="568"/>
      <c r="AND2" s="568"/>
      <c r="ANE2" s="568"/>
      <c r="ANF2" s="568"/>
      <c r="ANG2" s="568"/>
      <c r="ANH2" s="568"/>
      <c r="ANI2" s="568"/>
      <c r="ANJ2" s="568"/>
      <c r="ANK2" s="568"/>
      <c r="ANL2" s="568"/>
      <c r="ANM2" s="568"/>
      <c r="ANN2" s="568"/>
      <c r="ANO2" s="568"/>
      <c r="ANP2" s="568"/>
      <c r="ANQ2" s="568"/>
      <c r="ANR2" s="568"/>
      <c r="ANS2" s="568"/>
      <c r="ANT2" s="568"/>
      <c r="ANU2" s="568"/>
      <c r="ANV2" s="568"/>
      <c r="ANW2" s="568"/>
      <c r="ANX2" s="568"/>
      <c r="ANY2" s="568"/>
      <c r="ANZ2" s="568"/>
      <c r="AOA2" s="568"/>
      <c r="AOB2" s="568"/>
      <c r="AOC2" s="568"/>
      <c r="AOD2" s="568"/>
      <c r="AOE2" s="568"/>
      <c r="AOF2" s="568"/>
      <c r="AOG2" s="568"/>
      <c r="AOH2" s="568"/>
      <c r="AOI2" s="568"/>
      <c r="AOJ2" s="568"/>
      <c r="AOK2" s="568"/>
      <c r="AOL2" s="568"/>
      <c r="AOM2" s="568"/>
      <c r="AON2" s="568"/>
      <c r="AOO2" s="568"/>
      <c r="AOP2" s="568"/>
      <c r="AOQ2" s="568"/>
      <c r="AOR2" s="568"/>
      <c r="AOS2" s="568"/>
      <c r="AOT2" s="568"/>
      <c r="AOU2" s="568"/>
      <c r="AOV2" s="568"/>
      <c r="AOW2" s="568"/>
      <c r="AOX2" s="568"/>
      <c r="AOY2" s="568"/>
      <c r="AOZ2" s="568"/>
      <c r="APA2" s="568"/>
      <c r="APB2" s="568"/>
      <c r="APC2" s="568"/>
      <c r="APD2" s="568"/>
      <c r="APE2" s="568"/>
      <c r="APF2" s="568"/>
      <c r="APG2" s="568"/>
      <c r="APH2" s="568"/>
      <c r="API2" s="568"/>
      <c r="APJ2" s="568"/>
      <c r="APK2" s="568"/>
      <c r="APL2" s="568"/>
      <c r="APM2" s="568"/>
      <c r="APN2" s="568"/>
      <c r="APO2" s="568"/>
      <c r="APP2" s="568"/>
      <c r="APQ2" s="568"/>
      <c r="APR2" s="568"/>
      <c r="APS2" s="568"/>
      <c r="APT2" s="568"/>
      <c r="APU2" s="568"/>
      <c r="APV2" s="568"/>
      <c r="APW2" s="568"/>
      <c r="APX2" s="568"/>
      <c r="APY2" s="568"/>
      <c r="APZ2" s="568"/>
      <c r="AQA2" s="568"/>
      <c r="AQB2" s="568"/>
      <c r="AQC2" s="568"/>
      <c r="AQD2" s="568"/>
      <c r="AQE2" s="568"/>
      <c r="AQF2" s="568"/>
      <c r="AQG2" s="568"/>
      <c r="AQH2" s="568"/>
      <c r="AQI2" s="568"/>
      <c r="AQJ2" s="568"/>
      <c r="AQK2" s="568"/>
      <c r="AQL2" s="568"/>
      <c r="AQM2" s="568"/>
      <c r="AQN2" s="568"/>
      <c r="AQO2" s="568"/>
      <c r="AQP2" s="568"/>
      <c r="AQQ2" s="568"/>
      <c r="AQR2" s="568"/>
      <c r="AQS2" s="568"/>
      <c r="AQT2" s="568"/>
      <c r="AQU2" s="568"/>
      <c r="AQV2" s="568"/>
      <c r="AQW2" s="568"/>
      <c r="AQX2" s="568"/>
      <c r="AQY2" s="568"/>
      <c r="AQZ2" s="568"/>
      <c r="ARA2" s="568"/>
      <c r="ARB2" s="568"/>
      <c r="ARC2" s="568"/>
      <c r="ARD2" s="568"/>
      <c r="ARE2" s="568"/>
      <c r="ARF2" s="568"/>
      <c r="ARG2" s="568"/>
      <c r="ARH2" s="568"/>
      <c r="ARI2" s="568"/>
      <c r="ARJ2" s="568"/>
      <c r="ARK2" s="568"/>
      <c r="ARL2" s="568"/>
      <c r="ARM2" s="568"/>
      <c r="ARN2" s="568"/>
      <c r="ARO2" s="568"/>
      <c r="ARP2" s="568"/>
      <c r="ARQ2" s="568"/>
      <c r="ARR2" s="568"/>
      <c r="ARS2" s="568"/>
      <c r="ART2" s="568"/>
      <c r="ARU2" s="568"/>
      <c r="ARV2" s="568"/>
      <c r="ARW2" s="568"/>
      <c r="ARX2" s="568"/>
      <c r="ARY2" s="568"/>
      <c r="ARZ2" s="568"/>
      <c r="ASA2" s="568"/>
      <c r="ASB2" s="568"/>
      <c r="ASC2" s="568"/>
      <c r="ASD2" s="568"/>
      <c r="ASE2" s="568"/>
      <c r="ASF2" s="568"/>
      <c r="ASG2" s="568"/>
      <c r="ASH2" s="568"/>
      <c r="ASI2" s="568"/>
      <c r="ASJ2" s="568"/>
      <c r="ASK2" s="568"/>
      <c r="ASL2" s="568"/>
      <c r="ASM2" s="568"/>
      <c r="ASN2" s="568"/>
      <c r="ASO2" s="568"/>
      <c r="ASP2" s="568"/>
      <c r="ASQ2" s="568"/>
      <c r="ASR2" s="568"/>
      <c r="ASS2" s="568"/>
      <c r="AST2" s="568"/>
      <c r="ASU2" s="568"/>
      <c r="ASV2" s="568"/>
      <c r="ASW2" s="568"/>
      <c r="ASX2" s="568"/>
      <c r="ASY2" s="568"/>
      <c r="ASZ2" s="568"/>
      <c r="ATA2" s="568"/>
      <c r="ATB2" s="568"/>
      <c r="ATC2" s="568"/>
      <c r="ATD2" s="568"/>
      <c r="ATE2" s="568"/>
      <c r="ATF2" s="568"/>
      <c r="ATG2" s="568"/>
      <c r="ATH2" s="568"/>
      <c r="ATI2" s="568"/>
      <c r="ATJ2" s="568"/>
      <c r="ATK2" s="568"/>
      <c r="ATL2" s="568"/>
      <c r="ATM2" s="568"/>
      <c r="ATN2" s="568"/>
      <c r="ATO2" s="568"/>
      <c r="ATP2" s="568"/>
      <c r="ATQ2" s="568"/>
      <c r="ATR2" s="568"/>
      <c r="ATS2" s="568"/>
      <c r="ATT2" s="568"/>
      <c r="ATU2" s="568"/>
      <c r="ATV2" s="568"/>
      <c r="ATW2" s="568"/>
      <c r="ATX2" s="568"/>
      <c r="ATY2" s="568"/>
      <c r="ATZ2" s="568"/>
      <c r="AUA2" s="568"/>
      <c r="AUB2" s="568"/>
      <c r="AUC2" s="568"/>
      <c r="AUD2" s="568"/>
      <c r="AUE2" s="568"/>
      <c r="AUF2" s="568"/>
      <c r="AUG2" s="568"/>
      <c r="AUH2" s="568"/>
      <c r="AUI2" s="568"/>
      <c r="AUJ2" s="568"/>
      <c r="AUK2" s="568"/>
      <c r="AUL2" s="568"/>
      <c r="AUM2" s="568"/>
      <c r="AUN2" s="568"/>
      <c r="AUO2" s="568"/>
      <c r="AUP2" s="568"/>
      <c r="AUQ2" s="568"/>
      <c r="AUR2" s="568"/>
      <c r="AUS2" s="568"/>
      <c r="AUT2" s="568"/>
      <c r="AUU2" s="568"/>
      <c r="AUV2" s="568"/>
      <c r="AUW2" s="568"/>
      <c r="AUX2" s="568"/>
      <c r="AUY2" s="568"/>
      <c r="AUZ2" s="568"/>
      <c r="AVA2" s="568"/>
      <c r="AVB2" s="568"/>
      <c r="AVC2" s="568"/>
      <c r="AVD2" s="568"/>
      <c r="AVE2" s="568"/>
      <c r="AVF2" s="568"/>
      <c r="AVG2" s="568"/>
      <c r="AVH2" s="568"/>
      <c r="AVI2" s="568"/>
      <c r="AVJ2" s="568"/>
      <c r="AVK2" s="568"/>
      <c r="AVL2" s="568"/>
      <c r="AVM2" s="568"/>
      <c r="AVN2" s="568"/>
      <c r="AVO2" s="568"/>
      <c r="AVP2" s="568"/>
      <c r="AVQ2" s="568"/>
      <c r="AVR2" s="568"/>
      <c r="AVS2" s="568"/>
      <c r="AVT2" s="568"/>
      <c r="AVU2" s="568"/>
      <c r="AVV2" s="568"/>
      <c r="AVW2" s="568"/>
      <c r="AVX2" s="568"/>
      <c r="AVY2" s="568"/>
      <c r="AVZ2" s="568"/>
      <c r="AWA2" s="568"/>
      <c r="AWB2" s="568"/>
      <c r="AWC2" s="568"/>
      <c r="AWD2" s="568"/>
      <c r="AWE2" s="568"/>
      <c r="AWF2" s="568"/>
      <c r="AWG2" s="568"/>
      <c r="AWH2" s="568"/>
      <c r="AWI2" s="568"/>
      <c r="AWJ2" s="568"/>
      <c r="AWK2" s="568"/>
      <c r="AWL2" s="568"/>
      <c r="AWM2" s="568"/>
      <c r="AWN2" s="568"/>
      <c r="AWO2" s="568"/>
      <c r="AWP2" s="568"/>
      <c r="AWQ2" s="568"/>
      <c r="AWR2" s="568"/>
      <c r="AWS2" s="568"/>
      <c r="AWT2" s="568"/>
      <c r="AWU2" s="568"/>
      <c r="AWV2" s="568"/>
      <c r="AWW2" s="568"/>
      <c r="AWX2" s="568"/>
      <c r="AWY2" s="568"/>
      <c r="AWZ2" s="568"/>
      <c r="AXA2" s="568"/>
      <c r="AXB2" s="568"/>
      <c r="AXC2" s="568"/>
      <c r="AXD2" s="568"/>
      <c r="AXE2" s="568"/>
      <c r="AXF2" s="568"/>
      <c r="AXG2" s="568"/>
      <c r="AXH2" s="568"/>
      <c r="AXI2" s="568"/>
      <c r="AXJ2" s="568"/>
      <c r="AXK2" s="568"/>
      <c r="AXL2" s="568"/>
      <c r="AXM2" s="568"/>
      <c r="AXN2" s="568"/>
      <c r="AXO2" s="568"/>
      <c r="AXP2" s="568"/>
      <c r="AXQ2" s="568"/>
      <c r="AXR2" s="568"/>
      <c r="AXS2" s="568"/>
      <c r="AXT2" s="568"/>
      <c r="AXU2" s="568"/>
      <c r="AXV2" s="568"/>
      <c r="AXW2" s="568"/>
      <c r="AXX2" s="568"/>
      <c r="AXY2" s="568"/>
      <c r="AXZ2" s="568"/>
      <c r="AYA2" s="568"/>
      <c r="AYB2" s="568"/>
      <c r="AYC2" s="568"/>
      <c r="AYD2" s="568"/>
      <c r="AYE2" s="568"/>
      <c r="AYF2" s="568"/>
      <c r="AYG2" s="568"/>
      <c r="AYH2" s="568"/>
      <c r="AYI2" s="568"/>
      <c r="AYJ2" s="568"/>
      <c r="AYK2" s="568"/>
      <c r="AYL2" s="568"/>
      <c r="AYM2" s="568"/>
      <c r="AYN2" s="568"/>
      <c r="AYO2" s="568"/>
      <c r="AYP2" s="568"/>
      <c r="AYQ2" s="568"/>
      <c r="AYR2" s="568"/>
      <c r="AYS2" s="568"/>
      <c r="AYT2" s="568"/>
      <c r="AYU2" s="568"/>
      <c r="AYV2" s="568"/>
      <c r="AYW2" s="568"/>
      <c r="AYX2" s="568"/>
      <c r="AYY2" s="568"/>
      <c r="AYZ2" s="568"/>
      <c r="AZA2" s="568"/>
      <c r="AZB2" s="568"/>
      <c r="AZC2" s="568"/>
      <c r="AZD2" s="568"/>
      <c r="AZE2" s="568"/>
      <c r="AZF2" s="568"/>
      <c r="AZG2" s="568"/>
      <c r="AZH2" s="568"/>
      <c r="AZI2" s="568"/>
      <c r="AZJ2" s="568"/>
      <c r="AZK2" s="568"/>
      <c r="AZL2" s="568"/>
      <c r="AZM2" s="568"/>
      <c r="AZN2" s="568"/>
      <c r="AZO2" s="568"/>
      <c r="AZP2" s="568"/>
      <c r="AZQ2" s="568"/>
      <c r="AZR2" s="568"/>
      <c r="AZS2" s="568"/>
      <c r="AZT2" s="568"/>
      <c r="AZU2" s="568"/>
      <c r="AZV2" s="568"/>
      <c r="AZW2" s="568"/>
      <c r="AZX2" s="568"/>
      <c r="AZY2" s="568"/>
      <c r="AZZ2" s="568"/>
      <c r="BAA2" s="568"/>
      <c r="BAB2" s="568"/>
      <c r="BAC2" s="568"/>
      <c r="BAD2" s="568"/>
      <c r="BAE2" s="568"/>
      <c r="BAF2" s="568"/>
      <c r="BAG2" s="568"/>
      <c r="BAH2" s="568"/>
      <c r="BAI2" s="568"/>
      <c r="BAJ2" s="568"/>
      <c r="BAK2" s="568"/>
      <c r="BAL2" s="568"/>
      <c r="BAM2" s="568"/>
      <c r="BAN2" s="568"/>
      <c r="BAO2" s="568"/>
      <c r="BAP2" s="568"/>
      <c r="BAQ2" s="568"/>
      <c r="BAR2" s="568"/>
      <c r="BAS2" s="568"/>
      <c r="BAT2" s="568"/>
      <c r="BAU2" s="568"/>
      <c r="BAV2" s="568"/>
      <c r="BAW2" s="568"/>
      <c r="BAX2" s="568"/>
      <c r="BAY2" s="568"/>
      <c r="BAZ2" s="568"/>
      <c r="BBA2" s="568"/>
      <c r="BBB2" s="568"/>
      <c r="BBC2" s="568"/>
      <c r="BBD2" s="568"/>
      <c r="BBE2" s="568"/>
      <c r="BBF2" s="568"/>
      <c r="BBG2" s="568"/>
      <c r="BBH2" s="568"/>
      <c r="BBI2" s="568"/>
      <c r="BBJ2" s="568"/>
      <c r="BBK2" s="568"/>
      <c r="BBL2" s="568"/>
      <c r="BBM2" s="568"/>
      <c r="BBN2" s="568"/>
      <c r="BBO2" s="568"/>
      <c r="BBP2" s="568"/>
      <c r="BBQ2" s="568"/>
      <c r="BBR2" s="568"/>
      <c r="BBS2" s="568"/>
      <c r="BBT2" s="568"/>
      <c r="BBU2" s="568"/>
      <c r="BBV2" s="568"/>
      <c r="BBW2" s="568"/>
      <c r="BBX2" s="568"/>
      <c r="BBY2" s="568"/>
      <c r="BBZ2" s="568"/>
      <c r="BCA2" s="568"/>
      <c r="BCB2" s="568"/>
      <c r="BCC2" s="568"/>
      <c r="BCD2" s="568"/>
      <c r="BCE2" s="568"/>
      <c r="BCF2" s="568"/>
      <c r="BCG2" s="568"/>
      <c r="BCH2" s="568"/>
      <c r="BCI2" s="568"/>
      <c r="BCJ2" s="568"/>
      <c r="BCK2" s="568"/>
      <c r="BCL2" s="568"/>
      <c r="BCM2" s="568"/>
      <c r="BCN2" s="568"/>
      <c r="BCO2" s="568"/>
      <c r="BCP2" s="568"/>
      <c r="BCQ2" s="568"/>
      <c r="BCR2" s="568"/>
      <c r="BCS2" s="568"/>
      <c r="BCT2" s="568"/>
      <c r="BCU2" s="568"/>
      <c r="BCV2" s="568"/>
      <c r="BCW2" s="568"/>
      <c r="BCX2" s="568"/>
      <c r="BCY2" s="568"/>
      <c r="BCZ2" s="568"/>
      <c r="BDA2" s="568"/>
      <c r="BDB2" s="568"/>
      <c r="BDC2" s="568"/>
      <c r="BDD2" s="568"/>
      <c r="BDE2" s="568"/>
      <c r="BDF2" s="568"/>
      <c r="BDG2" s="568"/>
      <c r="BDH2" s="568"/>
      <c r="BDI2" s="568"/>
      <c r="BDJ2" s="568"/>
      <c r="BDK2" s="568"/>
      <c r="BDL2" s="568"/>
      <c r="BDM2" s="568"/>
      <c r="BDN2" s="568"/>
      <c r="BDO2" s="568"/>
      <c r="BDP2" s="568"/>
      <c r="BDQ2" s="568"/>
      <c r="BDR2" s="568"/>
      <c r="BDS2" s="568"/>
      <c r="BDT2" s="568"/>
      <c r="BDU2" s="568"/>
      <c r="BDV2" s="568"/>
      <c r="BDW2" s="568"/>
      <c r="BDX2" s="568"/>
      <c r="BDY2" s="568"/>
      <c r="BDZ2" s="568"/>
      <c r="BEA2" s="568"/>
      <c r="BEB2" s="568"/>
      <c r="BEC2" s="568"/>
      <c r="BED2" s="568"/>
      <c r="BEE2" s="568"/>
      <c r="BEF2" s="568"/>
      <c r="BEG2" s="568"/>
      <c r="BEH2" s="568"/>
      <c r="BEI2" s="568"/>
      <c r="BEJ2" s="568"/>
      <c r="BEK2" s="568"/>
      <c r="BEL2" s="568"/>
      <c r="BEM2" s="568"/>
      <c r="BEN2" s="568"/>
      <c r="BEO2" s="568"/>
      <c r="BEP2" s="568"/>
      <c r="BEQ2" s="568"/>
      <c r="BER2" s="568"/>
      <c r="BES2" s="568"/>
      <c r="BET2" s="568"/>
      <c r="BEU2" s="568"/>
      <c r="BEV2" s="568"/>
      <c r="BEW2" s="568"/>
      <c r="BEX2" s="568"/>
      <c r="BEY2" s="568"/>
      <c r="BEZ2" s="568"/>
      <c r="BFA2" s="568"/>
      <c r="BFB2" s="568"/>
      <c r="BFC2" s="568"/>
      <c r="BFD2" s="568"/>
      <c r="BFE2" s="568"/>
      <c r="BFF2" s="568"/>
      <c r="BFG2" s="568"/>
      <c r="BFH2" s="568"/>
      <c r="BFI2" s="568"/>
      <c r="BFJ2" s="568"/>
      <c r="BFK2" s="568"/>
      <c r="BFL2" s="568"/>
      <c r="BFM2" s="568"/>
      <c r="BFN2" s="568"/>
      <c r="BFO2" s="568"/>
      <c r="BFP2" s="568"/>
      <c r="BFQ2" s="568"/>
      <c r="BFR2" s="568"/>
      <c r="BFS2" s="568"/>
      <c r="BFT2" s="568"/>
      <c r="BFU2" s="568"/>
      <c r="BFV2" s="568"/>
      <c r="BFW2" s="568"/>
      <c r="BFX2" s="568"/>
      <c r="BFY2" s="568"/>
      <c r="BFZ2" s="568"/>
      <c r="BGA2" s="568"/>
      <c r="BGB2" s="568"/>
      <c r="BGC2" s="568"/>
      <c r="BGD2" s="568"/>
      <c r="BGE2" s="568"/>
      <c r="BGF2" s="568"/>
      <c r="BGG2" s="568"/>
      <c r="BGH2" s="568"/>
      <c r="BGI2" s="568"/>
      <c r="BGJ2" s="568"/>
      <c r="BGK2" s="568"/>
      <c r="BGL2" s="568"/>
      <c r="BGM2" s="568"/>
      <c r="BGN2" s="568"/>
      <c r="BGO2" s="568"/>
      <c r="BGP2" s="568"/>
      <c r="BGQ2" s="568"/>
      <c r="BGR2" s="568"/>
      <c r="BGS2" s="568"/>
      <c r="BGT2" s="568"/>
      <c r="BGU2" s="568"/>
      <c r="BGV2" s="568"/>
      <c r="BGW2" s="568"/>
      <c r="BGX2" s="568"/>
      <c r="BGY2" s="568"/>
      <c r="BGZ2" s="568"/>
      <c r="BHA2" s="568"/>
      <c r="BHB2" s="568"/>
      <c r="BHC2" s="568"/>
      <c r="BHD2" s="568"/>
      <c r="BHE2" s="568"/>
      <c r="BHF2" s="568"/>
      <c r="BHG2" s="568"/>
      <c r="BHH2" s="568"/>
      <c r="BHI2" s="568"/>
      <c r="BHJ2" s="568"/>
      <c r="BHK2" s="568"/>
      <c r="BHL2" s="568"/>
      <c r="BHM2" s="568"/>
      <c r="BHN2" s="568"/>
      <c r="BHO2" s="568"/>
      <c r="BHP2" s="568"/>
      <c r="BHQ2" s="568"/>
      <c r="BHR2" s="568"/>
      <c r="BHS2" s="568"/>
      <c r="BHT2" s="568"/>
      <c r="BHU2" s="568"/>
      <c r="BHV2" s="568"/>
      <c r="BHW2" s="568"/>
      <c r="BHX2" s="568"/>
      <c r="BHY2" s="568"/>
      <c r="BHZ2" s="568"/>
      <c r="BIA2" s="568"/>
      <c r="BIB2" s="568"/>
      <c r="BIC2" s="568"/>
      <c r="BID2" s="568"/>
      <c r="BIE2" s="568"/>
      <c r="BIF2" s="568"/>
      <c r="BIG2" s="568"/>
      <c r="BIH2" s="568"/>
      <c r="BII2" s="568"/>
      <c r="BIJ2" s="568"/>
      <c r="BIK2" s="568"/>
      <c r="BIL2" s="568"/>
      <c r="BIM2" s="568"/>
      <c r="BIN2" s="568"/>
      <c r="BIO2" s="568"/>
      <c r="BIP2" s="568"/>
      <c r="BIQ2" s="568"/>
      <c r="BIR2" s="568"/>
      <c r="BIS2" s="568"/>
      <c r="BIT2" s="568"/>
      <c r="BIU2" s="568"/>
      <c r="BIV2" s="568"/>
      <c r="BIW2" s="568"/>
      <c r="BIX2" s="568"/>
      <c r="BIY2" s="568"/>
      <c r="BIZ2" s="568"/>
      <c r="BJA2" s="568"/>
      <c r="BJB2" s="568"/>
      <c r="BJC2" s="568"/>
      <c r="BJD2" s="568"/>
      <c r="BJE2" s="568"/>
      <c r="BJF2" s="568"/>
      <c r="BJG2" s="568"/>
      <c r="BJH2" s="568"/>
      <c r="BJI2" s="568"/>
      <c r="BJJ2" s="568"/>
      <c r="BJK2" s="568"/>
      <c r="BJL2" s="568"/>
      <c r="BJM2" s="568"/>
      <c r="BJN2" s="568"/>
      <c r="BJO2" s="568"/>
      <c r="BJP2" s="568"/>
      <c r="BJQ2" s="568"/>
      <c r="BJR2" s="568"/>
      <c r="BJS2" s="568"/>
      <c r="BJT2" s="568"/>
      <c r="BJU2" s="568"/>
      <c r="BJV2" s="568"/>
      <c r="BJW2" s="568"/>
      <c r="BJX2" s="568"/>
      <c r="BJY2" s="568"/>
      <c r="BJZ2" s="568"/>
      <c r="BKA2" s="568"/>
      <c r="BKB2" s="568"/>
      <c r="BKC2" s="568"/>
      <c r="BKD2" s="568"/>
      <c r="BKE2" s="568"/>
      <c r="BKF2" s="568"/>
      <c r="BKG2" s="568"/>
      <c r="BKH2" s="568"/>
      <c r="BKI2" s="568"/>
      <c r="BKJ2" s="568"/>
      <c r="BKK2" s="568"/>
      <c r="BKL2" s="568"/>
      <c r="BKM2" s="568"/>
      <c r="BKN2" s="568"/>
      <c r="BKO2" s="568"/>
      <c r="BKP2" s="568"/>
      <c r="BKQ2" s="568"/>
      <c r="BKR2" s="568"/>
      <c r="BKS2" s="568"/>
      <c r="BKT2" s="568"/>
      <c r="BKU2" s="568"/>
      <c r="BKV2" s="568"/>
      <c r="BKW2" s="568"/>
      <c r="BKX2" s="568"/>
      <c r="BKY2" s="568"/>
      <c r="BKZ2" s="568"/>
      <c r="BLA2" s="568"/>
      <c r="BLB2" s="568"/>
      <c r="BLC2" s="568"/>
      <c r="BLD2" s="568"/>
      <c r="BLE2" s="568"/>
      <c r="BLF2" s="568"/>
      <c r="BLG2" s="568"/>
      <c r="BLH2" s="568"/>
      <c r="BLI2" s="568"/>
      <c r="BLJ2" s="568"/>
      <c r="BLK2" s="568"/>
      <c r="BLL2" s="568"/>
      <c r="BLM2" s="568"/>
      <c r="BLN2" s="568"/>
      <c r="BLO2" s="568"/>
      <c r="BLP2" s="568"/>
      <c r="BLQ2" s="568"/>
      <c r="BLR2" s="568"/>
      <c r="BLS2" s="568"/>
      <c r="BLT2" s="568"/>
      <c r="BLU2" s="568"/>
      <c r="BLV2" s="568"/>
      <c r="BLW2" s="568"/>
      <c r="BLX2" s="568"/>
      <c r="BLY2" s="568"/>
      <c r="BLZ2" s="568"/>
      <c r="BMA2" s="568"/>
      <c r="BMB2" s="568"/>
      <c r="BMC2" s="568"/>
      <c r="BMD2" s="568"/>
      <c r="BME2" s="568"/>
      <c r="BMF2" s="568"/>
      <c r="BMG2" s="568"/>
      <c r="BMH2" s="568"/>
      <c r="BMI2" s="568"/>
      <c r="BMJ2" s="568"/>
      <c r="BMK2" s="568"/>
      <c r="BML2" s="568"/>
      <c r="BMM2" s="568"/>
      <c r="BMN2" s="568"/>
      <c r="BMO2" s="568"/>
      <c r="BMP2" s="568"/>
      <c r="BMQ2" s="568"/>
      <c r="BMR2" s="568"/>
      <c r="BMS2" s="568"/>
      <c r="BMT2" s="568"/>
      <c r="BMU2" s="568"/>
      <c r="BMV2" s="568"/>
      <c r="BMW2" s="568"/>
      <c r="BMX2" s="568"/>
      <c r="BMY2" s="568"/>
      <c r="BMZ2" s="568"/>
      <c r="BNA2" s="568"/>
      <c r="BNB2" s="568"/>
      <c r="BNC2" s="568"/>
      <c r="BND2" s="568"/>
      <c r="BNE2" s="568"/>
      <c r="BNF2" s="568"/>
      <c r="BNG2" s="568"/>
      <c r="BNH2" s="568"/>
      <c r="BNI2" s="568"/>
      <c r="BNJ2" s="568"/>
      <c r="BNK2" s="568"/>
      <c r="BNL2" s="568"/>
      <c r="BNM2" s="568"/>
      <c r="BNN2" s="568"/>
      <c r="BNO2" s="568"/>
      <c r="BNP2" s="568"/>
      <c r="BNQ2" s="568"/>
      <c r="BNR2" s="568"/>
      <c r="BNS2" s="568"/>
      <c r="BNT2" s="568"/>
      <c r="BNU2" s="568"/>
      <c r="BNV2" s="568"/>
      <c r="BNW2" s="568"/>
      <c r="BNX2" s="568"/>
      <c r="BNY2" s="568"/>
      <c r="BNZ2" s="568"/>
      <c r="BOA2" s="568"/>
      <c r="BOB2" s="568"/>
      <c r="BOC2" s="568"/>
      <c r="BOD2" s="568"/>
      <c r="BOE2" s="568"/>
      <c r="BOF2" s="568"/>
      <c r="BOG2" s="568"/>
      <c r="BOH2" s="568"/>
      <c r="BOI2" s="568"/>
      <c r="BOJ2" s="568"/>
      <c r="BOK2" s="568"/>
      <c r="BOL2" s="568"/>
      <c r="BOM2" s="568"/>
      <c r="BON2" s="568"/>
      <c r="BOO2" s="568"/>
      <c r="BOP2" s="568"/>
      <c r="BOQ2" s="568"/>
      <c r="BOR2" s="568"/>
      <c r="BOS2" s="568"/>
      <c r="BOT2" s="568"/>
      <c r="BOU2" s="568"/>
      <c r="BOV2" s="568"/>
      <c r="BOW2" s="568"/>
      <c r="BOX2" s="568"/>
      <c r="BOY2" s="568"/>
      <c r="BOZ2" s="568"/>
      <c r="BPA2" s="568"/>
      <c r="BPB2" s="568"/>
      <c r="BPC2" s="568"/>
      <c r="BPD2" s="568"/>
      <c r="BPE2" s="568"/>
      <c r="BPF2" s="568"/>
      <c r="BPG2" s="568"/>
      <c r="BPH2" s="568"/>
      <c r="BPI2" s="568"/>
      <c r="BPJ2" s="568"/>
      <c r="BPK2" s="568"/>
      <c r="BPL2" s="568"/>
      <c r="BPM2" s="568"/>
      <c r="BPN2" s="568"/>
      <c r="BPO2" s="568"/>
      <c r="BPP2" s="568"/>
      <c r="BPQ2" s="568"/>
      <c r="BPR2" s="568"/>
      <c r="BPS2" s="568"/>
      <c r="BPT2" s="568"/>
      <c r="BPU2" s="568"/>
      <c r="BPV2" s="568"/>
      <c r="BPW2" s="568"/>
      <c r="BPX2" s="568"/>
      <c r="BPY2" s="568"/>
      <c r="BPZ2" s="568"/>
      <c r="BQA2" s="568"/>
      <c r="BQB2" s="568"/>
      <c r="BQC2" s="568"/>
      <c r="BQD2" s="568"/>
      <c r="BQE2" s="568"/>
      <c r="BQF2" s="568"/>
      <c r="BQG2" s="568"/>
      <c r="BQH2" s="568"/>
      <c r="BQI2" s="568"/>
      <c r="BQJ2" s="568"/>
      <c r="BQK2" s="568"/>
      <c r="BQL2" s="568"/>
      <c r="BQM2" s="568"/>
      <c r="BQN2" s="568"/>
      <c r="BQO2" s="568"/>
      <c r="BQP2" s="568"/>
      <c r="BQQ2" s="568"/>
      <c r="BQR2" s="568"/>
      <c r="BQS2" s="568"/>
      <c r="BQT2" s="568"/>
      <c r="BQU2" s="568"/>
      <c r="BQV2" s="568"/>
      <c r="BQW2" s="568"/>
      <c r="BQX2" s="568"/>
      <c r="BQY2" s="568"/>
      <c r="BQZ2" s="568"/>
      <c r="BRA2" s="568"/>
      <c r="BRB2" s="568"/>
      <c r="BRC2" s="568"/>
      <c r="BRD2" s="568"/>
      <c r="BRE2" s="568"/>
      <c r="BRF2" s="568"/>
      <c r="BRG2" s="568"/>
      <c r="BRH2" s="568"/>
      <c r="BRI2" s="568"/>
      <c r="BRJ2" s="568"/>
      <c r="BRK2" s="568"/>
      <c r="BRL2" s="568"/>
      <c r="BRM2" s="568"/>
      <c r="BRN2" s="568"/>
      <c r="BRO2" s="568"/>
      <c r="BRP2" s="568"/>
      <c r="BRQ2" s="568"/>
      <c r="BRR2" s="568"/>
      <c r="BRS2" s="568"/>
      <c r="BRT2" s="568"/>
      <c r="BRU2" s="568"/>
      <c r="BRV2" s="568"/>
      <c r="BRW2" s="568"/>
      <c r="BRX2" s="568"/>
      <c r="BRY2" s="568"/>
      <c r="BRZ2" s="568"/>
      <c r="BSA2" s="568"/>
      <c r="BSB2" s="568"/>
      <c r="BSC2" s="568"/>
      <c r="BSD2" s="568"/>
      <c r="BSE2" s="568"/>
      <c r="BSF2" s="568"/>
      <c r="BSG2" s="568"/>
      <c r="BSH2" s="568"/>
      <c r="BSI2" s="568"/>
      <c r="BSJ2" s="568"/>
      <c r="BSK2" s="568"/>
      <c r="BSL2" s="568"/>
      <c r="BSM2" s="568"/>
      <c r="BSN2" s="568"/>
      <c r="BSO2" s="568"/>
      <c r="BSP2" s="568"/>
      <c r="BSQ2" s="568"/>
      <c r="BSR2" s="568"/>
      <c r="BSS2" s="568"/>
      <c r="BST2" s="568"/>
      <c r="BSU2" s="568"/>
      <c r="BSV2" s="568"/>
      <c r="BSW2" s="568"/>
      <c r="BSX2" s="568"/>
      <c r="BSY2" s="568"/>
      <c r="BSZ2" s="568"/>
      <c r="BTA2" s="568"/>
      <c r="BTB2" s="568"/>
      <c r="BTC2" s="568"/>
      <c r="BTD2" s="568"/>
      <c r="BTE2" s="568"/>
      <c r="BTF2" s="568"/>
      <c r="BTG2" s="568"/>
      <c r="BTH2" s="568"/>
      <c r="BTI2" s="568"/>
      <c r="BTJ2" s="568"/>
      <c r="BTK2" s="568"/>
      <c r="BTL2" s="568"/>
      <c r="BTM2" s="568"/>
      <c r="BTN2" s="568"/>
      <c r="BTO2" s="568"/>
      <c r="BTP2" s="568"/>
      <c r="BTQ2" s="568"/>
      <c r="BTR2" s="568"/>
      <c r="BTS2" s="568"/>
      <c r="BTT2" s="568"/>
      <c r="BTU2" s="568"/>
      <c r="BTV2" s="568"/>
      <c r="BTW2" s="568"/>
      <c r="BTX2" s="568"/>
      <c r="BTY2" s="568"/>
      <c r="BTZ2" s="568"/>
      <c r="BUA2" s="568"/>
      <c r="BUB2" s="568"/>
      <c r="BUC2" s="568"/>
      <c r="BUD2" s="568"/>
      <c r="BUE2" s="568"/>
      <c r="BUF2" s="568"/>
      <c r="BUG2" s="568"/>
      <c r="BUH2" s="568"/>
      <c r="BUI2" s="568"/>
      <c r="BUJ2" s="568"/>
      <c r="BUK2" s="568"/>
      <c r="BUL2" s="568"/>
      <c r="BUM2" s="568"/>
      <c r="BUN2" s="568"/>
      <c r="BUO2" s="568"/>
      <c r="BUP2" s="568"/>
      <c r="BUQ2" s="568"/>
      <c r="BUR2" s="568"/>
      <c r="BUS2" s="568"/>
      <c r="BUT2" s="568"/>
      <c r="BUU2" s="568"/>
      <c r="BUV2" s="568"/>
      <c r="BUW2" s="568"/>
      <c r="BUX2" s="568"/>
      <c r="BUY2" s="568"/>
      <c r="BUZ2" s="568"/>
      <c r="BVA2" s="568"/>
      <c r="BVB2" s="568"/>
      <c r="BVC2" s="568"/>
      <c r="BVD2" s="568"/>
      <c r="BVE2" s="568"/>
      <c r="BVF2" s="568"/>
      <c r="BVG2" s="568"/>
      <c r="BVH2" s="568"/>
      <c r="BVI2" s="568"/>
      <c r="BVJ2" s="568"/>
      <c r="BVK2" s="568"/>
      <c r="BVL2" s="568"/>
      <c r="BVM2" s="568"/>
      <c r="BVN2" s="568"/>
      <c r="BVO2" s="568"/>
      <c r="BVP2" s="568"/>
      <c r="BVQ2" s="568"/>
      <c r="BVR2" s="568"/>
      <c r="BVS2" s="568"/>
      <c r="BVT2" s="568"/>
      <c r="BVU2" s="568"/>
      <c r="BVV2" s="568"/>
      <c r="BVW2" s="568"/>
      <c r="BVX2" s="568"/>
      <c r="BVY2" s="568"/>
      <c r="BVZ2" s="568"/>
      <c r="BWA2" s="568"/>
      <c r="BWB2" s="568"/>
      <c r="BWC2" s="568"/>
      <c r="BWD2" s="568"/>
      <c r="BWE2" s="568"/>
      <c r="BWF2" s="568"/>
      <c r="BWG2" s="568"/>
      <c r="BWH2" s="568"/>
      <c r="BWI2" s="568"/>
      <c r="BWJ2" s="568"/>
      <c r="BWK2" s="568"/>
      <c r="BWL2" s="568"/>
      <c r="BWM2" s="568"/>
      <c r="BWN2" s="568"/>
      <c r="BWO2" s="568"/>
      <c r="BWP2" s="568"/>
      <c r="BWQ2" s="568"/>
      <c r="BWR2" s="568"/>
      <c r="BWS2" s="568"/>
      <c r="BWT2" s="568"/>
      <c r="BWU2" s="568"/>
      <c r="BWV2" s="568"/>
      <c r="BWW2" s="568"/>
      <c r="BWX2" s="568"/>
      <c r="BWY2" s="568"/>
      <c r="BWZ2" s="568"/>
      <c r="BXA2" s="568"/>
      <c r="BXB2" s="568"/>
      <c r="BXC2" s="568"/>
      <c r="BXD2" s="568"/>
      <c r="BXE2" s="568"/>
      <c r="BXF2" s="568"/>
      <c r="BXG2" s="568"/>
      <c r="BXH2" s="568"/>
      <c r="BXI2" s="568"/>
      <c r="BXJ2" s="568"/>
      <c r="BXK2" s="568"/>
      <c r="BXL2" s="568"/>
      <c r="BXM2" s="568"/>
      <c r="BXN2" s="568"/>
      <c r="BXO2" s="568"/>
      <c r="BXP2" s="568"/>
      <c r="BXQ2" s="568"/>
      <c r="BXR2" s="568"/>
      <c r="BXS2" s="568"/>
      <c r="BXT2" s="568"/>
      <c r="BXU2" s="568"/>
      <c r="BXV2" s="568"/>
      <c r="BXW2" s="568"/>
      <c r="BXX2" s="568"/>
      <c r="BXY2" s="568"/>
      <c r="BXZ2" s="568"/>
      <c r="BYA2" s="568"/>
      <c r="BYB2" s="568"/>
      <c r="BYC2" s="568"/>
      <c r="BYD2" s="568"/>
      <c r="BYE2" s="568"/>
      <c r="BYF2" s="568"/>
      <c r="BYG2" s="568"/>
      <c r="BYH2" s="568"/>
      <c r="BYI2" s="568"/>
      <c r="BYJ2" s="568"/>
      <c r="BYK2" s="568"/>
      <c r="BYL2" s="568"/>
      <c r="BYM2" s="568"/>
      <c r="BYN2" s="568"/>
      <c r="BYO2" s="568"/>
      <c r="BYP2" s="568"/>
      <c r="BYQ2" s="568"/>
      <c r="BYR2" s="568"/>
      <c r="BYS2" s="568"/>
      <c r="BYT2" s="568"/>
      <c r="BYU2" s="568"/>
      <c r="BYV2" s="568"/>
      <c r="BYW2" s="568"/>
      <c r="BYX2" s="568"/>
      <c r="BYY2" s="568"/>
      <c r="BYZ2" s="568"/>
      <c r="BZA2" s="568"/>
      <c r="BZB2" s="568"/>
      <c r="BZC2" s="568"/>
      <c r="BZD2" s="568"/>
      <c r="BZE2" s="568"/>
      <c r="BZF2" s="568"/>
      <c r="BZG2" s="568"/>
      <c r="BZH2" s="568"/>
      <c r="BZI2" s="568"/>
      <c r="BZJ2" s="568"/>
      <c r="BZK2" s="568"/>
      <c r="BZL2" s="568"/>
      <c r="BZM2" s="568"/>
      <c r="BZN2" s="568"/>
      <c r="BZO2" s="568"/>
      <c r="BZP2" s="568"/>
      <c r="BZQ2" s="568"/>
      <c r="BZR2" s="568"/>
      <c r="BZS2" s="568"/>
      <c r="BZT2" s="568"/>
      <c r="BZU2" s="568"/>
      <c r="BZV2" s="568"/>
      <c r="BZW2" s="568"/>
      <c r="BZX2" s="568"/>
      <c r="BZY2" s="568"/>
      <c r="BZZ2" s="568"/>
      <c r="CAA2" s="568"/>
      <c r="CAB2" s="568"/>
      <c r="CAC2" s="568"/>
      <c r="CAD2" s="568"/>
      <c r="CAE2" s="568"/>
      <c r="CAF2" s="568"/>
      <c r="CAG2" s="568"/>
      <c r="CAH2" s="568"/>
      <c r="CAI2" s="568"/>
      <c r="CAJ2" s="568"/>
      <c r="CAK2" s="568"/>
      <c r="CAL2" s="568"/>
      <c r="CAM2" s="568"/>
      <c r="CAN2" s="568"/>
      <c r="CAO2" s="568"/>
      <c r="CAP2" s="568"/>
      <c r="CAQ2" s="568"/>
      <c r="CAR2" s="568"/>
      <c r="CAS2" s="568"/>
      <c r="CAT2" s="568"/>
      <c r="CAU2" s="568"/>
      <c r="CAV2" s="568"/>
      <c r="CAW2" s="568"/>
      <c r="CAX2" s="568"/>
      <c r="CAY2" s="568"/>
      <c r="CAZ2" s="568"/>
      <c r="CBA2" s="568"/>
      <c r="CBB2" s="568"/>
      <c r="CBC2" s="568"/>
      <c r="CBD2" s="568"/>
      <c r="CBE2" s="568"/>
      <c r="CBF2" s="568"/>
      <c r="CBG2" s="568"/>
      <c r="CBH2" s="568"/>
      <c r="CBI2" s="568"/>
      <c r="CBJ2" s="568"/>
      <c r="CBK2" s="568"/>
      <c r="CBL2" s="568"/>
      <c r="CBM2" s="568"/>
      <c r="CBN2" s="568"/>
      <c r="CBO2" s="568"/>
      <c r="CBP2" s="568"/>
      <c r="CBQ2" s="568"/>
      <c r="CBR2" s="568"/>
      <c r="CBS2" s="568"/>
      <c r="CBT2" s="568"/>
      <c r="CBU2" s="568"/>
      <c r="CBV2" s="568"/>
      <c r="CBW2" s="568"/>
      <c r="CBX2" s="568"/>
      <c r="CBY2" s="568"/>
      <c r="CBZ2" s="568"/>
      <c r="CCA2" s="568"/>
      <c r="CCB2" s="568"/>
      <c r="CCC2" s="568"/>
      <c r="CCD2" s="568"/>
      <c r="CCE2" s="568"/>
      <c r="CCF2" s="568"/>
      <c r="CCG2" s="568"/>
      <c r="CCH2" s="568"/>
      <c r="CCI2" s="568"/>
      <c r="CCJ2" s="568"/>
      <c r="CCK2" s="568"/>
      <c r="CCL2" s="568"/>
      <c r="CCM2" s="568"/>
      <c r="CCN2" s="568"/>
      <c r="CCO2" s="568"/>
      <c r="CCP2" s="568"/>
      <c r="CCQ2" s="568"/>
      <c r="CCR2" s="568"/>
      <c r="CCS2" s="568"/>
      <c r="CCT2" s="568"/>
      <c r="CCU2" s="568"/>
      <c r="CCV2" s="568"/>
      <c r="CCW2" s="568"/>
      <c r="CCX2" s="568"/>
      <c r="CCY2" s="568"/>
      <c r="CCZ2" s="568"/>
      <c r="CDA2" s="568"/>
      <c r="CDB2" s="568"/>
      <c r="CDC2" s="568"/>
      <c r="CDD2" s="568"/>
      <c r="CDE2" s="568"/>
      <c r="CDF2" s="568"/>
      <c r="CDG2" s="568"/>
      <c r="CDH2" s="568"/>
      <c r="CDI2" s="568"/>
      <c r="CDJ2" s="568"/>
      <c r="CDK2" s="568"/>
      <c r="CDL2" s="568"/>
      <c r="CDM2" s="568"/>
      <c r="CDN2" s="568"/>
      <c r="CDO2" s="568"/>
      <c r="CDP2" s="568"/>
      <c r="CDQ2" s="568"/>
      <c r="CDR2" s="568"/>
      <c r="CDS2" s="568"/>
      <c r="CDT2" s="568"/>
      <c r="CDU2" s="568"/>
      <c r="CDV2" s="568"/>
      <c r="CDW2" s="568"/>
      <c r="CDX2" s="568"/>
      <c r="CDY2" s="568"/>
      <c r="CDZ2" s="568"/>
      <c r="CEA2" s="568"/>
      <c r="CEB2" s="568"/>
      <c r="CEC2" s="568"/>
      <c r="CED2" s="568"/>
      <c r="CEE2" s="568"/>
      <c r="CEF2" s="568"/>
      <c r="CEG2" s="568"/>
      <c r="CEH2" s="568"/>
      <c r="CEI2" s="568"/>
      <c r="CEJ2" s="568"/>
      <c r="CEK2" s="568"/>
      <c r="CEL2" s="568"/>
      <c r="CEM2" s="568"/>
      <c r="CEN2" s="568"/>
      <c r="CEO2" s="568"/>
      <c r="CEP2" s="568"/>
      <c r="CEQ2" s="568"/>
      <c r="CER2" s="568"/>
      <c r="CES2" s="568"/>
      <c r="CET2" s="568"/>
      <c r="CEU2" s="568"/>
      <c r="CEV2" s="568"/>
      <c r="CEW2" s="568"/>
      <c r="CEX2" s="568"/>
      <c r="CEY2" s="568"/>
      <c r="CEZ2" s="568"/>
      <c r="CFA2" s="568"/>
      <c r="CFB2" s="568"/>
      <c r="CFC2" s="568"/>
      <c r="CFD2" s="568"/>
      <c r="CFE2" s="568"/>
      <c r="CFF2" s="568"/>
      <c r="CFG2" s="568"/>
      <c r="CFH2" s="568"/>
      <c r="CFI2" s="568"/>
      <c r="CFJ2" s="568"/>
      <c r="CFK2" s="568"/>
      <c r="CFL2" s="568"/>
      <c r="CFM2" s="568"/>
      <c r="CFN2" s="568"/>
      <c r="CFO2" s="568"/>
      <c r="CFP2" s="568"/>
      <c r="CFQ2" s="568"/>
      <c r="CFR2" s="568"/>
      <c r="CFS2" s="568"/>
      <c r="CFT2" s="568"/>
      <c r="CFU2" s="568"/>
      <c r="CFV2" s="568"/>
      <c r="CFW2" s="568"/>
      <c r="CFX2" s="568"/>
      <c r="CFY2" s="568"/>
      <c r="CFZ2" s="568"/>
      <c r="CGA2" s="568"/>
      <c r="CGB2" s="568"/>
      <c r="CGC2" s="568"/>
      <c r="CGD2" s="568"/>
      <c r="CGE2" s="568"/>
      <c r="CGF2" s="568"/>
      <c r="CGG2" s="568"/>
      <c r="CGH2" s="568"/>
      <c r="CGI2" s="568"/>
      <c r="CGJ2" s="568"/>
      <c r="CGK2" s="568"/>
      <c r="CGL2" s="568"/>
      <c r="CGM2" s="568"/>
      <c r="CGN2" s="568"/>
      <c r="CGO2" s="568"/>
      <c r="CGP2" s="568"/>
      <c r="CGQ2" s="568"/>
      <c r="CGR2" s="568"/>
      <c r="CGS2" s="568"/>
      <c r="CGT2" s="568"/>
      <c r="CGU2" s="568"/>
      <c r="CGV2" s="568"/>
      <c r="CGW2" s="568"/>
      <c r="CGX2" s="568"/>
      <c r="CGY2" s="568"/>
      <c r="CGZ2" s="568"/>
      <c r="CHA2" s="568"/>
      <c r="CHB2" s="568"/>
      <c r="CHC2" s="568"/>
      <c r="CHD2" s="568"/>
      <c r="CHE2" s="568"/>
      <c r="CHF2" s="568"/>
      <c r="CHG2" s="568"/>
      <c r="CHH2" s="568"/>
      <c r="CHI2" s="568"/>
      <c r="CHJ2" s="568"/>
      <c r="CHK2" s="568"/>
      <c r="CHL2" s="568"/>
      <c r="CHM2" s="568"/>
      <c r="CHN2" s="568"/>
      <c r="CHO2" s="568"/>
      <c r="CHP2" s="568"/>
      <c r="CHQ2" s="568"/>
      <c r="CHR2" s="568"/>
      <c r="CHS2" s="568"/>
      <c r="CHT2" s="568"/>
      <c r="CHU2" s="568"/>
      <c r="CHV2" s="568"/>
      <c r="CHW2" s="568"/>
      <c r="CHX2" s="568"/>
      <c r="CHY2" s="568"/>
      <c r="CHZ2" s="568"/>
      <c r="CIA2" s="568"/>
      <c r="CIB2" s="568"/>
      <c r="CIC2" s="568"/>
      <c r="CID2" s="568"/>
      <c r="CIE2" s="568"/>
      <c r="CIF2" s="568"/>
      <c r="CIG2" s="568"/>
      <c r="CIH2" s="568"/>
      <c r="CII2" s="568"/>
      <c r="CIJ2" s="568"/>
      <c r="CIK2" s="568"/>
      <c r="CIL2" s="568"/>
      <c r="CIM2" s="568"/>
      <c r="CIN2" s="568"/>
      <c r="CIO2" s="568"/>
      <c r="CIP2" s="568"/>
      <c r="CIQ2" s="568"/>
      <c r="CIR2" s="568"/>
      <c r="CIS2" s="568"/>
      <c r="CIT2" s="568"/>
      <c r="CIU2" s="568"/>
      <c r="CIV2" s="568"/>
      <c r="CIW2" s="568"/>
      <c r="CIX2" s="568"/>
      <c r="CIY2" s="568"/>
      <c r="CIZ2" s="568"/>
      <c r="CJA2" s="568"/>
      <c r="CJB2" s="568"/>
      <c r="CJC2" s="568"/>
      <c r="CJD2" s="568"/>
      <c r="CJE2" s="568"/>
      <c r="CJF2" s="568"/>
      <c r="CJG2" s="568"/>
      <c r="CJH2" s="568"/>
      <c r="CJI2" s="568"/>
      <c r="CJJ2" s="568"/>
      <c r="CJK2" s="568"/>
      <c r="CJL2" s="568"/>
      <c r="CJM2" s="568"/>
      <c r="CJN2" s="568"/>
      <c r="CJO2" s="568"/>
      <c r="CJP2" s="568"/>
      <c r="CJQ2" s="568"/>
      <c r="CJR2" s="568"/>
      <c r="CJS2" s="568"/>
      <c r="CJT2" s="568"/>
      <c r="CJU2" s="568"/>
      <c r="CJV2" s="568"/>
      <c r="CJW2" s="568"/>
      <c r="CJX2" s="568"/>
      <c r="CJY2" s="568"/>
      <c r="CJZ2" s="568"/>
      <c r="CKA2" s="568"/>
      <c r="CKB2" s="568"/>
      <c r="CKC2" s="568"/>
      <c r="CKD2" s="568"/>
      <c r="CKE2" s="568"/>
      <c r="CKF2" s="568"/>
      <c r="CKG2" s="568"/>
      <c r="CKH2" s="568"/>
      <c r="CKI2" s="568"/>
      <c r="CKJ2" s="568"/>
      <c r="CKK2" s="568"/>
      <c r="CKL2" s="568"/>
      <c r="CKM2" s="568"/>
      <c r="CKN2" s="568"/>
      <c r="CKO2" s="568"/>
      <c r="CKP2" s="568"/>
      <c r="CKQ2" s="568"/>
      <c r="CKR2" s="568"/>
      <c r="CKS2" s="568"/>
      <c r="CKT2" s="568"/>
      <c r="CKU2" s="568"/>
      <c r="CKV2" s="568"/>
      <c r="CKW2" s="568"/>
      <c r="CKX2" s="568"/>
      <c r="CKY2" s="568"/>
      <c r="CKZ2" s="568"/>
      <c r="CLA2" s="568"/>
      <c r="CLB2" s="568"/>
      <c r="CLC2" s="568"/>
      <c r="CLD2" s="568"/>
      <c r="CLE2" s="568"/>
      <c r="CLF2" s="568"/>
      <c r="CLG2" s="568"/>
      <c r="CLH2" s="568"/>
      <c r="CLI2" s="568"/>
      <c r="CLJ2" s="568"/>
      <c r="CLK2" s="568"/>
      <c r="CLL2" s="568"/>
      <c r="CLM2" s="568"/>
      <c r="CLN2" s="568"/>
      <c r="CLO2" s="568"/>
      <c r="CLP2" s="568"/>
      <c r="CLQ2" s="568"/>
      <c r="CLR2" s="568"/>
      <c r="CLS2" s="568"/>
      <c r="CLT2" s="568"/>
      <c r="CLU2" s="568"/>
      <c r="CLV2" s="568"/>
      <c r="CLW2" s="568"/>
      <c r="CLX2" s="568"/>
      <c r="CLY2" s="568"/>
      <c r="CLZ2" s="568"/>
      <c r="CMA2" s="568"/>
      <c r="CMB2" s="568"/>
      <c r="CMC2" s="568"/>
      <c r="CMD2" s="568"/>
      <c r="CME2" s="568"/>
      <c r="CMF2" s="568"/>
      <c r="CMG2" s="568"/>
      <c r="CMH2" s="568"/>
      <c r="CMI2" s="568"/>
      <c r="CMJ2" s="568"/>
      <c r="CMK2" s="568"/>
      <c r="CML2" s="568"/>
      <c r="CMM2" s="568"/>
      <c r="CMN2" s="568"/>
      <c r="CMO2" s="568"/>
      <c r="CMP2" s="568"/>
      <c r="CMQ2" s="568"/>
      <c r="CMR2" s="568"/>
      <c r="CMS2" s="568"/>
      <c r="CMT2" s="568"/>
      <c r="CMU2" s="568"/>
      <c r="CMV2" s="568"/>
      <c r="CMW2" s="568"/>
      <c r="CMX2" s="568"/>
      <c r="CMY2" s="568"/>
      <c r="CMZ2" s="568"/>
      <c r="CNA2" s="568"/>
      <c r="CNB2" s="568"/>
      <c r="CNC2" s="568"/>
      <c r="CND2" s="568"/>
      <c r="CNE2" s="568"/>
      <c r="CNF2" s="568"/>
      <c r="CNG2" s="568"/>
      <c r="CNH2" s="568"/>
      <c r="CNI2" s="568"/>
      <c r="CNJ2" s="568"/>
      <c r="CNK2" s="568"/>
      <c r="CNL2" s="568"/>
      <c r="CNM2" s="568"/>
      <c r="CNN2" s="568"/>
      <c r="CNO2" s="568"/>
      <c r="CNP2" s="568"/>
      <c r="CNQ2" s="568"/>
      <c r="CNR2" s="568"/>
      <c r="CNS2" s="568"/>
      <c r="CNT2" s="568"/>
      <c r="CNU2" s="568"/>
      <c r="CNV2" s="568"/>
      <c r="CNW2" s="568"/>
      <c r="CNX2" s="568"/>
      <c r="CNY2" s="568"/>
      <c r="CNZ2" s="568"/>
      <c r="COA2" s="568"/>
      <c r="COB2" s="568"/>
      <c r="COC2" s="568"/>
      <c r="COD2" s="568"/>
      <c r="COE2" s="568"/>
      <c r="COF2" s="568"/>
      <c r="COG2" s="568"/>
      <c r="COH2" s="568"/>
      <c r="COI2" s="568"/>
      <c r="COJ2" s="568"/>
      <c r="COK2" s="568"/>
      <c r="COL2" s="568"/>
      <c r="COM2" s="568"/>
      <c r="CON2" s="568"/>
      <c r="COO2" s="568"/>
      <c r="COP2" s="568"/>
      <c r="COQ2" s="568"/>
      <c r="COR2" s="568"/>
      <c r="COS2" s="568"/>
      <c r="COT2" s="568"/>
      <c r="COU2" s="568"/>
      <c r="COV2" s="568"/>
      <c r="COW2" s="568"/>
      <c r="COX2" s="568"/>
      <c r="COY2" s="568"/>
      <c r="COZ2" s="568"/>
      <c r="CPA2" s="568"/>
      <c r="CPB2" s="568"/>
      <c r="CPC2" s="568"/>
      <c r="CPD2" s="568"/>
      <c r="CPE2" s="568"/>
      <c r="CPF2" s="568"/>
      <c r="CPG2" s="568"/>
      <c r="CPH2" s="568"/>
      <c r="CPI2" s="568"/>
      <c r="CPJ2" s="568"/>
      <c r="CPK2" s="568"/>
      <c r="CPL2" s="568"/>
      <c r="CPM2" s="568"/>
      <c r="CPN2" s="568"/>
      <c r="CPO2" s="568"/>
      <c r="CPP2" s="568"/>
      <c r="CPQ2" s="568"/>
      <c r="CPR2" s="568"/>
      <c r="CPS2" s="568"/>
      <c r="CPT2" s="568"/>
      <c r="CPU2" s="568"/>
      <c r="CPV2" s="568"/>
      <c r="CPW2" s="568"/>
      <c r="CPX2" s="568"/>
      <c r="CPY2" s="568"/>
      <c r="CPZ2" s="568"/>
      <c r="CQA2" s="568"/>
      <c r="CQB2" s="568"/>
      <c r="CQC2" s="568"/>
      <c r="CQD2" s="568"/>
      <c r="CQE2" s="568"/>
      <c r="CQF2" s="568"/>
      <c r="CQG2" s="568"/>
      <c r="CQH2" s="568"/>
      <c r="CQI2" s="568"/>
      <c r="CQJ2" s="568"/>
      <c r="CQK2" s="568"/>
      <c r="CQL2" s="568"/>
      <c r="CQM2" s="568"/>
      <c r="CQN2" s="568"/>
      <c r="CQO2" s="568"/>
      <c r="CQP2" s="568"/>
      <c r="CQQ2" s="568"/>
      <c r="CQR2" s="568"/>
      <c r="CQS2" s="568"/>
      <c r="CQT2" s="568"/>
      <c r="CQU2" s="568"/>
      <c r="CQV2" s="568"/>
      <c r="CQW2" s="568"/>
      <c r="CQX2" s="568"/>
      <c r="CQY2" s="568"/>
      <c r="CQZ2" s="568"/>
      <c r="CRA2" s="568"/>
      <c r="CRB2" s="568"/>
      <c r="CRC2" s="568"/>
      <c r="CRD2" s="568"/>
      <c r="CRE2" s="568"/>
      <c r="CRF2" s="568"/>
      <c r="CRG2" s="568"/>
      <c r="CRH2" s="568"/>
      <c r="CRI2" s="568"/>
      <c r="CRJ2" s="568"/>
      <c r="CRK2" s="568"/>
      <c r="CRL2" s="568"/>
      <c r="CRM2" s="568"/>
      <c r="CRN2" s="568"/>
      <c r="CRO2" s="568"/>
      <c r="CRP2" s="568"/>
      <c r="CRQ2" s="568"/>
      <c r="CRR2" s="568"/>
      <c r="CRS2" s="568"/>
      <c r="CRT2" s="568"/>
      <c r="CRU2" s="568"/>
      <c r="CRV2" s="568"/>
      <c r="CRW2" s="568"/>
      <c r="CRX2" s="568"/>
      <c r="CRY2" s="568"/>
      <c r="CRZ2" s="568"/>
      <c r="CSA2" s="568"/>
      <c r="CSB2" s="568"/>
      <c r="CSC2" s="568"/>
      <c r="CSD2" s="568"/>
      <c r="CSE2" s="568"/>
      <c r="CSF2" s="568"/>
      <c r="CSG2" s="568"/>
      <c r="CSH2" s="568"/>
      <c r="CSI2" s="568"/>
      <c r="CSJ2" s="568"/>
      <c r="CSK2" s="568"/>
      <c r="CSL2" s="568"/>
      <c r="CSM2" s="568"/>
      <c r="CSN2" s="568"/>
      <c r="CSO2" s="568"/>
      <c r="CSP2" s="568"/>
      <c r="CSQ2" s="568"/>
      <c r="CSR2" s="568"/>
      <c r="CSS2" s="568"/>
      <c r="CST2" s="568"/>
      <c r="CSU2" s="568"/>
      <c r="CSV2" s="568"/>
      <c r="CSW2" s="568"/>
      <c r="CSX2" s="568"/>
      <c r="CSY2" s="568"/>
      <c r="CSZ2" s="568"/>
      <c r="CTA2" s="568"/>
      <c r="CTB2" s="568"/>
      <c r="CTC2" s="568"/>
      <c r="CTD2" s="568"/>
      <c r="CTE2" s="568"/>
      <c r="CTF2" s="568"/>
      <c r="CTG2" s="568"/>
      <c r="CTH2" s="568"/>
      <c r="CTI2" s="568"/>
      <c r="CTJ2" s="568"/>
      <c r="CTK2" s="568"/>
      <c r="CTL2" s="568"/>
      <c r="CTM2" s="568"/>
      <c r="CTN2" s="568"/>
      <c r="CTO2" s="568"/>
      <c r="CTP2" s="568"/>
      <c r="CTQ2" s="568"/>
      <c r="CTR2" s="568"/>
      <c r="CTS2" s="568"/>
      <c r="CTT2" s="568"/>
      <c r="CTU2" s="568"/>
      <c r="CTV2" s="568"/>
      <c r="CTW2" s="568"/>
      <c r="CTX2" s="568"/>
      <c r="CTY2" s="568"/>
      <c r="CTZ2" s="568"/>
      <c r="CUA2" s="568"/>
      <c r="CUB2" s="568"/>
      <c r="CUC2" s="568"/>
      <c r="CUD2" s="568"/>
      <c r="CUE2" s="568"/>
      <c r="CUF2" s="568"/>
      <c r="CUG2" s="568"/>
      <c r="CUH2" s="568"/>
      <c r="CUI2" s="568"/>
      <c r="CUJ2" s="568"/>
      <c r="CUK2" s="568"/>
      <c r="CUL2" s="568"/>
      <c r="CUM2" s="568"/>
      <c r="CUN2" s="568"/>
      <c r="CUO2" s="568"/>
      <c r="CUP2" s="568"/>
      <c r="CUQ2" s="568"/>
      <c r="CUR2" s="568"/>
      <c r="CUS2" s="568"/>
      <c r="CUT2" s="568"/>
      <c r="CUU2" s="568"/>
      <c r="CUV2" s="568"/>
      <c r="CUW2" s="568"/>
      <c r="CUX2" s="568"/>
      <c r="CUY2" s="568"/>
      <c r="CUZ2" s="568"/>
      <c r="CVA2" s="568"/>
      <c r="CVB2" s="568"/>
      <c r="CVC2" s="568"/>
      <c r="CVD2" s="568"/>
      <c r="CVE2" s="568"/>
      <c r="CVF2" s="568"/>
      <c r="CVG2" s="568"/>
      <c r="CVH2" s="568"/>
      <c r="CVI2" s="568"/>
      <c r="CVJ2" s="568"/>
      <c r="CVK2" s="568"/>
      <c r="CVL2" s="568"/>
      <c r="CVM2" s="568"/>
      <c r="CVN2" s="568"/>
      <c r="CVO2" s="568"/>
      <c r="CVP2" s="568"/>
      <c r="CVQ2" s="568"/>
      <c r="CVR2" s="568"/>
      <c r="CVS2" s="568"/>
      <c r="CVT2" s="568"/>
      <c r="CVU2" s="568"/>
      <c r="CVV2" s="568"/>
      <c r="CVW2" s="568"/>
      <c r="CVX2" s="568"/>
      <c r="CVY2" s="568"/>
      <c r="CVZ2" s="568"/>
      <c r="CWA2" s="568"/>
      <c r="CWB2" s="568"/>
      <c r="CWC2" s="568"/>
      <c r="CWD2" s="568"/>
      <c r="CWE2" s="568"/>
      <c r="CWF2" s="568"/>
      <c r="CWG2" s="568"/>
      <c r="CWH2" s="568"/>
      <c r="CWI2" s="568"/>
      <c r="CWJ2" s="568"/>
      <c r="CWK2" s="568"/>
      <c r="CWL2" s="568"/>
      <c r="CWM2" s="568"/>
      <c r="CWN2" s="568"/>
      <c r="CWO2" s="568"/>
      <c r="CWP2" s="568"/>
      <c r="CWQ2" s="568"/>
      <c r="CWR2" s="568"/>
      <c r="CWS2" s="568"/>
      <c r="CWT2" s="568"/>
      <c r="CWU2" s="568"/>
      <c r="CWV2" s="568"/>
      <c r="CWW2" s="568"/>
      <c r="CWX2" s="568"/>
      <c r="CWY2" s="568"/>
      <c r="CWZ2" s="568"/>
      <c r="CXA2" s="568"/>
      <c r="CXB2" s="568"/>
      <c r="CXC2" s="568"/>
      <c r="CXD2" s="568"/>
      <c r="CXE2" s="568"/>
      <c r="CXF2" s="568"/>
      <c r="CXG2" s="568"/>
      <c r="CXH2" s="568"/>
      <c r="CXI2" s="568"/>
      <c r="CXJ2" s="568"/>
      <c r="CXK2" s="568"/>
      <c r="CXL2" s="568"/>
      <c r="CXM2" s="568"/>
      <c r="CXN2" s="568"/>
      <c r="CXO2" s="568"/>
      <c r="CXP2" s="568"/>
      <c r="CXQ2" s="568"/>
      <c r="CXR2" s="568"/>
      <c r="CXS2" s="568"/>
      <c r="CXT2" s="568"/>
      <c r="CXU2" s="568"/>
      <c r="CXV2" s="568"/>
      <c r="CXW2" s="568"/>
      <c r="CXX2" s="568"/>
      <c r="CXY2" s="568"/>
      <c r="CXZ2" s="568"/>
      <c r="CYA2" s="568"/>
      <c r="CYB2" s="568"/>
      <c r="CYC2" s="568"/>
      <c r="CYD2" s="568"/>
      <c r="CYE2" s="568"/>
      <c r="CYF2" s="568"/>
      <c r="CYG2" s="568"/>
      <c r="CYH2" s="568"/>
      <c r="CYI2" s="568"/>
      <c r="CYJ2" s="568"/>
      <c r="CYK2" s="568"/>
      <c r="CYL2" s="568"/>
      <c r="CYM2" s="568"/>
      <c r="CYN2" s="568"/>
      <c r="CYO2" s="568"/>
      <c r="CYP2" s="568"/>
      <c r="CYQ2" s="568"/>
      <c r="CYR2" s="568"/>
      <c r="CYS2" s="568"/>
      <c r="CYT2" s="568"/>
      <c r="CYU2" s="568"/>
      <c r="CYV2" s="568"/>
      <c r="CYW2" s="568"/>
      <c r="CYX2" s="568"/>
      <c r="CYY2" s="568"/>
      <c r="CYZ2" s="568"/>
      <c r="CZA2" s="568"/>
      <c r="CZB2" s="568"/>
      <c r="CZC2" s="568"/>
      <c r="CZD2" s="568"/>
      <c r="CZE2" s="568"/>
      <c r="CZF2" s="568"/>
      <c r="CZG2" s="568"/>
      <c r="CZH2" s="568"/>
      <c r="CZI2" s="568"/>
      <c r="CZJ2" s="568"/>
      <c r="CZK2" s="568"/>
      <c r="CZL2" s="568"/>
      <c r="CZM2" s="568"/>
      <c r="CZN2" s="568"/>
      <c r="CZO2" s="568"/>
      <c r="CZP2" s="568"/>
      <c r="CZQ2" s="568"/>
      <c r="CZR2" s="568"/>
      <c r="CZS2" s="568"/>
      <c r="CZT2" s="568"/>
      <c r="CZU2" s="568"/>
      <c r="CZV2" s="568"/>
      <c r="CZW2" s="568"/>
      <c r="CZX2" s="568"/>
      <c r="CZY2" s="568"/>
      <c r="CZZ2" s="568"/>
      <c r="DAA2" s="568"/>
      <c r="DAB2" s="568"/>
      <c r="DAC2" s="568"/>
      <c r="DAD2" s="568"/>
      <c r="DAE2" s="568"/>
      <c r="DAF2" s="568"/>
      <c r="DAG2" s="568"/>
      <c r="DAH2" s="568"/>
      <c r="DAI2" s="568"/>
      <c r="DAJ2" s="568"/>
      <c r="DAK2" s="568"/>
      <c r="DAL2" s="568"/>
      <c r="DAM2" s="568"/>
      <c r="DAN2" s="568"/>
      <c r="DAO2" s="568"/>
      <c r="DAP2" s="568"/>
      <c r="DAQ2" s="568"/>
      <c r="DAR2" s="568"/>
      <c r="DAS2" s="568"/>
      <c r="DAT2" s="568"/>
      <c r="DAU2" s="568"/>
      <c r="DAV2" s="568"/>
      <c r="DAW2" s="568"/>
      <c r="DAX2" s="568"/>
      <c r="DAY2" s="568"/>
      <c r="DAZ2" s="568"/>
      <c r="DBA2" s="568"/>
      <c r="DBB2" s="568"/>
      <c r="DBC2" s="568"/>
      <c r="DBD2" s="568"/>
      <c r="DBE2" s="568"/>
      <c r="DBF2" s="568"/>
      <c r="DBG2" s="568"/>
      <c r="DBH2" s="568"/>
      <c r="DBI2" s="568"/>
      <c r="DBJ2" s="568"/>
      <c r="DBK2" s="568"/>
      <c r="DBL2" s="568"/>
      <c r="DBM2" s="568"/>
      <c r="DBN2" s="568"/>
      <c r="DBO2" s="568"/>
      <c r="DBP2" s="568"/>
      <c r="DBQ2" s="568"/>
      <c r="DBR2" s="568"/>
      <c r="DBS2" s="568"/>
      <c r="DBT2" s="568"/>
      <c r="DBU2" s="568"/>
      <c r="DBV2" s="568"/>
      <c r="DBW2" s="568"/>
      <c r="DBX2" s="568"/>
      <c r="DBY2" s="568"/>
      <c r="DBZ2" s="568"/>
      <c r="DCA2" s="568"/>
      <c r="DCB2" s="568"/>
      <c r="DCC2" s="568"/>
      <c r="DCD2" s="568"/>
      <c r="DCE2" s="568"/>
      <c r="DCF2" s="568"/>
      <c r="DCG2" s="568"/>
      <c r="DCH2" s="568"/>
      <c r="DCI2" s="568"/>
      <c r="DCJ2" s="568"/>
      <c r="DCK2" s="568"/>
      <c r="DCL2" s="568"/>
      <c r="DCM2" s="568"/>
      <c r="DCN2" s="568"/>
      <c r="DCO2" s="568"/>
      <c r="DCP2" s="568"/>
      <c r="DCQ2" s="568"/>
      <c r="DCR2" s="568"/>
      <c r="DCS2" s="568"/>
      <c r="DCT2" s="568"/>
      <c r="DCU2" s="568"/>
      <c r="DCV2" s="568"/>
      <c r="DCW2" s="568"/>
      <c r="DCX2" s="568"/>
      <c r="DCY2" s="568"/>
      <c r="DCZ2" s="568"/>
      <c r="DDA2" s="568"/>
      <c r="DDB2" s="568"/>
      <c r="DDC2" s="568"/>
      <c r="DDD2" s="568"/>
      <c r="DDE2" s="568"/>
      <c r="DDF2" s="568"/>
      <c r="DDG2" s="568"/>
      <c r="DDH2" s="568"/>
      <c r="DDI2" s="568"/>
      <c r="DDJ2" s="568"/>
      <c r="DDK2" s="568"/>
      <c r="DDL2" s="568"/>
      <c r="DDM2" s="568"/>
      <c r="DDN2" s="568"/>
      <c r="DDO2" s="568"/>
      <c r="DDP2" s="568"/>
      <c r="DDQ2" s="568"/>
      <c r="DDR2" s="568"/>
      <c r="DDS2" s="568"/>
      <c r="DDT2" s="568"/>
      <c r="DDU2" s="568"/>
      <c r="DDV2" s="568"/>
      <c r="DDW2" s="568"/>
      <c r="DDX2" s="568"/>
      <c r="DDY2" s="568"/>
      <c r="DDZ2" s="568"/>
      <c r="DEA2" s="568"/>
      <c r="DEB2" s="568"/>
      <c r="DEC2" s="568"/>
      <c r="DED2" s="568"/>
      <c r="DEE2" s="568"/>
      <c r="DEF2" s="568"/>
      <c r="DEG2" s="568"/>
      <c r="DEH2" s="568"/>
      <c r="DEI2" s="568"/>
      <c r="DEJ2" s="568"/>
      <c r="DEK2" s="568"/>
      <c r="DEL2" s="568"/>
      <c r="DEM2" s="568"/>
      <c r="DEN2" s="568"/>
      <c r="DEO2" s="568"/>
      <c r="DEP2" s="568"/>
      <c r="DEQ2" s="568"/>
      <c r="DER2" s="568"/>
      <c r="DES2" s="568"/>
      <c r="DET2" s="568"/>
      <c r="DEU2" s="568"/>
      <c r="DEV2" s="568"/>
      <c r="DEW2" s="568"/>
      <c r="DEX2" s="568"/>
      <c r="DEY2" s="568"/>
      <c r="DEZ2" s="568"/>
      <c r="DFA2" s="568"/>
      <c r="DFB2" s="568"/>
      <c r="DFC2" s="568"/>
      <c r="DFD2" s="568"/>
      <c r="DFE2" s="568"/>
      <c r="DFF2" s="568"/>
      <c r="DFG2" s="568"/>
      <c r="DFH2" s="568"/>
      <c r="DFI2" s="568"/>
      <c r="DFJ2" s="568"/>
      <c r="DFK2" s="568"/>
      <c r="DFL2" s="568"/>
      <c r="DFM2" s="568"/>
      <c r="DFN2" s="568"/>
      <c r="DFO2" s="568"/>
      <c r="DFP2" s="568"/>
      <c r="DFQ2" s="568"/>
      <c r="DFR2" s="568"/>
      <c r="DFS2" s="568"/>
      <c r="DFT2" s="568"/>
      <c r="DFU2" s="568"/>
      <c r="DFV2" s="568"/>
      <c r="DFW2" s="568"/>
      <c r="DFX2" s="568"/>
      <c r="DFY2" s="568"/>
      <c r="DFZ2" s="568"/>
      <c r="DGA2" s="568"/>
      <c r="DGB2" s="568"/>
      <c r="DGC2" s="568"/>
      <c r="DGD2" s="568"/>
      <c r="DGE2" s="568"/>
      <c r="DGF2" s="568"/>
      <c r="DGG2" s="568"/>
      <c r="DGH2" s="568"/>
      <c r="DGI2" s="568"/>
      <c r="DGJ2" s="568"/>
      <c r="DGK2" s="568"/>
      <c r="DGL2" s="568"/>
      <c r="DGM2" s="568"/>
      <c r="DGN2" s="568"/>
      <c r="DGO2" s="568"/>
      <c r="DGP2" s="568"/>
      <c r="DGQ2" s="568"/>
      <c r="DGR2" s="568"/>
      <c r="DGS2" s="568"/>
      <c r="DGT2" s="568"/>
      <c r="DGU2" s="568"/>
      <c r="DGV2" s="568"/>
      <c r="DGW2" s="568"/>
      <c r="DGX2" s="568"/>
      <c r="DGY2" s="568"/>
      <c r="DGZ2" s="568"/>
      <c r="DHA2" s="568"/>
      <c r="DHB2" s="568"/>
      <c r="DHC2" s="568"/>
      <c r="DHD2" s="568"/>
      <c r="DHE2" s="568"/>
      <c r="DHF2" s="568"/>
      <c r="DHG2" s="568"/>
      <c r="DHH2" s="568"/>
      <c r="DHI2" s="568"/>
      <c r="DHJ2" s="568"/>
      <c r="DHK2" s="568"/>
      <c r="DHL2" s="568"/>
      <c r="DHM2" s="568"/>
      <c r="DHN2" s="568"/>
      <c r="DHO2" s="568"/>
      <c r="DHP2" s="568"/>
      <c r="DHQ2" s="568"/>
      <c r="DHR2" s="568"/>
      <c r="DHS2" s="568"/>
      <c r="DHT2" s="568"/>
      <c r="DHU2" s="568"/>
      <c r="DHV2" s="568"/>
      <c r="DHW2" s="568"/>
      <c r="DHX2" s="568"/>
      <c r="DHY2" s="568"/>
      <c r="DHZ2" s="568"/>
      <c r="DIA2" s="568"/>
      <c r="DIB2" s="568"/>
      <c r="DIC2" s="568"/>
      <c r="DID2" s="568"/>
      <c r="DIE2" s="568"/>
      <c r="DIF2" s="568"/>
      <c r="DIG2" s="568"/>
      <c r="DIH2" s="568"/>
      <c r="DII2" s="568"/>
      <c r="DIJ2" s="568"/>
      <c r="DIK2" s="568"/>
      <c r="DIL2" s="568"/>
      <c r="DIM2" s="568"/>
      <c r="DIN2" s="568"/>
      <c r="DIO2" s="568"/>
      <c r="DIP2" s="568"/>
      <c r="DIQ2" s="568"/>
      <c r="DIR2" s="568"/>
      <c r="DIS2" s="568"/>
      <c r="DIT2" s="568"/>
      <c r="DIU2" s="568"/>
      <c r="DIV2" s="568"/>
      <c r="DIW2" s="568"/>
      <c r="DIX2" s="568"/>
      <c r="DIY2" s="568"/>
      <c r="DIZ2" s="568"/>
      <c r="DJA2" s="568"/>
      <c r="DJB2" s="568"/>
      <c r="DJC2" s="568"/>
      <c r="DJD2" s="568"/>
      <c r="DJE2" s="568"/>
      <c r="DJF2" s="568"/>
      <c r="DJG2" s="568"/>
      <c r="DJH2" s="568"/>
      <c r="DJI2" s="568"/>
      <c r="DJJ2" s="568"/>
      <c r="DJK2" s="568"/>
      <c r="DJL2" s="568"/>
      <c r="DJM2" s="568"/>
      <c r="DJN2" s="568"/>
      <c r="DJO2" s="568"/>
      <c r="DJP2" s="568"/>
      <c r="DJQ2" s="568"/>
      <c r="DJR2" s="568"/>
      <c r="DJS2" s="568"/>
      <c r="DJT2" s="568"/>
      <c r="DJU2" s="568"/>
      <c r="DJV2" s="568"/>
      <c r="DJW2" s="568"/>
      <c r="DJX2" s="568"/>
      <c r="DJY2" s="568"/>
      <c r="DJZ2" s="568"/>
      <c r="DKA2" s="568"/>
      <c r="DKB2" s="568"/>
      <c r="DKC2" s="568"/>
      <c r="DKD2" s="568"/>
      <c r="DKE2" s="568"/>
      <c r="DKF2" s="568"/>
      <c r="DKG2" s="568"/>
      <c r="DKH2" s="568"/>
      <c r="DKI2" s="568"/>
      <c r="DKJ2" s="568"/>
      <c r="DKK2" s="568"/>
      <c r="DKL2" s="568"/>
      <c r="DKM2" s="568"/>
      <c r="DKN2" s="568"/>
      <c r="DKO2" s="568"/>
      <c r="DKP2" s="568"/>
      <c r="DKQ2" s="568"/>
      <c r="DKR2" s="568"/>
      <c r="DKS2" s="568"/>
      <c r="DKT2" s="568"/>
      <c r="DKU2" s="568"/>
      <c r="DKV2" s="568"/>
      <c r="DKW2" s="568"/>
      <c r="DKX2" s="568"/>
      <c r="DKY2" s="568"/>
      <c r="DKZ2" s="568"/>
      <c r="DLA2" s="568"/>
      <c r="DLB2" s="568"/>
      <c r="DLC2" s="568"/>
      <c r="DLD2" s="568"/>
      <c r="DLE2" s="568"/>
      <c r="DLF2" s="568"/>
      <c r="DLG2" s="568"/>
      <c r="DLH2" s="568"/>
      <c r="DLI2" s="568"/>
      <c r="DLJ2" s="568"/>
      <c r="DLK2" s="568"/>
      <c r="DLL2" s="568"/>
      <c r="DLM2" s="568"/>
      <c r="DLN2" s="568"/>
      <c r="DLO2" s="568"/>
      <c r="DLP2" s="568"/>
      <c r="DLQ2" s="568"/>
      <c r="DLR2" s="568"/>
      <c r="DLS2" s="568"/>
      <c r="DLT2" s="568"/>
      <c r="DLU2" s="568"/>
      <c r="DLV2" s="568"/>
      <c r="DLW2" s="568"/>
      <c r="DLX2" s="568"/>
      <c r="DLY2" s="568"/>
      <c r="DLZ2" s="568"/>
      <c r="DMA2" s="568"/>
      <c r="DMB2" s="568"/>
      <c r="DMC2" s="568"/>
      <c r="DMD2" s="568"/>
      <c r="DME2" s="568"/>
      <c r="DMF2" s="568"/>
      <c r="DMG2" s="568"/>
      <c r="DMH2" s="568"/>
      <c r="DMI2" s="568"/>
      <c r="DMJ2" s="568"/>
      <c r="DMK2" s="568"/>
      <c r="DML2" s="568"/>
      <c r="DMM2" s="568"/>
      <c r="DMN2" s="568"/>
      <c r="DMO2" s="568"/>
      <c r="DMP2" s="568"/>
      <c r="DMQ2" s="568"/>
      <c r="DMR2" s="568"/>
      <c r="DMS2" s="568"/>
      <c r="DMT2" s="568"/>
      <c r="DMU2" s="568"/>
      <c r="DMV2" s="568"/>
      <c r="DMW2" s="568"/>
      <c r="DMX2" s="568"/>
      <c r="DMY2" s="568"/>
      <c r="DMZ2" s="568"/>
      <c r="DNA2" s="568"/>
      <c r="DNB2" s="568"/>
      <c r="DNC2" s="568"/>
      <c r="DND2" s="568"/>
      <c r="DNE2" s="568"/>
      <c r="DNF2" s="568"/>
      <c r="DNG2" s="568"/>
      <c r="DNH2" s="568"/>
      <c r="DNI2" s="568"/>
      <c r="DNJ2" s="568"/>
      <c r="DNK2" s="568"/>
      <c r="DNL2" s="568"/>
      <c r="DNM2" s="568"/>
      <c r="DNN2" s="568"/>
      <c r="DNO2" s="568"/>
      <c r="DNP2" s="568"/>
      <c r="DNQ2" s="568"/>
      <c r="DNR2" s="568"/>
      <c r="DNS2" s="568"/>
      <c r="DNT2" s="568"/>
      <c r="DNU2" s="568"/>
      <c r="DNV2" s="568"/>
      <c r="DNW2" s="568"/>
      <c r="DNX2" s="568"/>
      <c r="DNY2" s="568"/>
      <c r="DNZ2" s="568"/>
      <c r="DOA2" s="568"/>
      <c r="DOB2" s="568"/>
      <c r="DOC2" s="568"/>
      <c r="DOD2" s="568"/>
      <c r="DOE2" s="568"/>
      <c r="DOF2" s="568"/>
      <c r="DOG2" s="568"/>
      <c r="DOH2" s="568"/>
      <c r="DOI2" s="568"/>
      <c r="DOJ2" s="568"/>
      <c r="DOK2" s="568"/>
      <c r="DOL2" s="568"/>
      <c r="DOM2" s="568"/>
      <c r="DON2" s="568"/>
      <c r="DOO2" s="568"/>
      <c r="DOP2" s="568"/>
      <c r="DOQ2" s="568"/>
      <c r="DOR2" s="568"/>
      <c r="DOS2" s="568"/>
      <c r="DOT2" s="568"/>
      <c r="DOU2" s="568"/>
      <c r="DOV2" s="568"/>
      <c r="DOW2" s="568"/>
      <c r="DOX2" s="568"/>
      <c r="DOY2" s="568"/>
      <c r="DOZ2" s="568"/>
      <c r="DPA2" s="568"/>
      <c r="DPB2" s="568"/>
      <c r="DPC2" s="568"/>
      <c r="DPD2" s="568"/>
      <c r="DPE2" s="568"/>
      <c r="DPF2" s="568"/>
      <c r="DPG2" s="568"/>
      <c r="DPH2" s="568"/>
      <c r="DPI2" s="568"/>
      <c r="DPJ2" s="568"/>
      <c r="DPK2" s="568"/>
      <c r="DPL2" s="568"/>
      <c r="DPM2" s="568"/>
      <c r="DPN2" s="568"/>
      <c r="DPO2" s="568"/>
      <c r="DPP2" s="568"/>
      <c r="DPQ2" s="568"/>
      <c r="DPR2" s="568"/>
      <c r="DPS2" s="568"/>
      <c r="DPT2" s="568"/>
      <c r="DPU2" s="568"/>
      <c r="DPV2" s="568"/>
      <c r="DPW2" s="568"/>
      <c r="DPX2" s="568"/>
      <c r="DPY2" s="568"/>
      <c r="DPZ2" s="568"/>
      <c r="DQA2" s="568"/>
      <c r="DQB2" s="568"/>
      <c r="DQC2" s="568"/>
      <c r="DQD2" s="568"/>
      <c r="DQE2" s="568"/>
      <c r="DQF2" s="568"/>
      <c r="DQG2" s="568"/>
      <c r="DQH2" s="568"/>
      <c r="DQI2" s="568"/>
      <c r="DQJ2" s="568"/>
      <c r="DQK2" s="568"/>
      <c r="DQL2" s="568"/>
      <c r="DQM2" s="568"/>
      <c r="DQN2" s="568"/>
      <c r="DQO2" s="568"/>
      <c r="DQP2" s="568"/>
      <c r="DQQ2" s="568"/>
      <c r="DQR2" s="568"/>
      <c r="DQS2" s="568"/>
      <c r="DQT2" s="568"/>
      <c r="DQU2" s="568"/>
      <c r="DQV2" s="568"/>
      <c r="DQW2" s="568"/>
      <c r="DQX2" s="568"/>
      <c r="DQY2" s="568"/>
      <c r="DQZ2" s="568"/>
      <c r="DRA2" s="568"/>
      <c r="DRB2" s="568"/>
      <c r="DRC2" s="568"/>
      <c r="DRD2" s="568"/>
      <c r="DRE2" s="568"/>
      <c r="DRF2" s="568"/>
      <c r="DRG2" s="568"/>
      <c r="DRH2" s="568"/>
      <c r="DRI2" s="568"/>
      <c r="DRJ2" s="568"/>
      <c r="DRK2" s="568"/>
      <c r="DRL2" s="568"/>
      <c r="DRM2" s="568"/>
      <c r="DRN2" s="568"/>
      <c r="DRO2" s="568"/>
      <c r="DRP2" s="568"/>
      <c r="DRQ2" s="568"/>
      <c r="DRR2" s="568"/>
      <c r="DRS2" s="568"/>
      <c r="DRT2" s="568"/>
      <c r="DRU2" s="568"/>
      <c r="DRV2" s="568"/>
      <c r="DRW2" s="568"/>
      <c r="DRX2" s="568"/>
      <c r="DRY2" s="568"/>
      <c r="DRZ2" s="568"/>
      <c r="DSA2" s="568"/>
      <c r="DSB2" s="568"/>
      <c r="DSC2" s="568"/>
      <c r="DSD2" s="568"/>
      <c r="DSE2" s="568"/>
      <c r="DSF2" s="568"/>
      <c r="DSG2" s="568"/>
      <c r="DSH2" s="568"/>
      <c r="DSI2" s="568"/>
      <c r="DSJ2" s="568"/>
      <c r="DSK2" s="568"/>
      <c r="DSL2" s="568"/>
      <c r="DSM2" s="568"/>
      <c r="DSN2" s="568"/>
      <c r="DSO2" s="568"/>
      <c r="DSP2" s="568"/>
      <c r="DSQ2" s="568"/>
      <c r="DSR2" s="568"/>
      <c r="DSS2" s="568"/>
      <c r="DST2" s="568"/>
      <c r="DSU2" s="568"/>
      <c r="DSV2" s="568"/>
      <c r="DSW2" s="568"/>
      <c r="DSX2" s="568"/>
      <c r="DSY2" s="568"/>
      <c r="DSZ2" s="568"/>
      <c r="DTA2" s="568"/>
      <c r="DTB2" s="568"/>
      <c r="DTC2" s="568"/>
      <c r="DTD2" s="568"/>
      <c r="DTE2" s="568"/>
      <c r="DTF2" s="568"/>
      <c r="DTG2" s="568"/>
      <c r="DTH2" s="568"/>
      <c r="DTI2" s="568"/>
      <c r="DTJ2" s="568"/>
      <c r="DTK2" s="568"/>
      <c r="DTL2" s="568"/>
      <c r="DTM2" s="568"/>
      <c r="DTN2" s="568"/>
      <c r="DTO2" s="568"/>
      <c r="DTP2" s="568"/>
      <c r="DTQ2" s="568"/>
      <c r="DTR2" s="568"/>
      <c r="DTS2" s="568"/>
      <c r="DTT2" s="568"/>
      <c r="DTU2" s="568"/>
      <c r="DTV2" s="568"/>
      <c r="DTW2" s="568"/>
      <c r="DTX2" s="568"/>
      <c r="DTY2" s="568"/>
      <c r="DTZ2" s="568"/>
      <c r="DUA2" s="568"/>
      <c r="DUB2" s="568"/>
      <c r="DUC2" s="568"/>
      <c r="DUD2" s="568"/>
      <c r="DUE2" s="568"/>
      <c r="DUF2" s="568"/>
      <c r="DUG2" s="568"/>
      <c r="DUH2" s="568"/>
      <c r="DUI2" s="568"/>
      <c r="DUJ2" s="568"/>
      <c r="DUK2" s="568"/>
      <c r="DUL2" s="568"/>
      <c r="DUM2" s="568"/>
      <c r="DUN2" s="568"/>
      <c r="DUO2" s="568"/>
      <c r="DUP2" s="568"/>
      <c r="DUQ2" s="568"/>
      <c r="DUR2" s="568"/>
      <c r="DUS2" s="568"/>
      <c r="DUT2" s="568"/>
      <c r="DUU2" s="568"/>
      <c r="DUV2" s="568"/>
      <c r="DUW2" s="568"/>
      <c r="DUX2" s="568"/>
      <c r="DUY2" s="568"/>
      <c r="DUZ2" s="568"/>
      <c r="DVA2" s="568"/>
      <c r="DVB2" s="568"/>
      <c r="DVC2" s="568"/>
      <c r="DVD2" s="568"/>
      <c r="DVE2" s="568"/>
      <c r="DVF2" s="568"/>
      <c r="DVG2" s="568"/>
      <c r="DVH2" s="568"/>
      <c r="DVI2" s="568"/>
      <c r="DVJ2" s="568"/>
      <c r="DVK2" s="568"/>
      <c r="DVL2" s="568"/>
      <c r="DVM2" s="568"/>
      <c r="DVN2" s="568"/>
      <c r="DVO2" s="568"/>
      <c r="DVP2" s="568"/>
      <c r="DVQ2" s="568"/>
      <c r="DVR2" s="568"/>
      <c r="DVS2" s="568"/>
      <c r="DVT2" s="568"/>
      <c r="DVU2" s="568"/>
      <c r="DVV2" s="568"/>
      <c r="DVW2" s="568"/>
      <c r="DVX2" s="568"/>
      <c r="DVY2" s="568"/>
      <c r="DVZ2" s="568"/>
      <c r="DWA2" s="568"/>
      <c r="DWB2" s="568"/>
      <c r="DWC2" s="568"/>
      <c r="DWD2" s="568"/>
      <c r="DWE2" s="568"/>
      <c r="DWF2" s="568"/>
      <c r="DWG2" s="568"/>
      <c r="DWH2" s="568"/>
      <c r="DWI2" s="568"/>
      <c r="DWJ2" s="568"/>
      <c r="DWK2" s="568"/>
      <c r="DWL2" s="568"/>
      <c r="DWM2" s="568"/>
      <c r="DWN2" s="568"/>
      <c r="DWO2" s="568"/>
      <c r="DWP2" s="568"/>
      <c r="DWQ2" s="568"/>
      <c r="DWR2" s="568"/>
      <c r="DWS2" s="568"/>
      <c r="DWT2" s="568"/>
      <c r="DWU2" s="568"/>
      <c r="DWV2" s="568"/>
      <c r="DWW2" s="568"/>
      <c r="DWX2" s="568"/>
      <c r="DWY2" s="568"/>
      <c r="DWZ2" s="568"/>
      <c r="DXA2" s="568"/>
      <c r="DXB2" s="568"/>
      <c r="DXC2" s="568"/>
      <c r="DXD2" s="568"/>
      <c r="DXE2" s="568"/>
      <c r="DXF2" s="568"/>
      <c r="DXG2" s="568"/>
      <c r="DXH2" s="568"/>
      <c r="DXI2" s="568"/>
      <c r="DXJ2" s="568"/>
      <c r="DXK2" s="568"/>
      <c r="DXL2" s="568"/>
      <c r="DXM2" s="568"/>
      <c r="DXN2" s="568"/>
      <c r="DXO2" s="568"/>
      <c r="DXP2" s="568"/>
      <c r="DXQ2" s="568"/>
      <c r="DXR2" s="568"/>
      <c r="DXS2" s="568"/>
      <c r="DXT2" s="568"/>
      <c r="DXU2" s="568"/>
      <c r="DXV2" s="568"/>
      <c r="DXW2" s="568"/>
      <c r="DXX2" s="568"/>
      <c r="DXY2" s="568"/>
      <c r="DXZ2" s="568"/>
      <c r="DYA2" s="568"/>
      <c r="DYB2" s="568"/>
      <c r="DYC2" s="568"/>
      <c r="DYD2" s="568"/>
      <c r="DYE2" s="568"/>
      <c r="DYF2" s="568"/>
      <c r="DYG2" s="568"/>
      <c r="DYH2" s="568"/>
      <c r="DYI2" s="568"/>
      <c r="DYJ2" s="568"/>
      <c r="DYK2" s="568"/>
      <c r="DYL2" s="568"/>
      <c r="DYM2" s="568"/>
      <c r="DYN2" s="568"/>
      <c r="DYO2" s="568"/>
      <c r="DYP2" s="568"/>
      <c r="DYQ2" s="568"/>
      <c r="DYR2" s="568"/>
      <c r="DYS2" s="568"/>
      <c r="DYT2" s="568"/>
      <c r="DYU2" s="568"/>
      <c r="DYV2" s="568"/>
      <c r="DYW2" s="568"/>
      <c r="DYX2" s="568"/>
      <c r="DYY2" s="568"/>
      <c r="DYZ2" s="568"/>
      <c r="DZA2" s="568"/>
      <c r="DZB2" s="568"/>
      <c r="DZC2" s="568"/>
      <c r="DZD2" s="568"/>
      <c r="DZE2" s="568"/>
      <c r="DZF2" s="568"/>
      <c r="DZG2" s="568"/>
      <c r="DZH2" s="568"/>
      <c r="DZI2" s="568"/>
      <c r="DZJ2" s="568"/>
      <c r="DZK2" s="568"/>
      <c r="DZL2" s="568"/>
      <c r="DZM2" s="568"/>
      <c r="DZN2" s="568"/>
      <c r="DZO2" s="568"/>
      <c r="DZP2" s="568"/>
      <c r="DZQ2" s="568"/>
      <c r="DZR2" s="568"/>
      <c r="DZS2" s="568"/>
      <c r="DZT2" s="568"/>
      <c r="DZU2" s="568"/>
      <c r="DZV2" s="568"/>
      <c r="DZW2" s="568"/>
      <c r="DZX2" s="568"/>
      <c r="DZY2" s="568"/>
      <c r="DZZ2" s="568"/>
      <c r="EAA2" s="568"/>
      <c r="EAB2" s="568"/>
      <c r="EAC2" s="568"/>
      <c r="EAD2" s="568"/>
      <c r="EAE2" s="568"/>
      <c r="EAF2" s="568"/>
      <c r="EAG2" s="568"/>
      <c r="EAH2" s="568"/>
      <c r="EAI2" s="568"/>
      <c r="EAJ2" s="568"/>
      <c r="EAK2" s="568"/>
      <c r="EAL2" s="568"/>
      <c r="EAM2" s="568"/>
      <c r="EAN2" s="568"/>
      <c r="EAO2" s="568"/>
      <c r="EAP2" s="568"/>
      <c r="EAQ2" s="568"/>
      <c r="EAR2" s="568"/>
      <c r="EAS2" s="568"/>
      <c r="EAT2" s="568"/>
      <c r="EAU2" s="568"/>
      <c r="EAV2" s="568"/>
      <c r="EAW2" s="568"/>
      <c r="EAX2" s="568"/>
      <c r="EAY2" s="568"/>
      <c r="EAZ2" s="568"/>
      <c r="EBA2" s="568"/>
      <c r="EBB2" s="568"/>
      <c r="EBC2" s="568"/>
      <c r="EBD2" s="568"/>
      <c r="EBE2" s="568"/>
      <c r="EBF2" s="568"/>
      <c r="EBG2" s="568"/>
      <c r="EBH2" s="568"/>
      <c r="EBI2" s="568"/>
      <c r="EBJ2" s="568"/>
      <c r="EBK2" s="568"/>
      <c r="EBL2" s="568"/>
      <c r="EBM2" s="568"/>
      <c r="EBN2" s="568"/>
      <c r="EBO2" s="568"/>
      <c r="EBP2" s="568"/>
      <c r="EBQ2" s="568"/>
      <c r="EBR2" s="568"/>
      <c r="EBS2" s="568"/>
      <c r="EBT2" s="568"/>
      <c r="EBU2" s="568"/>
      <c r="EBV2" s="568"/>
      <c r="EBW2" s="568"/>
      <c r="EBX2" s="568"/>
      <c r="EBY2" s="568"/>
      <c r="EBZ2" s="568"/>
      <c r="ECA2" s="568"/>
      <c r="ECB2" s="568"/>
      <c r="ECC2" s="568"/>
      <c r="ECD2" s="568"/>
      <c r="ECE2" s="568"/>
      <c r="ECF2" s="568"/>
      <c r="ECG2" s="568"/>
      <c r="ECH2" s="568"/>
      <c r="ECI2" s="568"/>
      <c r="ECJ2" s="568"/>
      <c r="ECK2" s="568"/>
      <c r="ECL2" s="568"/>
      <c r="ECM2" s="568"/>
      <c r="ECN2" s="568"/>
      <c r="ECO2" s="568"/>
      <c r="ECP2" s="568"/>
      <c r="ECQ2" s="568"/>
      <c r="ECR2" s="568"/>
      <c r="ECS2" s="568"/>
      <c r="ECT2" s="568"/>
      <c r="ECU2" s="568"/>
      <c r="ECV2" s="568"/>
      <c r="ECW2" s="568"/>
      <c r="ECX2" s="568"/>
      <c r="ECY2" s="568"/>
      <c r="ECZ2" s="568"/>
      <c r="EDA2" s="568"/>
      <c r="EDB2" s="568"/>
      <c r="EDC2" s="568"/>
      <c r="EDD2" s="568"/>
      <c r="EDE2" s="568"/>
      <c r="EDF2" s="568"/>
      <c r="EDG2" s="568"/>
      <c r="EDH2" s="568"/>
      <c r="EDI2" s="568"/>
      <c r="EDJ2" s="568"/>
      <c r="EDK2" s="568"/>
      <c r="EDL2" s="568"/>
      <c r="EDM2" s="568"/>
      <c r="EDN2" s="568"/>
      <c r="EDO2" s="568"/>
      <c r="EDP2" s="568"/>
      <c r="EDQ2" s="568"/>
      <c r="EDR2" s="568"/>
      <c r="EDS2" s="568"/>
      <c r="EDT2" s="568"/>
      <c r="EDU2" s="568"/>
      <c r="EDV2" s="568"/>
      <c r="EDW2" s="568"/>
      <c r="EDX2" s="568"/>
      <c r="EDY2" s="568"/>
      <c r="EDZ2" s="568"/>
      <c r="EEA2" s="568"/>
      <c r="EEB2" s="568"/>
      <c r="EEC2" s="568"/>
      <c r="EED2" s="568"/>
      <c r="EEE2" s="568"/>
      <c r="EEF2" s="568"/>
      <c r="EEG2" s="568"/>
      <c r="EEH2" s="568"/>
      <c r="EEI2" s="568"/>
      <c r="EEJ2" s="568"/>
      <c r="EEK2" s="568"/>
      <c r="EEL2" s="568"/>
      <c r="EEM2" s="568"/>
      <c r="EEN2" s="568"/>
      <c r="EEO2" s="568"/>
      <c r="EEP2" s="568"/>
      <c r="EEQ2" s="568"/>
      <c r="EER2" s="568"/>
      <c r="EES2" s="568"/>
      <c r="EET2" s="568"/>
      <c r="EEU2" s="568"/>
      <c r="EEV2" s="568"/>
      <c r="EEW2" s="568"/>
      <c r="EEX2" s="568"/>
      <c r="EEY2" s="568"/>
      <c r="EEZ2" s="568"/>
      <c r="EFA2" s="568"/>
      <c r="EFB2" s="568"/>
      <c r="EFC2" s="568"/>
      <c r="EFD2" s="568"/>
      <c r="EFE2" s="568"/>
      <c r="EFF2" s="568"/>
      <c r="EFG2" s="568"/>
      <c r="EFH2" s="568"/>
      <c r="EFI2" s="568"/>
      <c r="EFJ2" s="568"/>
      <c r="EFK2" s="568"/>
      <c r="EFL2" s="568"/>
      <c r="EFM2" s="568"/>
      <c r="EFN2" s="568"/>
      <c r="EFO2" s="568"/>
      <c r="EFP2" s="568"/>
      <c r="EFQ2" s="568"/>
      <c r="EFR2" s="568"/>
      <c r="EFS2" s="568"/>
      <c r="EFT2" s="568"/>
      <c r="EFU2" s="568"/>
      <c r="EFV2" s="568"/>
      <c r="EFW2" s="568"/>
      <c r="EFX2" s="568"/>
      <c r="EFY2" s="568"/>
      <c r="EFZ2" s="568"/>
      <c r="EGA2" s="568"/>
      <c r="EGB2" s="568"/>
      <c r="EGC2" s="568"/>
      <c r="EGD2" s="568"/>
      <c r="EGE2" s="568"/>
      <c r="EGF2" s="568"/>
      <c r="EGG2" s="568"/>
      <c r="EGH2" s="568"/>
      <c r="EGI2" s="568"/>
      <c r="EGJ2" s="568"/>
      <c r="EGK2" s="568"/>
      <c r="EGL2" s="568"/>
      <c r="EGM2" s="568"/>
      <c r="EGN2" s="568"/>
      <c r="EGO2" s="568"/>
      <c r="EGP2" s="568"/>
      <c r="EGQ2" s="568"/>
      <c r="EGR2" s="568"/>
      <c r="EGS2" s="568"/>
      <c r="EGT2" s="568"/>
      <c r="EGU2" s="568"/>
      <c r="EGV2" s="568"/>
      <c r="EGW2" s="568"/>
      <c r="EGX2" s="568"/>
      <c r="EGY2" s="568"/>
      <c r="EGZ2" s="568"/>
      <c r="EHA2" s="568"/>
      <c r="EHB2" s="568"/>
      <c r="EHC2" s="568"/>
      <c r="EHD2" s="568"/>
      <c r="EHE2" s="568"/>
      <c r="EHF2" s="568"/>
      <c r="EHG2" s="568"/>
      <c r="EHH2" s="568"/>
      <c r="EHI2" s="568"/>
      <c r="EHJ2" s="568"/>
      <c r="EHK2" s="568"/>
      <c r="EHL2" s="568"/>
      <c r="EHM2" s="568"/>
      <c r="EHN2" s="568"/>
      <c r="EHO2" s="568"/>
      <c r="EHP2" s="568"/>
      <c r="EHQ2" s="568"/>
      <c r="EHR2" s="568"/>
      <c r="EHS2" s="568"/>
      <c r="EHT2" s="568"/>
      <c r="EHU2" s="568"/>
      <c r="EHV2" s="568"/>
      <c r="EHW2" s="568"/>
      <c r="EHX2" s="568"/>
      <c r="EHY2" s="568"/>
      <c r="EHZ2" s="568"/>
      <c r="EIA2" s="568"/>
      <c r="EIB2" s="568"/>
      <c r="EIC2" s="568"/>
      <c r="EID2" s="568"/>
      <c r="EIE2" s="568"/>
      <c r="EIF2" s="568"/>
      <c r="EIG2" s="568"/>
      <c r="EIH2" s="568"/>
      <c r="EII2" s="568"/>
      <c r="EIJ2" s="568"/>
      <c r="EIK2" s="568"/>
      <c r="EIL2" s="568"/>
      <c r="EIM2" s="568"/>
      <c r="EIN2" s="568"/>
      <c r="EIO2" s="568"/>
      <c r="EIP2" s="568"/>
      <c r="EIQ2" s="568"/>
      <c r="EIR2" s="568"/>
      <c r="EIS2" s="568"/>
      <c r="EIT2" s="568"/>
      <c r="EIU2" s="568"/>
      <c r="EIV2" s="568"/>
      <c r="EIW2" s="568"/>
      <c r="EIX2" s="568"/>
      <c r="EIY2" s="568"/>
      <c r="EIZ2" s="568"/>
      <c r="EJA2" s="568"/>
      <c r="EJB2" s="568"/>
      <c r="EJC2" s="568"/>
      <c r="EJD2" s="568"/>
      <c r="EJE2" s="568"/>
      <c r="EJF2" s="568"/>
      <c r="EJG2" s="568"/>
      <c r="EJH2" s="568"/>
      <c r="EJI2" s="568"/>
      <c r="EJJ2" s="568"/>
      <c r="EJK2" s="568"/>
      <c r="EJL2" s="568"/>
      <c r="EJM2" s="568"/>
      <c r="EJN2" s="568"/>
      <c r="EJO2" s="568"/>
      <c r="EJP2" s="568"/>
      <c r="EJQ2" s="568"/>
      <c r="EJR2" s="568"/>
      <c r="EJS2" s="568"/>
      <c r="EJT2" s="568"/>
      <c r="EJU2" s="568"/>
      <c r="EJV2" s="568"/>
      <c r="EJW2" s="568"/>
      <c r="EJX2" s="568"/>
      <c r="EJY2" s="568"/>
      <c r="EJZ2" s="568"/>
      <c r="EKA2" s="568"/>
      <c r="EKB2" s="568"/>
      <c r="EKC2" s="568"/>
      <c r="EKD2" s="568"/>
      <c r="EKE2" s="568"/>
      <c r="EKF2" s="568"/>
      <c r="EKG2" s="568"/>
      <c r="EKH2" s="568"/>
      <c r="EKI2" s="568"/>
      <c r="EKJ2" s="568"/>
      <c r="EKK2" s="568"/>
      <c r="EKL2" s="568"/>
      <c r="EKM2" s="568"/>
      <c r="EKN2" s="568"/>
      <c r="EKO2" s="568"/>
      <c r="EKP2" s="568"/>
      <c r="EKQ2" s="568"/>
      <c r="EKR2" s="568"/>
      <c r="EKS2" s="568"/>
      <c r="EKT2" s="568"/>
      <c r="EKU2" s="568"/>
      <c r="EKV2" s="568"/>
      <c r="EKW2" s="568"/>
      <c r="EKX2" s="568"/>
      <c r="EKY2" s="568"/>
      <c r="EKZ2" s="568"/>
      <c r="ELA2" s="568"/>
      <c r="ELB2" s="568"/>
      <c r="ELC2" s="568"/>
      <c r="ELD2" s="568"/>
      <c r="ELE2" s="568"/>
      <c r="ELF2" s="568"/>
      <c r="ELG2" s="568"/>
      <c r="ELH2" s="568"/>
      <c r="ELI2" s="568"/>
      <c r="ELJ2" s="568"/>
      <c r="ELK2" s="568"/>
      <c r="ELL2" s="568"/>
      <c r="ELM2" s="568"/>
      <c r="ELN2" s="568"/>
      <c r="ELO2" s="568"/>
      <c r="ELP2" s="568"/>
      <c r="ELQ2" s="568"/>
      <c r="ELR2" s="568"/>
      <c r="ELS2" s="568"/>
      <c r="ELT2" s="568"/>
      <c r="ELU2" s="568"/>
      <c r="ELV2" s="568"/>
      <c r="ELW2" s="568"/>
      <c r="ELX2" s="568"/>
      <c r="ELY2" s="568"/>
      <c r="ELZ2" s="568"/>
      <c r="EMA2" s="568"/>
      <c r="EMB2" s="568"/>
      <c r="EMC2" s="568"/>
      <c r="EMD2" s="568"/>
      <c r="EME2" s="568"/>
      <c r="EMF2" s="568"/>
      <c r="EMG2" s="568"/>
      <c r="EMH2" s="568"/>
      <c r="EMI2" s="568"/>
      <c r="EMJ2" s="568"/>
      <c r="EMK2" s="568"/>
      <c r="EML2" s="568"/>
      <c r="EMM2" s="568"/>
      <c r="EMN2" s="568"/>
      <c r="EMO2" s="568"/>
      <c r="EMP2" s="568"/>
      <c r="EMQ2" s="568"/>
      <c r="EMR2" s="568"/>
      <c r="EMS2" s="568"/>
      <c r="EMT2" s="568"/>
      <c r="EMU2" s="568"/>
      <c r="EMV2" s="568"/>
      <c r="EMW2" s="568"/>
      <c r="EMX2" s="568"/>
      <c r="EMY2" s="568"/>
      <c r="EMZ2" s="568"/>
      <c r="ENA2" s="568"/>
      <c r="ENB2" s="568"/>
      <c r="ENC2" s="568"/>
      <c r="END2" s="568"/>
      <c r="ENE2" s="568"/>
      <c r="ENF2" s="568"/>
      <c r="ENG2" s="568"/>
      <c r="ENH2" s="568"/>
      <c r="ENI2" s="568"/>
      <c r="ENJ2" s="568"/>
      <c r="ENK2" s="568"/>
      <c r="ENL2" s="568"/>
      <c r="ENM2" s="568"/>
      <c r="ENN2" s="568"/>
      <c r="ENO2" s="568"/>
      <c r="ENP2" s="568"/>
      <c r="ENQ2" s="568"/>
      <c r="ENR2" s="568"/>
      <c r="ENS2" s="568"/>
      <c r="ENT2" s="568"/>
      <c r="ENU2" s="568"/>
      <c r="ENV2" s="568"/>
      <c r="ENW2" s="568"/>
      <c r="ENX2" s="568"/>
      <c r="ENY2" s="568"/>
      <c r="ENZ2" s="568"/>
      <c r="EOA2" s="568"/>
      <c r="EOB2" s="568"/>
      <c r="EOC2" s="568"/>
      <c r="EOD2" s="568"/>
      <c r="EOE2" s="568"/>
      <c r="EOF2" s="568"/>
      <c r="EOG2" s="568"/>
      <c r="EOH2" s="568"/>
      <c r="EOI2" s="568"/>
      <c r="EOJ2" s="568"/>
      <c r="EOK2" s="568"/>
      <c r="EOL2" s="568"/>
      <c r="EOM2" s="568"/>
      <c r="EON2" s="568"/>
      <c r="EOO2" s="568"/>
      <c r="EOP2" s="568"/>
      <c r="EOQ2" s="568"/>
      <c r="EOR2" s="568"/>
      <c r="EOS2" s="568"/>
      <c r="EOT2" s="568"/>
      <c r="EOU2" s="568"/>
      <c r="EOV2" s="568"/>
      <c r="EOW2" s="568"/>
      <c r="EOX2" s="568"/>
      <c r="EOY2" s="568"/>
      <c r="EOZ2" s="568"/>
      <c r="EPA2" s="568"/>
      <c r="EPB2" s="568"/>
      <c r="EPC2" s="568"/>
      <c r="EPD2" s="568"/>
      <c r="EPE2" s="568"/>
      <c r="EPF2" s="568"/>
      <c r="EPG2" s="568"/>
      <c r="EPH2" s="568"/>
      <c r="EPI2" s="568"/>
      <c r="EPJ2" s="568"/>
      <c r="EPK2" s="568"/>
      <c r="EPL2" s="568"/>
      <c r="EPM2" s="568"/>
      <c r="EPN2" s="568"/>
      <c r="EPO2" s="568"/>
      <c r="EPP2" s="568"/>
      <c r="EPQ2" s="568"/>
      <c r="EPR2" s="568"/>
      <c r="EPS2" s="568"/>
      <c r="EPT2" s="568"/>
      <c r="EPU2" s="568"/>
      <c r="EPV2" s="568"/>
      <c r="EPW2" s="568"/>
      <c r="EPX2" s="568"/>
      <c r="EPY2" s="568"/>
      <c r="EPZ2" s="568"/>
      <c r="EQA2" s="568"/>
      <c r="EQB2" s="568"/>
      <c r="EQC2" s="568"/>
      <c r="EQD2" s="568"/>
      <c r="EQE2" s="568"/>
      <c r="EQF2" s="568"/>
      <c r="EQG2" s="568"/>
      <c r="EQH2" s="568"/>
      <c r="EQI2" s="568"/>
      <c r="EQJ2" s="568"/>
      <c r="EQK2" s="568"/>
      <c r="EQL2" s="568"/>
      <c r="EQM2" s="568"/>
      <c r="EQN2" s="568"/>
      <c r="EQO2" s="568"/>
      <c r="EQP2" s="568"/>
      <c r="EQQ2" s="568"/>
      <c r="EQR2" s="568"/>
      <c r="EQS2" s="568"/>
      <c r="EQT2" s="568"/>
      <c r="EQU2" s="568"/>
      <c r="EQV2" s="568"/>
      <c r="EQW2" s="568"/>
      <c r="EQX2" s="568"/>
      <c r="EQY2" s="568"/>
      <c r="EQZ2" s="568"/>
      <c r="ERA2" s="568"/>
      <c r="ERB2" s="568"/>
      <c r="ERC2" s="568"/>
      <c r="ERD2" s="568"/>
      <c r="ERE2" s="568"/>
      <c r="ERF2" s="568"/>
      <c r="ERG2" s="568"/>
      <c r="ERH2" s="568"/>
      <c r="ERI2" s="568"/>
      <c r="ERJ2" s="568"/>
      <c r="ERK2" s="568"/>
      <c r="ERL2" s="568"/>
      <c r="ERM2" s="568"/>
      <c r="ERN2" s="568"/>
      <c r="ERO2" s="568"/>
      <c r="ERP2" s="568"/>
      <c r="ERQ2" s="568"/>
      <c r="ERR2" s="568"/>
      <c r="ERS2" s="568"/>
      <c r="ERT2" s="568"/>
      <c r="ERU2" s="568"/>
      <c r="ERV2" s="568"/>
      <c r="ERW2" s="568"/>
      <c r="ERX2" s="568"/>
      <c r="ERY2" s="568"/>
      <c r="ERZ2" s="568"/>
      <c r="ESA2" s="568"/>
      <c r="ESB2" s="568"/>
      <c r="ESC2" s="568"/>
      <c r="ESD2" s="568"/>
      <c r="ESE2" s="568"/>
      <c r="ESF2" s="568"/>
      <c r="ESG2" s="568"/>
      <c r="ESH2" s="568"/>
      <c r="ESI2" s="568"/>
      <c r="ESJ2" s="568"/>
      <c r="ESK2" s="568"/>
      <c r="ESL2" s="568"/>
      <c r="ESM2" s="568"/>
      <c r="ESN2" s="568"/>
      <c r="ESO2" s="568"/>
      <c r="ESP2" s="568"/>
      <c r="ESQ2" s="568"/>
      <c r="ESR2" s="568"/>
      <c r="ESS2" s="568"/>
      <c r="EST2" s="568"/>
      <c r="ESU2" s="568"/>
      <c r="ESV2" s="568"/>
      <c r="ESW2" s="568"/>
      <c r="ESX2" s="568"/>
      <c r="ESY2" s="568"/>
      <c r="ESZ2" s="568"/>
      <c r="ETA2" s="568"/>
      <c r="ETB2" s="568"/>
      <c r="ETC2" s="568"/>
      <c r="ETD2" s="568"/>
      <c r="ETE2" s="568"/>
      <c r="ETF2" s="568"/>
      <c r="ETG2" s="568"/>
      <c r="ETH2" s="568"/>
      <c r="ETI2" s="568"/>
      <c r="ETJ2" s="568"/>
      <c r="ETK2" s="568"/>
      <c r="ETL2" s="568"/>
      <c r="ETM2" s="568"/>
      <c r="ETN2" s="568"/>
      <c r="ETO2" s="568"/>
      <c r="ETP2" s="568"/>
      <c r="ETQ2" s="568"/>
      <c r="ETR2" s="568"/>
      <c r="ETS2" s="568"/>
      <c r="ETT2" s="568"/>
      <c r="ETU2" s="568"/>
      <c r="ETV2" s="568"/>
      <c r="ETW2" s="568"/>
      <c r="ETX2" s="568"/>
      <c r="ETY2" s="568"/>
      <c r="ETZ2" s="568"/>
      <c r="EUA2" s="568"/>
      <c r="EUB2" s="568"/>
      <c r="EUC2" s="568"/>
      <c r="EUD2" s="568"/>
      <c r="EUE2" s="568"/>
      <c r="EUF2" s="568"/>
      <c r="EUG2" s="568"/>
      <c r="EUH2" s="568"/>
      <c r="EUI2" s="568"/>
      <c r="EUJ2" s="568"/>
      <c r="EUK2" s="568"/>
      <c r="EUL2" s="568"/>
      <c r="EUM2" s="568"/>
      <c r="EUN2" s="568"/>
      <c r="EUO2" s="568"/>
      <c r="EUP2" s="568"/>
      <c r="EUQ2" s="568"/>
      <c r="EUR2" s="568"/>
      <c r="EUS2" s="568"/>
      <c r="EUT2" s="568"/>
      <c r="EUU2" s="568"/>
      <c r="EUV2" s="568"/>
      <c r="EUW2" s="568"/>
      <c r="EUX2" s="568"/>
      <c r="EUY2" s="568"/>
      <c r="EUZ2" s="568"/>
      <c r="EVA2" s="568"/>
      <c r="EVB2" s="568"/>
      <c r="EVC2" s="568"/>
      <c r="EVD2" s="568"/>
      <c r="EVE2" s="568"/>
      <c r="EVF2" s="568"/>
      <c r="EVG2" s="568"/>
      <c r="EVH2" s="568"/>
      <c r="EVI2" s="568"/>
      <c r="EVJ2" s="568"/>
      <c r="EVK2" s="568"/>
      <c r="EVL2" s="568"/>
      <c r="EVM2" s="568"/>
      <c r="EVN2" s="568"/>
      <c r="EVO2" s="568"/>
      <c r="EVP2" s="568"/>
      <c r="EVQ2" s="568"/>
      <c r="EVR2" s="568"/>
      <c r="EVS2" s="568"/>
      <c r="EVT2" s="568"/>
      <c r="EVU2" s="568"/>
      <c r="EVV2" s="568"/>
      <c r="EVW2" s="568"/>
      <c r="EVX2" s="568"/>
      <c r="EVY2" s="568"/>
      <c r="EVZ2" s="568"/>
      <c r="EWA2" s="568"/>
      <c r="EWB2" s="568"/>
      <c r="EWC2" s="568"/>
      <c r="EWD2" s="568"/>
      <c r="EWE2" s="568"/>
      <c r="EWF2" s="568"/>
      <c r="EWG2" s="568"/>
      <c r="EWH2" s="568"/>
      <c r="EWI2" s="568"/>
      <c r="EWJ2" s="568"/>
      <c r="EWK2" s="568"/>
      <c r="EWL2" s="568"/>
      <c r="EWM2" s="568"/>
      <c r="EWN2" s="568"/>
      <c r="EWO2" s="568"/>
      <c r="EWP2" s="568"/>
      <c r="EWQ2" s="568"/>
      <c r="EWR2" s="568"/>
      <c r="EWS2" s="568"/>
      <c r="EWT2" s="568"/>
      <c r="EWU2" s="568"/>
      <c r="EWV2" s="568"/>
      <c r="EWW2" s="568"/>
      <c r="EWX2" s="568"/>
      <c r="EWY2" s="568"/>
      <c r="EWZ2" s="568"/>
      <c r="EXA2" s="568"/>
      <c r="EXB2" s="568"/>
      <c r="EXC2" s="568"/>
      <c r="EXD2" s="568"/>
      <c r="EXE2" s="568"/>
      <c r="EXF2" s="568"/>
      <c r="EXG2" s="568"/>
      <c r="EXH2" s="568"/>
      <c r="EXI2" s="568"/>
      <c r="EXJ2" s="568"/>
      <c r="EXK2" s="568"/>
      <c r="EXL2" s="568"/>
      <c r="EXM2" s="568"/>
      <c r="EXN2" s="568"/>
      <c r="EXO2" s="568"/>
      <c r="EXP2" s="568"/>
      <c r="EXQ2" s="568"/>
      <c r="EXR2" s="568"/>
      <c r="EXS2" s="568"/>
      <c r="EXT2" s="568"/>
      <c r="EXU2" s="568"/>
      <c r="EXV2" s="568"/>
      <c r="EXW2" s="568"/>
      <c r="EXX2" s="568"/>
      <c r="EXY2" s="568"/>
      <c r="EXZ2" s="568"/>
      <c r="EYA2" s="568"/>
      <c r="EYB2" s="568"/>
      <c r="EYC2" s="568"/>
      <c r="EYD2" s="568"/>
      <c r="EYE2" s="568"/>
      <c r="EYF2" s="568"/>
      <c r="EYG2" s="568"/>
      <c r="EYH2" s="568"/>
      <c r="EYI2" s="568"/>
      <c r="EYJ2" s="568"/>
      <c r="EYK2" s="568"/>
      <c r="EYL2" s="568"/>
      <c r="EYM2" s="568"/>
      <c r="EYN2" s="568"/>
      <c r="EYO2" s="568"/>
      <c r="EYP2" s="568"/>
      <c r="EYQ2" s="568"/>
      <c r="EYR2" s="568"/>
      <c r="EYS2" s="568"/>
      <c r="EYT2" s="568"/>
      <c r="EYU2" s="568"/>
      <c r="EYV2" s="568"/>
      <c r="EYW2" s="568"/>
      <c r="EYX2" s="568"/>
      <c r="EYY2" s="568"/>
      <c r="EYZ2" s="568"/>
      <c r="EZA2" s="568"/>
      <c r="EZB2" s="568"/>
      <c r="EZC2" s="568"/>
      <c r="EZD2" s="568"/>
      <c r="EZE2" s="568"/>
      <c r="EZF2" s="568"/>
      <c r="EZG2" s="568"/>
      <c r="EZH2" s="568"/>
      <c r="EZI2" s="568"/>
      <c r="EZJ2" s="568"/>
      <c r="EZK2" s="568"/>
      <c r="EZL2" s="568"/>
      <c r="EZM2" s="568"/>
      <c r="EZN2" s="568"/>
      <c r="EZO2" s="568"/>
      <c r="EZP2" s="568"/>
      <c r="EZQ2" s="568"/>
      <c r="EZR2" s="568"/>
      <c r="EZS2" s="568"/>
      <c r="EZT2" s="568"/>
      <c r="EZU2" s="568"/>
      <c r="EZV2" s="568"/>
      <c r="EZW2" s="568"/>
      <c r="EZX2" s="568"/>
      <c r="EZY2" s="568"/>
      <c r="EZZ2" s="568"/>
      <c r="FAA2" s="568"/>
      <c r="FAB2" s="568"/>
      <c r="FAC2" s="568"/>
      <c r="FAD2" s="568"/>
      <c r="FAE2" s="568"/>
      <c r="FAF2" s="568"/>
      <c r="FAG2" s="568"/>
      <c r="FAH2" s="568"/>
      <c r="FAI2" s="568"/>
      <c r="FAJ2" s="568"/>
      <c r="FAK2" s="568"/>
      <c r="FAL2" s="568"/>
      <c r="FAM2" s="568"/>
      <c r="FAN2" s="568"/>
      <c r="FAO2" s="568"/>
      <c r="FAP2" s="568"/>
      <c r="FAQ2" s="568"/>
      <c r="FAR2" s="568"/>
      <c r="FAS2" s="568"/>
      <c r="FAT2" s="568"/>
      <c r="FAU2" s="568"/>
      <c r="FAV2" s="568"/>
      <c r="FAW2" s="568"/>
      <c r="FAX2" s="568"/>
      <c r="FAY2" s="568"/>
      <c r="FAZ2" s="568"/>
      <c r="FBA2" s="568"/>
      <c r="FBB2" s="568"/>
      <c r="FBC2" s="568"/>
      <c r="FBD2" s="568"/>
      <c r="FBE2" s="568"/>
      <c r="FBF2" s="568"/>
      <c r="FBG2" s="568"/>
      <c r="FBH2" s="568"/>
      <c r="FBI2" s="568"/>
      <c r="FBJ2" s="568"/>
      <c r="FBK2" s="568"/>
      <c r="FBL2" s="568"/>
      <c r="FBM2" s="568"/>
      <c r="FBN2" s="568"/>
      <c r="FBO2" s="568"/>
      <c r="FBP2" s="568"/>
      <c r="FBQ2" s="568"/>
      <c r="FBR2" s="568"/>
      <c r="FBS2" s="568"/>
      <c r="FBT2" s="568"/>
      <c r="FBU2" s="568"/>
      <c r="FBV2" s="568"/>
      <c r="FBW2" s="568"/>
      <c r="FBX2" s="568"/>
      <c r="FBY2" s="568"/>
      <c r="FBZ2" s="568"/>
      <c r="FCA2" s="568"/>
      <c r="FCB2" s="568"/>
      <c r="FCC2" s="568"/>
      <c r="FCD2" s="568"/>
      <c r="FCE2" s="568"/>
      <c r="FCF2" s="568"/>
      <c r="FCG2" s="568"/>
      <c r="FCH2" s="568"/>
      <c r="FCI2" s="568"/>
      <c r="FCJ2" s="568"/>
      <c r="FCK2" s="568"/>
      <c r="FCL2" s="568"/>
      <c r="FCM2" s="568"/>
      <c r="FCN2" s="568"/>
      <c r="FCO2" s="568"/>
      <c r="FCP2" s="568"/>
      <c r="FCQ2" s="568"/>
      <c r="FCR2" s="568"/>
      <c r="FCS2" s="568"/>
      <c r="FCT2" s="568"/>
      <c r="FCU2" s="568"/>
      <c r="FCV2" s="568"/>
      <c r="FCW2" s="568"/>
      <c r="FCX2" s="568"/>
      <c r="FCY2" s="568"/>
      <c r="FCZ2" s="568"/>
      <c r="FDA2" s="568"/>
      <c r="FDB2" s="568"/>
      <c r="FDC2" s="568"/>
      <c r="FDD2" s="568"/>
      <c r="FDE2" s="568"/>
      <c r="FDF2" s="568"/>
      <c r="FDG2" s="568"/>
      <c r="FDH2" s="568"/>
      <c r="FDI2" s="568"/>
      <c r="FDJ2" s="568"/>
      <c r="FDK2" s="568"/>
      <c r="FDL2" s="568"/>
      <c r="FDM2" s="568"/>
      <c r="FDN2" s="568"/>
      <c r="FDO2" s="568"/>
      <c r="FDP2" s="568"/>
      <c r="FDQ2" s="568"/>
      <c r="FDR2" s="568"/>
      <c r="FDS2" s="568"/>
      <c r="FDT2" s="568"/>
      <c r="FDU2" s="568"/>
      <c r="FDV2" s="568"/>
      <c r="FDW2" s="568"/>
      <c r="FDX2" s="568"/>
      <c r="FDY2" s="568"/>
      <c r="FDZ2" s="568"/>
      <c r="FEA2" s="568"/>
      <c r="FEB2" s="568"/>
      <c r="FEC2" s="568"/>
      <c r="FED2" s="568"/>
      <c r="FEE2" s="568"/>
      <c r="FEF2" s="568"/>
      <c r="FEG2" s="568"/>
      <c r="FEH2" s="568"/>
      <c r="FEI2" s="568"/>
      <c r="FEJ2" s="568"/>
      <c r="FEK2" s="568"/>
      <c r="FEL2" s="568"/>
      <c r="FEM2" s="568"/>
      <c r="FEN2" s="568"/>
      <c r="FEO2" s="568"/>
      <c r="FEP2" s="568"/>
      <c r="FEQ2" s="568"/>
      <c r="FER2" s="568"/>
      <c r="FES2" s="568"/>
      <c r="FET2" s="568"/>
      <c r="FEU2" s="568"/>
      <c r="FEV2" s="568"/>
      <c r="FEW2" s="568"/>
      <c r="FEX2" s="568"/>
      <c r="FEY2" s="568"/>
      <c r="FEZ2" s="568"/>
      <c r="FFA2" s="568"/>
      <c r="FFB2" s="568"/>
      <c r="FFC2" s="568"/>
      <c r="FFD2" s="568"/>
      <c r="FFE2" s="568"/>
      <c r="FFF2" s="568"/>
      <c r="FFG2" s="568"/>
      <c r="FFH2" s="568"/>
      <c r="FFI2" s="568"/>
      <c r="FFJ2" s="568"/>
      <c r="FFK2" s="568"/>
      <c r="FFL2" s="568"/>
      <c r="FFM2" s="568"/>
      <c r="FFN2" s="568"/>
      <c r="FFO2" s="568"/>
      <c r="FFP2" s="568"/>
      <c r="FFQ2" s="568"/>
      <c r="FFR2" s="568"/>
      <c r="FFS2" s="568"/>
      <c r="FFT2" s="568"/>
      <c r="FFU2" s="568"/>
      <c r="FFV2" s="568"/>
      <c r="FFW2" s="568"/>
      <c r="FFX2" s="568"/>
      <c r="FFY2" s="568"/>
      <c r="FFZ2" s="568"/>
      <c r="FGA2" s="568"/>
      <c r="FGB2" s="568"/>
      <c r="FGC2" s="568"/>
      <c r="FGD2" s="568"/>
      <c r="FGE2" s="568"/>
      <c r="FGF2" s="568"/>
      <c r="FGG2" s="568"/>
      <c r="FGH2" s="568"/>
      <c r="FGI2" s="568"/>
      <c r="FGJ2" s="568"/>
      <c r="FGK2" s="568"/>
      <c r="FGL2" s="568"/>
      <c r="FGM2" s="568"/>
      <c r="FGN2" s="568"/>
      <c r="FGO2" s="568"/>
      <c r="FGP2" s="568"/>
      <c r="FGQ2" s="568"/>
      <c r="FGR2" s="568"/>
      <c r="FGS2" s="568"/>
      <c r="FGT2" s="568"/>
      <c r="FGU2" s="568"/>
      <c r="FGV2" s="568"/>
      <c r="FGW2" s="568"/>
      <c r="FGX2" s="568"/>
      <c r="FGY2" s="568"/>
      <c r="FGZ2" s="568"/>
      <c r="FHA2" s="568"/>
      <c r="FHB2" s="568"/>
      <c r="FHC2" s="568"/>
      <c r="FHD2" s="568"/>
      <c r="FHE2" s="568"/>
      <c r="FHF2" s="568"/>
      <c r="FHG2" s="568"/>
      <c r="FHH2" s="568"/>
      <c r="FHI2" s="568"/>
      <c r="FHJ2" s="568"/>
      <c r="FHK2" s="568"/>
      <c r="FHL2" s="568"/>
      <c r="FHM2" s="568"/>
      <c r="FHN2" s="568"/>
      <c r="FHO2" s="568"/>
      <c r="FHP2" s="568"/>
      <c r="FHQ2" s="568"/>
      <c r="FHR2" s="568"/>
      <c r="FHS2" s="568"/>
      <c r="FHT2" s="568"/>
      <c r="FHU2" s="568"/>
      <c r="FHV2" s="568"/>
      <c r="FHW2" s="568"/>
      <c r="FHX2" s="568"/>
      <c r="FHY2" s="568"/>
      <c r="FHZ2" s="568"/>
      <c r="FIA2" s="568"/>
      <c r="FIB2" s="568"/>
      <c r="FIC2" s="568"/>
      <c r="FID2" s="568"/>
      <c r="FIE2" s="568"/>
      <c r="FIF2" s="568"/>
      <c r="FIG2" s="568"/>
      <c r="FIH2" s="568"/>
      <c r="FII2" s="568"/>
      <c r="FIJ2" s="568"/>
      <c r="FIK2" s="568"/>
      <c r="FIL2" s="568"/>
      <c r="FIM2" s="568"/>
      <c r="FIN2" s="568"/>
      <c r="FIO2" s="568"/>
      <c r="FIP2" s="568"/>
      <c r="FIQ2" s="568"/>
      <c r="FIR2" s="568"/>
      <c r="FIS2" s="568"/>
      <c r="FIT2" s="568"/>
      <c r="FIU2" s="568"/>
      <c r="FIV2" s="568"/>
      <c r="FIW2" s="568"/>
      <c r="FIX2" s="568"/>
      <c r="FIY2" s="568"/>
      <c r="FIZ2" s="568"/>
      <c r="FJA2" s="568"/>
      <c r="FJB2" s="568"/>
      <c r="FJC2" s="568"/>
      <c r="FJD2" s="568"/>
      <c r="FJE2" s="568"/>
      <c r="FJF2" s="568"/>
      <c r="FJG2" s="568"/>
      <c r="FJH2" s="568"/>
      <c r="FJI2" s="568"/>
      <c r="FJJ2" s="568"/>
      <c r="FJK2" s="568"/>
      <c r="FJL2" s="568"/>
      <c r="FJM2" s="568"/>
      <c r="FJN2" s="568"/>
      <c r="FJO2" s="568"/>
      <c r="FJP2" s="568"/>
      <c r="FJQ2" s="568"/>
      <c r="FJR2" s="568"/>
      <c r="FJS2" s="568"/>
      <c r="FJT2" s="568"/>
      <c r="FJU2" s="568"/>
      <c r="FJV2" s="568"/>
      <c r="FJW2" s="568"/>
      <c r="FJX2" s="568"/>
      <c r="FJY2" s="568"/>
      <c r="FJZ2" s="568"/>
      <c r="FKA2" s="568"/>
      <c r="FKB2" s="568"/>
      <c r="FKC2" s="568"/>
      <c r="FKD2" s="568"/>
      <c r="FKE2" s="568"/>
      <c r="FKF2" s="568"/>
      <c r="FKG2" s="568"/>
      <c r="FKH2" s="568"/>
      <c r="FKI2" s="568"/>
      <c r="FKJ2" s="568"/>
      <c r="FKK2" s="568"/>
      <c r="FKL2" s="568"/>
      <c r="FKM2" s="568"/>
      <c r="FKN2" s="568"/>
      <c r="FKO2" s="568"/>
      <c r="FKP2" s="568"/>
      <c r="FKQ2" s="568"/>
      <c r="FKR2" s="568"/>
      <c r="FKS2" s="568"/>
      <c r="FKT2" s="568"/>
      <c r="FKU2" s="568"/>
      <c r="FKV2" s="568"/>
      <c r="FKW2" s="568"/>
      <c r="FKX2" s="568"/>
      <c r="FKY2" s="568"/>
      <c r="FKZ2" s="568"/>
      <c r="FLA2" s="568"/>
      <c r="FLB2" s="568"/>
      <c r="FLC2" s="568"/>
      <c r="FLD2" s="568"/>
      <c r="FLE2" s="568"/>
      <c r="FLF2" s="568"/>
      <c r="FLG2" s="568"/>
      <c r="FLH2" s="568"/>
      <c r="FLI2" s="568"/>
      <c r="FLJ2" s="568"/>
      <c r="FLK2" s="568"/>
      <c r="FLL2" s="568"/>
      <c r="FLM2" s="568"/>
      <c r="FLN2" s="568"/>
      <c r="FLO2" s="568"/>
      <c r="FLP2" s="568"/>
      <c r="FLQ2" s="568"/>
      <c r="FLR2" s="568"/>
      <c r="FLS2" s="568"/>
      <c r="FLT2" s="568"/>
      <c r="FLU2" s="568"/>
      <c r="FLV2" s="568"/>
      <c r="FLW2" s="568"/>
      <c r="FLX2" s="568"/>
      <c r="FLY2" s="568"/>
      <c r="FLZ2" s="568"/>
      <c r="FMA2" s="568"/>
      <c r="FMB2" s="568"/>
      <c r="FMC2" s="568"/>
      <c r="FMD2" s="568"/>
      <c r="FME2" s="568"/>
      <c r="FMF2" s="568"/>
      <c r="FMG2" s="568"/>
      <c r="FMH2" s="568"/>
      <c r="FMI2" s="568"/>
      <c r="FMJ2" s="568"/>
      <c r="FMK2" s="568"/>
      <c r="FML2" s="568"/>
      <c r="FMM2" s="568"/>
      <c r="FMN2" s="568"/>
      <c r="FMO2" s="568"/>
      <c r="FMP2" s="568"/>
      <c r="FMQ2" s="568"/>
      <c r="FMR2" s="568"/>
      <c r="FMS2" s="568"/>
      <c r="FMT2" s="568"/>
      <c r="FMU2" s="568"/>
      <c r="FMV2" s="568"/>
      <c r="FMW2" s="568"/>
      <c r="FMX2" s="568"/>
      <c r="FMY2" s="568"/>
      <c r="FMZ2" s="568"/>
      <c r="FNA2" s="568"/>
      <c r="FNB2" s="568"/>
      <c r="FNC2" s="568"/>
      <c r="FND2" s="568"/>
      <c r="FNE2" s="568"/>
      <c r="FNF2" s="568"/>
      <c r="FNG2" s="568"/>
      <c r="FNH2" s="568"/>
      <c r="FNI2" s="568"/>
      <c r="FNJ2" s="568"/>
      <c r="FNK2" s="568"/>
      <c r="FNL2" s="568"/>
      <c r="FNM2" s="568"/>
      <c r="FNN2" s="568"/>
      <c r="FNO2" s="568"/>
      <c r="FNP2" s="568"/>
      <c r="FNQ2" s="568"/>
      <c r="FNR2" s="568"/>
      <c r="FNS2" s="568"/>
      <c r="FNT2" s="568"/>
      <c r="FNU2" s="568"/>
      <c r="FNV2" s="568"/>
      <c r="FNW2" s="568"/>
      <c r="FNX2" s="568"/>
      <c r="FNY2" s="568"/>
      <c r="FNZ2" s="568"/>
      <c r="FOA2" s="568"/>
      <c r="FOB2" s="568"/>
      <c r="FOC2" s="568"/>
      <c r="FOD2" s="568"/>
      <c r="FOE2" s="568"/>
      <c r="FOF2" s="568"/>
      <c r="FOG2" s="568"/>
      <c r="FOH2" s="568"/>
      <c r="FOI2" s="568"/>
      <c r="FOJ2" s="568"/>
      <c r="FOK2" s="568"/>
      <c r="FOL2" s="568"/>
      <c r="FOM2" s="568"/>
      <c r="FON2" s="568"/>
      <c r="FOO2" s="568"/>
      <c r="FOP2" s="568"/>
      <c r="FOQ2" s="568"/>
      <c r="FOR2" s="568"/>
      <c r="FOS2" s="568"/>
      <c r="FOT2" s="568"/>
      <c r="FOU2" s="568"/>
      <c r="FOV2" s="568"/>
      <c r="FOW2" s="568"/>
      <c r="FOX2" s="568"/>
      <c r="FOY2" s="568"/>
      <c r="FOZ2" s="568"/>
      <c r="FPA2" s="568"/>
      <c r="FPB2" s="568"/>
      <c r="FPC2" s="568"/>
      <c r="FPD2" s="568"/>
      <c r="FPE2" s="568"/>
      <c r="FPF2" s="568"/>
      <c r="FPG2" s="568"/>
      <c r="FPH2" s="568"/>
      <c r="FPI2" s="568"/>
      <c r="FPJ2" s="568"/>
      <c r="FPK2" s="568"/>
      <c r="FPL2" s="568"/>
      <c r="FPM2" s="568"/>
      <c r="FPN2" s="568"/>
      <c r="FPO2" s="568"/>
      <c r="FPP2" s="568"/>
      <c r="FPQ2" s="568"/>
      <c r="FPR2" s="568"/>
      <c r="FPS2" s="568"/>
      <c r="FPT2" s="568"/>
      <c r="FPU2" s="568"/>
      <c r="FPV2" s="568"/>
      <c r="FPW2" s="568"/>
      <c r="FPX2" s="568"/>
      <c r="FPY2" s="568"/>
      <c r="FPZ2" s="568"/>
      <c r="FQA2" s="568"/>
      <c r="FQB2" s="568"/>
      <c r="FQC2" s="568"/>
      <c r="FQD2" s="568"/>
      <c r="FQE2" s="568"/>
      <c r="FQF2" s="568"/>
      <c r="FQG2" s="568"/>
      <c r="FQH2" s="568"/>
      <c r="FQI2" s="568"/>
      <c r="FQJ2" s="568"/>
      <c r="FQK2" s="568"/>
      <c r="FQL2" s="568"/>
      <c r="FQM2" s="568"/>
      <c r="FQN2" s="568"/>
      <c r="FQO2" s="568"/>
      <c r="FQP2" s="568"/>
      <c r="FQQ2" s="568"/>
      <c r="FQR2" s="568"/>
      <c r="FQS2" s="568"/>
      <c r="FQT2" s="568"/>
      <c r="FQU2" s="568"/>
      <c r="FQV2" s="568"/>
      <c r="FQW2" s="568"/>
      <c r="FQX2" s="568"/>
      <c r="FQY2" s="568"/>
      <c r="FQZ2" s="568"/>
      <c r="FRA2" s="568"/>
      <c r="FRB2" s="568"/>
      <c r="FRC2" s="568"/>
      <c r="FRD2" s="568"/>
      <c r="FRE2" s="568"/>
      <c r="FRF2" s="568"/>
      <c r="FRG2" s="568"/>
      <c r="FRH2" s="568"/>
      <c r="FRI2" s="568"/>
      <c r="FRJ2" s="568"/>
      <c r="FRK2" s="568"/>
      <c r="FRL2" s="568"/>
      <c r="FRM2" s="568"/>
      <c r="FRN2" s="568"/>
      <c r="FRO2" s="568"/>
      <c r="FRP2" s="568"/>
      <c r="FRQ2" s="568"/>
      <c r="FRR2" s="568"/>
      <c r="FRS2" s="568"/>
      <c r="FRT2" s="568"/>
      <c r="FRU2" s="568"/>
      <c r="FRV2" s="568"/>
      <c r="FRW2" s="568"/>
      <c r="FRX2" s="568"/>
      <c r="FRY2" s="568"/>
      <c r="FRZ2" s="568"/>
      <c r="FSA2" s="568"/>
      <c r="FSB2" s="568"/>
      <c r="FSC2" s="568"/>
      <c r="FSD2" s="568"/>
      <c r="FSE2" s="568"/>
      <c r="FSF2" s="568"/>
      <c r="FSG2" s="568"/>
      <c r="FSH2" s="568"/>
      <c r="FSI2" s="568"/>
      <c r="FSJ2" s="568"/>
      <c r="FSK2" s="568"/>
      <c r="FSL2" s="568"/>
      <c r="FSM2" s="568"/>
      <c r="FSN2" s="568"/>
      <c r="FSO2" s="568"/>
      <c r="FSP2" s="568"/>
      <c r="FSQ2" s="568"/>
      <c r="FSR2" s="568"/>
      <c r="FSS2" s="568"/>
      <c r="FST2" s="568"/>
      <c r="FSU2" s="568"/>
      <c r="FSV2" s="568"/>
      <c r="FSW2" s="568"/>
      <c r="FSX2" s="568"/>
      <c r="FSY2" s="568"/>
      <c r="FSZ2" s="568"/>
      <c r="FTA2" s="568"/>
      <c r="FTB2" s="568"/>
      <c r="FTC2" s="568"/>
      <c r="FTD2" s="568"/>
      <c r="FTE2" s="568"/>
      <c r="FTF2" s="568"/>
      <c r="FTG2" s="568"/>
      <c r="FTH2" s="568"/>
      <c r="FTI2" s="568"/>
      <c r="FTJ2" s="568"/>
      <c r="FTK2" s="568"/>
      <c r="FTL2" s="568"/>
      <c r="FTM2" s="568"/>
      <c r="FTN2" s="568"/>
      <c r="FTO2" s="568"/>
      <c r="FTP2" s="568"/>
      <c r="FTQ2" s="568"/>
      <c r="FTR2" s="568"/>
      <c r="FTS2" s="568"/>
      <c r="FTT2" s="568"/>
      <c r="FTU2" s="568"/>
      <c r="FTV2" s="568"/>
      <c r="FTW2" s="568"/>
      <c r="FTX2" s="568"/>
      <c r="FTY2" s="568"/>
      <c r="FTZ2" s="568"/>
      <c r="FUA2" s="568"/>
      <c r="FUB2" s="568"/>
      <c r="FUC2" s="568"/>
      <c r="FUD2" s="568"/>
      <c r="FUE2" s="568"/>
      <c r="FUF2" s="568"/>
      <c r="FUG2" s="568"/>
      <c r="FUH2" s="568"/>
      <c r="FUI2" s="568"/>
      <c r="FUJ2" s="568"/>
      <c r="FUK2" s="568"/>
      <c r="FUL2" s="568"/>
      <c r="FUM2" s="568"/>
      <c r="FUN2" s="568"/>
      <c r="FUO2" s="568"/>
      <c r="FUP2" s="568"/>
      <c r="FUQ2" s="568"/>
      <c r="FUR2" s="568"/>
      <c r="FUS2" s="568"/>
      <c r="FUT2" s="568"/>
      <c r="FUU2" s="568"/>
      <c r="FUV2" s="568"/>
      <c r="FUW2" s="568"/>
      <c r="FUX2" s="568"/>
      <c r="FUY2" s="568"/>
      <c r="FUZ2" s="568"/>
      <c r="FVA2" s="568"/>
      <c r="FVB2" s="568"/>
      <c r="FVC2" s="568"/>
      <c r="FVD2" s="568"/>
      <c r="FVE2" s="568"/>
      <c r="FVF2" s="568"/>
      <c r="FVG2" s="568"/>
      <c r="FVH2" s="568"/>
      <c r="FVI2" s="568"/>
      <c r="FVJ2" s="568"/>
      <c r="FVK2" s="568"/>
      <c r="FVL2" s="568"/>
      <c r="FVM2" s="568"/>
      <c r="FVN2" s="568"/>
      <c r="FVO2" s="568"/>
      <c r="FVP2" s="568"/>
      <c r="FVQ2" s="568"/>
      <c r="FVR2" s="568"/>
      <c r="FVS2" s="568"/>
      <c r="FVT2" s="568"/>
      <c r="FVU2" s="568"/>
      <c r="FVV2" s="568"/>
      <c r="FVW2" s="568"/>
      <c r="FVX2" s="568"/>
      <c r="FVY2" s="568"/>
      <c r="FVZ2" s="568"/>
      <c r="FWA2" s="568"/>
      <c r="FWB2" s="568"/>
      <c r="FWC2" s="568"/>
      <c r="FWD2" s="568"/>
      <c r="FWE2" s="568"/>
      <c r="FWF2" s="568"/>
      <c r="FWG2" s="568"/>
      <c r="FWH2" s="568"/>
      <c r="FWI2" s="568"/>
      <c r="FWJ2" s="568"/>
      <c r="FWK2" s="568"/>
      <c r="FWL2" s="568"/>
      <c r="FWM2" s="568"/>
      <c r="FWN2" s="568"/>
      <c r="FWO2" s="568"/>
      <c r="FWP2" s="568"/>
      <c r="FWQ2" s="568"/>
      <c r="FWR2" s="568"/>
      <c r="FWS2" s="568"/>
      <c r="FWT2" s="568"/>
      <c r="FWU2" s="568"/>
      <c r="FWV2" s="568"/>
      <c r="FWW2" s="568"/>
      <c r="FWX2" s="568"/>
      <c r="FWY2" s="568"/>
      <c r="FWZ2" s="568"/>
      <c r="FXA2" s="568"/>
      <c r="FXB2" s="568"/>
      <c r="FXC2" s="568"/>
      <c r="FXD2" s="568"/>
      <c r="FXE2" s="568"/>
      <c r="FXF2" s="568"/>
      <c r="FXG2" s="568"/>
      <c r="FXH2" s="568"/>
      <c r="FXI2" s="568"/>
      <c r="FXJ2" s="568"/>
      <c r="FXK2" s="568"/>
      <c r="FXL2" s="568"/>
      <c r="FXM2" s="568"/>
      <c r="FXN2" s="568"/>
      <c r="FXO2" s="568"/>
      <c r="FXP2" s="568"/>
      <c r="FXQ2" s="568"/>
      <c r="FXR2" s="568"/>
      <c r="FXS2" s="568"/>
      <c r="FXT2" s="568"/>
      <c r="FXU2" s="568"/>
      <c r="FXV2" s="568"/>
      <c r="FXW2" s="568"/>
      <c r="FXX2" s="568"/>
      <c r="FXY2" s="568"/>
      <c r="FXZ2" s="568"/>
      <c r="FYA2" s="568"/>
      <c r="FYB2" s="568"/>
      <c r="FYC2" s="568"/>
      <c r="FYD2" s="568"/>
      <c r="FYE2" s="568"/>
      <c r="FYF2" s="568"/>
      <c r="FYG2" s="568"/>
      <c r="FYH2" s="568"/>
      <c r="FYI2" s="568"/>
      <c r="FYJ2" s="568"/>
      <c r="FYK2" s="568"/>
      <c r="FYL2" s="568"/>
      <c r="FYM2" s="568"/>
      <c r="FYN2" s="568"/>
      <c r="FYO2" s="568"/>
      <c r="FYP2" s="568"/>
      <c r="FYQ2" s="568"/>
      <c r="FYR2" s="568"/>
      <c r="FYS2" s="568"/>
      <c r="FYT2" s="568"/>
      <c r="FYU2" s="568"/>
      <c r="FYV2" s="568"/>
      <c r="FYW2" s="568"/>
      <c r="FYX2" s="568"/>
      <c r="FYY2" s="568"/>
      <c r="FYZ2" s="568"/>
      <c r="FZA2" s="568"/>
      <c r="FZB2" s="568"/>
      <c r="FZC2" s="568"/>
      <c r="FZD2" s="568"/>
      <c r="FZE2" s="568"/>
      <c r="FZF2" s="568"/>
      <c r="FZG2" s="568"/>
      <c r="FZH2" s="568"/>
      <c r="FZI2" s="568"/>
      <c r="FZJ2" s="568"/>
      <c r="FZK2" s="568"/>
      <c r="FZL2" s="568"/>
      <c r="FZM2" s="568"/>
      <c r="FZN2" s="568"/>
      <c r="FZO2" s="568"/>
      <c r="FZP2" s="568"/>
      <c r="FZQ2" s="568"/>
      <c r="FZR2" s="568"/>
      <c r="FZS2" s="568"/>
      <c r="FZT2" s="568"/>
      <c r="FZU2" s="568"/>
      <c r="FZV2" s="568"/>
      <c r="FZW2" s="568"/>
      <c r="FZX2" s="568"/>
      <c r="FZY2" s="568"/>
      <c r="FZZ2" s="568"/>
      <c r="GAA2" s="568"/>
      <c r="GAB2" s="568"/>
      <c r="GAC2" s="568"/>
      <c r="GAD2" s="568"/>
      <c r="GAE2" s="568"/>
      <c r="GAF2" s="568"/>
      <c r="GAG2" s="568"/>
      <c r="GAH2" s="568"/>
      <c r="GAI2" s="568"/>
      <c r="GAJ2" s="568"/>
      <c r="GAK2" s="568"/>
      <c r="GAL2" s="568"/>
      <c r="GAM2" s="568"/>
      <c r="GAN2" s="568"/>
      <c r="GAO2" s="568"/>
      <c r="GAP2" s="568"/>
      <c r="GAQ2" s="568"/>
      <c r="GAR2" s="568"/>
      <c r="GAS2" s="568"/>
      <c r="GAT2" s="568"/>
      <c r="GAU2" s="568"/>
      <c r="GAV2" s="568"/>
      <c r="GAW2" s="568"/>
      <c r="GAX2" s="568"/>
      <c r="GAY2" s="568"/>
      <c r="GAZ2" s="568"/>
      <c r="GBA2" s="568"/>
      <c r="GBB2" s="568"/>
      <c r="GBC2" s="568"/>
      <c r="GBD2" s="568"/>
      <c r="GBE2" s="568"/>
      <c r="GBF2" s="568"/>
      <c r="GBG2" s="568"/>
      <c r="GBH2" s="568"/>
      <c r="GBI2" s="568"/>
      <c r="GBJ2" s="568"/>
      <c r="GBK2" s="568"/>
      <c r="GBL2" s="568"/>
      <c r="GBM2" s="568"/>
      <c r="GBN2" s="568"/>
      <c r="GBO2" s="568"/>
      <c r="GBP2" s="568"/>
      <c r="GBQ2" s="568"/>
      <c r="GBR2" s="568"/>
      <c r="GBS2" s="568"/>
      <c r="GBT2" s="568"/>
      <c r="GBU2" s="568"/>
      <c r="GBV2" s="568"/>
      <c r="GBW2" s="568"/>
      <c r="GBX2" s="568"/>
      <c r="GBY2" s="568"/>
      <c r="GBZ2" s="568"/>
      <c r="GCA2" s="568"/>
      <c r="GCB2" s="568"/>
      <c r="GCC2" s="568"/>
      <c r="GCD2" s="568"/>
      <c r="GCE2" s="568"/>
      <c r="GCF2" s="568"/>
      <c r="GCG2" s="568"/>
      <c r="GCH2" s="568"/>
      <c r="GCI2" s="568"/>
      <c r="GCJ2" s="568"/>
      <c r="GCK2" s="568"/>
      <c r="GCL2" s="568"/>
      <c r="GCM2" s="568"/>
      <c r="GCN2" s="568"/>
      <c r="GCO2" s="568"/>
      <c r="GCP2" s="568"/>
      <c r="GCQ2" s="568"/>
      <c r="GCR2" s="568"/>
      <c r="GCS2" s="568"/>
      <c r="GCT2" s="568"/>
      <c r="GCU2" s="568"/>
      <c r="GCV2" s="568"/>
      <c r="GCW2" s="568"/>
      <c r="GCX2" s="568"/>
      <c r="GCY2" s="568"/>
      <c r="GCZ2" s="568"/>
      <c r="GDA2" s="568"/>
      <c r="GDB2" s="568"/>
      <c r="GDC2" s="568"/>
      <c r="GDD2" s="568"/>
      <c r="GDE2" s="568"/>
      <c r="GDF2" s="568"/>
      <c r="GDG2" s="568"/>
      <c r="GDH2" s="568"/>
      <c r="GDI2" s="568"/>
      <c r="GDJ2" s="568"/>
      <c r="GDK2" s="568"/>
      <c r="GDL2" s="568"/>
      <c r="GDM2" s="568"/>
      <c r="GDN2" s="568"/>
      <c r="GDO2" s="568"/>
      <c r="GDP2" s="568"/>
      <c r="GDQ2" s="568"/>
      <c r="GDR2" s="568"/>
      <c r="GDS2" s="568"/>
      <c r="GDT2" s="568"/>
      <c r="GDU2" s="568"/>
      <c r="GDV2" s="568"/>
      <c r="GDW2" s="568"/>
      <c r="GDX2" s="568"/>
      <c r="GDY2" s="568"/>
      <c r="GDZ2" s="568"/>
      <c r="GEA2" s="568"/>
      <c r="GEB2" s="568"/>
      <c r="GEC2" s="568"/>
      <c r="GED2" s="568"/>
      <c r="GEE2" s="568"/>
      <c r="GEF2" s="568"/>
      <c r="GEG2" s="568"/>
      <c r="GEH2" s="568"/>
      <c r="GEI2" s="568"/>
      <c r="GEJ2" s="568"/>
      <c r="GEK2" s="568"/>
      <c r="GEL2" s="568"/>
      <c r="GEM2" s="568"/>
      <c r="GEN2" s="568"/>
      <c r="GEO2" s="568"/>
      <c r="GEP2" s="568"/>
      <c r="GEQ2" s="568"/>
      <c r="GER2" s="568"/>
      <c r="GES2" s="568"/>
      <c r="GET2" s="568"/>
      <c r="GEU2" s="568"/>
      <c r="GEV2" s="568"/>
      <c r="GEW2" s="568"/>
      <c r="GEX2" s="568"/>
      <c r="GEY2" s="568"/>
      <c r="GEZ2" s="568"/>
      <c r="GFA2" s="568"/>
      <c r="GFB2" s="568"/>
      <c r="GFC2" s="568"/>
      <c r="GFD2" s="568"/>
      <c r="GFE2" s="568"/>
      <c r="GFF2" s="568"/>
      <c r="GFG2" s="568"/>
      <c r="GFH2" s="568"/>
      <c r="GFI2" s="568"/>
      <c r="GFJ2" s="568"/>
      <c r="GFK2" s="568"/>
      <c r="GFL2" s="568"/>
      <c r="GFM2" s="568"/>
      <c r="GFN2" s="568"/>
      <c r="GFO2" s="568"/>
      <c r="GFP2" s="568"/>
      <c r="GFQ2" s="568"/>
      <c r="GFR2" s="568"/>
      <c r="GFS2" s="568"/>
      <c r="GFT2" s="568"/>
      <c r="GFU2" s="568"/>
      <c r="GFV2" s="568"/>
      <c r="GFW2" s="568"/>
      <c r="GFX2" s="568"/>
      <c r="GFY2" s="568"/>
      <c r="GFZ2" s="568"/>
      <c r="GGA2" s="568"/>
      <c r="GGB2" s="568"/>
      <c r="GGC2" s="568"/>
      <c r="GGD2" s="568"/>
      <c r="GGE2" s="568"/>
      <c r="GGF2" s="568"/>
      <c r="GGG2" s="568"/>
      <c r="GGH2" s="568"/>
      <c r="GGI2" s="568"/>
      <c r="GGJ2" s="568"/>
      <c r="GGK2" s="568"/>
      <c r="GGL2" s="568"/>
      <c r="GGM2" s="568"/>
      <c r="GGN2" s="568"/>
      <c r="GGO2" s="568"/>
      <c r="GGP2" s="568"/>
      <c r="GGQ2" s="568"/>
      <c r="GGR2" s="568"/>
      <c r="GGS2" s="568"/>
      <c r="GGT2" s="568"/>
      <c r="GGU2" s="568"/>
      <c r="GGV2" s="568"/>
      <c r="GGW2" s="568"/>
      <c r="GGX2" s="568"/>
      <c r="GGY2" s="568"/>
      <c r="GGZ2" s="568"/>
      <c r="GHA2" s="568"/>
      <c r="GHB2" s="568"/>
      <c r="GHC2" s="568"/>
      <c r="GHD2" s="568"/>
      <c r="GHE2" s="568"/>
      <c r="GHF2" s="568"/>
      <c r="GHG2" s="568"/>
      <c r="GHH2" s="568"/>
      <c r="GHI2" s="568"/>
      <c r="GHJ2" s="568"/>
      <c r="GHK2" s="568"/>
      <c r="GHL2" s="568"/>
      <c r="GHM2" s="568"/>
      <c r="GHN2" s="568"/>
      <c r="GHO2" s="568"/>
      <c r="GHP2" s="568"/>
      <c r="GHQ2" s="568"/>
      <c r="GHR2" s="568"/>
      <c r="GHS2" s="568"/>
      <c r="GHT2" s="568"/>
      <c r="GHU2" s="568"/>
      <c r="GHV2" s="568"/>
      <c r="GHW2" s="568"/>
      <c r="GHX2" s="568"/>
      <c r="GHY2" s="568"/>
      <c r="GHZ2" s="568"/>
      <c r="GIA2" s="568"/>
      <c r="GIB2" s="568"/>
      <c r="GIC2" s="568"/>
      <c r="GID2" s="568"/>
      <c r="GIE2" s="568"/>
      <c r="GIF2" s="568"/>
      <c r="GIG2" s="568"/>
      <c r="GIH2" s="568"/>
      <c r="GII2" s="568"/>
      <c r="GIJ2" s="568"/>
      <c r="GIK2" s="568"/>
      <c r="GIL2" s="568"/>
      <c r="GIM2" s="568"/>
      <c r="GIN2" s="568"/>
      <c r="GIO2" s="568"/>
      <c r="GIP2" s="568"/>
      <c r="GIQ2" s="568"/>
      <c r="GIR2" s="568"/>
      <c r="GIS2" s="568"/>
      <c r="GIT2" s="568"/>
      <c r="GIU2" s="568"/>
      <c r="GIV2" s="568"/>
      <c r="GIW2" s="568"/>
      <c r="GIX2" s="568"/>
      <c r="GIY2" s="568"/>
      <c r="GIZ2" s="568"/>
      <c r="GJA2" s="568"/>
      <c r="GJB2" s="568"/>
      <c r="GJC2" s="568"/>
      <c r="GJD2" s="568"/>
      <c r="GJE2" s="568"/>
      <c r="GJF2" s="568"/>
      <c r="GJG2" s="568"/>
      <c r="GJH2" s="568"/>
      <c r="GJI2" s="568"/>
      <c r="GJJ2" s="568"/>
      <c r="GJK2" s="568"/>
      <c r="GJL2" s="568"/>
      <c r="GJM2" s="568"/>
      <c r="GJN2" s="568"/>
      <c r="GJO2" s="568"/>
      <c r="GJP2" s="568"/>
      <c r="GJQ2" s="568"/>
      <c r="GJR2" s="568"/>
      <c r="GJS2" s="568"/>
      <c r="GJT2" s="568"/>
      <c r="GJU2" s="568"/>
      <c r="GJV2" s="568"/>
      <c r="GJW2" s="568"/>
      <c r="GJX2" s="568"/>
      <c r="GJY2" s="568"/>
      <c r="GJZ2" s="568"/>
      <c r="GKA2" s="568"/>
      <c r="GKB2" s="568"/>
      <c r="GKC2" s="568"/>
      <c r="GKD2" s="568"/>
      <c r="GKE2" s="568"/>
      <c r="GKF2" s="568"/>
      <c r="GKG2" s="568"/>
      <c r="GKH2" s="568"/>
      <c r="GKI2" s="568"/>
      <c r="GKJ2" s="568"/>
      <c r="GKK2" s="568"/>
      <c r="GKL2" s="568"/>
      <c r="GKM2" s="568"/>
      <c r="GKN2" s="568"/>
      <c r="GKO2" s="568"/>
      <c r="GKP2" s="568"/>
      <c r="GKQ2" s="568"/>
      <c r="GKR2" s="568"/>
      <c r="GKS2" s="568"/>
      <c r="GKT2" s="568"/>
      <c r="GKU2" s="568"/>
      <c r="GKV2" s="568"/>
      <c r="GKW2" s="568"/>
      <c r="GKX2" s="568"/>
      <c r="GKY2" s="568"/>
      <c r="GKZ2" s="568"/>
      <c r="GLA2" s="568"/>
      <c r="GLB2" s="568"/>
      <c r="GLC2" s="568"/>
      <c r="GLD2" s="568"/>
      <c r="GLE2" s="568"/>
      <c r="GLF2" s="568"/>
      <c r="GLG2" s="568"/>
      <c r="GLH2" s="568"/>
      <c r="GLI2" s="568"/>
      <c r="GLJ2" s="568"/>
      <c r="GLK2" s="568"/>
      <c r="GLL2" s="568"/>
      <c r="GLM2" s="568"/>
      <c r="GLN2" s="568"/>
      <c r="GLO2" s="568"/>
      <c r="GLP2" s="568"/>
      <c r="GLQ2" s="568"/>
      <c r="GLR2" s="568"/>
      <c r="GLS2" s="568"/>
      <c r="GLT2" s="568"/>
      <c r="GLU2" s="568"/>
      <c r="GLV2" s="568"/>
      <c r="GLW2" s="568"/>
      <c r="GLX2" s="568"/>
      <c r="GLY2" s="568"/>
      <c r="GLZ2" s="568"/>
      <c r="GMA2" s="568"/>
      <c r="GMB2" s="568"/>
      <c r="GMC2" s="568"/>
      <c r="GMD2" s="568"/>
      <c r="GME2" s="568"/>
      <c r="GMF2" s="568"/>
      <c r="GMG2" s="568"/>
      <c r="GMH2" s="568"/>
      <c r="GMI2" s="568"/>
      <c r="GMJ2" s="568"/>
      <c r="GMK2" s="568"/>
      <c r="GML2" s="568"/>
      <c r="GMM2" s="568"/>
      <c r="GMN2" s="568"/>
      <c r="GMO2" s="568"/>
      <c r="GMP2" s="568"/>
      <c r="GMQ2" s="568"/>
      <c r="GMR2" s="568"/>
      <c r="GMS2" s="568"/>
      <c r="GMT2" s="568"/>
      <c r="GMU2" s="568"/>
      <c r="GMV2" s="568"/>
      <c r="GMW2" s="568"/>
      <c r="GMX2" s="568"/>
      <c r="GMY2" s="568"/>
      <c r="GMZ2" s="568"/>
      <c r="GNA2" s="568"/>
      <c r="GNB2" s="568"/>
      <c r="GNC2" s="568"/>
      <c r="GND2" s="568"/>
      <c r="GNE2" s="568"/>
      <c r="GNF2" s="568"/>
      <c r="GNG2" s="568"/>
      <c r="GNH2" s="568"/>
      <c r="GNI2" s="568"/>
      <c r="GNJ2" s="568"/>
      <c r="GNK2" s="568"/>
      <c r="GNL2" s="568"/>
      <c r="GNM2" s="568"/>
      <c r="GNN2" s="568"/>
      <c r="GNO2" s="568"/>
      <c r="GNP2" s="568"/>
      <c r="GNQ2" s="568"/>
      <c r="GNR2" s="568"/>
      <c r="GNS2" s="568"/>
      <c r="GNT2" s="568"/>
      <c r="GNU2" s="568"/>
      <c r="GNV2" s="568"/>
      <c r="GNW2" s="568"/>
      <c r="GNX2" s="568"/>
      <c r="GNY2" s="568"/>
      <c r="GNZ2" s="568"/>
      <c r="GOA2" s="568"/>
      <c r="GOB2" s="568"/>
      <c r="GOC2" s="568"/>
      <c r="GOD2" s="568"/>
      <c r="GOE2" s="568"/>
      <c r="GOF2" s="568"/>
      <c r="GOG2" s="568"/>
      <c r="GOH2" s="568"/>
      <c r="GOI2" s="568"/>
      <c r="GOJ2" s="568"/>
      <c r="GOK2" s="568"/>
      <c r="GOL2" s="568"/>
      <c r="GOM2" s="568"/>
      <c r="GON2" s="568"/>
      <c r="GOO2" s="568"/>
      <c r="GOP2" s="568"/>
      <c r="GOQ2" s="568"/>
      <c r="GOR2" s="568"/>
      <c r="GOS2" s="568"/>
      <c r="GOT2" s="568"/>
      <c r="GOU2" s="568"/>
      <c r="GOV2" s="568"/>
      <c r="GOW2" s="568"/>
      <c r="GOX2" s="568"/>
      <c r="GOY2" s="568"/>
      <c r="GOZ2" s="568"/>
      <c r="GPA2" s="568"/>
      <c r="GPB2" s="568"/>
      <c r="GPC2" s="568"/>
      <c r="GPD2" s="568"/>
      <c r="GPE2" s="568"/>
      <c r="GPF2" s="568"/>
      <c r="GPG2" s="568"/>
      <c r="GPH2" s="568"/>
      <c r="GPI2" s="568"/>
      <c r="GPJ2" s="568"/>
      <c r="GPK2" s="568"/>
      <c r="GPL2" s="568"/>
      <c r="GPM2" s="568"/>
      <c r="GPN2" s="568"/>
      <c r="GPO2" s="568"/>
      <c r="GPP2" s="568"/>
      <c r="GPQ2" s="568"/>
      <c r="GPR2" s="568"/>
      <c r="GPS2" s="568"/>
      <c r="GPT2" s="568"/>
      <c r="GPU2" s="568"/>
      <c r="GPV2" s="568"/>
      <c r="GPW2" s="568"/>
      <c r="GPX2" s="568"/>
      <c r="GPY2" s="568"/>
      <c r="GPZ2" s="568"/>
      <c r="GQA2" s="568"/>
      <c r="GQB2" s="568"/>
      <c r="GQC2" s="568"/>
      <c r="GQD2" s="568"/>
      <c r="GQE2" s="568"/>
      <c r="GQF2" s="568"/>
      <c r="GQG2" s="568"/>
      <c r="GQH2" s="568"/>
      <c r="GQI2" s="568"/>
      <c r="GQJ2" s="568"/>
      <c r="GQK2" s="568"/>
      <c r="GQL2" s="568"/>
      <c r="GQM2" s="568"/>
      <c r="GQN2" s="568"/>
      <c r="GQO2" s="568"/>
      <c r="GQP2" s="568"/>
      <c r="GQQ2" s="568"/>
      <c r="GQR2" s="568"/>
      <c r="GQS2" s="568"/>
      <c r="GQT2" s="568"/>
      <c r="GQU2" s="568"/>
      <c r="GQV2" s="568"/>
      <c r="GQW2" s="568"/>
      <c r="GQX2" s="568"/>
      <c r="GQY2" s="568"/>
      <c r="GQZ2" s="568"/>
      <c r="GRA2" s="568"/>
      <c r="GRB2" s="568"/>
      <c r="GRC2" s="568"/>
      <c r="GRD2" s="568"/>
      <c r="GRE2" s="568"/>
      <c r="GRF2" s="568"/>
      <c r="GRG2" s="568"/>
      <c r="GRH2" s="568"/>
      <c r="GRI2" s="568"/>
      <c r="GRJ2" s="568"/>
      <c r="GRK2" s="568"/>
      <c r="GRL2" s="568"/>
      <c r="GRM2" s="568"/>
      <c r="GRN2" s="568"/>
      <c r="GRO2" s="568"/>
      <c r="GRP2" s="568"/>
      <c r="GRQ2" s="568"/>
      <c r="GRR2" s="568"/>
      <c r="GRS2" s="568"/>
      <c r="GRT2" s="568"/>
      <c r="GRU2" s="568"/>
      <c r="GRV2" s="568"/>
      <c r="GRW2" s="568"/>
      <c r="GRX2" s="568"/>
      <c r="GRY2" s="568"/>
      <c r="GRZ2" s="568"/>
      <c r="GSA2" s="568"/>
      <c r="GSB2" s="568"/>
      <c r="GSC2" s="568"/>
      <c r="GSD2" s="568"/>
      <c r="GSE2" s="568"/>
      <c r="GSF2" s="568"/>
      <c r="GSG2" s="568"/>
      <c r="GSH2" s="568"/>
      <c r="GSI2" s="568"/>
      <c r="GSJ2" s="568"/>
      <c r="GSK2" s="568"/>
      <c r="GSL2" s="568"/>
      <c r="GSM2" s="568"/>
      <c r="GSN2" s="568"/>
      <c r="GSO2" s="568"/>
      <c r="GSP2" s="568"/>
      <c r="GSQ2" s="568"/>
      <c r="GSR2" s="568"/>
      <c r="GSS2" s="568"/>
      <c r="GST2" s="568"/>
      <c r="GSU2" s="568"/>
      <c r="GSV2" s="568"/>
      <c r="GSW2" s="568"/>
      <c r="GSX2" s="568"/>
      <c r="GSY2" s="568"/>
      <c r="GSZ2" s="568"/>
      <c r="GTA2" s="568"/>
      <c r="GTB2" s="568"/>
      <c r="GTC2" s="568"/>
      <c r="GTD2" s="568"/>
      <c r="GTE2" s="568"/>
      <c r="GTF2" s="568"/>
      <c r="GTG2" s="568"/>
      <c r="GTH2" s="568"/>
      <c r="GTI2" s="568"/>
      <c r="GTJ2" s="568"/>
      <c r="GTK2" s="568"/>
      <c r="GTL2" s="568"/>
      <c r="GTM2" s="568"/>
      <c r="GTN2" s="568"/>
      <c r="GTO2" s="568"/>
      <c r="GTP2" s="568"/>
      <c r="GTQ2" s="568"/>
      <c r="GTR2" s="568"/>
      <c r="GTS2" s="568"/>
      <c r="GTT2" s="568"/>
      <c r="GTU2" s="568"/>
      <c r="GTV2" s="568"/>
      <c r="GTW2" s="568"/>
      <c r="GTX2" s="568"/>
      <c r="GTY2" s="568"/>
      <c r="GTZ2" s="568"/>
      <c r="GUA2" s="568"/>
      <c r="GUB2" s="568"/>
      <c r="GUC2" s="568"/>
      <c r="GUD2" s="568"/>
      <c r="GUE2" s="568"/>
      <c r="GUF2" s="568"/>
      <c r="GUG2" s="568"/>
      <c r="GUH2" s="568"/>
      <c r="GUI2" s="568"/>
      <c r="GUJ2" s="568"/>
      <c r="GUK2" s="568"/>
      <c r="GUL2" s="568"/>
      <c r="GUM2" s="568"/>
      <c r="GUN2" s="568"/>
      <c r="GUO2" s="568"/>
      <c r="GUP2" s="568"/>
      <c r="GUQ2" s="568"/>
      <c r="GUR2" s="568"/>
      <c r="GUS2" s="568"/>
      <c r="GUT2" s="568"/>
      <c r="GUU2" s="568"/>
      <c r="GUV2" s="568"/>
      <c r="GUW2" s="568"/>
      <c r="GUX2" s="568"/>
      <c r="GUY2" s="568"/>
      <c r="GUZ2" s="568"/>
      <c r="GVA2" s="568"/>
      <c r="GVB2" s="568"/>
      <c r="GVC2" s="568"/>
      <c r="GVD2" s="568"/>
      <c r="GVE2" s="568"/>
      <c r="GVF2" s="568"/>
      <c r="GVG2" s="568"/>
      <c r="GVH2" s="568"/>
      <c r="GVI2" s="568"/>
      <c r="GVJ2" s="568"/>
      <c r="GVK2" s="568"/>
      <c r="GVL2" s="568"/>
      <c r="GVM2" s="568"/>
      <c r="GVN2" s="568"/>
      <c r="GVO2" s="568"/>
      <c r="GVP2" s="568"/>
      <c r="GVQ2" s="568"/>
      <c r="GVR2" s="568"/>
      <c r="GVS2" s="568"/>
      <c r="GVT2" s="568"/>
      <c r="GVU2" s="568"/>
      <c r="GVV2" s="568"/>
      <c r="GVW2" s="568"/>
      <c r="GVX2" s="568"/>
      <c r="GVY2" s="568"/>
      <c r="GVZ2" s="568"/>
      <c r="GWA2" s="568"/>
      <c r="GWB2" s="568"/>
      <c r="GWC2" s="568"/>
      <c r="GWD2" s="568"/>
      <c r="GWE2" s="568"/>
      <c r="GWF2" s="568"/>
      <c r="GWG2" s="568"/>
      <c r="GWH2" s="568"/>
      <c r="GWI2" s="568"/>
      <c r="GWJ2" s="568"/>
      <c r="GWK2" s="568"/>
      <c r="GWL2" s="568"/>
      <c r="GWM2" s="568"/>
      <c r="GWN2" s="568"/>
      <c r="GWO2" s="568"/>
      <c r="GWP2" s="568"/>
      <c r="GWQ2" s="568"/>
      <c r="GWR2" s="568"/>
      <c r="GWS2" s="568"/>
      <c r="GWT2" s="568"/>
      <c r="GWU2" s="568"/>
      <c r="GWV2" s="568"/>
      <c r="GWW2" s="568"/>
      <c r="GWX2" s="568"/>
      <c r="GWY2" s="568"/>
      <c r="GWZ2" s="568"/>
      <c r="GXA2" s="568"/>
      <c r="GXB2" s="568"/>
      <c r="GXC2" s="568"/>
      <c r="GXD2" s="568"/>
      <c r="GXE2" s="568"/>
      <c r="GXF2" s="568"/>
      <c r="GXG2" s="568"/>
      <c r="GXH2" s="568"/>
      <c r="GXI2" s="568"/>
      <c r="GXJ2" s="568"/>
      <c r="GXK2" s="568"/>
      <c r="GXL2" s="568"/>
      <c r="GXM2" s="568"/>
      <c r="GXN2" s="568"/>
      <c r="GXO2" s="568"/>
      <c r="GXP2" s="568"/>
      <c r="GXQ2" s="568"/>
      <c r="GXR2" s="568"/>
      <c r="GXS2" s="568"/>
      <c r="GXT2" s="568"/>
      <c r="GXU2" s="568"/>
      <c r="GXV2" s="568"/>
      <c r="GXW2" s="568"/>
      <c r="GXX2" s="568"/>
      <c r="GXY2" s="568"/>
      <c r="GXZ2" s="568"/>
      <c r="GYA2" s="568"/>
      <c r="GYB2" s="568"/>
      <c r="GYC2" s="568"/>
      <c r="GYD2" s="568"/>
      <c r="GYE2" s="568"/>
      <c r="GYF2" s="568"/>
      <c r="GYG2" s="568"/>
      <c r="GYH2" s="568"/>
      <c r="GYI2" s="568"/>
      <c r="GYJ2" s="568"/>
      <c r="GYK2" s="568"/>
      <c r="GYL2" s="568"/>
      <c r="GYM2" s="568"/>
      <c r="GYN2" s="568"/>
      <c r="GYO2" s="568"/>
      <c r="GYP2" s="568"/>
      <c r="GYQ2" s="568"/>
      <c r="GYR2" s="568"/>
      <c r="GYS2" s="568"/>
      <c r="GYT2" s="568"/>
      <c r="GYU2" s="568"/>
      <c r="GYV2" s="568"/>
      <c r="GYW2" s="568"/>
      <c r="GYX2" s="568"/>
      <c r="GYY2" s="568"/>
      <c r="GYZ2" s="568"/>
      <c r="GZA2" s="568"/>
      <c r="GZB2" s="568"/>
      <c r="GZC2" s="568"/>
      <c r="GZD2" s="568"/>
      <c r="GZE2" s="568"/>
      <c r="GZF2" s="568"/>
      <c r="GZG2" s="568"/>
      <c r="GZH2" s="568"/>
      <c r="GZI2" s="568"/>
      <c r="GZJ2" s="568"/>
      <c r="GZK2" s="568"/>
      <c r="GZL2" s="568"/>
      <c r="GZM2" s="568"/>
      <c r="GZN2" s="568"/>
      <c r="GZO2" s="568"/>
      <c r="GZP2" s="568"/>
      <c r="GZQ2" s="568"/>
      <c r="GZR2" s="568"/>
      <c r="GZS2" s="568"/>
      <c r="GZT2" s="568"/>
      <c r="GZU2" s="568"/>
      <c r="GZV2" s="568"/>
      <c r="GZW2" s="568"/>
      <c r="GZX2" s="568"/>
      <c r="GZY2" s="568"/>
      <c r="GZZ2" s="568"/>
      <c r="HAA2" s="568"/>
      <c r="HAB2" s="568"/>
      <c r="HAC2" s="568"/>
      <c r="HAD2" s="568"/>
      <c r="HAE2" s="568"/>
      <c r="HAF2" s="568"/>
      <c r="HAG2" s="568"/>
      <c r="HAH2" s="568"/>
      <c r="HAI2" s="568"/>
      <c r="HAJ2" s="568"/>
      <c r="HAK2" s="568"/>
      <c r="HAL2" s="568"/>
      <c r="HAM2" s="568"/>
      <c r="HAN2" s="568"/>
      <c r="HAO2" s="568"/>
      <c r="HAP2" s="568"/>
      <c r="HAQ2" s="568"/>
      <c r="HAR2" s="568"/>
      <c r="HAS2" s="568"/>
      <c r="HAT2" s="568"/>
      <c r="HAU2" s="568"/>
      <c r="HAV2" s="568"/>
      <c r="HAW2" s="568"/>
      <c r="HAX2" s="568"/>
      <c r="HAY2" s="568"/>
      <c r="HAZ2" s="568"/>
      <c r="HBA2" s="568"/>
      <c r="HBB2" s="568"/>
      <c r="HBC2" s="568"/>
      <c r="HBD2" s="568"/>
      <c r="HBE2" s="568"/>
      <c r="HBF2" s="568"/>
      <c r="HBG2" s="568"/>
      <c r="HBH2" s="568"/>
      <c r="HBI2" s="568"/>
      <c r="HBJ2" s="568"/>
      <c r="HBK2" s="568"/>
      <c r="HBL2" s="568"/>
      <c r="HBM2" s="568"/>
      <c r="HBN2" s="568"/>
      <c r="HBO2" s="568"/>
      <c r="HBP2" s="568"/>
      <c r="HBQ2" s="568"/>
      <c r="HBR2" s="568"/>
      <c r="HBS2" s="568"/>
      <c r="HBT2" s="568"/>
      <c r="HBU2" s="568"/>
      <c r="HBV2" s="568"/>
      <c r="HBW2" s="568"/>
      <c r="HBX2" s="568"/>
      <c r="HBY2" s="568"/>
      <c r="HBZ2" s="568"/>
      <c r="HCA2" s="568"/>
      <c r="HCB2" s="568"/>
      <c r="HCC2" s="568"/>
      <c r="HCD2" s="568"/>
      <c r="HCE2" s="568"/>
      <c r="HCF2" s="568"/>
      <c r="HCG2" s="568"/>
      <c r="HCH2" s="568"/>
      <c r="HCI2" s="568"/>
      <c r="HCJ2" s="568"/>
      <c r="HCK2" s="568"/>
      <c r="HCL2" s="568"/>
      <c r="HCM2" s="568"/>
      <c r="HCN2" s="568"/>
      <c r="HCO2" s="568"/>
      <c r="HCP2" s="568"/>
      <c r="HCQ2" s="568"/>
      <c r="HCR2" s="568"/>
      <c r="HCS2" s="568"/>
      <c r="HCT2" s="568"/>
      <c r="HCU2" s="568"/>
      <c r="HCV2" s="568"/>
      <c r="HCW2" s="568"/>
      <c r="HCX2" s="568"/>
      <c r="HCY2" s="568"/>
      <c r="HCZ2" s="568"/>
      <c r="HDA2" s="568"/>
      <c r="HDB2" s="568"/>
      <c r="HDC2" s="568"/>
      <c r="HDD2" s="568"/>
      <c r="HDE2" s="568"/>
      <c r="HDF2" s="568"/>
      <c r="HDG2" s="568"/>
      <c r="HDH2" s="568"/>
      <c r="HDI2" s="568"/>
      <c r="HDJ2" s="568"/>
      <c r="HDK2" s="568"/>
      <c r="HDL2" s="568"/>
      <c r="HDM2" s="568"/>
      <c r="HDN2" s="568"/>
      <c r="HDO2" s="568"/>
      <c r="HDP2" s="568"/>
      <c r="HDQ2" s="568"/>
      <c r="HDR2" s="568"/>
      <c r="HDS2" s="568"/>
      <c r="HDT2" s="568"/>
      <c r="HDU2" s="568"/>
      <c r="HDV2" s="568"/>
      <c r="HDW2" s="568"/>
      <c r="HDX2" s="568"/>
      <c r="HDY2" s="568"/>
      <c r="HDZ2" s="568"/>
      <c r="HEA2" s="568"/>
      <c r="HEB2" s="568"/>
      <c r="HEC2" s="568"/>
      <c r="HED2" s="568"/>
      <c r="HEE2" s="568"/>
      <c r="HEF2" s="568"/>
      <c r="HEG2" s="568"/>
      <c r="HEH2" s="568"/>
      <c r="HEI2" s="568"/>
      <c r="HEJ2" s="568"/>
      <c r="HEK2" s="568"/>
      <c r="HEL2" s="568"/>
      <c r="HEM2" s="568"/>
      <c r="HEN2" s="568"/>
      <c r="HEO2" s="568"/>
      <c r="HEP2" s="568"/>
      <c r="HEQ2" s="568"/>
      <c r="HER2" s="568"/>
      <c r="HES2" s="568"/>
      <c r="HET2" s="568"/>
      <c r="HEU2" s="568"/>
      <c r="HEV2" s="568"/>
      <c r="HEW2" s="568"/>
      <c r="HEX2" s="568"/>
      <c r="HEY2" s="568"/>
      <c r="HEZ2" s="568"/>
      <c r="HFA2" s="568"/>
      <c r="HFB2" s="568"/>
      <c r="HFC2" s="568"/>
      <c r="HFD2" s="568"/>
      <c r="HFE2" s="568"/>
      <c r="HFF2" s="568"/>
      <c r="HFG2" s="568"/>
      <c r="HFH2" s="568"/>
      <c r="HFI2" s="568"/>
      <c r="HFJ2" s="568"/>
      <c r="HFK2" s="568"/>
      <c r="HFL2" s="568"/>
      <c r="HFM2" s="568"/>
      <c r="HFN2" s="568"/>
      <c r="HFO2" s="568"/>
      <c r="HFP2" s="568"/>
      <c r="HFQ2" s="568"/>
      <c r="HFR2" s="568"/>
      <c r="HFS2" s="568"/>
      <c r="HFT2" s="568"/>
      <c r="HFU2" s="568"/>
      <c r="HFV2" s="568"/>
      <c r="HFW2" s="568"/>
      <c r="HFX2" s="568"/>
      <c r="HFY2" s="568"/>
      <c r="HFZ2" s="568"/>
      <c r="HGA2" s="568"/>
      <c r="HGB2" s="568"/>
      <c r="HGC2" s="568"/>
      <c r="HGD2" s="568"/>
      <c r="HGE2" s="568"/>
      <c r="HGF2" s="568"/>
      <c r="HGG2" s="568"/>
      <c r="HGH2" s="568"/>
      <c r="HGI2" s="568"/>
      <c r="HGJ2" s="568"/>
      <c r="HGK2" s="568"/>
      <c r="HGL2" s="568"/>
      <c r="HGM2" s="568"/>
      <c r="HGN2" s="568"/>
      <c r="HGO2" s="568"/>
      <c r="HGP2" s="568"/>
      <c r="HGQ2" s="568"/>
      <c r="HGR2" s="568"/>
      <c r="HGS2" s="568"/>
      <c r="HGT2" s="568"/>
      <c r="HGU2" s="568"/>
      <c r="HGV2" s="568"/>
      <c r="HGW2" s="568"/>
      <c r="HGX2" s="568"/>
      <c r="HGY2" s="568"/>
      <c r="HGZ2" s="568"/>
      <c r="HHA2" s="568"/>
      <c r="HHB2" s="568"/>
      <c r="HHC2" s="568"/>
      <c r="HHD2" s="568"/>
      <c r="HHE2" s="568"/>
      <c r="HHF2" s="568"/>
      <c r="HHG2" s="568"/>
      <c r="HHH2" s="568"/>
      <c r="HHI2" s="568"/>
      <c r="HHJ2" s="568"/>
      <c r="HHK2" s="568"/>
      <c r="HHL2" s="568"/>
      <c r="HHM2" s="568"/>
      <c r="HHN2" s="568"/>
      <c r="HHO2" s="568"/>
      <c r="HHP2" s="568"/>
      <c r="HHQ2" s="568"/>
      <c r="HHR2" s="568"/>
      <c r="HHS2" s="568"/>
      <c r="HHT2" s="568"/>
      <c r="HHU2" s="568"/>
      <c r="HHV2" s="568"/>
      <c r="HHW2" s="568"/>
      <c r="HHX2" s="568"/>
      <c r="HHY2" s="568"/>
      <c r="HHZ2" s="568"/>
      <c r="HIA2" s="568"/>
      <c r="HIB2" s="568"/>
      <c r="HIC2" s="568"/>
      <c r="HID2" s="568"/>
      <c r="HIE2" s="568"/>
      <c r="HIF2" s="568"/>
      <c r="HIG2" s="568"/>
      <c r="HIH2" s="568"/>
      <c r="HII2" s="568"/>
      <c r="HIJ2" s="568"/>
      <c r="HIK2" s="568"/>
      <c r="HIL2" s="568"/>
      <c r="HIM2" s="568"/>
      <c r="HIN2" s="568"/>
      <c r="HIO2" s="568"/>
      <c r="HIP2" s="568"/>
      <c r="HIQ2" s="568"/>
      <c r="HIR2" s="568"/>
      <c r="HIS2" s="568"/>
      <c r="HIT2" s="568"/>
      <c r="HIU2" s="568"/>
      <c r="HIV2" s="568"/>
      <c r="HIW2" s="568"/>
      <c r="HIX2" s="568"/>
      <c r="HIY2" s="568"/>
      <c r="HIZ2" s="568"/>
      <c r="HJA2" s="568"/>
      <c r="HJB2" s="568"/>
      <c r="HJC2" s="568"/>
      <c r="HJD2" s="568"/>
      <c r="HJE2" s="568"/>
      <c r="HJF2" s="568"/>
      <c r="HJG2" s="568"/>
      <c r="HJH2" s="568"/>
      <c r="HJI2" s="568"/>
      <c r="HJJ2" s="568"/>
      <c r="HJK2" s="568"/>
      <c r="HJL2" s="568"/>
      <c r="HJM2" s="568"/>
      <c r="HJN2" s="568"/>
      <c r="HJO2" s="568"/>
      <c r="HJP2" s="568"/>
      <c r="HJQ2" s="568"/>
      <c r="HJR2" s="568"/>
      <c r="HJS2" s="568"/>
      <c r="HJT2" s="568"/>
      <c r="HJU2" s="568"/>
      <c r="HJV2" s="568"/>
      <c r="HJW2" s="568"/>
      <c r="HJX2" s="568"/>
      <c r="HJY2" s="568"/>
      <c r="HJZ2" s="568"/>
      <c r="HKA2" s="568"/>
      <c r="HKB2" s="568"/>
      <c r="HKC2" s="568"/>
      <c r="HKD2" s="568"/>
      <c r="HKE2" s="568"/>
      <c r="HKF2" s="568"/>
      <c r="HKG2" s="568"/>
      <c r="HKH2" s="568"/>
      <c r="HKI2" s="568"/>
      <c r="HKJ2" s="568"/>
      <c r="HKK2" s="568"/>
      <c r="HKL2" s="568"/>
      <c r="HKM2" s="568"/>
      <c r="HKN2" s="568"/>
      <c r="HKO2" s="568"/>
      <c r="HKP2" s="568"/>
      <c r="HKQ2" s="568"/>
      <c r="HKR2" s="568"/>
      <c r="HKS2" s="568"/>
      <c r="HKT2" s="568"/>
      <c r="HKU2" s="568"/>
      <c r="HKV2" s="568"/>
      <c r="HKW2" s="568"/>
      <c r="HKX2" s="568"/>
      <c r="HKY2" s="568"/>
      <c r="HKZ2" s="568"/>
      <c r="HLA2" s="568"/>
      <c r="HLB2" s="568"/>
      <c r="HLC2" s="568"/>
      <c r="HLD2" s="568"/>
      <c r="HLE2" s="568"/>
      <c r="HLF2" s="568"/>
      <c r="HLG2" s="568"/>
      <c r="HLH2" s="568"/>
      <c r="HLI2" s="568"/>
      <c r="HLJ2" s="568"/>
      <c r="HLK2" s="568"/>
      <c r="HLL2" s="568"/>
      <c r="HLM2" s="568"/>
      <c r="HLN2" s="568"/>
      <c r="HLO2" s="568"/>
      <c r="HLP2" s="568"/>
      <c r="HLQ2" s="568"/>
      <c r="HLR2" s="568"/>
      <c r="HLS2" s="568"/>
      <c r="HLT2" s="568"/>
      <c r="HLU2" s="568"/>
      <c r="HLV2" s="568"/>
      <c r="HLW2" s="568"/>
      <c r="HLX2" s="568"/>
      <c r="HLY2" s="568"/>
      <c r="HLZ2" s="568"/>
      <c r="HMA2" s="568"/>
      <c r="HMB2" s="568"/>
      <c r="HMC2" s="568"/>
      <c r="HMD2" s="568"/>
      <c r="HME2" s="568"/>
      <c r="HMF2" s="568"/>
      <c r="HMG2" s="568"/>
      <c r="HMH2" s="568"/>
      <c r="HMI2" s="568"/>
      <c r="HMJ2" s="568"/>
      <c r="HMK2" s="568"/>
      <c r="HML2" s="568"/>
      <c r="HMM2" s="568"/>
      <c r="HMN2" s="568"/>
      <c r="HMO2" s="568"/>
      <c r="HMP2" s="568"/>
      <c r="HMQ2" s="568"/>
      <c r="HMR2" s="568"/>
      <c r="HMS2" s="568"/>
      <c r="HMT2" s="568"/>
      <c r="HMU2" s="568"/>
      <c r="HMV2" s="568"/>
      <c r="HMW2" s="568"/>
      <c r="HMX2" s="568"/>
      <c r="HMY2" s="568"/>
      <c r="HMZ2" s="568"/>
      <c r="HNA2" s="568"/>
      <c r="HNB2" s="568"/>
      <c r="HNC2" s="568"/>
      <c r="HND2" s="568"/>
      <c r="HNE2" s="568"/>
      <c r="HNF2" s="568"/>
      <c r="HNG2" s="568"/>
      <c r="HNH2" s="568"/>
      <c r="HNI2" s="568"/>
      <c r="HNJ2" s="568"/>
      <c r="HNK2" s="568"/>
      <c r="HNL2" s="568"/>
      <c r="HNM2" s="568"/>
      <c r="HNN2" s="568"/>
      <c r="HNO2" s="568"/>
      <c r="HNP2" s="568"/>
      <c r="HNQ2" s="568"/>
      <c r="HNR2" s="568"/>
      <c r="HNS2" s="568"/>
      <c r="HNT2" s="568"/>
      <c r="HNU2" s="568"/>
      <c r="HNV2" s="568"/>
      <c r="HNW2" s="568"/>
      <c r="HNX2" s="568"/>
      <c r="HNY2" s="568"/>
      <c r="HNZ2" s="568"/>
      <c r="HOA2" s="568"/>
      <c r="HOB2" s="568"/>
      <c r="HOC2" s="568"/>
      <c r="HOD2" s="568"/>
      <c r="HOE2" s="568"/>
      <c r="HOF2" s="568"/>
      <c r="HOG2" s="568"/>
      <c r="HOH2" s="568"/>
      <c r="HOI2" s="568"/>
      <c r="HOJ2" s="568"/>
      <c r="HOK2" s="568"/>
      <c r="HOL2" s="568"/>
      <c r="HOM2" s="568"/>
      <c r="HON2" s="568"/>
      <c r="HOO2" s="568"/>
      <c r="HOP2" s="568"/>
      <c r="HOQ2" s="568"/>
      <c r="HOR2" s="568"/>
      <c r="HOS2" s="568"/>
      <c r="HOT2" s="568"/>
      <c r="HOU2" s="568"/>
      <c r="HOV2" s="568"/>
      <c r="HOW2" s="568"/>
      <c r="HOX2" s="568"/>
      <c r="HOY2" s="568"/>
      <c r="HOZ2" s="568"/>
      <c r="HPA2" s="568"/>
      <c r="HPB2" s="568"/>
      <c r="HPC2" s="568"/>
      <c r="HPD2" s="568"/>
      <c r="HPE2" s="568"/>
      <c r="HPF2" s="568"/>
      <c r="HPG2" s="568"/>
      <c r="HPH2" s="568"/>
      <c r="HPI2" s="568"/>
      <c r="HPJ2" s="568"/>
      <c r="HPK2" s="568"/>
      <c r="HPL2" s="568"/>
      <c r="HPM2" s="568"/>
      <c r="HPN2" s="568"/>
      <c r="HPO2" s="568"/>
      <c r="HPP2" s="568"/>
      <c r="HPQ2" s="568"/>
      <c r="HPR2" s="568"/>
      <c r="HPS2" s="568"/>
      <c r="HPT2" s="568"/>
      <c r="HPU2" s="568"/>
      <c r="HPV2" s="568"/>
      <c r="HPW2" s="568"/>
      <c r="HPX2" s="568"/>
      <c r="HPY2" s="568"/>
      <c r="HPZ2" s="568"/>
      <c r="HQA2" s="568"/>
      <c r="HQB2" s="568"/>
      <c r="HQC2" s="568"/>
      <c r="HQD2" s="568"/>
      <c r="HQE2" s="568"/>
      <c r="HQF2" s="568"/>
      <c r="HQG2" s="568"/>
      <c r="HQH2" s="568"/>
      <c r="HQI2" s="568"/>
      <c r="HQJ2" s="568"/>
      <c r="HQK2" s="568"/>
      <c r="HQL2" s="568"/>
      <c r="HQM2" s="568"/>
      <c r="HQN2" s="568"/>
      <c r="HQO2" s="568"/>
      <c r="HQP2" s="568"/>
      <c r="HQQ2" s="568"/>
      <c r="HQR2" s="568"/>
      <c r="HQS2" s="568"/>
      <c r="HQT2" s="568"/>
      <c r="HQU2" s="568"/>
      <c r="HQV2" s="568"/>
      <c r="HQW2" s="568"/>
      <c r="HQX2" s="568"/>
      <c r="HQY2" s="568"/>
      <c r="HQZ2" s="568"/>
      <c r="HRA2" s="568"/>
      <c r="HRB2" s="568"/>
      <c r="HRC2" s="568"/>
      <c r="HRD2" s="568"/>
      <c r="HRE2" s="568"/>
      <c r="HRF2" s="568"/>
      <c r="HRG2" s="568"/>
      <c r="HRH2" s="568"/>
      <c r="HRI2" s="568"/>
      <c r="HRJ2" s="568"/>
      <c r="HRK2" s="568"/>
      <c r="HRL2" s="568"/>
      <c r="HRM2" s="568"/>
      <c r="HRN2" s="568"/>
      <c r="HRO2" s="568"/>
      <c r="HRP2" s="568"/>
      <c r="HRQ2" s="568"/>
      <c r="HRR2" s="568"/>
      <c r="HRS2" s="568"/>
      <c r="HRT2" s="568"/>
      <c r="HRU2" s="568"/>
      <c r="HRV2" s="568"/>
      <c r="HRW2" s="568"/>
      <c r="HRX2" s="568"/>
      <c r="HRY2" s="568"/>
      <c r="HRZ2" s="568"/>
      <c r="HSA2" s="568"/>
      <c r="HSB2" s="568"/>
      <c r="HSC2" s="568"/>
      <c r="HSD2" s="568"/>
      <c r="HSE2" s="568"/>
      <c r="HSF2" s="568"/>
      <c r="HSG2" s="568"/>
      <c r="HSH2" s="568"/>
      <c r="HSI2" s="568"/>
      <c r="HSJ2" s="568"/>
      <c r="HSK2" s="568"/>
      <c r="HSL2" s="568"/>
      <c r="HSM2" s="568"/>
      <c r="HSN2" s="568"/>
      <c r="HSO2" s="568"/>
      <c r="HSP2" s="568"/>
      <c r="HSQ2" s="568"/>
      <c r="HSR2" s="568"/>
      <c r="HSS2" s="568"/>
      <c r="HST2" s="568"/>
      <c r="HSU2" s="568"/>
      <c r="HSV2" s="568"/>
      <c r="HSW2" s="568"/>
      <c r="HSX2" s="568"/>
      <c r="HSY2" s="568"/>
      <c r="HSZ2" s="568"/>
      <c r="HTA2" s="568"/>
      <c r="HTB2" s="568"/>
      <c r="HTC2" s="568"/>
      <c r="HTD2" s="568"/>
      <c r="HTE2" s="568"/>
      <c r="HTF2" s="568"/>
      <c r="HTG2" s="568"/>
      <c r="HTH2" s="568"/>
      <c r="HTI2" s="568"/>
      <c r="HTJ2" s="568"/>
      <c r="HTK2" s="568"/>
      <c r="HTL2" s="568"/>
      <c r="HTM2" s="568"/>
      <c r="HTN2" s="568"/>
      <c r="HTO2" s="568"/>
      <c r="HTP2" s="568"/>
      <c r="HTQ2" s="568"/>
      <c r="HTR2" s="568"/>
      <c r="HTS2" s="568"/>
      <c r="HTT2" s="568"/>
      <c r="HTU2" s="568"/>
      <c r="HTV2" s="568"/>
      <c r="HTW2" s="568"/>
      <c r="HTX2" s="568"/>
      <c r="HTY2" s="568"/>
      <c r="HTZ2" s="568"/>
      <c r="HUA2" s="568"/>
      <c r="HUB2" s="568"/>
      <c r="HUC2" s="568"/>
      <c r="HUD2" s="568"/>
      <c r="HUE2" s="568"/>
      <c r="HUF2" s="568"/>
      <c r="HUG2" s="568"/>
      <c r="HUH2" s="568"/>
      <c r="HUI2" s="568"/>
      <c r="HUJ2" s="568"/>
      <c r="HUK2" s="568"/>
      <c r="HUL2" s="568"/>
      <c r="HUM2" s="568"/>
      <c r="HUN2" s="568"/>
      <c r="HUO2" s="568"/>
      <c r="HUP2" s="568"/>
      <c r="HUQ2" s="568"/>
      <c r="HUR2" s="568"/>
      <c r="HUS2" s="568"/>
      <c r="HUT2" s="568"/>
      <c r="HUU2" s="568"/>
      <c r="HUV2" s="568"/>
      <c r="HUW2" s="568"/>
      <c r="HUX2" s="568"/>
      <c r="HUY2" s="568"/>
      <c r="HUZ2" s="568"/>
      <c r="HVA2" s="568"/>
      <c r="HVB2" s="568"/>
      <c r="HVC2" s="568"/>
      <c r="HVD2" s="568"/>
      <c r="HVE2" s="568"/>
      <c r="HVF2" s="568"/>
      <c r="HVG2" s="568"/>
      <c r="HVH2" s="568"/>
      <c r="HVI2" s="568"/>
      <c r="HVJ2" s="568"/>
      <c r="HVK2" s="568"/>
      <c r="HVL2" s="568"/>
      <c r="HVM2" s="568"/>
      <c r="HVN2" s="568"/>
      <c r="HVO2" s="568"/>
      <c r="HVP2" s="568"/>
      <c r="HVQ2" s="568"/>
      <c r="HVR2" s="568"/>
      <c r="HVS2" s="568"/>
      <c r="HVT2" s="568"/>
      <c r="HVU2" s="568"/>
      <c r="HVV2" s="568"/>
      <c r="HVW2" s="568"/>
      <c r="HVX2" s="568"/>
      <c r="HVY2" s="568"/>
      <c r="HVZ2" s="568"/>
      <c r="HWA2" s="568"/>
      <c r="HWB2" s="568"/>
      <c r="HWC2" s="568"/>
      <c r="HWD2" s="568"/>
      <c r="HWE2" s="568"/>
      <c r="HWF2" s="568"/>
      <c r="HWG2" s="568"/>
      <c r="HWH2" s="568"/>
      <c r="HWI2" s="568"/>
      <c r="HWJ2" s="568"/>
      <c r="HWK2" s="568"/>
      <c r="HWL2" s="568"/>
      <c r="HWM2" s="568"/>
      <c r="HWN2" s="568"/>
      <c r="HWO2" s="568"/>
      <c r="HWP2" s="568"/>
      <c r="HWQ2" s="568"/>
      <c r="HWR2" s="568"/>
      <c r="HWS2" s="568"/>
      <c r="HWT2" s="568"/>
      <c r="HWU2" s="568"/>
      <c r="HWV2" s="568"/>
      <c r="HWW2" s="568"/>
      <c r="HWX2" s="568"/>
      <c r="HWY2" s="568"/>
      <c r="HWZ2" s="568"/>
      <c r="HXA2" s="568"/>
      <c r="HXB2" s="568"/>
      <c r="HXC2" s="568"/>
      <c r="HXD2" s="568"/>
      <c r="HXE2" s="568"/>
      <c r="HXF2" s="568"/>
      <c r="HXG2" s="568"/>
      <c r="HXH2" s="568"/>
      <c r="HXI2" s="568"/>
      <c r="HXJ2" s="568"/>
      <c r="HXK2" s="568"/>
      <c r="HXL2" s="568"/>
      <c r="HXM2" s="568"/>
      <c r="HXN2" s="568"/>
      <c r="HXO2" s="568"/>
      <c r="HXP2" s="568"/>
      <c r="HXQ2" s="568"/>
      <c r="HXR2" s="568"/>
      <c r="HXS2" s="568"/>
      <c r="HXT2" s="568"/>
      <c r="HXU2" s="568"/>
      <c r="HXV2" s="568"/>
      <c r="HXW2" s="568"/>
      <c r="HXX2" s="568"/>
      <c r="HXY2" s="568"/>
      <c r="HXZ2" s="568"/>
      <c r="HYA2" s="568"/>
      <c r="HYB2" s="568"/>
      <c r="HYC2" s="568"/>
      <c r="HYD2" s="568"/>
      <c r="HYE2" s="568"/>
      <c r="HYF2" s="568"/>
      <c r="HYG2" s="568"/>
      <c r="HYH2" s="568"/>
      <c r="HYI2" s="568"/>
      <c r="HYJ2" s="568"/>
      <c r="HYK2" s="568"/>
      <c r="HYL2" s="568"/>
      <c r="HYM2" s="568"/>
      <c r="HYN2" s="568"/>
      <c r="HYO2" s="568"/>
      <c r="HYP2" s="568"/>
      <c r="HYQ2" s="568"/>
      <c r="HYR2" s="568"/>
      <c r="HYS2" s="568"/>
      <c r="HYT2" s="568"/>
      <c r="HYU2" s="568"/>
      <c r="HYV2" s="568"/>
      <c r="HYW2" s="568"/>
      <c r="HYX2" s="568"/>
      <c r="HYY2" s="568"/>
      <c r="HYZ2" s="568"/>
      <c r="HZA2" s="568"/>
      <c r="HZB2" s="568"/>
      <c r="HZC2" s="568"/>
      <c r="HZD2" s="568"/>
      <c r="HZE2" s="568"/>
      <c r="HZF2" s="568"/>
      <c r="HZG2" s="568"/>
      <c r="HZH2" s="568"/>
      <c r="HZI2" s="568"/>
      <c r="HZJ2" s="568"/>
      <c r="HZK2" s="568"/>
      <c r="HZL2" s="568"/>
      <c r="HZM2" s="568"/>
      <c r="HZN2" s="568"/>
      <c r="HZO2" s="568"/>
      <c r="HZP2" s="568"/>
      <c r="HZQ2" s="568"/>
      <c r="HZR2" s="568"/>
      <c r="HZS2" s="568"/>
      <c r="HZT2" s="568"/>
      <c r="HZU2" s="568"/>
      <c r="HZV2" s="568"/>
      <c r="HZW2" s="568"/>
      <c r="HZX2" s="568"/>
      <c r="HZY2" s="568"/>
      <c r="HZZ2" s="568"/>
      <c r="IAA2" s="568"/>
      <c r="IAB2" s="568"/>
      <c r="IAC2" s="568"/>
      <c r="IAD2" s="568"/>
      <c r="IAE2" s="568"/>
      <c r="IAF2" s="568"/>
      <c r="IAG2" s="568"/>
      <c r="IAH2" s="568"/>
      <c r="IAI2" s="568"/>
      <c r="IAJ2" s="568"/>
      <c r="IAK2" s="568"/>
      <c r="IAL2" s="568"/>
      <c r="IAM2" s="568"/>
      <c r="IAN2" s="568"/>
      <c r="IAO2" s="568"/>
      <c r="IAP2" s="568"/>
      <c r="IAQ2" s="568"/>
      <c r="IAR2" s="568"/>
      <c r="IAS2" s="568"/>
      <c r="IAT2" s="568"/>
      <c r="IAU2" s="568"/>
      <c r="IAV2" s="568"/>
      <c r="IAW2" s="568"/>
      <c r="IAX2" s="568"/>
      <c r="IAY2" s="568"/>
      <c r="IAZ2" s="568"/>
      <c r="IBA2" s="568"/>
      <c r="IBB2" s="568"/>
      <c r="IBC2" s="568"/>
      <c r="IBD2" s="568"/>
      <c r="IBE2" s="568"/>
      <c r="IBF2" s="568"/>
      <c r="IBG2" s="568"/>
      <c r="IBH2" s="568"/>
      <c r="IBI2" s="568"/>
      <c r="IBJ2" s="568"/>
      <c r="IBK2" s="568"/>
      <c r="IBL2" s="568"/>
      <c r="IBM2" s="568"/>
      <c r="IBN2" s="568"/>
      <c r="IBO2" s="568"/>
      <c r="IBP2" s="568"/>
      <c r="IBQ2" s="568"/>
      <c r="IBR2" s="568"/>
      <c r="IBS2" s="568"/>
      <c r="IBT2" s="568"/>
      <c r="IBU2" s="568"/>
      <c r="IBV2" s="568"/>
      <c r="IBW2" s="568"/>
      <c r="IBX2" s="568"/>
      <c r="IBY2" s="568"/>
      <c r="IBZ2" s="568"/>
      <c r="ICA2" s="568"/>
      <c r="ICB2" s="568"/>
      <c r="ICC2" s="568"/>
      <c r="ICD2" s="568"/>
      <c r="ICE2" s="568"/>
      <c r="ICF2" s="568"/>
      <c r="ICG2" s="568"/>
      <c r="ICH2" s="568"/>
      <c r="ICI2" s="568"/>
      <c r="ICJ2" s="568"/>
      <c r="ICK2" s="568"/>
      <c r="ICL2" s="568"/>
      <c r="ICM2" s="568"/>
      <c r="ICN2" s="568"/>
      <c r="ICO2" s="568"/>
      <c r="ICP2" s="568"/>
      <c r="ICQ2" s="568"/>
      <c r="ICR2" s="568"/>
      <c r="ICS2" s="568"/>
      <c r="ICT2" s="568"/>
      <c r="ICU2" s="568"/>
      <c r="ICV2" s="568"/>
      <c r="ICW2" s="568"/>
      <c r="ICX2" s="568"/>
      <c r="ICY2" s="568"/>
      <c r="ICZ2" s="568"/>
      <c r="IDA2" s="568"/>
      <c r="IDB2" s="568"/>
      <c r="IDC2" s="568"/>
      <c r="IDD2" s="568"/>
      <c r="IDE2" s="568"/>
      <c r="IDF2" s="568"/>
      <c r="IDG2" s="568"/>
      <c r="IDH2" s="568"/>
      <c r="IDI2" s="568"/>
      <c r="IDJ2" s="568"/>
      <c r="IDK2" s="568"/>
      <c r="IDL2" s="568"/>
      <c r="IDM2" s="568"/>
      <c r="IDN2" s="568"/>
      <c r="IDO2" s="568"/>
      <c r="IDP2" s="568"/>
      <c r="IDQ2" s="568"/>
      <c r="IDR2" s="568"/>
      <c r="IDS2" s="568"/>
      <c r="IDT2" s="568"/>
      <c r="IDU2" s="568"/>
      <c r="IDV2" s="568"/>
      <c r="IDW2" s="568"/>
      <c r="IDX2" s="568"/>
      <c r="IDY2" s="568"/>
      <c r="IDZ2" s="568"/>
      <c r="IEA2" s="568"/>
      <c r="IEB2" s="568"/>
      <c r="IEC2" s="568"/>
      <c r="IED2" s="568"/>
      <c r="IEE2" s="568"/>
      <c r="IEF2" s="568"/>
      <c r="IEG2" s="568"/>
      <c r="IEH2" s="568"/>
      <c r="IEI2" s="568"/>
      <c r="IEJ2" s="568"/>
      <c r="IEK2" s="568"/>
      <c r="IEL2" s="568"/>
      <c r="IEM2" s="568"/>
      <c r="IEN2" s="568"/>
      <c r="IEO2" s="568"/>
      <c r="IEP2" s="568"/>
      <c r="IEQ2" s="568"/>
      <c r="IER2" s="568"/>
      <c r="IES2" s="568"/>
      <c r="IET2" s="568"/>
      <c r="IEU2" s="568"/>
      <c r="IEV2" s="568"/>
      <c r="IEW2" s="568"/>
      <c r="IEX2" s="568"/>
      <c r="IEY2" s="568"/>
      <c r="IEZ2" s="568"/>
      <c r="IFA2" s="568"/>
      <c r="IFB2" s="568"/>
      <c r="IFC2" s="568"/>
      <c r="IFD2" s="568"/>
      <c r="IFE2" s="568"/>
      <c r="IFF2" s="568"/>
      <c r="IFG2" s="568"/>
      <c r="IFH2" s="568"/>
      <c r="IFI2" s="568"/>
      <c r="IFJ2" s="568"/>
      <c r="IFK2" s="568"/>
      <c r="IFL2" s="568"/>
      <c r="IFM2" s="568"/>
      <c r="IFN2" s="568"/>
      <c r="IFO2" s="568"/>
      <c r="IFP2" s="568"/>
      <c r="IFQ2" s="568"/>
      <c r="IFR2" s="568"/>
      <c r="IFS2" s="568"/>
      <c r="IFT2" s="568"/>
      <c r="IFU2" s="568"/>
      <c r="IFV2" s="568"/>
      <c r="IFW2" s="568"/>
      <c r="IFX2" s="568"/>
      <c r="IFY2" s="568"/>
      <c r="IFZ2" s="568"/>
      <c r="IGA2" s="568"/>
      <c r="IGB2" s="568"/>
      <c r="IGC2" s="568"/>
      <c r="IGD2" s="568"/>
      <c r="IGE2" s="568"/>
      <c r="IGF2" s="568"/>
      <c r="IGG2" s="568"/>
      <c r="IGH2" s="568"/>
      <c r="IGI2" s="568"/>
      <c r="IGJ2" s="568"/>
      <c r="IGK2" s="568"/>
      <c r="IGL2" s="568"/>
      <c r="IGM2" s="568"/>
      <c r="IGN2" s="568"/>
      <c r="IGO2" s="568"/>
      <c r="IGP2" s="568"/>
      <c r="IGQ2" s="568"/>
      <c r="IGR2" s="568"/>
      <c r="IGS2" s="568"/>
      <c r="IGT2" s="568"/>
      <c r="IGU2" s="568"/>
      <c r="IGV2" s="568"/>
      <c r="IGW2" s="568"/>
      <c r="IGX2" s="568"/>
      <c r="IGY2" s="568"/>
      <c r="IGZ2" s="568"/>
      <c r="IHA2" s="568"/>
      <c r="IHB2" s="568"/>
      <c r="IHC2" s="568"/>
      <c r="IHD2" s="568"/>
      <c r="IHE2" s="568"/>
      <c r="IHF2" s="568"/>
      <c r="IHG2" s="568"/>
      <c r="IHH2" s="568"/>
      <c r="IHI2" s="568"/>
      <c r="IHJ2" s="568"/>
      <c r="IHK2" s="568"/>
      <c r="IHL2" s="568"/>
      <c r="IHM2" s="568"/>
      <c r="IHN2" s="568"/>
      <c r="IHO2" s="568"/>
      <c r="IHP2" s="568"/>
      <c r="IHQ2" s="568"/>
      <c r="IHR2" s="568"/>
      <c r="IHS2" s="568"/>
      <c r="IHT2" s="568"/>
      <c r="IHU2" s="568"/>
      <c r="IHV2" s="568"/>
      <c r="IHW2" s="568"/>
      <c r="IHX2" s="568"/>
      <c r="IHY2" s="568"/>
      <c r="IHZ2" s="568"/>
      <c r="IIA2" s="568"/>
      <c r="IIB2" s="568"/>
      <c r="IIC2" s="568"/>
      <c r="IID2" s="568"/>
      <c r="IIE2" s="568"/>
      <c r="IIF2" s="568"/>
      <c r="IIG2" s="568"/>
      <c r="IIH2" s="568"/>
      <c r="III2" s="568"/>
      <c r="IIJ2" s="568"/>
      <c r="IIK2" s="568"/>
      <c r="IIL2" s="568"/>
      <c r="IIM2" s="568"/>
      <c r="IIN2" s="568"/>
      <c r="IIO2" s="568"/>
      <c r="IIP2" s="568"/>
      <c r="IIQ2" s="568"/>
      <c r="IIR2" s="568"/>
      <c r="IIS2" s="568"/>
      <c r="IIT2" s="568"/>
      <c r="IIU2" s="568"/>
      <c r="IIV2" s="568"/>
      <c r="IIW2" s="568"/>
      <c r="IIX2" s="568"/>
      <c r="IIY2" s="568"/>
      <c r="IIZ2" s="568"/>
      <c r="IJA2" s="568"/>
      <c r="IJB2" s="568"/>
      <c r="IJC2" s="568"/>
      <c r="IJD2" s="568"/>
      <c r="IJE2" s="568"/>
      <c r="IJF2" s="568"/>
      <c r="IJG2" s="568"/>
      <c r="IJH2" s="568"/>
      <c r="IJI2" s="568"/>
      <c r="IJJ2" s="568"/>
      <c r="IJK2" s="568"/>
      <c r="IJL2" s="568"/>
      <c r="IJM2" s="568"/>
      <c r="IJN2" s="568"/>
      <c r="IJO2" s="568"/>
      <c r="IJP2" s="568"/>
      <c r="IJQ2" s="568"/>
      <c r="IJR2" s="568"/>
      <c r="IJS2" s="568"/>
      <c r="IJT2" s="568"/>
      <c r="IJU2" s="568"/>
      <c r="IJV2" s="568"/>
      <c r="IJW2" s="568"/>
      <c r="IJX2" s="568"/>
      <c r="IJY2" s="568"/>
      <c r="IJZ2" s="568"/>
      <c r="IKA2" s="568"/>
      <c r="IKB2" s="568"/>
      <c r="IKC2" s="568"/>
      <c r="IKD2" s="568"/>
      <c r="IKE2" s="568"/>
      <c r="IKF2" s="568"/>
      <c r="IKG2" s="568"/>
      <c r="IKH2" s="568"/>
      <c r="IKI2" s="568"/>
      <c r="IKJ2" s="568"/>
      <c r="IKK2" s="568"/>
      <c r="IKL2" s="568"/>
      <c r="IKM2" s="568"/>
      <c r="IKN2" s="568"/>
      <c r="IKO2" s="568"/>
      <c r="IKP2" s="568"/>
      <c r="IKQ2" s="568"/>
      <c r="IKR2" s="568"/>
      <c r="IKS2" s="568"/>
      <c r="IKT2" s="568"/>
      <c r="IKU2" s="568"/>
      <c r="IKV2" s="568"/>
      <c r="IKW2" s="568"/>
      <c r="IKX2" s="568"/>
      <c r="IKY2" s="568"/>
      <c r="IKZ2" s="568"/>
      <c r="ILA2" s="568"/>
      <c r="ILB2" s="568"/>
      <c r="ILC2" s="568"/>
      <c r="ILD2" s="568"/>
      <c r="ILE2" s="568"/>
      <c r="ILF2" s="568"/>
      <c r="ILG2" s="568"/>
      <c r="ILH2" s="568"/>
      <c r="ILI2" s="568"/>
      <c r="ILJ2" s="568"/>
      <c r="ILK2" s="568"/>
      <c r="ILL2" s="568"/>
      <c r="ILM2" s="568"/>
      <c r="ILN2" s="568"/>
      <c r="ILO2" s="568"/>
      <c r="ILP2" s="568"/>
      <c r="ILQ2" s="568"/>
      <c r="ILR2" s="568"/>
      <c r="ILS2" s="568"/>
      <c r="ILT2" s="568"/>
      <c r="ILU2" s="568"/>
      <c r="ILV2" s="568"/>
      <c r="ILW2" s="568"/>
      <c r="ILX2" s="568"/>
      <c r="ILY2" s="568"/>
      <c r="ILZ2" s="568"/>
      <c r="IMA2" s="568"/>
      <c r="IMB2" s="568"/>
      <c r="IMC2" s="568"/>
      <c r="IMD2" s="568"/>
      <c r="IME2" s="568"/>
      <c r="IMF2" s="568"/>
      <c r="IMG2" s="568"/>
      <c r="IMH2" s="568"/>
      <c r="IMI2" s="568"/>
      <c r="IMJ2" s="568"/>
      <c r="IMK2" s="568"/>
      <c r="IML2" s="568"/>
      <c r="IMM2" s="568"/>
      <c r="IMN2" s="568"/>
      <c r="IMO2" s="568"/>
      <c r="IMP2" s="568"/>
      <c r="IMQ2" s="568"/>
      <c r="IMR2" s="568"/>
      <c r="IMS2" s="568"/>
      <c r="IMT2" s="568"/>
      <c r="IMU2" s="568"/>
      <c r="IMV2" s="568"/>
      <c r="IMW2" s="568"/>
      <c r="IMX2" s="568"/>
      <c r="IMY2" s="568"/>
      <c r="IMZ2" s="568"/>
      <c r="INA2" s="568"/>
      <c r="INB2" s="568"/>
      <c r="INC2" s="568"/>
      <c r="IND2" s="568"/>
      <c r="INE2" s="568"/>
      <c r="INF2" s="568"/>
      <c r="ING2" s="568"/>
      <c r="INH2" s="568"/>
      <c r="INI2" s="568"/>
      <c r="INJ2" s="568"/>
      <c r="INK2" s="568"/>
      <c r="INL2" s="568"/>
      <c r="INM2" s="568"/>
      <c r="INN2" s="568"/>
      <c r="INO2" s="568"/>
      <c r="INP2" s="568"/>
      <c r="INQ2" s="568"/>
      <c r="INR2" s="568"/>
      <c r="INS2" s="568"/>
      <c r="INT2" s="568"/>
      <c r="INU2" s="568"/>
      <c r="INV2" s="568"/>
      <c r="INW2" s="568"/>
      <c r="INX2" s="568"/>
      <c r="INY2" s="568"/>
      <c r="INZ2" s="568"/>
      <c r="IOA2" s="568"/>
      <c r="IOB2" s="568"/>
      <c r="IOC2" s="568"/>
      <c r="IOD2" s="568"/>
      <c r="IOE2" s="568"/>
      <c r="IOF2" s="568"/>
      <c r="IOG2" s="568"/>
      <c r="IOH2" s="568"/>
      <c r="IOI2" s="568"/>
      <c r="IOJ2" s="568"/>
      <c r="IOK2" s="568"/>
      <c r="IOL2" s="568"/>
      <c r="IOM2" s="568"/>
      <c r="ION2" s="568"/>
      <c r="IOO2" s="568"/>
      <c r="IOP2" s="568"/>
      <c r="IOQ2" s="568"/>
      <c r="IOR2" s="568"/>
      <c r="IOS2" s="568"/>
      <c r="IOT2" s="568"/>
      <c r="IOU2" s="568"/>
      <c r="IOV2" s="568"/>
      <c r="IOW2" s="568"/>
      <c r="IOX2" s="568"/>
      <c r="IOY2" s="568"/>
      <c r="IOZ2" s="568"/>
      <c r="IPA2" s="568"/>
      <c r="IPB2" s="568"/>
      <c r="IPC2" s="568"/>
      <c r="IPD2" s="568"/>
      <c r="IPE2" s="568"/>
      <c r="IPF2" s="568"/>
      <c r="IPG2" s="568"/>
      <c r="IPH2" s="568"/>
      <c r="IPI2" s="568"/>
      <c r="IPJ2" s="568"/>
      <c r="IPK2" s="568"/>
      <c r="IPL2" s="568"/>
      <c r="IPM2" s="568"/>
      <c r="IPN2" s="568"/>
      <c r="IPO2" s="568"/>
      <c r="IPP2" s="568"/>
      <c r="IPQ2" s="568"/>
      <c r="IPR2" s="568"/>
      <c r="IPS2" s="568"/>
      <c r="IPT2" s="568"/>
      <c r="IPU2" s="568"/>
      <c r="IPV2" s="568"/>
      <c r="IPW2" s="568"/>
      <c r="IPX2" s="568"/>
      <c r="IPY2" s="568"/>
      <c r="IPZ2" s="568"/>
      <c r="IQA2" s="568"/>
      <c r="IQB2" s="568"/>
      <c r="IQC2" s="568"/>
      <c r="IQD2" s="568"/>
      <c r="IQE2" s="568"/>
      <c r="IQF2" s="568"/>
      <c r="IQG2" s="568"/>
      <c r="IQH2" s="568"/>
      <c r="IQI2" s="568"/>
      <c r="IQJ2" s="568"/>
      <c r="IQK2" s="568"/>
      <c r="IQL2" s="568"/>
      <c r="IQM2" s="568"/>
      <c r="IQN2" s="568"/>
      <c r="IQO2" s="568"/>
      <c r="IQP2" s="568"/>
      <c r="IQQ2" s="568"/>
      <c r="IQR2" s="568"/>
      <c r="IQS2" s="568"/>
      <c r="IQT2" s="568"/>
      <c r="IQU2" s="568"/>
      <c r="IQV2" s="568"/>
      <c r="IQW2" s="568"/>
      <c r="IQX2" s="568"/>
      <c r="IQY2" s="568"/>
      <c r="IQZ2" s="568"/>
      <c r="IRA2" s="568"/>
      <c r="IRB2" s="568"/>
      <c r="IRC2" s="568"/>
      <c r="IRD2" s="568"/>
      <c r="IRE2" s="568"/>
      <c r="IRF2" s="568"/>
      <c r="IRG2" s="568"/>
      <c r="IRH2" s="568"/>
      <c r="IRI2" s="568"/>
      <c r="IRJ2" s="568"/>
      <c r="IRK2" s="568"/>
      <c r="IRL2" s="568"/>
      <c r="IRM2" s="568"/>
      <c r="IRN2" s="568"/>
      <c r="IRO2" s="568"/>
      <c r="IRP2" s="568"/>
      <c r="IRQ2" s="568"/>
      <c r="IRR2" s="568"/>
      <c r="IRS2" s="568"/>
      <c r="IRT2" s="568"/>
      <c r="IRU2" s="568"/>
      <c r="IRV2" s="568"/>
      <c r="IRW2" s="568"/>
      <c r="IRX2" s="568"/>
      <c r="IRY2" s="568"/>
      <c r="IRZ2" s="568"/>
      <c r="ISA2" s="568"/>
      <c r="ISB2" s="568"/>
      <c r="ISC2" s="568"/>
      <c r="ISD2" s="568"/>
      <c r="ISE2" s="568"/>
      <c r="ISF2" s="568"/>
      <c r="ISG2" s="568"/>
      <c r="ISH2" s="568"/>
      <c r="ISI2" s="568"/>
      <c r="ISJ2" s="568"/>
      <c r="ISK2" s="568"/>
      <c r="ISL2" s="568"/>
      <c r="ISM2" s="568"/>
      <c r="ISN2" s="568"/>
      <c r="ISO2" s="568"/>
      <c r="ISP2" s="568"/>
      <c r="ISQ2" s="568"/>
      <c r="ISR2" s="568"/>
      <c r="ISS2" s="568"/>
      <c r="IST2" s="568"/>
      <c r="ISU2" s="568"/>
      <c r="ISV2" s="568"/>
      <c r="ISW2" s="568"/>
      <c r="ISX2" s="568"/>
      <c r="ISY2" s="568"/>
      <c r="ISZ2" s="568"/>
      <c r="ITA2" s="568"/>
      <c r="ITB2" s="568"/>
      <c r="ITC2" s="568"/>
      <c r="ITD2" s="568"/>
      <c r="ITE2" s="568"/>
      <c r="ITF2" s="568"/>
      <c r="ITG2" s="568"/>
      <c r="ITH2" s="568"/>
      <c r="ITI2" s="568"/>
      <c r="ITJ2" s="568"/>
      <c r="ITK2" s="568"/>
      <c r="ITL2" s="568"/>
      <c r="ITM2" s="568"/>
      <c r="ITN2" s="568"/>
      <c r="ITO2" s="568"/>
      <c r="ITP2" s="568"/>
      <c r="ITQ2" s="568"/>
      <c r="ITR2" s="568"/>
      <c r="ITS2" s="568"/>
      <c r="ITT2" s="568"/>
      <c r="ITU2" s="568"/>
      <c r="ITV2" s="568"/>
      <c r="ITW2" s="568"/>
      <c r="ITX2" s="568"/>
      <c r="ITY2" s="568"/>
      <c r="ITZ2" s="568"/>
      <c r="IUA2" s="568"/>
      <c r="IUB2" s="568"/>
      <c r="IUC2" s="568"/>
      <c r="IUD2" s="568"/>
      <c r="IUE2" s="568"/>
      <c r="IUF2" s="568"/>
      <c r="IUG2" s="568"/>
      <c r="IUH2" s="568"/>
      <c r="IUI2" s="568"/>
      <c r="IUJ2" s="568"/>
      <c r="IUK2" s="568"/>
      <c r="IUL2" s="568"/>
      <c r="IUM2" s="568"/>
      <c r="IUN2" s="568"/>
      <c r="IUO2" s="568"/>
      <c r="IUP2" s="568"/>
      <c r="IUQ2" s="568"/>
      <c r="IUR2" s="568"/>
      <c r="IUS2" s="568"/>
      <c r="IUT2" s="568"/>
      <c r="IUU2" s="568"/>
      <c r="IUV2" s="568"/>
      <c r="IUW2" s="568"/>
      <c r="IUX2" s="568"/>
      <c r="IUY2" s="568"/>
      <c r="IUZ2" s="568"/>
      <c r="IVA2" s="568"/>
      <c r="IVB2" s="568"/>
      <c r="IVC2" s="568"/>
      <c r="IVD2" s="568"/>
      <c r="IVE2" s="568"/>
      <c r="IVF2" s="568"/>
      <c r="IVG2" s="568"/>
      <c r="IVH2" s="568"/>
      <c r="IVI2" s="568"/>
      <c r="IVJ2" s="568"/>
      <c r="IVK2" s="568"/>
      <c r="IVL2" s="568"/>
      <c r="IVM2" s="568"/>
      <c r="IVN2" s="568"/>
      <c r="IVO2" s="568"/>
      <c r="IVP2" s="568"/>
      <c r="IVQ2" s="568"/>
      <c r="IVR2" s="568"/>
      <c r="IVS2" s="568"/>
      <c r="IVT2" s="568"/>
      <c r="IVU2" s="568"/>
      <c r="IVV2" s="568"/>
      <c r="IVW2" s="568"/>
      <c r="IVX2" s="568"/>
      <c r="IVY2" s="568"/>
      <c r="IVZ2" s="568"/>
      <c r="IWA2" s="568"/>
      <c r="IWB2" s="568"/>
      <c r="IWC2" s="568"/>
      <c r="IWD2" s="568"/>
      <c r="IWE2" s="568"/>
      <c r="IWF2" s="568"/>
      <c r="IWG2" s="568"/>
      <c r="IWH2" s="568"/>
      <c r="IWI2" s="568"/>
      <c r="IWJ2" s="568"/>
      <c r="IWK2" s="568"/>
      <c r="IWL2" s="568"/>
      <c r="IWM2" s="568"/>
      <c r="IWN2" s="568"/>
      <c r="IWO2" s="568"/>
      <c r="IWP2" s="568"/>
      <c r="IWQ2" s="568"/>
      <c r="IWR2" s="568"/>
      <c r="IWS2" s="568"/>
      <c r="IWT2" s="568"/>
      <c r="IWU2" s="568"/>
      <c r="IWV2" s="568"/>
      <c r="IWW2" s="568"/>
      <c r="IWX2" s="568"/>
      <c r="IWY2" s="568"/>
      <c r="IWZ2" s="568"/>
      <c r="IXA2" s="568"/>
      <c r="IXB2" s="568"/>
      <c r="IXC2" s="568"/>
      <c r="IXD2" s="568"/>
      <c r="IXE2" s="568"/>
      <c r="IXF2" s="568"/>
      <c r="IXG2" s="568"/>
      <c r="IXH2" s="568"/>
      <c r="IXI2" s="568"/>
      <c r="IXJ2" s="568"/>
      <c r="IXK2" s="568"/>
      <c r="IXL2" s="568"/>
      <c r="IXM2" s="568"/>
      <c r="IXN2" s="568"/>
      <c r="IXO2" s="568"/>
      <c r="IXP2" s="568"/>
      <c r="IXQ2" s="568"/>
      <c r="IXR2" s="568"/>
      <c r="IXS2" s="568"/>
      <c r="IXT2" s="568"/>
      <c r="IXU2" s="568"/>
      <c r="IXV2" s="568"/>
      <c r="IXW2" s="568"/>
      <c r="IXX2" s="568"/>
      <c r="IXY2" s="568"/>
      <c r="IXZ2" s="568"/>
      <c r="IYA2" s="568"/>
      <c r="IYB2" s="568"/>
      <c r="IYC2" s="568"/>
      <c r="IYD2" s="568"/>
      <c r="IYE2" s="568"/>
      <c r="IYF2" s="568"/>
      <c r="IYG2" s="568"/>
      <c r="IYH2" s="568"/>
      <c r="IYI2" s="568"/>
      <c r="IYJ2" s="568"/>
      <c r="IYK2" s="568"/>
      <c r="IYL2" s="568"/>
      <c r="IYM2" s="568"/>
      <c r="IYN2" s="568"/>
      <c r="IYO2" s="568"/>
      <c r="IYP2" s="568"/>
      <c r="IYQ2" s="568"/>
      <c r="IYR2" s="568"/>
      <c r="IYS2" s="568"/>
      <c r="IYT2" s="568"/>
      <c r="IYU2" s="568"/>
      <c r="IYV2" s="568"/>
      <c r="IYW2" s="568"/>
      <c r="IYX2" s="568"/>
      <c r="IYY2" s="568"/>
      <c r="IYZ2" s="568"/>
      <c r="IZA2" s="568"/>
      <c r="IZB2" s="568"/>
      <c r="IZC2" s="568"/>
      <c r="IZD2" s="568"/>
      <c r="IZE2" s="568"/>
      <c r="IZF2" s="568"/>
      <c r="IZG2" s="568"/>
      <c r="IZH2" s="568"/>
      <c r="IZI2" s="568"/>
      <c r="IZJ2" s="568"/>
      <c r="IZK2" s="568"/>
      <c r="IZL2" s="568"/>
      <c r="IZM2" s="568"/>
      <c r="IZN2" s="568"/>
      <c r="IZO2" s="568"/>
      <c r="IZP2" s="568"/>
      <c r="IZQ2" s="568"/>
      <c r="IZR2" s="568"/>
      <c r="IZS2" s="568"/>
      <c r="IZT2" s="568"/>
      <c r="IZU2" s="568"/>
      <c r="IZV2" s="568"/>
      <c r="IZW2" s="568"/>
      <c r="IZX2" s="568"/>
      <c r="IZY2" s="568"/>
      <c r="IZZ2" s="568"/>
      <c r="JAA2" s="568"/>
      <c r="JAB2" s="568"/>
      <c r="JAC2" s="568"/>
      <c r="JAD2" s="568"/>
      <c r="JAE2" s="568"/>
      <c r="JAF2" s="568"/>
      <c r="JAG2" s="568"/>
      <c r="JAH2" s="568"/>
      <c r="JAI2" s="568"/>
      <c r="JAJ2" s="568"/>
      <c r="JAK2" s="568"/>
      <c r="JAL2" s="568"/>
      <c r="JAM2" s="568"/>
      <c r="JAN2" s="568"/>
      <c r="JAO2" s="568"/>
      <c r="JAP2" s="568"/>
      <c r="JAQ2" s="568"/>
      <c r="JAR2" s="568"/>
      <c r="JAS2" s="568"/>
      <c r="JAT2" s="568"/>
      <c r="JAU2" s="568"/>
      <c r="JAV2" s="568"/>
      <c r="JAW2" s="568"/>
      <c r="JAX2" s="568"/>
      <c r="JAY2" s="568"/>
      <c r="JAZ2" s="568"/>
      <c r="JBA2" s="568"/>
      <c r="JBB2" s="568"/>
      <c r="JBC2" s="568"/>
      <c r="JBD2" s="568"/>
      <c r="JBE2" s="568"/>
      <c r="JBF2" s="568"/>
      <c r="JBG2" s="568"/>
      <c r="JBH2" s="568"/>
      <c r="JBI2" s="568"/>
      <c r="JBJ2" s="568"/>
      <c r="JBK2" s="568"/>
      <c r="JBL2" s="568"/>
      <c r="JBM2" s="568"/>
      <c r="JBN2" s="568"/>
      <c r="JBO2" s="568"/>
      <c r="JBP2" s="568"/>
      <c r="JBQ2" s="568"/>
      <c r="JBR2" s="568"/>
      <c r="JBS2" s="568"/>
      <c r="JBT2" s="568"/>
      <c r="JBU2" s="568"/>
      <c r="JBV2" s="568"/>
      <c r="JBW2" s="568"/>
      <c r="JBX2" s="568"/>
      <c r="JBY2" s="568"/>
      <c r="JBZ2" s="568"/>
      <c r="JCA2" s="568"/>
      <c r="JCB2" s="568"/>
      <c r="JCC2" s="568"/>
      <c r="JCD2" s="568"/>
      <c r="JCE2" s="568"/>
      <c r="JCF2" s="568"/>
      <c r="JCG2" s="568"/>
      <c r="JCH2" s="568"/>
      <c r="JCI2" s="568"/>
      <c r="JCJ2" s="568"/>
      <c r="JCK2" s="568"/>
      <c r="JCL2" s="568"/>
      <c r="JCM2" s="568"/>
      <c r="JCN2" s="568"/>
      <c r="JCO2" s="568"/>
      <c r="JCP2" s="568"/>
      <c r="JCQ2" s="568"/>
      <c r="JCR2" s="568"/>
      <c r="JCS2" s="568"/>
      <c r="JCT2" s="568"/>
      <c r="JCU2" s="568"/>
      <c r="JCV2" s="568"/>
      <c r="JCW2" s="568"/>
      <c r="JCX2" s="568"/>
      <c r="JCY2" s="568"/>
      <c r="JCZ2" s="568"/>
      <c r="JDA2" s="568"/>
      <c r="JDB2" s="568"/>
      <c r="JDC2" s="568"/>
      <c r="JDD2" s="568"/>
      <c r="JDE2" s="568"/>
      <c r="JDF2" s="568"/>
      <c r="JDG2" s="568"/>
      <c r="JDH2" s="568"/>
      <c r="JDI2" s="568"/>
      <c r="JDJ2" s="568"/>
      <c r="JDK2" s="568"/>
      <c r="JDL2" s="568"/>
      <c r="JDM2" s="568"/>
      <c r="JDN2" s="568"/>
      <c r="JDO2" s="568"/>
      <c r="JDP2" s="568"/>
      <c r="JDQ2" s="568"/>
      <c r="JDR2" s="568"/>
      <c r="JDS2" s="568"/>
      <c r="JDT2" s="568"/>
      <c r="JDU2" s="568"/>
      <c r="JDV2" s="568"/>
      <c r="JDW2" s="568"/>
      <c r="JDX2" s="568"/>
      <c r="JDY2" s="568"/>
      <c r="JDZ2" s="568"/>
      <c r="JEA2" s="568"/>
      <c r="JEB2" s="568"/>
      <c r="JEC2" s="568"/>
      <c r="JED2" s="568"/>
      <c r="JEE2" s="568"/>
      <c r="JEF2" s="568"/>
      <c r="JEG2" s="568"/>
      <c r="JEH2" s="568"/>
      <c r="JEI2" s="568"/>
      <c r="JEJ2" s="568"/>
      <c r="JEK2" s="568"/>
      <c r="JEL2" s="568"/>
      <c r="JEM2" s="568"/>
      <c r="JEN2" s="568"/>
      <c r="JEO2" s="568"/>
      <c r="JEP2" s="568"/>
      <c r="JEQ2" s="568"/>
      <c r="JER2" s="568"/>
      <c r="JES2" s="568"/>
      <c r="JET2" s="568"/>
      <c r="JEU2" s="568"/>
      <c r="JEV2" s="568"/>
      <c r="JEW2" s="568"/>
      <c r="JEX2" s="568"/>
      <c r="JEY2" s="568"/>
      <c r="JEZ2" s="568"/>
      <c r="JFA2" s="568"/>
      <c r="JFB2" s="568"/>
      <c r="JFC2" s="568"/>
      <c r="JFD2" s="568"/>
      <c r="JFE2" s="568"/>
      <c r="JFF2" s="568"/>
      <c r="JFG2" s="568"/>
      <c r="JFH2" s="568"/>
      <c r="JFI2" s="568"/>
      <c r="JFJ2" s="568"/>
      <c r="JFK2" s="568"/>
      <c r="JFL2" s="568"/>
      <c r="JFM2" s="568"/>
      <c r="JFN2" s="568"/>
      <c r="JFO2" s="568"/>
      <c r="JFP2" s="568"/>
      <c r="JFQ2" s="568"/>
      <c r="JFR2" s="568"/>
      <c r="JFS2" s="568"/>
      <c r="JFT2" s="568"/>
      <c r="JFU2" s="568"/>
      <c r="JFV2" s="568"/>
      <c r="JFW2" s="568"/>
      <c r="JFX2" s="568"/>
      <c r="JFY2" s="568"/>
      <c r="JFZ2" s="568"/>
      <c r="JGA2" s="568"/>
      <c r="JGB2" s="568"/>
      <c r="JGC2" s="568"/>
      <c r="JGD2" s="568"/>
      <c r="JGE2" s="568"/>
      <c r="JGF2" s="568"/>
      <c r="JGG2" s="568"/>
      <c r="JGH2" s="568"/>
      <c r="JGI2" s="568"/>
      <c r="JGJ2" s="568"/>
      <c r="JGK2" s="568"/>
      <c r="JGL2" s="568"/>
      <c r="JGM2" s="568"/>
      <c r="JGN2" s="568"/>
      <c r="JGO2" s="568"/>
      <c r="JGP2" s="568"/>
      <c r="JGQ2" s="568"/>
      <c r="JGR2" s="568"/>
      <c r="JGS2" s="568"/>
      <c r="JGT2" s="568"/>
      <c r="JGU2" s="568"/>
      <c r="JGV2" s="568"/>
      <c r="JGW2" s="568"/>
      <c r="JGX2" s="568"/>
      <c r="JGY2" s="568"/>
      <c r="JGZ2" s="568"/>
      <c r="JHA2" s="568"/>
      <c r="JHB2" s="568"/>
      <c r="JHC2" s="568"/>
      <c r="JHD2" s="568"/>
      <c r="JHE2" s="568"/>
      <c r="JHF2" s="568"/>
      <c r="JHG2" s="568"/>
      <c r="JHH2" s="568"/>
      <c r="JHI2" s="568"/>
      <c r="JHJ2" s="568"/>
      <c r="JHK2" s="568"/>
      <c r="JHL2" s="568"/>
      <c r="JHM2" s="568"/>
      <c r="JHN2" s="568"/>
      <c r="JHO2" s="568"/>
      <c r="JHP2" s="568"/>
      <c r="JHQ2" s="568"/>
      <c r="JHR2" s="568"/>
      <c r="JHS2" s="568"/>
      <c r="JHT2" s="568"/>
      <c r="JHU2" s="568"/>
      <c r="JHV2" s="568"/>
      <c r="JHW2" s="568"/>
      <c r="JHX2" s="568"/>
      <c r="JHY2" s="568"/>
      <c r="JHZ2" s="568"/>
      <c r="JIA2" s="568"/>
      <c r="JIB2" s="568"/>
      <c r="JIC2" s="568"/>
      <c r="JID2" s="568"/>
      <c r="JIE2" s="568"/>
      <c r="JIF2" s="568"/>
      <c r="JIG2" s="568"/>
      <c r="JIH2" s="568"/>
      <c r="JII2" s="568"/>
      <c r="JIJ2" s="568"/>
      <c r="JIK2" s="568"/>
      <c r="JIL2" s="568"/>
      <c r="JIM2" s="568"/>
      <c r="JIN2" s="568"/>
      <c r="JIO2" s="568"/>
      <c r="JIP2" s="568"/>
      <c r="JIQ2" s="568"/>
      <c r="JIR2" s="568"/>
      <c r="JIS2" s="568"/>
      <c r="JIT2" s="568"/>
      <c r="JIU2" s="568"/>
      <c r="JIV2" s="568"/>
      <c r="JIW2" s="568"/>
      <c r="JIX2" s="568"/>
      <c r="JIY2" s="568"/>
      <c r="JIZ2" s="568"/>
      <c r="JJA2" s="568"/>
      <c r="JJB2" s="568"/>
      <c r="JJC2" s="568"/>
      <c r="JJD2" s="568"/>
      <c r="JJE2" s="568"/>
      <c r="JJF2" s="568"/>
      <c r="JJG2" s="568"/>
      <c r="JJH2" s="568"/>
      <c r="JJI2" s="568"/>
      <c r="JJJ2" s="568"/>
      <c r="JJK2" s="568"/>
      <c r="JJL2" s="568"/>
      <c r="JJM2" s="568"/>
      <c r="JJN2" s="568"/>
      <c r="JJO2" s="568"/>
      <c r="JJP2" s="568"/>
      <c r="JJQ2" s="568"/>
      <c r="JJR2" s="568"/>
      <c r="JJS2" s="568"/>
      <c r="JJT2" s="568"/>
      <c r="JJU2" s="568"/>
      <c r="JJV2" s="568"/>
      <c r="JJW2" s="568"/>
      <c r="JJX2" s="568"/>
      <c r="JJY2" s="568"/>
      <c r="JJZ2" s="568"/>
      <c r="JKA2" s="568"/>
      <c r="JKB2" s="568"/>
      <c r="JKC2" s="568"/>
      <c r="JKD2" s="568"/>
      <c r="JKE2" s="568"/>
      <c r="JKF2" s="568"/>
      <c r="JKG2" s="568"/>
      <c r="JKH2" s="568"/>
      <c r="JKI2" s="568"/>
      <c r="JKJ2" s="568"/>
      <c r="JKK2" s="568"/>
      <c r="JKL2" s="568"/>
      <c r="JKM2" s="568"/>
      <c r="JKN2" s="568"/>
      <c r="JKO2" s="568"/>
      <c r="JKP2" s="568"/>
      <c r="JKQ2" s="568"/>
      <c r="JKR2" s="568"/>
      <c r="JKS2" s="568"/>
      <c r="JKT2" s="568"/>
      <c r="JKU2" s="568"/>
      <c r="JKV2" s="568"/>
      <c r="JKW2" s="568"/>
      <c r="JKX2" s="568"/>
      <c r="JKY2" s="568"/>
      <c r="JKZ2" s="568"/>
      <c r="JLA2" s="568"/>
      <c r="JLB2" s="568"/>
      <c r="JLC2" s="568"/>
      <c r="JLD2" s="568"/>
      <c r="JLE2" s="568"/>
      <c r="JLF2" s="568"/>
      <c r="JLG2" s="568"/>
      <c r="JLH2" s="568"/>
      <c r="JLI2" s="568"/>
      <c r="JLJ2" s="568"/>
      <c r="JLK2" s="568"/>
      <c r="JLL2" s="568"/>
      <c r="JLM2" s="568"/>
      <c r="JLN2" s="568"/>
      <c r="JLO2" s="568"/>
      <c r="JLP2" s="568"/>
      <c r="JLQ2" s="568"/>
      <c r="JLR2" s="568"/>
      <c r="JLS2" s="568"/>
      <c r="JLT2" s="568"/>
      <c r="JLU2" s="568"/>
      <c r="JLV2" s="568"/>
      <c r="JLW2" s="568"/>
      <c r="JLX2" s="568"/>
      <c r="JLY2" s="568"/>
      <c r="JLZ2" s="568"/>
      <c r="JMA2" s="568"/>
      <c r="JMB2" s="568"/>
      <c r="JMC2" s="568"/>
      <c r="JMD2" s="568"/>
      <c r="JME2" s="568"/>
      <c r="JMF2" s="568"/>
      <c r="JMG2" s="568"/>
      <c r="JMH2" s="568"/>
      <c r="JMI2" s="568"/>
      <c r="JMJ2" s="568"/>
      <c r="JMK2" s="568"/>
      <c r="JML2" s="568"/>
      <c r="JMM2" s="568"/>
      <c r="JMN2" s="568"/>
      <c r="JMO2" s="568"/>
      <c r="JMP2" s="568"/>
      <c r="JMQ2" s="568"/>
      <c r="JMR2" s="568"/>
      <c r="JMS2" s="568"/>
      <c r="JMT2" s="568"/>
      <c r="JMU2" s="568"/>
      <c r="JMV2" s="568"/>
      <c r="JMW2" s="568"/>
      <c r="JMX2" s="568"/>
      <c r="JMY2" s="568"/>
      <c r="JMZ2" s="568"/>
      <c r="JNA2" s="568"/>
      <c r="JNB2" s="568"/>
      <c r="JNC2" s="568"/>
      <c r="JND2" s="568"/>
      <c r="JNE2" s="568"/>
      <c r="JNF2" s="568"/>
      <c r="JNG2" s="568"/>
      <c r="JNH2" s="568"/>
      <c r="JNI2" s="568"/>
      <c r="JNJ2" s="568"/>
      <c r="JNK2" s="568"/>
      <c r="JNL2" s="568"/>
      <c r="JNM2" s="568"/>
      <c r="JNN2" s="568"/>
      <c r="JNO2" s="568"/>
      <c r="JNP2" s="568"/>
      <c r="JNQ2" s="568"/>
      <c r="JNR2" s="568"/>
      <c r="JNS2" s="568"/>
      <c r="JNT2" s="568"/>
      <c r="JNU2" s="568"/>
      <c r="JNV2" s="568"/>
      <c r="JNW2" s="568"/>
      <c r="JNX2" s="568"/>
      <c r="JNY2" s="568"/>
      <c r="JNZ2" s="568"/>
      <c r="JOA2" s="568"/>
      <c r="JOB2" s="568"/>
      <c r="JOC2" s="568"/>
      <c r="JOD2" s="568"/>
      <c r="JOE2" s="568"/>
      <c r="JOF2" s="568"/>
      <c r="JOG2" s="568"/>
      <c r="JOH2" s="568"/>
      <c r="JOI2" s="568"/>
      <c r="JOJ2" s="568"/>
      <c r="JOK2" s="568"/>
      <c r="JOL2" s="568"/>
      <c r="JOM2" s="568"/>
      <c r="JON2" s="568"/>
      <c r="JOO2" s="568"/>
      <c r="JOP2" s="568"/>
      <c r="JOQ2" s="568"/>
      <c r="JOR2" s="568"/>
      <c r="JOS2" s="568"/>
      <c r="JOT2" s="568"/>
      <c r="JOU2" s="568"/>
      <c r="JOV2" s="568"/>
      <c r="JOW2" s="568"/>
      <c r="JOX2" s="568"/>
      <c r="JOY2" s="568"/>
      <c r="JOZ2" s="568"/>
      <c r="JPA2" s="568"/>
      <c r="JPB2" s="568"/>
      <c r="JPC2" s="568"/>
      <c r="JPD2" s="568"/>
      <c r="JPE2" s="568"/>
      <c r="JPF2" s="568"/>
      <c r="JPG2" s="568"/>
      <c r="JPH2" s="568"/>
      <c r="JPI2" s="568"/>
      <c r="JPJ2" s="568"/>
      <c r="JPK2" s="568"/>
      <c r="JPL2" s="568"/>
      <c r="JPM2" s="568"/>
      <c r="JPN2" s="568"/>
      <c r="JPO2" s="568"/>
      <c r="JPP2" s="568"/>
      <c r="JPQ2" s="568"/>
      <c r="JPR2" s="568"/>
      <c r="JPS2" s="568"/>
      <c r="JPT2" s="568"/>
      <c r="JPU2" s="568"/>
      <c r="JPV2" s="568"/>
      <c r="JPW2" s="568"/>
      <c r="JPX2" s="568"/>
      <c r="JPY2" s="568"/>
      <c r="JPZ2" s="568"/>
      <c r="JQA2" s="568"/>
      <c r="JQB2" s="568"/>
      <c r="JQC2" s="568"/>
      <c r="JQD2" s="568"/>
      <c r="JQE2" s="568"/>
      <c r="JQF2" s="568"/>
      <c r="JQG2" s="568"/>
      <c r="JQH2" s="568"/>
      <c r="JQI2" s="568"/>
      <c r="JQJ2" s="568"/>
      <c r="JQK2" s="568"/>
      <c r="JQL2" s="568"/>
      <c r="JQM2" s="568"/>
      <c r="JQN2" s="568"/>
      <c r="JQO2" s="568"/>
      <c r="JQP2" s="568"/>
      <c r="JQQ2" s="568"/>
      <c r="JQR2" s="568"/>
      <c r="JQS2" s="568"/>
      <c r="JQT2" s="568"/>
      <c r="JQU2" s="568"/>
      <c r="JQV2" s="568"/>
      <c r="JQW2" s="568"/>
      <c r="JQX2" s="568"/>
      <c r="JQY2" s="568"/>
      <c r="JQZ2" s="568"/>
      <c r="JRA2" s="568"/>
      <c r="JRB2" s="568"/>
      <c r="JRC2" s="568"/>
      <c r="JRD2" s="568"/>
      <c r="JRE2" s="568"/>
      <c r="JRF2" s="568"/>
      <c r="JRG2" s="568"/>
      <c r="JRH2" s="568"/>
      <c r="JRI2" s="568"/>
      <c r="JRJ2" s="568"/>
      <c r="JRK2" s="568"/>
      <c r="JRL2" s="568"/>
      <c r="JRM2" s="568"/>
      <c r="JRN2" s="568"/>
      <c r="JRO2" s="568"/>
      <c r="JRP2" s="568"/>
      <c r="JRQ2" s="568"/>
      <c r="JRR2" s="568"/>
      <c r="JRS2" s="568"/>
      <c r="JRT2" s="568"/>
      <c r="JRU2" s="568"/>
      <c r="JRV2" s="568"/>
      <c r="JRW2" s="568"/>
      <c r="JRX2" s="568"/>
      <c r="JRY2" s="568"/>
      <c r="JRZ2" s="568"/>
      <c r="JSA2" s="568"/>
      <c r="JSB2" s="568"/>
      <c r="JSC2" s="568"/>
      <c r="JSD2" s="568"/>
      <c r="JSE2" s="568"/>
      <c r="JSF2" s="568"/>
      <c r="JSG2" s="568"/>
      <c r="JSH2" s="568"/>
      <c r="JSI2" s="568"/>
      <c r="JSJ2" s="568"/>
      <c r="JSK2" s="568"/>
      <c r="JSL2" s="568"/>
      <c r="JSM2" s="568"/>
      <c r="JSN2" s="568"/>
      <c r="JSO2" s="568"/>
      <c r="JSP2" s="568"/>
      <c r="JSQ2" s="568"/>
      <c r="JSR2" s="568"/>
      <c r="JSS2" s="568"/>
      <c r="JST2" s="568"/>
      <c r="JSU2" s="568"/>
      <c r="JSV2" s="568"/>
      <c r="JSW2" s="568"/>
      <c r="JSX2" s="568"/>
      <c r="JSY2" s="568"/>
      <c r="JSZ2" s="568"/>
      <c r="JTA2" s="568"/>
      <c r="JTB2" s="568"/>
      <c r="JTC2" s="568"/>
      <c r="JTD2" s="568"/>
      <c r="JTE2" s="568"/>
      <c r="JTF2" s="568"/>
      <c r="JTG2" s="568"/>
      <c r="JTH2" s="568"/>
      <c r="JTI2" s="568"/>
      <c r="JTJ2" s="568"/>
      <c r="JTK2" s="568"/>
      <c r="JTL2" s="568"/>
      <c r="JTM2" s="568"/>
      <c r="JTN2" s="568"/>
      <c r="JTO2" s="568"/>
      <c r="JTP2" s="568"/>
      <c r="JTQ2" s="568"/>
      <c r="JTR2" s="568"/>
      <c r="JTS2" s="568"/>
      <c r="JTT2" s="568"/>
      <c r="JTU2" s="568"/>
      <c r="JTV2" s="568"/>
      <c r="JTW2" s="568"/>
      <c r="JTX2" s="568"/>
      <c r="JTY2" s="568"/>
      <c r="JTZ2" s="568"/>
      <c r="JUA2" s="568"/>
      <c r="JUB2" s="568"/>
      <c r="JUC2" s="568"/>
      <c r="JUD2" s="568"/>
      <c r="JUE2" s="568"/>
      <c r="JUF2" s="568"/>
      <c r="JUG2" s="568"/>
      <c r="JUH2" s="568"/>
      <c r="JUI2" s="568"/>
      <c r="JUJ2" s="568"/>
      <c r="JUK2" s="568"/>
      <c r="JUL2" s="568"/>
      <c r="JUM2" s="568"/>
      <c r="JUN2" s="568"/>
      <c r="JUO2" s="568"/>
      <c r="JUP2" s="568"/>
      <c r="JUQ2" s="568"/>
      <c r="JUR2" s="568"/>
      <c r="JUS2" s="568"/>
      <c r="JUT2" s="568"/>
      <c r="JUU2" s="568"/>
      <c r="JUV2" s="568"/>
      <c r="JUW2" s="568"/>
      <c r="JUX2" s="568"/>
      <c r="JUY2" s="568"/>
      <c r="JUZ2" s="568"/>
      <c r="JVA2" s="568"/>
      <c r="JVB2" s="568"/>
      <c r="JVC2" s="568"/>
      <c r="JVD2" s="568"/>
      <c r="JVE2" s="568"/>
      <c r="JVF2" s="568"/>
      <c r="JVG2" s="568"/>
      <c r="JVH2" s="568"/>
      <c r="JVI2" s="568"/>
      <c r="JVJ2" s="568"/>
      <c r="JVK2" s="568"/>
      <c r="JVL2" s="568"/>
      <c r="JVM2" s="568"/>
      <c r="JVN2" s="568"/>
      <c r="JVO2" s="568"/>
      <c r="JVP2" s="568"/>
      <c r="JVQ2" s="568"/>
      <c r="JVR2" s="568"/>
      <c r="JVS2" s="568"/>
      <c r="JVT2" s="568"/>
      <c r="JVU2" s="568"/>
      <c r="JVV2" s="568"/>
      <c r="JVW2" s="568"/>
      <c r="JVX2" s="568"/>
      <c r="JVY2" s="568"/>
      <c r="JVZ2" s="568"/>
      <c r="JWA2" s="568"/>
      <c r="JWB2" s="568"/>
      <c r="JWC2" s="568"/>
      <c r="JWD2" s="568"/>
      <c r="JWE2" s="568"/>
      <c r="JWF2" s="568"/>
      <c r="JWG2" s="568"/>
      <c r="JWH2" s="568"/>
      <c r="JWI2" s="568"/>
      <c r="JWJ2" s="568"/>
      <c r="JWK2" s="568"/>
      <c r="JWL2" s="568"/>
      <c r="JWM2" s="568"/>
      <c r="JWN2" s="568"/>
      <c r="JWO2" s="568"/>
      <c r="JWP2" s="568"/>
      <c r="JWQ2" s="568"/>
      <c r="JWR2" s="568"/>
      <c r="JWS2" s="568"/>
      <c r="JWT2" s="568"/>
      <c r="JWU2" s="568"/>
      <c r="JWV2" s="568"/>
      <c r="JWW2" s="568"/>
      <c r="JWX2" s="568"/>
      <c r="JWY2" s="568"/>
      <c r="JWZ2" s="568"/>
      <c r="JXA2" s="568"/>
      <c r="JXB2" s="568"/>
      <c r="JXC2" s="568"/>
      <c r="JXD2" s="568"/>
      <c r="JXE2" s="568"/>
      <c r="JXF2" s="568"/>
      <c r="JXG2" s="568"/>
      <c r="JXH2" s="568"/>
      <c r="JXI2" s="568"/>
      <c r="JXJ2" s="568"/>
      <c r="JXK2" s="568"/>
      <c r="JXL2" s="568"/>
      <c r="JXM2" s="568"/>
      <c r="JXN2" s="568"/>
      <c r="JXO2" s="568"/>
      <c r="JXP2" s="568"/>
      <c r="JXQ2" s="568"/>
      <c r="JXR2" s="568"/>
      <c r="JXS2" s="568"/>
      <c r="JXT2" s="568"/>
      <c r="JXU2" s="568"/>
      <c r="JXV2" s="568"/>
      <c r="JXW2" s="568"/>
      <c r="JXX2" s="568"/>
      <c r="JXY2" s="568"/>
      <c r="JXZ2" s="568"/>
      <c r="JYA2" s="568"/>
      <c r="JYB2" s="568"/>
      <c r="JYC2" s="568"/>
      <c r="JYD2" s="568"/>
      <c r="JYE2" s="568"/>
      <c r="JYF2" s="568"/>
      <c r="JYG2" s="568"/>
      <c r="JYH2" s="568"/>
      <c r="JYI2" s="568"/>
      <c r="JYJ2" s="568"/>
      <c r="JYK2" s="568"/>
      <c r="JYL2" s="568"/>
      <c r="JYM2" s="568"/>
      <c r="JYN2" s="568"/>
      <c r="JYO2" s="568"/>
      <c r="JYP2" s="568"/>
      <c r="JYQ2" s="568"/>
      <c r="JYR2" s="568"/>
      <c r="JYS2" s="568"/>
      <c r="JYT2" s="568"/>
      <c r="JYU2" s="568"/>
      <c r="JYV2" s="568"/>
      <c r="JYW2" s="568"/>
      <c r="JYX2" s="568"/>
      <c r="JYY2" s="568"/>
      <c r="JYZ2" s="568"/>
      <c r="JZA2" s="568"/>
      <c r="JZB2" s="568"/>
      <c r="JZC2" s="568"/>
      <c r="JZD2" s="568"/>
      <c r="JZE2" s="568"/>
      <c r="JZF2" s="568"/>
      <c r="JZG2" s="568"/>
      <c r="JZH2" s="568"/>
      <c r="JZI2" s="568"/>
      <c r="JZJ2" s="568"/>
      <c r="JZK2" s="568"/>
      <c r="JZL2" s="568"/>
      <c r="JZM2" s="568"/>
      <c r="JZN2" s="568"/>
      <c r="JZO2" s="568"/>
      <c r="JZP2" s="568"/>
      <c r="JZQ2" s="568"/>
      <c r="JZR2" s="568"/>
      <c r="JZS2" s="568"/>
      <c r="JZT2" s="568"/>
      <c r="JZU2" s="568"/>
      <c r="JZV2" s="568"/>
      <c r="JZW2" s="568"/>
      <c r="JZX2" s="568"/>
      <c r="JZY2" s="568"/>
      <c r="JZZ2" s="568"/>
      <c r="KAA2" s="568"/>
      <c r="KAB2" s="568"/>
      <c r="KAC2" s="568"/>
      <c r="KAD2" s="568"/>
      <c r="KAE2" s="568"/>
      <c r="KAF2" s="568"/>
      <c r="KAG2" s="568"/>
      <c r="KAH2" s="568"/>
      <c r="KAI2" s="568"/>
      <c r="KAJ2" s="568"/>
      <c r="KAK2" s="568"/>
      <c r="KAL2" s="568"/>
      <c r="KAM2" s="568"/>
      <c r="KAN2" s="568"/>
      <c r="KAO2" s="568"/>
      <c r="KAP2" s="568"/>
      <c r="KAQ2" s="568"/>
      <c r="KAR2" s="568"/>
      <c r="KAS2" s="568"/>
      <c r="KAT2" s="568"/>
      <c r="KAU2" s="568"/>
      <c r="KAV2" s="568"/>
      <c r="KAW2" s="568"/>
      <c r="KAX2" s="568"/>
      <c r="KAY2" s="568"/>
      <c r="KAZ2" s="568"/>
      <c r="KBA2" s="568"/>
      <c r="KBB2" s="568"/>
      <c r="KBC2" s="568"/>
      <c r="KBD2" s="568"/>
      <c r="KBE2" s="568"/>
      <c r="KBF2" s="568"/>
      <c r="KBG2" s="568"/>
      <c r="KBH2" s="568"/>
      <c r="KBI2" s="568"/>
      <c r="KBJ2" s="568"/>
      <c r="KBK2" s="568"/>
      <c r="KBL2" s="568"/>
      <c r="KBM2" s="568"/>
      <c r="KBN2" s="568"/>
      <c r="KBO2" s="568"/>
      <c r="KBP2" s="568"/>
      <c r="KBQ2" s="568"/>
      <c r="KBR2" s="568"/>
      <c r="KBS2" s="568"/>
      <c r="KBT2" s="568"/>
      <c r="KBU2" s="568"/>
      <c r="KBV2" s="568"/>
      <c r="KBW2" s="568"/>
      <c r="KBX2" s="568"/>
      <c r="KBY2" s="568"/>
      <c r="KBZ2" s="568"/>
      <c r="KCA2" s="568"/>
      <c r="KCB2" s="568"/>
      <c r="KCC2" s="568"/>
      <c r="KCD2" s="568"/>
      <c r="KCE2" s="568"/>
      <c r="KCF2" s="568"/>
      <c r="KCG2" s="568"/>
      <c r="KCH2" s="568"/>
      <c r="KCI2" s="568"/>
      <c r="KCJ2" s="568"/>
      <c r="KCK2" s="568"/>
      <c r="KCL2" s="568"/>
      <c r="KCM2" s="568"/>
      <c r="KCN2" s="568"/>
      <c r="KCO2" s="568"/>
      <c r="KCP2" s="568"/>
      <c r="KCQ2" s="568"/>
      <c r="KCR2" s="568"/>
      <c r="KCS2" s="568"/>
      <c r="KCT2" s="568"/>
      <c r="KCU2" s="568"/>
      <c r="KCV2" s="568"/>
      <c r="KCW2" s="568"/>
      <c r="KCX2" s="568"/>
      <c r="KCY2" s="568"/>
      <c r="KCZ2" s="568"/>
      <c r="KDA2" s="568"/>
      <c r="KDB2" s="568"/>
      <c r="KDC2" s="568"/>
      <c r="KDD2" s="568"/>
      <c r="KDE2" s="568"/>
      <c r="KDF2" s="568"/>
      <c r="KDG2" s="568"/>
      <c r="KDH2" s="568"/>
      <c r="KDI2" s="568"/>
      <c r="KDJ2" s="568"/>
      <c r="KDK2" s="568"/>
      <c r="KDL2" s="568"/>
      <c r="KDM2" s="568"/>
      <c r="KDN2" s="568"/>
      <c r="KDO2" s="568"/>
      <c r="KDP2" s="568"/>
      <c r="KDQ2" s="568"/>
      <c r="KDR2" s="568"/>
      <c r="KDS2" s="568"/>
      <c r="KDT2" s="568"/>
      <c r="KDU2" s="568"/>
      <c r="KDV2" s="568"/>
      <c r="KDW2" s="568"/>
      <c r="KDX2" s="568"/>
      <c r="KDY2" s="568"/>
      <c r="KDZ2" s="568"/>
      <c r="KEA2" s="568"/>
      <c r="KEB2" s="568"/>
      <c r="KEC2" s="568"/>
      <c r="KED2" s="568"/>
      <c r="KEE2" s="568"/>
      <c r="KEF2" s="568"/>
      <c r="KEG2" s="568"/>
      <c r="KEH2" s="568"/>
      <c r="KEI2" s="568"/>
      <c r="KEJ2" s="568"/>
      <c r="KEK2" s="568"/>
      <c r="KEL2" s="568"/>
      <c r="KEM2" s="568"/>
      <c r="KEN2" s="568"/>
      <c r="KEO2" s="568"/>
      <c r="KEP2" s="568"/>
      <c r="KEQ2" s="568"/>
      <c r="KER2" s="568"/>
      <c r="KES2" s="568"/>
      <c r="KET2" s="568"/>
      <c r="KEU2" s="568"/>
      <c r="KEV2" s="568"/>
      <c r="KEW2" s="568"/>
      <c r="KEX2" s="568"/>
      <c r="KEY2" s="568"/>
      <c r="KEZ2" s="568"/>
      <c r="KFA2" s="568"/>
      <c r="KFB2" s="568"/>
      <c r="KFC2" s="568"/>
      <c r="KFD2" s="568"/>
      <c r="KFE2" s="568"/>
      <c r="KFF2" s="568"/>
      <c r="KFG2" s="568"/>
      <c r="KFH2" s="568"/>
      <c r="KFI2" s="568"/>
      <c r="KFJ2" s="568"/>
      <c r="KFK2" s="568"/>
      <c r="KFL2" s="568"/>
      <c r="KFM2" s="568"/>
      <c r="KFN2" s="568"/>
      <c r="KFO2" s="568"/>
      <c r="KFP2" s="568"/>
      <c r="KFQ2" s="568"/>
      <c r="KFR2" s="568"/>
      <c r="KFS2" s="568"/>
      <c r="KFT2" s="568"/>
      <c r="KFU2" s="568"/>
      <c r="KFV2" s="568"/>
      <c r="KFW2" s="568"/>
      <c r="KFX2" s="568"/>
      <c r="KFY2" s="568"/>
      <c r="KFZ2" s="568"/>
      <c r="KGA2" s="568"/>
      <c r="KGB2" s="568"/>
      <c r="KGC2" s="568"/>
      <c r="KGD2" s="568"/>
      <c r="KGE2" s="568"/>
      <c r="KGF2" s="568"/>
      <c r="KGG2" s="568"/>
      <c r="KGH2" s="568"/>
      <c r="KGI2" s="568"/>
      <c r="KGJ2" s="568"/>
      <c r="KGK2" s="568"/>
      <c r="KGL2" s="568"/>
      <c r="KGM2" s="568"/>
      <c r="KGN2" s="568"/>
      <c r="KGO2" s="568"/>
      <c r="KGP2" s="568"/>
      <c r="KGQ2" s="568"/>
      <c r="KGR2" s="568"/>
      <c r="KGS2" s="568"/>
      <c r="KGT2" s="568"/>
      <c r="KGU2" s="568"/>
      <c r="KGV2" s="568"/>
      <c r="KGW2" s="568"/>
      <c r="KGX2" s="568"/>
      <c r="KGY2" s="568"/>
      <c r="KGZ2" s="568"/>
      <c r="KHA2" s="568"/>
      <c r="KHB2" s="568"/>
      <c r="KHC2" s="568"/>
      <c r="KHD2" s="568"/>
      <c r="KHE2" s="568"/>
      <c r="KHF2" s="568"/>
      <c r="KHG2" s="568"/>
      <c r="KHH2" s="568"/>
      <c r="KHI2" s="568"/>
      <c r="KHJ2" s="568"/>
      <c r="KHK2" s="568"/>
      <c r="KHL2" s="568"/>
      <c r="KHM2" s="568"/>
      <c r="KHN2" s="568"/>
      <c r="KHO2" s="568"/>
      <c r="KHP2" s="568"/>
      <c r="KHQ2" s="568"/>
      <c r="KHR2" s="568"/>
      <c r="KHS2" s="568"/>
      <c r="KHT2" s="568"/>
      <c r="KHU2" s="568"/>
      <c r="KHV2" s="568"/>
      <c r="KHW2" s="568"/>
      <c r="KHX2" s="568"/>
      <c r="KHY2" s="568"/>
      <c r="KHZ2" s="568"/>
      <c r="KIA2" s="568"/>
      <c r="KIB2" s="568"/>
      <c r="KIC2" s="568"/>
      <c r="KID2" s="568"/>
      <c r="KIE2" s="568"/>
      <c r="KIF2" s="568"/>
      <c r="KIG2" s="568"/>
      <c r="KIH2" s="568"/>
      <c r="KII2" s="568"/>
      <c r="KIJ2" s="568"/>
      <c r="KIK2" s="568"/>
      <c r="KIL2" s="568"/>
      <c r="KIM2" s="568"/>
      <c r="KIN2" s="568"/>
      <c r="KIO2" s="568"/>
      <c r="KIP2" s="568"/>
      <c r="KIQ2" s="568"/>
      <c r="KIR2" s="568"/>
      <c r="KIS2" s="568"/>
      <c r="KIT2" s="568"/>
      <c r="KIU2" s="568"/>
      <c r="KIV2" s="568"/>
      <c r="KIW2" s="568"/>
      <c r="KIX2" s="568"/>
      <c r="KIY2" s="568"/>
      <c r="KIZ2" s="568"/>
      <c r="KJA2" s="568"/>
      <c r="KJB2" s="568"/>
      <c r="KJC2" s="568"/>
      <c r="KJD2" s="568"/>
      <c r="KJE2" s="568"/>
      <c r="KJF2" s="568"/>
      <c r="KJG2" s="568"/>
      <c r="KJH2" s="568"/>
      <c r="KJI2" s="568"/>
      <c r="KJJ2" s="568"/>
      <c r="KJK2" s="568"/>
      <c r="KJL2" s="568"/>
      <c r="KJM2" s="568"/>
      <c r="KJN2" s="568"/>
      <c r="KJO2" s="568"/>
      <c r="KJP2" s="568"/>
      <c r="KJQ2" s="568"/>
      <c r="KJR2" s="568"/>
      <c r="KJS2" s="568"/>
      <c r="KJT2" s="568"/>
      <c r="KJU2" s="568"/>
      <c r="KJV2" s="568"/>
      <c r="KJW2" s="568"/>
      <c r="KJX2" s="568"/>
      <c r="KJY2" s="568"/>
      <c r="KJZ2" s="568"/>
      <c r="KKA2" s="568"/>
      <c r="KKB2" s="568"/>
      <c r="KKC2" s="568"/>
      <c r="KKD2" s="568"/>
      <c r="KKE2" s="568"/>
      <c r="KKF2" s="568"/>
      <c r="KKG2" s="568"/>
      <c r="KKH2" s="568"/>
      <c r="KKI2" s="568"/>
      <c r="KKJ2" s="568"/>
      <c r="KKK2" s="568"/>
      <c r="KKL2" s="568"/>
      <c r="KKM2" s="568"/>
      <c r="KKN2" s="568"/>
      <c r="KKO2" s="568"/>
      <c r="KKP2" s="568"/>
      <c r="KKQ2" s="568"/>
      <c r="KKR2" s="568"/>
      <c r="KKS2" s="568"/>
      <c r="KKT2" s="568"/>
      <c r="KKU2" s="568"/>
      <c r="KKV2" s="568"/>
      <c r="KKW2" s="568"/>
      <c r="KKX2" s="568"/>
      <c r="KKY2" s="568"/>
      <c r="KKZ2" s="568"/>
      <c r="KLA2" s="568"/>
      <c r="KLB2" s="568"/>
      <c r="KLC2" s="568"/>
      <c r="KLD2" s="568"/>
      <c r="KLE2" s="568"/>
      <c r="KLF2" s="568"/>
      <c r="KLG2" s="568"/>
      <c r="KLH2" s="568"/>
      <c r="KLI2" s="568"/>
      <c r="KLJ2" s="568"/>
      <c r="KLK2" s="568"/>
      <c r="KLL2" s="568"/>
      <c r="KLM2" s="568"/>
      <c r="KLN2" s="568"/>
      <c r="KLO2" s="568"/>
      <c r="KLP2" s="568"/>
      <c r="KLQ2" s="568"/>
      <c r="KLR2" s="568"/>
      <c r="KLS2" s="568"/>
      <c r="KLT2" s="568"/>
      <c r="KLU2" s="568"/>
      <c r="KLV2" s="568"/>
      <c r="KLW2" s="568"/>
      <c r="KLX2" s="568"/>
      <c r="KLY2" s="568"/>
      <c r="KLZ2" s="568"/>
      <c r="KMA2" s="568"/>
      <c r="KMB2" s="568"/>
      <c r="KMC2" s="568"/>
      <c r="KMD2" s="568"/>
      <c r="KME2" s="568"/>
      <c r="KMF2" s="568"/>
      <c r="KMG2" s="568"/>
      <c r="KMH2" s="568"/>
      <c r="KMI2" s="568"/>
      <c r="KMJ2" s="568"/>
      <c r="KMK2" s="568"/>
      <c r="KML2" s="568"/>
      <c r="KMM2" s="568"/>
      <c r="KMN2" s="568"/>
      <c r="KMO2" s="568"/>
      <c r="KMP2" s="568"/>
      <c r="KMQ2" s="568"/>
      <c r="KMR2" s="568"/>
      <c r="KMS2" s="568"/>
      <c r="KMT2" s="568"/>
      <c r="KMU2" s="568"/>
      <c r="KMV2" s="568"/>
      <c r="KMW2" s="568"/>
      <c r="KMX2" s="568"/>
      <c r="KMY2" s="568"/>
      <c r="KMZ2" s="568"/>
      <c r="KNA2" s="568"/>
      <c r="KNB2" s="568"/>
      <c r="KNC2" s="568"/>
      <c r="KND2" s="568"/>
      <c r="KNE2" s="568"/>
      <c r="KNF2" s="568"/>
      <c r="KNG2" s="568"/>
      <c r="KNH2" s="568"/>
      <c r="KNI2" s="568"/>
      <c r="KNJ2" s="568"/>
      <c r="KNK2" s="568"/>
      <c r="KNL2" s="568"/>
      <c r="KNM2" s="568"/>
      <c r="KNN2" s="568"/>
      <c r="KNO2" s="568"/>
      <c r="KNP2" s="568"/>
      <c r="KNQ2" s="568"/>
      <c r="KNR2" s="568"/>
      <c r="KNS2" s="568"/>
      <c r="KNT2" s="568"/>
      <c r="KNU2" s="568"/>
      <c r="KNV2" s="568"/>
      <c r="KNW2" s="568"/>
      <c r="KNX2" s="568"/>
      <c r="KNY2" s="568"/>
      <c r="KNZ2" s="568"/>
      <c r="KOA2" s="568"/>
      <c r="KOB2" s="568"/>
      <c r="KOC2" s="568"/>
      <c r="KOD2" s="568"/>
      <c r="KOE2" s="568"/>
      <c r="KOF2" s="568"/>
      <c r="KOG2" s="568"/>
      <c r="KOH2" s="568"/>
      <c r="KOI2" s="568"/>
      <c r="KOJ2" s="568"/>
      <c r="KOK2" s="568"/>
      <c r="KOL2" s="568"/>
      <c r="KOM2" s="568"/>
      <c r="KON2" s="568"/>
      <c r="KOO2" s="568"/>
      <c r="KOP2" s="568"/>
      <c r="KOQ2" s="568"/>
      <c r="KOR2" s="568"/>
      <c r="KOS2" s="568"/>
      <c r="KOT2" s="568"/>
      <c r="KOU2" s="568"/>
      <c r="KOV2" s="568"/>
      <c r="KOW2" s="568"/>
      <c r="KOX2" s="568"/>
      <c r="KOY2" s="568"/>
      <c r="KOZ2" s="568"/>
      <c r="KPA2" s="568"/>
      <c r="KPB2" s="568"/>
      <c r="KPC2" s="568"/>
      <c r="KPD2" s="568"/>
      <c r="KPE2" s="568"/>
      <c r="KPF2" s="568"/>
      <c r="KPG2" s="568"/>
      <c r="KPH2" s="568"/>
      <c r="KPI2" s="568"/>
      <c r="KPJ2" s="568"/>
      <c r="KPK2" s="568"/>
      <c r="KPL2" s="568"/>
      <c r="KPM2" s="568"/>
      <c r="KPN2" s="568"/>
      <c r="KPO2" s="568"/>
      <c r="KPP2" s="568"/>
      <c r="KPQ2" s="568"/>
      <c r="KPR2" s="568"/>
      <c r="KPS2" s="568"/>
      <c r="KPT2" s="568"/>
      <c r="KPU2" s="568"/>
      <c r="KPV2" s="568"/>
      <c r="KPW2" s="568"/>
      <c r="KPX2" s="568"/>
      <c r="KPY2" s="568"/>
      <c r="KPZ2" s="568"/>
      <c r="KQA2" s="568"/>
      <c r="KQB2" s="568"/>
      <c r="KQC2" s="568"/>
      <c r="KQD2" s="568"/>
      <c r="KQE2" s="568"/>
      <c r="KQF2" s="568"/>
      <c r="KQG2" s="568"/>
      <c r="KQH2" s="568"/>
      <c r="KQI2" s="568"/>
      <c r="KQJ2" s="568"/>
      <c r="KQK2" s="568"/>
      <c r="KQL2" s="568"/>
      <c r="KQM2" s="568"/>
      <c r="KQN2" s="568"/>
      <c r="KQO2" s="568"/>
      <c r="KQP2" s="568"/>
      <c r="KQQ2" s="568"/>
      <c r="KQR2" s="568"/>
      <c r="KQS2" s="568"/>
      <c r="KQT2" s="568"/>
      <c r="KQU2" s="568"/>
      <c r="KQV2" s="568"/>
      <c r="KQW2" s="568"/>
      <c r="KQX2" s="568"/>
      <c r="KQY2" s="568"/>
      <c r="KQZ2" s="568"/>
      <c r="KRA2" s="568"/>
      <c r="KRB2" s="568"/>
      <c r="KRC2" s="568"/>
      <c r="KRD2" s="568"/>
      <c r="KRE2" s="568"/>
      <c r="KRF2" s="568"/>
      <c r="KRG2" s="568"/>
      <c r="KRH2" s="568"/>
      <c r="KRI2" s="568"/>
      <c r="KRJ2" s="568"/>
      <c r="KRK2" s="568"/>
      <c r="KRL2" s="568"/>
      <c r="KRM2" s="568"/>
      <c r="KRN2" s="568"/>
      <c r="KRO2" s="568"/>
      <c r="KRP2" s="568"/>
      <c r="KRQ2" s="568"/>
      <c r="KRR2" s="568"/>
      <c r="KRS2" s="568"/>
      <c r="KRT2" s="568"/>
      <c r="KRU2" s="568"/>
      <c r="KRV2" s="568"/>
      <c r="KRW2" s="568"/>
      <c r="KRX2" s="568"/>
      <c r="KRY2" s="568"/>
      <c r="KRZ2" s="568"/>
      <c r="KSA2" s="568"/>
      <c r="KSB2" s="568"/>
      <c r="KSC2" s="568"/>
      <c r="KSD2" s="568"/>
      <c r="KSE2" s="568"/>
      <c r="KSF2" s="568"/>
      <c r="KSG2" s="568"/>
      <c r="KSH2" s="568"/>
      <c r="KSI2" s="568"/>
      <c r="KSJ2" s="568"/>
      <c r="KSK2" s="568"/>
      <c r="KSL2" s="568"/>
      <c r="KSM2" s="568"/>
      <c r="KSN2" s="568"/>
      <c r="KSO2" s="568"/>
      <c r="KSP2" s="568"/>
      <c r="KSQ2" s="568"/>
      <c r="KSR2" s="568"/>
      <c r="KSS2" s="568"/>
      <c r="KST2" s="568"/>
      <c r="KSU2" s="568"/>
      <c r="KSV2" s="568"/>
      <c r="KSW2" s="568"/>
      <c r="KSX2" s="568"/>
      <c r="KSY2" s="568"/>
      <c r="KSZ2" s="568"/>
      <c r="KTA2" s="568"/>
      <c r="KTB2" s="568"/>
      <c r="KTC2" s="568"/>
      <c r="KTD2" s="568"/>
      <c r="KTE2" s="568"/>
      <c r="KTF2" s="568"/>
      <c r="KTG2" s="568"/>
      <c r="KTH2" s="568"/>
      <c r="KTI2" s="568"/>
      <c r="KTJ2" s="568"/>
      <c r="KTK2" s="568"/>
      <c r="KTL2" s="568"/>
      <c r="KTM2" s="568"/>
      <c r="KTN2" s="568"/>
      <c r="KTO2" s="568"/>
      <c r="KTP2" s="568"/>
      <c r="KTQ2" s="568"/>
      <c r="KTR2" s="568"/>
      <c r="KTS2" s="568"/>
      <c r="KTT2" s="568"/>
      <c r="KTU2" s="568"/>
      <c r="KTV2" s="568"/>
      <c r="KTW2" s="568"/>
      <c r="KTX2" s="568"/>
      <c r="KTY2" s="568"/>
      <c r="KTZ2" s="568"/>
      <c r="KUA2" s="568"/>
      <c r="KUB2" s="568"/>
      <c r="KUC2" s="568"/>
      <c r="KUD2" s="568"/>
      <c r="KUE2" s="568"/>
      <c r="KUF2" s="568"/>
      <c r="KUG2" s="568"/>
      <c r="KUH2" s="568"/>
      <c r="KUI2" s="568"/>
      <c r="KUJ2" s="568"/>
      <c r="KUK2" s="568"/>
      <c r="KUL2" s="568"/>
      <c r="KUM2" s="568"/>
      <c r="KUN2" s="568"/>
      <c r="KUO2" s="568"/>
      <c r="KUP2" s="568"/>
      <c r="KUQ2" s="568"/>
      <c r="KUR2" s="568"/>
      <c r="KUS2" s="568"/>
      <c r="KUT2" s="568"/>
      <c r="KUU2" s="568"/>
      <c r="KUV2" s="568"/>
      <c r="KUW2" s="568"/>
      <c r="KUX2" s="568"/>
      <c r="KUY2" s="568"/>
      <c r="KUZ2" s="568"/>
      <c r="KVA2" s="568"/>
      <c r="KVB2" s="568"/>
      <c r="KVC2" s="568"/>
      <c r="KVD2" s="568"/>
      <c r="KVE2" s="568"/>
      <c r="KVF2" s="568"/>
      <c r="KVG2" s="568"/>
      <c r="KVH2" s="568"/>
      <c r="KVI2" s="568"/>
      <c r="KVJ2" s="568"/>
      <c r="KVK2" s="568"/>
      <c r="KVL2" s="568"/>
      <c r="KVM2" s="568"/>
      <c r="KVN2" s="568"/>
      <c r="KVO2" s="568"/>
      <c r="KVP2" s="568"/>
      <c r="KVQ2" s="568"/>
      <c r="KVR2" s="568"/>
      <c r="KVS2" s="568"/>
      <c r="KVT2" s="568"/>
      <c r="KVU2" s="568"/>
      <c r="KVV2" s="568"/>
      <c r="KVW2" s="568"/>
      <c r="KVX2" s="568"/>
      <c r="KVY2" s="568"/>
      <c r="KVZ2" s="568"/>
      <c r="KWA2" s="568"/>
      <c r="KWB2" s="568"/>
      <c r="KWC2" s="568"/>
      <c r="KWD2" s="568"/>
      <c r="KWE2" s="568"/>
      <c r="KWF2" s="568"/>
      <c r="KWG2" s="568"/>
      <c r="KWH2" s="568"/>
      <c r="KWI2" s="568"/>
      <c r="KWJ2" s="568"/>
      <c r="KWK2" s="568"/>
      <c r="KWL2" s="568"/>
      <c r="KWM2" s="568"/>
      <c r="KWN2" s="568"/>
      <c r="KWO2" s="568"/>
      <c r="KWP2" s="568"/>
      <c r="KWQ2" s="568"/>
      <c r="KWR2" s="568"/>
      <c r="KWS2" s="568"/>
      <c r="KWT2" s="568"/>
      <c r="KWU2" s="568"/>
      <c r="KWV2" s="568"/>
      <c r="KWW2" s="568"/>
      <c r="KWX2" s="568"/>
      <c r="KWY2" s="568"/>
      <c r="KWZ2" s="568"/>
      <c r="KXA2" s="568"/>
      <c r="KXB2" s="568"/>
      <c r="KXC2" s="568"/>
      <c r="KXD2" s="568"/>
      <c r="KXE2" s="568"/>
      <c r="KXF2" s="568"/>
      <c r="KXG2" s="568"/>
      <c r="KXH2" s="568"/>
      <c r="KXI2" s="568"/>
      <c r="KXJ2" s="568"/>
      <c r="KXK2" s="568"/>
      <c r="KXL2" s="568"/>
      <c r="KXM2" s="568"/>
      <c r="KXN2" s="568"/>
      <c r="KXO2" s="568"/>
      <c r="KXP2" s="568"/>
      <c r="KXQ2" s="568"/>
      <c r="KXR2" s="568"/>
      <c r="KXS2" s="568"/>
      <c r="KXT2" s="568"/>
      <c r="KXU2" s="568"/>
      <c r="KXV2" s="568"/>
      <c r="KXW2" s="568"/>
      <c r="KXX2" s="568"/>
      <c r="KXY2" s="568"/>
      <c r="KXZ2" s="568"/>
      <c r="KYA2" s="568"/>
      <c r="KYB2" s="568"/>
      <c r="KYC2" s="568"/>
      <c r="KYD2" s="568"/>
      <c r="KYE2" s="568"/>
      <c r="KYF2" s="568"/>
      <c r="KYG2" s="568"/>
      <c r="KYH2" s="568"/>
      <c r="KYI2" s="568"/>
      <c r="KYJ2" s="568"/>
      <c r="KYK2" s="568"/>
      <c r="KYL2" s="568"/>
      <c r="KYM2" s="568"/>
      <c r="KYN2" s="568"/>
      <c r="KYO2" s="568"/>
      <c r="KYP2" s="568"/>
      <c r="KYQ2" s="568"/>
      <c r="KYR2" s="568"/>
      <c r="KYS2" s="568"/>
      <c r="KYT2" s="568"/>
      <c r="KYU2" s="568"/>
      <c r="KYV2" s="568"/>
      <c r="KYW2" s="568"/>
      <c r="KYX2" s="568"/>
      <c r="KYY2" s="568"/>
      <c r="KYZ2" s="568"/>
      <c r="KZA2" s="568"/>
      <c r="KZB2" s="568"/>
      <c r="KZC2" s="568"/>
      <c r="KZD2" s="568"/>
      <c r="KZE2" s="568"/>
      <c r="KZF2" s="568"/>
      <c r="KZG2" s="568"/>
      <c r="KZH2" s="568"/>
      <c r="KZI2" s="568"/>
      <c r="KZJ2" s="568"/>
      <c r="KZK2" s="568"/>
      <c r="KZL2" s="568"/>
      <c r="KZM2" s="568"/>
      <c r="KZN2" s="568"/>
      <c r="KZO2" s="568"/>
      <c r="KZP2" s="568"/>
      <c r="KZQ2" s="568"/>
      <c r="KZR2" s="568"/>
      <c r="KZS2" s="568"/>
      <c r="KZT2" s="568"/>
      <c r="KZU2" s="568"/>
      <c r="KZV2" s="568"/>
      <c r="KZW2" s="568"/>
      <c r="KZX2" s="568"/>
      <c r="KZY2" s="568"/>
      <c r="KZZ2" s="568"/>
      <c r="LAA2" s="568"/>
      <c r="LAB2" s="568"/>
      <c r="LAC2" s="568"/>
      <c r="LAD2" s="568"/>
      <c r="LAE2" s="568"/>
      <c r="LAF2" s="568"/>
      <c r="LAG2" s="568"/>
      <c r="LAH2" s="568"/>
      <c r="LAI2" s="568"/>
      <c r="LAJ2" s="568"/>
      <c r="LAK2" s="568"/>
      <c r="LAL2" s="568"/>
      <c r="LAM2" s="568"/>
      <c r="LAN2" s="568"/>
      <c r="LAO2" s="568"/>
      <c r="LAP2" s="568"/>
      <c r="LAQ2" s="568"/>
      <c r="LAR2" s="568"/>
      <c r="LAS2" s="568"/>
      <c r="LAT2" s="568"/>
      <c r="LAU2" s="568"/>
      <c r="LAV2" s="568"/>
      <c r="LAW2" s="568"/>
      <c r="LAX2" s="568"/>
      <c r="LAY2" s="568"/>
      <c r="LAZ2" s="568"/>
      <c r="LBA2" s="568"/>
      <c r="LBB2" s="568"/>
      <c r="LBC2" s="568"/>
      <c r="LBD2" s="568"/>
      <c r="LBE2" s="568"/>
      <c r="LBF2" s="568"/>
      <c r="LBG2" s="568"/>
      <c r="LBH2" s="568"/>
      <c r="LBI2" s="568"/>
      <c r="LBJ2" s="568"/>
      <c r="LBK2" s="568"/>
      <c r="LBL2" s="568"/>
      <c r="LBM2" s="568"/>
      <c r="LBN2" s="568"/>
      <c r="LBO2" s="568"/>
      <c r="LBP2" s="568"/>
      <c r="LBQ2" s="568"/>
      <c r="LBR2" s="568"/>
      <c r="LBS2" s="568"/>
      <c r="LBT2" s="568"/>
      <c r="LBU2" s="568"/>
      <c r="LBV2" s="568"/>
      <c r="LBW2" s="568"/>
      <c r="LBX2" s="568"/>
      <c r="LBY2" s="568"/>
      <c r="LBZ2" s="568"/>
      <c r="LCA2" s="568"/>
      <c r="LCB2" s="568"/>
      <c r="LCC2" s="568"/>
      <c r="LCD2" s="568"/>
      <c r="LCE2" s="568"/>
      <c r="LCF2" s="568"/>
      <c r="LCG2" s="568"/>
      <c r="LCH2" s="568"/>
      <c r="LCI2" s="568"/>
      <c r="LCJ2" s="568"/>
      <c r="LCK2" s="568"/>
      <c r="LCL2" s="568"/>
      <c r="LCM2" s="568"/>
      <c r="LCN2" s="568"/>
      <c r="LCO2" s="568"/>
      <c r="LCP2" s="568"/>
      <c r="LCQ2" s="568"/>
      <c r="LCR2" s="568"/>
      <c r="LCS2" s="568"/>
      <c r="LCT2" s="568"/>
      <c r="LCU2" s="568"/>
      <c r="LCV2" s="568"/>
      <c r="LCW2" s="568"/>
      <c r="LCX2" s="568"/>
      <c r="LCY2" s="568"/>
      <c r="LCZ2" s="568"/>
      <c r="LDA2" s="568"/>
      <c r="LDB2" s="568"/>
      <c r="LDC2" s="568"/>
      <c r="LDD2" s="568"/>
      <c r="LDE2" s="568"/>
      <c r="LDF2" s="568"/>
      <c r="LDG2" s="568"/>
      <c r="LDH2" s="568"/>
      <c r="LDI2" s="568"/>
      <c r="LDJ2" s="568"/>
      <c r="LDK2" s="568"/>
      <c r="LDL2" s="568"/>
      <c r="LDM2" s="568"/>
      <c r="LDN2" s="568"/>
      <c r="LDO2" s="568"/>
      <c r="LDP2" s="568"/>
      <c r="LDQ2" s="568"/>
      <c r="LDR2" s="568"/>
      <c r="LDS2" s="568"/>
      <c r="LDT2" s="568"/>
      <c r="LDU2" s="568"/>
      <c r="LDV2" s="568"/>
      <c r="LDW2" s="568"/>
      <c r="LDX2" s="568"/>
      <c r="LDY2" s="568"/>
      <c r="LDZ2" s="568"/>
      <c r="LEA2" s="568"/>
      <c r="LEB2" s="568"/>
      <c r="LEC2" s="568"/>
      <c r="LED2" s="568"/>
      <c r="LEE2" s="568"/>
      <c r="LEF2" s="568"/>
      <c r="LEG2" s="568"/>
      <c r="LEH2" s="568"/>
      <c r="LEI2" s="568"/>
      <c r="LEJ2" s="568"/>
      <c r="LEK2" s="568"/>
      <c r="LEL2" s="568"/>
      <c r="LEM2" s="568"/>
      <c r="LEN2" s="568"/>
      <c r="LEO2" s="568"/>
      <c r="LEP2" s="568"/>
      <c r="LEQ2" s="568"/>
      <c r="LER2" s="568"/>
      <c r="LES2" s="568"/>
      <c r="LET2" s="568"/>
      <c r="LEU2" s="568"/>
      <c r="LEV2" s="568"/>
      <c r="LEW2" s="568"/>
      <c r="LEX2" s="568"/>
      <c r="LEY2" s="568"/>
      <c r="LEZ2" s="568"/>
      <c r="LFA2" s="568"/>
      <c r="LFB2" s="568"/>
      <c r="LFC2" s="568"/>
      <c r="LFD2" s="568"/>
      <c r="LFE2" s="568"/>
      <c r="LFF2" s="568"/>
      <c r="LFG2" s="568"/>
      <c r="LFH2" s="568"/>
      <c r="LFI2" s="568"/>
      <c r="LFJ2" s="568"/>
      <c r="LFK2" s="568"/>
      <c r="LFL2" s="568"/>
      <c r="LFM2" s="568"/>
      <c r="LFN2" s="568"/>
      <c r="LFO2" s="568"/>
      <c r="LFP2" s="568"/>
      <c r="LFQ2" s="568"/>
      <c r="LFR2" s="568"/>
      <c r="LFS2" s="568"/>
      <c r="LFT2" s="568"/>
      <c r="LFU2" s="568"/>
      <c r="LFV2" s="568"/>
      <c r="LFW2" s="568"/>
      <c r="LFX2" s="568"/>
      <c r="LFY2" s="568"/>
      <c r="LFZ2" s="568"/>
      <c r="LGA2" s="568"/>
      <c r="LGB2" s="568"/>
      <c r="LGC2" s="568"/>
      <c r="LGD2" s="568"/>
      <c r="LGE2" s="568"/>
      <c r="LGF2" s="568"/>
      <c r="LGG2" s="568"/>
      <c r="LGH2" s="568"/>
      <c r="LGI2" s="568"/>
      <c r="LGJ2" s="568"/>
      <c r="LGK2" s="568"/>
      <c r="LGL2" s="568"/>
      <c r="LGM2" s="568"/>
      <c r="LGN2" s="568"/>
      <c r="LGO2" s="568"/>
      <c r="LGP2" s="568"/>
      <c r="LGQ2" s="568"/>
      <c r="LGR2" s="568"/>
      <c r="LGS2" s="568"/>
      <c r="LGT2" s="568"/>
      <c r="LGU2" s="568"/>
      <c r="LGV2" s="568"/>
      <c r="LGW2" s="568"/>
      <c r="LGX2" s="568"/>
      <c r="LGY2" s="568"/>
      <c r="LGZ2" s="568"/>
      <c r="LHA2" s="568"/>
      <c r="LHB2" s="568"/>
      <c r="LHC2" s="568"/>
      <c r="LHD2" s="568"/>
      <c r="LHE2" s="568"/>
      <c r="LHF2" s="568"/>
      <c r="LHG2" s="568"/>
      <c r="LHH2" s="568"/>
      <c r="LHI2" s="568"/>
      <c r="LHJ2" s="568"/>
      <c r="LHK2" s="568"/>
      <c r="LHL2" s="568"/>
      <c r="LHM2" s="568"/>
      <c r="LHN2" s="568"/>
      <c r="LHO2" s="568"/>
      <c r="LHP2" s="568"/>
      <c r="LHQ2" s="568"/>
      <c r="LHR2" s="568"/>
      <c r="LHS2" s="568"/>
      <c r="LHT2" s="568"/>
      <c r="LHU2" s="568"/>
      <c r="LHV2" s="568"/>
      <c r="LHW2" s="568"/>
      <c r="LHX2" s="568"/>
      <c r="LHY2" s="568"/>
      <c r="LHZ2" s="568"/>
      <c r="LIA2" s="568"/>
      <c r="LIB2" s="568"/>
      <c r="LIC2" s="568"/>
      <c r="LID2" s="568"/>
      <c r="LIE2" s="568"/>
      <c r="LIF2" s="568"/>
      <c r="LIG2" s="568"/>
      <c r="LIH2" s="568"/>
      <c r="LII2" s="568"/>
      <c r="LIJ2" s="568"/>
      <c r="LIK2" s="568"/>
      <c r="LIL2" s="568"/>
      <c r="LIM2" s="568"/>
      <c r="LIN2" s="568"/>
      <c r="LIO2" s="568"/>
      <c r="LIP2" s="568"/>
      <c r="LIQ2" s="568"/>
      <c r="LIR2" s="568"/>
      <c r="LIS2" s="568"/>
      <c r="LIT2" s="568"/>
      <c r="LIU2" s="568"/>
      <c r="LIV2" s="568"/>
      <c r="LIW2" s="568"/>
      <c r="LIX2" s="568"/>
      <c r="LIY2" s="568"/>
      <c r="LIZ2" s="568"/>
      <c r="LJA2" s="568"/>
      <c r="LJB2" s="568"/>
      <c r="LJC2" s="568"/>
      <c r="LJD2" s="568"/>
      <c r="LJE2" s="568"/>
      <c r="LJF2" s="568"/>
      <c r="LJG2" s="568"/>
      <c r="LJH2" s="568"/>
      <c r="LJI2" s="568"/>
      <c r="LJJ2" s="568"/>
      <c r="LJK2" s="568"/>
      <c r="LJL2" s="568"/>
      <c r="LJM2" s="568"/>
      <c r="LJN2" s="568"/>
      <c r="LJO2" s="568"/>
      <c r="LJP2" s="568"/>
      <c r="LJQ2" s="568"/>
      <c r="LJR2" s="568"/>
      <c r="LJS2" s="568"/>
      <c r="LJT2" s="568"/>
      <c r="LJU2" s="568"/>
      <c r="LJV2" s="568"/>
      <c r="LJW2" s="568"/>
      <c r="LJX2" s="568"/>
      <c r="LJY2" s="568"/>
      <c r="LJZ2" s="568"/>
      <c r="LKA2" s="568"/>
      <c r="LKB2" s="568"/>
      <c r="LKC2" s="568"/>
      <c r="LKD2" s="568"/>
      <c r="LKE2" s="568"/>
      <c r="LKF2" s="568"/>
      <c r="LKG2" s="568"/>
      <c r="LKH2" s="568"/>
      <c r="LKI2" s="568"/>
      <c r="LKJ2" s="568"/>
      <c r="LKK2" s="568"/>
      <c r="LKL2" s="568"/>
      <c r="LKM2" s="568"/>
      <c r="LKN2" s="568"/>
      <c r="LKO2" s="568"/>
      <c r="LKP2" s="568"/>
      <c r="LKQ2" s="568"/>
      <c r="LKR2" s="568"/>
      <c r="LKS2" s="568"/>
      <c r="LKT2" s="568"/>
      <c r="LKU2" s="568"/>
      <c r="LKV2" s="568"/>
      <c r="LKW2" s="568"/>
      <c r="LKX2" s="568"/>
      <c r="LKY2" s="568"/>
      <c r="LKZ2" s="568"/>
      <c r="LLA2" s="568"/>
      <c r="LLB2" s="568"/>
      <c r="LLC2" s="568"/>
      <c r="LLD2" s="568"/>
      <c r="LLE2" s="568"/>
      <c r="LLF2" s="568"/>
      <c r="LLG2" s="568"/>
      <c r="LLH2" s="568"/>
      <c r="LLI2" s="568"/>
      <c r="LLJ2" s="568"/>
      <c r="LLK2" s="568"/>
      <c r="LLL2" s="568"/>
      <c r="LLM2" s="568"/>
      <c r="LLN2" s="568"/>
      <c r="LLO2" s="568"/>
      <c r="LLP2" s="568"/>
      <c r="LLQ2" s="568"/>
      <c r="LLR2" s="568"/>
      <c r="LLS2" s="568"/>
      <c r="LLT2" s="568"/>
      <c r="LLU2" s="568"/>
      <c r="LLV2" s="568"/>
      <c r="LLW2" s="568"/>
      <c r="LLX2" s="568"/>
      <c r="LLY2" s="568"/>
      <c r="LLZ2" s="568"/>
      <c r="LMA2" s="568"/>
      <c r="LMB2" s="568"/>
      <c r="LMC2" s="568"/>
      <c r="LMD2" s="568"/>
      <c r="LME2" s="568"/>
      <c r="LMF2" s="568"/>
      <c r="LMG2" s="568"/>
      <c r="LMH2" s="568"/>
      <c r="LMI2" s="568"/>
      <c r="LMJ2" s="568"/>
      <c r="LMK2" s="568"/>
      <c r="LML2" s="568"/>
      <c r="LMM2" s="568"/>
      <c r="LMN2" s="568"/>
      <c r="LMO2" s="568"/>
      <c r="LMP2" s="568"/>
      <c r="LMQ2" s="568"/>
      <c r="LMR2" s="568"/>
      <c r="LMS2" s="568"/>
      <c r="LMT2" s="568"/>
      <c r="LMU2" s="568"/>
      <c r="LMV2" s="568"/>
      <c r="LMW2" s="568"/>
      <c r="LMX2" s="568"/>
      <c r="LMY2" s="568"/>
      <c r="LMZ2" s="568"/>
      <c r="LNA2" s="568"/>
      <c r="LNB2" s="568"/>
      <c r="LNC2" s="568"/>
      <c r="LND2" s="568"/>
      <c r="LNE2" s="568"/>
      <c r="LNF2" s="568"/>
      <c r="LNG2" s="568"/>
      <c r="LNH2" s="568"/>
      <c r="LNI2" s="568"/>
      <c r="LNJ2" s="568"/>
      <c r="LNK2" s="568"/>
      <c r="LNL2" s="568"/>
      <c r="LNM2" s="568"/>
      <c r="LNN2" s="568"/>
      <c r="LNO2" s="568"/>
      <c r="LNP2" s="568"/>
      <c r="LNQ2" s="568"/>
      <c r="LNR2" s="568"/>
      <c r="LNS2" s="568"/>
      <c r="LNT2" s="568"/>
      <c r="LNU2" s="568"/>
      <c r="LNV2" s="568"/>
      <c r="LNW2" s="568"/>
      <c r="LNX2" s="568"/>
      <c r="LNY2" s="568"/>
      <c r="LNZ2" s="568"/>
      <c r="LOA2" s="568"/>
      <c r="LOB2" s="568"/>
      <c r="LOC2" s="568"/>
      <c r="LOD2" s="568"/>
      <c r="LOE2" s="568"/>
      <c r="LOF2" s="568"/>
      <c r="LOG2" s="568"/>
      <c r="LOH2" s="568"/>
      <c r="LOI2" s="568"/>
      <c r="LOJ2" s="568"/>
      <c r="LOK2" s="568"/>
      <c r="LOL2" s="568"/>
      <c r="LOM2" s="568"/>
      <c r="LON2" s="568"/>
      <c r="LOO2" s="568"/>
      <c r="LOP2" s="568"/>
      <c r="LOQ2" s="568"/>
      <c r="LOR2" s="568"/>
      <c r="LOS2" s="568"/>
      <c r="LOT2" s="568"/>
      <c r="LOU2" s="568"/>
      <c r="LOV2" s="568"/>
      <c r="LOW2" s="568"/>
      <c r="LOX2" s="568"/>
      <c r="LOY2" s="568"/>
      <c r="LOZ2" s="568"/>
      <c r="LPA2" s="568"/>
      <c r="LPB2" s="568"/>
      <c r="LPC2" s="568"/>
      <c r="LPD2" s="568"/>
      <c r="LPE2" s="568"/>
      <c r="LPF2" s="568"/>
      <c r="LPG2" s="568"/>
      <c r="LPH2" s="568"/>
      <c r="LPI2" s="568"/>
      <c r="LPJ2" s="568"/>
      <c r="LPK2" s="568"/>
      <c r="LPL2" s="568"/>
      <c r="LPM2" s="568"/>
      <c r="LPN2" s="568"/>
      <c r="LPO2" s="568"/>
      <c r="LPP2" s="568"/>
      <c r="LPQ2" s="568"/>
      <c r="LPR2" s="568"/>
      <c r="LPS2" s="568"/>
      <c r="LPT2" s="568"/>
      <c r="LPU2" s="568"/>
      <c r="LPV2" s="568"/>
      <c r="LPW2" s="568"/>
      <c r="LPX2" s="568"/>
      <c r="LPY2" s="568"/>
      <c r="LPZ2" s="568"/>
      <c r="LQA2" s="568"/>
      <c r="LQB2" s="568"/>
      <c r="LQC2" s="568"/>
      <c r="LQD2" s="568"/>
      <c r="LQE2" s="568"/>
      <c r="LQF2" s="568"/>
      <c r="LQG2" s="568"/>
      <c r="LQH2" s="568"/>
      <c r="LQI2" s="568"/>
      <c r="LQJ2" s="568"/>
      <c r="LQK2" s="568"/>
      <c r="LQL2" s="568"/>
      <c r="LQM2" s="568"/>
      <c r="LQN2" s="568"/>
      <c r="LQO2" s="568"/>
      <c r="LQP2" s="568"/>
      <c r="LQQ2" s="568"/>
      <c r="LQR2" s="568"/>
      <c r="LQS2" s="568"/>
      <c r="LQT2" s="568"/>
      <c r="LQU2" s="568"/>
      <c r="LQV2" s="568"/>
      <c r="LQW2" s="568"/>
      <c r="LQX2" s="568"/>
      <c r="LQY2" s="568"/>
      <c r="LQZ2" s="568"/>
      <c r="LRA2" s="568"/>
      <c r="LRB2" s="568"/>
      <c r="LRC2" s="568"/>
      <c r="LRD2" s="568"/>
      <c r="LRE2" s="568"/>
      <c r="LRF2" s="568"/>
      <c r="LRG2" s="568"/>
      <c r="LRH2" s="568"/>
      <c r="LRI2" s="568"/>
      <c r="LRJ2" s="568"/>
      <c r="LRK2" s="568"/>
      <c r="LRL2" s="568"/>
      <c r="LRM2" s="568"/>
      <c r="LRN2" s="568"/>
      <c r="LRO2" s="568"/>
      <c r="LRP2" s="568"/>
      <c r="LRQ2" s="568"/>
      <c r="LRR2" s="568"/>
      <c r="LRS2" s="568"/>
      <c r="LRT2" s="568"/>
      <c r="LRU2" s="568"/>
      <c r="LRV2" s="568"/>
      <c r="LRW2" s="568"/>
      <c r="LRX2" s="568"/>
      <c r="LRY2" s="568"/>
      <c r="LRZ2" s="568"/>
      <c r="LSA2" s="568"/>
      <c r="LSB2" s="568"/>
      <c r="LSC2" s="568"/>
      <c r="LSD2" s="568"/>
      <c r="LSE2" s="568"/>
      <c r="LSF2" s="568"/>
      <c r="LSG2" s="568"/>
      <c r="LSH2" s="568"/>
      <c r="LSI2" s="568"/>
      <c r="LSJ2" s="568"/>
      <c r="LSK2" s="568"/>
      <c r="LSL2" s="568"/>
      <c r="LSM2" s="568"/>
      <c r="LSN2" s="568"/>
      <c r="LSO2" s="568"/>
      <c r="LSP2" s="568"/>
      <c r="LSQ2" s="568"/>
      <c r="LSR2" s="568"/>
      <c r="LSS2" s="568"/>
      <c r="LST2" s="568"/>
      <c r="LSU2" s="568"/>
      <c r="LSV2" s="568"/>
      <c r="LSW2" s="568"/>
      <c r="LSX2" s="568"/>
      <c r="LSY2" s="568"/>
      <c r="LSZ2" s="568"/>
      <c r="LTA2" s="568"/>
      <c r="LTB2" s="568"/>
      <c r="LTC2" s="568"/>
      <c r="LTD2" s="568"/>
      <c r="LTE2" s="568"/>
      <c r="LTF2" s="568"/>
      <c r="LTG2" s="568"/>
      <c r="LTH2" s="568"/>
      <c r="LTI2" s="568"/>
      <c r="LTJ2" s="568"/>
      <c r="LTK2" s="568"/>
      <c r="LTL2" s="568"/>
      <c r="LTM2" s="568"/>
      <c r="LTN2" s="568"/>
      <c r="LTO2" s="568"/>
      <c r="LTP2" s="568"/>
      <c r="LTQ2" s="568"/>
      <c r="LTR2" s="568"/>
      <c r="LTS2" s="568"/>
      <c r="LTT2" s="568"/>
      <c r="LTU2" s="568"/>
      <c r="LTV2" s="568"/>
      <c r="LTW2" s="568"/>
      <c r="LTX2" s="568"/>
      <c r="LTY2" s="568"/>
      <c r="LTZ2" s="568"/>
      <c r="LUA2" s="568"/>
      <c r="LUB2" s="568"/>
      <c r="LUC2" s="568"/>
      <c r="LUD2" s="568"/>
      <c r="LUE2" s="568"/>
      <c r="LUF2" s="568"/>
      <c r="LUG2" s="568"/>
      <c r="LUH2" s="568"/>
      <c r="LUI2" s="568"/>
      <c r="LUJ2" s="568"/>
      <c r="LUK2" s="568"/>
      <c r="LUL2" s="568"/>
      <c r="LUM2" s="568"/>
      <c r="LUN2" s="568"/>
      <c r="LUO2" s="568"/>
      <c r="LUP2" s="568"/>
      <c r="LUQ2" s="568"/>
      <c r="LUR2" s="568"/>
      <c r="LUS2" s="568"/>
      <c r="LUT2" s="568"/>
      <c r="LUU2" s="568"/>
      <c r="LUV2" s="568"/>
      <c r="LUW2" s="568"/>
      <c r="LUX2" s="568"/>
      <c r="LUY2" s="568"/>
      <c r="LUZ2" s="568"/>
      <c r="LVA2" s="568"/>
      <c r="LVB2" s="568"/>
      <c r="LVC2" s="568"/>
      <c r="LVD2" s="568"/>
      <c r="LVE2" s="568"/>
      <c r="LVF2" s="568"/>
      <c r="LVG2" s="568"/>
      <c r="LVH2" s="568"/>
      <c r="LVI2" s="568"/>
      <c r="LVJ2" s="568"/>
      <c r="LVK2" s="568"/>
      <c r="LVL2" s="568"/>
      <c r="LVM2" s="568"/>
      <c r="LVN2" s="568"/>
      <c r="LVO2" s="568"/>
      <c r="LVP2" s="568"/>
      <c r="LVQ2" s="568"/>
      <c r="LVR2" s="568"/>
      <c r="LVS2" s="568"/>
      <c r="LVT2" s="568"/>
      <c r="LVU2" s="568"/>
      <c r="LVV2" s="568"/>
      <c r="LVW2" s="568"/>
      <c r="LVX2" s="568"/>
      <c r="LVY2" s="568"/>
      <c r="LVZ2" s="568"/>
      <c r="LWA2" s="568"/>
      <c r="LWB2" s="568"/>
      <c r="LWC2" s="568"/>
      <c r="LWD2" s="568"/>
      <c r="LWE2" s="568"/>
      <c r="LWF2" s="568"/>
      <c r="LWG2" s="568"/>
      <c r="LWH2" s="568"/>
      <c r="LWI2" s="568"/>
      <c r="LWJ2" s="568"/>
      <c r="LWK2" s="568"/>
      <c r="LWL2" s="568"/>
      <c r="LWM2" s="568"/>
      <c r="LWN2" s="568"/>
      <c r="LWO2" s="568"/>
      <c r="LWP2" s="568"/>
      <c r="LWQ2" s="568"/>
      <c r="LWR2" s="568"/>
      <c r="LWS2" s="568"/>
      <c r="LWT2" s="568"/>
      <c r="LWU2" s="568"/>
      <c r="LWV2" s="568"/>
      <c r="LWW2" s="568"/>
      <c r="LWX2" s="568"/>
      <c r="LWY2" s="568"/>
      <c r="LWZ2" s="568"/>
      <c r="LXA2" s="568"/>
      <c r="LXB2" s="568"/>
      <c r="LXC2" s="568"/>
      <c r="LXD2" s="568"/>
      <c r="LXE2" s="568"/>
      <c r="LXF2" s="568"/>
      <c r="LXG2" s="568"/>
      <c r="LXH2" s="568"/>
      <c r="LXI2" s="568"/>
      <c r="LXJ2" s="568"/>
      <c r="LXK2" s="568"/>
      <c r="LXL2" s="568"/>
      <c r="LXM2" s="568"/>
      <c r="LXN2" s="568"/>
      <c r="LXO2" s="568"/>
      <c r="LXP2" s="568"/>
      <c r="LXQ2" s="568"/>
      <c r="LXR2" s="568"/>
      <c r="LXS2" s="568"/>
      <c r="LXT2" s="568"/>
      <c r="LXU2" s="568"/>
      <c r="LXV2" s="568"/>
      <c r="LXW2" s="568"/>
      <c r="LXX2" s="568"/>
      <c r="LXY2" s="568"/>
      <c r="LXZ2" s="568"/>
      <c r="LYA2" s="568"/>
      <c r="LYB2" s="568"/>
      <c r="LYC2" s="568"/>
      <c r="LYD2" s="568"/>
      <c r="LYE2" s="568"/>
      <c r="LYF2" s="568"/>
      <c r="LYG2" s="568"/>
      <c r="LYH2" s="568"/>
      <c r="LYI2" s="568"/>
      <c r="LYJ2" s="568"/>
      <c r="LYK2" s="568"/>
      <c r="LYL2" s="568"/>
      <c r="LYM2" s="568"/>
      <c r="LYN2" s="568"/>
      <c r="LYO2" s="568"/>
      <c r="LYP2" s="568"/>
      <c r="LYQ2" s="568"/>
      <c r="LYR2" s="568"/>
      <c r="LYS2" s="568"/>
      <c r="LYT2" s="568"/>
      <c r="LYU2" s="568"/>
      <c r="LYV2" s="568"/>
      <c r="LYW2" s="568"/>
      <c r="LYX2" s="568"/>
      <c r="LYY2" s="568"/>
      <c r="LYZ2" s="568"/>
      <c r="LZA2" s="568"/>
      <c r="LZB2" s="568"/>
      <c r="LZC2" s="568"/>
      <c r="LZD2" s="568"/>
      <c r="LZE2" s="568"/>
      <c r="LZF2" s="568"/>
      <c r="LZG2" s="568"/>
      <c r="LZH2" s="568"/>
      <c r="LZI2" s="568"/>
      <c r="LZJ2" s="568"/>
      <c r="LZK2" s="568"/>
      <c r="LZL2" s="568"/>
      <c r="LZM2" s="568"/>
      <c r="LZN2" s="568"/>
      <c r="LZO2" s="568"/>
      <c r="LZP2" s="568"/>
      <c r="LZQ2" s="568"/>
      <c r="LZR2" s="568"/>
      <c r="LZS2" s="568"/>
      <c r="LZT2" s="568"/>
      <c r="LZU2" s="568"/>
      <c r="LZV2" s="568"/>
      <c r="LZW2" s="568"/>
      <c r="LZX2" s="568"/>
      <c r="LZY2" s="568"/>
      <c r="LZZ2" s="568"/>
      <c r="MAA2" s="568"/>
      <c r="MAB2" s="568"/>
      <c r="MAC2" s="568"/>
      <c r="MAD2" s="568"/>
      <c r="MAE2" s="568"/>
      <c r="MAF2" s="568"/>
      <c r="MAG2" s="568"/>
      <c r="MAH2" s="568"/>
      <c r="MAI2" s="568"/>
      <c r="MAJ2" s="568"/>
      <c r="MAK2" s="568"/>
      <c r="MAL2" s="568"/>
      <c r="MAM2" s="568"/>
      <c r="MAN2" s="568"/>
      <c r="MAO2" s="568"/>
      <c r="MAP2" s="568"/>
      <c r="MAQ2" s="568"/>
      <c r="MAR2" s="568"/>
      <c r="MAS2" s="568"/>
      <c r="MAT2" s="568"/>
      <c r="MAU2" s="568"/>
      <c r="MAV2" s="568"/>
      <c r="MAW2" s="568"/>
      <c r="MAX2" s="568"/>
      <c r="MAY2" s="568"/>
      <c r="MAZ2" s="568"/>
      <c r="MBA2" s="568"/>
      <c r="MBB2" s="568"/>
      <c r="MBC2" s="568"/>
      <c r="MBD2" s="568"/>
      <c r="MBE2" s="568"/>
      <c r="MBF2" s="568"/>
      <c r="MBG2" s="568"/>
      <c r="MBH2" s="568"/>
      <c r="MBI2" s="568"/>
      <c r="MBJ2" s="568"/>
      <c r="MBK2" s="568"/>
      <c r="MBL2" s="568"/>
      <c r="MBM2" s="568"/>
      <c r="MBN2" s="568"/>
      <c r="MBO2" s="568"/>
      <c r="MBP2" s="568"/>
      <c r="MBQ2" s="568"/>
      <c r="MBR2" s="568"/>
      <c r="MBS2" s="568"/>
      <c r="MBT2" s="568"/>
      <c r="MBU2" s="568"/>
      <c r="MBV2" s="568"/>
      <c r="MBW2" s="568"/>
      <c r="MBX2" s="568"/>
      <c r="MBY2" s="568"/>
      <c r="MBZ2" s="568"/>
      <c r="MCA2" s="568"/>
      <c r="MCB2" s="568"/>
      <c r="MCC2" s="568"/>
      <c r="MCD2" s="568"/>
      <c r="MCE2" s="568"/>
      <c r="MCF2" s="568"/>
      <c r="MCG2" s="568"/>
      <c r="MCH2" s="568"/>
      <c r="MCI2" s="568"/>
      <c r="MCJ2" s="568"/>
      <c r="MCK2" s="568"/>
      <c r="MCL2" s="568"/>
      <c r="MCM2" s="568"/>
      <c r="MCN2" s="568"/>
      <c r="MCO2" s="568"/>
      <c r="MCP2" s="568"/>
      <c r="MCQ2" s="568"/>
      <c r="MCR2" s="568"/>
      <c r="MCS2" s="568"/>
      <c r="MCT2" s="568"/>
      <c r="MCU2" s="568"/>
      <c r="MCV2" s="568"/>
      <c r="MCW2" s="568"/>
      <c r="MCX2" s="568"/>
      <c r="MCY2" s="568"/>
      <c r="MCZ2" s="568"/>
      <c r="MDA2" s="568"/>
      <c r="MDB2" s="568"/>
      <c r="MDC2" s="568"/>
      <c r="MDD2" s="568"/>
      <c r="MDE2" s="568"/>
      <c r="MDF2" s="568"/>
      <c r="MDG2" s="568"/>
      <c r="MDH2" s="568"/>
      <c r="MDI2" s="568"/>
      <c r="MDJ2" s="568"/>
      <c r="MDK2" s="568"/>
      <c r="MDL2" s="568"/>
      <c r="MDM2" s="568"/>
      <c r="MDN2" s="568"/>
      <c r="MDO2" s="568"/>
      <c r="MDP2" s="568"/>
      <c r="MDQ2" s="568"/>
      <c r="MDR2" s="568"/>
      <c r="MDS2" s="568"/>
      <c r="MDT2" s="568"/>
      <c r="MDU2" s="568"/>
      <c r="MDV2" s="568"/>
      <c r="MDW2" s="568"/>
      <c r="MDX2" s="568"/>
      <c r="MDY2" s="568"/>
      <c r="MDZ2" s="568"/>
      <c r="MEA2" s="568"/>
      <c r="MEB2" s="568"/>
      <c r="MEC2" s="568"/>
      <c r="MED2" s="568"/>
      <c r="MEE2" s="568"/>
      <c r="MEF2" s="568"/>
      <c r="MEG2" s="568"/>
      <c r="MEH2" s="568"/>
      <c r="MEI2" s="568"/>
      <c r="MEJ2" s="568"/>
      <c r="MEK2" s="568"/>
      <c r="MEL2" s="568"/>
      <c r="MEM2" s="568"/>
      <c r="MEN2" s="568"/>
      <c r="MEO2" s="568"/>
      <c r="MEP2" s="568"/>
      <c r="MEQ2" s="568"/>
      <c r="MER2" s="568"/>
      <c r="MES2" s="568"/>
      <c r="MET2" s="568"/>
      <c r="MEU2" s="568"/>
      <c r="MEV2" s="568"/>
      <c r="MEW2" s="568"/>
      <c r="MEX2" s="568"/>
      <c r="MEY2" s="568"/>
      <c r="MEZ2" s="568"/>
      <c r="MFA2" s="568"/>
      <c r="MFB2" s="568"/>
      <c r="MFC2" s="568"/>
      <c r="MFD2" s="568"/>
      <c r="MFE2" s="568"/>
      <c r="MFF2" s="568"/>
      <c r="MFG2" s="568"/>
      <c r="MFH2" s="568"/>
      <c r="MFI2" s="568"/>
      <c r="MFJ2" s="568"/>
      <c r="MFK2" s="568"/>
      <c r="MFL2" s="568"/>
      <c r="MFM2" s="568"/>
      <c r="MFN2" s="568"/>
      <c r="MFO2" s="568"/>
      <c r="MFP2" s="568"/>
      <c r="MFQ2" s="568"/>
      <c r="MFR2" s="568"/>
      <c r="MFS2" s="568"/>
      <c r="MFT2" s="568"/>
      <c r="MFU2" s="568"/>
      <c r="MFV2" s="568"/>
      <c r="MFW2" s="568"/>
      <c r="MFX2" s="568"/>
      <c r="MFY2" s="568"/>
      <c r="MFZ2" s="568"/>
      <c r="MGA2" s="568"/>
      <c r="MGB2" s="568"/>
      <c r="MGC2" s="568"/>
      <c r="MGD2" s="568"/>
      <c r="MGE2" s="568"/>
      <c r="MGF2" s="568"/>
      <c r="MGG2" s="568"/>
      <c r="MGH2" s="568"/>
      <c r="MGI2" s="568"/>
      <c r="MGJ2" s="568"/>
      <c r="MGK2" s="568"/>
      <c r="MGL2" s="568"/>
      <c r="MGM2" s="568"/>
      <c r="MGN2" s="568"/>
      <c r="MGO2" s="568"/>
      <c r="MGP2" s="568"/>
      <c r="MGQ2" s="568"/>
      <c r="MGR2" s="568"/>
      <c r="MGS2" s="568"/>
      <c r="MGT2" s="568"/>
      <c r="MGU2" s="568"/>
      <c r="MGV2" s="568"/>
      <c r="MGW2" s="568"/>
      <c r="MGX2" s="568"/>
      <c r="MGY2" s="568"/>
      <c r="MGZ2" s="568"/>
      <c r="MHA2" s="568"/>
      <c r="MHB2" s="568"/>
      <c r="MHC2" s="568"/>
      <c r="MHD2" s="568"/>
      <c r="MHE2" s="568"/>
      <c r="MHF2" s="568"/>
      <c r="MHG2" s="568"/>
      <c r="MHH2" s="568"/>
      <c r="MHI2" s="568"/>
      <c r="MHJ2" s="568"/>
      <c r="MHK2" s="568"/>
      <c r="MHL2" s="568"/>
      <c r="MHM2" s="568"/>
      <c r="MHN2" s="568"/>
      <c r="MHO2" s="568"/>
      <c r="MHP2" s="568"/>
      <c r="MHQ2" s="568"/>
      <c r="MHR2" s="568"/>
      <c r="MHS2" s="568"/>
      <c r="MHT2" s="568"/>
      <c r="MHU2" s="568"/>
      <c r="MHV2" s="568"/>
      <c r="MHW2" s="568"/>
      <c r="MHX2" s="568"/>
      <c r="MHY2" s="568"/>
      <c r="MHZ2" s="568"/>
      <c r="MIA2" s="568"/>
      <c r="MIB2" s="568"/>
      <c r="MIC2" s="568"/>
      <c r="MID2" s="568"/>
      <c r="MIE2" s="568"/>
      <c r="MIF2" s="568"/>
      <c r="MIG2" s="568"/>
      <c r="MIH2" s="568"/>
      <c r="MII2" s="568"/>
      <c r="MIJ2" s="568"/>
      <c r="MIK2" s="568"/>
      <c r="MIL2" s="568"/>
      <c r="MIM2" s="568"/>
      <c r="MIN2" s="568"/>
      <c r="MIO2" s="568"/>
      <c r="MIP2" s="568"/>
      <c r="MIQ2" s="568"/>
      <c r="MIR2" s="568"/>
      <c r="MIS2" s="568"/>
      <c r="MIT2" s="568"/>
      <c r="MIU2" s="568"/>
      <c r="MIV2" s="568"/>
      <c r="MIW2" s="568"/>
      <c r="MIX2" s="568"/>
      <c r="MIY2" s="568"/>
      <c r="MIZ2" s="568"/>
      <c r="MJA2" s="568"/>
      <c r="MJB2" s="568"/>
      <c r="MJC2" s="568"/>
      <c r="MJD2" s="568"/>
      <c r="MJE2" s="568"/>
      <c r="MJF2" s="568"/>
      <c r="MJG2" s="568"/>
      <c r="MJH2" s="568"/>
      <c r="MJI2" s="568"/>
      <c r="MJJ2" s="568"/>
      <c r="MJK2" s="568"/>
      <c r="MJL2" s="568"/>
      <c r="MJM2" s="568"/>
      <c r="MJN2" s="568"/>
      <c r="MJO2" s="568"/>
      <c r="MJP2" s="568"/>
      <c r="MJQ2" s="568"/>
      <c r="MJR2" s="568"/>
      <c r="MJS2" s="568"/>
      <c r="MJT2" s="568"/>
      <c r="MJU2" s="568"/>
      <c r="MJV2" s="568"/>
      <c r="MJW2" s="568"/>
      <c r="MJX2" s="568"/>
      <c r="MJY2" s="568"/>
      <c r="MJZ2" s="568"/>
      <c r="MKA2" s="568"/>
      <c r="MKB2" s="568"/>
      <c r="MKC2" s="568"/>
      <c r="MKD2" s="568"/>
      <c r="MKE2" s="568"/>
      <c r="MKF2" s="568"/>
      <c r="MKG2" s="568"/>
      <c r="MKH2" s="568"/>
      <c r="MKI2" s="568"/>
      <c r="MKJ2" s="568"/>
      <c r="MKK2" s="568"/>
      <c r="MKL2" s="568"/>
      <c r="MKM2" s="568"/>
      <c r="MKN2" s="568"/>
      <c r="MKO2" s="568"/>
      <c r="MKP2" s="568"/>
      <c r="MKQ2" s="568"/>
      <c r="MKR2" s="568"/>
      <c r="MKS2" s="568"/>
      <c r="MKT2" s="568"/>
      <c r="MKU2" s="568"/>
      <c r="MKV2" s="568"/>
      <c r="MKW2" s="568"/>
      <c r="MKX2" s="568"/>
      <c r="MKY2" s="568"/>
      <c r="MKZ2" s="568"/>
      <c r="MLA2" s="568"/>
      <c r="MLB2" s="568"/>
      <c r="MLC2" s="568"/>
      <c r="MLD2" s="568"/>
      <c r="MLE2" s="568"/>
      <c r="MLF2" s="568"/>
      <c r="MLG2" s="568"/>
      <c r="MLH2" s="568"/>
      <c r="MLI2" s="568"/>
      <c r="MLJ2" s="568"/>
      <c r="MLK2" s="568"/>
      <c r="MLL2" s="568"/>
      <c r="MLM2" s="568"/>
      <c r="MLN2" s="568"/>
      <c r="MLO2" s="568"/>
      <c r="MLP2" s="568"/>
      <c r="MLQ2" s="568"/>
      <c r="MLR2" s="568"/>
      <c r="MLS2" s="568"/>
      <c r="MLT2" s="568"/>
      <c r="MLU2" s="568"/>
      <c r="MLV2" s="568"/>
      <c r="MLW2" s="568"/>
      <c r="MLX2" s="568"/>
      <c r="MLY2" s="568"/>
      <c r="MLZ2" s="568"/>
      <c r="MMA2" s="568"/>
      <c r="MMB2" s="568"/>
      <c r="MMC2" s="568"/>
      <c r="MMD2" s="568"/>
      <c r="MME2" s="568"/>
      <c r="MMF2" s="568"/>
      <c r="MMG2" s="568"/>
      <c r="MMH2" s="568"/>
      <c r="MMI2" s="568"/>
      <c r="MMJ2" s="568"/>
      <c r="MMK2" s="568"/>
      <c r="MML2" s="568"/>
      <c r="MMM2" s="568"/>
      <c r="MMN2" s="568"/>
      <c r="MMO2" s="568"/>
      <c r="MMP2" s="568"/>
      <c r="MMQ2" s="568"/>
      <c r="MMR2" s="568"/>
      <c r="MMS2" s="568"/>
      <c r="MMT2" s="568"/>
      <c r="MMU2" s="568"/>
      <c r="MMV2" s="568"/>
      <c r="MMW2" s="568"/>
      <c r="MMX2" s="568"/>
      <c r="MMY2" s="568"/>
      <c r="MMZ2" s="568"/>
      <c r="MNA2" s="568"/>
      <c r="MNB2" s="568"/>
      <c r="MNC2" s="568"/>
      <c r="MND2" s="568"/>
      <c r="MNE2" s="568"/>
      <c r="MNF2" s="568"/>
      <c r="MNG2" s="568"/>
      <c r="MNH2" s="568"/>
      <c r="MNI2" s="568"/>
      <c r="MNJ2" s="568"/>
      <c r="MNK2" s="568"/>
      <c r="MNL2" s="568"/>
      <c r="MNM2" s="568"/>
      <c r="MNN2" s="568"/>
      <c r="MNO2" s="568"/>
      <c r="MNP2" s="568"/>
      <c r="MNQ2" s="568"/>
      <c r="MNR2" s="568"/>
      <c r="MNS2" s="568"/>
      <c r="MNT2" s="568"/>
      <c r="MNU2" s="568"/>
      <c r="MNV2" s="568"/>
      <c r="MNW2" s="568"/>
      <c r="MNX2" s="568"/>
      <c r="MNY2" s="568"/>
      <c r="MNZ2" s="568"/>
      <c r="MOA2" s="568"/>
      <c r="MOB2" s="568"/>
      <c r="MOC2" s="568"/>
      <c r="MOD2" s="568"/>
      <c r="MOE2" s="568"/>
      <c r="MOF2" s="568"/>
      <c r="MOG2" s="568"/>
      <c r="MOH2" s="568"/>
      <c r="MOI2" s="568"/>
      <c r="MOJ2" s="568"/>
      <c r="MOK2" s="568"/>
      <c r="MOL2" s="568"/>
      <c r="MOM2" s="568"/>
      <c r="MON2" s="568"/>
      <c r="MOO2" s="568"/>
      <c r="MOP2" s="568"/>
      <c r="MOQ2" s="568"/>
      <c r="MOR2" s="568"/>
      <c r="MOS2" s="568"/>
      <c r="MOT2" s="568"/>
      <c r="MOU2" s="568"/>
      <c r="MOV2" s="568"/>
      <c r="MOW2" s="568"/>
      <c r="MOX2" s="568"/>
      <c r="MOY2" s="568"/>
      <c r="MOZ2" s="568"/>
      <c r="MPA2" s="568"/>
      <c r="MPB2" s="568"/>
      <c r="MPC2" s="568"/>
      <c r="MPD2" s="568"/>
      <c r="MPE2" s="568"/>
      <c r="MPF2" s="568"/>
      <c r="MPG2" s="568"/>
      <c r="MPH2" s="568"/>
      <c r="MPI2" s="568"/>
      <c r="MPJ2" s="568"/>
      <c r="MPK2" s="568"/>
      <c r="MPL2" s="568"/>
      <c r="MPM2" s="568"/>
      <c r="MPN2" s="568"/>
      <c r="MPO2" s="568"/>
      <c r="MPP2" s="568"/>
      <c r="MPQ2" s="568"/>
      <c r="MPR2" s="568"/>
      <c r="MPS2" s="568"/>
      <c r="MPT2" s="568"/>
      <c r="MPU2" s="568"/>
      <c r="MPV2" s="568"/>
      <c r="MPW2" s="568"/>
      <c r="MPX2" s="568"/>
      <c r="MPY2" s="568"/>
      <c r="MPZ2" s="568"/>
      <c r="MQA2" s="568"/>
      <c r="MQB2" s="568"/>
      <c r="MQC2" s="568"/>
      <c r="MQD2" s="568"/>
      <c r="MQE2" s="568"/>
      <c r="MQF2" s="568"/>
      <c r="MQG2" s="568"/>
      <c r="MQH2" s="568"/>
      <c r="MQI2" s="568"/>
      <c r="MQJ2" s="568"/>
      <c r="MQK2" s="568"/>
      <c r="MQL2" s="568"/>
      <c r="MQM2" s="568"/>
      <c r="MQN2" s="568"/>
      <c r="MQO2" s="568"/>
      <c r="MQP2" s="568"/>
      <c r="MQQ2" s="568"/>
      <c r="MQR2" s="568"/>
      <c r="MQS2" s="568"/>
      <c r="MQT2" s="568"/>
      <c r="MQU2" s="568"/>
      <c r="MQV2" s="568"/>
      <c r="MQW2" s="568"/>
      <c r="MQX2" s="568"/>
      <c r="MQY2" s="568"/>
      <c r="MQZ2" s="568"/>
      <c r="MRA2" s="568"/>
      <c r="MRB2" s="568"/>
      <c r="MRC2" s="568"/>
      <c r="MRD2" s="568"/>
      <c r="MRE2" s="568"/>
      <c r="MRF2" s="568"/>
      <c r="MRG2" s="568"/>
      <c r="MRH2" s="568"/>
      <c r="MRI2" s="568"/>
      <c r="MRJ2" s="568"/>
      <c r="MRK2" s="568"/>
      <c r="MRL2" s="568"/>
      <c r="MRM2" s="568"/>
      <c r="MRN2" s="568"/>
      <c r="MRO2" s="568"/>
      <c r="MRP2" s="568"/>
      <c r="MRQ2" s="568"/>
      <c r="MRR2" s="568"/>
      <c r="MRS2" s="568"/>
      <c r="MRT2" s="568"/>
      <c r="MRU2" s="568"/>
      <c r="MRV2" s="568"/>
      <c r="MRW2" s="568"/>
      <c r="MRX2" s="568"/>
      <c r="MRY2" s="568"/>
      <c r="MRZ2" s="568"/>
      <c r="MSA2" s="568"/>
      <c r="MSB2" s="568"/>
      <c r="MSC2" s="568"/>
      <c r="MSD2" s="568"/>
      <c r="MSE2" s="568"/>
      <c r="MSF2" s="568"/>
      <c r="MSG2" s="568"/>
      <c r="MSH2" s="568"/>
      <c r="MSI2" s="568"/>
      <c r="MSJ2" s="568"/>
      <c r="MSK2" s="568"/>
      <c r="MSL2" s="568"/>
      <c r="MSM2" s="568"/>
      <c r="MSN2" s="568"/>
      <c r="MSO2" s="568"/>
      <c r="MSP2" s="568"/>
      <c r="MSQ2" s="568"/>
      <c r="MSR2" s="568"/>
      <c r="MSS2" s="568"/>
      <c r="MST2" s="568"/>
      <c r="MSU2" s="568"/>
      <c r="MSV2" s="568"/>
      <c r="MSW2" s="568"/>
      <c r="MSX2" s="568"/>
      <c r="MSY2" s="568"/>
      <c r="MSZ2" s="568"/>
      <c r="MTA2" s="568"/>
      <c r="MTB2" s="568"/>
      <c r="MTC2" s="568"/>
      <c r="MTD2" s="568"/>
      <c r="MTE2" s="568"/>
      <c r="MTF2" s="568"/>
      <c r="MTG2" s="568"/>
      <c r="MTH2" s="568"/>
      <c r="MTI2" s="568"/>
      <c r="MTJ2" s="568"/>
      <c r="MTK2" s="568"/>
      <c r="MTL2" s="568"/>
      <c r="MTM2" s="568"/>
      <c r="MTN2" s="568"/>
      <c r="MTO2" s="568"/>
      <c r="MTP2" s="568"/>
      <c r="MTQ2" s="568"/>
      <c r="MTR2" s="568"/>
      <c r="MTS2" s="568"/>
      <c r="MTT2" s="568"/>
      <c r="MTU2" s="568"/>
      <c r="MTV2" s="568"/>
      <c r="MTW2" s="568"/>
      <c r="MTX2" s="568"/>
      <c r="MTY2" s="568"/>
      <c r="MTZ2" s="568"/>
      <c r="MUA2" s="568"/>
      <c r="MUB2" s="568"/>
      <c r="MUC2" s="568"/>
      <c r="MUD2" s="568"/>
      <c r="MUE2" s="568"/>
      <c r="MUF2" s="568"/>
      <c r="MUG2" s="568"/>
      <c r="MUH2" s="568"/>
      <c r="MUI2" s="568"/>
      <c r="MUJ2" s="568"/>
      <c r="MUK2" s="568"/>
      <c r="MUL2" s="568"/>
      <c r="MUM2" s="568"/>
      <c r="MUN2" s="568"/>
      <c r="MUO2" s="568"/>
      <c r="MUP2" s="568"/>
      <c r="MUQ2" s="568"/>
      <c r="MUR2" s="568"/>
      <c r="MUS2" s="568"/>
      <c r="MUT2" s="568"/>
      <c r="MUU2" s="568"/>
      <c r="MUV2" s="568"/>
      <c r="MUW2" s="568"/>
      <c r="MUX2" s="568"/>
      <c r="MUY2" s="568"/>
      <c r="MUZ2" s="568"/>
      <c r="MVA2" s="568"/>
      <c r="MVB2" s="568"/>
      <c r="MVC2" s="568"/>
      <c r="MVD2" s="568"/>
      <c r="MVE2" s="568"/>
      <c r="MVF2" s="568"/>
      <c r="MVG2" s="568"/>
      <c r="MVH2" s="568"/>
      <c r="MVI2" s="568"/>
      <c r="MVJ2" s="568"/>
      <c r="MVK2" s="568"/>
      <c r="MVL2" s="568"/>
      <c r="MVM2" s="568"/>
      <c r="MVN2" s="568"/>
      <c r="MVO2" s="568"/>
      <c r="MVP2" s="568"/>
      <c r="MVQ2" s="568"/>
      <c r="MVR2" s="568"/>
      <c r="MVS2" s="568"/>
      <c r="MVT2" s="568"/>
      <c r="MVU2" s="568"/>
      <c r="MVV2" s="568"/>
      <c r="MVW2" s="568"/>
      <c r="MVX2" s="568"/>
      <c r="MVY2" s="568"/>
      <c r="MVZ2" s="568"/>
      <c r="MWA2" s="568"/>
      <c r="MWB2" s="568"/>
      <c r="MWC2" s="568"/>
      <c r="MWD2" s="568"/>
      <c r="MWE2" s="568"/>
      <c r="MWF2" s="568"/>
      <c r="MWG2" s="568"/>
      <c r="MWH2" s="568"/>
      <c r="MWI2" s="568"/>
      <c r="MWJ2" s="568"/>
      <c r="MWK2" s="568"/>
      <c r="MWL2" s="568"/>
      <c r="MWM2" s="568"/>
      <c r="MWN2" s="568"/>
      <c r="MWO2" s="568"/>
      <c r="MWP2" s="568"/>
      <c r="MWQ2" s="568"/>
      <c r="MWR2" s="568"/>
      <c r="MWS2" s="568"/>
      <c r="MWT2" s="568"/>
      <c r="MWU2" s="568"/>
      <c r="MWV2" s="568"/>
      <c r="MWW2" s="568"/>
      <c r="MWX2" s="568"/>
      <c r="MWY2" s="568"/>
      <c r="MWZ2" s="568"/>
      <c r="MXA2" s="568"/>
      <c r="MXB2" s="568"/>
      <c r="MXC2" s="568"/>
      <c r="MXD2" s="568"/>
      <c r="MXE2" s="568"/>
      <c r="MXF2" s="568"/>
      <c r="MXG2" s="568"/>
      <c r="MXH2" s="568"/>
      <c r="MXI2" s="568"/>
      <c r="MXJ2" s="568"/>
      <c r="MXK2" s="568"/>
      <c r="MXL2" s="568"/>
      <c r="MXM2" s="568"/>
      <c r="MXN2" s="568"/>
      <c r="MXO2" s="568"/>
      <c r="MXP2" s="568"/>
      <c r="MXQ2" s="568"/>
      <c r="MXR2" s="568"/>
      <c r="MXS2" s="568"/>
      <c r="MXT2" s="568"/>
      <c r="MXU2" s="568"/>
      <c r="MXV2" s="568"/>
      <c r="MXW2" s="568"/>
      <c r="MXX2" s="568"/>
      <c r="MXY2" s="568"/>
      <c r="MXZ2" s="568"/>
      <c r="MYA2" s="568"/>
      <c r="MYB2" s="568"/>
      <c r="MYC2" s="568"/>
      <c r="MYD2" s="568"/>
      <c r="MYE2" s="568"/>
      <c r="MYF2" s="568"/>
      <c r="MYG2" s="568"/>
      <c r="MYH2" s="568"/>
      <c r="MYI2" s="568"/>
      <c r="MYJ2" s="568"/>
      <c r="MYK2" s="568"/>
      <c r="MYL2" s="568"/>
      <c r="MYM2" s="568"/>
      <c r="MYN2" s="568"/>
      <c r="MYO2" s="568"/>
      <c r="MYP2" s="568"/>
      <c r="MYQ2" s="568"/>
      <c r="MYR2" s="568"/>
      <c r="MYS2" s="568"/>
      <c r="MYT2" s="568"/>
      <c r="MYU2" s="568"/>
      <c r="MYV2" s="568"/>
      <c r="MYW2" s="568"/>
      <c r="MYX2" s="568"/>
      <c r="MYY2" s="568"/>
      <c r="MYZ2" s="568"/>
      <c r="MZA2" s="568"/>
      <c r="MZB2" s="568"/>
      <c r="MZC2" s="568"/>
      <c r="MZD2" s="568"/>
      <c r="MZE2" s="568"/>
      <c r="MZF2" s="568"/>
      <c r="MZG2" s="568"/>
      <c r="MZH2" s="568"/>
      <c r="MZI2" s="568"/>
      <c r="MZJ2" s="568"/>
      <c r="MZK2" s="568"/>
      <c r="MZL2" s="568"/>
      <c r="MZM2" s="568"/>
      <c r="MZN2" s="568"/>
      <c r="MZO2" s="568"/>
      <c r="MZP2" s="568"/>
      <c r="MZQ2" s="568"/>
      <c r="MZR2" s="568"/>
      <c r="MZS2" s="568"/>
      <c r="MZT2" s="568"/>
      <c r="MZU2" s="568"/>
      <c r="MZV2" s="568"/>
      <c r="MZW2" s="568"/>
      <c r="MZX2" s="568"/>
      <c r="MZY2" s="568"/>
      <c r="MZZ2" s="568"/>
      <c r="NAA2" s="568"/>
      <c r="NAB2" s="568"/>
      <c r="NAC2" s="568"/>
      <c r="NAD2" s="568"/>
      <c r="NAE2" s="568"/>
      <c r="NAF2" s="568"/>
      <c r="NAG2" s="568"/>
      <c r="NAH2" s="568"/>
      <c r="NAI2" s="568"/>
      <c r="NAJ2" s="568"/>
      <c r="NAK2" s="568"/>
      <c r="NAL2" s="568"/>
      <c r="NAM2" s="568"/>
      <c r="NAN2" s="568"/>
      <c r="NAO2" s="568"/>
      <c r="NAP2" s="568"/>
      <c r="NAQ2" s="568"/>
      <c r="NAR2" s="568"/>
      <c r="NAS2" s="568"/>
      <c r="NAT2" s="568"/>
      <c r="NAU2" s="568"/>
      <c r="NAV2" s="568"/>
      <c r="NAW2" s="568"/>
      <c r="NAX2" s="568"/>
      <c r="NAY2" s="568"/>
      <c r="NAZ2" s="568"/>
      <c r="NBA2" s="568"/>
      <c r="NBB2" s="568"/>
      <c r="NBC2" s="568"/>
      <c r="NBD2" s="568"/>
      <c r="NBE2" s="568"/>
      <c r="NBF2" s="568"/>
      <c r="NBG2" s="568"/>
      <c r="NBH2" s="568"/>
      <c r="NBI2" s="568"/>
      <c r="NBJ2" s="568"/>
      <c r="NBK2" s="568"/>
      <c r="NBL2" s="568"/>
      <c r="NBM2" s="568"/>
      <c r="NBN2" s="568"/>
      <c r="NBO2" s="568"/>
      <c r="NBP2" s="568"/>
      <c r="NBQ2" s="568"/>
      <c r="NBR2" s="568"/>
      <c r="NBS2" s="568"/>
      <c r="NBT2" s="568"/>
      <c r="NBU2" s="568"/>
      <c r="NBV2" s="568"/>
      <c r="NBW2" s="568"/>
      <c r="NBX2" s="568"/>
      <c r="NBY2" s="568"/>
      <c r="NBZ2" s="568"/>
      <c r="NCA2" s="568"/>
      <c r="NCB2" s="568"/>
      <c r="NCC2" s="568"/>
      <c r="NCD2" s="568"/>
      <c r="NCE2" s="568"/>
      <c r="NCF2" s="568"/>
      <c r="NCG2" s="568"/>
      <c r="NCH2" s="568"/>
      <c r="NCI2" s="568"/>
      <c r="NCJ2" s="568"/>
      <c r="NCK2" s="568"/>
      <c r="NCL2" s="568"/>
      <c r="NCM2" s="568"/>
      <c r="NCN2" s="568"/>
      <c r="NCO2" s="568"/>
      <c r="NCP2" s="568"/>
      <c r="NCQ2" s="568"/>
      <c r="NCR2" s="568"/>
      <c r="NCS2" s="568"/>
      <c r="NCT2" s="568"/>
      <c r="NCU2" s="568"/>
      <c r="NCV2" s="568"/>
      <c r="NCW2" s="568"/>
      <c r="NCX2" s="568"/>
      <c r="NCY2" s="568"/>
      <c r="NCZ2" s="568"/>
      <c r="NDA2" s="568"/>
      <c r="NDB2" s="568"/>
      <c r="NDC2" s="568"/>
      <c r="NDD2" s="568"/>
      <c r="NDE2" s="568"/>
      <c r="NDF2" s="568"/>
      <c r="NDG2" s="568"/>
      <c r="NDH2" s="568"/>
      <c r="NDI2" s="568"/>
      <c r="NDJ2" s="568"/>
      <c r="NDK2" s="568"/>
      <c r="NDL2" s="568"/>
      <c r="NDM2" s="568"/>
      <c r="NDN2" s="568"/>
      <c r="NDO2" s="568"/>
      <c r="NDP2" s="568"/>
      <c r="NDQ2" s="568"/>
      <c r="NDR2" s="568"/>
      <c r="NDS2" s="568"/>
      <c r="NDT2" s="568"/>
      <c r="NDU2" s="568"/>
      <c r="NDV2" s="568"/>
      <c r="NDW2" s="568"/>
      <c r="NDX2" s="568"/>
      <c r="NDY2" s="568"/>
      <c r="NDZ2" s="568"/>
      <c r="NEA2" s="568"/>
      <c r="NEB2" s="568"/>
      <c r="NEC2" s="568"/>
      <c r="NED2" s="568"/>
      <c r="NEE2" s="568"/>
      <c r="NEF2" s="568"/>
      <c r="NEG2" s="568"/>
      <c r="NEH2" s="568"/>
      <c r="NEI2" s="568"/>
      <c r="NEJ2" s="568"/>
      <c r="NEK2" s="568"/>
      <c r="NEL2" s="568"/>
      <c r="NEM2" s="568"/>
      <c r="NEN2" s="568"/>
      <c r="NEO2" s="568"/>
      <c r="NEP2" s="568"/>
      <c r="NEQ2" s="568"/>
      <c r="NER2" s="568"/>
      <c r="NES2" s="568"/>
      <c r="NET2" s="568"/>
      <c r="NEU2" s="568"/>
      <c r="NEV2" s="568"/>
      <c r="NEW2" s="568"/>
      <c r="NEX2" s="568"/>
      <c r="NEY2" s="568"/>
      <c r="NEZ2" s="568"/>
      <c r="NFA2" s="568"/>
      <c r="NFB2" s="568"/>
      <c r="NFC2" s="568"/>
      <c r="NFD2" s="568"/>
      <c r="NFE2" s="568"/>
      <c r="NFF2" s="568"/>
      <c r="NFG2" s="568"/>
      <c r="NFH2" s="568"/>
      <c r="NFI2" s="568"/>
      <c r="NFJ2" s="568"/>
      <c r="NFK2" s="568"/>
      <c r="NFL2" s="568"/>
      <c r="NFM2" s="568"/>
      <c r="NFN2" s="568"/>
      <c r="NFO2" s="568"/>
      <c r="NFP2" s="568"/>
      <c r="NFQ2" s="568"/>
      <c r="NFR2" s="568"/>
      <c r="NFS2" s="568"/>
      <c r="NFT2" s="568"/>
      <c r="NFU2" s="568"/>
      <c r="NFV2" s="568"/>
      <c r="NFW2" s="568"/>
      <c r="NFX2" s="568"/>
      <c r="NFY2" s="568"/>
      <c r="NFZ2" s="568"/>
      <c r="NGA2" s="568"/>
      <c r="NGB2" s="568"/>
      <c r="NGC2" s="568"/>
      <c r="NGD2" s="568"/>
      <c r="NGE2" s="568"/>
      <c r="NGF2" s="568"/>
      <c r="NGG2" s="568"/>
      <c r="NGH2" s="568"/>
      <c r="NGI2" s="568"/>
      <c r="NGJ2" s="568"/>
      <c r="NGK2" s="568"/>
      <c r="NGL2" s="568"/>
      <c r="NGM2" s="568"/>
      <c r="NGN2" s="568"/>
      <c r="NGO2" s="568"/>
      <c r="NGP2" s="568"/>
      <c r="NGQ2" s="568"/>
      <c r="NGR2" s="568"/>
      <c r="NGS2" s="568"/>
      <c r="NGT2" s="568"/>
      <c r="NGU2" s="568"/>
      <c r="NGV2" s="568"/>
      <c r="NGW2" s="568"/>
      <c r="NGX2" s="568"/>
      <c r="NGY2" s="568"/>
      <c r="NGZ2" s="568"/>
      <c r="NHA2" s="568"/>
      <c r="NHB2" s="568"/>
      <c r="NHC2" s="568"/>
      <c r="NHD2" s="568"/>
      <c r="NHE2" s="568"/>
      <c r="NHF2" s="568"/>
      <c r="NHG2" s="568"/>
      <c r="NHH2" s="568"/>
      <c r="NHI2" s="568"/>
      <c r="NHJ2" s="568"/>
      <c r="NHK2" s="568"/>
      <c r="NHL2" s="568"/>
      <c r="NHM2" s="568"/>
      <c r="NHN2" s="568"/>
      <c r="NHO2" s="568"/>
      <c r="NHP2" s="568"/>
      <c r="NHQ2" s="568"/>
      <c r="NHR2" s="568"/>
      <c r="NHS2" s="568"/>
      <c r="NHT2" s="568"/>
      <c r="NHU2" s="568"/>
      <c r="NHV2" s="568"/>
      <c r="NHW2" s="568"/>
      <c r="NHX2" s="568"/>
      <c r="NHY2" s="568"/>
      <c r="NHZ2" s="568"/>
      <c r="NIA2" s="568"/>
      <c r="NIB2" s="568"/>
      <c r="NIC2" s="568"/>
      <c r="NID2" s="568"/>
      <c r="NIE2" s="568"/>
      <c r="NIF2" s="568"/>
      <c r="NIG2" s="568"/>
      <c r="NIH2" s="568"/>
      <c r="NII2" s="568"/>
      <c r="NIJ2" s="568"/>
      <c r="NIK2" s="568"/>
      <c r="NIL2" s="568"/>
      <c r="NIM2" s="568"/>
      <c r="NIN2" s="568"/>
      <c r="NIO2" s="568"/>
      <c r="NIP2" s="568"/>
      <c r="NIQ2" s="568"/>
      <c r="NIR2" s="568"/>
      <c r="NIS2" s="568"/>
      <c r="NIT2" s="568"/>
      <c r="NIU2" s="568"/>
      <c r="NIV2" s="568"/>
      <c r="NIW2" s="568"/>
      <c r="NIX2" s="568"/>
      <c r="NIY2" s="568"/>
      <c r="NIZ2" s="568"/>
      <c r="NJA2" s="568"/>
      <c r="NJB2" s="568"/>
      <c r="NJC2" s="568"/>
      <c r="NJD2" s="568"/>
      <c r="NJE2" s="568"/>
      <c r="NJF2" s="568"/>
      <c r="NJG2" s="568"/>
      <c r="NJH2" s="568"/>
      <c r="NJI2" s="568"/>
      <c r="NJJ2" s="568"/>
      <c r="NJK2" s="568"/>
      <c r="NJL2" s="568"/>
      <c r="NJM2" s="568"/>
      <c r="NJN2" s="568"/>
      <c r="NJO2" s="568"/>
      <c r="NJP2" s="568"/>
      <c r="NJQ2" s="568"/>
      <c r="NJR2" s="568"/>
      <c r="NJS2" s="568"/>
      <c r="NJT2" s="568"/>
      <c r="NJU2" s="568"/>
      <c r="NJV2" s="568"/>
      <c r="NJW2" s="568"/>
      <c r="NJX2" s="568"/>
      <c r="NJY2" s="568"/>
      <c r="NJZ2" s="568"/>
      <c r="NKA2" s="568"/>
      <c r="NKB2" s="568"/>
      <c r="NKC2" s="568"/>
      <c r="NKD2" s="568"/>
      <c r="NKE2" s="568"/>
      <c r="NKF2" s="568"/>
      <c r="NKG2" s="568"/>
      <c r="NKH2" s="568"/>
      <c r="NKI2" s="568"/>
      <c r="NKJ2" s="568"/>
      <c r="NKK2" s="568"/>
      <c r="NKL2" s="568"/>
      <c r="NKM2" s="568"/>
      <c r="NKN2" s="568"/>
      <c r="NKO2" s="568"/>
      <c r="NKP2" s="568"/>
      <c r="NKQ2" s="568"/>
      <c r="NKR2" s="568"/>
      <c r="NKS2" s="568"/>
      <c r="NKT2" s="568"/>
      <c r="NKU2" s="568"/>
      <c r="NKV2" s="568"/>
      <c r="NKW2" s="568"/>
      <c r="NKX2" s="568"/>
      <c r="NKY2" s="568"/>
      <c r="NKZ2" s="568"/>
      <c r="NLA2" s="568"/>
      <c r="NLB2" s="568"/>
      <c r="NLC2" s="568"/>
      <c r="NLD2" s="568"/>
      <c r="NLE2" s="568"/>
      <c r="NLF2" s="568"/>
      <c r="NLG2" s="568"/>
      <c r="NLH2" s="568"/>
      <c r="NLI2" s="568"/>
      <c r="NLJ2" s="568"/>
      <c r="NLK2" s="568"/>
      <c r="NLL2" s="568"/>
      <c r="NLM2" s="568"/>
      <c r="NLN2" s="568"/>
      <c r="NLO2" s="568"/>
      <c r="NLP2" s="568"/>
      <c r="NLQ2" s="568"/>
      <c r="NLR2" s="568"/>
      <c r="NLS2" s="568"/>
      <c r="NLT2" s="568"/>
      <c r="NLU2" s="568"/>
      <c r="NLV2" s="568"/>
      <c r="NLW2" s="568"/>
      <c r="NLX2" s="568"/>
      <c r="NLY2" s="568"/>
      <c r="NLZ2" s="568"/>
      <c r="NMA2" s="568"/>
      <c r="NMB2" s="568"/>
      <c r="NMC2" s="568"/>
      <c r="NMD2" s="568"/>
      <c r="NME2" s="568"/>
      <c r="NMF2" s="568"/>
      <c r="NMG2" s="568"/>
      <c r="NMH2" s="568"/>
      <c r="NMI2" s="568"/>
      <c r="NMJ2" s="568"/>
      <c r="NMK2" s="568"/>
      <c r="NML2" s="568"/>
      <c r="NMM2" s="568"/>
      <c r="NMN2" s="568"/>
      <c r="NMO2" s="568"/>
      <c r="NMP2" s="568"/>
      <c r="NMQ2" s="568"/>
      <c r="NMR2" s="568"/>
      <c r="NMS2" s="568"/>
      <c r="NMT2" s="568"/>
      <c r="NMU2" s="568"/>
      <c r="NMV2" s="568"/>
      <c r="NMW2" s="568"/>
      <c r="NMX2" s="568"/>
      <c r="NMY2" s="568"/>
      <c r="NMZ2" s="568"/>
      <c r="NNA2" s="568"/>
      <c r="NNB2" s="568"/>
      <c r="NNC2" s="568"/>
      <c r="NND2" s="568"/>
      <c r="NNE2" s="568"/>
      <c r="NNF2" s="568"/>
      <c r="NNG2" s="568"/>
      <c r="NNH2" s="568"/>
      <c r="NNI2" s="568"/>
      <c r="NNJ2" s="568"/>
      <c r="NNK2" s="568"/>
      <c r="NNL2" s="568"/>
      <c r="NNM2" s="568"/>
      <c r="NNN2" s="568"/>
      <c r="NNO2" s="568"/>
      <c r="NNP2" s="568"/>
      <c r="NNQ2" s="568"/>
      <c r="NNR2" s="568"/>
      <c r="NNS2" s="568"/>
      <c r="NNT2" s="568"/>
      <c r="NNU2" s="568"/>
      <c r="NNV2" s="568"/>
      <c r="NNW2" s="568"/>
      <c r="NNX2" s="568"/>
      <c r="NNY2" s="568"/>
      <c r="NNZ2" s="568"/>
      <c r="NOA2" s="568"/>
      <c r="NOB2" s="568"/>
      <c r="NOC2" s="568"/>
      <c r="NOD2" s="568"/>
      <c r="NOE2" s="568"/>
      <c r="NOF2" s="568"/>
      <c r="NOG2" s="568"/>
      <c r="NOH2" s="568"/>
      <c r="NOI2" s="568"/>
      <c r="NOJ2" s="568"/>
      <c r="NOK2" s="568"/>
      <c r="NOL2" s="568"/>
      <c r="NOM2" s="568"/>
      <c r="NON2" s="568"/>
      <c r="NOO2" s="568"/>
      <c r="NOP2" s="568"/>
      <c r="NOQ2" s="568"/>
      <c r="NOR2" s="568"/>
      <c r="NOS2" s="568"/>
      <c r="NOT2" s="568"/>
      <c r="NOU2" s="568"/>
      <c r="NOV2" s="568"/>
      <c r="NOW2" s="568"/>
      <c r="NOX2" s="568"/>
      <c r="NOY2" s="568"/>
      <c r="NOZ2" s="568"/>
      <c r="NPA2" s="568"/>
      <c r="NPB2" s="568"/>
      <c r="NPC2" s="568"/>
      <c r="NPD2" s="568"/>
      <c r="NPE2" s="568"/>
      <c r="NPF2" s="568"/>
      <c r="NPG2" s="568"/>
      <c r="NPH2" s="568"/>
      <c r="NPI2" s="568"/>
      <c r="NPJ2" s="568"/>
      <c r="NPK2" s="568"/>
      <c r="NPL2" s="568"/>
      <c r="NPM2" s="568"/>
      <c r="NPN2" s="568"/>
      <c r="NPO2" s="568"/>
      <c r="NPP2" s="568"/>
      <c r="NPQ2" s="568"/>
      <c r="NPR2" s="568"/>
      <c r="NPS2" s="568"/>
      <c r="NPT2" s="568"/>
      <c r="NPU2" s="568"/>
      <c r="NPV2" s="568"/>
      <c r="NPW2" s="568"/>
      <c r="NPX2" s="568"/>
      <c r="NPY2" s="568"/>
      <c r="NPZ2" s="568"/>
      <c r="NQA2" s="568"/>
      <c r="NQB2" s="568"/>
      <c r="NQC2" s="568"/>
      <c r="NQD2" s="568"/>
      <c r="NQE2" s="568"/>
      <c r="NQF2" s="568"/>
      <c r="NQG2" s="568"/>
      <c r="NQH2" s="568"/>
      <c r="NQI2" s="568"/>
      <c r="NQJ2" s="568"/>
      <c r="NQK2" s="568"/>
      <c r="NQL2" s="568"/>
      <c r="NQM2" s="568"/>
      <c r="NQN2" s="568"/>
      <c r="NQO2" s="568"/>
      <c r="NQP2" s="568"/>
      <c r="NQQ2" s="568"/>
      <c r="NQR2" s="568"/>
      <c r="NQS2" s="568"/>
      <c r="NQT2" s="568"/>
      <c r="NQU2" s="568"/>
      <c r="NQV2" s="568"/>
      <c r="NQW2" s="568"/>
      <c r="NQX2" s="568"/>
      <c r="NQY2" s="568"/>
      <c r="NQZ2" s="568"/>
      <c r="NRA2" s="568"/>
      <c r="NRB2" s="568"/>
      <c r="NRC2" s="568"/>
      <c r="NRD2" s="568"/>
      <c r="NRE2" s="568"/>
      <c r="NRF2" s="568"/>
      <c r="NRG2" s="568"/>
      <c r="NRH2" s="568"/>
      <c r="NRI2" s="568"/>
      <c r="NRJ2" s="568"/>
      <c r="NRK2" s="568"/>
      <c r="NRL2" s="568"/>
      <c r="NRM2" s="568"/>
      <c r="NRN2" s="568"/>
      <c r="NRO2" s="568"/>
      <c r="NRP2" s="568"/>
      <c r="NRQ2" s="568"/>
      <c r="NRR2" s="568"/>
      <c r="NRS2" s="568"/>
      <c r="NRT2" s="568"/>
      <c r="NRU2" s="568"/>
      <c r="NRV2" s="568"/>
      <c r="NRW2" s="568"/>
      <c r="NRX2" s="568"/>
      <c r="NRY2" s="568"/>
      <c r="NRZ2" s="568"/>
      <c r="NSA2" s="568"/>
      <c r="NSB2" s="568"/>
      <c r="NSC2" s="568"/>
      <c r="NSD2" s="568"/>
      <c r="NSE2" s="568"/>
      <c r="NSF2" s="568"/>
      <c r="NSG2" s="568"/>
      <c r="NSH2" s="568"/>
      <c r="NSI2" s="568"/>
      <c r="NSJ2" s="568"/>
      <c r="NSK2" s="568"/>
      <c r="NSL2" s="568"/>
      <c r="NSM2" s="568"/>
      <c r="NSN2" s="568"/>
      <c r="NSO2" s="568"/>
      <c r="NSP2" s="568"/>
      <c r="NSQ2" s="568"/>
      <c r="NSR2" s="568"/>
      <c r="NSS2" s="568"/>
      <c r="NST2" s="568"/>
      <c r="NSU2" s="568"/>
      <c r="NSV2" s="568"/>
      <c r="NSW2" s="568"/>
      <c r="NSX2" s="568"/>
      <c r="NSY2" s="568"/>
      <c r="NSZ2" s="568"/>
      <c r="NTA2" s="568"/>
      <c r="NTB2" s="568"/>
      <c r="NTC2" s="568"/>
      <c r="NTD2" s="568"/>
      <c r="NTE2" s="568"/>
      <c r="NTF2" s="568"/>
      <c r="NTG2" s="568"/>
      <c r="NTH2" s="568"/>
      <c r="NTI2" s="568"/>
      <c r="NTJ2" s="568"/>
      <c r="NTK2" s="568"/>
      <c r="NTL2" s="568"/>
      <c r="NTM2" s="568"/>
      <c r="NTN2" s="568"/>
      <c r="NTO2" s="568"/>
      <c r="NTP2" s="568"/>
      <c r="NTQ2" s="568"/>
      <c r="NTR2" s="568"/>
      <c r="NTS2" s="568"/>
      <c r="NTT2" s="568"/>
      <c r="NTU2" s="568"/>
      <c r="NTV2" s="568"/>
      <c r="NTW2" s="568"/>
      <c r="NTX2" s="568"/>
      <c r="NTY2" s="568"/>
      <c r="NTZ2" s="568"/>
      <c r="NUA2" s="568"/>
      <c r="NUB2" s="568"/>
      <c r="NUC2" s="568"/>
      <c r="NUD2" s="568"/>
      <c r="NUE2" s="568"/>
      <c r="NUF2" s="568"/>
      <c r="NUG2" s="568"/>
      <c r="NUH2" s="568"/>
      <c r="NUI2" s="568"/>
      <c r="NUJ2" s="568"/>
      <c r="NUK2" s="568"/>
      <c r="NUL2" s="568"/>
      <c r="NUM2" s="568"/>
      <c r="NUN2" s="568"/>
      <c r="NUO2" s="568"/>
      <c r="NUP2" s="568"/>
      <c r="NUQ2" s="568"/>
      <c r="NUR2" s="568"/>
      <c r="NUS2" s="568"/>
      <c r="NUT2" s="568"/>
      <c r="NUU2" s="568"/>
      <c r="NUV2" s="568"/>
      <c r="NUW2" s="568"/>
      <c r="NUX2" s="568"/>
      <c r="NUY2" s="568"/>
      <c r="NUZ2" s="568"/>
      <c r="NVA2" s="568"/>
      <c r="NVB2" s="568"/>
      <c r="NVC2" s="568"/>
      <c r="NVD2" s="568"/>
      <c r="NVE2" s="568"/>
      <c r="NVF2" s="568"/>
      <c r="NVG2" s="568"/>
      <c r="NVH2" s="568"/>
      <c r="NVI2" s="568"/>
      <c r="NVJ2" s="568"/>
      <c r="NVK2" s="568"/>
      <c r="NVL2" s="568"/>
      <c r="NVM2" s="568"/>
      <c r="NVN2" s="568"/>
      <c r="NVO2" s="568"/>
      <c r="NVP2" s="568"/>
      <c r="NVQ2" s="568"/>
      <c r="NVR2" s="568"/>
      <c r="NVS2" s="568"/>
      <c r="NVT2" s="568"/>
      <c r="NVU2" s="568"/>
      <c r="NVV2" s="568"/>
      <c r="NVW2" s="568"/>
      <c r="NVX2" s="568"/>
      <c r="NVY2" s="568"/>
      <c r="NVZ2" s="568"/>
      <c r="NWA2" s="568"/>
      <c r="NWB2" s="568"/>
      <c r="NWC2" s="568"/>
      <c r="NWD2" s="568"/>
      <c r="NWE2" s="568"/>
      <c r="NWF2" s="568"/>
      <c r="NWG2" s="568"/>
      <c r="NWH2" s="568"/>
      <c r="NWI2" s="568"/>
      <c r="NWJ2" s="568"/>
      <c r="NWK2" s="568"/>
      <c r="NWL2" s="568"/>
      <c r="NWM2" s="568"/>
      <c r="NWN2" s="568"/>
      <c r="NWO2" s="568"/>
      <c r="NWP2" s="568"/>
      <c r="NWQ2" s="568"/>
      <c r="NWR2" s="568"/>
      <c r="NWS2" s="568"/>
      <c r="NWT2" s="568"/>
      <c r="NWU2" s="568"/>
      <c r="NWV2" s="568"/>
      <c r="NWW2" s="568"/>
      <c r="NWX2" s="568"/>
      <c r="NWY2" s="568"/>
      <c r="NWZ2" s="568"/>
      <c r="NXA2" s="568"/>
      <c r="NXB2" s="568"/>
      <c r="NXC2" s="568"/>
      <c r="NXD2" s="568"/>
      <c r="NXE2" s="568"/>
      <c r="NXF2" s="568"/>
      <c r="NXG2" s="568"/>
      <c r="NXH2" s="568"/>
      <c r="NXI2" s="568"/>
      <c r="NXJ2" s="568"/>
      <c r="NXK2" s="568"/>
      <c r="NXL2" s="568"/>
      <c r="NXM2" s="568"/>
      <c r="NXN2" s="568"/>
      <c r="NXO2" s="568"/>
      <c r="NXP2" s="568"/>
      <c r="NXQ2" s="568"/>
      <c r="NXR2" s="568"/>
      <c r="NXS2" s="568"/>
      <c r="NXT2" s="568"/>
      <c r="NXU2" s="568"/>
      <c r="NXV2" s="568"/>
      <c r="NXW2" s="568"/>
      <c r="NXX2" s="568"/>
      <c r="NXY2" s="568"/>
      <c r="NXZ2" s="568"/>
      <c r="NYA2" s="568"/>
      <c r="NYB2" s="568"/>
      <c r="NYC2" s="568"/>
      <c r="NYD2" s="568"/>
      <c r="NYE2" s="568"/>
      <c r="NYF2" s="568"/>
      <c r="NYG2" s="568"/>
      <c r="NYH2" s="568"/>
      <c r="NYI2" s="568"/>
      <c r="NYJ2" s="568"/>
      <c r="NYK2" s="568"/>
      <c r="NYL2" s="568"/>
      <c r="NYM2" s="568"/>
      <c r="NYN2" s="568"/>
      <c r="NYO2" s="568"/>
      <c r="NYP2" s="568"/>
      <c r="NYQ2" s="568"/>
      <c r="NYR2" s="568"/>
      <c r="NYS2" s="568"/>
      <c r="NYT2" s="568"/>
      <c r="NYU2" s="568"/>
      <c r="NYV2" s="568"/>
      <c r="NYW2" s="568"/>
      <c r="NYX2" s="568"/>
      <c r="NYY2" s="568"/>
      <c r="NYZ2" s="568"/>
      <c r="NZA2" s="568"/>
      <c r="NZB2" s="568"/>
      <c r="NZC2" s="568"/>
      <c r="NZD2" s="568"/>
      <c r="NZE2" s="568"/>
      <c r="NZF2" s="568"/>
      <c r="NZG2" s="568"/>
      <c r="NZH2" s="568"/>
      <c r="NZI2" s="568"/>
      <c r="NZJ2" s="568"/>
      <c r="NZK2" s="568"/>
      <c r="NZL2" s="568"/>
      <c r="NZM2" s="568"/>
      <c r="NZN2" s="568"/>
      <c r="NZO2" s="568"/>
      <c r="NZP2" s="568"/>
      <c r="NZQ2" s="568"/>
      <c r="NZR2" s="568"/>
      <c r="NZS2" s="568"/>
      <c r="NZT2" s="568"/>
      <c r="NZU2" s="568"/>
      <c r="NZV2" s="568"/>
      <c r="NZW2" s="568"/>
      <c r="NZX2" s="568"/>
      <c r="NZY2" s="568"/>
      <c r="NZZ2" s="568"/>
      <c r="OAA2" s="568"/>
      <c r="OAB2" s="568"/>
      <c r="OAC2" s="568"/>
      <c r="OAD2" s="568"/>
      <c r="OAE2" s="568"/>
      <c r="OAF2" s="568"/>
      <c r="OAG2" s="568"/>
      <c r="OAH2" s="568"/>
      <c r="OAI2" s="568"/>
      <c r="OAJ2" s="568"/>
      <c r="OAK2" s="568"/>
      <c r="OAL2" s="568"/>
      <c r="OAM2" s="568"/>
      <c r="OAN2" s="568"/>
      <c r="OAO2" s="568"/>
      <c r="OAP2" s="568"/>
      <c r="OAQ2" s="568"/>
      <c r="OAR2" s="568"/>
      <c r="OAS2" s="568"/>
      <c r="OAT2" s="568"/>
      <c r="OAU2" s="568"/>
      <c r="OAV2" s="568"/>
      <c r="OAW2" s="568"/>
      <c r="OAX2" s="568"/>
      <c r="OAY2" s="568"/>
      <c r="OAZ2" s="568"/>
      <c r="OBA2" s="568"/>
      <c r="OBB2" s="568"/>
      <c r="OBC2" s="568"/>
      <c r="OBD2" s="568"/>
      <c r="OBE2" s="568"/>
      <c r="OBF2" s="568"/>
      <c r="OBG2" s="568"/>
      <c r="OBH2" s="568"/>
      <c r="OBI2" s="568"/>
      <c r="OBJ2" s="568"/>
      <c r="OBK2" s="568"/>
      <c r="OBL2" s="568"/>
      <c r="OBM2" s="568"/>
      <c r="OBN2" s="568"/>
      <c r="OBO2" s="568"/>
      <c r="OBP2" s="568"/>
      <c r="OBQ2" s="568"/>
      <c r="OBR2" s="568"/>
      <c r="OBS2" s="568"/>
      <c r="OBT2" s="568"/>
      <c r="OBU2" s="568"/>
      <c r="OBV2" s="568"/>
      <c r="OBW2" s="568"/>
      <c r="OBX2" s="568"/>
      <c r="OBY2" s="568"/>
      <c r="OBZ2" s="568"/>
      <c r="OCA2" s="568"/>
      <c r="OCB2" s="568"/>
      <c r="OCC2" s="568"/>
      <c r="OCD2" s="568"/>
      <c r="OCE2" s="568"/>
      <c r="OCF2" s="568"/>
      <c r="OCG2" s="568"/>
      <c r="OCH2" s="568"/>
      <c r="OCI2" s="568"/>
      <c r="OCJ2" s="568"/>
      <c r="OCK2" s="568"/>
      <c r="OCL2" s="568"/>
      <c r="OCM2" s="568"/>
      <c r="OCN2" s="568"/>
      <c r="OCO2" s="568"/>
      <c r="OCP2" s="568"/>
      <c r="OCQ2" s="568"/>
      <c r="OCR2" s="568"/>
      <c r="OCS2" s="568"/>
      <c r="OCT2" s="568"/>
      <c r="OCU2" s="568"/>
      <c r="OCV2" s="568"/>
      <c r="OCW2" s="568"/>
      <c r="OCX2" s="568"/>
      <c r="OCY2" s="568"/>
      <c r="OCZ2" s="568"/>
      <c r="ODA2" s="568"/>
      <c r="ODB2" s="568"/>
      <c r="ODC2" s="568"/>
      <c r="ODD2" s="568"/>
      <c r="ODE2" s="568"/>
      <c r="ODF2" s="568"/>
      <c r="ODG2" s="568"/>
      <c r="ODH2" s="568"/>
      <c r="ODI2" s="568"/>
      <c r="ODJ2" s="568"/>
      <c r="ODK2" s="568"/>
      <c r="ODL2" s="568"/>
      <c r="ODM2" s="568"/>
      <c r="ODN2" s="568"/>
      <c r="ODO2" s="568"/>
      <c r="ODP2" s="568"/>
      <c r="ODQ2" s="568"/>
      <c r="ODR2" s="568"/>
      <c r="ODS2" s="568"/>
      <c r="ODT2" s="568"/>
      <c r="ODU2" s="568"/>
      <c r="ODV2" s="568"/>
      <c r="ODW2" s="568"/>
      <c r="ODX2" s="568"/>
      <c r="ODY2" s="568"/>
      <c r="ODZ2" s="568"/>
      <c r="OEA2" s="568"/>
      <c r="OEB2" s="568"/>
      <c r="OEC2" s="568"/>
      <c r="OED2" s="568"/>
      <c r="OEE2" s="568"/>
      <c r="OEF2" s="568"/>
      <c r="OEG2" s="568"/>
      <c r="OEH2" s="568"/>
      <c r="OEI2" s="568"/>
      <c r="OEJ2" s="568"/>
      <c r="OEK2" s="568"/>
      <c r="OEL2" s="568"/>
      <c r="OEM2" s="568"/>
      <c r="OEN2" s="568"/>
      <c r="OEO2" s="568"/>
      <c r="OEP2" s="568"/>
      <c r="OEQ2" s="568"/>
      <c r="OER2" s="568"/>
      <c r="OES2" s="568"/>
      <c r="OET2" s="568"/>
      <c r="OEU2" s="568"/>
      <c r="OEV2" s="568"/>
      <c r="OEW2" s="568"/>
      <c r="OEX2" s="568"/>
      <c r="OEY2" s="568"/>
      <c r="OEZ2" s="568"/>
      <c r="OFA2" s="568"/>
      <c r="OFB2" s="568"/>
      <c r="OFC2" s="568"/>
      <c r="OFD2" s="568"/>
      <c r="OFE2" s="568"/>
      <c r="OFF2" s="568"/>
      <c r="OFG2" s="568"/>
      <c r="OFH2" s="568"/>
      <c r="OFI2" s="568"/>
      <c r="OFJ2" s="568"/>
      <c r="OFK2" s="568"/>
      <c r="OFL2" s="568"/>
      <c r="OFM2" s="568"/>
      <c r="OFN2" s="568"/>
      <c r="OFO2" s="568"/>
      <c r="OFP2" s="568"/>
      <c r="OFQ2" s="568"/>
      <c r="OFR2" s="568"/>
      <c r="OFS2" s="568"/>
      <c r="OFT2" s="568"/>
      <c r="OFU2" s="568"/>
      <c r="OFV2" s="568"/>
      <c r="OFW2" s="568"/>
      <c r="OFX2" s="568"/>
      <c r="OFY2" s="568"/>
      <c r="OFZ2" s="568"/>
      <c r="OGA2" s="568"/>
      <c r="OGB2" s="568"/>
      <c r="OGC2" s="568"/>
      <c r="OGD2" s="568"/>
      <c r="OGE2" s="568"/>
      <c r="OGF2" s="568"/>
      <c r="OGG2" s="568"/>
      <c r="OGH2" s="568"/>
      <c r="OGI2" s="568"/>
      <c r="OGJ2" s="568"/>
      <c r="OGK2" s="568"/>
      <c r="OGL2" s="568"/>
      <c r="OGM2" s="568"/>
      <c r="OGN2" s="568"/>
      <c r="OGO2" s="568"/>
      <c r="OGP2" s="568"/>
      <c r="OGQ2" s="568"/>
      <c r="OGR2" s="568"/>
      <c r="OGS2" s="568"/>
      <c r="OGT2" s="568"/>
      <c r="OGU2" s="568"/>
      <c r="OGV2" s="568"/>
      <c r="OGW2" s="568"/>
      <c r="OGX2" s="568"/>
      <c r="OGY2" s="568"/>
      <c r="OGZ2" s="568"/>
      <c r="OHA2" s="568"/>
      <c r="OHB2" s="568"/>
      <c r="OHC2" s="568"/>
      <c r="OHD2" s="568"/>
      <c r="OHE2" s="568"/>
      <c r="OHF2" s="568"/>
      <c r="OHG2" s="568"/>
      <c r="OHH2" s="568"/>
      <c r="OHI2" s="568"/>
      <c r="OHJ2" s="568"/>
      <c r="OHK2" s="568"/>
      <c r="OHL2" s="568"/>
      <c r="OHM2" s="568"/>
      <c r="OHN2" s="568"/>
      <c r="OHO2" s="568"/>
      <c r="OHP2" s="568"/>
      <c r="OHQ2" s="568"/>
      <c r="OHR2" s="568"/>
      <c r="OHS2" s="568"/>
      <c r="OHT2" s="568"/>
      <c r="OHU2" s="568"/>
      <c r="OHV2" s="568"/>
      <c r="OHW2" s="568"/>
      <c r="OHX2" s="568"/>
      <c r="OHY2" s="568"/>
      <c r="OHZ2" s="568"/>
      <c r="OIA2" s="568"/>
      <c r="OIB2" s="568"/>
      <c r="OIC2" s="568"/>
      <c r="OID2" s="568"/>
      <c r="OIE2" s="568"/>
      <c r="OIF2" s="568"/>
      <c r="OIG2" s="568"/>
      <c r="OIH2" s="568"/>
      <c r="OII2" s="568"/>
      <c r="OIJ2" s="568"/>
      <c r="OIK2" s="568"/>
      <c r="OIL2" s="568"/>
      <c r="OIM2" s="568"/>
      <c r="OIN2" s="568"/>
      <c r="OIO2" s="568"/>
      <c r="OIP2" s="568"/>
      <c r="OIQ2" s="568"/>
      <c r="OIR2" s="568"/>
      <c r="OIS2" s="568"/>
      <c r="OIT2" s="568"/>
      <c r="OIU2" s="568"/>
      <c r="OIV2" s="568"/>
      <c r="OIW2" s="568"/>
      <c r="OIX2" s="568"/>
      <c r="OIY2" s="568"/>
      <c r="OIZ2" s="568"/>
      <c r="OJA2" s="568"/>
      <c r="OJB2" s="568"/>
      <c r="OJC2" s="568"/>
      <c r="OJD2" s="568"/>
      <c r="OJE2" s="568"/>
      <c r="OJF2" s="568"/>
      <c r="OJG2" s="568"/>
      <c r="OJH2" s="568"/>
      <c r="OJI2" s="568"/>
      <c r="OJJ2" s="568"/>
      <c r="OJK2" s="568"/>
      <c r="OJL2" s="568"/>
      <c r="OJM2" s="568"/>
      <c r="OJN2" s="568"/>
      <c r="OJO2" s="568"/>
      <c r="OJP2" s="568"/>
      <c r="OJQ2" s="568"/>
      <c r="OJR2" s="568"/>
      <c r="OJS2" s="568"/>
      <c r="OJT2" s="568"/>
      <c r="OJU2" s="568"/>
      <c r="OJV2" s="568"/>
      <c r="OJW2" s="568"/>
      <c r="OJX2" s="568"/>
      <c r="OJY2" s="568"/>
      <c r="OJZ2" s="568"/>
      <c r="OKA2" s="568"/>
      <c r="OKB2" s="568"/>
      <c r="OKC2" s="568"/>
      <c r="OKD2" s="568"/>
      <c r="OKE2" s="568"/>
      <c r="OKF2" s="568"/>
      <c r="OKG2" s="568"/>
      <c r="OKH2" s="568"/>
      <c r="OKI2" s="568"/>
      <c r="OKJ2" s="568"/>
      <c r="OKK2" s="568"/>
      <c r="OKL2" s="568"/>
      <c r="OKM2" s="568"/>
      <c r="OKN2" s="568"/>
      <c r="OKO2" s="568"/>
      <c r="OKP2" s="568"/>
      <c r="OKQ2" s="568"/>
      <c r="OKR2" s="568"/>
      <c r="OKS2" s="568"/>
      <c r="OKT2" s="568"/>
      <c r="OKU2" s="568"/>
      <c r="OKV2" s="568"/>
      <c r="OKW2" s="568"/>
      <c r="OKX2" s="568"/>
      <c r="OKY2" s="568"/>
      <c r="OKZ2" s="568"/>
      <c r="OLA2" s="568"/>
      <c r="OLB2" s="568"/>
      <c r="OLC2" s="568"/>
      <c r="OLD2" s="568"/>
      <c r="OLE2" s="568"/>
      <c r="OLF2" s="568"/>
      <c r="OLG2" s="568"/>
      <c r="OLH2" s="568"/>
      <c r="OLI2" s="568"/>
      <c r="OLJ2" s="568"/>
      <c r="OLK2" s="568"/>
      <c r="OLL2" s="568"/>
      <c r="OLM2" s="568"/>
      <c r="OLN2" s="568"/>
      <c r="OLO2" s="568"/>
      <c r="OLP2" s="568"/>
      <c r="OLQ2" s="568"/>
      <c r="OLR2" s="568"/>
      <c r="OLS2" s="568"/>
      <c r="OLT2" s="568"/>
      <c r="OLU2" s="568"/>
      <c r="OLV2" s="568"/>
      <c r="OLW2" s="568"/>
      <c r="OLX2" s="568"/>
      <c r="OLY2" s="568"/>
      <c r="OLZ2" s="568"/>
      <c r="OMA2" s="568"/>
      <c r="OMB2" s="568"/>
      <c r="OMC2" s="568"/>
      <c r="OMD2" s="568"/>
      <c r="OME2" s="568"/>
      <c r="OMF2" s="568"/>
      <c r="OMG2" s="568"/>
      <c r="OMH2" s="568"/>
      <c r="OMI2" s="568"/>
      <c r="OMJ2" s="568"/>
      <c r="OMK2" s="568"/>
      <c r="OML2" s="568"/>
      <c r="OMM2" s="568"/>
      <c r="OMN2" s="568"/>
      <c r="OMO2" s="568"/>
      <c r="OMP2" s="568"/>
      <c r="OMQ2" s="568"/>
      <c r="OMR2" s="568"/>
      <c r="OMS2" s="568"/>
      <c r="OMT2" s="568"/>
      <c r="OMU2" s="568"/>
      <c r="OMV2" s="568"/>
      <c r="OMW2" s="568"/>
      <c r="OMX2" s="568"/>
      <c r="OMY2" s="568"/>
      <c r="OMZ2" s="568"/>
      <c r="ONA2" s="568"/>
      <c r="ONB2" s="568"/>
      <c r="ONC2" s="568"/>
      <c r="OND2" s="568"/>
      <c r="ONE2" s="568"/>
      <c r="ONF2" s="568"/>
      <c r="ONG2" s="568"/>
      <c r="ONH2" s="568"/>
      <c r="ONI2" s="568"/>
      <c r="ONJ2" s="568"/>
      <c r="ONK2" s="568"/>
      <c r="ONL2" s="568"/>
      <c r="ONM2" s="568"/>
      <c r="ONN2" s="568"/>
      <c r="ONO2" s="568"/>
      <c r="ONP2" s="568"/>
      <c r="ONQ2" s="568"/>
      <c r="ONR2" s="568"/>
      <c r="ONS2" s="568"/>
      <c r="ONT2" s="568"/>
      <c r="ONU2" s="568"/>
      <c r="ONV2" s="568"/>
      <c r="ONW2" s="568"/>
      <c r="ONX2" s="568"/>
      <c r="ONY2" s="568"/>
      <c r="ONZ2" s="568"/>
      <c r="OOA2" s="568"/>
      <c r="OOB2" s="568"/>
      <c r="OOC2" s="568"/>
      <c r="OOD2" s="568"/>
      <c r="OOE2" s="568"/>
      <c r="OOF2" s="568"/>
      <c r="OOG2" s="568"/>
      <c r="OOH2" s="568"/>
      <c r="OOI2" s="568"/>
      <c r="OOJ2" s="568"/>
      <c r="OOK2" s="568"/>
      <c r="OOL2" s="568"/>
      <c r="OOM2" s="568"/>
      <c r="OON2" s="568"/>
      <c r="OOO2" s="568"/>
      <c r="OOP2" s="568"/>
      <c r="OOQ2" s="568"/>
      <c r="OOR2" s="568"/>
      <c r="OOS2" s="568"/>
      <c r="OOT2" s="568"/>
      <c r="OOU2" s="568"/>
      <c r="OOV2" s="568"/>
      <c r="OOW2" s="568"/>
      <c r="OOX2" s="568"/>
      <c r="OOY2" s="568"/>
      <c r="OOZ2" s="568"/>
      <c r="OPA2" s="568"/>
      <c r="OPB2" s="568"/>
      <c r="OPC2" s="568"/>
      <c r="OPD2" s="568"/>
      <c r="OPE2" s="568"/>
      <c r="OPF2" s="568"/>
      <c r="OPG2" s="568"/>
      <c r="OPH2" s="568"/>
      <c r="OPI2" s="568"/>
      <c r="OPJ2" s="568"/>
      <c r="OPK2" s="568"/>
      <c r="OPL2" s="568"/>
      <c r="OPM2" s="568"/>
      <c r="OPN2" s="568"/>
      <c r="OPO2" s="568"/>
      <c r="OPP2" s="568"/>
      <c r="OPQ2" s="568"/>
      <c r="OPR2" s="568"/>
      <c r="OPS2" s="568"/>
      <c r="OPT2" s="568"/>
      <c r="OPU2" s="568"/>
      <c r="OPV2" s="568"/>
      <c r="OPW2" s="568"/>
      <c r="OPX2" s="568"/>
      <c r="OPY2" s="568"/>
      <c r="OPZ2" s="568"/>
      <c r="OQA2" s="568"/>
      <c r="OQB2" s="568"/>
      <c r="OQC2" s="568"/>
      <c r="OQD2" s="568"/>
      <c r="OQE2" s="568"/>
      <c r="OQF2" s="568"/>
      <c r="OQG2" s="568"/>
      <c r="OQH2" s="568"/>
      <c r="OQI2" s="568"/>
      <c r="OQJ2" s="568"/>
      <c r="OQK2" s="568"/>
      <c r="OQL2" s="568"/>
      <c r="OQM2" s="568"/>
      <c r="OQN2" s="568"/>
      <c r="OQO2" s="568"/>
      <c r="OQP2" s="568"/>
      <c r="OQQ2" s="568"/>
      <c r="OQR2" s="568"/>
      <c r="OQS2" s="568"/>
      <c r="OQT2" s="568"/>
      <c r="OQU2" s="568"/>
      <c r="OQV2" s="568"/>
      <c r="OQW2" s="568"/>
      <c r="OQX2" s="568"/>
      <c r="OQY2" s="568"/>
      <c r="OQZ2" s="568"/>
      <c r="ORA2" s="568"/>
      <c r="ORB2" s="568"/>
      <c r="ORC2" s="568"/>
      <c r="ORD2" s="568"/>
      <c r="ORE2" s="568"/>
      <c r="ORF2" s="568"/>
      <c r="ORG2" s="568"/>
      <c r="ORH2" s="568"/>
      <c r="ORI2" s="568"/>
      <c r="ORJ2" s="568"/>
      <c r="ORK2" s="568"/>
      <c r="ORL2" s="568"/>
      <c r="ORM2" s="568"/>
      <c r="ORN2" s="568"/>
      <c r="ORO2" s="568"/>
      <c r="ORP2" s="568"/>
      <c r="ORQ2" s="568"/>
      <c r="ORR2" s="568"/>
      <c r="ORS2" s="568"/>
      <c r="ORT2" s="568"/>
      <c r="ORU2" s="568"/>
      <c r="ORV2" s="568"/>
      <c r="ORW2" s="568"/>
      <c r="ORX2" s="568"/>
      <c r="ORY2" s="568"/>
      <c r="ORZ2" s="568"/>
      <c r="OSA2" s="568"/>
      <c r="OSB2" s="568"/>
      <c r="OSC2" s="568"/>
      <c r="OSD2" s="568"/>
      <c r="OSE2" s="568"/>
      <c r="OSF2" s="568"/>
      <c r="OSG2" s="568"/>
      <c r="OSH2" s="568"/>
      <c r="OSI2" s="568"/>
      <c r="OSJ2" s="568"/>
      <c r="OSK2" s="568"/>
      <c r="OSL2" s="568"/>
      <c r="OSM2" s="568"/>
      <c r="OSN2" s="568"/>
      <c r="OSO2" s="568"/>
      <c r="OSP2" s="568"/>
      <c r="OSQ2" s="568"/>
      <c r="OSR2" s="568"/>
      <c r="OSS2" s="568"/>
      <c r="OST2" s="568"/>
      <c r="OSU2" s="568"/>
      <c r="OSV2" s="568"/>
      <c r="OSW2" s="568"/>
      <c r="OSX2" s="568"/>
      <c r="OSY2" s="568"/>
      <c r="OSZ2" s="568"/>
      <c r="OTA2" s="568"/>
      <c r="OTB2" s="568"/>
      <c r="OTC2" s="568"/>
      <c r="OTD2" s="568"/>
      <c r="OTE2" s="568"/>
      <c r="OTF2" s="568"/>
      <c r="OTG2" s="568"/>
      <c r="OTH2" s="568"/>
      <c r="OTI2" s="568"/>
      <c r="OTJ2" s="568"/>
      <c r="OTK2" s="568"/>
      <c r="OTL2" s="568"/>
      <c r="OTM2" s="568"/>
      <c r="OTN2" s="568"/>
      <c r="OTO2" s="568"/>
      <c r="OTP2" s="568"/>
      <c r="OTQ2" s="568"/>
      <c r="OTR2" s="568"/>
      <c r="OTS2" s="568"/>
      <c r="OTT2" s="568"/>
      <c r="OTU2" s="568"/>
      <c r="OTV2" s="568"/>
      <c r="OTW2" s="568"/>
      <c r="OTX2" s="568"/>
      <c r="OTY2" s="568"/>
      <c r="OTZ2" s="568"/>
      <c r="OUA2" s="568"/>
      <c r="OUB2" s="568"/>
      <c r="OUC2" s="568"/>
      <c r="OUD2" s="568"/>
      <c r="OUE2" s="568"/>
      <c r="OUF2" s="568"/>
      <c r="OUG2" s="568"/>
      <c r="OUH2" s="568"/>
      <c r="OUI2" s="568"/>
      <c r="OUJ2" s="568"/>
      <c r="OUK2" s="568"/>
      <c r="OUL2" s="568"/>
      <c r="OUM2" s="568"/>
      <c r="OUN2" s="568"/>
      <c r="OUO2" s="568"/>
      <c r="OUP2" s="568"/>
      <c r="OUQ2" s="568"/>
      <c r="OUR2" s="568"/>
      <c r="OUS2" s="568"/>
      <c r="OUT2" s="568"/>
      <c r="OUU2" s="568"/>
      <c r="OUV2" s="568"/>
      <c r="OUW2" s="568"/>
      <c r="OUX2" s="568"/>
      <c r="OUY2" s="568"/>
      <c r="OUZ2" s="568"/>
      <c r="OVA2" s="568"/>
      <c r="OVB2" s="568"/>
      <c r="OVC2" s="568"/>
      <c r="OVD2" s="568"/>
      <c r="OVE2" s="568"/>
      <c r="OVF2" s="568"/>
      <c r="OVG2" s="568"/>
      <c r="OVH2" s="568"/>
      <c r="OVI2" s="568"/>
      <c r="OVJ2" s="568"/>
      <c r="OVK2" s="568"/>
      <c r="OVL2" s="568"/>
      <c r="OVM2" s="568"/>
      <c r="OVN2" s="568"/>
      <c r="OVO2" s="568"/>
      <c r="OVP2" s="568"/>
      <c r="OVQ2" s="568"/>
      <c r="OVR2" s="568"/>
      <c r="OVS2" s="568"/>
      <c r="OVT2" s="568"/>
      <c r="OVU2" s="568"/>
      <c r="OVV2" s="568"/>
      <c r="OVW2" s="568"/>
      <c r="OVX2" s="568"/>
      <c r="OVY2" s="568"/>
      <c r="OVZ2" s="568"/>
      <c r="OWA2" s="568"/>
      <c r="OWB2" s="568"/>
      <c r="OWC2" s="568"/>
      <c r="OWD2" s="568"/>
      <c r="OWE2" s="568"/>
      <c r="OWF2" s="568"/>
      <c r="OWG2" s="568"/>
      <c r="OWH2" s="568"/>
      <c r="OWI2" s="568"/>
      <c r="OWJ2" s="568"/>
      <c r="OWK2" s="568"/>
      <c r="OWL2" s="568"/>
      <c r="OWM2" s="568"/>
      <c r="OWN2" s="568"/>
      <c r="OWO2" s="568"/>
      <c r="OWP2" s="568"/>
      <c r="OWQ2" s="568"/>
      <c r="OWR2" s="568"/>
      <c r="OWS2" s="568"/>
      <c r="OWT2" s="568"/>
      <c r="OWU2" s="568"/>
      <c r="OWV2" s="568"/>
      <c r="OWW2" s="568"/>
      <c r="OWX2" s="568"/>
      <c r="OWY2" s="568"/>
      <c r="OWZ2" s="568"/>
      <c r="OXA2" s="568"/>
      <c r="OXB2" s="568"/>
      <c r="OXC2" s="568"/>
      <c r="OXD2" s="568"/>
      <c r="OXE2" s="568"/>
      <c r="OXF2" s="568"/>
      <c r="OXG2" s="568"/>
      <c r="OXH2" s="568"/>
      <c r="OXI2" s="568"/>
      <c r="OXJ2" s="568"/>
      <c r="OXK2" s="568"/>
      <c r="OXL2" s="568"/>
      <c r="OXM2" s="568"/>
      <c r="OXN2" s="568"/>
      <c r="OXO2" s="568"/>
      <c r="OXP2" s="568"/>
      <c r="OXQ2" s="568"/>
      <c r="OXR2" s="568"/>
      <c r="OXS2" s="568"/>
      <c r="OXT2" s="568"/>
      <c r="OXU2" s="568"/>
      <c r="OXV2" s="568"/>
      <c r="OXW2" s="568"/>
      <c r="OXX2" s="568"/>
      <c r="OXY2" s="568"/>
      <c r="OXZ2" s="568"/>
      <c r="OYA2" s="568"/>
      <c r="OYB2" s="568"/>
      <c r="OYC2" s="568"/>
      <c r="OYD2" s="568"/>
      <c r="OYE2" s="568"/>
      <c r="OYF2" s="568"/>
      <c r="OYG2" s="568"/>
      <c r="OYH2" s="568"/>
      <c r="OYI2" s="568"/>
      <c r="OYJ2" s="568"/>
      <c r="OYK2" s="568"/>
      <c r="OYL2" s="568"/>
      <c r="OYM2" s="568"/>
      <c r="OYN2" s="568"/>
      <c r="OYO2" s="568"/>
      <c r="OYP2" s="568"/>
      <c r="OYQ2" s="568"/>
      <c r="OYR2" s="568"/>
      <c r="OYS2" s="568"/>
      <c r="OYT2" s="568"/>
      <c r="OYU2" s="568"/>
      <c r="OYV2" s="568"/>
      <c r="OYW2" s="568"/>
      <c r="OYX2" s="568"/>
      <c r="OYY2" s="568"/>
      <c r="OYZ2" s="568"/>
      <c r="OZA2" s="568"/>
      <c r="OZB2" s="568"/>
      <c r="OZC2" s="568"/>
      <c r="OZD2" s="568"/>
      <c r="OZE2" s="568"/>
      <c r="OZF2" s="568"/>
      <c r="OZG2" s="568"/>
      <c r="OZH2" s="568"/>
      <c r="OZI2" s="568"/>
      <c r="OZJ2" s="568"/>
      <c r="OZK2" s="568"/>
      <c r="OZL2" s="568"/>
      <c r="OZM2" s="568"/>
      <c r="OZN2" s="568"/>
      <c r="OZO2" s="568"/>
      <c r="OZP2" s="568"/>
      <c r="OZQ2" s="568"/>
      <c r="OZR2" s="568"/>
      <c r="OZS2" s="568"/>
      <c r="OZT2" s="568"/>
      <c r="OZU2" s="568"/>
      <c r="OZV2" s="568"/>
      <c r="OZW2" s="568"/>
      <c r="OZX2" s="568"/>
      <c r="OZY2" s="568"/>
      <c r="OZZ2" s="568"/>
      <c r="PAA2" s="568"/>
      <c r="PAB2" s="568"/>
      <c r="PAC2" s="568"/>
      <c r="PAD2" s="568"/>
      <c r="PAE2" s="568"/>
      <c r="PAF2" s="568"/>
      <c r="PAG2" s="568"/>
      <c r="PAH2" s="568"/>
      <c r="PAI2" s="568"/>
      <c r="PAJ2" s="568"/>
      <c r="PAK2" s="568"/>
      <c r="PAL2" s="568"/>
      <c r="PAM2" s="568"/>
      <c r="PAN2" s="568"/>
      <c r="PAO2" s="568"/>
      <c r="PAP2" s="568"/>
      <c r="PAQ2" s="568"/>
      <c r="PAR2" s="568"/>
      <c r="PAS2" s="568"/>
      <c r="PAT2" s="568"/>
      <c r="PAU2" s="568"/>
      <c r="PAV2" s="568"/>
      <c r="PAW2" s="568"/>
      <c r="PAX2" s="568"/>
      <c r="PAY2" s="568"/>
      <c r="PAZ2" s="568"/>
      <c r="PBA2" s="568"/>
      <c r="PBB2" s="568"/>
      <c r="PBC2" s="568"/>
      <c r="PBD2" s="568"/>
      <c r="PBE2" s="568"/>
      <c r="PBF2" s="568"/>
      <c r="PBG2" s="568"/>
      <c r="PBH2" s="568"/>
      <c r="PBI2" s="568"/>
      <c r="PBJ2" s="568"/>
      <c r="PBK2" s="568"/>
      <c r="PBL2" s="568"/>
      <c r="PBM2" s="568"/>
      <c r="PBN2" s="568"/>
      <c r="PBO2" s="568"/>
      <c r="PBP2" s="568"/>
      <c r="PBQ2" s="568"/>
      <c r="PBR2" s="568"/>
      <c r="PBS2" s="568"/>
      <c r="PBT2" s="568"/>
      <c r="PBU2" s="568"/>
      <c r="PBV2" s="568"/>
      <c r="PBW2" s="568"/>
      <c r="PBX2" s="568"/>
      <c r="PBY2" s="568"/>
      <c r="PBZ2" s="568"/>
      <c r="PCA2" s="568"/>
      <c r="PCB2" s="568"/>
      <c r="PCC2" s="568"/>
      <c r="PCD2" s="568"/>
      <c r="PCE2" s="568"/>
      <c r="PCF2" s="568"/>
      <c r="PCG2" s="568"/>
      <c r="PCH2" s="568"/>
      <c r="PCI2" s="568"/>
      <c r="PCJ2" s="568"/>
      <c r="PCK2" s="568"/>
      <c r="PCL2" s="568"/>
      <c r="PCM2" s="568"/>
      <c r="PCN2" s="568"/>
      <c r="PCO2" s="568"/>
      <c r="PCP2" s="568"/>
      <c r="PCQ2" s="568"/>
      <c r="PCR2" s="568"/>
      <c r="PCS2" s="568"/>
      <c r="PCT2" s="568"/>
      <c r="PCU2" s="568"/>
      <c r="PCV2" s="568"/>
      <c r="PCW2" s="568"/>
      <c r="PCX2" s="568"/>
      <c r="PCY2" s="568"/>
      <c r="PCZ2" s="568"/>
      <c r="PDA2" s="568"/>
      <c r="PDB2" s="568"/>
      <c r="PDC2" s="568"/>
      <c r="PDD2" s="568"/>
      <c r="PDE2" s="568"/>
      <c r="PDF2" s="568"/>
      <c r="PDG2" s="568"/>
      <c r="PDH2" s="568"/>
      <c r="PDI2" s="568"/>
      <c r="PDJ2" s="568"/>
      <c r="PDK2" s="568"/>
      <c r="PDL2" s="568"/>
      <c r="PDM2" s="568"/>
      <c r="PDN2" s="568"/>
      <c r="PDO2" s="568"/>
      <c r="PDP2" s="568"/>
      <c r="PDQ2" s="568"/>
      <c r="PDR2" s="568"/>
      <c r="PDS2" s="568"/>
      <c r="PDT2" s="568"/>
      <c r="PDU2" s="568"/>
      <c r="PDV2" s="568"/>
      <c r="PDW2" s="568"/>
      <c r="PDX2" s="568"/>
      <c r="PDY2" s="568"/>
      <c r="PDZ2" s="568"/>
      <c r="PEA2" s="568"/>
      <c r="PEB2" s="568"/>
      <c r="PEC2" s="568"/>
      <c r="PED2" s="568"/>
      <c r="PEE2" s="568"/>
      <c r="PEF2" s="568"/>
      <c r="PEG2" s="568"/>
      <c r="PEH2" s="568"/>
      <c r="PEI2" s="568"/>
      <c r="PEJ2" s="568"/>
      <c r="PEK2" s="568"/>
      <c r="PEL2" s="568"/>
      <c r="PEM2" s="568"/>
      <c r="PEN2" s="568"/>
      <c r="PEO2" s="568"/>
      <c r="PEP2" s="568"/>
      <c r="PEQ2" s="568"/>
      <c r="PER2" s="568"/>
      <c r="PES2" s="568"/>
      <c r="PET2" s="568"/>
      <c r="PEU2" s="568"/>
      <c r="PEV2" s="568"/>
      <c r="PEW2" s="568"/>
      <c r="PEX2" s="568"/>
      <c r="PEY2" s="568"/>
      <c r="PEZ2" s="568"/>
      <c r="PFA2" s="568"/>
      <c r="PFB2" s="568"/>
      <c r="PFC2" s="568"/>
      <c r="PFD2" s="568"/>
      <c r="PFE2" s="568"/>
      <c r="PFF2" s="568"/>
      <c r="PFG2" s="568"/>
      <c r="PFH2" s="568"/>
      <c r="PFI2" s="568"/>
      <c r="PFJ2" s="568"/>
      <c r="PFK2" s="568"/>
      <c r="PFL2" s="568"/>
      <c r="PFM2" s="568"/>
      <c r="PFN2" s="568"/>
      <c r="PFO2" s="568"/>
      <c r="PFP2" s="568"/>
      <c r="PFQ2" s="568"/>
      <c r="PFR2" s="568"/>
      <c r="PFS2" s="568"/>
      <c r="PFT2" s="568"/>
      <c r="PFU2" s="568"/>
      <c r="PFV2" s="568"/>
      <c r="PFW2" s="568"/>
      <c r="PFX2" s="568"/>
      <c r="PFY2" s="568"/>
      <c r="PFZ2" s="568"/>
      <c r="PGA2" s="568"/>
      <c r="PGB2" s="568"/>
      <c r="PGC2" s="568"/>
      <c r="PGD2" s="568"/>
      <c r="PGE2" s="568"/>
      <c r="PGF2" s="568"/>
      <c r="PGG2" s="568"/>
      <c r="PGH2" s="568"/>
      <c r="PGI2" s="568"/>
      <c r="PGJ2" s="568"/>
      <c r="PGK2" s="568"/>
      <c r="PGL2" s="568"/>
      <c r="PGM2" s="568"/>
      <c r="PGN2" s="568"/>
      <c r="PGO2" s="568"/>
      <c r="PGP2" s="568"/>
      <c r="PGQ2" s="568"/>
      <c r="PGR2" s="568"/>
      <c r="PGS2" s="568"/>
      <c r="PGT2" s="568"/>
      <c r="PGU2" s="568"/>
      <c r="PGV2" s="568"/>
      <c r="PGW2" s="568"/>
      <c r="PGX2" s="568"/>
      <c r="PGY2" s="568"/>
      <c r="PGZ2" s="568"/>
      <c r="PHA2" s="568"/>
      <c r="PHB2" s="568"/>
      <c r="PHC2" s="568"/>
      <c r="PHD2" s="568"/>
      <c r="PHE2" s="568"/>
      <c r="PHF2" s="568"/>
      <c r="PHG2" s="568"/>
      <c r="PHH2" s="568"/>
      <c r="PHI2" s="568"/>
      <c r="PHJ2" s="568"/>
      <c r="PHK2" s="568"/>
      <c r="PHL2" s="568"/>
      <c r="PHM2" s="568"/>
      <c r="PHN2" s="568"/>
      <c r="PHO2" s="568"/>
      <c r="PHP2" s="568"/>
      <c r="PHQ2" s="568"/>
      <c r="PHR2" s="568"/>
      <c r="PHS2" s="568"/>
      <c r="PHT2" s="568"/>
      <c r="PHU2" s="568"/>
      <c r="PHV2" s="568"/>
      <c r="PHW2" s="568"/>
      <c r="PHX2" s="568"/>
      <c r="PHY2" s="568"/>
      <c r="PHZ2" s="568"/>
      <c r="PIA2" s="568"/>
      <c r="PIB2" s="568"/>
      <c r="PIC2" s="568"/>
      <c r="PID2" s="568"/>
      <c r="PIE2" s="568"/>
      <c r="PIF2" s="568"/>
      <c r="PIG2" s="568"/>
      <c r="PIH2" s="568"/>
      <c r="PII2" s="568"/>
      <c r="PIJ2" s="568"/>
      <c r="PIK2" s="568"/>
      <c r="PIL2" s="568"/>
      <c r="PIM2" s="568"/>
      <c r="PIN2" s="568"/>
      <c r="PIO2" s="568"/>
      <c r="PIP2" s="568"/>
      <c r="PIQ2" s="568"/>
      <c r="PIR2" s="568"/>
      <c r="PIS2" s="568"/>
      <c r="PIT2" s="568"/>
      <c r="PIU2" s="568"/>
      <c r="PIV2" s="568"/>
      <c r="PIW2" s="568"/>
      <c r="PIX2" s="568"/>
      <c r="PIY2" s="568"/>
      <c r="PIZ2" s="568"/>
      <c r="PJA2" s="568"/>
      <c r="PJB2" s="568"/>
      <c r="PJC2" s="568"/>
      <c r="PJD2" s="568"/>
      <c r="PJE2" s="568"/>
      <c r="PJF2" s="568"/>
      <c r="PJG2" s="568"/>
      <c r="PJH2" s="568"/>
      <c r="PJI2" s="568"/>
      <c r="PJJ2" s="568"/>
      <c r="PJK2" s="568"/>
      <c r="PJL2" s="568"/>
      <c r="PJM2" s="568"/>
      <c r="PJN2" s="568"/>
      <c r="PJO2" s="568"/>
      <c r="PJP2" s="568"/>
      <c r="PJQ2" s="568"/>
      <c r="PJR2" s="568"/>
      <c r="PJS2" s="568"/>
      <c r="PJT2" s="568"/>
      <c r="PJU2" s="568"/>
      <c r="PJV2" s="568"/>
      <c r="PJW2" s="568"/>
      <c r="PJX2" s="568"/>
      <c r="PJY2" s="568"/>
      <c r="PJZ2" s="568"/>
      <c r="PKA2" s="568"/>
      <c r="PKB2" s="568"/>
      <c r="PKC2" s="568"/>
      <c r="PKD2" s="568"/>
      <c r="PKE2" s="568"/>
      <c r="PKF2" s="568"/>
      <c r="PKG2" s="568"/>
      <c r="PKH2" s="568"/>
      <c r="PKI2" s="568"/>
      <c r="PKJ2" s="568"/>
      <c r="PKK2" s="568"/>
      <c r="PKL2" s="568"/>
      <c r="PKM2" s="568"/>
      <c r="PKN2" s="568"/>
      <c r="PKO2" s="568"/>
      <c r="PKP2" s="568"/>
      <c r="PKQ2" s="568"/>
      <c r="PKR2" s="568"/>
      <c r="PKS2" s="568"/>
      <c r="PKT2" s="568"/>
      <c r="PKU2" s="568"/>
      <c r="PKV2" s="568"/>
      <c r="PKW2" s="568"/>
      <c r="PKX2" s="568"/>
      <c r="PKY2" s="568"/>
      <c r="PKZ2" s="568"/>
      <c r="PLA2" s="568"/>
      <c r="PLB2" s="568"/>
      <c r="PLC2" s="568"/>
      <c r="PLD2" s="568"/>
      <c r="PLE2" s="568"/>
      <c r="PLF2" s="568"/>
      <c r="PLG2" s="568"/>
      <c r="PLH2" s="568"/>
      <c r="PLI2" s="568"/>
      <c r="PLJ2" s="568"/>
      <c r="PLK2" s="568"/>
      <c r="PLL2" s="568"/>
      <c r="PLM2" s="568"/>
      <c r="PLN2" s="568"/>
      <c r="PLO2" s="568"/>
      <c r="PLP2" s="568"/>
      <c r="PLQ2" s="568"/>
      <c r="PLR2" s="568"/>
      <c r="PLS2" s="568"/>
      <c r="PLT2" s="568"/>
      <c r="PLU2" s="568"/>
      <c r="PLV2" s="568"/>
      <c r="PLW2" s="568"/>
      <c r="PLX2" s="568"/>
      <c r="PLY2" s="568"/>
      <c r="PLZ2" s="568"/>
      <c r="PMA2" s="568"/>
      <c r="PMB2" s="568"/>
      <c r="PMC2" s="568"/>
      <c r="PMD2" s="568"/>
      <c r="PME2" s="568"/>
      <c r="PMF2" s="568"/>
      <c r="PMG2" s="568"/>
      <c r="PMH2" s="568"/>
      <c r="PMI2" s="568"/>
      <c r="PMJ2" s="568"/>
      <c r="PMK2" s="568"/>
      <c r="PML2" s="568"/>
      <c r="PMM2" s="568"/>
      <c r="PMN2" s="568"/>
      <c r="PMO2" s="568"/>
      <c r="PMP2" s="568"/>
      <c r="PMQ2" s="568"/>
      <c r="PMR2" s="568"/>
      <c r="PMS2" s="568"/>
      <c r="PMT2" s="568"/>
      <c r="PMU2" s="568"/>
      <c r="PMV2" s="568"/>
      <c r="PMW2" s="568"/>
      <c r="PMX2" s="568"/>
      <c r="PMY2" s="568"/>
      <c r="PMZ2" s="568"/>
      <c r="PNA2" s="568"/>
      <c r="PNB2" s="568"/>
      <c r="PNC2" s="568"/>
      <c r="PND2" s="568"/>
      <c r="PNE2" s="568"/>
      <c r="PNF2" s="568"/>
      <c r="PNG2" s="568"/>
      <c r="PNH2" s="568"/>
      <c r="PNI2" s="568"/>
      <c r="PNJ2" s="568"/>
      <c r="PNK2" s="568"/>
      <c r="PNL2" s="568"/>
      <c r="PNM2" s="568"/>
      <c r="PNN2" s="568"/>
      <c r="PNO2" s="568"/>
      <c r="PNP2" s="568"/>
      <c r="PNQ2" s="568"/>
      <c r="PNR2" s="568"/>
      <c r="PNS2" s="568"/>
      <c r="PNT2" s="568"/>
      <c r="PNU2" s="568"/>
      <c r="PNV2" s="568"/>
      <c r="PNW2" s="568"/>
      <c r="PNX2" s="568"/>
      <c r="PNY2" s="568"/>
      <c r="PNZ2" s="568"/>
      <c r="POA2" s="568"/>
      <c r="POB2" s="568"/>
      <c r="POC2" s="568"/>
      <c r="POD2" s="568"/>
      <c r="POE2" s="568"/>
      <c r="POF2" s="568"/>
      <c r="POG2" s="568"/>
      <c r="POH2" s="568"/>
      <c r="POI2" s="568"/>
      <c r="POJ2" s="568"/>
      <c r="POK2" s="568"/>
      <c r="POL2" s="568"/>
      <c r="POM2" s="568"/>
      <c r="PON2" s="568"/>
      <c r="POO2" s="568"/>
      <c r="POP2" s="568"/>
      <c r="POQ2" s="568"/>
      <c r="POR2" s="568"/>
      <c r="POS2" s="568"/>
      <c r="POT2" s="568"/>
      <c r="POU2" s="568"/>
      <c r="POV2" s="568"/>
      <c r="POW2" s="568"/>
      <c r="POX2" s="568"/>
      <c r="POY2" s="568"/>
      <c r="POZ2" s="568"/>
      <c r="PPA2" s="568"/>
      <c r="PPB2" s="568"/>
      <c r="PPC2" s="568"/>
      <c r="PPD2" s="568"/>
      <c r="PPE2" s="568"/>
      <c r="PPF2" s="568"/>
      <c r="PPG2" s="568"/>
      <c r="PPH2" s="568"/>
      <c r="PPI2" s="568"/>
      <c r="PPJ2" s="568"/>
      <c r="PPK2" s="568"/>
      <c r="PPL2" s="568"/>
      <c r="PPM2" s="568"/>
      <c r="PPN2" s="568"/>
      <c r="PPO2" s="568"/>
      <c r="PPP2" s="568"/>
      <c r="PPQ2" s="568"/>
      <c r="PPR2" s="568"/>
      <c r="PPS2" s="568"/>
      <c r="PPT2" s="568"/>
      <c r="PPU2" s="568"/>
      <c r="PPV2" s="568"/>
      <c r="PPW2" s="568"/>
      <c r="PPX2" s="568"/>
      <c r="PPY2" s="568"/>
      <c r="PPZ2" s="568"/>
      <c r="PQA2" s="568"/>
      <c r="PQB2" s="568"/>
      <c r="PQC2" s="568"/>
      <c r="PQD2" s="568"/>
      <c r="PQE2" s="568"/>
      <c r="PQF2" s="568"/>
      <c r="PQG2" s="568"/>
      <c r="PQH2" s="568"/>
      <c r="PQI2" s="568"/>
      <c r="PQJ2" s="568"/>
      <c r="PQK2" s="568"/>
      <c r="PQL2" s="568"/>
      <c r="PQM2" s="568"/>
      <c r="PQN2" s="568"/>
      <c r="PQO2" s="568"/>
      <c r="PQP2" s="568"/>
      <c r="PQQ2" s="568"/>
      <c r="PQR2" s="568"/>
      <c r="PQS2" s="568"/>
      <c r="PQT2" s="568"/>
      <c r="PQU2" s="568"/>
      <c r="PQV2" s="568"/>
      <c r="PQW2" s="568"/>
      <c r="PQX2" s="568"/>
      <c r="PQY2" s="568"/>
      <c r="PQZ2" s="568"/>
      <c r="PRA2" s="568"/>
      <c r="PRB2" s="568"/>
      <c r="PRC2" s="568"/>
      <c r="PRD2" s="568"/>
      <c r="PRE2" s="568"/>
      <c r="PRF2" s="568"/>
      <c r="PRG2" s="568"/>
      <c r="PRH2" s="568"/>
      <c r="PRI2" s="568"/>
      <c r="PRJ2" s="568"/>
      <c r="PRK2" s="568"/>
      <c r="PRL2" s="568"/>
      <c r="PRM2" s="568"/>
      <c r="PRN2" s="568"/>
      <c r="PRO2" s="568"/>
      <c r="PRP2" s="568"/>
      <c r="PRQ2" s="568"/>
      <c r="PRR2" s="568"/>
      <c r="PRS2" s="568"/>
      <c r="PRT2" s="568"/>
      <c r="PRU2" s="568"/>
      <c r="PRV2" s="568"/>
      <c r="PRW2" s="568"/>
      <c r="PRX2" s="568"/>
      <c r="PRY2" s="568"/>
      <c r="PRZ2" s="568"/>
      <c r="PSA2" s="568"/>
      <c r="PSB2" s="568"/>
      <c r="PSC2" s="568"/>
      <c r="PSD2" s="568"/>
      <c r="PSE2" s="568"/>
      <c r="PSF2" s="568"/>
      <c r="PSG2" s="568"/>
      <c r="PSH2" s="568"/>
      <c r="PSI2" s="568"/>
      <c r="PSJ2" s="568"/>
      <c r="PSK2" s="568"/>
      <c r="PSL2" s="568"/>
      <c r="PSM2" s="568"/>
      <c r="PSN2" s="568"/>
      <c r="PSO2" s="568"/>
      <c r="PSP2" s="568"/>
      <c r="PSQ2" s="568"/>
      <c r="PSR2" s="568"/>
      <c r="PSS2" s="568"/>
      <c r="PST2" s="568"/>
      <c r="PSU2" s="568"/>
      <c r="PSV2" s="568"/>
      <c r="PSW2" s="568"/>
      <c r="PSX2" s="568"/>
      <c r="PSY2" s="568"/>
      <c r="PSZ2" s="568"/>
      <c r="PTA2" s="568"/>
      <c r="PTB2" s="568"/>
      <c r="PTC2" s="568"/>
      <c r="PTD2" s="568"/>
      <c r="PTE2" s="568"/>
      <c r="PTF2" s="568"/>
      <c r="PTG2" s="568"/>
      <c r="PTH2" s="568"/>
      <c r="PTI2" s="568"/>
      <c r="PTJ2" s="568"/>
      <c r="PTK2" s="568"/>
      <c r="PTL2" s="568"/>
      <c r="PTM2" s="568"/>
      <c r="PTN2" s="568"/>
      <c r="PTO2" s="568"/>
      <c r="PTP2" s="568"/>
      <c r="PTQ2" s="568"/>
      <c r="PTR2" s="568"/>
      <c r="PTS2" s="568"/>
      <c r="PTT2" s="568"/>
      <c r="PTU2" s="568"/>
      <c r="PTV2" s="568"/>
      <c r="PTW2" s="568"/>
      <c r="PTX2" s="568"/>
      <c r="PTY2" s="568"/>
      <c r="PTZ2" s="568"/>
      <c r="PUA2" s="568"/>
      <c r="PUB2" s="568"/>
      <c r="PUC2" s="568"/>
      <c r="PUD2" s="568"/>
      <c r="PUE2" s="568"/>
      <c r="PUF2" s="568"/>
      <c r="PUG2" s="568"/>
      <c r="PUH2" s="568"/>
      <c r="PUI2" s="568"/>
      <c r="PUJ2" s="568"/>
      <c r="PUK2" s="568"/>
      <c r="PUL2" s="568"/>
      <c r="PUM2" s="568"/>
      <c r="PUN2" s="568"/>
      <c r="PUO2" s="568"/>
      <c r="PUP2" s="568"/>
      <c r="PUQ2" s="568"/>
      <c r="PUR2" s="568"/>
      <c r="PUS2" s="568"/>
      <c r="PUT2" s="568"/>
      <c r="PUU2" s="568"/>
      <c r="PUV2" s="568"/>
      <c r="PUW2" s="568"/>
      <c r="PUX2" s="568"/>
      <c r="PUY2" s="568"/>
      <c r="PUZ2" s="568"/>
      <c r="PVA2" s="568"/>
      <c r="PVB2" s="568"/>
      <c r="PVC2" s="568"/>
      <c r="PVD2" s="568"/>
      <c r="PVE2" s="568"/>
      <c r="PVF2" s="568"/>
      <c r="PVG2" s="568"/>
      <c r="PVH2" s="568"/>
      <c r="PVI2" s="568"/>
      <c r="PVJ2" s="568"/>
      <c r="PVK2" s="568"/>
      <c r="PVL2" s="568"/>
      <c r="PVM2" s="568"/>
      <c r="PVN2" s="568"/>
      <c r="PVO2" s="568"/>
      <c r="PVP2" s="568"/>
      <c r="PVQ2" s="568"/>
      <c r="PVR2" s="568"/>
      <c r="PVS2" s="568"/>
      <c r="PVT2" s="568"/>
      <c r="PVU2" s="568"/>
      <c r="PVV2" s="568"/>
      <c r="PVW2" s="568"/>
      <c r="PVX2" s="568"/>
      <c r="PVY2" s="568"/>
      <c r="PVZ2" s="568"/>
      <c r="PWA2" s="568"/>
      <c r="PWB2" s="568"/>
      <c r="PWC2" s="568"/>
      <c r="PWD2" s="568"/>
      <c r="PWE2" s="568"/>
      <c r="PWF2" s="568"/>
      <c r="PWG2" s="568"/>
      <c r="PWH2" s="568"/>
      <c r="PWI2" s="568"/>
      <c r="PWJ2" s="568"/>
      <c r="PWK2" s="568"/>
      <c r="PWL2" s="568"/>
      <c r="PWM2" s="568"/>
      <c r="PWN2" s="568"/>
      <c r="PWO2" s="568"/>
      <c r="PWP2" s="568"/>
      <c r="PWQ2" s="568"/>
      <c r="PWR2" s="568"/>
      <c r="PWS2" s="568"/>
      <c r="PWT2" s="568"/>
      <c r="PWU2" s="568"/>
      <c r="PWV2" s="568"/>
      <c r="PWW2" s="568"/>
      <c r="PWX2" s="568"/>
      <c r="PWY2" s="568"/>
      <c r="PWZ2" s="568"/>
      <c r="PXA2" s="568"/>
      <c r="PXB2" s="568"/>
      <c r="PXC2" s="568"/>
      <c r="PXD2" s="568"/>
      <c r="PXE2" s="568"/>
      <c r="PXF2" s="568"/>
      <c r="PXG2" s="568"/>
      <c r="PXH2" s="568"/>
      <c r="PXI2" s="568"/>
      <c r="PXJ2" s="568"/>
      <c r="PXK2" s="568"/>
      <c r="PXL2" s="568"/>
      <c r="PXM2" s="568"/>
      <c r="PXN2" s="568"/>
      <c r="PXO2" s="568"/>
      <c r="PXP2" s="568"/>
      <c r="PXQ2" s="568"/>
      <c r="PXR2" s="568"/>
      <c r="PXS2" s="568"/>
      <c r="PXT2" s="568"/>
      <c r="PXU2" s="568"/>
      <c r="PXV2" s="568"/>
      <c r="PXW2" s="568"/>
      <c r="PXX2" s="568"/>
      <c r="PXY2" s="568"/>
      <c r="PXZ2" s="568"/>
      <c r="PYA2" s="568"/>
      <c r="PYB2" s="568"/>
      <c r="PYC2" s="568"/>
      <c r="PYD2" s="568"/>
      <c r="PYE2" s="568"/>
      <c r="PYF2" s="568"/>
      <c r="PYG2" s="568"/>
      <c r="PYH2" s="568"/>
      <c r="PYI2" s="568"/>
      <c r="PYJ2" s="568"/>
      <c r="PYK2" s="568"/>
      <c r="PYL2" s="568"/>
      <c r="PYM2" s="568"/>
      <c r="PYN2" s="568"/>
      <c r="PYO2" s="568"/>
      <c r="PYP2" s="568"/>
      <c r="PYQ2" s="568"/>
      <c r="PYR2" s="568"/>
      <c r="PYS2" s="568"/>
      <c r="PYT2" s="568"/>
      <c r="PYU2" s="568"/>
      <c r="PYV2" s="568"/>
      <c r="PYW2" s="568"/>
      <c r="PYX2" s="568"/>
      <c r="PYY2" s="568"/>
      <c r="PYZ2" s="568"/>
      <c r="PZA2" s="568"/>
      <c r="PZB2" s="568"/>
      <c r="PZC2" s="568"/>
      <c r="PZD2" s="568"/>
      <c r="PZE2" s="568"/>
      <c r="PZF2" s="568"/>
      <c r="PZG2" s="568"/>
      <c r="PZH2" s="568"/>
      <c r="PZI2" s="568"/>
      <c r="PZJ2" s="568"/>
      <c r="PZK2" s="568"/>
      <c r="PZL2" s="568"/>
      <c r="PZM2" s="568"/>
      <c r="PZN2" s="568"/>
      <c r="PZO2" s="568"/>
      <c r="PZP2" s="568"/>
      <c r="PZQ2" s="568"/>
      <c r="PZR2" s="568"/>
      <c r="PZS2" s="568"/>
      <c r="PZT2" s="568"/>
      <c r="PZU2" s="568"/>
      <c r="PZV2" s="568"/>
      <c r="PZW2" s="568"/>
      <c r="PZX2" s="568"/>
      <c r="PZY2" s="568"/>
      <c r="PZZ2" s="568"/>
      <c r="QAA2" s="568"/>
      <c r="QAB2" s="568"/>
      <c r="QAC2" s="568"/>
      <c r="QAD2" s="568"/>
      <c r="QAE2" s="568"/>
      <c r="QAF2" s="568"/>
      <c r="QAG2" s="568"/>
      <c r="QAH2" s="568"/>
      <c r="QAI2" s="568"/>
      <c r="QAJ2" s="568"/>
      <c r="QAK2" s="568"/>
      <c r="QAL2" s="568"/>
      <c r="QAM2" s="568"/>
      <c r="QAN2" s="568"/>
      <c r="QAO2" s="568"/>
      <c r="QAP2" s="568"/>
      <c r="QAQ2" s="568"/>
      <c r="QAR2" s="568"/>
      <c r="QAS2" s="568"/>
      <c r="QAT2" s="568"/>
      <c r="QAU2" s="568"/>
      <c r="QAV2" s="568"/>
      <c r="QAW2" s="568"/>
      <c r="QAX2" s="568"/>
      <c r="QAY2" s="568"/>
      <c r="QAZ2" s="568"/>
      <c r="QBA2" s="568"/>
      <c r="QBB2" s="568"/>
      <c r="QBC2" s="568"/>
      <c r="QBD2" s="568"/>
      <c r="QBE2" s="568"/>
      <c r="QBF2" s="568"/>
      <c r="QBG2" s="568"/>
      <c r="QBH2" s="568"/>
      <c r="QBI2" s="568"/>
      <c r="QBJ2" s="568"/>
      <c r="QBK2" s="568"/>
      <c r="QBL2" s="568"/>
      <c r="QBM2" s="568"/>
      <c r="QBN2" s="568"/>
      <c r="QBO2" s="568"/>
      <c r="QBP2" s="568"/>
      <c r="QBQ2" s="568"/>
      <c r="QBR2" s="568"/>
      <c r="QBS2" s="568"/>
      <c r="QBT2" s="568"/>
      <c r="QBU2" s="568"/>
      <c r="QBV2" s="568"/>
      <c r="QBW2" s="568"/>
      <c r="QBX2" s="568"/>
      <c r="QBY2" s="568"/>
      <c r="QBZ2" s="568"/>
      <c r="QCA2" s="568"/>
      <c r="QCB2" s="568"/>
      <c r="QCC2" s="568"/>
      <c r="QCD2" s="568"/>
      <c r="QCE2" s="568"/>
      <c r="QCF2" s="568"/>
      <c r="QCG2" s="568"/>
      <c r="QCH2" s="568"/>
      <c r="QCI2" s="568"/>
      <c r="QCJ2" s="568"/>
      <c r="QCK2" s="568"/>
      <c r="QCL2" s="568"/>
      <c r="QCM2" s="568"/>
      <c r="QCN2" s="568"/>
      <c r="QCO2" s="568"/>
      <c r="QCP2" s="568"/>
      <c r="QCQ2" s="568"/>
      <c r="QCR2" s="568"/>
      <c r="QCS2" s="568"/>
      <c r="QCT2" s="568"/>
      <c r="QCU2" s="568"/>
      <c r="QCV2" s="568"/>
      <c r="QCW2" s="568"/>
      <c r="QCX2" s="568"/>
      <c r="QCY2" s="568"/>
      <c r="QCZ2" s="568"/>
      <c r="QDA2" s="568"/>
      <c r="QDB2" s="568"/>
      <c r="QDC2" s="568"/>
      <c r="QDD2" s="568"/>
      <c r="QDE2" s="568"/>
      <c r="QDF2" s="568"/>
      <c r="QDG2" s="568"/>
      <c r="QDH2" s="568"/>
      <c r="QDI2" s="568"/>
      <c r="QDJ2" s="568"/>
      <c r="QDK2" s="568"/>
      <c r="QDL2" s="568"/>
      <c r="QDM2" s="568"/>
      <c r="QDN2" s="568"/>
      <c r="QDO2" s="568"/>
      <c r="QDP2" s="568"/>
      <c r="QDQ2" s="568"/>
      <c r="QDR2" s="568"/>
      <c r="QDS2" s="568"/>
      <c r="QDT2" s="568"/>
      <c r="QDU2" s="568"/>
      <c r="QDV2" s="568"/>
      <c r="QDW2" s="568"/>
      <c r="QDX2" s="568"/>
      <c r="QDY2" s="568"/>
      <c r="QDZ2" s="568"/>
      <c r="QEA2" s="568"/>
      <c r="QEB2" s="568"/>
      <c r="QEC2" s="568"/>
      <c r="QED2" s="568"/>
      <c r="QEE2" s="568"/>
      <c r="QEF2" s="568"/>
      <c r="QEG2" s="568"/>
      <c r="QEH2" s="568"/>
      <c r="QEI2" s="568"/>
      <c r="QEJ2" s="568"/>
      <c r="QEK2" s="568"/>
      <c r="QEL2" s="568"/>
      <c r="QEM2" s="568"/>
      <c r="QEN2" s="568"/>
      <c r="QEO2" s="568"/>
      <c r="QEP2" s="568"/>
      <c r="QEQ2" s="568"/>
      <c r="QER2" s="568"/>
      <c r="QES2" s="568"/>
      <c r="QET2" s="568"/>
      <c r="QEU2" s="568"/>
      <c r="QEV2" s="568"/>
      <c r="QEW2" s="568"/>
      <c r="QEX2" s="568"/>
      <c r="QEY2" s="568"/>
      <c r="QEZ2" s="568"/>
      <c r="QFA2" s="568"/>
      <c r="QFB2" s="568"/>
      <c r="QFC2" s="568"/>
      <c r="QFD2" s="568"/>
      <c r="QFE2" s="568"/>
      <c r="QFF2" s="568"/>
      <c r="QFG2" s="568"/>
      <c r="QFH2" s="568"/>
      <c r="QFI2" s="568"/>
      <c r="QFJ2" s="568"/>
      <c r="QFK2" s="568"/>
      <c r="QFL2" s="568"/>
      <c r="QFM2" s="568"/>
      <c r="QFN2" s="568"/>
      <c r="QFO2" s="568"/>
      <c r="QFP2" s="568"/>
      <c r="QFQ2" s="568"/>
      <c r="QFR2" s="568"/>
      <c r="QFS2" s="568"/>
      <c r="QFT2" s="568"/>
      <c r="QFU2" s="568"/>
      <c r="QFV2" s="568"/>
      <c r="QFW2" s="568"/>
      <c r="QFX2" s="568"/>
      <c r="QFY2" s="568"/>
      <c r="QFZ2" s="568"/>
      <c r="QGA2" s="568"/>
      <c r="QGB2" s="568"/>
      <c r="QGC2" s="568"/>
      <c r="QGD2" s="568"/>
      <c r="QGE2" s="568"/>
      <c r="QGF2" s="568"/>
      <c r="QGG2" s="568"/>
      <c r="QGH2" s="568"/>
      <c r="QGI2" s="568"/>
      <c r="QGJ2" s="568"/>
      <c r="QGK2" s="568"/>
      <c r="QGL2" s="568"/>
      <c r="QGM2" s="568"/>
      <c r="QGN2" s="568"/>
      <c r="QGO2" s="568"/>
      <c r="QGP2" s="568"/>
      <c r="QGQ2" s="568"/>
      <c r="QGR2" s="568"/>
      <c r="QGS2" s="568"/>
      <c r="QGT2" s="568"/>
      <c r="QGU2" s="568"/>
      <c r="QGV2" s="568"/>
      <c r="QGW2" s="568"/>
      <c r="QGX2" s="568"/>
      <c r="QGY2" s="568"/>
      <c r="QGZ2" s="568"/>
      <c r="QHA2" s="568"/>
      <c r="QHB2" s="568"/>
      <c r="QHC2" s="568"/>
      <c r="QHD2" s="568"/>
      <c r="QHE2" s="568"/>
      <c r="QHF2" s="568"/>
      <c r="QHG2" s="568"/>
      <c r="QHH2" s="568"/>
      <c r="QHI2" s="568"/>
      <c r="QHJ2" s="568"/>
      <c r="QHK2" s="568"/>
      <c r="QHL2" s="568"/>
      <c r="QHM2" s="568"/>
      <c r="QHN2" s="568"/>
      <c r="QHO2" s="568"/>
      <c r="QHP2" s="568"/>
      <c r="QHQ2" s="568"/>
      <c r="QHR2" s="568"/>
      <c r="QHS2" s="568"/>
      <c r="QHT2" s="568"/>
      <c r="QHU2" s="568"/>
      <c r="QHV2" s="568"/>
      <c r="QHW2" s="568"/>
      <c r="QHX2" s="568"/>
      <c r="QHY2" s="568"/>
      <c r="QHZ2" s="568"/>
      <c r="QIA2" s="568"/>
      <c r="QIB2" s="568"/>
      <c r="QIC2" s="568"/>
      <c r="QID2" s="568"/>
      <c r="QIE2" s="568"/>
      <c r="QIF2" s="568"/>
      <c r="QIG2" s="568"/>
      <c r="QIH2" s="568"/>
      <c r="QII2" s="568"/>
      <c r="QIJ2" s="568"/>
      <c r="QIK2" s="568"/>
      <c r="QIL2" s="568"/>
      <c r="QIM2" s="568"/>
      <c r="QIN2" s="568"/>
      <c r="QIO2" s="568"/>
      <c r="QIP2" s="568"/>
      <c r="QIQ2" s="568"/>
      <c r="QIR2" s="568"/>
      <c r="QIS2" s="568"/>
      <c r="QIT2" s="568"/>
      <c r="QIU2" s="568"/>
      <c r="QIV2" s="568"/>
      <c r="QIW2" s="568"/>
      <c r="QIX2" s="568"/>
      <c r="QIY2" s="568"/>
      <c r="QIZ2" s="568"/>
      <c r="QJA2" s="568"/>
      <c r="QJB2" s="568"/>
      <c r="QJC2" s="568"/>
      <c r="QJD2" s="568"/>
      <c r="QJE2" s="568"/>
      <c r="QJF2" s="568"/>
      <c r="QJG2" s="568"/>
      <c r="QJH2" s="568"/>
      <c r="QJI2" s="568"/>
      <c r="QJJ2" s="568"/>
      <c r="QJK2" s="568"/>
      <c r="QJL2" s="568"/>
      <c r="QJM2" s="568"/>
      <c r="QJN2" s="568"/>
      <c r="QJO2" s="568"/>
      <c r="QJP2" s="568"/>
      <c r="QJQ2" s="568"/>
      <c r="QJR2" s="568"/>
      <c r="QJS2" s="568"/>
      <c r="QJT2" s="568"/>
      <c r="QJU2" s="568"/>
      <c r="QJV2" s="568"/>
      <c r="QJW2" s="568"/>
      <c r="QJX2" s="568"/>
      <c r="QJY2" s="568"/>
      <c r="QJZ2" s="568"/>
      <c r="QKA2" s="568"/>
      <c r="QKB2" s="568"/>
      <c r="QKC2" s="568"/>
      <c r="QKD2" s="568"/>
      <c r="QKE2" s="568"/>
      <c r="QKF2" s="568"/>
      <c r="QKG2" s="568"/>
      <c r="QKH2" s="568"/>
      <c r="QKI2" s="568"/>
      <c r="QKJ2" s="568"/>
      <c r="QKK2" s="568"/>
      <c r="QKL2" s="568"/>
      <c r="QKM2" s="568"/>
      <c r="QKN2" s="568"/>
      <c r="QKO2" s="568"/>
      <c r="QKP2" s="568"/>
      <c r="QKQ2" s="568"/>
      <c r="QKR2" s="568"/>
      <c r="QKS2" s="568"/>
      <c r="QKT2" s="568"/>
      <c r="QKU2" s="568"/>
      <c r="QKV2" s="568"/>
      <c r="QKW2" s="568"/>
      <c r="QKX2" s="568"/>
      <c r="QKY2" s="568"/>
      <c r="QKZ2" s="568"/>
      <c r="QLA2" s="568"/>
      <c r="QLB2" s="568"/>
      <c r="QLC2" s="568"/>
      <c r="QLD2" s="568"/>
      <c r="QLE2" s="568"/>
      <c r="QLF2" s="568"/>
      <c r="QLG2" s="568"/>
      <c r="QLH2" s="568"/>
      <c r="QLI2" s="568"/>
      <c r="QLJ2" s="568"/>
      <c r="QLK2" s="568"/>
      <c r="QLL2" s="568"/>
      <c r="QLM2" s="568"/>
      <c r="QLN2" s="568"/>
      <c r="QLO2" s="568"/>
      <c r="QLP2" s="568"/>
      <c r="QLQ2" s="568"/>
      <c r="QLR2" s="568"/>
      <c r="QLS2" s="568"/>
      <c r="QLT2" s="568"/>
      <c r="QLU2" s="568"/>
      <c r="QLV2" s="568"/>
      <c r="QLW2" s="568"/>
      <c r="QLX2" s="568"/>
      <c r="QLY2" s="568"/>
      <c r="QLZ2" s="568"/>
      <c r="QMA2" s="568"/>
      <c r="QMB2" s="568"/>
      <c r="QMC2" s="568"/>
      <c r="QMD2" s="568"/>
      <c r="QME2" s="568"/>
      <c r="QMF2" s="568"/>
      <c r="QMG2" s="568"/>
      <c r="QMH2" s="568"/>
      <c r="QMI2" s="568"/>
      <c r="QMJ2" s="568"/>
      <c r="QMK2" s="568"/>
      <c r="QML2" s="568"/>
      <c r="QMM2" s="568"/>
      <c r="QMN2" s="568"/>
      <c r="QMO2" s="568"/>
      <c r="QMP2" s="568"/>
      <c r="QMQ2" s="568"/>
      <c r="QMR2" s="568"/>
      <c r="QMS2" s="568"/>
      <c r="QMT2" s="568"/>
      <c r="QMU2" s="568"/>
      <c r="QMV2" s="568"/>
      <c r="QMW2" s="568"/>
      <c r="QMX2" s="568"/>
      <c r="QMY2" s="568"/>
      <c r="QMZ2" s="568"/>
      <c r="QNA2" s="568"/>
      <c r="QNB2" s="568"/>
      <c r="QNC2" s="568"/>
      <c r="QND2" s="568"/>
      <c r="QNE2" s="568"/>
      <c r="QNF2" s="568"/>
      <c r="QNG2" s="568"/>
      <c r="QNH2" s="568"/>
      <c r="QNI2" s="568"/>
      <c r="QNJ2" s="568"/>
      <c r="QNK2" s="568"/>
      <c r="QNL2" s="568"/>
      <c r="QNM2" s="568"/>
      <c r="QNN2" s="568"/>
      <c r="QNO2" s="568"/>
      <c r="QNP2" s="568"/>
      <c r="QNQ2" s="568"/>
      <c r="QNR2" s="568"/>
      <c r="QNS2" s="568"/>
      <c r="QNT2" s="568"/>
      <c r="QNU2" s="568"/>
      <c r="QNV2" s="568"/>
      <c r="QNW2" s="568"/>
      <c r="QNX2" s="568"/>
      <c r="QNY2" s="568"/>
      <c r="QNZ2" s="568"/>
      <c r="QOA2" s="568"/>
      <c r="QOB2" s="568"/>
      <c r="QOC2" s="568"/>
      <c r="QOD2" s="568"/>
      <c r="QOE2" s="568"/>
      <c r="QOF2" s="568"/>
      <c r="QOG2" s="568"/>
      <c r="QOH2" s="568"/>
      <c r="QOI2" s="568"/>
      <c r="QOJ2" s="568"/>
      <c r="QOK2" s="568"/>
      <c r="QOL2" s="568"/>
      <c r="QOM2" s="568"/>
      <c r="QON2" s="568"/>
      <c r="QOO2" s="568"/>
      <c r="QOP2" s="568"/>
      <c r="QOQ2" s="568"/>
      <c r="QOR2" s="568"/>
      <c r="QOS2" s="568"/>
      <c r="QOT2" s="568"/>
      <c r="QOU2" s="568"/>
      <c r="QOV2" s="568"/>
      <c r="QOW2" s="568"/>
      <c r="QOX2" s="568"/>
      <c r="QOY2" s="568"/>
      <c r="QOZ2" s="568"/>
      <c r="QPA2" s="568"/>
      <c r="QPB2" s="568"/>
      <c r="QPC2" s="568"/>
      <c r="QPD2" s="568"/>
      <c r="QPE2" s="568"/>
      <c r="QPF2" s="568"/>
      <c r="QPG2" s="568"/>
      <c r="QPH2" s="568"/>
      <c r="QPI2" s="568"/>
      <c r="QPJ2" s="568"/>
      <c r="QPK2" s="568"/>
      <c r="QPL2" s="568"/>
      <c r="QPM2" s="568"/>
      <c r="QPN2" s="568"/>
      <c r="QPO2" s="568"/>
      <c r="QPP2" s="568"/>
      <c r="QPQ2" s="568"/>
      <c r="QPR2" s="568"/>
      <c r="QPS2" s="568"/>
      <c r="QPT2" s="568"/>
      <c r="QPU2" s="568"/>
      <c r="QPV2" s="568"/>
      <c r="QPW2" s="568"/>
      <c r="QPX2" s="568"/>
      <c r="QPY2" s="568"/>
      <c r="QPZ2" s="568"/>
      <c r="QQA2" s="568"/>
      <c r="QQB2" s="568"/>
      <c r="QQC2" s="568"/>
      <c r="QQD2" s="568"/>
      <c r="QQE2" s="568"/>
      <c r="QQF2" s="568"/>
      <c r="QQG2" s="568"/>
      <c r="QQH2" s="568"/>
      <c r="QQI2" s="568"/>
      <c r="QQJ2" s="568"/>
      <c r="QQK2" s="568"/>
      <c r="QQL2" s="568"/>
      <c r="QQM2" s="568"/>
      <c r="QQN2" s="568"/>
      <c r="QQO2" s="568"/>
      <c r="QQP2" s="568"/>
      <c r="QQQ2" s="568"/>
      <c r="QQR2" s="568"/>
      <c r="QQS2" s="568"/>
      <c r="QQT2" s="568"/>
      <c r="QQU2" s="568"/>
      <c r="QQV2" s="568"/>
      <c r="QQW2" s="568"/>
      <c r="QQX2" s="568"/>
      <c r="QQY2" s="568"/>
      <c r="QQZ2" s="568"/>
      <c r="QRA2" s="568"/>
      <c r="QRB2" s="568"/>
      <c r="QRC2" s="568"/>
      <c r="QRD2" s="568"/>
      <c r="QRE2" s="568"/>
      <c r="QRF2" s="568"/>
      <c r="QRG2" s="568"/>
      <c r="QRH2" s="568"/>
      <c r="QRI2" s="568"/>
      <c r="QRJ2" s="568"/>
      <c r="QRK2" s="568"/>
      <c r="QRL2" s="568"/>
      <c r="QRM2" s="568"/>
      <c r="QRN2" s="568"/>
      <c r="QRO2" s="568"/>
      <c r="QRP2" s="568"/>
      <c r="QRQ2" s="568"/>
      <c r="QRR2" s="568"/>
      <c r="QRS2" s="568"/>
      <c r="QRT2" s="568"/>
      <c r="QRU2" s="568"/>
      <c r="QRV2" s="568"/>
      <c r="QRW2" s="568"/>
      <c r="QRX2" s="568"/>
      <c r="QRY2" s="568"/>
      <c r="QRZ2" s="568"/>
      <c r="QSA2" s="568"/>
      <c r="QSB2" s="568"/>
      <c r="QSC2" s="568"/>
      <c r="QSD2" s="568"/>
      <c r="QSE2" s="568"/>
      <c r="QSF2" s="568"/>
      <c r="QSG2" s="568"/>
      <c r="QSH2" s="568"/>
      <c r="QSI2" s="568"/>
      <c r="QSJ2" s="568"/>
      <c r="QSK2" s="568"/>
      <c r="QSL2" s="568"/>
      <c r="QSM2" s="568"/>
      <c r="QSN2" s="568"/>
      <c r="QSO2" s="568"/>
      <c r="QSP2" s="568"/>
      <c r="QSQ2" s="568"/>
      <c r="QSR2" s="568"/>
      <c r="QSS2" s="568"/>
      <c r="QST2" s="568"/>
      <c r="QSU2" s="568"/>
      <c r="QSV2" s="568"/>
      <c r="QSW2" s="568"/>
      <c r="QSX2" s="568"/>
      <c r="QSY2" s="568"/>
      <c r="QSZ2" s="568"/>
      <c r="QTA2" s="568"/>
      <c r="QTB2" s="568"/>
      <c r="QTC2" s="568"/>
      <c r="QTD2" s="568"/>
      <c r="QTE2" s="568"/>
      <c r="QTF2" s="568"/>
      <c r="QTG2" s="568"/>
      <c r="QTH2" s="568"/>
      <c r="QTI2" s="568"/>
      <c r="QTJ2" s="568"/>
      <c r="QTK2" s="568"/>
      <c r="QTL2" s="568"/>
      <c r="QTM2" s="568"/>
      <c r="QTN2" s="568"/>
      <c r="QTO2" s="568"/>
      <c r="QTP2" s="568"/>
      <c r="QTQ2" s="568"/>
      <c r="QTR2" s="568"/>
      <c r="QTS2" s="568"/>
      <c r="QTT2" s="568"/>
      <c r="QTU2" s="568"/>
      <c r="QTV2" s="568"/>
      <c r="QTW2" s="568"/>
      <c r="QTX2" s="568"/>
      <c r="QTY2" s="568"/>
      <c r="QTZ2" s="568"/>
      <c r="QUA2" s="568"/>
      <c r="QUB2" s="568"/>
      <c r="QUC2" s="568"/>
      <c r="QUD2" s="568"/>
      <c r="QUE2" s="568"/>
      <c r="QUF2" s="568"/>
      <c r="QUG2" s="568"/>
      <c r="QUH2" s="568"/>
      <c r="QUI2" s="568"/>
      <c r="QUJ2" s="568"/>
      <c r="QUK2" s="568"/>
      <c r="QUL2" s="568"/>
      <c r="QUM2" s="568"/>
      <c r="QUN2" s="568"/>
      <c r="QUO2" s="568"/>
      <c r="QUP2" s="568"/>
      <c r="QUQ2" s="568"/>
      <c r="QUR2" s="568"/>
      <c r="QUS2" s="568"/>
      <c r="QUT2" s="568"/>
      <c r="QUU2" s="568"/>
      <c r="QUV2" s="568"/>
      <c r="QUW2" s="568"/>
      <c r="QUX2" s="568"/>
      <c r="QUY2" s="568"/>
      <c r="QUZ2" s="568"/>
      <c r="QVA2" s="568"/>
      <c r="QVB2" s="568"/>
      <c r="QVC2" s="568"/>
      <c r="QVD2" s="568"/>
      <c r="QVE2" s="568"/>
      <c r="QVF2" s="568"/>
      <c r="QVG2" s="568"/>
      <c r="QVH2" s="568"/>
      <c r="QVI2" s="568"/>
      <c r="QVJ2" s="568"/>
      <c r="QVK2" s="568"/>
      <c r="QVL2" s="568"/>
      <c r="QVM2" s="568"/>
      <c r="QVN2" s="568"/>
      <c r="QVO2" s="568"/>
      <c r="QVP2" s="568"/>
      <c r="QVQ2" s="568"/>
      <c r="QVR2" s="568"/>
      <c r="QVS2" s="568"/>
      <c r="QVT2" s="568"/>
      <c r="QVU2" s="568"/>
      <c r="QVV2" s="568"/>
      <c r="QVW2" s="568"/>
      <c r="QVX2" s="568"/>
      <c r="QVY2" s="568"/>
      <c r="QVZ2" s="568"/>
      <c r="QWA2" s="568"/>
      <c r="QWB2" s="568"/>
      <c r="QWC2" s="568"/>
      <c r="QWD2" s="568"/>
      <c r="QWE2" s="568"/>
      <c r="QWF2" s="568"/>
      <c r="QWG2" s="568"/>
      <c r="QWH2" s="568"/>
      <c r="QWI2" s="568"/>
      <c r="QWJ2" s="568"/>
      <c r="QWK2" s="568"/>
      <c r="QWL2" s="568"/>
      <c r="QWM2" s="568"/>
      <c r="QWN2" s="568"/>
      <c r="QWO2" s="568"/>
      <c r="QWP2" s="568"/>
      <c r="QWQ2" s="568"/>
      <c r="QWR2" s="568"/>
      <c r="QWS2" s="568"/>
      <c r="QWT2" s="568"/>
      <c r="QWU2" s="568"/>
      <c r="QWV2" s="568"/>
      <c r="QWW2" s="568"/>
      <c r="QWX2" s="568"/>
      <c r="QWY2" s="568"/>
      <c r="QWZ2" s="568"/>
      <c r="QXA2" s="568"/>
      <c r="QXB2" s="568"/>
      <c r="QXC2" s="568"/>
      <c r="QXD2" s="568"/>
      <c r="QXE2" s="568"/>
      <c r="QXF2" s="568"/>
      <c r="QXG2" s="568"/>
      <c r="QXH2" s="568"/>
      <c r="QXI2" s="568"/>
      <c r="QXJ2" s="568"/>
      <c r="QXK2" s="568"/>
      <c r="QXL2" s="568"/>
      <c r="QXM2" s="568"/>
      <c r="QXN2" s="568"/>
      <c r="QXO2" s="568"/>
      <c r="QXP2" s="568"/>
      <c r="QXQ2" s="568"/>
      <c r="QXR2" s="568"/>
      <c r="QXS2" s="568"/>
      <c r="QXT2" s="568"/>
      <c r="QXU2" s="568"/>
      <c r="QXV2" s="568"/>
      <c r="QXW2" s="568"/>
      <c r="QXX2" s="568"/>
      <c r="QXY2" s="568"/>
      <c r="QXZ2" s="568"/>
      <c r="QYA2" s="568"/>
      <c r="QYB2" s="568"/>
      <c r="QYC2" s="568"/>
      <c r="QYD2" s="568"/>
      <c r="QYE2" s="568"/>
      <c r="QYF2" s="568"/>
      <c r="QYG2" s="568"/>
      <c r="QYH2" s="568"/>
      <c r="QYI2" s="568"/>
      <c r="QYJ2" s="568"/>
      <c r="QYK2" s="568"/>
      <c r="QYL2" s="568"/>
      <c r="QYM2" s="568"/>
      <c r="QYN2" s="568"/>
      <c r="QYO2" s="568"/>
      <c r="QYP2" s="568"/>
      <c r="QYQ2" s="568"/>
      <c r="QYR2" s="568"/>
      <c r="QYS2" s="568"/>
      <c r="QYT2" s="568"/>
      <c r="QYU2" s="568"/>
      <c r="QYV2" s="568"/>
      <c r="QYW2" s="568"/>
      <c r="QYX2" s="568"/>
      <c r="QYY2" s="568"/>
      <c r="QYZ2" s="568"/>
      <c r="QZA2" s="568"/>
      <c r="QZB2" s="568"/>
      <c r="QZC2" s="568"/>
      <c r="QZD2" s="568"/>
      <c r="QZE2" s="568"/>
      <c r="QZF2" s="568"/>
      <c r="QZG2" s="568"/>
      <c r="QZH2" s="568"/>
      <c r="QZI2" s="568"/>
      <c r="QZJ2" s="568"/>
      <c r="QZK2" s="568"/>
      <c r="QZL2" s="568"/>
      <c r="QZM2" s="568"/>
      <c r="QZN2" s="568"/>
      <c r="QZO2" s="568"/>
      <c r="QZP2" s="568"/>
      <c r="QZQ2" s="568"/>
      <c r="QZR2" s="568"/>
      <c r="QZS2" s="568"/>
      <c r="QZT2" s="568"/>
      <c r="QZU2" s="568"/>
      <c r="QZV2" s="568"/>
      <c r="QZW2" s="568"/>
      <c r="QZX2" s="568"/>
      <c r="QZY2" s="568"/>
      <c r="QZZ2" s="568"/>
      <c r="RAA2" s="568"/>
      <c r="RAB2" s="568"/>
      <c r="RAC2" s="568"/>
      <c r="RAD2" s="568"/>
      <c r="RAE2" s="568"/>
      <c r="RAF2" s="568"/>
      <c r="RAG2" s="568"/>
      <c r="RAH2" s="568"/>
      <c r="RAI2" s="568"/>
      <c r="RAJ2" s="568"/>
      <c r="RAK2" s="568"/>
      <c r="RAL2" s="568"/>
      <c r="RAM2" s="568"/>
      <c r="RAN2" s="568"/>
      <c r="RAO2" s="568"/>
      <c r="RAP2" s="568"/>
      <c r="RAQ2" s="568"/>
      <c r="RAR2" s="568"/>
      <c r="RAS2" s="568"/>
      <c r="RAT2" s="568"/>
      <c r="RAU2" s="568"/>
      <c r="RAV2" s="568"/>
      <c r="RAW2" s="568"/>
      <c r="RAX2" s="568"/>
      <c r="RAY2" s="568"/>
      <c r="RAZ2" s="568"/>
      <c r="RBA2" s="568"/>
      <c r="RBB2" s="568"/>
      <c r="RBC2" s="568"/>
      <c r="RBD2" s="568"/>
      <c r="RBE2" s="568"/>
      <c r="RBF2" s="568"/>
      <c r="RBG2" s="568"/>
      <c r="RBH2" s="568"/>
      <c r="RBI2" s="568"/>
      <c r="RBJ2" s="568"/>
      <c r="RBK2" s="568"/>
      <c r="RBL2" s="568"/>
      <c r="RBM2" s="568"/>
      <c r="RBN2" s="568"/>
      <c r="RBO2" s="568"/>
      <c r="RBP2" s="568"/>
      <c r="RBQ2" s="568"/>
      <c r="RBR2" s="568"/>
      <c r="RBS2" s="568"/>
      <c r="RBT2" s="568"/>
      <c r="RBU2" s="568"/>
      <c r="RBV2" s="568"/>
      <c r="RBW2" s="568"/>
      <c r="RBX2" s="568"/>
      <c r="RBY2" s="568"/>
      <c r="RBZ2" s="568"/>
      <c r="RCA2" s="568"/>
      <c r="RCB2" s="568"/>
      <c r="RCC2" s="568"/>
      <c r="RCD2" s="568"/>
      <c r="RCE2" s="568"/>
      <c r="RCF2" s="568"/>
      <c r="RCG2" s="568"/>
      <c r="RCH2" s="568"/>
      <c r="RCI2" s="568"/>
      <c r="RCJ2" s="568"/>
      <c r="RCK2" s="568"/>
      <c r="RCL2" s="568"/>
      <c r="RCM2" s="568"/>
      <c r="RCN2" s="568"/>
      <c r="RCO2" s="568"/>
      <c r="RCP2" s="568"/>
      <c r="RCQ2" s="568"/>
      <c r="RCR2" s="568"/>
      <c r="RCS2" s="568"/>
      <c r="RCT2" s="568"/>
      <c r="RCU2" s="568"/>
      <c r="RCV2" s="568"/>
      <c r="RCW2" s="568"/>
      <c r="RCX2" s="568"/>
      <c r="RCY2" s="568"/>
      <c r="RCZ2" s="568"/>
      <c r="RDA2" s="568"/>
      <c r="RDB2" s="568"/>
      <c r="RDC2" s="568"/>
      <c r="RDD2" s="568"/>
      <c r="RDE2" s="568"/>
      <c r="RDF2" s="568"/>
      <c r="RDG2" s="568"/>
      <c r="RDH2" s="568"/>
      <c r="RDI2" s="568"/>
      <c r="RDJ2" s="568"/>
      <c r="RDK2" s="568"/>
      <c r="RDL2" s="568"/>
      <c r="RDM2" s="568"/>
      <c r="RDN2" s="568"/>
      <c r="RDO2" s="568"/>
      <c r="RDP2" s="568"/>
      <c r="RDQ2" s="568"/>
      <c r="RDR2" s="568"/>
      <c r="RDS2" s="568"/>
      <c r="RDT2" s="568"/>
      <c r="RDU2" s="568"/>
      <c r="RDV2" s="568"/>
      <c r="RDW2" s="568"/>
      <c r="RDX2" s="568"/>
      <c r="RDY2" s="568"/>
      <c r="RDZ2" s="568"/>
      <c r="REA2" s="568"/>
      <c r="REB2" s="568"/>
      <c r="REC2" s="568"/>
      <c r="RED2" s="568"/>
      <c r="REE2" s="568"/>
      <c r="REF2" s="568"/>
      <c r="REG2" s="568"/>
      <c r="REH2" s="568"/>
      <c r="REI2" s="568"/>
      <c r="REJ2" s="568"/>
      <c r="REK2" s="568"/>
      <c r="REL2" s="568"/>
      <c r="REM2" s="568"/>
      <c r="REN2" s="568"/>
      <c r="REO2" s="568"/>
      <c r="REP2" s="568"/>
      <c r="REQ2" s="568"/>
      <c r="RER2" s="568"/>
      <c r="RES2" s="568"/>
      <c r="RET2" s="568"/>
      <c r="REU2" s="568"/>
      <c r="REV2" s="568"/>
      <c r="REW2" s="568"/>
      <c r="REX2" s="568"/>
      <c r="REY2" s="568"/>
      <c r="REZ2" s="568"/>
      <c r="RFA2" s="568"/>
      <c r="RFB2" s="568"/>
      <c r="RFC2" s="568"/>
      <c r="RFD2" s="568"/>
      <c r="RFE2" s="568"/>
      <c r="RFF2" s="568"/>
      <c r="RFG2" s="568"/>
      <c r="RFH2" s="568"/>
      <c r="RFI2" s="568"/>
      <c r="RFJ2" s="568"/>
      <c r="RFK2" s="568"/>
      <c r="RFL2" s="568"/>
      <c r="RFM2" s="568"/>
      <c r="RFN2" s="568"/>
      <c r="RFO2" s="568"/>
      <c r="RFP2" s="568"/>
      <c r="RFQ2" s="568"/>
      <c r="RFR2" s="568"/>
      <c r="RFS2" s="568"/>
      <c r="RFT2" s="568"/>
      <c r="RFU2" s="568"/>
      <c r="RFV2" s="568"/>
      <c r="RFW2" s="568"/>
      <c r="RFX2" s="568"/>
      <c r="RFY2" s="568"/>
      <c r="RFZ2" s="568"/>
      <c r="RGA2" s="568"/>
      <c r="RGB2" s="568"/>
      <c r="RGC2" s="568"/>
      <c r="RGD2" s="568"/>
      <c r="RGE2" s="568"/>
      <c r="RGF2" s="568"/>
      <c r="RGG2" s="568"/>
      <c r="RGH2" s="568"/>
      <c r="RGI2" s="568"/>
      <c r="RGJ2" s="568"/>
      <c r="RGK2" s="568"/>
      <c r="RGL2" s="568"/>
      <c r="RGM2" s="568"/>
      <c r="RGN2" s="568"/>
      <c r="RGO2" s="568"/>
      <c r="RGP2" s="568"/>
      <c r="RGQ2" s="568"/>
      <c r="RGR2" s="568"/>
      <c r="RGS2" s="568"/>
      <c r="RGT2" s="568"/>
      <c r="RGU2" s="568"/>
      <c r="RGV2" s="568"/>
      <c r="RGW2" s="568"/>
      <c r="RGX2" s="568"/>
      <c r="RGY2" s="568"/>
      <c r="RGZ2" s="568"/>
      <c r="RHA2" s="568"/>
      <c r="RHB2" s="568"/>
      <c r="RHC2" s="568"/>
      <c r="RHD2" s="568"/>
      <c r="RHE2" s="568"/>
      <c r="RHF2" s="568"/>
      <c r="RHG2" s="568"/>
      <c r="RHH2" s="568"/>
      <c r="RHI2" s="568"/>
      <c r="RHJ2" s="568"/>
      <c r="RHK2" s="568"/>
      <c r="RHL2" s="568"/>
      <c r="RHM2" s="568"/>
      <c r="RHN2" s="568"/>
      <c r="RHO2" s="568"/>
      <c r="RHP2" s="568"/>
      <c r="RHQ2" s="568"/>
      <c r="RHR2" s="568"/>
      <c r="RHS2" s="568"/>
      <c r="RHT2" s="568"/>
      <c r="RHU2" s="568"/>
      <c r="RHV2" s="568"/>
      <c r="RHW2" s="568"/>
      <c r="RHX2" s="568"/>
      <c r="RHY2" s="568"/>
      <c r="RHZ2" s="568"/>
      <c r="RIA2" s="568"/>
      <c r="RIB2" s="568"/>
      <c r="RIC2" s="568"/>
      <c r="RID2" s="568"/>
      <c r="RIE2" s="568"/>
      <c r="RIF2" s="568"/>
      <c r="RIG2" s="568"/>
      <c r="RIH2" s="568"/>
      <c r="RII2" s="568"/>
      <c r="RIJ2" s="568"/>
      <c r="RIK2" s="568"/>
      <c r="RIL2" s="568"/>
      <c r="RIM2" s="568"/>
      <c r="RIN2" s="568"/>
      <c r="RIO2" s="568"/>
      <c r="RIP2" s="568"/>
      <c r="RIQ2" s="568"/>
      <c r="RIR2" s="568"/>
      <c r="RIS2" s="568"/>
      <c r="RIT2" s="568"/>
      <c r="RIU2" s="568"/>
      <c r="RIV2" s="568"/>
      <c r="RIW2" s="568"/>
      <c r="RIX2" s="568"/>
      <c r="RIY2" s="568"/>
      <c r="RIZ2" s="568"/>
      <c r="RJA2" s="568"/>
      <c r="RJB2" s="568"/>
      <c r="RJC2" s="568"/>
      <c r="RJD2" s="568"/>
      <c r="RJE2" s="568"/>
      <c r="RJF2" s="568"/>
      <c r="RJG2" s="568"/>
      <c r="RJH2" s="568"/>
      <c r="RJI2" s="568"/>
      <c r="RJJ2" s="568"/>
      <c r="RJK2" s="568"/>
      <c r="RJL2" s="568"/>
      <c r="RJM2" s="568"/>
      <c r="RJN2" s="568"/>
      <c r="RJO2" s="568"/>
      <c r="RJP2" s="568"/>
      <c r="RJQ2" s="568"/>
      <c r="RJR2" s="568"/>
      <c r="RJS2" s="568"/>
      <c r="RJT2" s="568"/>
      <c r="RJU2" s="568"/>
      <c r="RJV2" s="568"/>
      <c r="RJW2" s="568"/>
      <c r="RJX2" s="568"/>
      <c r="RJY2" s="568"/>
      <c r="RJZ2" s="568"/>
      <c r="RKA2" s="568"/>
      <c r="RKB2" s="568"/>
      <c r="RKC2" s="568"/>
      <c r="RKD2" s="568"/>
      <c r="RKE2" s="568"/>
      <c r="RKF2" s="568"/>
      <c r="RKG2" s="568"/>
      <c r="RKH2" s="568"/>
      <c r="RKI2" s="568"/>
      <c r="RKJ2" s="568"/>
      <c r="RKK2" s="568"/>
      <c r="RKL2" s="568"/>
      <c r="RKM2" s="568"/>
      <c r="RKN2" s="568"/>
      <c r="RKO2" s="568"/>
      <c r="RKP2" s="568"/>
      <c r="RKQ2" s="568"/>
      <c r="RKR2" s="568"/>
      <c r="RKS2" s="568"/>
      <c r="RKT2" s="568"/>
      <c r="RKU2" s="568"/>
      <c r="RKV2" s="568"/>
      <c r="RKW2" s="568"/>
      <c r="RKX2" s="568"/>
      <c r="RKY2" s="568"/>
      <c r="RKZ2" s="568"/>
      <c r="RLA2" s="568"/>
      <c r="RLB2" s="568"/>
      <c r="RLC2" s="568"/>
      <c r="RLD2" s="568"/>
      <c r="RLE2" s="568"/>
      <c r="RLF2" s="568"/>
      <c r="RLG2" s="568"/>
      <c r="RLH2" s="568"/>
      <c r="RLI2" s="568"/>
      <c r="RLJ2" s="568"/>
      <c r="RLK2" s="568"/>
      <c r="RLL2" s="568"/>
      <c r="RLM2" s="568"/>
      <c r="RLN2" s="568"/>
      <c r="RLO2" s="568"/>
      <c r="RLP2" s="568"/>
      <c r="RLQ2" s="568"/>
      <c r="RLR2" s="568"/>
      <c r="RLS2" s="568"/>
      <c r="RLT2" s="568"/>
      <c r="RLU2" s="568"/>
      <c r="RLV2" s="568"/>
      <c r="RLW2" s="568"/>
      <c r="RLX2" s="568"/>
      <c r="RLY2" s="568"/>
      <c r="RLZ2" s="568"/>
      <c r="RMA2" s="568"/>
      <c r="RMB2" s="568"/>
      <c r="RMC2" s="568"/>
      <c r="RMD2" s="568"/>
      <c r="RME2" s="568"/>
      <c r="RMF2" s="568"/>
      <c r="RMG2" s="568"/>
      <c r="RMH2" s="568"/>
      <c r="RMI2" s="568"/>
      <c r="RMJ2" s="568"/>
      <c r="RMK2" s="568"/>
      <c r="RML2" s="568"/>
      <c r="RMM2" s="568"/>
      <c r="RMN2" s="568"/>
      <c r="RMO2" s="568"/>
      <c r="RMP2" s="568"/>
      <c r="RMQ2" s="568"/>
      <c r="RMR2" s="568"/>
      <c r="RMS2" s="568"/>
      <c r="RMT2" s="568"/>
      <c r="RMU2" s="568"/>
      <c r="RMV2" s="568"/>
      <c r="RMW2" s="568"/>
      <c r="RMX2" s="568"/>
      <c r="RMY2" s="568"/>
      <c r="RMZ2" s="568"/>
      <c r="RNA2" s="568"/>
      <c r="RNB2" s="568"/>
      <c r="RNC2" s="568"/>
      <c r="RND2" s="568"/>
      <c r="RNE2" s="568"/>
      <c r="RNF2" s="568"/>
      <c r="RNG2" s="568"/>
      <c r="RNH2" s="568"/>
      <c r="RNI2" s="568"/>
      <c r="RNJ2" s="568"/>
      <c r="RNK2" s="568"/>
      <c r="RNL2" s="568"/>
      <c r="RNM2" s="568"/>
      <c r="RNN2" s="568"/>
      <c r="RNO2" s="568"/>
      <c r="RNP2" s="568"/>
      <c r="RNQ2" s="568"/>
      <c r="RNR2" s="568"/>
      <c r="RNS2" s="568"/>
      <c r="RNT2" s="568"/>
      <c r="RNU2" s="568"/>
      <c r="RNV2" s="568"/>
      <c r="RNW2" s="568"/>
      <c r="RNX2" s="568"/>
      <c r="RNY2" s="568"/>
      <c r="RNZ2" s="568"/>
      <c r="ROA2" s="568"/>
      <c r="ROB2" s="568"/>
      <c r="ROC2" s="568"/>
      <c r="ROD2" s="568"/>
      <c r="ROE2" s="568"/>
      <c r="ROF2" s="568"/>
      <c r="ROG2" s="568"/>
      <c r="ROH2" s="568"/>
      <c r="ROI2" s="568"/>
      <c r="ROJ2" s="568"/>
      <c r="ROK2" s="568"/>
      <c r="ROL2" s="568"/>
      <c r="ROM2" s="568"/>
      <c r="RON2" s="568"/>
      <c r="ROO2" s="568"/>
      <c r="ROP2" s="568"/>
      <c r="ROQ2" s="568"/>
      <c r="ROR2" s="568"/>
      <c r="ROS2" s="568"/>
      <c r="ROT2" s="568"/>
      <c r="ROU2" s="568"/>
      <c r="ROV2" s="568"/>
      <c r="ROW2" s="568"/>
      <c r="ROX2" s="568"/>
      <c r="ROY2" s="568"/>
      <c r="ROZ2" s="568"/>
      <c r="RPA2" s="568"/>
      <c r="RPB2" s="568"/>
      <c r="RPC2" s="568"/>
      <c r="RPD2" s="568"/>
      <c r="RPE2" s="568"/>
      <c r="RPF2" s="568"/>
      <c r="RPG2" s="568"/>
      <c r="RPH2" s="568"/>
      <c r="RPI2" s="568"/>
      <c r="RPJ2" s="568"/>
      <c r="RPK2" s="568"/>
      <c r="RPL2" s="568"/>
      <c r="RPM2" s="568"/>
      <c r="RPN2" s="568"/>
      <c r="RPO2" s="568"/>
      <c r="RPP2" s="568"/>
      <c r="RPQ2" s="568"/>
      <c r="RPR2" s="568"/>
      <c r="RPS2" s="568"/>
      <c r="RPT2" s="568"/>
      <c r="RPU2" s="568"/>
      <c r="RPV2" s="568"/>
      <c r="RPW2" s="568"/>
      <c r="RPX2" s="568"/>
      <c r="RPY2" s="568"/>
      <c r="RPZ2" s="568"/>
      <c r="RQA2" s="568"/>
      <c r="RQB2" s="568"/>
      <c r="RQC2" s="568"/>
      <c r="RQD2" s="568"/>
      <c r="RQE2" s="568"/>
      <c r="RQF2" s="568"/>
      <c r="RQG2" s="568"/>
      <c r="RQH2" s="568"/>
      <c r="RQI2" s="568"/>
      <c r="RQJ2" s="568"/>
      <c r="RQK2" s="568"/>
      <c r="RQL2" s="568"/>
      <c r="RQM2" s="568"/>
      <c r="RQN2" s="568"/>
      <c r="RQO2" s="568"/>
      <c r="RQP2" s="568"/>
      <c r="RQQ2" s="568"/>
      <c r="RQR2" s="568"/>
      <c r="RQS2" s="568"/>
      <c r="RQT2" s="568"/>
      <c r="RQU2" s="568"/>
      <c r="RQV2" s="568"/>
      <c r="RQW2" s="568"/>
      <c r="RQX2" s="568"/>
      <c r="RQY2" s="568"/>
      <c r="RQZ2" s="568"/>
      <c r="RRA2" s="568"/>
      <c r="RRB2" s="568"/>
      <c r="RRC2" s="568"/>
      <c r="RRD2" s="568"/>
      <c r="RRE2" s="568"/>
      <c r="RRF2" s="568"/>
      <c r="RRG2" s="568"/>
      <c r="RRH2" s="568"/>
      <c r="RRI2" s="568"/>
      <c r="RRJ2" s="568"/>
      <c r="RRK2" s="568"/>
      <c r="RRL2" s="568"/>
      <c r="RRM2" s="568"/>
      <c r="RRN2" s="568"/>
      <c r="RRO2" s="568"/>
      <c r="RRP2" s="568"/>
      <c r="RRQ2" s="568"/>
      <c r="RRR2" s="568"/>
      <c r="RRS2" s="568"/>
      <c r="RRT2" s="568"/>
      <c r="RRU2" s="568"/>
      <c r="RRV2" s="568"/>
      <c r="RRW2" s="568"/>
      <c r="RRX2" s="568"/>
      <c r="RRY2" s="568"/>
      <c r="RRZ2" s="568"/>
      <c r="RSA2" s="568"/>
      <c r="RSB2" s="568"/>
      <c r="RSC2" s="568"/>
      <c r="RSD2" s="568"/>
      <c r="RSE2" s="568"/>
      <c r="RSF2" s="568"/>
      <c r="RSG2" s="568"/>
      <c r="RSH2" s="568"/>
      <c r="RSI2" s="568"/>
      <c r="RSJ2" s="568"/>
      <c r="RSK2" s="568"/>
      <c r="RSL2" s="568"/>
      <c r="RSM2" s="568"/>
      <c r="RSN2" s="568"/>
      <c r="RSO2" s="568"/>
      <c r="RSP2" s="568"/>
      <c r="RSQ2" s="568"/>
      <c r="RSR2" s="568"/>
      <c r="RSS2" s="568"/>
      <c r="RST2" s="568"/>
      <c r="RSU2" s="568"/>
      <c r="RSV2" s="568"/>
      <c r="RSW2" s="568"/>
      <c r="RSX2" s="568"/>
      <c r="RSY2" s="568"/>
      <c r="RSZ2" s="568"/>
      <c r="RTA2" s="568"/>
      <c r="RTB2" s="568"/>
      <c r="RTC2" s="568"/>
      <c r="RTD2" s="568"/>
      <c r="RTE2" s="568"/>
      <c r="RTF2" s="568"/>
      <c r="RTG2" s="568"/>
      <c r="RTH2" s="568"/>
      <c r="RTI2" s="568"/>
      <c r="RTJ2" s="568"/>
      <c r="RTK2" s="568"/>
      <c r="RTL2" s="568"/>
      <c r="RTM2" s="568"/>
      <c r="RTN2" s="568"/>
      <c r="RTO2" s="568"/>
      <c r="RTP2" s="568"/>
      <c r="RTQ2" s="568"/>
      <c r="RTR2" s="568"/>
      <c r="RTS2" s="568"/>
      <c r="RTT2" s="568"/>
      <c r="RTU2" s="568"/>
      <c r="RTV2" s="568"/>
      <c r="RTW2" s="568"/>
      <c r="RTX2" s="568"/>
      <c r="RTY2" s="568"/>
      <c r="RTZ2" s="568"/>
      <c r="RUA2" s="568"/>
      <c r="RUB2" s="568"/>
      <c r="RUC2" s="568"/>
      <c r="RUD2" s="568"/>
      <c r="RUE2" s="568"/>
      <c r="RUF2" s="568"/>
      <c r="RUG2" s="568"/>
      <c r="RUH2" s="568"/>
      <c r="RUI2" s="568"/>
      <c r="RUJ2" s="568"/>
      <c r="RUK2" s="568"/>
      <c r="RUL2" s="568"/>
      <c r="RUM2" s="568"/>
      <c r="RUN2" s="568"/>
      <c r="RUO2" s="568"/>
      <c r="RUP2" s="568"/>
      <c r="RUQ2" s="568"/>
      <c r="RUR2" s="568"/>
      <c r="RUS2" s="568"/>
      <c r="RUT2" s="568"/>
      <c r="RUU2" s="568"/>
      <c r="RUV2" s="568"/>
      <c r="RUW2" s="568"/>
      <c r="RUX2" s="568"/>
      <c r="RUY2" s="568"/>
      <c r="RUZ2" s="568"/>
      <c r="RVA2" s="568"/>
      <c r="RVB2" s="568"/>
      <c r="RVC2" s="568"/>
      <c r="RVD2" s="568"/>
      <c r="RVE2" s="568"/>
      <c r="RVF2" s="568"/>
      <c r="RVG2" s="568"/>
      <c r="RVH2" s="568"/>
      <c r="RVI2" s="568"/>
      <c r="RVJ2" s="568"/>
      <c r="RVK2" s="568"/>
      <c r="RVL2" s="568"/>
      <c r="RVM2" s="568"/>
      <c r="RVN2" s="568"/>
      <c r="RVO2" s="568"/>
      <c r="RVP2" s="568"/>
      <c r="RVQ2" s="568"/>
      <c r="RVR2" s="568"/>
      <c r="RVS2" s="568"/>
      <c r="RVT2" s="568"/>
      <c r="RVU2" s="568"/>
      <c r="RVV2" s="568"/>
      <c r="RVW2" s="568"/>
      <c r="RVX2" s="568"/>
      <c r="RVY2" s="568"/>
      <c r="RVZ2" s="568"/>
      <c r="RWA2" s="568"/>
      <c r="RWB2" s="568"/>
      <c r="RWC2" s="568"/>
      <c r="RWD2" s="568"/>
      <c r="RWE2" s="568"/>
      <c r="RWF2" s="568"/>
      <c r="RWG2" s="568"/>
      <c r="RWH2" s="568"/>
      <c r="RWI2" s="568"/>
      <c r="RWJ2" s="568"/>
      <c r="RWK2" s="568"/>
      <c r="RWL2" s="568"/>
      <c r="RWM2" s="568"/>
      <c r="RWN2" s="568"/>
      <c r="RWO2" s="568"/>
      <c r="RWP2" s="568"/>
      <c r="RWQ2" s="568"/>
      <c r="RWR2" s="568"/>
      <c r="RWS2" s="568"/>
      <c r="RWT2" s="568"/>
      <c r="RWU2" s="568"/>
      <c r="RWV2" s="568"/>
      <c r="RWW2" s="568"/>
      <c r="RWX2" s="568"/>
      <c r="RWY2" s="568"/>
      <c r="RWZ2" s="568"/>
      <c r="RXA2" s="568"/>
      <c r="RXB2" s="568"/>
      <c r="RXC2" s="568"/>
      <c r="RXD2" s="568"/>
      <c r="RXE2" s="568"/>
      <c r="RXF2" s="568"/>
      <c r="RXG2" s="568"/>
      <c r="RXH2" s="568"/>
      <c r="RXI2" s="568"/>
      <c r="RXJ2" s="568"/>
      <c r="RXK2" s="568"/>
      <c r="RXL2" s="568"/>
      <c r="RXM2" s="568"/>
      <c r="RXN2" s="568"/>
      <c r="RXO2" s="568"/>
      <c r="RXP2" s="568"/>
      <c r="RXQ2" s="568"/>
      <c r="RXR2" s="568"/>
      <c r="RXS2" s="568"/>
      <c r="RXT2" s="568"/>
      <c r="RXU2" s="568"/>
      <c r="RXV2" s="568"/>
      <c r="RXW2" s="568"/>
      <c r="RXX2" s="568"/>
      <c r="RXY2" s="568"/>
      <c r="RXZ2" s="568"/>
      <c r="RYA2" s="568"/>
      <c r="RYB2" s="568"/>
      <c r="RYC2" s="568"/>
      <c r="RYD2" s="568"/>
      <c r="RYE2" s="568"/>
      <c r="RYF2" s="568"/>
      <c r="RYG2" s="568"/>
      <c r="RYH2" s="568"/>
      <c r="RYI2" s="568"/>
      <c r="RYJ2" s="568"/>
      <c r="RYK2" s="568"/>
      <c r="RYL2" s="568"/>
      <c r="RYM2" s="568"/>
      <c r="RYN2" s="568"/>
      <c r="RYO2" s="568"/>
      <c r="RYP2" s="568"/>
      <c r="RYQ2" s="568"/>
      <c r="RYR2" s="568"/>
      <c r="RYS2" s="568"/>
      <c r="RYT2" s="568"/>
      <c r="RYU2" s="568"/>
      <c r="RYV2" s="568"/>
      <c r="RYW2" s="568"/>
      <c r="RYX2" s="568"/>
      <c r="RYY2" s="568"/>
      <c r="RYZ2" s="568"/>
      <c r="RZA2" s="568"/>
      <c r="RZB2" s="568"/>
      <c r="RZC2" s="568"/>
      <c r="RZD2" s="568"/>
      <c r="RZE2" s="568"/>
      <c r="RZF2" s="568"/>
      <c r="RZG2" s="568"/>
      <c r="RZH2" s="568"/>
      <c r="RZI2" s="568"/>
      <c r="RZJ2" s="568"/>
      <c r="RZK2" s="568"/>
      <c r="RZL2" s="568"/>
      <c r="RZM2" s="568"/>
      <c r="RZN2" s="568"/>
      <c r="RZO2" s="568"/>
      <c r="RZP2" s="568"/>
      <c r="RZQ2" s="568"/>
      <c r="RZR2" s="568"/>
      <c r="RZS2" s="568"/>
      <c r="RZT2" s="568"/>
      <c r="RZU2" s="568"/>
      <c r="RZV2" s="568"/>
      <c r="RZW2" s="568"/>
      <c r="RZX2" s="568"/>
      <c r="RZY2" s="568"/>
      <c r="RZZ2" s="568"/>
      <c r="SAA2" s="568"/>
      <c r="SAB2" s="568"/>
      <c r="SAC2" s="568"/>
      <c r="SAD2" s="568"/>
      <c r="SAE2" s="568"/>
      <c r="SAF2" s="568"/>
      <c r="SAG2" s="568"/>
      <c r="SAH2" s="568"/>
      <c r="SAI2" s="568"/>
      <c r="SAJ2" s="568"/>
      <c r="SAK2" s="568"/>
      <c r="SAL2" s="568"/>
      <c r="SAM2" s="568"/>
      <c r="SAN2" s="568"/>
      <c r="SAO2" s="568"/>
      <c r="SAP2" s="568"/>
      <c r="SAQ2" s="568"/>
      <c r="SAR2" s="568"/>
      <c r="SAS2" s="568"/>
      <c r="SAT2" s="568"/>
      <c r="SAU2" s="568"/>
      <c r="SAV2" s="568"/>
      <c r="SAW2" s="568"/>
      <c r="SAX2" s="568"/>
      <c r="SAY2" s="568"/>
      <c r="SAZ2" s="568"/>
      <c r="SBA2" s="568"/>
      <c r="SBB2" s="568"/>
      <c r="SBC2" s="568"/>
      <c r="SBD2" s="568"/>
      <c r="SBE2" s="568"/>
      <c r="SBF2" s="568"/>
      <c r="SBG2" s="568"/>
      <c r="SBH2" s="568"/>
      <c r="SBI2" s="568"/>
      <c r="SBJ2" s="568"/>
      <c r="SBK2" s="568"/>
      <c r="SBL2" s="568"/>
      <c r="SBM2" s="568"/>
      <c r="SBN2" s="568"/>
      <c r="SBO2" s="568"/>
      <c r="SBP2" s="568"/>
      <c r="SBQ2" s="568"/>
      <c r="SBR2" s="568"/>
      <c r="SBS2" s="568"/>
      <c r="SBT2" s="568"/>
      <c r="SBU2" s="568"/>
      <c r="SBV2" s="568"/>
      <c r="SBW2" s="568"/>
      <c r="SBX2" s="568"/>
      <c r="SBY2" s="568"/>
      <c r="SBZ2" s="568"/>
      <c r="SCA2" s="568"/>
      <c r="SCB2" s="568"/>
      <c r="SCC2" s="568"/>
      <c r="SCD2" s="568"/>
      <c r="SCE2" s="568"/>
      <c r="SCF2" s="568"/>
      <c r="SCG2" s="568"/>
      <c r="SCH2" s="568"/>
      <c r="SCI2" s="568"/>
      <c r="SCJ2" s="568"/>
      <c r="SCK2" s="568"/>
      <c r="SCL2" s="568"/>
      <c r="SCM2" s="568"/>
      <c r="SCN2" s="568"/>
      <c r="SCO2" s="568"/>
      <c r="SCP2" s="568"/>
      <c r="SCQ2" s="568"/>
      <c r="SCR2" s="568"/>
      <c r="SCS2" s="568"/>
      <c r="SCT2" s="568"/>
      <c r="SCU2" s="568"/>
      <c r="SCV2" s="568"/>
      <c r="SCW2" s="568"/>
      <c r="SCX2" s="568"/>
      <c r="SCY2" s="568"/>
      <c r="SCZ2" s="568"/>
      <c r="SDA2" s="568"/>
      <c r="SDB2" s="568"/>
      <c r="SDC2" s="568"/>
      <c r="SDD2" s="568"/>
      <c r="SDE2" s="568"/>
      <c r="SDF2" s="568"/>
      <c r="SDG2" s="568"/>
      <c r="SDH2" s="568"/>
      <c r="SDI2" s="568"/>
      <c r="SDJ2" s="568"/>
      <c r="SDK2" s="568"/>
      <c r="SDL2" s="568"/>
      <c r="SDM2" s="568"/>
      <c r="SDN2" s="568"/>
      <c r="SDO2" s="568"/>
      <c r="SDP2" s="568"/>
      <c r="SDQ2" s="568"/>
      <c r="SDR2" s="568"/>
      <c r="SDS2" s="568"/>
      <c r="SDT2" s="568"/>
      <c r="SDU2" s="568"/>
      <c r="SDV2" s="568"/>
      <c r="SDW2" s="568"/>
      <c r="SDX2" s="568"/>
      <c r="SDY2" s="568"/>
      <c r="SDZ2" s="568"/>
      <c r="SEA2" s="568"/>
      <c r="SEB2" s="568"/>
      <c r="SEC2" s="568"/>
      <c r="SED2" s="568"/>
      <c r="SEE2" s="568"/>
      <c r="SEF2" s="568"/>
      <c r="SEG2" s="568"/>
      <c r="SEH2" s="568"/>
      <c r="SEI2" s="568"/>
      <c r="SEJ2" s="568"/>
      <c r="SEK2" s="568"/>
      <c r="SEL2" s="568"/>
      <c r="SEM2" s="568"/>
      <c r="SEN2" s="568"/>
      <c r="SEO2" s="568"/>
      <c r="SEP2" s="568"/>
      <c r="SEQ2" s="568"/>
      <c r="SER2" s="568"/>
      <c r="SES2" s="568"/>
      <c r="SET2" s="568"/>
      <c r="SEU2" s="568"/>
      <c r="SEV2" s="568"/>
      <c r="SEW2" s="568"/>
      <c r="SEX2" s="568"/>
      <c r="SEY2" s="568"/>
      <c r="SEZ2" s="568"/>
      <c r="SFA2" s="568"/>
      <c r="SFB2" s="568"/>
      <c r="SFC2" s="568"/>
      <c r="SFD2" s="568"/>
      <c r="SFE2" s="568"/>
      <c r="SFF2" s="568"/>
      <c r="SFG2" s="568"/>
      <c r="SFH2" s="568"/>
      <c r="SFI2" s="568"/>
      <c r="SFJ2" s="568"/>
      <c r="SFK2" s="568"/>
      <c r="SFL2" s="568"/>
      <c r="SFM2" s="568"/>
      <c r="SFN2" s="568"/>
      <c r="SFO2" s="568"/>
      <c r="SFP2" s="568"/>
      <c r="SFQ2" s="568"/>
      <c r="SFR2" s="568"/>
      <c r="SFS2" s="568"/>
      <c r="SFT2" s="568"/>
      <c r="SFU2" s="568"/>
      <c r="SFV2" s="568"/>
      <c r="SFW2" s="568"/>
      <c r="SFX2" s="568"/>
      <c r="SFY2" s="568"/>
      <c r="SFZ2" s="568"/>
      <c r="SGA2" s="568"/>
      <c r="SGB2" s="568"/>
      <c r="SGC2" s="568"/>
      <c r="SGD2" s="568"/>
      <c r="SGE2" s="568"/>
      <c r="SGF2" s="568"/>
      <c r="SGG2" s="568"/>
      <c r="SGH2" s="568"/>
      <c r="SGI2" s="568"/>
      <c r="SGJ2" s="568"/>
      <c r="SGK2" s="568"/>
      <c r="SGL2" s="568"/>
      <c r="SGM2" s="568"/>
      <c r="SGN2" s="568"/>
      <c r="SGO2" s="568"/>
      <c r="SGP2" s="568"/>
      <c r="SGQ2" s="568"/>
      <c r="SGR2" s="568"/>
      <c r="SGS2" s="568"/>
      <c r="SGT2" s="568"/>
      <c r="SGU2" s="568"/>
      <c r="SGV2" s="568"/>
      <c r="SGW2" s="568"/>
      <c r="SGX2" s="568"/>
      <c r="SGY2" s="568"/>
      <c r="SGZ2" s="568"/>
      <c r="SHA2" s="568"/>
      <c r="SHB2" s="568"/>
      <c r="SHC2" s="568"/>
      <c r="SHD2" s="568"/>
      <c r="SHE2" s="568"/>
      <c r="SHF2" s="568"/>
      <c r="SHG2" s="568"/>
      <c r="SHH2" s="568"/>
      <c r="SHI2" s="568"/>
      <c r="SHJ2" s="568"/>
      <c r="SHK2" s="568"/>
      <c r="SHL2" s="568"/>
      <c r="SHM2" s="568"/>
      <c r="SHN2" s="568"/>
      <c r="SHO2" s="568"/>
      <c r="SHP2" s="568"/>
      <c r="SHQ2" s="568"/>
      <c r="SHR2" s="568"/>
      <c r="SHS2" s="568"/>
      <c r="SHT2" s="568"/>
      <c r="SHU2" s="568"/>
      <c r="SHV2" s="568"/>
      <c r="SHW2" s="568"/>
      <c r="SHX2" s="568"/>
      <c r="SHY2" s="568"/>
      <c r="SHZ2" s="568"/>
      <c r="SIA2" s="568"/>
      <c r="SIB2" s="568"/>
      <c r="SIC2" s="568"/>
      <c r="SID2" s="568"/>
      <c r="SIE2" s="568"/>
      <c r="SIF2" s="568"/>
      <c r="SIG2" s="568"/>
      <c r="SIH2" s="568"/>
      <c r="SII2" s="568"/>
      <c r="SIJ2" s="568"/>
      <c r="SIK2" s="568"/>
      <c r="SIL2" s="568"/>
      <c r="SIM2" s="568"/>
      <c r="SIN2" s="568"/>
      <c r="SIO2" s="568"/>
      <c r="SIP2" s="568"/>
      <c r="SIQ2" s="568"/>
      <c r="SIR2" s="568"/>
      <c r="SIS2" s="568"/>
      <c r="SIT2" s="568"/>
      <c r="SIU2" s="568"/>
      <c r="SIV2" s="568"/>
      <c r="SIW2" s="568"/>
      <c r="SIX2" s="568"/>
      <c r="SIY2" s="568"/>
      <c r="SIZ2" s="568"/>
      <c r="SJA2" s="568"/>
      <c r="SJB2" s="568"/>
      <c r="SJC2" s="568"/>
      <c r="SJD2" s="568"/>
      <c r="SJE2" s="568"/>
      <c r="SJF2" s="568"/>
      <c r="SJG2" s="568"/>
      <c r="SJH2" s="568"/>
      <c r="SJI2" s="568"/>
      <c r="SJJ2" s="568"/>
      <c r="SJK2" s="568"/>
      <c r="SJL2" s="568"/>
      <c r="SJM2" s="568"/>
      <c r="SJN2" s="568"/>
      <c r="SJO2" s="568"/>
      <c r="SJP2" s="568"/>
      <c r="SJQ2" s="568"/>
      <c r="SJR2" s="568"/>
      <c r="SJS2" s="568"/>
      <c r="SJT2" s="568"/>
      <c r="SJU2" s="568"/>
      <c r="SJV2" s="568"/>
      <c r="SJW2" s="568"/>
      <c r="SJX2" s="568"/>
      <c r="SJY2" s="568"/>
      <c r="SJZ2" s="568"/>
      <c r="SKA2" s="568"/>
      <c r="SKB2" s="568"/>
      <c r="SKC2" s="568"/>
      <c r="SKD2" s="568"/>
      <c r="SKE2" s="568"/>
      <c r="SKF2" s="568"/>
      <c r="SKG2" s="568"/>
      <c r="SKH2" s="568"/>
      <c r="SKI2" s="568"/>
      <c r="SKJ2" s="568"/>
      <c r="SKK2" s="568"/>
      <c r="SKL2" s="568"/>
      <c r="SKM2" s="568"/>
      <c r="SKN2" s="568"/>
      <c r="SKO2" s="568"/>
      <c r="SKP2" s="568"/>
      <c r="SKQ2" s="568"/>
      <c r="SKR2" s="568"/>
      <c r="SKS2" s="568"/>
      <c r="SKT2" s="568"/>
      <c r="SKU2" s="568"/>
      <c r="SKV2" s="568"/>
      <c r="SKW2" s="568"/>
      <c r="SKX2" s="568"/>
      <c r="SKY2" s="568"/>
      <c r="SKZ2" s="568"/>
      <c r="SLA2" s="568"/>
      <c r="SLB2" s="568"/>
      <c r="SLC2" s="568"/>
      <c r="SLD2" s="568"/>
      <c r="SLE2" s="568"/>
      <c r="SLF2" s="568"/>
      <c r="SLG2" s="568"/>
      <c r="SLH2" s="568"/>
      <c r="SLI2" s="568"/>
      <c r="SLJ2" s="568"/>
      <c r="SLK2" s="568"/>
      <c r="SLL2" s="568"/>
      <c r="SLM2" s="568"/>
      <c r="SLN2" s="568"/>
      <c r="SLO2" s="568"/>
      <c r="SLP2" s="568"/>
      <c r="SLQ2" s="568"/>
      <c r="SLR2" s="568"/>
      <c r="SLS2" s="568"/>
      <c r="SLT2" s="568"/>
      <c r="SLU2" s="568"/>
      <c r="SLV2" s="568"/>
      <c r="SLW2" s="568"/>
      <c r="SLX2" s="568"/>
      <c r="SLY2" s="568"/>
      <c r="SLZ2" s="568"/>
      <c r="SMA2" s="568"/>
      <c r="SMB2" s="568"/>
      <c r="SMC2" s="568"/>
      <c r="SMD2" s="568"/>
      <c r="SME2" s="568"/>
      <c r="SMF2" s="568"/>
      <c r="SMG2" s="568"/>
      <c r="SMH2" s="568"/>
      <c r="SMI2" s="568"/>
      <c r="SMJ2" s="568"/>
      <c r="SMK2" s="568"/>
      <c r="SML2" s="568"/>
      <c r="SMM2" s="568"/>
      <c r="SMN2" s="568"/>
      <c r="SMO2" s="568"/>
      <c r="SMP2" s="568"/>
      <c r="SMQ2" s="568"/>
      <c r="SMR2" s="568"/>
      <c r="SMS2" s="568"/>
      <c r="SMT2" s="568"/>
      <c r="SMU2" s="568"/>
      <c r="SMV2" s="568"/>
      <c r="SMW2" s="568"/>
      <c r="SMX2" s="568"/>
      <c r="SMY2" s="568"/>
      <c r="SMZ2" s="568"/>
      <c r="SNA2" s="568"/>
      <c r="SNB2" s="568"/>
      <c r="SNC2" s="568"/>
      <c r="SND2" s="568"/>
      <c r="SNE2" s="568"/>
      <c r="SNF2" s="568"/>
      <c r="SNG2" s="568"/>
      <c r="SNH2" s="568"/>
      <c r="SNI2" s="568"/>
      <c r="SNJ2" s="568"/>
      <c r="SNK2" s="568"/>
      <c r="SNL2" s="568"/>
      <c r="SNM2" s="568"/>
      <c r="SNN2" s="568"/>
      <c r="SNO2" s="568"/>
      <c r="SNP2" s="568"/>
      <c r="SNQ2" s="568"/>
      <c r="SNR2" s="568"/>
      <c r="SNS2" s="568"/>
      <c r="SNT2" s="568"/>
      <c r="SNU2" s="568"/>
      <c r="SNV2" s="568"/>
      <c r="SNW2" s="568"/>
      <c r="SNX2" s="568"/>
      <c r="SNY2" s="568"/>
      <c r="SNZ2" s="568"/>
      <c r="SOA2" s="568"/>
      <c r="SOB2" s="568"/>
      <c r="SOC2" s="568"/>
      <c r="SOD2" s="568"/>
      <c r="SOE2" s="568"/>
      <c r="SOF2" s="568"/>
      <c r="SOG2" s="568"/>
      <c r="SOH2" s="568"/>
      <c r="SOI2" s="568"/>
      <c r="SOJ2" s="568"/>
      <c r="SOK2" s="568"/>
      <c r="SOL2" s="568"/>
      <c r="SOM2" s="568"/>
      <c r="SON2" s="568"/>
      <c r="SOO2" s="568"/>
      <c r="SOP2" s="568"/>
      <c r="SOQ2" s="568"/>
      <c r="SOR2" s="568"/>
      <c r="SOS2" s="568"/>
      <c r="SOT2" s="568"/>
      <c r="SOU2" s="568"/>
      <c r="SOV2" s="568"/>
      <c r="SOW2" s="568"/>
      <c r="SOX2" s="568"/>
      <c r="SOY2" s="568"/>
      <c r="SOZ2" s="568"/>
      <c r="SPA2" s="568"/>
      <c r="SPB2" s="568"/>
      <c r="SPC2" s="568"/>
      <c r="SPD2" s="568"/>
      <c r="SPE2" s="568"/>
      <c r="SPF2" s="568"/>
      <c r="SPG2" s="568"/>
      <c r="SPH2" s="568"/>
      <c r="SPI2" s="568"/>
      <c r="SPJ2" s="568"/>
      <c r="SPK2" s="568"/>
      <c r="SPL2" s="568"/>
      <c r="SPM2" s="568"/>
      <c r="SPN2" s="568"/>
      <c r="SPO2" s="568"/>
      <c r="SPP2" s="568"/>
      <c r="SPQ2" s="568"/>
      <c r="SPR2" s="568"/>
      <c r="SPS2" s="568"/>
      <c r="SPT2" s="568"/>
      <c r="SPU2" s="568"/>
      <c r="SPV2" s="568"/>
      <c r="SPW2" s="568"/>
      <c r="SPX2" s="568"/>
      <c r="SPY2" s="568"/>
      <c r="SPZ2" s="568"/>
      <c r="SQA2" s="568"/>
      <c r="SQB2" s="568"/>
      <c r="SQC2" s="568"/>
      <c r="SQD2" s="568"/>
      <c r="SQE2" s="568"/>
      <c r="SQF2" s="568"/>
      <c r="SQG2" s="568"/>
      <c r="SQH2" s="568"/>
      <c r="SQI2" s="568"/>
      <c r="SQJ2" s="568"/>
      <c r="SQK2" s="568"/>
      <c r="SQL2" s="568"/>
      <c r="SQM2" s="568"/>
      <c r="SQN2" s="568"/>
      <c r="SQO2" s="568"/>
      <c r="SQP2" s="568"/>
      <c r="SQQ2" s="568"/>
      <c r="SQR2" s="568"/>
      <c r="SQS2" s="568"/>
      <c r="SQT2" s="568"/>
      <c r="SQU2" s="568"/>
      <c r="SQV2" s="568"/>
      <c r="SQW2" s="568"/>
      <c r="SQX2" s="568"/>
      <c r="SQY2" s="568"/>
      <c r="SQZ2" s="568"/>
      <c r="SRA2" s="568"/>
      <c r="SRB2" s="568"/>
      <c r="SRC2" s="568"/>
      <c r="SRD2" s="568"/>
      <c r="SRE2" s="568"/>
      <c r="SRF2" s="568"/>
      <c r="SRG2" s="568"/>
      <c r="SRH2" s="568"/>
      <c r="SRI2" s="568"/>
      <c r="SRJ2" s="568"/>
      <c r="SRK2" s="568"/>
      <c r="SRL2" s="568"/>
      <c r="SRM2" s="568"/>
      <c r="SRN2" s="568"/>
      <c r="SRO2" s="568"/>
      <c r="SRP2" s="568"/>
      <c r="SRQ2" s="568"/>
      <c r="SRR2" s="568"/>
      <c r="SRS2" s="568"/>
      <c r="SRT2" s="568"/>
      <c r="SRU2" s="568"/>
      <c r="SRV2" s="568"/>
      <c r="SRW2" s="568"/>
      <c r="SRX2" s="568"/>
      <c r="SRY2" s="568"/>
      <c r="SRZ2" s="568"/>
      <c r="SSA2" s="568"/>
      <c r="SSB2" s="568"/>
      <c r="SSC2" s="568"/>
      <c r="SSD2" s="568"/>
      <c r="SSE2" s="568"/>
      <c r="SSF2" s="568"/>
      <c r="SSG2" s="568"/>
      <c r="SSH2" s="568"/>
      <c r="SSI2" s="568"/>
      <c r="SSJ2" s="568"/>
      <c r="SSK2" s="568"/>
      <c r="SSL2" s="568"/>
      <c r="SSM2" s="568"/>
      <c r="SSN2" s="568"/>
      <c r="SSO2" s="568"/>
      <c r="SSP2" s="568"/>
      <c r="SSQ2" s="568"/>
      <c r="SSR2" s="568"/>
      <c r="SSS2" s="568"/>
      <c r="SST2" s="568"/>
      <c r="SSU2" s="568"/>
      <c r="SSV2" s="568"/>
      <c r="SSW2" s="568"/>
      <c r="SSX2" s="568"/>
      <c r="SSY2" s="568"/>
      <c r="SSZ2" s="568"/>
      <c r="STA2" s="568"/>
      <c r="STB2" s="568"/>
      <c r="STC2" s="568"/>
      <c r="STD2" s="568"/>
      <c r="STE2" s="568"/>
      <c r="STF2" s="568"/>
      <c r="STG2" s="568"/>
      <c r="STH2" s="568"/>
      <c r="STI2" s="568"/>
      <c r="STJ2" s="568"/>
      <c r="STK2" s="568"/>
      <c r="STL2" s="568"/>
      <c r="STM2" s="568"/>
      <c r="STN2" s="568"/>
      <c r="STO2" s="568"/>
      <c r="STP2" s="568"/>
      <c r="STQ2" s="568"/>
      <c r="STR2" s="568"/>
      <c r="STS2" s="568"/>
      <c r="STT2" s="568"/>
      <c r="STU2" s="568"/>
      <c r="STV2" s="568"/>
      <c r="STW2" s="568"/>
      <c r="STX2" s="568"/>
      <c r="STY2" s="568"/>
      <c r="STZ2" s="568"/>
      <c r="SUA2" s="568"/>
      <c r="SUB2" s="568"/>
      <c r="SUC2" s="568"/>
      <c r="SUD2" s="568"/>
      <c r="SUE2" s="568"/>
      <c r="SUF2" s="568"/>
      <c r="SUG2" s="568"/>
      <c r="SUH2" s="568"/>
      <c r="SUI2" s="568"/>
      <c r="SUJ2" s="568"/>
      <c r="SUK2" s="568"/>
      <c r="SUL2" s="568"/>
      <c r="SUM2" s="568"/>
      <c r="SUN2" s="568"/>
      <c r="SUO2" s="568"/>
      <c r="SUP2" s="568"/>
      <c r="SUQ2" s="568"/>
      <c r="SUR2" s="568"/>
      <c r="SUS2" s="568"/>
      <c r="SUT2" s="568"/>
      <c r="SUU2" s="568"/>
      <c r="SUV2" s="568"/>
      <c r="SUW2" s="568"/>
      <c r="SUX2" s="568"/>
      <c r="SUY2" s="568"/>
      <c r="SUZ2" s="568"/>
      <c r="SVA2" s="568"/>
      <c r="SVB2" s="568"/>
      <c r="SVC2" s="568"/>
      <c r="SVD2" s="568"/>
      <c r="SVE2" s="568"/>
      <c r="SVF2" s="568"/>
      <c r="SVG2" s="568"/>
      <c r="SVH2" s="568"/>
      <c r="SVI2" s="568"/>
      <c r="SVJ2" s="568"/>
      <c r="SVK2" s="568"/>
      <c r="SVL2" s="568"/>
      <c r="SVM2" s="568"/>
      <c r="SVN2" s="568"/>
      <c r="SVO2" s="568"/>
      <c r="SVP2" s="568"/>
      <c r="SVQ2" s="568"/>
      <c r="SVR2" s="568"/>
      <c r="SVS2" s="568"/>
      <c r="SVT2" s="568"/>
      <c r="SVU2" s="568"/>
      <c r="SVV2" s="568"/>
      <c r="SVW2" s="568"/>
      <c r="SVX2" s="568"/>
      <c r="SVY2" s="568"/>
      <c r="SVZ2" s="568"/>
      <c r="SWA2" s="568"/>
      <c r="SWB2" s="568"/>
      <c r="SWC2" s="568"/>
      <c r="SWD2" s="568"/>
      <c r="SWE2" s="568"/>
      <c r="SWF2" s="568"/>
      <c r="SWG2" s="568"/>
      <c r="SWH2" s="568"/>
      <c r="SWI2" s="568"/>
      <c r="SWJ2" s="568"/>
      <c r="SWK2" s="568"/>
      <c r="SWL2" s="568"/>
      <c r="SWM2" s="568"/>
      <c r="SWN2" s="568"/>
      <c r="SWO2" s="568"/>
      <c r="SWP2" s="568"/>
      <c r="SWQ2" s="568"/>
      <c r="SWR2" s="568"/>
      <c r="SWS2" s="568"/>
      <c r="SWT2" s="568"/>
      <c r="SWU2" s="568"/>
      <c r="SWV2" s="568"/>
      <c r="SWW2" s="568"/>
      <c r="SWX2" s="568"/>
      <c r="SWY2" s="568"/>
      <c r="SWZ2" s="568"/>
      <c r="SXA2" s="568"/>
      <c r="SXB2" s="568"/>
      <c r="SXC2" s="568"/>
      <c r="SXD2" s="568"/>
      <c r="SXE2" s="568"/>
      <c r="SXF2" s="568"/>
      <c r="SXG2" s="568"/>
      <c r="SXH2" s="568"/>
      <c r="SXI2" s="568"/>
      <c r="SXJ2" s="568"/>
      <c r="SXK2" s="568"/>
      <c r="SXL2" s="568"/>
      <c r="SXM2" s="568"/>
      <c r="SXN2" s="568"/>
      <c r="SXO2" s="568"/>
      <c r="SXP2" s="568"/>
      <c r="SXQ2" s="568"/>
      <c r="SXR2" s="568"/>
      <c r="SXS2" s="568"/>
      <c r="SXT2" s="568"/>
      <c r="SXU2" s="568"/>
      <c r="SXV2" s="568"/>
      <c r="SXW2" s="568"/>
      <c r="SXX2" s="568"/>
      <c r="SXY2" s="568"/>
      <c r="SXZ2" s="568"/>
      <c r="SYA2" s="568"/>
      <c r="SYB2" s="568"/>
      <c r="SYC2" s="568"/>
      <c r="SYD2" s="568"/>
      <c r="SYE2" s="568"/>
      <c r="SYF2" s="568"/>
      <c r="SYG2" s="568"/>
      <c r="SYH2" s="568"/>
      <c r="SYI2" s="568"/>
      <c r="SYJ2" s="568"/>
      <c r="SYK2" s="568"/>
      <c r="SYL2" s="568"/>
      <c r="SYM2" s="568"/>
      <c r="SYN2" s="568"/>
      <c r="SYO2" s="568"/>
      <c r="SYP2" s="568"/>
      <c r="SYQ2" s="568"/>
      <c r="SYR2" s="568"/>
      <c r="SYS2" s="568"/>
      <c r="SYT2" s="568"/>
      <c r="SYU2" s="568"/>
      <c r="SYV2" s="568"/>
      <c r="SYW2" s="568"/>
      <c r="SYX2" s="568"/>
      <c r="SYY2" s="568"/>
      <c r="SYZ2" s="568"/>
      <c r="SZA2" s="568"/>
      <c r="SZB2" s="568"/>
      <c r="SZC2" s="568"/>
      <c r="SZD2" s="568"/>
      <c r="SZE2" s="568"/>
      <c r="SZF2" s="568"/>
      <c r="SZG2" s="568"/>
      <c r="SZH2" s="568"/>
      <c r="SZI2" s="568"/>
      <c r="SZJ2" s="568"/>
      <c r="SZK2" s="568"/>
      <c r="SZL2" s="568"/>
      <c r="SZM2" s="568"/>
      <c r="SZN2" s="568"/>
      <c r="SZO2" s="568"/>
      <c r="SZP2" s="568"/>
      <c r="SZQ2" s="568"/>
      <c r="SZR2" s="568"/>
      <c r="SZS2" s="568"/>
      <c r="SZT2" s="568"/>
      <c r="SZU2" s="568"/>
      <c r="SZV2" s="568"/>
      <c r="SZW2" s="568"/>
      <c r="SZX2" s="568"/>
      <c r="SZY2" s="568"/>
      <c r="SZZ2" s="568"/>
      <c r="TAA2" s="568"/>
      <c r="TAB2" s="568"/>
      <c r="TAC2" s="568"/>
      <c r="TAD2" s="568"/>
      <c r="TAE2" s="568"/>
      <c r="TAF2" s="568"/>
      <c r="TAG2" s="568"/>
      <c r="TAH2" s="568"/>
      <c r="TAI2" s="568"/>
      <c r="TAJ2" s="568"/>
      <c r="TAK2" s="568"/>
      <c r="TAL2" s="568"/>
      <c r="TAM2" s="568"/>
      <c r="TAN2" s="568"/>
      <c r="TAO2" s="568"/>
      <c r="TAP2" s="568"/>
      <c r="TAQ2" s="568"/>
      <c r="TAR2" s="568"/>
      <c r="TAS2" s="568"/>
      <c r="TAT2" s="568"/>
      <c r="TAU2" s="568"/>
      <c r="TAV2" s="568"/>
      <c r="TAW2" s="568"/>
      <c r="TAX2" s="568"/>
      <c r="TAY2" s="568"/>
      <c r="TAZ2" s="568"/>
      <c r="TBA2" s="568"/>
      <c r="TBB2" s="568"/>
      <c r="TBC2" s="568"/>
      <c r="TBD2" s="568"/>
      <c r="TBE2" s="568"/>
      <c r="TBF2" s="568"/>
      <c r="TBG2" s="568"/>
      <c r="TBH2" s="568"/>
      <c r="TBI2" s="568"/>
      <c r="TBJ2" s="568"/>
      <c r="TBK2" s="568"/>
      <c r="TBL2" s="568"/>
      <c r="TBM2" s="568"/>
      <c r="TBN2" s="568"/>
      <c r="TBO2" s="568"/>
      <c r="TBP2" s="568"/>
      <c r="TBQ2" s="568"/>
      <c r="TBR2" s="568"/>
      <c r="TBS2" s="568"/>
      <c r="TBT2" s="568"/>
      <c r="TBU2" s="568"/>
      <c r="TBV2" s="568"/>
      <c r="TBW2" s="568"/>
      <c r="TBX2" s="568"/>
      <c r="TBY2" s="568"/>
      <c r="TBZ2" s="568"/>
      <c r="TCA2" s="568"/>
      <c r="TCB2" s="568"/>
      <c r="TCC2" s="568"/>
      <c r="TCD2" s="568"/>
      <c r="TCE2" s="568"/>
      <c r="TCF2" s="568"/>
      <c r="TCG2" s="568"/>
      <c r="TCH2" s="568"/>
      <c r="TCI2" s="568"/>
      <c r="TCJ2" s="568"/>
      <c r="TCK2" s="568"/>
      <c r="TCL2" s="568"/>
      <c r="TCM2" s="568"/>
      <c r="TCN2" s="568"/>
      <c r="TCO2" s="568"/>
      <c r="TCP2" s="568"/>
      <c r="TCQ2" s="568"/>
      <c r="TCR2" s="568"/>
      <c r="TCS2" s="568"/>
      <c r="TCT2" s="568"/>
      <c r="TCU2" s="568"/>
      <c r="TCV2" s="568"/>
      <c r="TCW2" s="568"/>
      <c r="TCX2" s="568"/>
      <c r="TCY2" s="568"/>
      <c r="TCZ2" s="568"/>
      <c r="TDA2" s="568"/>
      <c r="TDB2" s="568"/>
      <c r="TDC2" s="568"/>
      <c r="TDD2" s="568"/>
      <c r="TDE2" s="568"/>
      <c r="TDF2" s="568"/>
      <c r="TDG2" s="568"/>
      <c r="TDH2" s="568"/>
      <c r="TDI2" s="568"/>
      <c r="TDJ2" s="568"/>
      <c r="TDK2" s="568"/>
      <c r="TDL2" s="568"/>
      <c r="TDM2" s="568"/>
      <c r="TDN2" s="568"/>
      <c r="TDO2" s="568"/>
      <c r="TDP2" s="568"/>
      <c r="TDQ2" s="568"/>
      <c r="TDR2" s="568"/>
      <c r="TDS2" s="568"/>
      <c r="TDT2" s="568"/>
      <c r="TDU2" s="568"/>
      <c r="TDV2" s="568"/>
      <c r="TDW2" s="568"/>
      <c r="TDX2" s="568"/>
      <c r="TDY2" s="568"/>
      <c r="TDZ2" s="568"/>
      <c r="TEA2" s="568"/>
      <c r="TEB2" s="568"/>
      <c r="TEC2" s="568"/>
      <c r="TED2" s="568"/>
      <c r="TEE2" s="568"/>
      <c r="TEF2" s="568"/>
      <c r="TEG2" s="568"/>
      <c r="TEH2" s="568"/>
      <c r="TEI2" s="568"/>
      <c r="TEJ2" s="568"/>
      <c r="TEK2" s="568"/>
      <c r="TEL2" s="568"/>
      <c r="TEM2" s="568"/>
      <c r="TEN2" s="568"/>
      <c r="TEO2" s="568"/>
      <c r="TEP2" s="568"/>
      <c r="TEQ2" s="568"/>
      <c r="TER2" s="568"/>
      <c r="TES2" s="568"/>
      <c r="TET2" s="568"/>
      <c r="TEU2" s="568"/>
      <c r="TEV2" s="568"/>
      <c r="TEW2" s="568"/>
      <c r="TEX2" s="568"/>
      <c r="TEY2" s="568"/>
      <c r="TEZ2" s="568"/>
      <c r="TFA2" s="568"/>
      <c r="TFB2" s="568"/>
      <c r="TFC2" s="568"/>
      <c r="TFD2" s="568"/>
      <c r="TFE2" s="568"/>
      <c r="TFF2" s="568"/>
      <c r="TFG2" s="568"/>
      <c r="TFH2" s="568"/>
      <c r="TFI2" s="568"/>
      <c r="TFJ2" s="568"/>
      <c r="TFK2" s="568"/>
      <c r="TFL2" s="568"/>
      <c r="TFM2" s="568"/>
      <c r="TFN2" s="568"/>
      <c r="TFO2" s="568"/>
      <c r="TFP2" s="568"/>
      <c r="TFQ2" s="568"/>
      <c r="TFR2" s="568"/>
      <c r="TFS2" s="568"/>
      <c r="TFT2" s="568"/>
      <c r="TFU2" s="568"/>
      <c r="TFV2" s="568"/>
      <c r="TFW2" s="568"/>
      <c r="TFX2" s="568"/>
      <c r="TFY2" s="568"/>
      <c r="TFZ2" s="568"/>
      <c r="TGA2" s="568"/>
      <c r="TGB2" s="568"/>
      <c r="TGC2" s="568"/>
      <c r="TGD2" s="568"/>
      <c r="TGE2" s="568"/>
      <c r="TGF2" s="568"/>
      <c r="TGG2" s="568"/>
      <c r="TGH2" s="568"/>
      <c r="TGI2" s="568"/>
      <c r="TGJ2" s="568"/>
      <c r="TGK2" s="568"/>
      <c r="TGL2" s="568"/>
      <c r="TGM2" s="568"/>
      <c r="TGN2" s="568"/>
      <c r="TGO2" s="568"/>
      <c r="TGP2" s="568"/>
      <c r="TGQ2" s="568"/>
      <c r="TGR2" s="568"/>
      <c r="TGS2" s="568"/>
      <c r="TGT2" s="568"/>
      <c r="TGU2" s="568"/>
      <c r="TGV2" s="568"/>
      <c r="TGW2" s="568"/>
      <c r="TGX2" s="568"/>
      <c r="TGY2" s="568"/>
      <c r="TGZ2" s="568"/>
      <c r="THA2" s="568"/>
      <c r="THB2" s="568"/>
      <c r="THC2" s="568"/>
      <c r="THD2" s="568"/>
      <c r="THE2" s="568"/>
      <c r="THF2" s="568"/>
      <c r="THG2" s="568"/>
      <c r="THH2" s="568"/>
      <c r="THI2" s="568"/>
      <c r="THJ2" s="568"/>
      <c r="THK2" s="568"/>
      <c r="THL2" s="568"/>
      <c r="THM2" s="568"/>
      <c r="THN2" s="568"/>
      <c r="THO2" s="568"/>
      <c r="THP2" s="568"/>
      <c r="THQ2" s="568"/>
      <c r="THR2" s="568"/>
      <c r="THS2" s="568"/>
      <c r="THT2" s="568"/>
      <c r="THU2" s="568"/>
      <c r="THV2" s="568"/>
      <c r="THW2" s="568"/>
      <c r="THX2" s="568"/>
      <c r="THY2" s="568"/>
      <c r="THZ2" s="568"/>
      <c r="TIA2" s="568"/>
      <c r="TIB2" s="568"/>
      <c r="TIC2" s="568"/>
      <c r="TID2" s="568"/>
      <c r="TIE2" s="568"/>
      <c r="TIF2" s="568"/>
      <c r="TIG2" s="568"/>
      <c r="TIH2" s="568"/>
      <c r="TII2" s="568"/>
      <c r="TIJ2" s="568"/>
      <c r="TIK2" s="568"/>
      <c r="TIL2" s="568"/>
      <c r="TIM2" s="568"/>
      <c r="TIN2" s="568"/>
      <c r="TIO2" s="568"/>
      <c r="TIP2" s="568"/>
      <c r="TIQ2" s="568"/>
      <c r="TIR2" s="568"/>
      <c r="TIS2" s="568"/>
      <c r="TIT2" s="568"/>
      <c r="TIU2" s="568"/>
      <c r="TIV2" s="568"/>
      <c r="TIW2" s="568"/>
      <c r="TIX2" s="568"/>
      <c r="TIY2" s="568"/>
      <c r="TIZ2" s="568"/>
      <c r="TJA2" s="568"/>
      <c r="TJB2" s="568"/>
      <c r="TJC2" s="568"/>
      <c r="TJD2" s="568"/>
      <c r="TJE2" s="568"/>
      <c r="TJF2" s="568"/>
      <c r="TJG2" s="568"/>
      <c r="TJH2" s="568"/>
      <c r="TJI2" s="568"/>
      <c r="TJJ2" s="568"/>
      <c r="TJK2" s="568"/>
      <c r="TJL2" s="568"/>
      <c r="TJM2" s="568"/>
      <c r="TJN2" s="568"/>
      <c r="TJO2" s="568"/>
      <c r="TJP2" s="568"/>
      <c r="TJQ2" s="568"/>
      <c r="TJR2" s="568"/>
      <c r="TJS2" s="568"/>
      <c r="TJT2" s="568"/>
      <c r="TJU2" s="568"/>
      <c r="TJV2" s="568"/>
      <c r="TJW2" s="568"/>
      <c r="TJX2" s="568"/>
      <c r="TJY2" s="568"/>
      <c r="TJZ2" s="568"/>
      <c r="TKA2" s="568"/>
      <c r="TKB2" s="568"/>
      <c r="TKC2" s="568"/>
      <c r="TKD2" s="568"/>
      <c r="TKE2" s="568"/>
      <c r="TKF2" s="568"/>
      <c r="TKG2" s="568"/>
      <c r="TKH2" s="568"/>
      <c r="TKI2" s="568"/>
      <c r="TKJ2" s="568"/>
      <c r="TKK2" s="568"/>
      <c r="TKL2" s="568"/>
      <c r="TKM2" s="568"/>
      <c r="TKN2" s="568"/>
      <c r="TKO2" s="568"/>
      <c r="TKP2" s="568"/>
      <c r="TKQ2" s="568"/>
      <c r="TKR2" s="568"/>
      <c r="TKS2" s="568"/>
      <c r="TKT2" s="568"/>
      <c r="TKU2" s="568"/>
      <c r="TKV2" s="568"/>
      <c r="TKW2" s="568"/>
      <c r="TKX2" s="568"/>
      <c r="TKY2" s="568"/>
      <c r="TKZ2" s="568"/>
      <c r="TLA2" s="568"/>
      <c r="TLB2" s="568"/>
      <c r="TLC2" s="568"/>
      <c r="TLD2" s="568"/>
      <c r="TLE2" s="568"/>
      <c r="TLF2" s="568"/>
      <c r="TLG2" s="568"/>
      <c r="TLH2" s="568"/>
      <c r="TLI2" s="568"/>
      <c r="TLJ2" s="568"/>
      <c r="TLK2" s="568"/>
      <c r="TLL2" s="568"/>
      <c r="TLM2" s="568"/>
      <c r="TLN2" s="568"/>
      <c r="TLO2" s="568"/>
      <c r="TLP2" s="568"/>
      <c r="TLQ2" s="568"/>
      <c r="TLR2" s="568"/>
      <c r="TLS2" s="568"/>
      <c r="TLT2" s="568"/>
      <c r="TLU2" s="568"/>
      <c r="TLV2" s="568"/>
      <c r="TLW2" s="568"/>
      <c r="TLX2" s="568"/>
      <c r="TLY2" s="568"/>
      <c r="TLZ2" s="568"/>
      <c r="TMA2" s="568"/>
      <c r="TMB2" s="568"/>
      <c r="TMC2" s="568"/>
      <c r="TMD2" s="568"/>
      <c r="TME2" s="568"/>
      <c r="TMF2" s="568"/>
      <c r="TMG2" s="568"/>
      <c r="TMH2" s="568"/>
      <c r="TMI2" s="568"/>
      <c r="TMJ2" s="568"/>
      <c r="TMK2" s="568"/>
      <c r="TML2" s="568"/>
      <c r="TMM2" s="568"/>
      <c r="TMN2" s="568"/>
      <c r="TMO2" s="568"/>
      <c r="TMP2" s="568"/>
      <c r="TMQ2" s="568"/>
      <c r="TMR2" s="568"/>
      <c r="TMS2" s="568"/>
      <c r="TMT2" s="568"/>
      <c r="TMU2" s="568"/>
      <c r="TMV2" s="568"/>
      <c r="TMW2" s="568"/>
      <c r="TMX2" s="568"/>
      <c r="TMY2" s="568"/>
      <c r="TMZ2" s="568"/>
      <c r="TNA2" s="568"/>
      <c r="TNB2" s="568"/>
      <c r="TNC2" s="568"/>
      <c r="TND2" s="568"/>
      <c r="TNE2" s="568"/>
      <c r="TNF2" s="568"/>
      <c r="TNG2" s="568"/>
      <c r="TNH2" s="568"/>
      <c r="TNI2" s="568"/>
      <c r="TNJ2" s="568"/>
      <c r="TNK2" s="568"/>
      <c r="TNL2" s="568"/>
      <c r="TNM2" s="568"/>
      <c r="TNN2" s="568"/>
      <c r="TNO2" s="568"/>
      <c r="TNP2" s="568"/>
      <c r="TNQ2" s="568"/>
      <c r="TNR2" s="568"/>
      <c r="TNS2" s="568"/>
      <c r="TNT2" s="568"/>
      <c r="TNU2" s="568"/>
      <c r="TNV2" s="568"/>
      <c r="TNW2" s="568"/>
      <c r="TNX2" s="568"/>
      <c r="TNY2" s="568"/>
      <c r="TNZ2" s="568"/>
      <c r="TOA2" s="568"/>
      <c r="TOB2" s="568"/>
      <c r="TOC2" s="568"/>
      <c r="TOD2" s="568"/>
      <c r="TOE2" s="568"/>
      <c r="TOF2" s="568"/>
      <c r="TOG2" s="568"/>
      <c r="TOH2" s="568"/>
      <c r="TOI2" s="568"/>
      <c r="TOJ2" s="568"/>
      <c r="TOK2" s="568"/>
      <c r="TOL2" s="568"/>
      <c r="TOM2" s="568"/>
      <c r="TON2" s="568"/>
      <c r="TOO2" s="568"/>
      <c r="TOP2" s="568"/>
      <c r="TOQ2" s="568"/>
      <c r="TOR2" s="568"/>
      <c r="TOS2" s="568"/>
      <c r="TOT2" s="568"/>
      <c r="TOU2" s="568"/>
      <c r="TOV2" s="568"/>
      <c r="TOW2" s="568"/>
      <c r="TOX2" s="568"/>
      <c r="TOY2" s="568"/>
      <c r="TOZ2" s="568"/>
      <c r="TPA2" s="568"/>
      <c r="TPB2" s="568"/>
      <c r="TPC2" s="568"/>
      <c r="TPD2" s="568"/>
      <c r="TPE2" s="568"/>
      <c r="TPF2" s="568"/>
      <c r="TPG2" s="568"/>
      <c r="TPH2" s="568"/>
      <c r="TPI2" s="568"/>
      <c r="TPJ2" s="568"/>
      <c r="TPK2" s="568"/>
      <c r="TPL2" s="568"/>
      <c r="TPM2" s="568"/>
      <c r="TPN2" s="568"/>
      <c r="TPO2" s="568"/>
      <c r="TPP2" s="568"/>
      <c r="TPQ2" s="568"/>
      <c r="TPR2" s="568"/>
      <c r="TPS2" s="568"/>
      <c r="TPT2" s="568"/>
      <c r="TPU2" s="568"/>
      <c r="TPV2" s="568"/>
      <c r="TPW2" s="568"/>
      <c r="TPX2" s="568"/>
      <c r="TPY2" s="568"/>
      <c r="TPZ2" s="568"/>
      <c r="TQA2" s="568"/>
      <c r="TQB2" s="568"/>
      <c r="TQC2" s="568"/>
      <c r="TQD2" s="568"/>
      <c r="TQE2" s="568"/>
      <c r="TQF2" s="568"/>
      <c r="TQG2" s="568"/>
      <c r="TQH2" s="568"/>
      <c r="TQI2" s="568"/>
      <c r="TQJ2" s="568"/>
      <c r="TQK2" s="568"/>
      <c r="TQL2" s="568"/>
      <c r="TQM2" s="568"/>
      <c r="TQN2" s="568"/>
      <c r="TQO2" s="568"/>
      <c r="TQP2" s="568"/>
      <c r="TQQ2" s="568"/>
      <c r="TQR2" s="568"/>
      <c r="TQS2" s="568"/>
      <c r="TQT2" s="568"/>
      <c r="TQU2" s="568"/>
      <c r="TQV2" s="568"/>
      <c r="TQW2" s="568"/>
      <c r="TQX2" s="568"/>
      <c r="TQY2" s="568"/>
      <c r="TQZ2" s="568"/>
      <c r="TRA2" s="568"/>
      <c r="TRB2" s="568"/>
      <c r="TRC2" s="568"/>
      <c r="TRD2" s="568"/>
      <c r="TRE2" s="568"/>
      <c r="TRF2" s="568"/>
      <c r="TRG2" s="568"/>
      <c r="TRH2" s="568"/>
      <c r="TRI2" s="568"/>
      <c r="TRJ2" s="568"/>
      <c r="TRK2" s="568"/>
      <c r="TRL2" s="568"/>
      <c r="TRM2" s="568"/>
      <c r="TRN2" s="568"/>
      <c r="TRO2" s="568"/>
      <c r="TRP2" s="568"/>
      <c r="TRQ2" s="568"/>
      <c r="TRR2" s="568"/>
      <c r="TRS2" s="568"/>
      <c r="TRT2" s="568"/>
      <c r="TRU2" s="568"/>
      <c r="TRV2" s="568"/>
      <c r="TRW2" s="568"/>
      <c r="TRX2" s="568"/>
      <c r="TRY2" s="568"/>
      <c r="TRZ2" s="568"/>
      <c r="TSA2" s="568"/>
      <c r="TSB2" s="568"/>
      <c r="TSC2" s="568"/>
      <c r="TSD2" s="568"/>
      <c r="TSE2" s="568"/>
      <c r="TSF2" s="568"/>
      <c r="TSG2" s="568"/>
      <c r="TSH2" s="568"/>
      <c r="TSI2" s="568"/>
      <c r="TSJ2" s="568"/>
      <c r="TSK2" s="568"/>
      <c r="TSL2" s="568"/>
      <c r="TSM2" s="568"/>
      <c r="TSN2" s="568"/>
      <c r="TSO2" s="568"/>
      <c r="TSP2" s="568"/>
      <c r="TSQ2" s="568"/>
      <c r="TSR2" s="568"/>
      <c r="TSS2" s="568"/>
      <c r="TST2" s="568"/>
      <c r="TSU2" s="568"/>
      <c r="TSV2" s="568"/>
      <c r="TSW2" s="568"/>
      <c r="TSX2" s="568"/>
      <c r="TSY2" s="568"/>
      <c r="TSZ2" s="568"/>
      <c r="TTA2" s="568"/>
      <c r="TTB2" s="568"/>
      <c r="TTC2" s="568"/>
      <c r="TTD2" s="568"/>
      <c r="TTE2" s="568"/>
      <c r="TTF2" s="568"/>
      <c r="TTG2" s="568"/>
      <c r="TTH2" s="568"/>
      <c r="TTI2" s="568"/>
      <c r="TTJ2" s="568"/>
      <c r="TTK2" s="568"/>
      <c r="TTL2" s="568"/>
      <c r="TTM2" s="568"/>
      <c r="TTN2" s="568"/>
      <c r="TTO2" s="568"/>
      <c r="TTP2" s="568"/>
      <c r="TTQ2" s="568"/>
      <c r="TTR2" s="568"/>
      <c r="TTS2" s="568"/>
      <c r="TTT2" s="568"/>
      <c r="TTU2" s="568"/>
      <c r="TTV2" s="568"/>
      <c r="TTW2" s="568"/>
      <c r="TTX2" s="568"/>
      <c r="TTY2" s="568"/>
      <c r="TTZ2" s="568"/>
      <c r="TUA2" s="568"/>
      <c r="TUB2" s="568"/>
      <c r="TUC2" s="568"/>
      <c r="TUD2" s="568"/>
      <c r="TUE2" s="568"/>
      <c r="TUF2" s="568"/>
      <c r="TUG2" s="568"/>
      <c r="TUH2" s="568"/>
      <c r="TUI2" s="568"/>
      <c r="TUJ2" s="568"/>
      <c r="TUK2" s="568"/>
      <c r="TUL2" s="568"/>
      <c r="TUM2" s="568"/>
      <c r="TUN2" s="568"/>
      <c r="TUO2" s="568"/>
      <c r="TUP2" s="568"/>
      <c r="TUQ2" s="568"/>
      <c r="TUR2" s="568"/>
      <c r="TUS2" s="568"/>
      <c r="TUT2" s="568"/>
      <c r="TUU2" s="568"/>
      <c r="TUV2" s="568"/>
      <c r="TUW2" s="568"/>
      <c r="TUX2" s="568"/>
      <c r="TUY2" s="568"/>
      <c r="TUZ2" s="568"/>
      <c r="TVA2" s="568"/>
      <c r="TVB2" s="568"/>
      <c r="TVC2" s="568"/>
      <c r="TVD2" s="568"/>
      <c r="TVE2" s="568"/>
      <c r="TVF2" s="568"/>
      <c r="TVG2" s="568"/>
      <c r="TVH2" s="568"/>
      <c r="TVI2" s="568"/>
      <c r="TVJ2" s="568"/>
      <c r="TVK2" s="568"/>
      <c r="TVL2" s="568"/>
      <c r="TVM2" s="568"/>
      <c r="TVN2" s="568"/>
      <c r="TVO2" s="568"/>
      <c r="TVP2" s="568"/>
      <c r="TVQ2" s="568"/>
      <c r="TVR2" s="568"/>
      <c r="TVS2" s="568"/>
      <c r="TVT2" s="568"/>
      <c r="TVU2" s="568"/>
      <c r="TVV2" s="568"/>
      <c r="TVW2" s="568"/>
      <c r="TVX2" s="568"/>
      <c r="TVY2" s="568"/>
      <c r="TVZ2" s="568"/>
      <c r="TWA2" s="568"/>
      <c r="TWB2" s="568"/>
      <c r="TWC2" s="568"/>
      <c r="TWD2" s="568"/>
      <c r="TWE2" s="568"/>
      <c r="TWF2" s="568"/>
      <c r="TWG2" s="568"/>
      <c r="TWH2" s="568"/>
      <c r="TWI2" s="568"/>
      <c r="TWJ2" s="568"/>
      <c r="TWK2" s="568"/>
      <c r="TWL2" s="568"/>
      <c r="TWM2" s="568"/>
      <c r="TWN2" s="568"/>
      <c r="TWO2" s="568"/>
      <c r="TWP2" s="568"/>
      <c r="TWQ2" s="568"/>
      <c r="TWR2" s="568"/>
      <c r="TWS2" s="568"/>
      <c r="TWT2" s="568"/>
      <c r="TWU2" s="568"/>
      <c r="TWV2" s="568"/>
      <c r="TWW2" s="568"/>
      <c r="TWX2" s="568"/>
      <c r="TWY2" s="568"/>
      <c r="TWZ2" s="568"/>
      <c r="TXA2" s="568"/>
      <c r="TXB2" s="568"/>
      <c r="TXC2" s="568"/>
      <c r="TXD2" s="568"/>
      <c r="TXE2" s="568"/>
      <c r="TXF2" s="568"/>
      <c r="TXG2" s="568"/>
      <c r="TXH2" s="568"/>
      <c r="TXI2" s="568"/>
      <c r="TXJ2" s="568"/>
      <c r="TXK2" s="568"/>
      <c r="TXL2" s="568"/>
      <c r="TXM2" s="568"/>
      <c r="TXN2" s="568"/>
      <c r="TXO2" s="568"/>
      <c r="TXP2" s="568"/>
      <c r="TXQ2" s="568"/>
      <c r="TXR2" s="568"/>
      <c r="TXS2" s="568"/>
      <c r="TXT2" s="568"/>
      <c r="TXU2" s="568"/>
      <c r="TXV2" s="568"/>
      <c r="TXW2" s="568"/>
      <c r="TXX2" s="568"/>
      <c r="TXY2" s="568"/>
      <c r="TXZ2" s="568"/>
      <c r="TYA2" s="568"/>
      <c r="TYB2" s="568"/>
      <c r="TYC2" s="568"/>
      <c r="TYD2" s="568"/>
      <c r="TYE2" s="568"/>
      <c r="TYF2" s="568"/>
      <c r="TYG2" s="568"/>
      <c r="TYH2" s="568"/>
      <c r="TYI2" s="568"/>
      <c r="TYJ2" s="568"/>
      <c r="TYK2" s="568"/>
      <c r="TYL2" s="568"/>
      <c r="TYM2" s="568"/>
      <c r="TYN2" s="568"/>
      <c r="TYO2" s="568"/>
      <c r="TYP2" s="568"/>
      <c r="TYQ2" s="568"/>
      <c r="TYR2" s="568"/>
      <c r="TYS2" s="568"/>
      <c r="TYT2" s="568"/>
      <c r="TYU2" s="568"/>
      <c r="TYV2" s="568"/>
      <c r="TYW2" s="568"/>
      <c r="TYX2" s="568"/>
      <c r="TYY2" s="568"/>
      <c r="TYZ2" s="568"/>
      <c r="TZA2" s="568"/>
      <c r="TZB2" s="568"/>
      <c r="TZC2" s="568"/>
      <c r="TZD2" s="568"/>
      <c r="TZE2" s="568"/>
      <c r="TZF2" s="568"/>
      <c r="TZG2" s="568"/>
      <c r="TZH2" s="568"/>
      <c r="TZI2" s="568"/>
      <c r="TZJ2" s="568"/>
      <c r="TZK2" s="568"/>
      <c r="TZL2" s="568"/>
      <c r="TZM2" s="568"/>
      <c r="TZN2" s="568"/>
      <c r="TZO2" s="568"/>
      <c r="TZP2" s="568"/>
      <c r="TZQ2" s="568"/>
      <c r="TZR2" s="568"/>
      <c r="TZS2" s="568"/>
      <c r="TZT2" s="568"/>
      <c r="TZU2" s="568"/>
      <c r="TZV2" s="568"/>
      <c r="TZW2" s="568"/>
      <c r="TZX2" s="568"/>
      <c r="TZY2" s="568"/>
      <c r="TZZ2" s="568"/>
      <c r="UAA2" s="568"/>
      <c r="UAB2" s="568"/>
      <c r="UAC2" s="568"/>
      <c r="UAD2" s="568"/>
      <c r="UAE2" s="568"/>
      <c r="UAF2" s="568"/>
      <c r="UAG2" s="568"/>
      <c r="UAH2" s="568"/>
      <c r="UAI2" s="568"/>
      <c r="UAJ2" s="568"/>
      <c r="UAK2" s="568"/>
      <c r="UAL2" s="568"/>
      <c r="UAM2" s="568"/>
      <c r="UAN2" s="568"/>
      <c r="UAO2" s="568"/>
      <c r="UAP2" s="568"/>
      <c r="UAQ2" s="568"/>
      <c r="UAR2" s="568"/>
      <c r="UAS2" s="568"/>
      <c r="UAT2" s="568"/>
      <c r="UAU2" s="568"/>
      <c r="UAV2" s="568"/>
      <c r="UAW2" s="568"/>
      <c r="UAX2" s="568"/>
      <c r="UAY2" s="568"/>
      <c r="UAZ2" s="568"/>
      <c r="UBA2" s="568"/>
      <c r="UBB2" s="568"/>
      <c r="UBC2" s="568"/>
      <c r="UBD2" s="568"/>
      <c r="UBE2" s="568"/>
      <c r="UBF2" s="568"/>
      <c r="UBG2" s="568"/>
      <c r="UBH2" s="568"/>
      <c r="UBI2" s="568"/>
      <c r="UBJ2" s="568"/>
      <c r="UBK2" s="568"/>
      <c r="UBL2" s="568"/>
      <c r="UBM2" s="568"/>
      <c r="UBN2" s="568"/>
      <c r="UBO2" s="568"/>
      <c r="UBP2" s="568"/>
      <c r="UBQ2" s="568"/>
      <c r="UBR2" s="568"/>
      <c r="UBS2" s="568"/>
      <c r="UBT2" s="568"/>
      <c r="UBU2" s="568"/>
      <c r="UBV2" s="568"/>
      <c r="UBW2" s="568"/>
      <c r="UBX2" s="568"/>
      <c r="UBY2" s="568"/>
      <c r="UBZ2" s="568"/>
      <c r="UCA2" s="568"/>
      <c r="UCB2" s="568"/>
      <c r="UCC2" s="568"/>
      <c r="UCD2" s="568"/>
      <c r="UCE2" s="568"/>
      <c r="UCF2" s="568"/>
      <c r="UCG2" s="568"/>
      <c r="UCH2" s="568"/>
      <c r="UCI2" s="568"/>
      <c r="UCJ2" s="568"/>
      <c r="UCK2" s="568"/>
      <c r="UCL2" s="568"/>
      <c r="UCM2" s="568"/>
      <c r="UCN2" s="568"/>
      <c r="UCO2" s="568"/>
      <c r="UCP2" s="568"/>
      <c r="UCQ2" s="568"/>
      <c r="UCR2" s="568"/>
      <c r="UCS2" s="568"/>
      <c r="UCT2" s="568"/>
      <c r="UCU2" s="568"/>
      <c r="UCV2" s="568"/>
      <c r="UCW2" s="568"/>
      <c r="UCX2" s="568"/>
      <c r="UCY2" s="568"/>
      <c r="UCZ2" s="568"/>
      <c r="UDA2" s="568"/>
      <c r="UDB2" s="568"/>
      <c r="UDC2" s="568"/>
      <c r="UDD2" s="568"/>
      <c r="UDE2" s="568"/>
      <c r="UDF2" s="568"/>
      <c r="UDG2" s="568"/>
      <c r="UDH2" s="568"/>
      <c r="UDI2" s="568"/>
      <c r="UDJ2" s="568"/>
      <c r="UDK2" s="568"/>
      <c r="UDL2" s="568"/>
      <c r="UDM2" s="568"/>
      <c r="UDN2" s="568"/>
      <c r="UDO2" s="568"/>
      <c r="UDP2" s="568"/>
      <c r="UDQ2" s="568"/>
      <c r="UDR2" s="568"/>
      <c r="UDS2" s="568"/>
      <c r="UDT2" s="568"/>
      <c r="UDU2" s="568"/>
      <c r="UDV2" s="568"/>
      <c r="UDW2" s="568"/>
      <c r="UDX2" s="568"/>
      <c r="UDY2" s="568"/>
      <c r="UDZ2" s="568"/>
      <c r="UEA2" s="568"/>
      <c r="UEB2" s="568"/>
      <c r="UEC2" s="568"/>
      <c r="UED2" s="568"/>
      <c r="UEE2" s="568"/>
      <c r="UEF2" s="568"/>
      <c r="UEG2" s="568"/>
      <c r="UEH2" s="568"/>
      <c r="UEI2" s="568"/>
      <c r="UEJ2" s="568"/>
      <c r="UEK2" s="568"/>
      <c r="UEL2" s="568"/>
      <c r="UEM2" s="568"/>
      <c r="UEN2" s="568"/>
      <c r="UEO2" s="568"/>
      <c r="UEP2" s="568"/>
      <c r="UEQ2" s="568"/>
      <c r="UER2" s="568"/>
      <c r="UES2" s="568"/>
      <c r="UET2" s="568"/>
      <c r="UEU2" s="568"/>
      <c r="UEV2" s="568"/>
      <c r="UEW2" s="568"/>
      <c r="UEX2" s="568"/>
      <c r="UEY2" s="568"/>
      <c r="UEZ2" s="568"/>
      <c r="UFA2" s="568"/>
      <c r="UFB2" s="568"/>
      <c r="UFC2" s="568"/>
      <c r="UFD2" s="568"/>
      <c r="UFE2" s="568"/>
      <c r="UFF2" s="568"/>
      <c r="UFG2" s="568"/>
      <c r="UFH2" s="568"/>
      <c r="UFI2" s="568"/>
      <c r="UFJ2" s="568"/>
      <c r="UFK2" s="568"/>
      <c r="UFL2" s="568"/>
      <c r="UFM2" s="568"/>
      <c r="UFN2" s="568"/>
      <c r="UFO2" s="568"/>
      <c r="UFP2" s="568"/>
      <c r="UFQ2" s="568"/>
      <c r="UFR2" s="568"/>
      <c r="UFS2" s="568"/>
      <c r="UFT2" s="568"/>
      <c r="UFU2" s="568"/>
      <c r="UFV2" s="568"/>
      <c r="UFW2" s="568"/>
      <c r="UFX2" s="568"/>
      <c r="UFY2" s="568"/>
      <c r="UFZ2" s="568"/>
      <c r="UGA2" s="568"/>
      <c r="UGB2" s="568"/>
      <c r="UGC2" s="568"/>
      <c r="UGD2" s="568"/>
      <c r="UGE2" s="568"/>
      <c r="UGF2" s="568"/>
      <c r="UGG2" s="568"/>
      <c r="UGH2" s="568"/>
      <c r="UGI2" s="568"/>
      <c r="UGJ2" s="568"/>
      <c r="UGK2" s="568"/>
      <c r="UGL2" s="568"/>
      <c r="UGM2" s="568"/>
      <c r="UGN2" s="568"/>
      <c r="UGO2" s="568"/>
      <c r="UGP2" s="568"/>
      <c r="UGQ2" s="568"/>
      <c r="UGR2" s="568"/>
      <c r="UGS2" s="568"/>
      <c r="UGT2" s="568"/>
      <c r="UGU2" s="568"/>
      <c r="UGV2" s="568"/>
      <c r="UGW2" s="568"/>
      <c r="UGX2" s="568"/>
      <c r="UGY2" s="568"/>
      <c r="UGZ2" s="568"/>
      <c r="UHA2" s="568"/>
      <c r="UHB2" s="568"/>
      <c r="UHC2" s="568"/>
      <c r="UHD2" s="568"/>
      <c r="UHE2" s="568"/>
      <c r="UHF2" s="568"/>
      <c r="UHG2" s="568"/>
      <c r="UHH2" s="568"/>
      <c r="UHI2" s="568"/>
      <c r="UHJ2" s="568"/>
      <c r="UHK2" s="568"/>
      <c r="UHL2" s="568"/>
      <c r="UHM2" s="568"/>
      <c r="UHN2" s="568"/>
      <c r="UHO2" s="568"/>
      <c r="UHP2" s="568"/>
      <c r="UHQ2" s="568"/>
      <c r="UHR2" s="568"/>
      <c r="UHS2" s="568"/>
      <c r="UHT2" s="568"/>
      <c r="UHU2" s="568"/>
      <c r="UHV2" s="568"/>
      <c r="UHW2" s="568"/>
      <c r="UHX2" s="568"/>
      <c r="UHY2" s="568"/>
      <c r="UHZ2" s="568"/>
      <c r="UIA2" s="568"/>
      <c r="UIB2" s="568"/>
      <c r="UIC2" s="568"/>
      <c r="UID2" s="568"/>
      <c r="UIE2" s="568"/>
      <c r="UIF2" s="568"/>
      <c r="UIG2" s="568"/>
      <c r="UIH2" s="568"/>
      <c r="UII2" s="568"/>
      <c r="UIJ2" s="568"/>
      <c r="UIK2" s="568"/>
      <c r="UIL2" s="568"/>
      <c r="UIM2" s="568"/>
      <c r="UIN2" s="568"/>
      <c r="UIO2" s="568"/>
      <c r="UIP2" s="568"/>
      <c r="UIQ2" s="568"/>
      <c r="UIR2" s="568"/>
      <c r="UIS2" s="568"/>
      <c r="UIT2" s="568"/>
      <c r="UIU2" s="568"/>
      <c r="UIV2" s="568"/>
      <c r="UIW2" s="568"/>
      <c r="UIX2" s="568"/>
      <c r="UIY2" s="568"/>
      <c r="UIZ2" s="568"/>
      <c r="UJA2" s="568"/>
      <c r="UJB2" s="568"/>
      <c r="UJC2" s="568"/>
      <c r="UJD2" s="568"/>
      <c r="UJE2" s="568"/>
      <c r="UJF2" s="568"/>
      <c r="UJG2" s="568"/>
      <c r="UJH2" s="568"/>
      <c r="UJI2" s="568"/>
      <c r="UJJ2" s="568"/>
      <c r="UJK2" s="568"/>
      <c r="UJL2" s="568"/>
      <c r="UJM2" s="568"/>
      <c r="UJN2" s="568"/>
      <c r="UJO2" s="568"/>
      <c r="UJP2" s="568"/>
      <c r="UJQ2" s="568"/>
      <c r="UJR2" s="568"/>
      <c r="UJS2" s="568"/>
      <c r="UJT2" s="568"/>
      <c r="UJU2" s="568"/>
      <c r="UJV2" s="568"/>
      <c r="UJW2" s="568"/>
      <c r="UJX2" s="568"/>
      <c r="UJY2" s="568"/>
      <c r="UJZ2" s="568"/>
      <c r="UKA2" s="568"/>
      <c r="UKB2" s="568"/>
      <c r="UKC2" s="568"/>
      <c r="UKD2" s="568"/>
      <c r="UKE2" s="568"/>
      <c r="UKF2" s="568"/>
      <c r="UKG2" s="568"/>
      <c r="UKH2" s="568"/>
      <c r="UKI2" s="568"/>
      <c r="UKJ2" s="568"/>
      <c r="UKK2" s="568"/>
      <c r="UKL2" s="568"/>
      <c r="UKM2" s="568"/>
      <c r="UKN2" s="568"/>
      <c r="UKO2" s="568"/>
      <c r="UKP2" s="568"/>
      <c r="UKQ2" s="568"/>
      <c r="UKR2" s="568"/>
      <c r="UKS2" s="568"/>
      <c r="UKT2" s="568"/>
      <c r="UKU2" s="568"/>
      <c r="UKV2" s="568"/>
      <c r="UKW2" s="568"/>
      <c r="UKX2" s="568"/>
      <c r="UKY2" s="568"/>
      <c r="UKZ2" s="568"/>
      <c r="ULA2" s="568"/>
      <c r="ULB2" s="568"/>
      <c r="ULC2" s="568"/>
      <c r="ULD2" s="568"/>
      <c r="ULE2" s="568"/>
      <c r="ULF2" s="568"/>
      <c r="ULG2" s="568"/>
      <c r="ULH2" s="568"/>
      <c r="ULI2" s="568"/>
      <c r="ULJ2" s="568"/>
      <c r="ULK2" s="568"/>
      <c r="ULL2" s="568"/>
      <c r="ULM2" s="568"/>
      <c r="ULN2" s="568"/>
      <c r="ULO2" s="568"/>
      <c r="ULP2" s="568"/>
      <c r="ULQ2" s="568"/>
      <c r="ULR2" s="568"/>
      <c r="ULS2" s="568"/>
      <c r="ULT2" s="568"/>
      <c r="ULU2" s="568"/>
      <c r="ULV2" s="568"/>
      <c r="ULW2" s="568"/>
      <c r="ULX2" s="568"/>
      <c r="ULY2" s="568"/>
      <c r="ULZ2" s="568"/>
      <c r="UMA2" s="568"/>
      <c r="UMB2" s="568"/>
      <c r="UMC2" s="568"/>
      <c r="UMD2" s="568"/>
      <c r="UME2" s="568"/>
      <c r="UMF2" s="568"/>
      <c r="UMG2" s="568"/>
      <c r="UMH2" s="568"/>
      <c r="UMI2" s="568"/>
      <c r="UMJ2" s="568"/>
      <c r="UMK2" s="568"/>
      <c r="UML2" s="568"/>
      <c r="UMM2" s="568"/>
      <c r="UMN2" s="568"/>
      <c r="UMO2" s="568"/>
      <c r="UMP2" s="568"/>
      <c r="UMQ2" s="568"/>
      <c r="UMR2" s="568"/>
      <c r="UMS2" s="568"/>
      <c r="UMT2" s="568"/>
      <c r="UMU2" s="568"/>
      <c r="UMV2" s="568"/>
      <c r="UMW2" s="568"/>
      <c r="UMX2" s="568"/>
      <c r="UMY2" s="568"/>
      <c r="UMZ2" s="568"/>
      <c r="UNA2" s="568"/>
      <c r="UNB2" s="568"/>
      <c r="UNC2" s="568"/>
      <c r="UND2" s="568"/>
      <c r="UNE2" s="568"/>
      <c r="UNF2" s="568"/>
      <c r="UNG2" s="568"/>
      <c r="UNH2" s="568"/>
      <c r="UNI2" s="568"/>
      <c r="UNJ2" s="568"/>
      <c r="UNK2" s="568"/>
      <c r="UNL2" s="568"/>
      <c r="UNM2" s="568"/>
      <c r="UNN2" s="568"/>
      <c r="UNO2" s="568"/>
      <c r="UNP2" s="568"/>
      <c r="UNQ2" s="568"/>
      <c r="UNR2" s="568"/>
      <c r="UNS2" s="568"/>
      <c r="UNT2" s="568"/>
      <c r="UNU2" s="568"/>
      <c r="UNV2" s="568"/>
      <c r="UNW2" s="568"/>
      <c r="UNX2" s="568"/>
      <c r="UNY2" s="568"/>
      <c r="UNZ2" s="568"/>
      <c r="UOA2" s="568"/>
      <c r="UOB2" s="568"/>
      <c r="UOC2" s="568"/>
      <c r="UOD2" s="568"/>
      <c r="UOE2" s="568"/>
      <c r="UOF2" s="568"/>
      <c r="UOG2" s="568"/>
      <c r="UOH2" s="568"/>
      <c r="UOI2" s="568"/>
      <c r="UOJ2" s="568"/>
      <c r="UOK2" s="568"/>
      <c r="UOL2" s="568"/>
      <c r="UOM2" s="568"/>
      <c r="UON2" s="568"/>
      <c r="UOO2" s="568"/>
      <c r="UOP2" s="568"/>
      <c r="UOQ2" s="568"/>
      <c r="UOR2" s="568"/>
      <c r="UOS2" s="568"/>
      <c r="UOT2" s="568"/>
      <c r="UOU2" s="568"/>
      <c r="UOV2" s="568"/>
      <c r="UOW2" s="568"/>
      <c r="UOX2" s="568"/>
      <c r="UOY2" s="568"/>
      <c r="UOZ2" s="568"/>
      <c r="UPA2" s="568"/>
      <c r="UPB2" s="568"/>
      <c r="UPC2" s="568"/>
      <c r="UPD2" s="568"/>
      <c r="UPE2" s="568"/>
      <c r="UPF2" s="568"/>
      <c r="UPG2" s="568"/>
      <c r="UPH2" s="568"/>
      <c r="UPI2" s="568"/>
      <c r="UPJ2" s="568"/>
      <c r="UPK2" s="568"/>
      <c r="UPL2" s="568"/>
      <c r="UPM2" s="568"/>
      <c r="UPN2" s="568"/>
      <c r="UPO2" s="568"/>
      <c r="UPP2" s="568"/>
      <c r="UPQ2" s="568"/>
      <c r="UPR2" s="568"/>
      <c r="UPS2" s="568"/>
      <c r="UPT2" s="568"/>
      <c r="UPU2" s="568"/>
      <c r="UPV2" s="568"/>
      <c r="UPW2" s="568"/>
      <c r="UPX2" s="568"/>
      <c r="UPY2" s="568"/>
      <c r="UPZ2" s="568"/>
      <c r="UQA2" s="568"/>
      <c r="UQB2" s="568"/>
      <c r="UQC2" s="568"/>
      <c r="UQD2" s="568"/>
      <c r="UQE2" s="568"/>
      <c r="UQF2" s="568"/>
      <c r="UQG2" s="568"/>
      <c r="UQH2" s="568"/>
      <c r="UQI2" s="568"/>
      <c r="UQJ2" s="568"/>
      <c r="UQK2" s="568"/>
      <c r="UQL2" s="568"/>
      <c r="UQM2" s="568"/>
      <c r="UQN2" s="568"/>
      <c r="UQO2" s="568"/>
      <c r="UQP2" s="568"/>
      <c r="UQQ2" s="568"/>
      <c r="UQR2" s="568"/>
      <c r="UQS2" s="568"/>
      <c r="UQT2" s="568"/>
      <c r="UQU2" s="568"/>
      <c r="UQV2" s="568"/>
      <c r="UQW2" s="568"/>
      <c r="UQX2" s="568"/>
      <c r="UQY2" s="568"/>
      <c r="UQZ2" s="568"/>
      <c r="URA2" s="568"/>
      <c r="URB2" s="568"/>
      <c r="URC2" s="568"/>
      <c r="URD2" s="568"/>
      <c r="URE2" s="568"/>
      <c r="URF2" s="568"/>
      <c r="URG2" s="568"/>
      <c r="URH2" s="568"/>
      <c r="URI2" s="568"/>
      <c r="URJ2" s="568"/>
      <c r="URK2" s="568"/>
      <c r="URL2" s="568"/>
      <c r="URM2" s="568"/>
      <c r="URN2" s="568"/>
      <c r="URO2" s="568"/>
      <c r="URP2" s="568"/>
      <c r="URQ2" s="568"/>
      <c r="URR2" s="568"/>
      <c r="URS2" s="568"/>
      <c r="URT2" s="568"/>
      <c r="URU2" s="568"/>
      <c r="URV2" s="568"/>
      <c r="URW2" s="568"/>
      <c r="URX2" s="568"/>
      <c r="URY2" s="568"/>
      <c r="URZ2" s="568"/>
      <c r="USA2" s="568"/>
      <c r="USB2" s="568"/>
      <c r="USC2" s="568"/>
      <c r="USD2" s="568"/>
      <c r="USE2" s="568"/>
      <c r="USF2" s="568"/>
      <c r="USG2" s="568"/>
      <c r="USH2" s="568"/>
      <c r="USI2" s="568"/>
      <c r="USJ2" s="568"/>
      <c r="USK2" s="568"/>
      <c r="USL2" s="568"/>
      <c r="USM2" s="568"/>
      <c r="USN2" s="568"/>
      <c r="USO2" s="568"/>
      <c r="USP2" s="568"/>
      <c r="USQ2" s="568"/>
      <c r="USR2" s="568"/>
      <c r="USS2" s="568"/>
      <c r="UST2" s="568"/>
      <c r="USU2" s="568"/>
      <c r="USV2" s="568"/>
      <c r="USW2" s="568"/>
      <c r="USX2" s="568"/>
      <c r="USY2" s="568"/>
      <c r="USZ2" s="568"/>
      <c r="UTA2" s="568"/>
      <c r="UTB2" s="568"/>
      <c r="UTC2" s="568"/>
      <c r="UTD2" s="568"/>
      <c r="UTE2" s="568"/>
      <c r="UTF2" s="568"/>
      <c r="UTG2" s="568"/>
      <c r="UTH2" s="568"/>
      <c r="UTI2" s="568"/>
      <c r="UTJ2" s="568"/>
      <c r="UTK2" s="568"/>
      <c r="UTL2" s="568"/>
      <c r="UTM2" s="568"/>
      <c r="UTN2" s="568"/>
      <c r="UTO2" s="568"/>
      <c r="UTP2" s="568"/>
      <c r="UTQ2" s="568"/>
      <c r="UTR2" s="568"/>
      <c r="UTS2" s="568"/>
      <c r="UTT2" s="568"/>
      <c r="UTU2" s="568"/>
      <c r="UTV2" s="568"/>
      <c r="UTW2" s="568"/>
      <c r="UTX2" s="568"/>
      <c r="UTY2" s="568"/>
      <c r="UTZ2" s="568"/>
      <c r="UUA2" s="568"/>
      <c r="UUB2" s="568"/>
      <c r="UUC2" s="568"/>
      <c r="UUD2" s="568"/>
      <c r="UUE2" s="568"/>
      <c r="UUF2" s="568"/>
      <c r="UUG2" s="568"/>
      <c r="UUH2" s="568"/>
      <c r="UUI2" s="568"/>
      <c r="UUJ2" s="568"/>
      <c r="UUK2" s="568"/>
      <c r="UUL2" s="568"/>
      <c r="UUM2" s="568"/>
      <c r="UUN2" s="568"/>
      <c r="UUO2" s="568"/>
      <c r="UUP2" s="568"/>
      <c r="UUQ2" s="568"/>
      <c r="UUR2" s="568"/>
      <c r="UUS2" s="568"/>
      <c r="UUT2" s="568"/>
      <c r="UUU2" s="568"/>
      <c r="UUV2" s="568"/>
      <c r="UUW2" s="568"/>
      <c r="UUX2" s="568"/>
      <c r="UUY2" s="568"/>
      <c r="UUZ2" s="568"/>
      <c r="UVA2" s="568"/>
      <c r="UVB2" s="568"/>
      <c r="UVC2" s="568"/>
      <c r="UVD2" s="568"/>
      <c r="UVE2" s="568"/>
      <c r="UVF2" s="568"/>
      <c r="UVG2" s="568"/>
      <c r="UVH2" s="568"/>
      <c r="UVI2" s="568"/>
      <c r="UVJ2" s="568"/>
      <c r="UVK2" s="568"/>
      <c r="UVL2" s="568"/>
      <c r="UVM2" s="568"/>
      <c r="UVN2" s="568"/>
      <c r="UVO2" s="568"/>
      <c r="UVP2" s="568"/>
      <c r="UVQ2" s="568"/>
      <c r="UVR2" s="568"/>
      <c r="UVS2" s="568"/>
      <c r="UVT2" s="568"/>
      <c r="UVU2" s="568"/>
      <c r="UVV2" s="568"/>
      <c r="UVW2" s="568"/>
      <c r="UVX2" s="568"/>
      <c r="UVY2" s="568"/>
      <c r="UVZ2" s="568"/>
      <c r="UWA2" s="568"/>
      <c r="UWB2" s="568"/>
      <c r="UWC2" s="568"/>
      <c r="UWD2" s="568"/>
      <c r="UWE2" s="568"/>
      <c r="UWF2" s="568"/>
      <c r="UWG2" s="568"/>
      <c r="UWH2" s="568"/>
      <c r="UWI2" s="568"/>
      <c r="UWJ2" s="568"/>
      <c r="UWK2" s="568"/>
      <c r="UWL2" s="568"/>
      <c r="UWM2" s="568"/>
      <c r="UWN2" s="568"/>
      <c r="UWO2" s="568"/>
      <c r="UWP2" s="568"/>
      <c r="UWQ2" s="568"/>
      <c r="UWR2" s="568"/>
      <c r="UWS2" s="568"/>
      <c r="UWT2" s="568"/>
      <c r="UWU2" s="568"/>
      <c r="UWV2" s="568"/>
      <c r="UWW2" s="568"/>
      <c r="UWX2" s="568"/>
      <c r="UWY2" s="568"/>
      <c r="UWZ2" s="568"/>
      <c r="UXA2" s="568"/>
      <c r="UXB2" s="568"/>
      <c r="UXC2" s="568"/>
      <c r="UXD2" s="568"/>
      <c r="UXE2" s="568"/>
      <c r="UXF2" s="568"/>
      <c r="UXG2" s="568"/>
      <c r="UXH2" s="568"/>
      <c r="UXI2" s="568"/>
      <c r="UXJ2" s="568"/>
      <c r="UXK2" s="568"/>
      <c r="UXL2" s="568"/>
      <c r="UXM2" s="568"/>
      <c r="UXN2" s="568"/>
      <c r="UXO2" s="568"/>
      <c r="UXP2" s="568"/>
      <c r="UXQ2" s="568"/>
      <c r="UXR2" s="568"/>
      <c r="UXS2" s="568"/>
      <c r="UXT2" s="568"/>
      <c r="UXU2" s="568"/>
      <c r="UXV2" s="568"/>
      <c r="UXW2" s="568"/>
      <c r="UXX2" s="568"/>
      <c r="UXY2" s="568"/>
      <c r="UXZ2" s="568"/>
      <c r="UYA2" s="568"/>
      <c r="UYB2" s="568"/>
      <c r="UYC2" s="568"/>
      <c r="UYD2" s="568"/>
      <c r="UYE2" s="568"/>
      <c r="UYF2" s="568"/>
      <c r="UYG2" s="568"/>
      <c r="UYH2" s="568"/>
      <c r="UYI2" s="568"/>
      <c r="UYJ2" s="568"/>
      <c r="UYK2" s="568"/>
      <c r="UYL2" s="568"/>
      <c r="UYM2" s="568"/>
      <c r="UYN2" s="568"/>
      <c r="UYO2" s="568"/>
      <c r="UYP2" s="568"/>
      <c r="UYQ2" s="568"/>
      <c r="UYR2" s="568"/>
      <c r="UYS2" s="568"/>
      <c r="UYT2" s="568"/>
      <c r="UYU2" s="568"/>
      <c r="UYV2" s="568"/>
      <c r="UYW2" s="568"/>
      <c r="UYX2" s="568"/>
      <c r="UYY2" s="568"/>
      <c r="UYZ2" s="568"/>
      <c r="UZA2" s="568"/>
      <c r="UZB2" s="568"/>
      <c r="UZC2" s="568"/>
      <c r="UZD2" s="568"/>
      <c r="UZE2" s="568"/>
      <c r="UZF2" s="568"/>
      <c r="UZG2" s="568"/>
      <c r="UZH2" s="568"/>
      <c r="UZI2" s="568"/>
      <c r="UZJ2" s="568"/>
      <c r="UZK2" s="568"/>
      <c r="UZL2" s="568"/>
      <c r="UZM2" s="568"/>
      <c r="UZN2" s="568"/>
      <c r="UZO2" s="568"/>
      <c r="UZP2" s="568"/>
      <c r="UZQ2" s="568"/>
      <c r="UZR2" s="568"/>
      <c r="UZS2" s="568"/>
      <c r="UZT2" s="568"/>
      <c r="UZU2" s="568"/>
      <c r="UZV2" s="568"/>
      <c r="UZW2" s="568"/>
      <c r="UZX2" s="568"/>
      <c r="UZY2" s="568"/>
      <c r="UZZ2" s="568"/>
      <c r="VAA2" s="568"/>
      <c r="VAB2" s="568"/>
      <c r="VAC2" s="568"/>
      <c r="VAD2" s="568"/>
      <c r="VAE2" s="568"/>
      <c r="VAF2" s="568"/>
      <c r="VAG2" s="568"/>
      <c r="VAH2" s="568"/>
      <c r="VAI2" s="568"/>
      <c r="VAJ2" s="568"/>
      <c r="VAK2" s="568"/>
      <c r="VAL2" s="568"/>
      <c r="VAM2" s="568"/>
      <c r="VAN2" s="568"/>
      <c r="VAO2" s="568"/>
      <c r="VAP2" s="568"/>
      <c r="VAQ2" s="568"/>
      <c r="VAR2" s="568"/>
      <c r="VAS2" s="568"/>
      <c r="VAT2" s="568"/>
      <c r="VAU2" s="568"/>
      <c r="VAV2" s="568"/>
      <c r="VAW2" s="568"/>
      <c r="VAX2" s="568"/>
      <c r="VAY2" s="568"/>
      <c r="VAZ2" s="568"/>
      <c r="VBA2" s="568"/>
      <c r="VBB2" s="568"/>
      <c r="VBC2" s="568"/>
      <c r="VBD2" s="568"/>
      <c r="VBE2" s="568"/>
      <c r="VBF2" s="568"/>
      <c r="VBG2" s="568"/>
      <c r="VBH2" s="568"/>
      <c r="VBI2" s="568"/>
      <c r="VBJ2" s="568"/>
      <c r="VBK2" s="568"/>
      <c r="VBL2" s="568"/>
      <c r="VBM2" s="568"/>
      <c r="VBN2" s="568"/>
      <c r="VBO2" s="568"/>
      <c r="VBP2" s="568"/>
      <c r="VBQ2" s="568"/>
      <c r="VBR2" s="568"/>
      <c r="VBS2" s="568"/>
      <c r="VBT2" s="568"/>
      <c r="VBU2" s="568"/>
      <c r="VBV2" s="568"/>
      <c r="VBW2" s="568"/>
      <c r="VBX2" s="568"/>
      <c r="VBY2" s="568"/>
      <c r="VBZ2" s="568"/>
      <c r="VCA2" s="568"/>
      <c r="VCB2" s="568"/>
      <c r="VCC2" s="568"/>
      <c r="VCD2" s="568"/>
      <c r="VCE2" s="568"/>
      <c r="VCF2" s="568"/>
      <c r="VCG2" s="568"/>
      <c r="VCH2" s="568"/>
      <c r="VCI2" s="568"/>
      <c r="VCJ2" s="568"/>
      <c r="VCK2" s="568"/>
      <c r="VCL2" s="568"/>
      <c r="VCM2" s="568"/>
      <c r="VCN2" s="568"/>
      <c r="VCO2" s="568"/>
      <c r="VCP2" s="568"/>
      <c r="VCQ2" s="568"/>
      <c r="VCR2" s="568"/>
      <c r="VCS2" s="568"/>
      <c r="VCT2" s="568"/>
      <c r="VCU2" s="568"/>
      <c r="VCV2" s="568"/>
      <c r="VCW2" s="568"/>
      <c r="VCX2" s="568"/>
      <c r="VCY2" s="568"/>
      <c r="VCZ2" s="568"/>
      <c r="VDA2" s="568"/>
      <c r="VDB2" s="568"/>
      <c r="VDC2" s="568"/>
      <c r="VDD2" s="568"/>
      <c r="VDE2" s="568"/>
      <c r="VDF2" s="568"/>
      <c r="VDG2" s="568"/>
      <c r="VDH2" s="568"/>
      <c r="VDI2" s="568"/>
      <c r="VDJ2" s="568"/>
      <c r="VDK2" s="568"/>
      <c r="VDL2" s="568"/>
      <c r="VDM2" s="568"/>
      <c r="VDN2" s="568"/>
      <c r="VDO2" s="568"/>
      <c r="VDP2" s="568"/>
      <c r="VDQ2" s="568"/>
      <c r="VDR2" s="568"/>
      <c r="VDS2" s="568"/>
      <c r="VDT2" s="568"/>
      <c r="VDU2" s="568"/>
      <c r="VDV2" s="568"/>
      <c r="VDW2" s="568"/>
      <c r="VDX2" s="568"/>
      <c r="VDY2" s="568"/>
      <c r="VDZ2" s="568"/>
      <c r="VEA2" s="568"/>
      <c r="VEB2" s="568"/>
      <c r="VEC2" s="568"/>
      <c r="VED2" s="568"/>
      <c r="VEE2" s="568"/>
      <c r="VEF2" s="568"/>
      <c r="VEG2" s="568"/>
      <c r="VEH2" s="568"/>
      <c r="VEI2" s="568"/>
      <c r="VEJ2" s="568"/>
      <c r="VEK2" s="568"/>
      <c r="VEL2" s="568"/>
      <c r="VEM2" s="568"/>
      <c r="VEN2" s="568"/>
      <c r="VEO2" s="568"/>
      <c r="VEP2" s="568"/>
      <c r="VEQ2" s="568"/>
      <c r="VER2" s="568"/>
      <c r="VES2" s="568"/>
      <c r="VET2" s="568"/>
      <c r="VEU2" s="568"/>
      <c r="VEV2" s="568"/>
      <c r="VEW2" s="568"/>
      <c r="VEX2" s="568"/>
      <c r="VEY2" s="568"/>
      <c r="VEZ2" s="568"/>
      <c r="VFA2" s="568"/>
      <c r="VFB2" s="568"/>
      <c r="VFC2" s="568"/>
      <c r="VFD2" s="568"/>
      <c r="VFE2" s="568"/>
      <c r="VFF2" s="568"/>
      <c r="VFG2" s="568"/>
      <c r="VFH2" s="568"/>
      <c r="VFI2" s="568"/>
      <c r="VFJ2" s="568"/>
      <c r="VFK2" s="568"/>
      <c r="VFL2" s="568"/>
      <c r="VFM2" s="568"/>
      <c r="VFN2" s="568"/>
      <c r="VFO2" s="568"/>
      <c r="VFP2" s="568"/>
      <c r="VFQ2" s="568"/>
      <c r="VFR2" s="568"/>
      <c r="VFS2" s="568"/>
      <c r="VFT2" s="568"/>
      <c r="VFU2" s="568"/>
      <c r="VFV2" s="568"/>
      <c r="VFW2" s="568"/>
      <c r="VFX2" s="568"/>
      <c r="VFY2" s="568"/>
      <c r="VFZ2" s="568"/>
      <c r="VGA2" s="568"/>
      <c r="VGB2" s="568"/>
      <c r="VGC2" s="568"/>
      <c r="VGD2" s="568"/>
      <c r="VGE2" s="568"/>
      <c r="VGF2" s="568"/>
      <c r="VGG2" s="568"/>
      <c r="VGH2" s="568"/>
      <c r="VGI2" s="568"/>
      <c r="VGJ2" s="568"/>
      <c r="VGK2" s="568"/>
      <c r="VGL2" s="568"/>
      <c r="VGM2" s="568"/>
      <c r="VGN2" s="568"/>
      <c r="VGO2" s="568"/>
      <c r="VGP2" s="568"/>
      <c r="VGQ2" s="568"/>
      <c r="VGR2" s="568"/>
      <c r="VGS2" s="568"/>
      <c r="VGT2" s="568"/>
      <c r="VGU2" s="568"/>
      <c r="VGV2" s="568"/>
      <c r="VGW2" s="568"/>
      <c r="VGX2" s="568"/>
      <c r="VGY2" s="568"/>
      <c r="VGZ2" s="568"/>
      <c r="VHA2" s="568"/>
      <c r="VHB2" s="568"/>
      <c r="VHC2" s="568"/>
      <c r="VHD2" s="568"/>
      <c r="VHE2" s="568"/>
      <c r="VHF2" s="568"/>
      <c r="VHG2" s="568"/>
      <c r="VHH2" s="568"/>
      <c r="VHI2" s="568"/>
      <c r="VHJ2" s="568"/>
      <c r="VHK2" s="568"/>
      <c r="VHL2" s="568"/>
      <c r="VHM2" s="568"/>
      <c r="VHN2" s="568"/>
      <c r="VHO2" s="568"/>
      <c r="VHP2" s="568"/>
      <c r="VHQ2" s="568"/>
      <c r="VHR2" s="568"/>
      <c r="VHS2" s="568"/>
      <c r="VHT2" s="568"/>
      <c r="VHU2" s="568"/>
      <c r="VHV2" s="568"/>
      <c r="VHW2" s="568"/>
      <c r="VHX2" s="568"/>
      <c r="VHY2" s="568"/>
      <c r="VHZ2" s="568"/>
      <c r="VIA2" s="568"/>
      <c r="VIB2" s="568"/>
      <c r="VIC2" s="568"/>
      <c r="VID2" s="568"/>
      <c r="VIE2" s="568"/>
      <c r="VIF2" s="568"/>
      <c r="VIG2" s="568"/>
      <c r="VIH2" s="568"/>
      <c r="VII2" s="568"/>
      <c r="VIJ2" s="568"/>
      <c r="VIK2" s="568"/>
      <c r="VIL2" s="568"/>
      <c r="VIM2" s="568"/>
      <c r="VIN2" s="568"/>
      <c r="VIO2" s="568"/>
      <c r="VIP2" s="568"/>
      <c r="VIQ2" s="568"/>
      <c r="VIR2" s="568"/>
      <c r="VIS2" s="568"/>
      <c r="VIT2" s="568"/>
      <c r="VIU2" s="568"/>
      <c r="VIV2" s="568"/>
      <c r="VIW2" s="568"/>
      <c r="VIX2" s="568"/>
      <c r="VIY2" s="568"/>
      <c r="VIZ2" s="568"/>
      <c r="VJA2" s="568"/>
      <c r="VJB2" s="568"/>
      <c r="VJC2" s="568"/>
      <c r="VJD2" s="568"/>
      <c r="VJE2" s="568"/>
      <c r="VJF2" s="568"/>
      <c r="VJG2" s="568"/>
      <c r="VJH2" s="568"/>
      <c r="VJI2" s="568"/>
      <c r="VJJ2" s="568"/>
      <c r="VJK2" s="568"/>
      <c r="VJL2" s="568"/>
      <c r="VJM2" s="568"/>
      <c r="VJN2" s="568"/>
      <c r="VJO2" s="568"/>
      <c r="VJP2" s="568"/>
      <c r="VJQ2" s="568"/>
      <c r="VJR2" s="568"/>
      <c r="VJS2" s="568"/>
      <c r="VJT2" s="568"/>
      <c r="VJU2" s="568"/>
      <c r="VJV2" s="568"/>
      <c r="VJW2" s="568"/>
      <c r="VJX2" s="568"/>
      <c r="VJY2" s="568"/>
      <c r="VJZ2" s="568"/>
      <c r="VKA2" s="568"/>
      <c r="VKB2" s="568"/>
      <c r="VKC2" s="568"/>
      <c r="VKD2" s="568"/>
      <c r="VKE2" s="568"/>
      <c r="VKF2" s="568"/>
      <c r="VKG2" s="568"/>
      <c r="VKH2" s="568"/>
      <c r="VKI2" s="568"/>
      <c r="VKJ2" s="568"/>
      <c r="VKK2" s="568"/>
      <c r="VKL2" s="568"/>
      <c r="VKM2" s="568"/>
      <c r="VKN2" s="568"/>
      <c r="VKO2" s="568"/>
      <c r="VKP2" s="568"/>
      <c r="VKQ2" s="568"/>
      <c r="VKR2" s="568"/>
      <c r="VKS2" s="568"/>
      <c r="VKT2" s="568"/>
      <c r="VKU2" s="568"/>
      <c r="VKV2" s="568"/>
      <c r="VKW2" s="568"/>
      <c r="VKX2" s="568"/>
      <c r="VKY2" s="568"/>
      <c r="VKZ2" s="568"/>
      <c r="VLA2" s="568"/>
      <c r="VLB2" s="568"/>
      <c r="VLC2" s="568"/>
      <c r="VLD2" s="568"/>
      <c r="VLE2" s="568"/>
      <c r="VLF2" s="568"/>
      <c r="VLG2" s="568"/>
      <c r="VLH2" s="568"/>
      <c r="VLI2" s="568"/>
      <c r="VLJ2" s="568"/>
      <c r="VLK2" s="568"/>
      <c r="VLL2" s="568"/>
      <c r="VLM2" s="568"/>
      <c r="VLN2" s="568"/>
      <c r="VLO2" s="568"/>
      <c r="VLP2" s="568"/>
      <c r="VLQ2" s="568"/>
      <c r="VLR2" s="568"/>
      <c r="VLS2" s="568"/>
      <c r="VLT2" s="568"/>
      <c r="VLU2" s="568"/>
      <c r="VLV2" s="568"/>
      <c r="VLW2" s="568"/>
      <c r="VLX2" s="568"/>
      <c r="VLY2" s="568"/>
      <c r="VLZ2" s="568"/>
      <c r="VMA2" s="568"/>
      <c r="VMB2" s="568"/>
      <c r="VMC2" s="568"/>
      <c r="VMD2" s="568"/>
      <c r="VME2" s="568"/>
      <c r="VMF2" s="568"/>
      <c r="VMG2" s="568"/>
      <c r="VMH2" s="568"/>
      <c r="VMI2" s="568"/>
      <c r="VMJ2" s="568"/>
      <c r="VMK2" s="568"/>
      <c r="VML2" s="568"/>
      <c r="VMM2" s="568"/>
      <c r="VMN2" s="568"/>
      <c r="VMO2" s="568"/>
      <c r="VMP2" s="568"/>
      <c r="VMQ2" s="568"/>
      <c r="VMR2" s="568"/>
      <c r="VMS2" s="568"/>
      <c r="VMT2" s="568"/>
      <c r="VMU2" s="568"/>
      <c r="VMV2" s="568"/>
      <c r="VMW2" s="568"/>
      <c r="VMX2" s="568"/>
      <c r="VMY2" s="568"/>
      <c r="VMZ2" s="568"/>
      <c r="VNA2" s="568"/>
      <c r="VNB2" s="568"/>
      <c r="VNC2" s="568"/>
      <c r="VND2" s="568"/>
      <c r="VNE2" s="568"/>
      <c r="VNF2" s="568"/>
      <c r="VNG2" s="568"/>
      <c r="VNH2" s="568"/>
      <c r="VNI2" s="568"/>
      <c r="VNJ2" s="568"/>
      <c r="VNK2" s="568"/>
      <c r="VNL2" s="568"/>
      <c r="VNM2" s="568"/>
      <c r="VNN2" s="568"/>
      <c r="VNO2" s="568"/>
      <c r="VNP2" s="568"/>
      <c r="VNQ2" s="568"/>
      <c r="VNR2" s="568"/>
      <c r="VNS2" s="568"/>
      <c r="VNT2" s="568"/>
      <c r="VNU2" s="568"/>
      <c r="VNV2" s="568"/>
      <c r="VNW2" s="568"/>
      <c r="VNX2" s="568"/>
      <c r="VNY2" s="568"/>
      <c r="VNZ2" s="568"/>
      <c r="VOA2" s="568"/>
      <c r="VOB2" s="568"/>
      <c r="VOC2" s="568"/>
      <c r="VOD2" s="568"/>
      <c r="VOE2" s="568"/>
      <c r="VOF2" s="568"/>
      <c r="VOG2" s="568"/>
      <c r="VOH2" s="568"/>
      <c r="VOI2" s="568"/>
      <c r="VOJ2" s="568"/>
      <c r="VOK2" s="568"/>
      <c r="VOL2" s="568"/>
      <c r="VOM2" s="568"/>
      <c r="VON2" s="568"/>
      <c r="VOO2" s="568"/>
      <c r="VOP2" s="568"/>
      <c r="VOQ2" s="568"/>
      <c r="VOR2" s="568"/>
      <c r="VOS2" s="568"/>
      <c r="VOT2" s="568"/>
      <c r="VOU2" s="568"/>
      <c r="VOV2" s="568"/>
      <c r="VOW2" s="568"/>
      <c r="VOX2" s="568"/>
      <c r="VOY2" s="568"/>
      <c r="VOZ2" s="568"/>
      <c r="VPA2" s="568"/>
      <c r="VPB2" s="568"/>
      <c r="VPC2" s="568"/>
      <c r="VPD2" s="568"/>
      <c r="VPE2" s="568"/>
      <c r="VPF2" s="568"/>
      <c r="VPG2" s="568"/>
      <c r="VPH2" s="568"/>
      <c r="VPI2" s="568"/>
      <c r="VPJ2" s="568"/>
      <c r="VPK2" s="568"/>
      <c r="VPL2" s="568"/>
      <c r="VPM2" s="568"/>
      <c r="VPN2" s="568"/>
      <c r="VPO2" s="568"/>
      <c r="VPP2" s="568"/>
      <c r="VPQ2" s="568"/>
      <c r="VPR2" s="568"/>
      <c r="VPS2" s="568"/>
      <c r="VPT2" s="568"/>
      <c r="VPU2" s="568"/>
      <c r="VPV2" s="568"/>
      <c r="VPW2" s="568"/>
      <c r="VPX2" s="568"/>
      <c r="VPY2" s="568"/>
      <c r="VPZ2" s="568"/>
      <c r="VQA2" s="568"/>
      <c r="VQB2" s="568"/>
      <c r="VQC2" s="568"/>
      <c r="VQD2" s="568"/>
      <c r="VQE2" s="568"/>
      <c r="VQF2" s="568"/>
      <c r="VQG2" s="568"/>
      <c r="VQH2" s="568"/>
      <c r="VQI2" s="568"/>
      <c r="VQJ2" s="568"/>
      <c r="VQK2" s="568"/>
      <c r="VQL2" s="568"/>
      <c r="VQM2" s="568"/>
      <c r="VQN2" s="568"/>
      <c r="VQO2" s="568"/>
      <c r="VQP2" s="568"/>
      <c r="VQQ2" s="568"/>
      <c r="VQR2" s="568"/>
      <c r="VQS2" s="568"/>
      <c r="VQT2" s="568"/>
      <c r="VQU2" s="568"/>
      <c r="VQV2" s="568"/>
      <c r="VQW2" s="568"/>
      <c r="VQX2" s="568"/>
      <c r="VQY2" s="568"/>
      <c r="VQZ2" s="568"/>
      <c r="VRA2" s="568"/>
      <c r="VRB2" s="568"/>
      <c r="VRC2" s="568"/>
      <c r="VRD2" s="568"/>
      <c r="VRE2" s="568"/>
      <c r="VRF2" s="568"/>
      <c r="VRG2" s="568"/>
      <c r="VRH2" s="568"/>
      <c r="VRI2" s="568"/>
      <c r="VRJ2" s="568"/>
      <c r="VRK2" s="568"/>
      <c r="VRL2" s="568"/>
      <c r="VRM2" s="568"/>
      <c r="VRN2" s="568"/>
      <c r="VRO2" s="568"/>
      <c r="VRP2" s="568"/>
      <c r="VRQ2" s="568"/>
      <c r="VRR2" s="568"/>
      <c r="VRS2" s="568"/>
      <c r="VRT2" s="568"/>
      <c r="VRU2" s="568"/>
      <c r="VRV2" s="568"/>
      <c r="VRW2" s="568"/>
      <c r="VRX2" s="568"/>
      <c r="VRY2" s="568"/>
      <c r="VRZ2" s="568"/>
      <c r="VSA2" s="568"/>
      <c r="VSB2" s="568"/>
      <c r="VSC2" s="568"/>
      <c r="VSD2" s="568"/>
      <c r="VSE2" s="568"/>
      <c r="VSF2" s="568"/>
      <c r="VSG2" s="568"/>
      <c r="VSH2" s="568"/>
      <c r="VSI2" s="568"/>
      <c r="VSJ2" s="568"/>
      <c r="VSK2" s="568"/>
      <c r="VSL2" s="568"/>
      <c r="VSM2" s="568"/>
      <c r="VSN2" s="568"/>
      <c r="VSO2" s="568"/>
      <c r="VSP2" s="568"/>
      <c r="VSQ2" s="568"/>
      <c r="VSR2" s="568"/>
      <c r="VSS2" s="568"/>
      <c r="VST2" s="568"/>
      <c r="VSU2" s="568"/>
      <c r="VSV2" s="568"/>
      <c r="VSW2" s="568"/>
      <c r="VSX2" s="568"/>
      <c r="VSY2" s="568"/>
      <c r="VSZ2" s="568"/>
      <c r="VTA2" s="568"/>
      <c r="VTB2" s="568"/>
      <c r="VTC2" s="568"/>
      <c r="VTD2" s="568"/>
      <c r="VTE2" s="568"/>
      <c r="VTF2" s="568"/>
      <c r="VTG2" s="568"/>
      <c r="VTH2" s="568"/>
      <c r="VTI2" s="568"/>
      <c r="VTJ2" s="568"/>
      <c r="VTK2" s="568"/>
      <c r="VTL2" s="568"/>
      <c r="VTM2" s="568"/>
      <c r="VTN2" s="568"/>
      <c r="VTO2" s="568"/>
      <c r="VTP2" s="568"/>
      <c r="VTQ2" s="568"/>
      <c r="VTR2" s="568"/>
      <c r="VTS2" s="568"/>
      <c r="VTT2" s="568"/>
      <c r="VTU2" s="568"/>
      <c r="VTV2" s="568"/>
      <c r="VTW2" s="568"/>
      <c r="VTX2" s="568"/>
      <c r="VTY2" s="568"/>
      <c r="VTZ2" s="568"/>
      <c r="VUA2" s="568"/>
      <c r="VUB2" s="568"/>
      <c r="VUC2" s="568"/>
      <c r="VUD2" s="568"/>
      <c r="VUE2" s="568"/>
      <c r="VUF2" s="568"/>
      <c r="VUG2" s="568"/>
      <c r="VUH2" s="568"/>
      <c r="VUI2" s="568"/>
      <c r="VUJ2" s="568"/>
      <c r="VUK2" s="568"/>
      <c r="VUL2" s="568"/>
      <c r="VUM2" s="568"/>
      <c r="VUN2" s="568"/>
      <c r="VUO2" s="568"/>
      <c r="VUP2" s="568"/>
      <c r="VUQ2" s="568"/>
      <c r="VUR2" s="568"/>
      <c r="VUS2" s="568"/>
      <c r="VUT2" s="568"/>
      <c r="VUU2" s="568"/>
      <c r="VUV2" s="568"/>
      <c r="VUW2" s="568"/>
      <c r="VUX2" s="568"/>
      <c r="VUY2" s="568"/>
      <c r="VUZ2" s="568"/>
      <c r="VVA2" s="568"/>
      <c r="VVB2" s="568"/>
      <c r="VVC2" s="568"/>
      <c r="VVD2" s="568"/>
      <c r="VVE2" s="568"/>
      <c r="VVF2" s="568"/>
      <c r="VVG2" s="568"/>
      <c r="VVH2" s="568"/>
      <c r="VVI2" s="568"/>
      <c r="VVJ2" s="568"/>
      <c r="VVK2" s="568"/>
      <c r="VVL2" s="568"/>
      <c r="VVM2" s="568"/>
      <c r="VVN2" s="568"/>
      <c r="VVO2" s="568"/>
      <c r="VVP2" s="568"/>
      <c r="VVQ2" s="568"/>
      <c r="VVR2" s="568"/>
      <c r="VVS2" s="568"/>
      <c r="VVT2" s="568"/>
      <c r="VVU2" s="568"/>
      <c r="VVV2" s="568"/>
      <c r="VVW2" s="568"/>
      <c r="VVX2" s="568"/>
      <c r="VVY2" s="568"/>
      <c r="VVZ2" s="568"/>
      <c r="VWA2" s="568"/>
      <c r="VWB2" s="568"/>
      <c r="VWC2" s="568"/>
      <c r="VWD2" s="568"/>
      <c r="VWE2" s="568"/>
      <c r="VWF2" s="568"/>
      <c r="VWG2" s="568"/>
      <c r="VWH2" s="568"/>
      <c r="VWI2" s="568"/>
      <c r="VWJ2" s="568"/>
      <c r="VWK2" s="568"/>
      <c r="VWL2" s="568"/>
      <c r="VWM2" s="568"/>
      <c r="VWN2" s="568"/>
      <c r="VWO2" s="568"/>
      <c r="VWP2" s="568"/>
      <c r="VWQ2" s="568"/>
      <c r="VWR2" s="568"/>
      <c r="VWS2" s="568"/>
      <c r="VWT2" s="568"/>
      <c r="VWU2" s="568"/>
      <c r="VWV2" s="568"/>
      <c r="VWW2" s="568"/>
      <c r="VWX2" s="568"/>
      <c r="VWY2" s="568"/>
      <c r="VWZ2" s="568"/>
      <c r="VXA2" s="568"/>
      <c r="VXB2" s="568"/>
      <c r="VXC2" s="568"/>
      <c r="VXD2" s="568"/>
      <c r="VXE2" s="568"/>
      <c r="VXF2" s="568"/>
      <c r="VXG2" s="568"/>
      <c r="VXH2" s="568"/>
      <c r="VXI2" s="568"/>
      <c r="VXJ2" s="568"/>
      <c r="VXK2" s="568"/>
      <c r="VXL2" s="568"/>
      <c r="VXM2" s="568"/>
      <c r="VXN2" s="568"/>
      <c r="VXO2" s="568"/>
      <c r="VXP2" s="568"/>
      <c r="VXQ2" s="568"/>
      <c r="VXR2" s="568"/>
      <c r="VXS2" s="568"/>
      <c r="VXT2" s="568"/>
      <c r="VXU2" s="568"/>
      <c r="VXV2" s="568"/>
      <c r="VXW2" s="568"/>
      <c r="VXX2" s="568"/>
      <c r="VXY2" s="568"/>
      <c r="VXZ2" s="568"/>
      <c r="VYA2" s="568"/>
      <c r="VYB2" s="568"/>
      <c r="VYC2" s="568"/>
      <c r="VYD2" s="568"/>
      <c r="VYE2" s="568"/>
      <c r="VYF2" s="568"/>
      <c r="VYG2" s="568"/>
      <c r="VYH2" s="568"/>
      <c r="VYI2" s="568"/>
      <c r="VYJ2" s="568"/>
      <c r="VYK2" s="568"/>
      <c r="VYL2" s="568"/>
      <c r="VYM2" s="568"/>
      <c r="VYN2" s="568"/>
      <c r="VYO2" s="568"/>
      <c r="VYP2" s="568"/>
      <c r="VYQ2" s="568"/>
      <c r="VYR2" s="568"/>
      <c r="VYS2" s="568"/>
      <c r="VYT2" s="568"/>
      <c r="VYU2" s="568"/>
      <c r="VYV2" s="568"/>
      <c r="VYW2" s="568"/>
      <c r="VYX2" s="568"/>
      <c r="VYY2" s="568"/>
      <c r="VYZ2" s="568"/>
      <c r="VZA2" s="568"/>
      <c r="VZB2" s="568"/>
      <c r="VZC2" s="568"/>
      <c r="VZD2" s="568"/>
      <c r="VZE2" s="568"/>
      <c r="VZF2" s="568"/>
      <c r="VZG2" s="568"/>
      <c r="VZH2" s="568"/>
      <c r="VZI2" s="568"/>
      <c r="VZJ2" s="568"/>
      <c r="VZK2" s="568"/>
      <c r="VZL2" s="568"/>
      <c r="VZM2" s="568"/>
      <c r="VZN2" s="568"/>
      <c r="VZO2" s="568"/>
      <c r="VZP2" s="568"/>
      <c r="VZQ2" s="568"/>
      <c r="VZR2" s="568"/>
      <c r="VZS2" s="568"/>
      <c r="VZT2" s="568"/>
      <c r="VZU2" s="568"/>
      <c r="VZV2" s="568"/>
      <c r="VZW2" s="568"/>
      <c r="VZX2" s="568"/>
      <c r="VZY2" s="568"/>
      <c r="VZZ2" s="568"/>
      <c r="WAA2" s="568"/>
      <c r="WAB2" s="568"/>
      <c r="WAC2" s="568"/>
      <c r="WAD2" s="568"/>
      <c r="WAE2" s="568"/>
      <c r="WAF2" s="568"/>
      <c r="WAG2" s="568"/>
      <c r="WAH2" s="568"/>
      <c r="WAI2" s="568"/>
      <c r="WAJ2" s="568"/>
      <c r="WAK2" s="568"/>
      <c r="WAL2" s="568"/>
      <c r="WAM2" s="568"/>
      <c r="WAN2" s="568"/>
      <c r="WAO2" s="568"/>
      <c r="WAP2" s="568"/>
      <c r="WAQ2" s="568"/>
      <c r="WAR2" s="568"/>
      <c r="WAS2" s="568"/>
      <c r="WAT2" s="568"/>
      <c r="WAU2" s="568"/>
      <c r="WAV2" s="568"/>
      <c r="WAW2" s="568"/>
      <c r="WAX2" s="568"/>
      <c r="WAY2" s="568"/>
      <c r="WAZ2" s="568"/>
      <c r="WBA2" s="568"/>
      <c r="WBB2" s="568"/>
      <c r="WBC2" s="568"/>
      <c r="WBD2" s="568"/>
      <c r="WBE2" s="568"/>
      <c r="WBF2" s="568"/>
      <c r="WBG2" s="568"/>
      <c r="WBH2" s="568"/>
      <c r="WBI2" s="568"/>
      <c r="WBJ2" s="568"/>
      <c r="WBK2" s="568"/>
      <c r="WBL2" s="568"/>
      <c r="WBM2" s="568"/>
      <c r="WBN2" s="568"/>
      <c r="WBO2" s="568"/>
      <c r="WBP2" s="568"/>
      <c r="WBQ2" s="568"/>
      <c r="WBR2" s="568"/>
      <c r="WBS2" s="568"/>
      <c r="WBT2" s="568"/>
      <c r="WBU2" s="568"/>
      <c r="WBV2" s="568"/>
      <c r="WBW2" s="568"/>
      <c r="WBX2" s="568"/>
      <c r="WBY2" s="568"/>
      <c r="WBZ2" s="568"/>
      <c r="WCA2" s="568"/>
      <c r="WCB2" s="568"/>
      <c r="WCC2" s="568"/>
      <c r="WCD2" s="568"/>
      <c r="WCE2" s="568"/>
      <c r="WCF2" s="568"/>
      <c r="WCG2" s="568"/>
      <c r="WCH2" s="568"/>
      <c r="WCI2" s="568"/>
      <c r="WCJ2" s="568"/>
      <c r="WCK2" s="568"/>
      <c r="WCL2" s="568"/>
      <c r="WCM2" s="568"/>
      <c r="WCN2" s="568"/>
      <c r="WCO2" s="568"/>
      <c r="WCP2" s="568"/>
      <c r="WCQ2" s="568"/>
      <c r="WCR2" s="568"/>
      <c r="WCS2" s="568"/>
      <c r="WCT2" s="568"/>
      <c r="WCU2" s="568"/>
      <c r="WCV2" s="568"/>
      <c r="WCW2" s="568"/>
      <c r="WCX2" s="568"/>
      <c r="WCY2" s="568"/>
      <c r="WCZ2" s="568"/>
      <c r="WDA2" s="568"/>
      <c r="WDB2" s="568"/>
      <c r="WDC2" s="568"/>
      <c r="WDD2" s="568"/>
      <c r="WDE2" s="568"/>
      <c r="WDF2" s="568"/>
      <c r="WDG2" s="568"/>
      <c r="WDH2" s="568"/>
      <c r="WDI2" s="568"/>
      <c r="WDJ2" s="568"/>
      <c r="WDK2" s="568"/>
      <c r="WDL2" s="568"/>
      <c r="WDM2" s="568"/>
      <c r="WDN2" s="568"/>
      <c r="WDO2" s="568"/>
      <c r="WDP2" s="568"/>
      <c r="WDQ2" s="568"/>
      <c r="WDR2" s="568"/>
      <c r="WDS2" s="568"/>
      <c r="WDT2" s="568"/>
      <c r="WDU2" s="568"/>
      <c r="WDV2" s="568"/>
      <c r="WDW2" s="568"/>
      <c r="WDX2" s="568"/>
      <c r="WDY2" s="568"/>
      <c r="WDZ2" s="568"/>
      <c r="WEA2" s="568"/>
      <c r="WEB2" s="568"/>
      <c r="WEC2" s="568"/>
      <c r="WED2" s="568"/>
      <c r="WEE2" s="568"/>
      <c r="WEF2" s="568"/>
      <c r="WEG2" s="568"/>
      <c r="WEH2" s="568"/>
      <c r="WEI2" s="568"/>
      <c r="WEJ2" s="568"/>
      <c r="WEK2" s="568"/>
      <c r="WEL2" s="568"/>
      <c r="WEM2" s="568"/>
      <c r="WEN2" s="568"/>
      <c r="WEO2" s="568"/>
      <c r="WEP2" s="568"/>
      <c r="WEQ2" s="568"/>
      <c r="WER2" s="568"/>
      <c r="WES2" s="568"/>
      <c r="WET2" s="568"/>
      <c r="WEU2" s="568"/>
      <c r="WEV2" s="568"/>
      <c r="WEW2" s="568"/>
      <c r="WEX2" s="568"/>
      <c r="WEY2" s="568"/>
      <c r="WEZ2" s="568"/>
      <c r="WFA2" s="568"/>
      <c r="WFB2" s="568"/>
      <c r="WFC2" s="568"/>
      <c r="WFD2" s="568"/>
      <c r="WFE2" s="568"/>
      <c r="WFF2" s="568"/>
      <c r="WFG2" s="568"/>
      <c r="WFH2" s="568"/>
      <c r="WFI2" s="568"/>
      <c r="WFJ2" s="568"/>
      <c r="WFK2" s="568"/>
      <c r="WFL2" s="568"/>
      <c r="WFM2" s="568"/>
      <c r="WFN2" s="568"/>
      <c r="WFO2" s="568"/>
      <c r="WFP2" s="568"/>
      <c r="WFQ2" s="568"/>
      <c r="WFR2" s="568"/>
      <c r="WFS2" s="568"/>
      <c r="WFT2" s="568"/>
      <c r="WFU2" s="568"/>
      <c r="WFV2" s="568"/>
      <c r="WFW2" s="568"/>
      <c r="WFX2" s="568"/>
      <c r="WFY2" s="568"/>
      <c r="WFZ2" s="568"/>
      <c r="WGA2" s="568"/>
      <c r="WGB2" s="568"/>
      <c r="WGC2" s="568"/>
      <c r="WGD2" s="568"/>
      <c r="WGE2" s="568"/>
      <c r="WGF2" s="568"/>
      <c r="WGG2" s="568"/>
      <c r="WGH2" s="568"/>
      <c r="WGI2" s="568"/>
      <c r="WGJ2" s="568"/>
      <c r="WGK2" s="568"/>
      <c r="WGL2" s="568"/>
      <c r="WGM2" s="568"/>
      <c r="WGN2" s="568"/>
      <c r="WGO2" s="568"/>
      <c r="WGP2" s="568"/>
      <c r="WGQ2" s="568"/>
      <c r="WGR2" s="568"/>
      <c r="WGS2" s="568"/>
      <c r="WGT2" s="568"/>
      <c r="WGU2" s="568"/>
      <c r="WGV2" s="568"/>
      <c r="WGW2" s="568"/>
      <c r="WGX2" s="568"/>
      <c r="WGY2" s="568"/>
      <c r="WGZ2" s="568"/>
      <c r="WHA2" s="568"/>
      <c r="WHB2" s="568"/>
      <c r="WHC2" s="568"/>
      <c r="WHD2" s="568"/>
      <c r="WHE2" s="568"/>
      <c r="WHF2" s="568"/>
      <c r="WHG2" s="568"/>
      <c r="WHH2" s="568"/>
      <c r="WHI2" s="568"/>
      <c r="WHJ2" s="568"/>
      <c r="WHK2" s="568"/>
      <c r="WHL2" s="568"/>
      <c r="WHM2" s="568"/>
      <c r="WHN2" s="568"/>
      <c r="WHO2" s="568"/>
      <c r="WHP2" s="568"/>
      <c r="WHQ2" s="568"/>
      <c r="WHR2" s="568"/>
      <c r="WHS2" s="568"/>
      <c r="WHT2" s="568"/>
      <c r="WHU2" s="568"/>
      <c r="WHV2" s="568"/>
      <c r="WHW2" s="568"/>
      <c r="WHX2" s="568"/>
      <c r="WHY2" s="568"/>
      <c r="WHZ2" s="568"/>
      <c r="WIA2" s="568"/>
      <c r="WIB2" s="568"/>
      <c r="WIC2" s="568"/>
      <c r="WID2" s="568"/>
      <c r="WIE2" s="568"/>
      <c r="WIF2" s="568"/>
      <c r="WIG2" s="568"/>
      <c r="WIH2" s="568"/>
      <c r="WII2" s="568"/>
      <c r="WIJ2" s="568"/>
      <c r="WIK2" s="568"/>
      <c r="WIL2" s="568"/>
      <c r="WIM2" s="568"/>
      <c r="WIN2" s="568"/>
      <c r="WIO2" s="568"/>
      <c r="WIP2" s="568"/>
      <c r="WIQ2" s="568"/>
      <c r="WIR2" s="568"/>
      <c r="WIS2" s="568"/>
      <c r="WIT2" s="568"/>
      <c r="WIU2" s="568"/>
      <c r="WIV2" s="568"/>
      <c r="WIW2" s="568"/>
      <c r="WIX2" s="568"/>
      <c r="WIY2" s="568"/>
      <c r="WIZ2" s="568"/>
      <c r="WJA2" s="568"/>
      <c r="WJB2" s="568"/>
      <c r="WJC2" s="568"/>
      <c r="WJD2" s="568"/>
      <c r="WJE2" s="568"/>
      <c r="WJF2" s="568"/>
      <c r="WJG2" s="568"/>
      <c r="WJH2" s="568"/>
      <c r="WJI2" s="568"/>
      <c r="WJJ2" s="568"/>
      <c r="WJK2" s="568"/>
      <c r="WJL2" s="568"/>
      <c r="WJM2" s="568"/>
      <c r="WJN2" s="568"/>
      <c r="WJO2" s="568"/>
      <c r="WJP2" s="568"/>
      <c r="WJQ2" s="568"/>
      <c r="WJR2" s="568"/>
      <c r="WJS2" s="568"/>
      <c r="WJT2" s="568"/>
      <c r="WJU2" s="568"/>
      <c r="WJV2" s="568"/>
      <c r="WJW2" s="568"/>
      <c r="WJX2" s="568"/>
      <c r="WJY2" s="568"/>
      <c r="WJZ2" s="568"/>
      <c r="WKA2" s="568"/>
      <c r="WKB2" s="568"/>
      <c r="WKC2" s="568"/>
      <c r="WKD2" s="568"/>
      <c r="WKE2" s="568"/>
      <c r="WKF2" s="568"/>
      <c r="WKG2" s="568"/>
      <c r="WKH2" s="568"/>
      <c r="WKI2" s="568"/>
      <c r="WKJ2" s="568"/>
      <c r="WKK2" s="568"/>
      <c r="WKL2" s="568"/>
      <c r="WKM2" s="568"/>
      <c r="WKN2" s="568"/>
      <c r="WKO2" s="568"/>
      <c r="WKP2" s="568"/>
      <c r="WKQ2" s="568"/>
      <c r="WKR2" s="568"/>
      <c r="WKS2" s="568"/>
      <c r="WKT2" s="568"/>
      <c r="WKU2" s="568"/>
      <c r="WKV2" s="568"/>
      <c r="WKW2" s="568"/>
      <c r="WKX2" s="568"/>
      <c r="WKY2" s="568"/>
      <c r="WKZ2" s="568"/>
      <c r="WLA2" s="568"/>
      <c r="WLB2" s="568"/>
      <c r="WLC2" s="568"/>
      <c r="WLD2" s="568"/>
      <c r="WLE2" s="568"/>
      <c r="WLF2" s="568"/>
      <c r="WLG2" s="568"/>
      <c r="WLH2" s="568"/>
      <c r="WLI2" s="568"/>
      <c r="WLJ2" s="568"/>
      <c r="WLK2" s="568"/>
      <c r="WLL2" s="568"/>
      <c r="WLM2" s="568"/>
      <c r="WLN2" s="568"/>
      <c r="WLO2" s="568"/>
      <c r="WLP2" s="568"/>
      <c r="WLQ2" s="568"/>
      <c r="WLR2" s="568"/>
      <c r="WLS2" s="568"/>
      <c r="WLT2" s="568"/>
      <c r="WLU2" s="568"/>
      <c r="WLV2" s="568"/>
      <c r="WLW2" s="568"/>
      <c r="WLX2" s="568"/>
      <c r="WLY2" s="568"/>
      <c r="WLZ2" s="568"/>
      <c r="WMA2" s="568"/>
      <c r="WMB2" s="568"/>
      <c r="WMC2" s="568"/>
      <c r="WMD2" s="568"/>
      <c r="WME2" s="568"/>
      <c r="WMF2" s="568"/>
      <c r="WMG2" s="568"/>
      <c r="WMH2" s="568"/>
      <c r="WMI2" s="568"/>
      <c r="WMJ2" s="568"/>
      <c r="WMK2" s="568"/>
      <c r="WML2" s="568"/>
      <c r="WMM2" s="568"/>
      <c r="WMN2" s="568"/>
      <c r="WMO2" s="568"/>
      <c r="WMP2" s="568"/>
      <c r="WMQ2" s="568"/>
      <c r="WMR2" s="568"/>
      <c r="WMS2" s="568"/>
      <c r="WMT2" s="568"/>
      <c r="WMU2" s="568"/>
      <c r="WMV2" s="568"/>
      <c r="WMW2" s="568"/>
      <c r="WMX2" s="568"/>
      <c r="WMY2" s="568"/>
      <c r="WMZ2" s="568"/>
      <c r="WNA2" s="568"/>
      <c r="WNB2" s="568"/>
      <c r="WNC2" s="568"/>
      <c r="WND2" s="568"/>
      <c r="WNE2" s="568"/>
      <c r="WNF2" s="568"/>
      <c r="WNG2" s="568"/>
      <c r="WNH2" s="568"/>
      <c r="WNI2" s="568"/>
      <c r="WNJ2" s="568"/>
      <c r="WNK2" s="568"/>
      <c r="WNL2" s="568"/>
      <c r="WNM2" s="568"/>
      <c r="WNN2" s="568"/>
      <c r="WNO2" s="568"/>
      <c r="WNP2" s="568"/>
      <c r="WNQ2" s="568"/>
      <c r="WNR2" s="568"/>
      <c r="WNS2" s="568"/>
      <c r="WNT2" s="568"/>
      <c r="WNU2" s="568"/>
      <c r="WNV2" s="568"/>
      <c r="WNW2" s="568"/>
      <c r="WNX2" s="568"/>
      <c r="WNY2" s="568"/>
      <c r="WNZ2" s="568"/>
      <c r="WOA2" s="568"/>
      <c r="WOB2" s="568"/>
      <c r="WOC2" s="568"/>
      <c r="WOD2" s="568"/>
      <c r="WOE2" s="568"/>
      <c r="WOF2" s="568"/>
      <c r="WOG2" s="568"/>
      <c r="WOH2" s="568"/>
      <c r="WOI2" s="568"/>
      <c r="WOJ2" s="568"/>
      <c r="WOK2" s="568"/>
      <c r="WOL2" s="568"/>
      <c r="WOM2" s="568"/>
      <c r="WON2" s="568"/>
      <c r="WOO2" s="568"/>
      <c r="WOP2" s="568"/>
      <c r="WOQ2" s="568"/>
      <c r="WOR2" s="568"/>
      <c r="WOS2" s="568"/>
      <c r="WOT2" s="568"/>
      <c r="WOU2" s="568"/>
      <c r="WOV2" s="568"/>
      <c r="WOW2" s="568"/>
      <c r="WOX2" s="568"/>
      <c r="WOY2" s="568"/>
      <c r="WOZ2" s="568"/>
      <c r="WPA2" s="568"/>
      <c r="WPB2" s="568"/>
      <c r="WPC2" s="568"/>
      <c r="WPD2" s="568"/>
      <c r="WPE2" s="568"/>
      <c r="WPF2" s="568"/>
      <c r="WPG2" s="568"/>
      <c r="WPH2" s="568"/>
      <c r="WPI2" s="568"/>
      <c r="WPJ2" s="568"/>
      <c r="WPK2" s="568"/>
      <c r="WPL2" s="568"/>
      <c r="WPM2" s="568"/>
      <c r="WPN2" s="568"/>
      <c r="WPO2" s="568"/>
      <c r="WPP2" s="568"/>
      <c r="WPQ2" s="568"/>
      <c r="WPR2" s="568"/>
      <c r="WPS2" s="568"/>
      <c r="WPT2" s="568"/>
      <c r="WPU2" s="568"/>
      <c r="WPV2" s="568"/>
      <c r="WPW2" s="568"/>
      <c r="WPX2" s="568"/>
      <c r="WPY2" s="568"/>
      <c r="WPZ2" s="568"/>
      <c r="WQA2" s="568"/>
      <c r="WQB2" s="568"/>
      <c r="WQC2" s="568"/>
      <c r="WQD2" s="568"/>
      <c r="WQE2" s="568"/>
      <c r="WQF2" s="568"/>
      <c r="WQG2" s="568"/>
      <c r="WQH2" s="568"/>
      <c r="WQI2" s="568"/>
      <c r="WQJ2" s="568"/>
      <c r="WQK2" s="568"/>
      <c r="WQL2" s="568"/>
      <c r="WQM2" s="568"/>
      <c r="WQN2" s="568"/>
      <c r="WQO2" s="568"/>
      <c r="WQP2" s="568"/>
      <c r="WQQ2" s="568"/>
      <c r="WQR2" s="568"/>
      <c r="WQS2" s="568"/>
      <c r="WQT2" s="568"/>
      <c r="WQU2" s="568"/>
      <c r="WQV2" s="568"/>
      <c r="WQW2" s="568"/>
      <c r="WQX2" s="568"/>
      <c r="WQY2" s="568"/>
      <c r="WQZ2" s="568"/>
      <c r="WRA2" s="568"/>
      <c r="WRB2" s="568"/>
      <c r="WRC2" s="568"/>
      <c r="WRD2" s="568"/>
      <c r="WRE2" s="568"/>
      <c r="WRF2" s="568"/>
      <c r="WRG2" s="568"/>
      <c r="WRH2" s="568"/>
      <c r="WRI2" s="568"/>
      <c r="WRJ2" s="568"/>
      <c r="WRK2" s="568"/>
      <c r="WRL2" s="568"/>
      <c r="WRM2" s="568"/>
      <c r="WRN2" s="568"/>
      <c r="WRO2" s="568"/>
      <c r="WRP2" s="568"/>
      <c r="WRQ2" s="568"/>
      <c r="WRR2" s="568"/>
      <c r="WRS2" s="568"/>
      <c r="WRT2" s="568"/>
      <c r="WRU2" s="568"/>
      <c r="WRV2" s="568"/>
      <c r="WRW2" s="568"/>
      <c r="WRX2" s="568"/>
      <c r="WRY2" s="568"/>
      <c r="WRZ2" s="568"/>
      <c r="WSA2" s="568"/>
      <c r="WSB2" s="568"/>
      <c r="WSC2" s="568"/>
      <c r="WSD2" s="568"/>
      <c r="WSE2" s="568"/>
      <c r="WSF2" s="568"/>
      <c r="WSG2" s="568"/>
      <c r="WSH2" s="568"/>
      <c r="WSI2" s="568"/>
      <c r="WSJ2" s="568"/>
      <c r="WSK2" s="568"/>
      <c r="WSL2" s="568"/>
      <c r="WSM2" s="568"/>
      <c r="WSN2" s="568"/>
      <c r="WSO2" s="568"/>
      <c r="WSP2" s="568"/>
      <c r="WSQ2" s="568"/>
      <c r="WSR2" s="568"/>
      <c r="WSS2" s="568"/>
      <c r="WST2" s="568"/>
      <c r="WSU2" s="568"/>
      <c r="WSV2" s="568"/>
      <c r="WSW2" s="568"/>
      <c r="WSX2" s="568"/>
      <c r="WSY2" s="568"/>
      <c r="WSZ2" s="568"/>
      <c r="WTA2" s="568"/>
      <c r="WTB2" s="568"/>
      <c r="WTC2" s="568"/>
      <c r="WTD2" s="568"/>
      <c r="WTE2" s="568"/>
      <c r="WTF2" s="568"/>
      <c r="WTG2" s="568"/>
      <c r="WTH2" s="568"/>
      <c r="WTI2" s="568"/>
      <c r="WTJ2" s="568"/>
      <c r="WTK2" s="568"/>
      <c r="WTL2" s="568"/>
      <c r="WTM2" s="568"/>
      <c r="WTN2" s="568"/>
      <c r="WTO2" s="568"/>
      <c r="WTP2" s="568"/>
      <c r="WTQ2" s="568"/>
      <c r="WTR2" s="568"/>
      <c r="WTS2" s="568"/>
      <c r="WTT2" s="568"/>
      <c r="WTU2" s="568"/>
      <c r="WTV2" s="568"/>
      <c r="WTW2" s="568"/>
      <c r="WTX2" s="568"/>
      <c r="WTY2" s="568"/>
      <c r="WTZ2" s="568"/>
      <c r="WUA2" s="568"/>
      <c r="WUB2" s="568"/>
      <c r="WUC2" s="568"/>
      <c r="WUD2" s="568"/>
      <c r="WUE2" s="568"/>
      <c r="WUF2" s="568"/>
      <c r="WUG2" s="568"/>
      <c r="WUH2" s="568"/>
      <c r="WUI2" s="568"/>
      <c r="WUJ2" s="568"/>
      <c r="WUK2" s="568"/>
      <c r="WUL2" s="568"/>
      <c r="WUM2" s="568"/>
      <c r="WUN2" s="568"/>
      <c r="WUO2" s="568"/>
      <c r="WUP2" s="568"/>
      <c r="WUQ2" s="568"/>
      <c r="WUR2" s="568"/>
      <c r="WUS2" s="568"/>
      <c r="WUT2" s="568"/>
      <c r="WUU2" s="568"/>
      <c r="WUV2" s="568"/>
      <c r="WUW2" s="568"/>
      <c r="WUX2" s="568"/>
      <c r="WUY2" s="568"/>
      <c r="WUZ2" s="568"/>
      <c r="WVA2" s="568"/>
      <c r="WVB2" s="568"/>
      <c r="WVC2" s="568"/>
      <c r="WVD2" s="568"/>
      <c r="WVE2" s="568"/>
      <c r="WVF2" s="568"/>
      <c r="WVG2" s="568"/>
      <c r="WVH2" s="568"/>
      <c r="WVI2" s="568"/>
      <c r="WVJ2" s="568"/>
      <c r="WVK2" s="568"/>
      <c r="WVL2" s="568"/>
      <c r="WVM2" s="568"/>
      <c r="WVN2" s="568"/>
      <c r="WVO2" s="568"/>
      <c r="WVP2" s="568"/>
      <c r="WVQ2" s="568"/>
      <c r="WVR2" s="568"/>
      <c r="WVS2" s="568"/>
      <c r="WVT2" s="568"/>
      <c r="WVU2" s="568"/>
      <c r="WVV2" s="568"/>
      <c r="WVW2" s="568"/>
      <c r="WVX2" s="568"/>
      <c r="WVY2" s="568"/>
      <c r="WVZ2" s="568"/>
      <c r="WWA2" s="568"/>
      <c r="WWB2" s="568"/>
      <c r="WWC2" s="568"/>
      <c r="WWD2" s="568"/>
      <c r="WWE2" s="568"/>
      <c r="WWF2" s="568"/>
      <c r="WWG2" s="568"/>
      <c r="WWH2" s="568"/>
      <c r="WWI2" s="568"/>
      <c r="WWJ2" s="568"/>
      <c r="WWK2" s="568"/>
      <c r="WWL2" s="568"/>
      <c r="WWM2" s="568"/>
      <c r="WWN2" s="568"/>
      <c r="WWO2" s="568"/>
      <c r="WWP2" s="568"/>
      <c r="WWQ2" s="568"/>
      <c r="WWR2" s="568"/>
      <c r="WWS2" s="568"/>
      <c r="WWT2" s="568"/>
      <c r="WWU2" s="568"/>
      <c r="WWV2" s="568"/>
      <c r="WWW2" s="568"/>
      <c r="WWX2" s="568"/>
      <c r="WWY2" s="568"/>
      <c r="WWZ2" s="568"/>
      <c r="WXA2" s="568"/>
      <c r="WXB2" s="568"/>
      <c r="WXC2" s="568"/>
      <c r="WXD2" s="568"/>
      <c r="WXE2" s="568"/>
      <c r="WXF2" s="568"/>
      <c r="WXG2" s="568"/>
      <c r="WXH2" s="568"/>
      <c r="WXI2" s="568"/>
      <c r="WXJ2" s="568"/>
      <c r="WXK2" s="568"/>
      <c r="WXL2" s="568"/>
      <c r="WXM2" s="568"/>
      <c r="WXN2" s="568"/>
      <c r="WXO2" s="568"/>
      <c r="WXP2" s="568"/>
      <c r="WXQ2" s="568"/>
      <c r="WXR2" s="568"/>
      <c r="WXS2" s="568"/>
      <c r="WXT2" s="568"/>
      <c r="WXU2" s="568"/>
      <c r="WXV2" s="568"/>
      <c r="WXW2" s="568"/>
      <c r="WXX2" s="568"/>
      <c r="WXY2" s="568"/>
      <c r="WXZ2" s="568"/>
      <c r="WYA2" s="568"/>
      <c r="WYB2" s="568"/>
      <c r="WYC2" s="568"/>
      <c r="WYD2" s="568"/>
      <c r="WYE2" s="568"/>
      <c r="WYF2" s="568"/>
      <c r="WYG2" s="568"/>
      <c r="WYH2" s="568"/>
      <c r="WYI2" s="568"/>
      <c r="WYJ2" s="568"/>
      <c r="WYK2" s="568"/>
      <c r="WYL2" s="568"/>
      <c r="WYM2" s="568"/>
      <c r="WYN2" s="568"/>
      <c r="WYO2" s="568"/>
      <c r="WYP2" s="568"/>
      <c r="WYQ2" s="568"/>
      <c r="WYR2" s="568"/>
      <c r="WYS2" s="568"/>
      <c r="WYT2" s="568"/>
      <c r="WYU2" s="568"/>
      <c r="WYV2" s="568"/>
      <c r="WYW2" s="568"/>
      <c r="WYX2" s="568"/>
      <c r="WYY2" s="568"/>
      <c r="WYZ2" s="568"/>
      <c r="WZA2" s="568"/>
      <c r="WZB2" s="568"/>
      <c r="WZC2" s="568"/>
      <c r="WZD2" s="568"/>
      <c r="WZE2" s="568"/>
      <c r="WZF2" s="568"/>
      <c r="WZG2" s="568"/>
      <c r="WZH2" s="568"/>
      <c r="WZI2" s="568"/>
      <c r="WZJ2" s="568"/>
      <c r="WZK2" s="568"/>
      <c r="WZL2" s="568"/>
      <c r="WZM2" s="568"/>
      <c r="WZN2" s="568"/>
      <c r="WZO2" s="568"/>
      <c r="WZP2" s="568"/>
      <c r="WZQ2" s="568"/>
      <c r="WZR2" s="568"/>
      <c r="WZS2" s="568"/>
      <c r="WZT2" s="568"/>
      <c r="WZU2" s="568"/>
      <c r="WZV2" s="568"/>
      <c r="WZW2" s="568"/>
      <c r="WZX2" s="568"/>
      <c r="WZY2" s="568"/>
      <c r="WZZ2" s="568"/>
      <c r="XAA2" s="568"/>
      <c r="XAB2" s="568"/>
      <c r="XAC2" s="568"/>
      <c r="XAD2" s="568"/>
      <c r="XAE2" s="568"/>
      <c r="XAF2" s="568"/>
      <c r="XAG2" s="568"/>
      <c r="XAH2" s="568"/>
      <c r="XAI2" s="568"/>
      <c r="XAJ2" s="568"/>
      <c r="XAK2" s="568"/>
      <c r="XAL2" s="568"/>
      <c r="XAM2" s="568"/>
      <c r="XAN2" s="568"/>
      <c r="XAO2" s="568"/>
      <c r="XAP2" s="568"/>
      <c r="XAQ2" s="568"/>
      <c r="XAR2" s="568"/>
      <c r="XAS2" s="568"/>
      <c r="XAT2" s="568"/>
      <c r="XAU2" s="568"/>
      <c r="XAV2" s="568"/>
      <c r="XAW2" s="568"/>
      <c r="XAX2" s="568"/>
      <c r="XAY2" s="568"/>
      <c r="XAZ2" s="568"/>
      <c r="XBA2" s="568"/>
      <c r="XBB2" s="568"/>
      <c r="XBC2" s="568"/>
      <c r="XBD2" s="568"/>
      <c r="XBE2" s="568"/>
      <c r="XBF2" s="568"/>
      <c r="XBG2" s="568"/>
      <c r="XBH2" s="568"/>
      <c r="XBI2" s="568"/>
      <c r="XBJ2" s="568"/>
      <c r="XBK2" s="568"/>
      <c r="XBL2" s="568"/>
      <c r="XBM2" s="568"/>
      <c r="XBN2" s="568"/>
      <c r="XBO2" s="568"/>
      <c r="XBP2" s="568"/>
      <c r="XBQ2" s="568"/>
      <c r="XBR2" s="568"/>
      <c r="XBS2" s="568"/>
      <c r="XBT2" s="568"/>
      <c r="XBU2" s="568"/>
      <c r="XBV2" s="568"/>
      <c r="XBW2" s="568"/>
      <c r="XBX2" s="568"/>
      <c r="XBY2" s="568"/>
      <c r="XBZ2" s="568"/>
      <c r="XCA2" s="568"/>
      <c r="XCB2" s="568"/>
      <c r="XCC2" s="568"/>
      <c r="XCD2" s="568"/>
      <c r="XCE2" s="568"/>
      <c r="XCF2" s="568"/>
      <c r="XCG2" s="568"/>
      <c r="XCH2" s="568"/>
      <c r="XCI2" s="568"/>
      <c r="XCJ2" s="568"/>
      <c r="XCK2" s="568"/>
      <c r="XCL2" s="568"/>
      <c r="XCM2" s="568"/>
      <c r="XCN2" s="568"/>
      <c r="XCO2" s="568"/>
      <c r="XCP2" s="568"/>
      <c r="XCQ2" s="568"/>
      <c r="XCR2" s="568"/>
      <c r="XCS2" s="568"/>
      <c r="XCT2" s="568"/>
      <c r="XCU2" s="568"/>
      <c r="XCV2" s="568"/>
      <c r="XCW2" s="568"/>
      <c r="XCX2" s="568"/>
      <c r="XCY2" s="568"/>
      <c r="XCZ2" s="568"/>
      <c r="XDA2" s="568"/>
      <c r="XDB2" s="568"/>
      <c r="XDC2" s="568"/>
      <c r="XDD2" s="568"/>
      <c r="XDE2" s="568"/>
      <c r="XDF2" s="568"/>
      <c r="XDG2" s="568"/>
      <c r="XDH2" s="568"/>
      <c r="XDI2" s="568"/>
      <c r="XDJ2" s="568"/>
      <c r="XDK2" s="568"/>
      <c r="XDL2" s="568"/>
      <c r="XDM2" s="568"/>
      <c r="XDN2" s="568"/>
      <c r="XDO2" s="568"/>
      <c r="XDP2" s="568"/>
      <c r="XDQ2" s="568"/>
      <c r="XDR2" s="568"/>
      <c r="XDS2" s="568"/>
      <c r="XDT2" s="568"/>
      <c r="XDU2" s="568"/>
      <c r="XDV2" s="568"/>
      <c r="XDW2" s="568"/>
      <c r="XDX2" s="568"/>
      <c r="XDY2" s="568"/>
      <c r="XDZ2" s="568"/>
      <c r="XEA2" s="568"/>
      <c r="XEB2" s="568"/>
      <c r="XEC2" s="568"/>
      <c r="XED2" s="568"/>
      <c r="XEE2" s="568"/>
      <c r="XEF2" s="568"/>
      <c r="XEG2" s="568"/>
      <c r="XEH2" s="568"/>
      <c r="XEI2" s="568"/>
      <c r="XEJ2" s="568"/>
      <c r="XEK2" s="568"/>
      <c r="XEL2" s="568"/>
      <c r="XEM2" s="568"/>
      <c r="XEN2" s="568"/>
      <c r="XEO2" s="568"/>
      <c r="XEP2" s="568"/>
      <c r="XEQ2" s="568"/>
      <c r="XER2" s="568"/>
      <c r="XES2" s="568"/>
      <c r="XET2" s="568"/>
      <c r="XEU2" s="568"/>
      <c r="XEV2" s="568"/>
      <c r="XEW2" s="568"/>
      <c r="XEX2" s="568"/>
      <c r="XEY2" s="568"/>
      <c r="XEZ2" s="568"/>
      <c r="XFA2" s="568"/>
      <c r="XFB2" s="568"/>
      <c r="XFC2" s="568"/>
      <c r="XFD2" s="568"/>
    </row>
    <row r="3" spans="1:16384" s="254" customFormat="1" ht="17.25" customHeight="1" x14ac:dyDescent="0.45">
      <c r="A3" s="245" t="str">
        <f>Cover!A16</f>
        <v>Riyadh – Kingdom of Saudi Arabia</v>
      </c>
      <c r="B3" s="245"/>
      <c r="C3" s="245"/>
      <c r="D3" s="245"/>
      <c r="E3" s="245"/>
      <c r="F3" s="523"/>
      <c r="G3" s="523"/>
      <c r="H3" s="523"/>
      <c r="I3" s="523"/>
      <c r="J3" s="523"/>
      <c r="K3" s="523"/>
      <c r="L3" s="523"/>
      <c r="M3" s="523"/>
      <c r="N3" s="523"/>
      <c r="O3" s="523"/>
      <c r="P3" s="568"/>
      <c r="Q3" s="568"/>
      <c r="R3" s="568"/>
      <c r="S3" s="568"/>
      <c r="T3" s="568"/>
      <c r="U3" s="568"/>
      <c r="V3" s="568"/>
      <c r="W3" s="568"/>
      <c r="X3" s="568"/>
      <c r="Y3" s="568"/>
      <c r="Z3" s="568"/>
      <c r="AA3" s="568"/>
      <c r="AB3" s="568"/>
      <c r="AC3" s="568"/>
      <c r="AD3" s="568"/>
      <c r="AE3" s="568"/>
      <c r="AF3" s="568"/>
      <c r="AG3" s="568"/>
      <c r="AH3" s="568"/>
      <c r="AI3" s="568"/>
      <c r="AJ3" s="568"/>
      <c r="AK3" s="568"/>
      <c r="AL3" s="568"/>
      <c r="AM3" s="568"/>
      <c r="AN3" s="568"/>
      <c r="AO3" s="568"/>
      <c r="AP3" s="568"/>
      <c r="AQ3" s="568"/>
      <c r="AR3" s="568"/>
      <c r="AS3" s="568"/>
      <c r="AT3" s="568"/>
      <c r="AU3" s="568"/>
      <c r="AV3" s="568"/>
      <c r="AW3" s="568"/>
      <c r="AX3" s="568"/>
      <c r="AY3" s="568"/>
      <c r="AZ3" s="568"/>
      <c r="BA3" s="568"/>
      <c r="BB3" s="568"/>
      <c r="BC3" s="568"/>
      <c r="BD3" s="568"/>
      <c r="BE3" s="568"/>
      <c r="BF3" s="568"/>
      <c r="BG3" s="568"/>
      <c r="BH3" s="568"/>
      <c r="BI3" s="568"/>
      <c r="BJ3" s="568"/>
      <c r="BK3" s="568"/>
      <c r="BL3" s="568"/>
      <c r="BM3" s="568"/>
      <c r="BN3" s="568"/>
      <c r="BO3" s="568"/>
      <c r="BP3" s="568"/>
      <c r="BQ3" s="568"/>
      <c r="BR3" s="568"/>
      <c r="BS3" s="568"/>
      <c r="BT3" s="568"/>
      <c r="BU3" s="568"/>
      <c r="BV3" s="568"/>
      <c r="BW3" s="568"/>
      <c r="BX3" s="568"/>
      <c r="BY3" s="568"/>
      <c r="BZ3" s="568"/>
      <c r="CA3" s="568"/>
      <c r="CB3" s="568"/>
      <c r="CC3" s="568"/>
      <c r="CD3" s="568"/>
      <c r="CE3" s="568"/>
      <c r="CF3" s="568"/>
      <c r="CG3" s="568"/>
      <c r="CH3" s="568"/>
      <c r="CI3" s="568"/>
      <c r="CJ3" s="568"/>
      <c r="CK3" s="568"/>
      <c r="CL3" s="568"/>
      <c r="CM3" s="568"/>
      <c r="CN3" s="568"/>
      <c r="CO3" s="568"/>
      <c r="CP3" s="568"/>
      <c r="CQ3" s="568"/>
      <c r="CR3" s="568"/>
      <c r="CS3" s="568"/>
      <c r="CT3" s="568"/>
      <c r="CU3" s="568"/>
      <c r="CV3" s="568"/>
      <c r="CW3" s="568"/>
      <c r="CX3" s="568"/>
      <c r="CY3" s="568"/>
      <c r="CZ3" s="568"/>
      <c r="DA3" s="568"/>
      <c r="DB3" s="568"/>
      <c r="DC3" s="568"/>
      <c r="DD3" s="568"/>
      <c r="DE3" s="568"/>
      <c r="DF3" s="568"/>
      <c r="DG3" s="568"/>
      <c r="DH3" s="568"/>
      <c r="DI3" s="568"/>
      <c r="DJ3" s="568"/>
      <c r="DK3" s="568"/>
      <c r="DL3" s="568"/>
      <c r="DM3" s="568"/>
      <c r="DN3" s="568"/>
      <c r="DO3" s="568"/>
      <c r="DP3" s="568"/>
      <c r="DQ3" s="568"/>
      <c r="DR3" s="568"/>
      <c r="DS3" s="568"/>
      <c r="DT3" s="568"/>
      <c r="DU3" s="568"/>
      <c r="DV3" s="568"/>
      <c r="DW3" s="568"/>
      <c r="DX3" s="568"/>
      <c r="DY3" s="568"/>
      <c r="DZ3" s="568"/>
      <c r="EA3" s="568"/>
      <c r="EB3" s="568"/>
      <c r="EC3" s="568"/>
      <c r="ED3" s="568"/>
      <c r="EE3" s="568"/>
      <c r="EF3" s="568"/>
      <c r="EG3" s="568"/>
      <c r="EH3" s="568"/>
      <c r="EI3" s="568"/>
      <c r="EJ3" s="568"/>
      <c r="EK3" s="568"/>
      <c r="EL3" s="568"/>
      <c r="EM3" s="568"/>
      <c r="EN3" s="568"/>
      <c r="EO3" s="568"/>
      <c r="EP3" s="568"/>
      <c r="EQ3" s="568"/>
      <c r="ER3" s="568"/>
      <c r="ES3" s="568"/>
      <c r="ET3" s="568"/>
      <c r="EU3" s="568"/>
      <c r="EV3" s="568"/>
      <c r="EW3" s="568"/>
      <c r="EX3" s="568"/>
      <c r="EY3" s="568"/>
      <c r="EZ3" s="568"/>
      <c r="FA3" s="568"/>
      <c r="FB3" s="568"/>
      <c r="FC3" s="568"/>
      <c r="FD3" s="568"/>
      <c r="FE3" s="568"/>
      <c r="FF3" s="568"/>
      <c r="FG3" s="568"/>
      <c r="FH3" s="568"/>
      <c r="FI3" s="568"/>
      <c r="FJ3" s="568"/>
      <c r="FK3" s="568"/>
      <c r="FL3" s="568"/>
      <c r="FM3" s="568"/>
      <c r="FN3" s="568"/>
      <c r="FO3" s="568"/>
      <c r="FP3" s="568"/>
      <c r="FQ3" s="568"/>
      <c r="FR3" s="568"/>
      <c r="FS3" s="568"/>
      <c r="FT3" s="568"/>
      <c r="FU3" s="568"/>
      <c r="FV3" s="568"/>
      <c r="FW3" s="568"/>
      <c r="FX3" s="568"/>
      <c r="FY3" s="568"/>
      <c r="FZ3" s="568"/>
      <c r="GA3" s="568"/>
      <c r="GB3" s="568"/>
      <c r="GC3" s="568"/>
      <c r="GD3" s="568"/>
      <c r="GE3" s="568"/>
      <c r="GF3" s="568"/>
      <c r="GG3" s="568"/>
      <c r="GH3" s="568"/>
      <c r="GI3" s="568"/>
      <c r="GJ3" s="568"/>
      <c r="GK3" s="568"/>
      <c r="GL3" s="568"/>
      <c r="GM3" s="568"/>
      <c r="GN3" s="568"/>
      <c r="GO3" s="568"/>
      <c r="GP3" s="568"/>
      <c r="GQ3" s="568"/>
      <c r="GR3" s="568"/>
      <c r="GS3" s="568"/>
      <c r="GT3" s="568"/>
      <c r="GU3" s="568"/>
      <c r="GV3" s="568"/>
      <c r="GW3" s="568"/>
      <c r="GX3" s="568"/>
      <c r="GY3" s="568"/>
      <c r="GZ3" s="568"/>
      <c r="HA3" s="568"/>
      <c r="HB3" s="568"/>
      <c r="HC3" s="568"/>
      <c r="HD3" s="568"/>
      <c r="HE3" s="568"/>
      <c r="HF3" s="568"/>
      <c r="HG3" s="568"/>
      <c r="HH3" s="568"/>
      <c r="HI3" s="568"/>
      <c r="HJ3" s="568"/>
      <c r="HK3" s="568"/>
      <c r="HL3" s="568"/>
      <c r="HM3" s="568"/>
      <c r="HN3" s="568"/>
      <c r="HO3" s="568"/>
      <c r="HP3" s="568"/>
      <c r="HQ3" s="568"/>
      <c r="HR3" s="568"/>
      <c r="HS3" s="568"/>
      <c r="HT3" s="568"/>
      <c r="HU3" s="568"/>
      <c r="HV3" s="568"/>
      <c r="HW3" s="568"/>
      <c r="HX3" s="568"/>
      <c r="HY3" s="568"/>
      <c r="HZ3" s="568"/>
      <c r="IA3" s="568"/>
      <c r="IB3" s="568"/>
      <c r="IC3" s="568"/>
      <c r="ID3" s="568"/>
      <c r="IE3" s="568"/>
      <c r="IF3" s="568"/>
      <c r="IG3" s="568"/>
      <c r="IH3" s="568"/>
      <c r="II3" s="568"/>
      <c r="IJ3" s="568"/>
      <c r="IK3" s="568"/>
      <c r="IL3" s="568"/>
      <c r="IM3" s="568"/>
      <c r="IN3" s="568"/>
      <c r="IO3" s="568"/>
      <c r="IP3" s="568"/>
      <c r="IQ3" s="568"/>
      <c r="IR3" s="568"/>
      <c r="IS3" s="568"/>
      <c r="IT3" s="568"/>
      <c r="IU3" s="568"/>
      <c r="IV3" s="568"/>
      <c r="IW3" s="568"/>
      <c r="IX3" s="568"/>
      <c r="IY3" s="568"/>
      <c r="IZ3" s="568"/>
      <c r="JA3" s="568"/>
      <c r="JB3" s="568"/>
      <c r="JC3" s="568"/>
      <c r="JD3" s="568"/>
      <c r="JE3" s="568"/>
      <c r="JF3" s="568"/>
      <c r="JG3" s="568"/>
      <c r="JH3" s="568"/>
      <c r="JI3" s="568"/>
      <c r="JJ3" s="568"/>
      <c r="JK3" s="568"/>
      <c r="JL3" s="568"/>
      <c r="JM3" s="568"/>
      <c r="JN3" s="568"/>
      <c r="JO3" s="568"/>
      <c r="JP3" s="568"/>
      <c r="JQ3" s="568"/>
      <c r="JR3" s="568"/>
      <c r="JS3" s="568"/>
      <c r="JT3" s="568"/>
      <c r="JU3" s="568"/>
      <c r="JV3" s="568"/>
      <c r="JW3" s="568"/>
      <c r="JX3" s="568"/>
      <c r="JY3" s="568"/>
      <c r="JZ3" s="568"/>
      <c r="KA3" s="568"/>
      <c r="KB3" s="568"/>
      <c r="KC3" s="568"/>
      <c r="KD3" s="568"/>
      <c r="KE3" s="568"/>
      <c r="KF3" s="568"/>
      <c r="KG3" s="568"/>
      <c r="KH3" s="568"/>
      <c r="KI3" s="568"/>
      <c r="KJ3" s="568"/>
      <c r="KK3" s="568"/>
      <c r="KL3" s="568"/>
      <c r="KM3" s="568"/>
      <c r="KN3" s="568"/>
      <c r="KO3" s="568"/>
      <c r="KP3" s="568"/>
      <c r="KQ3" s="568"/>
      <c r="KR3" s="568"/>
      <c r="KS3" s="568"/>
      <c r="KT3" s="568"/>
      <c r="KU3" s="568"/>
      <c r="KV3" s="568"/>
      <c r="KW3" s="568"/>
      <c r="KX3" s="568"/>
      <c r="KY3" s="568"/>
      <c r="KZ3" s="568"/>
      <c r="LA3" s="568"/>
      <c r="LB3" s="568"/>
      <c r="LC3" s="568"/>
      <c r="LD3" s="568"/>
      <c r="LE3" s="568"/>
      <c r="LF3" s="568"/>
      <c r="LG3" s="568"/>
      <c r="LH3" s="568"/>
      <c r="LI3" s="568"/>
      <c r="LJ3" s="568"/>
      <c r="LK3" s="568"/>
      <c r="LL3" s="568"/>
      <c r="LM3" s="568"/>
      <c r="LN3" s="568"/>
      <c r="LO3" s="568"/>
      <c r="LP3" s="568"/>
      <c r="LQ3" s="568"/>
      <c r="LR3" s="568"/>
      <c r="LS3" s="568"/>
      <c r="LT3" s="568"/>
      <c r="LU3" s="568"/>
      <c r="LV3" s="568"/>
      <c r="LW3" s="568"/>
      <c r="LX3" s="568"/>
      <c r="LY3" s="568"/>
      <c r="LZ3" s="568"/>
      <c r="MA3" s="568"/>
      <c r="MB3" s="568"/>
      <c r="MC3" s="568"/>
      <c r="MD3" s="568"/>
      <c r="ME3" s="568"/>
      <c r="MF3" s="568"/>
      <c r="MG3" s="568"/>
      <c r="MH3" s="568"/>
      <c r="MI3" s="568"/>
      <c r="MJ3" s="568"/>
      <c r="MK3" s="568"/>
      <c r="ML3" s="568"/>
      <c r="MM3" s="568"/>
      <c r="MN3" s="568"/>
      <c r="MO3" s="568"/>
      <c r="MP3" s="568"/>
      <c r="MQ3" s="568"/>
      <c r="MR3" s="568"/>
      <c r="MS3" s="568"/>
      <c r="MT3" s="568"/>
      <c r="MU3" s="568"/>
      <c r="MV3" s="568"/>
      <c r="MW3" s="568"/>
      <c r="MX3" s="568"/>
      <c r="MY3" s="568"/>
      <c r="MZ3" s="568"/>
      <c r="NA3" s="568"/>
      <c r="NB3" s="568"/>
      <c r="NC3" s="568"/>
      <c r="ND3" s="568"/>
      <c r="NE3" s="568"/>
      <c r="NF3" s="568"/>
      <c r="NG3" s="568"/>
      <c r="NH3" s="568"/>
      <c r="NI3" s="568"/>
      <c r="NJ3" s="568"/>
      <c r="NK3" s="568"/>
      <c r="NL3" s="568"/>
      <c r="NM3" s="568"/>
      <c r="NN3" s="568"/>
      <c r="NO3" s="568"/>
      <c r="NP3" s="568"/>
      <c r="NQ3" s="568"/>
      <c r="NR3" s="568"/>
      <c r="NS3" s="568"/>
      <c r="NT3" s="568"/>
      <c r="NU3" s="568"/>
      <c r="NV3" s="568"/>
      <c r="NW3" s="568"/>
      <c r="NX3" s="568"/>
      <c r="NY3" s="568"/>
      <c r="NZ3" s="568"/>
      <c r="OA3" s="568"/>
      <c r="OB3" s="568"/>
      <c r="OC3" s="568"/>
      <c r="OD3" s="568"/>
      <c r="OE3" s="568"/>
      <c r="OF3" s="568"/>
      <c r="OG3" s="568"/>
      <c r="OH3" s="568"/>
      <c r="OI3" s="568"/>
      <c r="OJ3" s="568"/>
      <c r="OK3" s="568"/>
      <c r="OL3" s="568"/>
      <c r="OM3" s="568"/>
      <c r="ON3" s="568"/>
      <c r="OO3" s="568"/>
      <c r="OP3" s="568"/>
      <c r="OQ3" s="568"/>
      <c r="OR3" s="568"/>
      <c r="OS3" s="568"/>
      <c r="OT3" s="568"/>
      <c r="OU3" s="568"/>
      <c r="OV3" s="568"/>
      <c r="OW3" s="568"/>
      <c r="OX3" s="568"/>
      <c r="OY3" s="568"/>
      <c r="OZ3" s="568"/>
      <c r="PA3" s="568"/>
      <c r="PB3" s="568"/>
      <c r="PC3" s="568"/>
      <c r="PD3" s="568"/>
      <c r="PE3" s="568"/>
      <c r="PF3" s="568"/>
      <c r="PG3" s="568"/>
      <c r="PH3" s="568"/>
      <c r="PI3" s="568"/>
      <c r="PJ3" s="568"/>
      <c r="PK3" s="568"/>
      <c r="PL3" s="568"/>
      <c r="PM3" s="568"/>
      <c r="PN3" s="568"/>
      <c r="PO3" s="568"/>
      <c r="PP3" s="568"/>
      <c r="PQ3" s="568"/>
      <c r="PR3" s="568"/>
      <c r="PS3" s="568"/>
      <c r="PT3" s="568"/>
      <c r="PU3" s="568"/>
      <c r="PV3" s="568"/>
      <c r="PW3" s="568"/>
      <c r="PX3" s="568"/>
      <c r="PY3" s="568"/>
      <c r="PZ3" s="568"/>
      <c r="QA3" s="568"/>
      <c r="QB3" s="568"/>
      <c r="QC3" s="568"/>
      <c r="QD3" s="568"/>
      <c r="QE3" s="568"/>
      <c r="QF3" s="568"/>
      <c r="QG3" s="568"/>
      <c r="QH3" s="568"/>
      <c r="QI3" s="568"/>
      <c r="QJ3" s="568"/>
      <c r="QK3" s="568"/>
      <c r="QL3" s="568"/>
      <c r="QM3" s="568"/>
      <c r="QN3" s="568"/>
      <c r="QO3" s="568"/>
      <c r="QP3" s="568"/>
      <c r="QQ3" s="568"/>
      <c r="QR3" s="568"/>
      <c r="QS3" s="568"/>
      <c r="QT3" s="568"/>
      <c r="QU3" s="568"/>
      <c r="QV3" s="568"/>
      <c r="QW3" s="568"/>
      <c r="QX3" s="568"/>
      <c r="QY3" s="568"/>
      <c r="QZ3" s="568"/>
      <c r="RA3" s="568"/>
      <c r="RB3" s="568"/>
      <c r="RC3" s="568"/>
      <c r="RD3" s="568"/>
      <c r="RE3" s="568"/>
      <c r="RF3" s="568"/>
      <c r="RG3" s="568"/>
      <c r="RH3" s="568"/>
      <c r="RI3" s="568"/>
      <c r="RJ3" s="568"/>
      <c r="RK3" s="568"/>
      <c r="RL3" s="568"/>
      <c r="RM3" s="568"/>
      <c r="RN3" s="568"/>
      <c r="RO3" s="568"/>
      <c r="RP3" s="568"/>
      <c r="RQ3" s="568"/>
      <c r="RR3" s="568"/>
      <c r="RS3" s="568"/>
      <c r="RT3" s="568"/>
      <c r="RU3" s="568"/>
      <c r="RV3" s="568"/>
      <c r="RW3" s="568"/>
      <c r="RX3" s="568"/>
      <c r="RY3" s="568"/>
      <c r="RZ3" s="568"/>
      <c r="SA3" s="568"/>
      <c r="SB3" s="568"/>
      <c r="SC3" s="568"/>
      <c r="SD3" s="568"/>
      <c r="SE3" s="568"/>
      <c r="SF3" s="568"/>
      <c r="SG3" s="568"/>
      <c r="SH3" s="568"/>
      <c r="SI3" s="568"/>
      <c r="SJ3" s="568"/>
      <c r="SK3" s="568"/>
      <c r="SL3" s="568"/>
      <c r="SM3" s="568"/>
      <c r="SN3" s="568"/>
      <c r="SO3" s="568"/>
      <c r="SP3" s="568"/>
      <c r="SQ3" s="568"/>
      <c r="SR3" s="568"/>
      <c r="SS3" s="568"/>
      <c r="ST3" s="568"/>
      <c r="SU3" s="568"/>
      <c r="SV3" s="568"/>
      <c r="SW3" s="568"/>
      <c r="SX3" s="568"/>
      <c r="SY3" s="568"/>
      <c r="SZ3" s="568"/>
      <c r="TA3" s="568"/>
      <c r="TB3" s="568"/>
      <c r="TC3" s="568"/>
      <c r="TD3" s="568"/>
      <c r="TE3" s="568"/>
      <c r="TF3" s="568"/>
      <c r="TG3" s="568"/>
      <c r="TH3" s="568"/>
      <c r="TI3" s="568"/>
      <c r="TJ3" s="568"/>
      <c r="TK3" s="568"/>
      <c r="TL3" s="568"/>
      <c r="TM3" s="568"/>
      <c r="TN3" s="568"/>
      <c r="TO3" s="568"/>
      <c r="TP3" s="568"/>
      <c r="TQ3" s="568"/>
      <c r="TR3" s="568"/>
      <c r="TS3" s="568"/>
      <c r="TT3" s="568"/>
      <c r="TU3" s="568"/>
      <c r="TV3" s="568"/>
      <c r="TW3" s="568"/>
      <c r="TX3" s="568"/>
      <c r="TY3" s="568"/>
      <c r="TZ3" s="568"/>
      <c r="UA3" s="568"/>
      <c r="UB3" s="568"/>
      <c r="UC3" s="568"/>
      <c r="UD3" s="568"/>
      <c r="UE3" s="568"/>
      <c r="UF3" s="568"/>
      <c r="UG3" s="568"/>
      <c r="UH3" s="568"/>
      <c r="UI3" s="568"/>
      <c r="UJ3" s="568"/>
      <c r="UK3" s="568"/>
      <c r="UL3" s="568"/>
      <c r="UM3" s="568"/>
      <c r="UN3" s="568"/>
      <c r="UO3" s="568"/>
      <c r="UP3" s="568"/>
      <c r="UQ3" s="568"/>
      <c r="UR3" s="568"/>
      <c r="US3" s="568"/>
      <c r="UT3" s="568"/>
      <c r="UU3" s="568"/>
      <c r="UV3" s="568"/>
      <c r="UW3" s="568"/>
      <c r="UX3" s="568"/>
      <c r="UY3" s="568"/>
      <c r="UZ3" s="568"/>
      <c r="VA3" s="568"/>
      <c r="VB3" s="568"/>
      <c r="VC3" s="568"/>
      <c r="VD3" s="568"/>
      <c r="VE3" s="568"/>
      <c r="VF3" s="568"/>
      <c r="VG3" s="568"/>
      <c r="VH3" s="568"/>
      <c r="VI3" s="568"/>
      <c r="VJ3" s="568"/>
      <c r="VK3" s="568"/>
      <c r="VL3" s="568"/>
      <c r="VM3" s="568"/>
      <c r="VN3" s="568"/>
      <c r="VO3" s="568"/>
      <c r="VP3" s="568"/>
      <c r="VQ3" s="568"/>
      <c r="VR3" s="568"/>
      <c r="VS3" s="568"/>
      <c r="VT3" s="568"/>
      <c r="VU3" s="568"/>
      <c r="VV3" s="568"/>
      <c r="VW3" s="568"/>
      <c r="VX3" s="568"/>
      <c r="VY3" s="568"/>
      <c r="VZ3" s="568"/>
      <c r="WA3" s="568"/>
      <c r="WB3" s="568"/>
      <c r="WC3" s="568"/>
      <c r="WD3" s="568"/>
      <c r="WE3" s="568"/>
      <c r="WF3" s="568"/>
      <c r="WG3" s="568"/>
      <c r="WH3" s="568"/>
      <c r="WI3" s="568"/>
      <c r="WJ3" s="568"/>
      <c r="WK3" s="568"/>
      <c r="WL3" s="568"/>
      <c r="WM3" s="568"/>
      <c r="WN3" s="568"/>
      <c r="WO3" s="568"/>
      <c r="WP3" s="568"/>
      <c r="WQ3" s="568"/>
      <c r="WR3" s="568"/>
      <c r="WS3" s="568"/>
      <c r="WT3" s="568"/>
      <c r="WU3" s="568"/>
      <c r="WV3" s="568"/>
      <c r="WW3" s="568"/>
      <c r="WX3" s="568"/>
      <c r="WY3" s="568"/>
      <c r="WZ3" s="568"/>
      <c r="XA3" s="568"/>
      <c r="XB3" s="568"/>
      <c r="XC3" s="568"/>
      <c r="XD3" s="568"/>
      <c r="XE3" s="568"/>
      <c r="XF3" s="568"/>
      <c r="XG3" s="568"/>
      <c r="XH3" s="568"/>
      <c r="XI3" s="568"/>
      <c r="XJ3" s="568"/>
      <c r="XK3" s="568"/>
      <c r="XL3" s="568"/>
      <c r="XM3" s="568"/>
      <c r="XN3" s="568"/>
      <c r="XO3" s="568"/>
      <c r="XP3" s="568"/>
      <c r="XQ3" s="568"/>
      <c r="XR3" s="568"/>
      <c r="XS3" s="568"/>
      <c r="XT3" s="568"/>
      <c r="XU3" s="568"/>
      <c r="XV3" s="568"/>
      <c r="XW3" s="568"/>
      <c r="XX3" s="568"/>
      <c r="XY3" s="568"/>
      <c r="XZ3" s="568"/>
      <c r="YA3" s="568"/>
      <c r="YB3" s="568"/>
      <c r="YC3" s="568"/>
      <c r="YD3" s="568"/>
      <c r="YE3" s="568"/>
      <c r="YF3" s="568"/>
      <c r="YG3" s="568"/>
      <c r="YH3" s="568"/>
      <c r="YI3" s="568"/>
      <c r="YJ3" s="568"/>
      <c r="YK3" s="568"/>
      <c r="YL3" s="568"/>
      <c r="YM3" s="568"/>
      <c r="YN3" s="568"/>
      <c r="YO3" s="568"/>
      <c r="YP3" s="568"/>
      <c r="YQ3" s="568"/>
      <c r="YR3" s="568"/>
      <c r="YS3" s="568"/>
      <c r="YT3" s="568"/>
      <c r="YU3" s="568"/>
      <c r="YV3" s="568"/>
      <c r="YW3" s="568"/>
      <c r="YX3" s="568"/>
      <c r="YY3" s="568"/>
      <c r="YZ3" s="568"/>
      <c r="ZA3" s="568"/>
      <c r="ZB3" s="568"/>
      <c r="ZC3" s="568"/>
      <c r="ZD3" s="568"/>
      <c r="ZE3" s="568"/>
      <c r="ZF3" s="568"/>
      <c r="ZG3" s="568"/>
      <c r="ZH3" s="568"/>
      <c r="ZI3" s="568"/>
      <c r="ZJ3" s="568"/>
      <c r="ZK3" s="568"/>
      <c r="ZL3" s="568"/>
      <c r="ZM3" s="568"/>
      <c r="ZN3" s="568"/>
      <c r="ZO3" s="568"/>
      <c r="ZP3" s="568"/>
      <c r="ZQ3" s="568"/>
      <c r="ZR3" s="568"/>
      <c r="ZS3" s="568"/>
      <c r="ZT3" s="568"/>
      <c r="ZU3" s="568"/>
      <c r="ZV3" s="568"/>
      <c r="ZW3" s="568"/>
      <c r="ZX3" s="568"/>
      <c r="ZY3" s="568"/>
      <c r="ZZ3" s="568"/>
      <c r="AAA3" s="568"/>
      <c r="AAB3" s="568"/>
      <c r="AAC3" s="568"/>
      <c r="AAD3" s="568"/>
      <c r="AAE3" s="568"/>
      <c r="AAF3" s="568"/>
      <c r="AAG3" s="568"/>
      <c r="AAH3" s="568"/>
      <c r="AAI3" s="568"/>
      <c r="AAJ3" s="568"/>
      <c r="AAK3" s="568"/>
      <c r="AAL3" s="568"/>
      <c r="AAM3" s="568"/>
      <c r="AAN3" s="568"/>
      <c r="AAO3" s="568"/>
      <c r="AAP3" s="568"/>
      <c r="AAQ3" s="568"/>
      <c r="AAR3" s="568"/>
      <c r="AAS3" s="568"/>
      <c r="AAT3" s="568"/>
      <c r="AAU3" s="568"/>
      <c r="AAV3" s="568"/>
      <c r="AAW3" s="568"/>
      <c r="AAX3" s="568"/>
      <c r="AAY3" s="568"/>
      <c r="AAZ3" s="568"/>
      <c r="ABA3" s="568"/>
      <c r="ABB3" s="568"/>
      <c r="ABC3" s="568"/>
      <c r="ABD3" s="568"/>
      <c r="ABE3" s="568"/>
      <c r="ABF3" s="568"/>
      <c r="ABG3" s="568"/>
      <c r="ABH3" s="568"/>
      <c r="ABI3" s="568"/>
      <c r="ABJ3" s="568"/>
      <c r="ABK3" s="568"/>
      <c r="ABL3" s="568"/>
      <c r="ABM3" s="568"/>
      <c r="ABN3" s="568"/>
      <c r="ABO3" s="568"/>
      <c r="ABP3" s="568"/>
      <c r="ABQ3" s="568"/>
      <c r="ABR3" s="568"/>
      <c r="ABS3" s="568"/>
      <c r="ABT3" s="568"/>
      <c r="ABU3" s="568"/>
      <c r="ABV3" s="568"/>
      <c r="ABW3" s="568"/>
      <c r="ABX3" s="568"/>
      <c r="ABY3" s="568"/>
      <c r="ABZ3" s="568"/>
      <c r="ACA3" s="568"/>
      <c r="ACB3" s="568"/>
      <c r="ACC3" s="568"/>
      <c r="ACD3" s="568"/>
      <c r="ACE3" s="568"/>
      <c r="ACF3" s="568"/>
      <c r="ACG3" s="568"/>
      <c r="ACH3" s="568"/>
      <c r="ACI3" s="568"/>
      <c r="ACJ3" s="568"/>
      <c r="ACK3" s="568"/>
      <c r="ACL3" s="568"/>
      <c r="ACM3" s="568"/>
      <c r="ACN3" s="568"/>
      <c r="ACO3" s="568"/>
      <c r="ACP3" s="568"/>
      <c r="ACQ3" s="568"/>
      <c r="ACR3" s="568"/>
      <c r="ACS3" s="568"/>
      <c r="ACT3" s="568"/>
      <c r="ACU3" s="568"/>
      <c r="ACV3" s="568"/>
      <c r="ACW3" s="568"/>
      <c r="ACX3" s="568"/>
      <c r="ACY3" s="568"/>
      <c r="ACZ3" s="568"/>
      <c r="ADA3" s="568"/>
      <c r="ADB3" s="568"/>
      <c r="ADC3" s="568"/>
      <c r="ADD3" s="568"/>
      <c r="ADE3" s="568"/>
      <c r="ADF3" s="568"/>
      <c r="ADG3" s="568"/>
      <c r="ADH3" s="568"/>
      <c r="ADI3" s="568"/>
      <c r="ADJ3" s="568"/>
      <c r="ADK3" s="568"/>
      <c r="ADL3" s="568"/>
      <c r="ADM3" s="568"/>
      <c r="ADN3" s="568"/>
      <c r="ADO3" s="568"/>
      <c r="ADP3" s="568"/>
      <c r="ADQ3" s="568"/>
      <c r="ADR3" s="568"/>
      <c r="ADS3" s="568"/>
      <c r="ADT3" s="568"/>
      <c r="ADU3" s="568"/>
      <c r="ADV3" s="568"/>
      <c r="ADW3" s="568"/>
      <c r="ADX3" s="568"/>
      <c r="ADY3" s="568"/>
      <c r="ADZ3" s="568"/>
      <c r="AEA3" s="568"/>
      <c r="AEB3" s="568"/>
      <c r="AEC3" s="568"/>
      <c r="AED3" s="568"/>
      <c r="AEE3" s="568"/>
      <c r="AEF3" s="568"/>
      <c r="AEG3" s="568"/>
      <c r="AEH3" s="568"/>
      <c r="AEI3" s="568"/>
      <c r="AEJ3" s="568"/>
      <c r="AEK3" s="568"/>
      <c r="AEL3" s="568"/>
      <c r="AEM3" s="568"/>
      <c r="AEN3" s="568"/>
      <c r="AEO3" s="568"/>
      <c r="AEP3" s="568"/>
      <c r="AEQ3" s="568"/>
      <c r="AER3" s="568"/>
      <c r="AES3" s="568"/>
      <c r="AET3" s="568"/>
      <c r="AEU3" s="568"/>
      <c r="AEV3" s="568"/>
      <c r="AEW3" s="568"/>
      <c r="AEX3" s="568"/>
      <c r="AEY3" s="568"/>
      <c r="AEZ3" s="568"/>
      <c r="AFA3" s="568"/>
      <c r="AFB3" s="568"/>
      <c r="AFC3" s="568"/>
      <c r="AFD3" s="568"/>
      <c r="AFE3" s="568"/>
      <c r="AFF3" s="568"/>
      <c r="AFG3" s="568"/>
      <c r="AFH3" s="568"/>
      <c r="AFI3" s="568"/>
      <c r="AFJ3" s="568"/>
      <c r="AFK3" s="568"/>
      <c r="AFL3" s="568"/>
      <c r="AFM3" s="568"/>
      <c r="AFN3" s="568"/>
      <c r="AFO3" s="568"/>
      <c r="AFP3" s="568"/>
      <c r="AFQ3" s="568"/>
      <c r="AFR3" s="568"/>
      <c r="AFS3" s="568"/>
      <c r="AFT3" s="568"/>
      <c r="AFU3" s="568"/>
      <c r="AFV3" s="568"/>
      <c r="AFW3" s="568"/>
      <c r="AFX3" s="568"/>
      <c r="AFY3" s="568"/>
      <c r="AFZ3" s="568"/>
      <c r="AGA3" s="568"/>
      <c r="AGB3" s="568"/>
      <c r="AGC3" s="568"/>
      <c r="AGD3" s="568"/>
      <c r="AGE3" s="568"/>
      <c r="AGF3" s="568"/>
      <c r="AGG3" s="568"/>
      <c r="AGH3" s="568"/>
      <c r="AGI3" s="568"/>
      <c r="AGJ3" s="568"/>
      <c r="AGK3" s="568"/>
      <c r="AGL3" s="568"/>
      <c r="AGM3" s="568"/>
      <c r="AGN3" s="568"/>
      <c r="AGO3" s="568"/>
      <c r="AGP3" s="568"/>
      <c r="AGQ3" s="568"/>
      <c r="AGR3" s="568"/>
      <c r="AGS3" s="568"/>
      <c r="AGT3" s="568"/>
      <c r="AGU3" s="568"/>
      <c r="AGV3" s="568"/>
      <c r="AGW3" s="568"/>
      <c r="AGX3" s="568"/>
      <c r="AGY3" s="568"/>
      <c r="AGZ3" s="568"/>
      <c r="AHA3" s="568"/>
      <c r="AHB3" s="568"/>
      <c r="AHC3" s="568"/>
      <c r="AHD3" s="568"/>
      <c r="AHE3" s="568"/>
      <c r="AHF3" s="568"/>
      <c r="AHG3" s="568"/>
      <c r="AHH3" s="568"/>
      <c r="AHI3" s="568"/>
      <c r="AHJ3" s="568"/>
      <c r="AHK3" s="568"/>
      <c r="AHL3" s="568"/>
      <c r="AHM3" s="568"/>
      <c r="AHN3" s="568"/>
      <c r="AHO3" s="568"/>
      <c r="AHP3" s="568"/>
      <c r="AHQ3" s="568"/>
      <c r="AHR3" s="568"/>
      <c r="AHS3" s="568"/>
      <c r="AHT3" s="568"/>
      <c r="AHU3" s="568"/>
      <c r="AHV3" s="568"/>
      <c r="AHW3" s="568"/>
      <c r="AHX3" s="568"/>
      <c r="AHY3" s="568"/>
      <c r="AHZ3" s="568"/>
      <c r="AIA3" s="568"/>
      <c r="AIB3" s="568"/>
      <c r="AIC3" s="568"/>
      <c r="AID3" s="568"/>
      <c r="AIE3" s="568"/>
      <c r="AIF3" s="568"/>
      <c r="AIG3" s="568"/>
      <c r="AIH3" s="568"/>
      <c r="AII3" s="568"/>
      <c r="AIJ3" s="568"/>
      <c r="AIK3" s="568"/>
      <c r="AIL3" s="568"/>
      <c r="AIM3" s="568"/>
      <c r="AIN3" s="568"/>
      <c r="AIO3" s="568"/>
      <c r="AIP3" s="568"/>
      <c r="AIQ3" s="568"/>
      <c r="AIR3" s="568"/>
      <c r="AIS3" s="568"/>
      <c r="AIT3" s="568"/>
      <c r="AIU3" s="568"/>
      <c r="AIV3" s="568"/>
      <c r="AIW3" s="568"/>
      <c r="AIX3" s="568"/>
      <c r="AIY3" s="568"/>
      <c r="AIZ3" s="568"/>
      <c r="AJA3" s="568"/>
      <c r="AJB3" s="568"/>
      <c r="AJC3" s="568"/>
      <c r="AJD3" s="568"/>
      <c r="AJE3" s="568"/>
      <c r="AJF3" s="568"/>
      <c r="AJG3" s="568"/>
      <c r="AJH3" s="568"/>
      <c r="AJI3" s="568"/>
      <c r="AJJ3" s="568"/>
      <c r="AJK3" s="568"/>
      <c r="AJL3" s="568"/>
      <c r="AJM3" s="568"/>
      <c r="AJN3" s="568"/>
      <c r="AJO3" s="568"/>
      <c r="AJP3" s="568"/>
      <c r="AJQ3" s="568"/>
      <c r="AJR3" s="568"/>
      <c r="AJS3" s="568"/>
      <c r="AJT3" s="568"/>
      <c r="AJU3" s="568"/>
      <c r="AJV3" s="568"/>
      <c r="AJW3" s="568"/>
      <c r="AJX3" s="568"/>
      <c r="AJY3" s="568"/>
      <c r="AJZ3" s="568"/>
      <c r="AKA3" s="568"/>
      <c r="AKB3" s="568"/>
      <c r="AKC3" s="568"/>
      <c r="AKD3" s="568"/>
      <c r="AKE3" s="568"/>
      <c r="AKF3" s="568"/>
      <c r="AKG3" s="568"/>
      <c r="AKH3" s="568"/>
      <c r="AKI3" s="568"/>
      <c r="AKJ3" s="568"/>
      <c r="AKK3" s="568"/>
      <c r="AKL3" s="568"/>
      <c r="AKM3" s="568"/>
      <c r="AKN3" s="568"/>
      <c r="AKO3" s="568"/>
      <c r="AKP3" s="568"/>
      <c r="AKQ3" s="568"/>
      <c r="AKR3" s="568"/>
      <c r="AKS3" s="568"/>
      <c r="AKT3" s="568"/>
      <c r="AKU3" s="568"/>
      <c r="AKV3" s="568"/>
      <c r="AKW3" s="568"/>
      <c r="AKX3" s="568"/>
      <c r="AKY3" s="568"/>
      <c r="AKZ3" s="568"/>
      <c r="ALA3" s="568"/>
      <c r="ALB3" s="568"/>
      <c r="ALC3" s="568"/>
      <c r="ALD3" s="568"/>
      <c r="ALE3" s="568"/>
      <c r="ALF3" s="568"/>
      <c r="ALG3" s="568"/>
      <c r="ALH3" s="568"/>
      <c r="ALI3" s="568"/>
      <c r="ALJ3" s="568"/>
      <c r="ALK3" s="568"/>
      <c r="ALL3" s="568"/>
      <c r="ALM3" s="568"/>
      <c r="ALN3" s="568"/>
      <c r="ALO3" s="568"/>
      <c r="ALP3" s="568"/>
      <c r="ALQ3" s="568"/>
      <c r="ALR3" s="568"/>
      <c r="ALS3" s="568"/>
      <c r="ALT3" s="568"/>
      <c r="ALU3" s="568"/>
      <c r="ALV3" s="568"/>
      <c r="ALW3" s="568"/>
      <c r="ALX3" s="568"/>
      <c r="ALY3" s="568"/>
      <c r="ALZ3" s="568"/>
      <c r="AMA3" s="568"/>
      <c r="AMB3" s="568"/>
      <c r="AMC3" s="568"/>
      <c r="AMD3" s="568"/>
      <c r="AME3" s="568"/>
      <c r="AMF3" s="568"/>
      <c r="AMG3" s="568"/>
      <c r="AMH3" s="568"/>
      <c r="AMI3" s="568"/>
      <c r="AMJ3" s="568"/>
      <c r="AMK3" s="568"/>
      <c r="AML3" s="568"/>
      <c r="AMM3" s="568"/>
      <c r="AMN3" s="568"/>
      <c r="AMO3" s="568"/>
      <c r="AMP3" s="568"/>
      <c r="AMQ3" s="568"/>
      <c r="AMR3" s="568"/>
      <c r="AMS3" s="568"/>
      <c r="AMT3" s="568"/>
      <c r="AMU3" s="568"/>
      <c r="AMV3" s="568"/>
      <c r="AMW3" s="568"/>
      <c r="AMX3" s="568"/>
      <c r="AMY3" s="568"/>
      <c r="AMZ3" s="568"/>
      <c r="ANA3" s="568"/>
      <c r="ANB3" s="568"/>
      <c r="ANC3" s="568"/>
      <c r="AND3" s="568"/>
      <c r="ANE3" s="568"/>
      <c r="ANF3" s="568"/>
      <c r="ANG3" s="568"/>
      <c r="ANH3" s="568"/>
      <c r="ANI3" s="568"/>
      <c r="ANJ3" s="568"/>
      <c r="ANK3" s="568"/>
      <c r="ANL3" s="568"/>
      <c r="ANM3" s="568"/>
      <c r="ANN3" s="568"/>
      <c r="ANO3" s="568"/>
      <c r="ANP3" s="568"/>
      <c r="ANQ3" s="568"/>
      <c r="ANR3" s="568"/>
      <c r="ANS3" s="568"/>
      <c r="ANT3" s="568"/>
      <c r="ANU3" s="568"/>
      <c r="ANV3" s="568"/>
      <c r="ANW3" s="568"/>
      <c r="ANX3" s="568"/>
      <c r="ANY3" s="568"/>
      <c r="ANZ3" s="568"/>
      <c r="AOA3" s="568"/>
      <c r="AOB3" s="568"/>
      <c r="AOC3" s="568"/>
      <c r="AOD3" s="568"/>
      <c r="AOE3" s="568"/>
      <c r="AOF3" s="568"/>
      <c r="AOG3" s="568"/>
      <c r="AOH3" s="568"/>
      <c r="AOI3" s="568"/>
      <c r="AOJ3" s="568"/>
      <c r="AOK3" s="568"/>
      <c r="AOL3" s="568"/>
      <c r="AOM3" s="568"/>
      <c r="AON3" s="568"/>
      <c r="AOO3" s="568"/>
      <c r="AOP3" s="568"/>
      <c r="AOQ3" s="568"/>
      <c r="AOR3" s="568"/>
      <c r="AOS3" s="568"/>
      <c r="AOT3" s="568"/>
      <c r="AOU3" s="568"/>
      <c r="AOV3" s="568"/>
      <c r="AOW3" s="568"/>
      <c r="AOX3" s="568"/>
      <c r="AOY3" s="568"/>
      <c r="AOZ3" s="568"/>
      <c r="APA3" s="568"/>
      <c r="APB3" s="568"/>
      <c r="APC3" s="568"/>
      <c r="APD3" s="568"/>
      <c r="APE3" s="568"/>
      <c r="APF3" s="568"/>
      <c r="APG3" s="568"/>
      <c r="APH3" s="568"/>
      <c r="API3" s="568"/>
      <c r="APJ3" s="568"/>
      <c r="APK3" s="568"/>
      <c r="APL3" s="568"/>
      <c r="APM3" s="568"/>
      <c r="APN3" s="568"/>
      <c r="APO3" s="568"/>
      <c r="APP3" s="568"/>
      <c r="APQ3" s="568"/>
      <c r="APR3" s="568"/>
      <c r="APS3" s="568"/>
      <c r="APT3" s="568"/>
      <c r="APU3" s="568"/>
      <c r="APV3" s="568"/>
      <c r="APW3" s="568"/>
      <c r="APX3" s="568"/>
      <c r="APY3" s="568"/>
      <c r="APZ3" s="568"/>
      <c r="AQA3" s="568"/>
      <c r="AQB3" s="568"/>
      <c r="AQC3" s="568"/>
      <c r="AQD3" s="568"/>
      <c r="AQE3" s="568"/>
      <c r="AQF3" s="568"/>
      <c r="AQG3" s="568"/>
      <c r="AQH3" s="568"/>
      <c r="AQI3" s="568"/>
      <c r="AQJ3" s="568"/>
      <c r="AQK3" s="568"/>
      <c r="AQL3" s="568"/>
      <c r="AQM3" s="568"/>
      <c r="AQN3" s="568"/>
      <c r="AQO3" s="568"/>
      <c r="AQP3" s="568"/>
      <c r="AQQ3" s="568"/>
      <c r="AQR3" s="568"/>
      <c r="AQS3" s="568"/>
      <c r="AQT3" s="568"/>
      <c r="AQU3" s="568"/>
      <c r="AQV3" s="568"/>
      <c r="AQW3" s="568"/>
      <c r="AQX3" s="568"/>
      <c r="AQY3" s="568"/>
      <c r="AQZ3" s="568"/>
      <c r="ARA3" s="568"/>
      <c r="ARB3" s="568"/>
      <c r="ARC3" s="568"/>
      <c r="ARD3" s="568"/>
      <c r="ARE3" s="568"/>
      <c r="ARF3" s="568"/>
      <c r="ARG3" s="568"/>
      <c r="ARH3" s="568"/>
      <c r="ARI3" s="568"/>
      <c r="ARJ3" s="568"/>
      <c r="ARK3" s="568"/>
      <c r="ARL3" s="568"/>
      <c r="ARM3" s="568"/>
      <c r="ARN3" s="568"/>
      <c r="ARO3" s="568"/>
      <c r="ARP3" s="568"/>
      <c r="ARQ3" s="568"/>
      <c r="ARR3" s="568"/>
      <c r="ARS3" s="568"/>
      <c r="ART3" s="568"/>
      <c r="ARU3" s="568"/>
      <c r="ARV3" s="568"/>
      <c r="ARW3" s="568"/>
      <c r="ARX3" s="568"/>
      <c r="ARY3" s="568"/>
      <c r="ARZ3" s="568"/>
      <c r="ASA3" s="568"/>
      <c r="ASB3" s="568"/>
      <c r="ASC3" s="568"/>
      <c r="ASD3" s="568"/>
      <c r="ASE3" s="568"/>
      <c r="ASF3" s="568"/>
      <c r="ASG3" s="568"/>
      <c r="ASH3" s="568"/>
      <c r="ASI3" s="568"/>
      <c r="ASJ3" s="568"/>
      <c r="ASK3" s="568"/>
      <c r="ASL3" s="568"/>
      <c r="ASM3" s="568"/>
      <c r="ASN3" s="568"/>
      <c r="ASO3" s="568"/>
      <c r="ASP3" s="568"/>
      <c r="ASQ3" s="568"/>
      <c r="ASR3" s="568"/>
      <c r="ASS3" s="568"/>
      <c r="AST3" s="568"/>
      <c r="ASU3" s="568"/>
      <c r="ASV3" s="568"/>
      <c r="ASW3" s="568"/>
      <c r="ASX3" s="568"/>
      <c r="ASY3" s="568"/>
      <c r="ASZ3" s="568"/>
      <c r="ATA3" s="568"/>
      <c r="ATB3" s="568"/>
      <c r="ATC3" s="568"/>
      <c r="ATD3" s="568"/>
      <c r="ATE3" s="568"/>
      <c r="ATF3" s="568"/>
      <c r="ATG3" s="568"/>
      <c r="ATH3" s="568"/>
      <c r="ATI3" s="568"/>
      <c r="ATJ3" s="568"/>
      <c r="ATK3" s="568"/>
      <c r="ATL3" s="568"/>
      <c r="ATM3" s="568"/>
      <c r="ATN3" s="568"/>
      <c r="ATO3" s="568"/>
      <c r="ATP3" s="568"/>
      <c r="ATQ3" s="568"/>
      <c r="ATR3" s="568"/>
      <c r="ATS3" s="568"/>
      <c r="ATT3" s="568"/>
      <c r="ATU3" s="568"/>
      <c r="ATV3" s="568"/>
      <c r="ATW3" s="568"/>
      <c r="ATX3" s="568"/>
      <c r="ATY3" s="568"/>
      <c r="ATZ3" s="568"/>
      <c r="AUA3" s="568"/>
      <c r="AUB3" s="568"/>
      <c r="AUC3" s="568"/>
      <c r="AUD3" s="568"/>
      <c r="AUE3" s="568"/>
      <c r="AUF3" s="568"/>
      <c r="AUG3" s="568"/>
      <c r="AUH3" s="568"/>
      <c r="AUI3" s="568"/>
      <c r="AUJ3" s="568"/>
      <c r="AUK3" s="568"/>
      <c r="AUL3" s="568"/>
      <c r="AUM3" s="568"/>
      <c r="AUN3" s="568"/>
      <c r="AUO3" s="568"/>
      <c r="AUP3" s="568"/>
      <c r="AUQ3" s="568"/>
      <c r="AUR3" s="568"/>
      <c r="AUS3" s="568"/>
      <c r="AUT3" s="568"/>
      <c r="AUU3" s="568"/>
      <c r="AUV3" s="568"/>
      <c r="AUW3" s="568"/>
      <c r="AUX3" s="568"/>
      <c r="AUY3" s="568"/>
      <c r="AUZ3" s="568"/>
      <c r="AVA3" s="568"/>
      <c r="AVB3" s="568"/>
      <c r="AVC3" s="568"/>
      <c r="AVD3" s="568"/>
      <c r="AVE3" s="568"/>
      <c r="AVF3" s="568"/>
      <c r="AVG3" s="568"/>
      <c r="AVH3" s="568"/>
      <c r="AVI3" s="568"/>
      <c r="AVJ3" s="568"/>
      <c r="AVK3" s="568"/>
      <c r="AVL3" s="568"/>
      <c r="AVM3" s="568"/>
      <c r="AVN3" s="568"/>
      <c r="AVO3" s="568"/>
      <c r="AVP3" s="568"/>
      <c r="AVQ3" s="568"/>
      <c r="AVR3" s="568"/>
      <c r="AVS3" s="568"/>
      <c r="AVT3" s="568"/>
      <c r="AVU3" s="568"/>
      <c r="AVV3" s="568"/>
      <c r="AVW3" s="568"/>
      <c r="AVX3" s="568"/>
      <c r="AVY3" s="568"/>
      <c r="AVZ3" s="568"/>
      <c r="AWA3" s="568"/>
      <c r="AWB3" s="568"/>
      <c r="AWC3" s="568"/>
      <c r="AWD3" s="568"/>
      <c r="AWE3" s="568"/>
      <c r="AWF3" s="568"/>
      <c r="AWG3" s="568"/>
      <c r="AWH3" s="568"/>
      <c r="AWI3" s="568"/>
      <c r="AWJ3" s="568"/>
      <c r="AWK3" s="568"/>
      <c r="AWL3" s="568"/>
      <c r="AWM3" s="568"/>
      <c r="AWN3" s="568"/>
      <c r="AWO3" s="568"/>
      <c r="AWP3" s="568"/>
      <c r="AWQ3" s="568"/>
      <c r="AWR3" s="568"/>
      <c r="AWS3" s="568"/>
      <c r="AWT3" s="568"/>
      <c r="AWU3" s="568"/>
      <c r="AWV3" s="568"/>
      <c r="AWW3" s="568"/>
      <c r="AWX3" s="568"/>
      <c r="AWY3" s="568"/>
      <c r="AWZ3" s="568"/>
      <c r="AXA3" s="568"/>
      <c r="AXB3" s="568"/>
      <c r="AXC3" s="568"/>
      <c r="AXD3" s="568"/>
      <c r="AXE3" s="568"/>
      <c r="AXF3" s="568"/>
      <c r="AXG3" s="568"/>
      <c r="AXH3" s="568"/>
      <c r="AXI3" s="568"/>
      <c r="AXJ3" s="568"/>
      <c r="AXK3" s="568"/>
      <c r="AXL3" s="568"/>
      <c r="AXM3" s="568"/>
      <c r="AXN3" s="568"/>
      <c r="AXO3" s="568"/>
      <c r="AXP3" s="568"/>
      <c r="AXQ3" s="568"/>
      <c r="AXR3" s="568"/>
      <c r="AXS3" s="568"/>
      <c r="AXT3" s="568"/>
      <c r="AXU3" s="568"/>
      <c r="AXV3" s="568"/>
      <c r="AXW3" s="568"/>
      <c r="AXX3" s="568"/>
      <c r="AXY3" s="568"/>
      <c r="AXZ3" s="568"/>
      <c r="AYA3" s="568"/>
      <c r="AYB3" s="568"/>
      <c r="AYC3" s="568"/>
      <c r="AYD3" s="568"/>
      <c r="AYE3" s="568"/>
      <c r="AYF3" s="568"/>
      <c r="AYG3" s="568"/>
      <c r="AYH3" s="568"/>
      <c r="AYI3" s="568"/>
      <c r="AYJ3" s="568"/>
      <c r="AYK3" s="568"/>
      <c r="AYL3" s="568"/>
      <c r="AYM3" s="568"/>
      <c r="AYN3" s="568"/>
      <c r="AYO3" s="568"/>
      <c r="AYP3" s="568"/>
      <c r="AYQ3" s="568"/>
      <c r="AYR3" s="568"/>
      <c r="AYS3" s="568"/>
      <c r="AYT3" s="568"/>
      <c r="AYU3" s="568"/>
      <c r="AYV3" s="568"/>
      <c r="AYW3" s="568"/>
      <c r="AYX3" s="568"/>
      <c r="AYY3" s="568"/>
      <c r="AYZ3" s="568"/>
      <c r="AZA3" s="568"/>
      <c r="AZB3" s="568"/>
      <c r="AZC3" s="568"/>
      <c r="AZD3" s="568"/>
      <c r="AZE3" s="568"/>
      <c r="AZF3" s="568"/>
      <c r="AZG3" s="568"/>
      <c r="AZH3" s="568"/>
      <c r="AZI3" s="568"/>
      <c r="AZJ3" s="568"/>
      <c r="AZK3" s="568"/>
      <c r="AZL3" s="568"/>
      <c r="AZM3" s="568"/>
      <c r="AZN3" s="568"/>
      <c r="AZO3" s="568"/>
      <c r="AZP3" s="568"/>
      <c r="AZQ3" s="568"/>
      <c r="AZR3" s="568"/>
      <c r="AZS3" s="568"/>
      <c r="AZT3" s="568"/>
      <c r="AZU3" s="568"/>
      <c r="AZV3" s="568"/>
      <c r="AZW3" s="568"/>
      <c r="AZX3" s="568"/>
      <c r="AZY3" s="568"/>
      <c r="AZZ3" s="568"/>
      <c r="BAA3" s="568"/>
      <c r="BAB3" s="568"/>
      <c r="BAC3" s="568"/>
      <c r="BAD3" s="568"/>
      <c r="BAE3" s="568"/>
      <c r="BAF3" s="568"/>
      <c r="BAG3" s="568"/>
      <c r="BAH3" s="568"/>
      <c r="BAI3" s="568"/>
      <c r="BAJ3" s="568"/>
      <c r="BAK3" s="568"/>
      <c r="BAL3" s="568"/>
      <c r="BAM3" s="568"/>
      <c r="BAN3" s="568"/>
      <c r="BAO3" s="568"/>
      <c r="BAP3" s="568"/>
      <c r="BAQ3" s="568"/>
      <c r="BAR3" s="568"/>
      <c r="BAS3" s="568"/>
      <c r="BAT3" s="568"/>
      <c r="BAU3" s="568"/>
      <c r="BAV3" s="568"/>
      <c r="BAW3" s="568"/>
      <c r="BAX3" s="568"/>
      <c r="BAY3" s="568"/>
      <c r="BAZ3" s="568"/>
      <c r="BBA3" s="568"/>
      <c r="BBB3" s="568"/>
      <c r="BBC3" s="568"/>
      <c r="BBD3" s="568"/>
      <c r="BBE3" s="568"/>
      <c r="BBF3" s="568"/>
      <c r="BBG3" s="568"/>
      <c r="BBH3" s="568"/>
      <c r="BBI3" s="568"/>
      <c r="BBJ3" s="568"/>
      <c r="BBK3" s="568"/>
      <c r="BBL3" s="568"/>
      <c r="BBM3" s="568"/>
      <c r="BBN3" s="568"/>
      <c r="BBO3" s="568"/>
      <c r="BBP3" s="568"/>
      <c r="BBQ3" s="568"/>
      <c r="BBR3" s="568"/>
      <c r="BBS3" s="568"/>
      <c r="BBT3" s="568"/>
      <c r="BBU3" s="568"/>
      <c r="BBV3" s="568"/>
      <c r="BBW3" s="568"/>
      <c r="BBX3" s="568"/>
      <c r="BBY3" s="568"/>
      <c r="BBZ3" s="568"/>
      <c r="BCA3" s="568"/>
      <c r="BCB3" s="568"/>
      <c r="BCC3" s="568"/>
      <c r="BCD3" s="568"/>
      <c r="BCE3" s="568"/>
      <c r="BCF3" s="568"/>
      <c r="BCG3" s="568"/>
      <c r="BCH3" s="568"/>
      <c r="BCI3" s="568"/>
      <c r="BCJ3" s="568"/>
      <c r="BCK3" s="568"/>
      <c r="BCL3" s="568"/>
      <c r="BCM3" s="568"/>
      <c r="BCN3" s="568"/>
      <c r="BCO3" s="568"/>
      <c r="BCP3" s="568"/>
      <c r="BCQ3" s="568"/>
      <c r="BCR3" s="568"/>
      <c r="BCS3" s="568"/>
      <c r="BCT3" s="568"/>
      <c r="BCU3" s="568"/>
      <c r="BCV3" s="568"/>
      <c r="BCW3" s="568"/>
      <c r="BCX3" s="568"/>
      <c r="BCY3" s="568"/>
      <c r="BCZ3" s="568"/>
      <c r="BDA3" s="568"/>
      <c r="BDB3" s="568"/>
      <c r="BDC3" s="568"/>
      <c r="BDD3" s="568"/>
      <c r="BDE3" s="568"/>
      <c r="BDF3" s="568"/>
      <c r="BDG3" s="568"/>
      <c r="BDH3" s="568"/>
      <c r="BDI3" s="568"/>
      <c r="BDJ3" s="568"/>
      <c r="BDK3" s="568"/>
      <c r="BDL3" s="568"/>
      <c r="BDM3" s="568"/>
      <c r="BDN3" s="568"/>
      <c r="BDO3" s="568"/>
      <c r="BDP3" s="568"/>
      <c r="BDQ3" s="568"/>
      <c r="BDR3" s="568"/>
      <c r="BDS3" s="568"/>
      <c r="BDT3" s="568"/>
      <c r="BDU3" s="568"/>
      <c r="BDV3" s="568"/>
      <c r="BDW3" s="568"/>
      <c r="BDX3" s="568"/>
      <c r="BDY3" s="568"/>
      <c r="BDZ3" s="568"/>
      <c r="BEA3" s="568"/>
      <c r="BEB3" s="568"/>
      <c r="BEC3" s="568"/>
      <c r="BED3" s="568"/>
      <c r="BEE3" s="568"/>
      <c r="BEF3" s="568"/>
      <c r="BEG3" s="568"/>
      <c r="BEH3" s="568"/>
      <c r="BEI3" s="568"/>
      <c r="BEJ3" s="568"/>
      <c r="BEK3" s="568"/>
      <c r="BEL3" s="568"/>
      <c r="BEM3" s="568"/>
      <c r="BEN3" s="568"/>
      <c r="BEO3" s="568"/>
      <c r="BEP3" s="568"/>
      <c r="BEQ3" s="568"/>
      <c r="BER3" s="568"/>
      <c r="BES3" s="568"/>
      <c r="BET3" s="568"/>
      <c r="BEU3" s="568"/>
      <c r="BEV3" s="568"/>
      <c r="BEW3" s="568"/>
      <c r="BEX3" s="568"/>
      <c r="BEY3" s="568"/>
      <c r="BEZ3" s="568"/>
      <c r="BFA3" s="568"/>
      <c r="BFB3" s="568"/>
      <c r="BFC3" s="568"/>
      <c r="BFD3" s="568"/>
      <c r="BFE3" s="568"/>
      <c r="BFF3" s="568"/>
      <c r="BFG3" s="568"/>
      <c r="BFH3" s="568"/>
      <c r="BFI3" s="568"/>
      <c r="BFJ3" s="568"/>
      <c r="BFK3" s="568"/>
      <c r="BFL3" s="568"/>
      <c r="BFM3" s="568"/>
      <c r="BFN3" s="568"/>
      <c r="BFO3" s="568"/>
      <c r="BFP3" s="568"/>
      <c r="BFQ3" s="568"/>
      <c r="BFR3" s="568"/>
      <c r="BFS3" s="568"/>
      <c r="BFT3" s="568"/>
      <c r="BFU3" s="568"/>
      <c r="BFV3" s="568"/>
      <c r="BFW3" s="568"/>
      <c r="BFX3" s="568"/>
      <c r="BFY3" s="568"/>
      <c r="BFZ3" s="568"/>
      <c r="BGA3" s="568"/>
      <c r="BGB3" s="568"/>
      <c r="BGC3" s="568"/>
      <c r="BGD3" s="568"/>
      <c r="BGE3" s="568"/>
      <c r="BGF3" s="568"/>
      <c r="BGG3" s="568"/>
      <c r="BGH3" s="568"/>
      <c r="BGI3" s="568"/>
      <c r="BGJ3" s="568"/>
      <c r="BGK3" s="568"/>
      <c r="BGL3" s="568"/>
      <c r="BGM3" s="568"/>
      <c r="BGN3" s="568"/>
      <c r="BGO3" s="568"/>
      <c r="BGP3" s="568"/>
      <c r="BGQ3" s="568"/>
      <c r="BGR3" s="568"/>
      <c r="BGS3" s="568"/>
      <c r="BGT3" s="568"/>
      <c r="BGU3" s="568"/>
      <c r="BGV3" s="568"/>
      <c r="BGW3" s="568"/>
      <c r="BGX3" s="568"/>
      <c r="BGY3" s="568"/>
      <c r="BGZ3" s="568"/>
      <c r="BHA3" s="568"/>
      <c r="BHB3" s="568"/>
      <c r="BHC3" s="568"/>
      <c r="BHD3" s="568"/>
      <c r="BHE3" s="568"/>
      <c r="BHF3" s="568"/>
      <c r="BHG3" s="568"/>
      <c r="BHH3" s="568"/>
      <c r="BHI3" s="568"/>
      <c r="BHJ3" s="568"/>
      <c r="BHK3" s="568"/>
      <c r="BHL3" s="568"/>
      <c r="BHM3" s="568"/>
      <c r="BHN3" s="568"/>
      <c r="BHO3" s="568"/>
      <c r="BHP3" s="568"/>
      <c r="BHQ3" s="568"/>
      <c r="BHR3" s="568"/>
      <c r="BHS3" s="568"/>
      <c r="BHT3" s="568"/>
      <c r="BHU3" s="568"/>
      <c r="BHV3" s="568"/>
      <c r="BHW3" s="568"/>
      <c r="BHX3" s="568"/>
      <c r="BHY3" s="568"/>
      <c r="BHZ3" s="568"/>
      <c r="BIA3" s="568"/>
      <c r="BIB3" s="568"/>
      <c r="BIC3" s="568"/>
      <c r="BID3" s="568"/>
      <c r="BIE3" s="568"/>
      <c r="BIF3" s="568"/>
      <c r="BIG3" s="568"/>
      <c r="BIH3" s="568"/>
      <c r="BII3" s="568"/>
      <c r="BIJ3" s="568"/>
      <c r="BIK3" s="568"/>
      <c r="BIL3" s="568"/>
      <c r="BIM3" s="568"/>
      <c r="BIN3" s="568"/>
      <c r="BIO3" s="568"/>
      <c r="BIP3" s="568"/>
      <c r="BIQ3" s="568"/>
      <c r="BIR3" s="568"/>
      <c r="BIS3" s="568"/>
      <c r="BIT3" s="568"/>
      <c r="BIU3" s="568"/>
      <c r="BIV3" s="568"/>
      <c r="BIW3" s="568"/>
      <c r="BIX3" s="568"/>
      <c r="BIY3" s="568"/>
      <c r="BIZ3" s="568"/>
      <c r="BJA3" s="568"/>
      <c r="BJB3" s="568"/>
      <c r="BJC3" s="568"/>
      <c r="BJD3" s="568"/>
      <c r="BJE3" s="568"/>
      <c r="BJF3" s="568"/>
      <c r="BJG3" s="568"/>
      <c r="BJH3" s="568"/>
      <c r="BJI3" s="568"/>
      <c r="BJJ3" s="568"/>
      <c r="BJK3" s="568"/>
      <c r="BJL3" s="568"/>
      <c r="BJM3" s="568"/>
      <c r="BJN3" s="568"/>
      <c r="BJO3" s="568"/>
      <c r="BJP3" s="568"/>
      <c r="BJQ3" s="568"/>
      <c r="BJR3" s="568"/>
      <c r="BJS3" s="568"/>
      <c r="BJT3" s="568"/>
      <c r="BJU3" s="568"/>
      <c r="BJV3" s="568"/>
      <c r="BJW3" s="568"/>
      <c r="BJX3" s="568"/>
      <c r="BJY3" s="568"/>
      <c r="BJZ3" s="568"/>
      <c r="BKA3" s="568"/>
      <c r="BKB3" s="568"/>
      <c r="BKC3" s="568"/>
      <c r="BKD3" s="568"/>
      <c r="BKE3" s="568"/>
      <c r="BKF3" s="568"/>
      <c r="BKG3" s="568"/>
      <c r="BKH3" s="568"/>
      <c r="BKI3" s="568"/>
      <c r="BKJ3" s="568"/>
      <c r="BKK3" s="568"/>
      <c r="BKL3" s="568"/>
      <c r="BKM3" s="568"/>
      <c r="BKN3" s="568"/>
      <c r="BKO3" s="568"/>
      <c r="BKP3" s="568"/>
      <c r="BKQ3" s="568"/>
      <c r="BKR3" s="568"/>
      <c r="BKS3" s="568"/>
      <c r="BKT3" s="568"/>
      <c r="BKU3" s="568"/>
      <c r="BKV3" s="568"/>
      <c r="BKW3" s="568"/>
      <c r="BKX3" s="568"/>
      <c r="BKY3" s="568"/>
      <c r="BKZ3" s="568"/>
      <c r="BLA3" s="568"/>
      <c r="BLB3" s="568"/>
      <c r="BLC3" s="568"/>
      <c r="BLD3" s="568"/>
      <c r="BLE3" s="568"/>
      <c r="BLF3" s="568"/>
      <c r="BLG3" s="568"/>
      <c r="BLH3" s="568"/>
      <c r="BLI3" s="568"/>
      <c r="BLJ3" s="568"/>
      <c r="BLK3" s="568"/>
      <c r="BLL3" s="568"/>
      <c r="BLM3" s="568"/>
      <c r="BLN3" s="568"/>
      <c r="BLO3" s="568"/>
      <c r="BLP3" s="568"/>
      <c r="BLQ3" s="568"/>
      <c r="BLR3" s="568"/>
      <c r="BLS3" s="568"/>
      <c r="BLT3" s="568"/>
      <c r="BLU3" s="568"/>
      <c r="BLV3" s="568"/>
      <c r="BLW3" s="568"/>
      <c r="BLX3" s="568"/>
      <c r="BLY3" s="568"/>
      <c r="BLZ3" s="568"/>
      <c r="BMA3" s="568"/>
      <c r="BMB3" s="568"/>
      <c r="BMC3" s="568"/>
      <c r="BMD3" s="568"/>
      <c r="BME3" s="568"/>
      <c r="BMF3" s="568"/>
      <c r="BMG3" s="568"/>
      <c r="BMH3" s="568"/>
      <c r="BMI3" s="568"/>
      <c r="BMJ3" s="568"/>
      <c r="BMK3" s="568"/>
      <c r="BML3" s="568"/>
      <c r="BMM3" s="568"/>
      <c r="BMN3" s="568"/>
      <c r="BMO3" s="568"/>
      <c r="BMP3" s="568"/>
      <c r="BMQ3" s="568"/>
      <c r="BMR3" s="568"/>
      <c r="BMS3" s="568"/>
      <c r="BMT3" s="568"/>
      <c r="BMU3" s="568"/>
      <c r="BMV3" s="568"/>
      <c r="BMW3" s="568"/>
      <c r="BMX3" s="568"/>
      <c r="BMY3" s="568"/>
      <c r="BMZ3" s="568"/>
      <c r="BNA3" s="568"/>
      <c r="BNB3" s="568"/>
      <c r="BNC3" s="568"/>
      <c r="BND3" s="568"/>
      <c r="BNE3" s="568"/>
      <c r="BNF3" s="568"/>
      <c r="BNG3" s="568"/>
      <c r="BNH3" s="568"/>
      <c r="BNI3" s="568"/>
      <c r="BNJ3" s="568"/>
      <c r="BNK3" s="568"/>
      <c r="BNL3" s="568"/>
      <c r="BNM3" s="568"/>
      <c r="BNN3" s="568"/>
      <c r="BNO3" s="568"/>
      <c r="BNP3" s="568"/>
      <c r="BNQ3" s="568"/>
      <c r="BNR3" s="568"/>
      <c r="BNS3" s="568"/>
      <c r="BNT3" s="568"/>
      <c r="BNU3" s="568"/>
      <c r="BNV3" s="568"/>
      <c r="BNW3" s="568"/>
      <c r="BNX3" s="568"/>
      <c r="BNY3" s="568"/>
      <c r="BNZ3" s="568"/>
      <c r="BOA3" s="568"/>
      <c r="BOB3" s="568"/>
      <c r="BOC3" s="568"/>
      <c r="BOD3" s="568"/>
      <c r="BOE3" s="568"/>
      <c r="BOF3" s="568"/>
      <c r="BOG3" s="568"/>
      <c r="BOH3" s="568"/>
      <c r="BOI3" s="568"/>
      <c r="BOJ3" s="568"/>
      <c r="BOK3" s="568"/>
      <c r="BOL3" s="568"/>
      <c r="BOM3" s="568"/>
      <c r="BON3" s="568"/>
      <c r="BOO3" s="568"/>
      <c r="BOP3" s="568"/>
      <c r="BOQ3" s="568"/>
      <c r="BOR3" s="568"/>
      <c r="BOS3" s="568"/>
      <c r="BOT3" s="568"/>
      <c r="BOU3" s="568"/>
      <c r="BOV3" s="568"/>
      <c r="BOW3" s="568"/>
      <c r="BOX3" s="568"/>
      <c r="BOY3" s="568"/>
      <c r="BOZ3" s="568"/>
      <c r="BPA3" s="568"/>
      <c r="BPB3" s="568"/>
      <c r="BPC3" s="568"/>
      <c r="BPD3" s="568"/>
      <c r="BPE3" s="568"/>
      <c r="BPF3" s="568"/>
      <c r="BPG3" s="568"/>
      <c r="BPH3" s="568"/>
      <c r="BPI3" s="568"/>
      <c r="BPJ3" s="568"/>
      <c r="BPK3" s="568"/>
      <c r="BPL3" s="568"/>
      <c r="BPM3" s="568"/>
      <c r="BPN3" s="568"/>
      <c r="BPO3" s="568"/>
      <c r="BPP3" s="568"/>
      <c r="BPQ3" s="568"/>
      <c r="BPR3" s="568"/>
      <c r="BPS3" s="568"/>
      <c r="BPT3" s="568"/>
      <c r="BPU3" s="568"/>
      <c r="BPV3" s="568"/>
      <c r="BPW3" s="568"/>
      <c r="BPX3" s="568"/>
      <c r="BPY3" s="568"/>
      <c r="BPZ3" s="568"/>
      <c r="BQA3" s="568"/>
      <c r="BQB3" s="568"/>
      <c r="BQC3" s="568"/>
      <c r="BQD3" s="568"/>
      <c r="BQE3" s="568"/>
      <c r="BQF3" s="568"/>
      <c r="BQG3" s="568"/>
      <c r="BQH3" s="568"/>
      <c r="BQI3" s="568"/>
      <c r="BQJ3" s="568"/>
      <c r="BQK3" s="568"/>
      <c r="BQL3" s="568"/>
      <c r="BQM3" s="568"/>
      <c r="BQN3" s="568"/>
      <c r="BQO3" s="568"/>
      <c r="BQP3" s="568"/>
      <c r="BQQ3" s="568"/>
      <c r="BQR3" s="568"/>
      <c r="BQS3" s="568"/>
      <c r="BQT3" s="568"/>
      <c r="BQU3" s="568"/>
      <c r="BQV3" s="568"/>
      <c r="BQW3" s="568"/>
      <c r="BQX3" s="568"/>
      <c r="BQY3" s="568"/>
      <c r="BQZ3" s="568"/>
      <c r="BRA3" s="568"/>
      <c r="BRB3" s="568"/>
      <c r="BRC3" s="568"/>
      <c r="BRD3" s="568"/>
      <c r="BRE3" s="568"/>
      <c r="BRF3" s="568"/>
      <c r="BRG3" s="568"/>
      <c r="BRH3" s="568"/>
      <c r="BRI3" s="568"/>
      <c r="BRJ3" s="568"/>
      <c r="BRK3" s="568"/>
      <c r="BRL3" s="568"/>
      <c r="BRM3" s="568"/>
      <c r="BRN3" s="568"/>
      <c r="BRO3" s="568"/>
      <c r="BRP3" s="568"/>
      <c r="BRQ3" s="568"/>
      <c r="BRR3" s="568"/>
      <c r="BRS3" s="568"/>
      <c r="BRT3" s="568"/>
      <c r="BRU3" s="568"/>
      <c r="BRV3" s="568"/>
      <c r="BRW3" s="568"/>
      <c r="BRX3" s="568"/>
      <c r="BRY3" s="568"/>
      <c r="BRZ3" s="568"/>
      <c r="BSA3" s="568"/>
      <c r="BSB3" s="568"/>
      <c r="BSC3" s="568"/>
      <c r="BSD3" s="568"/>
      <c r="BSE3" s="568"/>
      <c r="BSF3" s="568"/>
      <c r="BSG3" s="568"/>
      <c r="BSH3" s="568"/>
      <c r="BSI3" s="568"/>
      <c r="BSJ3" s="568"/>
      <c r="BSK3" s="568"/>
      <c r="BSL3" s="568"/>
      <c r="BSM3" s="568"/>
      <c r="BSN3" s="568"/>
      <c r="BSO3" s="568"/>
      <c r="BSP3" s="568"/>
      <c r="BSQ3" s="568"/>
      <c r="BSR3" s="568"/>
      <c r="BSS3" s="568"/>
      <c r="BST3" s="568"/>
      <c r="BSU3" s="568"/>
      <c r="BSV3" s="568"/>
      <c r="BSW3" s="568"/>
      <c r="BSX3" s="568"/>
      <c r="BSY3" s="568"/>
      <c r="BSZ3" s="568"/>
      <c r="BTA3" s="568"/>
      <c r="BTB3" s="568"/>
      <c r="BTC3" s="568"/>
      <c r="BTD3" s="568"/>
      <c r="BTE3" s="568"/>
      <c r="BTF3" s="568"/>
      <c r="BTG3" s="568"/>
      <c r="BTH3" s="568"/>
      <c r="BTI3" s="568"/>
      <c r="BTJ3" s="568"/>
      <c r="BTK3" s="568"/>
      <c r="BTL3" s="568"/>
      <c r="BTM3" s="568"/>
      <c r="BTN3" s="568"/>
      <c r="BTO3" s="568"/>
      <c r="BTP3" s="568"/>
      <c r="BTQ3" s="568"/>
      <c r="BTR3" s="568"/>
      <c r="BTS3" s="568"/>
      <c r="BTT3" s="568"/>
      <c r="BTU3" s="568"/>
      <c r="BTV3" s="568"/>
      <c r="BTW3" s="568"/>
      <c r="BTX3" s="568"/>
      <c r="BTY3" s="568"/>
      <c r="BTZ3" s="568"/>
      <c r="BUA3" s="568"/>
      <c r="BUB3" s="568"/>
      <c r="BUC3" s="568"/>
      <c r="BUD3" s="568"/>
      <c r="BUE3" s="568"/>
      <c r="BUF3" s="568"/>
      <c r="BUG3" s="568"/>
      <c r="BUH3" s="568"/>
      <c r="BUI3" s="568"/>
      <c r="BUJ3" s="568"/>
      <c r="BUK3" s="568"/>
      <c r="BUL3" s="568"/>
      <c r="BUM3" s="568"/>
      <c r="BUN3" s="568"/>
      <c r="BUO3" s="568"/>
      <c r="BUP3" s="568"/>
      <c r="BUQ3" s="568"/>
      <c r="BUR3" s="568"/>
      <c r="BUS3" s="568"/>
      <c r="BUT3" s="568"/>
      <c r="BUU3" s="568"/>
      <c r="BUV3" s="568"/>
      <c r="BUW3" s="568"/>
      <c r="BUX3" s="568"/>
      <c r="BUY3" s="568"/>
      <c r="BUZ3" s="568"/>
      <c r="BVA3" s="568"/>
      <c r="BVB3" s="568"/>
      <c r="BVC3" s="568"/>
      <c r="BVD3" s="568"/>
      <c r="BVE3" s="568"/>
      <c r="BVF3" s="568"/>
      <c r="BVG3" s="568"/>
      <c r="BVH3" s="568"/>
      <c r="BVI3" s="568"/>
      <c r="BVJ3" s="568"/>
      <c r="BVK3" s="568"/>
      <c r="BVL3" s="568"/>
      <c r="BVM3" s="568"/>
      <c r="BVN3" s="568"/>
      <c r="BVO3" s="568"/>
      <c r="BVP3" s="568"/>
      <c r="BVQ3" s="568"/>
      <c r="BVR3" s="568"/>
      <c r="BVS3" s="568"/>
      <c r="BVT3" s="568"/>
      <c r="BVU3" s="568"/>
      <c r="BVV3" s="568"/>
      <c r="BVW3" s="568"/>
      <c r="BVX3" s="568"/>
      <c r="BVY3" s="568"/>
      <c r="BVZ3" s="568"/>
      <c r="BWA3" s="568"/>
      <c r="BWB3" s="568"/>
      <c r="BWC3" s="568"/>
      <c r="BWD3" s="568"/>
      <c r="BWE3" s="568"/>
      <c r="BWF3" s="568"/>
      <c r="BWG3" s="568"/>
      <c r="BWH3" s="568"/>
      <c r="BWI3" s="568"/>
      <c r="BWJ3" s="568"/>
      <c r="BWK3" s="568"/>
      <c r="BWL3" s="568"/>
      <c r="BWM3" s="568"/>
      <c r="BWN3" s="568"/>
      <c r="BWO3" s="568"/>
      <c r="BWP3" s="568"/>
      <c r="BWQ3" s="568"/>
      <c r="BWR3" s="568"/>
      <c r="BWS3" s="568"/>
      <c r="BWT3" s="568"/>
      <c r="BWU3" s="568"/>
      <c r="BWV3" s="568"/>
      <c r="BWW3" s="568"/>
      <c r="BWX3" s="568"/>
      <c r="BWY3" s="568"/>
      <c r="BWZ3" s="568"/>
      <c r="BXA3" s="568"/>
      <c r="BXB3" s="568"/>
      <c r="BXC3" s="568"/>
      <c r="BXD3" s="568"/>
      <c r="BXE3" s="568"/>
      <c r="BXF3" s="568"/>
      <c r="BXG3" s="568"/>
      <c r="BXH3" s="568"/>
      <c r="BXI3" s="568"/>
      <c r="BXJ3" s="568"/>
      <c r="BXK3" s="568"/>
      <c r="BXL3" s="568"/>
      <c r="BXM3" s="568"/>
      <c r="BXN3" s="568"/>
      <c r="BXO3" s="568"/>
      <c r="BXP3" s="568"/>
      <c r="BXQ3" s="568"/>
      <c r="BXR3" s="568"/>
      <c r="BXS3" s="568"/>
      <c r="BXT3" s="568"/>
      <c r="BXU3" s="568"/>
      <c r="BXV3" s="568"/>
      <c r="BXW3" s="568"/>
      <c r="BXX3" s="568"/>
      <c r="BXY3" s="568"/>
      <c r="BXZ3" s="568"/>
      <c r="BYA3" s="568"/>
      <c r="BYB3" s="568"/>
      <c r="BYC3" s="568"/>
      <c r="BYD3" s="568"/>
      <c r="BYE3" s="568"/>
      <c r="BYF3" s="568"/>
      <c r="BYG3" s="568"/>
      <c r="BYH3" s="568"/>
      <c r="BYI3" s="568"/>
      <c r="BYJ3" s="568"/>
      <c r="BYK3" s="568"/>
      <c r="BYL3" s="568"/>
      <c r="BYM3" s="568"/>
      <c r="BYN3" s="568"/>
      <c r="BYO3" s="568"/>
      <c r="BYP3" s="568"/>
      <c r="BYQ3" s="568"/>
      <c r="BYR3" s="568"/>
      <c r="BYS3" s="568"/>
      <c r="BYT3" s="568"/>
      <c r="BYU3" s="568"/>
      <c r="BYV3" s="568"/>
      <c r="BYW3" s="568"/>
      <c r="BYX3" s="568"/>
      <c r="BYY3" s="568"/>
      <c r="BYZ3" s="568"/>
      <c r="BZA3" s="568"/>
      <c r="BZB3" s="568"/>
      <c r="BZC3" s="568"/>
      <c r="BZD3" s="568"/>
      <c r="BZE3" s="568"/>
      <c r="BZF3" s="568"/>
      <c r="BZG3" s="568"/>
      <c r="BZH3" s="568"/>
      <c r="BZI3" s="568"/>
      <c r="BZJ3" s="568"/>
      <c r="BZK3" s="568"/>
      <c r="BZL3" s="568"/>
      <c r="BZM3" s="568"/>
      <c r="BZN3" s="568"/>
      <c r="BZO3" s="568"/>
      <c r="BZP3" s="568"/>
      <c r="BZQ3" s="568"/>
      <c r="BZR3" s="568"/>
      <c r="BZS3" s="568"/>
      <c r="BZT3" s="568"/>
      <c r="BZU3" s="568"/>
      <c r="BZV3" s="568"/>
      <c r="BZW3" s="568"/>
      <c r="BZX3" s="568"/>
      <c r="BZY3" s="568"/>
      <c r="BZZ3" s="568"/>
      <c r="CAA3" s="568"/>
      <c r="CAB3" s="568"/>
      <c r="CAC3" s="568"/>
      <c r="CAD3" s="568"/>
      <c r="CAE3" s="568"/>
      <c r="CAF3" s="568"/>
      <c r="CAG3" s="568"/>
      <c r="CAH3" s="568"/>
      <c r="CAI3" s="568"/>
      <c r="CAJ3" s="568"/>
      <c r="CAK3" s="568"/>
      <c r="CAL3" s="568"/>
      <c r="CAM3" s="568"/>
      <c r="CAN3" s="568"/>
      <c r="CAO3" s="568"/>
      <c r="CAP3" s="568"/>
      <c r="CAQ3" s="568"/>
      <c r="CAR3" s="568"/>
      <c r="CAS3" s="568"/>
      <c r="CAT3" s="568"/>
      <c r="CAU3" s="568"/>
      <c r="CAV3" s="568"/>
      <c r="CAW3" s="568"/>
      <c r="CAX3" s="568"/>
      <c r="CAY3" s="568"/>
      <c r="CAZ3" s="568"/>
      <c r="CBA3" s="568"/>
      <c r="CBB3" s="568"/>
      <c r="CBC3" s="568"/>
      <c r="CBD3" s="568"/>
      <c r="CBE3" s="568"/>
      <c r="CBF3" s="568"/>
      <c r="CBG3" s="568"/>
      <c r="CBH3" s="568"/>
      <c r="CBI3" s="568"/>
      <c r="CBJ3" s="568"/>
      <c r="CBK3" s="568"/>
      <c r="CBL3" s="568"/>
      <c r="CBM3" s="568"/>
      <c r="CBN3" s="568"/>
      <c r="CBO3" s="568"/>
      <c r="CBP3" s="568"/>
      <c r="CBQ3" s="568"/>
      <c r="CBR3" s="568"/>
      <c r="CBS3" s="568"/>
      <c r="CBT3" s="568"/>
      <c r="CBU3" s="568"/>
      <c r="CBV3" s="568"/>
      <c r="CBW3" s="568"/>
      <c r="CBX3" s="568"/>
      <c r="CBY3" s="568"/>
      <c r="CBZ3" s="568"/>
      <c r="CCA3" s="568"/>
      <c r="CCB3" s="568"/>
      <c r="CCC3" s="568"/>
      <c r="CCD3" s="568"/>
      <c r="CCE3" s="568"/>
      <c r="CCF3" s="568"/>
      <c r="CCG3" s="568"/>
      <c r="CCH3" s="568"/>
      <c r="CCI3" s="568"/>
      <c r="CCJ3" s="568"/>
      <c r="CCK3" s="568"/>
      <c r="CCL3" s="568"/>
      <c r="CCM3" s="568"/>
      <c r="CCN3" s="568"/>
      <c r="CCO3" s="568"/>
      <c r="CCP3" s="568"/>
      <c r="CCQ3" s="568"/>
      <c r="CCR3" s="568"/>
      <c r="CCS3" s="568"/>
      <c r="CCT3" s="568"/>
      <c r="CCU3" s="568"/>
      <c r="CCV3" s="568"/>
      <c r="CCW3" s="568"/>
      <c r="CCX3" s="568"/>
      <c r="CCY3" s="568"/>
      <c r="CCZ3" s="568"/>
      <c r="CDA3" s="568"/>
      <c r="CDB3" s="568"/>
      <c r="CDC3" s="568"/>
      <c r="CDD3" s="568"/>
      <c r="CDE3" s="568"/>
      <c r="CDF3" s="568"/>
      <c r="CDG3" s="568"/>
      <c r="CDH3" s="568"/>
      <c r="CDI3" s="568"/>
      <c r="CDJ3" s="568"/>
      <c r="CDK3" s="568"/>
      <c r="CDL3" s="568"/>
      <c r="CDM3" s="568"/>
      <c r="CDN3" s="568"/>
      <c r="CDO3" s="568"/>
      <c r="CDP3" s="568"/>
      <c r="CDQ3" s="568"/>
      <c r="CDR3" s="568"/>
      <c r="CDS3" s="568"/>
      <c r="CDT3" s="568"/>
      <c r="CDU3" s="568"/>
      <c r="CDV3" s="568"/>
      <c r="CDW3" s="568"/>
      <c r="CDX3" s="568"/>
      <c r="CDY3" s="568"/>
      <c r="CDZ3" s="568"/>
      <c r="CEA3" s="568"/>
      <c r="CEB3" s="568"/>
      <c r="CEC3" s="568"/>
      <c r="CED3" s="568"/>
      <c r="CEE3" s="568"/>
      <c r="CEF3" s="568"/>
      <c r="CEG3" s="568"/>
      <c r="CEH3" s="568"/>
      <c r="CEI3" s="568"/>
      <c r="CEJ3" s="568"/>
      <c r="CEK3" s="568"/>
      <c r="CEL3" s="568"/>
      <c r="CEM3" s="568"/>
      <c r="CEN3" s="568"/>
      <c r="CEO3" s="568"/>
      <c r="CEP3" s="568"/>
      <c r="CEQ3" s="568"/>
      <c r="CER3" s="568"/>
      <c r="CES3" s="568"/>
      <c r="CET3" s="568"/>
      <c r="CEU3" s="568"/>
      <c r="CEV3" s="568"/>
      <c r="CEW3" s="568"/>
      <c r="CEX3" s="568"/>
      <c r="CEY3" s="568"/>
      <c r="CEZ3" s="568"/>
      <c r="CFA3" s="568"/>
      <c r="CFB3" s="568"/>
      <c r="CFC3" s="568"/>
      <c r="CFD3" s="568"/>
      <c r="CFE3" s="568"/>
      <c r="CFF3" s="568"/>
      <c r="CFG3" s="568"/>
      <c r="CFH3" s="568"/>
      <c r="CFI3" s="568"/>
      <c r="CFJ3" s="568"/>
      <c r="CFK3" s="568"/>
      <c r="CFL3" s="568"/>
      <c r="CFM3" s="568"/>
      <c r="CFN3" s="568"/>
      <c r="CFO3" s="568"/>
      <c r="CFP3" s="568"/>
      <c r="CFQ3" s="568"/>
      <c r="CFR3" s="568"/>
      <c r="CFS3" s="568"/>
      <c r="CFT3" s="568"/>
      <c r="CFU3" s="568"/>
      <c r="CFV3" s="568"/>
      <c r="CFW3" s="568"/>
      <c r="CFX3" s="568"/>
      <c r="CFY3" s="568"/>
      <c r="CFZ3" s="568"/>
      <c r="CGA3" s="568"/>
      <c r="CGB3" s="568"/>
      <c r="CGC3" s="568"/>
      <c r="CGD3" s="568"/>
      <c r="CGE3" s="568"/>
      <c r="CGF3" s="568"/>
      <c r="CGG3" s="568"/>
      <c r="CGH3" s="568"/>
      <c r="CGI3" s="568"/>
      <c r="CGJ3" s="568"/>
      <c r="CGK3" s="568"/>
      <c r="CGL3" s="568"/>
      <c r="CGM3" s="568"/>
      <c r="CGN3" s="568"/>
      <c r="CGO3" s="568"/>
      <c r="CGP3" s="568"/>
      <c r="CGQ3" s="568"/>
      <c r="CGR3" s="568"/>
      <c r="CGS3" s="568"/>
      <c r="CGT3" s="568"/>
      <c r="CGU3" s="568"/>
      <c r="CGV3" s="568"/>
      <c r="CGW3" s="568"/>
      <c r="CGX3" s="568"/>
      <c r="CGY3" s="568"/>
      <c r="CGZ3" s="568"/>
      <c r="CHA3" s="568"/>
      <c r="CHB3" s="568"/>
      <c r="CHC3" s="568"/>
      <c r="CHD3" s="568"/>
      <c r="CHE3" s="568"/>
      <c r="CHF3" s="568"/>
      <c r="CHG3" s="568"/>
      <c r="CHH3" s="568"/>
      <c r="CHI3" s="568"/>
      <c r="CHJ3" s="568"/>
      <c r="CHK3" s="568"/>
      <c r="CHL3" s="568"/>
      <c r="CHM3" s="568"/>
      <c r="CHN3" s="568"/>
      <c r="CHO3" s="568"/>
      <c r="CHP3" s="568"/>
      <c r="CHQ3" s="568"/>
      <c r="CHR3" s="568"/>
      <c r="CHS3" s="568"/>
      <c r="CHT3" s="568"/>
      <c r="CHU3" s="568"/>
      <c r="CHV3" s="568"/>
      <c r="CHW3" s="568"/>
      <c r="CHX3" s="568"/>
      <c r="CHY3" s="568"/>
      <c r="CHZ3" s="568"/>
      <c r="CIA3" s="568"/>
      <c r="CIB3" s="568"/>
      <c r="CIC3" s="568"/>
      <c r="CID3" s="568"/>
      <c r="CIE3" s="568"/>
      <c r="CIF3" s="568"/>
      <c r="CIG3" s="568"/>
      <c r="CIH3" s="568"/>
      <c r="CII3" s="568"/>
      <c r="CIJ3" s="568"/>
      <c r="CIK3" s="568"/>
      <c r="CIL3" s="568"/>
      <c r="CIM3" s="568"/>
      <c r="CIN3" s="568"/>
      <c r="CIO3" s="568"/>
      <c r="CIP3" s="568"/>
      <c r="CIQ3" s="568"/>
      <c r="CIR3" s="568"/>
      <c r="CIS3" s="568"/>
      <c r="CIT3" s="568"/>
      <c r="CIU3" s="568"/>
      <c r="CIV3" s="568"/>
      <c r="CIW3" s="568"/>
      <c r="CIX3" s="568"/>
      <c r="CIY3" s="568"/>
      <c r="CIZ3" s="568"/>
      <c r="CJA3" s="568"/>
      <c r="CJB3" s="568"/>
      <c r="CJC3" s="568"/>
      <c r="CJD3" s="568"/>
      <c r="CJE3" s="568"/>
      <c r="CJF3" s="568"/>
      <c r="CJG3" s="568"/>
      <c r="CJH3" s="568"/>
      <c r="CJI3" s="568"/>
      <c r="CJJ3" s="568"/>
      <c r="CJK3" s="568"/>
      <c r="CJL3" s="568"/>
      <c r="CJM3" s="568"/>
      <c r="CJN3" s="568"/>
      <c r="CJO3" s="568"/>
      <c r="CJP3" s="568"/>
      <c r="CJQ3" s="568"/>
      <c r="CJR3" s="568"/>
      <c r="CJS3" s="568"/>
      <c r="CJT3" s="568"/>
      <c r="CJU3" s="568"/>
      <c r="CJV3" s="568"/>
      <c r="CJW3" s="568"/>
      <c r="CJX3" s="568"/>
      <c r="CJY3" s="568"/>
      <c r="CJZ3" s="568"/>
      <c r="CKA3" s="568"/>
      <c r="CKB3" s="568"/>
      <c r="CKC3" s="568"/>
      <c r="CKD3" s="568"/>
      <c r="CKE3" s="568"/>
      <c r="CKF3" s="568"/>
      <c r="CKG3" s="568"/>
      <c r="CKH3" s="568"/>
      <c r="CKI3" s="568"/>
      <c r="CKJ3" s="568"/>
      <c r="CKK3" s="568"/>
      <c r="CKL3" s="568"/>
      <c r="CKM3" s="568"/>
      <c r="CKN3" s="568"/>
      <c r="CKO3" s="568"/>
      <c r="CKP3" s="568"/>
      <c r="CKQ3" s="568"/>
      <c r="CKR3" s="568"/>
      <c r="CKS3" s="568"/>
      <c r="CKT3" s="568"/>
      <c r="CKU3" s="568"/>
      <c r="CKV3" s="568"/>
      <c r="CKW3" s="568"/>
      <c r="CKX3" s="568"/>
      <c r="CKY3" s="568"/>
      <c r="CKZ3" s="568"/>
      <c r="CLA3" s="568"/>
      <c r="CLB3" s="568"/>
      <c r="CLC3" s="568"/>
      <c r="CLD3" s="568"/>
      <c r="CLE3" s="568"/>
      <c r="CLF3" s="568"/>
      <c r="CLG3" s="568"/>
      <c r="CLH3" s="568"/>
      <c r="CLI3" s="568"/>
      <c r="CLJ3" s="568"/>
      <c r="CLK3" s="568"/>
      <c r="CLL3" s="568"/>
      <c r="CLM3" s="568"/>
      <c r="CLN3" s="568"/>
      <c r="CLO3" s="568"/>
      <c r="CLP3" s="568"/>
      <c r="CLQ3" s="568"/>
      <c r="CLR3" s="568"/>
      <c r="CLS3" s="568"/>
      <c r="CLT3" s="568"/>
      <c r="CLU3" s="568"/>
      <c r="CLV3" s="568"/>
      <c r="CLW3" s="568"/>
      <c r="CLX3" s="568"/>
      <c r="CLY3" s="568"/>
      <c r="CLZ3" s="568"/>
      <c r="CMA3" s="568"/>
      <c r="CMB3" s="568"/>
      <c r="CMC3" s="568"/>
      <c r="CMD3" s="568"/>
      <c r="CME3" s="568"/>
      <c r="CMF3" s="568"/>
      <c r="CMG3" s="568"/>
      <c r="CMH3" s="568"/>
      <c r="CMI3" s="568"/>
      <c r="CMJ3" s="568"/>
      <c r="CMK3" s="568"/>
      <c r="CML3" s="568"/>
      <c r="CMM3" s="568"/>
      <c r="CMN3" s="568"/>
      <c r="CMO3" s="568"/>
      <c r="CMP3" s="568"/>
      <c r="CMQ3" s="568"/>
      <c r="CMR3" s="568"/>
      <c r="CMS3" s="568"/>
      <c r="CMT3" s="568"/>
      <c r="CMU3" s="568"/>
      <c r="CMV3" s="568"/>
      <c r="CMW3" s="568"/>
      <c r="CMX3" s="568"/>
      <c r="CMY3" s="568"/>
      <c r="CMZ3" s="568"/>
      <c r="CNA3" s="568"/>
      <c r="CNB3" s="568"/>
      <c r="CNC3" s="568"/>
      <c r="CND3" s="568"/>
      <c r="CNE3" s="568"/>
      <c r="CNF3" s="568"/>
      <c r="CNG3" s="568"/>
      <c r="CNH3" s="568"/>
      <c r="CNI3" s="568"/>
      <c r="CNJ3" s="568"/>
      <c r="CNK3" s="568"/>
      <c r="CNL3" s="568"/>
      <c r="CNM3" s="568"/>
      <c r="CNN3" s="568"/>
      <c r="CNO3" s="568"/>
      <c r="CNP3" s="568"/>
      <c r="CNQ3" s="568"/>
      <c r="CNR3" s="568"/>
      <c r="CNS3" s="568"/>
      <c r="CNT3" s="568"/>
      <c r="CNU3" s="568"/>
      <c r="CNV3" s="568"/>
      <c r="CNW3" s="568"/>
      <c r="CNX3" s="568"/>
      <c r="CNY3" s="568"/>
      <c r="CNZ3" s="568"/>
      <c r="COA3" s="568"/>
      <c r="COB3" s="568"/>
      <c r="COC3" s="568"/>
      <c r="COD3" s="568"/>
      <c r="COE3" s="568"/>
      <c r="COF3" s="568"/>
      <c r="COG3" s="568"/>
      <c r="COH3" s="568"/>
      <c r="COI3" s="568"/>
      <c r="COJ3" s="568"/>
      <c r="COK3" s="568"/>
      <c r="COL3" s="568"/>
      <c r="COM3" s="568"/>
      <c r="CON3" s="568"/>
      <c r="COO3" s="568"/>
      <c r="COP3" s="568"/>
      <c r="COQ3" s="568"/>
      <c r="COR3" s="568"/>
      <c r="COS3" s="568"/>
      <c r="COT3" s="568"/>
      <c r="COU3" s="568"/>
      <c r="COV3" s="568"/>
      <c r="COW3" s="568"/>
      <c r="COX3" s="568"/>
      <c r="COY3" s="568"/>
      <c r="COZ3" s="568"/>
      <c r="CPA3" s="568"/>
      <c r="CPB3" s="568"/>
      <c r="CPC3" s="568"/>
      <c r="CPD3" s="568"/>
      <c r="CPE3" s="568"/>
      <c r="CPF3" s="568"/>
      <c r="CPG3" s="568"/>
      <c r="CPH3" s="568"/>
      <c r="CPI3" s="568"/>
      <c r="CPJ3" s="568"/>
      <c r="CPK3" s="568"/>
      <c r="CPL3" s="568"/>
      <c r="CPM3" s="568"/>
      <c r="CPN3" s="568"/>
      <c r="CPO3" s="568"/>
      <c r="CPP3" s="568"/>
      <c r="CPQ3" s="568"/>
      <c r="CPR3" s="568"/>
      <c r="CPS3" s="568"/>
      <c r="CPT3" s="568"/>
      <c r="CPU3" s="568"/>
      <c r="CPV3" s="568"/>
      <c r="CPW3" s="568"/>
      <c r="CPX3" s="568"/>
      <c r="CPY3" s="568"/>
      <c r="CPZ3" s="568"/>
      <c r="CQA3" s="568"/>
      <c r="CQB3" s="568"/>
      <c r="CQC3" s="568"/>
      <c r="CQD3" s="568"/>
      <c r="CQE3" s="568"/>
      <c r="CQF3" s="568"/>
      <c r="CQG3" s="568"/>
      <c r="CQH3" s="568"/>
      <c r="CQI3" s="568"/>
      <c r="CQJ3" s="568"/>
      <c r="CQK3" s="568"/>
      <c r="CQL3" s="568"/>
      <c r="CQM3" s="568"/>
      <c r="CQN3" s="568"/>
      <c r="CQO3" s="568"/>
      <c r="CQP3" s="568"/>
      <c r="CQQ3" s="568"/>
      <c r="CQR3" s="568"/>
      <c r="CQS3" s="568"/>
      <c r="CQT3" s="568"/>
      <c r="CQU3" s="568"/>
      <c r="CQV3" s="568"/>
      <c r="CQW3" s="568"/>
      <c r="CQX3" s="568"/>
      <c r="CQY3" s="568"/>
      <c r="CQZ3" s="568"/>
      <c r="CRA3" s="568"/>
      <c r="CRB3" s="568"/>
      <c r="CRC3" s="568"/>
      <c r="CRD3" s="568"/>
      <c r="CRE3" s="568"/>
      <c r="CRF3" s="568"/>
      <c r="CRG3" s="568"/>
      <c r="CRH3" s="568"/>
      <c r="CRI3" s="568"/>
      <c r="CRJ3" s="568"/>
      <c r="CRK3" s="568"/>
      <c r="CRL3" s="568"/>
      <c r="CRM3" s="568"/>
      <c r="CRN3" s="568"/>
      <c r="CRO3" s="568"/>
      <c r="CRP3" s="568"/>
      <c r="CRQ3" s="568"/>
      <c r="CRR3" s="568"/>
      <c r="CRS3" s="568"/>
      <c r="CRT3" s="568"/>
      <c r="CRU3" s="568"/>
      <c r="CRV3" s="568"/>
      <c r="CRW3" s="568"/>
      <c r="CRX3" s="568"/>
      <c r="CRY3" s="568"/>
      <c r="CRZ3" s="568"/>
      <c r="CSA3" s="568"/>
      <c r="CSB3" s="568"/>
      <c r="CSC3" s="568"/>
      <c r="CSD3" s="568"/>
      <c r="CSE3" s="568"/>
      <c r="CSF3" s="568"/>
      <c r="CSG3" s="568"/>
      <c r="CSH3" s="568"/>
      <c r="CSI3" s="568"/>
      <c r="CSJ3" s="568"/>
      <c r="CSK3" s="568"/>
      <c r="CSL3" s="568"/>
      <c r="CSM3" s="568"/>
      <c r="CSN3" s="568"/>
      <c r="CSO3" s="568"/>
      <c r="CSP3" s="568"/>
      <c r="CSQ3" s="568"/>
      <c r="CSR3" s="568"/>
      <c r="CSS3" s="568"/>
      <c r="CST3" s="568"/>
      <c r="CSU3" s="568"/>
      <c r="CSV3" s="568"/>
      <c r="CSW3" s="568"/>
      <c r="CSX3" s="568"/>
      <c r="CSY3" s="568"/>
      <c r="CSZ3" s="568"/>
      <c r="CTA3" s="568"/>
      <c r="CTB3" s="568"/>
      <c r="CTC3" s="568"/>
      <c r="CTD3" s="568"/>
      <c r="CTE3" s="568"/>
      <c r="CTF3" s="568"/>
      <c r="CTG3" s="568"/>
      <c r="CTH3" s="568"/>
      <c r="CTI3" s="568"/>
      <c r="CTJ3" s="568"/>
      <c r="CTK3" s="568"/>
      <c r="CTL3" s="568"/>
      <c r="CTM3" s="568"/>
      <c r="CTN3" s="568"/>
      <c r="CTO3" s="568"/>
      <c r="CTP3" s="568"/>
      <c r="CTQ3" s="568"/>
      <c r="CTR3" s="568"/>
      <c r="CTS3" s="568"/>
      <c r="CTT3" s="568"/>
      <c r="CTU3" s="568"/>
      <c r="CTV3" s="568"/>
      <c r="CTW3" s="568"/>
      <c r="CTX3" s="568"/>
      <c r="CTY3" s="568"/>
      <c r="CTZ3" s="568"/>
      <c r="CUA3" s="568"/>
      <c r="CUB3" s="568"/>
      <c r="CUC3" s="568"/>
      <c r="CUD3" s="568"/>
      <c r="CUE3" s="568"/>
      <c r="CUF3" s="568"/>
      <c r="CUG3" s="568"/>
      <c r="CUH3" s="568"/>
      <c r="CUI3" s="568"/>
      <c r="CUJ3" s="568"/>
      <c r="CUK3" s="568"/>
      <c r="CUL3" s="568"/>
      <c r="CUM3" s="568"/>
      <c r="CUN3" s="568"/>
      <c r="CUO3" s="568"/>
      <c r="CUP3" s="568"/>
      <c r="CUQ3" s="568"/>
      <c r="CUR3" s="568"/>
      <c r="CUS3" s="568"/>
      <c r="CUT3" s="568"/>
      <c r="CUU3" s="568"/>
      <c r="CUV3" s="568"/>
      <c r="CUW3" s="568"/>
      <c r="CUX3" s="568"/>
      <c r="CUY3" s="568"/>
      <c r="CUZ3" s="568"/>
      <c r="CVA3" s="568"/>
      <c r="CVB3" s="568"/>
      <c r="CVC3" s="568"/>
      <c r="CVD3" s="568"/>
      <c r="CVE3" s="568"/>
      <c r="CVF3" s="568"/>
      <c r="CVG3" s="568"/>
      <c r="CVH3" s="568"/>
      <c r="CVI3" s="568"/>
      <c r="CVJ3" s="568"/>
      <c r="CVK3" s="568"/>
      <c r="CVL3" s="568"/>
      <c r="CVM3" s="568"/>
      <c r="CVN3" s="568"/>
      <c r="CVO3" s="568"/>
      <c r="CVP3" s="568"/>
      <c r="CVQ3" s="568"/>
      <c r="CVR3" s="568"/>
      <c r="CVS3" s="568"/>
      <c r="CVT3" s="568"/>
      <c r="CVU3" s="568"/>
      <c r="CVV3" s="568"/>
      <c r="CVW3" s="568"/>
      <c r="CVX3" s="568"/>
      <c r="CVY3" s="568"/>
      <c r="CVZ3" s="568"/>
      <c r="CWA3" s="568"/>
      <c r="CWB3" s="568"/>
      <c r="CWC3" s="568"/>
      <c r="CWD3" s="568"/>
      <c r="CWE3" s="568"/>
      <c r="CWF3" s="568"/>
      <c r="CWG3" s="568"/>
      <c r="CWH3" s="568"/>
      <c r="CWI3" s="568"/>
      <c r="CWJ3" s="568"/>
      <c r="CWK3" s="568"/>
      <c r="CWL3" s="568"/>
      <c r="CWM3" s="568"/>
      <c r="CWN3" s="568"/>
      <c r="CWO3" s="568"/>
      <c r="CWP3" s="568"/>
      <c r="CWQ3" s="568"/>
      <c r="CWR3" s="568"/>
      <c r="CWS3" s="568"/>
      <c r="CWT3" s="568"/>
      <c r="CWU3" s="568"/>
      <c r="CWV3" s="568"/>
      <c r="CWW3" s="568"/>
      <c r="CWX3" s="568"/>
      <c r="CWY3" s="568"/>
      <c r="CWZ3" s="568"/>
      <c r="CXA3" s="568"/>
      <c r="CXB3" s="568"/>
      <c r="CXC3" s="568"/>
      <c r="CXD3" s="568"/>
      <c r="CXE3" s="568"/>
      <c r="CXF3" s="568"/>
      <c r="CXG3" s="568"/>
      <c r="CXH3" s="568"/>
      <c r="CXI3" s="568"/>
      <c r="CXJ3" s="568"/>
      <c r="CXK3" s="568"/>
      <c r="CXL3" s="568"/>
      <c r="CXM3" s="568"/>
      <c r="CXN3" s="568"/>
      <c r="CXO3" s="568"/>
      <c r="CXP3" s="568"/>
      <c r="CXQ3" s="568"/>
      <c r="CXR3" s="568"/>
      <c r="CXS3" s="568"/>
      <c r="CXT3" s="568"/>
      <c r="CXU3" s="568"/>
      <c r="CXV3" s="568"/>
      <c r="CXW3" s="568"/>
      <c r="CXX3" s="568"/>
      <c r="CXY3" s="568"/>
      <c r="CXZ3" s="568"/>
      <c r="CYA3" s="568"/>
      <c r="CYB3" s="568"/>
      <c r="CYC3" s="568"/>
      <c r="CYD3" s="568"/>
      <c r="CYE3" s="568"/>
      <c r="CYF3" s="568"/>
      <c r="CYG3" s="568"/>
      <c r="CYH3" s="568"/>
      <c r="CYI3" s="568"/>
      <c r="CYJ3" s="568"/>
      <c r="CYK3" s="568"/>
      <c r="CYL3" s="568"/>
      <c r="CYM3" s="568"/>
      <c r="CYN3" s="568"/>
      <c r="CYO3" s="568"/>
      <c r="CYP3" s="568"/>
      <c r="CYQ3" s="568"/>
      <c r="CYR3" s="568"/>
      <c r="CYS3" s="568"/>
      <c r="CYT3" s="568"/>
      <c r="CYU3" s="568"/>
      <c r="CYV3" s="568"/>
      <c r="CYW3" s="568"/>
      <c r="CYX3" s="568"/>
      <c r="CYY3" s="568"/>
      <c r="CYZ3" s="568"/>
      <c r="CZA3" s="568"/>
      <c r="CZB3" s="568"/>
      <c r="CZC3" s="568"/>
      <c r="CZD3" s="568"/>
      <c r="CZE3" s="568"/>
      <c r="CZF3" s="568"/>
      <c r="CZG3" s="568"/>
      <c r="CZH3" s="568"/>
      <c r="CZI3" s="568"/>
      <c r="CZJ3" s="568"/>
      <c r="CZK3" s="568"/>
      <c r="CZL3" s="568"/>
      <c r="CZM3" s="568"/>
      <c r="CZN3" s="568"/>
      <c r="CZO3" s="568"/>
      <c r="CZP3" s="568"/>
      <c r="CZQ3" s="568"/>
      <c r="CZR3" s="568"/>
      <c r="CZS3" s="568"/>
      <c r="CZT3" s="568"/>
      <c r="CZU3" s="568"/>
      <c r="CZV3" s="568"/>
      <c r="CZW3" s="568"/>
      <c r="CZX3" s="568"/>
      <c r="CZY3" s="568"/>
      <c r="CZZ3" s="568"/>
      <c r="DAA3" s="568"/>
      <c r="DAB3" s="568"/>
      <c r="DAC3" s="568"/>
      <c r="DAD3" s="568"/>
      <c r="DAE3" s="568"/>
      <c r="DAF3" s="568"/>
      <c r="DAG3" s="568"/>
      <c r="DAH3" s="568"/>
      <c r="DAI3" s="568"/>
      <c r="DAJ3" s="568"/>
      <c r="DAK3" s="568"/>
      <c r="DAL3" s="568"/>
      <c r="DAM3" s="568"/>
      <c r="DAN3" s="568"/>
      <c r="DAO3" s="568"/>
      <c r="DAP3" s="568"/>
      <c r="DAQ3" s="568"/>
      <c r="DAR3" s="568"/>
      <c r="DAS3" s="568"/>
      <c r="DAT3" s="568"/>
      <c r="DAU3" s="568"/>
      <c r="DAV3" s="568"/>
      <c r="DAW3" s="568"/>
      <c r="DAX3" s="568"/>
      <c r="DAY3" s="568"/>
      <c r="DAZ3" s="568"/>
      <c r="DBA3" s="568"/>
      <c r="DBB3" s="568"/>
      <c r="DBC3" s="568"/>
      <c r="DBD3" s="568"/>
      <c r="DBE3" s="568"/>
      <c r="DBF3" s="568"/>
      <c r="DBG3" s="568"/>
      <c r="DBH3" s="568"/>
      <c r="DBI3" s="568"/>
      <c r="DBJ3" s="568"/>
      <c r="DBK3" s="568"/>
      <c r="DBL3" s="568"/>
      <c r="DBM3" s="568"/>
      <c r="DBN3" s="568"/>
      <c r="DBO3" s="568"/>
      <c r="DBP3" s="568"/>
      <c r="DBQ3" s="568"/>
      <c r="DBR3" s="568"/>
      <c r="DBS3" s="568"/>
      <c r="DBT3" s="568"/>
      <c r="DBU3" s="568"/>
      <c r="DBV3" s="568"/>
      <c r="DBW3" s="568"/>
      <c r="DBX3" s="568"/>
      <c r="DBY3" s="568"/>
      <c r="DBZ3" s="568"/>
      <c r="DCA3" s="568"/>
      <c r="DCB3" s="568"/>
      <c r="DCC3" s="568"/>
      <c r="DCD3" s="568"/>
      <c r="DCE3" s="568"/>
      <c r="DCF3" s="568"/>
      <c r="DCG3" s="568"/>
      <c r="DCH3" s="568"/>
      <c r="DCI3" s="568"/>
      <c r="DCJ3" s="568"/>
      <c r="DCK3" s="568"/>
      <c r="DCL3" s="568"/>
      <c r="DCM3" s="568"/>
      <c r="DCN3" s="568"/>
      <c r="DCO3" s="568"/>
      <c r="DCP3" s="568"/>
      <c r="DCQ3" s="568"/>
      <c r="DCR3" s="568"/>
      <c r="DCS3" s="568"/>
      <c r="DCT3" s="568"/>
      <c r="DCU3" s="568"/>
      <c r="DCV3" s="568"/>
      <c r="DCW3" s="568"/>
      <c r="DCX3" s="568"/>
      <c r="DCY3" s="568"/>
      <c r="DCZ3" s="568"/>
      <c r="DDA3" s="568"/>
      <c r="DDB3" s="568"/>
      <c r="DDC3" s="568"/>
      <c r="DDD3" s="568"/>
      <c r="DDE3" s="568"/>
      <c r="DDF3" s="568"/>
      <c r="DDG3" s="568"/>
      <c r="DDH3" s="568"/>
      <c r="DDI3" s="568"/>
      <c r="DDJ3" s="568"/>
      <c r="DDK3" s="568"/>
      <c r="DDL3" s="568"/>
      <c r="DDM3" s="568"/>
      <c r="DDN3" s="568"/>
      <c r="DDO3" s="568"/>
      <c r="DDP3" s="568"/>
      <c r="DDQ3" s="568"/>
      <c r="DDR3" s="568"/>
      <c r="DDS3" s="568"/>
      <c r="DDT3" s="568"/>
      <c r="DDU3" s="568"/>
      <c r="DDV3" s="568"/>
      <c r="DDW3" s="568"/>
      <c r="DDX3" s="568"/>
      <c r="DDY3" s="568"/>
      <c r="DDZ3" s="568"/>
      <c r="DEA3" s="568"/>
      <c r="DEB3" s="568"/>
      <c r="DEC3" s="568"/>
      <c r="DED3" s="568"/>
      <c r="DEE3" s="568"/>
      <c r="DEF3" s="568"/>
      <c r="DEG3" s="568"/>
      <c r="DEH3" s="568"/>
      <c r="DEI3" s="568"/>
      <c r="DEJ3" s="568"/>
      <c r="DEK3" s="568"/>
      <c r="DEL3" s="568"/>
      <c r="DEM3" s="568"/>
      <c r="DEN3" s="568"/>
      <c r="DEO3" s="568"/>
      <c r="DEP3" s="568"/>
      <c r="DEQ3" s="568"/>
      <c r="DER3" s="568"/>
      <c r="DES3" s="568"/>
      <c r="DET3" s="568"/>
      <c r="DEU3" s="568"/>
      <c r="DEV3" s="568"/>
      <c r="DEW3" s="568"/>
      <c r="DEX3" s="568"/>
      <c r="DEY3" s="568"/>
      <c r="DEZ3" s="568"/>
      <c r="DFA3" s="568"/>
      <c r="DFB3" s="568"/>
      <c r="DFC3" s="568"/>
      <c r="DFD3" s="568"/>
      <c r="DFE3" s="568"/>
      <c r="DFF3" s="568"/>
      <c r="DFG3" s="568"/>
      <c r="DFH3" s="568"/>
      <c r="DFI3" s="568"/>
      <c r="DFJ3" s="568"/>
      <c r="DFK3" s="568"/>
      <c r="DFL3" s="568"/>
      <c r="DFM3" s="568"/>
      <c r="DFN3" s="568"/>
      <c r="DFO3" s="568"/>
      <c r="DFP3" s="568"/>
      <c r="DFQ3" s="568"/>
      <c r="DFR3" s="568"/>
      <c r="DFS3" s="568"/>
      <c r="DFT3" s="568"/>
      <c r="DFU3" s="568"/>
      <c r="DFV3" s="568"/>
      <c r="DFW3" s="568"/>
      <c r="DFX3" s="568"/>
      <c r="DFY3" s="568"/>
      <c r="DFZ3" s="568"/>
      <c r="DGA3" s="568"/>
      <c r="DGB3" s="568"/>
      <c r="DGC3" s="568"/>
      <c r="DGD3" s="568"/>
      <c r="DGE3" s="568"/>
      <c r="DGF3" s="568"/>
      <c r="DGG3" s="568"/>
      <c r="DGH3" s="568"/>
      <c r="DGI3" s="568"/>
      <c r="DGJ3" s="568"/>
      <c r="DGK3" s="568"/>
      <c r="DGL3" s="568"/>
      <c r="DGM3" s="568"/>
      <c r="DGN3" s="568"/>
      <c r="DGO3" s="568"/>
      <c r="DGP3" s="568"/>
      <c r="DGQ3" s="568"/>
      <c r="DGR3" s="568"/>
      <c r="DGS3" s="568"/>
      <c r="DGT3" s="568"/>
      <c r="DGU3" s="568"/>
      <c r="DGV3" s="568"/>
      <c r="DGW3" s="568"/>
      <c r="DGX3" s="568"/>
      <c r="DGY3" s="568"/>
      <c r="DGZ3" s="568"/>
      <c r="DHA3" s="568"/>
      <c r="DHB3" s="568"/>
      <c r="DHC3" s="568"/>
      <c r="DHD3" s="568"/>
      <c r="DHE3" s="568"/>
      <c r="DHF3" s="568"/>
      <c r="DHG3" s="568"/>
      <c r="DHH3" s="568"/>
      <c r="DHI3" s="568"/>
      <c r="DHJ3" s="568"/>
      <c r="DHK3" s="568"/>
      <c r="DHL3" s="568"/>
      <c r="DHM3" s="568"/>
      <c r="DHN3" s="568"/>
      <c r="DHO3" s="568"/>
      <c r="DHP3" s="568"/>
      <c r="DHQ3" s="568"/>
      <c r="DHR3" s="568"/>
      <c r="DHS3" s="568"/>
      <c r="DHT3" s="568"/>
      <c r="DHU3" s="568"/>
      <c r="DHV3" s="568"/>
      <c r="DHW3" s="568"/>
      <c r="DHX3" s="568"/>
      <c r="DHY3" s="568"/>
      <c r="DHZ3" s="568"/>
      <c r="DIA3" s="568"/>
      <c r="DIB3" s="568"/>
      <c r="DIC3" s="568"/>
      <c r="DID3" s="568"/>
      <c r="DIE3" s="568"/>
      <c r="DIF3" s="568"/>
      <c r="DIG3" s="568"/>
      <c r="DIH3" s="568"/>
      <c r="DII3" s="568"/>
      <c r="DIJ3" s="568"/>
      <c r="DIK3" s="568"/>
      <c r="DIL3" s="568"/>
      <c r="DIM3" s="568"/>
      <c r="DIN3" s="568"/>
      <c r="DIO3" s="568"/>
      <c r="DIP3" s="568"/>
      <c r="DIQ3" s="568"/>
      <c r="DIR3" s="568"/>
      <c r="DIS3" s="568"/>
      <c r="DIT3" s="568"/>
      <c r="DIU3" s="568"/>
      <c r="DIV3" s="568"/>
      <c r="DIW3" s="568"/>
      <c r="DIX3" s="568"/>
      <c r="DIY3" s="568"/>
      <c r="DIZ3" s="568"/>
      <c r="DJA3" s="568"/>
      <c r="DJB3" s="568"/>
      <c r="DJC3" s="568"/>
      <c r="DJD3" s="568"/>
      <c r="DJE3" s="568"/>
      <c r="DJF3" s="568"/>
      <c r="DJG3" s="568"/>
      <c r="DJH3" s="568"/>
      <c r="DJI3" s="568"/>
      <c r="DJJ3" s="568"/>
      <c r="DJK3" s="568"/>
      <c r="DJL3" s="568"/>
      <c r="DJM3" s="568"/>
      <c r="DJN3" s="568"/>
      <c r="DJO3" s="568"/>
      <c r="DJP3" s="568"/>
      <c r="DJQ3" s="568"/>
      <c r="DJR3" s="568"/>
      <c r="DJS3" s="568"/>
      <c r="DJT3" s="568"/>
      <c r="DJU3" s="568"/>
      <c r="DJV3" s="568"/>
      <c r="DJW3" s="568"/>
      <c r="DJX3" s="568"/>
      <c r="DJY3" s="568"/>
      <c r="DJZ3" s="568"/>
      <c r="DKA3" s="568"/>
      <c r="DKB3" s="568"/>
      <c r="DKC3" s="568"/>
      <c r="DKD3" s="568"/>
      <c r="DKE3" s="568"/>
      <c r="DKF3" s="568"/>
      <c r="DKG3" s="568"/>
      <c r="DKH3" s="568"/>
      <c r="DKI3" s="568"/>
      <c r="DKJ3" s="568"/>
      <c r="DKK3" s="568"/>
      <c r="DKL3" s="568"/>
      <c r="DKM3" s="568"/>
      <c r="DKN3" s="568"/>
      <c r="DKO3" s="568"/>
      <c r="DKP3" s="568"/>
      <c r="DKQ3" s="568"/>
      <c r="DKR3" s="568"/>
      <c r="DKS3" s="568"/>
      <c r="DKT3" s="568"/>
      <c r="DKU3" s="568"/>
      <c r="DKV3" s="568"/>
      <c r="DKW3" s="568"/>
      <c r="DKX3" s="568"/>
      <c r="DKY3" s="568"/>
      <c r="DKZ3" s="568"/>
      <c r="DLA3" s="568"/>
      <c r="DLB3" s="568"/>
      <c r="DLC3" s="568"/>
      <c r="DLD3" s="568"/>
      <c r="DLE3" s="568"/>
      <c r="DLF3" s="568"/>
      <c r="DLG3" s="568"/>
      <c r="DLH3" s="568"/>
      <c r="DLI3" s="568"/>
      <c r="DLJ3" s="568"/>
      <c r="DLK3" s="568"/>
      <c r="DLL3" s="568"/>
      <c r="DLM3" s="568"/>
      <c r="DLN3" s="568"/>
      <c r="DLO3" s="568"/>
      <c r="DLP3" s="568"/>
      <c r="DLQ3" s="568"/>
      <c r="DLR3" s="568"/>
      <c r="DLS3" s="568"/>
      <c r="DLT3" s="568"/>
      <c r="DLU3" s="568"/>
      <c r="DLV3" s="568"/>
      <c r="DLW3" s="568"/>
      <c r="DLX3" s="568"/>
      <c r="DLY3" s="568"/>
      <c r="DLZ3" s="568"/>
      <c r="DMA3" s="568"/>
      <c r="DMB3" s="568"/>
      <c r="DMC3" s="568"/>
      <c r="DMD3" s="568"/>
      <c r="DME3" s="568"/>
      <c r="DMF3" s="568"/>
      <c r="DMG3" s="568"/>
      <c r="DMH3" s="568"/>
      <c r="DMI3" s="568"/>
      <c r="DMJ3" s="568"/>
      <c r="DMK3" s="568"/>
      <c r="DML3" s="568"/>
      <c r="DMM3" s="568"/>
      <c r="DMN3" s="568"/>
      <c r="DMO3" s="568"/>
      <c r="DMP3" s="568"/>
      <c r="DMQ3" s="568"/>
      <c r="DMR3" s="568"/>
      <c r="DMS3" s="568"/>
      <c r="DMT3" s="568"/>
      <c r="DMU3" s="568"/>
      <c r="DMV3" s="568"/>
      <c r="DMW3" s="568"/>
      <c r="DMX3" s="568"/>
      <c r="DMY3" s="568"/>
      <c r="DMZ3" s="568"/>
      <c r="DNA3" s="568"/>
      <c r="DNB3" s="568"/>
      <c r="DNC3" s="568"/>
      <c r="DND3" s="568"/>
      <c r="DNE3" s="568"/>
      <c r="DNF3" s="568"/>
      <c r="DNG3" s="568"/>
      <c r="DNH3" s="568"/>
      <c r="DNI3" s="568"/>
      <c r="DNJ3" s="568"/>
      <c r="DNK3" s="568"/>
      <c r="DNL3" s="568"/>
      <c r="DNM3" s="568"/>
      <c r="DNN3" s="568"/>
      <c r="DNO3" s="568"/>
      <c r="DNP3" s="568"/>
      <c r="DNQ3" s="568"/>
      <c r="DNR3" s="568"/>
      <c r="DNS3" s="568"/>
      <c r="DNT3" s="568"/>
      <c r="DNU3" s="568"/>
      <c r="DNV3" s="568"/>
      <c r="DNW3" s="568"/>
      <c r="DNX3" s="568"/>
      <c r="DNY3" s="568"/>
      <c r="DNZ3" s="568"/>
      <c r="DOA3" s="568"/>
      <c r="DOB3" s="568"/>
      <c r="DOC3" s="568"/>
      <c r="DOD3" s="568"/>
      <c r="DOE3" s="568"/>
      <c r="DOF3" s="568"/>
      <c r="DOG3" s="568"/>
      <c r="DOH3" s="568"/>
      <c r="DOI3" s="568"/>
      <c r="DOJ3" s="568"/>
      <c r="DOK3" s="568"/>
      <c r="DOL3" s="568"/>
      <c r="DOM3" s="568"/>
      <c r="DON3" s="568"/>
      <c r="DOO3" s="568"/>
      <c r="DOP3" s="568"/>
      <c r="DOQ3" s="568"/>
      <c r="DOR3" s="568"/>
      <c r="DOS3" s="568"/>
      <c r="DOT3" s="568"/>
      <c r="DOU3" s="568"/>
      <c r="DOV3" s="568"/>
      <c r="DOW3" s="568"/>
      <c r="DOX3" s="568"/>
      <c r="DOY3" s="568"/>
      <c r="DOZ3" s="568"/>
      <c r="DPA3" s="568"/>
      <c r="DPB3" s="568"/>
      <c r="DPC3" s="568"/>
      <c r="DPD3" s="568"/>
      <c r="DPE3" s="568"/>
      <c r="DPF3" s="568"/>
      <c r="DPG3" s="568"/>
      <c r="DPH3" s="568"/>
      <c r="DPI3" s="568"/>
      <c r="DPJ3" s="568"/>
      <c r="DPK3" s="568"/>
      <c r="DPL3" s="568"/>
      <c r="DPM3" s="568"/>
      <c r="DPN3" s="568"/>
      <c r="DPO3" s="568"/>
      <c r="DPP3" s="568"/>
      <c r="DPQ3" s="568"/>
      <c r="DPR3" s="568"/>
      <c r="DPS3" s="568"/>
      <c r="DPT3" s="568"/>
      <c r="DPU3" s="568"/>
      <c r="DPV3" s="568"/>
      <c r="DPW3" s="568"/>
      <c r="DPX3" s="568"/>
      <c r="DPY3" s="568"/>
      <c r="DPZ3" s="568"/>
      <c r="DQA3" s="568"/>
      <c r="DQB3" s="568"/>
      <c r="DQC3" s="568"/>
      <c r="DQD3" s="568"/>
      <c r="DQE3" s="568"/>
      <c r="DQF3" s="568"/>
      <c r="DQG3" s="568"/>
      <c r="DQH3" s="568"/>
      <c r="DQI3" s="568"/>
      <c r="DQJ3" s="568"/>
      <c r="DQK3" s="568"/>
      <c r="DQL3" s="568"/>
      <c r="DQM3" s="568"/>
      <c r="DQN3" s="568"/>
      <c r="DQO3" s="568"/>
      <c r="DQP3" s="568"/>
      <c r="DQQ3" s="568"/>
      <c r="DQR3" s="568"/>
      <c r="DQS3" s="568"/>
      <c r="DQT3" s="568"/>
      <c r="DQU3" s="568"/>
      <c r="DQV3" s="568"/>
      <c r="DQW3" s="568"/>
      <c r="DQX3" s="568"/>
      <c r="DQY3" s="568"/>
      <c r="DQZ3" s="568"/>
      <c r="DRA3" s="568"/>
      <c r="DRB3" s="568"/>
      <c r="DRC3" s="568"/>
      <c r="DRD3" s="568"/>
      <c r="DRE3" s="568"/>
      <c r="DRF3" s="568"/>
      <c r="DRG3" s="568"/>
      <c r="DRH3" s="568"/>
      <c r="DRI3" s="568"/>
      <c r="DRJ3" s="568"/>
      <c r="DRK3" s="568"/>
      <c r="DRL3" s="568"/>
      <c r="DRM3" s="568"/>
      <c r="DRN3" s="568"/>
      <c r="DRO3" s="568"/>
      <c r="DRP3" s="568"/>
      <c r="DRQ3" s="568"/>
      <c r="DRR3" s="568"/>
      <c r="DRS3" s="568"/>
      <c r="DRT3" s="568"/>
      <c r="DRU3" s="568"/>
      <c r="DRV3" s="568"/>
      <c r="DRW3" s="568"/>
      <c r="DRX3" s="568"/>
      <c r="DRY3" s="568"/>
      <c r="DRZ3" s="568"/>
      <c r="DSA3" s="568"/>
      <c r="DSB3" s="568"/>
      <c r="DSC3" s="568"/>
      <c r="DSD3" s="568"/>
      <c r="DSE3" s="568"/>
      <c r="DSF3" s="568"/>
      <c r="DSG3" s="568"/>
      <c r="DSH3" s="568"/>
      <c r="DSI3" s="568"/>
      <c r="DSJ3" s="568"/>
      <c r="DSK3" s="568"/>
      <c r="DSL3" s="568"/>
      <c r="DSM3" s="568"/>
      <c r="DSN3" s="568"/>
      <c r="DSO3" s="568"/>
      <c r="DSP3" s="568"/>
      <c r="DSQ3" s="568"/>
      <c r="DSR3" s="568"/>
      <c r="DSS3" s="568"/>
      <c r="DST3" s="568"/>
      <c r="DSU3" s="568"/>
      <c r="DSV3" s="568"/>
      <c r="DSW3" s="568"/>
      <c r="DSX3" s="568"/>
      <c r="DSY3" s="568"/>
      <c r="DSZ3" s="568"/>
      <c r="DTA3" s="568"/>
      <c r="DTB3" s="568"/>
      <c r="DTC3" s="568"/>
      <c r="DTD3" s="568"/>
      <c r="DTE3" s="568"/>
      <c r="DTF3" s="568"/>
      <c r="DTG3" s="568"/>
      <c r="DTH3" s="568"/>
      <c r="DTI3" s="568"/>
      <c r="DTJ3" s="568"/>
      <c r="DTK3" s="568"/>
      <c r="DTL3" s="568"/>
      <c r="DTM3" s="568"/>
      <c r="DTN3" s="568"/>
      <c r="DTO3" s="568"/>
      <c r="DTP3" s="568"/>
      <c r="DTQ3" s="568"/>
      <c r="DTR3" s="568"/>
      <c r="DTS3" s="568"/>
      <c r="DTT3" s="568"/>
      <c r="DTU3" s="568"/>
      <c r="DTV3" s="568"/>
      <c r="DTW3" s="568"/>
      <c r="DTX3" s="568"/>
      <c r="DTY3" s="568"/>
      <c r="DTZ3" s="568"/>
      <c r="DUA3" s="568"/>
      <c r="DUB3" s="568"/>
      <c r="DUC3" s="568"/>
      <c r="DUD3" s="568"/>
      <c r="DUE3" s="568"/>
      <c r="DUF3" s="568"/>
      <c r="DUG3" s="568"/>
      <c r="DUH3" s="568"/>
      <c r="DUI3" s="568"/>
      <c r="DUJ3" s="568"/>
      <c r="DUK3" s="568"/>
      <c r="DUL3" s="568"/>
      <c r="DUM3" s="568"/>
      <c r="DUN3" s="568"/>
      <c r="DUO3" s="568"/>
      <c r="DUP3" s="568"/>
      <c r="DUQ3" s="568"/>
      <c r="DUR3" s="568"/>
      <c r="DUS3" s="568"/>
      <c r="DUT3" s="568"/>
      <c r="DUU3" s="568"/>
      <c r="DUV3" s="568"/>
      <c r="DUW3" s="568"/>
      <c r="DUX3" s="568"/>
      <c r="DUY3" s="568"/>
      <c r="DUZ3" s="568"/>
      <c r="DVA3" s="568"/>
      <c r="DVB3" s="568"/>
      <c r="DVC3" s="568"/>
      <c r="DVD3" s="568"/>
      <c r="DVE3" s="568"/>
      <c r="DVF3" s="568"/>
      <c r="DVG3" s="568"/>
      <c r="DVH3" s="568"/>
      <c r="DVI3" s="568"/>
      <c r="DVJ3" s="568"/>
      <c r="DVK3" s="568"/>
      <c r="DVL3" s="568"/>
      <c r="DVM3" s="568"/>
      <c r="DVN3" s="568"/>
      <c r="DVO3" s="568"/>
      <c r="DVP3" s="568"/>
      <c r="DVQ3" s="568"/>
      <c r="DVR3" s="568"/>
      <c r="DVS3" s="568"/>
      <c r="DVT3" s="568"/>
      <c r="DVU3" s="568"/>
      <c r="DVV3" s="568"/>
      <c r="DVW3" s="568"/>
      <c r="DVX3" s="568"/>
      <c r="DVY3" s="568"/>
      <c r="DVZ3" s="568"/>
      <c r="DWA3" s="568"/>
      <c r="DWB3" s="568"/>
      <c r="DWC3" s="568"/>
      <c r="DWD3" s="568"/>
      <c r="DWE3" s="568"/>
      <c r="DWF3" s="568"/>
      <c r="DWG3" s="568"/>
      <c r="DWH3" s="568"/>
      <c r="DWI3" s="568"/>
      <c r="DWJ3" s="568"/>
      <c r="DWK3" s="568"/>
      <c r="DWL3" s="568"/>
      <c r="DWM3" s="568"/>
      <c r="DWN3" s="568"/>
      <c r="DWO3" s="568"/>
      <c r="DWP3" s="568"/>
      <c r="DWQ3" s="568"/>
      <c r="DWR3" s="568"/>
      <c r="DWS3" s="568"/>
      <c r="DWT3" s="568"/>
      <c r="DWU3" s="568"/>
      <c r="DWV3" s="568"/>
      <c r="DWW3" s="568"/>
      <c r="DWX3" s="568"/>
      <c r="DWY3" s="568"/>
      <c r="DWZ3" s="568"/>
      <c r="DXA3" s="568"/>
      <c r="DXB3" s="568"/>
      <c r="DXC3" s="568"/>
      <c r="DXD3" s="568"/>
      <c r="DXE3" s="568"/>
      <c r="DXF3" s="568"/>
      <c r="DXG3" s="568"/>
      <c r="DXH3" s="568"/>
      <c r="DXI3" s="568"/>
      <c r="DXJ3" s="568"/>
      <c r="DXK3" s="568"/>
      <c r="DXL3" s="568"/>
      <c r="DXM3" s="568"/>
      <c r="DXN3" s="568"/>
      <c r="DXO3" s="568"/>
      <c r="DXP3" s="568"/>
      <c r="DXQ3" s="568"/>
      <c r="DXR3" s="568"/>
      <c r="DXS3" s="568"/>
      <c r="DXT3" s="568"/>
      <c r="DXU3" s="568"/>
      <c r="DXV3" s="568"/>
      <c r="DXW3" s="568"/>
      <c r="DXX3" s="568"/>
      <c r="DXY3" s="568"/>
      <c r="DXZ3" s="568"/>
      <c r="DYA3" s="568"/>
      <c r="DYB3" s="568"/>
      <c r="DYC3" s="568"/>
      <c r="DYD3" s="568"/>
      <c r="DYE3" s="568"/>
      <c r="DYF3" s="568"/>
      <c r="DYG3" s="568"/>
      <c r="DYH3" s="568"/>
      <c r="DYI3" s="568"/>
      <c r="DYJ3" s="568"/>
      <c r="DYK3" s="568"/>
      <c r="DYL3" s="568"/>
      <c r="DYM3" s="568"/>
      <c r="DYN3" s="568"/>
      <c r="DYO3" s="568"/>
      <c r="DYP3" s="568"/>
      <c r="DYQ3" s="568"/>
      <c r="DYR3" s="568"/>
      <c r="DYS3" s="568"/>
      <c r="DYT3" s="568"/>
      <c r="DYU3" s="568"/>
      <c r="DYV3" s="568"/>
      <c r="DYW3" s="568"/>
      <c r="DYX3" s="568"/>
      <c r="DYY3" s="568"/>
      <c r="DYZ3" s="568"/>
      <c r="DZA3" s="568"/>
      <c r="DZB3" s="568"/>
      <c r="DZC3" s="568"/>
      <c r="DZD3" s="568"/>
      <c r="DZE3" s="568"/>
      <c r="DZF3" s="568"/>
      <c r="DZG3" s="568"/>
      <c r="DZH3" s="568"/>
      <c r="DZI3" s="568"/>
      <c r="DZJ3" s="568"/>
      <c r="DZK3" s="568"/>
      <c r="DZL3" s="568"/>
      <c r="DZM3" s="568"/>
      <c r="DZN3" s="568"/>
      <c r="DZO3" s="568"/>
      <c r="DZP3" s="568"/>
      <c r="DZQ3" s="568"/>
      <c r="DZR3" s="568"/>
      <c r="DZS3" s="568"/>
      <c r="DZT3" s="568"/>
      <c r="DZU3" s="568"/>
      <c r="DZV3" s="568"/>
      <c r="DZW3" s="568"/>
      <c r="DZX3" s="568"/>
      <c r="DZY3" s="568"/>
      <c r="DZZ3" s="568"/>
      <c r="EAA3" s="568"/>
      <c r="EAB3" s="568"/>
      <c r="EAC3" s="568"/>
      <c r="EAD3" s="568"/>
      <c r="EAE3" s="568"/>
      <c r="EAF3" s="568"/>
      <c r="EAG3" s="568"/>
      <c r="EAH3" s="568"/>
      <c r="EAI3" s="568"/>
      <c r="EAJ3" s="568"/>
      <c r="EAK3" s="568"/>
      <c r="EAL3" s="568"/>
      <c r="EAM3" s="568"/>
      <c r="EAN3" s="568"/>
      <c r="EAO3" s="568"/>
      <c r="EAP3" s="568"/>
      <c r="EAQ3" s="568"/>
      <c r="EAR3" s="568"/>
      <c r="EAS3" s="568"/>
      <c r="EAT3" s="568"/>
      <c r="EAU3" s="568"/>
      <c r="EAV3" s="568"/>
      <c r="EAW3" s="568"/>
      <c r="EAX3" s="568"/>
      <c r="EAY3" s="568"/>
      <c r="EAZ3" s="568"/>
      <c r="EBA3" s="568"/>
      <c r="EBB3" s="568"/>
      <c r="EBC3" s="568"/>
      <c r="EBD3" s="568"/>
      <c r="EBE3" s="568"/>
      <c r="EBF3" s="568"/>
      <c r="EBG3" s="568"/>
      <c r="EBH3" s="568"/>
      <c r="EBI3" s="568"/>
      <c r="EBJ3" s="568"/>
      <c r="EBK3" s="568"/>
      <c r="EBL3" s="568"/>
      <c r="EBM3" s="568"/>
      <c r="EBN3" s="568"/>
      <c r="EBO3" s="568"/>
      <c r="EBP3" s="568"/>
      <c r="EBQ3" s="568"/>
      <c r="EBR3" s="568"/>
      <c r="EBS3" s="568"/>
      <c r="EBT3" s="568"/>
      <c r="EBU3" s="568"/>
      <c r="EBV3" s="568"/>
      <c r="EBW3" s="568"/>
      <c r="EBX3" s="568"/>
      <c r="EBY3" s="568"/>
      <c r="EBZ3" s="568"/>
      <c r="ECA3" s="568"/>
      <c r="ECB3" s="568"/>
      <c r="ECC3" s="568"/>
      <c r="ECD3" s="568"/>
      <c r="ECE3" s="568"/>
      <c r="ECF3" s="568"/>
      <c r="ECG3" s="568"/>
      <c r="ECH3" s="568"/>
      <c r="ECI3" s="568"/>
      <c r="ECJ3" s="568"/>
      <c r="ECK3" s="568"/>
      <c r="ECL3" s="568"/>
      <c r="ECM3" s="568"/>
      <c r="ECN3" s="568"/>
      <c r="ECO3" s="568"/>
      <c r="ECP3" s="568"/>
      <c r="ECQ3" s="568"/>
      <c r="ECR3" s="568"/>
      <c r="ECS3" s="568"/>
      <c r="ECT3" s="568"/>
      <c r="ECU3" s="568"/>
      <c r="ECV3" s="568"/>
      <c r="ECW3" s="568"/>
      <c r="ECX3" s="568"/>
      <c r="ECY3" s="568"/>
      <c r="ECZ3" s="568"/>
      <c r="EDA3" s="568"/>
      <c r="EDB3" s="568"/>
      <c r="EDC3" s="568"/>
      <c r="EDD3" s="568"/>
      <c r="EDE3" s="568"/>
      <c r="EDF3" s="568"/>
      <c r="EDG3" s="568"/>
      <c r="EDH3" s="568"/>
      <c r="EDI3" s="568"/>
      <c r="EDJ3" s="568"/>
      <c r="EDK3" s="568"/>
      <c r="EDL3" s="568"/>
      <c r="EDM3" s="568"/>
      <c r="EDN3" s="568"/>
      <c r="EDO3" s="568"/>
      <c r="EDP3" s="568"/>
      <c r="EDQ3" s="568"/>
      <c r="EDR3" s="568"/>
      <c r="EDS3" s="568"/>
      <c r="EDT3" s="568"/>
      <c r="EDU3" s="568"/>
      <c r="EDV3" s="568"/>
      <c r="EDW3" s="568"/>
      <c r="EDX3" s="568"/>
      <c r="EDY3" s="568"/>
      <c r="EDZ3" s="568"/>
      <c r="EEA3" s="568"/>
      <c r="EEB3" s="568"/>
      <c r="EEC3" s="568"/>
      <c r="EED3" s="568"/>
      <c r="EEE3" s="568"/>
      <c r="EEF3" s="568"/>
      <c r="EEG3" s="568"/>
      <c r="EEH3" s="568"/>
      <c r="EEI3" s="568"/>
      <c r="EEJ3" s="568"/>
      <c r="EEK3" s="568"/>
      <c r="EEL3" s="568"/>
      <c r="EEM3" s="568"/>
      <c r="EEN3" s="568"/>
      <c r="EEO3" s="568"/>
      <c r="EEP3" s="568"/>
      <c r="EEQ3" s="568"/>
      <c r="EER3" s="568"/>
      <c r="EES3" s="568"/>
      <c r="EET3" s="568"/>
      <c r="EEU3" s="568"/>
      <c r="EEV3" s="568"/>
      <c r="EEW3" s="568"/>
      <c r="EEX3" s="568"/>
      <c r="EEY3" s="568"/>
      <c r="EEZ3" s="568"/>
      <c r="EFA3" s="568"/>
      <c r="EFB3" s="568"/>
      <c r="EFC3" s="568"/>
      <c r="EFD3" s="568"/>
      <c r="EFE3" s="568"/>
      <c r="EFF3" s="568"/>
      <c r="EFG3" s="568"/>
      <c r="EFH3" s="568"/>
      <c r="EFI3" s="568"/>
      <c r="EFJ3" s="568"/>
      <c r="EFK3" s="568"/>
      <c r="EFL3" s="568"/>
      <c r="EFM3" s="568"/>
      <c r="EFN3" s="568"/>
      <c r="EFO3" s="568"/>
      <c r="EFP3" s="568"/>
      <c r="EFQ3" s="568"/>
      <c r="EFR3" s="568"/>
      <c r="EFS3" s="568"/>
      <c r="EFT3" s="568"/>
      <c r="EFU3" s="568"/>
      <c r="EFV3" s="568"/>
      <c r="EFW3" s="568"/>
      <c r="EFX3" s="568"/>
      <c r="EFY3" s="568"/>
      <c r="EFZ3" s="568"/>
      <c r="EGA3" s="568"/>
      <c r="EGB3" s="568"/>
      <c r="EGC3" s="568"/>
      <c r="EGD3" s="568"/>
      <c r="EGE3" s="568"/>
      <c r="EGF3" s="568"/>
      <c r="EGG3" s="568"/>
      <c r="EGH3" s="568"/>
      <c r="EGI3" s="568"/>
      <c r="EGJ3" s="568"/>
      <c r="EGK3" s="568"/>
      <c r="EGL3" s="568"/>
      <c r="EGM3" s="568"/>
      <c r="EGN3" s="568"/>
      <c r="EGO3" s="568"/>
      <c r="EGP3" s="568"/>
      <c r="EGQ3" s="568"/>
      <c r="EGR3" s="568"/>
      <c r="EGS3" s="568"/>
      <c r="EGT3" s="568"/>
      <c r="EGU3" s="568"/>
      <c r="EGV3" s="568"/>
      <c r="EGW3" s="568"/>
      <c r="EGX3" s="568"/>
      <c r="EGY3" s="568"/>
      <c r="EGZ3" s="568"/>
      <c r="EHA3" s="568"/>
      <c r="EHB3" s="568"/>
      <c r="EHC3" s="568"/>
      <c r="EHD3" s="568"/>
      <c r="EHE3" s="568"/>
      <c r="EHF3" s="568"/>
      <c r="EHG3" s="568"/>
      <c r="EHH3" s="568"/>
      <c r="EHI3" s="568"/>
      <c r="EHJ3" s="568"/>
      <c r="EHK3" s="568"/>
      <c r="EHL3" s="568"/>
      <c r="EHM3" s="568"/>
      <c r="EHN3" s="568"/>
      <c r="EHO3" s="568"/>
      <c r="EHP3" s="568"/>
      <c r="EHQ3" s="568"/>
      <c r="EHR3" s="568"/>
      <c r="EHS3" s="568"/>
      <c r="EHT3" s="568"/>
      <c r="EHU3" s="568"/>
      <c r="EHV3" s="568"/>
      <c r="EHW3" s="568"/>
      <c r="EHX3" s="568"/>
      <c r="EHY3" s="568"/>
      <c r="EHZ3" s="568"/>
      <c r="EIA3" s="568"/>
      <c r="EIB3" s="568"/>
      <c r="EIC3" s="568"/>
      <c r="EID3" s="568"/>
      <c r="EIE3" s="568"/>
      <c r="EIF3" s="568"/>
      <c r="EIG3" s="568"/>
      <c r="EIH3" s="568"/>
      <c r="EII3" s="568"/>
      <c r="EIJ3" s="568"/>
      <c r="EIK3" s="568"/>
      <c r="EIL3" s="568"/>
      <c r="EIM3" s="568"/>
      <c r="EIN3" s="568"/>
      <c r="EIO3" s="568"/>
      <c r="EIP3" s="568"/>
      <c r="EIQ3" s="568"/>
      <c r="EIR3" s="568"/>
      <c r="EIS3" s="568"/>
      <c r="EIT3" s="568"/>
      <c r="EIU3" s="568"/>
      <c r="EIV3" s="568"/>
      <c r="EIW3" s="568"/>
      <c r="EIX3" s="568"/>
      <c r="EIY3" s="568"/>
      <c r="EIZ3" s="568"/>
      <c r="EJA3" s="568"/>
      <c r="EJB3" s="568"/>
      <c r="EJC3" s="568"/>
      <c r="EJD3" s="568"/>
      <c r="EJE3" s="568"/>
      <c r="EJF3" s="568"/>
      <c r="EJG3" s="568"/>
      <c r="EJH3" s="568"/>
      <c r="EJI3" s="568"/>
      <c r="EJJ3" s="568"/>
      <c r="EJK3" s="568"/>
      <c r="EJL3" s="568"/>
      <c r="EJM3" s="568"/>
      <c r="EJN3" s="568"/>
      <c r="EJO3" s="568"/>
      <c r="EJP3" s="568"/>
      <c r="EJQ3" s="568"/>
      <c r="EJR3" s="568"/>
      <c r="EJS3" s="568"/>
      <c r="EJT3" s="568"/>
      <c r="EJU3" s="568"/>
      <c r="EJV3" s="568"/>
      <c r="EJW3" s="568"/>
      <c r="EJX3" s="568"/>
      <c r="EJY3" s="568"/>
      <c r="EJZ3" s="568"/>
      <c r="EKA3" s="568"/>
      <c r="EKB3" s="568"/>
      <c r="EKC3" s="568"/>
      <c r="EKD3" s="568"/>
      <c r="EKE3" s="568"/>
      <c r="EKF3" s="568"/>
      <c r="EKG3" s="568"/>
      <c r="EKH3" s="568"/>
      <c r="EKI3" s="568"/>
      <c r="EKJ3" s="568"/>
      <c r="EKK3" s="568"/>
      <c r="EKL3" s="568"/>
      <c r="EKM3" s="568"/>
      <c r="EKN3" s="568"/>
      <c r="EKO3" s="568"/>
      <c r="EKP3" s="568"/>
      <c r="EKQ3" s="568"/>
      <c r="EKR3" s="568"/>
      <c r="EKS3" s="568"/>
      <c r="EKT3" s="568"/>
      <c r="EKU3" s="568"/>
      <c r="EKV3" s="568"/>
      <c r="EKW3" s="568"/>
      <c r="EKX3" s="568"/>
      <c r="EKY3" s="568"/>
      <c r="EKZ3" s="568"/>
      <c r="ELA3" s="568"/>
      <c r="ELB3" s="568"/>
      <c r="ELC3" s="568"/>
      <c r="ELD3" s="568"/>
      <c r="ELE3" s="568"/>
      <c r="ELF3" s="568"/>
      <c r="ELG3" s="568"/>
      <c r="ELH3" s="568"/>
      <c r="ELI3" s="568"/>
      <c r="ELJ3" s="568"/>
      <c r="ELK3" s="568"/>
      <c r="ELL3" s="568"/>
      <c r="ELM3" s="568"/>
      <c r="ELN3" s="568"/>
      <c r="ELO3" s="568"/>
      <c r="ELP3" s="568"/>
      <c r="ELQ3" s="568"/>
      <c r="ELR3" s="568"/>
      <c r="ELS3" s="568"/>
      <c r="ELT3" s="568"/>
      <c r="ELU3" s="568"/>
      <c r="ELV3" s="568"/>
      <c r="ELW3" s="568"/>
      <c r="ELX3" s="568"/>
      <c r="ELY3" s="568"/>
      <c r="ELZ3" s="568"/>
      <c r="EMA3" s="568"/>
      <c r="EMB3" s="568"/>
      <c r="EMC3" s="568"/>
      <c r="EMD3" s="568"/>
      <c r="EME3" s="568"/>
      <c r="EMF3" s="568"/>
      <c r="EMG3" s="568"/>
      <c r="EMH3" s="568"/>
      <c r="EMI3" s="568"/>
      <c r="EMJ3" s="568"/>
      <c r="EMK3" s="568"/>
      <c r="EML3" s="568"/>
      <c r="EMM3" s="568"/>
      <c r="EMN3" s="568"/>
      <c r="EMO3" s="568"/>
      <c r="EMP3" s="568"/>
      <c r="EMQ3" s="568"/>
      <c r="EMR3" s="568"/>
      <c r="EMS3" s="568"/>
      <c r="EMT3" s="568"/>
      <c r="EMU3" s="568"/>
      <c r="EMV3" s="568"/>
      <c r="EMW3" s="568"/>
      <c r="EMX3" s="568"/>
      <c r="EMY3" s="568"/>
      <c r="EMZ3" s="568"/>
      <c r="ENA3" s="568"/>
      <c r="ENB3" s="568"/>
      <c r="ENC3" s="568"/>
      <c r="END3" s="568"/>
      <c r="ENE3" s="568"/>
      <c r="ENF3" s="568"/>
      <c r="ENG3" s="568"/>
      <c r="ENH3" s="568"/>
      <c r="ENI3" s="568"/>
      <c r="ENJ3" s="568"/>
      <c r="ENK3" s="568"/>
      <c r="ENL3" s="568"/>
      <c r="ENM3" s="568"/>
      <c r="ENN3" s="568"/>
      <c r="ENO3" s="568"/>
      <c r="ENP3" s="568"/>
      <c r="ENQ3" s="568"/>
      <c r="ENR3" s="568"/>
      <c r="ENS3" s="568"/>
      <c r="ENT3" s="568"/>
      <c r="ENU3" s="568"/>
      <c r="ENV3" s="568"/>
      <c r="ENW3" s="568"/>
      <c r="ENX3" s="568"/>
      <c r="ENY3" s="568"/>
      <c r="ENZ3" s="568"/>
      <c r="EOA3" s="568"/>
      <c r="EOB3" s="568"/>
      <c r="EOC3" s="568"/>
      <c r="EOD3" s="568"/>
      <c r="EOE3" s="568"/>
      <c r="EOF3" s="568"/>
      <c r="EOG3" s="568"/>
      <c r="EOH3" s="568"/>
      <c r="EOI3" s="568"/>
      <c r="EOJ3" s="568"/>
      <c r="EOK3" s="568"/>
      <c r="EOL3" s="568"/>
      <c r="EOM3" s="568"/>
      <c r="EON3" s="568"/>
      <c r="EOO3" s="568"/>
      <c r="EOP3" s="568"/>
      <c r="EOQ3" s="568"/>
      <c r="EOR3" s="568"/>
      <c r="EOS3" s="568"/>
      <c r="EOT3" s="568"/>
      <c r="EOU3" s="568"/>
      <c r="EOV3" s="568"/>
      <c r="EOW3" s="568"/>
      <c r="EOX3" s="568"/>
      <c r="EOY3" s="568"/>
      <c r="EOZ3" s="568"/>
      <c r="EPA3" s="568"/>
      <c r="EPB3" s="568"/>
      <c r="EPC3" s="568"/>
      <c r="EPD3" s="568"/>
      <c r="EPE3" s="568"/>
      <c r="EPF3" s="568"/>
      <c r="EPG3" s="568"/>
      <c r="EPH3" s="568"/>
      <c r="EPI3" s="568"/>
      <c r="EPJ3" s="568"/>
      <c r="EPK3" s="568"/>
      <c r="EPL3" s="568"/>
      <c r="EPM3" s="568"/>
      <c r="EPN3" s="568"/>
      <c r="EPO3" s="568"/>
      <c r="EPP3" s="568"/>
      <c r="EPQ3" s="568"/>
      <c r="EPR3" s="568"/>
      <c r="EPS3" s="568"/>
      <c r="EPT3" s="568"/>
      <c r="EPU3" s="568"/>
      <c r="EPV3" s="568"/>
      <c r="EPW3" s="568"/>
      <c r="EPX3" s="568"/>
      <c r="EPY3" s="568"/>
      <c r="EPZ3" s="568"/>
      <c r="EQA3" s="568"/>
      <c r="EQB3" s="568"/>
      <c r="EQC3" s="568"/>
      <c r="EQD3" s="568"/>
      <c r="EQE3" s="568"/>
      <c r="EQF3" s="568"/>
      <c r="EQG3" s="568"/>
      <c r="EQH3" s="568"/>
      <c r="EQI3" s="568"/>
      <c r="EQJ3" s="568"/>
      <c r="EQK3" s="568"/>
      <c r="EQL3" s="568"/>
      <c r="EQM3" s="568"/>
      <c r="EQN3" s="568"/>
      <c r="EQO3" s="568"/>
      <c r="EQP3" s="568"/>
      <c r="EQQ3" s="568"/>
      <c r="EQR3" s="568"/>
      <c r="EQS3" s="568"/>
      <c r="EQT3" s="568"/>
      <c r="EQU3" s="568"/>
      <c r="EQV3" s="568"/>
      <c r="EQW3" s="568"/>
      <c r="EQX3" s="568"/>
      <c r="EQY3" s="568"/>
      <c r="EQZ3" s="568"/>
      <c r="ERA3" s="568"/>
      <c r="ERB3" s="568"/>
      <c r="ERC3" s="568"/>
      <c r="ERD3" s="568"/>
      <c r="ERE3" s="568"/>
      <c r="ERF3" s="568"/>
      <c r="ERG3" s="568"/>
      <c r="ERH3" s="568"/>
      <c r="ERI3" s="568"/>
      <c r="ERJ3" s="568"/>
      <c r="ERK3" s="568"/>
      <c r="ERL3" s="568"/>
      <c r="ERM3" s="568"/>
      <c r="ERN3" s="568"/>
      <c r="ERO3" s="568"/>
      <c r="ERP3" s="568"/>
      <c r="ERQ3" s="568"/>
      <c r="ERR3" s="568"/>
      <c r="ERS3" s="568"/>
      <c r="ERT3" s="568"/>
      <c r="ERU3" s="568"/>
      <c r="ERV3" s="568"/>
      <c r="ERW3" s="568"/>
      <c r="ERX3" s="568"/>
      <c r="ERY3" s="568"/>
      <c r="ERZ3" s="568"/>
      <c r="ESA3" s="568"/>
      <c r="ESB3" s="568"/>
      <c r="ESC3" s="568"/>
      <c r="ESD3" s="568"/>
      <c r="ESE3" s="568"/>
      <c r="ESF3" s="568"/>
      <c r="ESG3" s="568"/>
      <c r="ESH3" s="568"/>
      <c r="ESI3" s="568"/>
      <c r="ESJ3" s="568"/>
      <c r="ESK3" s="568"/>
      <c r="ESL3" s="568"/>
      <c r="ESM3" s="568"/>
      <c r="ESN3" s="568"/>
      <c r="ESO3" s="568"/>
      <c r="ESP3" s="568"/>
      <c r="ESQ3" s="568"/>
      <c r="ESR3" s="568"/>
      <c r="ESS3" s="568"/>
      <c r="EST3" s="568"/>
      <c r="ESU3" s="568"/>
      <c r="ESV3" s="568"/>
      <c r="ESW3" s="568"/>
      <c r="ESX3" s="568"/>
      <c r="ESY3" s="568"/>
      <c r="ESZ3" s="568"/>
      <c r="ETA3" s="568"/>
      <c r="ETB3" s="568"/>
      <c r="ETC3" s="568"/>
      <c r="ETD3" s="568"/>
      <c r="ETE3" s="568"/>
      <c r="ETF3" s="568"/>
      <c r="ETG3" s="568"/>
      <c r="ETH3" s="568"/>
      <c r="ETI3" s="568"/>
      <c r="ETJ3" s="568"/>
      <c r="ETK3" s="568"/>
      <c r="ETL3" s="568"/>
      <c r="ETM3" s="568"/>
      <c r="ETN3" s="568"/>
      <c r="ETO3" s="568"/>
      <c r="ETP3" s="568"/>
      <c r="ETQ3" s="568"/>
      <c r="ETR3" s="568"/>
      <c r="ETS3" s="568"/>
      <c r="ETT3" s="568"/>
      <c r="ETU3" s="568"/>
      <c r="ETV3" s="568"/>
      <c r="ETW3" s="568"/>
      <c r="ETX3" s="568"/>
      <c r="ETY3" s="568"/>
      <c r="ETZ3" s="568"/>
      <c r="EUA3" s="568"/>
      <c r="EUB3" s="568"/>
      <c r="EUC3" s="568"/>
      <c r="EUD3" s="568"/>
      <c r="EUE3" s="568"/>
      <c r="EUF3" s="568"/>
      <c r="EUG3" s="568"/>
      <c r="EUH3" s="568"/>
      <c r="EUI3" s="568"/>
      <c r="EUJ3" s="568"/>
      <c r="EUK3" s="568"/>
      <c r="EUL3" s="568"/>
      <c r="EUM3" s="568"/>
      <c r="EUN3" s="568"/>
      <c r="EUO3" s="568"/>
      <c r="EUP3" s="568"/>
      <c r="EUQ3" s="568"/>
      <c r="EUR3" s="568"/>
      <c r="EUS3" s="568"/>
      <c r="EUT3" s="568"/>
      <c r="EUU3" s="568"/>
      <c r="EUV3" s="568"/>
      <c r="EUW3" s="568"/>
      <c r="EUX3" s="568"/>
      <c r="EUY3" s="568"/>
      <c r="EUZ3" s="568"/>
      <c r="EVA3" s="568"/>
      <c r="EVB3" s="568"/>
      <c r="EVC3" s="568"/>
      <c r="EVD3" s="568"/>
      <c r="EVE3" s="568"/>
      <c r="EVF3" s="568"/>
      <c r="EVG3" s="568"/>
      <c r="EVH3" s="568"/>
      <c r="EVI3" s="568"/>
      <c r="EVJ3" s="568"/>
      <c r="EVK3" s="568"/>
      <c r="EVL3" s="568"/>
      <c r="EVM3" s="568"/>
      <c r="EVN3" s="568"/>
      <c r="EVO3" s="568"/>
      <c r="EVP3" s="568"/>
      <c r="EVQ3" s="568"/>
      <c r="EVR3" s="568"/>
      <c r="EVS3" s="568"/>
      <c r="EVT3" s="568"/>
      <c r="EVU3" s="568"/>
      <c r="EVV3" s="568"/>
      <c r="EVW3" s="568"/>
      <c r="EVX3" s="568"/>
      <c r="EVY3" s="568"/>
      <c r="EVZ3" s="568"/>
      <c r="EWA3" s="568"/>
      <c r="EWB3" s="568"/>
      <c r="EWC3" s="568"/>
      <c r="EWD3" s="568"/>
      <c r="EWE3" s="568"/>
      <c r="EWF3" s="568"/>
      <c r="EWG3" s="568"/>
      <c r="EWH3" s="568"/>
      <c r="EWI3" s="568"/>
      <c r="EWJ3" s="568"/>
      <c r="EWK3" s="568"/>
      <c r="EWL3" s="568"/>
      <c r="EWM3" s="568"/>
      <c r="EWN3" s="568"/>
      <c r="EWO3" s="568"/>
      <c r="EWP3" s="568"/>
      <c r="EWQ3" s="568"/>
      <c r="EWR3" s="568"/>
      <c r="EWS3" s="568"/>
      <c r="EWT3" s="568"/>
      <c r="EWU3" s="568"/>
      <c r="EWV3" s="568"/>
      <c r="EWW3" s="568"/>
      <c r="EWX3" s="568"/>
      <c r="EWY3" s="568"/>
      <c r="EWZ3" s="568"/>
      <c r="EXA3" s="568"/>
      <c r="EXB3" s="568"/>
      <c r="EXC3" s="568"/>
      <c r="EXD3" s="568"/>
      <c r="EXE3" s="568"/>
      <c r="EXF3" s="568"/>
      <c r="EXG3" s="568"/>
      <c r="EXH3" s="568"/>
      <c r="EXI3" s="568"/>
      <c r="EXJ3" s="568"/>
      <c r="EXK3" s="568"/>
      <c r="EXL3" s="568"/>
      <c r="EXM3" s="568"/>
      <c r="EXN3" s="568"/>
      <c r="EXO3" s="568"/>
      <c r="EXP3" s="568"/>
      <c r="EXQ3" s="568"/>
      <c r="EXR3" s="568"/>
      <c r="EXS3" s="568"/>
      <c r="EXT3" s="568"/>
      <c r="EXU3" s="568"/>
      <c r="EXV3" s="568"/>
      <c r="EXW3" s="568"/>
      <c r="EXX3" s="568"/>
      <c r="EXY3" s="568"/>
      <c r="EXZ3" s="568"/>
      <c r="EYA3" s="568"/>
      <c r="EYB3" s="568"/>
      <c r="EYC3" s="568"/>
      <c r="EYD3" s="568"/>
      <c r="EYE3" s="568"/>
      <c r="EYF3" s="568"/>
      <c r="EYG3" s="568"/>
      <c r="EYH3" s="568"/>
      <c r="EYI3" s="568"/>
      <c r="EYJ3" s="568"/>
      <c r="EYK3" s="568"/>
      <c r="EYL3" s="568"/>
      <c r="EYM3" s="568"/>
      <c r="EYN3" s="568"/>
      <c r="EYO3" s="568"/>
      <c r="EYP3" s="568"/>
      <c r="EYQ3" s="568"/>
      <c r="EYR3" s="568"/>
      <c r="EYS3" s="568"/>
      <c r="EYT3" s="568"/>
      <c r="EYU3" s="568"/>
      <c r="EYV3" s="568"/>
      <c r="EYW3" s="568"/>
      <c r="EYX3" s="568"/>
      <c r="EYY3" s="568"/>
      <c r="EYZ3" s="568"/>
      <c r="EZA3" s="568"/>
      <c r="EZB3" s="568"/>
      <c r="EZC3" s="568"/>
      <c r="EZD3" s="568"/>
      <c r="EZE3" s="568"/>
      <c r="EZF3" s="568"/>
      <c r="EZG3" s="568"/>
      <c r="EZH3" s="568"/>
      <c r="EZI3" s="568"/>
      <c r="EZJ3" s="568"/>
      <c r="EZK3" s="568"/>
      <c r="EZL3" s="568"/>
      <c r="EZM3" s="568"/>
      <c r="EZN3" s="568"/>
      <c r="EZO3" s="568"/>
      <c r="EZP3" s="568"/>
      <c r="EZQ3" s="568"/>
      <c r="EZR3" s="568"/>
      <c r="EZS3" s="568"/>
      <c r="EZT3" s="568"/>
      <c r="EZU3" s="568"/>
      <c r="EZV3" s="568"/>
      <c r="EZW3" s="568"/>
      <c r="EZX3" s="568"/>
      <c r="EZY3" s="568"/>
      <c r="EZZ3" s="568"/>
      <c r="FAA3" s="568"/>
      <c r="FAB3" s="568"/>
      <c r="FAC3" s="568"/>
      <c r="FAD3" s="568"/>
      <c r="FAE3" s="568"/>
      <c r="FAF3" s="568"/>
      <c r="FAG3" s="568"/>
      <c r="FAH3" s="568"/>
      <c r="FAI3" s="568"/>
      <c r="FAJ3" s="568"/>
      <c r="FAK3" s="568"/>
      <c r="FAL3" s="568"/>
      <c r="FAM3" s="568"/>
      <c r="FAN3" s="568"/>
      <c r="FAO3" s="568"/>
      <c r="FAP3" s="568"/>
      <c r="FAQ3" s="568"/>
      <c r="FAR3" s="568"/>
      <c r="FAS3" s="568"/>
      <c r="FAT3" s="568"/>
      <c r="FAU3" s="568"/>
      <c r="FAV3" s="568"/>
      <c r="FAW3" s="568"/>
      <c r="FAX3" s="568"/>
      <c r="FAY3" s="568"/>
      <c r="FAZ3" s="568"/>
      <c r="FBA3" s="568"/>
      <c r="FBB3" s="568"/>
      <c r="FBC3" s="568"/>
      <c r="FBD3" s="568"/>
      <c r="FBE3" s="568"/>
      <c r="FBF3" s="568"/>
      <c r="FBG3" s="568"/>
      <c r="FBH3" s="568"/>
      <c r="FBI3" s="568"/>
      <c r="FBJ3" s="568"/>
      <c r="FBK3" s="568"/>
      <c r="FBL3" s="568"/>
      <c r="FBM3" s="568"/>
      <c r="FBN3" s="568"/>
      <c r="FBO3" s="568"/>
      <c r="FBP3" s="568"/>
      <c r="FBQ3" s="568"/>
      <c r="FBR3" s="568"/>
      <c r="FBS3" s="568"/>
      <c r="FBT3" s="568"/>
      <c r="FBU3" s="568"/>
      <c r="FBV3" s="568"/>
      <c r="FBW3" s="568"/>
      <c r="FBX3" s="568"/>
      <c r="FBY3" s="568"/>
      <c r="FBZ3" s="568"/>
      <c r="FCA3" s="568"/>
      <c r="FCB3" s="568"/>
      <c r="FCC3" s="568"/>
      <c r="FCD3" s="568"/>
      <c r="FCE3" s="568"/>
      <c r="FCF3" s="568"/>
      <c r="FCG3" s="568"/>
      <c r="FCH3" s="568"/>
      <c r="FCI3" s="568"/>
      <c r="FCJ3" s="568"/>
      <c r="FCK3" s="568"/>
      <c r="FCL3" s="568"/>
      <c r="FCM3" s="568"/>
      <c r="FCN3" s="568"/>
      <c r="FCO3" s="568"/>
      <c r="FCP3" s="568"/>
      <c r="FCQ3" s="568"/>
      <c r="FCR3" s="568"/>
      <c r="FCS3" s="568"/>
      <c r="FCT3" s="568"/>
      <c r="FCU3" s="568"/>
      <c r="FCV3" s="568"/>
      <c r="FCW3" s="568"/>
      <c r="FCX3" s="568"/>
      <c r="FCY3" s="568"/>
      <c r="FCZ3" s="568"/>
      <c r="FDA3" s="568"/>
      <c r="FDB3" s="568"/>
      <c r="FDC3" s="568"/>
      <c r="FDD3" s="568"/>
      <c r="FDE3" s="568"/>
      <c r="FDF3" s="568"/>
      <c r="FDG3" s="568"/>
      <c r="FDH3" s="568"/>
      <c r="FDI3" s="568"/>
      <c r="FDJ3" s="568"/>
      <c r="FDK3" s="568"/>
      <c r="FDL3" s="568"/>
      <c r="FDM3" s="568"/>
      <c r="FDN3" s="568"/>
      <c r="FDO3" s="568"/>
      <c r="FDP3" s="568"/>
      <c r="FDQ3" s="568"/>
      <c r="FDR3" s="568"/>
      <c r="FDS3" s="568"/>
      <c r="FDT3" s="568"/>
      <c r="FDU3" s="568"/>
      <c r="FDV3" s="568"/>
      <c r="FDW3" s="568"/>
      <c r="FDX3" s="568"/>
      <c r="FDY3" s="568"/>
      <c r="FDZ3" s="568"/>
      <c r="FEA3" s="568"/>
      <c r="FEB3" s="568"/>
      <c r="FEC3" s="568"/>
      <c r="FED3" s="568"/>
      <c r="FEE3" s="568"/>
      <c r="FEF3" s="568"/>
      <c r="FEG3" s="568"/>
      <c r="FEH3" s="568"/>
      <c r="FEI3" s="568"/>
      <c r="FEJ3" s="568"/>
      <c r="FEK3" s="568"/>
      <c r="FEL3" s="568"/>
      <c r="FEM3" s="568"/>
      <c r="FEN3" s="568"/>
      <c r="FEO3" s="568"/>
      <c r="FEP3" s="568"/>
      <c r="FEQ3" s="568"/>
      <c r="FER3" s="568"/>
      <c r="FES3" s="568"/>
      <c r="FET3" s="568"/>
      <c r="FEU3" s="568"/>
      <c r="FEV3" s="568"/>
      <c r="FEW3" s="568"/>
      <c r="FEX3" s="568"/>
      <c r="FEY3" s="568"/>
      <c r="FEZ3" s="568"/>
      <c r="FFA3" s="568"/>
      <c r="FFB3" s="568"/>
      <c r="FFC3" s="568"/>
      <c r="FFD3" s="568"/>
      <c r="FFE3" s="568"/>
      <c r="FFF3" s="568"/>
      <c r="FFG3" s="568"/>
      <c r="FFH3" s="568"/>
      <c r="FFI3" s="568"/>
      <c r="FFJ3" s="568"/>
      <c r="FFK3" s="568"/>
      <c r="FFL3" s="568"/>
      <c r="FFM3" s="568"/>
      <c r="FFN3" s="568"/>
      <c r="FFO3" s="568"/>
      <c r="FFP3" s="568"/>
      <c r="FFQ3" s="568"/>
      <c r="FFR3" s="568"/>
      <c r="FFS3" s="568"/>
      <c r="FFT3" s="568"/>
      <c r="FFU3" s="568"/>
      <c r="FFV3" s="568"/>
      <c r="FFW3" s="568"/>
      <c r="FFX3" s="568"/>
      <c r="FFY3" s="568"/>
      <c r="FFZ3" s="568"/>
      <c r="FGA3" s="568"/>
      <c r="FGB3" s="568"/>
      <c r="FGC3" s="568"/>
      <c r="FGD3" s="568"/>
      <c r="FGE3" s="568"/>
      <c r="FGF3" s="568"/>
      <c r="FGG3" s="568"/>
      <c r="FGH3" s="568"/>
      <c r="FGI3" s="568"/>
      <c r="FGJ3" s="568"/>
      <c r="FGK3" s="568"/>
      <c r="FGL3" s="568"/>
      <c r="FGM3" s="568"/>
      <c r="FGN3" s="568"/>
      <c r="FGO3" s="568"/>
      <c r="FGP3" s="568"/>
      <c r="FGQ3" s="568"/>
      <c r="FGR3" s="568"/>
      <c r="FGS3" s="568"/>
      <c r="FGT3" s="568"/>
      <c r="FGU3" s="568"/>
      <c r="FGV3" s="568"/>
      <c r="FGW3" s="568"/>
      <c r="FGX3" s="568"/>
      <c r="FGY3" s="568"/>
      <c r="FGZ3" s="568"/>
      <c r="FHA3" s="568"/>
      <c r="FHB3" s="568"/>
      <c r="FHC3" s="568"/>
      <c r="FHD3" s="568"/>
      <c r="FHE3" s="568"/>
      <c r="FHF3" s="568"/>
      <c r="FHG3" s="568"/>
      <c r="FHH3" s="568"/>
      <c r="FHI3" s="568"/>
      <c r="FHJ3" s="568"/>
      <c r="FHK3" s="568"/>
      <c r="FHL3" s="568"/>
      <c r="FHM3" s="568"/>
      <c r="FHN3" s="568"/>
      <c r="FHO3" s="568"/>
      <c r="FHP3" s="568"/>
      <c r="FHQ3" s="568"/>
      <c r="FHR3" s="568"/>
      <c r="FHS3" s="568"/>
      <c r="FHT3" s="568"/>
      <c r="FHU3" s="568"/>
      <c r="FHV3" s="568"/>
      <c r="FHW3" s="568"/>
      <c r="FHX3" s="568"/>
      <c r="FHY3" s="568"/>
      <c r="FHZ3" s="568"/>
      <c r="FIA3" s="568"/>
      <c r="FIB3" s="568"/>
      <c r="FIC3" s="568"/>
      <c r="FID3" s="568"/>
      <c r="FIE3" s="568"/>
      <c r="FIF3" s="568"/>
      <c r="FIG3" s="568"/>
      <c r="FIH3" s="568"/>
      <c r="FII3" s="568"/>
      <c r="FIJ3" s="568"/>
      <c r="FIK3" s="568"/>
      <c r="FIL3" s="568"/>
      <c r="FIM3" s="568"/>
      <c r="FIN3" s="568"/>
      <c r="FIO3" s="568"/>
      <c r="FIP3" s="568"/>
      <c r="FIQ3" s="568"/>
      <c r="FIR3" s="568"/>
      <c r="FIS3" s="568"/>
      <c r="FIT3" s="568"/>
      <c r="FIU3" s="568"/>
      <c r="FIV3" s="568"/>
      <c r="FIW3" s="568"/>
      <c r="FIX3" s="568"/>
      <c r="FIY3" s="568"/>
      <c r="FIZ3" s="568"/>
      <c r="FJA3" s="568"/>
      <c r="FJB3" s="568"/>
      <c r="FJC3" s="568"/>
      <c r="FJD3" s="568"/>
      <c r="FJE3" s="568"/>
      <c r="FJF3" s="568"/>
      <c r="FJG3" s="568"/>
      <c r="FJH3" s="568"/>
      <c r="FJI3" s="568"/>
      <c r="FJJ3" s="568"/>
      <c r="FJK3" s="568"/>
      <c r="FJL3" s="568"/>
      <c r="FJM3" s="568"/>
      <c r="FJN3" s="568"/>
      <c r="FJO3" s="568"/>
      <c r="FJP3" s="568"/>
      <c r="FJQ3" s="568"/>
      <c r="FJR3" s="568"/>
      <c r="FJS3" s="568"/>
      <c r="FJT3" s="568"/>
      <c r="FJU3" s="568"/>
      <c r="FJV3" s="568"/>
      <c r="FJW3" s="568"/>
      <c r="FJX3" s="568"/>
      <c r="FJY3" s="568"/>
      <c r="FJZ3" s="568"/>
      <c r="FKA3" s="568"/>
      <c r="FKB3" s="568"/>
      <c r="FKC3" s="568"/>
      <c r="FKD3" s="568"/>
      <c r="FKE3" s="568"/>
      <c r="FKF3" s="568"/>
      <c r="FKG3" s="568"/>
      <c r="FKH3" s="568"/>
      <c r="FKI3" s="568"/>
      <c r="FKJ3" s="568"/>
      <c r="FKK3" s="568"/>
      <c r="FKL3" s="568"/>
      <c r="FKM3" s="568"/>
      <c r="FKN3" s="568"/>
      <c r="FKO3" s="568"/>
      <c r="FKP3" s="568"/>
      <c r="FKQ3" s="568"/>
      <c r="FKR3" s="568"/>
      <c r="FKS3" s="568"/>
      <c r="FKT3" s="568"/>
      <c r="FKU3" s="568"/>
      <c r="FKV3" s="568"/>
      <c r="FKW3" s="568"/>
      <c r="FKX3" s="568"/>
      <c r="FKY3" s="568"/>
      <c r="FKZ3" s="568"/>
      <c r="FLA3" s="568"/>
      <c r="FLB3" s="568"/>
      <c r="FLC3" s="568"/>
      <c r="FLD3" s="568"/>
      <c r="FLE3" s="568"/>
      <c r="FLF3" s="568"/>
      <c r="FLG3" s="568"/>
      <c r="FLH3" s="568"/>
      <c r="FLI3" s="568"/>
      <c r="FLJ3" s="568"/>
      <c r="FLK3" s="568"/>
      <c r="FLL3" s="568"/>
      <c r="FLM3" s="568"/>
      <c r="FLN3" s="568"/>
      <c r="FLO3" s="568"/>
      <c r="FLP3" s="568"/>
      <c r="FLQ3" s="568"/>
      <c r="FLR3" s="568"/>
      <c r="FLS3" s="568"/>
      <c r="FLT3" s="568"/>
      <c r="FLU3" s="568"/>
      <c r="FLV3" s="568"/>
      <c r="FLW3" s="568"/>
      <c r="FLX3" s="568"/>
      <c r="FLY3" s="568"/>
      <c r="FLZ3" s="568"/>
      <c r="FMA3" s="568"/>
      <c r="FMB3" s="568"/>
      <c r="FMC3" s="568"/>
      <c r="FMD3" s="568"/>
      <c r="FME3" s="568"/>
      <c r="FMF3" s="568"/>
      <c r="FMG3" s="568"/>
      <c r="FMH3" s="568"/>
      <c r="FMI3" s="568"/>
      <c r="FMJ3" s="568"/>
      <c r="FMK3" s="568"/>
      <c r="FML3" s="568"/>
      <c r="FMM3" s="568"/>
      <c r="FMN3" s="568"/>
      <c r="FMO3" s="568"/>
      <c r="FMP3" s="568"/>
      <c r="FMQ3" s="568"/>
      <c r="FMR3" s="568"/>
      <c r="FMS3" s="568"/>
      <c r="FMT3" s="568"/>
      <c r="FMU3" s="568"/>
      <c r="FMV3" s="568"/>
      <c r="FMW3" s="568"/>
      <c r="FMX3" s="568"/>
      <c r="FMY3" s="568"/>
      <c r="FMZ3" s="568"/>
      <c r="FNA3" s="568"/>
      <c r="FNB3" s="568"/>
      <c r="FNC3" s="568"/>
      <c r="FND3" s="568"/>
      <c r="FNE3" s="568"/>
      <c r="FNF3" s="568"/>
      <c r="FNG3" s="568"/>
      <c r="FNH3" s="568"/>
      <c r="FNI3" s="568"/>
      <c r="FNJ3" s="568"/>
      <c r="FNK3" s="568"/>
      <c r="FNL3" s="568"/>
      <c r="FNM3" s="568"/>
      <c r="FNN3" s="568"/>
      <c r="FNO3" s="568"/>
      <c r="FNP3" s="568"/>
      <c r="FNQ3" s="568"/>
      <c r="FNR3" s="568"/>
      <c r="FNS3" s="568"/>
      <c r="FNT3" s="568"/>
      <c r="FNU3" s="568"/>
      <c r="FNV3" s="568"/>
      <c r="FNW3" s="568"/>
      <c r="FNX3" s="568"/>
      <c r="FNY3" s="568"/>
      <c r="FNZ3" s="568"/>
      <c r="FOA3" s="568"/>
      <c r="FOB3" s="568"/>
      <c r="FOC3" s="568"/>
      <c r="FOD3" s="568"/>
      <c r="FOE3" s="568"/>
      <c r="FOF3" s="568"/>
      <c r="FOG3" s="568"/>
      <c r="FOH3" s="568"/>
      <c r="FOI3" s="568"/>
      <c r="FOJ3" s="568"/>
      <c r="FOK3" s="568"/>
      <c r="FOL3" s="568"/>
      <c r="FOM3" s="568"/>
      <c r="FON3" s="568"/>
      <c r="FOO3" s="568"/>
      <c r="FOP3" s="568"/>
      <c r="FOQ3" s="568"/>
      <c r="FOR3" s="568"/>
      <c r="FOS3" s="568"/>
      <c r="FOT3" s="568"/>
      <c r="FOU3" s="568"/>
      <c r="FOV3" s="568"/>
      <c r="FOW3" s="568"/>
      <c r="FOX3" s="568"/>
      <c r="FOY3" s="568"/>
      <c r="FOZ3" s="568"/>
      <c r="FPA3" s="568"/>
      <c r="FPB3" s="568"/>
      <c r="FPC3" s="568"/>
      <c r="FPD3" s="568"/>
      <c r="FPE3" s="568"/>
      <c r="FPF3" s="568"/>
      <c r="FPG3" s="568"/>
      <c r="FPH3" s="568"/>
      <c r="FPI3" s="568"/>
      <c r="FPJ3" s="568"/>
      <c r="FPK3" s="568"/>
      <c r="FPL3" s="568"/>
      <c r="FPM3" s="568"/>
      <c r="FPN3" s="568"/>
      <c r="FPO3" s="568"/>
      <c r="FPP3" s="568"/>
      <c r="FPQ3" s="568"/>
      <c r="FPR3" s="568"/>
      <c r="FPS3" s="568"/>
      <c r="FPT3" s="568"/>
      <c r="FPU3" s="568"/>
      <c r="FPV3" s="568"/>
      <c r="FPW3" s="568"/>
      <c r="FPX3" s="568"/>
      <c r="FPY3" s="568"/>
      <c r="FPZ3" s="568"/>
      <c r="FQA3" s="568"/>
      <c r="FQB3" s="568"/>
      <c r="FQC3" s="568"/>
      <c r="FQD3" s="568"/>
      <c r="FQE3" s="568"/>
      <c r="FQF3" s="568"/>
      <c r="FQG3" s="568"/>
      <c r="FQH3" s="568"/>
      <c r="FQI3" s="568"/>
      <c r="FQJ3" s="568"/>
      <c r="FQK3" s="568"/>
      <c r="FQL3" s="568"/>
      <c r="FQM3" s="568"/>
      <c r="FQN3" s="568"/>
      <c r="FQO3" s="568"/>
      <c r="FQP3" s="568"/>
      <c r="FQQ3" s="568"/>
      <c r="FQR3" s="568"/>
      <c r="FQS3" s="568"/>
      <c r="FQT3" s="568"/>
      <c r="FQU3" s="568"/>
      <c r="FQV3" s="568"/>
      <c r="FQW3" s="568"/>
      <c r="FQX3" s="568"/>
      <c r="FQY3" s="568"/>
      <c r="FQZ3" s="568"/>
      <c r="FRA3" s="568"/>
      <c r="FRB3" s="568"/>
      <c r="FRC3" s="568"/>
      <c r="FRD3" s="568"/>
      <c r="FRE3" s="568"/>
      <c r="FRF3" s="568"/>
      <c r="FRG3" s="568"/>
      <c r="FRH3" s="568"/>
      <c r="FRI3" s="568"/>
      <c r="FRJ3" s="568"/>
      <c r="FRK3" s="568"/>
      <c r="FRL3" s="568"/>
      <c r="FRM3" s="568"/>
      <c r="FRN3" s="568"/>
      <c r="FRO3" s="568"/>
      <c r="FRP3" s="568"/>
      <c r="FRQ3" s="568"/>
      <c r="FRR3" s="568"/>
      <c r="FRS3" s="568"/>
      <c r="FRT3" s="568"/>
      <c r="FRU3" s="568"/>
      <c r="FRV3" s="568"/>
      <c r="FRW3" s="568"/>
      <c r="FRX3" s="568"/>
      <c r="FRY3" s="568"/>
      <c r="FRZ3" s="568"/>
      <c r="FSA3" s="568"/>
      <c r="FSB3" s="568"/>
      <c r="FSC3" s="568"/>
      <c r="FSD3" s="568"/>
      <c r="FSE3" s="568"/>
      <c r="FSF3" s="568"/>
      <c r="FSG3" s="568"/>
      <c r="FSH3" s="568"/>
      <c r="FSI3" s="568"/>
      <c r="FSJ3" s="568"/>
      <c r="FSK3" s="568"/>
      <c r="FSL3" s="568"/>
      <c r="FSM3" s="568"/>
      <c r="FSN3" s="568"/>
      <c r="FSO3" s="568"/>
      <c r="FSP3" s="568"/>
      <c r="FSQ3" s="568"/>
      <c r="FSR3" s="568"/>
      <c r="FSS3" s="568"/>
      <c r="FST3" s="568"/>
      <c r="FSU3" s="568"/>
      <c r="FSV3" s="568"/>
      <c r="FSW3" s="568"/>
      <c r="FSX3" s="568"/>
      <c r="FSY3" s="568"/>
      <c r="FSZ3" s="568"/>
      <c r="FTA3" s="568"/>
      <c r="FTB3" s="568"/>
      <c r="FTC3" s="568"/>
      <c r="FTD3" s="568"/>
      <c r="FTE3" s="568"/>
      <c r="FTF3" s="568"/>
      <c r="FTG3" s="568"/>
      <c r="FTH3" s="568"/>
      <c r="FTI3" s="568"/>
      <c r="FTJ3" s="568"/>
      <c r="FTK3" s="568"/>
      <c r="FTL3" s="568"/>
      <c r="FTM3" s="568"/>
      <c r="FTN3" s="568"/>
      <c r="FTO3" s="568"/>
      <c r="FTP3" s="568"/>
      <c r="FTQ3" s="568"/>
      <c r="FTR3" s="568"/>
      <c r="FTS3" s="568"/>
      <c r="FTT3" s="568"/>
      <c r="FTU3" s="568"/>
      <c r="FTV3" s="568"/>
      <c r="FTW3" s="568"/>
      <c r="FTX3" s="568"/>
      <c r="FTY3" s="568"/>
      <c r="FTZ3" s="568"/>
      <c r="FUA3" s="568"/>
      <c r="FUB3" s="568"/>
      <c r="FUC3" s="568"/>
      <c r="FUD3" s="568"/>
      <c r="FUE3" s="568"/>
      <c r="FUF3" s="568"/>
      <c r="FUG3" s="568"/>
      <c r="FUH3" s="568"/>
      <c r="FUI3" s="568"/>
      <c r="FUJ3" s="568"/>
      <c r="FUK3" s="568"/>
      <c r="FUL3" s="568"/>
      <c r="FUM3" s="568"/>
      <c r="FUN3" s="568"/>
      <c r="FUO3" s="568"/>
      <c r="FUP3" s="568"/>
      <c r="FUQ3" s="568"/>
      <c r="FUR3" s="568"/>
      <c r="FUS3" s="568"/>
      <c r="FUT3" s="568"/>
      <c r="FUU3" s="568"/>
      <c r="FUV3" s="568"/>
      <c r="FUW3" s="568"/>
      <c r="FUX3" s="568"/>
      <c r="FUY3" s="568"/>
      <c r="FUZ3" s="568"/>
      <c r="FVA3" s="568"/>
      <c r="FVB3" s="568"/>
      <c r="FVC3" s="568"/>
      <c r="FVD3" s="568"/>
      <c r="FVE3" s="568"/>
      <c r="FVF3" s="568"/>
      <c r="FVG3" s="568"/>
      <c r="FVH3" s="568"/>
      <c r="FVI3" s="568"/>
      <c r="FVJ3" s="568"/>
      <c r="FVK3" s="568"/>
      <c r="FVL3" s="568"/>
      <c r="FVM3" s="568"/>
      <c r="FVN3" s="568"/>
      <c r="FVO3" s="568"/>
      <c r="FVP3" s="568"/>
      <c r="FVQ3" s="568"/>
      <c r="FVR3" s="568"/>
      <c r="FVS3" s="568"/>
      <c r="FVT3" s="568"/>
      <c r="FVU3" s="568"/>
      <c r="FVV3" s="568"/>
      <c r="FVW3" s="568"/>
      <c r="FVX3" s="568"/>
      <c r="FVY3" s="568"/>
      <c r="FVZ3" s="568"/>
      <c r="FWA3" s="568"/>
      <c r="FWB3" s="568"/>
      <c r="FWC3" s="568"/>
      <c r="FWD3" s="568"/>
      <c r="FWE3" s="568"/>
      <c r="FWF3" s="568"/>
      <c r="FWG3" s="568"/>
      <c r="FWH3" s="568"/>
      <c r="FWI3" s="568"/>
      <c r="FWJ3" s="568"/>
      <c r="FWK3" s="568"/>
      <c r="FWL3" s="568"/>
      <c r="FWM3" s="568"/>
      <c r="FWN3" s="568"/>
      <c r="FWO3" s="568"/>
      <c r="FWP3" s="568"/>
      <c r="FWQ3" s="568"/>
      <c r="FWR3" s="568"/>
      <c r="FWS3" s="568"/>
      <c r="FWT3" s="568"/>
      <c r="FWU3" s="568"/>
      <c r="FWV3" s="568"/>
      <c r="FWW3" s="568"/>
      <c r="FWX3" s="568"/>
      <c r="FWY3" s="568"/>
      <c r="FWZ3" s="568"/>
      <c r="FXA3" s="568"/>
      <c r="FXB3" s="568"/>
      <c r="FXC3" s="568"/>
      <c r="FXD3" s="568"/>
      <c r="FXE3" s="568"/>
      <c r="FXF3" s="568"/>
      <c r="FXG3" s="568"/>
      <c r="FXH3" s="568"/>
      <c r="FXI3" s="568"/>
      <c r="FXJ3" s="568"/>
      <c r="FXK3" s="568"/>
      <c r="FXL3" s="568"/>
      <c r="FXM3" s="568"/>
      <c r="FXN3" s="568"/>
      <c r="FXO3" s="568"/>
      <c r="FXP3" s="568"/>
      <c r="FXQ3" s="568"/>
      <c r="FXR3" s="568"/>
      <c r="FXS3" s="568"/>
      <c r="FXT3" s="568"/>
      <c r="FXU3" s="568"/>
      <c r="FXV3" s="568"/>
      <c r="FXW3" s="568"/>
      <c r="FXX3" s="568"/>
      <c r="FXY3" s="568"/>
      <c r="FXZ3" s="568"/>
      <c r="FYA3" s="568"/>
      <c r="FYB3" s="568"/>
      <c r="FYC3" s="568"/>
      <c r="FYD3" s="568"/>
      <c r="FYE3" s="568"/>
      <c r="FYF3" s="568"/>
      <c r="FYG3" s="568"/>
      <c r="FYH3" s="568"/>
      <c r="FYI3" s="568"/>
      <c r="FYJ3" s="568"/>
      <c r="FYK3" s="568"/>
      <c r="FYL3" s="568"/>
      <c r="FYM3" s="568"/>
      <c r="FYN3" s="568"/>
      <c r="FYO3" s="568"/>
      <c r="FYP3" s="568"/>
      <c r="FYQ3" s="568"/>
      <c r="FYR3" s="568"/>
      <c r="FYS3" s="568"/>
      <c r="FYT3" s="568"/>
      <c r="FYU3" s="568"/>
      <c r="FYV3" s="568"/>
      <c r="FYW3" s="568"/>
      <c r="FYX3" s="568"/>
      <c r="FYY3" s="568"/>
      <c r="FYZ3" s="568"/>
      <c r="FZA3" s="568"/>
      <c r="FZB3" s="568"/>
      <c r="FZC3" s="568"/>
      <c r="FZD3" s="568"/>
      <c r="FZE3" s="568"/>
      <c r="FZF3" s="568"/>
      <c r="FZG3" s="568"/>
      <c r="FZH3" s="568"/>
      <c r="FZI3" s="568"/>
      <c r="FZJ3" s="568"/>
      <c r="FZK3" s="568"/>
      <c r="FZL3" s="568"/>
      <c r="FZM3" s="568"/>
      <c r="FZN3" s="568"/>
      <c r="FZO3" s="568"/>
      <c r="FZP3" s="568"/>
      <c r="FZQ3" s="568"/>
      <c r="FZR3" s="568"/>
      <c r="FZS3" s="568"/>
      <c r="FZT3" s="568"/>
      <c r="FZU3" s="568"/>
      <c r="FZV3" s="568"/>
      <c r="FZW3" s="568"/>
      <c r="FZX3" s="568"/>
      <c r="FZY3" s="568"/>
      <c r="FZZ3" s="568"/>
      <c r="GAA3" s="568"/>
      <c r="GAB3" s="568"/>
      <c r="GAC3" s="568"/>
      <c r="GAD3" s="568"/>
      <c r="GAE3" s="568"/>
      <c r="GAF3" s="568"/>
      <c r="GAG3" s="568"/>
      <c r="GAH3" s="568"/>
      <c r="GAI3" s="568"/>
      <c r="GAJ3" s="568"/>
      <c r="GAK3" s="568"/>
      <c r="GAL3" s="568"/>
      <c r="GAM3" s="568"/>
      <c r="GAN3" s="568"/>
      <c r="GAO3" s="568"/>
      <c r="GAP3" s="568"/>
      <c r="GAQ3" s="568"/>
      <c r="GAR3" s="568"/>
      <c r="GAS3" s="568"/>
      <c r="GAT3" s="568"/>
      <c r="GAU3" s="568"/>
      <c r="GAV3" s="568"/>
      <c r="GAW3" s="568"/>
      <c r="GAX3" s="568"/>
      <c r="GAY3" s="568"/>
      <c r="GAZ3" s="568"/>
      <c r="GBA3" s="568"/>
      <c r="GBB3" s="568"/>
      <c r="GBC3" s="568"/>
      <c r="GBD3" s="568"/>
      <c r="GBE3" s="568"/>
      <c r="GBF3" s="568"/>
      <c r="GBG3" s="568"/>
      <c r="GBH3" s="568"/>
      <c r="GBI3" s="568"/>
      <c r="GBJ3" s="568"/>
      <c r="GBK3" s="568"/>
      <c r="GBL3" s="568"/>
      <c r="GBM3" s="568"/>
      <c r="GBN3" s="568"/>
      <c r="GBO3" s="568"/>
      <c r="GBP3" s="568"/>
      <c r="GBQ3" s="568"/>
      <c r="GBR3" s="568"/>
      <c r="GBS3" s="568"/>
      <c r="GBT3" s="568"/>
      <c r="GBU3" s="568"/>
      <c r="GBV3" s="568"/>
      <c r="GBW3" s="568"/>
      <c r="GBX3" s="568"/>
      <c r="GBY3" s="568"/>
      <c r="GBZ3" s="568"/>
      <c r="GCA3" s="568"/>
      <c r="GCB3" s="568"/>
      <c r="GCC3" s="568"/>
      <c r="GCD3" s="568"/>
      <c r="GCE3" s="568"/>
      <c r="GCF3" s="568"/>
      <c r="GCG3" s="568"/>
      <c r="GCH3" s="568"/>
      <c r="GCI3" s="568"/>
      <c r="GCJ3" s="568"/>
      <c r="GCK3" s="568"/>
      <c r="GCL3" s="568"/>
      <c r="GCM3" s="568"/>
      <c r="GCN3" s="568"/>
      <c r="GCO3" s="568"/>
      <c r="GCP3" s="568"/>
      <c r="GCQ3" s="568"/>
      <c r="GCR3" s="568"/>
      <c r="GCS3" s="568"/>
      <c r="GCT3" s="568"/>
      <c r="GCU3" s="568"/>
      <c r="GCV3" s="568"/>
      <c r="GCW3" s="568"/>
      <c r="GCX3" s="568"/>
      <c r="GCY3" s="568"/>
      <c r="GCZ3" s="568"/>
      <c r="GDA3" s="568"/>
      <c r="GDB3" s="568"/>
      <c r="GDC3" s="568"/>
      <c r="GDD3" s="568"/>
      <c r="GDE3" s="568"/>
      <c r="GDF3" s="568"/>
      <c r="GDG3" s="568"/>
      <c r="GDH3" s="568"/>
      <c r="GDI3" s="568"/>
      <c r="GDJ3" s="568"/>
      <c r="GDK3" s="568"/>
      <c r="GDL3" s="568"/>
      <c r="GDM3" s="568"/>
      <c r="GDN3" s="568"/>
      <c r="GDO3" s="568"/>
      <c r="GDP3" s="568"/>
      <c r="GDQ3" s="568"/>
      <c r="GDR3" s="568"/>
      <c r="GDS3" s="568"/>
      <c r="GDT3" s="568"/>
      <c r="GDU3" s="568"/>
      <c r="GDV3" s="568"/>
      <c r="GDW3" s="568"/>
      <c r="GDX3" s="568"/>
      <c r="GDY3" s="568"/>
      <c r="GDZ3" s="568"/>
      <c r="GEA3" s="568"/>
      <c r="GEB3" s="568"/>
      <c r="GEC3" s="568"/>
      <c r="GED3" s="568"/>
      <c r="GEE3" s="568"/>
      <c r="GEF3" s="568"/>
      <c r="GEG3" s="568"/>
      <c r="GEH3" s="568"/>
      <c r="GEI3" s="568"/>
      <c r="GEJ3" s="568"/>
      <c r="GEK3" s="568"/>
      <c r="GEL3" s="568"/>
      <c r="GEM3" s="568"/>
      <c r="GEN3" s="568"/>
      <c r="GEO3" s="568"/>
      <c r="GEP3" s="568"/>
      <c r="GEQ3" s="568"/>
      <c r="GER3" s="568"/>
      <c r="GES3" s="568"/>
      <c r="GET3" s="568"/>
      <c r="GEU3" s="568"/>
      <c r="GEV3" s="568"/>
      <c r="GEW3" s="568"/>
      <c r="GEX3" s="568"/>
      <c r="GEY3" s="568"/>
      <c r="GEZ3" s="568"/>
      <c r="GFA3" s="568"/>
      <c r="GFB3" s="568"/>
      <c r="GFC3" s="568"/>
      <c r="GFD3" s="568"/>
      <c r="GFE3" s="568"/>
      <c r="GFF3" s="568"/>
      <c r="GFG3" s="568"/>
      <c r="GFH3" s="568"/>
      <c r="GFI3" s="568"/>
      <c r="GFJ3" s="568"/>
      <c r="GFK3" s="568"/>
      <c r="GFL3" s="568"/>
      <c r="GFM3" s="568"/>
      <c r="GFN3" s="568"/>
      <c r="GFO3" s="568"/>
      <c r="GFP3" s="568"/>
      <c r="GFQ3" s="568"/>
      <c r="GFR3" s="568"/>
      <c r="GFS3" s="568"/>
      <c r="GFT3" s="568"/>
      <c r="GFU3" s="568"/>
      <c r="GFV3" s="568"/>
      <c r="GFW3" s="568"/>
      <c r="GFX3" s="568"/>
      <c r="GFY3" s="568"/>
      <c r="GFZ3" s="568"/>
      <c r="GGA3" s="568"/>
      <c r="GGB3" s="568"/>
      <c r="GGC3" s="568"/>
      <c r="GGD3" s="568"/>
      <c r="GGE3" s="568"/>
      <c r="GGF3" s="568"/>
      <c r="GGG3" s="568"/>
      <c r="GGH3" s="568"/>
      <c r="GGI3" s="568"/>
      <c r="GGJ3" s="568"/>
      <c r="GGK3" s="568"/>
      <c r="GGL3" s="568"/>
      <c r="GGM3" s="568"/>
      <c r="GGN3" s="568"/>
      <c r="GGO3" s="568"/>
      <c r="GGP3" s="568"/>
      <c r="GGQ3" s="568"/>
      <c r="GGR3" s="568"/>
      <c r="GGS3" s="568"/>
      <c r="GGT3" s="568"/>
      <c r="GGU3" s="568"/>
      <c r="GGV3" s="568"/>
      <c r="GGW3" s="568"/>
      <c r="GGX3" s="568"/>
      <c r="GGY3" s="568"/>
      <c r="GGZ3" s="568"/>
      <c r="GHA3" s="568"/>
      <c r="GHB3" s="568"/>
      <c r="GHC3" s="568"/>
      <c r="GHD3" s="568"/>
      <c r="GHE3" s="568"/>
      <c r="GHF3" s="568"/>
      <c r="GHG3" s="568"/>
      <c r="GHH3" s="568"/>
      <c r="GHI3" s="568"/>
      <c r="GHJ3" s="568"/>
      <c r="GHK3" s="568"/>
      <c r="GHL3" s="568"/>
      <c r="GHM3" s="568"/>
      <c r="GHN3" s="568"/>
      <c r="GHO3" s="568"/>
      <c r="GHP3" s="568"/>
      <c r="GHQ3" s="568"/>
      <c r="GHR3" s="568"/>
      <c r="GHS3" s="568"/>
      <c r="GHT3" s="568"/>
      <c r="GHU3" s="568"/>
      <c r="GHV3" s="568"/>
      <c r="GHW3" s="568"/>
      <c r="GHX3" s="568"/>
      <c r="GHY3" s="568"/>
      <c r="GHZ3" s="568"/>
      <c r="GIA3" s="568"/>
      <c r="GIB3" s="568"/>
      <c r="GIC3" s="568"/>
      <c r="GID3" s="568"/>
      <c r="GIE3" s="568"/>
      <c r="GIF3" s="568"/>
      <c r="GIG3" s="568"/>
      <c r="GIH3" s="568"/>
      <c r="GII3" s="568"/>
      <c r="GIJ3" s="568"/>
      <c r="GIK3" s="568"/>
      <c r="GIL3" s="568"/>
      <c r="GIM3" s="568"/>
      <c r="GIN3" s="568"/>
      <c r="GIO3" s="568"/>
      <c r="GIP3" s="568"/>
      <c r="GIQ3" s="568"/>
      <c r="GIR3" s="568"/>
      <c r="GIS3" s="568"/>
      <c r="GIT3" s="568"/>
      <c r="GIU3" s="568"/>
      <c r="GIV3" s="568"/>
      <c r="GIW3" s="568"/>
      <c r="GIX3" s="568"/>
      <c r="GIY3" s="568"/>
      <c r="GIZ3" s="568"/>
      <c r="GJA3" s="568"/>
      <c r="GJB3" s="568"/>
      <c r="GJC3" s="568"/>
      <c r="GJD3" s="568"/>
      <c r="GJE3" s="568"/>
      <c r="GJF3" s="568"/>
      <c r="GJG3" s="568"/>
      <c r="GJH3" s="568"/>
      <c r="GJI3" s="568"/>
      <c r="GJJ3" s="568"/>
      <c r="GJK3" s="568"/>
      <c r="GJL3" s="568"/>
      <c r="GJM3" s="568"/>
      <c r="GJN3" s="568"/>
      <c r="GJO3" s="568"/>
      <c r="GJP3" s="568"/>
      <c r="GJQ3" s="568"/>
      <c r="GJR3" s="568"/>
      <c r="GJS3" s="568"/>
      <c r="GJT3" s="568"/>
      <c r="GJU3" s="568"/>
      <c r="GJV3" s="568"/>
      <c r="GJW3" s="568"/>
      <c r="GJX3" s="568"/>
      <c r="GJY3" s="568"/>
      <c r="GJZ3" s="568"/>
      <c r="GKA3" s="568"/>
      <c r="GKB3" s="568"/>
      <c r="GKC3" s="568"/>
      <c r="GKD3" s="568"/>
      <c r="GKE3" s="568"/>
      <c r="GKF3" s="568"/>
      <c r="GKG3" s="568"/>
      <c r="GKH3" s="568"/>
      <c r="GKI3" s="568"/>
      <c r="GKJ3" s="568"/>
      <c r="GKK3" s="568"/>
      <c r="GKL3" s="568"/>
      <c r="GKM3" s="568"/>
      <c r="GKN3" s="568"/>
      <c r="GKO3" s="568"/>
      <c r="GKP3" s="568"/>
      <c r="GKQ3" s="568"/>
      <c r="GKR3" s="568"/>
      <c r="GKS3" s="568"/>
      <c r="GKT3" s="568"/>
      <c r="GKU3" s="568"/>
      <c r="GKV3" s="568"/>
      <c r="GKW3" s="568"/>
      <c r="GKX3" s="568"/>
      <c r="GKY3" s="568"/>
      <c r="GKZ3" s="568"/>
      <c r="GLA3" s="568"/>
      <c r="GLB3" s="568"/>
      <c r="GLC3" s="568"/>
      <c r="GLD3" s="568"/>
      <c r="GLE3" s="568"/>
      <c r="GLF3" s="568"/>
      <c r="GLG3" s="568"/>
      <c r="GLH3" s="568"/>
      <c r="GLI3" s="568"/>
      <c r="GLJ3" s="568"/>
      <c r="GLK3" s="568"/>
      <c r="GLL3" s="568"/>
      <c r="GLM3" s="568"/>
      <c r="GLN3" s="568"/>
      <c r="GLO3" s="568"/>
      <c r="GLP3" s="568"/>
      <c r="GLQ3" s="568"/>
      <c r="GLR3" s="568"/>
      <c r="GLS3" s="568"/>
      <c r="GLT3" s="568"/>
      <c r="GLU3" s="568"/>
      <c r="GLV3" s="568"/>
      <c r="GLW3" s="568"/>
      <c r="GLX3" s="568"/>
      <c r="GLY3" s="568"/>
      <c r="GLZ3" s="568"/>
      <c r="GMA3" s="568"/>
      <c r="GMB3" s="568"/>
      <c r="GMC3" s="568"/>
      <c r="GMD3" s="568"/>
      <c r="GME3" s="568"/>
      <c r="GMF3" s="568"/>
      <c r="GMG3" s="568"/>
      <c r="GMH3" s="568"/>
      <c r="GMI3" s="568"/>
      <c r="GMJ3" s="568"/>
      <c r="GMK3" s="568"/>
      <c r="GML3" s="568"/>
      <c r="GMM3" s="568"/>
      <c r="GMN3" s="568"/>
      <c r="GMO3" s="568"/>
      <c r="GMP3" s="568"/>
      <c r="GMQ3" s="568"/>
      <c r="GMR3" s="568"/>
      <c r="GMS3" s="568"/>
      <c r="GMT3" s="568"/>
      <c r="GMU3" s="568"/>
      <c r="GMV3" s="568"/>
      <c r="GMW3" s="568"/>
      <c r="GMX3" s="568"/>
      <c r="GMY3" s="568"/>
      <c r="GMZ3" s="568"/>
      <c r="GNA3" s="568"/>
      <c r="GNB3" s="568"/>
      <c r="GNC3" s="568"/>
      <c r="GND3" s="568"/>
      <c r="GNE3" s="568"/>
      <c r="GNF3" s="568"/>
      <c r="GNG3" s="568"/>
      <c r="GNH3" s="568"/>
      <c r="GNI3" s="568"/>
      <c r="GNJ3" s="568"/>
      <c r="GNK3" s="568"/>
      <c r="GNL3" s="568"/>
      <c r="GNM3" s="568"/>
      <c r="GNN3" s="568"/>
      <c r="GNO3" s="568"/>
      <c r="GNP3" s="568"/>
      <c r="GNQ3" s="568"/>
      <c r="GNR3" s="568"/>
      <c r="GNS3" s="568"/>
      <c r="GNT3" s="568"/>
      <c r="GNU3" s="568"/>
      <c r="GNV3" s="568"/>
      <c r="GNW3" s="568"/>
      <c r="GNX3" s="568"/>
      <c r="GNY3" s="568"/>
      <c r="GNZ3" s="568"/>
      <c r="GOA3" s="568"/>
      <c r="GOB3" s="568"/>
      <c r="GOC3" s="568"/>
      <c r="GOD3" s="568"/>
      <c r="GOE3" s="568"/>
      <c r="GOF3" s="568"/>
      <c r="GOG3" s="568"/>
      <c r="GOH3" s="568"/>
      <c r="GOI3" s="568"/>
      <c r="GOJ3" s="568"/>
      <c r="GOK3" s="568"/>
      <c r="GOL3" s="568"/>
      <c r="GOM3" s="568"/>
      <c r="GON3" s="568"/>
      <c r="GOO3" s="568"/>
      <c r="GOP3" s="568"/>
      <c r="GOQ3" s="568"/>
      <c r="GOR3" s="568"/>
      <c r="GOS3" s="568"/>
      <c r="GOT3" s="568"/>
      <c r="GOU3" s="568"/>
      <c r="GOV3" s="568"/>
      <c r="GOW3" s="568"/>
      <c r="GOX3" s="568"/>
      <c r="GOY3" s="568"/>
      <c r="GOZ3" s="568"/>
      <c r="GPA3" s="568"/>
      <c r="GPB3" s="568"/>
      <c r="GPC3" s="568"/>
      <c r="GPD3" s="568"/>
      <c r="GPE3" s="568"/>
      <c r="GPF3" s="568"/>
      <c r="GPG3" s="568"/>
      <c r="GPH3" s="568"/>
      <c r="GPI3" s="568"/>
      <c r="GPJ3" s="568"/>
      <c r="GPK3" s="568"/>
      <c r="GPL3" s="568"/>
      <c r="GPM3" s="568"/>
      <c r="GPN3" s="568"/>
      <c r="GPO3" s="568"/>
      <c r="GPP3" s="568"/>
      <c r="GPQ3" s="568"/>
      <c r="GPR3" s="568"/>
      <c r="GPS3" s="568"/>
      <c r="GPT3" s="568"/>
      <c r="GPU3" s="568"/>
      <c r="GPV3" s="568"/>
      <c r="GPW3" s="568"/>
      <c r="GPX3" s="568"/>
      <c r="GPY3" s="568"/>
      <c r="GPZ3" s="568"/>
      <c r="GQA3" s="568"/>
      <c r="GQB3" s="568"/>
      <c r="GQC3" s="568"/>
      <c r="GQD3" s="568"/>
      <c r="GQE3" s="568"/>
      <c r="GQF3" s="568"/>
      <c r="GQG3" s="568"/>
      <c r="GQH3" s="568"/>
      <c r="GQI3" s="568"/>
      <c r="GQJ3" s="568"/>
      <c r="GQK3" s="568"/>
      <c r="GQL3" s="568"/>
      <c r="GQM3" s="568"/>
      <c r="GQN3" s="568"/>
      <c r="GQO3" s="568"/>
      <c r="GQP3" s="568"/>
      <c r="GQQ3" s="568"/>
      <c r="GQR3" s="568"/>
      <c r="GQS3" s="568"/>
      <c r="GQT3" s="568"/>
      <c r="GQU3" s="568"/>
      <c r="GQV3" s="568"/>
      <c r="GQW3" s="568"/>
      <c r="GQX3" s="568"/>
      <c r="GQY3" s="568"/>
      <c r="GQZ3" s="568"/>
      <c r="GRA3" s="568"/>
      <c r="GRB3" s="568"/>
      <c r="GRC3" s="568"/>
      <c r="GRD3" s="568"/>
      <c r="GRE3" s="568"/>
      <c r="GRF3" s="568"/>
      <c r="GRG3" s="568"/>
      <c r="GRH3" s="568"/>
      <c r="GRI3" s="568"/>
      <c r="GRJ3" s="568"/>
      <c r="GRK3" s="568"/>
      <c r="GRL3" s="568"/>
      <c r="GRM3" s="568"/>
      <c r="GRN3" s="568"/>
      <c r="GRO3" s="568"/>
      <c r="GRP3" s="568"/>
      <c r="GRQ3" s="568"/>
      <c r="GRR3" s="568"/>
      <c r="GRS3" s="568"/>
      <c r="GRT3" s="568"/>
      <c r="GRU3" s="568"/>
      <c r="GRV3" s="568"/>
      <c r="GRW3" s="568"/>
      <c r="GRX3" s="568"/>
      <c r="GRY3" s="568"/>
      <c r="GRZ3" s="568"/>
      <c r="GSA3" s="568"/>
      <c r="GSB3" s="568"/>
      <c r="GSC3" s="568"/>
      <c r="GSD3" s="568"/>
      <c r="GSE3" s="568"/>
      <c r="GSF3" s="568"/>
      <c r="GSG3" s="568"/>
      <c r="GSH3" s="568"/>
      <c r="GSI3" s="568"/>
      <c r="GSJ3" s="568"/>
      <c r="GSK3" s="568"/>
      <c r="GSL3" s="568"/>
      <c r="GSM3" s="568"/>
      <c r="GSN3" s="568"/>
      <c r="GSO3" s="568"/>
      <c r="GSP3" s="568"/>
      <c r="GSQ3" s="568"/>
      <c r="GSR3" s="568"/>
      <c r="GSS3" s="568"/>
      <c r="GST3" s="568"/>
      <c r="GSU3" s="568"/>
      <c r="GSV3" s="568"/>
      <c r="GSW3" s="568"/>
      <c r="GSX3" s="568"/>
      <c r="GSY3" s="568"/>
      <c r="GSZ3" s="568"/>
      <c r="GTA3" s="568"/>
      <c r="GTB3" s="568"/>
      <c r="GTC3" s="568"/>
      <c r="GTD3" s="568"/>
      <c r="GTE3" s="568"/>
      <c r="GTF3" s="568"/>
      <c r="GTG3" s="568"/>
      <c r="GTH3" s="568"/>
      <c r="GTI3" s="568"/>
      <c r="GTJ3" s="568"/>
      <c r="GTK3" s="568"/>
      <c r="GTL3" s="568"/>
      <c r="GTM3" s="568"/>
      <c r="GTN3" s="568"/>
      <c r="GTO3" s="568"/>
      <c r="GTP3" s="568"/>
      <c r="GTQ3" s="568"/>
      <c r="GTR3" s="568"/>
      <c r="GTS3" s="568"/>
      <c r="GTT3" s="568"/>
      <c r="GTU3" s="568"/>
      <c r="GTV3" s="568"/>
      <c r="GTW3" s="568"/>
      <c r="GTX3" s="568"/>
      <c r="GTY3" s="568"/>
      <c r="GTZ3" s="568"/>
      <c r="GUA3" s="568"/>
      <c r="GUB3" s="568"/>
      <c r="GUC3" s="568"/>
      <c r="GUD3" s="568"/>
      <c r="GUE3" s="568"/>
      <c r="GUF3" s="568"/>
      <c r="GUG3" s="568"/>
      <c r="GUH3" s="568"/>
      <c r="GUI3" s="568"/>
      <c r="GUJ3" s="568"/>
      <c r="GUK3" s="568"/>
      <c r="GUL3" s="568"/>
      <c r="GUM3" s="568"/>
      <c r="GUN3" s="568"/>
      <c r="GUO3" s="568"/>
      <c r="GUP3" s="568"/>
      <c r="GUQ3" s="568"/>
      <c r="GUR3" s="568"/>
      <c r="GUS3" s="568"/>
      <c r="GUT3" s="568"/>
      <c r="GUU3" s="568"/>
      <c r="GUV3" s="568"/>
      <c r="GUW3" s="568"/>
      <c r="GUX3" s="568"/>
      <c r="GUY3" s="568"/>
      <c r="GUZ3" s="568"/>
      <c r="GVA3" s="568"/>
      <c r="GVB3" s="568"/>
      <c r="GVC3" s="568"/>
      <c r="GVD3" s="568"/>
      <c r="GVE3" s="568"/>
      <c r="GVF3" s="568"/>
      <c r="GVG3" s="568"/>
      <c r="GVH3" s="568"/>
      <c r="GVI3" s="568"/>
      <c r="GVJ3" s="568"/>
      <c r="GVK3" s="568"/>
      <c r="GVL3" s="568"/>
      <c r="GVM3" s="568"/>
      <c r="GVN3" s="568"/>
      <c r="GVO3" s="568"/>
      <c r="GVP3" s="568"/>
      <c r="GVQ3" s="568"/>
      <c r="GVR3" s="568"/>
      <c r="GVS3" s="568"/>
      <c r="GVT3" s="568"/>
      <c r="GVU3" s="568"/>
      <c r="GVV3" s="568"/>
      <c r="GVW3" s="568"/>
      <c r="GVX3" s="568"/>
      <c r="GVY3" s="568"/>
      <c r="GVZ3" s="568"/>
      <c r="GWA3" s="568"/>
      <c r="GWB3" s="568"/>
      <c r="GWC3" s="568"/>
      <c r="GWD3" s="568"/>
      <c r="GWE3" s="568"/>
      <c r="GWF3" s="568"/>
      <c r="GWG3" s="568"/>
      <c r="GWH3" s="568"/>
      <c r="GWI3" s="568"/>
      <c r="GWJ3" s="568"/>
      <c r="GWK3" s="568"/>
      <c r="GWL3" s="568"/>
      <c r="GWM3" s="568"/>
      <c r="GWN3" s="568"/>
      <c r="GWO3" s="568"/>
      <c r="GWP3" s="568"/>
      <c r="GWQ3" s="568"/>
      <c r="GWR3" s="568"/>
      <c r="GWS3" s="568"/>
      <c r="GWT3" s="568"/>
      <c r="GWU3" s="568"/>
      <c r="GWV3" s="568"/>
      <c r="GWW3" s="568"/>
      <c r="GWX3" s="568"/>
      <c r="GWY3" s="568"/>
      <c r="GWZ3" s="568"/>
      <c r="GXA3" s="568"/>
      <c r="GXB3" s="568"/>
      <c r="GXC3" s="568"/>
      <c r="GXD3" s="568"/>
      <c r="GXE3" s="568"/>
      <c r="GXF3" s="568"/>
      <c r="GXG3" s="568"/>
      <c r="GXH3" s="568"/>
      <c r="GXI3" s="568"/>
      <c r="GXJ3" s="568"/>
      <c r="GXK3" s="568"/>
      <c r="GXL3" s="568"/>
      <c r="GXM3" s="568"/>
      <c r="GXN3" s="568"/>
      <c r="GXO3" s="568"/>
      <c r="GXP3" s="568"/>
      <c r="GXQ3" s="568"/>
      <c r="GXR3" s="568"/>
      <c r="GXS3" s="568"/>
      <c r="GXT3" s="568"/>
      <c r="GXU3" s="568"/>
      <c r="GXV3" s="568"/>
      <c r="GXW3" s="568"/>
      <c r="GXX3" s="568"/>
      <c r="GXY3" s="568"/>
      <c r="GXZ3" s="568"/>
      <c r="GYA3" s="568"/>
      <c r="GYB3" s="568"/>
      <c r="GYC3" s="568"/>
      <c r="GYD3" s="568"/>
      <c r="GYE3" s="568"/>
      <c r="GYF3" s="568"/>
      <c r="GYG3" s="568"/>
      <c r="GYH3" s="568"/>
      <c r="GYI3" s="568"/>
      <c r="GYJ3" s="568"/>
      <c r="GYK3" s="568"/>
      <c r="GYL3" s="568"/>
      <c r="GYM3" s="568"/>
      <c r="GYN3" s="568"/>
      <c r="GYO3" s="568"/>
      <c r="GYP3" s="568"/>
      <c r="GYQ3" s="568"/>
      <c r="GYR3" s="568"/>
      <c r="GYS3" s="568"/>
      <c r="GYT3" s="568"/>
      <c r="GYU3" s="568"/>
      <c r="GYV3" s="568"/>
      <c r="GYW3" s="568"/>
      <c r="GYX3" s="568"/>
      <c r="GYY3" s="568"/>
      <c r="GYZ3" s="568"/>
      <c r="GZA3" s="568"/>
      <c r="GZB3" s="568"/>
      <c r="GZC3" s="568"/>
      <c r="GZD3" s="568"/>
      <c r="GZE3" s="568"/>
      <c r="GZF3" s="568"/>
      <c r="GZG3" s="568"/>
      <c r="GZH3" s="568"/>
      <c r="GZI3" s="568"/>
      <c r="GZJ3" s="568"/>
      <c r="GZK3" s="568"/>
      <c r="GZL3" s="568"/>
      <c r="GZM3" s="568"/>
      <c r="GZN3" s="568"/>
      <c r="GZO3" s="568"/>
      <c r="GZP3" s="568"/>
      <c r="GZQ3" s="568"/>
      <c r="GZR3" s="568"/>
      <c r="GZS3" s="568"/>
      <c r="GZT3" s="568"/>
      <c r="GZU3" s="568"/>
      <c r="GZV3" s="568"/>
      <c r="GZW3" s="568"/>
      <c r="GZX3" s="568"/>
      <c r="GZY3" s="568"/>
      <c r="GZZ3" s="568"/>
      <c r="HAA3" s="568"/>
      <c r="HAB3" s="568"/>
      <c r="HAC3" s="568"/>
      <c r="HAD3" s="568"/>
      <c r="HAE3" s="568"/>
      <c r="HAF3" s="568"/>
      <c r="HAG3" s="568"/>
      <c r="HAH3" s="568"/>
      <c r="HAI3" s="568"/>
      <c r="HAJ3" s="568"/>
      <c r="HAK3" s="568"/>
      <c r="HAL3" s="568"/>
      <c r="HAM3" s="568"/>
      <c r="HAN3" s="568"/>
      <c r="HAO3" s="568"/>
      <c r="HAP3" s="568"/>
      <c r="HAQ3" s="568"/>
      <c r="HAR3" s="568"/>
      <c r="HAS3" s="568"/>
      <c r="HAT3" s="568"/>
      <c r="HAU3" s="568"/>
      <c r="HAV3" s="568"/>
      <c r="HAW3" s="568"/>
      <c r="HAX3" s="568"/>
      <c r="HAY3" s="568"/>
      <c r="HAZ3" s="568"/>
      <c r="HBA3" s="568"/>
      <c r="HBB3" s="568"/>
      <c r="HBC3" s="568"/>
      <c r="HBD3" s="568"/>
      <c r="HBE3" s="568"/>
      <c r="HBF3" s="568"/>
      <c r="HBG3" s="568"/>
      <c r="HBH3" s="568"/>
      <c r="HBI3" s="568"/>
      <c r="HBJ3" s="568"/>
      <c r="HBK3" s="568"/>
      <c r="HBL3" s="568"/>
      <c r="HBM3" s="568"/>
      <c r="HBN3" s="568"/>
      <c r="HBO3" s="568"/>
      <c r="HBP3" s="568"/>
      <c r="HBQ3" s="568"/>
      <c r="HBR3" s="568"/>
      <c r="HBS3" s="568"/>
      <c r="HBT3" s="568"/>
      <c r="HBU3" s="568"/>
      <c r="HBV3" s="568"/>
      <c r="HBW3" s="568"/>
      <c r="HBX3" s="568"/>
      <c r="HBY3" s="568"/>
      <c r="HBZ3" s="568"/>
      <c r="HCA3" s="568"/>
      <c r="HCB3" s="568"/>
      <c r="HCC3" s="568"/>
      <c r="HCD3" s="568"/>
      <c r="HCE3" s="568"/>
      <c r="HCF3" s="568"/>
      <c r="HCG3" s="568"/>
      <c r="HCH3" s="568"/>
      <c r="HCI3" s="568"/>
      <c r="HCJ3" s="568"/>
      <c r="HCK3" s="568"/>
      <c r="HCL3" s="568"/>
      <c r="HCM3" s="568"/>
      <c r="HCN3" s="568"/>
      <c r="HCO3" s="568"/>
      <c r="HCP3" s="568"/>
      <c r="HCQ3" s="568"/>
      <c r="HCR3" s="568"/>
      <c r="HCS3" s="568"/>
      <c r="HCT3" s="568"/>
      <c r="HCU3" s="568"/>
      <c r="HCV3" s="568"/>
      <c r="HCW3" s="568"/>
      <c r="HCX3" s="568"/>
      <c r="HCY3" s="568"/>
      <c r="HCZ3" s="568"/>
      <c r="HDA3" s="568"/>
      <c r="HDB3" s="568"/>
      <c r="HDC3" s="568"/>
      <c r="HDD3" s="568"/>
      <c r="HDE3" s="568"/>
      <c r="HDF3" s="568"/>
      <c r="HDG3" s="568"/>
      <c r="HDH3" s="568"/>
      <c r="HDI3" s="568"/>
      <c r="HDJ3" s="568"/>
      <c r="HDK3" s="568"/>
      <c r="HDL3" s="568"/>
      <c r="HDM3" s="568"/>
      <c r="HDN3" s="568"/>
      <c r="HDO3" s="568"/>
      <c r="HDP3" s="568"/>
      <c r="HDQ3" s="568"/>
      <c r="HDR3" s="568"/>
      <c r="HDS3" s="568"/>
      <c r="HDT3" s="568"/>
      <c r="HDU3" s="568"/>
      <c r="HDV3" s="568"/>
      <c r="HDW3" s="568"/>
      <c r="HDX3" s="568"/>
      <c r="HDY3" s="568"/>
      <c r="HDZ3" s="568"/>
      <c r="HEA3" s="568"/>
      <c r="HEB3" s="568"/>
      <c r="HEC3" s="568"/>
      <c r="HED3" s="568"/>
      <c r="HEE3" s="568"/>
      <c r="HEF3" s="568"/>
      <c r="HEG3" s="568"/>
      <c r="HEH3" s="568"/>
      <c r="HEI3" s="568"/>
      <c r="HEJ3" s="568"/>
      <c r="HEK3" s="568"/>
      <c r="HEL3" s="568"/>
      <c r="HEM3" s="568"/>
      <c r="HEN3" s="568"/>
      <c r="HEO3" s="568"/>
      <c r="HEP3" s="568"/>
      <c r="HEQ3" s="568"/>
      <c r="HER3" s="568"/>
      <c r="HES3" s="568"/>
      <c r="HET3" s="568"/>
      <c r="HEU3" s="568"/>
      <c r="HEV3" s="568"/>
      <c r="HEW3" s="568"/>
      <c r="HEX3" s="568"/>
      <c r="HEY3" s="568"/>
      <c r="HEZ3" s="568"/>
      <c r="HFA3" s="568"/>
      <c r="HFB3" s="568"/>
      <c r="HFC3" s="568"/>
      <c r="HFD3" s="568"/>
      <c r="HFE3" s="568"/>
      <c r="HFF3" s="568"/>
      <c r="HFG3" s="568"/>
      <c r="HFH3" s="568"/>
      <c r="HFI3" s="568"/>
      <c r="HFJ3" s="568"/>
      <c r="HFK3" s="568"/>
      <c r="HFL3" s="568"/>
      <c r="HFM3" s="568"/>
      <c r="HFN3" s="568"/>
      <c r="HFO3" s="568"/>
      <c r="HFP3" s="568"/>
      <c r="HFQ3" s="568"/>
      <c r="HFR3" s="568"/>
      <c r="HFS3" s="568"/>
      <c r="HFT3" s="568"/>
      <c r="HFU3" s="568"/>
      <c r="HFV3" s="568"/>
      <c r="HFW3" s="568"/>
      <c r="HFX3" s="568"/>
      <c r="HFY3" s="568"/>
      <c r="HFZ3" s="568"/>
      <c r="HGA3" s="568"/>
      <c r="HGB3" s="568"/>
      <c r="HGC3" s="568"/>
      <c r="HGD3" s="568"/>
      <c r="HGE3" s="568"/>
      <c r="HGF3" s="568"/>
      <c r="HGG3" s="568"/>
      <c r="HGH3" s="568"/>
      <c r="HGI3" s="568"/>
      <c r="HGJ3" s="568"/>
      <c r="HGK3" s="568"/>
      <c r="HGL3" s="568"/>
      <c r="HGM3" s="568"/>
      <c r="HGN3" s="568"/>
      <c r="HGO3" s="568"/>
      <c r="HGP3" s="568"/>
      <c r="HGQ3" s="568"/>
      <c r="HGR3" s="568"/>
      <c r="HGS3" s="568"/>
      <c r="HGT3" s="568"/>
      <c r="HGU3" s="568"/>
      <c r="HGV3" s="568"/>
      <c r="HGW3" s="568"/>
      <c r="HGX3" s="568"/>
      <c r="HGY3" s="568"/>
      <c r="HGZ3" s="568"/>
      <c r="HHA3" s="568"/>
      <c r="HHB3" s="568"/>
      <c r="HHC3" s="568"/>
      <c r="HHD3" s="568"/>
      <c r="HHE3" s="568"/>
      <c r="HHF3" s="568"/>
      <c r="HHG3" s="568"/>
      <c r="HHH3" s="568"/>
      <c r="HHI3" s="568"/>
      <c r="HHJ3" s="568"/>
      <c r="HHK3" s="568"/>
      <c r="HHL3" s="568"/>
      <c r="HHM3" s="568"/>
      <c r="HHN3" s="568"/>
      <c r="HHO3" s="568"/>
      <c r="HHP3" s="568"/>
      <c r="HHQ3" s="568"/>
      <c r="HHR3" s="568"/>
      <c r="HHS3" s="568"/>
      <c r="HHT3" s="568"/>
      <c r="HHU3" s="568"/>
      <c r="HHV3" s="568"/>
      <c r="HHW3" s="568"/>
      <c r="HHX3" s="568"/>
      <c r="HHY3" s="568"/>
      <c r="HHZ3" s="568"/>
      <c r="HIA3" s="568"/>
      <c r="HIB3" s="568"/>
      <c r="HIC3" s="568"/>
      <c r="HID3" s="568"/>
      <c r="HIE3" s="568"/>
      <c r="HIF3" s="568"/>
      <c r="HIG3" s="568"/>
      <c r="HIH3" s="568"/>
      <c r="HII3" s="568"/>
      <c r="HIJ3" s="568"/>
      <c r="HIK3" s="568"/>
      <c r="HIL3" s="568"/>
      <c r="HIM3" s="568"/>
      <c r="HIN3" s="568"/>
      <c r="HIO3" s="568"/>
      <c r="HIP3" s="568"/>
      <c r="HIQ3" s="568"/>
      <c r="HIR3" s="568"/>
      <c r="HIS3" s="568"/>
      <c r="HIT3" s="568"/>
      <c r="HIU3" s="568"/>
      <c r="HIV3" s="568"/>
      <c r="HIW3" s="568"/>
      <c r="HIX3" s="568"/>
      <c r="HIY3" s="568"/>
      <c r="HIZ3" s="568"/>
      <c r="HJA3" s="568"/>
      <c r="HJB3" s="568"/>
      <c r="HJC3" s="568"/>
      <c r="HJD3" s="568"/>
      <c r="HJE3" s="568"/>
      <c r="HJF3" s="568"/>
      <c r="HJG3" s="568"/>
      <c r="HJH3" s="568"/>
      <c r="HJI3" s="568"/>
      <c r="HJJ3" s="568"/>
      <c r="HJK3" s="568"/>
      <c r="HJL3" s="568"/>
      <c r="HJM3" s="568"/>
      <c r="HJN3" s="568"/>
      <c r="HJO3" s="568"/>
      <c r="HJP3" s="568"/>
      <c r="HJQ3" s="568"/>
      <c r="HJR3" s="568"/>
      <c r="HJS3" s="568"/>
      <c r="HJT3" s="568"/>
      <c r="HJU3" s="568"/>
      <c r="HJV3" s="568"/>
      <c r="HJW3" s="568"/>
      <c r="HJX3" s="568"/>
      <c r="HJY3" s="568"/>
      <c r="HJZ3" s="568"/>
      <c r="HKA3" s="568"/>
      <c r="HKB3" s="568"/>
      <c r="HKC3" s="568"/>
      <c r="HKD3" s="568"/>
      <c r="HKE3" s="568"/>
      <c r="HKF3" s="568"/>
      <c r="HKG3" s="568"/>
      <c r="HKH3" s="568"/>
      <c r="HKI3" s="568"/>
      <c r="HKJ3" s="568"/>
      <c r="HKK3" s="568"/>
      <c r="HKL3" s="568"/>
      <c r="HKM3" s="568"/>
      <c r="HKN3" s="568"/>
      <c r="HKO3" s="568"/>
      <c r="HKP3" s="568"/>
      <c r="HKQ3" s="568"/>
      <c r="HKR3" s="568"/>
      <c r="HKS3" s="568"/>
      <c r="HKT3" s="568"/>
      <c r="HKU3" s="568"/>
      <c r="HKV3" s="568"/>
      <c r="HKW3" s="568"/>
      <c r="HKX3" s="568"/>
      <c r="HKY3" s="568"/>
      <c r="HKZ3" s="568"/>
      <c r="HLA3" s="568"/>
      <c r="HLB3" s="568"/>
      <c r="HLC3" s="568"/>
      <c r="HLD3" s="568"/>
      <c r="HLE3" s="568"/>
      <c r="HLF3" s="568"/>
      <c r="HLG3" s="568"/>
      <c r="HLH3" s="568"/>
      <c r="HLI3" s="568"/>
      <c r="HLJ3" s="568"/>
      <c r="HLK3" s="568"/>
      <c r="HLL3" s="568"/>
      <c r="HLM3" s="568"/>
      <c r="HLN3" s="568"/>
      <c r="HLO3" s="568"/>
      <c r="HLP3" s="568"/>
      <c r="HLQ3" s="568"/>
      <c r="HLR3" s="568"/>
      <c r="HLS3" s="568"/>
      <c r="HLT3" s="568"/>
      <c r="HLU3" s="568"/>
      <c r="HLV3" s="568"/>
      <c r="HLW3" s="568"/>
      <c r="HLX3" s="568"/>
      <c r="HLY3" s="568"/>
      <c r="HLZ3" s="568"/>
      <c r="HMA3" s="568"/>
      <c r="HMB3" s="568"/>
      <c r="HMC3" s="568"/>
      <c r="HMD3" s="568"/>
      <c r="HME3" s="568"/>
      <c r="HMF3" s="568"/>
      <c r="HMG3" s="568"/>
      <c r="HMH3" s="568"/>
      <c r="HMI3" s="568"/>
      <c r="HMJ3" s="568"/>
      <c r="HMK3" s="568"/>
      <c r="HML3" s="568"/>
      <c r="HMM3" s="568"/>
      <c r="HMN3" s="568"/>
      <c r="HMO3" s="568"/>
      <c r="HMP3" s="568"/>
      <c r="HMQ3" s="568"/>
      <c r="HMR3" s="568"/>
      <c r="HMS3" s="568"/>
      <c r="HMT3" s="568"/>
      <c r="HMU3" s="568"/>
      <c r="HMV3" s="568"/>
      <c r="HMW3" s="568"/>
      <c r="HMX3" s="568"/>
      <c r="HMY3" s="568"/>
      <c r="HMZ3" s="568"/>
      <c r="HNA3" s="568"/>
      <c r="HNB3" s="568"/>
      <c r="HNC3" s="568"/>
      <c r="HND3" s="568"/>
      <c r="HNE3" s="568"/>
      <c r="HNF3" s="568"/>
      <c r="HNG3" s="568"/>
      <c r="HNH3" s="568"/>
      <c r="HNI3" s="568"/>
      <c r="HNJ3" s="568"/>
      <c r="HNK3" s="568"/>
      <c r="HNL3" s="568"/>
      <c r="HNM3" s="568"/>
      <c r="HNN3" s="568"/>
      <c r="HNO3" s="568"/>
      <c r="HNP3" s="568"/>
      <c r="HNQ3" s="568"/>
      <c r="HNR3" s="568"/>
      <c r="HNS3" s="568"/>
      <c r="HNT3" s="568"/>
      <c r="HNU3" s="568"/>
      <c r="HNV3" s="568"/>
      <c r="HNW3" s="568"/>
      <c r="HNX3" s="568"/>
      <c r="HNY3" s="568"/>
      <c r="HNZ3" s="568"/>
      <c r="HOA3" s="568"/>
      <c r="HOB3" s="568"/>
      <c r="HOC3" s="568"/>
      <c r="HOD3" s="568"/>
      <c r="HOE3" s="568"/>
      <c r="HOF3" s="568"/>
      <c r="HOG3" s="568"/>
      <c r="HOH3" s="568"/>
      <c r="HOI3" s="568"/>
      <c r="HOJ3" s="568"/>
      <c r="HOK3" s="568"/>
      <c r="HOL3" s="568"/>
      <c r="HOM3" s="568"/>
      <c r="HON3" s="568"/>
      <c r="HOO3" s="568"/>
      <c r="HOP3" s="568"/>
      <c r="HOQ3" s="568"/>
      <c r="HOR3" s="568"/>
      <c r="HOS3" s="568"/>
      <c r="HOT3" s="568"/>
      <c r="HOU3" s="568"/>
      <c r="HOV3" s="568"/>
      <c r="HOW3" s="568"/>
      <c r="HOX3" s="568"/>
      <c r="HOY3" s="568"/>
      <c r="HOZ3" s="568"/>
      <c r="HPA3" s="568"/>
      <c r="HPB3" s="568"/>
      <c r="HPC3" s="568"/>
      <c r="HPD3" s="568"/>
      <c r="HPE3" s="568"/>
      <c r="HPF3" s="568"/>
      <c r="HPG3" s="568"/>
      <c r="HPH3" s="568"/>
      <c r="HPI3" s="568"/>
      <c r="HPJ3" s="568"/>
      <c r="HPK3" s="568"/>
      <c r="HPL3" s="568"/>
      <c r="HPM3" s="568"/>
      <c r="HPN3" s="568"/>
      <c r="HPO3" s="568"/>
      <c r="HPP3" s="568"/>
      <c r="HPQ3" s="568"/>
      <c r="HPR3" s="568"/>
      <c r="HPS3" s="568"/>
      <c r="HPT3" s="568"/>
      <c r="HPU3" s="568"/>
      <c r="HPV3" s="568"/>
      <c r="HPW3" s="568"/>
      <c r="HPX3" s="568"/>
      <c r="HPY3" s="568"/>
      <c r="HPZ3" s="568"/>
      <c r="HQA3" s="568"/>
      <c r="HQB3" s="568"/>
      <c r="HQC3" s="568"/>
      <c r="HQD3" s="568"/>
      <c r="HQE3" s="568"/>
      <c r="HQF3" s="568"/>
      <c r="HQG3" s="568"/>
      <c r="HQH3" s="568"/>
      <c r="HQI3" s="568"/>
      <c r="HQJ3" s="568"/>
      <c r="HQK3" s="568"/>
      <c r="HQL3" s="568"/>
      <c r="HQM3" s="568"/>
      <c r="HQN3" s="568"/>
      <c r="HQO3" s="568"/>
      <c r="HQP3" s="568"/>
      <c r="HQQ3" s="568"/>
      <c r="HQR3" s="568"/>
      <c r="HQS3" s="568"/>
      <c r="HQT3" s="568"/>
      <c r="HQU3" s="568"/>
      <c r="HQV3" s="568"/>
      <c r="HQW3" s="568"/>
      <c r="HQX3" s="568"/>
      <c r="HQY3" s="568"/>
      <c r="HQZ3" s="568"/>
      <c r="HRA3" s="568"/>
      <c r="HRB3" s="568"/>
      <c r="HRC3" s="568"/>
      <c r="HRD3" s="568"/>
      <c r="HRE3" s="568"/>
      <c r="HRF3" s="568"/>
      <c r="HRG3" s="568"/>
      <c r="HRH3" s="568"/>
      <c r="HRI3" s="568"/>
      <c r="HRJ3" s="568"/>
      <c r="HRK3" s="568"/>
      <c r="HRL3" s="568"/>
      <c r="HRM3" s="568"/>
      <c r="HRN3" s="568"/>
      <c r="HRO3" s="568"/>
      <c r="HRP3" s="568"/>
      <c r="HRQ3" s="568"/>
      <c r="HRR3" s="568"/>
      <c r="HRS3" s="568"/>
      <c r="HRT3" s="568"/>
      <c r="HRU3" s="568"/>
      <c r="HRV3" s="568"/>
      <c r="HRW3" s="568"/>
      <c r="HRX3" s="568"/>
      <c r="HRY3" s="568"/>
      <c r="HRZ3" s="568"/>
      <c r="HSA3" s="568"/>
      <c r="HSB3" s="568"/>
      <c r="HSC3" s="568"/>
      <c r="HSD3" s="568"/>
      <c r="HSE3" s="568"/>
      <c r="HSF3" s="568"/>
      <c r="HSG3" s="568"/>
      <c r="HSH3" s="568"/>
      <c r="HSI3" s="568"/>
      <c r="HSJ3" s="568"/>
      <c r="HSK3" s="568"/>
      <c r="HSL3" s="568"/>
      <c r="HSM3" s="568"/>
      <c r="HSN3" s="568"/>
      <c r="HSO3" s="568"/>
      <c r="HSP3" s="568"/>
      <c r="HSQ3" s="568"/>
      <c r="HSR3" s="568"/>
      <c r="HSS3" s="568"/>
      <c r="HST3" s="568"/>
      <c r="HSU3" s="568"/>
      <c r="HSV3" s="568"/>
      <c r="HSW3" s="568"/>
      <c r="HSX3" s="568"/>
      <c r="HSY3" s="568"/>
      <c r="HSZ3" s="568"/>
      <c r="HTA3" s="568"/>
      <c r="HTB3" s="568"/>
      <c r="HTC3" s="568"/>
      <c r="HTD3" s="568"/>
      <c r="HTE3" s="568"/>
      <c r="HTF3" s="568"/>
      <c r="HTG3" s="568"/>
      <c r="HTH3" s="568"/>
      <c r="HTI3" s="568"/>
      <c r="HTJ3" s="568"/>
      <c r="HTK3" s="568"/>
      <c r="HTL3" s="568"/>
      <c r="HTM3" s="568"/>
      <c r="HTN3" s="568"/>
      <c r="HTO3" s="568"/>
      <c r="HTP3" s="568"/>
      <c r="HTQ3" s="568"/>
      <c r="HTR3" s="568"/>
      <c r="HTS3" s="568"/>
      <c r="HTT3" s="568"/>
      <c r="HTU3" s="568"/>
      <c r="HTV3" s="568"/>
      <c r="HTW3" s="568"/>
      <c r="HTX3" s="568"/>
      <c r="HTY3" s="568"/>
      <c r="HTZ3" s="568"/>
      <c r="HUA3" s="568"/>
      <c r="HUB3" s="568"/>
      <c r="HUC3" s="568"/>
      <c r="HUD3" s="568"/>
      <c r="HUE3" s="568"/>
      <c r="HUF3" s="568"/>
      <c r="HUG3" s="568"/>
      <c r="HUH3" s="568"/>
      <c r="HUI3" s="568"/>
      <c r="HUJ3" s="568"/>
      <c r="HUK3" s="568"/>
      <c r="HUL3" s="568"/>
      <c r="HUM3" s="568"/>
      <c r="HUN3" s="568"/>
      <c r="HUO3" s="568"/>
      <c r="HUP3" s="568"/>
      <c r="HUQ3" s="568"/>
      <c r="HUR3" s="568"/>
      <c r="HUS3" s="568"/>
      <c r="HUT3" s="568"/>
      <c r="HUU3" s="568"/>
      <c r="HUV3" s="568"/>
      <c r="HUW3" s="568"/>
      <c r="HUX3" s="568"/>
      <c r="HUY3" s="568"/>
      <c r="HUZ3" s="568"/>
      <c r="HVA3" s="568"/>
      <c r="HVB3" s="568"/>
      <c r="HVC3" s="568"/>
      <c r="HVD3" s="568"/>
      <c r="HVE3" s="568"/>
      <c r="HVF3" s="568"/>
      <c r="HVG3" s="568"/>
      <c r="HVH3" s="568"/>
      <c r="HVI3" s="568"/>
      <c r="HVJ3" s="568"/>
      <c r="HVK3" s="568"/>
      <c r="HVL3" s="568"/>
      <c r="HVM3" s="568"/>
      <c r="HVN3" s="568"/>
      <c r="HVO3" s="568"/>
      <c r="HVP3" s="568"/>
      <c r="HVQ3" s="568"/>
      <c r="HVR3" s="568"/>
      <c r="HVS3" s="568"/>
      <c r="HVT3" s="568"/>
      <c r="HVU3" s="568"/>
      <c r="HVV3" s="568"/>
      <c r="HVW3" s="568"/>
      <c r="HVX3" s="568"/>
      <c r="HVY3" s="568"/>
      <c r="HVZ3" s="568"/>
      <c r="HWA3" s="568"/>
      <c r="HWB3" s="568"/>
      <c r="HWC3" s="568"/>
      <c r="HWD3" s="568"/>
      <c r="HWE3" s="568"/>
      <c r="HWF3" s="568"/>
      <c r="HWG3" s="568"/>
      <c r="HWH3" s="568"/>
      <c r="HWI3" s="568"/>
      <c r="HWJ3" s="568"/>
      <c r="HWK3" s="568"/>
      <c r="HWL3" s="568"/>
      <c r="HWM3" s="568"/>
      <c r="HWN3" s="568"/>
      <c r="HWO3" s="568"/>
      <c r="HWP3" s="568"/>
      <c r="HWQ3" s="568"/>
      <c r="HWR3" s="568"/>
      <c r="HWS3" s="568"/>
      <c r="HWT3" s="568"/>
      <c r="HWU3" s="568"/>
      <c r="HWV3" s="568"/>
      <c r="HWW3" s="568"/>
      <c r="HWX3" s="568"/>
      <c r="HWY3" s="568"/>
      <c r="HWZ3" s="568"/>
      <c r="HXA3" s="568"/>
      <c r="HXB3" s="568"/>
      <c r="HXC3" s="568"/>
      <c r="HXD3" s="568"/>
      <c r="HXE3" s="568"/>
      <c r="HXF3" s="568"/>
      <c r="HXG3" s="568"/>
      <c r="HXH3" s="568"/>
      <c r="HXI3" s="568"/>
      <c r="HXJ3" s="568"/>
      <c r="HXK3" s="568"/>
      <c r="HXL3" s="568"/>
      <c r="HXM3" s="568"/>
      <c r="HXN3" s="568"/>
      <c r="HXO3" s="568"/>
      <c r="HXP3" s="568"/>
      <c r="HXQ3" s="568"/>
      <c r="HXR3" s="568"/>
      <c r="HXS3" s="568"/>
      <c r="HXT3" s="568"/>
      <c r="HXU3" s="568"/>
      <c r="HXV3" s="568"/>
      <c r="HXW3" s="568"/>
      <c r="HXX3" s="568"/>
      <c r="HXY3" s="568"/>
      <c r="HXZ3" s="568"/>
      <c r="HYA3" s="568"/>
      <c r="HYB3" s="568"/>
      <c r="HYC3" s="568"/>
      <c r="HYD3" s="568"/>
      <c r="HYE3" s="568"/>
      <c r="HYF3" s="568"/>
      <c r="HYG3" s="568"/>
      <c r="HYH3" s="568"/>
      <c r="HYI3" s="568"/>
      <c r="HYJ3" s="568"/>
      <c r="HYK3" s="568"/>
      <c r="HYL3" s="568"/>
      <c r="HYM3" s="568"/>
      <c r="HYN3" s="568"/>
      <c r="HYO3" s="568"/>
      <c r="HYP3" s="568"/>
      <c r="HYQ3" s="568"/>
      <c r="HYR3" s="568"/>
      <c r="HYS3" s="568"/>
      <c r="HYT3" s="568"/>
      <c r="HYU3" s="568"/>
      <c r="HYV3" s="568"/>
      <c r="HYW3" s="568"/>
      <c r="HYX3" s="568"/>
      <c r="HYY3" s="568"/>
      <c r="HYZ3" s="568"/>
      <c r="HZA3" s="568"/>
      <c r="HZB3" s="568"/>
      <c r="HZC3" s="568"/>
      <c r="HZD3" s="568"/>
      <c r="HZE3" s="568"/>
      <c r="HZF3" s="568"/>
      <c r="HZG3" s="568"/>
      <c r="HZH3" s="568"/>
      <c r="HZI3" s="568"/>
      <c r="HZJ3" s="568"/>
      <c r="HZK3" s="568"/>
      <c r="HZL3" s="568"/>
      <c r="HZM3" s="568"/>
      <c r="HZN3" s="568"/>
      <c r="HZO3" s="568"/>
      <c r="HZP3" s="568"/>
      <c r="HZQ3" s="568"/>
      <c r="HZR3" s="568"/>
      <c r="HZS3" s="568"/>
      <c r="HZT3" s="568"/>
      <c r="HZU3" s="568"/>
      <c r="HZV3" s="568"/>
      <c r="HZW3" s="568"/>
      <c r="HZX3" s="568"/>
      <c r="HZY3" s="568"/>
      <c r="HZZ3" s="568"/>
      <c r="IAA3" s="568"/>
      <c r="IAB3" s="568"/>
      <c r="IAC3" s="568"/>
      <c r="IAD3" s="568"/>
      <c r="IAE3" s="568"/>
      <c r="IAF3" s="568"/>
      <c r="IAG3" s="568"/>
      <c r="IAH3" s="568"/>
      <c r="IAI3" s="568"/>
      <c r="IAJ3" s="568"/>
      <c r="IAK3" s="568"/>
      <c r="IAL3" s="568"/>
      <c r="IAM3" s="568"/>
      <c r="IAN3" s="568"/>
      <c r="IAO3" s="568"/>
      <c r="IAP3" s="568"/>
      <c r="IAQ3" s="568"/>
      <c r="IAR3" s="568"/>
      <c r="IAS3" s="568"/>
      <c r="IAT3" s="568"/>
      <c r="IAU3" s="568"/>
      <c r="IAV3" s="568"/>
      <c r="IAW3" s="568"/>
      <c r="IAX3" s="568"/>
      <c r="IAY3" s="568"/>
      <c r="IAZ3" s="568"/>
      <c r="IBA3" s="568"/>
      <c r="IBB3" s="568"/>
      <c r="IBC3" s="568"/>
      <c r="IBD3" s="568"/>
      <c r="IBE3" s="568"/>
      <c r="IBF3" s="568"/>
      <c r="IBG3" s="568"/>
      <c r="IBH3" s="568"/>
      <c r="IBI3" s="568"/>
      <c r="IBJ3" s="568"/>
      <c r="IBK3" s="568"/>
      <c r="IBL3" s="568"/>
      <c r="IBM3" s="568"/>
      <c r="IBN3" s="568"/>
      <c r="IBO3" s="568"/>
      <c r="IBP3" s="568"/>
      <c r="IBQ3" s="568"/>
      <c r="IBR3" s="568"/>
      <c r="IBS3" s="568"/>
      <c r="IBT3" s="568"/>
      <c r="IBU3" s="568"/>
      <c r="IBV3" s="568"/>
      <c r="IBW3" s="568"/>
      <c r="IBX3" s="568"/>
      <c r="IBY3" s="568"/>
      <c r="IBZ3" s="568"/>
      <c r="ICA3" s="568"/>
      <c r="ICB3" s="568"/>
      <c r="ICC3" s="568"/>
      <c r="ICD3" s="568"/>
      <c r="ICE3" s="568"/>
      <c r="ICF3" s="568"/>
      <c r="ICG3" s="568"/>
      <c r="ICH3" s="568"/>
      <c r="ICI3" s="568"/>
      <c r="ICJ3" s="568"/>
      <c r="ICK3" s="568"/>
      <c r="ICL3" s="568"/>
      <c r="ICM3" s="568"/>
      <c r="ICN3" s="568"/>
      <c r="ICO3" s="568"/>
      <c r="ICP3" s="568"/>
      <c r="ICQ3" s="568"/>
      <c r="ICR3" s="568"/>
      <c r="ICS3" s="568"/>
      <c r="ICT3" s="568"/>
      <c r="ICU3" s="568"/>
      <c r="ICV3" s="568"/>
      <c r="ICW3" s="568"/>
      <c r="ICX3" s="568"/>
      <c r="ICY3" s="568"/>
      <c r="ICZ3" s="568"/>
      <c r="IDA3" s="568"/>
      <c r="IDB3" s="568"/>
      <c r="IDC3" s="568"/>
      <c r="IDD3" s="568"/>
      <c r="IDE3" s="568"/>
      <c r="IDF3" s="568"/>
      <c r="IDG3" s="568"/>
      <c r="IDH3" s="568"/>
      <c r="IDI3" s="568"/>
      <c r="IDJ3" s="568"/>
      <c r="IDK3" s="568"/>
      <c r="IDL3" s="568"/>
      <c r="IDM3" s="568"/>
      <c r="IDN3" s="568"/>
      <c r="IDO3" s="568"/>
      <c r="IDP3" s="568"/>
      <c r="IDQ3" s="568"/>
      <c r="IDR3" s="568"/>
      <c r="IDS3" s="568"/>
      <c r="IDT3" s="568"/>
      <c r="IDU3" s="568"/>
      <c r="IDV3" s="568"/>
      <c r="IDW3" s="568"/>
      <c r="IDX3" s="568"/>
      <c r="IDY3" s="568"/>
      <c r="IDZ3" s="568"/>
      <c r="IEA3" s="568"/>
      <c r="IEB3" s="568"/>
      <c r="IEC3" s="568"/>
      <c r="IED3" s="568"/>
      <c r="IEE3" s="568"/>
      <c r="IEF3" s="568"/>
      <c r="IEG3" s="568"/>
      <c r="IEH3" s="568"/>
      <c r="IEI3" s="568"/>
      <c r="IEJ3" s="568"/>
      <c r="IEK3" s="568"/>
      <c r="IEL3" s="568"/>
      <c r="IEM3" s="568"/>
      <c r="IEN3" s="568"/>
      <c r="IEO3" s="568"/>
      <c r="IEP3" s="568"/>
      <c r="IEQ3" s="568"/>
      <c r="IER3" s="568"/>
      <c r="IES3" s="568"/>
      <c r="IET3" s="568"/>
      <c r="IEU3" s="568"/>
      <c r="IEV3" s="568"/>
      <c r="IEW3" s="568"/>
      <c r="IEX3" s="568"/>
      <c r="IEY3" s="568"/>
      <c r="IEZ3" s="568"/>
      <c r="IFA3" s="568"/>
      <c r="IFB3" s="568"/>
      <c r="IFC3" s="568"/>
      <c r="IFD3" s="568"/>
      <c r="IFE3" s="568"/>
      <c r="IFF3" s="568"/>
      <c r="IFG3" s="568"/>
      <c r="IFH3" s="568"/>
      <c r="IFI3" s="568"/>
      <c r="IFJ3" s="568"/>
      <c r="IFK3" s="568"/>
      <c r="IFL3" s="568"/>
      <c r="IFM3" s="568"/>
      <c r="IFN3" s="568"/>
      <c r="IFO3" s="568"/>
      <c r="IFP3" s="568"/>
      <c r="IFQ3" s="568"/>
      <c r="IFR3" s="568"/>
      <c r="IFS3" s="568"/>
      <c r="IFT3" s="568"/>
      <c r="IFU3" s="568"/>
      <c r="IFV3" s="568"/>
      <c r="IFW3" s="568"/>
      <c r="IFX3" s="568"/>
      <c r="IFY3" s="568"/>
      <c r="IFZ3" s="568"/>
      <c r="IGA3" s="568"/>
      <c r="IGB3" s="568"/>
      <c r="IGC3" s="568"/>
      <c r="IGD3" s="568"/>
      <c r="IGE3" s="568"/>
      <c r="IGF3" s="568"/>
      <c r="IGG3" s="568"/>
      <c r="IGH3" s="568"/>
      <c r="IGI3" s="568"/>
      <c r="IGJ3" s="568"/>
      <c r="IGK3" s="568"/>
      <c r="IGL3" s="568"/>
      <c r="IGM3" s="568"/>
      <c r="IGN3" s="568"/>
      <c r="IGO3" s="568"/>
      <c r="IGP3" s="568"/>
      <c r="IGQ3" s="568"/>
      <c r="IGR3" s="568"/>
      <c r="IGS3" s="568"/>
      <c r="IGT3" s="568"/>
      <c r="IGU3" s="568"/>
      <c r="IGV3" s="568"/>
      <c r="IGW3" s="568"/>
      <c r="IGX3" s="568"/>
      <c r="IGY3" s="568"/>
      <c r="IGZ3" s="568"/>
      <c r="IHA3" s="568"/>
      <c r="IHB3" s="568"/>
      <c r="IHC3" s="568"/>
      <c r="IHD3" s="568"/>
      <c r="IHE3" s="568"/>
      <c r="IHF3" s="568"/>
      <c r="IHG3" s="568"/>
      <c r="IHH3" s="568"/>
      <c r="IHI3" s="568"/>
      <c r="IHJ3" s="568"/>
      <c r="IHK3" s="568"/>
      <c r="IHL3" s="568"/>
      <c r="IHM3" s="568"/>
      <c r="IHN3" s="568"/>
      <c r="IHO3" s="568"/>
      <c r="IHP3" s="568"/>
      <c r="IHQ3" s="568"/>
      <c r="IHR3" s="568"/>
      <c r="IHS3" s="568"/>
      <c r="IHT3" s="568"/>
      <c r="IHU3" s="568"/>
      <c r="IHV3" s="568"/>
      <c r="IHW3" s="568"/>
      <c r="IHX3" s="568"/>
      <c r="IHY3" s="568"/>
      <c r="IHZ3" s="568"/>
      <c r="IIA3" s="568"/>
      <c r="IIB3" s="568"/>
      <c r="IIC3" s="568"/>
      <c r="IID3" s="568"/>
      <c r="IIE3" s="568"/>
      <c r="IIF3" s="568"/>
      <c r="IIG3" s="568"/>
      <c r="IIH3" s="568"/>
      <c r="III3" s="568"/>
      <c r="IIJ3" s="568"/>
      <c r="IIK3" s="568"/>
      <c r="IIL3" s="568"/>
      <c r="IIM3" s="568"/>
      <c r="IIN3" s="568"/>
      <c r="IIO3" s="568"/>
      <c r="IIP3" s="568"/>
      <c r="IIQ3" s="568"/>
      <c r="IIR3" s="568"/>
      <c r="IIS3" s="568"/>
      <c r="IIT3" s="568"/>
      <c r="IIU3" s="568"/>
      <c r="IIV3" s="568"/>
      <c r="IIW3" s="568"/>
      <c r="IIX3" s="568"/>
      <c r="IIY3" s="568"/>
      <c r="IIZ3" s="568"/>
      <c r="IJA3" s="568"/>
      <c r="IJB3" s="568"/>
      <c r="IJC3" s="568"/>
      <c r="IJD3" s="568"/>
      <c r="IJE3" s="568"/>
      <c r="IJF3" s="568"/>
      <c r="IJG3" s="568"/>
      <c r="IJH3" s="568"/>
      <c r="IJI3" s="568"/>
      <c r="IJJ3" s="568"/>
      <c r="IJK3" s="568"/>
      <c r="IJL3" s="568"/>
      <c r="IJM3" s="568"/>
      <c r="IJN3" s="568"/>
      <c r="IJO3" s="568"/>
      <c r="IJP3" s="568"/>
      <c r="IJQ3" s="568"/>
      <c r="IJR3" s="568"/>
      <c r="IJS3" s="568"/>
      <c r="IJT3" s="568"/>
      <c r="IJU3" s="568"/>
      <c r="IJV3" s="568"/>
      <c r="IJW3" s="568"/>
      <c r="IJX3" s="568"/>
      <c r="IJY3" s="568"/>
      <c r="IJZ3" s="568"/>
      <c r="IKA3" s="568"/>
      <c r="IKB3" s="568"/>
      <c r="IKC3" s="568"/>
      <c r="IKD3" s="568"/>
      <c r="IKE3" s="568"/>
      <c r="IKF3" s="568"/>
      <c r="IKG3" s="568"/>
      <c r="IKH3" s="568"/>
      <c r="IKI3" s="568"/>
      <c r="IKJ3" s="568"/>
      <c r="IKK3" s="568"/>
      <c r="IKL3" s="568"/>
      <c r="IKM3" s="568"/>
      <c r="IKN3" s="568"/>
      <c r="IKO3" s="568"/>
      <c r="IKP3" s="568"/>
      <c r="IKQ3" s="568"/>
      <c r="IKR3" s="568"/>
      <c r="IKS3" s="568"/>
      <c r="IKT3" s="568"/>
      <c r="IKU3" s="568"/>
      <c r="IKV3" s="568"/>
      <c r="IKW3" s="568"/>
      <c r="IKX3" s="568"/>
      <c r="IKY3" s="568"/>
      <c r="IKZ3" s="568"/>
      <c r="ILA3" s="568"/>
      <c r="ILB3" s="568"/>
      <c r="ILC3" s="568"/>
      <c r="ILD3" s="568"/>
      <c r="ILE3" s="568"/>
      <c r="ILF3" s="568"/>
      <c r="ILG3" s="568"/>
      <c r="ILH3" s="568"/>
      <c r="ILI3" s="568"/>
      <c r="ILJ3" s="568"/>
      <c r="ILK3" s="568"/>
      <c r="ILL3" s="568"/>
      <c r="ILM3" s="568"/>
      <c r="ILN3" s="568"/>
      <c r="ILO3" s="568"/>
      <c r="ILP3" s="568"/>
      <c r="ILQ3" s="568"/>
      <c r="ILR3" s="568"/>
      <c r="ILS3" s="568"/>
      <c r="ILT3" s="568"/>
      <c r="ILU3" s="568"/>
      <c r="ILV3" s="568"/>
      <c r="ILW3" s="568"/>
      <c r="ILX3" s="568"/>
      <c r="ILY3" s="568"/>
      <c r="ILZ3" s="568"/>
      <c r="IMA3" s="568"/>
      <c r="IMB3" s="568"/>
      <c r="IMC3" s="568"/>
      <c r="IMD3" s="568"/>
      <c r="IME3" s="568"/>
      <c r="IMF3" s="568"/>
      <c r="IMG3" s="568"/>
      <c r="IMH3" s="568"/>
      <c r="IMI3" s="568"/>
      <c r="IMJ3" s="568"/>
      <c r="IMK3" s="568"/>
      <c r="IML3" s="568"/>
      <c r="IMM3" s="568"/>
      <c r="IMN3" s="568"/>
      <c r="IMO3" s="568"/>
      <c r="IMP3" s="568"/>
      <c r="IMQ3" s="568"/>
      <c r="IMR3" s="568"/>
      <c r="IMS3" s="568"/>
      <c r="IMT3" s="568"/>
      <c r="IMU3" s="568"/>
      <c r="IMV3" s="568"/>
      <c r="IMW3" s="568"/>
      <c r="IMX3" s="568"/>
      <c r="IMY3" s="568"/>
      <c r="IMZ3" s="568"/>
      <c r="INA3" s="568"/>
      <c r="INB3" s="568"/>
      <c r="INC3" s="568"/>
      <c r="IND3" s="568"/>
      <c r="INE3" s="568"/>
      <c r="INF3" s="568"/>
      <c r="ING3" s="568"/>
      <c r="INH3" s="568"/>
      <c r="INI3" s="568"/>
      <c r="INJ3" s="568"/>
      <c r="INK3" s="568"/>
      <c r="INL3" s="568"/>
      <c r="INM3" s="568"/>
      <c r="INN3" s="568"/>
      <c r="INO3" s="568"/>
      <c r="INP3" s="568"/>
      <c r="INQ3" s="568"/>
      <c r="INR3" s="568"/>
      <c r="INS3" s="568"/>
      <c r="INT3" s="568"/>
      <c r="INU3" s="568"/>
      <c r="INV3" s="568"/>
      <c r="INW3" s="568"/>
      <c r="INX3" s="568"/>
      <c r="INY3" s="568"/>
      <c r="INZ3" s="568"/>
      <c r="IOA3" s="568"/>
      <c r="IOB3" s="568"/>
      <c r="IOC3" s="568"/>
      <c r="IOD3" s="568"/>
      <c r="IOE3" s="568"/>
      <c r="IOF3" s="568"/>
      <c r="IOG3" s="568"/>
      <c r="IOH3" s="568"/>
      <c r="IOI3" s="568"/>
      <c r="IOJ3" s="568"/>
      <c r="IOK3" s="568"/>
      <c r="IOL3" s="568"/>
      <c r="IOM3" s="568"/>
      <c r="ION3" s="568"/>
      <c r="IOO3" s="568"/>
      <c r="IOP3" s="568"/>
      <c r="IOQ3" s="568"/>
      <c r="IOR3" s="568"/>
      <c r="IOS3" s="568"/>
      <c r="IOT3" s="568"/>
      <c r="IOU3" s="568"/>
      <c r="IOV3" s="568"/>
      <c r="IOW3" s="568"/>
      <c r="IOX3" s="568"/>
      <c r="IOY3" s="568"/>
      <c r="IOZ3" s="568"/>
      <c r="IPA3" s="568"/>
      <c r="IPB3" s="568"/>
      <c r="IPC3" s="568"/>
      <c r="IPD3" s="568"/>
      <c r="IPE3" s="568"/>
      <c r="IPF3" s="568"/>
      <c r="IPG3" s="568"/>
      <c r="IPH3" s="568"/>
      <c r="IPI3" s="568"/>
      <c r="IPJ3" s="568"/>
      <c r="IPK3" s="568"/>
      <c r="IPL3" s="568"/>
      <c r="IPM3" s="568"/>
      <c r="IPN3" s="568"/>
      <c r="IPO3" s="568"/>
      <c r="IPP3" s="568"/>
      <c r="IPQ3" s="568"/>
      <c r="IPR3" s="568"/>
      <c r="IPS3" s="568"/>
      <c r="IPT3" s="568"/>
      <c r="IPU3" s="568"/>
      <c r="IPV3" s="568"/>
      <c r="IPW3" s="568"/>
      <c r="IPX3" s="568"/>
      <c r="IPY3" s="568"/>
      <c r="IPZ3" s="568"/>
      <c r="IQA3" s="568"/>
      <c r="IQB3" s="568"/>
      <c r="IQC3" s="568"/>
      <c r="IQD3" s="568"/>
      <c r="IQE3" s="568"/>
      <c r="IQF3" s="568"/>
      <c r="IQG3" s="568"/>
      <c r="IQH3" s="568"/>
      <c r="IQI3" s="568"/>
      <c r="IQJ3" s="568"/>
      <c r="IQK3" s="568"/>
      <c r="IQL3" s="568"/>
      <c r="IQM3" s="568"/>
      <c r="IQN3" s="568"/>
      <c r="IQO3" s="568"/>
      <c r="IQP3" s="568"/>
      <c r="IQQ3" s="568"/>
      <c r="IQR3" s="568"/>
      <c r="IQS3" s="568"/>
      <c r="IQT3" s="568"/>
      <c r="IQU3" s="568"/>
      <c r="IQV3" s="568"/>
      <c r="IQW3" s="568"/>
      <c r="IQX3" s="568"/>
      <c r="IQY3" s="568"/>
      <c r="IQZ3" s="568"/>
      <c r="IRA3" s="568"/>
      <c r="IRB3" s="568"/>
      <c r="IRC3" s="568"/>
      <c r="IRD3" s="568"/>
      <c r="IRE3" s="568"/>
      <c r="IRF3" s="568"/>
      <c r="IRG3" s="568"/>
      <c r="IRH3" s="568"/>
      <c r="IRI3" s="568"/>
      <c r="IRJ3" s="568"/>
      <c r="IRK3" s="568"/>
      <c r="IRL3" s="568"/>
      <c r="IRM3" s="568"/>
      <c r="IRN3" s="568"/>
      <c r="IRO3" s="568"/>
      <c r="IRP3" s="568"/>
      <c r="IRQ3" s="568"/>
      <c r="IRR3" s="568"/>
      <c r="IRS3" s="568"/>
      <c r="IRT3" s="568"/>
      <c r="IRU3" s="568"/>
      <c r="IRV3" s="568"/>
      <c r="IRW3" s="568"/>
      <c r="IRX3" s="568"/>
      <c r="IRY3" s="568"/>
      <c r="IRZ3" s="568"/>
      <c r="ISA3" s="568"/>
      <c r="ISB3" s="568"/>
      <c r="ISC3" s="568"/>
      <c r="ISD3" s="568"/>
      <c r="ISE3" s="568"/>
      <c r="ISF3" s="568"/>
      <c r="ISG3" s="568"/>
      <c r="ISH3" s="568"/>
      <c r="ISI3" s="568"/>
      <c r="ISJ3" s="568"/>
      <c r="ISK3" s="568"/>
      <c r="ISL3" s="568"/>
      <c r="ISM3" s="568"/>
      <c r="ISN3" s="568"/>
      <c r="ISO3" s="568"/>
      <c r="ISP3" s="568"/>
      <c r="ISQ3" s="568"/>
      <c r="ISR3" s="568"/>
      <c r="ISS3" s="568"/>
      <c r="IST3" s="568"/>
      <c r="ISU3" s="568"/>
      <c r="ISV3" s="568"/>
      <c r="ISW3" s="568"/>
      <c r="ISX3" s="568"/>
      <c r="ISY3" s="568"/>
      <c r="ISZ3" s="568"/>
      <c r="ITA3" s="568"/>
      <c r="ITB3" s="568"/>
      <c r="ITC3" s="568"/>
      <c r="ITD3" s="568"/>
      <c r="ITE3" s="568"/>
      <c r="ITF3" s="568"/>
      <c r="ITG3" s="568"/>
      <c r="ITH3" s="568"/>
      <c r="ITI3" s="568"/>
      <c r="ITJ3" s="568"/>
      <c r="ITK3" s="568"/>
      <c r="ITL3" s="568"/>
      <c r="ITM3" s="568"/>
      <c r="ITN3" s="568"/>
      <c r="ITO3" s="568"/>
      <c r="ITP3" s="568"/>
      <c r="ITQ3" s="568"/>
      <c r="ITR3" s="568"/>
      <c r="ITS3" s="568"/>
      <c r="ITT3" s="568"/>
      <c r="ITU3" s="568"/>
      <c r="ITV3" s="568"/>
      <c r="ITW3" s="568"/>
      <c r="ITX3" s="568"/>
      <c r="ITY3" s="568"/>
      <c r="ITZ3" s="568"/>
      <c r="IUA3" s="568"/>
      <c r="IUB3" s="568"/>
      <c r="IUC3" s="568"/>
      <c r="IUD3" s="568"/>
      <c r="IUE3" s="568"/>
      <c r="IUF3" s="568"/>
      <c r="IUG3" s="568"/>
      <c r="IUH3" s="568"/>
      <c r="IUI3" s="568"/>
      <c r="IUJ3" s="568"/>
      <c r="IUK3" s="568"/>
      <c r="IUL3" s="568"/>
      <c r="IUM3" s="568"/>
      <c r="IUN3" s="568"/>
      <c r="IUO3" s="568"/>
      <c r="IUP3" s="568"/>
      <c r="IUQ3" s="568"/>
      <c r="IUR3" s="568"/>
      <c r="IUS3" s="568"/>
      <c r="IUT3" s="568"/>
      <c r="IUU3" s="568"/>
      <c r="IUV3" s="568"/>
      <c r="IUW3" s="568"/>
      <c r="IUX3" s="568"/>
      <c r="IUY3" s="568"/>
      <c r="IUZ3" s="568"/>
      <c r="IVA3" s="568"/>
      <c r="IVB3" s="568"/>
      <c r="IVC3" s="568"/>
      <c r="IVD3" s="568"/>
      <c r="IVE3" s="568"/>
      <c r="IVF3" s="568"/>
      <c r="IVG3" s="568"/>
      <c r="IVH3" s="568"/>
      <c r="IVI3" s="568"/>
      <c r="IVJ3" s="568"/>
      <c r="IVK3" s="568"/>
      <c r="IVL3" s="568"/>
      <c r="IVM3" s="568"/>
      <c r="IVN3" s="568"/>
      <c r="IVO3" s="568"/>
      <c r="IVP3" s="568"/>
      <c r="IVQ3" s="568"/>
      <c r="IVR3" s="568"/>
      <c r="IVS3" s="568"/>
      <c r="IVT3" s="568"/>
      <c r="IVU3" s="568"/>
      <c r="IVV3" s="568"/>
      <c r="IVW3" s="568"/>
      <c r="IVX3" s="568"/>
      <c r="IVY3" s="568"/>
      <c r="IVZ3" s="568"/>
      <c r="IWA3" s="568"/>
      <c r="IWB3" s="568"/>
      <c r="IWC3" s="568"/>
      <c r="IWD3" s="568"/>
      <c r="IWE3" s="568"/>
      <c r="IWF3" s="568"/>
      <c r="IWG3" s="568"/>
      <c r="IWH3" s="568"/>
      <c r="IWI3" s="568"/>
      <c r="IWJ3" s="568"/>
      <c r="IWK3" s="568"/>
      <c r="IWL3" s="568"/>
      <c r="IWM3" s="568"/>
      <c r="IWN3" s="568"/>
      <c r="IWO3" s="568"/>
      <c r="IWP3" s="568"/>
      <c r="IWQ3" s="568"/>
      <c r="IWR3" s="568"/>
      <c r="IWS3" s="568"/>
      <c r="IWT3" s="568"/>
      <c r="IWU3" s="568"/>
      <c r="IWV3" s="568"/>
      <c r="IWW3" s="568"/>
      <c r="IWX3" s="568"/>
      <c r="IWY3" s="568"/>
      <c r="IWZ3" s="568"/>
      <c r="IXA3" s="568"/>
      <c r="IXB3" s="568"/>
      <c r="IXC3" s="568"/>
      <c r="IXD3" s="568"/>
      <c r="IXE3" s="568"/>
      <c r="IXF3" s="568"/>
      <c r="IXG3" s="568"/>
      <c r="IXH3" s="568"/>
      <c r="IXI3" s="568"/>
      <c r="IXJ3" s="568"/>
      <c r="IXK3" s="568"/>
      <c r="IXL3" s="568"/>
      <c r="IXM3" s="568"/>
      <c r="IXN3" s="568"/>
      <c r="IXO3" s="568"/>
      <c r="IXP3" s="568"/>
      <c r="IXQ3" s="568"/>
      <c r="IXR3" s="568"/>
      <c r="IXS3" s="568"/>
      <c r="IXT3" s="568"/>
      <c r="IXU3" s="568"/>
      <c r="IXV3" s="568"/>
      <c r="IXW3" s="568"/>
      <c r="IXX3" s="568"/>
      <c r="IXY3" s="568"/>
      <c r="IXZ3" s="568"/>
      <c r="IYA3" s="568"/>
      <c r="IYB3" s="568"/>
      <c r="IYC3" s="568"/>
      <c r="IYD3" s="568"/>
      <c r="IYE3" s="568"/>
      <c r="IYF3" s="568"/>
      <c r="IYG3" s="568"/>
      <c r="IYH3" s="568"/>
      <c r="IYI3" s="568"/>
      <c r="IYJ3" s="568"/>
      <c r="IYK3" s="568"/>
      <c r="IYL3" s="568"/>
      <c r="IYM3" s="568"/>
      <c r="IYN3" s="568"/>
      <c r="IYO3" s="568"/>
      <c r="IYP3" s="568"/>
      <c r="IYQ3" s="568"/>
      <c r="IYR3" s="568"/>
      <c r="IYS3" s="568"/>
      <c r="IYT3" s="568"/>
      <c r="IYU3" s="568"/>
      <c r="IYV3" s="568"/>
      <c r="IYW3" s="568"/>
      <c r="IYX3" s="568"/>
      <c r="IYY3" s="568"/>
      <c r="IYZ3" s="568"/>
      <c r="IZA3" s="568"/>
      <c r="IZB3" s="568"/>
      <c r="IZC3" s="568"/>
      <c r="IZD3" s="568"/>
      <c r="IZE3" s="568"/>
      <c r="IZF3" s="568"/>
      <c r="IZG3" s="568"/>
      <c r="IZH3" s="568"/>
      <c r="IZI3" s="568"/>
      <c r="IZJ3" s="568"/>
      <c r="IZK3" s="568"/>
      <c r="IZL3" s="568"/>
      <c r="IZM3" s="568"/>
      <c r="IZN3" s="568"/>
      <c r="IZO3" s="568"/>
      <c r="IZP3" s="568"/>
      <c r="IZQ3" s="568"/>
      <c r="IZR3" s="568"/>
      <c r="IZS3" s="568"/>
      <c r="IZT3" s="568"/>
      <c r="IZU3" s="568"/>
      <c r="IZV3" s="568"/>
      <c r="IZW3" s="568"/>
      <c r="IZX3" s="568"/>
      <c r="IZY3" s="568"/>
      <c r="IZZ3" s="568"/>
      <c r="JAA3" s="568"/>
      <c r="JAB3" s="568"/>
      <c r="JAC3" s="568"/>
      <c r="JAD3" s="568"/>
      <c r="JAE3" s="568"/>
      <c r="JAF3" s="568"/>
      <c r="JAG3" s="568"/>
      <c r="JAH3" s="568"/>
      <c r="JAI3" s="568"/>
      <c r="JAJ3" s="568"/>
      <c r="JAK3" s="568"/>
      <c r="JAL3" s="568"/>
      <c r="JAM3" s="568"/>
      <c r="JAN3" s="568"/>
      <c r="JAO3" s="568"/>
      <c r="JAP3" s="568"/>
      <c r="JAQ3" s="568"/>
      <c r="JAR3" s="568"/>
      <c r="JAS3" s="568"/>
      <c r="JAT3" s="568"/>
      <c r="JAU3" s="568"/>
      <c r="JAV3" s="568"/>
      <c r="JAW3" s="568"/>
      <c r="JAX3" s="568"/>
      <c r="JAY3" s="568"/>
      <c r="JAZ3" s="568"/>
      <c r="JBA3" s="568"/>
      <c r="JBB3" s="568"/>
      <c r="JBC3" s="568"/>
      <c r="JBD3" s="568"/>
      <c r="JBE3" s="568"/>
      <c r="JBF3" s="568"/>
      <c r="JBG3" s="568"/>
      <c r="JBH3" s="568"/>
      <c r="JBI3" s="568"/>
      <c r="JBJ3" s="568"/>
      <c r="JBK3" s="568"/>
      <c r="JBL3" s="568"/>
      <c r="JBM3" s="568"/>
      <c r="JBN3" s="568"/>
      <c r="JBO3" s="568"/>
      <c r="JBP3" s="568"/>
      <c r="JBQ3" s="568"/>
      <c r="JBR3" s="568"/>
      <c r="JBS3" s="568"/>
      <c r="JBT3" s="568"/>
      <c r="JBU3" s="568"/>
      <c r="JBV3" s="568"/>
      <c r="JBW3" s="568"/>
      <c r="JBX3" s="568"/>
      <c r="JBY3" s="568"/>
      <c r="JBZ3" s="568"/>
      <c r="JCA3" s="568"/>
      <c r="JCB3" s="568"/>
      <c r="JCC3" s="568"/>
      <c r="JCD3" s="568"/>
      <c r="JCE3" s="568"/>
      <c r="JCF3" s="568"/>
      <c r="JCG3" s="568"/>
      <c r="JCH3" s="568"/>
      <c r="JCI3" s="568"/>
      <c r="JCJ3" s="568"/>
      <c r="JCK3" s="568"/>
      <c r="JCL3" s="568"/>
      <c r="JCM3" s="568"/>
      <c r="JCN3" s="568"/>
      <c r="JCO3" s="568"/>
      <c r="JCP3" s="568"/>
      <c r="JCQ3" s="568"/>
      <c r="JCR3" s="568"/>
      <c r="JCS3" s="568"/>
      <c r="JCT3" s="568"/>
      <c r="JCU3" s="568"/>
      <c r="JCV3" s="568"/>
      <c r="JCW3" s="568"/>
      <c r="JCX3" s="568"/>
      <c r="JCY3" s="568"/>
      <c r="JCZ3" s="568"/>
      <c r="JDA3" s="568"/>
      <c r="JDB3" s="568"/>
      <c r="JDC3" s="568"/>
      <c r="JDD3" s="568"/>
      <c r="JDE3" s="568"/>
      <c r="JDF3" s="568"/>
      <c r="JDG3" s="568"/>
      <c r="JDH3" s="568"/>
      <c r="JDI3" s="568"/>
      <c r="JDJ3" s="568"/>
      <c r="JDK3" s="568"/>
      <c r="JDL3" s="568"/>
      <c r="JDM3" s="568"/>
      <c r="JDN3" s="568"/>
      <c r="JDO3" s="568"/>
      <c r="JDP3" s="568"/>
      <c r="JDQ3" s="568"/>
      <c r="JDR3" s="568"/>
      <c r="JDS3" s="568"/>
      <c r="JDT3" s="568"/>
      <c r="JDU3" s="568"/>
      <c r="JDV3" s="568"/>
      <c r="JDW3" s="568"/>
      <c r="JDX3" s="568"/>
      <c r="JDY3" s="568"/>
      <c r="JDZ3" s="568"/>
      <c r="JEA3" s="568"/>
      <c r="JEB3" s="568"/>
      <c r="JEC3" s="568"/>
      <c r="JED3" s="568"/>
      <c r="JEE3" s="568"/>
      <c r="JEF3" s="568"/>
      <c r="JEG3" s="568"/>
      <c r="JEH3" s="568"/>
      <c r="JEI3" s="568"/>
      <c r="JEJ3" s="568"/>
      <c r="JEK3" s="568"/>
      <c r="JEL3" s="568"/>
      <c r="JEM3" s="568"/>
      <c r="JEN3" s="568"/>
      <c r="JEO3" s="568"/>
      <c r="JEP3" s="568"/>
      <c r="JEQ3" s="568"/>
      <c r="JER3" s="568"/>
      <c r="JES3" s="568"/>
      <c r="JET3" s="568"/>
      <c r="JEU3" s="568"/>
      <c r="JEV3" s="568"/>
      <c r="JEW3" s="568"/>
      <c r="JEX3" s="568"/>
      <c r="JEY3" s="568"/>
      <c r="JEZ3" s="568"/>
      <c r="JFA3" s="568"/>
      <c r="JFB3" s="568"/>
      <c r="JFC3" s="568"/>
      <c r="JFD3" s="568"/>
      <c r="JFE3" s="568"/>
      <c r="JFF3" s="568"/>
      <c r="JFG3" s="568"/>
      <c r="JFH3" s="568"/>
      <c r="JFI3" s="568"/>
      <c r="JFJ3" s="568"/>
      <c r="JFK3" s="568"/>
      <c r="JFL3" s="568"/>
      <c r="JFM3" s="568"/>
      <c r="JFN3" s="568"/>
      <c r="JFO3" s="568"/>
      <c r="JFP3" s="568"/>
      <c r="JFQ3" s="568"/>
      <c r="JFR3" s="568"/>
      <c r="JFS3" s="568"/>
      <c r="JFT3" s="568"/>
      <c r="JFU3" s="568"/>
      <c r="JFV3" s="568"/>
      <c r="JFW3" s="568"/>
      <c r="JFX3" s="568"/>
      <c r="JFY3" s="568"/>
      <c r="JFZ3" s="568"/>
      <c r="JGA3" s="568"/>
      <c r="JGB3" s="568"/>
      <c r="JGC3" s="568"/>
      <c r="JGD3" s="568"/>
      <c r="JGE3" s="568"/>
      <c r="JGF3" s="568"/>
      <c r="JGG3" s="568"/>
      <c r="JGH3" s="568"/>
      <c r="JGI3" s="568"/>
      <c r="JGJ3" s="568"/>
      <c r="JGK3" s="568"/>
      <c r="JGL3" s="568"/>
      <c r="JGM3" s="568"/>
      <c r="JGN3" s="568"/>
      <c r="JGO3" s="568"/>
      <c r="JGP3" s="568"/>
      <c r="JGQ3" s="568"/>
      <c r="JGR3" s="568"/>
      <c r="JGS3" s="568"/>
      <c r="JGT3" s="568"/>
      <c r="JGU3" s="568"/>
      <c r="JGV3" s="568"/>
      <c r="JGW3" s="568"/>
      <c r="JGX3" s="568"/>
      <c r="JGY3" s="568"/>
      <c r="JGZ3" s="568"/>
      <c r="JHA3" s="568"/>
      <c r="JHB3" s="568"/>
      <c r="JHC3" s="568"/>
      <c r="JHD3" s="568"/>
      <c r="JHE3" s="568"/>
      <c r="JHF3" s="568"/>
      <c r="JHG3" s="568"/>
      <c r="JHH3" s="568"/>
      <c r="JHI3" s="568"/>
      <c r="JHJ3" s="568"/>
      <c r="JHK3" s="568"/>
      <c r="JHL3" s="568"/>
      <c r="JHM3" s="568"/>
      <c r="JHN3" s="568"/>
      <c r="JHO3" s="568"/>
      <c r="JHP3" s="568"/>
      <c r="JHQ3" s="568"/>
      <c r="JHR3" s="568"/>
      <c r="JHS3" s="568"/>
      <c r="JHT3" s="568"/>
      <c r="JHU3" s="568"/>
      <c r="JHV3" s="568"/>
      <c r="JHW3" s="568"/>
      <c r="JHX3" s="568"/>
      <c r="JHY3" s="568"/>
      <c r="JHZ3" s="568"/>
      <c r="JIA3" s="568"/>
      <c r="JIB3" s="568"/>
      <c r="JIC3" s="568"/>
      <c r="JID3" s="568"/>
      <c r="JIE3" s="568"/>
      <c r="JIF3" s="568"/>
      <c r="JIG3" s="568"/>
      <c r="JIH3" s="568"/>
      <c r="JII3" s="568"/>
      <c r="JIJ3" s="568"/>
      <c r="JIK3" s="568"/>
      <c r="JIL3" s="568"/>
      <c r="JIM3" s="568"/>
      <c r="JIN3" s="568"/>
      <c r="JIO3" s="568"/>
      <c r="JIP3" s="568"/>
      <c r="JIQ3" s="568"/>
      <c r="JIR3" s="568"/>
      <c r="JIS3" s="568"/>
      <c r="JIT3" s="568"/>
      <c r="JIU3" s="568"/>
      <c r="JIV3" s="568"/>
      <c r="JIW3" s="568"/>
      <c r="JIX3" s="568"/>
      <c r="JIY3" s="568"/>
      <c r="JIZ3" s="568"/>
      <c r="JJA3" s="568"/>
      <c r="JJB3" s="568"/>
      <c r="JJC3" s="568"/>
      <c r="JJD3" s="568"/>
      <c r="JJE3" s="568"/>
      <c r="JJF3" s="568"/>
      <c r="JJG3" s="568"/>
      <c r="JJH3" s="568"/>
      <c r="JJI3" s="568"/>
      <c r="JJJ3" s="568"/>
      <c r="JJK3" s="568"/>
      <c r="JJL3" s="568"/>
      <c r="JJM3" s="568"/>
      <c r="JJN3" s="568"/>
      <c r="JJO3" s="568"/>
      <c r="JJP3" s="568"/>
      <c r="JJQ3" s="568"/>
      <c r="JJR3" s="568"/>
      <c r="JJS3" s="568"/>
      <c r="JJT3" s="568"/>
      <c r="JJU3" s="568"/>
      <c r="JJV3" s="568"/>
      <c r="JJW3" s="568"/>
      <c r="JJX3" s="568"/>
      <c r="JJY3" s="568"/>
      <c r="JJZ3" s="568"/>
      <c r="JKA3" s="568"/>
      <c r="JKB3" s="568"/>
      <c r="JKC3" s="568"/>
      <c r="JKD3" s="568"/>
      <c r="JKE3" s="568"/>
      <c r="JKF3" s="568"/>
      <c r="JKG3" s="568"/>
      <c r="JKH3" s="568"/>
      <c r="JKI3" s="568"/>
      <c r="JKJ3" s="568"/>
      <c r="JKK3" s="568"/>
      <c r="JKL3" s="568"/>
      <c r="JKM3" s="568"/>
      <c r="JKN3" s="568"/>
      <c r="JKO3" s="568"/>
      <c r="JKP3" s="568"/>
      <c r="JKQ3" s="568"/>
      <c r="JKR3" s="568"/>
      <c r="JKS3" s="568"/>
      <c r="JKT3" s="568"/>
      <c r="JKU3" s="568"/>
      <c r="JKV3" s="568"/>
      <c r="JKW3" s="568"/>
      <c r="JKX3" s="568"/>
      <c r="JKY3" s="568"/>
      <c r="JKZ3" s="568"/>
      <c r="JLA3" s="568"/>
      <c r="JLB3" s="568"/>
      <c r="JLC3" s="568"/>
      <c r="JLD3" s="568"/>
      <c r="JLE3" s="568"/>
      <c r="JLF3" s="568"/>
      <c r="JLG3" s="568"/>
      <c r="JLH3" s="568"/>
      <c r="JLI3" s="568"/>
      <c r="JLJ3" s="568"/>
      <c r="JLK3" s="568"/>
      <c r="JLL3" s="568"/>
      <c r="JLM3" s="568"/>
      <c r="JLN3" s="568"/>
      <c r="JLO3" s="568"/>
      <c r="JLP3" s="568"/>
      <c r="JLQ3" s="568"/>
      <c r="JLR3" s="568"/>
      <c r="JLS3" s="568"/>
      <c r="JLT3" s="568"/>
      <c r="JLU3" s="568"/>
      <c r="JLV3" s="568"/>
      <c r="JLW3" s="568"/>
      <c r="JLX3" s="568"/>
      <c r="JLY3" s="568"/>
      <c r="JLZ3" s="568"/>
      <c r="JMA3" s="568"/>
      <c r="JMB3" s="568"/>
      <c r="JMC3" s="568"/>
      <c r="JMD3" s="568"/>
      <c r="JME3" s="568"/>
      <c r="JMF3" s="568"/>
      <c r="JMG3" s="568"/>
      <c r="JMH3" s="568"/>
      <c r="JMI3" s="568"/>
      <c r="JMJ3" s="568"/>
      <c r="JMK3" s="568"/>
      <c r="JML3" s="568"/>
      <c r="JMM3" s="568"/>
      <c r="JMN3" s="568"/>
      <c r="JMO3" s="568"/>
      <c r="JMP3" s="568"/>
      <c r="JMQ3" s="568"/>
      <c r="JMR3" s="568"/>
      <c r="JMS3" s="568"/>
      <c r="JMT3" s="568"/>
      <c r="JMU3" s="568"/>
      <c r="JMV3" s="568"/>
      <c r="JMW3" s="568"/>
      <c r="JMX3" s="568"/>
      <c r="JMY3" s="568"/>
      <c r="JMZ3" s="568"/>
      <c r="JNA3" s="568"/>
      <c r="JNB3" s="568"/>
      <c r="JNC3" s="568"/>
      <c r="JND3" s="568"/>
      <c r="JNE3" s="568"/>
      <c r="JNF3" s="568"/>
      <c r="JNG3" s="568"/>
      <c r="JNH3" s="568"/>
      <c r="JNI3" s="568"/>
      <c r="JNJ3" s="568"/>
      <c r="JNK3" s="568"/>
      <c r="JNL3" s="568"/>
      <c r="JNM3" s="568"/>
      <c r="JNN3" s="568"/>
      <c r="JNO3" s="568"/>
      <c r="JNP3" s="568"/>
      <c r="JNQ3" s="568"/>
      <c r="JNR3" s="568"/>
      <c r="JNS3" s="568"/>
      <c r="JNT3" s="568"/>
      <c r="JNU3" s="568"/>
      <c r="JNV3" s="568"/>
      <c r="JNW3" s="568"/>
      <c r="JNX3" s="568"/>
      <c r="JNY3" s="568"/>
      <c r="JNZ3" s="568"/>
      <c r="JOA3" s="568"/>
      <c r="JOB3" s="568"/>
      <c r="JOC3" s="568"/>
      <c r="JOD3" s="568"/>
      <c r="JOE3" s="568"/>
      <c r="JOF3" s="568"/>
      <c r="JOG3" s="568"/>
      <c r="JOH3" s="568"/>
      <c r="JOI3" s="568"/>
      <c r="JOJ3" s="568"/>
      <c r="JOK3" s="568"/>
      <c r="JOL3" s="568"/>
      <c r="JOM3" s="568"/>
      <c r="JON3" s="568"/>
      <c r="JOO3" s="568"/>
      <c r="JOP3" s="568"/>
      <c r="JOQ3" s="568"/>
      <c r="JOR3" s="568"/>
      <c r="JOS3" s="568"/>
      <c r="JOT3" s="568"/>
      <c r="JOU3" s="568"/>
      <c r="JOV3" s="568"/>
      <c r="JOW3" s="568"/>
      <c r="JOX3" s="568"/>
      <c r="JOY3" s="568"/>
      <c r="JOZ3" s="568"/>
      <c r="JPA3" s="568"/>
      <c r="JPB3" s="568"/>
      <c r="JPC3" s="568"/>
      <c r="JPD3" s="568"/>
      <c r="JPE3" s="568"/>
      <c r="JPF3" s="568"/>
      <c r="JPG3" s="568"/>
      <c r="JPH3" s="568"/>
      <c r="JPI3" s="568"/>
      <c r="JPJ3" s="568"/>
      <c r="JPK3" s="568"/>
      <c r="JPL3" s="568"/>
      <c r="JPM3" s="568"/>
      <c r="JPN3" s="568"/>
      <c r="JPO3" s="568"/>
      <c r="JPP3" s="568"/>
      <c r="JPQ3" s="568"/>
      <c r="JPR3" s="568"/>
      <c r="JPS3" s="568"/>
      <c r="JPT3" s="568"/>
      <c r="JPU3" s="568"/>
      <c r="JPV3" s="568"/>
      <c r="JPW3" s="568"/>
      <c r="JPX3" s="568"/>
      <c r="JPY3" s="568"/>
      <c r="JPZ3" s="568"/>
      <c r="JQA3" s="568"/>
      <c r="JQB3" s="568"/>
      <c r="JQC3" s="568"/>
      <c r="JQD3" s="568"/>
      <c r="JQE3" s="568"/>
      <c r="JQF3" s="568"/>
      <c r="JQG3" s="568"/>
      <c r="JQH3" s="568"/>
      <c r="JQI3" s="568"/>
      <c r="JQJ3" s="568"/>
      <c r="JQK3" s="568"/>
      <c r="JQL3" s="568"/>
      <c r="JQM3" s="568"/>
      <c r="JQN3" s="568"/>
      <c r="JQO3" s="568"/>
      <c r="JQP3" s="568"/>
      <c r="JQQ3" s="568"/>
      <c r="JQR3" s="568"/>
      <c r="JQS3" s="568"/>
      <c r="JQT3" s="568"/>
      <c r="JQU3" s="568"/>
      <c r="JQV3" s="568"/>
      <c r="JQW3" s="568"/>
      <c r="JQX3" s="568"/>
      <c r="JQY3" s="568"/>
      <c r="JQZ3" s="568"/>
      <c r="JRA3" s="568"/>
      <c r="JRB3" s="568"/>
      <c r="JRC3" s="568"/>
      <c r="JRD3" s="568"/>
      <c r="JRE3" s="568"/>
      <c r="JRF3" s="568"/>
      <c r="JRG3" s="568"/>
      <c r="JRH3" s="568"/>
      <c r="JRI3" s="568"/>
      <c r="JRJ3" s="568"/>
      <c r="JRK3" s="568"/>
      <c r="JRL3" s="568"/>
      <c r="JRM3" s="568"/>
      <c r="JRN3" s="568"/>
      <c r="JRO3" s="568"/>
      <c r="JRP3" s="568"/>
      <c r="JRQ3" s="568"/>
      <c r="JRR3" s="568"/>
      <c r="JRS3" s="568"/>
      <c r="JRT3" s="568"/>
      <c r="JRU3" s="568"/>
      <c r="JRV3" s="568"/>
      <c r="JRW3" s="568"/>
      <c r="JRX3" s="568"/>
      <c r="JRY3" s="568"/>
      <c r="JRZ3" s="568"/>
      <c r="JSA3" s="568"/>
      <c r="JSB3" s="568"/>
      <c r="JSC3" s="568"/>
      <c r="JSD3" s="568"/>
      <c r="JSE3" s="568"/>
      <c r="JSF3" s="568"/>
      <c r="JSG3" s="568"/>
      <c r="JSH3" s="568"/>
      <c r="JSI3" s="568"/>
      <c r="JSJ3" s="568"/>
      <c r="JSK3" s="568"/>
      <c r="JSL3" s="568"/>
      <c r="JSM3" s="568"/>
      <c r="JSN3" s="568"/>
      <c r="JSO3" s="568"/>
      <c r="JSP3" s="568"/>
      <c r="JSQ3" s="568"/>
      <c r="JSR3" s="568"/>
      <c r="JSS3" s="568"/>
      <c r="JST3" s="568"/>
      <c r="JSU3" s="568"/>
      <c r="JSV3" s="568"/>
      <c r="JSW3" s="568"/>
      <c r="JSX3" s="568"/>
      <c r="JSY3" s="568"/>
      <c r="JSZ3" s="568"/>
      <c r="JTA3" s="568"/>
      <c r="JTB3" s="568"/>
      <c r="JTC3" s="568"/>
      <c r="JTD3" s="568"/>
      <c r="JTE3" s="568"/>
      <c r="JTF3" s="568"/>
      <c r="JTG3" s="568"/>
      <c r="JTH3" s="568"/>
      <c r="JTI3" s="568"/>
      <c r="JTJ3" s="568"/>
      <c r="JTK3" s="568"/>
      <c r="JTL3" s="568"/>
      <c r="JTM3" s="568"/>
      <c r="JTN3" s="568"/>
      <c r="JTO3" s="568"/>
      <c r="JTP3" s="568"/>
      <c r="JTQ3" s="568"/>
      <c r="JTR3" s="568"/>
      <c r="JTS3" s="568"/>
      <c r="JTT3" s="568"/>
      <c r="JTU3" s="568"/>
      <c r="JTV3" s="568"/>
      <c r="JTW3" s="568"/>
      <c r="JTX3" s="568"/>
      <c r="JTY3" s="568"/>
      <c r="JTZ3" s="568"/>
      <c r="JUA3" s="568"/>
      <c r="JUB3" s="568"/>
      <c r="JUC3" s="568"/>
      <c r="JUD3" s="568"/>
      <c r="JUE3" s="568"/>
      <c r="JUF3" s="568"/>
      <c r="JUG3" s="568"/>
      <c r="JUH3" s="568"/>
      <c r="JUI3" s="568"/>
      <c r="JUJ3" s="568"/>
      <c r="JUK3" s="568"/>
      <c r="JUL3" s="568"/>
      <c r="JUM3" s="568"/>
      <c r="JUN3" s="568"/>
      <c r="JUO3" s="568"/>
      <c r="JUP3" s="568"/>
      <c r="JUQ3" s="568"/>
      <c r="JUR3" s="568"/>
      <c r="JUS3" s="568"/>
      <c r="JUT3" s="568"/>
      <c r="JUU3" s="568"/>
      <c r="JUV3" s="568"/>
      <c r="JUW3" s="568"/>
      <c r="JUX3" s="568"/>
      <c r="JUY3" s="568"/>
      <c r="JUZ3" s="568"/>
      <c r="JVA3" s="568"/>
      <c r="JVB3" s="568"/>
      <c r="JVC3" s="568"/>
      <c r="JVD3" s="568"/>
      <c r="JVE3" s="568"/>
      <c r="JVF3" s="568"/>
      <c r="JVG3" s="568"/>
      <c r="JVH3" s="568"/>
      <c r="JVI3" s="568"/>
      <c r="JVJ3" s="568"/>
      <c r="JVK3" s="568"/>
      <c r="JVL3" s="568"/>
      <c r="JVM3" s="568"/>
      <c r="JVN3" s="568"/>
      <c r="JVO3" s="568"/>
      <c r="JVP3" s="568"/>
      <c r="JVQ3" s="568"/>
      <c r="JVR3" s="568"/>
      <c r="JVS3" s="568"/>
      <c r="JVT3" s="568"/>
      <c r="JVU3" s="568"/>
      <c r="JVV3" s="568"/>
      <c r="JVW3" s="568"/>
      <c r="JVX3" s="568"/>
      <c r="JVY3" s="568"/>
      <c r="JVZ3" s="568"/>
      <c r="JWA3" s="568"/>
      <c r="JWB3" s="568"/>
      <c r="JWC3" s="568"/>
      <c r="JWD3" s="568"/>
      <c r="JWE3" s="568"/>
      <c r="JWF3" s="568"/>
      <c r="JWG3" s="568"/>
      <c r="JWH3" s="568"/>
      <c r="JWI3" s="568"/>
      <c r="JWJ3" s="568"/>
      <c r="JWK3" s="568"/>
      <c r="JWL3" s="568"/>
      <c r="JWM3" s="568"/>
      <c r="JWN3" s="568"/>
      <c r="JWO3" s="568"/>
      <c r="JWP3" s="568"/>
      <c r="JWQ3" s="568"/>
      <c r="JWR3" s="568"/>
      <c r="JWS3" s="568"/>
      <c r="JWT3" s="568"/>
      <c r="JWU3" s="568"/>
      <c r="JWV3" s="568"/>
      <c r="JWW3" s="568"/>
      <c r="JWX3" s="568"/>
      <c r="JWY3" s="568"/>
      <c r="JWZ3" s="568"/>
      <c r="JXA3" s="568"/>
      <c r="JXB3" s="568"/>
      <c r="JXC3" s="568"/>
      <c r="JXD3" s="568"/>
      <c r="JXE3" s="568"/>
      <c r="JXF3" s="568"/>
      <c r="JXG3" s="568"/>
      <c r="JXH3" s="568"/>
      <c r="JXI3" s="568"/>
      <c r="JXJ3" s="568"/>
      <c r="JXK3" s="568"/>
      <c r="JXL3" s="568"/>
      <c r="JXM3" s="568"/>
      <c r="JXN3" s="568"/>
      <c r="JXO3" s="568"/>
      <c r="JXP3" s="568"/>
      <c r="JXQ3" s="568"/>
      <c r="JXR3" s="568"/>
      <c r="JXS3" s="568"/>
      <c r="JXT3" s="568"/>
      <c r="JXU3" s="568"/>
      <c r="JXV3" s="568"/>
      <c r="JXW3" s="568"/>
      <c r="JXX3" s="568"/>
      <c r="JXY3" s="568"/>
      <c r="JXZ3" s="568"/>
      <c r="JYA3" s="568"/>
      <c r="JYB3" s="568"/>
      <c r="JYC3" s="568"/>
      <c r="JYD3" s="568"/>
      <c r="JYE3" s="568"/>
      <c r="JYF3" s="568"/>
      <c r="JYG3" s="568"/>
      <c r="JYH3" s="568"/>
      <c r="JYI3" s="568"/>
      <c r="JYJ3" s="568"/>
      <c r="JYK3" s="568"/>
      <c r="JYL3" s="568"/>
      <c r="JYM3" s="568"/>
      <c r="JYN3" s="568"/>
      <c r="JYO3" s="568"/>
      <c r="JYP3" s="568"/>
      <c r="JYQ3" s="568"/>
      <c r="JYR3" s="568"/>
      <c r="JYS3" s="568"/>
      <c r="JYT3" s="568"/>
      <c r="JYU3" s="568"/>
      <c r="JYV3" s="568"/>
      <c r="JYW3" s="568"/>
      <c r="JYX3" s="568"/>
      <c r="JYY3" s="568"/>
      <c r="JYZ3" s="568"/>
      <c r="JZA3" s="568"/>
      <c r="JZB3" s="568"/>
      <c r="JZC3" s="568"/>
      <c r="JZD3" s="568"/>
      <c r="JZE3" s="568"/>
      <c r="JZF3" s="568"/>
      <c r="JZG3" s="568"/>
      <c r="JZH3" s="568"/>
      <c r="JZI3" s="568"/>
      <c r="JZJ3" s="568"/>
      <c r="JZK3" s="568"/>
      <c r="JZL3" s="568"/>
      <c r="JZM3" s="568"/>
      <c r="JZN3" s="568"/>
      <c r="JZO3" s="568"/>
      <c r="JZP3" s="568"/>
      <c r="JZQ3" s="568"/>
      <c r="JZR3" s="568"/>
      <c r="JZS3" s="568"/>
      <c r="JZT3" s="568"/>
      <c r="JZU3" s="568"/>
      <c r="JZV3" s="568"/>
      <c r="JZW3" s="568"/>
      <c r="JZX3" s="568"/>
      <c r="JZY3" s="568"/>
      <c r="JZZ3" s="568"/>
      <c r="KAA3" s="568"/>
      <c r="KAB3" s="568"/>
      <c r="KAC3" s="568"/>
      <c r="KAD3" s="568"/>
      <c r="KAE3" s="568"/>
      <c r="KAF3" s="568"/>
      <c r="KAG3" s="568"/>
      <c r="KAH3" s="568"/>
      <c r="KAI3" s="568"/>
      <c r="KAJ3" s="568"/>
      <c r="KAK3" s="568"/>
      <c r="KAL3" s="568"/>
      <c r="KAM3" s="568"/>
      <c r="KAN3" s="568"/>
      <c r="KAO3" s="568"/>
      <c r="KAP3" s="568"/>
      <c r="KAQ3" s="568"/>
      <c r="KAR3" s="568"/>
      <c r="KAS3" s="568"/>
      <c r="KAT3" s="568"/>
      <c r="KAU3" s="568"/>
      <c r="KAV3" s="568"/>
      <c r="KAW3" s="568"/>
      <c r="KAX3" s="568"/>
      <c r="KAY3" s="568"/>
      <c r="KAZ3" s="568"/>
      <c r="KBA3" s="568"/>
      <c r="KBB3" s="568"/>
      <c r="KBC3" s="568"/>
      <c r="KBD3" s="568"/>
      <c r="KBE3" s="568"/>
      <c r="KBF3" s="568"/>
      <c r="KBG3" s="568"/>
      <c r="KBH3" s="568"/>
      <c r="KBI3" s="568"/>
      <c r="KBJ3" s="568"/>
      <c r="KBK3" s="568"/>
      <c r="KBL3" s="568"/>
      <c r="KBM3" s="568"/>
      <c r="KBN3" s="568"/>
      <c r="KBO3" s="568"/>
      <c r="KBP3" s="568"/>
      <c r="KBQ3" s="568"/>
      <c r="KBR3" s="568"/>
      <c r="KBS3" s="568"/>
      <c r="KBT3" s="568"/>
      <c r="KBU3" s="568"/>
      <c r="KBV3" s="568"/>
      <c r="KBW3" s="568"/>
      <c r="KBX3" s="568"/>
      <c r="KBY3" s="568"/>
      <c r="KBZ3" s="568"/>
      <c r="KCA3" s="568"/>
      <c r="KCB3" s="568"/>
      <c r="KCC3" s="568"/>
      <c r="KCD3" s="568"/>
      <c r="KCE3" s="568"/>
      <c r="KCF3" s="568"/>
      <c r="KCG3" s="568"/>
      <c r="KCH3" s="568"/>
      <c r="KCI3" s="568"/>
      <c r="KCJ3" s="568"/>
      <c r="KCK3" s="568"/>
      <c r="KCL3" s="568"/>
      <c r="KCM3" s="568"/>
      <c r="KCN3" s="568"/>
      <c r="KCO3" s="568"/>
      <c r="KCP3" s="568"/>
      <c r="KCQ3" s="568"/>
      <c r="KCR3" s="568"/>
      <c r="KCS3" s="568"/>
      <c r="KCT3" s="568"/>
      <c r="KCU3" s="568"/>
      <c r="KCV3" s="568"/>
      <c r="KCW3" s="568"/>
      <c r="KCX3" s="568"/>
      <c r="KCY3" s="568"/>
      <c r="KCZ3" s="568"/>
      <c r="KDA3" s="568"/>
      <c r="KDB3" s="568"/>
      <c r="KDC3" s="568"/>
      <c r="KDD3" s="568"/>
      <c r="KDE3" s="568"/>
      <c r="KDF3" s="568"/>
      <c r="KDG3" s="568"/>
      <c r="KDH3" s="568"/>
      <c r="KDI3" s="568"/>
      <c r="KDJ3" s="568"/>
      <c r="KDK3" s="568"/>
      <c r="KDL3" s="568"/>
      <c r="KDM3" s="568"/>
      <c r="KDN3" s="568"/>
      <c r="KDO3" s="568"/>
      <c r="KDP3" s="568"/>
      <c r="KDQ3" s="568"/>
      <c r="KDR3" s="568"/>
      <c r="KDS3" s="568"/>
      <c r="KDT3" s="568"/>
      <c r="KDU3" s="568"/>
      <c r="KDV3" s="568"/>
      <c r="KDW3" s="568"/>
      <c r="KDX3" s="568"/>
      <c r="KDY3" s="568"/>
      <c r="KDZ3" s="568"/>
      <c r="KEA3" s="568"/>
      <c r="KEB3" s="568"/>
      <c r="KEC3" s="568"/>
      <c r="KED3" s="568"/>
      <c r="KEE3" s="568"/>
      <c r="KEF3" s="568"/>
      <c r="KEG3" s="568"/>
      <c r="KEH3" s="568"/>
      <c r="KEI3" s="568"/>
      <c r="KEJ3" s="568"/>
      <c r="KEK3" s="568"/>
      <c r="KEL3" s="568"/>
      <c r="KEM3" s="568"/>
      <c r="KEN3" s="568"/>
      <c r="KEO3" s="568"/>
      <c r="KEP3" s="568"/>
      <c r="KEQ3" s="568"/>
      <c r="KER3" s="568"/>
      <c r="KES3" s="568"/>
      <c r="KET3" s="568"/>
      <c r="KEU3" s="568"/>
      <c r="KEV3" s="568"/>
      <c r="KEW3" s="568"/>
      <c r="KEX3" s="568"/>
      <c r="KEY3" s="568"/>
      <c r="KEZ3" s="568"/>
      <c r="KFA3" s="568"/>
      <c r="KFB3" s="568"/>
      <c r="KFC3" s="568"/>
      <c r="KFD3" s="568"/>
      <c r="KFE3" s="568"/>
      <c r="KFF3" s="568"/>
      <c r="KFG3" s="568"/>
      <c r="KFH3" s="568"/>
      <c r="KFI3" s="568"/>
      <c r="KFJ3" s="568"/>
      <c r="KFK3" s="568"/>
      <c r="KFL3" s="568"/>
      <c r="KFM3" s="568"/>
      <c r="KFN3" s="568"/>
      <c r="KFO3" s="568"/>
      <c r="KFP3" s="568"/>
      <c r="KFQ3" s="568"/>
      <c r="KFR3" s="568"/>
      <c r="KFS3" s="568"/>
      <c r="KFT3" s="568"/>
      <c r="KFU3" s="568"/>
      <c r="KFV3" s="568"/>
      <c r="KFW3" s="568"/>
      <c r="KFX3" s="568"/>
      <c r="KFY3" s="568"/>
      <c r="KFZ3" s="568"/>
      <c r="KGA3" s="568"/>
      <c r="KGB3" s="568"/>
      <c r="KGC3" s="568"/>
      <c r="KGD3" s="568"/>
      <c r="KGE3" s="568"/>
      <c r="KGF3" s="568"/>
      <c r="KGG3" s="568"/>
      <c r="KGH3" s="568"/>
      <c r="KGI3" s="568"/>
      <c r="KGJ3" s="568"/>
      <c r="KGK3" s="568"/>
      <c r="KGL3" s="568"/>
      <c r="KGM3" s="568"/>
      <c r="KGN3" s="568"/>
      <c r="KGO3" s="568"/>
      <c r="KGP3" s="568"/>
      <c r="KGQ3" s="568"/>
      <c r="KGR3" s="568"/>
      <c r="KGS3" s="568"/>
      <c r="KGT3" s="568"/>
      <c r="KGU3" s="568"/>
      <c r="KGV3" s="568"/>
      <c r="KGW3" s="568"/>
      <c r="KGX3" s="568"/>
      <c r="KGY3" s="568"/>
      <c r="KGZ3" s="568"/>
      <c r="KHA3" s="568"/>
      <c r="KHB3" s="568"/>
      <c r="KHC3" s="568"/>
      <c r="KHD3" s="568"/>
      <c r="KHE3" s="568"/>
      <c r="KHF3" s="568"/>
      <c r="KHG3" s="568"/>
      <c r="KHH3" s="568"/>
      <c r="KHI3" s="568"/>
      <c r="KHJ3" s="568"/>
      <c r="KHK3" s="568"/>
      <c r="KHL3" s="568"/>
      <c r="KHM3" s="568"/>
      <c r="KHN3" s="568"/>
      <c r="KHO3" s="568"/>
      <c r="KHP3" s="568"/>
      <c r="KHQ3" s="568"/>
      <c r="KHR3" s="568"/>
      <c r="KHS3" s="568"/>
      <c r="KHT3" s="568"/>
      <c r="KHU3" s="568"/>
      <c r="KHV3" s="568"/>
      <c r="KHW3" s="568"/>
      <c r="KHX3" s="568"/>
      <c r="KHY3" s="568"/>
      <c r="KHZ3" s="568"/>
      <c r="KIA3" s="568"/>
      <c r="KIB3" s="568"/>
      <c r="KIC3" s="568"/>
      <c r="KID3" s="568"/>
      <c r="KIE3" s="568"/>
      <c r="KIF3" s="568"/>
      <c r="KIG3" s="568"/>
      <c r="KIH3" s="568"/>
      <c r="KII3" s="568"/>
      <c r="KIJ3" s="568"/>
      <c r="KIK3" s="568"/>
      <c r="KIL3" s="568"/>
      <c r="KIM3" s="568"/>
      <c r="KIN3" s="568"/>
      <c r="KIO3" s="568"/>
      <c r="KIP3" s="568"/>
      <c r="KIQ3" s="568"/>
      <c r="KIR3" s="568"/>
      <c r="KIS3" s="568"/>
      <c r="KIT3" s="568"/>
      <c r="KIU3" s="568"/>
      <c r="KIV3" s="568"/>
      <c r="KIW3" s="568"/>
      <c r="KIX3" s="568"/>
      <c r="KIY3" s="568"/>
      <c r="KIZ3" s="568"/>
      <c r="KJA3" s="568"/>
      <c r="KJB3" s="568"/>
      <c r="KJC3" s="568"/>
      <c r="KJD3" s="568"/>
      <c r="KJE3" s="568"/>
      <c r="KJF3" s="568"/>
      <c r="KJG3" s="568"/>
      <c r="KJH3" s="568"/>
      <c r="KJI3" s="568"/>
      <c r="KJJ3" s="568"/>
      <c r="KJK3" s="568"/>
      <c r="KJL3" s="568"/>
      <c r="KJM3" s="568"/>
      <c r="KJN3" s="568"/>
      <c r="KJO3" s="568"/>
      <c r="KJP3" s="568"/>
      <c r="KJQ3" s="568"/>
      <c r="KJR3" s="568"/>
      <c r="KJS3" s="568"/>
      <c r="KJT3" s="568"/>
      <c r="KJU3" s="568"/>
      <c r="KJV3" s="568"/>
      <c r="KJW3" s="568"/>
      <c r="KJX3" s="568"/>
      <c r="KJY3" s="568"/>
      <c r="KJZ3" s="568"/>
      <c r="KKA3" s="568"/>
      <c r="KKB3" s="568"/>
      <c r="KKC3" s="568"/>
      <c r="KKD3" s="568"/>
      <c r="KKE3" s="568"/>
      <c r="KKF3" s="568"/>
      <c r="KKG3" s="568"/>
      <c r="KKH3" s="568"/>
      <c r="KKI3" s="568"/>
      <c r="KKJ3" s="568"/>
      <c r="KKK3" s="568"/>
      <c r="KKL3" s="568"/>
      <c r="KKM3" s="568"/>
      <c r="KKN3" s="568"/>
      <c r="KKO3" s="568"/>
      <c r="KKP3" s="568"/>
      <c r="KKQ3" s="568"/>
      <c r="KKR3" s="568"/>
      <c r="KKS3" s="568"/>
      <c r="KKT3" s="568"/>
      <c r="KKU3" s="568"/>
      <c r="KKV3" s="568"/>
      <c r="KKW3" s="568"/>
      <c r="KKX3" s="568"/>
      <c r="KKY3" s="568"/>
      <c r="KKZ3" s="568"/>
      <c r="KLA3" s="568"/>
      <c r="KLB3" s="568"/>
      <c r="KLC3" s="568"/>
      <c r="KLD3" s="568"/>
      <c r="KLE3" s="568"/>
      <c r="KLF3" s="568"/>
      <c r="KLG3" s="568"/>
      <c r="KLH3" s="568"/>
      <c r="KLI3" s="568"/>
      <c r="KLJ3" s="568"/>
      <c r="KLK3" s="568"/>
      <c r="KLL3" s="568"/>
      <c r="KLM3" s="568"/>
      <c r="KLN3" s="568"/>
      <c r="KLO3" s="568"/>
      <c r="KLP3" s="568"/>
      <c r="KLQ3" s="568"/>
      <c r="KLR3" s="568"/>
      <c r="KLS3" s="568"/>
      <c r="KLT3" s="568"/>
      <c r="KLU3" s="568"/>
      <c r="KLV3" s="568"/>
      <c r="KLW3" s="568"/>
      <c r="KLX3" s="568"/>
      <c r="KLY3" s="568"/>
      <c r="KLZ3" s="568"/>
      <c r="KMA3" s="568"/>
      <c r="KMB3" s="568"/>
      <c r="KMC3" s="568"/>
      <c r="KMD3" s="568"/>
      <c r="KME3" s="568"/>
      <c r="KMF3" s="568"/>
      <c r="KMG3" s="568"/>
      <c r="KMH3" s="568"/>
      <c r="KMI3" s="568"/>
      <c r="KMJ3" s="568"/>
      <c r="KMK3" s="568"/>
      <c r="KML3" s="568"/>
      <c r="KMM3" s="568"/>
      <c r="KMN3" s="568"/>
      <c r="KMO3" s="568"/>
      <c r="KMP3" s="568"/>
      <c r="KMQ3" s="568"/>
      <c r="KMR3" s="568"/>
      <c r="KMS3" s="568"/>
      <c r="KMT3" s="568"/>
      <c r="KMU3" s="568"/>
      <c r="KMV3" s="568"/>
      <c r="KMW3" s="568"/>
      <c r="KMX3" s="568"/>
      <c r="KMY3" s="568"/>
      <c r="KMZ3" s="568"/>
      <c r="KNA3" s="568"/>
      <c r="KNB3" s="568"/>
      <c r="KNC3" s="568"/>
      <c r="KND3" s="568"/>
      <c r="KNE3" s="568"/>
      <c r="KNF3" s="568"/>
      <c r="KNG3" s="568"/>
      <c r="KNH3" s="568"/>
      <c r="KNI3" s="568"/>
      <c r="KNJ3" s="568"/>
      <c r="KNK3" s="568"/>
      <c r="KNL3" s="568"/>
      <c r="KNM3" s="568"/>
      <c r="KNN3" s="568"/>
      <c r="KNO3" s="568"/>
      <c r="KNP3" s="568"/>
      <c r="KNQ3" s="568"/>
      <c r="KNR3" s="568"/>
      <c r="KNS3" s="568"/>
      <c r="KNT3" s="568"/>
      <c r="KNU3" s="568"/>
      <c r="KNV3" s="568"/>
      <c r="KNW3" s="568"/>
      <c r="KNX3" s="568"/>
      <c r="KNY3" s="568"/>
      <c r="KNZ3" s="568"/>
      <c r="KOA3" s="568"/>
      <c r="KOB3" s="568"/>
      <c r="KOC3" s="568"/>
      <c r="KOD3" s="568"/>
      <c r="KOE3" s="568"/>
      <c r="KOF3" s="568"/>
      <c r="KOG3" s="568"/>
      <c r="KOH3" s="568"/>
      <c r="KOI3" s="568"/>
      <c r="KOJ3" s="568"/>
      <c r="KOK3" s="568"/>
      <c r="KOL3" s="568"/>
      <c r="KOM3" s="568"/>
      <c r="KON3" s="568"/>
      <c r="KOO3" s="568"/>
      <c r="KOP3" s="568"/>
      <c r="KOQ3" s="568"/>
      <c r="KOR3" s="568"/>
      <c r="KOS3" s="568"/>
      <c r="KOT3" s="568"/>
      <c r="KOU3" s="568"/>
      <c r="KOV3" s="568"/>
      <c r="KOW3" s="568"/>
      <c r="KOX3" s="568"/>
      <c r="KOY3" s="568"/>
      <c r="KOZ3" s="568"/>
      <c r="KPA3" s="568"/>
      <c r="KPB3" s="568"/>
      <c r="KPC3" s="568"/>
      <c r="KPD3" s="568"/>
      <c r="KPE3" s="568"/>
      <c r="KPF3" s="568"/>
      <c r="KPG3" s="568"/>
      <c r="KPH3" s="568"/>
      <c r="KPI3" s="568"/>
      <c r="KPJ3" s="568"/>
      <c r="KPK3" s="568"/>
      <c r="KPL3" s="568"/>
      <c r="KPM3" s="568"/>
      <c r="KPN3" s="568"/>
      <c r="KPO3" s="568"/>
      <c r="KPP3" s="568"/>
      <c r="KPQ3" s="568"/>
      <c r="KPR3" s="568"/>
      <c r="KPS3" s="568"/>
      <c r="KPT3" s="568"/>
      <c r="KPU3" s="568"/>
      <c r="KPV3" s="568"/>
      <c r="KPW3" s="568"/>
      <c r="KPX3" s="568"/>
      <c r="KPY3" s="568"/>
      <c r="KPZ3" s="568"/>
      <c r="KQA3" s="568"/>
      <c r="KQB3" s="568"/>
      <c r="KQC3" s="568"/>
      <c r="KQD3" s="568"/>
      <c r="KQE3" s="568"/>
      <c r="KQF3" s="568"/>
      <c r="KQG3" s="568"/>
      <c r="KQH3" s="568"/>
      <c r="KQI3" s="568"/>
      <c r="KQJ3" s="568"/>
      <c r="KQK3" s="568"/>
      <c r="KQL3" s="568"/>
      <c r="KQM3" s="568"/>
      <c r="KQN3" s="568"/>
      <c r="KQO3" s="568"/>
      <c r="KQP3" s="568"/>
      <c r="KQQ3" s="568"/>
      <c r="KQR3" s="568"/>
      <c r="KQS3" s="568"/>
      <c r="KQT3" s="568"/>
      <c r="KQU3" s="568"/>
      <c r="KQV3" s="568"/>
      <c r="KQW3" s="568"/>
      <c r="KQX3" s="568"/>
      <c r="KQY3" s="568"/>
      <c r="KQZ3" s="568"/>
      <c r="KRA3" s="568"/>
      <c r="KRB3" s="568"/>
      <c r="KRC3" s="568"/>
      <c r="KRD3" s="568"/>
      <c r="KRE3" s="568"/>
      <c r="KRF3" s="568"/>
      <c r="KRG3" s="568"/>
      <c r="KRH3" s="568"/>
      <c r="KRI3" s="568"/>
      <c r="KRJ3" s="568"/>
      <c r="KRK3" s="568"/>
      <c r="KRL3" s="568"/>
      <c r="KRM3" s="568"/>
      <c r="KRN3" s="568"/>
      <c r="KRO3" s="568"/>
      <c r="KRP3" s="568"/>
      <c r="KRQ3" s="568"/>
      <c r="KRR3" s="568"/>
      <c r="KRS3" s="568"/>
      <c r="KRT3" s="568"/>
      <c r="KRU3" s="568"/>
      <c r="KRV3" s="568"/>
      <c r="KRW3" s="568"/>
      <c r="KRX3" s="568"/>
      <c r="KRY3" s="568"/>
      <c r="KRZ3" s="568"/>
      <c r="KSA3" s="568"/>
      <c r="KSB3" s="568"/>
      <c r="KSC3" s="568"/>
      <c r="KSD3" s="568"/>
      <c r="KSE3" s="568"/>
      <c r="KSF3" s="568"/>
      <c r="KSG3" s="568"/>
      <c r="KSH3" s="568"/>
      <c r="KSI3" s="568"/>
      <c r="KSJ3" s="568"/>
      <c r="KSK3" s="568"/>
      <c r="KSL3" s="568"/>
      <c r="KSM3" s="568"/>
      <c r="KSN3" s="568"/>
      <c r="KSO3" s="568"/>
      <c r="KSP3" s="568"/>
      <c r="KSQ3" s="568"/>
      <c r="KSR3" s="568"/>
      <c r="KSS3" s="568"/>
      <c r="KST3" s="568"/>
      <c r="KSU3" s="568"/>
      <c r="KSV3" s="568"/>
      <c r="KSW3" s="568"/>
      <c r="KSX3" s="568"/>
      <c r="KSY3" s="568"/>
      <c r="KSZ3" s="568"/>
      <c r="KTA3" s="568"/>
      <c r="KTB3" s="568"/>
      <c r="KTC3" s="568"/>
      <c r="KTD3" s="568"/>
      <c r="KTE3" s="568"/>
      <c r="KTF3" s="568"/>
      <c r="KTG3" s="568"/>
      <c r="KTH3" s="568"/>
      <c r="KTI3" s="568"/>
      <c r="KTJ3" s="568"/>
      <c r="KTK3" s="568"/>
      <c r="KTL3" s="568"/>
      <c r="KTM3" s="568"/>
      <c r="KTN3" s="568"/>
      <c r="KTO3" s="568"/>
      <c r="KTP3" s="568"/>
      <c r="KTQ3" s="568"/>
      <c r="KTR3" s="568"/>
      <c r="KTS3" s="568"/>
      <c r="KTT3" s="568"/>
      <c r="KTU3" s="568"/>
      <c r="KTV3" s="568"/>
      <c r="KTW3" s="568"/>
      <c r="KTX3" s="568"/>
      <c r="KTY3" s="568"/>
      <c r="KTZ3" s="568"/>
      <c r="KUA3" s="568"/>
      <c r="KUB3" s="568"/>
      <c r="KUC3" s="568"/>
      <c r="KUD3" s="568"/>
      <c r="KUE3" s="568"/>
      <c r="KUF3" s="568"/>
      <c r="KUG3" s="568"/>
      <c r="KUH3" s="568"/>
      <c r="KUI3" s="568"/>
      <c r="KUJ3" s="568"/>
      <c r="KUK3" s="568"/>
      <c r="KUL3" s="568"/>
      <c r="KUM3" s="568"/>
      <c r="KUN3" s="568"/>
      <c r="KUO3" s="568"/>
      <c r="KUP3" s="568"/>
      <c r="KUQ3" s="568"/>
      <c r="KUR3" s="568"/>
      <c r="KUS3" s="568"/>
      <c r="KUT3" s="568"/>
      <c r="KUU3" s="568"/>
      <c r="KUV3" s="568"/>
      <c r="KUW3" s="568"/>
      <c r="KUX3" s="568"/>
      <c r="KUY3" s="568"/>
      <c r="KUZ3" s="568"/>
      <c r="KVA3" s="568"/>
      <c r="KVB3" s="568"/>
      <c r="KVC3" s="568"/>
      <c r="KVD3" s="568"/>
      <c r="KVE3" s="568"/>
      <c r="KVF3" s="568"/>
      <c r="KVG3" s="568"/>
      <c r="KVH3" s="568"/>
      <c r="KVI3" s="568"/>
      <c r="KVJ3" s="568"/>
      <c r="KVK3" s="568"/>
      <c r="KVL3" s="568"/>
      <c r="KVM3" s="568"/>
      <c r="KVN3" s="568"/>
      <c r="KVO3" s="568"/>
      <c r="KVP3" s="568"/>
      <c r="KVQ3" s="568"/>
      <c r="KVR3" s="568"/>
      <c r="KVS3" s="568"/>
      <c r="KVT3" s="568"/>
      <c r="KVU3" s="568"/>
      <c r="KVV3" s="568"/>
      <c r="KVW3" s="568"/>
      <c r="KVX3" s="568"/>
      <c r="KVY3" s="568"/>
      <c r="KVZ3" s="568"/>
      <c r="KWA3" s="568"/>
      <c r="KWB3" s="568"/>
      <c r="KWC3" s="568"/>
      <c r="KWD3" s="568"/>
      <c r="KWE3" s="568"/>
      <c r="KWF3" s="568"/>
      <c r="KWG3" s="568"/>
      <c r="KWH3" s="568"/>
      <c r="KWI3" s="568"/>
      <c r="KWJ3" s="568"/>
      <c r="KWK3" s="568"/>
      <c r="KWL3" s="568"/>
      <c r="KWM3" s="568"/>
      <c r="KWN3" s="568"/>
      <c r="KWO3" s="568"/>
      <c r="KWP3" s="568"/>
      <c r="KWQ3" s="568"/>
      <c r="KWR3" s="568"/>
      <c r="KWS3" s="568"/>
      <c r="KWT3" s="568"/>
      <c r="KWU3" s="568"/>
      <c r="KWV3" s="568"/>
      <c r="KWW3" s="568"/>
      <c r="KWX3" s="568"/>
      <c r="KWY3" s="568"/>
      <c r="KWZ3" s="568"/>
      <c r="KXA3" s="568"/>
      <c r="KXB3" s="568"/>
      <c r="KXC3" s="568"/>
      <c r="KXD3" s="568"/>
      <c r="KXE3" s="568"/>
      <c r="KXF3" s="568"/>
      <c r="KXG3" s="568"/>
      <c r="KXH3" s="568"/>
      <c r="KXI3" s="568"/>
      <c r="KXJ3" s="568"/>
      <c r="KXK3" s="568"/>
      <c r="KXL3" s="568"/>
      <c r="KXM3" s="568"/>
      <c r="KXN3" s="568"/>
      <c r="KXO3" s="568"/>
      <c r="KXP3" s="568"/>
      <c r="KXQ3" s="568"/>
      <c r="KXR3" s="568"/>
      <c r="KXS3" s="568"/>
      <c r="KXT3" s="568"/>
      <c r="KXU3" s="568"/>
      <c r="KXV3" s="568"/>
      <c r="KXW3" s="568"/>
      <c r="KXX3" s="568"/>
      <c r="KXY3" s="568"/>
      <c r="KXZ3" s="568"/>
      <c r="KYA3" s="568"/>
      <c r="KYB3" s="568"/>
      <c r="KYC3" s="568"/>
      <c r="KYD3" s="568"/>
      <c r="KYE3" s="568"/>
      <c r="KYF3" s="568"/>
      <c r="KYG3" s="568"/>
      <c r="KYH3" s="568"/>
      <c r="KYI3" s="568"/>
      <c r="KYJ3" s="568"/>
      <c r="KYK3" s="568"/>
      <c r="KYL3" s="568"/>
      <c r="KYM3" s="568"/>
      <c r="KYN3" s="568"/>
      <c r="KYO3" s="568"/>
      <c r="KYP3" s="568"/>
      <c r="KYQ3" s="568"/>
      <c r="KYR3" s="568"/>
      <c r="KYS3" s="568"/>
      <c r="KYT3" s="568"/>
      <c r="KYU3" s="568"/>
      <c r="KYV3" s="568"/>
      <c r="KYW3" s="568"/>
      <c r="KYX3" s="568"/>
      <c r="KYY3" s="568"/>
      <c r="KYZ3" s="568"/>
      <c r="KZA3" s="568"/>
      <c r="KZB3" s="568"/>
      <c r="KZC3" s="568"/>
      <c r="KZD3" s="568"/>
      <c r="KZE3" s="568"/>
      <c r="KZF3" s="568"/>
      <c r="KZG3" s="568"/>
      <c r="KZH3" s="568"/>
      <c r="KZI3" s="568"/>
      <c r="KZJ3" s="568"/>
      <c r="KZK3" s="568"/>
      <c r="KZL3" s="568"/>
      <c r="KZM3" s="568"/>
      <c r="KZN3" s="568"/>
      <c r="KZO3" s="568"/>
      <c r="KZP3" s="568"/>
      <c r="KZQ3" s="568"/>
      <c r="KZR3" s="568"/>
      <c r="KZS3" s="568"/>
      <c r="KZT3" s="568"/>
      <c r="KZU3" s="568"/>
      <c r="KZV3" s="568"/>
      <c r="KZW3" s="568"/>
      <c r="KZX3" s="568"/>
      <c r="KZY3" s="568"/>
      <c r="KZZ3" s="568"/>
      <c r="LAA3" s="568"/>
      <c r="LAB3" s="568"/>
      <c r="LAC3" s="568"/>
      <c r="LAD3" s="568"/>
      <c r="LAE3" s="568"/>
      <c r="LAF3" s="568"/>
      <c r="LAG3" s="568"/>
      <c r="LAH3" s="568"/>
      <c r="LAI3" s="568"/>
      <c r="LAJ3" s="568"/>
      <c r="LAK3" s="568"/>
      <c r="LAL3" s="568"/>
      <c r="LAM3" s="568"/>
      <c r="LAN3" s="568"/>
      <c r="LAO3" s="568"/>
      <c r="LAP3" s="568"/>
      <c r="LAQ3" s="568"/>
      <c r="LAR3" s="568"/>
      <c r="LAS3" s="568"/>
      <c r="LAT3" s="568"/>
      <c r="LAU3" s="568"/>
      <c r="LAV3" s="568"/>
      <c r="LAW3" s="568"/>
      <c r="LAX3" s="568"/>
      <c r="LAY3" s="568"/>
      <c r="LAZ3" s="568"/>
      <c r="LBA3" s="568"/>
      <c r="LBB3" s="568"/>
      <c r="LBC3" s="568"/>
      <c r="LBD3" s="568"/>
      <c r="LBE3" s="568"/>
      <c r="LBF3" s="568"/>
      <c r="LBG3" s="568"/>
      <c r="LBH3" s="568"/>
      <c r="LBI3" s="568"/>
      <c r="LBJ3" s="568"/>
      <c r="LBK3" s="568"/>
      <c r="LBL3" s="568"/>
      <c r="LBM3" s="568"/>
      <c r="LBN3" s="568"/>
      <c r="LBO3" s="568"/>
      <c r="LBP3" s="568"/>
      <c r="LBQ3" s="568"/>
      <c r="LBR3" s="568"/>
      <c r="LBS3" s="568"/>
      <c r="LBT3" s="568"/>
      <c r="LBU3" s="568"/>
      <c r="LBV3" s="568"/>
      <c r="LBW3" s="568"/>
      <c r="LBX3" s="568"/>
      <c r="LBY3" s="568"/>
      <c r="LBZ3" s="568"/>
      <c r="LCA3" s="568"/>
      <c r="LCB3" s="568"/>
      <c r="LCC3" s="568"/>
      <c r="LCD3" s="568"/>
      <c r="LCE3" s="568"/>
      <c r="LCF3" s="568"/>
      <c r="LCG3" s="568"/>
      <c r="LCH3" s="568"/>
      <c r="LCI3" s="568"/>
      <c r="LCJ3" s="568"/>
      <c r="LCK3" s="568"/>
      <c r="LCL3" s="568"/>
      <c r="LCM3" s="568"/>
      <c r="LCN3" s="568"/>
      <c r="LCO3" s="568"/>
      <c r="LCP3" s="568"/>
      <c r="LCQ3" s="568"/>
      <c r="LCR3" s="568"/>
      <c r="LCS3" s="568"/>
      <c r="LCT3" s="568"/>
      <c r="LCU3" s="568"/>
      <c r="LCV3" s="568"/>
      <c r="LCW3" s="568"/>
      <c r="LCX3" s="568"/>
      <c r="LCY3" s="568"/>
      <c r="LCZ3" s="568"/>
      <c r="LDA3" s="568"/>
      <c r="LDB3" s="568"/>
      <c r="LDC3" s="568"/>
      <c r="LDD3" s="568"/>
      <c r="LDE3" s="568"/>
      <c r="LDF3" s="568"/>
      <c r="LDG3" s="568"/>
      <c r="LDH3" s="568"/>
      <c r="LDI3" s="568"/>
      <c r="LDJ3" s="568"/>
      <c r="LDK3" s="568"/>
      <c r="LDL3" s="568"/>
      <c r="LDM3" s="568"/>
      <c r="LDN3" s="568"/>
      <c r="LDO3" s="568"/>
      <c r="LDP3" s="568"/>
      <c r="LDQ3" s="568"/>
      <c r="LDR3" s="568"/>
      <c r="LDS3" s="568"/>
      <c r="LDT3" s="568"/>
      <c r="LDU3" s="568"/>
      <c r="LDV3" s="568"/>
      <c r="LDW3" s="568"/>
      <c r="LDX3" s="568"/>
      <c r="LDY3" s="568"/>
      <c r="LDZ3" s="568"/>
      <c r="LEA3" s="568"/>
      <c r="LEB3" s="568"/>
      <c r="LEC3" s="568"/>
      <c r="LED3" s="568"/>
      <c r="LEE3" s="568"/>
      <c r="LEF3" s="568"/>
      <c r="LEG3" s="568"/>
      <c r="LEH3" s="568"/>
      <c r="LEI3" s="568"/>
      <c r="LEJ3" s="568"/>
      <c r="LEK3" s="568"/>
      <c r="LEL3" s="568"/>
      <c r="LEM3" s="568"/>
      <c r="LEN3" s="568"/>
      <c r="LEO3" s="568"/>
      <c r="LEP3" s="568"/>
      <c r="LEQ3" s="568"/>
      <c r="LER3" s="568"/>
      <c r="LES3" s="568"/>
      <c r="LET3" s="568"/>
      <c r="LEU3" s="568"/>
      <c r="LEV3" s="568"/>
      <c r="LEW3" s="568"/>
      <c r="LEX3" s="568"/>
      <c r="LEY3" s="568"/>
      <c r="LEZ3" s="568"/>
      <c r="LFA3" s="568"/>
      <c r="LFB3" s="568"/>
      <c r="LFC3" s="568"/>
      <c r="LFD3" s="568"/>
      <c r="LFE3" s="568"/>
      <c r="LFF3" s="568"/>
      <c r="LFG3" s="568"/>
      <c r="LFH3" s="568"/>
      <c r="LFI3" s="568"/>
      <c r="LFJ3" s="568"/>
      <c r="LFK3" s="568"/>
      <c r="LFL3" s="568"/>
      <c r="LFM3" s="568"/>
      <c r="LFN3" s="568"/>
      <c r="LFO3" s="568"/>
      <c r="LFP3" s="568"/>
      <c r="LFQ3" s="568"/>
      <c r="LFR3" s="568"/>
      <c r="LFS3" s="568"/>
      <c r="LFT3" s="568"/>
      <c r="LFU3" s="568"/>
      <c r="LFV3" s="568"/>
      <c r="LFW3" s="568"/>
      <c r="LFX3" s="568"/>
      <c r="LFY3" s="568"/>
      <c r="LFZ3" s="568"/>
      <c r="LGA3" s="568"/>
      <c r="LGB3" s="568"/>
      <c r="LGC3" s="568"/>
      <c r="LGD3" s="568"/>
      <c r="LGE3" s="568"/>
      <c r="LGF3" s="568"/>
      <c r="LGG3" s="568"/>
      <c r="LGH3" s="568"/>
      <c r="LGI3" s="568"/>
      <c r="LGJ3" s="568"/>
      <c r="LGK3" s="568"/>
      <c r="LGL3" s="568"/>
      <c r="LGM3" s="568"/>
      <c r="LGN3" s="568"/>
      <c r="LGO3" s="568"/>
      <c r="LGP3" s="568"/>
      <c r="LGQ3" s="568"/>
      <c r="LGR3" s="568"/>
      <c r="LGS3" s="568"/>
      <c r="LGT3" s="568"/>
      <c r="LGU3" s="568"/>
      <c r="LGV3" s="568"/>
      <c r="LGW3" s="568"/>
      <c r="LGX3" s="568"/>
      <c r="LGY3" s="568"/>
      <c r="LGZ3" s="568"/>
      <c r="LHA3" s="568"/>
      <c r="LHB3" s="568"/>
      <c r="LHC3" s="568"/>
      <c r="LHD3" s="568"/>
      <c r="LHE3" s="568"/>
      <c r="LHF3" s="568"/>
      <c r="LHG3" s="568"/>
      <c r="LHH3" s="568"/>
      <c r="LHI3" s="568"/>
      <c r="LHJ3" s="568"/>
      <c r="LHK3" s="568"/>
      <c r="LHL3" s="568"/>
      <c r="LHM3" s="568"/>
      <c r="LHN3" s="568"/>
      <c r="LHO3" s="568"/>
      <c r="LHP3" s="568"/>
      <c r="LHQ3" s="568"/>
      <c r="LHR3" s="568"/>
      <c r="LHS3" s="568"/>
      <c r="LHT3" s="568"/>
      <c r="LHU3" s="568"/>
      <c r="LHV3" s="568"/>
      <c r="LHW3" s="568"/>
      <c r="LHX3" s="568"/>
      <c r="LHY3" s="568"/>
      <c r="LHZ3" s="568"/>
      <c r="LIA3" s="568"/>
      <c r="LIB3" s="568"/>
      <c r="LIC3" s="568"/>
      <c r="LID3" s="568"/>
      <c r="LIE3" s="568"/>
      <c r="LIF3" s="568"/>
      <c r="LIG3" s="568"/>
      <c r="LIH3" s="568"/>
      <c r="LII3" s="568"/>
      <c r="LIJ3" s="568"/>
      <c r="LIK3" s="568"/>
      <c r="LIL3" s="568"/>
      <c r="LIM3" s="568"/>
      <c r="LIN3" s="568"/>
      <c r="LIO3" s="568"/>
      <c r="LIP3" s="568"/>
      <c r="LIQ3" s="568"/>
      <c r="LIR3" s="568"/>
      <c r="LIS3" s="568"/>
      <c r="LIT3" s="568"/>
      <c r="LIU3" s="568"/>
      <c r="LIV3" s="568"/>
      <c r="LIW3" s="568"/>
      <c r="LIX3" s="568"/>
      <c r="LIY3" s="568"/>
      <c r="LIZ3" s="568"/>
      <c r="LJA3" s="568"/>
      <c r="LJB3" s="568"/>
      <c r="LJC3" s="568"/>
      <c r="LJD3" s="568"/>
      <c r="LJE3" s="568"/>
      <c r="LJF3" s="568"/>
      <c r="LJG3" s="568"/>
      <c r="LJH3" s="568"/>
      <c r="LJI3" s="568"/>
      <c r="LJJ3" s="568"/>
      <c r="LJK3" s="568"/>
      <c r="LJL3" s="568"/>
      <c r="LJM3" s="568"/>
      <c r="LJN3" s="568"/>
      <c r="LJO3" s="568"/>
      <c r="LJP3" s="568"/>
      <c r="LJQ3" s="568"/>
      <c r="LJR3" s="568"/>
      <c r="LJS3" s="568"/>
      <c r="LJT3" s="568"/>
      <c r="LJU3" s="568"/>
      <c r="LJV3" s="568"/>
      <c r="LJW3" s="568"/>
      <c r="LJX3" s="568"/>
      <c r="LJY3" s="568"/>
      <c r="LJZ3" s="568"/>
      <c r="LKA3" s="568"/>
      <c r="LKB3" s="568"/>
      <c r="LKC3" s="568"/>
      <c r="LKD3" s="568"/>
      <c r="LKE3" s="568"/>
      <c r="LKF3" s="568"/>
      <c r="LKG3" s="568"/>
      <c r="LKH3" s="568"/>
      <c r="LKI3" s="568"/>
      <c r="LKJ3" s="568"/>
      <c r="LKK3" s="568"/>
      <c r="LKL3" s="568"/>
      <c r="LKM3" s="568"/>
      <c r="LKN3" s="568"/>
      <c r="LKO3" s="568"/>
      <c r="LKP3" s="568"/>
      <c r="LKQ3" s="568"/>
      <c r="LKR3" s="568"/>
      <c r="LKS3" s="568"/>
      <c r="LKT3" s="568"/>
      <c r="LKU3" s="568"/>
      <c r="LKV3" s="568"/>
      <c r="LKW3" s="568"/>
      <c r="LKX3" s="568"/>
      <c r="LKY3" s="568"/>
      <c r="LKZ3" s="568"/>
      <c r="LLA3" s="568"/>
      <c r="LLB3" s="568"/>
      <c r="LLC3" s="568"/>
      <c r="LLD3" s="568"/>
      <c r="LLE3" s="568"/>
      <c r="LLF3" s="568"/>
      <c r="LLG3" s="568"/>
      <c r="LLH3" s="568"/>
      <c r="LLI3" s="568"/>
      <c r="LLJ3" s="568"/>
      <c r="LLK3" s="568"/>
      <c r="LLL3" s="568"/>
      <c r="LLM3" s="568"/>
      <c r="LLN3" s="568"/>
      <c r="LLO3" s="568"/>
      <c r="LLP3" s="568"/>
      <c r="LLQ3" s="568"/>
      <c r="LLR3" s="568"/>
      <c r="LLS3" s="568"/>
      <c r="LLT3" s="568"/>
      <c r="LLU3" s="568"/>
      <c r="LLV3" s="568"/>
      <c r="LLW3" s="568"/>
      <c r="LLX3" s="568"/>
      <c r="LLY3" s="568"/>
      <c r="LLZ3" s="568"/>
      <c r="LMA3" s="568"/>
      <c r="LMB3" s="568"/>
      <c r="LMC3" s="568"/>
      <c r="LMD3" s="568"/>
      <c r="LME3" s="568"/>
      <c r="LMF3" s="568"/>
      <c r="LMG3" s="568"/>
      <c r="LMH3" s="568"/>
      <c r="LMI3" s="568"/>
      <c r="LMJ3" s="568"/>
      <c r="LMK3" s="568"/>
      <c r="LML3" s="568"/>
      <c r="LMM3" s="568"/>
      <c r="LMN3" s="568"/>
      <c r="LMO3" s="568"/>
      <c r="LMP3" s="568"/>
      <c r="LMQ3" s="568"/>
      <c r="LMR3" s="568"/>
      <c r="LMS3" s="568"/>
      <c r="LMT3" s="568"/>
      <c r="LMU3" s="568"/>
      <c r="LMV3" s="568"/>
      <c r="LMW3" s="568"/>
      <c r="LMX3" s="568"/>
      <c r="LMY3" s="568"/>
      <c r="LMZ3" s="568"/>
      <c r="LNA3" s="568"/>
      <c r="LNB3" s="568"/>
      <c r="LNC3" s="568"/>
      <c r="LND3" s="568"/>
      <c r="LNE3" s="568"/>
      <c r="LNF3" s="568"/>
      <c r="LNG3" s="568"/>
      <c r="LNH3" s="568"/>
      <c r="LNI3" s="568"/>
      <c r="LNJ3" s="568"/>
      <c r="LNK3" s="568"/>
      <c r="LNL3" s="568"/>
      <c r="LNM3" s="568"/>
      <c r="LNN3" s="568"/>
      <c r="LNO3" s="568"/>
      <c r="LNP3" s="568"/>
      <c r="LNQ3" s="568"/>
      <c r="LNR3" s="568"/>
      <c r="LNS3" s="568"/>
      <c r="LNT3" s="568"/>
      <c r="LNU3" s="568"/>
      <c r="LNV3" s="568"/>
      <c r="LNW3" s="568"/>
      <c r="LNX3" s="568"/>
      <c r="LNY3" s="568"/>
      <c r="LNZ3" s="568"/>
      <c r="LOA3" s="568"/>
      <c r="LOB3" s="568"/>
      <c r="LOC3" s="568"/>
      <c r="LOD3" s="568"/>
      <c r="LOE3" s="568"/>
      <c r="LOF3" s="568"/>
      <c r="LOG3" s="568"/>
      <c r="LOH3" s="568"/>
      <c r="LOI3" s="568"/>
      <c r="LOJ3" s="568"/>
      <c r="LOK3" s="568"/>
      <c r="LOL3" s="568"/>
      <c r="LOM3" s="568"/>
      <c r="LON3" s="568"/>
      <c r="LOO3" s="568"/>
      <c r="LOP3" s="568"/>
      <c r="LOQ3" s="568"/>
      <c r="LOR3" s="568"/>
      <c r="LOS3" s="568"/>
      <c r="LOT3" s="568"/>
      <c r="LOU3" s="568"/>
      <c r="LOV3" s="568"/>
      <c r="LOW3" s="568"/>
      <c r="LOX3" s="568"/>
      <c r="LOY3" s="568"/>
      <c r="LOZ3" s="568"/>
      <c r="LPA3" s="568"/>
      <c r="LPB3" s="568"/>
      <c r="LPC3" s="568"/>
      <c r="LPD3" s="568"/>
      <c r="LPE3" s="568"/>
      <c r="LPF3" s="568"/>
      <c r="LPG3" s="568"/>
      <c r="LPH3" s="568"/>
      <c r="LPI3" s="568"/>
      <c r="LPJ3" s="568"/>
      <c r="LPK3" s="568"/>
      <c r="LPL3" s="568"/>
      <c r="LPM3" s="568"/>
      <c r="LPN3" s="568"/>
      <c r="LPO3" s="568"/>
      <c r="LPP3" s="568"/>
      <c r="LPQ3" s="568"/>
      <c r="LPR3" s="568"/>
      <c r="LPS3" s="568"/>
      <c r="LPT3" s="568"/>
      <c r="LPU3" s="568"/>
      <c r="LPV3" s="568"/>
      <c r="LPW3" s="568"/>
      <c r="LPX3" s="568"/>
      <c r="LPY3" s="568"/>
      <c r="LPZ3" s="568"/>
      <c r="LQA3" s="568"/>
      <c r="LQB3" s="568"/>
      <c r="LQC3" s="568"/>
      <c r="LQD3" s="568"/>
      <c r="LQE3" s="568"/>
      <c r="LQF3" s="568"/>
      <c r="LQG3" s="568"/>
      <c r="LQH3" s="568"/>
      <c r="LQI3" s="568"/>
      <c r="LQJ3" s="568"/>
      <c r="LQK3" s="568"/>
      <c r="LQL3" s="568"/>
      <c r="LQM3" s="568"/>
      <c r="LQN3" s="568"/>
      <c r="LQO3" s="568"/>
      <c r="LQP3" s="568"/>
      <c r="LQQ3" s="568"/>
      <c r="LQR3" s="568"/>
      <c r="LQS3" s="568"/>
      <c r="LQT3" s="568"/>
      <c r="LQU3" s="568"/>
      <c r="LQV3" s="568"/>
      <c r="LQW3" s="568"/>
      <c r="LQX3" s="568"/>
      <c r="LQY3" s="568"/>
      <c r="LQZ3" s="568"/>
      <c r="LRA3" s="568"/>
      <c r="LRB3" s="568"/>
      <c r="LRC3" s="568"/>
      <c r="LRD3" s="568"/>
      <c r="LRE3" s="568"/>
      <c r="LRF3" s="568"/>
      <c r="LRG3" s="568"/>
      <c r="LRH3" s="568"/>
      <c r="LRI3" s="568"/>
      <c r="LRJ3" s="568"/>
      <c r="LRK3" s="568"/>
      <c r="LRL3" s="568"/>
      <c r="LRM3" s="568"/>
      <c r="LRN3" s="568"/>
      <c r="LRO3" s="568"/>
      <c r="LRP3" s="568"/>
      <c r="LRQ3" s="568"/>
      <c r="LRR3" s="568"/>
      <c r="LRS3" s="568"/>
      <c r="LRT3" s="568"/>
      <c r="LRU3" s="568"/>
      <c r="LRV3" s="568"/>
      <c r="LRW3" s="568"/>
      <c r="LRX3" s="568"/>
      <c r="LRY3" s="568"/>
      <c r="LRZ3" s="568"/>
      <c r="LSA3" s="568"/>
      <c r="LSB3" s="568"/>
      <c r="LSC3" s="568"/>
      <c r="LSD3" s="568"/>
      <c r="LSE3" s="568"/>
      <c r="LSF3" s="568"/>
      <c r="LSG3" s="568"/>
      <c r="LSH3" s="568"/>
      <c r="LSI3" s="568"/>
      <c r="LSJ3" s="568"/>
      <c r="LSK3" s="568"/>
      <c r="LSL3" s="568"/>
      <c r="LSM3" s="568"/>
      <c r="LSN3" s="568"/>
      <c r="LSO3" s="568"/>
      <c r="LSP3" s="568"/>
      <c r="LSQ3" s="568"/>
      <c r="LSR3" s="568"/>
      <c r="LSS3" s="568"/>
      <c r="LST3" s="568"/>
      <c r="LSU3" s="568"/>
      <c r="LSV3" s="568"/>
      <c r="LSW3" s="568"/>
      <c r="LSX3" s="568"/>
      <c r="LSY3" s="568"/>
      <c r="LSZ3" s="568"/>
      <c r="LTA3" s="568"/>
      <c r="LTB3" s="568"/>
      <c r="LTC3" s="568"/>
      <c r="LTD3" s="568"/>
      <c r="LTE3" s="568"/>
      <c r="LTF3" s="568"/>
      <c r="LTG3" s="568"/>
      <c r="LTH3" s="568"/>
      <c r="LTI3" s="568"/>
      <c r="LTJ3" s="568"/>
      <c r="LTK3" s="568"/>
      <c r="LTL3" s="568"/>
      <c r="LTM3" s="568"/>
      <c r="LTN3" s="568"/>
      <c r="LTO3" s="568"/>
      <c r="LTP3" s="568"/>
      <c r="LTQ3" s="568"/>
      <c r="LTR3" s="568"/>
      <c r="LTS3" s="568"/>
      <c r="LTT3" s="568"/>
      <c r="LTU3" s="568"/>
      <c r="LTV3" s="568"/>
      <c r="LTW3" s="568"/>
      <c r="LTX3" s="568"/>
      <c r="LTY3" s="568"/>
      <c r="LTZ3" s="568"/>
      <c r="LUA3" s="568"/>
      <c r="LUB3" s="568"/>
      <c r="LUC3" s="568"/>
      <c r="LUD3" s="568"/>
      <c r="LUE3" s="568"/>
      <c r="LUF3" s="568"/>
      <c r="LUG3" s="568"/>
      <c r="LUH3" s="568"/>
      <c r="LUI3" s="568"/>
      <c r="LUJ3" s="568"/>
      <c r="LUK3" s="568"/>
      <c r="LUL3" s="568"/>
      <c r="LUM3" s="568"/>
      <c r="LUN3" s="568"/>
      <c r="LUO3" s="568"/>
      <c r="LUP3" s="568"/>
      <c r="LUQ3" s="568"/>
      <c r="LUR3" s="568"/>
      <c r="LUS3" s="568"/>
      <c r="LUT3" s="568"/>
      <c r="LUU3" s="568"/>
      <c r="LUV3" s="568"/>
      <c r="LUW3" s="568"/>
      <c r="LUX3" s="568"/>
      <c r="LUY3" s="568"/>
      <c r="LUZ3" s="568"/>
      <c r="LVA3" s="568"/>
      <c r="LVB3" s="568"/>
      <c r="LVC3" s="568"/>
      <c r="LVD3" s="568"/>
      <c r="LVE3" s="568"/>
      <c r="LVF3" s="568"/>
      <c r="LVG3" s="568"/>
      <c r="LVH3" s="568"/>
      <c r="LVI3" s="568"/>
      <c r="LVJ3" s="568"/>
      <c r="LVK3" s="568"/>
      <c r="LVL3" s="568"/>
      <c r="LVM3" s="568"/>
      <c r="LVN3" s="568"/>
      <c r="LVO3" s="568"/>
      <c r="LVP3" s="568"/>
      <c r="LVQ3" s="568"/>
      <c r="LVR3" s="568"/>
      <c r="LVS3" s="568"/>
      <c r="LVT3" s="568"/>
      <c r="LVU3" s="568"/>
      <c r="LVV3" s="568"/>
      <c r="LVW3" s="568"/>
      <c r="LVX3" s="568"/>
      <c r="LVY3" s="568"/>
      <c r="LVZ3" s="568"/>
      <c r="LWA3" s="568"/>
      <c r="LWB3" s="568"/>
      <c r="LWC3" s="568"/>
      <c r="LWD3" s="568"/>
      <c r="LWE3" s="568"/>
      <c r="LWF3" s="568"/>
      <c r="LWG3" s="568"/>
      <c r="LWH3" s="568"/>
      <c r="LWI3" s="568"/>
      <c r="LWJ3" s="568"/>
      <c r="LWK3" s="568"/>
      <c r="LWL3" s="568"/>
      <c r="LWM3" s="568"/>
      <c r="LWN3" s="568"/>
      <c r="LWO3" s="568"/>
      <c r="LWP3" s="568"/>
      <c r="LWQ3" s="568"/>
      <c r="LWR3" s="568"/>
      <c r="LWS3" s="568"/>
      <c r="LWT3" s="568"/>
      <c r="LWU3" s="568"/>
      <c r="LWV3" s="568"/>
      <c r="LWW3" s="568"/>
      <c r="LWX3" s="568"/>
      <c r="LWY3" s="568"/>
      <c r="LWZ3" s="568"/>
      <c r="LXA3" s="568"/>
      <c r="LXB3" s="568"/>
      <c r="LXC3" s="568"/>
      <c r="LXD3" s="568"/>
      <c r="LXE3" s="568"/>
      <c r="LXF3" s="568"/>
      <c r="LXG3" s="568"/>
      <c r="LXH3" s="568"/>
      <c r="LXI3" s="568"/>
      <c r="LXJ3" s="568"/>
      <c r="LXK3" s="568"/>
      <c r="LXL3" s="568"/>
      <c r="LXM3" s="568"/>
      <c r="LXN3" s="568"/>
      <c r="LXO3" s="568"/>
      <c r="LXP3" s="568"/>
      <c r="LXQ3" s="568"/>
      <c r="LXR3" s="568"/>
      <c r="LXS3" s="568"/>
      <c r="LXT3" s="568"/>
      <c r="LXU3" s="568"/>
      <c r="LXV3" s="568"/>
      <c r="LXW3" s="568"/>
      <c r="LXX3" s="568"/>
      <c r="LXY3" s="568"/>
      <c r="LXZ3" s="568"/>
      <c r="LYA3" s="568"/>
      <c r="LYB3" s="568"/>
      <c r="LYC3" s="568"/>
      <c r="LYD3" s="568"/>
      <c r="LYE3" s="568"/>
      <c r="LYF3" s="568"/>
      <c r="LYG3" s="568"/>
      <c r="LYH3" s="568"/>
      <c r="LYI3" s="568"/>
      <c r="LYJ3" s="568"/>
      <c r="LYK3" s="568"/>
      <c r="LYL3" s="568"/>
      <c r="LYM3" s="568"/>
      <c r="LYN3" s="568"/>
      <c r="LYO3" s="568"/>
      <c r="LYP3" s="568"/>
      <c r="LYQ3" s="568"/>
      <c r="LYR3" s="568"/>
      <c r="LYS3" s="568"/>
      <c r="LYT3" s="568"/>
      <c r="LYU3" s="568"/>
      <c r="LYV3" s="568"/>
      <c r="LYW3" s="568"/>
      <c r="LYX3" s="568"/>
      <c r="LYY3" s="568"/>
      <c r="LYZ3" s="568"/>
      <c r="LZA3" s="568"/>
      <c r="LZB3" s="568"/>
      <c r="LZC3" s="568"/>
      <c r="LZD3" s="568"/>
      <c r="LZE3" s="568"/>
      <c r="LZF3" s="568"/>
      <c r="LZG3" s="568"/>
      <c r="LZH3" s="568"/>
      <c r="LZI3" s="568"/>
      <c r="LZJ3" s="568"/>
      <c r="LZK3" s="568"/>
      <c r="LZL3" s="568"/>
      <c r="LZM3" s="568"/>
      <c r="LZN3" s="568"/>
      <c r="LZO3" s="568"/>
      <c r="LZP3" s="568"/>
      <c r="LZQ3" s="568"/>
      <c r="LZR3" s="568"/>
      <c r="LZS3" s="568"/>
      <c r="LZT3" s="568"/>
      <c r="LZU3" s="568"/>
      <c r="LZV3" s="568"/>
      <c r="LZW3" s="568"/>
      <c r="LZX3" s="568"/>
      <c r="LZY3" s="568"/>
      <c r="LZZ3" s="568"/>
      <c r="MAA3" s="568"/>
      <c r="MAB3" s="568"/>
      <c r="MAC3" s="568"/>
      <c r="MAD3" s="568"/>
      <c r="MAE3" s="568"/>
      <c r="MAF3" s="568"/>
      <c r="MAG3" s="568"/>
      <c r="MAH3" s="568"/>
      <c r="MAI3" s="568"/>
      <c r="MAJ3" s="568"/>
      <c r="MAK3" s="568"/>
      <c r="MAL3" s="568"/>
      <c r="MAM3" s="568"/>
      <c r="MAN3" s="568"/>
      <c r="MAO3" s="568"/>
      <c r="MAP3" s="568"/>
      <c r="MAQ3" s="568"/>
      <c r="MAR3" s="568"/>
      <c r="MAS3" s="568"/>
      <c r="MAT3" s="568"/>
      <c r="MAU3" s="568"/>
      <c r="MAV3" s="568"/>
      <c r="MAW3" s="568"/>
      <c r="MAX3" s="568"/>
      <c r="MAY3" s="568"/>
      <c r="MAZ3" s="568"/>
      <c r="MBA3" s="568"/>
      <c r="MBB3" s="568"/>
      <c r="MBC3" s="568"/>
      <c r="MBD3" s="568"/>
      <c r="MBE3" s="568"/>
      <c r="MBF3" s="568"/>
      <c r="MBG3" s="568"/>
      <c r="MBH3" s="568"/>
      <c r="MBI3" s="568"/>
      <c r="MBJ3" s="568"/>
      <c r="MBK3" s="568"/>
      <c r="MBL3" s="568"/>
      <c r="MBM3" s="568"/>
      <c r="MBN3" s="568"/>
      <c r="MBO3" s="568"/>
      <c r="MBP3" s="568"/>
      <c r="MBQ3" s="568"/>
      <c r="MBR3" s="568"/>
      <c r="MBS3" s="568"/>
      <c r="MBT3" s="568"/>
      <c r="MBU3" s="568"/>
      <c r="MBV3" s="568"/>
      <c r="MBW3" s="568"/>
      <c r="MBX3" s="568"/>
      <c r="MBY3" s="568"/>
      <c r="MBZ3" s="568"/>
      <c r="MCA3" s="568"/>
      <c r="MCB3" s="568"/>
      <c r="MCC3" s="568"/>
      <c r="MCD3" s="568"/>
      <c r="MCE3" s="568"/>
      <c r="MCF3" s="568"/>
      <c r="MCG3" s="568"/>
      <c r="MCH3" s="568"/>
      <c r="MCI3" s="568"/>
      <c r="MCJ3" s="568"/>
      <c r="MCK3" s="568"/>
      <c r="MCL3" s="568"/>
      <c r="MCM3" s="568"/>
      <c r="MCN3" s="568"/>
      <c r="MCO3" s="568"/>
      <c r="MCP3" s="568"/>
      <c r="MCQ3" s="568"/>
      <c r="MCR3" s="568"/>
      <c r="MCS3" s="568"/>
      <c r="MCT3" s="568"/>
      <c r="MCU3" s="568"/>
      <c r="MCV3" s="568"/>
      <c r="MCW3" s="568"/>
      <c r="MCX3" s="568"/>
      <c r="MCY3" s="568"/>
      <c r="MCZ3" s="568"/>
      <c r="MDA3" s="568"/>
      <c r="MDB3" s="568"/>
      <c r="MDC3" s="568"/>
      <c r="MDD3" s="568"/>
      <c r="MDE3" s="568"/>
      <c r="MDF3" s="568"/>
      <c r="MDG3" s="568"/>
      <c r="MDH3" s="568"/>
      <c r="MDI3" s="568"/>
      <c r="MDJ3" s="568"/>
      <c r="MDK3" s="568"/>
      <c r="MDL3" s="568"/>
      <c r="MDM3" s="568"/>
      <c r="MDN3" s="568"/>
      <c r="MDO3" s="568"/>
      <c r="MDP3" s="568"/>
      <c r="MDQ3" s="568"/>
      <c r="MDR3" s="568"/>
      <c r="MDS3" s="568"/>
      <c r="MDT3" s="568"/>
      <c r="MDU3" s="568"/>
      <c r="MDV3" s="568"/>
      <c r="MDW3" s="568"/>
      <c r="MDX3" s="568"/>
      <c r="MDY3" s="568"/>
      <c r="MDZ3" s="568"/>
      <c r="MEA3" s="568"/>
      <c r="MEB3" s="568"/>
      <c r="MEC3" s="568"/>
      <c r="MED3" s="568"/>
      <c r="MEE3" s="568"/>
      <c r="MEF3" s="568"/>
      <c r="MEG3" s="568"/>
      <c r="MEH3" s="568"/>
      <c r="MEI3" s="568"/>
      <c r="MEJ3" s="568"/>
      <c r="MEK3" s="568"/>
      <c r="MEL3" s="568"/>
      <c r="MEM3" s="568"/>
      <c r="MEN3" s="568"/>
      <c r="MEO3" s="568"/>
      <c r="MEP3" s="568"/>
      <c r="MEQ3" s="568"/>
      <c r="MER3" s="568"/>
      <c r="MES3" s="568"/>
      <c r="MET3" s="568"/>
      <c r="MEU3" s="568"/>
      <c r="MEV3" s="568"/>
      <c r="MEW3" s="568"/>
      <c r="MEX3" s="568"/>
      <c r="MEY3" s="568"/>
      <c r="MEZ3" s="568"/>
      <c r="MFA3" s="568"/>
      <c r="MFB3" s="568"/>
      <c r="MFC3" s="568"/>
      <c r="MFD3" s="568"/>
      <c r="MFE3" s="568"/>
      <c r="MFF3" s="568"/>
      <c r="MFG3" s="568"/>
      <c r="MFH3" s="568"/>
      <c r="MFI3" s="568"/>
      <c r="MFJ3" s="568"/>
      <c r="MFK3" s="568"/>
      <c r="MFL3" s="568"/>
      <c r="MFM3" s="568"/>
      <c r="MFN3" s="568"/>
      <c r="MFO3" s="568"/>
      <c r="MFP3" s="568"/>
      <c r="MFQ3" s="568"/>
      <c r="MFR3" s="568"/>
      <c r="MFS3" s="568"/>
      <c r="MFT3" s="568"/>
      <c r="MFU3" s="568"/>
      <c r="MFV3" s="568"/>
      <c r="MFW3" s="568"/>
      <c r="MFX3" s="568"/>
      <c r="MFY3" s="568"/>
      <c r="MFZ3" s="568"/>
      <c r="MGA3" s="568"/>
      <c r="MGB3" s="568"/>
      <c r="MGC3" s="568"/>
      <c r="MGD3" s="568"/>
      <c r="MGE3" s="568"/>
      <c r="MGF3" s="568"/>
      <c r="MGG3" s="568"/>
      <c r="MGH3" s="568"/>
      <c r="MGI3" s="568"/>
      <c r="MGJ3" s="568"/>
      <c r="MGK3" s="568"/>
      <c r="MGL3" s="568"/>
      <c r="MGM3" s="568"/>
      <c r="MGN3" s="568"/>
      <c r="MGO3" s="568"/>
      <c r="MGP3" s="568"/>
      <c r="MGQ3" s="568"/>
      <c r="MGR3" s="568"/>
      <c r="MGS3" s="568"/>
      <c r="MGT3" s="568"/>
      <c r="MGU3" s="568"/>
      <c r="MGV3" s="568"/>
      <c r="MGW3" s="568"/>
      <c r="MGX3" s="568"/>
      <c r="MGY3" s="568"/>
      <c r="MGZ3" s="568"/>
      <c r="MHA3" s="568"/>
      <c r="MHB3" s="568"/>
      <c r="MHC3" s="568"/>
      <c r="MHD3" s="568"/>
      <c r="MHE3" s="568"/>
      <c r="MHF3" s="568"/>
      <c r="MHG3" s="568"/>
      <c r="MHH3" s="568"/>
      <c r="MHI3" s="568"/>
      <c r="MHJ3" s="568"/>
      <c r="MHK3" s="568"/>
      <c r="MHL3" s="568"/>
      <c r="MHM3" s="568"/>
      <c r="MHN3" s="568"/>
      <c r="MHO3" s="568"/>
      <c r="MHP3" s="568"/>
      <c r="MHQ3" s="568"/>
      <c r="MHR3" s="568"/>
      <c r="MHS3" s="568"/>
      <c r="MHT3" s="568"/>
      <c r="MHU3" s="568"/>
      <c r="MHV3" s="568"/>
      <c r="MHW3" s="568"/>
      <c r="MHX3" s="568"/>
      <c r="MHY3" s="568"/>
      <c r="MHZ3" s="568"/>
      <c r="MIA3" s="568"/>
      <c r="MIB3" s="568"/>
      <c r="MIC3" s="568"/>
      <c r="MID3" s="568"/>
      <c r="MIE3" s="568"/>
      <c r="MIF3" s="568"/>
      <c r="MIG3" s="568"/>
      <c r="MIH3" s="568"/>
      <c r="MII3" s="568"/>
      <c r="MIJ3" s="568"/>
      <c r="MIK3" s="568"/>
      <c r="MIL3" s="568"/>
      <c r="MIM3" s="568"/>
      <c r="MIN3" s="568"/>
      <c r="MIO3" s="568"/>
      <c r="MIP3" s="568"/>
      <c r="MIQ3" s="568"/>
      <c r="MIR3" s="568"/>
      <c r="MIS3" s="568"/>
      <c r="MIT3" s="568"/>
      <c r="MIU3" s="568"/>
      <c r="MIV3" s="568"/>
      <c r="MIW3" s="568"/>
      <c r="MIX3" s="568"/>
      <c r="MIY3" s="568"/>
      <c r="MIZ3" s="568"/>
      <c r="MJA3" s="568"/>
      <c r="MJB3" s="568"/>
      <c r="MJC3" s="568"/>
      <c r="MJD3" s="568"/>
      <c r="MJE3" s="568"/>
      <c r="MJF3" s="568"/>
      <c r="MJG3" s="568"/>
      <c r="MJH3" s="568"/>
      <c r="MJI3" s="568"/>
      <c r="MJJ3" s="568"/>
      <c r="MJK3" s="568"/>
      <c r="MJL3" s="568"/>
      <c r="MJM3" s="568"/>
      <c r="MJN3" s="568"/>
      <c r="MJO3" s="568"/>
      <c r="MJP3" s="568"/>
      <c r="MJQ3" s="568"/>
      <c r="MJR3" s="568"/>
      <c r="MJS3" s="568"/>
      <c r="MJT3" s="568"/>
      <c r="MJU3" s="568"/>
      <c r="MJV3" s="568"/>
      <c r="MJW3" s="568"/>
      <c r="MJX3" s="568"/>
      <c r="MJY3" s="568"/>
      <c r="MJZ3" s="568"/>
      <c r="MKA3" s="568"/>
      <c r="MKB3" s="568"/>
      <c r="MKC3" s="568"/>
      <c r="MKD3" s="568"/>
      <c r="MKE3" s="568"/>
      <c r="MKF3" s="568"/>
      <c r="MKG3" s="568"/>
      <c r="MKH3" s="568"/>
      <c r="MKI3" s="568"/>
      <c r="MKJ3" s="568"/>
      <c r="MKK3" s="568"/>
      <c r="MKL3" s="568"/>
      <c r="MKM3" s="568"/>
      <c r="MKN3" s="568"/>
      <c r="MKO3" s="568"/>
      <c r="MKP3" s="568"/>
      <c r="MKQ3" s="568"/>
      <c r="MKR3" s="568"/>
      <c r="MKS3" s="568"/>
      <c r="MKT3" s="568"/>
      <c r="MKU3" s="568"/>
      <c r="MKV3" s="568"/>
      <c r="MKW3" s="568"/>
      <c r="MKX3" s="568"/>
      <c r="MKY3" s="568"/>
      <c r="MKZ3" s="568"/>
      <c r="MLA3" s="568"/>
      <c r="MLB3" s="568"/>
      <c r="MLC3" s="568"/>
      <c r="MLD3" s="568"/>
      <c r="MLE3" s="568"/>
      <c r="MLF3" s="568"/>
      <c r="MLG3" s="568"/>
      <c r="MLH3" s="568"/>
      <c r="MLI3" s="568"/>
      <c r="MLJ3" s="568"/>
      <c r="MLK3" s="568"/>
      <c r="MLL3" s="568"/>
      <c r="MLM3" s="568"/>
      <c r="MLN3" s="568"/>
      <c r="MLO3" s="568"/>
      <c r="MLP3" s="568"/>
      <c r="MLQ3" s="568"/>
      <c r="MLR3" s="568"/>
      <c r="MLS3" s="568"/>
      <c r="MLT3" s="568"/>
      <c r="MLU3" s="568"/>
      <c r="MLV3" s="568"/>
      <c r="MLW3" s="568"/>
      <c r="MLX3" s="568"/>
      <c r="MLY3" s="568"/>
      <c r="MLZ3" s="568"/>
      <c r="MMA3" s="568"/>
      <c r="MMB3" s="568"/>
      <c r="MMC3" s="568"/>
      <c r="MMD3" s="568"/>
      <c r="MME3" s="568"/>
      <c r="MMF3" s="568"/>
      <c r="MMG3" s="568"/>
      <c r="MMH3" s="568"/>
      <c r="MMI3" s="568"/>
      <c r="MMJ3" s="568"/>
      <c r="MMK3" s="568"/>
      <c r="MML3" s="568"/>
      <c r="MMM3" s="568"/>
      <c r="MMN3" s="568"/>
      <c r="MMO3" s="568"/>
      <c r="MMP3" s="568"/>
      <c r="MMQ3" s="568"/>
      <c r="MMR3" s="568"/>
      <c r="MMS3" s="568"/>
      <c r="MMT3" s="568"/>
      <c r="MMU3" s="568"/>
      <c r="MMV3" s="568"/>
      <c r="MMW3" s="568"/>
      <c r="MMX3" s="568"/>
      <c r="MMY3" s="568"/>
      <c r="MMZ3" s="568"/>
      <c r="MNA3" s="568"/>
      <c r="MNB3" s="568"/>
      <c r="MNC3" s="568"/>
      <c r="MND3" s="568"/>
      <c r="MNE3" s="568"/>
      <c r="MNF3" s="568"/>
      <c r="MNG3" s="568"/>
      <c r="MNH3" s="568"/>
      <c r="MNI3" s="568"/>
      <c r="MNJ3" s="568"/>
      <c r="MNK3" s="568"/>
      <c r="MNL3" s="568"/>
      <c r="MNM3" s="568"/>
      <c r="MNN3" s="568"/>
      <c r="MNO3" s="568"/>
      <c r="MNP3" s="568"/>
      <c r="MNQ3" s="568"/>
      <c r="MNR3" s="568"/>
      <c r="MNS3" s="568"/>
      <c r="MNT3" s="568"/>
      <c r="MNU3" s="568"/>
      <c r="MNV3" s="568"/>
      <c r="MNW3" s="568"/>
      <c r="MNX3" s="568"/>
      <c r="MNY3" s="568"/>
      <c r="MNZ3" s="568"/>
      <c r="MOA3" s="568"/>
      <c r="MOB3" s="568"/>
      <c r="MOC3" s="568"/>
      <c r="MOD3" s="568"/>
      <c r="MOE3" s="568"/>
      <c r="MOF3" s="568"/>
      <c r="MOG3" s="568"/>
      <c r="MOH3" s="568"/>
      <c r="MOI3" s="568"/>
      <c r="MOJ3" s="568"/>
      <c r="MOK3" s="568"/>
      <c r="MOL3" s="568"/>
      <c r="MOM3" s="568"/>
      <c r="MON3" s="568"/>
      <c r="MOO3" s="568"/>
      <c r="MOP3" s="568"/>
      <c r="MOQ3" s="568"/>
      <c r="MOR3" s="568"/>
      <c r="MOS3" s="568"/>
      <c r="MOT3" s="568"/>
      <c r="MOU3" s="568"/>
      <c r="MOV3" s="568"/>
      <c r="MOW3" s="568"/>
      <c r="MOX3" s="568"/>
      <c r="MOY3" s="568"/>
      <c r="MOZ3" s="568"/>
      <c r="MPA3" s="568"/>
      <c r="MPB3" s="568"/>
      <c r="MPC3" s="568"/>
      <c r="MPD3" s="568"/>
      <c r="MPE3" s="568"/>
      <c r="MPF3" s="568"/>
      <c r="MPG3" s="568"/>
      <c r="MPH3" s="568"/>
      <c r="MPI3" s="568"/>
      <c r="MPJ3" s="568"/>
      <c r="MPK3" s="568"/>
      <c r="MPL3" s="568"/>
      <c r="MPM3" s="568"/>
      <c r="MPN3" s="568"/>
      <c r="MPO3" s="568"/>
      <c r="MPP3" s="568"/>
      <c r="MPQ3" s="568"/>
      <c r="MPR3" s="568"/>
      <c r="MPS3" s="568"/>
      <c r="MPT3" s="568"/>
      <c r="MPU3" s="568"/>
      <c r="MPV3" s="568"/>
      <c r="MPW3" s="568"/>
      <c r="MPX3" s="568"/>
      <c r="MPY3" s="568"/>
      <c r="MPZ3" s="568"/>
      <c r="MQA3" s="568"/>
      <c r="MQB3" s="568"/>
      <c r="MQC3" s="568"/>
      <c r="MQD3" s="568"/>
      <c r="MQE3" s="568"/>
      <c r="MQF3" s="568"/>
      <c r="MQG3" s="568"/>
      <c r="MQH3" s="568"/>
      <c r="MQI3" s="568"/>
      <c r="MQJ3" s="568"/>
      <c r="MQK3" s="568"/>
      <c r="MQL3" s="568"/>
      <c r="MQM3" s="568"/>
      <c r="MQN3" s="568"/>
      <c r="MQO3" s="568"/>
      <c r="MQP3" s="568"/>
      <c r="MQQ3" s="568"/>
      <c r="MQR3" s="568"/>
      <c r="MQS3" s="568"/>
      <c r="MQT3" s="568"/>
      <c r="MQU3" s="568"/>
      <c r="MQV3" s="568"/>
      <c r="MQW3" s="568"/>
      <c r="MQX3" s="568"/>
      <c r="MQY3" s="568"/>
      <c r="MQZ3" s="568"/>
      <c r="MRA3" s="568"/>
      <c r="MRB3" s="568"/>
      <c r="MRC3" s="568"/>
      <c r="MRD3" s="568"/>
      <c r="MRE3" s="568"/>
      <c r="MRF3" s="568"/>
      <c r="MRG3" s="568"/>
      <c r="MRH3" s="568"/>
      <c r="MRI3" s="568"/>
      <c r="MRJ3" s="568"/>
      <c r="MRK3" s="568"/>
      <c r="MRL3" s="568"/>
      <c r="MRM3" s="568"/>
      <c r="MRN3" s="568"/>
      <c r="MRO3" s="568"/>
      <c r="MRP3" s="568"/>
      <c r="MRQ3" s="568"/>
      <c r="MRR3" s="568"/>
      <c r="MRS3" s="568"/>
      <c r="MRT3" s="568"/>
      <c r="MRU3" s="568"/>
      <c r="MRV3" s="568"/>
      <c r="MRW3" s="568"/>
      <c r="MRX3" s="568"/>
      <c r="MRY3" s="568"/>
      <c r="MRZ3" s="568"/>
      <c r="MSA3" s="568"/>
      <c r="MSB3" s="568"/>
      <c r="MSC3" s="568"/>
      <c r="MSD3" s="568"/>
      <c r="MSE3" s="568"/>
      <c r="MSF3" s="568"/>
      <c r="MSG3" s="568"/>
      <c r="MSH3" s="568"/>
      <c r="MSI3" s="568"/>
      <c r="MSJ3" s="568"/>
      <c r="MSK3" s="568"/>
      <c r="MSL3" s="568"/>
      <c r="MSM3" s="568"/>
      <c r="MSN3" s="568"/>
      <c r="MSO3" s="568"/>
      <c r="MSP3" s="568"/>
      <c r="MSQ3" s="568"/>
      <c r="MSR3" s="568"/>
      <c r="MSS3" s="568"/>
      <c r="MST3" s="568"/>
      <c r="MSU3" s="568"/>
      <c r="MSV3" s="568"/>
      <c r="MSW3" s="568"/>
      <c r="MSX3" s="568"/>
      <c r="MSY3" s="568"/>
      <c r="MSZ3" s="568"/>
      <c r="MTA3" s="568"/>
      <c r="MTB3" s="568"/>
      <c r="MTC3" s="568"/>
      <c r="MTD3" s="568"/>
      <c r="MTE3" s="568"/>
      <c r="MTF3" s="568"/>
      <c r="MTG3" s="568"/>
      <c r="MTH3" s="568"/>
      <c r="MTI3" s="568"/>
      <c r="MTJ3" s="568"/>
      <c r="MTK3" s="568"/>
      <c r="MTL3" s="568"/>
      <c r="MTM3" s="568"/>
      <c r="MTN3" s="568"/>
      <c r="MTO3" s="568"/>
      <c r="MTP3" s="568"/>
      <c r="MTQ3" s="568"/>
      <c r="MTR3" s="568"/>
      <c r="MTS3" s="568"/>
      <c r="MTT3" s="568"/>
      <c r="MTU3" s="568"/>
      <c r="MTV3" s="568"/>
      <c r="MTW3" s="568"/>
      <c r="MTX3" s="568"/>
      <c r="MTY3" s="568"/>
      <c r="MTZ3" s="568"/>
      <c r="MUA3" s="568"/>
      <c r="MUB3" s="568"/>
      <c r="MUC3" s="568"/>
      <c r="MUD3" s="568"/>
      <c r="MUE3" s="568"/>
      <c r="MUF3" s="568"/>
      <c r="MUG3" s="568"/>
      <c r="MUH3" s="568"/>
      <c r="MUI3" s="568"/>
      <c r="MUJ3" s="568"/>
      <c r="MUK3" s="568"/>
      <c r="MUL3" s="568"/>
      <c r="MUM3" s="568"/>
      <c r="MUN3" s="568"/>
      <c r="MUO3" s="568"/>
      <c r="MUP3" s="568"/>
      <c r="MUQ3" s="568"/>
      <c r="MUR3" s="568"/>
      <c r="MUS3" s="568"/>
      <c r="MUT3" s="568"/>
      <c r="MUU3" s="568"/>
      <c r="MUV3" s="568"/>
      <c r="MUW3" s="568"/>
      <c r="MUX3" s="568"/>
      <c r="MUY3" s="568"/>
      <c r="MUZ3" s="568"/>
      <c r="MVA3" s="568"/>
      <c r="MVB3" s="568"/>
      <c r="MVC3" s="568"/>
      <c r="MVD3" s="568"/>
      <c r="MVE3" s="568"/>
      <c r="MVF3" s="568"/>
      <c r="MVG3" s="568"/>
      <c r="MVH3" s="568"/>
      <c r="MVI3" s="568"/>
      <c r="MVJ3" s="568"/>
      <c r="MVK3" s="568"/>
      <c r="MVL3" s="568"/>
      <c r="MVM3" s="568"/>
      <c r="MVN3" s="568"/>
      <c r="MVO3" s="568"/>
      <c r="MVP3" s="568"/>
      <c r="MVQ3" s="568"/>
      <c r="MVR3" s="568"/>
      <c r="MVS3" s="568"/>
      <c r="MVT3" s="568"/>
      <c r="MVU3" s="568"/>
      <c r="MVV3" s="568"/>
      <c r="MVW3" s="568"/>
      <c r="MVX3" s="568"/>
      <c r="MVY3" s="568"/>
      <c r="MVZ3" s="568"/>
      <c r="MWA3" s="568"/>
      <c r="MWB3" s="568"/>
      <c r="MWC3" s="568"/>
      <c r="MWD3" s="568"/>
      <c r="MWE3" s="568"/>
      <c r="MWF3" s="568"/>
      <c r="MWG3" s="568"/>
      <c r="MWH3" s="568"/>
      <c r="MWI3" s="568"/>
      <c r="MWJ3" s="568"/>
      <c r="MWK3" s="568"/>
      <c r="MWL3" s="568"/>
      <c r="MWM3" s="568"/>
      <c r="MWN3" s="568"/>
      <c r="MWO3" s="568"/>
      <c r="MWP3" s="568"/>
      <c r="MWQ3" s="568"/>
      <c r="MWR3" s="568"/>
      <c r="MWS3" s="568"/>
      <c r="MWT3" s="568"/>
      <c r="MWU3" s="568"/>
      <c r="MWV3" s="568"/>
      <c r="MWW3" s="568"/>
      <c r="MWX3" s="568"/>
      <c r="MWY3" s="568"/>
      <c r="MWZ3" s="568"/>
      <c r="MXA3" s="568"/>
      <c r="MXB3" s="568"/>
      <c r="MXC3" s="568"/>
      <c r="MXD3" s="568"/>
      <c r="MXE3" s="568"/>
      <c r="MXF3" s="568"/>
      <c r="MXG3" s="568"/>
      <c r="MXH3" s="568"/>
      <c r="MXI3" s="568"/>
      <c r="MXJ3" s="568"/>
      <c r="MXK3" s="568"/>
      <c r="MXL3" s="568"/>
      <c r="MXM3" s="568"/>
      <c r="MXN3" s="568"/>
      <c r="MXO3" s="568"/>
      <c r="MXP3" s="568"/>
      <c r="MXQ3" s="568"/>
      <c r="MXR3" s="568"/>
      <c r="MXS3" s="568"/>
      <c r="MXT3" s="568"/>
      <c r="MXU3" s="568"/>
      <c r="MXV3" s="568"/>
      <c r="MXW3" s="568"/>
      <c r="MXX3" s="568"/>
      <c r="MXY3" s="568"/>
      <c r="MXZ3" s="568"/>
      <c r="MYA3" s="568"/>
      <c r="MYB3" s="568"/>
      <c r="MYC3" s="568"/>
      <c r="MYD3" s="568"/>
      <c r="MYE3" s="568"/>
      <c r="MYF3" s="568"/>
      <c r="MYG3" s="568"/>
      <c r="MYH3" s="568"/>
      <c r="MYI3" s="568"/>
      <c r="MYJ3" s="568"/>
      <c r="MYK3" s="568"/>
      <c r="MYL3" s="568"/>
      <c r="MYM3" s="568"/>
      <c r="MYN3" s="568"/>
      <c r="MYO3" s="568"/>
      <c r="MYP3" s="568"/>
      <c r="MYQ3" s="568"/>
      <c r="MYR3" s="568"/>
      <c r="MYS3" s="568"/>
      <c r="MYT3" s="568"/>
      <c r="MYU3" s="568"/>
      <c r="MYV3" s="568"/>
      <c r="MYW3" s="568"/>
      <c r="MYX3" s="568"/>
      <c r="MYY3" s="568"/>
      <c r="MYZ3" s="568"/>
      <c r="MZA3" s="568"/>
      <c r="MZB3" s="568"/>
      <c r="MZC3" s="568"/>
      <c r="MZD3" s="568"/>
      <c r="MZE3" s="568"/>
      <c r="MZF3" s="568"/>
      <c r="MZG3" s="568"/>
      <c r="MZH3" s="568"/>
      <c r="MZI3" s="568"/>
      <c r="MZJ3" s="568"/>
      <c r="MZK3" s="568"/>
      <c r="MZL3" s="568"/>
      <c r="MZM3" s="568"/>
      <c r="MZN3" s="568"/>
      <c r="MZO3" s="568"/>
      <c r="MZP3" s="568"/>
      <c r="MZQ3" s="568"/>
      <c r="MZR3" s="568"/>
      <c r="MZS3" s="568"/>
      <c r="MZT3" s="568"/>
      <c r="MZU3" s="568"/>
      <c r="MZV3" s="568"/>
      <c r="MZW3" s="568"/>
      <c r="MZX3" s="568"/>
      <c r="MZY3" s="568"/>
      <c r="MZZ3" s="568"/>
      <c r="NAA3" s="568"/>
      <c r="NAB3" s="568"/>
      <c r="NAC3" s="568"/>
      <c r="NAD3" s="568"/>
      <c r="NAE3" s="568"/>
      <c r="NAF3" s="568"/>
      <c r="NAG3" s="568"/>
      <c r="NAH3" s="568"/>
      <c r="NAI3" s="568"/>
      <c r="NAJ3" s="568"/>
      <c r="NAK3" s="568"/>
      <c r="NAL3" s="568"/>
      <c r="NAM3" s="568"/>
      <c r="NAN3" s="568"/>
      <c r="NAO3" s="568"/>
      <c r="NAP3" s="568"/>
      <c r="NAQ3" s="568"/>
      <c r="NAR3" s="568"/>
      <c r="NAS3" s="568"/>
      <c r="NAT3" s="568"/>
      <c r="NAU3" s="568"/>
      <c r="NAV3" s="568"/>
      <c r="NAW3" s="568"/>
      <c r="NAX3" s="568"/>
      <c r="NAY3" s="568"/>
      <c r="NAZ3" s="568"/>
      <c r="NBA3" s="568"/>
      <c r="NBB3" s="568"/>
      <c r="NBC3" s="568"/>
      <c r="NBD3" s="568"/>
      <c r="NBE3" s="568"/>
      <c r="NBF3" s="568"/>
      <c r="NBG3" s="568"/>
      <c r="NBH3" s="568"/>
      <c r="NBI3" s="568"/>
      <c r="NBJ3" s="568"/>
      <c r="NBK3" s="568"/>
      <c r="NBL3" s="568"/>
      <c r="NBM3" s="568"/>
      <c r="NBN3" s="568"/>
      <c r="NBO3" s="568"/>
      <c r="NBP3" s="568"/>
      <c r="NBQ3" s="568"/>
      <c r="NBR3" s="568"/>
      <c r="NBS3" s="568"/>
      <c r="NBT3" s="568"/>
      <c r="NBU3" s="568"/>
      <c r="NBV3" s="568"/>
      <c r="NBW3" s="568"/>
      <c r="NBX3" s="568"/>
      <c r="NBY3" s="568"/>
      <c r="NBZ3" s="568"/>
      <c r="NCA3" s="568"/>
      <c r="NCB3" s="568"/>
      <c r="NCC3" s="568"/>
      <c r="NCD3" s="568"/>
      <c r="NCE3" s="568"/>
      <c r="NCF3" s="568"/>
      <c r="NCG3" s="568"/>
      <c r="NCH3" s="568"/>
      <c r="NCI3" s="568"/>
      <c r="NCJ3" s="568"/>
      <c r="NCK3" s="568"/>
      <c r="NCL3" s="568"/>
      <c r="NCM3" s="568"/>
      <c r="NCN3" s="568"/>
      <c r="NCO3" s="568"/>
      <c r="NCP3" s="568"/>
      <c r="NCQ3" s="568"/>
      <c r="NCR3" s="568"/>
      <c r="NCS3" s="568"/>
      <c r="NCT3" s="568"/>
      <c r="NCU3" s="568"/>
      <c r="NCV3" s="568"/>
      <c r="NCW3" s="568"/>
      <c r="NCX3" s="568"/>
      <c r="NCY3" s="568"/>
      <c r="NCZ3" s="568"/>
      <c r="NDA3" s="568"/>
      <c r="NDB3" s="568"/>
      <c r="NDC3" s="568"/>
      <c r="NDD3" s="568"/>
      <c r="NDE3" s="568"/>
      <c r="NDF3" s="568"/>
      <c r="NDG3" s="568"/>
      <c r="NDH3" s="568"/>
      <c r="NDI3" s="568"/>
      <c r="NDJ3" s="568"/>
      <c r="NDK3" s="568"/>
      <c r="NDL3" s="568"/>
      <c r="NDM3" s="568"/>
      <c r="NDN3" s="568"/>
      <c r="NDO3" s="568"/>
      <c r="NDP3" s="568"/>
      <c r="NDQ3" s="568"/>
      <c r="NDR3" s="568"/>
      <c r="NDS3" s="568"/>
      <c r="NDT3" s="568"/>
      <c r="NDU3" s="568"/>
      <c r="NDV3" s="568"/>
      <c r="NDW3" s="568"/>
      <c r="NDX3" s="568"/>
      <c r="NDY3" s="568"/>
      <c r="NDZ3" s="568"/>
      <c r="NEA3" s="568"/>
      <c r="NEB3" s="568"/>
      <c r="NEC3" s="568"/>
      <c r="NED3" s="568"/>
      <c r="NEE3" s="568"/>
      <c r="NEF3" s="568"/>
      <c r="NEG3" s="568"/>
      <c r="NEH3" s="568"/>
      <c r="NEI3" s="568"/>
      <c r="NEJ3" s="568"/>
      <c r="NEK3" s="568"/>
      <c r="NEL3" s="568"/>
      <c r="NEM3" s="568"/>
      <c r="NEN3" s="568"/>
      <c r="NEO3" s="568"/>
      <c r="NEP3" s="568"/>
      <c r="NEQ3" s="568"/>
      <c r="NER3" s="568"/>
      <c r="NES3" s="568"/>
      <c r="NET3" s="568"/>
      <c r="NEU3" s="568"/>
      <c r="NEV3" s="568"/>
      <c r="NEW3" s="568"/>
      <c r="NEX3" s="568"/>
      <c r="NEY3" s="568"/>
      <c r="NEZ3" s="568"/>
      <c r="NFA3" s="568"/>
      <c r="NFB3" s="568"/>
      <c r="NFC3" s="568"/>
      <c r="NFD3" s="568"/>
      <c r="NFE3" s="568"/>
      <c r="NFF3" s="568"/>
      <c r="NFG3" s="568"/>
      <c r="NFH3" s="568"/>
      <c r="NFI3" s="568"/>
      <c r="NFJ3" s="568"/>
      <c r="NFK3" s="568"/>
      <c r="NFL3" s="568"/>
      <c r="NFM3" s="568"/>
      <c r="NFN3" s="568"/>
      <c r="NFO3" s="568"/>
      <c r="NFP3" s="568"/>
      <c r="NFQ3" s="568"/>
      <c r="NFR3" s="568"/>
      <c r="NFS3" s="568"/>
      <c r="NFT3" s="568"/>
      <c r="NFU3" s="568"/>
      <c r="NFV3" s="568"/>
      <c r="NFW3" s="568"/>
      <c r="NFX3" s="568"/>
      <c r="NFY3" s="568"/>
      <c r="NFZ3" s="568"/>
      <c r="NGA3" s="568"/>
      <c r="NGB3" s="568"/>
      <c r="NGC3" s="568"/>
      <c r="NGD3" s="568"/>
      <c r="NGE3" s="568"/>
      <c r="NGF3" s="568"/>
      <c r="NGG3" s="568"/>
      <c r="NGH3" s="568"/>
      <c r="NGI3" s="568"/>
      <c r="NGJ3" s="568"/>
      <c r="NGK3" s="568"/>
      <c r="NGL3" s="568"/>
      <c r="NGM3" s="568"/>
      <c r="NGN3" s="568"/>
      <c r="NGO3" s="568"/>
      <c r="NGP3" s="568"/>
      <c r="NGQ3" s="568"/>
      <c r="NGR3" s="568"/>
      <c r="NGS3" s="568"/>
      <c r="NGT3" s="568"/>
      <c r="NGU3" s="568"/>
      <c r="NGV3" s="568"/>
      <c r="NGW3" s="568"/>
      <c r="NGX3" s="568"/>
      <c r="NGY3" s="568"/>
      <c r="NGZ3" s="568"/>
      <c r="NHA3" s="568"/>
      <c r="NHB3" s="568"/>
      <c r="NHC3" s="568"/>
      <c r="NHD3" s="568"/>
      <c r="NHE3" s="568"/>
      <c r="NHF3" s="568"/>
      <c r="NHG3" s="568"/>
      <c r="NHH3" s="568"/>
      <c r="NHI3" s="568"/>
      <c r="NHJ3" s="568"/>
      <c r="NHK3" s="568"/>
      <c r="NHL3" s="568"/>
      <c r="NHM3" s="568"/>
      <c r="NHN3" s="568"/>
      <c r="NHO3" s="568"/>
      <c r="NHP3" s="568"/>
      <c r="NHQ3" s="568"/>
      <c r="NHR3" s="568"/>
      <c r="NHS3" s="568"/>
      <c r="NHT3" s="568"/>
      <c r="NHU3" s="568"/>
      <c r="NHV3" s="568"/>
      <c r="NHW3" s="568"/>
      <c r="NHX3" s="568"/>
      <c r="NHY3" s="568"/>
      <c r="NHZ3" s="568"/>
      <c r="NIA3" s="568"/>
      <c r="NIB3" s="568"/>
      <c r="NIC3" s="568"/>
      <c r="NID3" s="568"/>
      <c r="NIE3" s="568"/>
      <c r="NIF3" s="568"/>
      <c r="NIG3" s="568"/>
      <c r="NIH3" s="568"/>
      <c r="NII3" s="568"/>
      <c r="NIJ3" s="568"/>
      <c r="NIK3" s="568"/>
      <c r="NIL3" s="568"/>
      <c r="NIM3" s="568"/>
      <c r="NIN3" s="568"/>
      <c r="NIO3" s="568"/>
      <c r="NIP3" s="568"/>
      <c r="NIQ3" s="568"/>
      <c r="NIR3" s="568"/>
      <c r="NIS3" s="568"/>
      <c r="NIT3" s="568"/>
      <c r="NIU3" s="568"/>
      <c r="NIV3" s="568"/>
      <c r="NIW3" s="568"/>
      <c r="NIX3" s="568"/>
      <c r="NIY3" s="568"/>
      <c r="NIZ3" s="568"/>
      <c r="NJA3" s="568"/>
      <c r="NJB3" s="568"/>
      <c r="NJC3" s="568"/>
      <c r="NJD3" s="568"/>
      <c r="NJE3" s="568"/>
      <c r="NJF3" s="568"/>
      <c r="NJG3" s="568"/>
      <c r="NJH3" s="568"/>
      <c r="NJI3" s="568"/>
      <c r="NJJ3" s="568"/>
      <c r="NJK3" s="568"/>
      <c r="NJL3" s="568"/>
      <c r="NJM3" s="568"/>
      <c r="NJN3" s="568"/>
      <c r="NJO3" s="568"/>
      <c r="NJP3" s="568"/>
      <c r="NJQ3" s="568"/>
      <c r="NJR3" s="568"/>
      <c r="NJS3" s="568"/>
      <c r="NJT3" s="568"/>
      <c r="NJU3" s="568"/>
      <c r="NJV3" s="568"/>
      <c r="NJW3" s="568"/>
      <c r="NJX3" s="568"/>
      <c r="NJY3" s="568"/>
      <c r="NJZ3" s="568"/>
      <c r="NKA3" s="568"/>
      <c r="NKB3" s="568"/>
      <c r="NKC3" s="568"/>
      <c r="NKD3" s="568"/>
      <c r="NKE3" s="568"/>
      <c r="NKF3" s="568"/>
      <c r="NKG3" s="568"/>
      <c r="NKH3" s="568"/>
      <c r="NKI3" s="568"/>
      <c r="NKJ3" s="568"/>
      <c r="NKK3" s="568"/>
      <c r="NKL3" s="568"/>
      <c r="NKM3" s="568"/>
      <c r="NKN3" s="568"/>
      <c r="NKO3" s="568"/>
      <c r="NKP3" s="568"/>
      <c r="NKQ3" s="568"/>
      <c r="NKR3" s="568"/>
      <c r="NKS3" s="568"/>
      <c r="NKT3" s="568"/>
      <c r="NKU3" s="568"/>
      <c r="NKV3" s="568"/>
      <c r="NKW3" s="568"/>
      <c r="NKX3" s="568"/>
      <c r="NKY3" s="568"/>
      <c r="NKZ3" s="568"/>
      <c r="NLA3" s="568"/>
      <c r="NLB3" s="568"/>
      <c r="NLC3" s="568"/>
      <c r="NLD3" s="568"/>
      <c r="NLE3" s="568"/>
      <c r="NLF3" s="568"/>
      <c r="NLG3" s="568"/>
      <c r="NLH3" s="568"/>
      <c r="NLI3" s="568"/>
      <c r="NLJ3" s="568"/>
      <c r="NLK3" s="568"/>
      <c r="NLL3" s="568"/>
      <c r="NLM3" s="568"/>
      <c r="NLN3" s="568"/>
      <c r="NLO3" s="568"/>
      <c r="NLP3" s="568"/>
      <c r="NLQ3" s="568"/>
      <c r="NLR3" s="568"/>
      <c r="NLS3" s="568"/>
      <c r="NLT3" s="568"/>
      <c r="NLU3" s="568"/>
      <c r="NLV3" s="568"/>
      <c r="NLW3" s="568"/>
      <c r="NLX3" s="568"/>
      <c r="NLY3" s="568"/>
      <c r="NLZ3" s="568"/>
      <c r="NMA3" s="568"/>
      <c r="NMB3" s="568"/>
      <c r="NMC3" s="568"/>
      <c r="NMD3" s="568"/>
      <c r="NME3" s="568"/>
      <c r="NMF3" s="568"/>
      <c r="NMG3" s="568"/>
      <c r="NMH3" s="568"/>
      <c r="NMI3" s="568"/>
      <c r="NMJ3" s="568"/>
      <c r="NMK3" s="568"/>
      <c r="NML3" s="568"/>
      <c r="NMM3" s="568"/>
      <c r="NMN3" s="568"/>
      <c r="NMO3" s="568"/>
      <c r="NMP3" s="568"/>
      <c r="NMQ3" s="568"/>
      <c r="NMR3" s="568"/>
      <c r="NMS3" s="568"/>
      <c r="NMT3" s="568"/>
      <c r="NMU3" s="568"/>
      <c r="NMV3" s="568"/>
      <c r="NMW3" s="568"/>
      <c r="NMX3" s="568"/>
      <c r="NMY3" s="568"/>
      <c r="NMZ3" s="568"/>
      <c r="NNA3" s="568"/>
      <c r="NNB3" s="568"/>
      <c r="NNC3" s="568"/>
      <c r="NND3" s="568"/>
      <c r="NNE3" s="568"/>
      <c r="NNF3" s="568"/>
      <c r="NNG3" s="568"/>
      <c r="NNH3" s="568"/>
      <c r="NNI3" s="568"/>
      <c r="NNJ3" s="568"/>
      <c r="NNK3" s="568"/>
      <c r="NNL3" s="568"/>
      <c r="NNM3" s="568"/>
      <c r="NNN3" s="568"/>
      <c r="NNO3" s="568"/>
      <c r="NNP3" s="568"/>
      <c r="NNQ3" s="568"/>
      <c r="NNR3" s="568"/>
      <c r="NNS3" s="568"/>
      <c r="NNT3" s="568"/>
      <c r="NNU3" s="568"/>
      <c r="NNV3" s="568"/>
      <c r="NNW3" s="568"/>
      <c r="NNX3" s="568"/>
      <c r="NNY3" s="568"/>
      <c r="NNZ3" s="568"/>
      <c r="NOA3" s="568"/>
      <c r="NOB3" s="568"/>
      <c r="NOC3" s="568"/>
      <c r="NOD3" s="568"/>
      <c r="NOE3" s="568"/>
      <c r="NOF3" s="568"/>
      <c r="NOG3" s="568"/>
      <c r="NOH3" s="568"/>
      <c r="NOI3" s="568"/>
      <c r="NOJ3" s="568"/>
      <c r="NOK3" s="568"/>
      <c r="NOL3" s="568"/>
      <c r="NOM3" s="568"/>
      <c r="NON3" s="568"/>
      <c r="NOO3" s="568"/>
      <c r="NOP3" s="568"/>
      <c r="NOQ3" s="568"/>
      <c r="NOR3" s="568"/>
      <c r="NOS3" s="568"/>
      <c r="NOT3" s="568"/>
      <c r="NOU3" s="568"/>
      <c r="NOV3" s="568"/>
      <c r="NOW3" s="568"/>
      <c r="NOX3" s="568"/>
      <c r="NOY3" s="568"/>
      <c r="NOZ3" s="568"/>
      <c r="NPA3" s="568"/>
      <c r="NPB3" s="568"/>
      <c r="NPC3" s="568"/>
      <c r="NPD3" s="568"/>
      <c r="NPE3" s="568"/>
      <c r="NPF3" s="568"/>
      <c r="NPG3" s="568"/>
      <c r="NPH3" s="568"/>
      <c r="NPI3" s="568"/>
      <c r="NPJ3" s="568"/>
      <c r="NPK3" s="568"/>
      <c r="NPL3" s="568"/>
      <c r="NPM3" s="568"/>
      <c r="NPN3" s="568"/>
      <c r="NPO3" s="568"/>
      <c r="NPP3" s="568"/>
      <c r="NPQ3" s="568"/>
      <c r="NPR3" s="568"/>
      <c r="NPS3" s="568"/>
      <c r="NPT3" s="568"/>
      <c r="NPU3" s="568"/>
      <c r="NPV3" s="568"/>
      <c r="NPW3" s="568"/>
      <c r="NPX3" s="568"/>
      <c r="NPY3" s="568"/>
      <c r="NPZ3" s="568"/>
      <c r="NQA3" s="568"/>
      <c r="NQB3" s="568"/>
      <c r="NQC3" s="568"/>
      <c r="NQD3" s="568"/>
      <c r="NQE3" s="568"/>
      <c r="NQF3" s="568"/>
      <c r="NQG3" s="568"/>
      <c r="NQH3" s="568"/>
      <c r="NQI3" s="568"/>
      <c r="NQJ3" s="568"/>
      <c r="NQK3" s="568"/>
      <c r="NQL3" s="568"/>
      <c r="NQM3" s="568"/>
      <c r="NQN3" s="568"/>
      <c r="NQO3" s="568"/>
      <c r="NQP3" s="568"/>
      <c r="NQQ3" s="568"/>
      <c r="NQR3" s="568"/>
      <c r="NQS3" s="568"/>
      <c r="NQT3" s="568"/>
      <c r="NQU3" s="568"/>
      <c r="NQV3" s="568"/>
      <c r="NQW3" s="568"/>
      <c r="NQX3" s="568"/>
      <c r="NQY3" s="568"/>
      <c r="NQZ3" s="568"/>
      <c r="NRA3" s="568"/>
      <c r="NRB3" s="568"/>
      <c r="NRC3" s="568"/>
      <c r="NRD3" s="568"/>
      <c r="NRE3" s="568"/>
      <c r="NRF3" s="568"/>
      <c r="NRG3" s="568"/>
      <c r="NRH3" s="568"/>
      <c r="NRI3" s="568"/>
      <c r="NRJ3" s="568"/>
      <c r="NRK3" s="568"/>
      <c r="NRL3" s="568"/>
      <c r="NRM3" s="568"/>
      <c r="NRN3" s="568"/>
      <c r="NRO3" s="568"/>
      <c r="NRP3" s="568"/>
      <c r="NRQ3" s="568"/>
      <c r="NRR3" s="568"/>
      <c r="NRS3" s="568"/>
      <c r="NRT3" s="568"/>
      <c r="NRU3" s="568"/>
      <c r="NRV3" s="568"/>
      <c r="NRW3" s="568"/>
      <c r="NRX3" s="568"/>
      <c r="NRY3" s="568"/>
      <c r="NRZ3" s="568"/>
      <c r="NSA3" s="568"/>
      <c r="NSB3" s="568"/>
      <c r="NSC3" s="568"/>
      <c r="NSD3" s="568"/>
      <c r="NSE3" s="568"/>
      <c r="NSF3" s="568"/>
      <c r="NSG3" s="568"/>
      <c r="NSH3" s="568"/>
      <c r="NSI3" s="568"/>
      <c r="NSJ3" s="568"/>
      <c r="NSK3" s="568"/>
      <c r="NSL3" s="568"/>
      <c r="NSM3" s="568"/>
      <c r="NSN3" s="568"/>
      <c r="NSO3" s="568"/>
      <c r="NSP3" s="568"/>
      <c r="NSQ3" s="568"/>
      <c r="NSR3" s="568"/>
      <c r="NSS3" s="568"/>
      <c r="NST3" s="568"/>
      <c r="NSU3" s="568"/>
      <c r="NSV3" s="568"/>
      <c r="NSW3" s="568"/>
      <c r="NSX3" s="568"/>
      <c r="NSY3" s="568"/>
      <c r="NSZ3" s="568"/>
      <c r="NTA3" s="568"/>
      <c r="NTB3" s="568"/>
      <c r="NTC3" s="568"/>
      <c r="NTD3" s="568"/>
      <c r="NTE3" s="568"/>
      <c r="NTF3" s="568"/>
      <c r="NTG3" s="568"/>
      <c r="NTH3" s="568"/>
      <c r="NTI3" s="568"/>
      <c r="NTJ3" s="568"/>
      <c r="NTK3" s="568"/>
      <c r="NTL3" s="568"/>
      <c r="NTM3" s="568"/>
      <c r="NTN3" s="568"/>
      <c r="NTO3" s="568"/>
      <c r="NTP3" s="568"/>
      <c r="NTQ3" s="568"/>
      <c r="NTR3" s="568"/>
      <c r="NTS3" s="568"/>
      <c r="NTT3" s="568"/>
      <c r="NTU3" s="568"/>
      <c r="NTV3" s="568"/>
      <c r="NTW3" s="568"/>
      <c r="NTX3" s="568"/>
      <c r="NTY3" s="568"/>
      <c r="NTZ3" s="568"/>
      <c r="NUA3" s="568"/>
      <c r="NUB3" s="568"/>
      <c r="NUC3" s="568"/>
      <c r="NUD3" s="568"/>
      <c r="NUE3" s="568"/>
      <c r="NUF3" s="568"/>
      <c r="NUG3" s="568"/>
      <c r="NUH3" s="568"/>
      <c r="NUI3" s="568"/>
      <c r="NUJ3" s="568"/>
      <c r="NUK3" s="568"/>
      <c r="NUL3" s="568"/>
      <c r="NUM3" s="568"/>
      <c r="NUN3" s="568"/>
      <c r="NUO3" s="568"/>
      <c r="NUP3" s="568"/>
      <c r="NUQ3" s="568"/>
      <c r="NUR3" s="568"/>
      <c r="NUS3" s="568"/>
      <c r="NUT3" s="568"/>
      <c r="NUU3" s="568"/>
      <c r="NUV3" s="568"/>
      <c r="NUW3" s="568"/>
      <c r="NUX3" s="568"/>
      <c r="NUY3" s="568"/>
      <c r="NUZ3" s="568"/>
      <c r="NVA3" s="568"/>
      <c r="NVB3" s="568"/>
      <c r="NVC3" s="568"/>
      <c r="NVD3" s="568"/>
      <c r="NVE3" s="568"/>
      <c r="NVF3" s="568"/>
      <c r="NVG3" s="568"/>
      <c r="NVH3" s="568"/>
      <c r="NVI3" s="568"/>
      <c r="NVJ3" s="568"/>
      <c r="NVK3" s="568"/>
      <c r="NVL3" s="568"/>
      <c r="NVM3" s="568"/>
      <c r="NVN3" s="568"/>
      <c r="NVO3" s="568"/>
      <c r="NVP3" s="568"/>
      <c r="NVQ3" s="568"/>
      <c r="NVR3" s="568"/>
      <c r="NVS3" s="568"/>
      <c r="NVT3" s="568"/>
      <c r="NVU3" s="568"/>
      <c r="NVV3" s="568"/>
      <c r="NVW3" s="568"/>
      <c r="NVX3" s="568"/>
      <c r="NVY3" s="568"/>
      <c r="NVZ3" s="568"/>
      <c r="NWA3" s="568"/>
      <c r="NWB3" s="568"/>
      <c r="NWC3" s="568"/>
      <c r="NWD3" s="568"/>
      <c r="NWE3" s="568"/>
      <c r="NWF3" s="568"/>
      <c r="NWG3" s="568"/>
      <c r="NWH3" s="568"/>
      <c r="NWI3" s="568"/>
      <c r="NWJ3" s="568"/>
      <c r="NWK3" s="568"/>
      <c r="NWL3" s="568"/>
      <c r="NWM3" s="568"/>
      <c r="NWN3" s="568"/>
      <c r="NWO3" s="568"/>
      <c r="NWP3" s="568"/>
      <c r="NWQ3" s="568"/>
      <c r="NWR3" s="568"/>
      <c r="NWS3" s="568"/>
      <c r="NWT3" s="568"/>
      <c r="NWU3" s="568"/>
      <c r="NWV3" s="568"/>
      <c r="NWW3" s="568"/>
      <c r="NWX3" s="568"/>
      <c r="NWY3" s="568"/>
      <c r="NWZ3" s="568"/>
      <c r="NXA3" s="568"/>
      <c r="NXB3" s="568"/>
      <c r="NXC3" s="568"/>
      <c r="NXD3" s="568"/>
      <c r="NXE3" s="568"/>
      <c r="NXF3" s="568"/>
      <c r="NXG3" s="568"/>
      <c r="NXH3" s="568"/>
      <c r="NXI3" s="568"/>
      <c r="NXJ3" s="568"/>
      <c r="NXK3" s="568"/>
      <c r="NXL3" s="568"/>
      <c r="NXM3" s="568"/>
      <c r="NXN3" s="568"/>
      <c r="NXO3" s="568"/>
      <c r="NXP3" s="568"/>
      <c r="NXQ3" s="568"/>
      <c r="NXR3" s="568"/>
      <c r="NXS3" s="568"/>
      <c r="NXT3" s="568"/>
      <c r="NXU3" s="568"/>
      <c r="NXV3" s="568"/>
      <c r="NXW3" s="568"/>
      <c r="NXX3" s="568"/>
      <c r="NXY3" s="568"/>
      <c r="NXZ3" s="568"/>
      <c r="NYA3" s="568"/>
      <c r="NYB3" s="568"/>
      <c r="NYC3" s="568"/>
      <c r="NYD3" s="568"/>
      <c r="NYE3" s="568"/>
      <c r="NYF3" s="568"/>
      <c r="NYG3" s="568"/>
      <c r="NYH3" s="568"/>
      <c r="NYI3" s="568"/>
      <c r="NYJ3" s="568"/>
      <c r="NYK3" s="568"/>
      <c r="NYL3" s="568"/>
      <c r="NYM3" s="568"/>
      <c r="NYN3" s="568"/>
      <c r="NYO3" s="568"/>
      <c r="NYP3" s="568"/>
      <c r="NYQ3" s="568"/>
      <c r="NYR3" s="568"/>
      <c r="NYS3" s="568"/>
      <c r="NYT3" s="568"/>
      <c r="NYU3" s="568"/>
      <c r="NYV3" s="568"/>
      <c r="NYW3" s="568"/>
      <c r="NYX3" s="568"/>
      <c r="NYY3" s="568"/>
      <c r="NYZ3" s="568"/>
      <c r="NZA3" s="568"/>
      <c r="NZB3" s="568"/>
      <c r="NZC3" s="568"/>
      <c r="NZD3" s="568"/>
      <c r="NZE3" s="568"/>
      <c r="NZF3" s="568"/>
      <c r="NZG3" s="568"/>
      <c r="NZH3" s="568"/>
      <c r="NZI3" s="568"/>
      <c r="NZJ3" s="568"/>
      <c r="NZK3" s="568"/>
      <c r="NZL3" s="568"/>
      <c r="NZM3" s="568"/>
      <c r="NZN3" s="568"/>
      <c r="NZO3" s="568"/>
      <c r="NZP3" s="568"/>
      <c r="NZQ3" s="568"/>
      <c r="NZR3" s="568"/>
      <c r="NZS3" s="568"/>
      <c r="NZT3" s="568"/>
      <c r="NZU3" s="568"/>
      <c r="NZV3" s="568"/>
      <c r="NZW3" s="568"/>
      <c r="NZX3" s="568"/>
      <c r="NZY3" s="568"/>
      <c r="NZZ3" s="568"/>
      <c r="OAA3" s="568"/>
      <c r="OAB3" s="568"/>
      <c r="OAC3" s="568"/>
      <c r="OAD3" s="568"/>
      <c r="OAE3" s="568"/>
      <c r="OAF3" s="568"/>
      <c r="OAG3" s="568"/>
      <c r="OAH3" s="568"/>
      <c r="OAI3" s="568"/>
      <c r="OAJ3" s="568"/>
      <c r="OAK3" s="568"/>
      <c r="OAL3" s="568"/>
      <c r="OAM3" s="568"/>
      <c r="OAN3" s="568"/>
      <c r="OAO3" s="568"/>
      <c r="OAP3" s="568"/>
      <c r="OAQ3" s="568"/>
      <c r="OAR3" s="568"/>
      <c r="OAS3" s="568"/>
      <c r="OAT3" s="568"/>
      <c r="OAU3" s="568"/>
      <c r="OAV3" s="568"/>
      <c r="OAW3" s="568"/>
      <c r="OAX3" s="568"/>
      <c r="OAY3" s="568"/>
      <c r="OAZ3" s="568"/>
      <c r="OBA3" s="568"/>
      <c r="OBB3" s="568"/>
      <c r="OBC3" s="568"/>
      <c r="OBD3" s="568"/>
      <c r="OBE3" s="568"/>
      <c r="OBF3" s="568"/>
      <c r="OBG3" s="568"/>
      <c r="OBH3" s="568"/>
      <c r="OBI3" s="568"/>
      <c r="OBJ3" s="568"/>
      <c r="OBK3" s="568"/>
      <c r="OBL3" s="568"/>
      <c r="OBM3" s="568"/>
      <c r="OBN3" s="568"/>
      <c r="OBO3" s="568"/>
      <c r="OBP3" s="568"/>
      <c r="OBQ3" s="568"/>
      <c r="OBR3" s="568"/>
      <c r="OBS3" s="568"/>
      <c r="OBT3" s="568"/>
      <c r="OBU3" s="568"/>
      <c r="OBV3" s="568"/>
      <c r="OBW3" s="568"/>
      <c r="OBX3" s="568"/>
      <c r="OBY3" s="568"/>
      <c r="OBZ3" s="568"/>
      <c r="OCA3" s="568"/>
      <c r="OCB3" s="568"/>
      <c r="OCC3" s="568"/>
      <c r="OCD3" s="568"/>
      <c r="OCE3" s="568"/>
      <c r="OCF3" s="568"/>
      <c r="OCG3" s="568"/>
      <c r="OCH3" s="568"/>
      <c r="OCI3" s="568"/>
      <c r="OCJ3" s="568"/>
      <c r="OCK3" s="568"/>
      <c r="OCL3" s="568"/>
      <c r="OCM3" s="568"/>
      <c r="OCN3" s="568"/>
      <c r="OCO3" s="568"/>
      <c r="OCP3" s="568"/>
      <c r="OCQ3" s="568"/>
      <c r="OCR3" s="568"/>
      <c r="OCS3" s="568"/>
      <c r="OCT3" s="568"/>
      <c r="OCU3" s="568"/>
      <c r="OCV3" s="568"/>
      <c r="OCW3" s="568"/>
      <c r="OCX3" s="568"/>
      <c r="OCY3" s="568"/>
      <c r="OCZ3" s="568"/>
      <c r="ODA3" s="568"/>
      <c r="ODB3" s="568"/>
      <c r="ODC3" s="568"/>
      <c r="ODD3" s="568"/>
      <c r="ODE3" s="568"/>
      <c r="ODF3" s="568"/>
      <c r="ODG3" s="568"/>
      <c r="ODH3" s="568"/>
      <c r="ODI3" s="568"/>
      <c r="ODJ3" s="568"/>
      <c r="ODK3" s="568"/>
      <c r="ODL3" s="568"/>
      <c r="ODM3" s="568"/>
      <c r="ODN3" s="568"/>
      <c r="ODO3" s="568"/>
      <c r="ODP3" s="568"/>
      <c r="ODQ3" s="568"/>
      <c r="ODR3" s="568"/>
      <c r="ODS3" s="568"/>
      <c r="ODT3" s="568"/>
      <c r="ODU3" s="568"/>
      <c r="ODV3" s="568"/>
      <c r="ODW3" s="568"/>
      <c r="ODX3" s="568"/>
      <c r="ODY3" s="568"/>
      <c r="ODZ3" s="568"/>
      <c r="OEA3" s="568"/>
      <c r="OEB3" s="568"/>
      <c r="OEC3" s="568"/>
      <c r="OED3" s="568"/>
      <c r="OEE3" s="568"/>
      <c r="OEF3" s="568"/>
      <c r="OEG3" s="568"/>
      <c r="OEH3" s="568"/>
      <c r="OEI3" s="568"/>
      <c r="OEJ3" s="568"/>
      <c r="OEK3" s="568"/>
      <c r="OEL3" s="568"/>
      <c r="OEM3" s="568"/>
      <c r="OEN3" s="568"/>
      <c r="OEO3" s="568"/>
      <c r="OEP3" s="568"/>
      <c r="OEQ3" s="568"/>
      <c r="OER3" s="568"/>
      <c r="OES3" s="568"/>
      <c r="OET3" s="568"/>
      <c r="OEU3" s="568"/>
      <c r="OEV3" s="568"/>
      <c r="OEW3" s="568"/>
      <c r="OEX3" s="568"/>
      <c r="OEY3" s="568"/>
      <c r="OEZ3" s="568"/>
      <c r="OFA3" s="568"/>
      <c r="OFB3" s="568"/>
      <c r="OFC3" s="568"/>
      <c r="OFD3" s="568"/>
      <c r="OFE3" s="568"/>
      <c r="OFF3" s="568"/>
      <c r="OFG3" s="568"/>
      <c r="OFH3" s="568"/>
      <c r="OFI3" s="568"/>
      <c r="OFJ3" s="568"/>
      <c r="OFK3" s="568"/>
      <c r="OFL3" s="568"/>
      <c r="OFM3" s="568"/>
      <c r="OFN3" s="568"/>
      <c r="OFO3" s="568"/>
      <c r="OFP3" s="568"/>
      <c r="OFQ3" s="568"/>
      <c r="OFR3" s="568"/>
      <c r="OFS3" s="568"/>
      <c r="OFT3" s="568"/>
      <c r="OFU3" s="568"/>
      <c r="OFV3" s="568"/>
      <c r="OFW3" s="568"/>
      <c r="OFX3" s="568"/>
      <c r="OFY3" s="568"/>
      <c r="OFZ3" s="568"/>
      <c r="OGA3" s="568"/>
      <c r="OGB3" s="568"/>
      <c r="OGC3" s="568"/>
      <c r="OGD3" s="568"/>
      <c r="OGE3" s="568"/>
      <c r="OGF3" s="568"/>
      <c r="OGG3" s="568"/>
      <c r="OGH3" s="568"/>
      <c r="OGI3" s="568"/>
      <c r="OGJ3" s="568"/>
      <c r="OGK3" s="568"/>
      <c r="OGL3" s="568"/>
      <c r="OGM3" s="568"/>
      <c r="OGN3" s="568"/>
      <c r="OGO3" s="568"/>
      <c r="OGP3" s="568"/>
      <c r="OGQ3" s="568"/>
      <c r="OGR3" s="568"/>
      <c r="OGS3" s="568"/>
      <c r="OGT3" s="568"/>
      <c r="OGU3" s="568"/>
      <c r="OGV3" s="568"/>
      <c r="OGW3" s="568"/>
      <c r="OGX3" s="568"/>
      <c r="OGY3" s="568"/>
      <c r="OGZ3" s="568"/>
      <c r="OHA3" s="568"/>
      <c r="OHB3" s="568"/>
      <c r="OHC3" s="568"/>
      <c r="OHD3" s="568"/>
      <c r="OHE3" s="568"/>
      <c r="OHF3" s="568"/>
      <c r="OHG3" s="568"/>
      <c r="OHH3" s="568"/>
      <c r="OHI3" s="568"/>
      <c r="OHJ3" s="568"/>
      <c r="OHK3" s="568"/>
      <c r="OHL3" s="568"/>
      <c r="OHM3" s="568"/>
      <c r="OHN3" s="568"/>
      <c r="OHO3" s="568"/>
      <c r="OHP3" s="568"/>
      <c r="OHQ3" s="568"/>
      <c r="OHR3" s="568"/>
      <c r="OHS3" s="568"/>
      <c r="OHT3" s="568"/>
      <c r="OHU3" s="568"/>
      <c r="OHV3" s="568"/>
      <c r="OHW3" s="568"/>
      <c r="OHX3" s="568"/>
      <c r="OHY3" s="568"/>
      <c r="OHZ3" s="568"/>
      <c r="OIA3" s="568"/>
      <c r="OIB3" s="568"/>
      <c r="OIC3" s="568"/>
      <c r="OID3" s="568"/>
      <c r="OIE3" s="568"/>
      <c r="OIF3" s="568"/>
      <c r="OIG3" s="568"/>
      <c r="OIH3" s="568"/>
      <c r="OII3" s="568"/>
      <c r="OIJ3" s="568"/>
      <c r="OIK3" s="568"/>
      <c r="OIL3" s="568"/>
      <c r="OIM3" s="568"/>
      <c r="OIN3" s="568"/>
      <c r="OIO3" s="568"/>
      <c r="OIP3" s="568"/>
      <c r="OIQ3" s="568"/>
      <c r="OIR3" s="568"/>
      <c r="OIS3" s="568"/>
      <c r="OIT3" s="568"/>
      <c r="OIU3" s="568"/>
      <c r="OIV3" s="568"/>
      <c r="OIW3" s="568"/>
      <c r="OIX3" s="568"/>
      <c r="OIY3" s="568"/>
      <c r="OIZ3" s="568"/>
      <c r="OJA3" s="568"/>
      <c r="OJB3" s="568"/>
      <c r="OJC3" s="568"/>
      <c r="OJD3" s="568"/>
      <c r="OJE3" s="568"/>
      <c r="OJF3" s="568"/>
      <c r="OJG3" s="568"/>
      <c r="OJH3" s="568"/>
      <c r="OJI3" s="568"/>
      <c r="OJJ3" s="568"/>
      <c r="OJK3" s="568"/>
      <c r="OJL3" s="568"/>
      <c r="OJM3" s="568"/>
      <c r="OJN3" s="568"/>
      <c r="OJO3" s="568"/>
      <c r="OJP3" s="568"/>
      <c r="OJQ3" s="568"/>
      <c r="OJR3" s="568"/>
      <c r="OJS3" s="568"/>
      <c r="OJT3" s="568"/>
      <c r="OJU3" s="568"/>
      <c r="OJV3" s="568"/>
      <c r="OJW3" s="568"/>
      <c r="OJX3" s="568"/>
      <c r="OJY3" s="568"/>
      <c r="OJZ3" s="568"/>
      <c r="OKA3" s="568"/>
      <c r="OKB3" s="568"/>
      <c r="OKC3" s="568"/>
      <c r="OKD3" s="568"/>
      <c r="OKE3" s="568"/>
      <c r="OKF3" s="568"/>
      <c r="OKG3" s="568"/>
      <c r="OKH3" s="568"/>
      <c r="OKI3" s="568"/>
      <c r="OKJ3" s="568"/>
      <c r="OKK3" s="568"/>
      <c r="OKL3" s="568"/>
      <c r="OKM3" s="568"/>
      <c r="OKN3" s="568"/>
      <c r="OKO3" s="568"/>
      <c r="OKP3" s="568"/>
      <c r="OKQ3" s="568"/>
      <c r="OKR3" s="568"/>
      <c r="OKS3" s="568"/>
      <c r="OKT3" s="568"/>
      <c r="OKU3" s="568"/>
      <c r="OKV3" s="568"/>
      <c r="OKW3" s="568"/>
      <c r="OKX3" s="568"/>
      <c r="OKY3" s="568"/>
      <c r="OKZ3" s="568"/>
      <c r="OLA3" s="568"/>
      <c r="OLB3" s="568"/>
      <c r="OLC3" s="568"/>
      <c r="OLD3" s="568"/>
      <c r="OLE3" s="568"/>
      <c r="OLF3" s="568"/>
      <c r="OLG3" s="568"/>
      <c r="OLH3" s="568"/>
      <c r="OLI3" s="568"/>
      <c r="OLJ3" s="568"/>
      <c r="OLK3" s="568"/>
      <c r="OLL3" s="568"/>
      <c r="OLM3" s="568"/>
      <c r="OLN3" s="568"/>
      <c r="OLO3" s="568"/>
      <c r="OLP3" s="568"/>
      <c r="OLQ3" s="568"/>
      <c r="OLR3" s="568"/>
      <c r="OLS3" s="568"/>
      <c r="OLT3" s="568"/>
      <c r="OLU3" s="568"/>
      <c r="OLV3" s="568"/>
      <c r="OLW3" s="568"/>
      <c r="OLX3" s="568"/>
      <c r="OLY3" s="568"/>
      <c r="OLZ3" s="568"/>
      <c r="OMA3" s="568"/>
      <c r="OMB3" s="568"/>
      <c r="OMC3" s="568"/>
      <c r="OMD3" s="568"/>
      <c r="OME3" s="568"/>
      <c r="OMF3" s="568"/>
      <c r="OMG3" s="568"/>
      <c r="OMH3" s="568"/>
      <c r="OMI3" s="568"/>
      <c r="OMJ3" s="568"/>
      <c r="OMK3" s="568"/>
      <c r="OML3" s="568"/>
      <c r="OMM3" s="568"/>
      <c r="OMN3" s="568"/>
      <c r="OMO3" s="568"/>
      <c r="OMP3" s="568"/>
      <c r="OMQ3" s="568"/>
      <c r="OMR3" s="568"/>
      <c r="OMS3" s="568"/>
      <c r="OMT3" s="568"/>
      <c r="OMU3" s="568"/>
      <c r="OMV3" s="568"/>
      <c r="OMW3" s="568"/>
      <c r="OMX3" s="568"/>
      <c r="OMY3" s="568"/>
      <c r="OMZ3" s="568"/>
      <c r="ONA3" s="568"/>
      <c r="ONB3" s="568"/>
      <c r="ONC3" s="568"/>
      <c r="OND3" s="568"/>
      <c r="ONE3" s="568"/>
      <c r="ONF3" s="568"/>
      <c r="ONG3" s="568"/>
      <c r="ONH3" s="568"/>
      <c r="ONI3" s="568"/>
      <c r="ONJ3" s="568"/>
      <c r="ONK3" s="568"/>
      <c r="ONL3" s="568"/>
      <c r="ONM3" s="568"/>
      <c r="ONN3" s="568"/>
      <c r="ONO3" s="568"/>
      <c r="ONP3" s="568"/>
      <c r="ONQ3" s="568"/>
      <c r="ONR3" s="568"/>
      <c r="ONS3" s="568"/>
      <c r="ONT3" s="568"/>
      <c r="ONU3" s="568"/>
      <c r="ONV3" s="568"/>
      <c r="ONW3" s="568"/>
      <c r="ONX3" s="568"/>
      <c r="ONY3" s="568"/>
      <c r="ONZ3" s="568"/>
      <c r="OOA3" s="568"/>
      <c r="OOB3" s="568"/>
      <c r="OOC3" s="568"/>
      <c r="OOD3" s="568"/>
      <c r="OOE3" s="568"/>
      <c r="OOF3" s="568"/>
      <c r="OOG3" s="568"/>
      <c r="OOH3" s="568"/>
      <c r="OOI3" s="568"/>
      <c r="OOJ3" s="568"/>
      <c r="OOK3" s="568"/>
      <c r="OOL3" s="568"/>
      <c r="OOM3" s="568"/>
      <c r="OON3" s="568"/>
      <c r="OOO3" s="568"/>
      <c r="OOP3" s="568"/>
      <c r="OOQ3" s="568"/>
      <c r="OOR3" s="568"/>
      <c r="OOS3" s="568"/>
      <c r="OOT3" s="568"/>
      <c r="OOU3" s="568"/>
      <c r="OOV3" s="568"/>
      <c r="OOW3" s="568"/>
      <c r="OOX3" s="568"/>
      <c r="OOY3" s="568"/>
      <c r="OOZ3" s="568"/>
      <c r="OPA3" s="568"/>
      <c r="OPB3" s="568"/>
      <c r="OPC3" s="568"/>
      <c r="OPD3" s="568"/>
      <c r="OPE3" s="568"/>
      <c r="OPF3" s="568"/>
      <c r="OPG3" s="568"/>
      <c r="OPH3" s="568"/>
      <c r="OPI3" s="568"/>
      <c r="OPJ3" s="568"/>
      <c r="OPK3" s="568"/>
      <c r="OPL3" s="568"/>
      <c r="OPM3" s="568"/>
      <c r="OPN3" s="568"/>
      <c r="OPO3" s="568"/>
      <c r="OPP3" s="568"/>
      <c r="OPQ3" s="568"/>
      <c r="OPR3" s="568"/>
      <c r="OPS3" s="568"/>
      <c r="OPT3" s="568"/>
      <c r="OPU3" s="568"/>
      <c r="OPV3" s="568"/>
      <c r="OPW3" s="568"/>
      <c r="OPX3" s="568"/>
      <c r="OPY3" s="568"/>
      <c r="OPZ3" s="568"/>
      <c r="OQA3" s="568"/>
      <c r="OQB3" s="568"/>
      <c r="OQC3" s="568"/>
      <c r="OQD3" s="568"/>
      <c r="OQE3" s="568"/>
      <c r="OQF3" s="568"/>
      <c r="OQG3" s="568"/>
      <c r="OQH3" s="568"/>
      <c r="OQI3" s="568"/>
      <c r="OQJ3" s="568"/>
      <c r="OQK3" s="568"/>
      <c r="OQL3" s="568"/>
      <c r="OQM3" s="568"/>
      <c r="OQN3" s="568"/>
      <c r="OQO3" s="568"/>
      <c r="OQP3" s="568"/>
      <c r="OQQ3" s="568"/>
      <c r="OQR3" s="568"/>
      <c r="OQS3" s="568"/>
      <c r="OQT3" s="568"/>
      <c r="OQU3" s="568"/>
      <c r="OQV3" s="568"/>
      <c r="OQW3" s="568"/>
      <c r="OQX3" s="568"/>
      <c r="OQY3" s="568"/>
      <c r="OQZ3" s="568"/>
      <c r="ORA3" s="568"/>
      <c r="ORB3" s="568"/>
      <c r="ORC3" s="568"/>
      <c r="ORD3" s="568"/>
      <c r="ORE3" s="568"/>
      <c r="ORF3" s="568"/>
      <c r="ORG3" s="568"/>
      <c r="ORH3" s="568"/>
      <c r="ORI3" s="568"/>
      <c r="ORJ3" s="568"/>
      <c r="ORK3" s="568"/>
      <c r="ORL3" s="568"/>
      <c r="ORM3" s="568"/>
      <c r="ORN3" s="568"/>
      <c r="ORO3" s="568"/>
      <c r="ORP3" s="568"/>
      <c r="ORQ3" s="568"/>
      <c r="ORR3" s="568"/>
      <c r="ORS3" s="568"/>
      <c r="ORT3" s="568"/>
      <c r="ORU3" s="568"/>
      <c r="ORV3" s="568"/>
      <c r="ORW3" s="568"/>
      <c r="ORX3" s="568"/>
      <c r="ORY3" s="568"/>
      <c r="ORZ3" s="568"/>
      <c r="OSA3" s="568"/>
      <c r="OSB3" s="568"/>
      <c r="OSC3" s="568"/>
      <c r="OSD3" s="568"/>
      <c r="OSE3" s="568"/>
      <c r="OSF3" s="568"/>
      <c r="OSG3" s="568"/>
      <c r="OSH3" s="568"/>
      <c r="OSI3" s="568"/>
      <c r="OSJ3" s="568"/>
      <c r="OSK3" s="568"/>
      <c r="OSL3" s="568"/>
      <c r="OSM3" s="568"/>
      <c r="OSN3" s="568"/>
      <c r="OSO3" s="568"/>
      <c r="OSP3" s="568"/>
      <c r="OSQ3" s="568"/>
      <c r="OSR3" s="568"/>
      <c r="OSS3" s="568"/>
      <c r="OST3" s="568"/>
      <c r="OSU3" s="568"/>
      <c r="OSV3" s="568"/>
      <c r="OSW3" s="568"/>
      <c r="OSX3" s="568"/>
      <c r="OSY3" s="568"/>
      <c r="OSZ3" s="568"/>
      <c r="OTA3" s="568"/>
      <c r="OTB3" s="568"/>
      <c r="OTC3" s="568"/>
      <c r="OTD3" s="568"/>
      <c r="OTE3" s="568"/>
      <c r="OTF3" s="568"/>
      <c r="OTG3" s="568"/>
      <c r="OTH3" s="568"/>
      <c r="OTI3" s="568"/>
      <c r="OTJ3" s="568"/>
      <c r="OTK3" s="568"/>
      <c r="OTL3" s="568"/>
      <c r="OTM3" s="568"/>
      <c r="OTN3" s="568"/>
      <c r="OTO3" s="568"/>
      <c r="OTP3" s="568"/>
      <c r="OTQ3" s="568"/>
      <c r="OTR3" s="568"/>
      <c r="OTS3" s="568"/>
      <c r="OTT3" s="568"/>
      <c r="OTU3" s="568"/>
      <c r="OTV3" s="568"/>
      <c r="OTW3" s="568"/>
      <c r="OTX3" s="568"/>
      <c r="OTY3" s="568"/>
      <c r="OTZ3" s="568"/>
      <c r="OUA3" s="568"/>
      <c r="OUB3" s="568"/>
      <c r="OUC3" s="568"/>
      <c r="OUD3" s="568"/>
      <c r="OUE3" s="568"/>
      <c r="OUF3" s="568"/>
      <c r="OUG3" s="568"/>
      <c r="OUH3" s="568"/>
      <c r="OUI3" s="568"/>
      <c r="OUJ3" s="568"/>
      <c r="OUK3" s="568"/>
      <c r="OUL3" s="568"/>
      <c r="OUM3" s="568"/>
      <c r="OUN3" s="568"/>
      <c r="OUO3" s="568"/>
      <c r="OUP3" s="568"/>
      <c r="OUQ3" s="568"/>
      <c r="OUR3" s="568"/>
      <c r="OUS3" s="568"/>
      <c r="OUT3" s="568"/>
      <c r="OUU3" s="568"/>
      <c r="OUV3" s="568"/>
      <c r="OUW3" s="568"/>
      <c r="OUX3" s="568"/>
      <c r="OUY3" s="568"/>
      <c r="OUZ3" s="568"/>
      <c r="OVA3" s="568"/>
      <c r="OVB3" s="568"/>
      <c r="OVC3" s="568"/>
      <c r="OVD3" s="568"/>
      <c r="OVE3" s="568"/>
      <c r="OVF3" s="568"/>
      <c r="OVG3" s="568"/>
      <c r="OVH3" s="568"/>
      <c r="OVI3" s="568"/>
      <c r="OVJ3" s="568"/>
      <c r="OVK3" s="568"/>
      <c r="OVL3" s="568"/>
      <c r="OVM3" s="568"/>
      <c r="OVN3" s="568"/>
      <c r="OVO3" s="568"/>
      <c r="OVP3" s="568"/>
      <c r="OVQ3" s="568"/>
      <c r="OVR3" s="568"/>
      <c r="OVS3" s="568"/>
      <c r="OVT3" s="568"/>
      <c r="OVU3" s="568"/>
      <c r="OVV3" s="568"/>
      <c r="OVW3" s="568"/>
      <c r="OVX3" s="568"/>
      <c r="OVY3" s="568"/>
      <c r="OVZ3" s="568"/>
      <c r="OWA3" s="568"/>
      <c r="OWB3" s="568"/>
      <c r="OWC3" s="568"/>
      <c r="OWD3" s="568"/>
      <c r="OWE3" s="568"/>
      <c r="OWF3" s="568"/>
      <c r="OWG3" s="568"/>
      <c r="OWH3" s="568"/>
      <c r="OWI3" s="568"/>
      <c r="OWJ3" s="568"/>
      <c r="OWK3" s="568"/>
      <c r="OWL3" s="568"/>
      <c r="OWM3" s="568"/>
      <c r="OWN3" s="568"/>
      <c r="OWO3" s="568"/>
      <c r="OWP3" s="568"/>
      <c r="OWQ3" s="568"/>
      <c r="OWR3" s="568"/>
      <c r="OWS3" s="568"/>
      <c r="OWT3" s="568"/>
      <c r="OWU3" s="568"/>
      <c r="OWV3" s="568"/>
      <c r="OWW3" s="568"/>
      <c r="OWX3" s="568"/>
      <c r="OWY3" s="568"/>
      <c r="OWZ3" s="568"/>
      <c r="OXA3" s="568"/>
      <c r="OXB3" s="568"/>
      <c r="OXC3" s="568"/>
      <c r="OXD3" s="568"/>
      <c r="OXE3" s="568"/>
      <c r="OXF3" s="568"/>
      <c r="OXG3" s="568"/>
      <c r="OXH3" s="568"/>
      <c r="OXI3" s="568"/>
      <c r="OXJ3" s="568"/>
      <c r="OXK3" s="568"/>
      <c r="OXL3" s="568"/>
      <c r="OXM3" s="568"/>
      <c r="OXN3" s="568"/>
      <c r="OXO3" s="568"/>
      <c r="OXP3" s="568"/>
      <c r="OXQ3" s="568"/>
      <c r="OXR3" s="568"/>
      <c r="OXS3" s="568"/>
      <c r="OXT3" s="568"/>
      <c r="OXU3" s="568"/>
      <c r="OXV3" s="568"/>
      <c r="OXW3" s="568"/>
      <c r="OXX3" s="568"/>
      <c r="OXY3" s="568"/>
      <c r="OXZ3" s="568"/>
      <c r="OYA3" s="568"/>
      <c r="OYB3" s="568"/>
      <c r="OYC3" s="568"/>
      <c r="OYD3" s="568"/>
      <c r="OYE3" s="568"/>
      <c r="OYF3" s="568"/>
      <c r="OYG3" s="568"/>
      <c r="OYH3" s="568"/>
      <c r="OYI3" s="568"/>
      <c r="OYJ3" s="568"/>
      <c r="OYK3" s="568"/>
      <c r="OYL3" s="568"/>
      <c r="OYM3" s="568"/>
      <c r="OYN3" s="568"/>
      <c r="OYO3" s="568"/>
      <c r="OYP3" s="568"/>
      <c r="OYQ3" s="568"/>
      <c r="OYR3" s="568"/>
      <c r="OYS3" s="568"/>
      <c r="OYT3" s="568"/>
      <c r="OYU3" s="568"/>
      <c r="OYV3" s="568"/>
      <c r="OYW3" s="568"/>
      <c r="OYX3" s="568"/>
      <c r="OYY3" s="568"/>
      <c r="OYZ3" s="568"/>
      <c r="OZA3" s="568"/>
      <c r="OZB3" s="568"/>
      <c r="OZC3" s="568"/>
      <c r="OZD3" s="568"/>
      <c r="OZE3" s="568"/>
      <c r="OZF3" s="568"/>
      <c r="OZG3" s="568"/>
      <c r="OZH3" s="568"/>
      <c r="OZI3" s="568"/>
      <c r="OZJ3" s="568"/>
      <c r="OZK3" s="568"/>
      <c r="OZL3" s="568"/>
      <c r="OZM3" s="568"/>
      <c r="OZN3" s="568"/>
      <c r="OZO3" s="568"/>
      <c r="OZP3" s="568"/>
      <c r="OZQ3" s="568"/>
      <c r="OZR3" s="568"/>
      <c r="OZS3" s="568"/>
      <c r="OZT3" s="568"/>
      <c r="OZU3" s="568"/>
      <c r="OZV3" s="568"/>
      <c r="OZW3" s="568"/>
      <c r="OZX3" s="568"/>
      <c r="OZY3" s="568"/>
      <c r="OZZ3" s="568"/>
      <c r="PAA3" s="568"/>
      <c r="PAB3" s="568"/>
      <c r="PAC3" s="568"/>
      <c r="PAD3" s="568"/>
      <c r="PAE3" s="568"/>
      <c r="PAF3" s="568"/>
      <c r="PAG3" s="568"/>
      <c r="PAH3" s="568"/>
      <c r="PAI3" s="568"/>
      <c r="PAJ3" s="568"/>
      <c r="PAK3" s="568"/>
      <c r="PAL3" s="568"/>
      <c r="PAM3" s="568"/>
      <c r="PAN3" s="568"/>
      <c r="PAO3" s="568"/>
      <c r="PAP3" s="568"/>
      <c r="PAQ3" s="568"/>
      <c r="PAR3" s="568"/>
      <c r="PAS3" s="568"/>
      <c r="PAT3" s="568"/>
      <c r="PAU3" s="568"/>
      <c r="PAV3" s="568"/>
      <c r="PAW3" s="568"/>
      <c r="PAX3" s="568"/>
      <c r="PAY3" s="568"/>
      <c r="PAZ3" s="568"/>
      <c r="PBA3" s="568"/>
      <c r="PBB3" s="568"/>
      <c r="PBC3" s="568"/>
      <c r="PBD3" s="568"/>
      <c r="PBE3" s="568"/>
      <c r="PBF3" s="568"/>
      <c r="PBG3" s="568"/>
      <c r="PBH3" s="568"/>
      <c r="PBI3" s="568"/>
      <c r="PBJ3" s="568"/>
      <c r="PBK3" s="568"/>
      <c r="PBL3" s="568"/>
      <c r="PBM3" s="568"/>
      <c r="PBN3" s="568"/>
      <c r="PBO3" s="568"/>
      <c r="PBP3" s="568"/>
      <c r="PBQ3" s="568"/>
      <c r="PBR3" s="568"/>
      <c r="PBS3" s="568"/>
      <c r="PBT3" s="568"/>
      <c r="PBU3" s="568"/>
      <c r="PBV3" s="568"/>
      <c r="PBW3" s="568"/>
      <c r="PBX3" s="568"/>
      <c r="PBY3" s="568"/>
      <c r="PBZ3" s="568"/>
      <c r="PCA3" s="568"/>
      <c r="PCB3" s="568"/>
      <c r="PCC3" s="568"/>
      <c r="PCD3" s="568"/>
      <c r="PCE3" s="568"/>
      <c r="PCF3" s="568"/>
      <c r="PCG3" s="568"/>
      <c r="PCH3" s="568"/>
      <c r="PCI3" s="568"/>
      <c r="PCJ3" s="568"/>
      <c r="PCK3" s="568"/>
      <c r="PCL3" s="568"/>
      <c r="PCM3" s="568"/>
      <c r="PCN3" s="568"/>
      <c r="PCO3" s="568"/>
      <c r="PCP3" s="568"/>
      <c r="PCQ3" s="568"/>
      <c r="PCR3" s="568"/>
      <c r="PCS3" s="568"/>
      <c r="PCT3" s="568"/>
      <c r="PCU3" s="568"/>
      <c r="PCV3" s="568"/>
      <c r="PCW3" s="568"/>
      <c r="PCX3" s="568"/>
      <c r="PCY3" s="568"/>
      <c r="PCZ3" s="568"/>
      <c r="PDA3" s="568"/>
      <c r="PDB3" s="568"/>
      <c r="PDC3" s="568"/>
      <c r="PDD3" s="568"/>
      <c r="PDE3" s="568"/>
      <c r="PDF3" s="568"/>
      <c r="PDG3" s="568"/>
      <c r="PDH3" s="568"/>
      <c r="PDI3" s="568"/>
      <c r="PDJ3" s="568"/>
      <c r="PDK3" s="568"/>
      <c r="PDL3" s="568"/>
      <c r="PDM3" s="568"/>
      <c r="PDN3" s="568"/>
      <c r="PDO3" s="568"/>
      <c r="PDP3" s="568"/>
      <c r="PDQ3" s="568"/>
      <c r="PDR3" s="568"/>
      <c r="PDS3" s="568"/>
      <c r="PDT3" s="568"/>
      <c r="PDU3" s="568"/>
      <c r="PDV3" s="568"/>
      <c r="PDW3" s="568"/>
      <c r="PDX3" s="568"/>
      <c r="PDY3" s="568"/>
      <c r="PDZ3" s="568"/>
      <c r="PEA3" s="568"/>
      <c r="PEB3" s="568"/>
      <c r="PEC3" s="568"/>
      <c r="PED3" s="568"/>
      <c r="PEE3" s="568"/>
      <c r="PEF3" s="568"/>
      <c r="PEG3" s="568"/>
      <c r="PEH3" s="568"/>
      <c r="PEI3" s="568"/>
      <c r="PEJ3" s="568"/>
      <c r="PEK3" s="568"/>
      <c r="PEL3" s="568"/>
      <c r="PEM3" s="568"/>
      <c r="PEN3" s="568"/>
      <c r="PEO3" s="568"/>
      <c r="PEP3" s="568"/>
      <c r="PEQ3" s="568"/>
      <c r="PER3" s="568"/>
      <c r="PES3" s="568"/>
      <c r="PET3" s="568"/>
      <c r="PEU3" s="568"/>
      <c r="PEV3" s="568"/>
      <c r="PEW3" s="568"/>
      <c r="PEX3" s="568"/>
      <c r="PEY3" s="568"/>
      <c r="PEZ3" s="568"/>
      <c r="PFA3" s="568"/>
      <c r="PFB3" s="568"/>
      <c r="PFC3" s="568"/>
      <c r="PFD3" s="568"/>
      <c r="PFE3" s="568"/>
      <c r="PFF3" s="568"/>
      <c r="PFG3" s="568"/>
      <c r="PFH3" s="568"/>
      <c r="PFI3" s="568"/>
      <c r="PFJ3" s="568"/>
      <c r="PFK3" s="568"/>
      <c r="PFL3" s="568"/>
      <c r="PFM3" s="568"/>
      <c r="PFN3" s="568"/>
      <c r="PFO3" s="568"/>
      <c r="PFP3" s="568"/>
      <c r="PFQ3" s="568"/>
      <c r="PFR3" s="568"/>
      <c r="PFS3" s="568"/>
      <c r="PFT3" s="568"/>
      <c r="PFU3" s="568"/>
      <c r="PFV3" s="568"/>
      <c r="PFW3" s="568"/>
      <c r="PFX3" s="568"/>
      <c r="PFY3" s="568"/>
      <c r="PFZ3" s="568"/>
      <c r="PGA3" s="568"/>
      <c r="PGB3" s="568"/>
      <c r="PGC3" s="568"/>
      <c r="PGD3" s="568"/>
      <c r="PGE3" s="568"/>
      <c r="PGF3" s="568"/>
      <c r="PGG3" s="568"/>
      <c r="PGH3" s="568"/>
      <c r="PGI3" s="568"/>
      <c r="PGJ3" s="568"/>
      <c r="PGK3" s="568"/>
      <c r="PGL3" s="568"/>
      <c r="PGM3" s="568"/>
      <c r="PGN3" s="568"/>
      <c r="PGO3" s="568"/>
      <c r="PGP3" s="568"/>
      <c r="PGQ3" s="568"/>
      <c r="PGR3" s="568"/>
      <c r="PGS3" s="568"/>
      <c r="PGT3" s="568"/>
      <c r="PGU3" s="568"/>
      <c r="PGV3" s="568"/>
      <c r="PGW3" s="568"/>
      <c r="PGX3" s="568"/>
      <c r="PGY3" s="568"/>
      <c r="PGZ3" s="568"/>
      <c r="PHA3" s="568"/>
      <c r="PHB3" s="568"/>
      <c r="PHC3" s="568"/>
      <c r="PHD3" s="568"/>
      <c r="PHE3" s="568"/>
      <c r="PHF3" s="568"/>
      <c r="PHG3" s="568"/>
      <c r="PHH3" s="568"/>
      <c r="PHI3" s="568"/>
      <c r="PHJ3" s="568"/>
      <c r="PHK3" s="568"/>
      <c r="PHL3" s="568"/>
      <c r="PHM3" s="568"/>
      <c r="PHN3" s="568"/>
      <c r="PHO3" s="568"/>
      <c r="PHP3" s="568"/>
      <c r="PHQ3" s="568"/>
      <c r="PHR3" s="568"/>
      <c r="PHS3" s="568"/>
      <c r="PHT3" s="568"/>
      <c r="PHU3" s="568"/>
      <c r="PHV3" s="568"/>
      <c r="PHW3" s="568"/>
      <c r="PHX3" s="568"/>
      <c r="PHY3" s="568"/>
      <c r="PHZ3" s="568"/>
      <c r="PIA3" s="568"/>
      <c r="PIB3" s="568"/>
      <c r="PIC3" s="568"/>
      <c r="PID3" s="568"/>
      <c r="PIE3" s="568"/>
      <c r="PIF3" s="568"/>
      <c r="PIG3" s="568"/>
      <c r="PIH3" s="568"/>
      <c r="PII3" s="568"/>
      <c r="PIJ3" s="568"/>
      <c r="PIK3" s="568"/>
      <c r="PIL3" s="568"/>
      <c r="PIM3" s="568"/>
      <c r="PIN3" s="568"/>
      <c r="PIO3" s="568"/>
      <c r="PIP3" s="568"/>
      <c r="PIQ3" s="568"/>
      <c r="PIR3" s="568"/>
      <c r="PIS3" s="568"/>
      <c r="PIT3" s="568"/>
      <c r="PIU3" s="568"/>
      <c r="PIV3" s="568"/>
      <c r="PIW3" s="568"/>
      <c r="PIX3" s="568"/>
      <c r="PIY3" s="568"/>
      <c r="PIZ3" s="568"/>
      <c r="PJA3" s="568"/>
      <c r="PJB3" s="568"/>
      <c r="PJC3" s="568"/>
      <c r="PJD3" s="568"/>
      <c r="PJE3" s="568"/>
      <c r="PJF3" s="568"/>
      <c r="PJG3" s="568"/>
      <c r="PJH3" s="568"/>
      <c r="PJI3" s="568"/>
      <c r="PJJ3" s="568"/>
      <c r="PJK3" s="568"/>
      <c r="PJL3" s="568"/>
      <c r="PJM3" s="568"/>
      <c r="PJN3" s="568"/>
      <c r="PJO3" s="568"/>
      <c r="PJP3" s="568"/>
      <c r="PJQ3" s="568"/>
      <c r="PJR3" s="568"/>
      <c r="PJS3" s="568"/>
      <c r="PJT3" s="568"/>
      <c r="PJU3" s="568"/>
      <c r="PJV3" s="568"/>
      <c r="PJW3" s="568"/>
      <c r="PJX3" s="568"/>
      <c r="PJY3" s="568"/>
      <c r="PJZ3" s="568"/>
      <c r="PKA3" s="568"/>
      <c r="PKB3" s="568"/>
      <c r="PKC3" s="568"/>
      <c r="PKD3" s="568"/>
      <c r="PKE3" s="568"/>
      <c r="PKF3" s="568"/>
      <c r="PKG3" s="568"/>
      <c r="PKH3" s="568"/>
      <c r="PKI3" s="568"/>
      <c r="PKJ3" s="568"/>
      <c r="PKK3" s="568"/>
      <c r="PKL3" s="568"/>
      <c r="PKM3" s="568"/>
      <c r="PKN3" s="568"/>
      <c r="PKO3" s="568"/>
      <c r="PKP3" s="568"/>
      <c r="PKQ3" s="568"/>
      <c r="PKR3" s="568"/>
      <c r="PKS3" s="568"/>
      <c r="PKT3" s="568"/>
      <c r="PKU3" s="568"/>
      <c r="PKV3" s="568"/>
      <c r="PKW3" s="568"/>
      <c r="PKX3" s="568"/>
      <c r="PKY3" s="568"/>
      <c r="PKZ3" s="568"/>
      <c r="PLA3" s="568"/>
      <c r="PLB3" s="568"/>
      <c r="PLC3" s="568"/>
      <c r="PLD3" s="568"/>
      <c r="PLE3" s="568"/>
      <c r="PLF3" s="568"/>
      <c r="PLG3" s="568"/>
      <c r="PLH3" s="568"/>
      <c r="PLI3" s="568"/>
      <c r="PLJ3" s="568"/>
      <c r="PLK3" s="568"/>
      <c r="PLL3" s="568"/>
      <c r="PLM3" s="568"/>
      <c r="PLN3" s="568"/>
      <c r="PLO3" s="568"/>
      <c r="PLP3" s="568"/>
      <c r="PLQ3" s="568"/>
      <c r="PLR3" s="568"/>
      <c r="PLS3" s="568"/>
      <c r="PLT3" s="568"/>
      <c r="PLU3" s="568"/>
      <c r="PLV3" s="568"/>
      <c r="PLW3" s="568"/>
      <c r="PLX3" s="568"/>
      <c r="PLY3" s="568"/>
      <c r="PLZ3" s="568"/>
      <c r="PMA3" s="568"/>
      <c r="PMB3" s="568"/>
      <c r="PMC3" s="568"/>
      <c r="PMD3" s="568"/>
      <c r="PME3" s="568"/>
      <c r="PMF3" s="568"/>
      <c r="PMG3" s="568"/>
      <c r="PMH3" s="568"/>
      <c r="PMI3" s="568"/>
      <c r="PMJ3" s="568"/>
      <c r="PMK3" s="568"/>
      <c r="PML3" s="568"/>
      <c r="PMM3" s="568"/>
      <c r="PMN3" s="568"/>
      <c r="PMO3" s="568"/>
      <c r="PMP3" s="568"/>
      <c r="PMQ3" s="568"/>
      <c r="PMR3" s="568"/>
      <c r="PMS3" s="568"/>
      <c r="PMT3" s="568"/>
      <c r="PMU3" s="568"/>
      <c r="PMV3" s="568"/>
      <c r="PMW3" s="568"/>
      <c r="PMX3" s="568"/>
      <c r="PMY3" s="568"/>
      <c r="PMZ3" s="568"/>
      <c r="PNA3" s="568"/>
      <c r="PNB3" s="568"/>
      <c r="PNC3" s="568"/>
      <c r="PND3" s="568"/>
      <c r="PNE3" s="568"/>
      <c r="PNF3" s="568"/>
      <c r="PNG3" s="568"/>
      <c r="PNH3" s="568"/>
      <c r="PNI3" s="568"/>
      <c r="PNJ3" s="568"/>
      <c r="PNK3" s="568"/>
      <c r="PNL3" s="568"/>
      <c r="PNM3" s="568"/>
      <c r="PNN3" s="568"/>
      <c r="PNO3" s="568"/>
      <c r="PNP3" s="568"/>
      <c r="PNQ3" s="568"/>
      <c r="PNR3" s="568"/>
      <c r="PNS3" s="568"/>
      <c r="PNT3" s="568"/>
      <c r="PNU3" s="568"/>
      <c r="PNV3" s="568"/>
      <c r="PNW3" s="568"/>
      <c r="PNX3" s="568"/>
      <c r="PNY3" s="568"/>
      <c r="PNZ3" s="568"/>
      <c r="POA3" s="568"/>
      <c r="POB3" s="568"/>
      <c r="POC3" s="568"/>
      <c r="POD3" s="568"/>
      <c r="POE3" s="568"/>
      <c r="POF3" s="568"/>
      <c r="POG3" s="568"/>
      <c r="POH3" s="568"/>
      <c r="POI3" s="568"/>
      <c r="POJ3" s="568"/>
      <c r="POK3" s="568"/>
      <c r="POL3" s="568"/>
      <c r="POM3" s="568"/>
      <c r="PON3" s="568"/>
      <c r="POO3" s="568"/>
      <c r="POP3" s="568"/>
      <c r="POQ3" s="568"/>
      <c r="POR3" s="568"/>
      <c r="POS3" s="568"/>
      <c r="POT3" s="568"/>
      <c r="POU3" s="568"/>
      <c r="POV3" s="568"/>
      <c r="POW3" s="568"/>
      <c r="POX3" s="568"/>
      <c r="POY3" s="568"/>
      <c r="POZ3" s="568"/>
      <c r="PPA3" s="568"/>
      <c r="PPB3" s="568"/>
      <c r="PPC3" s="568"/>
      <c r="PPD3" s="568"/>
      <c r="PPE3" s="568"/>
      <c r="PPF3" s="568"/>
      <c r="PPG3" s="568"/>
      <c r="PPH3" s="568"/>
      <c r="PPI3" s="568"/>
      <c r="PPJ3" s="568"/>
      <c r="PPK3" s="568"/>
      <c r="PPL3" s="568"/>
      <c r="PPM3" s="568"/>
      <c r="PPN3" s="568"/>
      <c r="PPO3" s="568"/>
      <c r="PPP3" s="568"/>
      <c r="PPQ3" s="568"/>
      <c r="PPR3" s="568"/>
      <c r="PPS3" s="568"/>
      <c r="PPT3" s="568"/>
      <c r="PPU3" s="568"/>
      <c r="PPV3" s="568"/>
      <c r="PPW3" s="568"/>
      <c r="PPX3" s="568"/>
      <c r="PPY3" s="568"/>
      <c r="PPZ3" s="568"/>
      <c r="PQA3" s="568"/>
      <c r="PQB3" s="568"/>
      <c r="PQC3" s="568"/>
      <c r="PQD3" s="568"/>
      <c r="PQE3" s="568"/>
      <c r="PQF3" s="568"/>
      <c r="PQG3" s="568"/>
      <c r="PQH3" s="568"/>
      <c r="PQI3" s="568"/>
      <c r="PQJ3" s="568"/>
      <c r="PQK3" s="568"/>
      <c r="PQL3" s="568"/>
      <c r="PQM3" s="568"/>
      <c r="PQN3" s="568"/>
      <c r="PQO3" s="568"/>
      <c r="PQP3" s="568"/>
      <c r="PQQ3" s="568"/>
      <c r="PQR3" s="568"/>
      <c r="PQS3" s="568"/>
      <c r="PQT3" s="568"/>
      <c r="PQU3" s="568"/>
      <c r="PQV3" s="568"/>
      <c r="PQW3" s="568"/>
      <c r="PQX3" s="568"/>
      <c r="PQY3" s="568"/>
      <c r="PQZ3" s="568"/>
      <c r="PRA3" s="568"/>
      <c r="PRB3" s="568"/>
      <c r="PRC3" s="568"/>
      <c r="PRD3" s="568"/>
      <c r="PRE3" s="568"/>
      <c r="PRF3" s="568"/>
      <c r="PRG3" s="568"/>
      <c r="PRH3" s="568"/>
      <c r="PRI3" s="568"/>
      <c r="PRJ3" s="568"/>
      <c r="PRK3" s="568"/>
      <c r="PRL3" s="568"/>
      <c r="PRM3" s="568"/>
      <c r="PRN3" s="568"/>
      <c r="PRO3" s="568"/>
      <c r="PRP3" s="568"/>
      <c r="PRQ3" s="568"/>
      <c r="PRR3" s="568"/>
      <c r="PRS3" s="568"/>
      <c r="PRT3" s="568"/>
      <c r="PRU3" s="568"/>
      <c r="PRV3" s="568"/>
      <c r="PRW3" s="568"/>
      <c r="PRX3" s="568"/>
      <c r="PRY3" s="568"/>
      <c r="PRZ3" s="568"/>
      <c r="PSA3" s="568"/>
      <c r="PSB3" s="568"/>
      <c r="PSC3" s="568"/>
      <c r="PSD3" s="568"/>
      <c r="PSE3" s="568"/>
      <c r="PSF3" s="568"/>
      <c r="PSG3" s="568"/>
      <c r="PSH3" s="568"/>
      <c r="PSI3" s="568"/>
      <c r="PSJ3" s="568"/>
      <c r="PSK3" s="568"/>
      <c r="PSL3" s="568"/>
      <c r="PSM3" s="568"/>
      <c r="PSN3" s="568"/>
      <c r="PSO3" s="568"/>
      <c r="PSP3" s="568"/>
      <c r="PSQ3" s="568"/>
      <c r="PSR3" s="568"/>
      <c r="PSS3" s="568"/>
      <c r="PST3" s="568"/>
      <c r="PSU3" s="568"/>
      <c r="PSV3" s="568"/>
      <c r="PSW3" s="568"/>
      <c r="PSX3" s="568"/>
      <c r="PSY3" s="568"/>
      <c r="PSZ3" s="568"/>
      <c r="PTA3" s="568"/>
      <c r="PTB3" s="568"/>
      <c r="PTC3" s="568"/>
      <c r="PTD3" s="568"/>
      <c r="PTE3" s="568"/>
      <c r="PTF3" s="568"/>
      <c r="PTG3" s="568"/>
      <c r="PTH3" s="568"/>
      <c r="PTI3" s="568"/>
      <c r="PTJ3" s="568"/>
      <c r="PTK3" s="568"/>
      <c r="PTL3" s="568"/>
      <c r="PTM3" s="568"/>
      <c r="PTN3" s="568"/>
      <c r="PTO3" s="568"/>
      <c r="PTP3" s="568"/>
      <c r="PTQ3" s="568"/>
      <c r="PTR3" s="568"/>
      <c r="PTS3" s="568"/>
      <c r="PTT3" s="568"/>
      <c r="PTU3" s="568"/>
      <c r="PTV3" s="568"/>
      <c r="PTW3" s="568"/>
      <c r="PTX3" s="568"/>
      <c r="PTY3" s="568"/>
      <c r="PTZ3" s="568"/>
      <c r="PUA3" s="568"/>
      <c r="PUB3" s="568"/>
      <c r="PUC3" s="568"/>
      <c r="PUD3" s="568"/>
      <c r="PUE3" s="568"/>
      <c r="PUF3" s="568"/>
      <c r="PUG3" s="568"/>
      <c r="PUH3" s="568"/>
      <c r="PUI3" s="568"/>
      <c r="PUJ3" s="568"/>
      <c r="PUK3" s="568"/>
      <c r="PUL3" s="568"/>
      <c r="PUM3" s="568"/>
      <c r="PUN3" s="568"/>
      <c r="PUO3" s="568"/>
      <c r="PUP3" s="568"/>
      <c r="PUQ3" s="568"/>
      <c r="PUR3" s="568"/>
      <c r="PUS3" s="568"/>
      <c r="PUT3" s="568"/>
      <c r="PUU3" s="568"/>
      <c r="PUV3" s="568"/>
      <c r="PUW3" s="568"/>
      <c r="PUX3" s="568"/>
      <c r="PUY3" s="568"/>
      <c r="PUZ3" s="568"/>
      <c r="PVA3" s="568"/>
      <c r="PVB3" s="568"/>
      <c r="PVC3" s="568"/>
      <c r="PVD3" s="568"/>
      <c r="PVE3" s="568"/>
      <c r="PVF3" s="568"/>
      <c r="PVG3" s="568"/>
      <c r="PVH3" s="568"/>
      <c r="PVI3" s="568"/>
      <c r="PVJ3" s="568"/>
      <c r="PVK3" s="568"/>
      <c r="PVL3" s="568"/>
      <c r="PVM3" s="568"/>
      <c r="PVN3" s="568"/>
      <c r="PVO3" s="568"/>
      <c r="PVP3" s="568"/>
      <c r="PVQ3" s="568"/>
      <c r="PVR3" s="568"/>
      <c r="PVS3" s="568"/>
      <c r="PVT3" s="568"/>
      <c r="PVU3" s="568"/>
      <c r="PVV3" s="568"/>
      <c r="PVW3" s="568"/>
      <c r="PVX3" s="568"/>
      <c r="PVY3" s="568"/>
      <c r="PVZ3" s="568"/>
      <c r="PWA3" s="568"/>
      <c r="PWB3" s="568"/>
      <c r="PWC3" s="568"/>
      <c r="PWD3" s="568"/>
      <c r="PWE3" s="568"/>
      <c r="PWF3" s="568"/>
      <c r="PWG3" s="568"/>
      <c r="PWH3" s="568"/>
      <c r="PWI3" s="568"/>
      <c r="PWJ3" s="568"/>
      <c r="PWK3" s="568"/>
      <c r="PWL3" s="568"/>
      <c r="PWM3" s="568"/>
      <c r="PWN3" s="568"/>
      <c r="PWO3" s="568"/>
      <c r="PWP3" s="568"/>
      <c r="PWQ3" s="568"/>
      <c r="PWR3" s="568"/>
      <c r="PWS3" s="568"/>
      <c r="PWT3" s="568"/>
      <c r="PWU3" s="568"/>
      <c r="PWV3" s="568"/>
      <c r="PWW3" s="568"/>
      <c r="PWX3" s="568"/>
      <c r="PWY3" s="568"/>
      <c r="PWZ3" s="568"/>
      <c r="PXA3" s="568"/>
      <c r="PXB3" s="568"/>
      <c r="PXC3" s="568"/>
      <c r="PXD3" s="568"/>
      <c r="PXE3" s="568"/>
      <c r="PXF3" s="568"/>
      <c r="PXG3" s="568"/>
      <c r="PXH3" s="568"/>
      <c r="PXI3" s="568"/>
      <c r="PXJ3" s="568"/>
      <c r="PXK3" s="568"/>
      <c r="PXL3" s="568"/>
      <c r="PXM3" s="568"/>
      <c r="PXN3" s="568"/>
      <c r="PXO3" s="568"/>
      <c r="PXP3" s="568"/>
      <c r="PXQ3" s="568"/>
      <c r="PXR3" s="568"/>
      <c r="PXS3" s="568"/>
      <c r="PXT3" s="568"/>
      <c r="PXU3" s="568"/>
      <c r="PXV3" s="568"/>
      <c r="PXW3" s="568"/>
      <c r="PXX3" s="568"/>
      <c r="PXY3" s="568"/>
      <c r="PXZ3" s="568"/>
      <c r="PYA3" s="568"/>
      <c r="PYB3" s="568"/>
      <c r="PYC3" s="568"/>
      <c r="PYD3" s="568"/>
      <c r="PYE3" s="568"/>
      <c r="PYF3" s="568"/>
      <c r="PYG3" s="568"/>
      <c r="PYH3" s="568"/>
      <c r="PYI3" s="568"/>
      <c r="PYJ3" s="568"/>
      <c r="PYK3" s="568"/>
      <c r="PYL3" s="568"/>
      <c r="PYM3" s="568"/>
      <c r="PYN3" s="568"/>
      <c r="PYO3" s="568"/>
      <c r="PYP3" s="568"/>
      <c r="PYQ3" s="568"/>
      <c r="PYR3" s="568"/>
      <c r="PYS3" s="568"/>
      <c r="PYT3" s="568"/>
      <c r="PYU3" s="568"/>
      <c r="PYV3" s="568"/>
      <c r="PYW3" s="568"/>
      <c r="PYX3" s="568"/>
      <c r="PYY3" s="568"/>
      <c r="PYZ3" s="568"/>
      <c r="PZA3" s="568"/>
      <c r="PZB3" s="568"/>
      <c r="PZC3" s="568"/>
      <c r="PZD3" s="568"/>
      <c r="PZE3" s="568"/>
      <c r="PZF3" s="568"/>
      <c r="PZG3" s="568"/>
      <c r="PZH3" s="568"/>
      <c r="PZI3" s="568"/>
      <c r="PZJ3" s="568"/>
      <c r="PZK3" s="568"/>
      <c r="PZL3" s="568"/>
      <c r="PZM3" s="568"/>
      <c r="PZN3" s="568"/>
      <c r="PZO3" s="568"/>
      <c r="PZP3" s="568"/>
      <c r="PZQ3" s="568"/>
      <c r="PZR3" s="568"/>
      <c r="PZS3" s="568"/>
      <c r="PZT3" s="568"/>
      <c r="PZU3" s="568"/>
      <c r="PZV3" s="568"/>
      <c r="PZW3" s="568"/>
      <c r="PZX3" s="568"/>
      <c r="PZY3" s="568"/>
      <c r="PZZ3" s="568"/>
      <c r="QAA3" s="568"/>
      <c r="QAB3" s="568"/>
      <c r="QAC3" s="568"/>
      <c r="QAD3" s="568"/>
      <c r="QAE3" s="568"/>
      <c r="QAF3" s="568"/>
      <c r="QAG3" s="568"/>
      <c r="QAH3" s="568"/>
      <c r="QAI3" s="568"/>
      <c r="QAJ3" s="568"/>
      <c r="QAK3" s="568"/>
      <c r="QAL3" s="568"/>
      <c r="QAM3" s="568"/>
      <c r="QAN3" s="568"/>
      <c r="QAO3" s="568"/>
      <c r="QAP3" s="568"/>
      <c r="QAQ3" s="568"/>
      <c r="QAR3" s="568"/>
      <c r="QAS3" s="568"/>
      <c r="QAT3" s="568"/>
      <c r="QAU3" s="568"/>
      <c r="QAV3" s="568"/>
      <c r="QAW3" s="568"/>
      <c r="QAX3" s="568"/>
      <c r="QAY3" s="568"/>
      <c r="QAZ3" s="568"/>
      <c r="QBA3" s="568"/>
      <c r="QBB3" s="568"/>
      <c r="QBC3" s="568"/>
      <c r="QBD3" s="568"/>
      <c r="QBE3" s="568"/>
      <c r="QBF3" s="568"/>
      <c r="QBG3" s="568"/>
      <c r="QBH3" s="568"/>
      <c r="QBI3" s="568"/>
      <c r="QBJ3" s="568"/>
      <c r="QBK3" s="568"/>
      <c r="QBL3" s="568"/>
      <c r="QBM3" s="568"/>
      <c r="QBN3" s="568"/>
      <c r="QBO3" s="568"/>
      <c r="QBP3" s="568"/>
      <c r="QBQ3" s="568"/>
      <c r="QBR3" s="568"/>
      <c r="QBS3" s="568"/>
      <c r="QBT3" s="568"/>
      <c r="QBU3" s="568"/>
      <c r="QBV3" s="568"/>
      <c r="QBW3" s="568"/>
      <c r="QBX3" s="568"/>
      <c r="QBY3" s="568"/>
      <c r="QBZ3" s="568"/>
      <c r="QCA3" s="568"/>
      <c r="QCB3" s="568"/>
      <c r="QCC3" s="568"/>
      <c r="QCD3" s="568"/>
      <c r="QCE3" s="568"/>
      <c r="QCF3" s="568"/>
      <c r="QCG3" s="568"/>
      <c r="QCH3" s="568"/>
      <c r="QCI3" s="568"/>
      <c r="QCJ3" s="568"/>
      <c r="QCK3" s="568"/>
      <c r="QCL3" s="568"/>
      <c r="QCM3" s="568"/>
      <c r="QCN3" s="568"/>
      <c r="QCO3" s="568"/>
      <c r="QCP3" s="568"/>
      <c r="QCQ3" s="568"/>
      <c r="QCR3" s="568"/>
      <c r="QCS3" s="568"/>
      <c r="QCT3" s="568"/>
      <c r="QCU3" s="568"/>
      <c r="QCV3" s="568"/>
      <c r="QCW3" s="568"/>
      <c r="QCX3" s="568"/>
      <c r="QCY3" s="568"/>
      <c r="QCZ3" s="568"/>
      <c r="QDA3" s="568"/>
      <c r="QDB3" s="568"/>
      <c r="QDC3" s="568"/>
      <c r="QDD3" s="568"/>
      <c r="QDE3" s="568"/>
      <c r="QDF3" s="568"/>
      <c r="QDG3" s="568"/>
      <c r="QDH3" s="568"/>
      <c r="QDI3" s="568"/>
      <c r="QDJ3" s="568"/>
      <c r="QDK3" s="568"/>
      <c r="QDL3" s="568"/>
      <c r="QDM3" s="568"/>
      <c r="QDN3" s="568"/>
      <c r="QDO3" s="568"/>
      <c r="QDP3" s="568"/>
      <c r="QDQ3" s="568"/>
      <c r="QDR3" s="568"/>
      <c r="QDS3" s="568"/>
      <c r="QDT3" s="568"/>
      <c r="QDU3" s="568"/>
      <c r="QDV3" s="568"/>
      <c r="QDW3" s="568"/>
      <c r="QDX3" s="568"/>
      <c r="QDY3" s="568"/>
      <c r="QDZ3" s="568"/>
      <c r="QEA3" s="568"/>
      <c r="QEB3" s="568"/>
      <c r="QEC3" s="568"/>
      <c r="QED3" s="568"/>
      <c r="QEE3" s="568"/>
      <c r="QEF3" s="568"/>
      <c r="QEG3" s="568"/>
      <c r="QEH3" s="568"/>
      <c r="QEI3" s="568"/>
      <c r="QEJ3" s="568"/>
      <c r="QEK3" s="568"/>
      <c r="QEL3" s="568"/>
      <c r="QEM3" s="568"/>
      <c r="QEN3" s="568"/>
      <c r="QEO3" s="568"/>
      <c r="QEP3" s="568"/>
      <c r="QEQ3" s="568"/>
      <c r="QER3" s="568"/>
      <c r="QES3" s="568"/>
      <c r="QET3" s="568"/>
      <c r="QEU3" s="568"/>
      <c r="QEV3" s="568"/>
      <c r="QEW3" s="568"/>
      <c r="QEX3" s="568"/>
      <c r="QEY3" s="568"/>
      <c r="QEZ3" s="568"/>
      <c r="QFA3" s="568"/>
      <c r="QFB3" s="568"/>
      <c r="QFC3" s="568"/>
      <c r="QFD3" s="568"/>
      <c r="QFE3" s="568"/>
      <c r="QFF3" s="568"/>
      <c r="QFG3" s="568"/>
      <c r="QFH3" s="568"/>
      <c r="QFI3" s="568"/>
      <c r="QFJ3" s="568"/>
      <c r="QFK3" s="568"/>
      <c r="QFL3" s="568"/>
      <c r="QFM3" s="568"/>
      <c r="QFN3" s="568"/>
      <c r="QFO3" s="568"/>
      <c r="QFP3" s="568"/>
      <c r="QFQ3" s="568"/>
      <c r="QFR3" s="568"/>
      <c r="QFS3" s="568"/>
      <c r="QFT3" s="568"/>
      <c r="QFU3" s="568"/>
      <c r="QFV3" s="568"/>
      <c r="QFW3" s="568"/>
      <c r="QFX3" s="568"/>
      <c r="QFY3" s="568"/>
      <c r="QFZ3" s="568"/>
      <c r="QGA3" s="568"/>
      <c r="QGB3" s="568"/>
      <c r="QGC3" s="568"/>
      <c r="QGD3" s="568"/>
      <c r="QGE3" s="568"/>
      <c r="QGF3" s="568"/>
      <c r="QGG3" s="568"/>
      <c r="QGH3" s="568"/>
      <c r="QGI3" s="568"/>
      <c r="QGJ3" s="568"/>
      <c r="QGK3" s="568"/>
      <c r="QGL3" s="568"/>
      <c r="QGM3" s="568"/>
      <c r="QGN3" s="568"/>
      <c r="QGO3" s="568"/>
      <c r="QGP3" s="568"/>
      <c r="QGQ3" s="568"/>
      <c r="QGR3" s="568"/>
      <c r="QGS3" s="568"/>
      <c r="QGT3" s="568"/>
      <c r="QGU3" s="568"/>
      <c r="QGV3" s="568"/>
      <c r="QGW3" s="568"/>
      <c r="QGX3" s="568"/>
      <c r="QGY3" s="568"/>
      <c r="QGZ3" s="568"/>
      <c r="QHA3" s="568"/>
      <c r="QHB3" s="568"/>
      <c r="QHC3" s="568"/>
      <c r="QHD3" s="568"/>
      <c r="QHE3" s="568"/>
      <c r="QHF3" s="568"/>
      <c r="QHG3" s="568"/>
      <c r="QHH3" s="568"/>
      <c r="QHI3" s="568"/>
      <c r="QHJ3" s="568"/>
      <c r="QHK3" s="568"/>
      <c r="QHL3" s="568"/>
      <c r="QHM3" s="568"/>
      <c r="QHN3" s="568"/>
      <c r="QHO3" s="568"/>
      <c r="QHP3" s="568"/>
      <c r="QHQ3" s="568"/>
      <c r="QHR3" s="568"/>
      <c r="QHS3" s="568"/>
      <c r="QHT3" s="568"/>
      <c r="QHU3" s="568"/>
      <c r="QHV3" s="568"/>
      <c r="QHW3" s="568"/>
      <c r="QHX3" s="568"/>
      <c r="QHY3" s="568"/>
      <c r="QHZ3" s="568"/>
      <c r="QIA3" s="568"/>
      <c r="QIB3" s="568"/>
      <c r="QIC3" s="568"/>
      <c r="QID3" s="568"/>
      <c r="QIE3" s="568"/>
      <c r="QIF3" s="568"/>
      <c r="QIG3" s="568"/>
      <c r="QIH3" s="568"/>
      <c r="QII3" s="568"/>
      <c r="QIJ3" s="568"/>
      <c r="QIK3" s="568"/>
      <c r="QIL3" s="568"/>
      <c r="QIM3" s="568"/>
      <c r="QIN3" s="568"/>
      <c r="QIO3" s="568"/>
      <c r="QIP3" s="568"/>
      <c r="QIQ3" s="568"/>
      <c r="QIR3" s="568"/>
      <c r="QIS3" s="568"/>
      <c r="QIT3" s="568"/>
      <c r="QIU3" s="568"/>
      <c r="QIV3" s="568"/>
      <c r="QIW3" s="568"/>
      <c r="QIX3" s="568"/>
      <c r="QIY3" s="568"/>
      <c r="QIZ3" s="568"/>
      <c r="QJA3" s="568"/>
      <c r="QJB3" s="568"/>
      <c r="QJC3" s="568"/>
      <c r="QJD3" s="568"/>
      <c r="QJE3" s="568"/>
      <c r="QJF3" s="568"/>
      <c r="QJG3" s="568"/>
      <c r="QJH3" s="568"/>
      <c r="QJI3" s="568"/>
      <c r="QJJ3" s="568"/>
      <c r="QJK3" s="568"/>
      <c r="QJL3" s="568"/>
      <c r="QJM3" s="568"/>
      <c r="QJN3" s="568"/>
      <c r="QJO3" s="568"/>
      <c r="QJP3" s="568"/>
      <c r="QJQ3" s="568"/>
      <c r="QJR3" s="568"/>
      <c r="QJS3" s="568"/>
      <c r="QJT3" s="568"/>
      <c r="QJU3" s="568"/>
      <c r="QJV3" s="568"/>
      <c r="QJW3" s="568"/>
      <c r="QJX3" s="568"/>
      <c r="QJY3" s="568"/>
      <c r="QJZ3" s="568"/>
      <c r="QKA3" s="568"/>
      <c r="QKB3" s="568"/>
      <c r="QKC3" s="568"/>
      <c r="QKD3" s="568"/>
      <c r="QKE3" s="568"/>
      <c r="QKF3" s="568"/>
      <c r="QKG3" s="568"/>
      <c r="QKH3" s="568"/>
      <c r="QKI3" s="568"/>
      <c r="QKJ3" s="568"/>
      <c r="QKK3" s="568"/>
      <c r="QKL3" s="568"/>
      <c r="QKM3" s="568"/>
      <c r="QKN3" s="568"/>
      <c r="QKO3" s="568"/>
      <c r="QKP3" s="568"/>
      <c r="QKQ3" s="568"/>
      <c r="QKR3" s="568"/>
      <c r="QKS3" s="568"/>
      <c r="QKT3" s="568"/>
      <c r="QKU3" s="568"/>
      <c r="QKV3" s="568"/>
      <c r="QKW3" s="568"/>
      <c r="QKX3" s="568"/>
      <c r="QKY3" s="568"/>
      <c r="QKZ3" s="568"/>
      <c r="QLA3" s="568"/>
      <c r="QLB3" s="568"/>
      <c r="QLC3" s="568"/>
      <c r="QLD3" s="568"/>
      <c r="QLE3" s="568"/>
      <c r="QLF3" s="568"/>
      <c r="QLG3" s="568"/>
      <c r="QLH3" s="568"/>
      <c r="QLI3" s="568"/>
      <c r="QLJ3" s="568"/>
      <c r="QLK3" s="568"/>
      <c r="QLL3" s="568"/>
      <c r="QLM3" s="568"/>
      <c r="QLN3" s="568"/>
      <c r="QLO3" s="568"/>
      <c r="QLP3" s="568"/>
      <c r="QLQ3" s="568"/>
      <c r="QLR3" s="568"/>
      <c r="QLS3" s="568"/>
      <c r="QLT3" s="568"/>
      <c r="QLU3" s="568"/>
      <c r="QLV3" s="568"/>
      <c r="QLW3" s="568"/>
      <c r="QLX3" s="568"/>
      <c r="QLY3" s="568"/>
      <c r="QLZ3" s="568"/>
      <c r="QMA3" s="568"/>
      <c r="QMB3" s="568"/>
      <c r="QMC3" s="568"/>
      <c r="QMD3" s="568"/>
      <c r="QME3" s="568"/>
      <c r="QMF3" s="568"/>
      <c r="QMG3" s="568"/>
      <c r="QMH3" s="568"/>
      <c r="QMI3" s="568"/>
      <c r="QMJ3" s="568"/>
      <c r="QMK3" s="568"/>
      <c r="QML3" s="568"/>
      <c r="QMM3" s="568"/>
      <c r="QMN3" s="568"/>
      <c r="QMO3" s="568"/>
      <c r="QMP3" s="568"/>
      <c r="QMQ3" s="568"/>
      <c r="QMR3" s="568"/>
      <c r="QMS3" s="568"/>
      <c r="QMT3" s="568"/>
      <c r="QMU3" s="568"/>
      <c r="QMV3" s="568"/>
      <c r="QMW3" s="568"/>
      <c r="QMX3" s="568"/>
      <c r="QMY3" s="568"/>
      <c r="QMZ3" s="568"/>
      <c r="QNA3" s="568"/>
      <c r="QNB3" s="568"/>
      <c r="QNC3" s="568"/>
      <c r="QND3" s="568"/>
      <c r="QNE3" s="568"/>
      <c r="QNF3" s="568"/>
      <c r="QNG3" s="568"/>
      <c r="QNH3" s="568"/>
      <c r="QNI3" s="568"/>
      <c r="QNJ3" s="568"/>
      <c r="QNK3" s="568"/>
      <c r="QNL3" s="568"/>
      <c r="QNM3" s="568"/>
      <c r="QNN3" s="568"/>
      <c r="QNO3" s="568"/>
      <c r="QNP3" s="568"/>
      <c r="QNQ3" s="568"/>
      <c r="QNR3" s="568"/>
      <c r="QNS3" s="568"/>
      <c r="QNT3" s="568"/>
      <c r="QNU3" s="568"/>
      <c r="QNV3" s="568"/>
      <c r="QNW3" s="568"/>
      <c r="QNX3" s="568"/>
      <c r="QNY3" s="568"/>
      <c r="QNZ3" s="568"/>
      <c r="QOA3" s="568"/>
      <c r="QOB3" s="568"/>
      <c r="QOC3" s="568"/>
      <c r="QOD3" s="568"/>
      <c r="QOE3" s="568"/>
      <c r="QOF3" s="568"/>
      <c r="QOG3" s="568"/>
      <c r="QOH3" s="568"/>
      <c r="QOI3" s="568"/>
      <c r="QOJ3" s="568"/>
      <c r="QOK3" s="568"/>
      <c r="QOL3" s="568"/>
      <c r="QOM3" s="568"/>
      <c r="QON3" s="568"/>
      <c r="QOO3" s="568"/>
      <c r="QOP3" s="568"/>
      <c r="QOQ3" s="568"/>
      <c r="QOR3" s="568"/>
      <c r="QOS3" s="568"/>
      <c r="QOT3" s="568"/>
      <c r="QOU3" s="568"/>
      <c r="QOV3" s="568"/>
      <c r="QOW3" s="568"/>
      <c r="QOX3" s="568"/>
      <c r="QOY3" s="568"/>
      <c r="QOZ3" s="568"/>
      <c r="QPA3" s="568"/>
      <c r="QPB3" s="568"/>
      <c r="QPC3" s="568"/>
      <c r="QPD3" s="568"/>
      <c r="QPE3" s="568"/>
      <c r="QPF3" s="568"/>
      <c r="QPG3" s="568"/>
      <c r="QPH3" s="568"/>
      <c r="QPI3" s="568"/>
      <c r="QPJ3" s="568"/>
      <c r="QPK3" s="568"/>
      <c r="QPL3" s="568"/>
      <c r="QPM3" s="568"/>
      <c r="QPN3" s="568"/>
      <c r="QPO3" s="568"/>
      <c r="QPP3" s="568"/>
      <c r="QPQ3" s="568"/>
      <c r="QPR3" s="568"/>
      <c r="QPS3" s="568"/>
      <c r="QPT3" s="568"/>
      <c r="QPU3" s="568"/>
      <c r="QPV3" s="568"/>
      <c r="QPW3" s="568"/>
      <c r="QPX3" s="568"/>
      <c r="QPY3" s="568"/>
      <c r="QPZ3" s="568"/>
      <c r="QQA3" s="568"/>
      <c r="QQB3" s="568"/>
      <c r="QQC3" s="568"/>
      <c r="QQD3" s="568"/>
      <c r="QQE3" s="568"/>
      <c r="QQF3" s="568"/>
      <c r="QQG3" s="568"/>
      <c r="QQH3" s="568"/>
      <c r="QQI3" s="568"/>
      <c r="QQJ3" s="568"/>
      <c r="QQK3" s="568"/>
      <c r="QQL3" s="568"/>
      <c r="QQM3" s="568"/>
      <c r="QQN3" s="568"/>
      <c r="QQO3" s="568"/>
      <c r="QQP3" s="568"/>
      <c r="QQQ3" s="568"/>
      <c r="QQR3" s="568"/>
      <c r="QQS3" s="568"/>
      <c r="QQT3" s="568"/>
      <c r="QQU3" s="568"/>
      <c r="QQV3" s="568"/>
      <c r="QQW3" s="568"/>
      <c r="QQX3" s="568"/>
      <c r="QQY3" s="568"/>
      <c r="QQZ3" s="568"/>
      <c r="QRA3" s="568"/>
      <c r="QRB3" s="568"/>
      <c r="QRC3" s="568"/>
      <c r="QRD3" s="568"/>
      <c r="QRE3" s="568"/>
      <c r="QRF3" s="568"/>
      <c r="QRG3" s="568"/>
      <c r="QRH3" s="568"/>
      <c r="QRI3" s="568"/>
      <c r="QRJ3" s="568"/>
      <c r="QRK3" s="568"/>
      <c r="QRL3" s="568"/>
      <c r="QRM3" s="568"/>
      <c r="QRN3" s="568"/>
      <c r="QRO3" s="568"/>
      <c r="QRP3" s="568"/>
      <c r="QRQ3" s="568"/>
      <c r="QRR3" s="568"/>
      <c r="QRS3" s="568"/>
      <c r="QRT3" s="568"/>
      <c r="QRU3" s="568"/>
      <c r="QRV3" s="568"/>
      <c r="QRW3" s="568"/>
      <c r="QRX3" s="568"/>
      <c r="QRY3" s="568"/>
      <c r="QRZ3" s="568"/>
      <c r="QSA3" s="568"/>
      <c r="QSB3" s="568"/>
      <c r="QSC3" s="568"/>
      <c r="QSD3" s="568"/>
      <c r="QSE3" s="568"/>
      <c r="QSF3" s="568"/>
      <c r="QSG3" s="568"/>
      <c r="QSH3" s="568"/>
      <c r="QSI3" s="568"/>
      <c r="QSJ3" s="568"/>
      <c r="QSK3" s="568"/>
      <c r="QSL3" s="568"/>
      <c r="QSM3" s="568"/>
      <c r="QSN3" s="568"/>
      <c r="QSO3" s="568"/>
      <c r="QSP3" s="568"/>
      <c r="QSQ3" s="568"/>
      <c r="QSR3" s="568"/>
      <c r="QSS3" s="568"/>
      <c r="QST3" s="568"/>
      <c r="QSU3" s="568"/>
      <c r="QSV3" s="568"/>
      <c r="QSW3" s="568"/>
      <c r="QSX3" s="568"/>
      <c r="QSY3" s="568"/>
      <c r="QSZ3" s="568"/>
      <c r="QTA3" s="568"/>
      <c r="QTB3" s="568"/>
      <c r="QTC3" s="568"/>
      <c r="QTD3" s="568"/>
      <c r="QTE3" s="568"/>
      <c r="QTF3" s="568"/>
      <c r="QTG3" s="568"/>
      <c r="QTH3" s="568"/>
      <c r="QTI3" s="568"/>
      <c r="QTJ3" s="568"/>
      <c r="QTK3" s="568"/>
      <c r="QTL3" s="568"/>
      <c r="QTM3" s="568"/>
      <c r="QTN3" s="568"/>
      <c r="QTO3" s="568"/>
      <c r="QTP3" s="568"/>
      <c r="QTQ3" s="568"/>
      <c r="QTR3" s="568"/>
      <c r="QTS3" s="568"/>
      <c r="QTT3" s="568"/>
      <c r="QTU3" s="568"/>
      <c r="QTV3" s="568"/>
      <c r="QTW3" s="568"/>
      <c r="QTX3" s="568"/>
      <c r="QTY3" s="568"/>
      <c r="QTZ3" s="568"/>
      <c r="QUA3" s="568"/>
      <c r="QUB3" s="568"/>
      <c r="QUC3" s="568"/>
      <c r="QUD3" s="568"/>
      <c r="QUE3" s="568"/>
      <c r="QUF3" s="568"/>
      <c r="QUG3" s="568"/>
      <c r="QUH3" s="568"/>
      <c r="QUI3" s="568"/>
      <c r="QUJ3" s="568"/>
      <c r="QUK3" s="568"/>
      <c r="QUL3" s="568"/>
      <c r="QUM3" s="568"/>
      <c r="QUN3" s="568"/>
      <c r="QUO3" s="568"/>
      <c r="QUP3" s="568"/>
      <c r="QUQ3" s="568"/>
      <c r="QUR3" s="568"/>
      <c r="QUS3" s="568"/>
      <c r="QUT3" s="568"/>
      <c r="QUU3" s="568"/>
      <c r="QUV3" s="568"/>
      <c r="QUW3" s="568"/>
      <c r="QUX3" s="568"/>
      <c r="QUY3" s="568"/>
      <c r="QUZ3" s="568"/>
      <c r="QVA3" s="568"/>
      <c r="QVB3" s="568"/>
      <c r="QVC3" s="568"/>
      <c r="QVD3" s="568"/>
      <c r="QVE3" s="568"/>
      <c r="QVF3" s="568"/>
      <c r="QVG3" s="568"/>
      <c r="QVH3" s="568"/>
      <c r="QVI3" s="568"/>
      <c r="QVJ3" s="568"/>
      <c r="QVK3" s="568"/>
      <c r="QVL3" s="568"/>
      <c r="QVM3" s="568"/>
      <c r="QVN3" s="568"/>
      <c r="QVO3" s="568"/>
      <c r="QVP3" s="568"/>
      <c r="QVQ3" s="568"/>
      <c r="QVR3" s="568"/>
      <c r="QVS3" s="568"/>
      <c r="QVT3" s="568"/>
      <c r="QVU3" s="568"/>
      <c r="QVV3" s="568"/>
      <c r="QVW3" s="568"/>
      <c r="QVX3" s="568"/>
      <c r="QVY3" s="568"/>
      <c r="QVZ3" s="568"/>
      <c r="QWA3" s="568"/>
      <c r="QWB3" s="568"/>
      <c r="QWC3" s="568"/>
      <c r="QWD3" s="568"/>
      <c r="QWE3" s="568"/>
      <c r="QWF3" s="568"/>
      <c r="QWG3" s="568"/>
      <c r="QWH3" s="568"/>
      <c r="QWI3" s="568"/>
      <c r="QWJ3" s="568"/>
      <c r="QWK3" s="568"/>
      <c r="QWL3" s="568"/>
      <c r="QWM3" s="568"/>
      <c r="QWN3" s="568"/>
      <c r="QWO3" s="568"/>
      <c r="QWP3" s="568"/>
      <c r="QWQ3" s="568"/>
      <c r="QWR3" s="568"/>
      <c r="QWS3" s="568"/>
      <c r="QWT3" s="568"/>
      <c r="QWU3" s="568"/>
      <c r="QWV3" s="568"/>
      <c r="QWW3" s="568"/>
      <c r="QWX3" s="568"/>
      <c r="QWY3" s="568"/>
      <c r="QWZ3" s="568"/>
      <c r="QXA3" s="568"/>
      <c r="QXB3" s="568"/>
      <c r="QXC3" s="568"/>
      <c r="QXD3" s="568"/>
      <c r="QXE3" s="568"/>
      <c r="QXF3" s="568"/>
      <c r="QXG3" s="568"/>
      <c r="QXH3" s="568"/>
      <c r="QXI3" s="568"/>
      <c r="QXJ3" s="568"/>
      <c r="QXK3" s="568"/>
      <c r="QXL3" s="568"/>
      <c r="QXM3" s="568"/>
      <c r="QXN3" s="568"/>
      <c r="QXO3" s="568"/>
      <c r="QXP3" s="568"/>
      <c r="QXQ3" s="568"/>
      <c r="QXR3" s="568"/>
      <c r="QXS3" s="568"/>
      <c r="QXT3" s="568"/>
      <c r="QXU3" s="568"/>
      <c r="QXV3" s="568"/>
      <c r="QXW3" s="568"/>
      <c r="QXX3" s="568"/>
      <c r="QXY3" s="568"/>
      <c r="QXZ3" s="568"/>
      <c r="QYA3" s="568"/>
      <c r="QYB3" s="568"/>
      <c r="QYC3" s="568"/>
      <c r="QYD3" s="568"/>
      <c r="QYE3" s="568"/>
      <c r="QYF3" s="568"/>
      <c r="QYG3" s="568"/>
      <c r="QYH3" s="568"/>
      <c r="QYI3" s="568"/>
      <c r="QYJ3" s="568"/>
      <c r="QYK3" s="568"/>
      <c r="QYL3" s="568"/>
      <c r="QYM3" s="568"/>
      <c r="QYN3" s="568"/>
      <c r="QYO3" s="568"/>
      <c r="QYP3" s="568"/>
      <c r="QYQ3" s="568"/>
      <c r="QYR3" s="568"/>
      <c r="QYS3" s="568"/>
      <c r="QYT3" s="568"/>
      <c r="QYU3" s="568"/>
      <c r="QYV3" s="568"/>
      <c r="QYW3" s="568"/>
      <c r="QYX3" s="568"/>
      <c r="QYY3" s="568"/>
      <c r="QYZ3" s="568"/>
      <c r="QZA3" s="568"/>
      <c r="QZB3" s="568"/>
      <c r="QZC3" s="568"/>
      <c r="QZD3" s="568"/>
      <c r="QZE3" s="568"/>
      <c r="QZF3" s="568"/>
      <c r="QZG3" s="568"/>
      <c r="QZH3" s="568"/>
      <c r="QZI3" s="568"/>
      <c r="QZJ3" s="568"/>
      <c r="QZK3" s="568"/>
      <c r="QZL3" s="568"/>
      <c r="QZM3" s="568"/>
      <c r="QZN3" s="568"/>
      <c r="QZO3" s="568"/>
      <c r="QZP3" s="568"/>
      <c r="QZQ3" s="568"/>
      <c r="QZR3" s="568"/>
      <c r="QZS3" s="568"/>
      <c r="QZT3" s="568"/>
      <c r="QZU3" s="568"/>
      <c r="QZV3" s="568"/>
      <c r="QZW3" s="568"/>
      <c r="QZX3" s="568"/>
      <c r="QZY3" s="568"/>
      <c r="QZZ3" s="568"/>
      <c r="RAA3" s="568"/>
      <c r="RAB3" s="568"/>
      <c r="RAC3" s="568"/>
      <c r="RAD3" s="568"/>
      <c r="RAE3" s="568"/>
      <c r="RAF3" s="568"/>
      <c r="RAG3" s="568"/>
      <c r="RAH3" s="568"/>
      <c r="RAI3" s="568"/>
      <c r="RAJ3" s="568"/>
      <c r="RAK3" s="568"/>
      <c r="RAL3" s="568"/>
      <c r="RAM3" s="568"/>
      <c r="RAN3" s="568"/>
      <c r="RAO3" s="568"/>
      <c r="RAP3" s="568"/>
      <c r="RAQ3" s="568"/>
      <c r="RAR3" s="568"/>
      <c r="RAS3" s="568"/>
      <c r="RAT3" s="568"/>
      <c r="RAU3" s="568"/>
      <c r="RAV3" s="568"/>
      <c r="RAW3" s="568"/>
      <c r="RAX3" s="568"/>
      <c r="RAY3" s="568"/>
      <c r="RAZ3" s="568"/>
      <c r="RBA3" s="568"/>
      <c r="RBB3" s="568"/>
      <c r="RBC3" s="568"/>
      <c r="RBD3" s="568"/>
      <c r="RBE3" s="568"/>
      <c r="RBF3" s="568"/>
      <c r="RBG3" s="568"/>
      <c r="RBH3" s="568"/>
      <c r="RBI3" s="568"/>
      <c r="RBJ3" s="568"/>
      <c r="RBK3" s="568"/>
      <c r="RBL3" s="568"/>
      <c r="RBM3" s="568"/>
      <c r="RBN3" s="568"/>
      <c r="RBO3" s="568"/>
      <c r="RBP3" s="568"/>
      <c r="RBQ3" s="568"/>
      <c r="RBR3" s="568"/>
      <c r="RBS3" s="568"/>
      <c r="RBT3" s="568"/>
      <c r="RBU3" s="568"/>
      <c r="RBV3" s="568"/>
      <c r="RBW3" s="568"/>
      <c r="RBX3" s="568"/>
      <c r="RBY3" s="568"/>
      <c r="RBZ3" s="568"/>
      <c r="RCA3" s="568"/>
      <c r="RCB3" s="568"/>
      <c r="RCC3" s="568"/>
      <c r="RCD3" s="568"/>
      <c r="RCE3" s="568"/>
      <c r="RCF3" s="568"/>
      <c r="RCG3" s="568"/>
      <c r="RCH3" s="568"/>
      <c r="RCI3" s="568"/>
      <c r="RCJ3" s="568"/>
      <c r="RCK3" s="568"/>
      <c r="RCL3" s="568"/>
      <c r="RCM3" s="568"/>
      <c r="RCN3" s="568"/>
      <c r="RCO3" s="568"/>
      <c r="RCP3" s="568"/>
      <c r="RCQ3" s="568"/>
      <c r="RCR3" s="568"/>
      <c r="RCS3" s="568"/>
      <c r="RCT3" s="568"/>
      <c r="RCU3" s="568"/>
      <c r="RCV3" s="568"/>
      <c r="RCW3" s="568"/>
      <c r="RCX3" s="568"/>
      <c r="RCY3" s="568"/>
      <c r="RCZ3" s="568"/>
      <c r="RDA3" s="568"/>
      <c r="RDB3" s="568"/>
      <c r="RDC3" s="568"/>
      <c r="RDD3" s="568"/>
      <c r="RDE3" s="568"/>
      <c r="RDF3" s="568"/>
      <c r="RDG3" s="568"/>
      <c r="RDH3" s="568"/>
      <c r="RDI3" s="568"/>
      <c r="RDJ3" s="568"/>
      <c r="RDK3" s="568"/>
      <c r="RDL3" s="568"/>
      <c r="RDM3" s="568"/>
      <c r="RDN3" s="568"/>
      <c r="RDO3" s="568"/>
      <c r="RDP3" s="568"/>
      <c r="RDQ3" s="568"/>
      <c r="RDR3" s="568"/>
      <c r="RDS3" s="568"/>
      <c r="RDT3" s="568"/>
      <c r="RDU3" s="568"/>
      <c r="RDV3" s="568"/>
      <c r="RDW3" s="568"/>
      <c r="RDX3" s="568"/>
      <c r="RDY3" s="568"/>
      <c r="RDZ3" s="568"/>
      <c r="REA3" s="568"/>
      <c r="REB3" s="568"/>
      <c r="REC3" s="568"/>
      <c r="RED3" s="568"/>
      <c r="REE3" s="568"/>
      <c r="REF3" s="568"/>
      <c r="REG3" s="568"/>
      <c r="REH3" s="568"/>
      <c r="REI3" s="568"/>
      <c r="REJ3" s="568"/>
      <c r="REK3" s="568"/>
      <c r="REL3" s="568"/>
      <c r="REM3" s="568"/>
      <c r="REN3" s="568"/>
      <c r="REO3" s="568"/>
      <c r="REP3" s="568"/>
      <c r="REQ3" s="568"/>
      <c r="RER3" s="568"/>
      <c r="RES3" s="568"/>
      <c r="RET3" s="568"/>
      <c r="REU3" s="568"/>
      <c r="REV3" s="568"/>
      <c r="REW3" s="568"/>
      <c r="REX3" s="568"/>
      <c r="REY3" s="568"/>
      <c r="REZ3" s="568"/>
      <c r="RFA3" s="568"/>
      <c r="RFB3" s="568"/>
      <c r="RFC3" s="568"/>
      <c r="RFD3" s="568"/>
      <c r="RFE3" s="568"/>
      <c r="RFF3" s="568"/>
      <c r="RFG3" s="568"/>
      <c r="RFH3" s="568"/>
      <c r="RFI3" s="568"/>
      <c r="RFJ3" s="568"/>
      <c r="RFK3" s="568"/>
      <c r="RFL3" s="568"/>
      <c r="RFM3" s="568"/>
      <c r="RFN3" s="568"/>
      <c r="RFO3" s="568"/>
      <c r="RFP3" s="568"/>
      <c r="RFQ3" s="568"/>
      <c r="RFR3" s="568"/>
      <c r="RFS3" s="568"/>
      <c r="RFT3" s="568"/>
      <c r="RFU3" s="568"/>
      <c r="RFV3" s="568"/>
      <c r="RFW3" s="568"/>
      <c r="RFX3" s="568"/>
      <c r="RFY3" s="568"/>
      <c r="RFZ3" s="568"/>
      <c r="RGA3" s="568"/>
      <c r="RGB3" s="568"/>
      <c r="RGC3" s="568"/>
      <c r="RGD3" s="568"/>
      <c r="RGE3" s="568"/>
      <c r="RGF3" s="568"/>
      <c r="RGG3" s="568"/>
      <c r="RGH3" s="568"/>
      <c r="RGI3" s="568"/>
      <c r="RGJ3" s="568"/>
      <c r="RGK3" s="568"/>
      <c r="RGL3" s="568"/>
      <c r="RGM3" s="568"/>
      <c r="RGN3" s="568"/>
      <c r="RGO3" s="568"/>
      <c r="RGP3" s="568"/>
      <c r="RGQ3" s="568"/>
      <c r="RGR3" s="568"/>
      <c r="RGS3" s="568"/>
      <c r="RGT3" s="568"/>
      <c r="RGU3" s="568"/>
      <c r="RGV3" s="568"/>
      <c r="RGW3" s="568"/>
      <c r="RGX3" s="568"/>
      <c r="RGY3" s="568"/>
      <c r="RGZ3" s="568"/>
      <c r="RHA3" s="568"/>
      <c r="RHB3" s="568"/>
      <c r="RHC3" s="568"/>
      <c r="RHD3" s="568"/>
      <c r="RHE3" s="568"/>
      <c r="RHF3" s="568"/>
      <c r="RHG3" s="568"/>
      <c r="RHH3" s="568"/>
      <c r="RHI3" s="568"/>
      <c r="RHJ3" s="568"/>
      <c r="RHK3" s="568"/>
      <c r="RHL3" s="568"/>
      <c r="RHM3" s="568"/>
      <c r="RHN3" s="568"/>
      <c r="RHO3" s="568"/>
      <c r="RHP3" s="568"/>
      <c r="RHQ3" s="568"/>
      <c r="RHR3" s="568"/>
      <c r="RHS3" s="568"/>
      <c r="RHT3" s="568"/>
      <c r="RHU3" s="568"/>
      <c r="RHV3" s="568"/>
      <c r="RHW3" s="568"/>
      <c r="RHX3" s="568"/>
      <c r="RHY3" s="568"/>
      <c r="RHZ3" s="568"/>
      <c r="RIA3" s="568"/>
      <c r="RIB3" s="568"/>
      <c r="RIC3" s="568"/>
      <c r="RID3" s="568"/>
      <c r="RIE3" s="568"/>
      <c r="RIF3" s="568"/>
      <c r="RIG3" s="568"/>
      <c r="RIH3" s="568"/>
      <c r="RII3" s="568"/>
      <c r="RIJ3" s="568"/>
      <c r="RIK3" s="568"/>
      <c r="RIL3" s="568"/>
      <c r="RIM3" s="568"/>
      <c r="RIN3" s="568"/>
      <c r="RIO3" s="568"/>
      <c r="RIP3" s="568"/>
      <c r="RIQ3" s="568"/>
      <c r="RIR3" s="568"/>
      <c r="RIS3" s="568"/>
      <c r="RIT3" s="568"/>
      <c r="RIU3" s="568"/>
      <c r="RIV3" s="568"/>
      <c r="RIW3" s="568"/>
      <c r="RIX3" s="568"/>
      <c r="RIY3" s="568"/>
      <c r="RIZ3" s="568"/>
      <c r="RJA3" s="568"/>
      <c r="RJB3" s="568"/>
      <c r="RJC3" s="568"/>
      <c r="RJD3" s="568"/>
      <c r="RJE3" s="568"/>
      <c r="RJF3" s="568"/>
      <c r="RJG3" s="568"/>
      <c r="RJH3" s="568"/>
      <c r="RJI3" s="568"/>
      <c r="RJJ3" s="568"/>
      <c r="RJK3" s="568"/>
      <c r="RJL3" s="568"/>
      <c r="RJM3" s="568"/>
      <c r="RJN3" s="568"/>
      <c r="RJO3" s="568"/>
      <c r="RJP3" s="568"/>
      <c r="RJQ3" s="568"/>
      <c r="RJR3" s="568"/>
      <c r="RJS3" s="568"/>
      <c r="RJT3" s="568"/>
      <c r="RJU3" s="568"/>
      <c r="RJV3" s="568"/>
      <c r="RJW3" s="568"/>
      <c r="RJX3" s="568"/>
      <c r="RJY3" s="568"/>
      <c r="RJZ3" s="568"/>
      <c r="RKA3" s="568"/>
      <c r="RKB3" s="568"/>
      <c r="RKC3" s="568"/>
      <c r="RKD3" s="568"/>
      <c r="RKE3" s="568"/>
      <c r="RKF3" s="568"/>
      <c r="RKG3" s="568"/>
      <c r="RKH3" s="568"/>
      <c r="RKI3" s="568"/>
      <c r="RKJ3" s="568"/>
      <c r="RKK3" s="568"/>
      <c r="RKL3" s="568"/>
      <c r="RKM3" s="568"/>
      <c r="RKN3" s="568"/>
      <c r="RKO3" s="568"/>
      <c r="RKP3" s="568"/>
      <c r="RKQ3" s="568"/>
      <c r="RKR3" s="568"/>
      <c r="RKS3" s="568"/>
      <c r="RKT3" s="568"/>
      <c r="RKU3" s="568"/>
      <c r="RKV3" s="568"/>
      <c r="RKW3" s="568"/>
      <c r="RKX3" s="568"/>
      <c r="RKY3" s="568"/>
      <c r="RKZ3" s="568"/>
      <c r="RLA3" s="568"/>
      <c r="RLB3" s="568"/>
      <c r="RLC3" s="568"/>
      <c r="RLD3" s="568"/>
      <c r="RLE3" s="568"/>
      <c r="RLF3" s="568"/>
      <c r="RLG3" s="568"/>
      <c r="RLH3" s="568"/>
      <c r="RLI3" s="568"/>
      <c r="RLJ3" s="568"/>
      <c r="RLK3" s="568"/>
      <c r="RLL3" s="568"/>
      <c r="RLM3" s="568"/>
      <c r="RLN3" s="568"/>
      <c r="RLO3" s="568"/>
      <c r="RLP3" s="568"/>
      <c r="RLQ3" s="568"/>
      <c r="RLR3" s="568"/>
      <c r="RLS3" s="568"/>
      <c r="RLT3" s="568"/>
      <c r="RLU3" s="568"/>
      <c r="RLV3" s="568"/>
      <c r="RLW3" s="568"/>
      <c r="RLX3" s="568"/>
      <c r="RLY3" s="568"/>
      <c r="RLZ3" s="568"/>
      <c r="RMA3" s="568"/>
      <c r="RMB3" s="568"/>
      <c r="RMC3" s="568"/>
      <c r="RMD3" s="568"/>
      <c r="RME3" s="568"/>
      <c r="RMF3" s="568"/>
      <c r="RMG3" s="568"/>
      <c r="RMH3" s="568"/>
      <c r="RMI3" s="568"/>
      <c r="RMJ3" s="568"/>
      <c r="RMK3" s="568"/>
      <c r="RML3" s="568"/>
      <c r="RMM3" s="568"/>
      <c r="RMN3" s="568"/>
      <c r="RMO3" s="568"/>
      <c r="RMP3" s="568"/>
      <c r="RMQ3" s="568"/>
      <c r="RMR3" s="568"/>
      <c r="RMS3" s="568"/>
      <c r="RMT3" s="568"/>
      <c r="RMU3" s="568"/>
      <c r="RMV3" s="568"/>
      <c r="RMW3" s="568"/>
      <c r="RMX3" s="568"/>
      <c r="RMY3" s="568"/>
      <c r="RMZ3" s="568"/>
      <c r="RNA3" s="568"/>
      <c r="RNB3" s="568"/>
      <c r="RNC3" s="568"/>
      <c r="RND3" s="568"/>
      <c r="RNE3" s="568"/>
      <c r="RNF3" s="568"/>
      <c r="RNG3" s="568"/>
      <c r="RNH3" s="568"/>
      <c r="RNI3" s="568"/>
      <c r="RNJ3" s="568"/>
      <c r="RNK3" s="568"/>
      <c r="RNL3" s="568"/>
      <c r="RNM3" s="568"/>
      <c r="RNN3" s="568"/>
      <c r="RNO3" s="568"/>
      <c r="RNP3" s="568"/>
      <c r="RNQ3" s="568"/>
      <c r="RNR3" s="568"/>
      <c r="RNS3" s="568"/>
      <c r="RNT3" s="568"/>
      <c r="RNU3" s="568"/>
      <c r="RNV3" s="568"/>
      <c r="RNW3" s="568"/>
      <c r="RNX3" s="568"/>
      <c r="RNY3" s="568"/>
      <c r="RNZ3" s="568"/>
      <c r="ROA3" s="568"/>
      <c r="ROB3" s="568"/>
      <c r="ROC3" s="568"/>
      <c r="ROD3" s="568"/>
      <c r="ROE3" s="568"/>
      <c r="ROF3" s="568"/>
      <c r="ROG3" s="568"/>
      <c r="ROH3" s="568"/>
      <c r="ROI3" s="568"/>
      <c r="ROJ3" s="568"/>
      <c r="ROK3" s="568"/>
      <c r="ROL3" s="568"/>
      <c r="ROM3" s="568"/>
      <c r="RON3" s="568"/>
      <c r="ROO3" s="568"/>
      <c r="ROP3" s="568"/>
      <c r="ROQ3" s="568"/>
      <c r="ROR3" s="568"/>
      <c r="ROS3" s="568"/>
      <c r="ROT3" s="568"/>
      <c r="ROU3" s="568"/>
      <c r="ROV3" s="568"/>
      <c r="ROW3" s="568"/>
      <c r="ROX3" s="568"/>
      <c r="ROY3" s="568"/>
      <c r="ROZ3" s="568"/>
      <c r="RPA3" s="568"/>
      <c r="RPB3" s="568"/>
      <c r="RPC3" s="568"/>
      <c r="RPD3" s="568"/>
      <c r="RPE3" s="568"/>
      <c r="RPF3" s="568"/>
      <c r="RPG3" s="568"/>
      <c r="RPH3" s="568"/>
      <c r="RPI3" s="568"/>
      <c r="RPJ3" s="568"/>
      <c r="RPK3" s="568"/>
      <c r="RPL3" s="568"/>
      <c r="RPM3" s="568"/>
      <c r="RPN3" s="568"/>
      <c r="RPO3" s="568"/>
      <c r="RPP3" s="568"/>
      <c r="RPQ3" s="568"/>
      <c r="RPR3" s="568"/>
      <c r="RPS3" s="568"/>
      <c r="RPT3" s="568"/>
      <c r="RPU3" s="568"/>
      <c r="RPV3" s="568"/>
      <c r="RPW3" s="568"/>
      <c r="RPX3" s="568"/>
      <c r="RPY3" s="568"/>
      <c r="RPZ3" s="568"/>
      <c r="RQA3" s="568"/>
      <c r="RQB3" s="568"/>
      <c r="RQC3" s="568"/>
      <c r="RQD3" s="568"/>
      <c r="RQE3" s="568"/>
      <c r="RQF3" s="568"/>
      <c r="RQG3" s="568"/>
      <c r="RQH3" s="568"/>
      <c r="RQI3" s="568"/>
      <c r="RQJ3" s="568"/>
      <c r="RQK3" s="568"/>
      <c r="RQL3" s="568"/>
      <c r="RQM3" s="568"/>
      <c r="RQN3" s="568"/>
      <c r="RQO3" s="568"/>
      <c r="RQP3" s="568"/>
      <c r="RQQ3" s="568"/>
      <c r="RQR3" s="568"/>
      <c r="RQS3" s="568"/>
      <c r="RQT3" s="568"/>
      <c r="RQU3" s="568"/>
      <c r="RQV3" s="568"/>
      <c r="RQW3" s="568"/>
      <c r="RQX3" s="568"/>
      <c r="RQY3" s="568"/>
      <c r="RQZ3" s="568"/>
      <c r="RRA3" s="568"/>
      <c r="RRB3" s="568"/>
      <c r="RRC3" s="568"/>
      <c r="RRD3" s="568"/>
      <c r="RRE3" s="568"/>
      <c r="RRF3" s="568"/>
      <c r="RRG3" s="568"/>
      <c r="RRH3" s="568"/>
      <c r="RRI3" s="568"/>
      <c r="RRJ3" s="568"/>
      <c r="RRK3" s="568"/>
      <c r="RRL3" s="568"/>
      <c r="RRM3" s="568"/>
      <c r="RRN3" s="568"/>
      <c r="RRO3" s="568"/>
      <c r="RRP3" s="568"/>
      <c r="RRQ3" s="568"/>
      <c r="RRR3" s="568"/>
      <c r="RRS3" s="568"/>
      <c r="RRT3" s="568"/>
      <c r="RRU3" s="568"/>
      <c r="RRV3" s="568"/>
      <c r="RRW3" s="568"/>
      <c r="RRX3" s="568"/>
      <c r="RRY3" s="568"/>
      <c r="RRZ3" s="568"/>
      <c r="RSA3" s="568"/>
      <c r="RSB3" s="568"/>
      <c r="RSC3" s="568"/>
      <c r="RSD3" s="568"/>
      <c r="RSE3" s="568"/>
      <c r="RSF3" s="568"/>
      <c r="RSG3" s="568"/>
      <c r="RSH3" s="568"/>
      <c r="RSI3" s="568"/>
      <c r="RSJ3" s="568"/>
      <c r="RSK3" s="568"/>
      <c r="RSL3" s="568"/>
      <c r="RSM3" s="568"/>
      <c r="RSN3" s="568"/>
      <c r="RSO3" s="568"/>
      <c r="RSP3" s="568"/>
      <c r="RSQ3" s="568"/>
      <c r="RSR3" s="568"/>
      <c r="RSS3" s="568"/>
      <c r="RST3" s="568"/>
      <c r="RSU3" s="568"/>
      <c r="RSV3" s="568"/>
      <c r="RSW3" s="568"/>
      <c r="RSX3" s="568"/>
      <c r="RSY3" s="568"/>
      <c r="RSZ3" s="568"/>
      <c r="RTA3" s="568"/>
      <c r="RTB3" s="568"/>
      <c r="RTC3" s="568"/>
      <c r="RTD3" s="568"/>
      <c r="RTE3" s="568"/>
      <c r="RTF3" s="568"/>
      <c r="RTG3" s="568"/>
      <c r="RTH3" s="568"/>
      <c r="RTI3" s="568"/>
      <c r="RTJ3" s="568"/>
      <c r="RTK3" s="568"/>
      <c r="RTL3" s="568"/>
      <c r="RTM3" s="568"/>
      <c r="RTN3" s="568"/>
      <c r="RTO3" s="568"/>
      <c r="RTP3" s="568"/>
      <c r="RTQ3" s="568"/>
      <c r="RTR3" s="568"/>
      <c r="RTS3" s="568"/>
      <c r="RTT3" s="568"/>
      <c r="RTU3" s="568"/>
      <c r="RTV3" s="568"/>
      <c r="RTW3" s="568"/>
      <c r="RTX3" s="568"/>
      <c r="RTY3" s="568"/>
      <c r="RTZ3" s="568"/>
      <c r="RUA3" s="568"/>
      <c r="RUB3" s="568"/>
      <c r="RUC3" s="568"/>
      <c r="RUD3" s="568"/>
      <c r="RUE3" s="568"/>
      <c r="RUF3" s="568"/>
      <c r="RUG3" s="568"/>
      <c r="RUH3" s="568"/>
      <c r="RUI3" s="568"/>
      <c r="RUJ3" s="568"/>
      <c r="RUK3" s="568"/>
      <c r="RUL3" s="568"/>
      <c r="RUM3" s="568"/>
      <c r="RUN3" s="568"/>
      <c r="RUO3" s="568"/>
      <c r="RUP3" s="568"/>
      <c r="RUQ3" s="568"/>
      <c r="RUR3" s="568"/>
      <c r="RUS3" s="568"/>
      <c r="RUT3" s="568"/>
      <c r="RUU3" s="568"/>
      <c r="RUV3" s="568"/>
      <c r="RUW3" s="568"/>
      <c r="RUX3" s="568"/>
      <c r="RUY3" s="568"/>
      <c r="RUZ3" s="568"/>
      <c r="RVA3" s="568"/>
      <c r="RVB3" s="568"/>
      <c r="RVC3" s="568"/>
      <c r="RVD3" s="568"/>
      <c r="RVE3" s="568"/>
      <c r="RVF3" s="568"/>
      <c r="RVG3" s="568"/>
      <c r="RVH3" s="568"/>
      <c r="RVI3" s="568"/>
      <c r="RVJ3" s="568"/>
      <c r="RVK3" s="568"/>
      <c r="RVL3" s="568"/>
      <c r="RVM3" s="568"/>
      <c r="RVN3" s="568"/>
      <c r="RVO3" s="568"/>
      <c r="RVP3" s="568"/>
      <c r="RVQ3" s="568"/>
      <c r="RVR3" s="568"/>
      <c r="RVS3" s="568"/>
      <c r="RVT3" s="568"/>
      <c r="RVU3" s="568"/>
      <c r="RVV3" s="568"/>
      <c r="RVW3" s="568"/>
      <c r="RVX3" s="568"/>
      <c r="RVY3" s="568"/>
      <c r="RVZ3" s="568"/>
      <c r="RWA3" s="568"/>
      <c r="RWB3" s="568"/>
      <c r="RWC3" s="568"/>
      <c r="RWD3" s="568"/>
      <c r="RWE3" s="568"/>
      <c r="RWF3" s="568"/>
      <c r="RWG3" s="568"/>
      <c r="RWH3" s="568"/>
      <c r="RWI3" s="568"/>
      <c r="RWJ3" s="568"/>
      <c r="RWK3" s="568"/>
      <c r="RWL3" s="568"/>
      <c r="RWM3" s="568"/>
      <c r="RWN3" s="568"/>
      <c r="RWO3" s="568"/>
      <c r="RWP3" s="568"/>
      <c r="RWQ3" s="568"/>
      <c r="RWR3" s="568"/>
      <c r="RWS3" s="568"/>
      <c r="RWT3" s="568"/>
      <c r="RWU3" s="568"/>
      <c r="RWV3" s="568"/>
      <c r="RWW3" s="568"/>
      <c r="RWX3" s="568"/>
      <c r="RWY3" s="568"/>
      <c r="RWZ3" s="568"/>
      <c r="RXA3" s="568"/>
      <c r="RXB3" s="568"/>
      <c r="RXC3" s="568"/>
      <c r="RXD3" s="568"/>
      <c r="RXE3" s="568"/>
      <c r="RXF3" s="568"/>
      <c r="RXG3" s="568"/>
      <c r="RXH3" s="568"/>
      <c r="RXI3" s="568"/>
      <c r="RXJ3" s="568"/>
      <c r="RXK3" s="568"/>
      <c r="RXL3" s="568"/>
      <c r="RXM3" s="568"/>
      <c r="RXN3" s="568"/>
      <c r="RXO3" s="568"/>
      <c r="RXP3" s="568"/>
      <c r="RXQ3" s="568"/>
      <c r="RXR3" s="568"/>
      <c r="RXS3" s="568"/>
      <c r="RXT3" s="568"/>
      <c r="RXU3" s="568"/>
      <c r="RXV3" s="568"/>
      <c r="RXW3" s="568"/>
      <c r="RXX3" s="568"/>
      <c r="RXY3" s="568"/>
      <c r="RXZ3" s="568"/>
      <c r="RYA3" s="568"/>
      <c r="RYB3" s="568"/>
      <c r="RYC3" s="568"/>
      <c r="RYD3" s="568"/>
      <c r="RYE3" s="568"/>
      <c r="RYF3" s="568"/>
      <c r="RYG3" s="568"/>
      <c r="RYH3" s="568"/>
      <c r="RYI3" s="568"/>
      <c r="RYJ3" s="568"/>
      <c r="RYK3" s="568"/>
      <c r="RYL3" s="568"/>
      <c r="RYM3" s="568"/>
      <c r="RYN3" s="568"/>
      <c r="RYO3" s="568"/>
      <c r="RYP3" s="568"/>
      <c r="RYQ3" s="568"/>
      <c r="RYR3" s="568"/>
      <c r="RYS3" s="568"/>
      <c r="RYT3" s="568"/>
      <c r="RYU3" s="568"/>
      <c r="RYV3" s="568"/>
      <c r="RYW3" s="568"/>
      <c r="RYX3" s="568"/>
      <c r="RYY3" s="568"/>
      <c r="RYZ3" s="568"/>
      <c r="RZA3" s="568"/>
      <c r="RZB3" s="568"/>
      <c r="RZC3" s="568"/>
      <c r="RZD3" s="568"/>
      <c r="RZE3" s="568"/>
      <c r="RZF3" s="568"/>
      <c r="RZG3" s="568"/>
      <c r="RZH3" s="568"/>
      <c r="RZI3" s="568"/>
      <c r="RZJ3" s="568"/>
      <c r="RZK3" s="568"/>
      <c r="RZL3" s="568"/>
      <c r="RZM3" s="568"/>
      <c r="RZN3" s="568"/>
      <c r="RZO3" s="568"/>
      <c r="RZP3" s="568"/>
      <c r="RZQ3" s="568"/>
      <c r="RZR3" s="568"/>
      <c r="RZS3" s="568"/>
      <c r="RZT3" s="568"/>
      <c r="RZU3" s="568"/>
      <c r="RZV3" s="568"/>
      <c r="RZW3" s="568"/>
      <c r="RZX3" s="568"/>
      <c r="RZY3" s="568"/>
      <c r="RZZ3" s="568"/>
      <c r="SAA3" s="568"/>
      <c r="SAB3" s="568"/>
      <c r="SAC3" s="568"/>
      <c r="SAD3" s="568"/>
      <c r="SAE3" s="568"/>
      <c r="SAF3" s="568"/>
      <c r="SAG3" s="568"/>
      <c r="SAH3" s="568"/>
      <c r="SAI3" s="568"/>
      <c r="SAJ3" s="568"/>
      <c r="SAK3" s="568"/>
      <c r="SAL3" s="568"/>
      <c r="SAM3" s="568"/>
      <c r="SAN3" s="568"/>
      <c r="SAO3" s="568"/>
      <c r="SAP3" s="568"/>
      <c r="SAQ3" s="568"/>
      <c r="SAR3" s="568"/>
      <c r="SAS3" s="568"/>
      <c r="SAT3" s="568"/>
      <c r="SAU3" s="568"/>
      <c r="SAV3" s="568"/>
      <c r="SAW3" s="568"/>
      <c r="SAX3" s="568"/>
      <c r="SAY3" s="568"/>
      <c r="SAZ3" s="568"/>
      <c r="SBA3" s="568"/>
      <c r="SBB3" s="568"/>
      <c r="SBC3" s="568"/>
      <c r="SBD3" s="568"/>
      <c r="SBE3" s="568"/>
      <c r="SBF3" s="568"/>
      <c r="SBG3" s="568"/>
      <c r="SBH3" s="568"/>
      <c r="SBI3" s="568"/>
      <c r="SBJ3" s="568"/>
      <c r="SBK3" s="568"/>
      <c r="SBL3" s="568"/>
      <c r="SBM3" s="568"/>
      <c r="SBN3" s="568"/>
      <c r="SBO3" s="568"/>
      <c r="SBP3" s="568"/>
      <c r="SBQ3" s="568"/>
      <c r="SBR3" s="568"/>
      <c r="SBS3" s="568"/>
      <c r="SBT3" s="568"/>
      <c r="SBU3" s="568"/>
      <c r="SBV3" s="568"/>
      <c r="SBW3" s="568"/>
      <c r="SBX3" s="568"/>
      <c r="SBY3" s="568"/>
      <c r="SBZ3" s="568"/>
      <c r="SCA3" s="568"/>
      <c r="SCB3" s="568"/>
      <c r="SCC3" s="568"/>
      <c r="SCD3" s="568"/>
      <c r="SCE3" s="568"/>
      <c r="SCF3" s="568"/>
      <c r="SCG3" s="568"/>
      <c r="SCH3" s="568"/>
      <c r="SCI3" s="568"/>
      <c r="SCJ3" s="568"/>
      <c r="SCK3" s="568"/>
      <c r="SCL3" s="568"/>
      <c r="SCM3" s="568"/>
      <c r="SCN3" s="568"/>
      <c r="SCO3" s="568"/>
      <c r="SCP3" s="568"/>
      <c r="SCQ3" s="568"/>
      <c r="SCR3" s="568"/>
      <c r="SCS3" s="568"/>
      <c r="SCT3" s="568"/>
      <c r="SCU3" s="568"/>
      <c r="SCV3" s="568"/>
      <c r="SCW3" s="568"/>
      <c r="SCX3" s="568"/>
      <c r="SCY3" s="568"/>
      <c r="SCZ3" s="568"/>
      <c r="SDA3" s="568"/>
      <c r="SDB3" s="568"/>
      <c r="SDC3" s="568"/>
      <c r="SDD3" s="568"/>
      <c r="SDE3" s="568"/>
      <c r="SDF3" s="568"/>
      <c r="SDG3" s="568"/>
      <c r="SDH3" s="568"/>
      <c r="SDI3" s="568"/>
      <c r="SDJ3" s="568"/>
      <c r="SDK3" s="568"/>
      <c r="SDL3" s="568"/>
      <c r="SDM3" s="568"/>
      <c r="SDN3" s="568"/>
      <c r="SDO3" s="568"/>
      <c r="SDP3" s="568"/>
      <c r="SDQ3" s="568"/>
      <c r="SDR3" s="568"/>
      <c r="SDS3" s="568"/>
      <c r="SDT3" s="568"/>
      <c r="SDU3" s="568"/>
      <c r="SDV3" s="568"/>
      <c r="SDW3" s="568"/>
      <c r="SDX3" s="568"/>
      <c r="SDY3" s="568"/>
      <c r="SDZ3" s="568"/>
      <c r="SEA3" s="568"/>
      <c r="SEB3" s="568"/>
      <c r="SEC3" s="568"/>
      <c r="SED3" s="568"/>
      <c r="SEE3" s="568"/>
      <c r="SEF3" s="568"/>
      <c r="SEG3" s="568"/>
      <c r="SEH3" s="568"/>
      <c r="SEI3" s="568"/>
      <c r="SEJ3" s="568"/>
      <c r="SEK3" s="568"/>
      <c r="SEL3" s="568"/>
      <c r="SEM3" s="568"/>
      <c r="SEN3" s="568"/>
      <c r="SEO3" s="568"/>
      <c r="SEP3" s="568"/>
      <c r="SEQ3" s="568"/>
      <c r="SER3" s="568"/>
      <c r="SES3" s="568"/>
      <c r="SET3" s="568"/>
      <c r="SEU3" s="568"/>
      <c r="SEV3" s="568"/>
      <c r="SEW3" s="568"/>
      <c r="SEX3" s="568"/>
      <c r="SEY3" s="568"/>
      <c r="SEZ3" s="568"/>
      <c r="SFA3" s="568"/>
      <c r="SFB3" s="568"/>
      <c r="SFC3" s="568"/>
      <c r="SFD3" s="568"/>
      <c r="SFE3" s="568"/>
      <c r="SFF3" s="568"/>
      <c r="SFG3" s="568"/>
      <c r="SFH3" s="568"/>
      <c r="SFI3" s="568"/>
      <c r="SFJ3" s="568"/>
      <c r="SFK3" s="568"/>
      <c r="SFL3" s="568"/>
      <c r="SFM3" s="568"/>
      <c r="SFN3" s="568"/>
      <c r="SFO3" s="568"/>
      <c r="SFP3" s="568"/>
      <c r="SFQ3" s="568"/>
      <c r="SFR3" s="568"/>
      <c r="SFS3" s="568"/>
      <c r="SFT3" s="568"/>
      <c r="SFU3" s="568"/>
      <c r="SFV3" s="568"/>
      <c r="SFW3" s="568"/>
      <c r="SFX3" s="568"/>
      <c r="SFY3" s="568"/>
      <c r="SFZ3" s="568"/>
      <c r="SGA3" s="568"/>
      <c r="SGB3" s="568"/>
      <c r="SGC3" s="568"/>
      <c r="SGD3" s="568"/>
      <c r="SGE3" s="568"/>
      <c r="SGF3" s="568"/>
      <c r="SGG3" s="568"/>
      <c r="SGH3" s="568"/>
      <c r="SGI3" s="568"/>
      <c r="SGJ3" s="568"/>
      <c r="SGK3" s="568"/>
      <c r="SGL3" s="568"/>
      <c r="SGM3" s="568"/>
      <c r="SGN3" s="568"/>
      <c r="SGO3" s="568"/>
      <c r="SGP3" s="568"/>
      <c r="SGQ3" s="568"/>
      <c r="SGR3" s="568"/>
      <c r="SGS3" s="568"/>
      <c r="SGT3" s="568"/>
      <c r="SGU3" s="568"/>
      <c r="SGV3" s="568"/>
      <c r="SGW3" s="568"/>
      <c r="SGX3" s="568"/>
      <c r="SGY3" s="568"/>
      <c r="SGZ3" s="568"/>
      <c r="SHA3" s="568"/>
      <c r="SHB3" s="568"/>
      <c r="SHC3" s="568"/>
      <c r="SHD3" s="568"/>
      <c r="SHE3" s="568"/>
      <c r="SHF3" s="568"/>
      <c r="SHG3" s="568"/>
      <c r="SHH3" s="568"/>
      <c r="SHI3" s="568"/>
      <c r="SHJ3" s="568"/>
      <c r="SHK3" s="568"/>
      <c r="SHL3" s="568"/>
      <c r="SHM3" s="568"/>
      <c r="SHN3" s="568"/>
      <c r="SHO3" s="568"/>
      <c r="SHP3" s="568"/>
      <c r="SHQ3" s="568"/>
      <c r="SHR3" s="568"/>
      <c r="SHS3" s="568"/>
      <c r="SHT3" s="568"/>
      <c r="SHU3" s="568"/>
      <c r="SHV3" s="568"/>
      <c r="SHW3" s="568"/>
      <c r="SHX3" s="568"/>
      <c r="SHY3" s="568"/>
      <c r="SHZ3" s="568"/>
      <c r="SIA3" s="568"/>
      <c r="SIB3" s="568"/>
      <c r="SIC3" s="568"/>
      <c r="SID3" s="568"/>
      <c r="SIE3" s="568"/>
      <c r="SIF3" s="568"/>
      <c r="SIG3" s="568"/>
      <c r="SIH3" s="568"/>
      <c r="SII3" s="568"/>
      <c r="SIJ3" s="568"/>
      <c r="SIK3" s="568"/>
      <c r="SIL3" s="568"/>
      <c r="SIM3" s="568"/>
      <c r="SIN3" s="568"/>
      <c r="SIO3" s="568"/>
      <c r="SIP3" s="568"/>
      <c r="SIQ3" s="568"/>
      <c r="SIR3" s="568"/>
      <c r="SIS3" s="568"/>
      <c r="SIT3" s="568"/>
      <c r="SIU3" s="568"/>
      <c r="SIV3" s="568"/>
      <c r="SIW3" s="568"/>
      <c r="SIX3" s="568"/>
      <c r="SIY3" s="568"/>
      <c r="SIZ3" s="568"/>
      <c r="SJA3" s="568"/>
      <c r="SJB3" s="568"/>
      <c r="SJC3" s="568"/>
      <c r="SJD3" s="568"/>
      <c r="SJE3" s="568"/>
      <c r="SJF3" s="568"/>
      <c r="SJG3" s="568"/>
      <c r="SJH3" s="568"/>
      <c r="SJI3" s="568"/>
      <c r="SJJ3" s="568"/>
      <c r="SJK3" s="568"/>
      <c r="SJL3" s="568"/>
      <c r="SJM3" s="568"/>
      <c r="SJN3" s="568"/>
      <c r="SJO3" s="568"/>
      <c r="SJP3" s="568"/>
      <c r="SJQ3" s="568"/>
      <c r="SJR3" s="568"/>
      <c r="SJS3" s="568"/>
      <c r="SJT3" s="568"/>
      <c r="SJU3" s="568"/>
      <c r="SJV3" s="568"/>
      <c r="SJW3" s="568"/>
      <c r="SJX3" s="568"/>
      <c r="SJY3" s="568"/>
      <c r="SJZ3" s="568"/>
      <c r="SKA3" s="568"/>
      <c r="SKB3" s="568"/>
      <c r="SKC3" s="568"/>
      <c r="SKD3" s="568"/>
      <c r="SKE3" s="568"/>
      <c r="SKF3" s="568"/>
      <c r="SKG3" s="568"/>
      <c r="SKH3" s="568"/>
      <c r="SKI3" s="568"/>
      <c r="SKJ3" s="568"/>
      <c r="SKK3" s="568"/>
      <c r="SKL3" s="568"/>
      <c r="SKM3" s="568"/>
      <c r="SKN3" s="568"/>
      <c r="SKO3" s="568"/>
      <c r="SKP3" s="568"/>
      <c r="SKQ3" s="568"/>
      <c r="SKR3" s="568"/>
      <c r="SKS3" s="568"/>
      <c r="SKT3" s="568"/>
      <c r="SKU3" s="568"/>
      <c r="SKV3" s="568"/>
      <c r="SKW3" s="568"/>
      <c r="SKX3" s="568"/>
      <c r="SKY3" s="568"/>
      <c r="SKZ3" s="568"/>
      <c r="SLA3" s="568"/>
      <c r="SLB3" s="568"/>
      <c r="SLC3" s="568"/>
      <c r="SLD3" s="568"/>
      <c r="SLE3" s="568"/>
      <c r="SLF3" s="568"/>
      <c r="SLG3" s="568"/>
      <c r="SLH3" s="568"/>
      <c r="SLI3" s="568"/>
      <c r="SLJ3" s="568"/>
      <c r="SLK3" s="568"/>
      <c r="SLL3" s="568"/>
      <c r="SLM3" s="568"/>
      <c r="SLN3" s="568"/>
      <c r="SLO3" s="568"/>
      <c r="SLP3" s="568"/>
      <c r="SLQ3" s="568"/>
      <c r="SLR3" s="568"/>
      <c r="SLS3" s="568"/>
      <c r="SLT3" s="568"/>
      <c r="SLU3" s="568"/>
      <c r="SLV3" s="568"/>
      <c r="SLW3" s="568"/>
      <c r="SLX3" s="568"/>
      <c r="SLY3" s="568"/>
      <c r="SLZ3" s="568"/>
      <c r="SMA3" s="568"/>
      <c r="SMB3" s="568"/>
      <c r="SMC3" s="568"/>
      <c r="SMD3" s="568"/>
      <c r="SME3" s="568"/>
      <c r="SMF3" s="568"/>
      <c r="SMG3" s="568"/>
      <c r="SMH3" s="568"/>
      <c r="SMI3" s="568"/>
      <c r="SMJ3" s="568"/>
      <c r="SMK3" s="568"/>
      <c r="SML3" s="568"/>
      <c r="SMM3" s="568"/>
      <c r="SMN3" s="568"/>
      <c r="SMO3" s="568"/>
      <c r="SMP3" s="568"/>
      <c r="SMQ3" s="568"/>
      <c r="SMR3" s="568"/>
      <c r="SMS3" s="568"/>
      <c r="SMT3" s="568"/>
      <c r="SMU3" s="568"/>
      <c r="SMV3" s="568"/>
      <c r="SMW3" s="568"/>
      <c r="SMX3" s="568"/>
      <c r="SMY3" s="568"/>
      <c r="SMZ3" s="568"/>
      <c r="SNA3" s="568"/>
      <c r="SNB3" s="568"/>
      <c r="SNC3" s="568"/>
      <c r="SND3" s="568"/>
      <c r="SNE3" s="568"/>
      <c r="SNF3" s="568"/>
      <c r="SNG3" s="568"/>
      <c r="SNH3" s="568"/>
      <c r="SNI3" s="568"/>
      <c r="SNJ3" s="568"/>
      <c r="SNK3" s="568"/>
      <c r="SNL3" s="568"/>
      <c r="SNM3" s="568"/>
      <c r="SNN3" s="568"/>
      <c r="SNO3" s="568"/>
      <c r="SNP3" s="568"/>
      <c r="SNQ3" s="568"/>
      <c r="SNR3" s="568"/>
      <c r="SNS3" s="568"/>
      <c r="SNT3" s="568"/>
      <c r="SNU3" s="568"/>
      <c r="SNV3" s="568"/>
      <c r="SNW3" s="568"/>
      <c r="SNX3" s="568"/>
      <c r="SNY3" s="568"/>
      <c r="SNZ3" s="568"/>
      <c r="SOA3" s="568"/>
      <c r="SOB3" s="568"/>
      <c r="SOC3" s="568"/>
      <c r="SOD3" s="568"/>
      <c r="SOE3" s="568"/>
      <c r="SOF3" s="568"/>
      <c r="SOG3" s="568"/>
      <c r="SOH3" s="568"/>
      <c r="SOI3" s="568"/>
      <c r="SOJ3" s="568"/>
      <c r="SOK3" s="568"/>
      <c r="SOL3" s="568"/>
      <c r="SOM3" s="568"/>
      <c r="SON3" s="568"/>
      <c r="SOO3" s="568"/>
      <c r="SOP3" s="568"/>
      <c r="SOQ3" s="568"/>
      <c r="SOR3" s="568"/>
      <c r="SOS3" s="568"/>
      <c r="SOT3" s="568"/>
      <c r="SOU3" s="568"/>
      <c r="SOV3" s="568"/>
      <c r="SOW3" s="568"/>
      <c r="SOX3" s="568"/>
      <c r="SOY3" s="568"/>
      <c r="SOZ3" s="568"/>
      <c r="SPA3" s="568"/>
      <c r="SPB3" s="568"/>
      <c r="SPC3" s="568"/>
      <c r="SPD3" s="568"/>
      <c r="SPE3" s="568"/>
      <c r="SPF3" s="568"/>
      <c r="SPG3" s="568"/>
      <c r="SPH3" s="568"/>
      <c r="SPI3" s="568"/>
      <c r="SPJ3" s="568"/>
      <c r="SPK3" s="568"/>
      <c r="SPL3" s="568"/>
      <c r="SPM3" s="568"/>
      <c r="SPN3" s="568"/>
      <c r="SPO3" s="568"/>
      <c r="SPP3" s="568"/>
      <c r="SPQ3" s="568"/>
      <c r="SPR3" s="568"/>
      <c r="SPS3" s="568"/>
      <c r="SPT3" s="568"/>
      <c r="SPU3" s="568"/>
      <c r="SPV3" s="568"/>
      <c r="SPW3" s="568"/>
      <c r="SPX3" s="568"/>
      <c r="SPY3" s="568"/>
      <c r="SPZ3" s="568"/>
      <c r="SQA3" s="568"/>
      <c r="SQB3" s="568"/>
      <c r="SQC3" s="568"/>
      <c r="SQD3" s="568"/>
      <c r="SQE3" s="568"/>
      <c r="SQF3" s="568"/>
      <c r="SQG3" s="568"/>
      <c r="SQH3" s="568"/>
      <c r="SQI3" s="568"/>
      <c r="SQJ3" s="568"/>
      <c r="SQK3" s="568"/>
      <c r="SQL3" s="568"/>
      <c r="SQM3" s="568"/>
      <c r="SQN3" s="568"/>
      <c r="SQO3" s="568"/>
      <c r="SQP3" s="568"/>
      <c r="SQQ3" s="568"/>
      <c r="SQR3" s="568"/>
      <c r="SQS3" s="568"/>
      <c r="SQT3" s="568"/>
      <c r="SQU3" s="568"/>
      <c r="SQV3" s="568"/>
      <c r="SQW3" s="568"/>
      <c r="SQX3" s="568"/>
      <c r="SQY3" s="568"/>
      <c r="SQZ3" s="568"/>
      <c r="SRA3" s="568"/>
      <c r="SRB3" s="568"/>
      <c r="SRC3" s="568"/>
      <c r="SRD3" s="568"/>
      <c r="SRE3" s="568"/>
      <c r="SRF3" s="568"/>
      <c r="SRG3" s="568"/>
      <c r="SRH3" s="568"/>
      <c r="SRI3" s="568"/>
      <c r="SRJ3" s="568"/>
      <c r="SRK3" s="568"/>
      <c r="SRL3" s="568"/>
      <c r="SRM3" s="568"/>
      <c r="SRN3" s="568"/>
      <c r="SRO3" s="568"/>
      <c r="SRP3" s="568"/>
      <c r="SRQ3" s="568"/>
      <c r="SRR3" s="568"/>
      <c r="SRS3" s="568"/>
      <c r="SRT3" s="568"/>
      <c r="SRU3" s="568"/>
      <c r="SRV3" s="568"/>
      <c r="SRW3" s="568"/>
      <c r="SRX3" s="568"/>
      <c r="SRY3" s="568"/>
      <c r="SRZ3" s="568"/>
      <c r="SSA3" s="568"/>
      <c r="SSB3" s="568"/>
      <c r="SSC3" s="568"/>
      <c r="SSD3" s="568"/>
      <c r="SSE3" s="568"/>
      <c r="SSF3" s="568"/>
      <c r="SSG3" s="568"/>
      <c r="SSH3" s="568"/>
      <c r="SSI3" s="568"/>
      <c r="SSJ3" s="568"/>
      <c r="SSK3" s="568"/>
      <c r="SSL3" s="568"/>
      <c r="SSM3" s="568"/>
      <c r="SSN3" s="568"/>
      <c r="SSO3" s="568"/>
      <c r="SSP3" s="568"/>
      <c r="SSQ3" s="568"/>
      <c r="SSR3" s="568"/>
      <c r="SSS3" s="568"/>
      <c r="SST3" s="568"/>
      <c r="SSU3" s="568"/>
      <c r="SSV3" s="568"/>
      <c r="SSW3" s="568"/>
      <c r="SSX3" s="568"/>
      <c r="SSY3" s="568"/>
      <c r="SSZ3" s="568"/>
      <c r="STA3" s="568"/>
      <c r="STB3" s="568"/>
      <c r="STC3" s="568"/>
      <c r="STD3" s="568"/>
      <c r="STE3" s="568"/>
      <c r="STF3" s="568"/>
      <c r="STG3" s="568"/>
      <c r="STH3" s="568"/>
      <c r="STI3" s="568"/>
      <c r="STJ3" s="568"/>
      <c r="STK3" s="568"/>
      <c r="STL3" s="568"/>
      <c r="STM3" s="568"/>
      <c r="STN3" s="568"/>
      <c r="STO3" s="568"/>
      <c r="STP3" s="568"/>
      <c r="STQ3" s="568"/>
      <c r="STR3" s="568"/>
      <c r="STS3" s="568"/>
      <c r="STT3" s="568"/>
      <c r="STU3" s="568"/>
      <c r="STV3" s="568"/>
      <c r="STW3" s="568"/>
      <c r="STX3" s="568"/>
      <c r="STY3" s="568"/>
      <c r="STZ3" s="568"/>
      <c r="SUA3" s="568"/>
      <c r="SUB3" s="568"/>
      <c r="SUC3" s="568"/>
      <c r="SUD3" s="568"/>
      <c r="SUE3" s="568"/>
      <c r="SUF3" s="568"/>
      <c r="SUG3" s="568"/>
      <c r="SUH3" s="568"/>
      <c r="SUI3" s="568"/>
      <c r="SUJ3" s="568"/>
      <c r="SUK3" s="568"/>
      <c r="SUL3" s="568"/>
      <c r="SUM3" s="568"/>
      <c r="SUN3" s="568"/>
      <c r="SUO3" s="568"/>
      <c r="SUP3" s="568"/>
      <c r="SUQ3" s="568"/>
      <c r="SUR3" s="568"/>
      <c r="SUS3" s="568"/>
      <c r="SUT3" s="568"/>
      <c r="SUU3" s="568"/>
      <c r="SUV3" s="568"/>
      <c r="SUW3" s="568"/>
      <c r="SUX3" s="568"/>
      <c r="SUY3" s="568"/>
      <c r="SUZ3" s="568"/>
      <c r="SVA3" s="568"/>
      <c r="SVB3" s="568"/>
      <c r="SVC3" s="568"/>
      <c r="SVD3" s="568"/>
      <c r="SVE3" s="568"/>
      <c r="SVF3" s="568"/>
      <c r="SVG3" s="568"/>
      <c r="SVH3" s="568"/>
      <c r="SVI3" s="568"/>
      <c r="SVJ3" s="568"/>
      <c r="SVK3" s="568"/>
      <c r="SVL3" s="568"/>
      <c r="SVM3" s="568"/>
      <c r="SVN3" s="568"/>
      <c r="SVO3" s="568"/>
      <c r="SVP3" s="568"/>
      <c r="SVQ3" s="568"/>
      <c r="SVR3" s="568"/>
      <c r="SVS3" s="568"/>
      <c r="SVT3" s="568"/>
      <c r="SVU3" s="568"/>
      <c r="SVV3" s="568"/>
      <c r="SVW3" s="568"/>
      <c r="SVX3" s="568"/>
      <c r="SVY3" s="568"/>
      <c r="SVZ3" s="568"/>
      <c r="SWA3" s="568"/>
      <c r="SWB3" s="568"/>
      <c r="SWC3" s="568"/>
      <c r="SWD3" s="568"/>
      <c r="SWE3" s="568"/>
      <c r="SWF3" s="568"/>
      <c r="SWG3" s="568"/>
      <c r="SWH3" s="568"/>
      <c r="SWI3" s="568"/>
      <c r="SWJ3" s="568"/>
      <c r="SWK3" s="568"/>
      <c r="SWL3" s="568"/>
      <c r="SWM3" s="568"/>
      <c r="SWN3" s="568"/>
      <c r="SWO3" s="568"/>
      <c r="SWP3" s="568"/>
      <c r="SWQ3" s="568"/>
      <c r="SWR3" s="568"/>
      <c r="SWS3" s="568"/>
      <c r="SWT3" s="568"/>
      <c r="SWU3" s="568"/>
      <c r="SWV3" s="568"/>
      <c r="SWW3" s="568"/>
      <c r="SWX3" s="568"/>
      <c r="SWY3" s="568"/>
      <c r="SWZ3" s="568"/>
      <c r="SXA3" s="568"/>
      <c r="SXB3" s="568"/>
      <c r="SXC3" s="568"/>
      <c r="SXD3" s="568"/>
      <c r="SXE3" s="568"/>
      <c r="SXF3" s="568"/>
      <c r="SXG3" s="568"/>
      <c r="SXH3" s="568"/>
      <c r="SXI3" s="568"/>
      <c r="SXJ3" s="568"/>
      <c r="SXK3" s="568"/>
      <c r="SXL3" s="568"/>
      <c r="SXM3" s="568"/>
      <c r="SXN3" s="568"/>
      <c r="SXO3" s="568"/>
      <c r="SXP3" s="568"/>
      <c r="SXQ3" s="568"/>
      <c r="SXR3" s="568"/>
      <c r="SXS3" s="568"/>
      <c r="SXT3" s="568"/>
      <c r="SXU3" s="568"/>
      <c r="SXV3" s="568"/>
      <c r="SXW3" s="568"/>
      <c r="SXX3" s="568"/>
      <c r="SXY3" s="568"/>
      <c r="SXZ3" s="568"/>
      <c r="SYA3" s="568"/>
      <c r="SYB3" s="568"/>
      <c r="SYC3" s="568"/>
      <c r="SYD3" s="568"/>
      <c r="SYE3" s="568"/>
      <c r="SYF3" s="568"/>
      <c r="SYG3" s="568"/>
      <c r="SYH3" s="568"/>
      <c r="SYI3" s="568"/>
      <c r="SYJ3" s="568"/>
      <c r="SYK3" s="568"/>
      <c r="SYL3" s="568"/>
      <c r="SYM3" s="568"/>
      <c r="SYN3" s="568"/>
      <c r="SYO3" s="568"/>
      <c r="SYP3" s="568"/>
      <c r="SYQ3" s="568"/>
      <c r="SYR3" s="568"/>
      <c r="SYS3" s="568"/>
      <c r="SYT3" s="568"/>
      <c r="SYU3" s="568"/>
      <c r="SYV3" s="568"/>
      <c r="SYW3" s="568"/>
      <c r="SYX3" s="568"/>
      <c r="SYY3" s="568"/>
      <c r="SYZ3" s="568"/>
      <c r="SZA3" s="568"/>
      <c r="SZB3" s="568"/>
      <c r="SZC3" s="568"/>
      <c r="SZD3" s="568"/>
      <c r="SZE3" s="568"/>
      <c r="SZF3" s="568"/>
      <c r="SZG3" s="568"/>
      <c r="SZH3" s="568"/>
      <c r="SZI3" s="568"/>
      <c r="SZJ3" s="568"/>
      <c r="SZK3" s="568"/>
      <c r="SZL3" s="568"/>
      <c r="SZM3" s="568"/>
      <c r="SZN3" s="568"/>
      <c r="SZO3" s="568"/>
      <c r="SZP3" s="568"/>
      <c r="SZQ3" s="568"/>
      <c r="SZR3" s="568"/>
      <c r="SZS3" s="568"/>
      <c r="SZT3" s="568"/>
      <c r="SZU3" s="568"/>
      <c r="SZV3" s="568"/>
      <c r="SZW3" s="568"/>
      <c r="SZX3" s="568"/>
      <c r="SZY3" s="568"/>
      <c r="SZZ3" s="568"/>
      <c r="TAA3" s="568"/>
      <c r="TAB3" s="568"/>
      <c r="TAC3" s="568"/>
      <c r="TAD3" s="568"/>
      <c r="TAE3" s="568"/>
      <c r="TAF3" s="568"/>
      <c r="TAG3" s="568"/>
      <c r="TAH3" s="568"/>
      <c r="TAI3" s="568"/>
      <c r="TAJ3" s="568"/>
      <c r="TAK3" s="568"/>
      <c r="TAL3" s="568"/>
      <c r="TAM3" s="568"/>
      <c r="TAN3" s="568"/>
      <c r="TAO3" s="568"/>
      <c r="TAP3" s="568"/>
      <c r="TAQ3" s="568"/>
      <c r="TAR3" s="568"/>
      <c r="TAS3" s="568"/>
      <c r="TAT3" s="568"/>
      <c r="TAU3" s="568"/>
      <c r="TAV3" s="568"/>
      <c r="TAW3" s="568"/>
      <c r="TAX3" s="568"/>
      <c r="TAY3" s="568"/>
      <c r="TAZ3" s="568"/>
      <c r="TBA3" s="568"/>
      <c r="TBB3" s="568"/>
      <c r="TBC3" s="568"/>
      <c r="TBD3" s="568"/>
      <c r="TBE3" s="568"/>
      <c r="TBF3" s="568"/>
      <c r="TBG3" s="568"/>
      <c r="TBH3" s="568"/>
      <c r="TBI3" s="568"/>
      <c r="TBJ3" s="568"/>
      <c r="TBK3" s="568"/>
      <c r="TBL3" s="568"/>
      <c r="TBM3" s="568"/>
      <c r="TBN3" s="568"/>
      <c r="TBO3" s="568"/>
      <c r="TBP3" s="568"/>
      <c r="TBQ3" s="568"/>
      <c r="TBR3" s="568"/>
      <c r="TBS3" s="568"/>
      <c r="TBT3" s="568"/>
      <c r="TBU3" s="568"/>
      <c r="TBV3" s="568"/>
      <c r="TBW3" s="568"/>
      <c r="TBX3" s="568"/>
      <c r="TBY3" s="568"/>
      <c r="TBZ3" s="568"/>
      <c r="TCA3" s="568"/>
      <c r="TCB3" s="568"/>
      <c r="TCC3" s="568"/>
      <c r="TCD3" s="568"/>
      <c r="TCE3" s="568"/>
      <c r="TCF3" s="568"/>
      <c r="TCG3" s="568"/>
      <c r="TCH3" s="568"/>
      <c r="TCI3" s="568"/>
      <c r="TCJ3" s="568"/>
      <c r="TCK3" s="568"/>
      <c r="TCL3" s="568"/>
      <c r="TCM3" s="568"/>
      <c r="TCN3" s="568"/>
      <c r="TCO3" s="568"/>
      <c r="TCP3" s="568"/>
      <c r="TCQ3" s="568"/>
      <c r="TCR3" s="568"/>
      <c r="TCS3" s="568"/>
      <c r="TCT3" s="568"/>
      <c r="TCU3" s="568"/>
      <c r="TCV3" s="568"/>
      <c r="TCW3" s="568"/>
      <c r="TCX3" s="568"/>
      <c r="TCY3" s="568"/>
      <c r="TCZ3" s="568"/>
      <c r="TDA3" s="568"/>
      <c r="TDB3" s="568"/>
      <c r="TDC3" s="568"/>
      <c r="TDD3" s="568"/>
      <c r="TDE3" s="568"/>
      <c r="TDF3" s="568"/>
      <c r="TDG3" s="568"/>
      <c r="TDH3" s="568"/>
      <c r="TDI3" s="568"/>
      <c r="TDJ3" s="568"/>
      <c r="TDK3" s="568"/>
      <c r="TDL3" s="568"/>
      <c r="TDM3" s="568"/>
      <c r="TDN3" s="568"/>
      <c r="TDO3" s="568"/>
      <c r="TDP3" s="568"/>
      <c r="TDQ3" s="568"/>
      <c r="TDR3" s="568"/>
      <c r="TDS3" s="568"/>
      <c r="TDT3" s="568"/>
      <c r="TDU3" s="568"/>
      <c r="TDV3" s="568"/>
      <c r="TDW3" s="568"/>
      <c r="TDX3" s="568"/>
      <c r="TDY3" s="568"/>
      <c r="TDZ3" s="568"/>
      <c r="TEA3" s="568"/>
      <c r="TEB3" s="568"/>
      <c r="TEC3" s="568"/>
      <c r="TED3" s="568"/>
      <c r="TEE3" s="568"/>
      <c r="TEF3" s="568"/>
      <c r="TEG3" s="568"/>
      <c r="TEH3" s="568"/>
      <c r="TEI3" s="568"/>
      <c r="TEJ3" s="568"/>
      <c r="TEK3" s="568"/>
      <c r="TEL3" s="568"/>
      <c r="TEM3" s="568"/>
      <c r="TEN3" s="568"/>
      <c r="TEO3" s="568"/>
      <c r="TEP3" s="568"/>
      <c r="TEQ3" s="568"/>
      <c r="TER3" s="568"/>
      <c r="TES3" s="568"/>
      <c r="TET3" s="568"/>
      <c r="TEU3" s="568"/>
      <c r="TEV3" s="568"/>
      <c r="TEW3" s="568"/>
      <c r="TEX3" s="568"/>
      <c r="TEY3" s="568"/>
      <c r="TEZ3" s="568"/>
      <c r="TFA3" s="568"/>
      <c r="TFB3" s="568"/>
      <c r="TFC3" s="568"/>
      <c r="TFD3" s="568"/>
      <c r="TFE3" s="568"/>
      <c r="TFF3" s="568"/>
      <c r="TFG3" s="568"/>
      <c r="TFH3" s="568"/>
      <c r="TFI3" s="568"/>
      <c r="TFJ3" s="568"/>
      <c r="TFK3" s="568"/>
      <c r="TFL3" s="568"/>
      <c r="TFM3" s="568"/>
      <c r="TFN3" s="568"/>
      <c r="TFO3" s="568"/>
      <c r="TFP3" s="568"/>
      <c r="TFQ3" s="568"/>
      <c r="TFR3" s="568"/>
      <c r="TFS3" s="568"/>
      <c r="TFT3" s="568"/>
      <c r="TFU3" s="568"/>
      <c r="TFV3" s="568"/>
      <c r="TFW3" s="568"/>
      <c r="TFX3" s="568"/>
      <c r="TFY3" s="568"/>
      <c r="TFZ3" s="568"/>
      <c r="TGA3" s="568"/>
      <c r="TGB3" s="568"/>
      <c r="TGC3" s="568"/>
      <c r="TGD3" s="568"/>
      <c r="TGE3" s="568"/>
      <c r="TGF3" s="568"/>
      <c r="TGG3" s="568"/>
      <c r="TGH3" s="568"/>
      <c r="TGI3" s="568"/>
      <c r="TGJ3" s="568"/>
      <c r="TGK3" s="568"/>
      <c r="TGL3" s="568"/>
      <c r="TGM3" s="568"/>
      <c r="TGN3" s="568"/>
      <c r="TGO3" s="568"/>
      <c r="TGP3" s="568"/>
      <c r="TGQ3" s="568"/>
      <c r="TGR3" s="568"/>
      <c r="TGS3" s="568"/>
      <c r="TGT3" s="568"/>
      <c r="TGU3" s="568"/>
      <c r="TGV3" s="568"/>
      <c r="TGW3" s="568"/>
      <c r="TGX3" s="568"/>
      <c r="TGY3" s="568"/>
      <c r="TGZ3" s="568"/>
      <c r="THA3" s="568"/>
      <c r="THB3" s="568"/>
      <c r="THC3" s="568"/>
      <c r="THD3" s="568"/>
      <c r="THE3" s="568"/>
      <c r="THF3" s="568"/>
      <c r="THG3" s="568"/>
      <c r="THH3" s="568"/>
      <c r="THI3" s="568"/>
      <c r="THJ3" s="568"/>
      <c r="THK3" s="568"/>
      <c r="THL3" s="568"/>
      <c r="THM3" s="568"/>
      <c r="THN3" s="568"/>
      <c r="THO3" s="568"/>
      <c r="THP3" s="568"/>
      <c r="THQ3" s="568"/>
      <c r="THR3" s="568"/>
      <c r="THS3" s="568"/>
      <c r="THT3" s="568"/>
      <c r="THU3" s="568"/>
      <c r="THV3" s="568"/>
      <c r="THW3" s="568"/>
      <c r="THX3" s="568"/>
      <c r="THY3" s="568"/>
      <c r="THZ3" s="568"/>
      <c r="TIA3" s="568"/>
      <c r="TIB3" s="568"/>
      <c r="TIC3" s="568"/>
      <c r="TID3" s="568"/>
      <c r="TIE3" s="568"/>
      <c r="TIF3" s="568"/>
      <c r="TIG3" s="568"/>
      <c r="TIH3" s="568"/>
      <c r="TII3" s="568"/>
      <c r="TIJ3" s="568"/>
      <c r="TIK3" s="568"/>
      <c r="TIL3" s="568"/>
      <c r="TIM3" s="568"/>
      <c r="TIN3" s="568"/>
      <c r="TIO3" s="568"/>
      <c r="TIP3" s="568"/>
      <c r="TIQ3" s="568"/>
      <c r="TIR3" s="568"/>
      <c r="TIS3" s="568"/>
      <c r="TIT3" s="568"/>
      <c r="TIU3" s="568"/>
      <c r="TIV3" s="568"/>
      <c r="TIW3" s="568"/>
      <c r="TIX3" s="568"/>
      <c r="TIY3" s="568"/>
      <c r="TIZ3" s="568"/>
      <c r="TJA3" s="568"/>
      <c r="TJB3" s="568"/>
      <c r="TJC3" s="568"/>
      <c r="TJD3" s="568"/>
      <c r="TJE3" s="568"/>
      <c r="TJF3" s="568"/>
      <c r="TJG3" s="568"/>
      <c r="TJH3" s="568"/>
      <c r="TJI3" s="568"/>
      <c r="TJJ3" s="568"/>
      <c r="TJK3" s="568"/>
      <c r="TJL3" s="568"/>
      <c r="TJM3" s="568"/>
      <c r="TJN3" s="568"/>
      <c r="TJO3" s="568"/>
      <c r="TJP3" s="568"/>
      <c r="TJQ3" s="568"/>
      <c r="TJR3" s="568"/>
      <c r="TJS3" s="568"/>
      <c r="TJT3" s="568"/>
      <c r="TJU3" s="568"/>
      <c r="TJV3" s="568"/>
      <c r="TJW3" s="568"/>
      <c r="TJX3" s="568"/>
      <c r="TJY3" s="568"/>
      <c r="TJZ3" s="568"/>
      <c r="TKA3" s="568"/>
      <c r="TKB3" s="568"/>
      <c r="TKC3" s="568"/>
      <c r="TKD3" s="568"/>
      <c r="TKE3" s="568"/>
      <c r="TKF3" s="568"/>
      <c r="TKG3" s="568"/>
      <c r="TKH3" s="568"/>
      <c r="TKI3" s="568"/>
      <c r="TKJ3" s="568"/>
      <c r="TKK3" s="568"/>
      <c r="TKL3" s="568"/>
      <c r="TKM3" s="568"/>
      <c r="TKN3" s="568"/>
      <c r="TKO3" s="568"/>
      <c r="TKP3" s="568"/>
      <c r="TKQ3" s="568"/>
      <c r="TKR3" s="568"/>
      <c r="TKS3" s="568"/>
      <c r="TKT3" s="568"/>
      <c r="TKU3" s="568"/>
      <c r="TKV3" s="568"/>
      <c r="TKW3" s="568"/>
      <c r="TKX3" s="568"/>
      <c r="TKY3" s="568"/>
      <c r="TKZ3" s="568"/>
      <c r="TLA3" s="568"/>
      <c r="TLB3" s="568"/>
      <c r="TLC3" s="568"/>
      <c r="TLD3" s="568"/>
      <c r="TLE3" s="568"/>
      <c r="TLF3" s="568"/>
      <c r="TLG3" s="568"/>
      <c r="TLH3" s="568"/>
      <c r="TLI3" s="568"/>
      <c r="TLJ3" s="568"/>
      <c r="TLK3" s="568"/>
      <c r="TLL3" s="568"/>
      <c r="TLM3" s="568"/>
      <c r="TLN3" s="568"/>
      <c r="TLO3" s="568"/>
      <c r="TLP3" s="568"/>
      <c r="TLQ3" s="568"/>
      <c r="TLR3" s="568"/>
      <c r="TLS3" s="568"/>
      <c r="TLT3" s="568"/>
      <c r="TLU3" s="568"/>
      <c r="TLV3" s="568"/>
      <c r="TLW3" s="568"/>
      <c r="TLX3" s="568"/>
      <c r="TLY3" s="568"/>
      <c r="TLZ3" s="568"/>
      <c r="TMA3" s="568"/>
      <c r="TMB3" s="568"/>
      <c r="TMC3" s="568"/>
      <c r="TMD3" s="568"/>
      <c r="TME3" s="568"/>
      <c r="TMF3" s="568"/>
      <c r="TMG3" s="568"/>
      <c r="TMH3" s="568"/>
      <c r="TMI3" s="568"/>
      <c r="TMJ3" s="568"/>
      <c r="TMK3" s="568"/>
      <c r="TML3" s="568"/>
      <c r="TMM3" s="568"/>
      <c r="TMN3" s="568"/>
      <c r="TMO3" s="568"/>
      <c r="TMP3" s="568"/>
      <c r="TMQ3" s="568"/>
      <c r="TMR3" s="568"/>
      <c r="TMS3" s="568"/>
      <c r="TMT3" s="568"/>
      <c r="TMU3" s="568"/>
      <c r="TMV3" s="568"/>
      <c r="TMW3" s="568"/>
      <c r="TMX3" s="568"/>
      <c r="TMY3" s="568"/>
      <c r="TMZ3" s="568"/>
      <c r="TNA3" s="568"/>
      <c r="TNB3" s="568"/>
      <c r="TNC3" s="568"/>
      <c r="TND3" s="568"/>
      <c r="TNE3" s="568"/>
      <c r="TNF3" s="568"/>
      <c r="TNG3" s="568"/>
      <c r="TNH3" s="568"/>
      <c r="TNI3" s="568"/>
      <c r="TNJ3" s="568"/>
      <c r="TNK3" s="568"/>
      <c r="TNL3" s="568"/>
      <c r="TNM3" s="568"/>
      <c r="TNN3" s="568"/>
      <c r="TNO3" s="568"/>
      <c r="TNP3" s="568"/>
      <c r="TNQ3" s="568"/>
      <c r="TNR3" s="568"/>
      <c r="TNS3" s="568"/>
      <c r="TNT3" s="568"/>
      <c r="TNU3" s="568"/>
      <c r="TNV3" s="568"/>
      <c r="TNW3" s="568"/>
      <c r="TNX3" s="568"/>
      <c r="TNY3" s="568"/>
      <c r="TNZ3" s="568"/>
      <c r="TOA3" s="568"/>
      <c r="TOB3" s="568"/>
      <c r="TOC3" s="568"/>
      <c r="TOD3" s="568"/>
      <c r="TOE3" s="568"/>
      <c r="TOF3" s="568"/>
      <c r="TOG3" s="568"/>
      <c r="TOH3" s="568"/>
      <c r="TOI3" s="568"/>
      <c r="TOJ3" s="568"/>
      <c r="TOK3" s="568"/>
      <c r="TOL3" s="568"/>
      <c r="TOM3" s="568"/>
      <c r="TON3" s="568"/>
      <c r="TOO3" s="568"/>
      <c r="TOP3" s="568"/>
      <c r="TOQ3" s="568"/>
      <c r="TOR3" s="568"/>
      <c r="TOS3" s="568"/>
      <c r="TOT3" s="568"/>
      <c r="TOU3" s="568"/>
      <c r="TOV3" s="568"/>
      <c r="TOW3" s="568"/>
      <c r="TOX3" s="568"/>
      <c r="TOY3" s="568"/>
      <c r="TOZ3" s="568"/>
      <c r="TPA3" s="568"/>
      <c r="TPB3" s="568"/>
      <c r="TPC3" s="568"/>
      <c r="TPD3" s="568"/>
      <c r="TPE3" s="568"/>
      <c r="TPF3" s="568"/>
      <c r="TPG3" s="568"/>
      <c r="TPH3" s="568"/>
      <c r="TPI3" s="568"/>
      <c r="TPJ3" s="568"/>
      <c r="TPK3" s="568"/>
      <c r="TPL3" s="568"/>
      <c r="TPM3" s="568"/>
      <c r="TPN3" s="568"/>
      <c r="TPO3" s="568"/>
      <c r="TPP3" s="568"/>
      <c r="TPQ3" s="568"/>
      <c r="TPR3" s="568"/>
      <c r="TPS3" s="568"/>
      <c r="TPT3" s="568"/>
      <c r="TPU3" s="568"/>
      <c r="TPV3" s="568"/>
      <c r="TPW3" s="568"/>
      <c r="TPX3" s="568"/>
      <c r="TPY3" s="568"/>
      <c r="TPZ3" s="568"/>
      <c r="TQA3" s="568"/>
      <c r="TQB3" s="568"/>
      <c r="TQC3" s="568"/>
      <c r="TQD3" s="568"/>
      <c r="TQE3" s="568"/>
      <c r="TQF3" s="568"/>
      <c r="TQG3" s="568"/>
      <c r="TQH3" s="568"/>
      <c r="TQI3" s="568"/>
      <c r="TQJ3" s="568"/>
      <c r="TQK3" s="568"/>
      <c r="TQL3" s="568"/>
      <c r="TQM3" s="568"/>
      <c r="TQN3" s="568"/>
      <c r="TQO3" s="568"/>
      <c r="TQP3" s="568"/>
      <c r="TQQ3" s="568"/>
      <c r="TQR3" s="568"/>
      <c r="TQS3" s="568"/>
      <c r="TQT3" s="568"/>
      <c r="TQU3" s="568"/>
      <c r="TQV3" s="568"/>
      <c r="TQW3" s="568"/>
      <c r="TQX3" s="568"/>
      <c r="TQY3" s="568"/>
      <c r="TQZ3" s="568"/>
      <c r="TRA3" s="568"/>
      <c r="TRB3" s="568"/>
      <c r="TRC3" s="568"/>
      <c r="TRD3" s="568"/>
      <c r="TRE3" s="568"/>
      <c r="TRF3" s="568"/>
      <c r="TRG3" s="568"/>
      <c r="TRH3" s="568"/>
      <c r="TRI3" s="568"/>
      <c r="TRJ3" s="568"/>
      <c r="TRK3" s="568"/>
      <c r="TRL3" s="568"/>
      <c r="TRM3" s="568"/>
      <c r="TRN3" s="568"/>
      <c r="TRO3" s="568"/>
      <c r="TRP3" s="568"/>
      <c r="TRQ3" s="568"/>
      <c r="TRR3" s="568"/>
      <c r="TRS3" s="568"/>
      <c r="TRT3" s="568"/>
      <c r="TRU3" s="568"/>
      <c r="TRV3" s="568"/>
      <c r="TRW3" s="568"/>
      <c r="TRX3" s="568"/>
      <c r="TRY3" s="568"/>
      <c r="TRZ3" s="568"/>
      <c r="TSA3" s="568"/>
      <c r="TSB3" s="568"/>
      <c r="TSC3" s="568"/>
      <c r="TSD3" s="568"/>
      <c r="TSE3" s="568"/>
      <c r="TSF3" s="568"/>
      <c r="TSG3" s="568"/>
      <c r="TSH3" s="568"/>
      <c r="TSI3" s="568"/>
      <c r="TSJ3" s="568"/>
      <c r="TSK3" s="568"/>
      <c r="TSL3" s="568"/>
      <c r="TSM3" s="568"/>
      <c r="TSN3" s="568"/>
      <c r="TSO3" s="568"/>
      <c r="TSP3" s="568"/>
      <c r="TSQ3" s="568"/>
      <c r="TSR3" s="568"/>
      <c r="TSS3" s="568"/>
      <c r="TST3" s="568"/>
      <c r="TSU3" s="568"/>
      <c r="TSV3" s="568"/>
      <c r="TSW3" s="568"/>
      <c r="TSX3" s="568"/>
      <c r="TSY3" s="568"/>
      <c r="TSZ3" s="568"/>
      <c r="TTA3" s="568"/>
      <c r="TTB3" s="568"/>
      <c r="TTC3" s="568"/>
      <c r="TTD3" s="568"/>
      <c r="TTE3" s="568"/>
      <c r="TTF3" s="568"/>
      <c r="TTG3" s="568"/>
      <c r="TTH3" s="568"/>
      <c r="TTI3" s="568"/>
      <c r="TTJ3" s="568"/>
      <c r="TTK3" s="568"/>
      <c r="TTL3" s="568"/>
      <c r="TTM3" s="568"/>
      <c r="TTN3" s="568"/>
      <c r="TTO3" s="568"/>
      <c r="TTP3" s="568"/>
      <c r="TTQ3" s="568"/>
      <c r="TTR3" s="568"/>
      <c r="TTS3" s="568"/>
      <c r="TTT3" s="568"/>
      <c r="TTU3" s="568"/>
      <c r="TTV3" s="568"/>
      <c r="TTW3" s="568"/>
      <c r="TTX3" s="568"/>
      <c r="TTY3" s="568"/>
      <c r="TTZ3" s="568"/>
      <c r="TUA3" s="568"/>
      <c r="TUB3" s="568"/>
      <c r="TUC3" s="568"/>
      <c r="TUD3" s="568"/>
      <c r="TUE3" s="568"/>
      <c r="TUF3" s="568"/>
      <c r="TUG3" s="568"/>
      <c r="TUH3" s="568"/>
      <c r="TUI3" s="568"/>
      <c r="TUJ3" s="568"/>
      <c r="TUK3" s="568"/>
      <c r="TUL3" s="568"/>
      <c r="TUM3" s="568"/>
      <c r="TUN3" s="568"/>
      <c r="TUO3" s="568"/>
      <c r="TUP3" s="568"/>
      <c r="TUQ3" s="568"/>
      <c r="TUR3" s="568"/>
      <c r="TUS3" s="568"/>
      <c r="TUT3" s="568"/>
      <c r="TUU3" s="568"/>
      <c r="TUV3" s="568"/>
      <c r="TUW3" s="568"/>
      <c r="TUX3" s="568"/>
      <c r="TUY3" s="568"/>
      <c r="TUZ3" s="568"/>
      <c r="TVA3" s="568"/>
      <c r="TVB3" s="568"/>
      <c r="TVC3" s="568"/>
      <c r="TVD3" s="568"/>
      <c r="TVE3" s="568"/>
      <c r="TVF3" s="568"/>
      <c r="TVG3" s="568"/>
      <c r="TVH3" s="568"/>
      <c r="TVI3" s="568"/>
      <c r="TVJ3" s="568"/>
      <c r="TVK3" s="568"/>
      <c r="TVL3" s="568"/>
      <c r="TVM3" s="568"/>
      <c r="TVN3" s="568"/>
      <c r="TVO3" s="568"/>
      <c r="TVP3" s="568"/>
      <c r="TVQ3" s="568"/>
      <c r="TVR3" s="568"/>
      <c r="TVS3" s="568"/>
      <c r="TVT3" s="568"/>
      <c r="TVU3" s="568"/>
      <c r="TVV3" s="568"/>
      <c r="TVW3" s="568"/>
      <c r="TVX3" s="568"/>
      <c r="TVY3" s="568"/>
      <c r="TVZ3" s="568"/>
      <c r="TWA3" s="568"/>
      <c r="TWB3" s="568"/>
      <c r="TWC3" s="568"/>
      <c r="TWD3" s="568"/>
      <c r="TWE3" s="568"/>
      <c r="TWF3" s="568"/>
      <c r="TWG3" s="568"/>
      <c r="TWH3" s="568"/>
      <c r="TWI3" s="568"/>
      <c r="TWJ3" s="568"/>
      <c r="TWK3" s="568"/>
      <c r="TWL3" s="568"/>
      <c r="TWM3" s="568"/>
      <c r="TWN3" s="568"/>
      <c r="TWO3" s="568"/>
      <c r="TWP3" s="568"/>
      <c r="TWQ3" s="568"/>
      <c r="TWR3" s="568"/>
      <c r="TWS3" s="568"/>
      <c r="TWT3" s="568"/>
      <c r="TWU3" s="568"/>
      <c r="TWV3" s="568"/>
      <c r="TWW3" s="568"/>
      <c r="TWX3" s="568"/>
      <c r="TWY3" s="568"/>
      <c r="TWZ3" s="568"/>
      <c r="TXA3" s="568"/>
      <c r="TXB3" s="568"/>
      <c r="TXC3" s="568"/>
      <c r="TXD3" s="568"/>
      <c r="TXE3" s="568"/>
      <c r="TXF3" s="568"/>
      <c r="TXG3" s="568"/>
      <c r="TXH3" s="568"/>
      <c r="TXI3" s="568"/>
      <c r="TXJ3" s="568"/>
      <c r="TXK3" s="568"/>
      <c r="TXL3" s="568"/>
      <c r="TXM3" s="568"/>
      <c r="TXN3" s="568"/>
      <c r="TXO3" s="568"/>
      <c r="TXP3" s="568"/>
      <c r="TXQ3" s="568"/>
      <c r="TXR3" s="568"/>
      <c r="TXS3" s="568"/>
      <c r="TXT3" s="568"/>
      <c r="TXU3" s="568"/>
      <c r="TXV3" s="568"/>
      <c r="TXW3" s="568"/>
      <c r="TXX3" s="568"/>
      <c r="TXY3" s="568"/>
      <c r="TXZ3" s="568"/>
      <c r="TYA3" s="568"/>
      <c r="TYB3" s="568"/>
      <c r="TYC3" s="568"/>
      <c r="TYD3" s="568"/>
      <c r="TYE3" s="568"/>
      <c r="TYF3" s="568"/>
      <c r="TYG3" s="568"/>
      <c r="TYH3" s="568"/>
      <c r="TYI3" s="568"/>
      <c r="TYJ3" s="568"/>
      <c r="TYK3" s="568"/>
      <c r="TYL3" s="568"/>
      <c r="TYM3" s="568"/>
      <c r="TYN3" s="568"/>
      <c r="TYO3" s="568"/>
      <c r="TYP3" s="568"/>
      <c r="TYQ3" s="568"/>
      <c r="TYR3" s="568"/>
      <c r="TYS3" s="568"/>
      <c r="TYT3" s="568"/>
      <c r="TYU3" s="568"/>
      <c r="TYV3" s="568"/>
      <c r="TYW3" s="568"/>
      <c r="TYX3" s="568"/>
      <c r="TYY3" s="568"/>
      <c r="TYZ3" s="568"/>
      <c r="TZA3" s="568"/>
      <c r="TZB3" s="568"/>
      <c r="TZC3" s="568"/>
      <c r="TZD3" s="568"/>
      <c r="TZE3" s="568"/>
      <c r="TZF3" s="568"/>
      <c r="TZG3" s="568"/>
      <c r="TZH3" s="568"/>
      <c r="TZI3" s="568"/>
      <c r="TZJ3" s="568"/>
      <c r="TZK3" s="568"/>
      <c r="TZL3" s="568"/>
      <c r="TZM3" s="568"/>
      <c r="TZN3" s="568"/>
      <c r="TZO3" s="568"/>
      <c r="TZP3" s="568"/>
      <c r="TZQ3" s="568"/>
      <c r="TZR3" s="568"/>
      <c r="TZS3" s="568"/>
      <c r="TZT3" s="568"/>
      <c r="TZU3" s="568"/>
      <c r="TZV3" s="568"/>
      <c r="TZW3" s="568"/>
      <c r="TZX3" s="568"/>
      <c r="TZY3" s="568"/>
      <c r="TZZ3" s="568"/>
      <c r="UAA3" s="568"/>
      <c r="UAB3" s="568"/>
      <c r="UAC3" s="568"/>
      <c r="UAD3" s="568"/>
      <c r="UAE3" s="568"/>
      <c r="UAF3" s="568"/>
      <c r="UAG3" s="568"/>
      <c r="UAH3" s="568"/>
      <c r="UAI3" s="568"/>
      <c r="UAJ3" s="568"/>
      <c r="UAK3" s="568"/>
      <c r="UAL3" s="568"/>
      <c r="UAM3" s="568"/>
      <c r="UAN3" s="568"/>
      <c r="UAO3" s="568"/>
      <c r="UAP3" s="568"/>
      <c r="UAQ3" s="568"/>
      <c r="UAR3" s="568"/>
      <c r="UAS3" s="568"/>
      <c r="UAT3" s="568"/>
      <c r="UAU3" s="568"/>
      <c r="UAV3" s="568"/>
      <c r="UAW3" s="568"/>
      <c r="UAX3" s="568"/>
      <c r="UAY3" s="568"/>
      <c r="UAZ3" s="568"/>
      <c r="UBA3" s="568"/>
      <c r="UBB3" s="568"/>
      <c r="UBC3" s="568"/>
      <c r="UBD3" s="568"/>
      <c r="UBE3" s="568"/>
      <c r="UBF3" s="568"/>
      <c r="UBG3" s="568"/>
      <c r="UBH3" s="568"/>
      <c r="UBI3" s="568"/>
      <c r="UBJ3" s="568"/>
      <c r="UBK3" s="568"/>
      <c r="UBL3" s="568"/>
      <c r="UBM3" s="568"/>
      <c r="UBN3" s="568"/>
      <c r="UBO3" s="568"/>
      <c r="UBP3" s="568"/>
      <c r="UBQ3" s="568"/>
      <c r="UBR3" s="568"/>
      <c r="UBS3" s="568"/>
      <c r="UBT3" s="568"/>
      <c r="UBU3" s="568"/>
      <c r="UBV3" s="568"/>
      <c r="UBW3" s="568"/>
      <c r="UBX3" s="568"/>
      <c r="UBY3" s="568"/>
      <c r="UBZ3" s="568"/>
      <c r="UCA3" s="568"/>
      <c r="UCB3" s="568"/>
      <c r="UCC3" s="568"/>
      <c r="UCD3" s="568"/>
      <c r="UCE3" s="568"/>
      <c r="UCF3" s="568"/>
      <c r="UCG3" s="568"/>
      <c r="UCH3" s="568"/>
      <c r="UCI3" s="568"/>
      <c r="UCJ3" s="568"/>
      <c r="UCK3" s="568"/>
      <c r="UCL3" s="568"/>
      <c r="UCM3" s="568"/>
      <c r="UCN3" s="568"/>
      <c r="UCO3" s="568"/>
      <c r="UCP3" s="568"/>
      <c r="UCQ3" s="568"/>
      <c r="UCR3" s="568"/>
      <c r="UCS3" s="568"/>
      <c r="UCT3" s="568"/>
      <c r="UCU3" s="568"/>
      <c r="UCV3" s="568"/>
      <c r="UCW3" s="568"/>
      <c r="UCX3" s="568"/>
      <c r="UCY3" s="568"/>
      <c r="UCZ3" s="568"/>
      <c r="UDA3" s="568"/>
      <c r="UDB3" s="568"/>
      <c r="UDC3" s="568"/>
      <c r="UDD3" s="568"/>
      <c r="UDE3" s="568"/>
      <c r="UDF3" s="568"/>
      <c r="UDG3" s="568"/>
      <c r="UDH3" s="568"/>
      <c r="UDI3" s="568"/>
      <c r="UDJ3" s="568"/>
      <c r="UDK3" s="568"/>
      <c r="UDL3" s="568"/>
      <c r="UDM3" s="568"/>
      <c r="UDN3" s="568"/>
      <c r="UDO3" s="568"/>
      <c r="UDP3" s="568"/>
      <c r="UDQ3" s="568"/>
      <c r="UDR3" s="568"/>
      <c r="UDS3" s="568"/>
      <c r="UDT3" s="568"/>
      <c r="UDU3" s="568"/>
      <c r="UDV3" s="568"/>
      <c r="UDW3" s="568"/>
      <c r="UDX3" s="568"/>
      <c r="UDY3" s="568"/>
      <c r="UDZ3" s="568"/>
      <c r="UEA3" s="568"/>
      <c r="UEB3" s="568"/>
      <c r="UEC3" s="568"/>
      <c r="UED3" s="568"/>
      <c r="UEE3" s="568"/>
      <c r="UEF3" s="568"/>
      <c r="UEG3" s="568"/>
      <c r="UEH3" s="568"/>
      <c r="UEI3" s="568"/>
      <c r="UEJ3" s="568"/>
      <c r="UEK3" s="568"/>
      <c r="UEL3" s="568"/>
      <c r="UEM3" s="568"/>
      <c r="UEN3" s="568"/>
      <c r="UEO3" s="568"/>
      <c r="UEP3" s="568"/>
      <c r="UEQ3" s="568"/>
      <c r="UER3" s="568"/>
      <c r="UES3" s="568"/>
      <c r="UET3" s="568"/>
      <c r="UEU3" s="568"/>
      <c r="UEV3" s="568"/>
      <c r="UEW3" s="568"/>
      <c r="UEX3" s="568"/>
      <c r="UEY3" s="568"/>
      <c r="UEZ3" s="568"/>
      <c r="UFA3" s="568"/>
      <c r="UFB3" s="568"/>
      <c r="UFC3" s="568"/>
      <c r="UFD3" s="568"/>
      <c r="UFE3" s="568"/>
      <c r="UFF3" s="568"/>
      <c r="UFG3" s="568"/>
      <c r="UFH3" s="568"/>
      <c r="UFI3" s="568"/>
      <c r="UFJ3" s="568"/>
      <c r="UFK3" s="568"/>
      <c r="UFL3" s="568"/>
      <c r="UFM3" s="568"/>
      <c r="UFN3" s="568"/>
      <c r="UFO3" s="568"/>
      <c r="UFP3" s="568"/>
      <c r="UFQ3" s="568"/>
      <c r="UFR3" s="568"/>
      <c r="UFS3" s="568"/>
      <c r="UFT3" s="568"/>
      <c r="UFU3" s="568"/>
      <c r="UFV3" s="568"/>
      <c r="UFW3" s="568"/>
      <c r="UFX3" s="568"/>
      <c r="UFY3" s="568"/>
      <c r="UFZ3" s="568"/>
      <c r="UGA3" s="568"/>
      <c r="UGB3" s="568"/>
      <c r="UGC3" s="568"/>
      <c r="UGD3" s="568"/>
      <c r="UGE3" s="568"/>
      <c r="UGF3" s="568"/>
      <c r="UGG3" s="568"/>
      <c r="UGH3" s="568"/>
      <c r="UGI3" s="568"/>
      <c r="UGJ3" s="568"/>
      <c r="UGK3" s="568"/>
      <c r="UGL3" s="568"/>
      <c r="UGM3" s="568"/>
      <c r="UGN3" s="568"/>
      <c r="UGO3" s="568"/>
      <c r="UGP3" s="568"/>
      <c r="UGQ3" s="568"/>
      <c r="UGR3" s="568"/>
      <c r="UGS3" s="568"/>
      <c r="UGT3" s="568"/>
      <c r="UGU3" s="568"/>
      <c r="UGV3" s="568"/>
      <c r="UGW3" s="568"/>
      <c r="UGX3" s="568"/>
      <c r="UGY3" s="568"/>
      <c r="UGZ3" s="568"/>
      <c r="UHA3" s="568"/>
      <c r="UHB3" s="568"/>
      <c r="UHC3" s="568"/>
      <c r="UHD3" s="568"/>
      <c r="UHE3" s="568"/>
      <c r="UHF3" s="568"/>
      <c r="UHG3" s="568"/>
      <c r="UHH3" s="568"/>
      <c r="UHI3" s="568"/>
      <c r="UHJ3" s="568"/>
      <c r="UHK3" s="568"/>
      <c r="UHL3" s="568"/>
      <c r="UHM3" s="568"/>
      <c r="UHN3" s="568"/>
      <c r="UHO3" s="568"/>
      <c r="UHP3" s="568"/>
      <c r="UHQ3" s="568"/>
      <c r="UHR3" s="568"/>
      <c r="UHS3" s="568"/>
      <c r="UHT3" s="568"/>
      <c r="UHU3" s="568"/>
      <c r="UHV3" s="568"/>
      <c r="UHW3" s="568"/>
      <c r="UHX3" s="568"/>
      <c r="UHY3" s="568"/>
      <c r="UHZ3" s="568"/>
      <c r="UIA3" s="568"/>
      <c r="UIB3" s="568"/>
      <c r="UIC3" s="568"/>
      <c r="UID3" s="568"/>
      <c r="UIE3" s="568"/>
      <c r="UIF3" s="568"/>
      <c r="UIG3" s="568"/>
      <c r="UIH3" s="568"/>
      <c r="UII3" s="568"/>
      <c r="UIJ3" s="568"/>
      <c r="UIK3" s="568"/>
      <c r="UIL3" s="568"/>
      <c r="UIM3" s="568"/>
      <c r="UIN3" s="568"/>
      <c r="UIO3" s="568"/>
      <c r="UIP3" s="568"/>
      <c r="UIQ3" s="568"/>
      <c r="UIR3" s="568"/>
      <c r="UIS3" s="568"/>
      <c r="UIT3" s="568"/>
      <c r="UIU3" s="568"/>
      <c r="UIV3" s="568"/>
      <c r="UIW3" s="568"/>
      <c r="UIX3" s="568"/>
      <c r="UIY3" s="568"/>
      <c r="UIZ3" s="568"/>
      <c r="UJA3" s="568"/>
      <c r="UJB3" s="568"/>
      <c r="UJC3" s="568"/>
      <c r="UJD3" s="568"/>
      <c r="UJE3" s="568"/>
      <c r="UJF3" s="568"/>
      <c r="UJG3" s="568"/>
      <c r="UJH3" s="568"/>
      <c r="UJI3" s="568"/>
      <c r="UJJ3" s="568"/>
      <c r="UJK3" s="568"/>
      <c r="UJL3" s="568"/>
      <c r="UJM3" s="568"/>
      <c r="UJN3" s="568"/>
      <c r="UJO3" s="568"/>
      <c r="UJP3" s="568"/>
      <c r="UJQ3" s="568"/>
      <c r="UJR3" s="568"/>
      <c r="UJS3" s="568"/>
      <c r="UJT3" s="568"/>
      <c r="UJU3" s="568"/>
      <c r="UJV3" s="568"/>
      <c r="UJW3" s="568"/>
      <c r="UJX3" s="568"/>
      <c r="UJY3" s="568"/>
      <c r="UJZ3" s="568"/>
      <c r="UKA3" s="568"/>
      <c r="UKB3" s="568"/>
      <c r="UKC3" s="568"/>
      <c r="UKD3" s="568"/>
      <c r="UKE3" s="568"/>
      <c r="UKF3" s="568"/>
      <c r="UKG3" s="568"/>
      <c r="UKH3" s="568"/>
      <c r="UKI3" s="568"/>
      <c r="UKJ3" s="568"/>
      <c r="UKK3" s="568"/>
      <c r="UKL3" s="568"/>
      <c r="UKM3" s="568"/>
      <c r="UKN3" s="568"/>
      <c r="UKO3" s="568"/>
      <c r="UKP3" s="568"/>
      <c r="UKQ3" s="568"/>
      <c r="UKR3" s="568"/>
      <c r="UKS3" s="568"/>
      <c r="UKT3" s="568"/>
      <c r="UKU3" s="568"/>
      <c r="UKV3" s="568"/>
      <c r="UKW3" s="568"/>
      <c r="UKX3" s="568"/>
      <c r="UKY3" s="568"/>
      <c r="UKZ3" s="568"/>
      <c r="ULA3" s="568"/>
      <c r="ULB3" s="568"/>
      <c r="ULC3" s="568"/>
      <c r="ULD3" s="568"/>
      <c r="ULE3" s="568"/>
      <c r="ULF3" s="568"/>
      <c r="ULG3" s="568"/>
      <c r="ULH3" s="568"/>
      <c r="ULI3" s="568"/>
      <c r="ULJ3" s="568"/>
      <c r="ULK3" s="568"/>
      <c r="ULL3" s="568"/>
      <c r="ULM3" s="568"/>
      <c r="ULN3" s="568"/>
      <c r="ULO3" s="568"/>
      <c r="ULP3" s="568"/>
      <c r="ULQ3" s="568"/>
      <c r="ULR3" s="568"/>
      <c r="ULS3" s="568"/>
      <c r="ULT3" s="568"/>
      <c r="ULU3" s="568"/>
      <c r="ULV3" s="568"/>
      <c r="ULW3" s="568"/>
      <c r="ULX3" s="568"/>
      <c r="ULY3" s="568"/>
      <c r="ULZ3" s="568"/>
      <c r="UMA3" s="568"/>
      <c r="UMB3" s="568"/>
      <c r="UMC3" s="568"/>
      <c r="UMD3" s="568"/>
      <c r="UME3" s="568"/>
      <c r="UMF3" s="568"/>
      <c r="UMG3" s="568"/>
      <c r="UMH3" s="568"/>
      <c r="UMI3" s="568"/>
      <c r="UMJ3" s="568"/>
      <c r="UMK3" s="568"/>
      <c r="UML3" s="568"/>
      <c r="UMM3" s="568"/>
      <c r="UMN3" s="568"/>
      <c r="UMO3" s="568"/>
      <c r="UMP3" s="568"/>
      <c r="UMQ3" s="568"/>
      <c r="UMR3" s="568"/>
      <c r="UMS3" s="568"/>
      <c r="UMT3" s="568"/>
      <c r="UMU3" s="568"/>
      <c r="UMV3" s="568"/>
      <c r="UMW3" s="568"/>
      <c r="UMX3" s="568"/>
      <c r="UMY3" s="568"/>
      <c r="UMZ3" s="568"/>
      <c r="UNA3" s="568"/>
      <c r="UNB3" s="568"/>
      <c r="UNC3" s="568"/>
      <c r="UND3" s="568"/>
      <c r="UNE3" s="568"/>
      <c r="UNF3" s="568"/>
      <c r="UNG3" s="568"/>
      <c r="UNH3" s="568"/>
      <c r="UNI3" s="568"/>
      <c r="UNJ3" s="568"/>
      <c r="UNK3" s="568"/>
      <c r="UNL3" s="568"/>
      <c r="UNM3" s="568"/>
      <c r="UNN3" s="568"/>
      <c r="UNO3" s="568"/>
      <c r="UNP3" s="568"/>
      <c r="UNQ3" s="568"/>
      <c r="UNR3" s="568"/>
      <c r="UNS3" s="568"/>
      <c r="UNT3" s="568"/>
      <c r="UNU3" s="568"/>
      <c r="UNV3" s="568"/>
      <c r="UNW3" s="568"/>
      <c r="UNX3" s="568"/>
      <c r="UNY3" s="568"/>
      <c r="UNZ3" s="568"/>
      <c r="UOA3" s="568"/>
      <c r="UOB3" s="568"/>
      <c r="UOC3" s="568"/>
      <c r="UOD3" s="568"/>
      <c r="UOE3" s="568"/>
      <c r="UOF3" s="568"/>
      <c r="UOG3" s="568"/>
      <c r="UOH3" s="568"/>
      <c r="UOI3" s="568"/>
      <c r="UOJ3" s="568"/>
      <c r="UOK3" s="568"/>
      <c r="UOL3" s="568"/>
      <c r="UOM3" s="568"/>
      <c r="UON3" s="568"/>
      <c r="UOO3" s="568"/>
      <c r="UOP3" s="568"/>
      <c r="UOQ3" s="568"/>
      <c r="UOR3" s="568"/>
      <c r="UOS3" s="568"/>
      <c r="UOT3" s="568"/>
      <c r="UOU3" s="568"/>
      <c r="UOV3" s="568"/>
      <c r="UOW3" s="568"/>
      <c r="UOX3" s="568"/>
      <c r="UOY3" s="568"/>
      <c r="UOZ3" s="568"/>
      <c r="UPA3" s="568"/>
      <c r="UPB3" s="568"/>
      <c r="UPC3" s="568"/>
      <c r="UPD3" s="568"/>
      <c r="UPE3" s="568"/>
      <c r="UPF3" s="568"/>
      <c r="UPG3" s="568"/>
      <c r="UPH3" s="568"/>
      <c r="UPI3" s="568"/>
      <c r="UPJ3" s="568"/>
      <c r="UPK3" s="568"/>
      <c r="UPL3" s="568"/>
      <c r="UPM3" s="568"/>
      <c r="UPN3" s="568"/>
      <c r="UPO3" s="568"/>
      <c r="UPP3" s="568"/>
      <c r="UPQ3" s="568"/>
      <c r="UPR3" s="568"/>
      <c r="UPS3" s="568"/>
      <c r="UPT3" s="568"/>
      <c r="UPU3" s="568"/>
      <c r="UPV3" s="568"/>
      <c r="UPW3" s="568"/>
      <c r="UPX3" s="568"/>
      <c r="UPY3" s="568"/>
      <c r="UPZ3" s="568"/>
      <c r="UQA3" s="568"/>
      <c r="UQB3" s="568"/>
      <c r="UQC3" s="568"/>
      <c r="UQD3" s="568"/>
      <c r="UQE3" s="568"/>
      <c r="UQF3" s="568"/>
      <c r="UQG3" s="568"/>
      <c r="UQH3" s="568"/>
      <c r="UQI3" s="568"/>
      <c r="UQJ3" s="568"/>
      <c r="UQK3" s="568"/>
      <c r="UQL3" s="568"/>
      <c r="UQM3" s="568"/>
      <c r="UQN3" s="568"/>
      <c r="UQO3" s="568"/>
      <c r="UQP3" s="568"/>
      <c r="UQQ3" s="568"/>
      <c r="UQR3" s="568"/>
      <c r="UQS3" s="568"/>
      <c r="UQT3" s="568"/>
      <c r="UQU3" s="568"/>
      <c r="UQV3" s="568"/>
      <c r="UQW3" s="568"/>
      <c r="UQX3" s="568"/>
      <c r="UQY3" s="568"/>
      <c r="UQZ3" s="568"/>
      <c r="URA3" s="568"/>
      <c r="URB3" s="568"/>
      <c r="URC3" s="568"/>
      <c r="URD3" s="568"/>
      <c r="URE3" s="568"/>
      <c r="URF3" s="568"/>
      <c r="URG3" s="568"/>
      <c r="URH3" s="568"/>
      <c r="URI3" s="568"/>
      <c r="URJ3" s="568"/>
      <c r="URK3" s="568"/>
      <c r="URL3" s="568"/>
      <c r="URM3" s="568"/>
      <c r="URN3" s="568"/>
      <c r="URO3" s="568"/>
      <c r="URP3" s="568"/>
      <c r="URQ3" s="568"/>
      <c r="URR3" s="568"/>
      <c r="URS3" s="568"/>
      <c r="URT3" s="568"/>
      <c r="URU3" s="568"/>
      <c r="URV3" s="568"/>
      <c r="URW3" s="568"/>
      <c r="URX3" s="568"/>
      <c r="URY3" s="568"/>
      <c r="URZ3" s="568"/>
      <c r="USA3" s="568"/>
      <c r="USB3" s="568"/>
      <c r="USC3" s="568"/>
      <c r="USD3" s="568"/>
      <c r="USE3" s="568"/>
      <c r="USF3" s="568"/>
      <c r="USG3" s="568"/>
      <c r="USH3" s="568"/>
      <c r="USI3" s="568"/>
      <c r="USJ3" s="568"/>
      <c r="USK3" s="568"/>
      <c r="USL3" s="568"/>
      <c r="USM3" s="568"/>
      <c r="USN3" s="568"/>
      <c r="USO3" s="568"/>
      <c r="USP3" s="568"/>
      <c r="USQ3" s="568"/>
      <c r="USR3" s="568"/>
      <c r="USS3" s="568"/>
      <c r="UST3" s="568"/>
      <c r="USU3" s="568"/>
      <c r="USV3" s="568"/>
      <c r="USW3" s="568"/>
      <c r="USX3" s="568"/>
      <c r="USY3" s="568"/>
      <c r="USZ3" s="568"/>
      <c r="UTA3" s="568"/>
      <c r="UTB3" s="568"/>
      <c r="UTC3" s="568"/>
      <c r="UTD3" s="568"/>
      <c r="UTE3" s="568"/>
      <c r="UTF3" s="568"/>
      <c r="UTG3" s="568"/>
      <c r="UTH3" s="568"/>
      <c r="UTI3" s="568"/>
      <c r="UTJ3" s="568"/>
      <c r="UTK3" s="568"/>
      <c r="UTL3" s="568"/>
      <c r="UTM3" s="568"/>
      <c r="UTN3" s="568"/>
      <c r="UTO3" s="568"/>
      <c r="UTP3" s="568"/>
      <c r="UTQ3" s="568"/>
      <c r="UTR3" s="568"/>
      <c r="UTS3" s="568"/>
      <c r="UTT3" s="568"/>
      <c r="UTU3" s="568"/>
      <c r="UTV3" s="568"/>
      <c r="UTW3" s="568"/>
      <c r="UTX3" s="568"/>
      <c r="UTY3" s="568"/>
      <c r="UTZ3" s="568"/>
      <c r="UUA3" s="568"/>
      <c r="UUB3" s="568"/>
      <c r="UUC3" s="568"/>
      <c r="UUD3" s="568"/>
      <c r="UUE3" s="568"/>
      <c r="UUF3" s="568"/>
      <c r="UUG3" s="568"/>
      <c r="UUH3" s="568"/>
      <c r="UUI3" s="568"/>
      <c r="UUJ3" s="568"/>
      <c r="UUK3" s="568"/>
      <c r="UUL3" s="568"/>
      <c r="UUM3" s="568"/>
      <c r="UUN3" s="568"/>
      <c r="UUO3" s="568"/>
      <c r="UUP3" s="568"/>
      <c r="UUQ3" s="568"/>
      <c r="UUR3" s="568"/>
      <c r="UUS3" s="568"/>
      <c r="UUT3" s="568"/>
      <c r="UUU3" s="568"/>
      <c r="UUV3" s="568"/>
      <c r="UUW3" s="568"/>
      <c r="UUX3" s="568"/>
      <c r="UUY3" s="568"/>
      <c r="UUZ3" s="568"/>
      <c r="UVA3" s="568"/>
      <c r="UVB3" s="568"/>
      <c r="UVC3" s="568"/>
      <c r="UVD3" s="568"/>
      <c r="UVE3" s="568"/>
      <c r="UVF3" s="568"/>
      <c r="UVG3" s="568"/>
      <c r="UVH3" s="568"/>
      <c r="UVI3" s="568"/>
      <c r="UVJ3" s="568"/>
      <c r="UVK3" s="568"/>
      <c r="UVL3" s="568"/>
      <c r="UVM3" s="568"/>
      <c r="UVN3" s="568"/>
      <c r="UVO3" s="568"/>
      <c r="UVP3" s="568"/>
      <c r="UVQ3" s="568"/>
      <c r="UVR3" s="568"/>
      <c r="UVS3" s="568"/>
      <c r="UVT3" s="568"/>
      <c r="UVU3" s="568"/>
      <c r="UVV3" s="568"/>
      <c r="UVW3" s="568"/>
      <c r="UVX3" s="568"/>
      <c r="UVY3" s="568"/>
      <c r="UVZ3" s="568"/>
      <c r="UWA3" s="568"/>
      <c r="UWB3" s="568"/>
      <c r="UWC3" s="568"/>
      <c r="UWD3" s="568"/>
      <c r="UWE3" s="568"/>
      <c r="UWF3" s="568"/>
      <c r="UWG3" s="568"/>
      <c r="UWH3" s="568"/>
      <c r="UWI3" s="568"/>
      <c r="UWJ3" s="568"/>
      <c r="UWK3" s="568"/>
      <c r="UWL3" s="568"/>
      <c r="UWM3" s="568"/>
      <c r="UWN3" s="568"/>
      <c r="UWO3" s="568"/>
      <c r="UWP3" s="568"/>
      <c r="UWQ3" s="568"/>
      <c r="UWR3" s="568"/>
      <c r="UWS3" s="568"/>
      <c r="UWT3" s="568"/>
      <c r="UWU3" s="568"/>
      <c r="UWV3" s="568"/>
      <c r="UWW3" s="568"/>
      <c r="UWX3" s="568"/>
      <c r="UWY3" s="568"/>
      <c r="UWZ3" s="568"/>
      <c r="UXA3" s="568"/>
      <c r="UXB3" s="568"/>
      <c r="UXC3" s="568"/>
      <c r="UXD3" s="568"/>
      <c r="UXE3" s="568"/>
      <c r="UXF3" s="568"/>
      <c r="UXG3" s="568"/>
      <c r="UXH3" s="568"/>
      <c r="UXI3" s="568"/>
      <c r="UXJ3" s="568"/>
      <c r="UXK3" s="568"/>
      <c r="UXL3" s="568"/>
      <c r="UXM3" s="568"/>
      <c r="UXN3" s="568"/>
      <c r="UXO3" s="568"/>
      <c r="UXP3" s="568"/>
      <c r="UXQ3" s="568"/>
      <c r="UXR3" s="568"/>
      <c r="UXS3" s="568"/>
      <c r="UXT3" s="568"/>
      <c r="UXU3" s="568"/>
      <c r="UXV3" s="568"/>
      <c r="UXW3" s="568"/>
      <c r="UXX3" s="568"/>
      <c r="UXY3" s="568"/>
      <c r="UXZ3" s="568"/>
      <c r="UYA3" s="568"/>
      <c r="UYB3" s="568"/>
      <c r="UYC3" s="568"/>
      <c r="UYD3" s="568"/>
      <c r="UYE3" s="568"/>
      <c r="UYF3" s="568"/>
      <c r="UYG3" s="568"/>
      <c r="UYH3" s="568"/>
      <c r="UYI3" s="568"/>
      <c r="UYJ3" s="568"/>
      <c r="UYK3" s="568"/>
      <c r="UYL3" s="568"/>
      <c r="UYM3" s="568"/>
      <c r="UYN3" s="568"/>
      <c r="UYO3" s="568"/>
      <c r="UYP3" s="568"/>
      <c r="UYQ3" s="568"/>
      <c r="UYR3" s="568"/>
      <c r="UYS3" s="568"/>
      <c r="UYT3" s="568"/>
      <c r="UYU3" s="568"/>
      <c r="UYV3" s="568"/>
      <c r="UYW3" s="568"/>
      <c r="UYX3" s="568"/>
      <c r="UYY3" s="568"/>
      <c r="UYZ3" s="568"/>
      <c r="UZA3" s="568"/>
      <c r="UZB3" s="568"/>
      <c r="UZC3" s="568"/>
      <c r="UZD3" s="568"/>
      <c r="UZE3" s="568"/>
      <c r="UZF3" s="568"/>
      <c r="UZG3" s="568"/>
      <c r="UZH3" s="568"/>
      <c r="UZI3" s="568"/>
      <c r="UZJ3" s="568"/>
      <c r="UZK3" s="568"/>
      <c r="UZL3" s="568"/>
      <c r="UZM3" s="568"/>
      <c r="UZN3" s="568"/>
      <c r="UZO3" s="568"/>
      <c r="UZP3" s="568"/>
      <c r="UZQ3" s="568"/>
      <c r="UZR3" s="568"/>
      <c r="UZS3" s="568"/>
      <c r="UZT3" s="568"/>
      <c r="UZU3" s="568"/>
      <c r="UZV3" s="568"/>
      <c r="UZW3" s="568"/>
      <c r="UZX3" s="568"/>
      <c r="UZY3" s="568"/>
      <c r="UZZ3" s="568"/>
      <c r="VAA3" s="568"/>
      <c r="VAB3" s="568"/>
      <c r="VAC3" s="568"/>
      <c r="VAD3" s="568"/>
      <c r="VAE3" s="568"/>
      <c r="VAF3" s="568"/>
      <c r="VAG3" s="568"/>
      <c r="VAH3" s="568"/>
      <c r="VAI3" s="568"/>
      <c r="VAJ3" s="568"/>
      <c r="VAK3" s="568"/>
      <c r="VAL3" s="568"/>
      <c r="VAM3" s="568"/>
      <c r="VAN3" s="568"/>
      <c r="VAO3" s="568"/>
      <c r="VAP3" s="568"/>
      <c r="VAQ3" s="568"/>
      <c r="VAR3" s="568"/>
      <c r="VAS3" s="568"/>
      <c r="VAT3" s="568"/>
      <c r="VAU3" s="568"/>
      <c r="VAV3" s="568"/>
      <c r="VAW3" s="568"/>
      <c r="VAX3" s="568"/>
      <c r="VAY3" s="568"/>
      <c r="VAZ3" s="568"/>
      <c r="VBA3" s="568"/>
      <c r="VBB3" s="568"/>
      <c r="VBC3" s="568"/>
      <c r="VBD3" s="568"/>
      <c r="VBE3" s="568"/>
      <c r="VBF3" s="568"/>
      <c r="VBG3" s="568"/>
      <c r="VBH3" s="568"/>
      <c r="VBI3" s="568"/>
      <c r="VBJ3" s="568"/>
      <c r="VBK3" s="568"/>
      <c r="VBL3" s="568"/>
      <c r="VBM3" s="568"/>
      <c r="VBN3" s="568"/>
      <c r="VBO3" s="568"/>
      <c r="VBP3" s="568"/>
      <c r="VBQ3" s="568"/>
      <c r="VBR3" s="568"/>
      <c r="VBS3" s="568"/>
      <c r="VBT3" s="568"/>
      <c r="VBU3" s="568"/>
      <c r="VBV3" s="568"/>
      <c r="VBW3" s="568"/>
      <c r="VBX3" s="568"/>
      <c r="VBY3" s="568"/>
      <c r="VBZ3" s="568"/>
      <c r="VCA3" s="568"/>
      <c r="VCB3" s="568"/>
      <c r="VCC3" s="568"/>
      <c r="VCD3" s="568"/>
      <c r="VCE3" s="568"/>
      <c r="VCF3" s="568"/>
      <c r="VCG3" s="568"/>
      <c r="VCH3" s="568"/>
      <c r="VCI3" s="568"/>
      <c r="VCJ3" s="568"/>
      <c r="VCK3" s="568"/>
      <c r="VCL3" s="568"/>
      <c r="VCM3" s="568"/>
      <c r="VCN3" s="568"/>
      <c r="VCO3" s="568"/>
      <c r="VCP3" s="568"/>
      <c r="VCQ3" s="568"/>
      <c r="VCR3" s="568"/>
      <c r="VCS3" s="568"/>
      <c r="VCT3" s="568"/>
      <c r="VCU3" s="568"/>
      <c r="VCV3" s="568"/>
      <c r="VCW3" s="568"/>
      <c r="VCX3" s="568"/>
      <c r="VCY3" s="568"/>
      <c r="VCZ3" s="568"/>
      <c r="VDA3" s="568"/>
      <c r="VDB3" s="568"/>
      <c r="VDC3" s="568"/>
      <c r="VDD3" s="568"/>
      <c r="VDE3" s="568"/>
      <c r="VDF3" s="568"/>
      <c r="VDG3" s="568"/>
      <c r="VDH3" s="568"/>
      <c r="VDI3" s="568"/>
      <c r="VDJ3" s="568"/>
      <c r="VDK3" s="568"/>
      <c r="VDL3" s="568"/>
      <c r="VDM3" s="568"/>
      <c r="VDN3" s="568"/>
      <c r="VDO3" s="568"/>
      <c r="VDP3" s="568"/>
      <c r="VDQ3" s="568"/>
      <c r="VDR3" s="568"/>
      <c r="VDS3" s="568"/>
      <c r="VDT3" s="568"/>
      <c r="VDU3" s="568"/>
      <c r="VDV3" s="568"/>
      <c r="VDW3" s="568"/>
      <c r="VDX3" s="568"/>
      <c r="VDY3" s="568"/>
      <c r="VDZ3" s="568"/>
      <c r="VEA3" s="568"/>
      <c r="VEB3" s="568"/>
      <c r="VEC3" s="568"/>
      <c r="VED3" s="568"/>
      <c r="VEE3" s="568"/>
      <c r="VEF3" s="568"/>
      <c r="VEG3" s="568"/>
      <c r="VEH3" s="568"/>
      <c r="VEI3" s="568"/>
      <c r="VEJ3" s="568"/>
      <c r="VEK3" s="568"/>
      <c r="VEL3" s="568"/>
      <c r="VEM3" s="568"/>
      <c r="VEN3" s="568"/>
      <c r="VEO3" s="568"/>
      <c r="VEP3" s="568"/>
      <c r="VEQ3" s="568"/>
      <c r="VER3" s="568"/>
      <c r="VES3" s="568"/>
      <c r="VET3" s="568"/>
      <c r="VEU3" s="568"/>
      <c r="VEV3" s="568"/>
      <c r="VEW3" s="568"/>
      <c r="VEX3" s="568"/>
      <c r="VEY3" s="568"/>
      <c r="VEZ3" s="568"/>
      <c r="VFA3" s="568"/>
      <c r="VFB3" s="568"/>
      <c r="VFC3" s="568"/>
      <c r="VFD3" s="568"/>
      <c r="VFE3" s="568"/>
      <c r="VFF3" s="568"/>
      <c r="VFG3" s="568"/>
      <c r="VFH3" s="568"/>
      <c r="VFI3" s="568"/>
      <c r="VFJ3" s="568"/>
      <c r="VFK3" s="568"/>
      <c r="VFL3" s="568"/>
      <c r="VFM3" s="568"/>
      <c r="VFN3" s="568"/>
      <c r="VFO3" s="568"/>
      <c r="VFP3" s="568"/>
      <c r="VFQ3" s="568"/>
      <c r="VFR3" s="568"/>
      <c r="VFS3" s="568"/>
      <c r="VFT3" s="568"/>
      <c r="VFU3" s="568"/>
      <c r="VFV3" s="568"/>
      <c r="VFW3" s="568"/>
      <c r="VFX3" s="568"/>
      <c r="VFY3" s="568"/>
      <c r="VFZ3" s="568"/>
      <c r="VGA3" s="568"/>
      <c r="VGB3" s="568"/>
      <c r="VGC3" s="568"/>
      <c r="VGD3" s="568"/>
      <c r="VGE3" s="568"/>
      <c r="VGF3" s="568"/>
      <c r="VGG3" s="568"/>
      <c r="VGH3" s="568"/>
      <c r="VGI3" s="568"/>
      <c r="VGJ3" s="568"/>
      <c r="VGK3" s="568"/>
      <c r="VGL3" s="568"/>
      <c r="VGM3" s="568"/>
      <c r="VGN3" s="568"/>
      <c r="VGO3" s="568"/>
      <c r="VGP3" s="568"/>
      <c r="VGQ3" s="568"/>
      <c r="VGR3" s="568"/>
      <c r="VGS3" s="568"/>
      <c r="VGT3" s="568"/>
      <c r="VGU3" s="568"/>
      <c r="VGV3" s="568"/>
      <c r="VGW3" s="568"/>
      <c r="VGX3" s="568"/>
      <c r="VGY3" s="568"/>
      <c r="VGZ3" s="568"/>
      <c r="VHA3" s="568"/>
      <c r="VHB3" s="568"/>
      <c r="VHC3" s="568"/>
      <c r="VHD3" s="568"/>
      <c r="VHE3" s="568"/>
      <c r="VHF3" s="568"/>
      <c r="VHG3" s="568"/>
      <c r="VHH3" s="568"/>
      <c r="VHI3" s="568"/>
      <c r="VHJ3" s="568"/>
      <c r="VHK3" s="568"/>
      <c r="VHL3" s="568"/>
      <c r="VHM3" s="568"/>
      <c r="VHN3" s="568"/>
      <c r="VHO3" s="568"/>
      <c r="VHP3" s="568"/>
      <c r="VHQ3" s="568"/>
      <c r="VHR3" s="568"/>
      <c r="VHS3" s="568"/>
      <c r="VHT3" s="568"/>
      <c r="VHU3" s="568"/>
      <c r="VHV3" s="568"/>
      <c r="VHW3" s="568"/>
      <c r="VHX3" s="568"/>
      <c r="VHY3" s="568"/>
      <c r="VHZ3" s="568"/>
      <c r="VIA3" s="568"/>
      <c r="VIB3" s="568"/>
      <c r="VIC3" s="568"/>
      <c r="VID3" s="568"/>
      <c r="VIE3" s="568"/>
      <c r="VIF3" s="568"/>
      <c r="VIG3" s="568"/>
      <c r="VIH3" s="568"/>
      <c r="VII3" s="568"/>
      <c r="VIJ3" s="568"/>
      <c r="VIK3" s="568"/>
      <c r="VIL3" s="568"/>
      <c r="VIM3" s="568"/>
      <c r="VIN3" s="568"/>
      <c r="VIO3" s="568"/>
      <c r="VIP3" s="568"/>
      <c r="VIQ3" s="568"/>
      <c r="VIR3" s="568"/>
      <c r="VIS3" s="568"/>
      <c r="VIT3" s="568"/>
      <c r="VIU3" s="568"/>
      <c r="VIV3" s="568"/>
      <c r="VIW3" s="568"/>
      <c r="VIX3" s="568"/>
      <c r="VIY3" s="568"/>
      <c r="VIZ3" s="568"/>
      <c r="VJA3" s="568"/>
      <c r="VJB3" s="568"/>
      <c r="VJC3" s="568"/>
      <c r="VJD3" s="568"/>
      <c r="VJE3" s="568"/>
      <c r="VJF3" s="568"/>
      <c r="VJG3" s="568"/>
      <c r="VJH3" s="568"/>
      <c r="VJI3" s="568"/>
      <c r="VJJ3" s="568"/>
      <c r="VJK3" s="568"/>
      <c r="VJL3" s="568"/>
      <c r="VJM3" s="568"/>
      <c r="VJN3" s="568"/>
      <c r="VJO3" s="568"/>
      <c r="VJP3" s="568"/>
      <c r="VJQ3" s="568"/>
      <c r="VJR3" s="568"/>
      <c r="VJS3" s="568"/>
      <c r="VJT3" s="568"/>
      <c r="VJU3" s="568"/>
      <c r="VJV3" s="568"/>
      <c r="VJW3" s="568"/>
      <c r="VJX3" s="568"/>
      <c r="VJY3" s="568"/>
      <c r="VJZ3" s="568"/>
      <c r="VKA3" s="568"/>
      <c r="VKB3" s="568"/>
      <c r="VKC3" s="568"/>
      <c r="VKD3" s="568"/>
      <c r="VKE3" s="568"/>
      <c r="VKF3" s="568"/>
      <c r="VKG3" s="568"/>
      <c r="VKH3" s="568"/>
      <c r="VKI3" s="568"/>
      <c r="VKJ3" s="568"/>
      <c r="VKK3" s="568"/>
      <c r="VKL3" s="568"/>
      <c r="VKM3" s="568"/>
      <c r="VKN3" s="568"/>
      <c r="VKO3" s="568"/>
      <c r="VKP3" s="568"/>
      <c r="VKQ3" s="568"/>
      <c r="VKR3" s="568"/>
      <c r="VKS3" s="568"/>
      <c r="VKT3" s="568"/>
      <c r="VKU3" s="568"/>
      <c r="VKV3" s="568"/>
      <c r="VKW3" s="568"/>
      <c r="VKX3" s="568"/>
      <c r="VKY3" s="568"/>
      <c r="VKZ3" s="568"/>
      <c r="VLA3" s="568"/>
      <c r="VLB3" s="568"/>
      <c r="VLC3" s="568"/>
      <c r="VLD3" s="568"/>
      <c r="VLE3" s="568"/>
      <c r="VLF3" s="568"/>
      <c r="VLG3" s="568"/>
      <c r="VLH3" s="568"/>
      <c r="VLI3" s="568"/>
      <c r="VLJ3" s="568"/>
      <c r="VLK3" s="568"/>
      <c r="VLL3" s="568"/>
      <c r="VLM3" s="568"/>
      <c r="VLN3" s="568"/>
      <c r="VLO3" s="568"/>
      <c r="VLP3" s="568"/>
      <c r="VLQ3" s="568"/>
      <c r="VLR3" s="568"/>
      <c r="VLS3" s="568"/>
      <c r="VLT3" s="568"/>
      <c r="VLU3" s="568"/>
      <c r="VLV3" s="568"/>
      <c r="VLW3" s="568"/>
      <c r="VLX3" s="568"/>
      <c r="VLY3" s="568"/>
      <c r="VLZ3" s="568"/>
      <c r="VMA3" s="568"/>
      <c r="VMB3" s="568"/>
      <c r="VMC3" s="568"/>
      <c r="VMD3" s="568"/>
      <c r="VME3" s="568"/>
      <c r="VMF3" s="568"/>
      <c r="VMG3" s="568"/>
      <c r="VMH3" s="568"/>
      <c r="VMI3" s="568"/>
      <c r="VMJ3" s="568"/>
      <c r="VMK3" s="568"/>
      <c r="VML3" s="568"/>
      <c r="VMM3" s="568"/>
      <c r="VMN3" s="568"/>
      <c r="VMO3" s="568"/>
      <c r="VMP3" s="568"/>
      <c r="VMQ3" s="568"/>
      <c r="VMR3" s="568"/>
      <c r="VMS3" s="568"/>
      <c r="VMT3" s="568"/>
      <c r="VMU3" s="568"/>
      <c r="VMV3" s="568"/>
      <c r="VMW3" s="568"/>
      <c r="VMX3" s="568"/>
      <c r="VMY3" s="568"/>
      <c r="VMZ3" s="568"/>
      <c r="VNA3" s="568"/>
      <c r="VNB3" s="568"/>
      <c r="VNC3" s="568"/>
      <c r="VND3" s="568"/>
      <c r="VNE3" s="568"/>
      <c r="VNF3" s="568"/>
      <c r="VNG3" s="568"/>
      <c r="VNH3" s="568"/>
      <c r="VNI3" s="568"/>
      <c r="VNJ3" s="568"/>
      <c r="VNK3" s="568"/>
      <c r="VNL3" s="568"/>
      <c r="VNM3" s="568"/>
      <c r="VNN3" s="568"/>
      <c r="VNO3" s="568"/>
      <c r="VNP3" s="568"/>
      <c r="VNQ3" s="568"/>
      <c r="VNR3" s="568"/>
      <c r="VNS3" s="568"/>
      <c r="VNT3" s="568"/>
      <c r="VNU3" s="568"/>
      <c r="VNV3" s="568"/>
      <c r="VNW3" s="568"/>
      <c r="VNX3" s="568"/>
      <c r="VNY3" s="568"/>
      <c r="VNZ3" s="568"/>
      <c r="VOA3" s="568"/>
      <c r="VOB3" s="568"/>
      <c r="VOC3" s="568"/>
      <c r="VOD3" s="568"/>
      <c r="VOE3" s="568"/>
      <c r="VOF3" s="568"/>
      <c r="VOG3" s="568"/>
      <c r="VOH3" s="568"/>
      <c r="VOI3" s="568"/>
      <c r="VOJ3" s="568"/>
      <c r="VOK3" s="568"/>
      <c r="VOL3" s="568"/>
      <c r="VOM3" s="568"/>
      <c r="VON3" s="568"/>
      <c r="VOO3" s="568"/>
      <c r="VOP3" s="568"/>
      <c r="VOQ3" s="568"/>
      <c r="VOR3" s="568"/>
      <c r="VOS3" s="568"/>
      <c r="VOT3" s="568"/>
      <c r="VOU3" s="568"/>
      <c r="VOV3" s="568"/>
      <c r="VOW3" s="568"/>
      <c r="VOX3" s="568"/>
      <c r="VOY3" s="568"/>
      <c r="VOZ3" s="568"/>
      <c r="VPA3" s="568"/>
      <c r="VPB3" s="568"/>
      <c r="VPC3" s="568"/>
      <c r="VPD3" s="568"/>
      <c r="VPE3" s="568"/>
      <c r="VPF3" s="568"/>
      <c r="VPG3" s="568"/>
      <c r="VPH3" s="568"/>
      <c r="VPI3" s="568"/>
      <c r="VPJ3" s="568"/>
      <c r="VPK3" s="568"/>
      <c r="VPL3" s="568"/>
      <c r="VPM3" s="568"/>
      <c r="VPN3" s="568"/>
      <c r="VPO3" s="568"/>
      <c r="VPP3" s="568"/>
      <c r="VPQ3" s="568"/>
      <c r="VPR3" s="568"/>
      <c r="VPS3" s="568"/>
      <c r="VPT3" s="568"/>
      <c r="VPU3" s="568"/>
      <c r="VPV3" s="568"/>
      <c r="VPW3" s="568"/>
      <c r="VPX3" s="568"/>
      <c r="VPY3" s="568"/>
      <c r="VPZ3" s="568"/>
      <c r="VQA3" s="568"/>
      <c r="VQB3" s="568"/>
      <c r="VQC3" s="568"/>
      <c r="VQD3" s="568"/>
      <c r="VQE3" s="568"/>
      <c r="VQF3" s="568"/>
      <c r="VQG3" s="568"/>
      <c r="VQH3" s="568"/>
      <c r="VQI3" s="568"/>
      <c r="VQJ3" s="568"/>
      <c r="VQK3" s="568"/>
      <c r="VQL3" s="568"/>
      <c r="VQM3" s="568"/>
      <c r="VQN3" s="568"/>
      <c r="VQO3" s="568"/>
      <c r="VQP3" s="568"/>
      <c r="VQQ3" s="568"/>
      <c r="VQR3" s="568"/>
      <c r="VQS3" s="568"/>
      <c r="VQT3" s="568"/>
      <c r="VQU3" s="568"/>
      <c r="VQV3" s="568"/>
      <c r="VQW3" s="568"/>
      <c r="VQX3" s="568"/>
      <c r="VQY3" s="568"/>
      <c r="VQZ3" s="568"/>
      <c r="VRA3" s="568"/>
      <c r="VRB3" s="568"/>
      <c r="VRC3" s="568"/>
      <c r="VRD3" s="568"/>
      <c r="VRE3" s="568"/>
      <c r="VRF3" s="568"/>
      <c r="VRG3" s="568"/>
      <c r="VRH3" s="568"/>
      <c r="VRI3" s="568"/>
      <c r="VRJ3" s="568"/>
      <c r="VRK3" s="568"/>
      <c r="VRL3" s="568"/>
      <c r="VRM3" s="568"/>
      <c r="VRN3" s="568"/>
      <c r="VRO3" s="568"/>
      <c r="VRP3" s="568"/>
      <c r="VRQ3" s="568"/>
      <c r="VRR3" s="568"/>
      <c r="VRS3" s="568"/>
      <c r="VRT3" s="568"/>
      <c r="VRU3" s="568"/>
      <c r="VRV3" s="568"/>
      <c r="VRW3" s="568"/>
      <c r="VRX3" s="568"/>
      <c r="VRY3" s="568"/>
      <c r="VRZ3" s="568"/>
      <c r="VSA3" s="568"/>
      <c r="VSB3" s="568"/>
      <c r="VSC3" s="568"/>
      <c r="VSD3" s="568"/>
      <c r="VSE3" s="568"/>
      <c r="VSF3" s="568"/>
      <c r="VSG3" s="568"/>
      <c r="VSH3" s="568"/>
      <c r="VSI3" s="568"/>
      <c r="VSJ3" s="568"/>
      <c r="VSK3" s="568"/>
      <c r="VSL3" s="568"/>
      <c r="VSM3" s="568"/>
      <c r="VSN3" s="568"/>
      <c r="VSO3" s="568"/>
      <c r="VSP3" s="568"/>
      <c r="VSQ3" s="568"/>
      <c r="VSR3" s="568"/>
      <c r="VSS3" s="568"/>
      <c r="VST3" s="568"/>
      <c r="VSU3" s="568"/>
      <c r="VSV3" s="568"/>
      <c r="VSW3" s="568"/>
      <c r="VSX3" s="568"/>
      <c r="VSY3" s="568"/>
      <c r="VSZ3" s="568"/>
      <c r="VTA3" s="568"/>
      <c r="VTB3" s="568"/>
      <c r="VTC3" s="568"/>
      <c r="VTD3" s="568"/>
      <c r="VTE3" s="568"/>
      <c r="VTF3" s="568"/>
      <c r="VTG3" s="568"/>
      <c r="VTH3" s="568"/>
      <c r="VTI3" s="568"/>
      <c r="VTJ3" s="568"/>
      <c r="VTK3" s="568"/>
      <c r="VTL3" s="568"/>
      <c r="VTM3" s="568"/>
      <c r="VTN3" s="568"/>
      <c r="VTO3" s="568"/>
      <c r="VTP3" s="568"/>
      <c r="VTQ3" s="568"/>
      <c r="VTR3" s="568"/>
      <c r="VTS3" s="568"/>
      <c r="VTT3" s="568"/>
      <c r="VTU3" s="568"/>
      <c r="VTV3" s="568"/>
      <c r="VTW3" s="568"/>
      <c r="VTX3" s="568"/>
      <c r="VTY3" s="568"/>
      <c r="VTZ3" s="568"/>
      <c r="VUA3" s="568"/>
      <c r="VUB3" s="568"/>
      <c r="VUC3" s="568"/>
      <c r="VUD3" s="568"/>
      <c r="VUE3" s="568"/>
      <c r="VUF3" s="568"/>
      <c r="VUG3" s="568"/>
      <c r="VUH3" s="568"/>
      <c r="VUI3" s="568"/>
      <c r="VUJ3" s="568"/>
      <c r="VUK3" s="568"/>
      <c r="VUL3" s="568"/>
      <c r="VUM3" s="568"/>
      <c r="VUN3" s="568"/>
      <c r="VUO3" s="568"/>
      <c r="VUP3" s="568"/>
      <c r="VUQ3" s="568"/>
      <c r="VUR3" s="568"/>
      <c r="VUS3" s="568"/>
      <c r="VUT3" s="568"/>
      <c r="VUU3" s="568"/>
      <c r="VUV3" s="568"/>
      <c r="VUW3" s="568"/>
      <c r="VUX3" s="568"/>
      <c r="VUY3" s="568"/>
      <c r="VUZ3" s="568"/>
      <c r="VVA3" s="568"/>
      <c r="VVB3" s="568"/>
      <c r="VVC3" s="568"/>
      <c r="VVD3" s="568"/>
      <c r="VVE3" s="568"/>
      <c r="VVF3" s="568"/>
      <c r="VVG3" s="568"/>
      <c r="VVH3" s="568"/>
      <c r="VVI3" s="568"/>
      <c r="VVJ3" s="568"/>
      <c r="VVK3" s="568"/>
      <c r="VVL3" s="568"/>
      <c r="VVM3" s="568"/>
      <c r="VVN3" s="568"/>
      <c r="VVO3" s="568"/>
      <c r="VVP3" s="568"/>
      <c r="VVQ3" s="568"/>
      <c r="VVR3" s="568"/>
      <c r="VVS3" s="568"/>
      <c r="VVT3" s="568"/>
      <c r="VVU3" s="568"/>
      <c r="VVV3" s="568"/>
      <c r="VVW3" s="568"/>
      <c r="VVX3" s="568"/>
      <c r="VVY3" s="568"/>
      <c r="VVZ3" s="568"/>
      <c r="VWA3" s="568"/>
      <c r="VWB3" s="568"/>
      <c r="VWC3" s="568"/>
      <c r="VWD3" s="568"/>
      <c r="VWE3" s="568"/>
      <c r="VWF3" s="568"/>
      <c r="VWG3" s="568"/>
      <c r="VWH3" s="568"/>
      <c r="VWI3" s="568"/>
      <c r="VWJ3" s="568"/>
      <c r="VWK3" s="568"/>
      <c r="VWL3" s="568"/>
      <c r="VWM3" s="568"/>
      <c r="VWN3" s="568"/>
      <c r="VWO3" s="568"/>
      <c r="VWP3" s="568"/>
      <c r="VWQ3" s="568"/>
      <c r="VWR3" s="568"/>
      <c r="VWS3" s="568"/>
      <c r="VWT3" s="568"/>
      <c r="VWU3" s="568"/>
      <c r="VWV3" s="568"/>
      <c r="VWW3" s="568"/>
      <c r="VWX3" s="568"/>
      <c r="VWY3" s="568"/>
      <c r="VWZ3" s="568"/>
      <c r="VXA3" s="568"/>
      <c r="VXB3" s="568"/>
      <c r="VXC3" s="568"/>
      <c r="VXD3" s="568"/>
      <c r="VXE3" s="568"/>
      <c r="VXF3" s="568"/>
      <c r="VXG3" s="568"/>
      <c r="VXH3" s="568"/>
      <c r="VXI3" s="568"/>
      <c r="VXJ3" s="568"/>
      <c r="VXK3" s="568"/>
      <c r="VXL3" s="568"/>
      <c r="VXM3" s="568"/>
      <c r="VXN3" s="568"/>
      <c r="VXO3" s="568"/>
      <c r="VXP3" s="568"/>
      <c r="VXQ3" s="568"/>
      <c r="VXR3" s="568"/>
      <c r="VXS3" s="568"/>
      <c r="VXT3" s="568"/>
      <c r="VXU3" s="568"/>
      <c r="VXV3" s="568"/>
      <c r="VXW3" s="568"/>
      <c r="VXX3" s="568"/>
      <c r="VXY3" s="568"/>
      <c r="VXZ3" s="568"/>
      <c r="VYA3" s="568"/>
      <c r="VYB3" s="568"/>
      <c r="VYC3" s="568"/>
      <c r="VYD3" s="568"/>
      <c r="VYE3" s="568"/>
      <c r="VYF3" s="568"/>
      <c r="VYG3" s="568"/>
      <c r="VYH3" s="568"/>
      <c r="VYI3" s="568"/>
      <c r="VYJ3" s="568"/>
      <c r="VYK3" s="568"/>
      <c r="VYL3" s="568"/>
      <c r="VYM3" s="568"/>
      <c r="VYN3" s="568"/>
      <c r="VYO3" s="568"/>
      <c r="VYP3" s="568"/>
      <c r="VYQ3" s="568"/>
      <c r="VYR3" s="568"/>
      <c r="VYS3" s="568"/>
      <c r="VYT3" s="568"/>
      <c r="VYU3" s="568"/>
      <c r="VYV3" s="568"/>
      <c r="VYW3" s="568"/>
      <c r="VYX3" s="568"/>
      <c r="VYY3" s="568"/>
      <c r="VYZ3" s="568"/>
      <c r="VZA3" s="568"/>
      <c r="VZB3" s="568"/>
      <c r="VZC3" s="568"/>
      <c r="VZD3" s="568"/>
      <c r="VZE3" s="568"/>
      <c r="VZF3" s="568"/>
      <c r="VZG3" s="568"/>
      <c r="VZH3" s="568"/>
      <c r="VZI3" s="568"/>
      <c r="VZJ3" s="568"/>
      <c r="VZK3" s="568"/>
      <c r="VZL3" s="568"/>
      <c r="VZM3" s="568"/>
      <c r="VZN3" s="568"/>
      <c r="VZO3" s="568"/>
      <c r="VZP3" s="568"/>
      <c r="VZQ3" s="568"/>
      <c r="VZR3" s="568"/>
      <c r="VZS3" s="568"/>
      <c r="VZT3" s="568"/>
      <c r="VZU3" s="568"/>
      <c r="VZV3" s="568"/>
      <c r="VZW3" s="568"/>
      <c r="VZX3" s="568"/>
      <c r="VZY3" s="568"/>
      <c r="VZZ3" s="568"/>
      <c r="WAA3" s="568"/>
      <c r="WAB3" s="568"/>
      <c r="WAC3" s="568"/>
      <c r="WAD3" s="568"/>
      <c r="WAE3" s="568"/>
      <c r="WAF3" s="568"/>
      <c r="WAG3" s="568"/>
      <c r="WAH3" s="568"/>
      <c r="WAI3" s="568"/>
      <c r="WAJ3" s="568"/>
      <c r="WAK3" s="568"/>
      <c r="WAL3" s="568"/>
      <c r="WAM3" s="568"/>
      <c r="WAN3" s="568"/>
      <c r="WAO3" s="568"/>
      <c r="WAP3" s="568"/>
      <c r="WAQ3" s="568"/>
      <c r="WAR3" s="568"/>
      <c r="WAS3" s="568"/>
      <c r="WAT3" s="568"/>
      <c r="WAU3" s="568"/>
      <c r="WAV3" s="568"/>
      <c r="WAW3" s="568"/>
      <c r="WAX3" s="568"/>
      <c r="WAY3" s="568"/>
      <c r="WAZ3" s="568"/>
      <c r="WBA3" s="568"/>
      <c r="WBB3" s="568"/>
      <c r="WBC3" s="568"/>
      <c r="WBD3" s="568"/>
      <c r="WBE3" s="568"/>
      <c r="WBF3" s="568"/>
      <c r="WBG3" s="568"/>
      <c r="WBH3" s="568"/>
      <c r="WBI3" s="568"/>
      <c r="WBJ3" s="568"/>
      <c r="WBK3" s="568"/>
      <c r="WBL3" s="568"/>
      <c r="WBM3" s="568"/>
      <c r="WBN3" s="568"/>
      <c r="WBO3" s="568"/>
      <c r="WBP3" s="568"/>
      <c r="WBQ3" s="568"/>
      <c r="WBR3" s="568"/>
      <c r="WBS3" s="568"/>
      <c r="WBT3" s="568"/>
      <c r="WBU3" s="568"/>
      <c r="WBV3" s="568"/>
      <c r="WBW3" s="568"/>
      <c r="WBX3" s="568"/>
      <c r="WBY3" s="568"/>
      <c r="WBZ3" s="568"/>
      <c r="WCA3" s="568"/>
      <c r="WCB3" s="568"/>
      <c r="WCC3" s="568"/>
      <c r="WCD3" s="568"/>
      <c r="WCE3" s="568"/>
      <c r="WCF3" s="568"/>
      <c r="WCG3" s="568"/>
      <c r="WCH3" s="568"/>
      <c r="WCI3" s="568"/>
      <c r="WCJ3" s="568"/>
      <c r="WCK3" s="568"/>
      <c r="WCL3" s="568"/>
      <c r="WCM3" s="568"/>
      <c r="WCN3" s="568"/>
      <c r="WCO3" s="568"/>
      <c r="WCP3" s="568"/>
      <c r="WCQ3" s="568"/>
      <c r="WCR3" s="568"/>
      <c r="WCS3" s="568"/>
      <c r="WCT3" s="568"/>
      <c r="WCU3" s="568"/>
      <c r="WCV3" s="568"/>
      <c r="WCW3" s="568"/>
      <c r="WCX3" s="568"/>
      <c r="WCY3" s="568"/>
      <c r="WCZ3" s="568"/>
      <c r="WDA3" s="568"/>
      <c r="WDB3" s="568"/>
      <c r="WDC3" s="568"/>
      <c r="WDD3" s="568"/>
      <c r="WDE3" s="568"/>
      <c r="WDF3" s="568"/>
      <c r="WDG3" s="568"/>
      <c r="WDH3" s="568"/>
      <c r="WDI3" s="568"/>
      <c r="WDJ3" s="568"/>
      <c r="WDK3" s="568"/>
      <c r="WDL3" s="568"/>
      <c r="WDM3" s="568"/>
      <c r="WDN3" s="568"/>
      <c r="WDO3" s="568"/>
      <c r="WDP3" s="568"/>
      <c r="WDQ3" s="568"/>
      <c r="WDR3" s="568"/>
      <c r="WDS3" s="568"/>
      <c r="WDT3" s="568"/>
      <c r="WDU3" s="568"/>
      <c r="WDV3" s="568"/>
      <c r="WDW3" s="568"/>
      <c r="WDX3" s="568"/>
      <c r="WDY3" s="568"/>
      <c r="WDZ3" s="568"/>
      <c r="WEA3" s="568"/>
      <c r="WEB3" s="568"/>
      <c r="WEC3" s="568"/>
      <c r="WED3" s="568"/>
      <c r="WEE3" s="568"/>
      <c r="WEF3" s="568"/>
      <c r="WEG3" s="568"/>
      <c r="WEH3" s="568"/>
      <c r="WEI3" s="568"/>
      <c r="WEJ3" s="568"/>
      <c r="WEK3" s="568"/>
      <c r="WEL3" s="568"/>
      <c r="WEM3" s="568"/>
      <c r="WEN3" s="568"/>
      <c r="WEO3" s="568"/>
      <c r="WEP3" s="568"/>
      <c r="WEQ3" s="568"/>
      <c r="WER3" s="568"/>
      <c r="WES3" s="568"/>
      <c r="WET3" s="568"/>
      <c r="WEU3" s="568"/>
      <c r="WEV3" s="568"/>
      <c r="WEW3" s="568"/>
      <c r="WEX3" s="568"/>
      <c r="WEY3" s="568"/>
      <c r="WEZ3" s="568"/>
      <c r="WFA3" s="568"/>
      <c r="WFB3" s="568"/>
      <c r="WFC3" s="568"/>
      <c r="WFD3" s="568"/>
      <c r="WFE3" s="568"/>
      <c r="WFF3" s="568"/>
      <c r="WFG3" s="568"/>
      <c r="WFH3" s="568"/>
      <c r="WFI3" s="568"/>
      <c r="WFJ3" s="568"/>
      <c r="WFK3" s="568"/>
      <c r="WFL3" s="568"/>
      <c r="WFM3" s="568"/>
      <c r="WFN3" s="568"/>
      <c r="WFO3" s="568"/>
      <c r="WFP3" s="568"/>
      <c r="WFQ3" s="568"/>
      <c r="WFR3" s="568"/>
      <c r="WFS3" s="568"/>
      <c r="WFT3" s="568"/>
      <c r="WFU3" s="568"/>
      <c r="WFV3" s="568"/>
      <c r="WFW3" s="568"/>
      <c r="WFX3" s="568"/>
      <c r="WFY3" s="568"/>
      <c r="WFZ3" s="568"/>
      <c r="WGA3" s="568"/>
      <c r="WGB3" s="568"/>
      <c r="WGC3" s="568"/>
      <c r="WGD3" s="568"/>
      <c r="WGE3" s="568"/>
      <c r="WGF3" s="568"/>
      <c r="WGG3" s="568"/>
      <c r="WGH3" s="568"/>
      <c r="WGI3" s="568"/>
      <c r="WGJ3" s="568"/>
      <c r="WGK3" s="568"/>
      <c r="WGL3" s="568"/>
      <c r="WGM3" s="568"/>
      <c r="WGN3" s="568"/>
      <c r="WGO3" s="568"/>
      <c r="WGP3" s="568"/>
      <c r="WGQ3" s="568"/>
      <c r="WGR3" s="568"/>
      <c r="WGS3" s="568"/>
      <c r="WGT3" s="568"/>
      <c r="WGU3" s="568"/>
      <c r="WGV3" s="568"/>
      <c r="WGW3" s="568"/>
      <c r="WGX3" s="568"/>
      <c r="WGY3" s="568"/>
      <c r="WGZ3" s="568"/>
      <c r="WHA3" s="568"/>
      <c r="WHB3" s="568"/>
      <c r="WHC3" s="568"/>
      <c r="WHD3" s="568"/>
      <c r="WHE3" s="568"/>
      <c r="WHF3" s="568"/>
      <c r="WHG3" s="568"/>
      <c r="WHH3" s="568"/>
      <c r="WHI3" s="568"/>
      <c r="WHJ3" s="568"/>
      <c r="WHK3" s="568"/>
      <c r="WHL3" s="568"/>
      <c r="WHM3" s="568"/>
      <c r="WHN3" s="568"/>
      <c r="WHO3" s="568"/>
      <c r="WHP3" s="568"/>
      <c r="WHQ3" s="568"/>
      <c r="WHR3" s="568"/>
      <c r="WHS3" s="568"/>
      <c r="WHT3" s="568"/>
      <c r="WHU3" s="568"/>
      <c r="WHV3" s="568"/>
      <c r="WHW3" s="568"/>
      <c r="WHX3" s="568"/>
      <c r="WHY3" s="568"/>
      <c r="WHZ3" s="568"/>
      <c r="WIA3" s="568"/>
      <c r="WIB3" s="568"/>
      <c r="WIC3" s="568"/>
      <c r="WID3" s="568"/>
      <c r="WIE3" s="568"/>
      <c r="WIF3" s="568"/>
      <c r="WIG3" s="568"/>
      <c r="WIH3" s="568"/>
      <c r="WII3" s="568"/>
      <c r="WIJ3" s="568"/>
      <c r="WIK3" s="568"/>
      <c r="WIL3" s="568"/>
      <c r="WIM3" s="568"/>
      <c r="WIN3" s="568"/>
      <c r="WIO3" s="568"/>
      <c r="WIP3" s="568"/>
      <c r="WIQ3" s="568"/>
      <c r="WIR3" s="568"/>
      <c r="WIS3" s="568"/>
      <c r="WIT3" s="568"/>
      <c r="WIU3" s="568"/>
      <c r="WIV3" s="568"/>
      <c r="WIW3" s="568"/>
      <c r="WIX3" s="568"/>
      <c r="WIY3" s="568"/>
      <c r="WIZ3" s="568"/>
      <c r="WJA3" s="568"/>
      <c r="WJB3" s="568"/>
      <c r="WJC3" s="568"/>
      <c r="WJD3" s="568"/>
      <c r="WJE3" s="568"/>
      <c r="WJF3" s="568"/>
      <c r="WJG3" s="568"/>
      <c r="WJH3" s="568"/>
      <c r="WJI3" s="568"/>
      <c r="WJJ3" s="568"/>
      <c r="WJK3" s="568"/>
      <c r="WJL3" s="568"/>
      <c r="WJM3" s="568"/>
      <c r="WJN3" s="568"/>
      <c r="WJO3" s="568"/>
      <c r="WJP3" s="568"/>
      <c r="WJQ3" s="568"/>
      <c r="WJR3" s="568"/>
      <c r="WJS3" s="568"/>
      <c r="WJT3" s="568"/>
      <c r="WJU3" s="568"/>
      <c r="WJV3" s="568"/>
      <c r="WJW3" s="568"/>
      <c r="WJX3" s="568"/>
      <c r="WJY3" s="568"/>
      <c r="WJZ3" s="568"/>
      <c r="WKA3" s="568"/>
      <c r="WKB3" s="568"/>
      <c r="WKC3" s="568"/>
      <c r="WKD3" s="568"/>
      <c r="WKE3" s="568"/>
      <c r="WKF3" s="568"/>
      <c r="WKG3" s="568"/>
      <c r="WKH3" s="568"/>
      <c r="WKI3" s="568"/>
      <c r="WKJ3" s="568"/>
      <c r="WKK3" s="568"/>
      <c r="WKL3" s="568"/>
      <c r="WKM3" s="568"/>
      <c r="WKN3" s="568"/>
      <c r="WKO3" s="568"/>
      <c r="WKP3" s="568"/>
      <c r="WKQ3" s="568"/>
      <c r="WKR3" s="568"/>
      <c r="WKS3" s="568"/>
      <c r="WKT3" s="568"/>
      <c r="WKU3" s="568"/>
      <c r="WKV3" s="568"/>
      <c r="WKW3" s="568"/>
      <c r="WKX3" s="568"/>
      <c r="WKY3" s="568"/>
      <c r="WKZ3" s="568"/>
      <c r="WLA3" s="568"/>
      <c r="WLB3" s="568"/>
      <c r="WLC3" s="568"/>
      <c r="WLD3" s="568"/>
      <c r="WLE3" s="568"/>
      <c r="WLF3" s="568"/>
      <c r="WLG3" s="568"/>
      <c r="WLH3" s="568"/>
      <c r="WLI3" s="568"/>
      <c r="WLJ3" s="568"/>
      <c r="WLK3" s="568"/>
      <c r="WLL3" s="568"/>
      <c r="WLM3" s="568"/>
      <c r="WLN3" s="568"/>
      <c r="WLO3" s="568"/>
      <c r="WLP3" s="568"/>
      <c r="WLQ3" s="568"/>
      <c r="WLR3" s="568"/>
      <c r="WLS3" s="568"/>
      <c r="WLT3" s="568"/>
      <c r="WLU3" s="568"/>
      <c r="WLV3" s="568"/>
      <c r="WLW3" s="568"/>
      <c r="WLX3" s="568"/>
      <c r="WLY3" s="568"/>
      <c r="WLZ3" s="568"/>
      <c r="WMA3" s="568"/>
      <c r="WMB3" s="568"/>
      <c r="WMC3" s="568"/>
      <c r="WMD3" s="568"/>
      <c r="WME3" s="568"/>
      <c r="WMF3" s="568"/>
      <c r="WMG3" s="568"/>
      <c r="WMH3" s="568"/>
      <c r="WMI3" s="568"/>
      <c r="WMJ3" s="568"/>
      <c r="WMK3" s="568"/>
      <c r="WML3" s="568"/>
      <c r="WMM3" s="568"/>
      <c r="WMN3" s="568"/>
      <c r="WMO3" s="568"/>
      <c r="WMP3" s="568"/>
      <c r="WMQ3" s="568"/>
      <c r="WMR3" s="568"/>
      <c r="WMS3" s="568"/>
      <c r="WMT3" s="568"/>
      <c r="WMU3" s="568"/>
      <c r="WMV3" s="568"/>
      <c r="WMW3" s="568"/>
      <c r="WMX3" s="568"/>
      <c r="WMY3" s="568"/>
      <c r="WMZ3" s="568"/>
      <c r="WNA3" s="568"/>
      <c r="WNB3" s="568"/>
      <c r="WNC3" s="568"/>
      <c r="WND3" s="568"/>
      <c r="WNE3" s="568"/>
      <c r="WNF3" s="568"/>
      <c r="WNG3" s="568"/>
      <c r="WNH3" s="568"/>
      <c r="WNI3" s="568"/>
      <c r="WNJ3" s="568"/>
      <c r="WNK3" s="568"/>
      <c r="WNL3" s="568"/>
      <c r="WNM3" s="568"/>
      <c r="WNN3" s="568"/>
      <c r="WNO3" s="568"/>
      <c r="WNP3" s="568"/>
      <c r="WNQ3" s="568"/>
      <c r="WNR3" s="568"/>
      <c r="WNS3" s="568"/>
      <c r="WNT3" s="568"/>
      <c r="WNU3" s="568"/>
      <c r="WNV3" s="568"/>
      <c r="WNW3" s="568"/>
      <c r="WNX3" s="568"/>
      <c r="WNY3" s="568"/>
      <c r="WNZ3" s="568"/>
      <c r="WOA3" s="568"/>
      <c r="WOB3" s="568"/>
      <c r="WOC3" s="568"/>
      <c r="WOD3" s="568"/>
      <c r="WOE3" s="568"/>
      <c r="WOF3" s="568"/>
      <c r="WOG3" s="568"/>
      <c r="WOH3" s="568"/>
      <c r="WOI3" s="568"/>
      <c r="WOJ3" s="568"/>
      <c r="WOK3" s="568"/>
      <c r="WOL3" s="568"/>
      <c r="WOM3" s="568"/>
      <c r="WON3" s="568"/>
      <c r="WOO3" s="568"/>
      <c r="WOP3" s="568"/>
      <c r="WOQ3" s="568"/>
      <c r="WOR3" s="568"/>
      <c r="WOS3" s="568"/>
      <c r="WOT3" s="568"/>
      <c r="WOU3" s="568"/>
      <c r="WOV3" s="568"/>
      <c r="WOW3" s="568"/>
      <c r="WOX3" s="568"/>
      <c r="WOY3" s="568"/>
      <c r="WOZ3" s="568"/>
      <c r="WPA3" s="568"/>
      <c r="WPB3" s="568"/>
      <c r="WPC3" s="568"/>
      <c r="WPD3" s="568"/>
      <c r="WPE3" s="568"/>
      <c r="WPF3" s="568"/>
      <c r="WPG3" s="568"/>
      <c r="WPH3" s="568"/>
      <c r="WPI3" s="568"/>
      <c r="WPJ3" s="568"/>
      <c r="WPK3" s="568"/>
      <c r="WPL3" s="568"/>
      <c r="WPM3" s="568"/>
      <c r="WPN3" s="568"/>
      <c r="WPO3" s="568"/>
      <c r="WPP3" s="568"/>
      <c r="WPQ3" s="568"/>
      <c r="WPR3" s="568"/>
      <c r="WPS3" s="568"/>
      <c r="WPT3" s="568"/>
      <c r="WPU3" s="568"/>
      <c r="WPV3" s="568"/>
      <c r="WPW3" s="568"/>
      <c r="WPX3" s="568"/>
      <c r="WPY3" s="568"/>
      <c r="WPZ3" s="568"/>
      <c r="WQA3" s="568"/>
      <c r="WQB3" s="568"/>
      <c r="WQC3" s="568"/>
      <c r="WQD3" s="568"/>
      <c r="WQE3" s="568"/>
      <c r="WQF3" s="568"/>
      <c r="WQG3" s="568"/>
      <c r="WQH3" s="568"/>
      <c r="WQI3" s="568"/>
      <c r="WQJ3" s="568"/>
      <c r="WQK3" s="568"/>
      <c r="WQL3" s="568"/>
      <c r="WQM3" s="568"/>
      <c r="WQN3" s="568"/>
      <c r="WQO3" s="568"/>
      <c r="WQP3" s="568"/>
      <c r="WQQ3" s="568"/>
      <c r="WQR3" s="568"/>
      <c r="WQS3" s="568"/>
      <c r="WQT3" s="568"/>
      <c r="WQU3" s="568"/>
      <c r="WQV3" s="568"/>
      <c r="WQW3" s="568"/>
      <c r="WQX3" s="568"/>
      <c r="WQY3" s="568"/>
      <c r="WQZ3" s="568"/>
      <c r="WRA3" s="568"/>
      <c r="WRB3" s="568"/>
      <c r="WRC3" s="568"/>
      <c r="WRD3" s="568"/>
      <c r="WRE3" s="568"/>
      <c r="WRF3" s="568"/>
      <c r="WRG3" s="568"/>
      <c r="WRH3" s="568"/>
      <c r="WRI3" s="568"/>
      <c r="WRJ3" s="568"/>
      <c r="WRK3" s="568"/>
      <c r="WRL3" s="568"/>
      <c r="WRM3" s="568"/>
      <c r="WRN3" s="568"/>
      <c r="WRO3" s="568"/>
      <c r="WRP3" s="568"/>
      <c r="WRQ3" s="568"/>
      <c r="WRR3" s="568"/>
      <c r="WRS3" s="568"/>
      <c r="WRT3" s="568"/>
      <c r="WRU3" s="568"/>
      <c r="WRV3" s="568"/>
      <c r="WRW3" s="568"/>
      <c r="WRX3" s="568"/>
      <c r="WRY3" s="568"/>
      <c r="WRZ3" s="568"/>
      <c r="WSA3" s="568"/>
      <c r="WSB3" s="568"/>
      <c r="WSC3" s="568"/>
      <c r="WSD3" s="568"/>
      <c r="WSE3" s="568"/>
      <c r="WSF3" s="568"/>
      <c r="WSG3" s="568"/>
      <c r="WSH3" s="568"/>
      <c r="WSI3" s="568"/>
      <c r="WSJ3" s="568"/>
      <c r="WSK3" s="568"/>
      <c r="WSL3" s="568"/>
      <c r="WSM3" s="568"/>
      <c r="WSN3" s="568"/>
      <c r="WSO3" s="568"/>
      <c r="WSP3" s="568"/>
      <c r="WSQ3" s="568"/>
      <c r="WSR3" s="568"/>
      <c r="WSS3" s="568"/>
      <c r="WST3" s="568"/>
      <c r="WSU3" s="568"/>
      <c r="WSV3" s="568"/>
      <c r="WSW3" s="568"/>
      <c r="WSX3" s="568"/>
      <c r="WSY3" s="568"/>
      <c r="WSZ3" s="568"/>
      <c r="WTA3" s="568"/>
      <c r="WTB3" s="568"/>
      <c r="WTC3" s="568"/>
      <c r="WTD3" s="568"/>
      <c r="WTE3" s="568"/>
      <c r="WTF3" s="568"/>
      <c r="WTG3" s="568"/>
      <c r="WTH3" s="568"/>
      <c r="WTI3" s="568"/>
      <c r="WTJ3" s="568"/>
      <c r="WTK3" s="568"/>
      <c r="WTL3" s="568"/>
      <c r="WTM3" s="568"/>
      <c r="WTN3" s="568"/>
      <c r="WTO3" s="568"/>
      <c r="WTP3" s="568"/>
      <c r="WTQ3" s="568"/>
      <c r="WTR3" s="568"/>
      <c r="WTS3" s="568"/>
      <c r="WTT3" s="568"/>
      <c r="WTU3" s="568"/>
      <c r="WTV3" s="568"/>
      <c r="WTW3" s="568"/>
      <c r="WTX3" s="568"/>
      <c r="WTY3" s="568"/>
      <c r="WTZ3" s="568"/>
      <c r="WUA3" s="568"/>
      <c r="WUB3" s="568"/>
      <c r="WUC3" s="568"/>
      <c r="WUD3" s="568"/>
      <c r="WUE3" s="568"/>
      <c r="WUF3" s="568"/>
      <c r="WUG3" s="568"/>
      <c r="WUH3" s="568"/>
      <c r="WUI3" s="568"/>
      <c r="WUJ3" s="568"/>
      <c r="WUK3" s="568"/>
      <c r="WUL3" s="568"/>
      <c r="WUM3" s="568"/>
      <c r="WUN3" s="568"/>
      <c r="WUO3" s="568"/>
      <c r="WUP3" s="568"/>
      <c r="WUQ3" s="568"/>
      <c r="WUR3" s="568"/>
      <c r="WUS3" s="568"/>
      <c r="WUT3" s="568"/>
      <c r="WUU3" s="568"/>
      <c r="WUV3" s="568"/>
      <c r="WUW3" s="568"/>
      <c r="WUX3" s="568"/>
      <c r="WUY3" s="568"/>
      <c r="WUZ3" s="568"/>
      <c r="WVA3" s="568"/>
      <c r="WVB3" s="568"/>
      <c r="WVC3" s="568"/>
      <c r="WVD3" s="568"/>
      <c r="WVE3" s="568"/>
      <c r="WVF3" s="568"/>
      <c r="WVG3" s="568"/>
      <c r="WVH3" s="568"/>
      <c r="WVI3" s="568"/>
      <c r="WVJ3" s="568"/>
      <c r="WVK3" s="568"/>
      <c r="WVL3" s="568"/>
      <c r="WVM3" s="568"/>
      <c r="WVN3" s="568"/>
      <c r="WVO3" s="568"/>
      <c r="WVP3" s="568"/>
      <c r="WVQ3" s="568"/>
      <c r="WVR3" s="568"/>
      <c r="WVS3" s="568"/>
      <c r="WVT3" s="568"/>
      <c r="WVU3" s="568"/>
      <c r="WVV3" s="568"/>
      <c r="WVW3" s="568"/>
      <c r="WVX3" s="568"/>
      <c r="WVY3" s="568"/>
      <c r="WVZ3" s="568"/>
      <c r="WWA3" s="568"/>
      <c r="WWB3" s="568"/>
      <c r="WWC3" s="568"/>
      <c r="WWD3" s="568"/>
      <c r="WWE3" s="568"/>
      <c r="WWF3" s="568"/>
      <c r="WWG3" s="568"/>
      <c r="WWH3" s="568"/>
      <c r="WWI3" s="568"/>
      <c r="WWJ3" s="568"/>
      <c r="WWK3" s="568"/>
      <c r="WWL3" s="568"/>
      <c r="WWM3" s="568"/>
      <c r="WWN3" s="568"/>
      <c r="WWO3" s="568"/>
      <c r="WWP3" s="568"/>
      <c r="WWQ3" s="568"/>
      <c r="WWR3" s="568"/>
      <c r="WWS3" s="568"/>
      <c r="WWT3" s="568"/>
      <c r="WWU3" s="568"/>
      <c r="WWV3" s="568"/>
      <c r="WWW3" s="568"/>
      <c r="WWX3" s="568"/>
      <c r="WWY3" s="568"/>
      <c r="WWZ3" s="568"/>
      <c r="WXA3" s="568"/>
      <c r="WXB3" s="568"/>
      <c r="WXC3" s="568"/>
      <c r="WXD3" s="568"/>
      <c r="WXE3" s="568"/>
      <c r="WXF3" s="568"/>
      <c r="WXG3" s="568"/>
      <c r="WXH3" s="568"/>
      <c r="WXI3" s="568"/>
      <c r="WXJ3" s="568"/>
      <c r="WXK3" s="568"/>
      <c r="WXL3" s="568"/>
      <c r="WXM3" s="568"/>
      <c r="WXN3" s="568"/>
      <c r="WXO3" s="568"/>
      <c r="WXP3" s="568"/>
      <c r="WXQ3" s="568"/>
      <c r="WXR3" s="568"/>
      <c r="WXS3" s="568"/>
      <c r="WXT3" s="568"/>
      <c r="WXU3" s="568"/>
      <c r="WXV3" s="568"/>
      <c r="WXW3" s="568"/>
      <c r="WXX3" s="568"/>
      <c r="WXY3" s="568"/>
      <c r="WXZ3" s="568"/>
      <c r="WYA3" s="568"/>
      <c r="WYB3" s="568"/>
      <c r="WYC3" s="568"/>
      <c r="WYD3" s="568"/>
      <c r="WYE3" s="568"/>
      <c r="WYF3" s="568"/>
      <c r="WYG3" s="568"/>
      <c r="WYH3" s="568"/>
      <c r="WYI3" s="568"/>
      <c r="WYJ3" s="568"/>
      <c r="WYK3" s="568"/>
      <c r="WYL3" s="568"/>
      <c r="WYM3" s="568"/>
      <c r="WYN3" s="568"/>
      <c r="WYO3" s="568"/>
      <c r="WYP3" s="568"/>
      <c r="WYQ3" s="568"/>
      <c r="WYR3" s="568"/>
      <c r="WYS3" s="568"/>
      <c r="WYT3" s="568"/>
      <c r="WYU3" s="568"/>
      <c r="WYV3" s="568"/>
      <c r="WYW3" s="568"/>
      <c r="WYX3" s="568"/>
      <c r="WYY3" s="568"/>
      <c r="WYZ3" s="568"/>
      <c r="WZA3" s="568"/>
      <c r="WZB3" s="568"/>
      <c r="WZC3" s="568"/>
      <c r="WZD3" s="568"/>
      <c r="WZE3" s="568"/>
      <c r="WZF3" s="568"/>
      <c r="WZG3" s="568"/>
      <c r="WZH3" s="568"/>
      <c r="WZI3" s="568"/>
      <c r="WZJ3" s="568"/>
      <c r="WZK3" s="568"/>
      <c r="WZL3" s="568"/>
      <c r="WZM3" s="568"/>
      <c r="WZN3" s="568"/>
      <c r="WZO3" s="568"/>
      <c r="WZP3" s="568"/>
      <c r="WZQ3" s="568"/>
      <c r="WZR3" s="568"/>
      <c r="WZS3" s="568"/>
      <c r="WZT3" s="568"/>
      <c r="WZU3" s="568"/>
      <c r="WZV3" s="568"/>
      <c r="WZW3" s="568"/>
      <c r="WZX3" s="568"/>
      <c r="WZY3" s="568"/>
      <c r="WZZ3" s="568"/>
      <c r="XAA3" s="568"/>
      <c r="XAB3" s="568"/>
      <c r="XAC3" s="568"/>
      <c r="XAD3" s="568"/>
      <c r="XAE3" s="568"/>
      <c r="XAF3" s="568"/>
      <c r="XAG3" s="568"/>
      <c r="XAH3" s="568"/>
      <c r="XAI3" s="568"/>
      <c r="XAJ3" s="568"/>
      <c r="XAK3" s="568"/>
      <c r="XAL3" s="568"/>
      <c r="XAM3" s="568"/>
      <c r="XAN3" s="568"/>
      <c r="XAO3" s="568"/>
      <c r="XAP3" s="568"/>
      <c r="XAQ3" s="568"/>
      <c r="XAR3" s="568"/>
      <c r="XAS3" s="568"/>
      <c r="XAT3" s="568"/>
      <c r="XAU3" s="568"/>
      <c r="XAV3" s="568"/>
      <c r="XAW3" s="568"/>
      <c r="XAX3" s="568"/>
      <c r="XAY3" s="568"/>
      <c r="XAZ3" s="568"/>
      <c r="XBA3" s="568"/>
      <c r="XBB3" s="568"/>
      <c r="XBC3" s="568"/>
      <c r="XBD3" s="568"/>
      <c r="XBE3" s="568"/>
      <c r="XBF3" s="568"/>
      <c r="XBG3" s="568"/>
      <c r="XBH3" s="568"/>
      <c r="XBI3" s="568"/>
      <c r="XBJ3" s="568"/>
      <c r="XBK3" s="568"/>
      <c r="XBL3" s="568"/>
      <c r="XBM3" s="568"/>
      <c r="XBN3" s="568"/>
      <c r="XBO3" s="568"/>
      <c r="XBP3" s="568"/>
      <c r="XBQ3" s="568"/>
      <c r="XBR3" s="568"/>
      <c r="XBS3" s="568"/>
      <c r="XBT3" s="568"/>
      <c r="XBU3" s="568"/>
      <c r="XBV3" s="568"/>
      <c r="XBW3" s="568"/>
      <c r="XBX3" s="568"/>
      <c r="XBY3" s="568"/>
      <c r="XBZ3" s="568"/>
      <c r="XCA3" s="568"/>
      <c r="XCB3" s="568"/>
      <c r="XCC3" s="568"/>
      <c r="XCD3" s="568"/>
      <c r="XCE3" s="568"/>
      <c r="XCF3" s="568"/>
      <c r="XCG3" s="568"/>
      <c r="XCH3" s="568"/>
      <c r="XCI3" s="568"/>
      <c r="XCJ3" s="568"/>
      <c r="XCK3" s="568"/>
      <c r="XCL3" s="568"/>
      <c r="XCM3" s="568"/>
      <c r="XCN3" s="568"/>
      <c r="XCO3" s="568"/>
      <c r="XCP3" s="568"/>
      <c r="XCQ3" s="568"/>
      <c r="XCR3" s="568"/>
      <c r="XCS3" s="568"/>
      <c r="XCT3" s="568"/>
      <c r="XCU3" s="568"/>
      <c r="XCV3" s="568"/>
      <c r="XCW3" s="568"/>
      <c r="XCX3" s="568"/>
      <c r="XCY3" s="568"/>
      <c r="XCZ3" s="568"/>
      <c r="XDA3" s="568"/>
      <c r="XDB3" s="568"/>
      <c r="XDC3" s="568"/>
      <c r="XDD3" s="568"/>
      <c r="XDE3" s="568"/>
      <c r="XDF3" s="568"/>
      <c r="XDG3" s="568"/>
      <c r="XDH3" s="568"/>
      <c r="XDI3" s="568"/>
      <c r="XDJ3" s="568"/>
      <c r="XDK3" s="568"/>
      <c r="XDL3" s="568"/>
      <c r="XDM3" s="568"/>
      <c r="XDN3" s="568"/>
      <c r="XDO3" s="568"/>
      <c r="XDP3" s="568"/>
      <c r="XDQ3" s="568"/>
      <c r="XDR3" s="568"/>
      <c r="XDS3" s="568"/>
      <c r="XDT3" s="568"/>
      <c r="XDU3" s="568"/>
      <c r="XDV3" s="568"/>
      <c r="XDW3" s="568"/>
      <c r="XDX3" s="568"/>
      <c r="XDY3" s="568"/>
      <c r="XDZ3" s="568"/>
      <c r="XEA3" s="568"/>
      <c r="XEB3" s="568"/>
      <c r="XEC3" s="568"/>
      <c r="XED3" s="568"/>
      <c r="XEE3" s="568"/>
      <c r="XEF3" s="568"/>
      <c r="XEG3" s="568"/>
      <c r="XEH3" s="568"/>
      <c r="XEI3" s="568"/>
      <c r="XEJ3" s="568"/>
      <c r="XEK3" s="568"/>
      <c r="XEL3" s="568"/>
      <c r="XEM3" s="568"/>
      <c r="XEN3" s="568"/>
      <c r="XEO3" s="568"/>
      <c r="XEP3" s="568"/>
      <c r="XEQ3" s="568"/>
      <c r="XER3" s="568"/>
      <c r="XES3" s="568"/>
      <c r="XET3" s="568"/>
      <c r="XEU3" s="568"/>
      <c r="XEV3" s="568"/>
      <c r="XEW3" s="568"/>
      <c r="XEX3" s="568"/>
      <c r="XEY3" s="568"/>
      <c r="XEZ3" s="568"/>
      <c r="XFA3" s="568"/>
      <c r="XFB3" s="568"/>
      <c r="XFC3" s="568"/>
      <c r="XFD3" s="568"/>
    </row>
    <row r="4" spans="1:16384" ht="17.25" customHeight="1" x14ac:dyDescent="0.5">
      <c r="A4" s="245" t="str">
        <f>"FOR "&amp;Index!J2&amp;" "&amp;" ENDED"</f>
        <v>FOR YEAR  ENDED</v>
      </c>
      <c r="B4" s="245"/>
      <c r="C4" s="245"/>
      <c r="D4" s="245"/>
      <c r="E4" s="245"/>
      <c r="F4" s="521" t="s">
        <v>69</v>
      </c>
      <c r="G4" s="521" t="s">
        <v>69</v>
      </c>
      <c r="H4" s="521"/>
      <c r="I4" s="521" t="s">
        <v>49</v>
      </c>
      <c r="J4" s="524" t="s">
        <v>113</v>
      </c>
      <c r="K4" s="524" t="s">
        <v>112</v>
      </c>
      <c r="L4" s="523"/>
      <c r="M4" s="523"/>
      <c r="N4" s="523"/>
      <c r="O4" s="523"/>
      <c r="P4" s="523" t="s">
        <v>171</v>
      </c>
      <c r="Q4" s="523"/>
      <c r="R4" s="523"/>
      <c r="S4" s="523"/>
      <c r="T4" s="523"/>
      <c r="U4" s="568"/>
      <c r="V4" s="568"/>
      <c r="W4" s="568"/>
      <c r="X4" s="568"/>
      <c r="Y4" s="568"/>
      <c r="Z4" s="568"/>
      <c r="AA4" s="568"/>
      <c r="AB4" s="568"/>
      <c r="AC4" s="568"/>
      <c r="AD4" s="568"/>
      <c r="AE4" s="568"/>
      <c r="AF4" s="568"/>
      <c r="AG4" s="568"/>
      <c r="AH4" s="568"/>
      <c r="AI4" s="568"/>
      <c r="AJ4" s="568"/>
      <c r="AK4" s="568"/>
      <c r="AL4" s="568"/>
      <c r="AM4" s="568"/>
      <c r="AN4" s="568"/>
      <c r="AO4" s="568"/>
      <c r="AP4" s="568"/>
      <c r="AQ4" s="568"/>
      <c r="AR4" s="568"/>
      <c r="AS4" s="568"/>
      <c r="AT4" s="568"/>
      <c r="AU4" s="568"/>
      <c r="AV4" s="568"/>
      <c r="AW4" s="568"/>
      <c r="AX4" s="568"/>
      <c r="AY4" s="568"/>
      <c r="AZ4" s="568"/>
      <c r="BA4" s="568"/>
      <c r="BB4" s="568"/>
      <c r="BC4" s="568"/>
      <c r="BD4" s="568"/>
      <c r="BE4" s="568"/>
      <c r="BF4" s="568"/>
      <c r="BG4" s="568"/>
      <c r="BH4" s="568"/>
      <c r="BI4" s="568"/>
      <c r="BJ4" s="568"/>
      <c r="BK4" s="568"/>
      <c r="BL4" s="568"/>
      <c r="BM4" s="568"/>
      <c r="BN4" s="568"/>
      <c r="BO4" s="568"/>
      <c r="BP4" s="568"/>
      <c r="BQ4" s="568"/>
      <c r="BR4" s="568"/>
      <c r="BS4" s="568"/>
      <c r="BT4" s="568"/>
      <c r="BU4" s="568"/>
      <c r="BV4" s="568"/>
      <c r="BW4" s="568"/>
      <c r="BX4" s="568"/>
      <c r="BY4" s="568"/>
      <c r="BZ4" s="568"/>
      <c r="CA4" s="568"/>
      <c r="CB4" s="568"/>
      <c r="CC4" s="568"/>
      <c r="CD4" s="568"/>
      <c r="CE4" s="568"/>
      <c r="CF4" s="568"/>
      <c r="CG4" s="568"/>
      <c r="CH4" s="568"/>
      <c r="CI4" s="568"/>
      <c r="CJ4" s="568"/>
      <c r="CK4" s="568"/>
      <c r="CL4" s="568"/>
      <c r="CM4" s="568"/>
      <c r="CN4" s="568"/>
      <c r="CO4" s="568"/>
      <c r="CP4" s="568"/>
      <c r="CQ4" s="568"/>
      <c r="CR4" s="568"/>
      <c r="CS4" s="568"/>
      <c r="CT4" s="568"/>
      <c r="CU4" s="568"/>
      <c r="CV4" s="568"/>
      <c r="CW4" s="568"/>
      <c r="CX4" s="568"/>
      <c r="CY4" s="568"/>
      <c r="CZ4" s="568"/>
      <c r="DA4" s="568"/>
      <c r="DB4" s="568"/>
      <c r="DC4" s="568"/>
      <c r="DD4" s="568"/>
      <c r="DE4" s="568"/>
      <c r="DF4" s="568"/>
      <c r="DG4" s="568"/>
      <c r="DH4" s="568"/>
      <c r="DI4" s="568"/>
      <c r="DJ4" s="568"/>
      <c r="DK4" s="568"/>
      <c r="DL4" s="568"/>
      <c r="DM4" s="568"/>
      <c r="DN4" s="568"/>
      <c r="DO4" s="568"/>
      <c r="DP4" s="568"/>
      <c r="DQ4" s="568"/>
      <c r="DR4" s="568"/>
      <c r="DS4" s="568"/>
      <c r="DT4" s="568"/>
      <c r="DU4" s="568"/>
      <c r="DV4" s="568"/>
      <c r="DW4" s="568"/>
      <c r="DX4" s="568"/>
      <c r="DY4" s="568"/>
      <c r="DZ4" s="568"/>
      <c r="EA4" s="568"/>
      <c r="EB4" s="568"/>
      <c r="EC4" s="568"/>
      <c r="ED4" s="568"/>
      <c r="EE4" s="568"/>
      <c r="EF4" s="568"/>
      <c r="EG4" s="568"/>
      <c r="EH4" s="568"/>
      <c r="EI4" s="568"/>
      <c r="EJ4" s="568"/>
      <c r="EK4" s="568"/>
      <c r="EL4" s="568"/>
      <c r="EM4" s="568"/>
      <c r="EN4" s="568"/>
      <c r="EO4" s="568"/>
      <c r="EP4" s="568"/>
      <c r="EQ4" s="568"/>
      <c r="ER4" s="568"/>
      <c r="ES4" s="568"/>
      <c r="ET4" s="568"/>
      <c r="EU4" s="568"/>
      <c r="EV4" s="568"/>
      <c r="EW4" s="568"/>
      <c r="EX4" s="568"/>
      <c r="EY4" s="568"/>
      <c r="EZ4" s="568"/>
      <c r="FA4" s="568"/>
      <c r="FB4" s="568"/>
      <c r="FC4" s="568"/>
      <c r="FD4" s="568"/>
      <c r="FE4" s="568"/>
      <c r="FF4" s="568"/>
      <c r="FG4" s="568"/>
      <c r="FH4" s="568"/>
      <c r="FI4" s="568"/>
      <c r="FJ4" s="568"/>
      <c r="FK4" s="568"/>
      <c r="FL4" s="568"/>
      <c r="FM4" s="568"/>
      <c r="FN4" s="568"/>
      <c r="FO4" s="568"/>
      <c r="FP4" s="568"/>
      <c r="FQ4" s="568"/>
      <c r="FR4" s="568"/>
      <c r="FS4" s="568"/>
      <c r="FT4" s="568"/>
      <c r="FU4" s="568"/>
      <c r="FV4" s="568"/>
      <c r="FW4" s="568"/>
      <c r="FX4" s="568"/>
      <c r="FY4" s="568"/>
      <c r="FZ4" s="568"/>
      <c r="GA4" s="568"/>
      <c r="GB4" s="568"/>
      <c r="GC4" s="568"/>
      <c r="GD4" s="568"/>
      <c r="GE4" s="568"/>
      <c r="GF4" s="568"/>
      <c r="GG4" s="568"/>
      <c r="GH4" s="568"/>
      <c r="GI4" s="568"/>
      <c r="GJ4" s="568"/>
      <c r="GK4" s="568"/>
      <c r="GL4" s="568"/>
      <c r="GM4" s="568"/>
      <c r="GN4" s="568"/>
      <c r="GO4" s="568"/>
      <c r="GP4" s="568"/>
      <c r="GQ4" s="568"/>
      <c r="GR4" s="568"/>
      <c r="GS4" s="568"/>
      <c r="GT4" s="568"/>
      <c r="GU4" s="568"/>
      <c r="GV4" s="568"/>
      <c r="GW4" s="568"/>
      <c r="GX4" s="568"/>
      <c r="GY4" s="568"/>
      <c r="GZ4" s="568"/>
      <c r="HA4" s="568"/>
      <c r="HB4" s="568"/>
      <c r="HC4" s="568"/>
      <c r="HD4" s="568"/>
      <c r="HE4" s="568"/>
      <c r="HF4" s="568"/>
      <c r="HG4" s="568"/>
      <c r="HH4" s="568"/>
      <c r="HI4" s="568"/>
      <c r="HJ4" s="568"/>
      <c r="HK4" s="568"/>
      <c r="HL4" s="568"/>
      <c r="HM4" s="568"/>
      <c r="HN4" s="568"/>
      <c r="HO4" s="568"/>
      <c r="HP4" s="568"/>
      <c r="HQ4" s="568"/>
      <c r="HR4" s="568"/>
      <c r="HS4" s="568"/>
      <c r="HT4" s="568"/>
      <c r="HU4" s="568"/>
      <c r="HV4" s="568"/>
      <c r="HW4" s="568"/>
      <c r="HX4" s="568"/>
      <c r="HY4" s="568"/>
      <c r="HZ4" s="568"/>
      <c r="IA4" s="568"/>
      <c r="IB4" s="568"/>
      <c r="IC4" s="568"/>
      <c r="ID4" s="568"/>
      <c r="IE4" s="568"/>
      <c r="IF4" s="568"/>
      <c r="IG4" s="568"/>
      <c r="IH4" s="568"/>
      <c r="II4" s="568"/>
      <c r="IJ4" s="568"/>
      <c r="IK4" s="568"/>
      <c r="IL4" s="568"/>
      <c r="IM4" s="568"/>
      <c r="IN4" s="568"/>
      <c r="IO4" s="568"/>
      <c r="IP4" s="568"/>
      <c r="IQ4" s="568"/>
      <c r="IR4" s="568"/>
      <c r="IS4" s="568"/>
      <c r="IT4" s="568"/>
      <c r="IU4" s="568"/>
      <c r="IV4" s="568"/>
      <c r="IW4" s="568"/>
      <c r="IX4" s="568"/>
      <c r="IY4" s="568"/>
      <c r="IZ4" s="568"/>
      <c r="JA4" s="568"/>
      <c r="JB4" s="568"/>
      <c r="JC4" s="568"/>
      <c r="JD4" s="568"/>
      <c r="JE4" s="568"/>
      <c r="JF4" s="568"/>
      <c r="JG4" s="568"/>
      <c r="JH4" s="568"/>
      <c r="JI4" s="568"/>
      <c r="JJ4" s="568"/>
      <c r="JK4" s="568"/>
      <c r="JL4" s="568"/>
      <c r="JM4" s="568"/>
      <c r="JN4" s="568"/>
      <c r="JO4" s="568"/>
      <c r="JP4" s="568"/>
      <c r="JQ4" s="568"/>
      <c r="JR4" s="568"/>
      <c r="JS4" s="568"/>
      <c r="JT4" s="568"/>
      <c r="JU4" s="568"/>
      <c r="JV4" s="568"/>
      <c r="JW4" s="568"/>
      <c r="JX4" s="568"/>
      <c r="JY4" s="568"/>
      <c r="JZ4" s="568"/>
      <c r="KA4" s="568"/>
      <c r="KB4" s="568"/>
      <c r="KC4" s="568"/>
      <c r="KD4" s="568"/>
      <c r="KE4" s="568"/>
      <c r="KF4" s="568"/>
      <c r="KG4" s="568"/>
      <c r="KH4" s="568"/>
      <c r="KI4" s="568"/>
      <c r="KJ4" s="568"/>
      <c r="KK4" s="568"/>
      <c r="KL4" s="568"/>
      <c r="KM4" s="568"/>
      <c r="KN4" s="568"/>
      <c r="KO4" s="568"/>
      <c r="KP4" s="568"/>
      <c r="KQ4" s="568"/>
      <c r="KR4" s="568"/>
      <c r="KS4" s="568"/>
      <c r="KT4" s="568"/>
      <c r="KU4" s="568"/>
      <c r="KV4" s="568"/>
      <c r="KW4" s="568"/>
      <c r="KX4" s="568"/>
      <c r="KY4" s="568"/>
      <c r="KZ4" s="568"/>
      <c r="LA4" s="568"/>
      <c r="LB4" s="568"/>
      <c r="LC4" s="568"/>
      <c r="LD4" s="568"/>
      <c r="LE4" s="568"/>
      <c r="LF4" s="568"/>
      <c r="LG4" s="568"/>
      <c r="LH4" s="568"/>
      <c r="LI4" s="568"/>
      <c r="LJ4" s="568"/>
      <c r="LK4" s="568"/>
      <c r="LL4" s="568"/>
      <c r="LM4" s="568"/>
      <c r="LN4" s="568"/>
      <c r="LO4" s="568"/>
      <c r="LP4" s="568"/>
      <c r="LQ4" s="568"/>
      <c r="LR4" s="568"/>
      <c r="LS4" s="568"/>
      <c r="LT4" s="568"/>
      <c r="LU4" s="568"/>
      <c r="LV4" s="568"/>
      <c r="LW4" s="568"/>
      <c r="LX4" s="568"/>
      <c r="LY4" s="568"/>
      <c r="LZ4" s="568"/>
      <c r="MA4" s="568"/>
      <c r="MB4" s="568"/>
      <c r="MC4" s="568"/>
      <c r="MD4" s="568"/>
      <c r="ME4" s="568"/>
      <c r="MF4" s="568"/>
      <c r="MG4" s="568"/>
      <c r="MH4" s="568"/>
      <c r="MI4" s="568"/>
      <c r="MJ4" s="568"/>
      <c r="MK4" s="568"/>
      <c r="ML4" s="568"/>
      <c r="MM4" s="568"/>
      <c r="MN4" s="568"/>
      <c r="MO4" s="568"/>
      <c r="MP4" s="568"/>
      <c r="MQ4" s="568"/>
      <c r="MR4" s="568"/>
      <c r="MS4" s="568"/>
      <c r="MT4" s="568"/>
      <c r="MU4" s="568"/>
      <c r="MV4" s="568"/>
      <c r="MW4" s="568"/>
      <c r="MX4" s="568"/>
      <c r="MY4" s="568"/>
      <c r="MZ4" s="568"/>
      <c r="NA4" s="568"/>
      <c r="NB4" s="568"/>
      <c r="NC4" s="568"/>
      <c r="ND4" s="568"/>
      <c r="NE4" s="568"/>
      <c r="NF4" s="568"/>
      <c r="NG4" s="568"/>
      <c r="NH4" s="568"/>
      <c r="NI4" s="568"/>
      <c r="NJ4" s="568"/>
      <c r="NK4" s="568"/>
      <c r="NL4" s="568"/>
      <c r="NM4" s="568"/>
      <c r="NN4" s="568"/>
      <c r="NO4" s="568"/>
      <c r="NP4" s="568"/>
      <c r="NQ4" s="568"/>
      <c r="NR4" s="568"/>
      <c r="NS4" s="568"/>
      <c r="NT4" s="568"/>
      <c r="NU4" s="568"/>
      <c r="NV4" s="568"/>
      <c r="NW4" s="568"/>
      <c r="NX4" s="568"/>
      <c r="NY4" s="568"/>
      <c r="NZ4" s="568"/>
      <c r="OA4" s="568"/>
      <c r="OB4" s="568"/>
      <c r="OC4" s="568"/>
      <c r="OD4" s="568"/>
      <c r="OE4" s="568"/>
      <c r="OF4" s="568"/>
      <c r="OG4" s="568"/>
      <c r="OH4" s="568"/>
      <c r="OI4" s="568"/>
      <c r="OJ4" s="568"/>
      <c r="OK4" s="568"/>
      <c r="OL4" s="568"/>
      <c r="OM4" s="568"/>
      <c r="ON4" s="568"/>
      <c r="OO4" s="568"/>
      <c r="OP4" s="568"/>
      <c r="OQ4" s="568"/>
      <c r="OR4" s="568"/>
      <c r="OS4" s="568"/>
      <c r="OT4" s="568"/>
      <c r="OU4" s="568"/>
      <c r="OV4" s="568"/>
      <c r="OW4" s="568"/>
      <c r="OX4" s="568"/>
      <c r="OY4" s="568"/>
      <c r="OZ4" s="568"/>
      <c r="PA4" s="568"/>
      <c r="PB4" s="568"/>
      <c r="PC4" s="568"/>
      <c r="PD4" s="568"/>
      <c r="PE4" s="568"/>
      <c r="PF4" s="568"/>
      <c r="PG4" s="568"/>
      <c r="PH4" s="568"/>
      <c r="PI4" s="568"/>
      <c r="PJ4" s="568"/>
      <c r="PK4" s="568"/>
      <c r="PL4" s="568"/>
      <c r="PM4" s="568"/>
      <c r="PN4" s="568"/>
      <c r="PO4" s="568"/>
      <c r="PP4" s="568"/>
      <c r="PQ4" s="568"/>
      <c r="PR4" s="568"/>
      <c r="PS4" s="568"/>
      <c r="PT4" s="568"/>
      <c r="PU4" s="568"/>
      <c r="PV4" s="568"/>
      <c r="PW4" s="568"/>
      <c r="PX4" s="568"/>
      <c r="PY4" s="568"/>
      <c r="PZ4" s="568"/>
      <c r="QA4" s="568"/>
      <c r="QB4" s="568"/>
      <c r="QC4" s="568"/>
      <c r="QD4" s="568"/>
      <c r="QE4" s="568"/>
      <c r="QF4" s="568"/>
      <c r="QG4" s="568"/>
      <c r="QH4" s="568"/>
      <c r="QI4" s="568"/>
      <c r="QJ4" s="568"/>
      <c r="QK4" s="568"/>
      <c r="QL4" s="568"/>
      <c r="QM4" s="568"/>
      <c r="QN4" s="568"/>
      <c r="QO4" s="568"/>
      <c r="QP4" s="568"/>
      <c r="QQ4" s="568"/>
      <c r="QR4" s="568"/>
      <c r="QS4" s="568"/>
      <c r="QT4" s="568"/>
      <c r="QU4" s="568"/>
      <c r="QV4" s="568"/>
      <c r="QW4" s="568"/>
      <c r="QX4" s="568"/>
      <c r="QY4" s="568"/>
      <c r="QZ4" s="568"/>
      <c r="RA4" s="568"/>
      <c r="RB4" s="568"/>
      <c r="RC4" s="568"/>
      <c r="RD4" s="568"/>
      <c r="RE4" s="568"/>
      <c r="RF4" s="568"/>
      <c r="RG4" s="568"/>
      <c r="RH4" s="568"/>
      <c r="RI4" s="568"/>
      <c r="RJ4" s="568"/>
      <c r="RK4" s="568"/>
      <c r="RL4" s="568"/>
      <c r="RM4" s="568"/>
      <c r="RN4" s="568"/>
      <c r="RO4" s="568"/>
      <c r="RP4" s="568"/>
      <c r="RQ4" s="568"/>
      <c r="RR4" s="568"/>
      <c r="RS4" s="568"/>
      <c r="RT4" s="568"/>
      <c r="RU4" s="568"/>
      <c r="RV4" s="568"/>
      <c r="RW4" s="568"/>
      <c r="RX4" s="568"/>
      <c r="RY4" s="568"/>
      <c r="RZ4" s="568"/>
      <c r="SA4" s="568"/>
      <c r="SB4" s="568"/>
      <c r="SC4" s="568"/>
      <c r="SD4" s="568"/>
      <c r="SE4" s="568"/>
      <c r="SF4" s="568"/>
      <c r="SG4" s="568"/>
      <c r="SH4" s="568"/>
      <c r="SI4" s="568"/>
      <c r="SJ4" s="568"/>
      <c r="SK4" s="568"/>
      <c r="SL4" s="568"/>
      <c r="SM4" s="568"/>
      <c r="SN4" s="568"/>
      <c r="SO4" s="568"/>
      <c r="SP4" s="568"/>
      <c r="SQ4" s="568"/>
      <c r="SR4" s="568"/>
      <c r="SS4" s="568"/>
      <c r="ST4" s="568"/>
      <c r="SU4" s="568"/>
      <c r="SV4" s="568"/>
      <c r="SW4" s="568"/>
      <c r="SX4" s="568"/>
      <c r="SY4" s="568"/>
      <c r="SZ4" s="568"/>
      <c r="TA4" s="568"/>
      <c r="TB4" s="568"/>
      <c r="TC4" s="568"/>
      <c r="TD4" s="568"/>
      <c r="TE4" s="568"/>
      <c r="TF4" s="568"/>
      <c r="TG4" s="568"/>
      <c r="TH4" s="568"/>
      <c r="TI4" s="568"/>
      <c r="TJ4" s="568"/>
      <c r="TK4" s="568"/>
      <c r="TL4" s="568"/>
      <c r="TM4" s="568"/>
      <c r="TN4" s="568"/>
      <c r="TO4" s="568"/>
      <c r="TP4" s="568"/>
      <c r="TQ4" s="568"/>
      <c r="TR4" s="568"/>
      <c r="TS4" s="568"/>
      <c r="TT4" s="568"/>
      <c r="TU4" s="568"/>
      <c r="TV4" s="568"/>
      <c r="TW4" s="568"/>
      <c r="TX4" s="568"/>
      <c r="TY4" s="568"/>
      <c r="TZ4" s="568"/>
      <c r="UA4" s="568"/>
      <c r="UB4" s="568"/>
      <c r="UC4" s="568"/>
      <c r="UD4" s="568"/>
      <c r="UE4" s="568"/>
      <c r="UF4" s="568"/>
      <c r="UG4" s="568"/>
      <c r="UH4" s="568"/>
      <c r="UI4" s="568"/>
      <c r="UJ4" s="568"/>
      <c r="UK4" s="568"/>
      <c r="UL4" s="568"/>
      <c r="UM4" s="568"/>
      <c r="UN4" s="568"/>
      <c r="UO4" s="568"/>
      <c r="UP4" s="568"/>
      <c r="UQ4" s="568"/>
      <c r="UR4" s="568"/>
      <c r="US4" s="568"/>
      <c r="UT4" s="568"/>
      <c r="UU4" s="568"/>
      <c r="UV4" s="568"/>
      <c r="UW4" s="568"/>
      <c r="UX4" s="568"/>
      <c r="UY4" s="568"/>
      <c r="UZ4" s="568"/>
      <c r="VA4" s="568"/>
      <c r="VB4" s="568"/>
      <c r="VC4" s="568"/>
      <c r="VD4" s="568"/>
      <c r="VE4" s="568"/>
      <c r="VF4" s="568"/>
      <c r="VG4" s="568"/>
      <c r="VH4" s="568"/>
      <c r="VI4" s="568"/>
      <c r="VJ4" s="568"/>
      <c r="VK4" s="568"/>
      <c r="VL4" s="568"/>
      <c r="VM4" s="568"/>
      <c r="VN4" s="568"/>
      <c r="VO4" s="568"/>
      <c r="VP4" s="568"/>
      <c r="VQ4" s="568"/>
      <c r="VR4" s="568"/>
      <c r="VS4" s="568"/>
      <c r="VT4" s="568"/>
      <c r="VU4" s="568"/>
      <c r="VV4" s="568"/>
      <c r="VW4" s="568"/>
      <c r="VX4" s="568"/>
      <c r="VY4" s="568"/>
      <c r="VZ4" s="568"/>
      <c r="WA4" s="568"/>
      <c r="WB4" s="568"/>
      <c r="WC4" s="568"/>
      <c r="WD4" s="568"/>
      <c r="WE4" s="568"/>
      <c r="WF4" s="568"/>
      <c r="WG4" s="568"/>
      <c r="WH4" s="568"/>
      <c r="WI4" s="568"/>
      <c r="WJ4" s="568"/>
      <c r="WK4" s="568"/>
      <c r="WL4" s="568"/>
      <c r="WM4" s="568"/>
      <c r="WN4" s="568"/>
      <c r="WO4" s="568"/>
      <c r="WP4" s="568"/>
      <c r="WQ4" s="568"/>
      <c r="WR4" s="568"/>
      <c r="WS4" s="568"/>
      <c r="WT4" s="568"/>
      <c r="WU4" s="568"/>
      <c r="WV4" s="568"/>
      <c r="WW4" s="568"/>
      <c r="WX4" s="568"/>
      <c r="WY4" s="568"/>
      <c r="WZ4" s="568"/>
      <c r="XA4" s="568"/>
      <c r="XB4" s="568"/>
      <c r="XC4" s="568"/>
      <c r="XD4" s="568"/>
      <c r="XE4" s="568"/>
      <c r="XF4" s="568"/>
      <c r="XG4" s="568"/>
      <c r="XH4" s="568"/>
      <c r="XI4" s="568"/>
      <c r="XJ4" s="568"/>
      <c r="XK4" s="568"/>
      <c r="XL4" s="568"/>
      <c r="XM4" s="568"/>
      <c r="XN4" s="568"/>
      <c r="XO4" s="568"/>
      <c r="XP4" s="568"/>
      <c r="XQ4" s="568"/>
      <c r="XR4" s="568"/>
      <c r="XS4" s="568"/>
      <c r="XT4" s="568"/>
      <c r="XU4" s="568"/>
      <c r="XV4" s="568"/>
      <c r="XW4" s="568"/>
      <c r="XX4" s="568"/>
      <c r="XY4" s="568"/>
      <c r="XZ4" s="568"/>
      <c r="YA4" s="568"/>
      <c r="YB4" s="568"/>
      <c r="YC4" s="568"/>
      <c r="YD4" s="568"/>
      <c r="YE4" s="568"/>
      <c r="YF4" s="568"/>
      <c r="YG4" s="568"/>
      <c r="YH4" s="568"/>
      <c r="YI4" s="568"/>
      <c r="YJ4" s="568"/>
      <c r="YK4" s="568"/>
      <c r="YL4" s="568"/>
      <c r="YM4" s="568"/>
      <c r="YN4" s="568"/>
      <c r="YO4" s="568"/>
      <c r="YP4" s="568"/>
      <c r="YQ4" s="568"/>
      <c r="YR4" s="568"/>
      <c r="YS4" s="568"/>
      <c r="YT4" s="568"/>
      <c r="YU4" s="568"/>
      <c r="YV4" s="568"/>
      <c r="YW4" s="568"/>
      <c r="YX4" s="568"/>
      <c r="YY4" s="568"/>
      <c r="YZ4" s="568"/>
      <c r="ZA4" s="568"/>
      <c r="ZB4" s="568"/>
      <c r="ZC4" s="568"/>
      <c r="ZD4" s="568"/>
      <c r="ZE4" s="568"/>
      <c r="ZF4" s="568"/>
      <c r="ZG4" s="568"/>
      <c r="ZH4" s="568"/>
      <c r="ZI4" s="568"/>
      <c r="ZJ4" s="568"/>
      <c r="ZK4" s="568"/>
      <c r="ZL4" s="568"/>
      <c r="ZM4" s="568"/>
      <c r="ZN4" s="568"/>
      <c r="ZO4" s="568"/>
      <c r="ZP4" s="568"/>
      <c r="ZQ4" s="568"/>
      <c r="ZR4" s="568"/>
      <c r="ZS4" s="568"/>
      <c r="ZT4" s="568"/>
      <c r="ZU4" s="568"/>
      <c r="ZV4" s="568"/>
      <c r="ZW4" s="568"/>
      <c r="ZX4" s="568"/>
      <c r="ZY4" s="568"/>
      <c r="ZZ4" s="568"/>
      <c r="AAA4" s="568"/>
      <c r="AAB4" s="568"/>
      <c r="AAC4" s="568"/>
      <c r="AAD4" s="568"/>
      <c r="AAE4" s="568"/>
      <c r="AAF4" s="568"/>
      <c r="AAG4" s="568"/>
      <c r="AAH4" s="568"/>
      <c r="AAI4" s="568"/>
      <c r="AAJ4" s="568"/>
      <c r="AAK4" s="568"/>
      <c r="AAL4" s="568"/>
      <c r="AAM4" s="568"/>
      <c r="AAN4" s="568"/>
      <c r="AAO4" s="568"/>
      <c r="AAP4" s="568"/>
      <c r="AAQ4" s="568"/>
      <c r="AAR4" s="568"/>
      <c r="AAS4" s="568"/>
      <c r="AAT4" s="568"/>
      <c r="AAU4" s="568"/>
      <c r="AAV4" s="568"/>
      <c r="AAW4" s="568"/>
      <c r="AAX4" s="568"/>
      <c r="AAY4" s="568"/>
      <c r="AAZ4" s="568"/>
      <c r="ABA4" s="568"/>
      <c r="ABB4" s="568"/>
      <c r="ABC4" s="568"/>
      <c r="ABD4" s="568"/>
      <c r="ABE4" s="568"/>
      <c r="ABF4" s="568"/>
      <c r="ABG4" s="568"/>
      <c r="ABH4" s="568"/>
      <c r="ABI4" s="568"/>
      <c r="ABJ4" s="568"/>
      <c r="ABK4" s="568"/>
      <c r="ABL4" s="568"/>
      <c r="ABM4" s="568"/>
      <c r="ABN4" s="568"/>
      <c r="ABO4" s="568"/>
      <c r="ABP4" s="568"/>
      <c r="ABQ4" s="568"/>
      <c r="ABR4" s="568"/>
      <c r="ABS4" s="568"/>
      <c r="ABT4" s="568"/>
      <c r="ABU4" s="568"/>
      <c r="ABV4" s="568"/>
      <c r="ABW4" s="568"/>
      <c r="ABX4" s="568"/>
      <c r="ABY4" s="568"/>
      <c r="ABZ4" s="568"/>
      <c r="ACA4" s="568"/>
      <c r="ACB4" s="568"/>
      <c r="ACC4" s="568"/>
      <c r="ACD4" s="568"/>
      <c r="ACE4" s="568"/>
      <c r="ACF4" s="568"/>
      <c r="ACG4" s="568"/>
      <c r="ACH4" s="568"/>
      <c r="ACI4" s="568"/>
      <c r="ACJ4" s="568"/>
      <c r="ACK4" s="568"/>
      <c r="ACL4" s="568"/>
      <c r="ACM4" s="568"/>
      <c r="ACN4" s="568"/>
      <c r="ACO4" s="568"/>
      <c r="ACP4" s="568"/>
      <c r="ACQ4" s="568"/>
      <c r="ACR4" s="568"/>
      <c r="ACS4" s="568"/>
      <c r="ACT4" s="568"/>
      <c r="ACU4" s="568"/>
      <c r="ACV4" s="568"/>
      <c r="ACW4" s="568"/>
      <c r="ACX4" s="568"/>
      <c r="ACY4" s="568"/>
      <c r="ACZ4" s="568"/>
      <c r="ADA4" s="568"/>
      <c r="ADB4" s="568"/>
      <c r="ADC4" s="568"/>
      <c r="ADD4" s="568"/>
      <c r="ADE4" s="568"/>
      <c r="ADF4" s="568"/>
      <c r="ADG4" s="568"/>
      <c r="ADH4" s="568"/>
      <c r="ADI4" s="568"/>
      <c r="ADJ4" s="568"/>
      <c r="ADK4" s="568"/>
      <c r="ADL4" s="568"/>
      <c r="ADM4" s="568"/>
      <c r="ADN4" s="568"/>
      <c r="ADO4" s="568"/>
      <c r="ADP4" s="568"/>
      <c r="ADQ4" s="568"/>
      <c r="ADR4" s="568"/>
      <c r="ADS4" s="568"/>
      <c r="ADT4" s="568"/>
      <c r="ADU4" s="568"/>
      <c r="ADV4" s="568"/>
      <c r="ADW4" s="568"/>
      <c r="ADX4" s="568"/>
      <c r="ADY4" s="568"/>
      <c r="ADZ4" s="568"/>
      <c r="AEA4" s="568"/>
      <c r="AEB4" s="568"/>
      <c r="AEC4" s="568"/>
      <c r="AED4" s="568"/>
      <c r="AEE4" s="568"/>
      <c r="AEF4" s="568"/>
      <c r="AEG4" s="568"/>
      <c r="AEH4" s="568"/>
      <c r="AEI4" s="568"/>
      <c r="AEJ4" s="568"/>
      <c r="AEK4" s="568"/>
      <c r="AEL4" s="568"/>
      <c r="AEM4" s="568"/>
      <c r="AEN4" s="568"/>
      <c r="AEO4" s="568"/>
      <c r="AEP4" s="568"/>
      <c r="AEQ4" s="568"/>
      <c r="AER4" s="568"/>
      <c r="AES4" s="568"/>
      <c r="AET4" s="568"/>
      <c r="AEU4" s="568"/>
      <c r="AEV4" s="568"/>
      <c r="AEW4" s="568"/>
      <c r="AEX4" s="568"/>
      <c r="AEY4" s="568"/>
      <c r="AEZ4" s="568"/>
      <c r="AFA4" s="568"/>
      <c r="AFB4" s="568"/>
      <c r="AFC4" s="568"/>
      <c r="AFD4" s="568"/>
      <c r="AFE4" s="568"/>
      <c r="AFF4" s="568"/>
      <c r="AFG4" s="568"/>
      <c r="AFH4" s="568"/>
      <c r="AFI4" s="568"/>
      <c r="AFJ4" s="568"/>
      <c r="AFK4" s="568"/>
      <c r="AFL4" s="568"/>
      <c r="AFM4" s="568"/>
      <c r="AFN4" s="568"/>
      <c r="AFO4" s="568"/>
      <c r="AFP4" s="568"/>
      <c r="AFQ4" s="568"/>
      <c r="AFR4" s="568"/>
      <c r="AFS4" s="568"/>
      <c r="AFT4" s="568"/>
      <c r="AFU4" s="568"/>
      <c r="AFV4" s="568"/>
      <c r="AFW4" s="568"/>
      <c r="AFX4" s="568"/>
      <c r="AFY4" s="568"/>
      <c r="AFZ4" s="568"/>
      <c r="AGA4" s="568"/>
      <c r="AGB4" s="568"/>
      <c r="AGC4" s="568"/>
      <c r="AGD4" s="568"/>
      <c r="AGE4" s="568"/>
      <c r="AGF4" s="568"/>
      <c r="AGG4" s="568"/>
      <c r="AGH4" s="568"/>
      <c r="AGI4" s="568"/>
      <c r="AGJ4" s="568"/>
      <c r="AGK4" s="568"/>
      <c r="AGL4" s="568"/>
      <c r="AGM4" s="568"/>
      <c r="AGN4" s="568"/>
      <c r="AGO4" s="568"/>
      <c r="AGP4" s="568"/>
      <c r="AGQ4" s="568"/>
      <c r="AGR4" s="568"/>
      <c r="AGS4" s="568"/>
      <c r="AGT4" s="568"/>
      <c r="AGU4" s="568"/>
      <c r="AGV4" s="568"/>
      <c r="AGW4" s="568"/>
      <c r="AGX4" s="568"/>
      <c r="AGY4" s="568"/>
      <c r="AGZ4" s="568"/>
      <c r="AHA4" s="568"/>
      <c r="AHB4" s="568"/>
      <c r="AHC4" s="568"/>
      <c r="AHD4" s="568"/>
      <c r="AHE4" s="568"/>
      <c r="AHF4" s="568"/>
      <c r="AHG4" s="568"/>
      <c r="AHH4" s="568"/>
      <c r="AHI4" s="568"/>
      <c r="AHJ4" s="568"/>
      <c r="AHK4" s="568"/>
      <c r="AHL4" s="568"/>
      <c r="AHM4" s="568"/>
      <c r="AHN4" s="568"/>
      <c r="AHO4" s="568"/>
      <c r="AHP4" s="568"/>
      <c r="AHQ4" s="568"/>
      <c r="AHR4" s="568"/>
      <c r="AHS4" s="568"/>
      <c r="AHT4" s="568"/>
      <c r="AHU4" s="568"/>
      <c r="AHV4" s="568"/>
      <c r="AHW4" s="568"/>
      <c r="AHX4" s="568"/>
      <c r="AHY4" s="568"/>
      <c r="AHZ4" s="568"/>
      <c r="AIA4" s="568"/>
      <c r="AIB4" s="568"/>
      <c r="AIC4" s="568"/>
      <c r="AID4" s="568"/>
      <c r="AIE4" s="568"/>
      <c r="AIF4" s="568"/>
      <c r="AIG4" s="568"/>
      <c r="AIH4" s="568"/>
      <c r="AII4" s="568"/>
      <c r="AIJ4" s="568"/>
      <c r="AIK4" s="568"/>
      <c r="AIL4" s="568"/>
      <c r="AIM4" s="568"/>
      <c r="AIN4" s="568"/>
      <c r="AIO4" s="568"/>
      <c r="AIP4" s="568"/>
      <c r="AIQ4" s="568"/>
      <c r="AIR4" s="568"/>
      <c r="AIS4" s="568"/>
      <c r="AIT4" s="568"/>
      <c r="AIU4" s="568"/>
      <c r="AIV4" s="568"/>
      <c r="AIW4" s="568"/>
      <c r="AIX4" s="568"/>
      <c r="AIY4" s="568"/>
      <c r="AIZ4" s="568"/>
      <c r="AJA4" s="568"/>
      <c r="AJB4" s="568"/>
      <c r="AJC4" s="568"/>
      <c r="AJD4" s="568"/>
      <c r="AJE4" s="568"/>
      <c r="AJF4" s="568"/>
      <c r="AJG4" s="568"/>
      <c r="AJH4" s="568"/>
      <c r="AJI4" s="568"/>
      <c r="AJJ4" s="568"/>
      <c r="AJK4" s="568"/>
      <c r="AJL4" s="568"/>
      <c r="AJM4" s="568"/>
      <c r="AJN4" s="568"/>
      <c r="AJO4" s="568"/>
      <c r="AJP4" s="568"/>
      <c r="AJQ4" s="568"/>
      <c r="AJR4" s="568"/>
      <c r="AJS4" s="568"/>
      <c r="AJT4" s="568"/>
      <c r="AJU4" s="568"/>
      <c r="AJV4" s="568"/>
      <c r="AJW4" s="568"/>
      <c r="AJX4" s="568"/>
      <c r="AJY4" s="568"/>
      <c r="AJZ4" s="568"/>
      <c r="AKA4" s="568"/>
      <c r="AKB4" s="568"/>
      <c r="AKC4" s="568"/>
      <c r="AKD4" s="568"/>
      <c r="AKE4" s="568"/>
      <c r="AKF4" s="568"/>
      <c r="AKG4" s="568"/>
      <c r="AKH4" s="568"/>
      <c r="AKI4" s="568"/>
      <c r="AKJ4" s="568"/>
      <c r="AKK4" s="568"/>
      <c r="AKL4" s="568"/>
      <c r="AKM4" s="568"/>
      <c r="AKN4" s="568"/>
      <c r="AKO4" s="568"/>
      <c r="AKP4" s="568"/>
      <c r="AKQ4" s="568"/>
      <c r="AKR4" s="568"/>
      <c r="AKS4" s="568"/>
      <c r="AKT4" s="568"/>
      <c r="AKU4" s="568"/>
      <c r="AKV4" s="568"/>
      <c r="AKW4" s="568"/>
      <c r="AKX4" s="568"/>
      <c r="AKY4" s="568"/>
      <c r="AKZ4" s="568"/>
      <c r="ALA4" s="568"/>
      <c r="ALB4" s="568"/>
      <c r="ALC4" s="568"/>
      <c r="ALD4" s="568"/>
      <c r="ALE4" s="568"/>
      <c r="ALF4" s="568"/>
      <c r="ALG4" s="568"/>
      <c r="ALH4" s="568"/>
      <c r="ALI4" s="568"/>
      <c r="ALJ4" s="568"/>
      <c r="ALK4" s="568"/>
      <c r="ALL4" s="568"/>
      <c r="ALM4" s="568"/>
      <c r="ALN4" s="568"/>
      <c r="ALO4" s="568"/>
      <c r="ALP4" s="568"/>
      <c r="ALQ4" s="568"/>
      <c r="ALR4" s="568"/>
      <c r="ALS4" s="568"/>
      <c r="ALT4" s="568"/>
      <c r="ALU4" s="568"/>
      <c r="ALV4" s="568"/>
      <c r="ALW4" s="568"/>
      <c r="ALX4" s="568"/>
      <c r="ALY4" s="568"/>
      <c r="ALZ4" s="568"/>
      <c r="AMA4" s="568"/>
      <c r="AMB4" s="568"/>
      <c r="AMC4" s="568"/>
      <c r="AMD4" s="568"/>
      <c r="AME4" s="568"/>
      <c r="AMF4" s="568"/>
      <c r="AMG4" s="568"/>
      <c r="AMH4" s="568"/>
      <c r="AMI4" s="568"/>
      <c r="AMJ4" s="568"/>
      <c r="AMK4" s="568"/>
      <c r="AML4" s="568"/>
      <c r="AMM4" s="568"/>
      <c r="AMN4" s="568"/>
      <c r="AMO4" s="568"/>
      <c r="AMP4" s="568"/>
      <c r="AMQ4" s="568"/>
      <c r="AMR4" s="568"/>
      <c r="AMS4" s="568"/>
      <c r="AMT4" s="568"/>
      <c r="AMU4" s="568"/>
      <c r="AMV4" s="568"/>
      <c r="AMW4" s="568"/>
      <c r="AMX4" s="568"/>
      <c r="AMY4" s="568"/>
      <c r="AMZ4" s="568"/>
      <c r="ANA4" s="568"/>
      <c r="ANB4" s="568"/>
      <c r="ANC4" s="568"/>
      <c r="AND4" s="568"/>
      <c r="ANE4" s="568"/>
      <c r="ANF4" s="568"/>
      <c r="ANG4" s="568"/>
      <c r="ANH4" s="568"/>
      <c r="ANI4" s="568"/>
      <c r="ANJ4" s="568"/>
      <c r="ANK4" s="568"/>
      <c r="ANL4" s="568"/>
      <c r="ANM4" s="568"/>
      <c r="ANN4" s="568"/>
      <c r="ANO4" s="568"/>
      <c r="ANP4" s="568"/>
      <c r="ANQ4" s="568"/>
      <c r="ANR4" s="568"/>
      <c r="ANS4" s="568"/>
      <c r="ANT4" s="568"/>
      <c r="ANU4" s="568"/>
      <c r="ANV4" s="568"/>
      <c r="ANW4" s="568"/>
      <c r="ANX4" s="568"/>
      <c r="ANY4" s="568"/>
      <c r="ANZ4" s="568"/>
      <c r="AOA4" s="568"/>
      <c r="AOB4" s="568"/>
      <c r="AOC4" s="568"/>
      <c r="AOD4" s="568"/>
      <c r="AOE4" s="568"/>
      <c r="AOF4" s="568"/>
      <c r="AOG4" s="568"/>
      <c r="AOH4" s="568"/>
      <c r="AOI4" s="568"/>
      <c r="AOJ4" s="568"/>
      <c r="AOK4" s="568"/>
      <c r="AOL4" s="568"/>
      <c r="AOM4" s="568"/>
      <c r="AON4" s="568"/>
      <c r="AOO4" s="568"/>
      <c r="AOP4" s="568"/>
      <c r="AOQ4" s="568"/>
      <c r="AOR4" s="568"/>
      <c r="AOS4" s="568"/>
      <c r="AOT4" s="568"/>
      <c r="AOU4" s="568"/>
      <c r="AOV4" s="568"/>
      <c r="AOW4" s="568"/>
      <c r="AOX4" s="568"/>
      <c r="AOY4" s="568"/>
      <c r="AOZ4" s="568"/>
      <c r="APA4" s="568"/>
      <c r="APB4" s="568"/>
      <c r="APC4" s="568"/>
      <c r="APD4" s="568"/>
      <c r="APE4" s="568"/>
      <c r="APF4" s="568"/>
      <c r="APG4" s="568"/>
      <c r="APH4" s="568"/>
      <c r="API4" s="568"/>
      <c r="APJ4" s="568"/>
      <c r="APK4" s="568"/>
      <c r="APL4" s="568"/>
      <c r="APM4" s="568"/>
      <c r="APN4" s="568"/>
      <c r="APO4" s="568"/>
      <c r="APP4" s="568"/>
      <c r="APQ4" s="568"/>
      <c r="APR4" s="568"/>
      <c r="APS4" s="568"/>
      <c r="APT4" s="568"/>
      <c r="APU4" s="568"/>
      <c r="APV4" s="568"/>
      <c r="APW4" s="568"/>
      <c r="APX4" s="568"/>
      <c r="APY4" s="568"/>
      <c r="APZ4" s="568"/>
      <c r="AQA4" s="568"/>
      <c r="AQB4" s="568"/>
      <c r="AQC4" s="568"/>
      <c r="AQD4" s="568"/>
      <c r="AQE4" s="568"/>
      <c r="AQF4" s="568"/>
      <c r="AQG4" s="568"/>
      <c r="AQH4" s="568"/>
      <c r="AQI4" s="568"/>
      <c r="AQJ4" s="568"/>
      <c r="AQK4" s="568"/>
      <c r="AQL4" s="568"/>
      <c r="AQM4" s="568"/>
      <c r="AQN4" s="568"/>
      <c r="AQO4" s="568"/>
      <c r="AQP4" s="568"/>
      <c r="AQQ4" s="568"/>
      <c r="AQR4" s="568"/>
      <c r="AQS4" s="568"/>
      <c r="AQT4" s="568"/>
      <c r="AQU4" s="568"/>
      <c r="AQV4" s="568"/>
      <c r="AQW4" s="568"/>
      <c r="AQX4" s="568"/>
      <c r="AQY4" s="568"/>
      <c r="AQZ4" s="568"/>
      <c r="ARA4" s="568"/>
      <c r="ARB4" s="568"/>
      <c r="ARC4" s="568"/>
      <c r="ARD4" s="568"/>
      <c r="ARE4" s="568"/>
      <c r="ARF4" s="568"/>
      <c r="ARG4" s="568"/>
      <c r="ARH4" s="568"/>
      <c r="ARI4" s="568"/>
      <c r="ARJ4" s="568"/>
      <c r="ARK4" s="568"/>
      <c r="ARL4" s="568"/>
      <c r="ARM4" s="568"/>
      <c r="ARN4" s="568"/>
      <c r="ARO4" s="568"/>
      <c r="ARP4" s="568"/>
      <c r="ARQ4" s="568"/>
      <c r="ARR4" s="568"/>
      <c r="ARS4" s="568"/>
      <c r="ART4" s="568"/>
      <c r="ARU4" s="568"/>
      <c r="ARV4" s="568"/>
      <c r="ARW4" s="568"/>
      <c r="ARX4" s="568"/>
      <c r="ARY4" s="568"/>
      <c r="ARZ4" s="568"/>
      <c r="ASA4" s="568"/>
      <c r="ASB4" s="568"/>
      <c r="ASC4" s="568"/>
      <c r="ASD4" s="568"/>
      <c r="ASE4" s="568"/>
      <c r="ASF4" s="568"/>
      <c r="ASG4" s="568"/>
      <c r="ASH4" s="568"/>
      <c r="ASI4" s="568"/>
      <c r="ASJ4" s="568"/>
      <c r="ASK4" s="568"/>
      <c r="ASL4" s="568"/>
      <c r="ASM4" s="568"/>
      <c r="ASN4" s="568"/>
      <c r="ASO4" s="568"/>
      <c r="ASP4" s="568"/>
      <c r="ASQ4" s="568"/>
      <c r="ASR4" s="568"/>
      <c r="ASS4" s="568"/>
      <c r="AST4" s="568"/>
      <c r="ASU4" s="568"/>
      <c r="ASV4" s="568"/>
      <c r="ASW4" s="568"/>
      <c r="ASX4" s="568"/>
      <c r="ASY4" s="568"/>
      <c r="ASZ4" s="568"/>
      <c r="ATA4" s="568"/>
      <c r="ATB4" s="568"/>
      <c r="ATC4" s="568"/>
      <c r="ATD4" s="568"/>
      <c r="ATE4" s="568"/>
      <c r="ATF4" s="568"/>
      <c r="ATG4" s="568"/>
      <c r="ATH4" s="568"/>
      <c r="ATI4" s="568"/>
      <c r="ATJ4" s="568"/>
      <c r="ATK4" s="568"/>
      <c r="ATL4" s="568"/>
      <c r="ATM4" s="568"/>
      <c r="ATN4" s="568"/>
      <c r="ATO4" s="568"/>
      <c r="ATP4" s="568"/>
      <c r="ATQ4" s="568"/>
      <c r="ATR4" s="568"/>
      <c r="ATS4" s="568"/>
      <c r="ATT4" s="568"/>
      <c r="ATU4" s="568"/>
      <c r="ATV4" s="568"/>
      <c r="ATW4" s="568"/>
      <c r="ATX4" s="568"/>
      <c r="ATY4" s="568"/>
      <c r="ATZ4" s="568"/>
      <c r="AUA4" s="568"/>
      <c r="AUB4" s="568"/>
      <c r="AUC4" s="568"/>
      <c r="AUD4" s="568"/>
      <c r="AUE4" s="568"/>
      <c r="AUF4" s="568"/>
      <c r="AUG4" s="568"/>
      <c r="AUH4" s="568"/>
      <c r="AUI4" s="568"/>
      <c r="AUJ4" s="568"/>
      <c r="AUK4" s="568"/>
      <c r="AUL4" s="568"/>
      <c r="AUM4" s="568"/>
      <c r="AUN4" s="568"/>
      <c r="AUO4" s="568"/>
      <c r="AUP4" s="568"/>
      <c r="AUQ4" s="568"/>
      <c r="AUR4" s="568"/>
      <c r="AUS4" s="568"/>
      <c r="AUT4" s="568"/>
      <c r="AUU4" s="568"/>
      <c r="AUV4" s="568"/>
      <c r="AUW4" s="568"/>
      <c r="AUX4" s="568"/>
      <c r="AUY4" s="568"/>
      <c r="AUZ4" s="568"/>
      <c r="AVA4" s="568"/>
      <c r="AVB4" s="568"/>
      <c r="AVC4" s="568"/>
      <c r="AVD4" s="568"/>
      <c r="AVE4" s="568"/>
      <c r="AVF4" s="568"/>
      <c r="AVG4" s="568"/>
      <c r="AVH4" s="568"/>
      <c r="AVI4" s="568"/>
      <c r="AVJ4" s="568"/>
      <c r="AVK4" s="568"/>
      <c r="AVL4" s="568"/>
      <c r="AVM4" s="568"/>
      <c r="AVN4" s="568"/>
      <c r="AVO4" s="568"/>
      <c r="AVP4" s="568"/>
      <c r="AVQ4" s="568"/>
      <c r="AVR4" s="568"/>
      <c r="AVS4" s="568"/>
      <c r="AVT4" s="568"/>
      <c r="AVU4" s="568"/>
      <c r="AVV4" s="568"/>
      <c r="AVW4" s="568"/>
      <c r="AVX4" s="568"/>
      <c r="AVY4" s="568"/>
      <c r="AVZ4" s="568"/>
      <c r="AWA4" s="568"/>
      <c r="AWB4" s="568"/>
      <c r="AWC4" s="568"/>
      <c r="AWD4" s="568"/>
      <c r="AWE4" s="568"/>
      <c r="AWF4" s="568"/>
      <c r="AWG4" s="568"/>
      <c r="AWH4" s="568"/>
      <c r="AWI4" s="568"/>
      <c r="AWJ4" s="568"/>
      <c r="AWK4" s="568"/>
      <c r="AWL4" s="568"/>
      <c r="AWM4" s="568"/>
      <c r="AWN4" s="568"/>
      <c r="AWO4" s="568"/>
      <c r="AWP4" s="568"/>
      <c r="AWQ4" s="568"/>
      <c r="AWR4" s="568"/>
      <c r="AWS4" s="568"/>
      <c r="AWT4" s="568"/>
      <c r="AWU4" s="568"/>
      <c r="AWV4" s="568"/>
      <c r="AWW4" s="568"/>
      <c r="AWX4" s="568"/>
      <c r="AWY4" s="568"/>
      <c r="AWZ4" s="568"/>
      <c r="AXA4" s="568"/>
      <c r="AXB4" s="568"/>
      <c r="AXC4" s="568"/>
      <c r="AXD4" s="568"/>
      <c r="AXE4" s="568"/>
      <c r="AXF4" s="568"/>
      <c r="AXG4" s="568"/>
      <c r="AXH4" s="568"/>
      <c r="AXI4" s="568"/>
      <c r="AXJ4" s="568"/>
      <c r="AXK4" s="568"/>
      <c r="AXL4" s="568"/>
      <c r="AXM4" s="568"/>
      <c r="AXN4" s="568"/>
      <c r="AXO4" s="568"/>
      <c r="AXP4" s="568"/>
      <c r="AXQ4" s="568"/>
      <c r="AXR4" s="568"/>
      <c r="AXS4" s="568"/>
      <c r="AXT4" s="568"/>
      <c r="AXU4" s="568"/>
      <c r="AXV4" s="568"/>
      <c r="AXW4" s="568"/>
      <c r="AXX4" s="568"/>
      <c r="AXY4" s="568"/>
      <c r="AXZ4" s="568"/>
      <c r="AYA4" s="568"/>
      <c r="AYB4" s="568"/>
      <c r="AYC4" s="568"/>
      <c r="AYD4" s="568"/>
      <c r="AYE4" s="568"/>
      <c r="AYF4" s="568"/>
      <c r="AYG4" s="568"/>
      <c r="AYH4" s="568"/>
      <c r="AYI4" s="568"/>
      <c r="AYJ4" s="568"/>
      <c r="AYK4" s="568"/>
      <c r="AYL4" s="568"/>
      <c r="AYM4" s="568"/>
      <c r="AYN4" s="568"/>
      <c r="AYO4" s="568"/>
      <c r="AYP4" s="568"/>
      <c r="AYQ4" s="568"/>
      <c r="AYR4" s="568"/>
      <c r="AYS4" s="568"/>
      <c r="AYT4" s="568"/>
      <c r="AYU4" s="568"/>
      <c r="AYV4" s="568"/>
      <c r="AYW4" s="568"/>
      <c r="AYX4" s="568"/>
      <c r="AYY4" s="568"/>
      <c r="AYZ4" s="568"/>
      <c r="AZA4" s="568"/>
      <c r="AZB4" s="568"/>
      <c r="AZC4" s="568"/>
      <c r="AZD4" s="568"/>
      <c r="AZE4" s="568"/>
      <c r="AZF4" s="568"/>
      <c r="AZG4" s="568"/>
      <c r="AZH4" s="568"/>
      <c r="AZI4" s="568"/>
      <c r="AZJ4" s="568"/>
      <c r="AZK4" s="568"/>
      <c r="AZL4" s="568"/>
      <c r="AZM4" s="568"/>
      <c r="AZN4" s="568"/>
      <c r="AZO4" s="568"/>
      <c r="AZP4" s="568"/>
      <c r="AZQ4" s="568"/>
      <c r="AZR4" s="568"/>
      <c r="AZS4" s="568"/>
      <c r="AZT4" s="568"/>
      <c r="AZU4" s="568"/>
      <c r="AZV4" s="568"/>
      <c r="AZW4" s="568"/>
      <c r="AZX4" s="568"/>
      <c r="AZY4" s="568"/>
      <c r="AZZ4" s="568"/>
      <c r="BAA4" s="568"/>
      <c r="BAB4" s="568"/>
      <c r="BAC4" s="568"/>
      <c r="BAD4" s="568"/>
      <c r="BAE4" s="568"/>
      <c r="BAF4" s="568"/>
      <c r="BAG4" s="568"/>
      <c r="BAH4" s="568"/>
      <c r="BAI4" s="568"/>
      <c r="BAJ4" s="568"/>
      <c r="BAK4" s="568"/>
      <c r="BAL4" s="568"/>
      <c r="BAM4" s="568"/>
      <c r="BAN4" s="568"/>
      <c r="BAO4" s="568"/>
      <c r="BAP4" s="568"/>
      <c r="BAQ4" s="568"/>
      <c r="BAR4" s="568"/>
      <c r="BAS4" s="568"/>
      <c r="BAT4" s="568"/>
      <c r="BAU4" s="568"/>
      <c r="BAV4" s="568"/>
      <c r="BAW4" s="568"/>
      <c r="BAX4" s="568"/>
      <c r="BAY4" s="568"/>
      <c r="BAZ4" s="568"/>
      <c r="BBA4" s="568"/>
      <c r="BBB4" s="568"/>
      <c r="BBC4" s="568"/>
      <c r="BBD4" s="568"/>
      <c r="BBE4" s="568"/>
      <c r="BBF4" s="568"/>
      <c r="BBG4" s="568"/>
      <c r="BBH4" s="568"/>
      <c r="BBI4" s="568"/>
      <c r="BBJ4" s="568"/>
      <c r="BBK4" s="568"/>
      <c r="BBL4" s="568"/>
      <c r="BBM4" s="568"/>
      <c r="BBN4" s="568"/>
      <c r="BBO4" s="568"/>
      <c r="BBP4" s="568"/>
      <c r="BBQ4" s="568"/>
      <c r="BBR4" s="568"/>
      <c r="BBS4" s="568"/>
      <c r="BBT4" s="568"/>
      <c r="BBU4" s="568"/>
      <c r="BBV4" s="568"/>
      <c r="BBW4" s="568"/>
      <c r="BBX4" s="568"/>
      <c r="BBY4" s="568"/>
      <c r="BBZ4" s="568"/>
      <c r="BCA4" s="568"/>
      <c r="BCB4" s="568"/>
      <c r="BCC4" s="568"/>
      <c r="BCD4" s="568"/>
      <c r="BCE4" s="568"/>
      <c r="BCF4" s="568"/>
      <c r="BCG4" s="568"/>
      <c r="BCH4" s="568"/>
      <c r="BCI4" s="568"/>
      <c r="BCJ4" s="568"/>
      <c r="BCK4" s="568"/>
      <c r="BCL4" s="568"/>
      <c r="BCM4" s="568"/>
      <c r="BCN4" s="568"/>
      <c r="BCO4" s="568"/>
      <c r="BCP4" s="568"/>
      <c r="BCQ4" s="568"/>
      <c r="BCR4" s="568"/>
      <c r="BCS4" s="568"/>
      <c r="BCT4" s="568"/>
      <c r="BCU4" s="568"/>
      <c r="BCV4" s="568"/>
      <c r="BCW4" s="568"/>
      <c r="BCX4" s="568"/>
      <c r="BCY4" s="568"/>
      <c r="BCZ4" s="568"/>
      <c r="BDA4" s="568"/>
      <c r="BDB4" s="568"/>
      <c r="BDC4" s="568"/>
      <c r="BDD4" s="568"/>
      <c r="BDE4" s="568"/>
      <c r="BDF4" s="568"/>
      <c r="BDG4" s="568"/>
      <c r="BDH4" s="568"/>
      <c r="BDI4" s="568"/>
      <c r="BDJ4" s="568"/>
      <c r="BDK4" s="568"/>
      <c r="BDL4" s="568"/>
      <c r="BDM4" s="568"/>
      <c r="BDN4" s="568"/>
      <c r="BDO4" s="568"/>
      <c r="BDP4" s="568"/>
      <c r="BDQ4" s="568"/>
      <c r="BDR4" s="568"/>
      <c r="BDS4" s="568"/>
      <c r="BDT4" s="568"/>
      <c r="BDU4" s="568"/>
      <c r="BDV4" s="568"/>
      <c r="BDW4" s="568"/>
      <c r="BDX4" s="568"/>
      <c r="BDY4" s="568"/>
      <c r="BDZ4" s="568"/>
      <c r="BEA4" s="568"/>
      <c r="BEB4" s="568"/>
      <c r="BEC4" s="568"/>
      <c r="BED4" s="568"/>
      <c r="BEE4" s="568"/>
      <c r="BEF4" s="568"/>
      <c r="BEG4" s="568"/>
      <c r="BEH4" s="568"/>
      <c r="BEI4" s="568"/>
      <c r="BEJ4" s="568"/>
      <c r="BEK4" s="568"/>
      <c r="BEL4" s="568"/>
      <c r="BEM4" s="568"/>
      <c r="BEN4" s="568"/>
      <c r="BEO4" s="568"/>
      <c r="BEP4" s="568"/>
      <c r="BEQ4" s="568"/>
      <c r="BER4" s="568"/>
      <c r="BES4" s="568"/>
      <c r="BET4" s="568"/>
      <c r="BEU4" s="568"/>
      <c r="BEV4" s="568"/>
      <c r="BEW4" s="568"/>
      <c r="BEX4" s="568"/>
      <c r="BEY4" s="568"/>
      <c r="BEZ4" s="568"/>
      <c r="BFA4" s="568"/>
      <c r="BFB4" s="568"/>
      <c r="BFC4" s="568"/>
      <c r="BFD4" s="568"/>
      <c r="BFE4" s="568"/>
      <c r="BFF4" s="568"/>
      <c r="BFG4" s="568"/>
      <c r="BFH4" s="568"/>
      <c r="BFI4" s="568"/>
      <c r="BFJ4" s="568"/>
      <c r="BFK4" s="568"/>
      <c r="BFL4" s="568"/>
      <c r="BFM4" s="568"/>
      <c r="BFN4" s="568"/>
      <c r="BFO4" s="568"/>
      <c r="BFP4" s="568"/>
      <c r="BFQ4" s="568"/>
      <c r="BFR4" s="568"/>
      <c r="BFS4" s="568"/>
      <c r="BFT4" s="568"/>
      <c r="BFU4" s="568"/>
      <c r="BFV4" s="568"/>
      <c r="BFW4" s="568"/>
      <c r="BFX4" s="568"/>
      <c r="BFY4" s="568"/>
      <c r="BFZ4" s="568"/>
      <c r="BGA4" s="568"/>
      <c r="BGB4" s="568"/>
      <c r="BGC4" s="568"/>
      <c r="BGD4" s="568"/>
      <c r="BGE4" s="568"/>
      <c r="BGF4" s="568"/>
      <c r="BGG4" s="568"/>
      <c r="BGH4" s="568"/>
      <c r="BGI4" s="568"/>
      <c r="BGJ4" s="568"/>
      <c r="BGK4" s="568"/>
      <c r="BGL4" s="568"/>
      <c r="BGM4" s="568"/>
      <c r="BGN4" s="568"/>
      <c r="BGO4" s="568"/>
      <c r="BGP4" s="568"/>
      <c r="BGQ4" s="568"/>
      <c r="BGR4" s="568"/>
      <c r="BGS4" s="568"/>
      <c r="BGT4" s="568"/>
      <c r="BGU4" s="568"/>
      <c r="BGV4" s="568"/>
      <c r="BGW4" s="568"/>
      <c r="BGX4" s="568"/>
      <c r="BGY4" s="568"/>
      <c r="BGZ4" s="568"/>
      <c r="BHA4" s="568"/>
      <c r="BHB4" s="568"/>
      <c r="BHC4" s="568"/>
      <c r="BHD4" s="568"/>
      <c r="BHE4" s="568"/>
      <c r="BHF4" s="568"/>
      <c r="BHG4" s="568"/>
      <c r="BHH4" s="568"/>
      <c r="BHI4" s="568"/>
      <c r="BHJ4" s="568"/>
      <c r="BHK4" s="568"/>
      <c r="BHL4" s="568"/>
      <c r="BHM4" s="568"/>
      <c r="BHN4" s="568"/>
      <c r="BHO4" s="568"/>
      <c r="BHP4" s="568"/>
      <c r="BHQ4" s="568"/>
      <c r="BHR4" s="568"/>
      <c r="BHS4" s="568"/>
      <c r="BHT4" s="568"/>
      <c r="BHU4" s="568"/>
      <c r="BHV4" s="568"/>
      <c r="BHW4" s="568"/>
      <c r="BHX4" s="568"/>
      <c r="BHY4" s="568"/>
      <c r="BHZ4" s="568"/>
      <c r="BIA4" s="568"/>
      <c r="BIB4" s="568"/>
      <c r="BIC4" s="568"/>
      <c r="BID4" s="568"/>
      <c r="BIE4" s="568"/>
      <c r="BIF4" s="568"/>
      <c r="BIG4" s="568"/>
      <c r="BIH4" s="568"/>
      <c r="BII4" s="568"/>
      <c r="BIJ4" s="568"/>
      <c r="BIK4" s="568"/>
      <c r="BIL4" s="568"/>
      <c r="BIM4" s="568"/>
      <c r="BIN4" s="568"/>
      <c r="BIO4" s="568"/>
      <c r="BIP4" s="568"/>
      <c r="BIQ4" s="568"/>
      <c r="BIR4" s="568"/>
      <c r="BIS4" s="568"/>
      <c r="BIT4" s="568"/>
      <c r="BIU4" s="568"/>
      <c r="BIV4" s="568"/>
      <c r="BIW4" s="568"/>
      <c r="BIX4" s="568"/>
      <c r="BIY4" s="568"/>
      <c r="BIZ4" s="568"/>
      <c r="BJA4" s="568"/>
      <c r="BJB4" s="568"/>
      <c r="BJC4" s="568"/>
      <c r="BJD4" s="568"/>
      <c r="BJE4" s="568"/>
      <c r="BJF4" s="568"/>
      <c r="BJG4" s="568"/>
      <c r="BJH4" s="568"/>
      <c r="BJI4" s="568"/>
      <c r="BJJ4" s="568"/>
      <c r="BJK4" s="568"/>
      <c r="BJL4" s="568"/>
      <c r="BJM4" s="568"/>
      <c r="BJN4" s="568"/>
      <c r="BJO4" s="568"/>
      <c r="BJP4" s="568"/>
      <c r="BJQ4" s="568"/>
      <c r="BJR4" s="568"/>
      <c r="BJS4" s="568"/>
      <c r="BJT4" s="568"/>
      <c r="BJU4" s="568"/>
      <c r="BJV4" s="568"/>
      <c r="BJW4" s="568"/>
      <c r="BJX4" s="568"/>
      <c r="BJY4" s="568"/>
      <c r="BJZ4" s="568"/>
      <c r="BKA4" s="568"/>
      <c r="BKB4" s="568"/>
      <c r="BKC4" s="568"/>
      <c r="BKD4" s="568"/>
      <c r="BKE4" s="568"/>
      <c r="BKF4" s="568"/>
      <c r="BKG4" s="568"/>
      <c r="BKH4" s="568"/>
      <c r="BKI4" s="568"/>
      <c r="BKJ4" s="568"/>
      <c r="BKK4" s="568"/>
      <c r="BKL4" s="568"/>
      <c r="BKM4" s="568"/>
      <c r="BKN4" s="568"/>
      <c r="BKO4" s="568"/>
      <c r="BKP4" s="568"/>
      <c r="BKQ4" s="568"/>
      <c r="BKR4" s="568"/>
      <c r="BKS4" s="568"/>
      <c r="BKT4" s="568"/>
      <c r="BKU4" s="568"/>
      <c r="BKV4" s="568"/>
      <c r="BKW4" s="568"/>
      <c r="BKX4" s="568"/>
      <c r="BKY4" s="568"/>
      <c r="BKZ4" s="568"/>
      <c r="BLA4" s="568"/>
      <c r="BLB4" s="568"/>
      <c r="BLC4" s="568"/>
      <c r="BLD4" s="568"/>
      <c r="BLE4" s="568"/>
      <c r="BLF4" s="568"/>
      <c r="BLG4" s="568"/>
      <c r="BLH4" s="568"/>
      <c r="BLI4" s="568"/>
      <c r="BLJ4" s="568"/>
      <c r="BLK4" s="568"/>
      <c r="BLL4" s="568"/>
      <c r="BLM4" s="568"/>
      <c r="BLN4" s="568"/>
      <c r="BLO4" s="568"/>
      <c r="BLP4" s="568"/>
      <c r="BLQ4" s="568"/>
      <c r="BLR4" s="568"/>
      <c r="BLS4" s="568"/>
      <c r="BLT4" s="568"/>
      <c r="BLU4" s="568"/>
      <c r="BLV4" s="568"/>
      <c r="BLW4" s="568"/>
      <c r="BLX4" s="568"/>
      <c r="BLY4" s="568"/>
      <c r="BLZ4" s="568"/>
      <c r="BMA4" s="568"/>
      <c r="BMB4" s="568"/>
      <c r="BMC4" s="568"/>
      <c r="BMD4" s="568"/>
      <c r="BME4" s="568"/>
      <c r="BMF4" s="568"/>
      <c r="BMG4" s="568"/>
      <c r="BMH4" s="568"/>
      <c r="BMI4" s="568"/>
      <c r="BMJ4" s="568"/>
      <c r="BMK4" s="568"/>
      <c r="BML4" s="568"/>
      <c r="BMM4" s="568"/>
      <c r="BMN4" s="568"/>
      <c r="BMO4" s="568"/>
      <c r="BMP4" s="568"/>
      <c r="BMQ4" s="568"/>
      <c r="BMR4" s="568"/>
      <c r="BMS4" s="568"/>
      <c r="BMT4" s="568"/>
      <c r="BMU4" s="568"/>
      <c r="BMV4" s="568"/>
      <c r="BMW4" s="568"/>
      <c r="BMX4" s="568"/>
      <c r="BMY4" s="568"/>
      <c r="BMZ4" s="568"/>
      <c r="BNA4" s="568"/>
      <c r="BNB4" s="568"/>
      <c r="BNC4" s="568"/>
      <c r="BND4" s="568"/>
      <c r="BNE4" s="568"/>
      <c r="BNF4" s="568"/>
      <c r="BNG4" s="568"/>
      <c r="BNH4" s="568"/>
      <c r="BNI4" s="568"/>
      <c r="BNJ4" s="568"/>
      <c r="BNK4" s="568"/>
      <c r="BNL4" s="568"/>
      <c r="BNM4" s="568"/>
      <c r="BNN4" s="568"/>
      <c r="BNO4" s="568"/>
      <c r="BNP4" s="568"/>
      <c r="BNQ4" s="568"/>
      <c r="BNR4" s="568"/>
      <c r="BNS4" s="568"/>
      <c r="BNT4" s="568"/>
      <c r="BNU4" s="568"/>
      <c r="BNV4" s="568"/>
      <c r="BNW4" s="568"/>
      <c r="BNX4" s="568"/>
      <c r="BNY4" s="568"/>
      <c r="BNZ4" s="568"/>
      <c r="BOA4" s="568"/>
      <c r="BOB4" s="568"/>
      <c r="BOC4" s="568"/>
      <c r="BOD4" s="568"/>
      <c r="BOE4" s="568"/>
      <c r="BOF4" s="568"/>
      <c r="BOG4" s="568"/>
      <c r="BOH4" s="568"/>
      <c r="BOI4" s="568"/>
      <c r="BOJ4" s="568"/>
      <c r="BOK4" s="568"/>
      <c r="BOL4" s="568"/>
      <c r="BOM4" s="568"/>
      <c r="BON4" s="568"/>
      <c r="BOO4" s="568"/>
      <c r="BOP4" s="568"/>
      <c r="BOQ4" s="568"/>
      <c r="BOR4" s="568"/>
      <c r="BOS4" s="568"/>
      <c r="BOT4" s="568"/>
      <c r="BOU4" s="568"/>
      <c r="BOV4" s="568"/>
      <c r="BOW4" s="568"/>
      <c r="BOX4" s="568"/>
      <c r="BOY4" s="568"/>
      <c r="BOZ4" s="568"/>
      <c r="BPA4" s="568"/>
      <c r="BPB4" s="568"/>
      <c r="BPC4" s="568"/>
      <c r="BPD4" s="568"/>
      <c r="BPE4" s="568"/>
      <c r="BPF4" s="568"/>
      <c r="BPG4" s="568"/>
      <c r="BPH4" s="568"/>
      <c r="BPI4" s="568"/>
      <c r="BPJ4" s="568"/>
      <c r="BPK4" s="568"/>
      <c r="BPL4" s="568"/>
      <c r="BPM4" s="568"/>
      <c r="BPN4" s="568"/>
      <c r="BPO4" s="568"/>
      <c r="BPP4" s="568"/>
      <c r="BPQ4" s="568"/>
      <c r="BPR4" s="568"/>
      <c r="BPS4" s="568"/>
      <c r="BPT4" s="568"/>
      <c r="BPU4" s="568"/>
      <c r="BPV4" s="568"/>
      <c r="BPW4" s="568"/>
      <c r="BPX4" s="568"/>
      <c r="BPY4" s="568"/>
      <c r="BPZ4" s="568"/>
      <c r="BQA4" s="568"/>
      <c r="BQB4" s="568"/>
      <c r="BQC4" s="568"/>
      <c r="BQD4" s="568"/>
      <c r="BQE4" s="568"/>
      <c r="BQF4" s="568"/>
      <c r="BQG4" s="568"/>
      <c r="BQH4" s="568"/>
      <c r="BQI4" s="568"/>
      <c r="BQJ4" s="568"/>
      <c r="BQK4" s="568"/>
      <c r="BQL4" s="568"/>
      <c r="BQM4" s="568"/>
      <c r="BQN4" s="568"/>
      <c r="BQO4" s="568"/>
      <c r="BQP4" s="568"/>
      <c r="BQQ4" s="568"/>
      <c r="BQR4" s="568"/>
      <c r="BQS4" s="568"/>
      <c r="BQT4" s="568"/>
      <c r="BQU4" s="568"/>
      <c r="BQV4" s="568"/>
      <c r="BQW4" s="568"/>
      <c r="BQX4" s="568"/>
      <c r="BQY4" s="568"/>
      <c r="BQZ4" s="568"/>
      <c r="BRA4" s="568"/>
      <c r="BRB4" s="568"/>
      <c r="BRC4" s="568"/>
      <c r="BRD4" s="568"/>
      <c r="BRE4" s="568"/>
      <c r="BRF4" s="568"/>
      <c r="BRG4" s="568"/>
      <c r="BRH4" s="568"/>
      <c r="BRI4" s="568"/>
      <c r="BRJ4" s="568"/>
      <c r="BRK4" s="568"/>
      <c r="BRL4" s="568"/>
      <c r="BRM4" s="568"/>
      <c r="BRN4" s="568"/>
      <c r="BRO4" s="568"/>
      <c r="BRP4" s="568"/>
      <c r="BRQ4" s="568"/>
      <c r="BRR4" s="568"/>
      <c r="BRS4" s="568"/>
      <c r="BRT4" s="568"/>
      <c r="BRU4" s="568"/>
      <c r="BRV4" s="568"/>
      <c r="BRW4" s="568"/>
      <c r="BRX4" s="568"/>
      <c r="BRY4" s="568"/>
      <c r="BRZ4" s="568"/>
      <c r="BSA4" s="568"/>
      <c r="BSB4" s="568"/>
      <c r="BSC4" s="568"/>
      <c r="BSD4" s="568"/>
      <c r="BSE4" s="568"/>
      <c r="BSF4" s="568"/>
      <c r="BSG4" s="568"/>
      <c r="BSH4" s="568"/>
      <c r="BSI4" s="568"/>
      <c r="BSJ4" s="568"/>
      <c r="BSK4" s="568"/>
      <c r="BSL4" s="568"/>
      <c r="BSM4" s="568"/>
      <c r="BSN4" s="568"/>
      <c r="BSO4" s="568"/>
      <c r="BSP4" s="568"/>
      <c r="BSQ4" s="568"/>
      <c r="BSR4" s="568"/>
      <c r="BSS4" s="568"/>
      <c r="BST4" s="568"/>
      <c r="BSU4" s="568"/>
      <c r="BSV4" s="568"/>
      <c r="BSW4" s="568"/>
      <c r="BSX4" s="568"/>
      <c r="BSY4" s="568"/>
      <c r="BSZ4" s="568"/>
      <c r="BTA4" s="568"/>
      <c r="BTB4" s="568"/>
      <c r="BTC4" s="568"/>
      <c r="BTD4" s="568"/>
      <c r="BTE4" s="568"/>
      <c r="BTF4" s="568"/>
      <c r="BTG4" s="568"/>
      <c r="BTH4" s="568"/>
      <c r="BTI4" s="568"/>
      <c r="BTJ4" s="568"/>
      <c r="BTK4" s="568"/>
      <c r="BTL4" s="568"/>
      <c r="BTM4" s="568"/>
      <c r="BTN4" s="568"/>
      <c r="BTO4" s="568"/>
      <c r="BTP4" s="568"/>
      <c r="BTQ4" s="568"/>
      <c r="BTR4" s="568"/>
      <c r="BTS4" s="568"/>
      <c r="BTT4" s="568"/>
      <c r="BTU4" s="568"/>
      <c r="BTV4" s="568"/>
      <c r="BTW4" s="568"/>
      <c r="BTX4" s="568"/>
      <c r="BTY4" s="568"/>
      <c r="BTZ4" s="568"/>
      <c r="BUA4" s="568"/>
      <c r="BUB4" s="568"/>
      <c r="BUC4" s="568"/>
      <c r="BUD4" s="568"/>
      <c r="BUE4" s="568"/>
      <c r="BUF4" s="568"/>
      <c r="BUG4" s="568"/>
      <c r="BUH4" s="568"/>
      <c r="BUI4" s="568"/>
      <c r="BUJ4" s="568"/>
      <c r="BUK4" s="568"/>
      <c r="BUL4" s="568"/>
      <c r="BUM4" s="568"/>
      <c r="BUN4" s="568"/>
      <c r="BUO4" s="568"/>
      <c r="BUP4" s="568"/>
      <c r="BUQ4" s="568"/>
      <c r="BUR4" s="568"/>
      <c r="BUS4" s="568"/>
      <c r="BUT4" s="568"/>
      <c r="BUU4" s="568"/>
      <c r="BUV4" s="568"/>
      <c r="BUW4" s="568"/>
      <c r="BUX4" s="568"/>
      <c r="BUY4" s="568"/>
      <c r="BUZ4" s="568"/>
      <c r="BVA4" s="568"/>
      <c r="BVB4" s="568"/>
      <c r="BVC4" s="568"/>
      <c r="BVD4" s="568"/>
      <c r="BVE4" s="568"/>
      <c r="BVF4" s="568"/>
      <c r="BVG4" s="568"/>
      <c r="BVH4" s="568"/>
      <c r="BVI4" s="568"/>
      <c r="BVJ4" s="568"/>
      <c r="BVK4" s="568"/>
      <c r="BVL4" s="568"/>
      <c r="BVM4" s="568"/>
      <c r="BVN4" s="568"/>
      <c r="BVO4" s="568"/>
      <c r="BVP4" s="568"/>
      <c r="BVQ4" s="568"/>
      <c r="BVR4" s="568"/>
      <c r="BVS4" s="568"/>
      <c r="BVT4" s="568"/>
      <c r="BVU4" s="568"/>
      <c r="BVV4" s="568"/>
      <c r="BVW4" s="568"/>
      <c r="BVX4" s="568"/>
      <c r="BVY4" s="568"/>
      <c r="BVZ4" s="568"/>
      <c r="BWA4" s="568"/>
      <c r="BWB4" s="568"/>
      <c r="BWC4" s="568"/>
      <c r="BWD4" s="568"/>
      <c r="BWE4" s="568"/>
      <c r="BWF4" s="568"/>
      <c r="BWG4" s="568"/>
      <c r="BWH4" s="568"/>
      <c r="BWI4" s="568"/>
      <c r="BWJ4" s="568"/>
      <c r="BWK4" s="568"/>
      <c r="BWL4" s="568"/>
      <c r="BWM4" s="568"/>
      <c r="BWN4" s="568"/>
      <c r="BWO4" s="568"/>
      <c r="BWP4" s="568"/>
      <c r="BWQ4" s="568"/>
      <c r="BWR4" s="568"/>
      <c r="BWS4" s="568"/>
      <c r="BWT4" s="568"/>
      <c r="BWU4" s="568"/>
      <c r="BWV4" s="568"/>
      <c r="BWW4" s="568"/>
      <c r="BWX4" s="568"/>
      <c r="BWY4" s="568"/>
      <c r="BWZ4" s="568"/>
      <c r="BXA4" s="568"/>
      <c r="BXB4" s="568"/>
      <c r="BXC4" s="568"/>
      <c r="BXD4" s="568"/>
      <c r="BXE4" s="568"/>
      <c r="BXF4" s="568"/>
      <c r="BXG4" s="568"/>
      <c r="BXH4" s="568"/>
      <c r="BXI4" s="568"/>
      <c r="BXJ4" s="568"/>
      <c r="BXK4" s="568"/>
      <c r="BXL4" s="568"/>
      <c r="BXM4" s="568"/>
      <c r="BXN4" s="568"/>
      <c r="BXO4" s="568"/>
      <c r="BXP4" s="568"/>
      <c r="BXQ4" s="568"/>
      <c r="BXR4" s="568"/>
      <c r="BXS4" s="568"/>
      <c r="BXT4" s="568"/>
      <c r="BXU4" s="568"/>
      <c r="BXV4" s="568"/>
      <c r="BXW4" s="568"/>
      <c r="BXX4" s="568"/>
      <c r="BXY4" s="568"/>
      <c r="BXZ4" s="568"/>
      <c r="BYA4" s="568"/>
      <c r="BYB4" s="568"/>
      <c r="BYC4" s="568"/>
      <c r="BYD4" s="568"/>
      <c r="BYE4" s="568"/>
      <c r="BYF4" s="568"/>
      <c r="BYG4" s="568"/>
      <c r="BYH4" s="568"/>
      <c r="BYI4" s="568"/>
      <c r="BYJ4" s="568"/>
      <c r="BYK4" s="568"/>
      <c r="BYL4" s="568"/>
      <c r="BYM4" s="568"/>
      <c r="BYN4" s="568"/>
      <c r="BYO4" s="568"/>
      <c r="BYP4" s="568"/>
      <c r="BYQ4" s="568"/>
      <c r="BYR4" s="568"/>
      <c r="BYS4" s="568"/>
      <c r="BYT4" s="568"/>
      <c r="BYU4" s="568"/>
      <c r="BYV4" s="568"/>
      <c r="BYW4" s="568"/>
      <c r="BYX4" s="568"/>
      <c r="BYY4" s="568"/>
      <c r="BYZ4" s="568"/>
      <c r="BZA4" s="568"/>
      <c r="BZB4" s="568"/>
      <c r="BZC4" s="568"/>
      <c r="BZD4" s="568"/>
      <c r="BZE4" s="568"/>
      <c r="BZF4" s="568"/>
      <c r="BZG4" s="568"/>
      <c r="BZH4" s="568"/>
      <c r="BZI4" s="568"/>
      <c r="BZJ4" s="568"/>
      <c r="BZK4" s="568"/>
      <c r="BZL4" s="568"/>
      <c r="BZM4" s="568"/>
      <c r="BZN4" s="568"/>
      <c r="BZO4" s="568"/>
      <c r="BZP4" s="568"/>
      <c r="BZQ4" s="568"/>
      <c r="BZR4" s="568"/>
      <c r="BZS4" s="568"/>
      <c r="BZT4" s="568"/>
      <c r="BZU4" s="568"/>
      <c r="BZV4" s="568"/>
      <c r="BZW4" s="568"/>
      <c r="BZX4" s="568"/>
      <c r="BZY4" s="568"/>
      <c r="BZZ4" s="568"/>
      <c r="CAA4" s="568"/>
      <c r="CAB4" s="568"/>
      <c r="CAC4" s="568"/>
      <c r="CAD4" s="568"/>
      <c r="CAE4" s="568"/>
      <c r="CAF4" s="568"/>
      <c r="CAG4" s="568"/>
      <c r="CAH4" s="568"/>
      <c r="CAI4" s="568"/>
      <c r="CAJ4" s="568"/>
      <c r="CAK4" s="568"/>
      <c r="CAL4" s="568"/>
      <c r="CAM4" s="568"/>
      <c r="CAN4" s="568"/>
      <c r="CAO4" s="568"/>
      <c r="CAP4" s="568"/>
      <c r="CAQ4" s="568"/>
      <c r="CAR4" s="568"/>
      <c r="CAS4" s="568"/>
      <c r="CAT4" s="568"/>
      <c r="CAU4" s="568"/>
      <c r="CAV4" s="568"/>
      <c r="CAW4" s="568"/>
      <c r="CAX4" s="568"/>
      <c r="CAY4" s="568"/>
      <c r="CAZ4" s="568"/>
      <c r="CBA4" s="568"/>
      <c r="CBB4" s="568"/>
      <c r="CBC4" s="568"/>
      <c r="CBD4" s="568"/>
      <c r="CBE4" s="568"/>
      <c r="CBF4" s="568"/>
      <c r="CBG4" s="568"/>
      <c r="CBH4" s="568"/>
      <c r="CBI4" s="568"/>
      <c r="CBJ4" s="568"/>
      <c r="CBK4" s="568"/>
      <c r="CBL4" s="568"/>
      <c r="CBM4" s="568"/>
      <c r="CBN4" s="568"/>
      <c r="CBO4" s="568"/>
      <c r="CBP4" s="568"/>
      <c r="CBQ4" s="568"/>
      <c r="CBR4" s="568"/>
      <c r="CBS4" s="568"/>
      <c r="CBT4" s="568"/>
      <c r="CBU4" s="568"/>
      <c r="CBV4" s="568"/>
      <c r="CBW4" s="568"/>
      <c r="CBX4" s="568"/>
      <c r="CBY4" s="568"/>
      <c r="CBZ4" s="568"/>
      <c r="CCA4" s="568"/>
      <c r="CCB4" s="568"/>
      <c r="CCC4" s="568"/>
      <c r="CCD4" s="568"/>
      <c r="CCE4" s="568"/>
      <c r="CCF4" s="568"/>
      <c r="CCG4" s="568"/>
      <c r="CCH4" s="568"/>
      <c r="CCI4" s="568"/>
      <c r="CCJ4" s="568"/>
      <c r="CCK4" s="568"/>
      <c r="CCL4" s="568"/>
      <c r="CCM4" s="568"/>
      <c r="CCN4" s="568"/>
      <c r="CCO4" s="568"/>
      <c r="CCP4" s="568"/>
      <c r="CCQ4" s="568"/>
      <c r="CCR4" s="568"/>
      <c r="CCS4" s="568"/>
      <c r="CCT4" s="568"/>
      <c r="CCU4" s="568"/>
      <c r="CCV4" s="568"/>
      <c r="CCW4" s="568"/>
      <c r="CCX4" s="568"/>
      <c r="CCY4" s="568"/>
      <c r="CCZ4" s="568"/>
      <c r="CDA4" s="568"/>
      <c r="CDB4" s="568"/>
      <c r="CDC4" s="568"/>
      <c r="CDD4" s="568"/>
      <c r="CDE4" s="568"/>
      <c r="CDF4" s="568"/>
      <c r="CDG4" s="568"/>
      <c r="CDH4" s="568"/>
      <c r="CDI4" s="568"/>
      <c r="CDJ4" s="568"/>
      <c r="CDK4" s="568"/>
      <c r="CDL4" s="568"/>
      <c r="CDM4" s="568"/>
      <c r="CDN4" s="568"/>
      <c r="CDO4" s="568"/>
      <c r="CDP4" s="568"/>
      <c r="CDQ4" s="568"/>
      <c r="CDR4" s="568"/>
      <c r="CDS4" s="568"/>
      <c r="CDT4" s="568"/>
      <c r="CDU4" s="568"/>
      <c r="CDV4" s="568"/>
      <c r="CDW4" s="568"/>
      <c r="CDX4" s="568"/>
      <c r="CDY4" s="568"/>
      <c r="CDZ4" s="568"/>
      <c r="CEA4" s="568"/>
      <c r="CEB4" s="568"/>
      <c r="CEC4" s="568"/>
      <c r="CED4" s="568"/>
      <c r="CEE4" s="568"/>
      <c r="CEF4" s="568"/>
      <c r="CEG4" s="568"/>
      <c r="CEH4" s="568"/>
      <c r="CEI4" s="568"/>
      <c r="CEJ4" s="568"/>
      <c r="CEK4" s="568"/>
      <c r="CEL4" s="568"/>
      <c r="CEM4" s="568"/>
      <c r="CEN4" s="568"/>
      <c r="CEO4" s="568"/>
      <c r="CEP4" s="568"/>
      <c r="CEQ4" s="568"/>
      <c r="CER4" s="568"/>
      <c r="CES4" s="568"/>
      <c r="CET4" s="568"/>
      <c r="CEU4" s="568"/>
      <c r="CEV4" s="568"/>
      <c r="CEW4" s="568"/>
      <c r="CEX4" s="568"/>
      <c r="CEY4" s="568"/>
      <c r="CEZ4" s="568"/>
      <c r="CFA4" s="568"/>
      <c r="CFB4" s="568"/>
      <c r="CFC4" s="568"/>
      <c r="CFD4" s="568"/>
      <c r="CFE4" s="568"/>
      <c r="CFF4" s="568"/>
      <c r="CFG4" s="568"/>
      <c r="CFH4" s="568"/>
      <c r="CFI4" s="568"/>
      <c r="CFJ4" s="568"/>
      <c r="CFK4" s="568"/>
      <c r="CFL4" s="568"/>
      <c r="CFM4" s="568"/>
      <c r="CFN4" s="568"/>
      <c r="CFO4" s="568"/>
      <c r="CFP4" s="568"/>
      <c r="CFQ4" s="568"/>
      <c r="CFR4" s="568"/>
      <c r="CFS4" s="568"/>
      <c r="CFT4" s="568"/>
      <c r="CFU4" s="568"/>
      <c r="CFV4" s="568"/>
      <c r="CFW4" s="568"/>
      <c r="CFX4" s="568"/>
      <c r="CFY4" s="568"/>
      <c r="CFZ4" s="568"/>
      <c r="CGA4" s="568"/>
      <c r="CGB4" s="568"/>
      <c r="CGC4" s="568"/>
      <c r="CGD4" s="568"/>
      <c r="CGE4" s="568"/>
      <c r="CGF4" s="568"/>
      <c r="CGG4" s="568"/>
      <c r="CGH4" s="568"/>
      <c r="CGI4" s="568"/>
      <c r="CGJ4" s="568"/>
      <c r="CGK4" s="568"/>
      <c r="CGL4" s="568"/>
      <c r="CGM4" s="568"/>
      <c r="CGN4" s="568"/>
      <c r="CGO4" s="568"/>
      <c r="CGP4" s="568"/>
      <c r="CGQ4" s="568"/>
      <c r="CGR4" s="568"/>
      <c r="CGS4" s="568"/>
      <c r="CGT4" s="568"/>
      <c r="CGU4" s="568"/>
      <c r="CGV4" s="568"/>
      <c r="CGW4" s="568"/>
      <c r="CGX4" s="568"/>
      <c r="CGY4" s="568"/>
      <c r="CGZ4" s="568"/>
      <c r="CHA4" s="568"/>
      <c r="CHB4" s="568"/>
      <c r="CHC4" s="568"/>
      <c r="CHD4" s="568"/>
      <c r="CHE4" s="568"/>
      <c r="CHF4" s="568"/>
      <c r="CHG4" s="568"/>
      <c r="CHH4" s="568"/>
      <c r="CHI4" s="568"/>
      <c r="CHJ4" s="568"/>
      <c r="CHK4" s="568"/>
      <c r="CHL4" s="568"/>
      <c r="CHM4" s="568"/>
      <c r="CHN4" s="568"/>
      <c r="CHO4" s="568"/>
      <c r="CHP4" s="568"/>
      <c r="CHQ4" s="568"/>
      <c r="CHR4" s="568"/>
      <c r="CHS4" s="568"/>
      <c r="CHT4" s="568"/>
      <c r="CHU4" s="568"/>
      <c r="CHV4" s="568"/>
      <c r="CHW4" s="568"/>
      <c r="CHX4" s="568"/>
      <c r="CHY4" s="568"/>
      <c r="CHZ4" s="568"/>
      <c r="CIA4" s="568"/>
      <c r="CIB4" s="568"/>
      <c r="CIC4" s="568"/>
      <c r="CID4" s="568"/>
      <c r="CIE4" s="568"/>
      <c r="CIF4" s="568"/>
      <c r="CIG4" s="568"/>
      <c r="CIH4" s="568"/>
      <c r="CII4" s="568"/>
      <c r="CIJ4" s="568"/>
      <c r="CIK4" s="568"/>
      <c r="CIL4" s="568"/>
      <c r="CIM4" s="568"/>
      <c r="CIN4" s="568"/>
      <c r="CIO4" s="568"/>
      <c r="CIP4" s="568"/>
      <c r="CIQ4" s="568"/>
      <c r="CIR4" s="568"/>
      <c r="CIS4" s="568"/>
      <c r="CIT4" s="568"/>
      <c r="CIU4" s="568"/>
      <c r="CIV4" s="568"/>
      <c r="CIW4" s="568"/>
      <c r="CIX4" s="568"/>
      <c r="CIY4" s="568"/>
      <c r="CIZ4" s="568"/>
      <c r="CJA4" s="568"/>
      <c r="CJB4" s="568"/>
      <c r="CJC4" s="568"/>
      <c r="CJD4" s="568"/>
      <c r="CJE4" s="568"/>
      <c r="CJF4" s="568"/>
      <c r="CJG4" s="568"/>
      <c r="CJH4" s="568"/>
      <c r="CJI4" s="568"/>
      <c r="CJJ4" s="568"/>
      <c r="CJK4" s="568"/>
      <c r="CJL4" s="568"/>
      <c r="CJM4" s="568"/>
      <c r="CJN4" s="568"/>
      <c r="CJO4" s="568"/>
      <c r="CJP4" s="568"/>
      <c r="CJQ4" s="568"/>
      <c r="CJR4" s="568"/>
      <c r="CJS4" s="568"/>
      <c r="CJT4" s="568"/>
      <c r="CJU4" s="568"/>
      <c r="CJV4" s="568"/>
      <c r="CJW4" s="568"/>
      <c r="CJX4" s="568"/>
      <c r="CJY4" s="568"/>
      <c r="CJZ4" s="568"/>
      <c r="CKA4" s="568"/>
      <c r="CKB4" s="568"/>
      <c r="CKC4" s="568"/>
      <c r="CKD4" s="568"/>
      <c r="CKE4" s="568"/>
      <c r="CKF4" s="568"/>
      <c r="CKG4" s="568"/>
      <c r="CKH4" s="568"/>
      <c r="CKI4" s="568"/>
      <c r="CKJ4" s="568"/>
      <c r="CKK4" s="568"/>
      <c r="CKL4" s="568"/>
      <c r="CKM4" s="568"/>
      <c r="CKN4" s="568"/>
      <c r="CKO4" s="568"/>
      <c r="CKP4" s="568"/>
      <c r="CKQ4" s="568"/>
      <c r="CKR4" s="568"/>
      <c r="CKS4" s="568"/>
      <c r="CKT4" s="568"/>
      <c r="CKU4" s="568"/>
      <c r="CKV4" s="568"/>
      <c r="CKW4" s="568"/>
      <c r="CKX4" s="568"/>
      <c r="CKY4" s="568"/>
      <c r="CKZ4" s="568"/>
      <c r="CLA4" s="568"/>
      <c r="CLB4" s="568"/>
      <c r="CLC4" s="568"/>
      <c r="CLD4" s="568"/>
      <c r="CLE4" s="568"/>
      <c r="CLF4" s="568"/>
      <c r="CLG4" s="568"/>
      <c r="CLH4" s="568"/>
      <c r="CLI4" s="568"/>
      <c r="CLJ4" s="568"/>
      <c r="CLK4" s="568"/>
      <c r="CLL4" s="568"/>
      <c r="CLM4" s="568"/>
      <c r="CLN4" s="568"/>
      <c r="CLO4" s="568"/>
      <c r="CLP4" s="568"/>
      <c r="CLQ4" s="568"/>
      <c r="CLR4" s="568"/>
      <c r="CLS4" s="568"/>
      <c r="CLT4" s="568"/>
      <c r="CLU4" s="568"/>
      <c r="CLV4" s="568"/>
      <c r="CLW4" s="568"/>
      <c r="CLX4" s="568"/>
      <c r="CLY4" s="568"/>
      <c r="CLZ4" s="568"/>
      <c r="CMA4" s="568"/>
      <c r="CMB4" s="568"/>
      <c r="CMC4" s="568"/>
      <c r="CMD4" s="568"/>
      <c r="CME4" s="568"/>
      <c r="CMF4" s="568"/>
      <c r="CMG4" s="568"/>
      <c r="CMH4" s="568"/>
      <c r="CMI4" s="568"/>
      <c r="CMJ4" s="568"/>
      <c r="CMK4" s="568"/>
      <c r="CML4" s="568"/>
      <c r="CMM4" s="568"/>
      <c r="CMN4" s="568"/>
      <c r="CMO4" s="568"/>
      <c r="CMP4" s="568"/>
      <c r="CMQ4" s="568"/>
      <c r="CMR4" s="568"/>
      <c r="CMS4" s="568"/>
      <c r="CMT4" s="568"/>
      <c r="CMU4" s="568"/>
      <c r="CMV4" s="568"/>
      <c r="CMW4" s="568"/>
      <c r="CMX4" s="568"/>
      <c r="CMY4" s="568"/>
      <c r="CMZ4" s="568"/>
      <c r="CNA4" s="568"/>
      <c r="CNB4" s="568"/>
      <c r="CNC4" s="568"/>
      <c r="CND4" s="568"/>
      <c r="CNE4" s="568"/>
      <c r="CNF4" s="568"/>
      <c r="CNG4" s="568"/>
      <c r="CNH4" s="568"/>
      <c r="CNI4" s="568"/>
      <c r="CNJ4" s="568"/>
      <c r="CNK4" s="568"/>
      <c r="CNL4" s="568"/>
      <c r="CNM4" s="568"/>
      <c r="CNN4" s="568"/>
      <c r="CNO4" s="568"/>
      <c r="CNP4" s="568"/>
      <c r="CNQ4" s="568"/>
      <c r="CNR4" s="568"/>
      <c r="CNS4" s="568"/>
      <c r="CNT4" s="568"/>
      <c r="CNU4" s="568"/>
      <c r="CNV4" s="568"/>
      <c r="CNW4" s="568"/>
      <c r="CNX4" s="568"/>
      <c r="CNY4" s="568"/>
      <c r="CNZ4" s="568"/>
      <c r="COA4" s="568"/>
      <c r="COB4" s="568"/>
      <c r="COC4" s="568"/>
      <c r="COD4" s="568"/>
      <c r="COE4" s="568"/>
      <c r="COF4" s="568"/>
      <c r="COG4" s="568"/>
      <c r="COH4" s="568"/>
      <c r="COI4" s="568"/>
      <c r="COJ4" s="568"/>
      <c r="COK4" s="568"/>
      <c r="COL4" s="568"/>
      <c r="COM4" s="568"/>
      <c r="CON4" s="568"/>
      <c r="COO4" s="568"/>
      <c r="COP4" s="568"/>
      <c r="COQ4" s="568"/>
      <c r="COR4" s="568"/>
      <c r="COS4" s="568"/>
      <c r="COT4" s="568"/>
      <c r="COU4" s="568"/>
      <c r="COV4" s="568"/>
      <c r="COW4" s="568"/>
      <c r="COX4" s="568"/>
      <c r="COY4" s="568"/>
      <c r="COZ4" s="568"/>
      <c r="CPA4" s="568"/>
      <c r="CPB4" s="568"/>
      <c r="CPC4" s="568"/>
      <c r="CPD4" s="568"/>
      <c r="CPE4" s="568"/>
      <c r="CPF4" s="568"/>
      <c r="CPG4" s="568"/>
      <c r="CPH4" s="568"/>
      <c r="CPI4" s="568"/>
      <c r="CPJ4" s="568"/>
      <c r="CPK4" s="568"/>
      <c r="CPL4" s="568"/>
      <c r="CPM4" s="568"/>
      <c r="CPN4" s="568"/>
      <c r="CPO4" s="568"/>
      <c r="CPP4" s="568"/>
      <c r="CPQ4" s="568"/>
      <c r="CPR4" s="568"/>
      <c r="CPS4" s="568"/>
      <c r="CPT4" s="568"/>
      <c r="CPU4" s="568"/>
      <c r="CPV4" s="568"/>
      <c r="CPW4" s="568"/>
      <c r="CPX4" s="568"/>
      <c r="CPY4" s="568"/>
      <c r="CPZ4" s="568"/>
      <c r="CQA4" s="568"/>
      <c r="CQB4" s="568"/>
      <c r="CQC4" s="568"/>
      <c r="CQD4" s="568"/>
      <c r="CQE4" s="568"/>
      <c r="CQF4" s="568"/>
      <c r="CQG4" s="568"/>
      <c r="CQH4" s="568"/>
      <c r="CQI4" s="568"/>
      <c r="CQJ4" s="568"/>
      <c r="CQK4" s="568"/>
      <c r="CQL4" s="568"/>
      <c r="CQM4" s="568"/>
      <c r="CQN4" s="568"/>
      <c r="CQO4" s="568"/>
      <c r="CQP4" s="568"/>
      <c r="CQQ4" s="568"/>
      <c r="CQR4" s="568"/>
      <c r="CQS4" s="568"/>
      <c r="CQT4" s="568"/>
      <c r="CQU4" s="568"/>
      <c r="CQV4" s="568"/>
      <c r="CQW4" s="568"/>
      <c r="CQX4" s="568"/>
      <c r="CQY4" s="568"/>
      <c r="CQZ4" s="568"/>
      <c r="CRA4" s="568"/>
      <c r="CRB4" s="568"/>
      <c r="CRC4" s="568"/>
      <c r="CRD4" s="568"/>
      <c r="CRE4" s="568"/>
      <c r="CRF4" s="568"/>
      <c r="CRG4" s="568"/>
      <c r="CRH4" s="568"/>
      <c r="CRI4" s="568"/>
      <c r="CRJ4" s="568"/>
      <c r="CRK4" s="568"/>
      <c r="CRL4" s="568"/>
      <c r="CRM4" s="568"/>
      <c r="CRN4" s="568"/>
      <c r="CRO4" s="568"/>
      <c r="CRP4" s="568"/>
      <c r="CRQ4" s="568"/>
      <c r="CRR4" s="568"/>
      <c r="CRS4" s="568"/>
      <c r="CRT4" s="568"/>
      <c r="CRU4" s="568"/>
      <c r="CRV4" s="568"/>
      <c r="CRW4" s="568"/>
      <c r="CRX4" s="568"/>
      <c r="CRY4" s="568"/>
      <c r="CRZ4" s="568"/>
      <c r="CSA4" s="568"/>
      <c r="CSB4" s="568"/>
      <c r="CSC4" s="568"/>
      <c r="CSD4" s="568"/>
      <c r="CSE4" s="568"/>
      <c r="CSF4" s="568"/>
      <c r="CSG4" s="568"/>
      <c r="CSH4" s="568"/>
      <c r="CSI4" s="568"/>
      <c r="CSJ4" s="568"/>
      <c r="CSK4" s="568"/>
      <c r="CSL4" s="568"/>
      <c r="CSM4" s="568"/>
      <c r="CSN4" s="568"/>
      <c r="CSO4" s="568"/>
      <c r="CSP4" s="568"/>
      <c r="CSQ4" s="568"/>
      <c r="CSR4" s="568"/>
      <c r="CSS4" s="568"/>
      <c r="CST4" s="568"/>
      <c r="CSU4" s="568"/>
      <c r="CSV4" s="568"/>
      <c r="CSW4" s="568"/>
      <c r="CSX4" s="568"/>
      <c r="CSY4" s="568"/>
      <c r="CSZ4" s="568"/>
      <c r="CTA4" s="568"/>
      <c r="CTB4" s="568"/>
      <c r="CTC4" s="568"/>
      <c r="CTD4" s="568"/>
      <c r="CTE4" s="568"/>
      <c r="CTF4" s="568"/>
      <c r="CTG4" s="568"/>
      <c r="CTH4" s="568"/>
      <c r="CTI4" s="568"/>
      <c r="CTJ4" s="568"/>
      <c r="CTK4" s="568"/>
      <c r="CTL4" s="568"/>
      <c r="CTM4" s="568"/>
      <c r="CTN4" s="568"/>
      <c r="CTO4" s="568"/>
      <c r="CTP4" s="568"/>
      <c r="CTQ4" s="568"/>
      <c r="CTR4" s="568"/>
      <c r="CTS4" s="568"/>
      <c r="CTT4" s="568"/>
      <c r="CTU4" s="568"/>
      <c r="CTV4" s="568"/>
      <c r="CTW4" s="568"/>
      <c r="CTX4" s="568"/>
      <c r="CTY4" s="568"/>
      <c r="CTZ4" s="568"/>
      <c r="CUA4" s="568"/>
      <c r="CUB4" s="568"/>
      <c r="CUC4" s="568"/>
      <c r="CUD4" s="568"/>
      <c r="CUE4" s="568"/>
      <c r="CUF4" s="568"/>
      <c r="CUG4" s="568"/>
      <c r="CUH4" s="568"/>
      <c r="CUI4" s="568"/>
      <c r="CUJ4" s="568"/>
      <c r="CUK4" s="568"/>
      <c r="CUL4" s="568"/>
      <c r="CUM4" s="568"/>
      <c r="CUN4" s="568"/>
      <c r="CUO4" s="568"/>
      <c r="CUP4" s="568"/>
      <c r="CUQ4" s="568"/>
      <c r="CUR4" s="568"/>
      <c r="CUS4" s="568"/>
      <c r="CUT4" s="568"/>
      <c r="CUU4" s="568"/>
      <c r="CUV4" s="568"/>
      <c r="CUW4" s="568"/>
      <c r="CUX4" s="568"/>
      <c r="CUY4" s="568"/>
      <c r="CUZ4" s="568"/>
      <c r="CVA4" s="568"/>
      <c r="CVB4" s="568"/>
      <c r="CVC4" s="568"/>
      <c r="CVD4" s="568"/>
      <c r="CVE4" s="568"/>
      <c r="CVF4" s="568"/>
      <c r="CVG4" s="568"/>
      <c r="CVH4" s="568"/>
      <c r="CVI4" s="568"/>
      <c r="CVJ4" s="568"/>
      <c r="CVK4" s="568"/>
      <c r="CVL4" s="568"/>
      <c r="CVM4" s="568"/>
      <c r="CVN4" s="568"/>
      <c r="CVO4" s="568"/>
      <c r="CVP4" s="568"/>
      <c r="CVQ4" s="568"/>
      <c r="CVR4" s="568"/>
      <c r="CVS4" s="568"/>
      <c r="CVT4" s="568"/>
      <c r="CVU4" s="568"/>
      <c r="CVV4" s="568"/>
      <c r="CVW4" s="568"/>
      <c r="CVX4" s="568"/>
      <c r="CVY4" s="568"/>
      <c r="CVZ4" s="568"/>
      <c r="CWA4" s="568"/>
      <c r="CWB4" s="568"/>
      <c r="CWC4" s="568"/>
      <c r="CWD4" s="568"/>
      <c r="CWE4" s="568"/>
      <c r="CWF4" s="568"/>
      <c r="CWG4" s="568"/>
      <c r="CWH4" s="568"/>
      <c r="CWI4" s="568"/>
      <c r="CWJ4" s="568"/>
      <c r="CWK4" s="568"/>
      <c r="CWL4" s="568"/>
      <c r="CWM4" s="568"/>
      <c r="CWN4" s="568"/>
      <c r="CWO4" s="568"/>
      <c r="CWP4" s="568"/>
      <c r="CWQ4" s="568"/>
      <c r="CWR4" s="568"/>
      <c r="CWS4" s="568"/>
      <c r="CWT4" s="568"/>
      <c r="CWU4" s="568"/>
      <c r="CWV4" s="568"/>
      <c r="CWW4" s="568"/>
      <c r="CWX4" s="568"/>
      <c r="CWY4" s="568"/>
      <c r="CWZ4" s="568"/>
      <c r="CXA4" s="568"/>
      <c r="CXB4" s="568"/>
      <c r="CXC4" s="568"/>
      <c r="CXD4" s="568"/>
      <c r="CXE4" s="568"/>
      <c r="CXF4" s="568"/>
      <c r="CXG4" s="568"/>
      <c r="CXH4" s="568"/>
      <c r="CXI4" s="568"/>
      <c r="CXJ4" s="568"/>
      <c r="CXK4" s="568"/>
      <c r="CXL4" s="568"/>
      <c r="CXM4" s="568"/>
      <c r="CXN4" s="568"/>
      <c r="CXO4" s="568"/>
      <c r="CXP4" s="568"/>
      <c r="CXQ4" s="568"/>
      <c r="CXR4" s="568"/>
      <c r="CXS4" s="568"/>
      <c r="CXT4" s="568"/>
      <c r="CXU4" s="568"/>
      <c r="CXV4" s="568"/>
      <c r="CXW4" s="568"/>
      <c r="CXX4" s="568"/>
      <c r="CXY4" s="568"/>
      <c r="CXZ4" s="568"/>
      <c r="CYA4" s="568"/>
      <c r="CYB4" s="568"/>
      <c r="CYC4" s="568"/>
      <c r="CYD4" s="568"/>
      <c r="CYE4" s="568"/>
      <c r="CYF4" s="568"/>
      <c r="CYG4" s="568"/>
      <c r="CYH4" s="568"/>
      <c r="CYI4" s="568"/>
      <c r="CYJ4" s="568"/>
      <c r="CYK4" s="568"/>
      <c r="CYL4" s="568"/>
      <c r="CYM4" s="568"/>
      <c r="CYN4" s="568"/>
      <c r="CYO4" s="568"/>
      <c r="CYP4" s="568"/>
      <c r="CYQ4" s="568"/>
      <c r="CYR4" s="568"/>
      <c r="CYS4" s="568"/>
      <c r="CYT4" s="568"/>
      <c r="CYU4" s="568"/>
      <c r="CYV4" s="568"/>
      <c r="CYW4" s="568"/>
      <c r="CYX4" s="568"/>
      <c r="CYY4" s="568"/>
      <c r="CYZ4" s="568"/>
      <c r="CZA4" s="568"/>
      <c r="CZB4" s="568"/>
      <c r="CZC4" s="568"/>
      <c r="CZD4" s="568"/>
      <c r="CZE4" s="568"/>
      <c r="CZF4" s="568"/>
      <c r="CZG4" s="568"/>
      <c r="CZH4" s="568"/>
      <c r="CZI4" s="568"/>
      <c r="CZJ4" s="568"/>
      <c r="CZK4" s="568"/>
      <c r="CZL4" s="568"/>
      <c r="CZM4" s="568"/>
      <c r="CZN4" s="568"/>
      <c r="CZO4" s="568"/>
      <c r="CZP4" s="568"/>
      <c r="CZQ4" s="568"/>
      <c r="CZR4" s="568"/>
      <c r="CZS4" s="568"/>
      <c r="CZT4" s="568"/>
      <c r="CZU4" s="568"/>
      <c r="CZV4" s="568"/>
      <c r="CZW4" s="568"/>
      <c r="CZX4" s="568"/>
      <c r="CZY4" s="568"/>
      <c r="CZZ4" s="568"/>
      <c r="DAA4" s="568"/>
      <c r="DAB4" s="568"/>
      <c r="DAC4" s="568"/>
      <c r="DAD4" s="568"/>
      <c r="DAE4" s="568"/>
      <c r="DAF4" s="568"/>
      <c r="DAG4" s="568"/>
      <c r="DAH4" s="568"/>
      <c r="DAI4" s="568"/>
      <c r="DAJ4" s="568"/>
      <c r="DAK4" s="568"/>
      <c r="DAL4" s="568"/>
      <c r="DAM4" s="568"/>
      <c r="DAN4" s="568"/>
      <c r="DAO4" s="568"/>
      <c r="DAP4" s="568"/>
      <c r="DAQ4" s="568"/>
      <c r="DAR4" s="568"/>
      <c r="DAS4" s="568"/>
      <c r="DAT4" s="568"/>
      <c r="DAU4" s="568"/>
      <c r="DAV4" s="568"/>
      <c r="DAW4" s="568"/>
      <c r="DAX4" s="568"/>
      <c r="DAY4" s="568"/>
      <c r="DAZ4" s="568"/>
      <c r="DBA4" s="568"/>
      <c r="DBB4" s="568"/>
      <c r="DBC4" s="568"/>
      <c r="DBD4" s="568"/>
      <c r="DBE4" s="568"/>
      <c r="DBF4" s="568"/>
      <c r="DBG4" s="568"/>
      <c r="DBH4" s="568"/>
      <c r="DBI4" s="568"/>
      <c r="DBJ4" s="568"/>
      <c r="DBK4" s="568"/>
      <c r="DBL4" s="568"/>
      <c r="DBM4" s="568"/>
      <c r="DBN4" s="568"/>
      <c r="DBO4" s="568"/>
      <c r="DBP4" s="568"/>
      <c r="DBQ4" s="568"/>
      <c r="DBR4" s="568"/>
      <c r="DBS4" s="568"/>
      <c r="DBT4" s="568"/>
      <c r="DBU4" s="568"/>
      <c r="DBV4" s="568"/>
      <c r="DBW4" s="568"/>
      <c r="DBX4" s="568"/>
      <c r="DBY4" s="568"/>
      <c r="DBZ4" s="568"/>
      <c r="DCA4" s="568"/>
      <c r="DCB4" s="568"/>
      <c r="DCC4" s="568"/>
      <c r="DCD4" s="568"/>
      <c r="DCE4" s="568"/>
      <c r="DCF4" s="568"/>
      <c r="DCG4" s="568"/>
      <c r="DCH4" s="568"/>
      <c r="DCI4" s="568"/>
      <c r="DCJ4" s="568"/>
      <c r="DCK4" s="568"/>
      <c r="DCL4" s="568"/>
      <c r="DCM4" s="568"/>
      <c r="DCN4" s="568"/>
      <c r="DCO4" s="568"/>
      <c r="DCP4" s="568"/>
      <c r="DCQ4" s="568"/>
      <c r="DCR4" s="568"/>
      <c r="DCS4" s="568"/>
      <c r="DCT4" s="568"/>
      <c r="DCU4" s="568"/>
      <c r="DCV4" s="568"/>
      <c r="DCW4" s="568"/>
      <c r="DCX4" s="568"/>
      <c r="DCY4" s="568"/>
      <c r="DCZ4" s="568"/>
      <c r="DDA4" s="568"/>
      <c r="DDB4" s="568"/>
      <c r="DDC4" s="568"/>
      <c r="DDD4" s="568"/>
      <c r="DDE4" s="568"/>
      <c r="DDF4" s="568"/>
      <c r="DDG4" s="568"/>
      <c r="DDH4" s="568"/>
      <c r="DDI4" s="568"/>
      <c r="DDJ4" s="568"/>
      <c r="DDK4" s="568"/>
      <c r="DDL4" s="568"/>
      <c r="DDM4" s="568"/>
      <c r="DDN4" s="568"/>
      <c r="DDO4" s="568"/>
      <c r="DDP4" s="568"/>
      <c r="DDQ4" s="568"/>
      <c r="DDR4" s="568"/>
      <c r="DDS4" s="568"/>
      <c r="DDT4" s="568"/>
      <c r="DDU4" s="568"/>
      <c r="DDV4" s="568"/>
      <c r="DDW4" s="568"/>
      <c r="DDX4" s="568"/>
      <c r="DDY4" s="568"/>
      <c r="DDZ4" s="568"/>
      <c r="DEA4" s="568"/>
      <c r="DEB4" s="568"/>
      <c r="DEC4" s="568"/>
      <c r="DED4" s="568"/>
      <c r="DEE4" s="568"/>
      <c r="DEF4" s="568"/>
      <c r="DEG4" s="568"/>
      <c r="DEH4" s="568"/>
      <c r="DEI4" s="568"/>
      <c r="DEJ4" s="568"/>
      <c r="DEK4" s="568"/>
      <c r="DEL4" s="568"/>
      <c r="DEM4" s="568"/>
      <c r="DEN4" s="568"/>
      <c r="DEO4" s="568"/>
      <c r="DEP4" s="568"/>
      <c r="DEQ4" s="568"/>
      <c r="DER4" s="568"/>
      <c r="DES4" s="568"/>
      <c r="DET4" s="568"/>
      <c r="DEU4" s="568"/>
      <c r="DEV4" s="568"/>
      <c r="DEW4" s="568"/>
      <c r="DEX4" s="568"/>
      <c r="DEY4" s="568"/>
      <c r="DEZ4" s="568"/>
      <c r="DFA4" s="568"/>
      <c r="DFB4" s="568"/>
      <c r="DFC4" s="568"/>
      <c r="DFD4" s="568"/>
      <c r="DFE4" s="568"/>
      <c r="DFF4" s="568"/>
      <c r="DFG4" s="568"/>
      <c r="DFH4" s="568"/>
      <c r="DFI4" s="568"/>
      <c r="DFJ4" s="568"/>
      <c r="DFK4" s="568"/>
      <c r="DFL4" s="568"/>
      <c r="DFM4" s="568"/>
      <c r="DFN4" s="568"/>
      <c r="DFO4" s="568"/>
      <c r="DFP4" s="568"/>
      <c r="DFQ4" s="568"/>
      <c r="DFR4" s="568"/>
      <c r="DFS4" s="568"/>
      <c r="DFT4" s="568"/>
      <c r="DFU4" s="568"/>
      <c r="DFV4" s="568"/>
      <c r="DFW4" s="568"/>
      <c r="DFX4" s="568"/>
      <c r="DFY4" s="568"/>
      <c r="DFZ4" s="568"/>
      <c r="DGA4" s="568"/>
      <c r="DGB4" s="568"/>
      <c r="DGC4" s="568"/>
      <c r="DGD4" s="568"/>
      <c r="DGE4" s="568"/>
      <c r="DGF4" s="568"/>
      <c r="DGG4" s="568"/>
      <c r="DGH4" s="568"/>
      <c r="DGI4" s="568"/>
      <c r="DGJ4" s="568"/>
      <c r="DGK4" s="568"/>
      <c r="DGL4" s="568"/>
      <c r="DGM4" s="568"/>
      <c r="DGN4" s="568"/>
      <c r="DGO4" s="568"/>
      <c r="DGP4" s="568"/>
      <c r="DGQ4" s="568"/>
      <c r="DGR4" s="568"/>
      <c r="DGS4" s="568"/>
      <c r="DGT4" s="568"/>
      <c r="DGU4" s="568"/>
      <c r="DGV4" s="568"/>
      <c r="DGW4" s="568"/>
      <c r="DGX4" s="568"/>
      <c r="DGY4" s="568"/>
      <c r="DGZ4" s="568"/>
      <c r="DHA4" s="568"/>
      <c r="DHB4" s="568"/>
      <c r="DHC4" s="568"/>
      <c r="DHD4" s="568"/>
      <c r="DHE4" s="568"/>
      <c r="DHF4" s="568"/>
      <c r="DHG4" s="568"/>
      <c r="DHH4" s="568"/>
      <c r="DHI4" s="568"/>
      <c r="DHJ4" s="568"/>
      <c r="DHK4" s="568"/>
      <c r="DHL4" s="568"/>
      <c r="DHM4" s="568"/>
      <c r="DHN4" s="568"/>
      <c r="DHO4" s="568"/>
      <c r="DHP4" s="568"/>
      <c r="DHQ4" s="568"/>
      <c r="DHR4" s="568"/>
      <c r="DHS4" s="568"/>
      <c r="DHT4" s="568"/>
      <c r="DHU4" s="568"/>
      <c r="DHV4" s="568"/>
      <c r="DHW4" s="568"/>
      <c r="DHX4" s="568"/>
      <c r="DHY4" s="568"/>
      <c r="DHZ4" s="568"/>
      <c r="DIA4" s="568"/>
      <c r="DIB4" s="568"/>
      <c r="DIC4" s="568"/>
      <c r="DID4" s="568"/>
      <c r="DIE4" s="568"/>
      <c r="DIF4" s="568"/>
      <c r="DIG4" s="568"/>
      <c r="DIH4" s="568"/>
      <c r="DII4" s="568"/>
      <c r="DIJ4" s="568"/>
      <c r="DIK4" s="568"/>
      <c r="DIL4" s="568"/>
      <c r="DIM4" s="568"/>
      <c r="DIN4" s="568"/>
      <c r="DIO4" s="568"/>
      <c r="DIP4" s="568"/>
      <c r="DIQ4" s="568"/>
      <c r="DIR4" s="568"/>
      <c r="DIS4" s="568"/>
      <c r="DIT4" s="568"/>
      <c r="DIU4" s="568"/>
      <c r="DIV4" s="568"/>
      <c r="DIW4" s="568"/>
      <c r="DIX4" s="568"/>
      <c r="DIY4" s="568"/>
      <c r="DIZ4" s="568"/>
      <c r="DJA4" s="568"/>
      <c r="DJB4" s="568"/>
      <c r="DJC4" s="568"/>
      <c r="DJD4" s="568"/>
      <c r="DJE4" s="568"/>
      <c r="DJF4" s="568"/>
      <c r="DJG4" s="568"/>
      <c r="DJH4" s="568"/>
      <c r="DJI4" s="568"/>
      <c r="DJJ4" s="568"/>
      <c r="DJK4" s="568"/>
      <c r="DJL4" s="568"/>
      <c r="DJM4" s="568"/>
      <c r="DJN4" s="568"/>
      <c r="DJO4" s="568"/>
      <c r="DJP4" s="568"/>
      <c r="DJQ4" s="568"/>
      <c r="DJR4" s="568"/>
      <c r="DJS4" s="568"/>
      <c r="DJT4" s="568"/>
      <c r="DJU4" s="568"/>
      <c r="DJV4" s="568"/>
      <c r="DJW4" s="568"/>
      <c r="DJX4" s="568"/>
      <c r="DJY4" s="568"/>
      <c r="DJZ4" s="568"/>
      <c r="DKA4" s="568"/>
      <c r="DKB4" s="568"/>
      <c r="DKC4" s="568"/>
      <c r="DKD4" s="568"/>
      <c r="DKE4" s="568"/>
      <c r="DKF4" s="568"/>
      <c r="DKG4" s="568"/>
      <c r="DKH4" s="568"/>
      <c r="DKI4" s="568"/>
      <c r="DKJ4" s="568"/>
      <c r="DKK4" s="568"/>
      <c r="DKL4" s="568"/>
      <c r="DKM4" s="568"/>
      <c r="DKN4" s="568"/>
      <c r="DKO4" s="568"/>
      <c r="DKP4" s="568"/>
      <c r="DKQ4" s="568"/>
      <c r="DKR4" s="568"/>
      <c r="DKS4" s="568"/>
      <c r="DKT4" s="568"/>
      <c r="DKU4" s="568"/>
      <c r="DKV4" s="568"/>
      <c r="DKW4" s="568"/>
      <c r="DKX4" s="568"/>
      <c r="DKY4" s="568"/>
      <c r="DKZ4" s="568"/>
      <c r="DLA4" s="568"/>
      <c r="DLB4" s="568"/>
      <c r="DLC4" s="568"/>
      <c r="DLD4" s="568"/>
      <c r="DLE4" s="568"/>
      <c r="DLF4" s="568"/>
      <c r="DLG4" s="568"/>
      <c r="DLH4" s="568"/>
      <c r="DLI4" s="568"/>
      <c r="DLJ4" s="568"/>
      <c r="DLK4" s="568"/>
      <c r="DLL4" s="568"/>
      <c r="DLM4" s="568"/>
      <c r="DLN4" s="568"/>
      <c r="DLO4" s="568"/>
      <c r="DLP4" s="568"/>
      <c r="DLQ4" s="568"/>
      <c r="DLR4" s="568"/>
      <c r="DLS4" s="568"/>
      <c r="DLT4" s="568"/>
      <c r="DLU4" s="568"/>
      <c r="DLV4" s="568"/>
      <c r="DLW4" s="568"/>
      <c r="DLX4" s="568"/>
      <c r="DLY4" s="568"/>
      <c r="DLZ4" s="568"/>
      <c r="DMA4" s="568"/>
      <c r="DMB4" s="568"/>
      <c r="DMC4" s="568"/>
      <c r="DMD4" s="568"/>
      <c r="DME4" s="568"/>
      <c r="DMF4" s="568"/>
      <c r="DMG4" s="568"/>
      <c r="DMH4" s="568"/>
      <c r="DMI4" s="568"/>
      <c r="DMJ4" s="568"/>
      <c r="DMK4" s="568"/>
      <c r="DML4" s="568"/>
      <c r="DMM4" s="568"/>
      <c r="DMN4" s="568"/>
      <c r="DMO4" s="568"/>
      <c r="DMP4" s="568"/>
      <c r="DMQ4" s="568"/>
      <c r="DMR4" s="568"/>
      <c r="DMS4" s="568"/>
      <c r="DMT4" s="568"/>
      <c r="DMU4" s="568"/>
      <c r="DMV4" s="568"/>
      <c r="DMW4" s="568"/>
      <c r="DMX4" s="568"/>
      <c r="DMY4" s="568"/>
      <c r="DMZ4" s="568"/>
      <c r="DNA4" s="568"/>
      <c r="DNB4" s="568"/>
      <c r="DNC4" s="568"/>
      <c r="DND4" s="568"/>
      <c r="DNE4" s="568"/>
      <c r="DNF4" s="568"/>
      <c r="DNG4" s="568"/>
      <c r="DNH4" s="568"/>
      <c r="DNI4" s="568"/>
      <c r="DNJ4" s="568"/>
      <c r="DNK4" s="568"/>
      <c r="DNL4" s="568"/>
      <c r="DNM4" s="568"/>
      <c r="DNN4" s="568"/>
      <c r="DNO4" s="568"/>
      <c r="DNP4" s="568"/>
      <c r="DNQ4" s="568"/>
      <c r="DNR4" s="568"/>
      <c r="DNS4" s="568"/>
      <c r="DNT4" s="568"/>
      <c r="DNU4" s="568"/>
      <c r="DNV4" s="568"/>
      <c r="DNW4" s="568"/>
      <c r="DNX4" s="568"/>
      <c r="DNY4" s="568"/>
      <c r="DNZ4" s="568"/>
      <c r="DOA4" s="568"/>
      <c r="DOB4" s="568"/>
      <c r="DOC4" s="568"/>
      <c r="DOD4" s="568"/>
      <c r="DOE4" s="568"/>
      <c r="DOF4" s="568"/>
      <c r="DOG4" s="568"/>
      <c r="DOH4" s="568"/>
      <c r="DOI4" s="568"/>
      <c r="DOJ4" s="568"/>
      <c r="DOK4" s="568"/>
      <c r="DOL4" s="568"/>
      <c r="DOM4" s="568"/>
      <c r="DON4" s="568"/>
      <c r="DOO4" s="568"/>
      <c r="DOP4" s="568"/>
      <c r="DOQ4" s="568"/>
      <c r="DOR4" s="568"/>
      <c r="DOS4" s="568"/>
      <c r="DOT4" s="568"/>
      <c r="DOU4" s="568"/>
      <c r="DOV4" s="568"/>
      <c r="DOW4" s="568"/>
      <c r="DOX4" s="568"/>
      <c r="DOY4" s="568"/>
      <c r="DOZ4" s="568"/>
      <c r="DPA4" s="568"/>
      <c r="DPB4" s="568"/>
      <c r="DPC4" s="568"/>
      <c r="DPD4" s="568"/>
      <c r="DPE4" s="568"/>
      <c r="DPF4" s="568"/>
      <c r="DPG4" s="568"/>
      <c r="DPH4" s="568"/>
      <c r="DPI4" s="568"/>
      <c r="DPJ4" s="568"/>
      <c r="DPK4" s="568"/>
      <c r="DPL4" s="568"/>
      <c r="DPM4" s="568"/>
      <c r="DPN4" s="568"/>
      <c r="DPO4" s="568"/>
      <c r="DPP4" s="568"/>
      <c r="DPQ4" s="568"/>
      <c r="DPR4" s="568"/>
      <c r="DPS4" s="568"/>
      <c r="DPT4" s="568"/>
      <c r="DPU4" s="568"/>
      <c r="DPV4" s="568"/>
      <c r="DPW4" s="568"/>
      <c r="DPX4" s="568"/>
      <c r="DPY4" s="568"/>
      <c r="DPZ4" s="568"/>
      <c r="DQA4" s="568"/>
      <c r="DQB4" s="568"/>
      <c r="DQC4" s="568"/>
      <c r="DQD4" s="568"/>
      <c r="DQE4" s="568"/>
      <c r="DQF4" s="568"/>
      <c r="DQG4" s="568"/>
      <c r="DQH4" s="568"/>
      <c r="DQI4" s="568"/>
      <c r="DQJ4" s="568"/>
      <c r="DQK4" s="568"/>
      <c r="DQL4" s="568"/>
      <c r="DQM4" s="568"/>
      <c r="DQN4" s="568"/>
      <c r="DQO4" s="568"/>
      <c r="DQP4" s="568"/>
      <c r="DQQ4" s="568"/>
      <c r="DQR4" s="568"/>
      <c r="DQS4" s="568"/>
      <c r="DQT4" s="568"/>
      <c r="DQU4" s="568"/>
      <c r="DQV4" s="568"/>
      <c r="DQW4" s="568"/>
      <c r="DQX4" s="568"/>
      <c r="DQY4" s="568"/>
      <c r="DQZ4" s="568"/>
      <c r="DRA4" s="568"/>
      <c r="DRB4" s="568"/>
      <c r="DRC4" s="568"/>
      <c r="DRD4" s="568"/>
      <c r="DRE4" s="568"/>
      <c r="DRF4" s="568"/>
      <c r="DRG4" s="568"/>
      <c r="DRH4" s="568"/>
      <c r="DRI4" s="568"/>
      <c r="DRJ4" s="568"/>
      <c r="DRK4" s="568"/>
      <c r="DRL4" s="568"/>
      <c r="DRM4" s="568"/>
      <c r="DRN4" s="568"/>
      <c r="DRO4" s="568"/>
      <c r="DRP4" s="568"/>
      <c r="DRQ4" s="568"/>
      <c r="DRR4" s="568"/>
      <c r="DRS4" s="568"/>
      <c r="DRT4" s="568"/>
      <c r="DRU4" s="568"/>
      <c r="DRV4" s="568"/>
      <c r="DRW4" s="568"/>
      <c r="DRX4" s="568"/>
      <c r="DRY4" s="568"/>
      <c r="DRZ4" s="568"/>
      <c r="DSA4" s="568"/>
      <c r="DSB4" s="568"/>
      <c r="DSC4" s="568"/>
      <c r="DSD4" s="568"/>
      <c r="DSE4" s="568"/>
      <c r="DSF4" s="568"/>
      <c r="DSG4" s="568"/>
      <c r="DSH4" s="568"/>
      <c r="DSI4" s="568"/>
      <c r="DSJ4" s="568"/>
      <c r="DSK4" s="568"/>
      <c r="DSL4" s="568"/>
      <c r="DSM4" s="568"/>
      <c r="DSN4" s="568"/>
      <c r="DSO4" s="568"/>
      <c r="DSP4" s="568"/>
      <c r="DSQ4" s="568"/>
      <c r="DSR4" s="568"/>
      <c r="DSS4" s="568"/>
      <c r="DST4" s="568"/>
      <c r="DSU4" s="568"/>
      <c r="DSV4" s="568"/>
      <c r="DSW4" s="568"/>
      <c r="DSX4" s="568"/>
      <c r="DSY4" s="568"/>
      <c r="DSZ4" s="568"/>
      <c r="DTA4" s="568"/>
      <c r="DTB4" s="568"/>
      <c r="DTC4" s="568"/>
      <c r="DTD4" s="568"/>
      <c r="DTE4" s="568"/>
      <c r="DTF4" s="568"/>
      <c r="DTG4" s="568"/>
      <c r="DTH4" s="568"/>
      <c r="DTI4" s="568"/>
      <c r="DTJ4" s="568"/>
      <c r="DTK4" s="568"/>
      <c r="DTL4" s="568"/>
      <c r="DTM4" s="568"/>
      <c r="DTN4" s="568"/>
      <c r="DTO4" s="568"/>
      <c r="DTP4" s="568"/>
      <c r="DTQ4" s="568"/>
      <c r="DTR4" s="568"/>
      <c r="DTS4" s="568"/>
      <c r="DTT4" s="568"/>
      <c r="DTU4" s="568"/>
      <c r="DTV4" s="568"/>
      <c r="DTW4" s="568"/>
      <c r="DTX4" s="568"/>
      <c r="DTY4" s="568"/>
      <c r="DTZ4" s="568"/>
      <c r="DUA4" s="568"/>
      <c r="DUB4" s="568"/>
      <c r="DUC4" s="568"/>
      <c r="DUD4" s="568"/>
      <c r="DUE4" s="568"/>
      <c r="DUF4" s="568"/>
      <c r="DUG4" s="568"/>
      <c r="DUH4" s="568"/>
      <c r="DUI4" s="568"/>
      <c r="DUJ4" s="568"/>
      <c r="DUK4" s="568"/>
      <c r="DUL4" s="568"/>
      <c r="DUM4" s="568"/>
      <c r="DUN4" s="568"/>
      <c r="DUO4" s="568"/>
      <c r="DUP4" s="568"/>
      <c r="DUQ4" s="568"/>
      <c r="DUR4" s="568"/>
      <c r="DUS4" s="568"/>
      <c r="DUT4" s="568"/>
      <c r="DUU4" s="568"/>
      <c r="DUV4" s="568"/>
      <c r="DUW4" s="568"/>
      <c r="DUX4" s="568"/>
      <c r="DUY4" s="568"/>
      <c r="DUZ4" s="568"/>
      <c r="DVA4" s="568"/>
      <c r="DVB4" s="568"/>
      <c r="DVC4" s="568"/>
      <c r="DVD4" s="568"/>
      <c r="DVE4" s="568"/>
      <c r="DVF4" s="568"/>
      <c r="DVG4" s="568"/>
      <c r="DVH4" s="568"/>
      <c r="DVI4" s="568"/>
      <c r="DVJ4" s="568"/>
      <c r="DVK4" s="568"/>
      <c r="DVL4" s="568"/>
      <c r="DVM4" s="568"/>
      <c r="DVN4" s="568"/>
      <c r="DVO4" s="568"/>
      <c r="DVP4" s="568"/>
      <c r="DVQ4" s="568"/>
      <c r="DVR4" s="568"/>
      <c r="DVS4" s="568"/>
      <c r="DVT4" s="568"/>
      <c r="DVU4" s="568"/>
      <c r="DVV4" s="568"/>
      <c r="DVW4" s="568"/>
      <c r="DVX4" s="568"/>
      <c r="DVY4" s="568"/>
      <c r="DVZ4" s="568"/>
      <c r="DWA4" s="568"/>
      <c r="DWB4" s="568"/>
      <c r="DWC4" s="568"/>
      <c r="DWD4" s="568"/>
      <c r="DWE4" s="568"/>
      <c r="DWF4" s="568"/>
      <c r="DWG4" s="568"/>
      <c r="DWH4" s="568"/>
      <c r="DWI4" s="568"/>
      <c r="DWJ4" s="568"/>
      <c r="DWK4" s="568"/>
      <c r="DWL4" s="568"/>
      <c r="DWM4" s="568"/>
      <c r="DWN4" s="568"/>
      <c r="DWO4" s="568"/>
      <c r="DWP4" s="568"/>
      <c r="DWQ4" s="568"/>
      <c r="DWR4" s="568"/>
      <c r="DWS4" s="568"/>
      <c r="DWT4" s="568"/>
      <c r="DWU4" s="568"/>
      <c r="DWV4" s="568"/>
      <c r="DWW4" s="568"/>
      <c r="DWX4" s="568"/>
      <c r="DWY4" s="568"/>
      <c r="DWZ4" s="568"/>
      <c r="DXA4" s="568"/>
      <c r="DXB4" s="568"/>
      <c r="DXC4" s="568"/>
      <c r="DXD4" s="568"/>
      <c r="DXE4" s="568"/>
      <c r="DXF4" s="568"/>
      <c r="DXG4" s="568"/>
      <c r="DXH4" s="568"/>
      <c r="DXI4" s="568"/>
      <c r="DXJ4" s="568"/>
      <c r="DXK4" s="568"/>
      <c r="DXL4" s="568"/>
      <c r="DXM4" s="568"/>
      <c r="DXN4" s="568"/>
      <c r="DXO4" s="568"/>
      <c r="DXP4" s="568"/>
      <c r="DXQ4" s="568"/>
      <c r="DXR4" s="568"/>
      <c r="DXS4" s="568"/>
      <c r="DXT4" s="568"/>
      <c r="DXU4" s="568"/>
      <c r="DXV4" s="568"/>
      <c r="DXW4" s="568"/>
      <c r="DXX4" s="568"/>
      <c r="DXY4" s="568"/>
      <c r="DXZ4" s="568"/>
      <c r="DYA4" s="568"/>
      <c r="DYB4" s="568"/>
      <c r="DYC4" s="568"/>
      <c r="DYD4" s="568"/>
      <c r="DYE4" s="568"/>
      <c r="DYF4" s="568"/>
      <c r="DYG4" s="568"/>
      <c r="DYH4" s="568"/>
      <c r="DYI4" s="568"/>
      <c r="DYJ4" s="568"/>
      <c r="DYK4" s="568"/>
      <c r="DYL4" s="568"/>
      <c r="DYM4" s="568"/>
      <c r="DYN4" s="568"/>
      <c r="DYO4" s="568"/>
      <c r="DYP4" s="568"/>
      <c r="DYQ4" s="568"/>
      <c r="DYR4" s="568"/>
      <c r="DYS4" s="568"/>
      <c r="DYT4" s="568"/>
      <c r="DYU4" s="568"/>
      <c r="DYV4" s="568"/>
      <c r="DYW4" s="568"/>
      <c r="DYX4" s="568"/>
      <c r="DYY4" s="568"/>
      <c r="DYZ4" s="568"/>
      <c r="DZA4" s="568"/>
      <c r="DZB4" s="568"/>
      <c r="DZC4" s="568"/>
      <c r="DZD4" s="568"/>
      <c r="DZE4" s="568"/>
      <c r="DZF4" s="568"/>
      <c r="DZG4" s="568"/>
      <c r="DZH4" s="568"/>
      <c r="DZI4" s="568"/>
      <c r="DZJ4" s="568"/>
      <c r="DZK4" s="568"/>
      <c r="DZL4" s="568"/>
      <c r="DZM4" s="568"/>
      <c r="DZN4" s="568"/>
      <c r="DZO4" s="568"/>
      <c r="DZP4" s="568"/>
      <c r="DZQ4" s="568"/>
      <c r="DZR4" s="568"/>
      <c r="DZS4" s="568"/>
      <c r="DZT4" s="568"/>
      <c r="DZU4" s="568"/>
      <c r="DZV4" s="568"/>
      <c r="DZW4" s="568"/>
      <c r="DZX4" s="568"/>
      <c r="DZY4" s="568"/>
      <c r="DZZ4" s="568"/>
      <c r="EAA4" s="568"/>
      <c r="EAB4" s="568"/>
      <c r="EAC4" s="568"/>
      <c r="EAD4" s="568"/>
      <c r="EAE4" s="568"/>
      <c r="EAF4" s="568"/>
      <c r="EAG4" s="568"/>
      <c r="EAH4" s="568"/>
      <c r="EAI4" s="568"/>
      <c r="EAJ4" s="568"/>
      <c r="EAK4" s="568"/>
      <c r="EAL4" s="568"/>
      <c r="EAM4" s="568"/>
      <c r="EAN4" s="568"/>
      <c r="EAO4" s="568"/>
      <c r="EAP4" s="568"/>
      <c r="EAQ4" s="568"/>
      <c r="EAR4" s="568"/>
      <c r="EAS4" s="568"/>
      <c r="EAT4" s="568"/>
      <c r="EAU4" s="568"/>
      <c r="EAV4" s="568"/>
      <c r="EAW4" s="568"/>
      <c r="EAX4" s="568"/>
      <c r="EAY4" s="568"/>
      <c r="EAZ4" s="568"/>
      <c r="EBA4" s="568"/>
      <c r="EBB4" s="568"/>
      <c r="EBC4" s="568"/>
      <c r="EBD4" s="568"/>
      <c r="EBE4" s="568"/>
      <c r="EBF4" s="568"/>
      <c r="EBG4" s="568"/>
      <c r="EBH4" s="568"/>
      <c r="EBI4" s="568"/>
      <c r="EBJ4" s="568"/>
      <c r="EBK4" s="568"/>
      <c r="EBL4" s="568"/>
      <c r="EBM4" s="568"/>
      <c r="EBN4" s="568"/>
      <c r="EBO4" s="568"/>
      <c r="EBP4" s="568"/>
      <c r="EBQ4" s="568"/>
      <c r="EBR4" s="568"/>
      <c r="EBS4" s="568"/>
      <c r="EBT4" s="568"/>
      <c r="EBU4" s="568"/>
      <c r="EBV4" s="568"/>
      <c r="EBW4" s="568"/>
      <c r="EBX4" s="568"/>
      <c r="EBY4" s="568"/>
      <c r="EBZ4" s="568"/>
      <c r="ECA4" s="568"/>
      <c r="ECB4" s="568"/>
      <c r="ECC4" s="568"/>
      <c r="ECD4" s="568"/>
      <c r="ECE4" s="568"/>
      <c r="ECF4" s="568"/>
      <c r="ECG4" s="568"/>
      <c r="ECH4" s="568"/>
      <c r="ECI4" s="568"/>
      <c r="ECJ4" s="568"/>
      <c r="ECK4" s="568"/>
      <c r="ECL4" s="568"/>
      <c r="ECM4" s="568"/>
      <c r="ECN4" s="568"/>
      <c r="ECO4" s="568"/>
      <c r="ECP4" s="568"/>
      <c r="ECQ4" s="568"/>
      <c r="ECR4" s="568"/>
      <c r="ECS4" s="568"/>
      <c r="ECT4" s="568"/>
      <c r="ECU4" s="568"/>
      <c r="ECV4" s="568"/>
      <c r="ECW4" s="568"/>
      <c r="ECX4" s="568"/>
      <c r="ECY4" s="568"/>
      <c r="ECZ4" s="568"/>
      <c r="EDA4" s="568"/>
      <c r="EDB4" s="568"/>
      <c r="EDC4" s="568"/>
      <c r="EDD4" s="568"/>
      <c r="EDE4" s="568"/>
      <c r="EDF4" s="568"/>
      <c r="EDG4" s="568"/>
      <c r="EDH4" s="568"/>
      <c r="EDI4" s="568"/>
      <c r="EDJ4" s="568"/>
      <c r="EDK4" s="568"/>
      <c r="EDL4" s="568"/>
      <c r="EDM4" s="568"/>
      <c r="EDN4" s="568"/>
      <c r="EDO4" s="568"/>
      <c r="EDP4" s="568"/>
      <c r="EDQ4" s="568"/>
      <c r="EDR4" s="568"/>
      <c r="EDS4" s="568"/>
      <c r="EDT4" s="568"/>
      <c r="EDU4" s="568"/>
      <c r="EDV4" s="568"/>
      <c r="EDW4" s="568"/>
      <c r="EDX4" s="568"/>
      <c r="EDY4" s="568"/>
      <c r="EDZ4" s="568"/>
      <c r="EEA4" s="568"/>
      <c r="EEB4" s="568"/>
      <c r="EEC4" s="568"/>
      <c r="EED4" s="568"/>
      <c r="EEE4" s="568"/>
      <c r="EEF4" s="568"/>
      <c r="EEG4" s="568"/>
      <c r="EEH4" s="568"/>
      <c r="EEI4" s="568"/>
      <c r="EEJ4" s="568"/>
      <c r="EEK4" s="568"/>
      <c r="EEL4" s="568"/>
      <c r="EEM4" s="568"/>
      <c r="EEN4" s="568"/>
      <c r="EEO4" s="568"/>
      <c r="EEP4" s="568"/>
      <c r="EEQ4" s="568"/>
      <c r="EER4" s="568"/>
      <c r="EES4" s="568"/>
      <c r="EET4" s="568"/>
      <c r="EEU4" s="568"/>
      <c r="EEV4" s="568"/>
      <c r="EEW4" s="568"/>
      <c r="EEX4" s="568"/>
      <c r="EEY4" s="568"/>
      <c r="EEZ4" s="568"/>
      <c r="EFA4" s="568"/>
      <c r="EFB4" s="568"/>
      <c r="EFC4" s="568"/>
      <c r="EFD4" s="568"/>
      <c r="EFE4" s="568"/>
      <c r="EFF4" s="568"/>
      <c r="EFG4" s="568"/>
      <c r="EFH4" s="568"/>
      <c r="EFI4" s="568"/>
      <c r="EFJ4" s="568"/>
      <c r="EFK4" s="568"/>
      <c r="EFL4" s="568"/>
      <c r="EFM4" s="568"/>
      <c r="EFN4" s="568"/>
      <c r="EFO4" s="568"/>
      <c r="EFP4" s="568"/>
      <c r="EFQ4" s="568"/>
      <c r="EFR4" s="568"/>
      <c r="EFS4" s="568"/>
      <c r="EFT4" s="568"/>
      <c r="EFU4" s="568"/>
      <c r="EFV4" s="568"/>
      <c r="EFW4" s="568"/>
      <c r="EFX4" s="568"/>
      <c r="EFY4" s="568"/>
      <c r="EFZ4" s="568"/>
      <c r="EGA4" s="568"/>
      <c r="EGB4" s="568"/>
      <c r="EGC4" s="568"/>
      <c r="EGD4" s="568"/>
      <c r="EGE4" s="568"/>
      <c r="EGF4" s="568"/>
      <c r="EGG4" s="568"/>
      <c r="EGH4" s="568"/>
      <c r="EGI4" s="568"/>
      <c r="EGJ4" s="568"/>
      <c r="EGK4" s="568"/>
      <c r="EGL4" s="568"/>
      <c r="EGM4" s="568"/>
      <c r="EGN4" s="568"/>
      <c r="EGO4" s="568"/>
      <c r="EGP4" s="568"/>
      <c r="EGQ4" s="568"/>
      <c r="EGR4" s="568"/>
      <c r="EGS4" s="568"/>
      <c r="EGT4" s="568"/>
      <c r="EGU4" s="568"/>
      <c r="EGV4" s="568"/>
      <c r="EGW4" s="568"/>
      <c r="EGX4" s="568"/>
      <c r="EGY4" s="568"/>
      <c r="EGZ4" s="568"/>
      <c r="EHA4" s="568"/>
      <c r="EHB4" s="568"/>
      <c r="EHC4" s="568"/>
      <c r="EHD4" s="568"/>
      <c r="EHE4" s="568"/>
      <c r="EHF4" s="568"/>
      <c r="EHG4" s="568"/>
      <c r="EHH4" s="568"/>
      <c r="EHI4" s="568"/>
      <c r="EHJ4" s="568"/>
      <c r="EHK4" s="568"/>
      <c r="EHL4" s="568"/>
      <c r="EHM4" s="568"/>
      <c r="EHN4" s="568"/>
      <c r="EHO4" s="568"/>
      <c r="EHP4" s="568"/>
      <c r="EHQ4" s="568"/>
      <c r="EHR4" s="568"/>
      <c r="EHS4" s="568"/>
      <c r="EHT4" s="568"/>
      <c r="EHU4" s="568"/>
      <c r="EHV4" s="568"/>
      <c r="EHW4" s="568"/>
      <c r="EHX4" s="568"/>
      <c r="EHY4" s="568"/>
      <c r="EHZ4" s="568"/>
      <c r="EIA4" s="568"/>
      <c r="EIB4" s="568"/>
      <c r="EIC4" s="568"/>
      <c r="EID4" s="568"/>
      <c r="EIE4" s="568"/>
      <c r="EIF4" s="568"/>
      <c r="EIG4" s="568"/>
      <c r="EIH4" s="568"/>
      <c r="EII4" s="568"/>
      <c r="EIJ4" s="568"/>
      <c r="EIK4" s="568"/>
      <c r="EIL4" s="568"/>
      <c r="EIM4" s="568"/>
      <c r="EIN4" s="568"/>
      <c r="EIO4" s="568"/>
      <c r="EIP4" s="568"/>
      <c r="EIQ4" s="568"/>
      <c r="EIR4" s="568"/>
      <c r="EIS4" s="568"/>
      <c r="EIT4" s="568"/>
      <c r="EIU4" s="568"/>
      <c r="EIV4" s="568"/>
      <c r="EIW4" s="568"/>
      <c r="EIX4" s="568"/>
      <c r="EIY4" s="568"/>
      <c r="EIZ4" s="568"/>
      <c r="EJA4" s="568"/>
      <c r="EJB4" s="568"/>
      <c r="EJC4" s="568"/>
      <c r="EJD4" s="568"/>
      <c r="EJE4" s="568"/>
      <c r="EJF4" s="568"/>
      <c r="EJG4" s="568"/>
      <c r="EJH4" s="568"/>
      <c r="EJI4" s="568"/>
      <c r="EJJ4" s="568"/>
      <c r="EJK4" s="568"/>
      <c r="EJL4" s="568"/>
      <c r="EJM4" s="568"/>
      <c r="EJN4" s="568"/>
      <c r="EJO4" s="568"/>
      <c r="EJP4" s="568"/>
      <c r="EJQ4" s="568"/>
      <c r="EJR4" s="568"/>
      <c r="EJS4" s="568"/>
      <c r="EJT4" s="568"/>
      <c r="EJU4" s="568"/>
      <c r="EJV4" s="568"/>
      <c r="EJW4" s="568"/>
      <c r="EJX4" s="568"/>
      <c r="EJY4" s="568"/>
      <c r="EJZ4" s="568"/>
      <c r="EKA4" s="568"/>
      <c r="EKB4" s="568"/>
      <c r="EKC4" s="568"/>
      <c r="EKD4" s="568"/>
      <c r="EKE4" s="568"/>
      <c r="EKF4" s="568"/>
      <c r="EKG4" s="568"/>
      <c r="EKH4" s="568"/>
      <c r="EKI4" s="568"/>
      <c r="EKJ4" s="568"/>
      <c r="EKK4" s="568"/>
      <c r="EKL4" s="568"/>
      <c r="EKM4" s="568"/>
      <c r="EKN4" s="568"/>
      <c r="EKO4" s="568"/>
      <c r="EKP4" s="568"/>
      <c r="EKQ4" s="568"/>
      <c r="EKR4" s="568"/>
      <c r="EKS4" s="568"/>
      <c r="EKT4" s="568"/>
      <c r="EKU4" s="568"/>
      <c r="EKV4" s="568"/>
      <c r="EKW4" s="568"/>
      <c r="EKX4" s="568"/>
      <c r="EKY4" s="568"/>
      <c r="EKZ4" s="568"/>
      <c r="ELA4" s="568"/>
      <c r="ELB4" s="568"/>
      <c r="ELC4" s="568"/>
      <c r="ELD4" s="568"/>
      <c r="ELE4" s="568"/>
      <c r="ELF4" s="568"/>
      <c r="ELG4" s="568"/>
      <c r="ELH4" s="568"/>
      <c r="ELI4" s="568"/>
      <c r="ELJ4" s="568"/>
      <c r="ELK4" s="568"/>
      <c r="ELL4" s="568"/>
      <c r="ELM4" s="568"/>
      <c r="ELN4" s="568"/>
      <c r="ELO4" s="568"/>
      <c r="ELP4" s="568"/>
      <c r="ELQ4" s="568"/>
      <c r="ELR4" s="568"/>
      <c r="ELS4" s="568"/>
      <c r="ELT4" s="568"/>
      <c r="ELU4" s="568"/>
      <c r="ELV4" s="568"/>
      <c r="ELW4" s="568"/>
      <c r="ELX4" s="568"/>
      <c r="ELY4" s="568"/>
      <c r="ELZ4" s="568"/>
      <c r="EMA4" s="568"/>
      <c r="EMB4" s="568"/>
      <c r="EMC4" s="568"/>
      <c r="EMD4" s="568"/>
      <c r="EME4" s="568"/>
      <c r="EMF4" s="568"/>
      <c r="EMG4" s="568"/>
      <c r="EMH4" s="568"/>
      <c r="EMI4" s="568"/>
      <c r="EMJ4" s="568"/>
      <c r="EMK4" s="568"/>
      <c r="EML4" s="568"/>
      <c r="EMM4" s="568"/>
      <c r="EMN4" s="568"/>
      <c r="EMO4" s="568"/>
      <c r="EMP4" s="568"/>
      <c r="EMQ4" s="568"/>
      <c r="EMR4" s="568"/>
      <c r="EMS4" s="568"/>
      <c r="EMT4" s="568"/>
      <c r="EMU4" s="568"/>
      <c r="EMV4" s="568"/>
      <c r="EMW4" s="568"/>
      <c r="EMX4" s="568"/>
      <c r="EMY4" s="568"/>
      <c r="EMZ4" s="568"/>
      <c r="ENA4" s="568"/>
      <c r="ENB4" s="568"/>
      <c r="ENC4" s="568"/>
      <c r="END4" s="568"/>
      <c r="ENE4" s="568"/>
      <c r="ENF4" s="568"/>
      <c r="ENG4" s="568"/>
      <c r="ENH4" s="568"/>
      <c r="ENI4" s="568"/>
      <c r="ENJ4" s="568"/>
      <c r="ENK4" s="568"/>
      <c r="ENL4" s="568"/>
      <c r="ENM4" s="568"/>
      <c r="ENN4" s="568"/>
      <c r="ENO4" s="568"/>
      <c r="ENP4" s="568"/>
      <c r="ENQ4" s="568"/>
      <c r="ENR4" s="568"/>
      <c r="ENS4" s="568"/>
      <c r="ENT4" s="568"/>
      <c r="ENU4" s="568"/>
      <c r="ENV4" s="568"/>
      <c r="ENW4" s="568"/>
      <c r="ENX4" s="568"/>
      <c r="ENY4" s="568"/>
      <c r="ENZ4" s="568"/>
      <c r="EOA4" s="568"/>
      <c r="EOB4" s="568"/>
      <c r="EOC4" s="568"/>
      <c r="EOD4" s="568"/>
      <c r="EOE4" s="568"/>
      <c r="EOF4" s="568"/>
      <c r="EOG4" s="568"/>
      <c r="EOH4" s="568"/>
      <c r="EOI4" s="568"/>
      <c r="EOJ4" s="568"/>
      <c r="EOK4" s="568"/>
      <c r="EOL4" s="568"/>
      <c r="EOM4" s="568"/>
      <c r="EON4" s="568"/>
      <c r="EOO4" s="568"/>
      <c r="EOP4" s="568"/>
      <c r="EOQ4" s="568"/>
      <c r="EOR4" s="568"/>
      <c r="EOS4" s="568"/>
      <c r="EOT4" s="568"/>
      <c r="EOU4" s="568"/>
      <c r="EOV4" s="568"/>
      <c r="EOW4" s="568"/>
      <c r="EOX4" s="568"/>
      <c r="EOY4" s="568"/>
      <c r="EOZ4" s="568"/>
      <c r="EPA4" s="568"/>
      <c r="EPB4" s="568"/>
      <c r="EPC4" s="568"/>
      <c r="EPD4" s="568"/>
      <c r="EPE4" s="568"/>
      <c r="EPF4" s="568"/>
      <c r="EPG4" s="568"/>
      <c r="EPH4" s="568"/>
      <c r="EPI4" s="568"/>
      <c r="EPJ4" s="568"/>
      <c r="EPK4" s="568"/>
      <c r="EPL4" s="568"/>
      <c r="EPM4" s="568"/>
      <c r="EPN4" s="568"/>
      <c r="EPO4" s="568"/>
      <c r="EPP4" s="568"/>
      <c r="EPQ4" s="568"/>
      <c r="EPR4" s="568"/>
      <c r="EPS4" s="568"/>
      <c r="EPT4" s="568"/>
      <c r="EPU4" s="568"/>
      <c r="EPV4" s="568"/>
      <c r="EPW4" s="568"/>
      <c r="EPX4" s="568"/>
      <c r="EPY4" s="568"/>
      <c r="EPZ4" s="568"/>
      <c r="EQA4" s="568"/>
      <c r="EQB4" s="568"/>
      <c r="EQC4" s="568"/>
      <c r="EQD4" s="568"/>
      <c r="EQE4" s="568"/>
      <c r="EQF4" s="568"/>
      <c r="EQG4" s="568"/>
      <c r="EQH4" s="568"/>
      <c r="EQI4" s="568"/>
      <c r="EQJ4" s="568"/>
      <c r="EQK4" s="568"/>
      <c r="EQL4" s="568"/>
      <c r="EQM4" s="568"/>
      <c r="EQN4" s="568"/>
      <c r="EQO4" s="568"/>
      <c r="EQP4" s="568"/>
      <c r="EQQ4" s="568"/>
      <c r="EQR4" s="568"/>
      <c r="EQS4" s="568"/>
      <c r="EQT4" s="568"/>
      <c r="EQU4" s="568"/>
      <c r="EQV4" s="568"/>
      <c r="EQW4" s="568"/>
      <c r="EQX4" s="568"/>
      <c r="EQY4" s="568"/>
      <c r="EQZ4" s="568"/>
      <c r="ERA4" s="568"/>
      <c r="ERB4" s="568"/>
      <c r="ERC4" s="568"/>
      <c r="ERD4" s="568"/>
      <c r="ERE4" s="568"/>
      <c r="ERF4" s="568"/>
      <c r="ERG4" s="568"/>
      <c r="ERH4" s="568"/>
      <c r="ERI4" s="568"/>
      <c r="ERJ4" s="568"/>
      <c r="ERK4" s="568"/>
      <c r="ERL4" s="568"/>
      <c r="ERM4" s="568"/>
      <c r="ERN4" s="568"/>
      <c r="ERO4" s="568"/>
      <c r="ERP4" s="568"/>
      <c r="ERQ4" s="568"/>
      <c r="ERR4" s="568"/>
      <c r="ERS4" s="568"/>
      <c r="ERT4" s="568"/>
      <c r="ERU4" s="568"/>
      <c r="ERV4" s="568"/>
      <c r="ERW4" s="568"/>
      <c r="ERX4" s="568"/>
      <c r="ERY4" s="568"/>
      <c r="ERZ4" s="568"/>
      <c r="ESA4" s="568"/>
      <c r="ESB4" s="568"/>
      <c r="ESC4" s="568"/>
      <c r="ESD4" s="568"/>
      <c r="ESE4" s="568"/>
      <c r="ESF4" s="568"/>
      <c r="ESG4" s="568"/>
      <c r="ESH4" s="568"/>
      <c r="ESI4" s="568"/>
      <c r="ESJ4" s="568"/>
      <c r="ESK4" s="568"/>
      <c r="ESL4" s="568"/>
      <c r="ESM4" s="568"/>
      <c r="ESN4" s="568"/>
      <c r="ESO4" s="568"/>
      <c r="ESP4" s="568"/>
      <c r="ESQ4" s="568"/>
      <c r="ESR4" s="568"/>
      <c r="ESS4" s="568"/>
      <c r="EST4" s="568"/>
      <c r="ESU4" s="568"/>
      <c r="ESV4" s="568"/>
      <c r="ESW4" s="568"/>
      <c r="ESX4" s="568"/>
      <c r="ESY4" s="568"/>
      <c r="ESZ4" s="568"/>
      <c r="ETA4" s="568"/>
      <c r="ETB4" s="568"/>
      <c r="ETC4" s="568"/>
      <c r="ETD4" s="568"/>
      <c r="ETE4" s="568"/>
      <c r="ETF4" s="568"/>
      <c r="ETG4" s="568"/>
      <c r="ETH4" s="568"/>
      <c r="ETI4" s="568"/>
      <c r="ETJ4" s="568"/>
      <c r="ETK4" s="568"/>
      <c r="ETL4" s="568"/>
      <c r="ETM4" s="568"/>
      <c r="ETN4" s="568"/>
      <c r="ETO4" s="568"/>
      <c r="ETP4" s="568"/>
      <c r="ETQ4" s="568"/>
      <c r="ETR4" s="568"/>
      <c r="ETS4" s="568"/>
      <c r="ETT4" s="568"/>
      <c r="ETU4" s="568"/>
      <c r="ETV4" s="568"/>
      <c r="ETW4" s="568"/>
      <c r="ETX4" s="568"/>
      <c r="ETY4" s="568"/>
      <c r="ETZ4" s="568"/>
      <c r="EUA4" s="568"/>
      <c r="EUB4" s="568"/>
      <c r="EUC4" s="568"/>
      <c r="EUD4" s="568"/>
      <c r="EUE4" s="568"/>
      <c r="EUF4" s="568"/>
      <c r="EUG4" s="568"/>
      <c r="EUH4" s="568"/>
      <c r="EUI4" s="568"/>
      <c r="EUJ4" s="568"/>
      <c r="EUK4" s="568"/>
      <c r="EUL4" s="568"/>
      <c r="EUM4" s="568"/>
      <c r="EUN4" s="568"/>
      <c r="EUO4" s="568"/>
      <c r="EUP4" s="568"/>
      <c r="EUQ4" s="568"/>
      <c r="EUR4" s="568"/>
      <c r="EUS4" s="568"/>
      <c r="EUT4" s="568"/>
      <c r="EUU4" s="568"/>
      <c r="EUV4" s="568"/>
      <c r="EUW4" s="568"/>
      <c r="EUX4" s="568"/>
      <c r="EUY4" s="568"/>
      <c r="EUZ4" s="568"/>
      <c r="EVA4" s="568"/>
      <c r="EVB4" s="568"/>
      <c r="EVC4" s="568"/>
      <c r="EVD4" s="568"/>
      <c r="EVE4" s="568"/>
      <c r="EVF4" s="568"/>
      <c r="EVG4" s="568"/>
      <c r="EVH4" s="568"/>
      <c r="EVI4" s="568"/>
      <c r="EVJ4" s="568"/>
      <c r="EVK4" s="568"/>
      <c r="EVL4" s="568"/>
      <c r="EVM4" s="568"/>
      <c r="EVN4" s="568"/>
      <c r="EVO4" s="568"/>
      <c r="EVP4" s="568"/>
      <c r="EVQ4" s="568"/>
      <c r="EVR4" s="568"/>
      <c r="EVS4" s="568"/>
      <c r="EVT4" s="568"/>
      <c r="EVU4" s="568"/>
      <c r="EVV4" s="568"/>
      <c r="EVW4" s="568"/>
      <c r="EVX4" s="568"/>
      <c r="EVY4" s="568"/>
      <c r="EVZ4" s="568"/>
      <c r="EWA4" s="568"/>
      <c r="EWB4" s="568"/>
      <c r="EWC4" s="568"/>
      <c r="EWD4" s="568"/>
      <c r="EWE4" s="568"/>
      <c r="EWF4" s="568"/>
      <c r="EWG4" s="568"/>
      <c r="EWH4" s="568"/>
      <c r="EWI4" s="568"/>
      <c r="EWJ4" s="568"/>
      <c r="EWK4" s="568"/>
      <c r="EWL4" s="568"/>
      <c r="EWM4" s="568"/>
      <c r="EWN4" s="568"/>
      <c r="EWO4" s="568"/>
      <c r="EWP4" s="568"/>
      <c r="EWQ4" s="568"/>
      <c r="EWR4" s="568"/>
      <c r="EWS4" s="568"/>
      <c r="EWT4" s="568"/>
      <c r="EWU4" s="568"/>
      <c r="EWV4" s="568"/>
      <c r="EWW4" s="568"/>
      <c r="EWX4" s="568"/>
      <c r="EWY4" s="568"/>
      <c r="EWZ4" s="568"/>
      <c r="EXA4" s="568"/>
      <c r="EXB4" s="568"/>
      <c r="EXC4" s="568"/>
      <c r="EXD4" s="568"/>
      <c r="EXE4" s="568"/>
      <c r="EXF4" s="568"/>
      <c r="EXG4" s="568"/>
      <c r="EXH4" s="568"/>
      <c r="EXI4" s="568"/>
      <c r="EXJ4" s="568"/>
      <c r="EXK4" s="568"/>
      <c r="EXL4" s="568"/>
      <c r="EXM4" s="568"/>
      <c r="EXN4" s="568"/>
      <c r="EXO4" s="568"/>
      <c r="EXP4" s="568"/>
      <c r="EXQ4" s="568"/>
      <c r="EXR4" s="568"/>
      <c r="EXS4" s="568"/>
      <c r="EXT4" s="568"/>
      <c r="EXU4" s="568"/>
      <c r="EXV4" s="568"/>
      <c r="EXW4" s="568"/>
      <c r="EXX4" s="568"/>
      <c r="EXY4" s="568"/>
      <c r="EXZ4" s="568"/>
      <c r="EYA4" s="568"/>
      <c r="EYB4" s="568"/>
      <c r="EYC4" s="568"/>
      <c r="EYD4" s="568"/>
      <c r="EYE4" s="568"/>
      <c r="EYF4" s="568"/>
      <c r="EYG4" s="568"/>
      <c r="EYH4" s="568"/>
      <c r="EYI4" s="568"/>
      <c r="EYJ4" s="568"/>
      <c r="EYK4" s="568"/>
      <c r="EYL4" s="568"/>
      <c r="EYM4" s="568"/>
      <c r="EYN4" s="568"/>
      <c r="EYO4" s="568"/>
      <c r="EYP4" s="568"/>
      <c r="EYQ4" s="568"/>
      <c r="EYR4" s="568"/>
      <c r="EYS4" s="568"/>
      <c r="EYT4" s="568"/>
      <c r="EYU4" s="568"/>
      <c r="EYV4" s="568"/>
      <c r="EYW4" s="568"/>
      <c r="EYX4" s="568"/>
      <c r="EYY4" s="568"/>
      <c r="EYZ4" s="568"/>
      <c r="EZA4" s="568"/>
      <c r="EZB4" s="568"/>
      <c r="EZC4" s="568"/>
      <c r="EZD4" s="568"/>
      <c r="EZE4" s="568"/>
      <c r="EZF4" s="568"/>
      <c r="EZG4" s="568"/>
      <c r="EZH4" s="568"/>
      <c r="EZI4" s="568"/>
      <c r="EZJ4" s="568"/>
      <c r="EZK4" s="568"/>
      <c r="EZL4" s="568"/>
      <c r="EZM4" s="568"/>
      <c r="EZN4" s="568"/>
      <c r="EZO4" s="568"/>
      <c r="EZP4" s="568"/>
      <c r="EZQ4" s="568"/>
      <c r="EZR4" s="568"/>
      <c r="EZS4" s="568"/>
      <c r="EZT4" s="568"/>
      <c r="EZU4" s="568"/>
      <c r="EZV4" s="568"/>
      <c r="EZW4" s="568"/>
      <c r="EZX4" s="568"/>
      <c r="EZY4" s="568"/>
      <c r="EZZ4" s="568"/>
      <c r="FAA4" s="568"/>
      <c r="FAB4" s="568"/>
      <c r="FAC4" s="568"/>
      <c r="FAD4" s="568"/>
      <c r="FAE4" s="568"/>
      <c r="FAF4" s="568"/>
      <c r="FAG4" s="568"/>
      <c r="FAH4" s="568"/>
      <c r="FAI4" s="568"/>
      <c r="FAJ4" s="568"/>
      <c r="FAK4" s="568"/>
      <c r="FAL4" s="568"/>
      <c r="FAM4" s="568"/>
      <c r="FAN4" s="568"/>
      <c r="FAO4" s="568"/>
      <c r="FAP4" s="568"/>
      <c r="FAQ4" s="568"/>
      <c r="FAR4" s="568"/>
      <c r="FAS4" s="568"/>
      <c r="FAT4" s="568"/>
      <c r="FAU4" s="568"/>
      <c r="FAV4" s="568"/>
      <c r="FAW4" s="568"/>
      <c r="FAX4" s="568"/>
      <c r="FAY4" s="568"/>
      <c r="FAZ4" s="568"/>
      <c r="FBA4" s="568"/>
      <c r="FBB4" s="568"/>
      <c r="FBC4" s="568"/>
      <c r="FBD4" s="568"/>
      <c r="FBE4" s="568"/>
      <c r="FBF4" s="568"/>
      <c r="FBG4" s="568"/>
      <c r="FBH4" s="568"/>
      <c r="FBI4" s="568"/>
      <c r="FBJ4" s="568"/>
      <c r="FBK4" s="568"/>
      <c r="FBL4" s="568"/>
      <c r="FBM4" s="568"/>
      <c r="FBN4" s="568"/>
      <c r="FBO4" s="568"/>
      <c r="FBP4" s="568"/>
      <c r="FBQ4" s="568"/>
      <c r="FBR4" s="568"/>
      <c r="FBS4" s="568"/>
      <c r="FBT4" s="568"/>
      <c r="FBU4" s="568"/>
      <c r="FBV4" s="568"/>
      <c r="FBW4" s="568"/>
      <c r="FBX4" s="568"/>
      <c r="FBY4" s="568"/>
      <c r="FBZ4" s="568"/>
      <c r="FCA4" s="568"/>
      <c r="FCB4" s="568"/>
      <c r="FCC4" s="568"/>
      <c r="FCD4" s="568"/>
      <c r="FCE4" s="568"/>
      <c r="FCF4" s="568"/>
      <c r="FCG4" s="568"/>
      <c r="FCH4" s="568"/>
      <c r="FCI4" s="568"/>
      <c r="FCJ4" s="568"/>
      <c r="FCK4" s="568"/>
      <c r="FCL4" s="568"/>
      <c r="FCM4" s="568"/>
      <c r="FCN4" s="568"/>
      <c r="FCO4" s="568"/>
      <c r="FCP4" s="568"/>
      <c r="FCQ4" s="568"/>
      <c r="FCR4" s="568"/>
      <c r="FCS4" s="568"/>
      <c r="FCT4" s="568"/>
      <c r="FCU4" s="568"/>
      <c r="FCV4" s="568"/>
      <c r="FCW4" s="568"/>
      <c r="FCX4" s="568"/>
      <c r="FCY4" s="568"/>
      <c r="FCZ4" s="568"/>
      <c r="FDA4" s="568"/>
      <c r="FDB4" s="568"/>
      <c r="FDC4" s="568"/>
      <c r="FDD4" s="568"/>
      <c r="FDE4" s="568"/>
      <c r="FDF4" s="568"/>
      <c r="FDG4" s="568"/>
      <c r="FDH4" s="568"/>
      <c r="FDI4" s="568"/>
      <c r="FDJ4" s="568"/>
      <c r="FDK4" s="568"/>
      <c r="FDL4" s="568"/>
      <c r="FDM4" s="568"/>
      <c r="FDN4" s="568"/>
      <c r="FDO4" s="568"/>
      <c r="FDP4" s="568"/>
      <c r="FDQ4" s="568"/>
      <c r="FDR4" s="568"/>
      <c r="FDS4" s="568"/>
      <c r="FDT4" s="568"/>
      <c r="FDU4" s="568"/>
      <c r="FDV4" s="568"/>
      <c r="FDW4" s="568"/>
      <c r="FDX4" s="568"/>
      <c r="FDY4" s="568"/>
      <c r="FDZ4" s="568"/>
      <c r="FEA4" s="568"/>
      <c r="FEB4" s="568"/>
      <c r="FEC4" s="568"/>
      <c r="FED4" s="568"/>
      <c r="FEE4" s="568"/>
      <c r="FEF4" s="568"/>
      <c r="FEG4" s="568"/>
      <c r="FEH4" s="568"/>
      <c r="FEI4" s="568"/>
      <c r="FEJ4" s="568"/>
      <c r="FEK4" s="568"/>
      <c r="FEL4" s="568"/>
      <c r="FEM4" s="568"/>
      <c r="FEN4" s="568"/>
      <c r="FEO4" s="568"/>
      <c r="FEP4" s="568"/>
      <c r="FEQ4" s="568"/>
      <c r="FER4" s="568"/>
      <c r="FES4" s="568"/>
      <c r="FET4" s="568"/>
      <c r="FEU4" s="568"/>
      <c r="FEV4" s="568"/>
      <c r="FEW4" s="568"/>
      <c r="FEX4" s="568"/>
      <c r="FEY4" s="568"/>
      <c r="FEZ4" s="568"/>
      <c r="FFA4" s="568"/>
      <c r="FFB4" s="568"/>
      <c r="FFC4" s="568"/>
      <c r="FFD4" s="568"/>
      <c r="FFE4" s="568"/>
      <c r="FFF4" s="568"/>
      <c r="FFG4" s="568"/>
      <c r="FFH4" s="568"/>
      <c r="FFI4" s="568"/>
      <c r="FFJ4" s="568"/>
      <c r="FFK4" s="568"/>
      <c r="FFL4" s="568"/>
      <c r="FFM4" s="568"/>
      <c r="FFN4" s="568"/>
      <c r="FFO4" s="568"/>
      <c r="FFP4" s="568"/>
      <c r="FFQ4" s="568"/>
      <c r="FFR4" s="568"/>
      <c r="FFS4" s="568"/>
      <c r="FFT4" s="568"/>
      <c r="FFU4" s="568"/>
      <c r="FFV4" s="568"/>
      <c r="FFW4" s="568"/>
      <c r="FFX4" s="568"/>
      <c r="FFY4" s="568"/>
      <c r="FFZ4" s="568"/>
      <c r="FGA4" s="568"/>
      <c r="FGB4" s="568"/>
      <c r="FGC4" s="568"/>
      <c r="FGD4" s="568"/>
      <c r="FGE4" s="568"/>
      <c r="FGF4" s="568"/>
      <c r="FGG4" s="568"/>
      <c r="FGH4" s="568"/>
      <c r="FGI4" s="568"/>
      <c r="FGJ4" s="568"/>
      <c r="FGK4" s="568"/>
      <c r="FGL4" s="568"/>
      <c r="FGM4" s="568"/>
      <c r="FGN4" s="568"/>
      <c r="FGO4" s="568"/>
      <c r="FGP4" s="568"/>
      <c r="FGQ4" s="568"/>
      <c r="FGR4" s="568"/>
      <c r="FGS4" s="568"/>
      <c r="FGT4" s="568"/>
      <c r="FGU4" s="568"/>
      <c r="FGV4" s="568"/>
      <c r="FGW4" s="568"/>
      <c r="FGX4" s="568"/>
      <c r="FGY4" s="568"/>
      <c r="FGZ4" s="568"/>
      <c r="FHA4" s="568"/>
      <c r="FHB4" s="568"/>
      <c r="FHC4" s="568"/>
      <c r="FHD4" s="568"/>
      <c r="FHE4" s="568"/>
      <c r="FHF4" s="568"/>
      <c r="FHG4" s="568"/>
      <c r="FHH4" s="568"/>
      <c r="FHI4" s="568"/>
      <c r="FHJ4" s="568"/>
      <c r="FHK4" s="568"/>
      <c r="FHL4" s="568"/>
      <c r="FHM4" s="568"/>
      <c r="FHN4" s="568"/>
      <c r="FHO4" s="568"/>
      <c r="FHP4" s="568"/>
      <c r="FHQ4" s="568"/>
      <c r="FHR4" s="568"/>
      <c r="FHS4" s="568"/>
      <c r="FHT4" s="568"/>
      <c r="FHU4" s="568"/>
      <c r="FHV4" s="568"/>
      <c r="FHW4" s="568"/>
      <c r="FHX4" s="568"/>
      <c r="FHY4" s="568"/>
      <c r="FHZ4" s="568"/>
      <c r="FIA4" s="568"/>
      <c r="FIB4" s="568"/>
      <c r="FIC4" s="568"/>
      <c r="FID4" s="568"/>
      <c r="FIE4" s="568"/>
      <c r="FIF4" s="568"/>
      <c r="FIG4" s="568"/>
      <c r="FIH4" s="568"/>
      <c r="FII4" s="568"/>
      <c r="FIJ4" s="568"/>
      <c r="FIK4" s="568"/>
      <c r="FIL4" s="568"/>
      <c r="FIM4" s="568"/>
      <c r="FIN4" s="568"/>
      <c r="FIO4" s="568"/>
      <c r="FIP4" s="568"/>
      <c r="FIQ4" s="568"/>
      <c r="FIR4" s="568"/>
      <c r="FIS4" s="568"/>
      <c r="FIT4" s="568"/>
      <c r="FIU4" s="568"/>
      <c r="FIV4" s="568"/>
      <c r="FIW4" s="568"/>
      <c r="FIX4" s="568"/>
      <c r="FIY4" s="568"/>
      <c r="FIZ4" s="568"/>
      <c r="FJA4" s="568"/>
      <c r="FJB4" s="568"/>
      <c r="FJC4" s="568"/>
      <c r="FJD4" s="568"/>
      <c r="FJE4" s="568"/>
      <c r="FJF4" s="568"/>
      <c r="FJG4" s="568"/>
      <c r="FJH4" s="568"/>
      <c r="FJI4" s="568"/>
      <c r="FJJ4" s="568"/>
      <c r="FJK4" s="568"/>
      <c r="FJL4" s="568"/>
      <c r="FJM4" s="568"/>
      <c r="FJN4" s="568"/>
      <c r="FJO4" s="568"/>
      <c r="FJP4" s="568"/>
      <c r="FJQ4" s="568"/>
      <c r="FJR4" s="568"/>
      <c r="FJS4" s="568"/>
      <c r="FJT4" s="568"/>
      <c r="FJU4" s="568"/>
      <c r="FJV4" s="568"/>
      <c r="FJW4" s="568"/>
      <c r="FJX4" s="568"/>
      <c r="FJY4" s="568"/>
      <c r="FJZ4" s="568"/>
      <c r="FKA4" s="568"/>
      <c r="FKB4" s="568"/>
      <c r="FKC4" s="568"/>
      <c r="FKD4" s="568"/>
      <c r="FKE4" s="568"/>
      <c r="FKF4" s="568"/>
      <c r="FKG4" s="568"/>
      <c r="FKH4" s="568"/>
      <c r="FKI4" s="568"/>
      <c r="FKJ4" s="568"/>
      <c r="FKK4" s="568"/>
      <c r="FKL4" s="568"/>
      <c r="FKM4" s="568"/>
      <c r="FKN4" s="568"/>
      <c r="FKO4" s="568"/>
      <c r="FKP4" s="568"/>
      <c r="FKQ4" s="568"/>
      <c r="FKR4" s="568"/>
      <c r="FKS4" s="568"/>
      <c r="FKT4" s="568"/>
      <c r="FKU4" s="568"/>
      <c r="FKV4" s="568"/>
      <c r="FKW4" s="568"/>
      <c r="FKX4" s="568"/>
      <c r="FKY4" s="568"/>
      <c r="FKZ4" s="568"/>
      <c r="FLA4" s="568"/>
      <c r="FLB4" s="568"/>
      <c r="FLC4" s="568"/>
      <c r="FLD4" s="568"/>
      <c r="FLE4" s="568"/>
      <c r="FLF4" s="568"/>
      <c r="FLG4" s="568"/>
      <c r="FLH4" s="568"/>
      <c r="FLI4" s="568"/>
      <c r="FLJ4" s="568"/>
      <c r="FLK4" s="568"/>
      <c r="FLL4" s="568"/>
      <c r="FLM4" s="568"/>
      <c r="FLN4" s="568"/>
      <c r="FLO4" s="568"/>
      <c r="FLP4" s="568"/>
      <c r="FLQ4" s="568"/>
      <c r="FLR4" s="568"/>
      <c r="FLS4" s="568"/>
      <c r="FLT4" s="568"/>
      <c r="FLU4" s="568"/>
      <c r="FLV4" s="568"/>
      <c r="FLW4" s="568"/>
      <c r="FLX4" s="568"/>
      <c r="FLY4" s="568"/>
      <c r="FLZ4" s="568"/>
      <c r="FMA4" s="568"/>
      <c r="FMB4" s="568"/>
      <c r="FMC4" s="568"/>
      <c r="FMD4" s="568"/>
      <c r="FME4" s="568"/>
      <c r="FMF4" s="568"/>
      <c r="FMG4" s="568"/>
      <c r="FMH4" s="568"/>
      <c r="FMI4" s="568"/>
      <c r="FMJ4" s="568"/>
      <c r="FMK4" s="568"/>
      <c r="FML4" s="568"/>
      <c r="FMM4" s="568"/>
      <c r="FMN4" s="568"/>
      <c r="FMO4" s="568"/>
      <c r="FMP4" s="568"/>
      <c r="FMQ4" s="568"/>
      <c r="FMR4" s="568"/>
      <c r="FMS4" s="568"/>
      <c r="FMT4" s="568"/>
      <c r="FMU4" s="568"/>
      <c r="FMV4" s="568"/>
      <c r="FMW4" s="568"/>
      <c r="FMX4" s="568"/>
      <c r="FMY4" s="568"/>
      <c r="FMZ4" s="568"/>
      <c r="FNA4" s="568"/>
      <c r="FNB4" s="568"/>
      <c r="FNC4" s="568"/>
      <c r="FND4" s="568"/>
      <c r="FNE4" s="568"/>
      <c r="FNF4" s="568"/>
      <c r="FNG4" s="568"/>
      <c r="FNH4" s="568"/>
      <c r="FNI4" s="568"/>
      <c r="FNJ4" s="568"/>
      <c r="FNK4" s="568"/>
      <c r="FNL4" s="568"/>
      <c r="FNM4" s="568"/>
      <c r="FNN4" s="568"/>
      <c r="FNO4" s="568"/>
      <c r="FNP4" s="568"/>
      <c r="FNQ4" s="568"/>
      <c r="FNR4" s="568"/>
      <c r="FNS4" s="568"/>
      <c r="FNT4" s="568"/>
      <c r="FNU4" s="568"/>
      <c r="FNV4" s="568"/>
      <c r="FNW4" s="568"/>
      <c r="FNX4" s="568"/>
      <c r="FNY4" s="568"/>
      <c r="FNZ4" s="568"/>
      <c r="FOA4" s="568"/>
      <c r="FOB4" s="568"/>
      <c r="FOC4" s="568"/>
      <c r="FOD4" s="568"/>
      <c r="FOE4" s="568"/>
      <c r="FOF4" s="568"/>
      <c r="FOG4" s="568"/>
      <c r="FOH4" s="568"/>
      <c r="FOI4" s="568"/>
      <c r="FOJ4" s="568"/>
      <c r="FOK4" s="568"/>
      <c r="FOL4" s="568"/>
      <c r="FOM4" s="568"/>
      <c r="FON4" s="568"/>
      <c r="FOO4" s="568"/>
      <c r="FOP4" s="568"/>
      <c r="FOQ4" s="568"/>
      <c r="FOR4" s="568"/>
      <c r="FOS4" s="568"/>
      <c r="FOT4" s="568"/>
      <c r="FOU4" s="568"/>
      <c r="FOV4" s="568"/>
      <c r="FOW4" s="568"/>
      <c r="FOX4" s="568"/>
      <c r="FOY4" s="568"/>
      <c r="FOZ4" s="568"/>
      <c r="FPA4" s="568"/>
      <c r="FPB4" s="568"/>
      <c r="FPC4" s="568"/>
      <c r="FPD4" s="568"/>
      <c r="FPE4" s="568"/>
      <c r="FPF4" s="568"/>
      <c r="FPG4" s="568"/>
      <c r="FPH4" s="568"/>
      <c r="FPI4" s="568"/>
      <c r="FPJ4" s="568"/>
      <c r="FPK4" s="568"/>
      <c r="FPL4" s="568"/>
      <c r="FPM4" s="568"/>
      <c r="FPN4" s="568"/>
      <c r="FPO4" s="568"/>
      <c r="FPP4" s="568"/>
      <c r="FPQ4" s="568"/>
      <c r="FPR4" s="568"/>
      <c r="FPS4" s="568"/>
      <c r="FPT4" s="568"/>
      <c r="FPU4" s="568"/>
      <c r="FPV4" s="568"/>
      <c r="FPW4" s="568"/>
      <c r="FPX4" s="568"/>
      <c r="FPY4" s="568"/>
      <c r="FPZ4" s="568"/>
      <c r="FQA4" s="568"/>
      <c r="FQB4" s="568"/>
      <c r="FQC4" s="568"/>
      <c r="FQD4" s="568"/>
      <c r="FQE4" s="568"/>
      <c r="FQF4" s="568"/>
      <c r="FQG4" s="568"/>
      <c r="FQH4" s="568"/>
      <c r="FQI4" s="568"/>
      <c r="FQJ4" s="568"/>
      <c r="FQK4" s="568"/>
      <c r="FQL4" s="568"/>
      <c r="FQM4" s="568"/>
      <c r="FQN4" s="568"/>
      <c r="FQO4" s="568"/>
      <c r="FQP4" s="568"/>
      <c r="FQQ4" s="568"/>
      <c r="FQR4" s="568"/>
      <c r="FQS4" s="568"/>
      <c r="FQT4" s="568"/>
      <c r="FQU4" s="568"/>
      <c r="FQV4" s="568"/>
      <c r="FQW4" s="568"/>
      <c r="FQX4" s="568"/>
      <c r="FQY4" s="568"/>
      <c r="FQZ4" s="568"/>
      <c r="FRA4" s="568"/>
      <c r="FRB4" s="568"/>
      <c r="FRC4" s="568"/>
      <c r="FRD4" s="568"/>
      <c r="FRE4" s="568"/>
      <c r="FRF4" s="568"/>
      <c r="FRG4" s="568"/>
      <c r="FRH4" s="568"/>
      <c r="FRI4" s="568"/>
      <c r="FRJ4" s="568"/>
      <c r="FRK4" s="568"/>
      <c r="FRL4" s="568"/>
      <c r="FRM4" s="568"/>
      <c r="FRN4" s="568"/>
      <c r="FRO4" s="568"/>
      <c r="FRP4" s="568"/>
      <c r="FRQ4" s="568"/>
      <c r="FRR4" s="568"/>
      <c r="FRS4" s="568"/>
      <c r="FRT4" s="568"/>
      <c r="FRU4" s="568"/>
      <c r="FRV4" s="568"/>
      <c r="FRW4" s="568"/>
      <c r="FRX4" s="568"/>
      <c r="FRY4" s="568"/>
      <c r="FRZ4" s="568"/>
      <c r="FSA4" s="568"/>
      <c r="FSB4" s="568"/>
      <c r="FSC4" s="568"/>
      <c r="FSD4" s="568"/>
      <c r="FSE4" s="568"/>
      <c r="FSF4" s="568"/>
      <c r="FSG4" s="568"/>
      <c r="FSH4" s="568"/>
      <c r="FSI4" s="568"/>
      <c r="FSJ4" s="568"/>
      <c r="FSK4" s="568"/>
      <c r="FSL4" s="568"/>
      <c r="FSM4" s="568"/>
      <c r="FSN4" s="568"/>
      <c r="FSO4" s="568"/>
      <c r="FSP4" s="568"/>
      <c r="FSQ4" s="568"/>
      <c r="FSR4" s="568"/>
      <c r="FSS4" s="568"/>
      <c r="FST4" s="568"/>
      <c r="FSU4" s="568"/>
      <c r="FSV4" s="568"/>
      <c r="FSW4" s="568"/>
      <c r="FSX4" s="568"/>
      <c r="FSY4" s="568"/>
      <c r="FSZ4" s="568"/>
      <c r="FTA4" s="568"/>
      <c r="FTB4" s="568"/>
      <c r="FTC4" s="568"/>
      <c r="FTD4" s="568"/>
      <c r="FTE4" s="568"/>
      <c r="FTF4" s="568"/>
      <c r="FTG4" s="568"/>
      <c r="FTH4" s="568"/>
      <c r="FTI4" s="568"/>
      <c r="FTJ4" s="568"/>
      <c r="FTK4" s="568"/>
      <c r="FTL4" s="568"/>
      <c r="FTM4" s="568"/>
      <c r="FTN4" s="568"/>
      <c r="FTO4" s="568"/>
      <c r="FTP4" s="568"/>
      <c r="FTQ4" s="568"/>
      <c r="FTR4" s="568"/>
      <c r="FTS4" s="568"/>
      <c r="FTT4" s="568"/>
      <c r="FTU4" s="568"/>
      <c r="FTV4" s="568"/>
      <c r="FTW4" s="568"/>
      <c r="FTX4" s="568"/>
      <c r="FTY4" s="568"/>
      <c r="FTZ4" s="568"/>
      <c r="FUA4" s="568"/>
      <c r="FUB4" s="568"/>
      <c r="FUC4" s="568"/>
      <c r="FUD4" s="568"/>
      <c r="FUE4" s="568"/>
      <c r="FUF4" s="568"/>
      <c r="FUG4" s="568"/>
      <c r="FUH4" s="568"/>
      <c r="FUI4" s="568"/>
      <c r="FUJ4" s="568"/>
      <c r="FUK4" s="568"/>
      <c r="FUL4" s="568"/>
      <c r="FUM4" s="568"/>
      <c r="FUN4" s="568"/>
      <c r="FUO4" s="568"/>
      <c r="FUP4" s="568"/>
      <c r="FUQ4" s="568"/>
      <c r="FUR4" s="568"/>
      <c r="FUS4" s="568"/>
      <c r="FUT4" s="568"/>
      <c r="FUU4" s="568"/>
      <c r="FUV4" s="568"/>
      <c r="FUW4" s="568"/>
      <c r="FUX4" s="568"/>
      <c r="FUY4" s="568"/>
      <c r="FUZ4" s="568"/>
      <c r="FVA4" s="568"/>
      <c r="FVB4" s="568"/>
      <c r="FVC4" s="568"/>
      <c r="FVD4" s="568"/>
      <c r="FVE4" s="568"/>
      <c r="FVF4" s="568"/>
      <c r="FVG4" s="568"/>
      <c r="FVH4" s="568"/>
      <c r="FVI4" s="568"/>
      <c r="FVJ4" s="568"/>
      <c r="FVK4" s="568"/>
      <c r="FVL4" s="568"/>
      <c r="FVM4" s="568"/>
      <c r="FVN4" s="568"/>
      <c r="FVO4" s="568"/>
      <c r="FVP4" s="568"/>
      <c r="FVQ4" s="568"/>
      <c r="FVR4" s="568"/>
      <c r="FVS4" s="568"/>
      <c r="FVT4" s="568"/>
      <c r="FVU4" s="568"/>
      <c r="FVV4" s="568"/>
      <c r="FVW4" s="568"/>
      <c r="FVX4" s="568"/>
      <c r="FVY4" s="568"/>
      <c r="FVZ4" s="568"/>
      <c r="FWA4" s="568"/>
      <c r="FWB4" s="568"/>
      <c r="FWC4" s="568"/>
      <c r="FWD4" s="568"/>
      <c r="FWE4" s="568"/>
      <c r="FWF4" s="568"/>
      <c r="FWG4" s="568"/>
      <c r="FWH4" s="568"/>
      <c r="FWI4" s="568"/>
      <c r="FWJ4" s="568"/>
      <c r="FWK4" s="568"/>
      <c r="FWL4" s="568"/>
      <c r="FWM4" s="568"/>
      <c r="FWN4" s="568"/>
      <c r="FWO4" s="568"/>
      <c r="FWP4" s="568"/>
      <c r="FWQ4" s="568"/>
      <c r="FWR4" s="568"/>
      <c r="FWS4" s="568"/>
      <c r="FWT4" s="568"/>
      <c r="FWU4" s="568"/>
      <c r="FWV4" s="568"/>
      <c r="FWW4" s="568"/>
      <c r="FWX4" s="568"/>
      <c r="FWY4" s="568"/>
      <c r="FWZ4" s="568"/>
      <c r="FXA4" s="568"/>
      <c r="FXB4" s="568"/>
      <c r="FXC4" s="568"/>
      <c r="FXD4" s="568"/>
      <c r="FXE4" s="568"/>
      <c r="FXF4" s="568"/>
      <c r="FXG4" s="568"/>
      <c r="FXH4" s="568"/>
      <c r="FXI4" s="568"/>
      <c r="FXJ4" s="568"/>
      <c r="FXK4" s="568"/>
      <c r="FXL4" s="568"/>
      <c r="FXM4" s="568"/>
      <c r="FXN4" s="568"/>
      <c r="FXO4" s="568"/>
      <c r="FXP4" s="568"/>
      <c r="FXQ4" s="568"/>
      <c r="FXR4" s="568"/>
      <c r="FXS4" s="568"/>
      <c r="FXT4" s="568"/>
      <c r="FXU4" s="568"/>
      <c r="FXV4" s="568"/>
      <c r="FXW4" s="568"/>
      <c r="FXX4" s="568"/>
      <c r="FXY4" s="568"/>
      <c r="FXZ4" s="568"/>
      <c r="FYA4" s="568"/>
      <c r="FYB4" s="568"/>
      <c r="FYC4" s="568"/>
      <c r="FYD4" s="568"/>
      <c r="FYE4" s="568"/>
      <c r="FYF4" s="568"/>
      <c r="FYG4" s="568"/>
      <c r="FYH4" s="568"/>
      <c r="FYI4" s="568"/>
      <c r="FYJ4" s="568"/>
      <c r="FYK4" s="568"/>
      <c r="FYL4" s="568"/>
      <c r="FYM4" s="568"/>
      <c r="FYN4" s="568"/>
      <c r="FYO4" s="568"/>
      <c r="FYP4" s="568"/>
      <c r="FYQ4" s="568"/>
      <c r="FYR4" s="568"/>
      <c r="FYS4" s="568"/>
      <c r="FYT4" s="568"/>
      <c r="FYU4" s="568"/>
      <c r="FYV4" s="568"/>
      <c r="FYW4" s="568"/>
      <c r="FYX4" s="568"/>
      <c r="FYY4" s="568"/>
      <c r="FYZ4" s="568"/>
      <c r="FZA4" s="568"/>
      <c r="FZB4" s="568"/>
      <c r="FZC4" s="568"/>
      <c r="FZD4" s="568"/>
      <c r="FZE4" s="568"/>
      <c r="FZF4" s="568"/>
      <c r="FZG4" s="568"/>
      <c r="FZH4" s="568"/>
      <c r="FZI4" s="568"/>
      <c r="FZJ4" s="568"/>
      <c r="FZK4" s="568"/>
      <c r="FZL4" s="568"/>
      <c r="FZM4" s="568"/>
      <c r="FZN4" s="568"/>
      <c r="FZO4" s="568"/>
      <c r="FZP4" s="568"/>
      <c r="FZQ4" s="568"/>
      <c r="FZR4" s="568"/>
      <c r="FZS4" s="568"/>
      <c r="FZT4" s="568"/>
      <c r="FZU4" s="568"/>
      <c r="FZV4" s="568"/>
      <c r="FZW4" s="568"/>
      <c r="FZX4" s="568"/>
      <c r="FZY4" s="568"/>
      <c r="FZZ4" s="568"/>
      <c r="GAA4" s="568"/>
      <c r="GAB4" s="568"/>
      <c r="GAC4" s="568"/>
      <c r="GAD4" s="568"/>
      <c r="GAE4" s="568"/>
      <c r="GAF4" s="568"/>
      <c r="GAG4" s="568"/>
      <c r="GAH4" s="568"/>
      <c r="GAI4" s="568"/>
      <c r="GAJ4" s="568"/>
      <c r="GAK4" s="568"/>
      <c r="GAL4" s="568"/>
      <c r="GAM4" s="568"/>
      <c r="GAN4" s="568"/>
      <c r="GAO4" s="568"/>
      <c r="GAP4" s="568"/>
      <c r="GAQ4" s="568"/>
      <c r="GAR4" s="568"/>
      <c r="GAS4" s="568"/>
      <c r="GAT4" s="568"/>
      <c r="GAU4" s="568"/>
      <c r="GAV4" s="568"/>
      <c r="GAW4" s="568"/>
      <c r="GAX4" s="568"/>
      <c r="GAY4" s="568"/>
      <c r="GAZ4" s="568"/>
      <c r="GBA4" s="568"/>
      <c r="GBB4" s="568"/>
      <c r="GBC4" s="568"/>
      <c r="GBD4" s="568"/>
      <c r="GBE4" s="568"/>
      <c r="GBF4" s="568"/>
      <c r="GBG4" s="568"/>
      <c r="GBH4" s="568"/>
      <c r="GBI4" s="568"/>
      <c r="GBJ4" s="568"/>
      <c r="GBK4" s="568"/>
      <c r="GBL4" s="568"/>
      <c r="GBM4" s="568"/>
      <c r="GBN4" s="568"/>
      <c r="GBO4" s="568"/>
      <c r="GBP4" s="568"/>
      <c r="GBQ4" s="568"/>
      <c r="GBR4" s="568"/>
      <c r="GBS4" s="568"/>
      <c r="GBT4" s="568"/>
      <c r="GBU4" s="568"/>
      <c r="GBV4" s="568"/>
      <c r="GBW4" s="568"/>
      <c r="GBX4" s="568"/>
      <c r="GBY4" s="568"/>
      <c r="GBZ4" s="568"/>
      <c r="GCA4" s="568"/>
      <c r="GCB4" s="568"/>
      <c r="GCC4" s="568"/>
      <c r="GCD4" s="568"/>
      <c r="GCE4" s="568"/>
      <c r="GCF4" s="568"/>
      <c r="GCG4" s="568"/>
      <c r="GCH4" s="568"/>
      <c r="GCI4" s="568"/>
      <c r="GCJ4" s="568"/>
      <c r="GCK4" s="568"/>
      <c r="GCL4" s="568"/>
      <c r="GCM4" s="568"/>
      <c r="GCN4" s="568"/>
      <c r="GCO4" s="568"/>
      <c r="GCP4" s="568"/>
      <c r="GCQ4" s="568"/>
      <c r="GCR4" s="568"/>
      <c r="GCS4" s="568"/>
      <c r="GCT4" s="568"/>
      <c r="GCU4" s="568"/>
      <c r="GCV4" s="568"/>
      <c r="GCW4" s="568"/>
      <c r="GCX4" s="568"/>
      <c r="GCY4" s="568"/>
      <c r="GCZ4" s="568"/>
      <c r="GDA4" s="568"/>
      <c r="GDB4" s="568"/>
      <c r="GDC4" s="568"/>
      <c r="GDD4" s="568"/>
      <c r="GDE4" s="568"/>
      <c r="GDF4" s="568"/>
      <c r="GDG4" s="568"/>
      <c r="GDH4" s="568"/>
      <c r="GDI4" s="568"/>
      <c r="GDJ4" s="568"/>
      <c r="GDK4" s="568"/>
      <c r="GDL4" s="568"/>
      <c r="GDM4" s="568"/>
      <c r="GDN4" s="568"/>
      <c r="GDO4" s="568"/>
      <c r="GDP4" s="568"/>
      <c r="GDQ4" s="568"/>
      <c r="GDR4" s="568"/>
      <c r="GDS4" s="568"/>
      <c r="GDT4" s="568"/>
      <c r="GDU4" s="568"/>
      <c r="GDV4" s="568"/>
      <c r="GDW4" s="568"/>
      <c r="GDX4" s="568"/>
      <c r="GDY4" s="568"/>
      <c r="GDZ4" s="568"/>
      <c r="GEA4" s="568"/>
      <c r="GEB4" s="568"/>
      <c r="GEC4" s="568"/>
      <c r="GED4" s="568"/>
      <c r="GEE4" s="568"/>
      <c r="GEF4" s="568"/>
      <c r="GEG4" s="568"/>
      <c r="GEH4" s="568"/>
      <c r="GEI4" s="568"/>
      <c r="GEJ4" s="568"/>
      <c r="GEK4" s="568"/>
      <c r="GEL4" s="568"/>
      <c r="GEM4" s="568"/>
      <c r="GEN4" s="568"/>
      <c r="GEO4" s="568"/>
      <c r="GEP4" s="568"/>
      <c r="GEQ4" s="568"/>
      <c r="GER4" s="568"/>
      <c r="GES4" s="568"/>
      <c r="GET4" s="568"/>
      <c r="GEU4" s="568"/>
      <c r="GEV4" s="568"/>
      <c r="GEW4" s="568"/>
      <c r="GEX4" s="568"/>
      <c r="GEY4" s="568"/>
      <c r="GEZ4" s="568"/>
      <c r="GFA4" s="568"/>
      <c r="GFB4" s="568"/>
      <c r="GFC4" s="568"/>
      <c r="GFD4" s="568"/>
      <c r="GFE4" s="568"/>
      <c r="GFF4" s="568"/>
      <c r="GFG4" s="568"/>
      <c r="GFH4" s="568"/>
      <c r="GFI4" s="568"/>
      <c r="GFJ4" s="568"/>
      <c r="GFK4" s="568"/>
      <c r="GFL4" s="568"/>
      <c r="GFM4" s="568"/>
      <c r="GFN4" s="568"/>
      <c r="GFO4" s="568"/>
      <c r="GFP4" s="568"/>
      <c r="GFQ4" s="568"/>
      <c r="GFR4" s="568"/>
      <c r="GFS4" s="568"/>
      <c r="GFT4" s="568"/>
      <c r="GFU4" s="568"/>
      <c r="GFV4" s="568"/>
      <c r="GFW4" s="568"/>
      <c r="GFX4" s="568"/>
      <c r="GFY4" s="568"/>
      <c r="GFZ4" s="568"/>
      <c r="GGA4" s="568"/>
      <c r="GGB4" s="568"/>
      <c r="GGC4" s="568"/>
      <c r="GGD4" s="568"/>
      <c r="GGE4" s="568"/>
      <c r="GGF4" s="568"/>
      <c r="GGG4" s="568"/>
      <c r="GGH4" s="568"/>
      <c r="GGI4" s="568"/>
      <c r="GGJ4" s="568"/>
      <c r="GGK4" s="568"/>
      <c r="GGL4" s="568"/>
      <c r="GGM4" s="568"/>
      <c r="GGN4" s="568"/>
      <c r="GGO4" s="568"/>
      <c r="GGP4" s="568"/>
      <c r="GGQ4" s="568"/>
      <c r="GGR4" s="568"/>
      <c r="GGS4" s="568"/>
      <c r="GGT4" s="568"/>
      <c r="GGU4" s="568"/>
      <c r="GGV4" s="568"/>
      <c r="GGW4" s="568"/>
      <c r="GGX4" s="568"/>
      <c r="GGY4" s="568"/>
      <c r="GGZ4" s="568"/>
      <c r="GHA4" s="568"/>
      <c r="GHB4" s="568"/>
      <c r="GHC4" s="568"/>
      <c r="GHD4" s="568"/>
      <c r="GHE4" s="568"/>
      <c r="GHF4" s="568"/>
      <c r="GHG4" s="568"/>
      <c r="GHH4" s="568"/>
      <c r="GHI4" s="568"/>
      <c r="GHJ4" s="568"/>
      <c r="GHK4" s="568"/>
      <c r="GHL4" s="568"/>
      <c r="GHM4" s="568"/>
      <c r="GHN4" s="568"/>
      <c r="GHO4" s="568"/>
      <c r="GHP4" s="568"/>
      <c r="GHQ4" s="568"/>
      <c r="GHR4" s="568"/>
      <c r="GHS4" s="568"/>
      <c r="GHT4" s="568"/>
      <c r="GHU4" s="568"/>
      <c r="GHV4" s="568"/>
      <c r="GHW4" s="568"/>
      <c r="GHX4" s="568"/>
      <c r="GHY4" s="568"/>
      <c r="GHZ4" s="568"/>
      <c r="GIA4" s="568"/>
      <c r="GIB4" s="568"/>
      <c r="GIC4" s="568"/>
      <c r="GID4" s="568"/>
      <c r="GIE4" s="568"/>
      <c r="GIF4" s="568"/>
      <c r="GIG4" s="568"/>
      <c r="GIH4" s="568"/>
      <c r="GII4" s="568"/>
      <c r="GIJ4" s="568"/>
      <c r="GIK4" s="568"/>
      <c r="GIL4" s="568"/>
      <c r="GIM4" s="568"/>
      <c r="GIN4" s="568"/>
      <c r="GIO4" s="568"/>
      <c r="GIP4" s="568"/>
      <c r="GIQ4" s="568"/>
      <c r="GIR4" s="568"/>
      <c r="GIS4" s="568"/>
      <c r="GIT4" s="568"/>
      <c r="GIU4" s="568"/>
      <c r="GIV4" s="568"/>
      <c r="GIW4" s="568"/>
      <c r="GIX4" s="568"/>
      <c r="GIY4" s="568"/>
      <c r="GIZ4" s="568"/>
      <c r="GJA4" s="568"/>
      <c r="GJB4" s="568"/>
      <c r="GJC4" s="568"/>
      <c r="GJD4" s="568"/>
      <c r="GJE4" s="568"/>
      <c r="GJF4" s="568"/>
      <c r="GJG4" s="568"/>
      <c r="GJH4" s="568"/>
      <c r="GJI4" s="568"/>
      <c r="GJJ4" s="568"/>
      <c r="GJK4" s="568"/>
      <c r="GJL4" s="568"/>
      <c r="GJM4" s="568"/>
      <c r="GJN4" s="568"/>
      <c r="GJO4" s="568"/>
      <c r="GJP4" s="568"/>
      <c r="GJQ4" s="568"/>
      <c r="GJR4" s="568"/>
      <c r="GJS4" s="568"/>
      <c r="GJT4" s="568"/>
      <c r="GJU4" s="568"/>
      <c r="GJV4" s="568"/>
      <c r="GJW4" s="568"/>
      <c r="GJX4" s="568"/>
      <c r="GJY4" s="568"/>
      <c r="GJZ4" s="568"/>
      <c r="GKA4" s="568"/>
      <c r="GKB4" s="568"/>
      <c r="GKC4" s="568"/>
      <c r="GKD4" s="568"/>
      <c r="GKE4" s="568"/>
      <c r="GKF4" s="568"/>
      <c r="GKG4" s="568"/>
      <c r="GKH4" s="568"/>
      <c r="GKI4" s="568"/>
      <c r="GKJ4" s="568"/>
      <c r="GKK4" s="568"/>
      <c r="GKL4" s="568"/>
      <c r="GKM4" s="568"/>
      <c r="GKN4" s="568"/>
      <c r="GKO4" s="568"/>
      <c r="GKP4" s="568"/>
      <c r="GKQ4" s="568"/>
      <c r="GKR4" s="568"/>
      <c r="GKS4" s="568"/>
      <c r="GKT4" s="568"/>
      <c r="GKU4" s="568"/>
      <c r="GKV4" s="568"/>
      <c r="GKW4" s="568"/>
      <c r="GKX4" s="568"/>
      <c r="GKY4" s="568"/>
      <c r="GKZ4" s="568"/>
      <c r="GLA4" s="568"/>
      <c r="GLB4" s="568"/>
      <c r="GLC4" s="568"/>
      <c r="GLD4" s="568"/>
      <c r="GLE4" s="568"/>
      <c r="GLF4" s="568"/>
      <c r="GLG4" s="568"/>
      <c r="GLH4" s="568"/>
      <c r="GLI4" s="568"/>
      <c r="GLJ4" s="568"/>
      <c r="GLK4" s="568"/>
      <c r="GLL4" s="568"/>
      <c r="GLM4" s="568"/>
      <c r="GLN4" s="568"/>
      <c r="GLO4" s="568"/>
      <c r="GLP4" s="568"/>
      <c r="GLQ4" s="568"/>
      <c r="GLR4" s="568"/>
      <c r="GLS4" s="568"/>
      <c r="GLT4" s="568"/>
      <c r="GLU4" s="568"/>
      <c r="GLV4" s="568"/>
      <c r="GLW4" s="568"/>
      <c r="GLX4" s="568"/>
      <c r="GLY4" s="568"/>
      <c r="GLZ4" s="568"/>
      <c r="GMA4" s="568"/>
      <c r="GMB4" s="568"/>
      <c r="GMC4" s="568"/>
      <c r="GMD4" s="568"/>
      <c r="GME4" s="568"/>
      <c r="GMF4" s="568"/>
      <c r="GMG4" s="568"/>
      <c r="GMH4" s="568"/>
      <c r="GMI4" s="568"/>
      <c r="GMJ4" s="568"/>
      <c r="GMK4" s="568"/>
      <c r="GML4" s="568"/>
      <c r="GMM4" s="568"/>
      <c r="GMN4" s="568"/>
      <c r="GMO4" s="568"/>
      <c r="GMP4" s="568"/>
      <c r="GMQ4" s="568"/>
      <c r="GMR4" s="568"/>
      <c r="GMS4" s="568"/>
      <c r="GMT4" s="568"/>
      <c r="GMU4" s="568"/>
      <c r="GMV4" s="568"/>
      <c r="GMW4" s="568"/>
      <c r="GMX4" s="568"/>
      <c r="GMY4" s="568"/>
      <c r="GMZ4" s="568"/>
      <c r="GNA4" s="568"/>
      <c r="GNB4" s="568"/>
      <c r="GNC4" s="568"/>
      <c r="GND4" s="568"/>
      <c r="GNE4" s="568"/>
      <c r="GNF4" s="568"/>
      <c r="GNG4" s="568"/>
      <c r="GNH4" s="568"/>
      <c r="GNI4" s="568"/>
      <c r="GNJ4" s="568"/>
      <c r="GNK4" s="568"/>
      <c r="GNL4" s="568"/>
      <c r="GNM4" s="568"/>
      <c r="GNN4" s="568"/>
      <c r="GNO4" s="568"/>
      <c r="GNP4" s="568"/>
      <c r="GNQ4" s="568"/>
      <c r="GNR4" s="568"/>
      <c r="GNS4" s="568"/>
      <c r="GNT4" s="568"/>
      <c r="GNU4" s="568"/>
      <c r="GNV4" s="568"/>
      <c r="GNW4" s="568"/>
      <c r="GNX4" s="568"/>
      <c r="GNY4" s="568"/>
      <c r="GNZ4" s="568"/>
      <c r="GOA4" s="568"/>
      <c r="GOB4" s="568"/>
      <c r="GOC4" s="568"/>
      <c r="GOD4" s="568"/>
      <c r="GOE4" s="568"/>
      <c r="GOF4" s="568"/>
      <c r="GOG4" s="568"/>
      <c r="GOH4" s="568"/>
      <c r="GOI4" s="568"/>
      <c r="GOJ4" s="568"/>
      <c r="GOK4" s="568"/>
      <c r="GOL4" s="568"/>
      <c r="GOM4" s="568"/>
      <c r="GON4" s="568"/>
      <c r="GOO4" s="568"/>
      <c r="GOP4" s="568"/>
      <c r="GOQ4" s="568"/>
      <c r="GOR4" s="568"/>
      <c r="GOS4" s="568"/>
      <c r="GOT4" s="568"/>
      <c r="GOU4" s="568"/>
      <c r="GOV4" s="568"/>
      <c r="GOW4" s="568"/>
      <c r="GOX4" s="568"/>
      <c r="GOY4" s="568"/>
      <c r="GOZ4" s="568"/>
      <c r="GPA4" s="568"/>
      <c r="GPB4" s="568"/>
      <c r="GPC4" s="568"/>
      <c r="GPD4" s="568"/>
      <c r="GPE4" s="568"/>
      <c r="GPF4" s="568"/>
      <c r="GPG4" s="568"/>
      <c r="GPH4" s="568"/>
      <c r="GPI4" s="568"/>
      <c r="GPJ4" s="568"/>
      <c r="GPK4" s="568"/>
      <c r="GPL4" s="568"/>
      <c r="GPM4" s="568"/>
      <c r="GPN4" s="568"/>
      <c r="GPO4" s="568"/>
      <c r="GPP4" s="568"/>
      <c r="GPQ4" s="568"/>
      <c r="GPR4" s="568"/>
      <c r="GPS4" s="568"/>
      <c r="GPT4" s="568"/>
      <c r="GPU4" s="568"/>
      <c r="GPV4" s="568"/>
      <c r="GPW4" s="568"/>
      <c r="GPX4" s="568"/>
      <c r="GPY4" s="568"/>
      <c r="GPZ4" s="568"/>
      <c r="GQA4" s="568"/>
      <c r="GQB4" s="568"/>
      <c r="GQC4" s="568"/>
      <c r="GQD4" s="568"/>
      <c r="GQE4" s="568"/>
      <c r="GQF4" s="568"/>
      <c r="GQG4" s="568"/>
      <c r="GQH4" s="568"/>
      <c r="GQI4" s="568"/>
      <c r="GQJ4" s="568"/>
      <c r="GQK4" s="568"/>
      <c r="GQL4" s="568"/>
      <c r="GQM4" s="568"/>
      <c r="GQN4" s="568"/>
      <c r="GQO4" s="568"/>
      <c r="GQP4" s="568"/>
      <c r="GQQ4" s="568"/>
      <c r="GQR4" s="568"/>
      <c r="GQS4" s="568"/>
      <c r="GQT4" s="568"/>
      <c r="GQU4" s="568"/>
      <c r="GQV4" s="568"/>
      <c r="GQW4" s="568"/>
      <c r="GQX4" s="568"/>
      <c r="GQY4" s="568"/>
      <c r="GQZ4" s="568"/>
      <c r="GRA4" s="568"/>
      <c r="GRB4" s="568"/>
      <c r="GRC4" s="568"/>
      <c r="GRD4" s="568"/>
      <c r="GRE4" s="568"/>
      <c r="GRF4" s="568"/>
      <c r="GRG4" s="568"/>
      <c r="GRH4" s="568"/>
      <c r="GRI4" s="568"/>
      <c r="GRJ4" s="568"/>
      <c r="GRK4" s="568"/>
      <c r="GRL4" s="568"/>
      <c r="GRM4" s="568"/>
      <c r="GRN4" s="568"/>
      <c r="GRO4" s="568"/>
      <c r="GRP4" s="568"/>
      <c r="GRQ4" s="568"/>
      <c r="GRR4" s="568"/>
      <c r="GRS4" s="568"/>
      <c r="GRT4" s="568"/>
      <c r="GRU4" s="568"/>
      <c r="GRV4" s="568"/>
      <c r="GRW4" s="568"/>
      <c r="GRX4" s="568"/>
      <c r="GRY4" s="568"/>
      <c r="GRZ4" s="568"/>
      <c r="GSA4" s="568"/>
      <c r="GSB4" s="568"/>
      <c r="GSC4" s="568"/>
      <c r="GSD4" s="568"/>
      <c r="GSE4" s="568"/>
      <c r="GSF4" s="568"/>
      <c r="GSG4" s="568"/>
      <c r="GSH4" s="568"/>
      <c r="GSI4" s="568"/>
      <c r="GSJ4" s="568"/>
      <c r="GSK4" s="568"/>
      <c r="GSL4" s="568"/>
      <c r="GSM4" s="568"/>
      <c r="GSN4" s="568"/>
      <c r="GSO4" s="568"/>
      <c r="GSP4" s="568"/>
      <c r="GSQ4" s="568"/>
      <c r="GSR4" s="568"/>
      <c r="GSS4" s="568"/>
      <c r="GST4" s="568"/>
      <c r="GSU4" s="568"/>
      <c r="GSV4" s="568"/>
      <c r="GSW4" s="568"/>
      <c r="GSX4" s="568"/>
      <c r="GSY4" s="568"/>
      <c r="GSZ4" s="568"/>
      <c r="GTA4" s="568"/>
      <c r="GTB4" s="568"/>
      <c r="GTC4" s="568"/>
      <c r="GTD4" s="568"/>
      <c r="GTE4" s="568"/>
      <c r="GTF4" s="568"/>
      <c r="GTG4" s="568"/>
      <c r="GTH4" s="568"/>
      <c r="GTI4" s="568"/>
      <c r="GTJ4" s="568"/>
      <c r="GTK4" s="568"/>
      <c r="GTL4" s="568"/>
      <c r="GTM4" s="568"/>
      <c r="GTN4" s="568"/>
      <c r="GTO4" s="568"/>
      <c r="GTP4" s="568"/>
      <c r="GTQ4" s="568"/>
      <c r="GTR4" s="568"/>
      <c r="GTS4" s="568"/>
      <c r="GTT4" s="568"/>
      <c r="GTU4" s="568"/>
      <c r="GTV4" s="568"/>
      <c r="GTW4" s="568"/>
      <c r="GTX4" s="568"/>
      <c r="GTY4" s="568"/>
      <c r="GTZ4" s="568"/>
      <c r="GUA4" s="568"/>
      <c r="GUB4" s="568"/>
      <c r="GUC4" s="568"/>
      <c r="GUD4" s="568"/>
      <c r="GUE4" s="568"/>
      <c r="GUF4" s="568"/>
      <c r="GUG4" s="568"/>
      <c r="GUH4" s="568"/>
      <c r="GUI4" s="568"/>
      <c r="GUJ4" s="568"/>
      <c r="GUK4" s="568"/>
      <c r="GUL4" s="568"/>
      <c r="GUM4" s="568"/>
      <c r="GUN4" s="568"/>
      <c r="GUO4" s="568"/>
      <c r="GUP4" s="568"/>
      <c r="GUQ4" s="568"/>
      <c r="GUR4" s="568"/>
      <c r="GUS4" s="568"/>
      <c r="GUT4" s="568"/>
      <c r="GUU4" s="568"/>
      <c r="GUV4" s="568"/>
      <c r="GUW4" s="568"/>
      <c r="GUX4" s="568"/>
      <c r="GUY4" s="568"/>
      <c r="GUZ4" s="568"/>
      <c r="GVA4" s="568"/>
      <c r="GVB4" s="568"/>
      <c r="GVC4" s="568"/>
      <c r="GVD4" s="568"/>
      <c r="GVE4" s="568"/>
      <c r="GVF4" s="568"/>
      <c r="GVG4" s="568"/>
      <c r="GVH4" s="568"/>
      <c r="GVI4" s="568"/>
      <c r="GVJ4" s="568"/>
      <c r="GVK4" s="568"/>
      <c r="GVL4" s="568"/>
      <c r="GVM4" s="568"/>
      <c r="GVN4" s="568"/>
      <c r="GVO4" s="568"/>
      <c r="GVP4" s="568"/>
      <c r="GVQ4" s="568"/>
      <c r="GVR4" s="568"/>
      <c r="GVS4" s="568"/>
      <c r="GVT4" s="568"/>
      <c r="GVU4" s="568"/>
      <c r="GVV4" s="568"/>
      <c r="GVW4" s="568"/>
      <c r="GVX4" s="568"/>
      <c r="GVY4" s="568"/>
      <c r="GVZ4" s="568"/>
      <c r="GWA4" s="568"/>
      <c r="GWB4" s="568"/>
      <c r="GWC4" s="568"/>
      <c r="GWD4" s="568"/>
      <c r="GWE4" s="568"/>
      <c r="GWF4" s="568"/>
      <c r="GWG4" s="568"/>
      <c r="GWH4" s="568"/>
      <c r="GWI4" s="568"/>
      <c r="GWJ4" s="568"/>
      <c r="GWK4" s="568"/>
      <c r="GWL4" s="568"/>
      <c r="GWM4" s="568"/>
      <c r="GWN4" s="568"/>
      <c r="GWO4" s="568"/>
      <c r="GWP4" s="568"/>
      <c r="GWQ4" s="568"/>
      <c r="GWR4" s="568"/>
      <c r="GWS4" s="568"/>
      <c r="GWT4" s="568"/>
      <c r="GWU4" s="568"/>
      <c r="GWV4" s="568"/>
      <c r="GWW4" s="568"/>
      <c r="GWX4" s="568"/>
      <c r="GWY4" s="568"/>
      <c r="GWZ4" s="568"/>
      <c r="GXA4" s="568"/>
      <c r="GXB4" s="568"/>
      <c r="GXC4" s="568"/>
      <c r="GXD4" s="568"/>
      <c r="GXE4" s="568"/>
      <c r="GXF4" s="568"/>
      <c r="GXG4" s="568"/>
      <c r="GXH4" s="568"/>
      <c r="GXI4" s="568"/>
      <c r="GXJ4" s="568"/>
      <c r="GXK4" s="568"/>
      <c r="GXL4" s="568"/>
      <c r="GXM4" s="568"/>
      <c r="GXN4" s="568"/>
      <c r="GXO4" s="568"/>
      <c r="GXP4" s="568"/>
      <c r="GXQ4" s="568"/>
      <c r="GXR4" s="568"/>
      <c r="GXS4" s="568"/>
      <c r="GXT4" s="568"/>
      <c r="GXU4" s="568"/>
      <c r="GXV4" s="568"/>
      <c r="GXW4" s="568"/>
      <c r="GXX4" s="568"/>
      <c r="GXY4" s="568"/>
      <c r="GXZ4" s="568"/>
      <c r="GYA4" s="568"/>
      <c r="GYB4" s="568"/>
      <c r="GYC4" s="568"/>
      <c r="GYD4" s="568"/>
      <c r="GYE4" s="568"/>
      <c r="GYF4" s="568"/>
      <c r="GYG4" s="568"/>
      <c r="GYH4" s="568"/>
      <c r="GYI4" s="568"/>
      <c r="GYJ4" s="568"/>
      <c r="GYK4" s="568"/>
      <c r="GYL4" s="568"/>
      <c r="GYM4" s="568"/>
      <c r="GYN4" s="568"/>
      <c r="GYO4" s="568"/>
      <c r="GYP4" s="568"/>
      <c r="GYQ4" s="568"/>
      <c r="GYR4" s="568"/>
      <c r="GYS4" s="568"/>
      <c r="GYT4" s="568"/>
      <c r="GYU4" s="568"/>
      <c r="GYV4" s="568"/>
      <c r="GYW4" s="568"/>
      <c r="GYX4" s="568"/>
      <c r="GYY4" s="568"/>
      <c r="GYZ4" s="568"/>
      <c r="GZA4" s="568"/>
      <c r="GZB4" s="568"/>
      <c r="GZC4" s="568"/>
      <c r="GZD4" s="568"/>
      <c r="GZE4" s="568"/>
      <c r="GZF4" s="568"/>
      <c r="GZG4" s="568"/>
      <c r="GZH4" s="568"/>
      <c r="GZI4" s="568"/>
      <c r="GZJ4" s="568"/>
      <c r="GZK4" s="568"/>
      <c r="GZL4" s="568"/>
      <c r="GZM4" s="568"/>
      <c r="GZN4" s="568"/>
      <c r="GZO4" s="568"/>
      <c r="GZP4" s="568"/>
      <c r="GZQ4" s="568"/>
      <c r="GZR4" s="568"/>
      <c r="GZS4" s="568"/>
      <c r="GZT4" s="568"/>
      <c r="GZU4" s="568"/>
      <c r="GZV4" s="568"/>
      <c r="GZW4" s="568"/>
      <c r="GZX4" s="568"/>
      <c r="GZY4" s="568"/>
      <c r="GZZ4" s="568"/>
      <c r="HAA4" s="568"/>
      <c r="HAB4" s="568"/>
      <c r="HAC4" s="568"/>
      <c r="HAD4" s="568"/>
      <c r="HAE4" s="568"/>
      <c r="HAF4" s="568"/>
      <c r="HAG4" s="568"/>
      <c r="HAH4" s="568"/>
      <c r="HAI4" s="568"/>
      <c r="HAJ4" s="568"/>
      <c r="HAK4" s="568"/>
      <c r="HAL4" s="568"/>
      <c r="HAM4" s="568"/>
      <c r="HAN4" s="568"/>
      <c r="HAO4" s="568"/>
      <c r="HAP4" s="568"/>
      <c r="HAQ4" s="568"/>
      <c r="HAR4" s="568"/>
      <c r="HAS4" s="568"/>
      <c r="HAT4" s="568"/>
      <c r="HAU4" s="568"/>
      <c r="HAV4" s="568"/>
      <c r="HAW4" s="568"/>
      <c r="HAX4" s="568"/>
      <c r="HAY4" s="568"/>
      <c r="HAZ4" s="568"/>
      <c r="HBA4" s="568"/>
      <c r="HBB4" s="568"/>
      <c r="HBC4" s="568"/>
      <c r="HBD4" s="568"/>
      <c r="HBE4" s="568"/>
      <c r="HBF4" s="568"/>
      <c r="HBG4" s="568"/>
      <c r="HBH4" s="568"/>
      <c r="HBI4" s="568"/>
      <c r="HBJ4" s="568"/>
      <c r="HBK4" s="568"/>
      <c r="HBL4" s="568"/>
      <c r="HBM4" s="568"/>
      <c r="HBN4" s="568"/>
      <c r="HBO4" s="568"/>
      <c r="HBP4" s="568"/>
      <c r="HBQ4" s="568"/>
      <c r="HBR4" s="568"/>
      <c r="HBS4" s="568"/>
      <c r="HBT4" s="568"/>
      <c r="HBU4" s="568"/>
      <c r="HBV4" s="568"/>
      <c r="HBW4" s="568"/>
      <c r="HBX4" s="568"/>
      <c r="HBY4" s="568"/>
      <c r="HBZ4" s="568"/>
      <c r="HCA4" s="568"/>
      <c r="HCB4" s="568"/>
      <c r="HCC4" s="568"/>
      <c r="HCD4" s="568"/>
      <c r="HCE4" s="568"/>
      <c r="HCF4" s="568"/>
      <c r="HCG4" s="568"/>
      <c r="HCH4" s="568"/>
      <c r="HCI4" s="568"/>
      <c r="HCJ4" s="568"/>
      <c r="HCK4" s="568"/>
      <c r="HCL4" s="568"/>
      <c r="HCM4" s="568"/>
      <c r="HCN4" s="568"/>
      <c r="HCO4" s="568"/>
      <c r="HCP4" s="568"/>
      <c r="HCQ4" s="568"/>
      <c r="HCR4" s="568"/>
      <c r="HCS4" s="568"/>
      <c r="HCT4" s="568"/>
      <c r="HCU4" s="568"/>
      <c r="HCV4" s="568"/>
      <c r="HCW4" s="568"/>
      <c r="HCX4" s="568"/>
      <c r="HCY4" s="568"/>
      <c r="HCZ4" s="568"/>
      <c r="HDA4" s="568"/>
      <c r="HDB4" s="568"/>
      <c r="HDC4" s="568"/>
      <c r="HDD4" s="568"/>
      <c r="HDE4" s="568"/>
      <c r="HDF4" s="568"/>
      <c r="HDG4" s="568"/>
      <c r="HDH4" s="568"/>
      <c r="HDI4" s="568"/>
      <c r="HDJ4" s="568"/>
      <c r="HDK4" s="568"/>
      <c r="HDL4" s="568"/>
      <c r="HDM4" s="568"/>
      <c r="HDN4" s="568"/>
      <c r="HDO4" s="568"/>
      <c r="HDP4" s="568"/>
      <c r="HDQ4" s="568"/>
      <c r="HDR4" s="568"/>
      <c r="HDS4" s="568"/>
      <c r="HDT4" s="568"/>
      <c r="HDU4" s="568"/>
      <c r="HDV4" s="568"/>
      <c r="HDW4" s="568"/>
      <c r="HDX4" s="568"/>
      <c r="HDY4" s="568"/>
      <c r="HDZ4" s="568"/>
      <c r="HEA4" s="568"/>
      <c r="HEB4" s="568"/>
      <c r="HEC4" s="568"/>
      <c r="HED4" s="568"/>
      <c r="HEE4" s="568"/>
      <c r="HEF4" s="568"/>
      <c r="HEG4" s="568"/>
      <c r="HEH4" s="568"/>
      <c r="HEI4" s="568"/>
      <c r="HEJ4" s="568"/>
      <c r="HEK4" s="568"/>
      <c r="HEL4" s="568"/>
      <c r="HEM4" s="568"/>
      <c r="HEN4" s="568"/>
      <c r="HEO4" s="568"/>
      <c r="HEP4" s="568"/>
      <c r="HEQ4" s="568"/>
      <c r="HER4" s="568"/>
      <c r="HES4" s="568"/>
      <c r="HET4" s="568"/>
      <c r="HEU4" s="568"/>
      <c r="HEV4" s="568"/>
      <c r="HEW4" s="568"/>
      <c r="HEX4" s="568"/>
      <c r="HEY4" s="568"/>
      <c r="HEZ4" s="568"/>
      <c r="HFA4" s="568"/>
      <c r="HFB4" s="568"/>
      <c r="HFC4" s="568"/>
      <c r="HFD4" s="568"/>
      <c r="HFE4" s="568"/>
      <c r="HFF4" s="568"/>
      <c r="HFG4" s="568"/>
      <c r="HFH4" s="568"/>
      <c r="HFI4" s="568"/>
      <c r="HFJ4" s="568"/>
      <c r="HFK4" s="568"/>
      <c r="HFL4" s="568"/>
      <c r="HFM4" s="568"/>
      <c r="HFN4" s="568"/>
      <c r="HFO4" s="568"/>
      <c r="HFP4" s="568"/>
      <c r="HFQ4" s="568"/>
      <c r="HFR4" s="568"/>
      <c r="HFS4" s="568"/>
      <c r="HFT4" s="568"/>
      <c r="HFU4" s="568"/>
      <c r="HFV4" s="568"/>
      <c r="HFW4" s="568"/>
      <c r="HFX4" s="568"/>
      <c r="HFY4" s="568"/>
      <c r="HFZ4" s="568"/>
      <c r="HGA4" s="568"/>
      <c r="HGB4" s="568"/>
      <c r="HGC4" s="568"/>
      <c r="HGD4" s="568"/>
      <c r="HGE4" s="568"/>
      <c r="HGF4" s="568"/>
      <c r="HGG4" s="568"/>
      <c r="HGH4" s="568"/>
      <c r="HGI4" s="568"/>
      <c r="HGJ4" s="568"/>
      <c r="HGK4" s="568"/>
      <c r="HGL4" s="568"/>
      <c r="HGM4" s="568"/>
      <c r="HGN4" s="568"/>
      <c r="HGO4" s="568"/>
      <c r="HGP4" s="568"/>
      <c r="HGQ4" s="568"/>
      <c r="HGR4" s="568"/>
      <c r="HGS4" s="568"/>
      <c r="HGT4" s="568"/>
      <c r="HGU4" s="568"/>
      <c r="HGV4" s="568"/>
      <c r="HGW4" s="568"/>
      <c r="HGX4" s="568"/>
      <c r="HGY4" s="568"/>
      <c r="HGZ4" s="568"/>
      <c r="HHA4" s="568"/>
      <c r="HHB4" s="568"/>
      <c r="HHC4" s="568"/>
      <c r="HHD4" s="568"/>
      <c r="HHE4" s="568"/>
      <c r="HHF4" s="568"/>
      <c r="HHG4" s="568"/>
      <c r="HHH4" s="568"/>
      <c r="HHI4" s="568"/>
      <c r="HHJ4" s="568"/>
      <c r="HHK4" s="568"/>
      <c r="HHL4" s="568"/>
      <c r="HHM4" s="568"/>
      <c r="HHN4" s="568"/>
      <c r="HHO4" s="568"/>
      <c r="HHP4" s="568"/>
      <c r="HHQ4" s="568"/>
      <c r="HHR4" s="568"/>
      <c r="HHS4" s="568"/>
      <c r="HHT4" s="568"/>
      <c r="HHU4" s="568"/>
      <c r="HHV4" s="568"/>
      <c r="HHW4" s="568"/>
      <c r="HHX4" s="568"/>
      <c r="HHY4" s="568"/>
      <c r="HHZ4" s="568"/>
      <c r="HIA4" s="568"/>
      <c r="HIB4" s="568"/>
      <c r="HIC4" s="568"/>
      <c r="HID4" s="568"/>
      <c r="HIE4" s="568"/>
      <c r="HIF4" s="568"/>
      <c r="HIG4" s="568"/>
      <c r="HIH4" s="568"/>
      <c r="HII4" s="568"/>
      <c r="HIJ4" s="568"/>
      <c r="HIK4" s="568"/>
      <c r="HIL4" s="568"/>
      <c r="HIM4" s="568"/>
      <c r="HIN4" s="568"/>
      <c r="HIO4" s="568"/>
      <c r="HIP4" s="568"/>
      <c r="HIQ4" s="568"/>
      <c r="HIR4" s="568"/>
      <c r="HIS4" s="568"/>
      <c r="HIT4" s="568"/>
      <c r="HIU4" s="568"/>
      <c r="HIV4" s="568"/>
      <c r="HIW4" s="568"/>
      <c r="HIX4" s="568"/>
      <c r="HIY4" s="568"/>
      <c r="HIZ4" s="568"/>
      <c r="HJA4" s="568"/>
      <c r="HJB4" s="568"/>
      <c r="HJC4" s="568"/>
      <c r="HJD4" s="568"/>
      <c r="HJE4" s="568"/>
      <c r="HJF4" s="568"/>
      <c r="HJG4" s="568"/>
      <c r="HJH4" s="568"/>
      <c r="HJI4" s="568"/>
      <c r="HJJ4" s="568"/>
      <c r="HJK4" s="568"/>
      <c r="HJL4" s="568"/>
      <c r="HJM4" s="568"/>
      <c r="HJN4" s="568"/>
      <c r="HJO4" s="568"/>
      <c r="HJP4" s="568"/>
      <c r="HJQ4" s="568"/>
      <c r="HJR4" s="568"/>
      <c r="HJS4" s="568"/>
      <c r="HJT4" s="568"/>
      <c r="HJU4" s="568"/>
      <c r="HJV4" s="568"/>
      <c r="HJW4" s="568"/>
      <c r="HJX4" s="568"/>
      <c r="HJY4" s="568"/>
      <c r="HJZ4" s="568"/>
      <c r="HKA4" s="568"/>
      <c r="HKB4" s="568"/>
      <c r="HKC4" s="568"/>
      <c r="HKD4" s="568"/>
      <c r="HKE4" s="568"/>
      <c r="HKF4" s="568"/>
      <c r="HKG4" s="568"/>
      <c r="HKH4" s="568"/>
      <c r="HKI4" s="568"/>
      <c r="HKJ4" s="568"/>
      <c r="HKK4" s="568"/>
      <c r="HKL4" s="568"/>
      <c r="HKM4" s="568"/>
      <c r="HKN4" s="568"/>
      <c r="HKO4" s="568"/>
      <c r="HKP4" s="568"/>
      <c r="HKQ4" s="568"/>
      <c r="HKR4" s="568"/>
      <c r="HKS4" s="568"/>
      <c r="HKT4" s="568"/>
      <c r="HKU4" s="568"/>
      <c r="HKV4" s="568"/>
      <c r="HKW4" s="568"/>
      <c r="HKX4" s="568"/>
      <c r="HKY4" s="568"/>
      <c r="HKZ4" s="568"/>
      <c r="HLA4" s="568"/>
      <c r="HLB4" s="568"/>
      <c r="HLC4" s="568"/>
      <c r="HLD4" s="568"/>
      <c r="HLE4" s="568"/>
      <c r="HLF4" s="568"/>
      <c r="HLG4" s="568"/>
      <c r="HLH4" s="568"/>
      <c r="HLI4" s="568"/>
      <c r="HLJ4" s="568"/>
      <c r="HLK4" s="568"/>
      <c r="HLL4" s="568"/>
      <c r="HLM4" s="568"/>
      <c r="HLN4" s="568"/>
      <c r="HLO4" s="568"/>
      <c r="HLP4" s="568"/>
      <c r="HLQ4" s="568"/>
      <c r="HLR4" s="568"/>
      <c r="HLS4" s="568"/>
      <c r="HLT4" s="568"/>
      <c r="HLU4" s="568"/>
      <c r="HLV4" s="568"/>
      <c r="HLW4" s="568"/>
      <c r="HLX4" s="568"/>
      <c r="HLY4" s="568"/>
      <c r="HLZ4" s="568"/>
      <c r="HMA4" s="568"/>
      <c r="HMB4" s="568"/>
      <c r="HMC4" s="568"/>
      <c r="HMD4" s="568"/>
      <c r="HME4" s="568"/>
      <c r="HMF4" s="568"/>
      <c r="HMG4" s="568"/>
      <c r="HMH4" s="568"/>
      <c r="HMI4" s="568"/>
      <c r="HMJ4" s="568"/>
      <c r="HMK4" s="568"/>
      <c r="HML4" s="568"/>
      <c r="HMM4" s="568"/>
      <c r="HMN4" s="568"/>
      <c r="HMO4" s="568"/>
      <c r="HMP4" s="568"/>
      <c r="HMQ4" s="568"/>
      <c r="HMR4" s="568"/>
      <c r="HMS4" s="568"/>
      <c r="HMT4" s="568"/>
      <c r="HMU4" s="568"/>
      <c r="HMV4" s="568"/>
      <c r="HMW4" s="568"/>
      <c r="HMX4" s="568"/>
      <c r="HMY4" s="568"/>
      <c r="HMZ4" s="568"/>
      <c r="HNA4" s="568"/>
      <c r="HNB4" s="568"/>
      <c r="HNC4" s="568"/>
      <c r="HND4" s="568"/>
      <c r="HNE4" s="568"/>
      <c r="HNF4" s="568"/>
      <c r="HNG4" s="568"/>
      <c r="HNH4" s="568"/>
      <c r="HNI4" s="568"/>
      <c r="HNJ4" s="568"/>
      <c r="HNK4" s="568"/>
      <c r="HNL4" s="568"/>
      <c r="HNM4" s="568"/>
      <c r="HNN4" s="568"/>
      <c r="HNO4" s="568"/>
      <c r="HNP4" s="568"/>
      <c r="HNQ4" s="568"/>
      <c r="HNR4" s="568"/>
      <c r="HNS4" s="568"/>
      <c r="HNT4" s="568"/>
      <c r="HNU4" s="568"/>
      <c r="HNV4" s="568"/>
      <c r="HNW4" s="568"/>
      <c r="HNX4" s="568"/>
      <c r="HNY4" s="568"/>
      <c r="HNZ4" s="568"/>
      <c r="HOA4" s="568"/>
      <c r="HOB4" s="568"/>
      <c r="HOC4" s="568"/>
      <c r="HOD4" s="568"/>
      <c r="HOE4" s="568"/>
      <c r="HOF4" s="568"/>
      <c r="HOG4" s="568"/>
      <c r="HOH4" s="568"/>
      <c r="HOI4" s="568"/>
      <c r="HOJ4" s="568"/>
      <c r="HOK4" s="568"/>
      <c r="HOL4" s="568"/>
      <c r="HOM4" s="568"/>
      <c r="HON4" s="568"/>
      <c r="HOO4" s="568"/>
      <c r="HOP4" s="568"/>
      <c r="HOQ4" s="568"/>
      <c r="HOR4" s="568"/>
      <c r="HOS4" s="568"/>
      <c r="HOT4" s="568"/>
      <c r="HOU4" s="568"/>
      <c r="HOV4" s="568"/>
      <c r="HOW4" s="568"/>
      <c r="HOX4" s="568"/>
      <c r="HOY4" s="568"/>
      <c r="HOZ4" s="568"/>
      <c r="HPA4" s="568"/>
      <c r="HPB4" s="568"/>
      <c r="HPC4" s="568"/>
      <c r="HPD4" s="568"/>
      <c r="HPE4" s="568"/>
      <c r="HPF4" s="568"/>
      <c r="HPG4" s="568"/>
      <c r="HPH4" s="568"/>
      <c r="HPI4" s="568"/>
      <c r="HPJ4" s="568"/>
      <c r="HPK4" s="568"/>
      <c r="HPL4" s="568"/>
      <c r="HPM4" s="568"/>
      <c r="HPN4" s="568"/>
      <c r="HPO4" s="568"/>
      <c r="HPP4" s="568"/>
      <c r="HPQ4" s="568"/>
      <c r="HPR4" s="568"/>
      <c r="HPS4" s="568"/>
      <c r="HPT4" s="568"/>
      <c r="HPU4" s="568"/>
      <c r="HPV4" s="568"/>
      <c r="HPW4" s="568"/>
      <c r="HPX4" s="568"/>
      <c r="HPY4" s="568"/>
      <c r="HPZ4" s="568"/>
      <c r="HQA4" s="568"/>
      <c r="HQB4" s="568"/>
      <c r="HQC4" s="568"/>
      <c r="HQD4" s="568"/>
      <c r="HQE4" s="568"/>
      <c r="HQF4" s="568"/>
      <c r="HQG4" s="568"/>
      <c r="HQH4" s="568"/>
      <c r="HQI4" s="568"/>
      <c r="HQJ4" s="568"/>
      <c r="HQK4" s="568"/>
      <c r="HQL4" s="568"/>
      <c r="HQM4" s="568"/>
      <c r="HQN4" s="568"/>
      <c r="HQO4" s="568"/>
      <c r="HQP4" s="568"/>
      <c r="HQQ4" s="568"/>
      <c r="HQR4" s="568"/>
      <c r="HQS4" s="568"/>
      <c r="HQT4" s="568"/>
      <c r="HQU4" s="568"/>
      <c r="HQV4" s="568"/>
      <c r="HQW4" s="568"/>
      <c r="HQX4" s="568"/>
      <c r="HQY4" s="568"/>
      <c r="HQZ4" s="568"/>
      <c r="HRA4" s="568"/>
      <c r="HRB4" s="568"/>
      <c r="HRC4" s="568"/>
      <c r="HRD4" s="568"/>
      <c r="HRE4" s="568"/>
      <c r="HRF4" s="568"/>
      <c r="HRG4" s="568"/>
      <c r="HRH4" s="568"/>
      <c r="HRI4" s="568"/>
      <c r="HRJ4" s="568"/>
      <c r="HRK4" s="568"/>
      <c r="HRL4" s="568"/>
      <c r="HRM4" s="568"/>
      <c r="HRN4" s="568"/>
      <c r="HRO4" s="568"/>
      <c r="HRP4" s="568"/>
      <c r="HRQ4" s="568"/>
      <c r="HRR4" s="568"/>
      <c r="HRS4" s="568"/>
      <c r="HRT4" s="568"/>
      <c r="HRU4" s="568"/>
      <c r="HRV4" s="568"/>
      <c r="HRW4" s="568"/>
      <c r="HRX4" s="568"/>
      <c r="HRY4" s="568"/>
      <c r="HRZ4" s="568"/>
      <c r="HSA4" s="568"/>
      <c r="HSB4" s="568"/>
      <c r="HSC4" s="568"/>
      <c r="HSD4" s="568"/>
      <c r="HSE4" s="568"/>
      <c r="HSF4" s="568"/>
      <c r="HSG4" s="568"/>
      <c r="HSH4" s="568"/>
      <c r="HSI4" s="568"/>
      <c r="HSJ4" s="568"/>
      <c r="HSK4" s="568"/>
      <c r="HSL4" s="568"/>
      <c r="HSM4" s="568"/>
      <c r="HSN4" s="568"/>
      <c r="HSO4" s="568"/>
      <c r="HSP4" s="568"/>
      <c r="HSQ4" s="568"/>
      <c r="HSR4" s="568"/>
      <c r="HSS4" s="568"/>
      <c r="HST4" s="568"/>
      <c r="HSU4" s="568"/>
      <c r="HSV4" s="568"/>
      <c r="HSW4" s="568"/>
      <c r="HSX4" s="568"/>
      <c r="HSY4" s="568"/>
      <c r="HSZ4" s="568"/>
      <c r="HTA4" s="568"/>
      <c r="HTB4" s="568"/>
      <c r="HTC4" s="568"/>
      <c r="HTD4" s="568"/>
      <c r="HTE4" s="568"/>
      <c r="HTF4" s="568"/>
      <c r="HTG4" s="568"/>
      <c r="HTH4" s="568"/>
      <c r="HTI4" s="568"/>
      <c r="HTJ4" s="568"/>
      <c r="HTK4" s="568"/>
      <c r="HTL4" s="568"/>
      <c r="HTM4" s="568"/>
      <c r="HTN4" s="568"/>
      <c r="HTO4" s="568"/>
      <c r="HTP4" s="568"/>
      <c r="HTQ4" s="568"/>
      <c r="HTR4" s="568"/>
      <c r="HTS4" s="568"/>
      <c r="HTT4" s="568"/>
      <c r="HTU4" s="568"/>
      <c r="HTV4" s="568"/>
      <c r="HTW4" s="568"/>
      <c r="HTX4" s="568"/>
      <c r="HTY4" s="568"/>
      <c r="HTZ4" s="568"/>
      <c r="HUA4" s="568"/>
      <c r="HUB4" s="568"/>
      <c r="HUC4" s="568"/>
      <c r="HUD4" s="568"/>
      <c r="HUE4" s="568"/>
      <c r="HUF4" s="568"/>
      <c r="HUG4" s="568"/>
      <c r="HUH4" s="568"/>
      <c r="HUI4" s="568"/>
      <c r="HUJ4" s="568"/>
      <c r="HUK4" s="568"/>
      <c r="HUL4" s="568"/>
      <c r="HUM4" s="568"/>
      <c r="HUN4" s="568"/>
      <c r="HUO4" s="568"/>
      <c r="HUP4" s="568"/>
      <c r="HUQ4" s="568"/>
      <c r="HUR4" s="568"/>
      <c r="HUS4" s="568"/>
      <c r="HUT4" s="568"/>
      <c r="HUU4" s="568"/>
      <c r="HUV4" s="568"/>
      <c r="HUW4" s="568"/>
      <c r="HUX4" s="568"/>
      <c r="HUY4" s="568"/>
      <c r="HUZ4" s="568"/>
      <c r="HVA4" s="568"/>
      <c r="HVB4" s="568"/>
      <c r="HVC4" s="568"/>
      <c r="HVD4" s="568"/>
      <c r="HVE4" s="568"/>
      <c r="HVF4" s="568"/>
      <c r="HVG4" s="568"/>
      <c r="HVH4" s="568"/>
      <c r="HVI4" s="568"/>
      <c r="HVJ4" s="568"/>
      <c r="HVK4" s="568"/>
      <c r="HVL4" s="568"/>
      <c r="HVM4" s="568"/>
      <c r="HVN4" s="568"/>
      <c r="HVO4" s="568"/>
      <c r="HVP4" s="568"/>
      <c r="HVQ4" s="568"/>
      <c r="HVR4" s="568"/>
      <c r="HVS4" s="568"/>
      <c r="HVT4" s="568"/>
      <c r="HVU4" s="568"/>
      <c r="HVV4" s="568"/>
      <c r="HVW4" s="568"/>
      <c r="HVX4" s="568"/>
      <c r="HVY4" s="568"/>
      <c r="HVZ4" s="568"/>
      <c r="HWA4" s="568"/>
      <c r="HWB4" s="568"/>
      <c r="HWC4" s="568"/>
      <c r="HWD4" s="568"/>
      <c r="HWE4" s="568"/>
      <c r="HWF4" s="568"/>
      <c r="HWG4" s="568"/>
      <c r="HWH4" s="568"/>
      <c r="HWI4" s="568"/>
      <c r="HWJ4" s="568"/>
      <c r="HWK4" s="568"/>
      <c r="HWL4" s="568"/>
      <c r="HWM4" s="568"/>
      <c r="HWN4" s="568"/>
      <c r="HWO4" s="568"/>
      <c r="HWP4" s="568"/>
      <c r="HWQ4" s="568"/>
      <c r="HWR4" s="568"/>
      <c r="HWS4" s="568"/>
      <c r="HWT4" s="568"/>
      <c r="HWU4" s="568"/>
      <c r="HWV4" s="568"/>
      <c r="HWW4" s="568"/>
      <c r="HWX4" s="568"/>
      <c r="HWY4" s="568"/>
      <c r="HWZ4" s="568"/>
      <c r="HXA4" s="568"/>
      <c r="HXB4" s="568"/>
      <c r="HXC4" s="568"/>
      <c r="HXD4" s="568"/>
      <c r="HXE4" s="568"/>
      <c r="HXF4" s="568"/>
      <c r="HXG4" s="568"/>
      <c r="HXH4" s="568"/>
      <c r="HXI4" s="568"/>
      <c r="HXJ4" s="568"/>
      <c r="HXK4" s="568"/>
      <c r="HXL4" s="568"/>
      <c r="HXM4" s="568"/>
      <c r="HXN4" s="568"/>
      <c r="HXO4" s="568"/>
      <c r="HXP4" s="568"/>
      <c r="HXQ4" s="568"/>
      <c r="HXR4" s="568"/>
      <c r="HXS4" s="568"/>
      <c r="HXT4" s="568"/>
      <c r="HXU4" s="568"/>
      <c r="HXV4" s="568"/>
      <c r="HXW4" s="568"/>
      <c r="HXX4" s="568"/>
      <c r="HXY4" s="568"/>
      <c r="HXZ4" s="568"/>
      <c r="HYA4" s="568"/>
      <c r="HYB4" s="568"/>
      <c r="HYC4" s="568"/>
      <c r="HYD4" s="568"/>
      <c r="HYE4" s="568"/>
      <c r="HYF4" s="568"/>
      <c r="HYG4" s="568"/>
      <c r="HYH4" s="568"/>
      <c r="HYI4" s="568"/>
      <c r="HYJ4" s="568"/>
      <c r="HYK4" s="568"/>
      <c r="HYL4" s="568"/>
      <c r="HYM4" s="568"/>
      <c r="HYN4" s="568"/>
      <c r="HYO4" s="568"/>
      <c r="HYP4" s="568"/>
      <c r="HYQ4" s="568"/>
      <c r="HYR4" s="568"/>
      <c r="HYS4" s="568"/>
      <c r="HYT4" s="568"/>
      <c r="HYU4" s="568"/>
      <c r="HYV4" s="568"/>
      <c r="HYW4" s="568"/>
      <c r="HYX4" s="568"/>
      <c r="HYY4" s="568"/>
      <c r="HYZ4" s="568"/>
      <c r="HZA4" s="568"/>
      <c r="HZB4" s="568"/>
      <c r="HZC4" s="568"/>
      <c r="HZD4" s="568"/>
      <c r="HZE4" s="568"/>
      <c r="HZF4" s="568"/>
      <c r="HZG4" s="568"/>
      <c r="HZH4" s="568"/>
      <c r="HZI4" s="568"/>
      <c r="HZJ4" s="568"/>
      <c r="HZK4" s="568"/>
      <c r="HZL4" s="568"/>
      <c r="HZM4" s="568"/>
      <c r="HZN4" s="568"/>
      <c r="HZO4" s="568"/>
      <c r="HZP4" s="568"/>
      <c r="HZQ4" s="568"/>
      <c r="HZR4" s="568"/>
      <c r="HZS4" s="568"/>
      <c r="HZT4" s="568"/>
      <c r="HZU4" s="568"/>
      <c r="HZV4" s="568"/>
      <c r="HZW4" s="568"/>
      <c r="HZX4" s="568"/>
      <c r="HZY4" s="568"/>
      <c r="HZZ4" s="568"/>
      <c r="IAA4" s="568"/>
      <c r="IAB4" s="568"/>
      <c r="IAC4" s="568"/>
      <c r="IAD4" s="568"/>
      <c r="IAE4" s="568"/>
      <c r="IAF4" s="568"/>
      <c r="IAG4" s="568"/>
      <c r="IAH4" s="568"/>
      <c r="IAI4" s="568"/>
      <c r="IAJ4" s="568"/>
      <c r="IAK4" s="568"/>
      <c r="IAL4" s="568"/>
      <c r="IAM4" s="568"/>
      <c r="IAN4" s="568"/>
      <c r="IAO4" s="568"/>
      <c r="IAP4" s="568"/>
      <c r="IAQ4" s="568"/>
      <c r="IAR4" s="568"/>
      <c r="IAS4" s="568"/>
      <c r="IAT4" s="568"/>
      <c r="IAU4" s="568"/>
      <c r="IAV4" s="568"/>
      <c r="IAW4" s="568"/>
      <c r="IAX4" s="568"/>
      <c r="IAY4" s="568"/>
      <c r="IAZ4" s="568"/>
      <c r="IBA4" s="568"/>
      <c r="IBB4" s="568"/>
      <c r="IBC4" s="568"/>
      <c r="IBD4" s="568"/>
      <c r="IBE4" s="568"/>
      <c r="IBF4" s="568"/>
      <c r="IBG4" s="568"/>
      <c r="IBH4" s="568"/>
      <c r="IBI4" s="568"/>
      <c r="IBJ4" s="568"/>
      <c r="IBK4" s="568"/>
      <c r="IBL4" s="568"/>
      <c r="IBM4" s="568"/>
      <c r="IBN4" s="568"/>
      <c r="IBO4" s="568"/>
      <c r="IBP4" s="568"/>
      <c r="IBQ4" s="568"/>
      <c r="IBR4" s="568"/>
      <c r="IBS4" s="568"/>
      <c r="IBT4" s="568"/>
      <c r="IBU4" s="568"/>
      <c r="IBV4" s="568"/>
      <c r="IBW4" s="568"/>
      <c r="IBX4" s="568"/>
      <c r="IBY4" s="568"/>
      <c r="IBZ4" s="568"/>
      <c r="ICA4" s="568"/>
      <c r="ICB4" s="568"/>
      <c r="ICC4" s="568"/>
      <c r="ICD4" s="568"/>
      <c r="ICE4" s="568"/>
      <c r="ICF4" s="568"/>
      <c r="ICG4" s="568"/>
      <c r="ICH4" s="568"/>
      <c r="ICI4" s="568"/>
      <c r="ICJ4" s="568"/>
      <c r="ICK4" s="568"/>
      <c r="ICL4" s="568"/>
      <c r="ICM4" s="568"/>
      <c r="ICN4" s="568"/>
      <c r="ICO4" s="568"/>
      <c r="ICP4" s="568"/>
      <c r="ICQ4" s="568"/>
      <c r="ICR4" s="568"/>
      <c r="ICS4" s="568"/>
      <c r="ICT4" s="568"/>
      <c r="ICU4" s="568"/>
      <c r="ICV4" s="568"/>
      <c r="ICW4" s="568"/>
      <c r="ICX4" s="568"/>
      <c r="ICY4" s="568"/>
      <c r="ICZ4" s="568"/>
      <c r="IDA4" s="568"/>
      <c r="IDB4" s="568"/>
      <c r="IDC4" s="568"/>
      <c r="IDD4" s="568"/>
      <c r="IDE4" s="568"/>
      <c r="IDF4" s="568"/>
      <c r="IDG4" s="568"/>
      <c r="IDH4" s="568"/>
      <c r="IDI4" s="568"/>
      <c r="IDJ4" s="568"/>
      <c r="IDK4" s="568"/>
      <c r="IDL4" s="568"/>
      <c r="IDM4" s="568"/>
      <c r="IDN4" s="568"/>
      <c r="IDO4" s="568"/>
      <c r="IDP4" s="568"/>
      <c r="IDQ4" s="568"/>
      <c r="IDR4" s="568"/>
      <c r="IDS4" s="568"/>
      <c r="IDT4" s="568"/>
      <c r="IDU4" s="568"/>
      <c r="IDV4" s="568"/>
      <c r="IDW4" s="568"/>
      <c r="IDX4" s="568"/>
      <c r="IDY4" s="568"/>
      <c r="IDZ4" s="568"/>
      <c r="IEA4" s="568"/>
      <c r="IEB4" s="568"/>
      <c r="IEC4" s="568"/>
      <c r="IED4" s="568"/>
      <c r="IEE4" s="568"/>
      <c r="IEF4" s="568"/>
      <c r="IEG4" s="568"/>
      <c r="IEH4" s="568"/>
      <c r="IEI4" s="568"/>
      <c r="IEJ4" s="568"/>
      <c r="IEK4" s="568"/>
      <c r="IEL4" s="568"/>
      <c r="IEM4" s="568"/>
      <c r="IEN4" s="568"/>
      <c r="IEO4" s="568"/>
      <c r="IEP4" s="568"/>
      <c r="IEQ4" s="568"/>
      <c r="IER4" s="568"/>
      <c r="IES4" s="568"/>
      <c r="IET4" s="568"/>
      <c r="IEU4" s="568"/>
      <c r="IEV4" s="568"/>
      <c r="IEW4" s="568"/>
      <c r="IEX4" s="568"/>
      <c r="IEY4" s="568"/>
      <c r="IEZ4" s="568"/>
      <c r="IFA4" s="568"/>
      <c r="IFB4" s="568"/>
      <c r="IFC4" s="568"/>
      <c r="IFD4" s="568"/>
      <c r="IFE4" s="568"/>
      <c r="IFF4" s="568"/>
      <c r="IFG4" s="568"/>
      <c r="IFH4" s="568"/>
      <c r="IFI4" s="568"/>
      <c r="IFJ4" s="568"/>
      <c r="IFK4" s="568"/>
      <c r="IFL4" s="568"/>
      <c r="IFM4" s="568"/>
      <c r="IFN4" s="568"/>
      <c r="IFO4" s="568"/>
      <c r="IFP4" s="568"/>
      <c r="IFQ4" s="568"/>
      <c r="IFR4" s="568"/>
      <c r="IFS4" s="568"/>
      <c r="IFT4" s="568"/>
      <c r="IFU4" s="568"/>
      <c r="IFV4" s="568"/>
      <c r="IFW4" s="568"/>
      <c r="IFX4" s="568"/>
      <c r="IFY4" s="568"/>
      <c r="IFZ4" s="568"/>
      <c r="IGA4" s="568"/>
      <c r="IGB4" s="568"/>
      <c r="IGC4" s="568"/>
      <c r="IGD4" s="568"/>
      <c r="IGE4" s="568"/>
      <c r="IGF4" s="568"/>
      <c r="IGG4" s="568"/>
      <c r="IGH4" s="568"/>
      <c r="IGI4" s="568"/>
      <c r="IGJ4" s="568"/>
      <c r="IGK4" s="568"/>
      <c r="IGL4" s="568"/>
      <c r="IGM4" s="568"/>
      <c r="IGN4" s="568"/>
      <c r="IGO4" s="568"/>
      <c r="IGP4" s="568"/>
      <c r="IGQ4" s="568"/>
      <c r="IGR4" s="568"/>
      <c r="IGS4" s="568"/>
      <c r="IGT4" s="568"/>
      <c r="IGU4" s="568"/>
      <c r="IGV4" s="568"/>
      <c r="IGW4" s="568"/>
      <c r="IGX4" s="568"/>
      <c r="IGY4" s="568"/>
      <c r="IGZ4" s="568"/>
      <c r="IHA4" s="568"/>
      <c r="IHB4" s="568"/>
      <c r="IHC4" s="568"/>
      <c r="IHD4" s="568"/>
      <c r="IHE4" s="568"/>
      <c r="IHF4" s="568"/>
      <c r="IHG4" s="568"/>
      <c r="IHH4" s="568"/>
      <c r="IHI4" s="568"/>
      <c r="IHJ4" s="568"/>
      <c r="IHK4" s="568"/>
      <c r="IHL4" s="568"/>
      <c r="IHM4" s="568"/>
      <c r="IHN4" s="568"/>
      <c r="IHO4" s="568"/>
      <c r="IHP4" s="568"/>
      <c r="IHQ4" s="568"/>
      <c r="IHR4" s="568"/>
      <c r="IHS4" s="568"/>
      <c r="IHT4" s="568"/>
      <c r="IHU4" s="568"/>
      <c r="IHV4" s="568"/>
      <c r="IHW4" s="568"/>
      <c r="IHX4" s="568"/>
      <c r="IHY4" s="568"/>
      <c r="IHZ4" s="568"/>
      <c r="IIA4" s="568"/>
      <c r="IIB4" s="568"/>
      <c r="IIC4" s="568"/>
      <c r="IID4" s="568"/>
      <c r="IIE4" s="568"/>
      <c r="IIF4" s="568"/>
      <c r="IIG4" s="568"/>
      <c r="IIH4" s="568"/>
      <c r="III4" s="568"/>
      <c r="IIJ4" s="568"/>
      <c r="IIK4" s="568"/>
      <c r="IIL4" s="568"/>
      <c r="IIM4" s="568"/>
      <c r="IIN4" s="568"/>
      <c r="IIO4" s="568"/>
      <c r="IIP4" s="568"/>
      <c r="IIQ4" s="568"/>
      <c r="IIR4" s="568"/>
      <c r="IIS4" s="568"/>
      <c r="IIT4" s="568"/>
      <c r="IIU4" s="568"/>
      <c r="IIV4" s="568"/>
      <c r="IIW4" s="568"/>
      <c r="IIX4" s="568"/>
      <c r="IIY4" s="568"/>
      <c r="IIZ4" s="568"/>
      <c r="IJA4" s="568"/>
      <c r="IJB4" s="568"/>
      <c r="IJC4" s="568"/>
      <c r="IJD4" s="568"/>
      <c r="IJE4" s="568"/>
      <c r="IJF4" s="568"/>
      <c r="IJG4" s="568"/>
      <c r="IJH4" s="568"/>
      <c r="IJI4" s="568"/>
      <c r="IJJ4" s="568"/>
      <c r="IJK4" s="568"/>
      <c r="IJL4" s="568"/>
      <c r="IJM4" s="568"/>
      <c r="IJN4" s="568"/>
      <c r="IJO4" s="568"/>
      <c r="IJP4" s="568"/>
      <c r="IJQ4" s="568"/>
      <c r="IJR4" s="568"/>
      <c r="IJS4" s="568"/>
      <c r="IJT4" s="568"/>
      <c r="IJU4" s="568"/>
      <c r="IJV4" s="568"/>
      <c r="IJW4" s="568"/>
      <c r="IJX4" s="568"/>
      <c r="IJY4" s="568"/>
      <c r="IJZ4" s="568"/>
      <c r="IKA4" s="568"/>
      <c r="IKB4" s="568"/>
      <c r="IKC4" s="568"/>
      <c r="IKD4" s="568"/>
      <c r="IKE4" s="568"/>
      <c r="IKF4" s="568"/>
      <c r="IKG4" s="568"/>
      <c r="IKH4" s="568"/>
      <c r="IKI4" s="568"/>
      <c r="IKJ4" s="568"/>
      <c r="IKK4" s="568"/>
      <c r="IKL4" s="568"/>
      <c r="IKM4" s="568"/>
      <c r="IKN4" s="568"/>
      <c r="IKO4" s="568"/>
      <c r="IKP4" s="568"/>
      <c r="IKQ4" s="568"/>
      <c r="IKR4" s="568"/>
      <c r="IKS4" s="568"/>
      <c r="IKT4" s="568"/>
      <c r="IKU4" s="568"/>
      <c r="IKV4" s="568"/>
      <c r="IKW4" s="568"/>
      <c r="IKX4" s="568"/>
      <c r="IKY4" s="568"/>
      <c r="IKZ4" s="568"/>
      <c r="ILA4" s="568"/>
      <c r="ILB4" s="568"/>
      <c r="ILC4" s="568"/>
      <c r="ILD4" s="568"/>
      <c r="ILE4" s="568"/>
      <c r="ILF4" s="568"/>
      <c r="ILG4" s="568"/>
      <c r="ILH4" s="568"/>
      <c r="ILI4" s="568"/>
      <c r="ILJ4" s="568"/>
      <c r="ILK4" s="568"/>
      <c r="ILL4" s="568"/>
      <c r="ILM4" s="568"/>
      <c r="ILN4" s="568"/>
      <c r="ILO4" s="568"/>
      <c r="ILP4" s="568"/>
      <c r="ILQ4" s="568"/>
      <c r="ILR4" s="568"/>
      <c r="ILS4" s="568"/>
      <c r="ILT4" s="568"/>
      <c r="ILU4" s="568"/>
      <c r="ILV4" s="568"/>
      <c r="ILW4" s="568"/>
      <c r="ILX4" s="568"/>
      <c r="ILY4" s="568"/>
      <c r="ILZ4" s="568"/>
      <c r="IMA4" s="568"/>
      <c r="IMB4" s="568"/>
      <c r="IMC4" s="568"/>
      <c r="IMD4" s="568"/>
      <c r="IME4" s="568"/>
      <c r="IMF4" s="568"/>
      <c r="IMG4" s="568"/>
      <c r="IMH4" s="568"/>
      <c r="IMI4" s="568"/>
      <c r="IMJ4" s="568"/>
      <c r="IMK4" s="568"/>
      <c r="IML4" s="568"/>
      <c r="IMM4" s="568"/>
      <c r="IMN4" s="568"/>
      <c r="IMO4" s="568"/>
      <c r="IMP4" s="568"/>
      <c r="IMQ4" s="568"/>
      <c r="IMR4" s="568"/>
      <c r="IMS4" s="568"/>
      <c r="IMT4" s="568"/>
      <c r="IMU4" s="568"/>
      <c r="IMV4" s="568"/>
      <c r="IMW4" s="568"/>
      <c r="IMX4" s="568"/>
      <c r="IMY4" s="568"/>
      <c r="IMZ4" s="568"/>
      <c r="INA4" s="568"/>
      <c r="INB4" s="568"/>
      <c r="INC4" s="568"/>
      <c r="IND4" s="568"/>
      <c r="INE4" s="568"/>
      <c r="INF4" s="568"/>
      <c r="ING4" s="568"/>
      <c r="INH4" s="568"/>
      <c r="INI4" s="568"/>
      <c r="INJ4" s="568"/>
      <c r="INK4" s="568"/>
      <c r="INL4" s="568"/>
      <c r="INM4" s="568"/>
      <c r="INN4" s="568"/>
      <c r="INO4" s="568"/>
      <c r="INP4" s="568"/>
      <c r="INQ4" s="568"/>
      <c r="INR4" s="568"/>
      <c r="INS4" s="568"/>
      <c r="INT4" s="568"/>
      <c r="INU4" s="568"/>
      <c r="INV4" s="568"/>
      <c r="INW4" s="568"/>
      <c r="INX4" s="568"/>
      <c r="INY4" s="568"/>
      <c r="INZ4" s="568"/>
      <c r="IOA4" s="568"/>
      <c r="IOB4" s="568"/>
      <c r="IOC4" s="568"/>
      <c r="IOD4" s="568"/>
      <c r="IOE4" s="568"/>
      <c r="IOF4" s="568"/>
      <c r="IOG4" s="568"/>
      <c r="IOH4" s="568"/>
      <c r="IOI4" s="568"/>
      <c r="IOJ4" s="568"/>
      <c r="IOK4" s="568"/>
      <c r="IOL4" s="568"/>
      <c r="IOM4" s="568"/>
      <c r="ION4" s="568"/>
      <c r="IOO4" s="568"/>
      <c r="IOP4" s="568"/>
      <c r="IOQ4" s="568"/>
      <c r="IOR4" s="568"/>
      <c r="IOS4" s="568"/>
      <c r="IOT4" s="568"/>
      <c r="IOU4" s="568"/>
      <c r="IOV4" s="568"/>
      <c r="IOW4" s="568"/>
      <c r="IOX4" s="568"/>
      <c r="IOY4" s="568"/>
      <c r="IOZ4" s="568"/>
      <c r="IPA4" s="568"/>
      <c r="IPB4" s="568"/>
      <c r="IPC4" s="568"/>
      <c r="IPD4" s="568"/>
      <c r="IPE4" s="568"/>
      <c r="IPF4" s="568"/>
      <c r="IPG4" s="568"/>
      <c r="IPH4" s="568"/>
      <c r="IPI4" s="568"/>
      <c r="IPJ4" s="568"/>
      <c r="IPK4" s="568"/>
      <c r="IPL4" s="568"/>
      <c r="IPM4" s="568"/>
      <c r="IPN4" s="568"/>
      <c r="IPO4" s="568"/>
      <c r="IPP4" s="568"/>
      <c r="IPQ4" s="568"/>
      <c r="IPR4" s="568"/>
      <c r="IPS4" s="568"/>
      <c r="IPT4" s="568"/>
      <c r="IPU4" s="568"/>
      <c r="IPV4" s="568"/>
      <c r="IPW4" s="568"/>
      <c r="IPX4" s="568"/>
      <c r="IPY4" s="568"/>
      <c r="IPZ4" s="568"/>
      <c r="IQA4" s="568"/>
      <c r="IQB4" s="568"/>
      <c r="IQC4" s="568"/>
      <c r="IQD4" s="568"/>
      <c r="IQE4" s="568"/>
      <c r="IQF4" s="568"/>
      <c r="IQG4" s="568"/>
      <c r="IQH4" s="568"/>
      <c r="IQI4" s="568"/>
      <c r="IQJ4" s="568"/>
      <c r="IQK4" s="568"/>
      <c r="IQL4" s="568"/>
      <c r="IQM4" s="568"/>
      <c r="IQN4" s="568"/>
      <c r="IQO4" s="568"/>
      <c r="IQP4" s="568"/>
      <c r="IQQ4" s="568"/>
      <c r="IQR4" s="568"/>
      <c r="IQS4" s="568"/>
      <c r="IQT4" s="568"/>
      <c r="IQU4" s="568"/>
      <c r="IQV4" s="568"/>
      <c r="IQW4" s="568"/>
      <c r="IQX4" s="568"/>
      <c r="IQY4" s="568"/>
      <c r="IQZ4" s="568"/>
      <c r="IRA4" s="568"/>
      <c r="IRB4" s="568"/>
      <c r="IRC4" s="568"/>
      <c r="IRD4" s="568"/>
      <c r="IRE4" s="568"/>
      <c r="IRF4" s="568"/>
      <c r="IRG4" s="568"/>
      <c r="IRH4" s="568"/>
      <c r="IRI4" s="568"/>
      <c r="IRJ4" s="568"/>
      <c r="IRK4" s="568"/>
      <c r="IRL4" s="568"/>
      <c r="IRM4" s="568"/>
      <c r="IRN4" s="568"/>
      <c r="IRO4" s="568"/>
      <c r="IRP4" s="568"/>
      <c r="IRQ4" s="568"/>
      <c r="IRR4" s="568"/>
      <c r="IRS4" s="568"/>
      <c r="IRT4" s="568"/>
      <c r="IRU4" s="568"/>
      <c r="IRV4" s="568"/>
      <c r="IRW4" s="568"/>
      <c r="IRX4" s="568"/>
      <c r="IRY4" s="568"/>
      <c r="IRZ4" s="568"/>
      <c r="ISA4" s="568"/>
      <c r="ISB4" s="568"/>
      <c r="ISC4" s="568"/>
      <c r="ISD4" s="568"/>
      <c r="ISE4" s="568"/>
      <c r="ISF4" s="568"/>
      <c r="ISG4" s="568"/>
      <c r="ISH4" s="568"/>
      <c r="ISI4" s="568"/>
      <c r="ISJ4" s="568"/>
      <c r="ISK4" s="568"/>
      <c r="ISL4" s="568"/>
      <c r="ISM4" s="568"/>
      <c r="ISN4" s="568"/>
      <c r="ISO4" s="568"/>
      <c r="ISP4" s="568"/>
      <c r="ISQ4" s="568"/>
      <c r="ISR4" s="568"/>
      <c r="ISS4" s="568"/>
      <c r="IST4" s="568"/>
      <c r="ISU4" s="568"/>
      <c r="ISV4" s="568"/>
      <c r="ISW4" s="568"/>
      <c r="ISX4" s="568"/>
      <c r="ISY4" s="568"/>
      <c r="ISZ4" s="568"/>
      <c r="ITA4" s="568"/>
      <c r="ITB4" s="568"/>
      <c r="ITC4" s="568"/>
      <c r="ITD4" s="568"/>
      <c r="ITE4" s="568"/>
      <c r="ITF4" s="568"/>
      <c r="ITG4" s="568"/>
      <c r="ITH4" s="568"/>
      <c r="ITI4" s="568"/>
      <c r="ITJ4" s="568"/>
      <c r="ITK4" s="568"/>
      <c r="ITL4" s="568"/>
      <c r="ITM4" s="568"/>
      <c r="ITN4" s="568"/>
      <c r="ITO4" s="568"/>
      <c r="ITP4" s="568"/>
      <c r="ITQ4" s="568"/>
      <c r="ITR4" s="568"/>
      <c r="ITS4" s="568"/>
      <c r="ITT4" s="568"/>
      <c r="ITU4" s="568"/>
      <c r="ITV4" s="568"/>
      <c r="ITW4" s="568"/>
      <c r="ITX4" s="568"/>
      <c r="ITY4" s="568"/>
      <c r="ITZ4" s="568"/>
      <c r="IUA4" s="568"/>
      <c r="IUB4" s="568"/>
      <c r="IUC4" s="568"/>
      <c r="IUD4" s="568"/>
      <c r="IUE4" s="568"/>
      <c r="IUF4" s="568"/>
      <c r="IUG4" s="568"/>
      <c r="IUH4" s="568"/>
      <c r="IUI4" s="568"/>
      <c r="IUJ4" s="568"/>
      <c r="IUK4" s="568"/>
      <c r="IUL4" s="568"/>
      <c r="IUM4" s="568"/>
      <c r="IUN4" s="568"/>
      <c r="IUO4" s="568"/>
      <c r="IUP4" s="568"/>
      <c r="IUQ4" s="568"/>
      <c r="IUR4" s="568"/>
      <c r="IUS4" s="568"/>
      <c r="IUT4" s="568"/>
      <c r="IUU4" s="568"/>
      <c r="IUV4" s="568"/>
      <c r="IUW4" s="568"/>
      <c r="IUX4" s="568"/>
      <c r="IUY4" s="568"/>
      <c r="IUZ4" s="568"/>
      <c r="IVA4" s="568"/>
      <c r="IVB4" s="568"/>
      <c r="IVC4" s="568"/>
      <c r="IVD4" s="568"/>
      <c r="IVE4" s="568"/>
      <c r="IVF4" s="568"/>
      <c r="IVG4" s="568"/>
      <c r="IVH4" s="568"/>
      <c r="IVI4" s="568"/>
      <c r="IVJ4" s="568"/>
      <c r="IVK4" s="568"/>
      <c r="IVL4" s="568"/>
      <c r="IVM4" s="568"/>
      <c r="IVN4" s="568"/>
      <c r="IVO4" s="568"/>
      <c r="IVP4" s="568"/>
      <c r="IVQ4" s="568"/>
      <c r="IVR4" s="568"/>
      <c r="IVS4" s="568"/>
      <c r="IVT4" s="568"/>
      <c r="IVU4" s="568"/>
      <c r="IVV4" s="568"/>
      <c r="IVW4" s="568"/>
      <c r="IVX4" s="568"/>
      <c r="IVY4" s="568"/>
      <c r="IVZ4" s="568"/>
      <c r="IWA4" s="568"/>
      <c r="IWB4" s="568"/>
      <c r="IWC4" s="568"/>
      <c r="IWD4" s="568"/>
      <c r="IWE4" s="568"/>
      <c r="IWF4" s="568"/>
      <c r="IWG4" s="568"/>
      <c r="IWH4" s="568"/>
      <c r="IWI4" s="568"/>
      <c r="IWJ4" s="568"/>
      <c r="IWK4" s="568"/>
      <c r="IWL4" s="568"/>
      <c r="IWM4" s="568"/>
      <c r="IWN4" s="568"/>
      <c r="IWO4" s="568"/>
      <c r="IWP4" s="568"/>
      <c r="IWQ4" s="568"/>
      <c r="IWR4" s="568"/>
      <c r="IWS4" s="568"/>
      <c r="IWT4" s="568"/>
      <c r="IWU4" s="568"/>
      <c r="IWV4" s="568"/>
      <c r="IWW4" s="568"/>
      <c r="IWX4" s="568"/>
      <c r="IWY4" s="568"/>
      <c r="IWZ4" s="568"/>
      <c r="IXA4" s="568"/>
      <c r="IXB4" s="568"/>
      <c r="IXC4" s="568"/>
      <c r="IXD4" s="568"/>
      <c r="IXE4" s="568"/>
      <c r="IXF4" s="568"/>
      <c r="IXG4" s="568"/>
      <c r="IXH4" s="568"/>
      <c r="IXI4" s="568"/>
      <c r="IXJ4" s="568"/>
      <c r="IXK4" s="568"/>
      <c r="IXL4" s="568"/>
      <c r="IXM4" s="568"/>
      <c r="IXN4" s="568"/>
      <c r="IXO4" s="568"/>
      <c r="IXP4" s="568"/>
      <c r="IXQ4" s="568"/>
      <c r="IXR4" s="568"/>
      <c r="IXS4" s="568"/>
      <c r="IXT4" s="568"/>
      <c r="IXU4" s="568"/>
      <c r="IXV4" s="568"/>
      <c r="IXW4" s="568"/>
      <c r="IXX4" s="568"/>
      <c r="IXY4" s="568"/>
      <c r="IXZ4" s="568"/>
      <c r="IYA4" s="568"/>
      <c r="IYB4" s="568"/>
      <c r="IYC4" s="568"/>
      <c r="IYD4" s="568"/>
      <c r="IYE4" s="568"/>
      <c r="IYF4" s="568"/>
      <c r="IYG4" s="568"/>
      <c r="IYH4" s="568"/>
      <c r="IYI4" s="568"/>
      <c r="IYJ4" s="568"/>
      <c r="IYK4" s="568"/>
      <c r="IYL4" s="568"/>
      <c r="IYM4" s="568"/>
      <c r="IYN4" s="568"/>
      <c r="IYO4" s="568"/>
      <c r="IYP4" s="568"/>
      <c r="IYQ4" s="568"/>
      <c r="IYR4" s="568"/>
      <c r="IYS4" s="568"/>
      <c r="IYT4" s="568"/>
      <c r="IYU4" s="568"/>
      <c r="IYV4" s="568"/>
      <c r="IYW4" s="568"/>
      <c r="IYX4" s="568"/>
      <c r="IYY4" s="568"/>
      <c r="IYZ4" s="568"/>
      <c r="IZA4" s="568"/>
      <c r="IZB4" s="568"/>
      <c r="IZC4" s="568"/>
      <c r="IZD4" s="568"/>
      <c r="IZE4" s="568"/>
      <c r="IZF4" s="568"/>
      <c r="IZG4" s="568"/>
      <c r="IZH4" s="568"/>
      <c r="IZI4" s="568"/>
      <c r="IZJ4" s="568"/>
      <c r="IZK4" s="568"/>
      <c r="IZL4" s="568"/>
      <c r="IZM4" s="568"/>
      <c r="IZN4" s="568"/>
      <c r="IZO4" s="568"/>
      <c r="IZP4" s="568"/>
      <c r="IZQ4" s="568"/>
      <c r="IZR4" s="568"/>
      <c r="IZS4" s="568"/>
      <c r="IZT4" s="568"/>
      <c r="IZU4" s="568"/>
      <c r="IZV4" s="568"/>
      <c r="IZW4" s="568"/>
      <c r="IZX4" s="568"/>
      <c r="IZY4" s="568"/>
      <c r="IZZ4" s="568"/>
      <c r="JAA4" s="568"/>
      <c r="JAB4" s="568"/>
      <c r="JAC4" s="568"/>
      <c r="JAD4" s="568"/>
      <c r="JAE4" s="568"/>
      <c r="JAF4" s="568"/>
      <c r="JAG4" s="568"/>
      <c r="JAH4" s="568"/>
      <c r="JAI4" s="568"/>
      <c r="JAJ4" s="568"/>
      <c r="JAK4" s="568"/>
      <c r="JAL4" s="568"/>
      <c r="JAM4" s="568"/>
      <c r="JAN4" s="568"/>
      <c r="JAO4" s="568"/>
      <c r="JAP4" s="568"/>
      <c r="JAQ4" s="568"/>
      <c r="JAR4" s="568"/>
      <c r="JAS4" s="568"/>
      <c r="JAT4" s="568"/>
      <c r="JAU4" s="568"/>
      <c r="JAV4" s="568"/>
      <c r="JAW4" s="568"/>
      <c r="JAX4" s="568"/>
      <c r="JAY4" s="568"/>
      <c r="JAZ4" s="568"/>
      <c r="JBA4" s="568"/>
      <c r="JBB4" s="568"/>
      <c r="JBC4" s="568"/>
      <c r="JBD4" s="568"/>
      <c r="JBE4" s="568"/>
      <c r="JBF4" s="568"/>
      <c r="JBG4" s="568"/>
      <c r="JBH4" s="568"/>
      <c r="JBI4" s="568"/>
      <c r="JBJ4" s="568"/>
      <c r="JBK4" s="568"/>
      <c r="JBL4" s="568"/>
      <c r="JBM4" s="568"/>
      <c r="JBN4" s="568"/>
      <c r="JBO4" s="568"/>
      <c r="JBP4" s="568"/>
      <c r="JBQ4" s="568"/>
      <c r="JBR4" s="568"/>
      <c r="JBS4" s="568"/>
      <c r="JBT4" s="568"/>
      <c r="JBU4" s="568"/>
      <c r="JBV4" s="568"/>
      <c r="JBW4" s="568"/>
      <c r="JBX4" s="568"/>
      <c r="JBY4" s="568"/>
      <c r="JBZ4" s="568"/>
      <c r="JCA4" s="568"/>
      <c r="JCB4" s="568"/>
      <c r="JCC4" s="568"/>
      <c r="JCD4" s="568"/>
      <c r="JCE4" s="568"/>
      <c r="JCF4" s="568"/>
      <c r="JCG4" s="568"/>
      <c r="JCH4" s="568"/>
      <c r="JCI4" s="568"/>
      <c r="JCJ4" s="568"/>
      <c r="JCK4" s="568"/>
      <c r="JCL4" s="568"/>
      <c r="JCM4" s="568"/>
      <c r="JCN4" s="568"/>
      <c r="JCO4" s="568"/>
      <c r="JCP4" s="568"/>
      <c r="JCQ4" s="568"/>
      <c r="JCR4" s="568"/>
      <c r="JCS4" s="568"/>
      <c r="JCT4" s="568"/>
      <c r="JCU4" s="568"/>
      <c r="JCV4" s="568"/>
      <c r="JCW4" s="568"/>
      <c r="JCX4" s="568"/>
      <c r="JCY4" s="568"/>
      <c r="JCZ4" s="568"/>
      <c r="JDA4" s="568"/>
      <c r="JDB4" s="568"/>
      <c r="JDC4" s="568"/>
      <c r="JDD4" s="568"/>
      <c r="JDE4" s="568"/>
      <c r="JDF4" s="568"/>
      <c r="JDG4" s="568"/>
      <c r="JDH4" s="568"/>
      <c r="JDI4" s="568"/>
      <c r="JDJ4" s="568"/>
      <c r="JDK4" s="568"/>
      <c r="JDL4" s="568"/>
      <c r="JDM4" s="568"/>
      <c r="JDN4" s="568"/>
      <c r="JDO4" s="568"/>
      <c r="JDP4" s="568"/>
      <c r="JDQ4" s="568"/>
      <c r="JDR4" s="568"/>
      <c r="JDS4" s="568"/>
      <c r="JDT4" s="568"/>
      <c r="JDU4" s="568"/>
      <c r="JDV4" s="568"/>
      <c r="JDW4" s="568"/>
      <c r="JDX4" s="568"/>
      <c r="JDY4" s="568"/>
      <c r="JDZ4" s="568"/>
      <c r="JEA4" s="568"/>
      <c r="JEB4" s="568"/>
      <c r="JEC4" s="568"/>
      <c r="JED4" s="568"/>
      <c r="JEE4" s="568"/>
      <c r="JEF4" s="568"/>
      <c r="JEG4" s="568"/>
      <c r="JEH4" s="568"/>
      <c r="JEI4" s="568"/>
      <c r="JEJ4" s="568"/>
      <c r="JEK4" s="568"/>
      <c r="JEL4" s="568"/>
      <c r="JEM4" s="568"/>
      <c r="JEN4" s="568"/>
      <c r="JEO4" s="568"/>
      <c r="JEP4" s="568"/>
      <c r="JEQ4" s="568"/>
      <c r="JER4" s="568"/>
      <c r="JES4" s="568"/>
      <c r="JET4" s="568"/>
      <c r="JEU4" s="568"/>
      <c r="JEV4" s="568"/>
      <c r="JEW4" s="568"/>
      <c r="JEX4" s="568"/>
      <c r="JEY4" s="568"/>
      <c r="JEZ4" s="568"/>
      <c r="JFA4" s="568"/>
      <c r="JFB4" s="568"/>
      <c r="JFC4" s="568"/>
      <c r="JFD4" s="568"/>
      <c r="JFE4" s="568"/>
      <c r="JFF4" s="568"/>
      <c r="JFG4" s="568"/>
      <c r="JFH4" s="568"/>
      <c r="JFI4" s="568"/>
      <c r="JFJ4" s="568"/>
      <c r="JFK4" s="568"/>
      <c r="JFL4" s="568"/>
      <c r="JFM4" s="568"/>
      <c r="JFN4" s="568"/>
      <c r="JFO4" s="568"/>
      <c r="JFP4" s="568"/>
      <c r="JFQ4" s="568"/>
      <c r="JFR4" s="568"/>
      <c r="JFS4" s="568"/>
      <c r="JFT4" s="568"/>
      <c r="JFU4" s="568"/>
      <c r="JFV4" s="568"/>
      <c r="JFW4" s="568"/>
      <c r="JFX4" s="568"/>
      <c r="JFY4" s="568"/>
      <c r="JFZ4" s="568"/>
      <c r="JGA4" s="568"/>
      <c r="JGB4" s="568"/>
      <c r="JGC4" s="568"/>
      <c r="JGD4" s="568"/>
      <c r="JGE4" s="568"/>
      <c r="JGF4" s="568"/>
      <c r="JGG4" s="568"/>
      <c r="JGH4" s="568"/>
      <c r="JGI4" s="568"/>
      <c r="JGJ4" s="568"/>
      <c r="JGK4" s="568"/>
      <c r="JGL4" s="568"/>
      <c r="JGM4" s="568"/>
      <c r="JGN4" s="568"/>
      <c r="JGO4" s="568"/>
      <c r="JGP4" s="568"/>
      <c r="JGQ4" s="568"/>
      <c r="JGR4" s="568"/>
      <c r="JGS4" s="568"/>
      <c r="JGT4" s="568"/>
      <c r="JGU4" s="568"/>
      <c r="JGV4" s="568"/>
      <c r="JGW4" s="568"/>
      <c r="JGX4" s="568"/>
      <c r="JGY4" s="568"/>
      <c r="JGZ4" s="568"/>
      <c r="JHA4" s="568"/>
      <c r="JHB4" s="568"/>
      <c r="JHC4" s="568"/>
      <c r="JHD4" s="568"/>
      <c r="JHE4" s="568"/>
      <c r="JHF4" s="568"/>
      <c r="JHG4" s="568"/>
      <c r="JHH4" s="568"/>
      <c r="JHI4" s="568"/>
      <c r="JHJ4" s="568"/>
      <c r="JHK4" s="568"/>
      <c r="JHL4" s="568"/>
      <c r="JHM4" s="568"/>
      <c r="JHN4" s="568"/>
      <c r="JHO4" s="568"/>
      <c r="JHP4" s="568"/>
      <c r="JHQ4" s="568"/>
      <c r="JHR4" s="568"/>
      <c r="JHS4" s="568"/>
      <c r="JHT4" s="568"/>
      <c r="JHU4" s="568"/>
      <c r="JHV4" s="568"/>
      <c r="JHW4" s="568"/>
      <c r="JHX4" s="568"/>
      <c r="JHY4" s="568"/>
      <c r="JHZ4" s="568"/>
      <c r="JIA4" s="568"/>
      <c r="JIB4" s="568"/>
      <c r="JIC4" s="568"/>
      <c r="JID4" s="568"/>
      <c r="JIE4" s="568"/>
      <c r="JIF4" s="568"/>
      <c r="JIG4" s="568"/>
      <c r="JIH4" s="568"/>
      <c r="JII4" s="568"/>
      <c r="JIJ4" s="568"/>
      <c r="JIK4" s="568"/>
      <c r="JIL4" s="568"/>
      <c r="JIM4" s="568"/>
      <c r="JIN4" s="568"/>
      <c r="JIO4" s="568"/>
      <c r="JIP4" s="568"/>
      <c r="JIQ4" s="568"/>
      <c r="JIR4" s="568"/>
      <c r="JIS4" s="568"/>
      <c r="JIT4" s="568"/>
      <c r="JIU4" s="568"/>
      <c r="JIV4" s="568"/>
      <c r="JIW4" s="568"/>
      <c r="JIX4" s="568"/>
      <c r="JIY4" s="568"/>
      <c r="JIZ4" s="568"/>
      <c r="JJA4" s="568"/>
      <c r="JJB4" s="568"/>
      <c r="JJC4" s="568"/>
      <c r="JJD4" s="568"/>
      <c r="JJE4" s="568"/>
      <c r="JJF4" s="568"/>
      <c r="JJG4" s="568"/>
      <c r="JJH4" s="568"/>
      <c r="JJI4" s="568"/>
      <c r="JJJ4" s="568"/>
      <c r="JJK4" s="568"/>
      <c r="JJL4" s="568"/>
      <c r="JJM4" s="568"/>
      <c r="JJN4" s="568"/>
      <c r="JJO4" s="568"/>
      <c r="JJP4" s="568"/>
      <c r="JJQ4" s="568"/>
      <c r="JJR4" s="568"/>
      <c r="JJS4" s="568"/>
      <c r="JJT4" s="568"/>
      <c r="JJU4" s="568"/>
      <c r="JJV4" s="568"/>
      <c r="JJW4" s="568"/>
      <c r="JJX4" s="568"/>
      <c r="JJY4" s="568"/>
      <c r="JJZ4" s="568"/>
      <c r="JKA4" s="568"/>
      <c r="JKB4" s="568"/>
      <c r="JKC4" s="568"/>
      <c r="JKD4" s="568"/>
      <c r="JKE4" s="568"/>
      <c r="JKF4" s="568"/>
      <c r="JKG4" s="568"/>
      <c r="JKH4" s="568"/>
      <c r="JKI4" s="568"/>
      <c r="JKJ4" s="568"/>
      <c r="JKK4" s="568"/>
      <c r="JKL4" s="568"/>
      <c r="JKM4" s="568"/>
      <c r="JKN4" s="568"/>
      <c r="JKO4" s="568"/>
      <c r="JKP4" s="568"/>
      <c r="JKQ4" s="568"/>
      <c r="JKR4" s="568"/>
      <c r="JKS4" s="568"/>
      <c r="JKT4" s="568"/>
      <c r="JKU4" s="568"/>
      <c r="JKV4" s="568"/>
      <c r="JKW4" s="568"/>
      <c r="JKX4" s="568"/>
      <c r="JKY4" s="568"/>
      <c r="JKZ4" s="568"/>
      <c r="JLA4" s="568"/>
      <c r="JLB4" s="568"/>
      <c r="JLC4" s="568"/>
      <c r="JLD4" s="568"/>
      <c r="JLE4" s="568"/>
      <c r="JLF4" s="568"/>
      <c r="JLG4" s="568"/>
      <c r="JLH4" s="568"/>
      <c r="JLI4" s="568"/>
      <c r="JLJ4" s="568"/>
      <c r="JLK4" s="568"/>
      <c r="JLL4" s="568"/>
      <c r="JLM4" s="568"/>
      <c r="JLN4" s="568"/>
      <c r="JLO4" s="568"/>
      <c r="JLP4" s="568"/>
      <c r="JLQ4" s="568"/>
      <c r="JLR4" s="568"/>
      <c r="JLS4" s="568"/>
      <c r="JLT4" s="568"/>
      <c r="JLU4" s="568"/>
      <c r="JLV4" s="568"/>
      <c r="JLW4" s="568"/>
      <c r="JLX4" s="568"/>
      <c r="JLY4" s="568"/>
      <c r="JLZ4" s="568"/>
      <c r="JMA4" s="568"/>
      <c r="JMB4" s="568"/>
      <c r="JMC4" s="568"/>
      <c r="JMD4" s="568"/>
      <c r="JME4" s="568"/>
      <c r="JMF4" s="568"/>
      <c r="JMG4" s="568"/>
      <c r="JMH4" s="568"/>
      <c r="JMI4" s="568"/>
      <c r="JMJ4" s="568"/>
      <c r="JMK4" s="568"/>
      <c r="JML4" s="568"/>
      <c r="JMM4" s="568"/>
      <c r="JMN4" s="568"/>
      <c r="JMO4" s="568"/>
      <c r="JMP4" s="568"/>
      <c r="JMQ4" s="568"/>
      <c r="JMR4" s="568"/>
      <c r="JMS4" s="568"/>
      <c r="JMT4" s="568"/>
      <c r="JMU4" s="568"/>
      <c r="JMV4" s="568"/>
      <c r="JMW4" s="568"/>
      <c r="JMX4" s="568"/>
      <c r="JMY4" s="568"/>
      <c r="JMZ4" s="568"/>
      <c r="JNA4" s="568"/>
      <c r="JNB4" s="568"/>
      <c r="JNC4" s="568"/>
      <c r="JND4" s="568"/>
      <c r="JNE4" s="568"/>
      <c r="JNF4" s="568"/>
      <c r="JNG4" s="568"/>
      <c r="JNH4" s="568"/>
      <c r="JNI4" s="568"/>
      <c r="JNJ4" s="568"/>
      <c r="JNK4" s="568"/>
      <c r="JNL4" s="568"/>
      <c r="JNM4" s="568"/>
      <c r="JNN4" s="568"/>
      <c r="JNO4" s="568"/>
      <c r="JNP4" s="568"/>
      <c r="JNQ4" s="568"/>
      <c r="JNR4" s="568"/>
      <c r="JNS4" s="568"/>
      <c r="JNT4" s="568"/>
      <c r="JNU4" s="568"/>
      <c r="JNV4" s="568"/>
      <c r="JNW4" s="568"/>
      <c r="JNX4" s="568"/>
      <c r="JNY4" s="568"/>
      <c r="JNZ4" s="568"/>
      <c r="JOA4" s="568"/>
      <c r="JOB4" s="568"/>
      <c r="JOC4" s="568"/>
      <c r="JOD4" s="568"/>
      <c r="JOE4" s="568"/>
      <c r="JOF4" s="568"/>
      <c r="JOG4" s="568"/>
      <c r="JOH4" s="568"/>
      <c r="JOI4" s="568"/>
      <c r="JOJ4" s="568"/>
      <c r="JOK4" s="568"/>
      <c r="JOL4" s="568"/>
      <c r="JOM4" s="568"/>
      <c r="JON4" s="568"/>
      <c r="JOO4" s="568"/>
      <c r="JOP4" s="568"/>
      <c r="JOQ4" s="568"/>
      <c r="JOR4" s="568"/>
      <c r="JOS4" s="568"/>
      <c r="JOT4" s="568"/>
      <c r="JOU4" s="568"/>
      <c r="JOV4" s="568"/>
      <c r="JOW4" s="568"/>
      <c r="JOX4" s="568"/>
      <c r="JOY4" s="568"/>
      <c r="JOZ4" s="568"/>
      <c r="JPA4" s="568"/>
      <c r="JPB4" s="568"/>
      <c r="JPC4" s="568"/>
      <c r="JPD4" s="568"/>
      <c r="JPE4" s="568"/>
      <c r="JPF4" s="568"/>
      <c r="JPG4" s="568"/>
      <c r="JPH4" s="568"/>
      <c r="JPI4" s="568"/>
      <c r="JPJ4" s="568"/>
      <c r="JPK4" s="568"/>
      <c r="JPL4" s="568"/>
      <c r="JPM4" s="568"/>
      <c r="JPN4" s="568"/>
      <c r="JPO4" s="568"/>
      <c r="JPP4" s="568"/>
      <c r="JPQ4" s="568"/>
      <c r="JPR4" s="568"/>
      <c r="JPS4" s="568"/>
      <c r="JPT4" s="568"/>
      <c r="JPU4" s="568"/>
      <c r="JPV4" s="568"/>
      <c r="JPW4" s="568"/>
      <c r="JPX4" s="568"/>
      <c r="JPY4" s="568"/>
      <c r="JPZ4" s="568"/>
      <c r="JQA4" s="568"/>
      <c r="JQB4" s="568"/>
      <c r="JQC4" s="568"/>
      <c r="JQD4" s="568"/>
      <c r="JQE4" s="568"/>
      <c r="JQF4" s="568"/>
      <c r="JQG4" s="568"/>
      <c r="JQH4" s="568"/>
      <c r="JQI4" s="568"/>
      <c r="JQJ4" s="568"/>
      <c r="JQK4" s="568"/>
      <c r="JQL4" s="568"/>
      <c r="JQM4" s="568"/>
      <c r="JQN4" s="568"/>
      <c r="JQO4" s="568"/>
      <c r="JQP4" s="568"/>
      <c r="JQQ4" s="568"/>
      <c r="JQR4" s="568"/>
      <c r="JQS4" s="568"/>
      <c r="JQT4" s="568"/>
      <c r="JQU4" s="568"/>
      <c r="JQV4" s="568"/>
      <c r="JQW4" s="568"/>
      <c r="JQX4" s="568"/>
      <c r="JQY4" s="568"/>
      <c r="JQZ4" s="568"/>
      <c r="JRA4" s="568"/>
      <c r="JRB4" s="568"/>
      <c r="JRC4" s="568"/>
      <c r="JRD4" s="568"/>
      <c r="JRE4" s="568"/>
      <c r="JRF4" s="568"/>
      <c r="JRG4" s="568"/>
      <c r="JRH4" s="568"/>
      <c r="JRI4" s="568"/>
      <c r="JRJ4" s="568"/>
      <c r="JRK4" s="568"/>
      <c r="JRL4" s="568"/>
      <c r="JRM4" s="568"/>
      <c r="JRN4" s="568"/>
      <c r="JRO4" s="568"/>
      <c r="JRP4" s="568"/>
      <c r="JRQ4" s="568"/>
      <c r="JRR4" s="568"/>
      <c r="JRS4" s="568"/>
      <c r="JRT4" s="568"/>
      <c r="JRU4" s="568"/>
      <c r="JRV4" s="568"/>
      <c r="JRW4" s="568"/>
      <c r="JRX4" s="568"/>
      <c r="JRY4" s="568"/>
      <c r="JRZ4" s="568"/>
      <c r="JSA4" s="568"/>
      <c r="JSB4" s="568"/>
      <c r="JSC4" s="568"/>
      <c r="JSD4" s="568"/>
      <c r="JSE4" s="568"/>
      <c r="JSF4" s="568"/>
      <c r="JSG4" s="568"/>
      <c r="JSH4" s="568"/>
      <c r="JSI4" s="568"/>
      <c r="JSJ4" s="568"/>
      <c r="JSK4" s="568"/>
      <c r="JSL4" s="568"/>
      <c r="JSM4" s="568"/>
      <c r="JSN4" s="568"/>
      <c r="JSO4" s="568"/>
      <c r="JSP4" s="568"/>
      <c r="JSQ4" s="568"/>
      <c r="JSR4" s="568"/>
      <c r="JSS4" s="568"/>
      <c r="JST4" s="568"/>
      <c r="JSU4" s="568"/>
      <c r="JSV4" s="568"/>
      <c r="JSW4" s="568"/>
      <c r="JSX4" s="568"/>
      <c r="JSY4" s="568"/>
      <c r="JSZ4" s="568"/>
      <c r="JTA4" s="568"/>
      <c r="JTB4" s="568"/>
      <c r="JTC4" s="568"/>
      <c r="JTD4" s="568"/>
      <c r="JTE4" s="568"/>
      <c r="JTF4" s="568"/>
      <c r="JTG4" s="568"/>
      <c r="JTH4" s="568"/>
      <c r="JTI4" s="568"/>
      <c r="JTJ4" s="568"/>
      <c r="JTK4" s="568"/>
      <c r="JTL4" s="568"/>
      <c r="JTM4" s="568"/>
      <c r="JTN4" s="568"/>
      <c r="JTO4" s="568"/>
      <c r="JTP4" s="568"/>
      <c r="JTQ4" s="568"/>
      <c r="JTR4" s="568"/>
      <c r="JTS4" s="568"/>
      <c r="JTT4" s="568"/>
      <c r="JTU4" s="568"/>
      <c r="JTV4" s="568"/>
      <c r="JTW4" s="568"/>
      <c r="JTX4" s="568"/>
      <c r="JTY4" s="568"/>
      <c r="JTZ4" s="568"/>
      <c r="JUA4" s="568"/>
      <c r="JUB4" s="568"/>
      <c r="JUC4" s="568"/>
      <c r="JUD4" s="568"/>
      <c r="JUE4" s="568"/>
      <c r="JUF4" s="568"/>
      <c r="JUG4" s="568"/>
      <c r="JUH4" s="568"/>
      <c r="JUI4" s="568"/>
      <c r="JUJ4" s="568"/>
      <c r="JUK4" s="568"/>
      <c r="JUL4" s="568"/>
      <c r="JUM4" s="568"/>
      <c r="JUN4" s="568"/>
      <c r="JUO4" s="568"/>
      <c r="JUP4" s="568"/>
      <c r="JUQ4" s="568"/>
      <c r="JUR4" s="568"/>
      <c r="JUS4" s="568"/>
      <c r="JUT4" s="568"/>
      <c r="JUU4" s="568"/>
      <c r="JUV4" s="568"/>
      <c r="JUW4" s="568"/>
      <c r="JUX4" s="568"/>
      <c r="JUY4" s="568"/>
      <c r="JUZ4" s="568"/>
      <c r="JVA4" s="568"/>
      <c r="JVB4" s="568"/>
      <c r="JVC4" s="568"/>
      <c r="JVD4" s="568"/>
      <c r="JVE4" s="568"/>
      <c r="JVF4" s="568"/>
      <c r="JVG4" s="568"/>
      <c r="JVH4" s="568"/>
      <c r="JVI4" s="568"/>
      <c r="JVJ4" s="568"/>
      <c r="JVK4" s="568"/>
      <c r="JVL4" s="568"/>
      <c r="JVM4" s="568"/>
      <c r="JVN4" s="568"/>
      <c r="JVO4" s="568"/>
      <c r="JVP4" s="568"/>
      <c r="JVQ4" s="568"/>
      <c r="JVR4" s="568"/>
      <c r="JVS4" s="568"/>
      <c r="JVT4" s="568"/>
      <c r="JVU4" s="568"/>
      <c r="JVV4" s="568"/>
      <c r="JVW4" s="568"/>
      <c r="JVX4" s="568"/>
      <c r="JVY4" s="568"/>
      <c r="JVZ4" s="568"/>
      <c r="JWA4" s="568"/>
      <c r="JWB4" s="568"/>
      <c r="JWC4" s="568"/>
      <c r="JWD4" s="568"/>
      <c r="JWE4" s="568"/>
      <c r="JWF4" s="568"/>
      <c r="JWG4" s="568"/>
      <c r="JWH4" s="568"/>
      <c r="JWI4" s="568"/>
      <c r="JWJ4" s="568"/>
      <c r="JWK4" s="568"/>
      <c r="JWL4" s="568"/>
      <c r="JWM4" s="568"/>
      <c r="JWN4" s="568"/>
      <c r="JWO4" s="568"/>
      <c r="JWP4" s="568"/>
      <c r="JWQ4" s="568"/>
      <c r="JWR4" s="568"/>
      <c r="JWS4" s="568"/>
      <c r="JWT4" s="568"/>
      <c r="JWU4" s="568"/>
      <c r="JWV4" s="568"/>
      <c r="JWW4" s="568"/>
      <c r="JWX4" s="568"/>
      <c r="JWY4" s="568"/>
      <c r="JWZ4" s="568"/>
      <c r="JXA4" s="568"/>
      <c r="JXB4" s="568"/>
      <c r="JXC4" s="568"/>
      <c r="JXD4" s="568"/>
      <c r="JXE4" s="568"/>
      <c r="JXF4" s="568"/>
      <c r="JXG4" s="568"/>
      <c r="JXH4" s="568"/>
      <c r="JXI4" s="568"/>
      <c r="JXJ4" s="568"/>
      <c r="JXK4" s="568"/>
      <c r="JXL4" s="568"/>
      <c r="JXM4" s="568"/>
      <c r="JXN4" s="568"/>
      <c r="JXO4" s="568"/>
      <c r="JXP4" s="568"/>
      <c r="JXQ4" s="568"/>
      <c r="JXR4" s="568"/>
      <c r="JXS4" s="568"/>
      <c r="JXT4" s="568"/>
      <c r="JXU4" s="568"/>
      <c r="JXV4" s="568"/>
      <c r="JXW4" s="568"/>
      <c r="JXX4" s="568"/>
      <c r="JXY4" s="568"/>
      <c r="JXZ4" s="568"/>
      <c r="JYA4" s="568"/>
      <c r="JYB4" s="568"/>
      <c r="JYC4" s="568"/>
      <c r="JYD4" s="568"/>
      <c r="JYE4" s="568"/>
      <c r="JYF4" s="568"/>
      <c r="JYG4" s="568"/>
      <c r="JYH4" s="568"/>
      <c r="JYI4" s="568"/>
      <c r="JYJ4" s="568"/>
      <c r="JYK4" s="568"/>
      <c r="JYL4" s="568"/>
      <c r="JYM4" s="568"/>
      <c r="JYN4" s="568"/>
      <c r="JYO4" s="568"/>
      <c r="JYP4" s="568"/>
      <c r="JYQ4" s="568"/>
      <c r="JYR4" s="568"/>
      <c r="JYS4" s="568"/>
      <c r="JYT4" s="568"/>
      <c r="JYU4" s="568"/>
      <c r="JYV4" s="568"/>
      <c r="JYW4" s="568"/>
      <c r="JYX4" s="568"/>
      <c r="JYY4" s="568"/>
      <c r="JYZ4" s="568"/>
      <c r="JZA4" s="568"/>
      <c r="JZB4" s="568"/>
      <c r="JZC4" s="568"/>
      <c r="JZD4" s="568"/>
      <c r="JZE4" s="568"/>
      <c r="JZF4" s="568"/>
      <c r="JZG4" s="568"/>
      <c r="JZH4" s="568"/>
      <c r="JZI4" s="568"/>
      <c r="JZJ4" s="568"/>
      <c r="JZK4" s="568"/>
      <c r="JZL4" s="568"/>
      <c r="JZM4" s="568"/>
      <c r="JZN4" s="568"/>
      <c r="JZO4" s="568"/>
      <c r="JZP4" s="568"/>
      <c r="JZQ4" s="568"/>
      <c r="JZR4" s="568"/>
      <c r="JZS4" s="568"/>
      <c r="JZT4" s="568"/>
      <c r="JZU4" s="568"/>
      <c r="JZV4" s="568"/>
      <c r="JZW4" s="568"/>
      <c r="JZX4" s="568"/>
      <c r="JZY4" s="568"/>
      <c r="JZZ4" s="568"/>
      <c r="KAA4" s="568"/>
      <c r="KAB4" s="568"/>
      <c r="KAC4" s="568"/>
      <c r="KAD4" s="568"/>
      <c r="KAE4" s="568"/>
      <c r="KAF4" s="568"/>
      <c r="KAG4" s="568"/>
      <c r="KAH4" s="568"/>
      <c r="KAI4" s="568"/>
      <c r="KAJ4" s="568"/>
      <c r="KAK4" s="568"/>
      <c r="KAL4" s="568"/>
      <c r="KAM4" s="568"/>
      <c r="KAN4" s="568"/>
      <c r="KAO4" s="568"/>
      <c r="KAP4" s="568"/>
      <c r="KAQ4" s="568"/>
      <c r="KAR4" s="568"/>
      <c r="KAS4" s="568"/>
      <c r="KAT4" s="568"/>
      <c r="KAU4" s="568"/>
      <c r="KAV4" s="568"/>
      <c r="KAW4" s="568"/>
      <c r="KAX4" s="568"/>
      <c r="KAY4" s="568"/>
      <c r="KAZ4" s="568"/>
      <c r="KBA4" s="568"/>
      <c r="KBB4" s="568"/>
      <c r="KBC4" s="568"/>
      <c r="KBD4" s="568"/>
      <c r="KBE4" s="568"/>
      <c r="KBF4" s="568"/>
      <c r="KBG4" s="568"/>
      <c r="KBH4" s="568"/>
      <c r="KBI4" s="568"/>
      <c r="KBJ4" s="568"/>
      <c r="KBK4" s="568"/>
      <c r="KBL4" s="568"/>
      <c r="KBM4" s="568"/>
      <c r="KBN4" s="568"/>
      <c r="KBO4" s="568"/>
      <c r="KBP4" s="568"/>
      <c r="KBQ4" s="568"/>
      <c r="KBR4" s="568"/>
      <c r="KBS4" s="568"/>
      <c r="KBT4" s="568"/>
      <c r="KBU4" s="568"/>
      <c r="KBV4" s="568"/>
      <c r="KBW4" s="568"/>
      <c r="KBX4" s="568"/>
      <c r="KBY4" s="568"/>
      <c r="KBZ4" s="568"/>
      <c r="KCA4" s="568"/>
      <c r="KCB4" s="568"/>
      <c r="KCC4" s="568"/>
      <c r="KCD4" s="568"/>
      <c r="KCE4" s="568"/>
      <c r="KCF4" s="568"/>
      <c r="KCG4" s="568"/>
      <c r="KCH4" s="568"/>
      <c r="KCI4" s="568"/>
      <c r="KCJ4" s="568"/>
      <c r="KCK4" s="568"/>
      <c r="KCL4" s="568"/>
      <c r="KCM4" s="568"/>
      <c r="KCN4" s="568"/>
      <c r="KCO4" s="568"/>
      <c r="KCP4" s="568"/>
      <c r="KCQ4" s="568"/>
      <c r="KCR4" s="568"/>
      <c r="KCS4" s="568"/>
      <c r="KCT4" s="568"/>
      <c r="KCU4" s="568"/>
      <c r="KCV4" s="568"/>
      <c r="KCW4" s="568"/>
      <c r="KCX4" s="568"/>
      <c r="KCY4" s="568"/>
      <c r="KCZ4" s="568"/>
      <c r="KDA4" s="568"/>
      <c r="KDB4" s="568"/>
      <c r="KDC4" s="568"/>
      <c r="KDD4" s="568"/>
      <c r="KDE4" s="568"/>
      <c r="KDF4" s="568"/>
      <c r="KDG4" s="568"/>
      <c r="KDH4" s="568"/>
      <c r="KDI4" s="568"/>
      <c r="KDJ4" s="568"/>
      <c r="KDK4" s="568"/>
      <c r="KDL4" s="568"/>
      <c r="KDM4" s="568"/>
      <c r="KDN4" s="568"/>
      <c r="KDO4" s="568"/>
      <c r="KDP4" s="568"/>
      <c r="KDQ4" s="568"/>
      <c r="KDR4" s="568"/>
      <c r="KDS4" s="568"/>
      <c r="KDT4" s="568"/>
      <c r="KDU4" s="568"/>
      <c r="KDV4" s="568"/>
      <c r="KDW4" s="568"/>
      <c r="KDX4" s="568"/>
      <c r="KDY4" s="568"/>
      <c r="KDZ4" s="568"/>
      <c r="KEA4" s="568"/>
      <c r="KEB4" s="568"/>
      <c r="KEC4" s="568"/>
      <c r="KED4" s="568"/>
      <c r="KEE4" s="568"/>
      <c r="KEF4" s="568"/>
      <c r="KEG4" s="568"/>
      <c r="KEH4" s="568"/>
      <c r="KEI4" s="568"/>
      <c r="KEJ4" s="568"/>
      <c r="KEK4" s="568"/>
      <c r="KEL4" s="568"/>
      <c r="KEM4" s="568"/>
      <c r="KEN4" s="568"/>
      <c r="KEO4" s="568"/>
      <c r="KEP4" s="568"/>
      <c r="KEQ4" s="568"/>
      <c r="KER4" s="568"/>
      <c r="KES4" s="568"/>
      <c r="KET4" s="568"/>
      <c r="KEU4" s="568"/>
      <c r="KEV4" s="568"/>
      <c r="KEW4" s="568"/>
      <c r="KEX4" s="568"/>
      <c r="KEY4" s="568"/>
      <c r="KEZ4" s="568"/>
      <c r="KFA4" s="568"/>
      <c r="KFB4" s="568"/>
      <c r="KFC4" s="568"/>
      <c r="KFD4" s="568"/>
      <c r="KFE4" s="568"/>
      <c r="KFF4" s="568"/>
      <c r="KFG4" s="568"/>
      <c r="KFH4" s="568"/>
      <c r="KFI4" s="568"/>
      <c r="KFJ4" s="568"/>
      <c r="KFK4" s="568"/>
      <c r="KFL4" s="568"/>
      <c r="KFM4" s="568"/>
      <c r="KFN4" s="568"/>
      <c r="KFO4" s="568"/>
      <c r="KFP4" s="568"/>
      <c r="KFQ4" s="568"/>
      <c r="KFR4" s="568"/>
      <c r="KFS4" s="568"/>
      <c r="KFT4" s="568"/>
      <c r="KFU4" s="568"/>
      <c r="KFV4" s="568"/>
      <c r="KFW4" s="568"/>
      <c r="KFX4" s="568"/>
      <c r="KFY4" s="568"/>
      <c r="KFZ4" s="568"/>
      <c r="KGA4" s="568"/>
      <c r="KGB4" s="568"/>
      <c r="KGC4" s="568"/>
      <c r="KGD4" s="568"/>
      <c r="KGE4" s="568"/>
      <c r="KGF4" s="568"/>
      <c r="KGG4" s="568"/>
      <c r="KGH4" s="568"/>
      <c r="KGI4" s="568"/>
      <c r="KGJ4" s="568"/>
      <c r="KGK4" s="568"/>
      <c r="KGL4" s="568"/>
      <c r="KGM4" s="568"/>
      <c r="KGN4" s="568"/>
      <c r="KGO4" s="568"/>
      <c r="KGP4" s="568"/>
      <c r="KGQ4" s="568"/>
      <c r="KGR4" s="568"/>
      <c r="KGS4" s="568"/>
      <c r="KGT4" s="568"/>
      <c r="KGU4" s="568"/>
      <c r="KGV4" s="568"/>
      <c r="KGW4" s="568"/>
      <c r="KGX4" s="568"/>
      <c r="KGY4" s="568"/>
      <c r="KGZ4" s="568"/>
      <c r="KHA4" s="568"/>
      <c r="KHB4" s="568"/>
      <c r="KHC4" s="568"/>
      <c r="KHD4" s="568"/>
      <c r="KHE4" s="568"/>
      <c r="KHF4" s="568"/>
      <c r="KHG4" s="568"/>
      <c r="KHH4" s="568"/>
      <c r="KHI4" s="568"/>
      <c r="KHJ4" s="568"/>
      <c r="KHK4" s="568"/>
      <c r="KHL4" s="568"/>
      <c r="KHM4" s="568"/>
      <c r="KHN4" s="568"/>
      <c r="KHO4" s="568"/>
      <c r="KHP4" s="568"/>
      <c r="KHQ4" s="568"/>
      <c r="KHR4" s="568"/>
      <c r="KHS4" s="568"/>
      <c r="KHT4" s="568"/>
      <c r="KHU4" s="568"/>
      <c r="KHV4" s="568"/>
      <c r="KHW4" s="568"/>
      <c r="KHX4" s="568"/>
      <c r="KHY4" s="568"/>
      <c r="KHZ4" s="568"/>
      <c r="KIA4" s="568"/>
      <c r="KIB4" s="568"/>
      <c r="KIC4" s="568"/>
      <c r="KID4" s="568"/>
      <c r="KIE4" s="568"/>
      <c r="KIF4" s="568"/>
      <c r="KIG4" s="568"/>
      <c r="KIH4" s="568"/>
      <c r="KII4" s="568"/>
      <c r="KIJ4" s="568"/>
      <c r="KIK4" s="568"/>
      <c r="KIL4" s="568"/>
      <c r="KIM4" s="568"/>
      <c r="KIN4" s="568"/>
      <c r="KIO4" s="568"/>
      <c r="KIP4" s="568"/>
      <c r="KIQ4" s="568"/>
      <c r="KIR4" s="568"/>
      <c r="KIS4" s="568"/>
      <c r="KIT4" s="568"/>
      <c r="KIU4" s="568"/>
      <c r="KIV4" s="568"/>
      <c r="KIW4" s="568"/>
      <c r="KIX4" s="568"/>
      <c r="KIY4" s="568"/>
      <c r="KIZ4" s="568"/>
      <c r="KJA4" s="568"/>
      <c r="KJB4" s="568"/>
      <c r="KJC4" s="568"/>
      <c r="KJD4" s="568"/>
      <c r="KJE4" s="568"/>
      <c r="KJF4" s="568"/>
      <c r="KJG4" s="568"/>
      <c r="KJH4" s="568"/>
      <c r="KJI4" s="568"/>
      <c r="KJJ4" s="568"/>
      <c r="KJK4" s="568"/>
      <c r="KJL4" s="568"/>
      <c r="KJM4" s="568"/>
      <c r="KJN4" s="568"/>
      <c r="KJO4" s="568"/>
      <c r="KJP4" s="568"/>
      <c r="KJQ4" s="568"/>
      <c r="KJR4" s="568"/>
      <c r="KJS4" s="568"/>
      <c r="KJT4" s="568"/>
      <c r="KJU4" s="568"/>
      <c r="KJV4" s="568"/>
      <c r="KJW4" s="568"/>
      <c r="KJX4" s="568"/>
      <c r="KJY4" s="568"/>
      <c r="KJZ4" s="568"/>
      <c r="KKA4" s="568"/>
      <c r="KKB4" s="568"/>
      <c r="KKC4" s="568"/>
      <c r="KKD4" s="568"/>
      <c r="KKE4" s="568"/>
      <c r="KKF4" s="568"/>
      <c r="KKG4" s="568"/>
      <c r="KKH4" s="568"/>
      <c r="KKI4" s="568"/>
      <c r="KKJ4" s="568"/>
      <c r="KKK4" s="568"/>
      <c r="KKL4" s="568"/>
      <c r="KKM4" s="568"/>
      <c r="KKN4" s="568"/>
      <c r="KKO4" s="568"/>
      <c r="KKP4" s="568"/>
      <c r="KKQ4" s="568"/>
      <c r="KKR4" s="568"/>
      <c r="KKS4" s="568"/>
      <c r="KKT4" s="568"/>
      <c r="KKU4" s="568"/>
      <c r="KKV4" s="568"/>
      <c r="KKW4" s="568"/>
      <c r="KKX4" s="568"/>
      <c r="KKY4" s="568"/>
      <c r="KKZ4" s="568"/>
      <c r="KLA4" s="568"/>
      <c r="KLB4" s="568"/>
      <c r="KLC4" s="568"/>
      <c r="KLD4" s="568"/>
      <c r="KLE4" s="568"/>
      <c r="KLF4" s="568"/>
      <c r="KLG4" s="568"/>
      <c r="KLH4" s="568"/>
      <c r="KLI4" s="568"/>
      <c r="KLJ4" s="568"/>
      <c r="KLK4" s="568"/>
      <c r="KLL4" s="568"/>
      <c r="KLM4" s="568"/>
      <c r="KLN4" s="568"/>
      <c r="KLO4" s="568"/>
      <c r="KLP4" s="568"/>
      <c r="KLQ4" s="568"/>
      <c r="KLR4" s="568"/>
      <c r="KLS4" s="568"/>
      <c r="KLT4" s="568"/>
      <c r="KLU4" s="568"/>
      <c r="KLV4" s="568"/>
      <c r="KLW4" s="568"/>
      <c r="KLX4" s="568"/>
      <c r="KLY4" s="568"/>
      <c r="KLZ4" s="568"/>
      <c r="KMA4" s="568"/>
      <c r="KMB4" s="568"/>
      <c r="KMC4" s="568"/>
      <c r="KMD4" s="568"/>
      <c r="KME4" s="568"/>
      <c r="KMF4" s="568"/>
      <c r="KMG4" s="568"/>
      <c r="KMH4" s="568"/>
      <c r="KMI4" s="568"/>
      <c r="KMJ4" s="568"/>
      <c r="KMK4" s="568"/>
      <c r="KML4" s="568"/>
      <c r="KMM4" s="568"/>
      <c r="KMN4" s="568"/>
      <c r="KMO4" s="568"/>
      <c r="KMP4" s="568"/>
      <c r="KMQ4" s="568"/>
      <c r="KMR4" s="568"/>
      <c r="KMS4" s="568"/>
      <c r="KMT4" s="568"/>
      <c r="KMU4" s="568"/>
      <c r="KMV4" s="568"/>
      <c r="KMW4" s="568"/>
      <c r="KMX4" s="568"/>
      <c r="KMY4" s="568"/>
      <c r="KMZ4" s="568"/>
      <c r="KNA4" s="568"/>
      <c r="KNB4" s="568"/>
      <c r="KNC4" s="568"/>
      <c r="KND4" s="568"/>
      <c r="KNE4" s="568"/>
      <c r="KNF4" s="568"/>
      <c r="KNG4" s="568"/>
      <c r="KNH4" s="568"/>
      <c r="KNI4" s="568"/>
      <c r="KNJ4" s="568"/>
      <c r="KNK4" s="568"/>
      <c r="KNL4" s="568"/>
      <c r="KNM4" s="568"/>
      <c r="KNN4" s="568"/>
      <c r="KNO4" s="568"/>
      <c r="KNP4" s="568"/>
      <c r="KNQ4" s="568"/>
      <c r="KNR4" s="568"/>
      <c r="KNS4" s="568"/>
      <c r="KNT4" s="568"/>
      <c r="KNU4" s="568"/>
      <c r="KNV4" s="568"/>
      <c r="KNW4" s="568"/>
      <c r="KNX4" s="568"/>
      <c r="KNY4" s="568"/>
      <c r="KNZ4" s="568"/>
      <c r="KOA4" s="568"/>
      <c r="KOB4" s="568"/>
      <c r="KOC4" s="568"/>
      <c r="KOD4" s="568"/>
      <c r="KOE4" s="568"/>
      <c r="KOF4" s="568"/>
      <c r="KOG4" s="568"/>
      <c r="KOH4" s="568"/>
      <c r="KOI4" s="568"/>
      <c r="KOJ4" s="568"/>
      <c r="KOK4" s="568"/>
      <c r="KOL4" s="568"/>
      <c r="KOM4" s="568"/>
      <c r="KON4" s="568"/>
      <c r="KOO4" s="568"/>
      <c r="KOP4" s="568"/>
      <c r="KOQ4" s="568"/>
      <c r="KOR4" s="568"/>
      <c r="KOS4" s="568"/>
      <c r="KOT4" s="568"/>
      <c r="KOU4" s="568"/>
      <c r="KOV4" s="568"/>
      <c r="KOW4" s="568"/>
      <c r="KOX4" s="568"/>
      <c r="KOY4" s="568"/>
      <c r="KOZ4" s="568"/>
      <c r="KPA4" s="568"/>
      <c r="KPB4" s="568"/>
      <c r="KPC4" s="568"/>
      <c r="KPD4" s="568"/>
      <c r="KPE4" s="568"/>
      <c r="KPF4" s="568"/>
      <c r="KPG4" s="568"/>
      <c r="KPH4" s="568"/>
      <c r="KPI4" s="568"/>
      <c r="KPJ4" s="568"/>
      <c r="KPK4" s="568"/>
      <c r="KPL4" s="568"/>
      <c r="KPM4" s="568"/>
      <c r="KPN4" s="568"/>
      <c r="KPO4" s="568"/>
      <c r="KPP4" s="568"/>
      <c r="KPQ4" s="568"/>
      <c r="KPR4" s="568"/>
      <c r="KPS4" s="568"/>
      <c r="KPT4" s="568"/>
      <c r="KPU4" s="568"/>
      <c r="KPV4" s="568"/>
      <c r="KPW4" s="568"/>
      <c r="KPX4" s="568"/>
      <c r="KPY4" s="568"/>
      <c r="KPZ4" s="568"/>
      <c r="KQA4" s="568"/>
      <c r="KQB4" s="568"/>
      <c r="KQC4" s="568"/>
      <c r="KQD4" s="568"/>
      <c r="KQE4" s="568"/>
      <c r="KQF4" s="568"/>
      <c r="KQG4" s="568"/>
      <c r="KQH4" s="568"/>
      <c r="KQI4" s="568"/>
      <c r="KQJ4" s="568"/>
      <c r="KQK4" s="568"/>
      <c r="KQL4" s="568"/>
      <c r="KQM4" s="568"/>
      <c r="KQN4" s="568"/>
      <c r="KQO4" s="568"/>
      <c r="KQP4" s="568"/>
      <c r="KQQ4" s="568"/>
      <c r="KQR4" s="568"/>
      <c r="KQS4" s="568"/>
      <c r="KQT4" s="568"/>
      <c r="KQU4" s="568"/>
      <c r="KQV4" s="568"/>
      <c r="KQW4" s="568"/>
      <c r="KQX4" s="568"/>
      <c r="KQY4" s="568"/>
      <c r="KQZ4" s="568"/>
      <c r="KRA4" s="568"/>
      <c r="KRB4" s="568"/>
      <c r="KRC4" s="568"/>
      <c r="KRD4" s="568"/>
      <c r="KRE4" s="568"/>
      <c r="KRF4" s="568"/>
      <c r="KRG4" s="568"/>
      <c r="KRH4" s="568"/>
      <c r="KRI4" s="568"/>
      <c r="KRJ4" s="568"/>
      <c r="KRK4" s="568"/>
      <c r="KRL4" s="568"/>
      <c r="KRM4" s="568"/>
      <c r="KRN4" s="568"/>
      <c r="KRO4" s="568"/>
      <c r="KRP4" s="568"/>
      <c r="KRQ4" s="568"/>
      <c r="KRR4" s="568"/>
      <c r="KRS4" s="568"/>
      <c r="KRT4" s="568"/>
      <c r="KRU4" s="568"/>
      <c r="KRV4" s="568"/>
      <c r="KRW4" s="568"/>
      <c r="KRX4" s="568"/>
      <c r="KRY4" s="568"/>
      <c r="KRZ4" s="568"/>
      <c r="KSA4" s="568"/>
      <c r="KSB4" s="568"/>
      <c r="KSC4" s="568"/>
      <c r="KSD4" s="568"/>
      <c r="KSE4" s="568"/>
      <c r="KSF4" s="568"/>
      <c r="KSG4" s="568"/>
      <c r="KSH4" s="568"/>
      <c r="KSI4" s="568"/>
      <c r="KSJ4" s="568"/>
      <c r="KSK4" s="568"/>
      <c r="KSL4" s="568"/>
      <c r="KSM4" s="568"/>
      <c r="KSN4" s="568"/>
      <c r="KSO4" s="568"/>
      <c r="KSP4" s="568"/>
      <c r="KSQ4" s="568"/>
      <c r="KSR4" s="568"/>
      <c r="KSS4" s="568"/>
      <c r="KST4" s="568"/>
      <c r="KSU4" s="568"/>
      <c r="KSV4" s="568"/>
      <c r="KSW4" s="568"/>
      <c r="KSX4" s="568"/>
      <c r="KSY4" s="568"/>
      <c r="KSZ4" s="568"/>
      <c r="KTA4" s="568"/>
      <c r="KTB4" s="568"/>
      <c r="KTC4" s="568"/>
      <c r="KTD4" s="568"/>
      <c r="KTE4" s="568"/>
      <c r="KTF4" s="568"/>
      <c r="KTG4" s="568"/>
      <c r="KTH4" s="568"/>
      <c r="KTI4" s="568"/>
      <c r="KTJ4" s="568"/>
      <c r="KTK4" s="568"/>
      <c r="KTL4" s="568"/>
      <c r="KTM4" s="568"/>
      <c r="KTN4" s="568"/>
      <c r="KTO4" s="568"/>
      <c r="KTP4" s="568"/>
      <c r="KTQ4" s="568"/>
      <c r="KTR4" s="568"/>
      <c r="KTS4" s="568"/>
      <c r="KTT4" s="568"/>
      <c r="KTU4" s="568"/>
      <c r="KTV4" s="568"/>
      <c r="KTW4" s="568"/>
      <c r="KTX4" s="568"/>
      <c r="KTY4" s="568"/>
      <c r="KTZ4" s="568"/>
      <c r="KUA4" s="568"/>
      <c r="KUB4" s="568"/>
      <c r="KUC4" s="568"/>
      <c r="KUD4" s="568"/>
      <c r="KUE4" s="568"/>
      <c r="KUF4" s="568"/>
      <c r="KUG4" s="568"/>
      <c r="KUH4" s="568"/>
      <c r="KUI4" s="568"/>
      <c r="KUJ4" s="568"/>
      <c r="KUK4" s="568"/>
      <c r="KUL4" s="568"/>
      <c r="KUM4" s="568"/>
      <c r="KUN4" s="568"/>
      <c r="KUO4" s="568"/>
      <c r="KUP4" s="568"/>
      <c r="KUQ4" s="568"/>
      <c r="KUR4" s="568"/>
      <c r="KUS4" s="568"/>
      <c r="KUT4" s="568"/>
      <c r="KUU4" s="568"/>
      <c r="KUV4" s="568"/>
      <c r="KUW4" s="568"/>
      <c r="KUX4" s="568"/>
      <c r="KUY4" s="568"/>
      <c r="KUZ4" s="568"/>
      <c r="KVA4" s="568"/>
      <c r="KVB4" s="568"/>
      <c r="KVC4" s="568"/>
      <c r="KVD4" s="568"/>
      <c r="KVE4" s="568"/>
      <c r="KVF4" s="568"/>
      <c r="KVG4" s="568"/>
      <c r="KVH4" s="568"/>
      <c r="KVI4" s="568"/>
      <c r="KVJ4" s="568"/>
      <c r="KVK4" s="568"/>
      <c r="KVL4" s="568"/>
      <c r="KVM4" s="568"/>
      <c r="KVN4" s="568"/>
      <c r="KVO4" s="568"/>
      <c r="KVP4" s="568"/>
      <c r="KVQ4" s="568"/>
      <c r="KVR4" s="568"/>
      <c r="KVS4" s="568"/>
      <c r="KVT4" s="568"/>
      <c r="KVU4" s="568"/>
      <c r="KVV4" s="568"/>
      <c r="KVW4" s="568"/>
      <c r="KVX4" s="568"/>
      <c r="KVY4" s="568"/>
      <c r="KVZ4" s="568"/>
      <c r="KWA4" s="568"/>
      <c r="KWB4" s="568"/>
      <c r="KWC4" s="568"/>
      <c r="KWD4" s="568"/>
      <c r="KWE4" s="568"/>
      <c r="KWF4" s="568"/>
      <c r="KWG4" s="568"/>
      <c r="KWH4" s="568"/>
      <c r="KWI4" s="568"/>
      <c r="KWJ4" s="568"/>
      <c r="KWK4" s="568"/>
      <c r="KWL4" s="568"/>
      <c r="KWM4" s="568"/>
      <c r="KWN4" s="568"/>
      <c r="KWO4" s="568"/>
      <c r="KWP4" s="568"/>
      <c r="KWQ4" s="568"/>
      <c r="KWR4" s="568"/>
      <c r="KWS4" s="568"/>
      <c r="KWT4" s="568"/>
      <c r="KWU4" s="568"/>
      <c r="KWV4" s="568"/>
      <c r="KWW4" s="568"/>
      <c r="KWX4" s="568"/>
      <c r="KWY4" s="568"/>
      <c r="KWZ4" s="568"/>
      <c r="KXA4" s="568"/>
      <c r="KXB4" s="568"/>
      <c r="KXC4" s="568"/>
      <c r="KXD4" s="568"/>
      <c r="KXE4" s="568"/>
      <c r="KXF4" s="568"/>
      <c r="KXG4" s="568"/>
      <c r="KXH4" s="568"/>
      <c r="KXI4" s="568"/>
      <c r="KXJ4" s="568"/>
      <c r="KXK4" s="568"/>
      <c r="KXL4" s="568"/>
      <c r="KXM4" s="568"/>
      <c r="KXN4" s="568"/>
      <c r="KXO4" s="568"/>
      <c r="KXP4" s="568"/>
      <c r="KXQ4" s="568"/>
      <c r="KXR4" s="568"/>
      <c r="KXS4" s="568"/>
      <c r="KXT4" s="568"/>
      <c r="KXU4" s="568"/>
      <c r="KXV4" s="568"/>
      <c r="KXW4" s="568"/>
      <c r="KXX4" s="568"/>
      <c r="KXY4" s="568"/>
      <c r="KXZ4" s="568"/>
      <c r="KYA4" s="568"/>
      <c r="KYB4" s="568"/>
      <c r="KYC4" s="568"/>
      <c r="KYD4" s="568"/>
      <c r="KYE4" s="568"/>
      <c r="KYF4" s="568"/>
      <c r="KYG4" s="568"/>
      <c r="KYH4" s="568"/>
      <c r="KYI4" s="568"/>
      <c r="KYJ4" s="568"/>
      <c r="KYK4" s="568"/>
      <c r="KYL4" s="568"/>
      <c r="KYM4" s="568"/>
      <c r="KYN4" s="568"/>
      <c r="KYO4" s="568"/>
      <c r="KYP4" s="568"/>
      <c r="KYQ4" s="568"/>
      <c r="KYR4" s="568"/>
      <c r="KYS4" s="568"/>
      <c r="KYT4" s="568"/>
      <c r="KYU4" s="568"/>
      <c r="KYV4" s="568"/>
      <c r="KYW4" s="568"/>
      <c r="KYX4" s="568"/>
      <c r="KYY4" s="568"/>
      <c r="KYZ4" s="568"/>
      <c r="KZA4" s="568"/>
      <c r="KZB4" s="568"/>
      <c r="KZC4" s="568"/>
      <c r="KZD4" s="568"/>
      <c r="KZE4" s="568"/>
      <c r="KZF4" s="568"/>
      <c r="KZG4" s="568"/>
      <c r="KZH4" s="568"/>
      <c r="KZI4" s="568"/>
      <c r="KZJ4" s="568"/>
      <c r="KZK4" s="568"/>
      <c r="KZL4" s="568"/>
      <c r="KZM4" s="568"/>
      <c r="KZN4" s="568"/>
      <c r="KZO4" s="568"/>
      <c r="KZP4" s="568"/>
      <c r="KZQ4" s="568"/>
      <c r="KZR4" s="568"/>
      <c r="KZS4" s="568"/>
      <c r="KZT4" s="568"/>
      <c r="KZU4" s="568"/>
      <c r="KZV4" s="568"/>
      <c r="KZW4" s="568"/>
      <c r="KZX4" s="568"/>
      <c r="KZY4" s="568"/>
      <c r="KZZ4" s="568"/>
      <c r="LAA4" s="568"/>
      <c r="LAB4" s="568"/>
      <c r="LAC4" s="568"/>
      <c r="LAD4" s="568"/>
      <c r="LAE4" s="568"/>
      <c r="LAF4" s="568"/>
      <c r="LAG4" s="568"/>
      <c r="LAH4" s="568"/>
      <c r="LAI4" s="568"/>
      <c r="LAJ4" s="568"/>
      <c r="LAK4" s="568"/>
      <c r="LAL4" s="568"/>
      <c r="LAM4" s="568"/>
      <c r="LAN4" s="568"/>
      <c r="LAO4" s="568"/>
      <c r="LAP4" s="568"/>
      <c r="LAQ4" s="568"/>
      <c r="LAR4" s="568"/>
      <c r="LAS4" s="568"/>
      <c r="LAT4" s="568"/>
      <c r="LAU4" s="568"/>
      <c r="LAV4" s="568"/>
      <c r="LAW4" s="568"/>
      <c r="LAX4" s="568"/>
      <c r="LAY4" s="568"/>
      <c r="LAZ4" s="568"/>
      <c r="LBA4" s="568"/>
      <c r="LBB4" s="568"/>
      <c r="LBC4" s="568"/>
      <c r="LBD4" s="568"/>
      <c r="LBE4" s="568"/>
      <c r="LBF4" s="568"/>
      <c r="LBG4" s="568"/>
      <c r="LBH4" s="568"/>
      <c r="LBI4" s="568"/>
      <c r="LBJ4" s="568"/>
      <c r="LBK4" s="568"/>
      <c r="LBL4" s="568"/>
      <c r="LBM4" s="568"/>
      <c r="LBN4" s="568"/>
      <c r="LBO4" s="568"/>
      <c r="LBP4" s="568"/>
      <c r="LBQ4" s="568"/>
      <c r="LBR4" s="568"/>
      <c r="LBS4" s="568"/>
      <c r="LBT4" s="568"/>
      <c r="LBU4" s="568"/>
      <c r="LBV4" s="568"/>
      <c r="LBW4" s="568"/>
      <c r="LBX4" s="568"/>
      <c r="LBY4" s="568"/>
      <c r="LBZ4" s="568"/>
      <c r="LCA4" s="568"/>
      <c r="LCB4" s="568"/>
      <c r="LCC4" s="568"/>
      <c r="LCD4" s="568"/>
      <c r="LCE4" s="568"/>
      <c r="LCF4" s="568"/>
      <c r="LCG4" s="568"/>
      <c r="LCH4" s="568"/>
      <c r="LCI4" s="568"/>
      <c r="LCJ4" s="568"/>
      <c r="LCK4" s="568"/>
      <c r="LCL4" s="568"/>
      <c r="LCM4" s="568"/>
      <c r="LCN4" s="568"/>
      <c r="LCO4" s="568"/>
      <c r="LCP4" s="568"/>
      <c r="LCQ4" s="568"/>
      <c r="LCR4" s="568"/>
      <c r="LCS4" s="568"/>
      <c r="LCT4" s="568"/>
      <c r="LCU4" s="568"/>
      <c r="LCV4" s="568"/>
      <c r="LCW4" s="568"/>
      <c r="LCX4" s="568"/>
      <c r="LCY4" s="568"/>
      <c r="LCZ4" s="568"/>
      <c r="LDA4" s="568"/>
      <c r="LDB4" s="568"/>
      <c r="LDC4" s="568"/>
      <c r="LDD4" s="568"/>
      <c r="LDE4" s="568"/>
      <c r="LDF4" s="568"/>
      <c r="LDG4" s="568"/>
      <c r="LDH4" s="568"/>
      <c r="LDI4" s="568"/>
      <c r="LDJ4" s="568"/>
      <c r="LDK4" s="568"/>
      <c r="LDL4" s="568"/>
      <c r="LDM4" s="568"/>
      <c r="LDN4" s="568"/>
      <c r="LDO4" s="568"/>
      <c r="LDP4" s="568"/>
      <c r="LDQ4" s="568"/>
      <c r="LDR4" s="568"/>
      <c r="LDS4" s="568"/>
      <c r="LDT4" s="568"/>
      <c r="LDU4" s="568"/>
      <c r="LDV4" s="568"/>
      <c r="LDW4" s="568"/>
      <c r="LDX4" s="568"/>
      <c r="LDY4" s="568"/>
      <c r="LDZ4" s="568"/>
      <c r="LEA4" s="568"/>
      <c r="LEB4" s="568"/>
      <c r="LEC4" s="568"/>
      <c r="LED4" s="568"/>
      <c r="LEE4" s="568"/>
      <c r="LEF4" s="568"/>
      <c r="LEG4" s="568"/>
      <c r="LEH4" s="568"/>
      <c r="LEI4" s="568"/>
      <c r="LEJ4" s="568"/>
      <c r="LEK4" s="568"/>
      <c r="LEL4" s="568"/>
      <c r="LEM4" s="568"/>
      <c r="LEN4" s="568"/>
      <c r="LEO4" s="568"/>
      <c r="LEP4" s="568"/>
      <c r="LEQ4" s="568"/>
      <c r="LER4" s="568"/>
      <c r="LES4" s="568"/>
      <c r="LET4" s="568"/>
      <c r="LEU4" s="568"/>
      <c r="LEV4" s="568"/>
      <c r="LEW4" s="568"/>
      <c r="LEX4" s="568"/>
      <c r="LEY4" s="568"/>
      <c r="LEZ4" s="568"/>
      <c r="LFA4" s="568"/>
      <c r="LFB4" s="568"/>
      <c r="LFC4" s="568"/>
      <c r="LFD4" s="568"/>
      <c r="LFE4" s="568"/>
      <c r="LFF4" s="568"/>
      <c r="LFG4" s="568"/>
      <c r="LFH4" s="568"/>
      <c r="LFI4" s="568"/>
      <c r="LFJ4" s="568"/>
      <c r="LFK4" s="568"/>
      <c r="LFL4" s="568"/>
      <c r="LFM4" s="568"/>
      <c r="LFN4" s="568"/>
      <c r="LFO4" s="568"/>
      <c r="LFP4" s="568"/>
      <c r="LFQ4" s="568"/>
      <c r="LFR4" s="568"/>
      <c r="LFS4" s="568"/>
      <c r="LFT4" s="568"/>
      <c r="LFU4" s="568"/>
      <c r="LFV4" s="568"/>
      <c r="LFW4" s="568"/>
      <c r="LFX4" s="568"/>
      <c r="LFY4" s="568"/>
      <c r="LFZ4" s="568"/>
      <c r="LGA4" s="568"/>
      <c r="LGB4" s="568"/>
      <c r="LGC4" s="568"/>
      <c r="LGD4" s="568"/>
      <c r="LGE4" s="568"/>
      <c r="LGF4" s="568"/>
      <c r="LGG4" s="568"/>
      <c r="LGH4" s="568"/>
      <c r="LGI4" s="568"/>
      <c r="LGJ4" s="568"/>
      <c r="LGK4" s="568"/>
      <c r="LGL4" s="568"/>
      <c r="LGM4" s="568"/>
      <c r="LGN4" s="568"/>
      <c r="LGO4" s="568"/>
      <c r="LGP4" s="568"/>
      <c r="LGQ4" s="568"/>
      <c r="LGR4" s="568"/>
      <c r="LGS4" s="568"/>
      <c r="LGT4" s="568"/>
      <c r="LGU4" s="568"/>
      <c r="LGV4" s="568"/>
      <c r="LGW4" s="568"/>
      <c r="LGX4" s="568"/>
      <c r="LGY4" s="568"/>
      <c r="LGZ4" s="568"/>
      <c r="LHA4" s="568"/>
      <c r="LHB4" s="568"/>
      <c r="LHC4" s="568"/>
      <c r="LHD4" s="568"/>
      <c r="LHE4" s="568"/>
      <c r="LHF4" s="568"/>
      <c r="LHG4" s="568"/>
      <c r="LHH4" s="568"/>
      <c r="LHI4" s="568"/>
      <c r="LHJ4" s="568"/>
      <c r="LHK4" s="568"/>
      <c r="LHL4" s="568"/>
      <c r="LHM4" s="568"/>
      <c r="LHN4" s="568"/>
      <c r="LHO4" s="568"/>
      <c r="LHP4" s="568"/>
      <c r="LHQ4" s="568"/>
      <c r="LHR4" s="568"/>
      <c r="LHS4" s="568"/>
      <c r="LHT4" s="568"/>
      <c r="LHU4" s="568"/>
      <c r="LHV4" s="568"/>
      <c r="LHW4" s="568"/>
      <c r="LHX4" s="568"/>
      <c r="LHY4" s="568"/>
      <c r="LHZ4" s="568"/>
      <c r="LIA4" s="568"/>
      <c r="LIB4" s="568"/>
      <c r="LIC4" s="568"/>
      <c r="LID4" s="568"/>
      <c r="LIE4" s="568"/>
      <c r="LIF4" s="568"/>
      <c r="LIG4" s="568"/>
      <c r="LIH4" s="568"/>
      <c r="LII4" s="568"/>
      <c r="LIJ4" s="568"/>
      <c r="LIK4" s="568"/>
      <c r="LIL4" s="568"/>
      <c r="LIM4" s="568"/>
      <c r="LIN4" s="568"/>
      <c r="LIO4" s="568"/>
      <c r="LIP4" s="568"/>
      <c r="LIQ4" s="568"/>
      <c r="LIR4" s="568"/>
      <c r="LIS4" s="568"/>
      <c r="LIT4" s="568"/>
      <c r="LIU4" s="568"/>
      <c r="LIV4" s="568"/>
      <c r="LIW4" s="568"/>
      <c r="LIX4" s="568"/>
      <c r="LIY4" s="568"/>
      <c r="LIZ4" s="568"/>
      <c r="LJA4" s="568"/>
      <c r="LJB4" s="568"/>
      <c r="LJC4" s="568"/>
      <c r="LJD4" s="568"/>
      <c r="LJE4" s="568"/>
      <c r="LJF4" s="568"/>
      <c r="LJG4" s="568"/>
      <c r="LJH4" s="568"/>
      <c r="LJI4" s="568"/>
      <c r="LJJ4" s="568"/>
      <c r="LJK4" s="568"/>
      <c r="LJL4" s="568"/>
      <c r="LJM4" s="568"/>
      <c r="LJN4" s="568"/>
      <c r="LJO4" s="568"/>
      <c r="LJP4" s="568"/>
      <c r="LJQ4" s="568"/>
      <c r="LJR4" s="568"/>
      <c r="LJS4" s="568"/>
      <c r="LJT4" s="568"/>
      <c r="LJU4" s="568"/>
      <c r="LJV4" s="568"/>
      <c r="LJW4" s="568"/>
      <c r="LJX4" s="568"/>
      <c r="LJY4" s="568"/>
      <c r="LJZ4" s="568"/>
      <c r="LKA4" s="568"/>
      <c r="LKB4" s="568"/>
      <c r="LKC4" s="568"/>
      <c r="LKD4" s="568"/>
      <c r="LKE4" s="568"/>
      <c r="LKF4" s="568"/>
      <c r="LKG4" s="568"/>
      <c r="LKH4" s="568"/>
      <c r="LKI4" s="568"/>
      <c r="LKJ4" s="568"/>
      <c r="LKK4" s="568"/>
      <c r="LKL4" s="568"/>
      <c r="LKM4" s="568"/>
      <c r="LKN4" s="568"/>
      <c r="LKO4" s="568"/>
      <c r="LKP4" s="568"/>
      <c r="LKQ4" s="568"/>
      <c r="LKR4" s="568"/>
      <c r="LKS4" s="568"/>
      <c r="LKT4" s="568"/>
      <c r="LKU4" s="568"/>
      <c r="LKV4" s="568"/>
      <c r="LKW4" s="568"/>
      <c r="LKX4" s="568"/>
      <c r="LKY4" s="568"/>
      <c r="LKZ4" s="568"/>
      <c r="LLA4" s="568"/>
      <c r="LLB4" s="568"/>
      <c r="LLC4" s="568"/>
      <c r="LLD4" s="568"/>
      <c r="LLE4" s="568"/>
      <c r="LLF4" s="568"/>
      <c r="LLG4" s="568"/>
      <c r="LLH4" s="568"/>
      <c r="LLI4" s="568"/>
      <c r="LLJ4" s="568"/>
      <c r="LLK4" s="568"/>
      <c r="LLL4" s="568"/>
      <c r="LLM4" s="568"/>
      <c r="LLN4" s="568"/>
      <c r="LLO4" s="568"/>
      <c r="LLP4" s="568"/>
      <c r="LLQ4" s="568"/>
      <c r="LLR4" s="568"/>
      <c r="LLS4" s="568"/>
      <c r="LLT4" s="568"/>
      <c r="LLU4" s="568"/>
      <c r="LLV4" s="568"/>
      <c r="LLW4" s="568"/>
      <c r="LLX4" s="568"/>
      <c r="LLY4" s="568"/>
      <c r="LLZ4" s="568"/>
      <c r="LMA4" s="568"/>
      <c r="LMB4" s="568"/>
      <c r="LMC4" s="568"/>
      <c r="LMD4" s="568"/>
      <c r="LME4" s="568"/>
      <c r="LMF4" s="568"/>
      <c r="LMG4" s="568"/>
      <c r="LMH4" s="568"/>
      <c r="LMI4" s="568"/>
      <c r="LMJ4" s="568"/>
      <c r="LMK4" s="568"/>
      <c r="LML4" s="568"/>
      <c r="LMM4" s="568"/>
      <c r="LMN4" s="568"/>
      <c r="LMO4" s="568"/>
      <c r="LMP4" s="568"/>
      <c r="LMQ4" s="568"/>
      <c r="LMR4" s="568"/>
      <c r="LMS4" s="568"/>
      <c r="LMT4" s="568"/>
      <c r="LMU4" s="568"/>
      <c r="LMV4" s="568"/>
      <c r="LMW4" s="568"/>
      <c r="LMX4" s="568"/>
      <c r="LMY4" s="568"/>
      <c r="LMZ4" s="568"/>
      <c r="LNA4" s="568"/>
      <c r="LNB4" s="568"/>
      <c r="LNC4" s="568"/>
      <c r="LND4" s="568"/>
      <c r="LNE4" s="568"/>
      <c r="LNF4" s="568"/>
      <c r="LNG4" s="568"/>
      <c r="LNH4" s="568"/>
      <c r="LNI4" s="568"/>
      <c r="LNJ4" s="568"/>
      <c r="LNK4" s="568"/>
      <c r="LNL4" s="568"/>
      <c r="LNM4" s="568"/>
      <c r="LNN4" s="568"/>
      <c r="LNO4" s="568"/>
      <c r="LNP4" s="568"/>
      <c r="LNQ4" s="568"/>
      <c r="LNR4" s="568"/>
      <c r="LNS4" s="568"/>
      <c r="LNT4" s="568"/>
      <c r="LNU4" s="568"/>
      <c r="LNV4" s="568"/>
      <c r="LNW4" s="568"/>
      <c r="LNX4" s="568"/>
      <c r="LNY4" s="568"/>
      <c r="LNZ4" s="568"/>
      <c r="LOA4" s="568"/>
      <c r="LOB4" s="568"/>
      <c r="LOC4" s="568"/>
      <c r="LOD4" s="568"/>
      <c r="LOE4" s="568"/>
      <c r="LOF4" s="568"/>
      <c r="LOG4" s="568"/>
      <c r="LOH4" s="568"/>
      <c r="LOI4" s="568"/>
      <c r="LOJ4" s="568"/>
      <c r="LOK4" s="568"/>
      <c r="LOL4" s="568"/>
      <c r="LOM4" s="568"/>
      <c r="LON4" s="568"/>
      <c r="LOO4" s="568"/>
      <c r="LOP4" s="568"/>
      <c r="LOQ4" s="568"/>
      <c r="LOR4" s="568"/>
      <c r="LOS4" s="568"/>
      <c r="LOT4" s="568"/>
      <c r="LOU4" s="568"/>
      <c r="LOV4" s="568"/>
      <c r="LOW4" s="568"/>
      <c r="LOX4" s="568"/>
      <c r="LOY4" s="568"/>
      <c r="LOZ4" s="568"/>
      <c r="LPA4" s="568"/>
      <c r="LPB4" s="568"/>
      <c r="LPC4" s="568"/>
      <c r="LPD4" s="568"/>
      <c r="LPE4" s="568"/>
      <c r="LPF4" s="568"/>
      <c r="LPG4" s="568"/>
      <c r="LPH4" s="568"/>
      <c r="LPI4" s="568"/>
      <c r="LPJ4" s="568"/>
      <c r="LPK4" s="568"/>
      <c r="LPL4" s="568"/>
      <c r="LPM4" s="568"/>
      <c r="LPN4" s="568"/>
      <c r="LPO4" s="568"/>
      <c r="LPP4" s="568"/>
      <c r="LPQ4" s="568"/>
      <c r="LPR4" s="568"/>
      <c r="LPS4" s="568"/>
      <c r="LPT4" s="568"/>
      <c r="LPU4" s="568"/>
      <c r="LPV4" s="568"/>
      <c r="LPW4" s="568"/>
      <c r="LPX4" s="568"/>
      <c r="LPY4" s="568"/>
      <c r="LPZ4" s="568"/>
      <c r="LQA4" s="568"/>
      <c r="LQB4" s="568"/>
      <c r="LQC4" s="568"/>
      <c r="LQD4" s="568"/>
      <c r="LQE4" s="568"/>
      <c r="LQF4" s="568"/>
      <c r="LQG4" s="568"/>
      <c r="LQH4" s="568"/>
      <c r="LQI4" s="568"/>
      <c r="LQJ4" s="568"/>
      <c r="LQK4" s="568"/>
      <c r="LQL4" s="568"/>
      <c r="LQM4" s="568"/>
      <c r="LQN4" s="568"/>
      <c r="LQO4" s="568"/>
      <c r="LQP4" s="568"/>
      <c r="LQQ4" s="568"/>
      <c r="LQR4" s="568"/>
      <c r="LQS4" s="568"/>
      <c r="LQT4" s="568"/>
      <c r="LQU4" s="568"/>
      <c r="LQV4" s="568"/>
      <c r="LQW4" s="568"/>
      <c r="LQX4" s="568"/>
      <c r="LQY4" s="568"/>
      <c r="LQZ4" s="568"/>
      <c r="LRA4" s="568"/>
      <c r="LRB4" s="568"/>
      <c r="LRC4" s="568"/>
      <c r="LRD4" s="568"/>
      <c r="LRE4" s="568"/>
      <c r="LRF4" s="568"/>
      <c r="LRG4" s="568"/>
      <c r="LRH4" s="568"/>
      <c r="LRI4" s="568"/>
      <c r="LRJ4" s="568"/>
      <c r="LRK4" s="568"/>
      <c r="LRL4" s="568"/>
      <c r="LRM4" s="568"/>
      <c r="LRN4" s="568"/>
      <c r="LRO4" s="568"/>
      <c r="LRP4" s="568"/>
      <c r="LRQ4" s="568"/>
      <c r="LRR4" s="568"/>
      <c r="LRS4" s="568"/>
      <c r="LRT4" s="568"/>
      <c r="LRU4" s="568"/>
      <c r="LRV4" s="568"/>
      <c r="LRW4" s="568"/>
      <c r="LRX4" s="568"/>
      <c r="LRY4" s="568"/>
      <c r="LRZ4" s="568"/>
      <c r="LSA4" s="568"/>
      <c r="LSB4" s="568"/>
      <c r="LSC4" s="568"/>
      <c r="LSD4" s="568"/>
      <c r="LSE4" s="568"/>
      <c r="LSF4" s="568"/>
      <c r="LSG4" s="568"/>
      <c r="LSH4" s="568"/>
      <c r="LSI4" s="568"/>
      <c r="LSJ4" s="568"/>
      <c r="LSK4" s="568"/>
      <c r="LSL4" s="568"/>
      <c r="LSM4" s="568"/>
      <c r="LSN4" s="568"/>
      <c r="LSO4" s="568"/>
      <c r="LSP4" s="568"/>
      <c r="LSQ4" s="568"/>
      <c r="LSR4" s="568"/>
      <c r="LSS4" s="568"/>
      <c r="LST4" s="568"/>
      <c r="LSU4" s="568"/>
      <c r="LSV4" s="568"/>
      <c r="LSW4" s="568"/>
      <c r="LSX4" s="568"/>
      <c r="LSY4" s="568"/>
      <c r="LSZ4" s="568"/>
      <c r="LTA4" s="568"/>
      <c r="LTB4" s="568"/>
      <c r="LTC4" s="568"/>
      <c r="LTD4" s="568"/>
      <c r="LTE4" s="568"/>
      <c r="LTF4" s="568"/>
      <c r="LTG4" s="568"/>
      <c r="LTH4" s="568"/>
      <c r="LTI4" s="568"/>
      <c r="LTJ4" s="568"/>
      <c r="LTK4" s="568"/>
      <c r="LTL4" s="568"/>
      <c r="LTM4" s="568"/>
      <c r="LTN4" s="568"/>
      <c r="LTO4" s="568"/>
      <c r="LTP4" s="568"/>
      <c r="LTQ4" s="568"/>
      <c r="LTR4" s="568"/>
      <c r="LTS4" s="568"/>
      <c r="LTT4" s="568"/>
      <c r="LTU4" s="568"/>
      <c r="LTV4" s="568"/>
      <c r="LTW4" s="568"/>
      <c r="LTX4" s="568"/>
      <c r="LTY4" s="568"/>
      <c r="LTZ4" s="568"/>
      <c r="LUA4" s="568"/>
      <c r="LUB4" s="568"/>
      <c r="LUC4" s="568"/>
      <c r="LUD4" s="568"/>
      <c r="LUE4" s="568"/>
      <c r="LUF4" s="568"/>
      <c r="LUG4" s="568"/>
      <c r="LUH4" s="568"/>
      <c r="LUI4" s="568"/>
      <c r="LUJ4" s="568"/>
      <c r="LUK4" s="568"/>
      <c r="LUL4" s="568"/>
      <c r="LUM4" s="568"/>
      <c r="LUN4" s="568"/>
      <c r="LUO4" s="568"/>
      <c r="LUP4" s="568"/>
      <c r="LUQ4" s="568"/>
      <c r="LUR4" s="568"/>
      <c r="LUS4" s="568"/>
      <c r="LUT4" s="568"/>
      <c r="LUU4" s="568"/>
      <c r="LUV4" s="568"/>
      <c r="LUW4" s="568"/>
      <c r="LUX4" s="568"/>
      <c r="LUY4" s="568"/>
      <c r="LUZ4" s="568"/>
      <c r="LVA4" s="568"/>
      <c r="LVB4" s="568"/>
      <c r="LVC4" s="568"/>
      <c r="LVD4" s="568"/>
      <c r="LVE4" s="568"/>
      <c r="LVF4" s="568"/>
      <c r="LVG4" s="568"/>
      <c r="LVH4" s="568"/>
      <c r="LVI4" s="568"/>
      <c r="LVJ4" s="568"/>
      <c r="LVK4" s="568"/>
      <c r="LVL4" s="568"/>
      <c r="LVM4" s="568"/>
      <c r="LVN4" s="568"/>
      <c r="LVO4" s="568"/>
      <c r="LVP4" s="568"/>
      <c r="LVQ4" s="568"/>
      <c r="LVR4" s="568"/>
      <c r="LVS4" s="568"/>
      <c r="LVT4" s="568"/>
      <c r="LVU4" s="568"/>
      <c r="LVV4" s="568"/>
      <c r="LVW4" s="568"/>
      <c r="LVX4" s="568"/>
      <c r="LVY4" s="568"/>
      <c r="LVZ4" s="568"/>
      <c r="LWA4" s="568"/>
      <c r="LWB4" s="568"/>
      <c r="LWC4" s="568"/>
      <c r="LWD4" s="568"/>
      <c r="LWE4" s="568"/>
      <c r="LWF4" s="568"/>
      <c r="LWG4" s="568"/>
      <c r="LWH4" s="568"/>
      <c r="LWI4" s="568"/>
      <c r="LWJ4" s="568"/>
      <c r="LWK4" s="568"/>
      <c r="LWL4" s="568"/>
      <c r="LWM4" s="568"/>
      <c r="LWN4" s="568"/>
      <c r="LWO4" s="568"/>
      <c r="LWP4" s="568"/>
      <c r="LWQ4" s="568"/>
      <c r="LWR4" s="568"/>
      <c r="LWS4" s="568"/>
      <c r="LWT4" s="568"/>
      <c r="LWU4" s="568"/>
      <c r="LWV4" s="568"/>
      <c r="LWW4" s="568"/>
      <c r="LWX4" s="568"/>
      <c r="LWY4" s="568"/>
      <c r="LWZ4" s="568"/>
      <c r="LXA4" s="568"/>
      <c r="LXB4" s="568"/>
      <c r="LXC4" s="568"/>
      <c r="LXD4" s="568"/>
      <c r="LXE4" s="568"/>
      <c r="LXF4" s="568"/>
      <c r="LXG4" s="568"/>
      <c r="LXH4" s="568"/>
      <c r="LXI4" s="568"/>
      <c r="LXJ4" s="568"/>
      <c r="LXK4" s="568"/>
      <c r="LXL4" s="568"/>
      <c r="LXM4" s="568"/>
      <c r="LXN4" s="568"/>
      <c r="LXO4" s="568"/>
      <c r="LXP4" s="568"/>
      <c r="LXQ4" s="568"/>
      <c r="LXR4" s="568"/>
      <c r="LXS4" s="568"/>
      <c r="LXT4" s="568"/>
      <c r="LXU4" s="568"/>
      <c r="LXV4" s="568"/>
      <c r="LXW4" s="568"/>
      <c r="LXX4" s="568"/>
      <c r="LXY4" s="568"/>
      <c r="LXZ4" s="568"/>
      <c r="LYA4" s="568"/>
      <c r="LYB4" s="568"/>
      <c r="LYC4" s="568"/>
      <c r="LYD4" s="568"/>
      <c r="LYE4" s="568"/>
      <c r="LYF4" s="568"/>
      <c r="LYG4" s="568"/>
      <c r="LYH4" s="568"/>
      <c r="LYI4" s="568"/>
      <c r="LYJ4" s="568"/>
      <c r="LYK4" s="568"/>
      <c r="LYL4" s="568"/>
      <c r="LYM4" s="568"/>
      <c r="LYN4" s="568"/>
      <c r="LYO4" s="568"/>
      <c r="LYP4" s="568"/>
      <c r="LYQ4" s="568"/>
      <c r="LYR4" s="568"/>
      <c r="LYS4" s="568"/>
      <c r="LYT4" s="568"/>
      <c r="LYU4" s="568"/>
      <c r="LYV4" s="568"/>
      <c r="LYW4" s="568"/>
      <c r="LYX4" s="568"/>
      <c r="LYY4" s="568"/>
      <c r="LYZ4" s="568"/>
      <c r="LZA4" s="568"/>
      <c r="LZB4" s="568"/>
      <c r="LZC4" s="568"/>
      <c r="LZD4" s="568"/>
      <c r="LZE4" s="568"/>
      <c r="LZF4" s="568"/>
      <c r="LZG4" s="568"/>
      <c r="LZH4" s="568"/>
      <c r="LZI4" s="568"/>
      <c r="LZJ4" s="568"/>
      <c r="LZK4" s="568"/>
      <c r="LZL4" s="568"/>
      <c r="LZM4" s="568"/>
      <c r="LZN4" s="568"/>
      <c r="LZO4" s="568"/>
      <c r="LZP4" s="568"/>
      <c r="LZQ4" s="568"/>
      <c r="LZR4" s="568"/>
      <c r="LZS4" s="568"/>
      <c r="LZT4" s="568"/>
      <c r="LZU4" s="568"/>
      <c r="LZV4" s="568"/>
      <c r="LZW4" s="568"/>
      <c r="LZX4" s="568"/>
      <c r="LZY4" s="568"/>
      <c r="LZZ4" s="568"/>
      <c r="MAA4" s="568"/>
      <c r="MAB4" s="568"/>
      <c r="MAC4" s="568"/>
      <c r="MAD4" s="568"/>
      <c r="MAE4" s="568"/>
      <c r="MAF4" s="568"/>
      <c r="MAG4" s="568"/>
      <c r="MAH4" s="568"/>
      <c r="MAI4" s="568"/>
      <c r="MAJ4" s="568"/>
      <c r="MAK4" s="568"/>
      <c r="MAL4" s="568"/>
      <c r="MAM4" s="568"/>
      <c r="MAN4" s="568"/>
      <c r="MAO4" s="568"/>
      <c r="MAP4" s="568"/>
      <c r="MAQ4" s="568"/>
      <c r="MAR4" s="568"/>
      <c r="MAS4" s="568"/>
      <c r="MAT4" s="568"/>
      <c r="MAU4" s="568"/>
      <c r="MAV4" s="568"/>
      <c r="MAW4" s="568"/>
      <c r="MAX4" s="568"/>
      <c r="MAY4" s="568"/>
      <c r="MAZ4" s="568"/>
      <c r="MBA4" s="568"/>
      <c r="MBB4" s="568"/>
      <c r="MBC4" s="568"/>
      <c r="MBD4" s="568"/>
      <c r="MBE4" s="568"/>
      <c r="MBF4" s="568"/>
      <c r="MBG4" s="568"/>
      <c r="MBH4" s="568"/>
      <c r="MBI4" s="568"/>
      <c r="MBJ4" s="568"/>
      <c r="MBK4" s="568"/>
      <c r="MBL4" s="568"/>
      <c r="MBM4" s="568"/>
      <c r="MBN4" s="568"/>
      <c r="MBO4" s="568"/>
      <c r="MBP4" s="568"/>
      <c r="MBQ4" s="568"/>
      <c r="MBR4" s="568"/>
      <c r="MBS4" s="568"/>
      <c r="MBT4" s="568"/>
      <c r="MBU4" s="568"/>
      <c r="MBV4" s="568"/>
      <c r="MBW4" s="568"/>
      <c r="MBX4" s="568"/>
      <c r="MBY4" s="568"/>
      <c r="MBZ4" s="568"/>
      <c r="MCA4" s="568"/>
      <c r="MCB4" s="568"/>
      <c r="MCC4" s="568"/>
      <c r="MCD4" s="568"/>
      <c r="MCE4" s="568"/>
      <c r="MCF4" s="568"/>
      <c r="MCG4" s="568"/>
      <c r="MCH4" s="568"/>
      <c r="MCI4" s="568"/>
      <c r="MCJ4" s="568"/>
      <c r="MCK4" s="568"/>
      <c r="MCL4" s="568"/>
      <c r="MCM4" s="568"/>
      <c r="MCN4" s="568"/>
      <c r="MCO4" s="568"/>
      <c r="MCP4" s="568"/>
      <c r="MCQ4" s="568"/>
      <c r="MCR4" s="568"/>
      <c r="MCS4" s="568"/>
      <c r="MCT4" s="568"/>
      <c r="MCU4" s="568"/>
      <c r="MCV4" s="568"/>
      <c r="MCW4" s="568"/>
      <c r="MCX4" s="568"/>
      <c r="MCY4" s="568"/>
      <c r="MCZ4" s="568"/>
      <c r="MDA4" s="568"/>
      <c r="MDB4" s="568"/>
      <c r="MDC4" s="568"/>
      <c r="MDD4" s="568"/>
      <c r="MDE4" s="568"/>
      <c r="MDF4" s="568"/>
      <c r="MDG4" s="568"/>
      <c r="MDH4" s="568"/>
      <c r="MDI4" s="568"/>
      <c r="MDJ4" s="568"/>
      <c r="MDK4" s="568"/>
      <c r="MDL4" s="568"/>
      <c r="MDM4" s="568"/>
      <c r="MDN4" s="568"/>
      <c r="MDO4" s="568"/>
      <c r="MDP4" s="568"/>
      <c r="MDQ4" s="568"/>
      <c r="MDR4" s="568"/>
      <c r="MDS4" s="568"/>
      <c r="MDT4" s="568"/>
      <c r="MDU4" s="568"/>
      <c r="MDV4" s="568"/>
      <c r="MDW4" s="568"/>
      <c r="MDX4" s="568"/>
      <c r="MDY4" s="568"/>
      <c r="MDZ4" s="568"/>
      <c r="MEA4" s="568"/>
      <c r="MEB4" s="568"/>
      <c r="MEC4" s="568"/>
      <c r="MED4" s="568"/>
      <c r="MEE4" s="568"/>
      <c r="MEF4" s="568"/>
      <c r="MEG4" s="568"/>
      <c r="MEH4" s="568"/>
      <c r="MEI4" s="568"/>
      <c r="MEJ4" s="568"/>
      <c r="MEK4" s="568"/>
      <c r="MEL4" s="568"/>
      <c r="MEM4" s="568"/>
      <c r="MEN4" s="568"/>
      <c r="MEO4" s="568"/>
      <c r="MEP4" s="568"/>
      <c r="MEQ4" s="568"/>
      <c r="MER4" s="568"/>
      <c r="MES4" s="568"/>
      <c r="MET4" s="568"/>
      <c r="MEU4" s="568"/>
      <c r="MEV4" s="568"/>
      <c r="MEW4" s="568"/>
      <c r="MEX4" s="568"/>
      <c r="MEY4" s="568"/>
      <c r="MEZ4" s="568"/>
      <c r="MFA4" s="568"/>
      <c r="MFB4" s="568"/>
      <c r="MFC4" s="568"/>
      <c r="MFD4" s="568"/>
      <c r="MFE4" s="568"/>
      <c r="MFF4" s="568"/>
      <c r="MFG4" s="568"/>
      <c r="MFH4" s="568"/>
      <c r="MFI4" s="568"/>
      <c r="MFJ4" s="568"/>
      <c r="MFK4" s="568"/>
      <c r="MFL4" s="568"/>
      <c r="MFM4" s="568"/>
      <c r="MFN4" s="568"/>
      <c r="MFO4" s="568"/>
      <c r="MFP4" s="568"/>
      <c r="MFQ4" s="568"/>
      <c r="MFR4" s="568"/>
      <c r="MFS4" s="568"/>
      <c r="MFT4" s="568"/>
      <c r="MFU4" s="568"/>
      <c r="MFV4" s="568"/>
      <c r="MFW4" s="568"/>
      <c r="MFX4" s="568"/>
      <c r="MFY4" s="568"/>
      <c r="MFZ4" s="568"/>
      <c r="MGA4" s="568"/>
      <c r="MGB4" s="568"/>
      <c r="MGC4" s="568"/>
      <c r="MGD4" s="568"/>
      <c r="MGE4" s="568"/>
      <c r="MGF4" s="568"/>
      <c r="MGG4" s="568"/>
      <c r="MGH4" s="568"/>
      <c r="MGI4" s="568"/>
      <c r="MGJ4" s="568"/>
      <c r="MGK4" s="568"/>
      <c r="MGL4" s="568"/>
      <c r="MGM4" s="568"/>
      <c r="MGN4" s="568"/>
      <c r="MGO4" s="568"/>
      <c r="MGP4" s="568"/>
      <c r="MGQ4" s="568"/>
      <c r="MGR4" s="568"/>
      <c r="MGS4" s="568"/>
      <c r="MGT4" s="568"/>
      <c r="MGU4" s="568"/>
      <c r="MGV4" s="568"/>
      <c r="MGW4" s="568"/>
      <c r="MGX4" s="568"/>
      <c r="MGY4" s="568"/>
      <c r="MGZ4" s="568"/>
      <c r="MHA4" s="568"/>
      <c r="MHB4" s="568"/>
      <c r="MHC4" s="568"/>
      <c r="MHD4" s="568"/>
      <c r="MHE4" s="568"/>
      <c r="MHF4" s="568"/>
      <c r="MHG4" s="568"/>
      <c r="MHH4" s="568"/>
      <c r="MHI4" s="568"/>
      <c r="MHJ4" s="568"/>
      <c r="MHK4" s="568"/>
      <c r="MHL4" s="568"/>
      <c r="MHM4" s="568"/>
      <c r="MHN4" s="568"/>
      <c r="MHO4" s="568"/>
      <c r="MHP4" s="568"/>
      <c r="MHQ4" s="568"/>
      <c r="MHR4" s="568"/>
      <c r="MHS4" s="568"/>
      <c r="MHT4" s="568"/>
      <c r="MHU4" s="568"/>
      <c r="MHV4" s="568"/>
      <c r="MHW4" s="568"/>
      <c r="MHX4" s="568"/>
      <c r="MHY4" s="568"/>
      <c r="MHZ4" s="568"/>
      <c r="MIA4" s="568"/>
      <c r="MIB4" s="568"/>
      <c r="MIC4" s="568"/>
      <c r="MID4" s="568"/>
      <c r="MIE4" s="568"/>
      <c r="MIF4" s="568"/>
      <c r="MIG4" s="568"/>
      <c r="MIH4" s="568"/>
      <c r="MII4" s="568"/>
      <c r="MIJ4" s="568"/>
      <c r="MIK4" s="568"/>
      <c r="MIL4" s="568"/>
      <c r="MIM4" s="568"/>
      <c r="MIN4" s="568"/>
      <c r="MIO4" s="568"/>
      <c r="MIP4" s="568"/>
      <c r="MIQ4" s="568"/>
      <c r="MIR4" s="568"/>
      <c r="MIS4" s="568"/>
      <c r="MIT4" s="568"/>
      <c r="MIU4" s="568"/>
      <c r="MIV4" s="568"/>
      <c r="MIW4" s="568"/>
      <c r="MIX4" s="568"/>
      <c r="MIY4" s="568"/>
      <c r="MIZ4" s="568"/>
      <c r="MJA4" s="568"/>
      <c r="MJB4" s="568"/>
      <c r="MJC4" s="568"/>
      <c r="MJD4" s="568"/>
      <c r="MJE4" s="568"/>
      <c r="MJF4" s="568"/>
      <c r="MJG4" s="568"/>
      <c r="MJH4" s="568"/>
      <c r="MJI4" s="568"/>
      <c r="MJJ4" s="568"/>
      <c r="MJK4" s="568"/>
      <c r="MJL4" s="568"/>
      <c r="MJM4" s="568"/>
      <c r="MJN4" s="568"/>
      <c r="MJO4" s="568"/>
      <c r="MJP4" s="568"/>
      <c r="MJQ4" s="568"/>
      <c r="MJR4" s="568"/>
      <c r="MJS4" s="568"/>
      <c r="MJT4" s="568"/>
      <c r="MJU4" s="568"/>
      <c r="MJV4" s="568"/>
      <c r="MJW4" s="568"/>
      <c r="MJX4" s="568"/>
      <c r="MJY4" s="568"/>
      <c r="MJZ4" s="568"/>
      <c r="MKA4" s="568"/>
      <c r="MKB4" s="568"/>
      <c r="MKC4" s="568"/>
      <c r="MKD4" s="568"/>
      <c r="MKE4" s="568"/>
      <c r="MKF4" s="568"/>
      <c r="MKG4" s="568"/>
      <c r="MKH4" s="568"/>
      <c r="MKI4" s="568"/>
      <c r="MKJ4" s="568"/>
      <c r="MKK4" s="568"/>
      <c r="MKL4" s="568"/>
      <c r="MKM4" s="568"/>
      <c r="MKN4" s="568"/>
      <c r="MKO4" s="568"/>
      <c r="MKP4" s="568"/>
      <c r="MKQ4" s="568"/>
      <c r="MKR4" s="568"/>
      <c r="MKS4" s="568"/>
      <c r="MKT4" s="568"/>
      <c r="MKU4" s="568"/>
      <c r="MKV4" s="568"/>
      <c r="MKW4" s="568"/>
      <c r="MKX4" s="568"/>
      <c r="MKY4" s="568"/>
      <c r="MKZ4" s="568"/>
      <c r="MLA4" s="568"/>
      <c r="MLB4" s="568"/>
      <c r="MLC4" s="568"/>
      <c r="MLD4" s="568"/>
      <c r="MLE4" s="568"/>
      <c r="MLF4" s="568"/>
      <c r="MLG4" s="568"/>
      <c r="MLH4" s="568"/>
      <c r="MLI4" s="568"/>
      <c r="MLJ4" s="568"/>
      <c r="MLK4" s="568"/>
      <c r="MLL4" s="568"/>
      <c r="MLM4" s="568"/>
      <c r="MLN4" s="568"/>
      <c r="MLO4" s="568"/>
      <c r="MLP4" s="568"/>
      <c r="MLQ4" s="568"/>
      <c r="MLR4" s="568"/>
      <c r="MLS4" s="568"/>
      <c r="MLT4" s="568"/>
      <c r="MLU4" s="568"/>
      <c r="MLV4" s="568"/>
      <c r="MLW4" s="568"/>
      <c r="MLX4" s="568"/>
      <c r="MLY4" s="568"/>
      <c r="MLZ4" s="568"/>
      <c r="MMA4" s="568"/>
      <c r="MMB4" s="568"/>
      <c r="MMC4" s="568"/>
      <c r="MMD4" s="568"/>
      <c r="MME4" s="568"/>
      <c r="MMF4" s="568"/>
      <c r="MMG4" s="568"/>
      <c r="MMH4" s="568"/>
      <c r="MMI4" s="568"/>
      <c r="MMJ4" s="568"/>
      <c r="MMK4" s="568"/>
      <c r="MML4" s="568"/>
      <c r="MMM4" s="568"/>
      <c r="MMN4" s="568"/>
      <c r="MMO4" s="568"/>
      <c r="MMP4" s="568"/>
      <c r="MMQ4" s="568"/>
      <c r="MMR4" s="568"/>
      <c r="MMS4" s="568"/>
      <c r="MMT4" s="568"/>
      <c r="MMU4" s="568"/>
      <c r="MMV4" s="568"/>
      <c r="MMW4" s="568"/>
      <c r="MMX4" s="568"/>
      <c r="MMY4" s="568"/>
      <c r="MMZ4" s="568"/>
      <c r="MNA4" s="568"/>
      <c r="MNB4" s="568"/>
      <c r="MNC4" s="568"/>
      <c r="MND4" s="568"/>
      <c r="MNE4" s="568"/>
      <c r="MNF4" s="568"/>
      <c r="MNG4" s="568"/>
      <c r="MNH4" s="568"/>
      <c r="MNI4" s="568"/>
      <c r="MNJ4" s="568"/>
      <c r="MNK4" s="568"/>
      <c r="MNL4" s="568"/>
      <c r="MNM4" s="568"/>
      <c r="MNN4" s="568"/>
      <c r="MNO4" s="568"/>
      <c r="MNP4" s="568"/>
      <c r="MNQ4" s="568"/>
      <c r="MNR4" s="568"/>
      <c r="MNS4" s="568"/>
      <c r="MNT4" s="568"/>
      <c r="MNU4" s="568"/>
      <c r="MNV4" s="568"/>
      <c r="MNW4" s="568"/>
      <c r="MNX4" s="568"/>
      <c r="MNY4" s="568"/>
      <c r="MNZ4" s="568"/>
      <c r="MOA4" s="568"/>
      <c r="MOB4" s="568"/>
      <c r="MOC4" s="568"/>
      <c r="MOD4" s="568"/>
      <c r="MOE4" s="568"/>
      <c r="MOF4" s="568"/>
      <c r="MOG4" s="568"/>
      <c r="MOH4" s="568"/>
      <c r="MOI4" s="568"/>
      <c r="MOJ4" s="568"/>
      <c r="MOK4" s="568"/>
      <c r="MOL4" s="568"/>
      <c r="MOM4" s="568"/>
      <c r="MON4" s="568"/>
      <c r="MOO4" s="568"/>
      <c r="MOP4" s="568"/>
      <c r="MOQ4" s="568"/>
      <c r="MOR4" s="568"/>
      <c r="MOS4" s="568"/>
      <c r="MOT4" s="568"/>
      <c r="MOU4" s="568"/>
      <c r="MOV4" s="568"/>
      <c r="MOW4" s="568"/>
      <c r="MOX4" s="568"/>
      <c r="MOY4" s="568"/>
      <c r="MOZ4" s="568"/>
      <c r="MPA4" s="568"/>
      <c r="MPB4" s="568"/>
      <c r="MPC4" s="568"/>
      <c r="MPD4" s="568"/>
      <c r="MPE4" s="568"/>
      <c r="MPF4" s="568"/>
      <c r="MPG4" s="568"/>
      <c r="MPH4" s="568"/>
      <c r="MPI4" s="568"/>
      <c r="MPJ4" s="568"/>
      <c r="MPK4" s="568"/>
      <c r="MPL4" s="568"/>
      <c r="MPM4" s="568"/>
      <c r="MPN4" s="568"/>
      <c r="MPO4" s="568"/>
      <c r="MPP4" s="568"/>
      <c r="MPQ4" s="568"/>
      <c r="MPR4" s="568"/>
      <c r="MPS4" s="568"/>
      <c r="MPT4" s="568"/>
      <c r="MPU4" s="568"/>
      <c r="MPV4" s="568"/>
      <c r="MPW4" s="568"/>
      <c r="MPX4" s="568"/>
      <c r="MPY4" s="568"/>
      <c r="MPZ4" s="568"/>
      <c r="MQA4" s="568"/>
      <c r="MQB4" s="568"/>
      <c r="MQC4" s="568"/>
      <c r="MQD4" s="568"/>
      <c r="MQE4" s="568"/>
      <c r="MQF4" s="568"/>
      <c r="MQG4" s="568"/>
      <c r="MQH4" s="568"/>
      <c r="MQI4" s="568"/>
      <c r="MQJ4" s="568"/>
      <c r="MQK4" s="568"/>
      <c r="MQL4" s="568"/>
      <c r="MQM4" s="568"/>
      <c r="MQN4" s="568"/>
      <c r="MQO4" s="568"/>
      <c r="MQP4" s="568"/>
      <c r="MQQ4" s="568"/>
      <c r="MQR4" s="568"/>
      <c r="MQS4" s="568"/>
      <c r="MQT4" s="568"/>
      <c r="MQU4" s="568"/>
      <c r="MQV4" s="568"/>
      <c r="MQW4" s="568"/>
      <c r="MQX4" s="568"/>
      <c r="MQY4" s="568"/>
      <c r="MQZ4" s="568"/>
      <c r="MRA4" s="568"/>
      <c r="MRB4" s="568"/>
      <c r="MRC4" s="568"/>
      <c r="MRD4" s="568"/>
      <c r="MRE4" s="568"/>
      <c r="MRF4" s="568"/>
      <c r="MRG4" s="568"/>
      <c r="MRH4" s="568"/>
      <c r="MRI4" s="568"/>
      <c r="MRJ4" s="568"/>
      <c r="MRK4" s="568"/>
      <c r="MRL4" s="568"/>
      <c r="MRM4" s="568"/>
      <c r="MRN4" s="568"/>
      <c r="MRO4" s="568"/>
      <c r="MRP4" s="568"/>
      <c r="MRQ4" s="568"/>
      <c r="MRR4" s="568"/>
      <c r="MRS4" s="568"/>
      <c r="MRT4" s="568"/>
      <c r="MRU4" s="568"/>
      <c r="MRV4" s="568"/>
      <c r="MRW4" s="568"/>
      <c r="MRX4" s="568"/>
      <c r="MRY4" s="568"/>
      <c r="MRZ4" s="568"/>
      <c r="MSA4" s="568"/>
      <c r="MSB4" s="568"/>
      <c r="MSC4" s="568"/>
      <c r="MSD4" s="568"/>
      <c r="MSE4" s="568"/>
      <c r="MSF4" s="568"/>
      <c r="MSG4" s="568"/>
      <c r="MSH4" s="568"/>
      <c r="MSI4" s="568"/>
      <c r="MSJ4" s="568"/>
      <c r="MSK4" s="568"/>
      <c r="MSL4" s="568"/>
      <c r="MSM4" s="568"/>
      <c r="MSN4" s="568"/>
      <c r="MSO4" s="568"/>
      <c r="MSP4" s="568"/>
      <c r="MSQ4" s="568"/>
      <c r="MSR4" s="568"/>
      <c r="MSS4" s="568"/>
      <c r="MST4" s="568"/>
      <c r="MSU4" s="568"/>
      <c r="MSV4" s="568"/>
      <c r="MSW4" s="568"/>
      <c r="MSX4" s="568"/>
      <c r="MSY4" s="568"/>
      <c r="MSZ4" s="568"/>
      <c r="MTA4" s="568"/>
      <c r="MTB4" s="568"/>
      <c r="MTC4" s="568"/>
      <c r="MTD4" s="568"/>
      <c r="MTE4" s="568"/>
      <c r="MTF4" s="568"/>
      <c r="MTG4" s="568"/>
      <c r="MTH4" s="568"/>
      <c r="MTI4" s="568"/>
      <c r="MTJ4" s="568"/>
      <c r="MTK4" s="568"/>
      <c r="MTL4" s="568"/>
      <c r="MTM4" s="568"/>
      <c r="MTN4" s="568"/>
      <c r="MTO4" s="568"/>
      <c r="MTP4" s="568"/>
      <c r="MTQ4" s="568"/>
      <c r="MTR4" s="568"/>
      <c r="MTS4" s="568"/>
      <c r="MTT4" s="568"/>
      <c r="MTU4" s="568"/>
      <c r="MTV4" s="568"/>
      <c r="MTW4" s="568"/>
      <c r="MTX4" s="568"/>
      <c r="MTY4" s="568"/>
      <c r="MTZ4" s="568"/>
      <c r="MUA4" s="568"/>
      <c r="MUB4" s="568"/>
      <c r="MUC4" s="568"/>
      <c r="MUD4" s="568"/>
      <c r="MUE4" s="568"/>
      <c r="MUF4" s="568"/>
      <c r="MUG4" s="568"/>
      <c r="MUH4" s="568"/>
      <c r="MUI4" s="568"/>
      <c r="MUJ4" s="568"/>
      <c r="MUK4" s="568"/>
      <c r="MUL4" s="568"/>
      <c r="MUM4" s="568"/>
      <c r="MUN4" s="568"/>
      <c r="MUO4" s="568"/>
      <c r="MUP4" s="568"/>
      <c r="MUQ4" s="568"/>
      <c r="MUR4" s="568"/>
      <c r="MUS4" s="568"/>
      <c r="MUT4" s="568"/>
      <c r="MUU4" s="568"/>
      <c r="MUV4" s="568"/>
      <c r="MUW4" s="568"/>
      <c r="MUX4" s="568"/>
      <c r="MUY4" s="568"/>
      <c r="MUZ4" s="568"/>
      <c r="MVA4" s="568"/>
      <c r="MVB4" s="568"/>
      <c r="MVC4" s="568"/>
      <c r="MVD4" s="568"/>
      <c r="MVE4" s="568"/>
      <c r="MVF4" s="568"/>
      <c r="MVG4" s="568"/>
      <c r="MVH4" s="568"/>
      <c r="MVI4" s="568"/>
      <c r="MVJ4" s="568"/>
      <c r="MVK4" s="568"/>
      <c r="MVL4" s="568"/>
      <c r="MVM4" s="568"/>
      <c r="MVN4" s="568"/>
      <c r="MVO4" s="568"/>
      <c r="MVP4" s="568"/>
      <c r="MVQ4" s="568"/>
      <c r="MVR4" s="568"/>
      <c r="MVS4" s="568"/>
      <c r="MVT4" s="568"/>
      <c r="MVU4" s="568"/>
      <c r="MVV4" s="568"/>
      <c r="MVW4" s="568"/>
      <c r="MVX4" s="568"/>
      <c r="MVY4" s="568"/>
      <c r="MVZ4" s="568"/>
      <c r="MWA4" s="568"/>
      <c r="MWB4" s="568"/>
      <c r="MWC4" s="568"/>
      <c r="MWD4" s="568"/>
      <c r="MWE4" s="568"/>
      <c r="MWF4" s="568"/>
      <c r="MWG4" s="568"/>
      <c r="MWH4" s="568"/>
      <c r="MWI4" s="568"/>
      <c r="MWJ4" s="568"/>
      <c r="MWK4" s="568"/>
      <c r="MWL4" s="568"/>
      <c r="MWM4" s="568"/>
      <c r="MWN4" s="568"/>
      <c r="MWO4" s="568"/>
      <c r="MWP4" s="568"/>
      <c r="MWQ4" s="568"/>
      <c r="MWR4" s="568"/>
      <c r="MWS4" s="568"/>
      <c r="MWT4" s="568"/>
      <c r="MWU4" s="568"/>
      <c r="MWV4" s="568"/>
      <c r="MWW4" s="568"/>
      <c r="MWX4" s="568"/>
      <c r="MWY4" s="568"/>
      <c r="MWZ4" s="568"/>
      <c r="MXA4" s="568"/>
      <c r="MXB4" s="568"/>
      <c r="MXC4" s="568"/>
      <c r="MXD4" s="568"/>
      <c r="MXE4" s="568"/>
      <c r="MXF4" s="568"/>
      <c r="MXG4" s="568"/>
      <c r="MXH4" s="568"/>
      <c r="MXI4" s="568"/>
      <c r="MXJ4" s="568"/>
      <c r="MXK4" s="568"/>
      <c r="MXL4" s="568"/>
      <c r="MXM4" s="568"/>
      <c r="MXN4" s="568"/>
      <c r="MXO4" s="568"/>
      <c r="MXP4" s="568"/>
      <c r="MXQ4" s="568"/>
      <c r="MXR4" s="568"/>
      <c r="MXS4" s="568"/>
      <c r="MXT4" s="568"/>
      <c r="MXU4" s="568"/>
      <c r="MXV4" s="568"/>
      <c r="MXW4" s="568"/>
      <c r="MXX4" s="568"/>
      <c r="MXY4" s="568"/>
      <c r="MXZ4" s="568"/>
      <c r="MYA4" s="568"/>
      <c r="MYB4" s="568"/>
      <c r="MYC4" s="568"/>
      <c r="MYD4" s="568"/>
      <c r="MYE4" s="568"/>
      <c r="MYF4" s="568"/>
      <c r="MYG4" s="568"/>
      <c r="MYH4" s="568"/>
      <c r="MYI4" s="568"/>
      <c r="MYJ4" s="568"/>
      <c r="MYK4" s="568"/>
      <c r="MYL4" s="568"/>
      <c r="MYM4" s="568"/>
      <c r="MYN4" s="568"/>
      <c r="MYO4" s="568"/>
      <c r="MYP4" s="568"/>
      <c r="MYQ4" s="568"/>
      <c r="MYR4" s="568"/>
      <c r="MYS4" s="568"/>
      <c r="MYT4" s="568"/>
      <c r="MYU4" s="568"/>
      <c r="MYV4" s="568"/>
      <c r="MYW4" s="568"/>
      <c r="MYX4" s="568"/>
      <c r="MYY4" s="568"/>
      <c r="MYZ4" s="568"/>
      <c r="MZA4" s="568"/>
      <c r="MZB4" s="568"/>
      <c r="MZC4" s="568"/>
      <c r="MZD4" s="568"/>
      <c r="MZE4" s="568"/>
      <c r="MZF4" s="568"/>
      <c r="MZG4" s="568"/>
      <c r="MZH4" s="568"/>
      <c r="MZI4" s="568"/>
      <c r="MZJ4" s="568"/>
      <c r="MZK4" s="568"/>
      <c r="MZL4" s="568"/>
      <c r="MZM4" s="568"/>
      <c r="MZN4" s="568"/>
      <c r="MZO4" s="568"/>
      <c r="MZP4" s="568"/>
      <c r="MZQ4" s="568"/>
      <c r="MZR4" s="568"/>
      <c r="MZS4" s="568"/>
      <c r="MZT4" s="568"/>
      <c r="MZU4" s="568"/>
      <c r="MZV4" s="568"/>
      <c r="MZW4" s="568"/>
      <c r="MZX4" s="568"/>
      <c r="MZY4" s="568"/>
      <c r="MZZ4" s="568"/>
      <c r="NAA4" s="568"/>
      <c r="NAB4" s="568"/>
      <c r="NAC4" s="568"/>
      <c r="NAD4" s="568"/>
      <c r="NAE4" s="568"/>
      <c r="NAF4" s="568"/>
      <c r="NAG4" s="568"/>
      <c r="NAH4" s="568"/>
      <c r="NAI4" s="568"/>
      <c r="NAJ4" s="568"/>
      <c r="NAK4" s="568"/>
      <c r="NAL4" s="568"/>
      <c r="NAM4" s="568"/>
      <c r="NAN4" s="568"/>
      <c r="NAO4" s="568"/>
      <c r="NAP4" s="568"/>
      <c r="NAQ4" s="568"/>
      <c r="NAR4" s="568"/>
      <c r="NAS4" s="568"/>
      <c r="NAT4" s="568"/>
      <c r="NAU4" s="568"/>
      <c r="NAV4" s="568"/>
      <c r="NAW4" s="568"/>
      <c r="NAX4" s="568"/>
      <c r="NAY4" s="568"/>
      <c r="NAZ4" s="568"/>
      <c r="NBA4" s="568"/>
      <c r="NBB4" s="568"/>
      <c r="NBC4" s="568"/>
      <c r="NBD4" s="568"/>
      <c r="NBE4" s="568"/>
      <c r="NBF4" s="568"/>
      <c r="NBG4" s="568"/>
      <c r="NBH4" s="568"/>
      <c r="NBI4" s="568"/>
      <c r="NBJ4" s="568"/>
      <c r="NBK4" s="568"/>
      <c r="NBL4" s="568"/>
      <c r="NBM4" s="568"/>
      <c r="NBN4" s="568"/>
      <c r="NBO4" s="568"/>
      <c r="NBP4" s="568"/>
      <c r="NBQ4" s="568"/>
      <c r="NBR4" s="568"/>
      <c r="NBS4" s="568"/>
      <c r="NBT4" s="568"/>
      <c r="NBU4" s="568"/>
      <c r="NBV4" s="568"/>
      <c r="NBW4" s="568"/>
      <c r="NBX4" s="568"/>
      <c r="NBY4" s="568"/>
      <c r="NBZ4" s="568"/>
      <c r="NCA4" s="568"/>
      <c r="NCB4" s="568"/>
      <c r="NCC4" s="568"/>
      <c r="NCD4" s="568"/>
      <c r="NCE4" s="568"/>
      <c r="NCF4" s="568"/>
      <c r="NCG4" s="568"/>
      <c r="NCH4" s="568"/>
      <c r="NCI4" s="568"/>
      <c r="NCJ4" s="568"/>
      <c r="NCK4" s="568"/>
      <c r="NCL4" s="568"/>
      <c r="NCM4" s="568"/>
      <c r="NCN4" s="568"/>
      <c r="NCO4" s="568"/>
      <c r="NCP4" s="568"/>
      <c r="NCQ4" s="568"/>
      <c r="NCR4" s="568"/>
      <c r="NCS4" s="568"/>
      <c r="NCT4" s="568"/>
      <c r="NCU4" s="568"/>
      <c r="NCV4" s="568"/>
      <c r="NCW4" s="568"/>
      <c r="NCX4" s="568"/>
      <c r="NCY4" s="568"/>
      <c r="NCZ4" s="568"/>
      <c r="NDA4" s="568"/>
      <c r="NDB4" s="568"/>
      <c r="NDC4" s="568"/>
      <c r="NDD4" s="568"/>
      <c r="NDE4" s="568"/>
      <c r="NDF4" s="568"/>
      <c r="NDG4" s="568"/>
      <c r="NDH4" s="568"/>
      <c r="NDI4" s="568"/>
      <c r="NDJ4" s="568"/>
      <c r="NDK4" s="568"/>
      <c r="NDL4" s="568"/>
      <c r="NDM4" s="568"/>
      <c r="NDN4" s="568"/>
      <c r="NDO4" s="568"/>
      <c r="NDP4" s="568"/>
      <c r="NDQ4" s="568"/>
      <c r="NDR4" s="568"/>
      <c r="NDS4" s="568"/>
      <c r="NDT4" s="568"/>
      <c r="NDU4" s="568"/>
      <c r="NDV4" s="568"/>
      <c r="NDW4" s="568"/>
      <c r="NDX4" s="568"/>
      <c r="NDY4" s="568"/>
      <c r="NDZ4" s="568"/>
      <c r="NEA4" s="568"/>
      <c r="NEB4" s="568"/>
      <c r="NEC4" s="568"/>
      <c r="NED4" s="568"/>
      <c r="NEE4" s="568"/>
      <c r="NEF4" s="568"/>
      <c r="NEG4" s="568"/>
      <c r="NEH4" s="568"/>
      <c r="NEI4" s="568"/>
      <c r="NEJ4" s="568"/>
      <c r="NEK4" s="568"/>
      <c r="NEL4" s="568"/>
      <c r="NEM4" s="568"/>
      <c r="NEN4" s="568"/>
      <c r="NEO4" s="568"/>
      <c r="NEP4" s="568"/>
      <c r="NEQ4" s="568"/>
      <c r="NER4" s="568"/>
      <c r="NES4" s="568"/>
      <c r="NET4" s="568"/>
      <c r="NEU4" s="568"/>
      <c r="NEV4" s="568"/>
      <c r="NEW4" s="568"/>
      <c r="NEX4" s="568"/>
      <c r="NEY4" s="568"/>
      <c r="NEZ4" s="568"/>
      <c r="NFA4" s="568"/>
      <c r="NFB4" s="568"/>
      <c r="NFC4" s="568"/>
      <c r="NFD4" s="568"/>
      <c r="NFE4" s="568"/>
      <c r="NFF4" s="568"/>
      <c r="NFG4" s="568"/>
      <c r="NFH4" s="568"/>
      <c r="NFI4" s="568"/>
      <c r="NFJ4" s="568"/>
      <c r="NFK4" s="568"/>
      <c r="NFL4" s="568"/>
      <c r="NFM4" s="568"/>
      <c r="NFN4" s="568"/>
      <c r="NFO4" s="568"/>
      <c r="NFP4" s="568"/>
      <c r="NFQ4" s="568"/>
      <c r="NFR4" s="568"/>
      <c r="NFS4" s="568"/>
      <c r="NFT4" s="568"/>
      <c r="NFU4" s="568"/>
      <c r="NFV4" s="568"/>
      <c r="NFW4" s="568"/>
      <c r="NFX4" s="568"/>
      <c r="NFY4" s="568"/>
      <c r="NFZ4" s="568"/>
      <c r="NGA4" s="568"/>
      <c r="NGB4" s="568"/>
      <c r="NGC4" s="568"/>
      <c r="NGD4" s="568"/>
      <c r="NGE4" s="568"/>
      <c r="NGF4" s="568"/>
      <c r="NGG4" s="568"/>
      <c r="NGH4" s="568"/>
      <c r="NGI4" s="568"/>
      <c r="NGJ4" s="568"/>
      <c r="NGK4" s="568"/>
      <c r="NGL4" s="568"/>
      <c r="NGM4" s="568"/>
      <c r="NGN4" s="568"/>
      <c r="NGO4" s="568"/>
      <c r="NGP4" s="568"/>
      <c r="NGQ4" s="568"/>
      <c r="NGR4" s="568"/>
      <c r="NGS4" s="568"/>
      <c r="NGT4" s="568"/>
      <c r="NGU4" s="568"/>
      <c r="NGV4" s="568"/>
      <c r="NGW4" s="568"/>
      <c r="NGX4" s="568"/>
      <c r="NGY4" s="568"/>
      <c r="NGZ4" s="568"/>
      <c r="NHA4" s="568"/>
      <c r="NHB4" s="568"/>
      <c r="NHC4" s="568"/>
      <c r="NHD4" s="568"/>
      <c r="NHE4" s="568"/>
      <c r="NHF4" s="568"/>
      <c r="NHG4" s="568"/>
      <c r="NHH4" s="568"/>
      <c r="NHI4" s="568"/>
      <c r="NHJ4" s="568"/>
      <c r="NHK4" s="568"/>
      <c r="NHL4" s="568"/>
      <c r="NHM4" s="568"/>
      <c r="NHN4" s="568"/>
      <c r="NHO4" s="568"/>
      <c r="NHP4" s="568"/>
      <c r="NHQ4" s="568"/>
      <c r="NHR4" s="568"/>
      <c r="NHS4" s="568"/>
      <c r="NHT4" s="568"/>
      <c r="NHU4" s="568"/>
      <c r="NHV4" s="568"/>
      <c r="NHW4" s="568"/>
      <c r="NHX4" s="568"/>
      <c r="NHY4" s="568"/>
      <c r="NHZ4" s="568"/>
      <c r="NIA4" s="568"/>
      <c r="NIB4" s="568"/>
      <c r="NIC4" s="568"/>
      <c r="NID4" s="568"/>
      <c r="NIE4" s="568"/>
      <c r="NIF4" s="568"/>
      <c r="NIG4" s="568"/>
      <c r="NIH4" s="568"/>
      <c r="NII4" s="568"/>
      <c r="NIJ4" s="568"/>
      <c r="NIK4" s="568"/>
      <c r="NIL4" s="568"/>
      <c r="NIM4" s="568"/>
      <c r="NIN4" s="568"/>
      <c r="NIO4" s="568"/>
      <c r="NIP4" s="568"/>
      <c r="NIQ4" s="568"/>
      <c r="NIR4" s="568"/>
      <c r="NIS4" s="568"/>
      <c r="NIT4" s="568"/>
      <c r="NIU4" s="568"/>
      <c r="NIV4" s="568"/>
      <c r="NIW4" s="568"/>
      <c r="NIX4" s="568"/>
      <c r="NIY4" s="568"/>
      <c r="NIZ4" s="568"/>
      <c r="NJA4" s="568"/>
      <c r="NJB4" s="568"/>
      <c r="NJC4" s="568"/>
      <c r="NJD4" s="568"/>
      <c r="NJE4" s="568"/>
      <c r="NJF4" s="568"/>
      <c r="NJG4" s="568"/>
      <c r="NJH4" s="568"/>
      <c r="NJI4" s="568"/>
      <c r="NJJ4" s="568"/>
      <c r="NJK4" s="568"/>
      <c r="NJL4" s="568"/>
      <c r="NJM4" s="568"/>
      <c r="NJN4" s="568"/>
      <c r="NJO4" s="568"/>
      <c r="NJP4" s="568"/>
      <c r="NJQ4" s="568"/>
      <c r="NJR4" s="568"/>
      <c r="NJS4" s="568"/>
      <c r="NJT4" s="568"/>
      <c r="NJU4" s="568"/>
      <c r="NJV4" s="568"/>
      <c r="NJW4" s="568"/>
      <c r="NJX4" s="568"/>
      <c r="NJY4" s="568"/>
      <c r="NJZ4" s="568"/>
      <c r="NKA4" s="568"/>
      <c r="NKB4" s="568"/>
      <c r="NKC4" s="568"/>
      <c r="NKD4" s="568"/>
      <c r="NKE4" s="568"/>
      <c r="NKF4" s="568"/>
      <c r="NKG4" s="568"/>
      <c r="NKH4" s="568"/>
      <c r="NKI4" s="568"/>
      <c r="NKJ4" s="568"/>
      <c r="NKK4" s="568"/>
      <c r="NKL4" s="568"/>
      <c r="NKM4" s="568"/>
      <c r="NKN4" s="568"/>
      <c r="NKO4" s="568"/>
      <c r="NKP4" s="568"/>
      <c r="NKQ4" s="568"/>
      <c r="NKR4" s="568"/>
      <c r="NKS4" s="568"/>
      <c r="NKT4" s="568"/>
      <c r="NKU4" s="568"/>
      <c r="NKV4" s="568"/>
      <c r="NKW4" s="568"/>
      <c r="NKX4" s="568"/>
      <c r="NKY4" s="568"/>
      <c r="NKZ4" s="568"/>
      <c r="NLA4" s="568"/>
      <c r="NLB4" s="568"/>
      <c r="NLC4" s="568"/>
      <c r="NLD4" s="568"/>
      <c r="NLE4" s="568"/>
      <c r="NLF4" s="568"/>
      <c r="NLG4" s="568"/>
      <c r="NLH4" s="568"/>
      <c r="NLI4" s="568"/>
      <c r="NLJ4" s="568"/>
      <c r="NLK4" s="568"/>
      <c r="NLL4" s="568"/>
      <c r="NLM4" s="568"/>
      <c r="NLN4" s="568"/>
      <c r="NLO4" s="568"/>
      <c r="NLP4" s="568"/>
      <c r="NLQ4" s="568"/>
      <c r="NLR4" s="568"/>
      <c r="NLS4" s="568"/>
      <c r="NLT4" s="568"/>
      <c r="NLU4" s="568"/>
      <c r="NLV4" s="568"/>
      <c r="NLW4" s="568"/>
      <c r="NLX4" s="568"/>
      <c r="NLY4" s="568"/>
      <c r="NLZ4" s="568"/>
      <c r="NMA4" s="568"/>
      <c r="NMB4" s="568"/>
      <c r="NMC4" s="568"/>
      <c r="NMD4" s="568"/>
      <c r="NME4" s="568"/>
      <c r="NMF4" s="568"/>
      <c r="NMG4" s="568"/>
      <c r="NMH4" s="568"/>
      <c r="NMI4" s="568"/>
      <c r="NMJ4" s="568"/>
      <c r="NMK4" s="568"/>
      <c r="NML4" s="568"/>
      <c r="NMM4" s="568"/>
      <c r="NMN4" s="568"/>
      <c r="NMO4" s="568"/>
      <c r="NMP4" s="568"/>
      <c r="NMQ4" s="568"/>
      <c r="NMR4" s="568"/>
      <c r="NMS4" s="568"/>
      <c r="NMT4" s="568"/>
      <c r="NMU4" s="568"/>
      <c r="NMV4" s="568"/>
      <c r="NMW4" s="568"/>
      <c r="NMX4" s="568"/>
      <c r="NMY4" s="568"/>
      <c r="NMZ4" s="568"/>
      <c r="NNA4" s="568"/>
      <c r="NNB4" s="568"/>
      <c r="NNC4" s="568"/>
      <c r="NND4" s="568"/>
      <c r="NNE4" s="568"/>
      <c r="NNF4" s="568"/>
      <c r="NNG4" s="568"/>
      <c r="NNH4" s="568"/>
      <c r="NNI4" s="568"/>
      <c r="NNJ4" s="568"/>
      <c r="NNK4" s="568"/>
      <c r="NNL4" s="568"/>
      <c r="NNM4" s="568"/>
      <c r="NNN4" s="568"/>
      <c r="NNO4" s="568"/>
      <c r="NNP4" s="568"/>
      <c r="NNQ4" s="568"/>
      <c r="NNR4" s="568"/>
      <c r="NNS4" s="568"/>
      <c r="NNT4" s="568"/>
      <c r="NNU4" s="568"/>
      <c r="NNV4" s="568"/>
      <c r="NNW4" s="568"/>
      <c r="NNX4" s="568"/>
      <c r="NNY4" s="568"/>
      <c r="NNZ4" s="568"/>
      <c r="NOA4" s="568"/>
      <c r="NOB4" s="568"/>
      <c r="NOC4" s="568"/>
      <c r="NOD4" s="568"/>
      <c r="NOE4" s="568"/>
      <c r="NOF4" s="568"/>
      <c r="NOG4" s="568"/>
      <c r="NOH4" s="568"/>
      <c r="NOI4" s="568"/>
      <c r="NOJ4" s="568"/>
      <c r="NOK4" s="568"/>
      <c r="NOL4" s="568"/>
      <c r="NOM4" s="568"/>
      <c r="NON4" s="568"/>
      <c r="NOO4" s="568"/>
      <c r="NOP4" s="568"/>
      <c r="NOQ4" s="568"/>
      <c r="NOR4" s="568"/>
      <c r="NOS4" s="568"/>
      <c r="NOT4" s="568"/>
      <c r="NOU4" s="568"/>
      <c r="NOV4" s="568"/>
      <c r="NOW4" s="568"/>
      <c r="NOX4" s="568"/>
      <c r="NOY4" s="568"/>
      <c r="NOZ4" s="568"/>
      <c r="NPA4" s="568"/>
      <c r="NPB4" s="568"/>
      <c r="NPC4" s="568"/>
      <c r="NPD4" s="568"/>
      <c r="NPE4" s="568"/>
      <c r="NPF4" s="568"/>
      <c r="NPG4" s="568"/>
      <c r="NPH4" s="568"/>
      <c r="NPI4" s="568"/>
      <c r="NPJ4" s="568"/>
      <c r="NPK4" s="568"/>
      <c r="NPL4" s="568"/>
      <c r="NPM4" s="568"/>
      <c r="NPN4" s="568"/>
      <c r="NPO4" s="568"/>
      <c r="NPP4" s="568"/>
      <c r="NPQ4" s="568"/>
      <c r="NPR4" s="568"/>
      <c r="NPS4" s="568"/>
      <c r="NPT4" s="568"/>
      <c r="NPU4" s="568"/>
      <c r="NPV4" s="568"/>
      <c r="NPW4" s="568"/>
      <c r="NPX4" s="568"/>
      <c r="NPY4" s="568"/>
      <c r="NPZ4" s="568"/>
      <c r="NQA4" s="568"/>
      <c r="NQB4" s="568"/>
      <c r="NQC4" s="568"/>
      <c r="NQD4" s="568"/>
      <c r="NQE4" s="568"/>
      <c r="NQF4" s="568"/>
      <c r="NQG4" s="568"/>
      <c r="NQH4" s="568"/>
      <c r="NQI4" s="568"/>
      <c r="NQJ4" s="568"/>
      <c r="NQK4" s="568"/>
      <c r="NQL4" s="568"/>
      <c r="NQM4" s="568"/>
      <c r="NQN4" s="568"/>
      <c r="NQO4" s="568"/>
      <c r="NQP4" s="568"/>
      <c r="NQQ4" s="568"/>
      <c r="NQR4" s="568"/>
      <c r="NQS4" s="568"/>
      <c r="NQT4" s="568"/>
      <c r="NQU4" s="568"/>
      <c r="NQV4" s="568"/>
      <c r="NQW4" s="568"/>
      <c r="NQX4" s="568"/>
      <c r="NQY4" s="568"/>
      <c r="NQZ4" s="568"/>
      <c r="NRA4" s="568"/>
      <c r="NRB4" s="568"/>
      <c r="NRC4" s="568"/>
      <c r="NRD4" s="568"/>
      <c r="NRE4" s="568"/>
      <c r="NRF4" s="568"/>
      <c r="NRG4" s="568"/>
      <c r="NRH4" s="568"/>
      <c r="NRI4" s="568"/>
      <c r="NRJ4" s="568"/>
      <c r="NRK4" s="568"/>
      <c r="NRL4" s="568"/>
      <c r="NRM4" s="568"/>
      <c r="NRN4" s="568"/>
      <c r="NRO4" s="568"/>
      <c r="NRP4" s="568"/>
      <c r="NRQ4" s="568"/>
      <c r="NRR4" s="568"/>
      <c r="NRS4" s="568"/>
      <c r="NRT4" s="568"/>
      <c r="NRU4" s="568"/>
      <c r="NRV4" s="568"/>
      <c r="NRW4" s="568"/>
      <c r="NRX4" s="568"/>
      <c r="NRY4" s="568"/>
      <c r="NRZ4" s="568"/>
      <c r="NSA4" s="568"/>
      <c r="NSB4" s="568"/>
      <c r="NSC4" s="568"/>
      <c r="NSD4" s="568"/>
      <c r="NSE4" s="568"/>
      <c r="NSF4" s="568"/>
      <c r="NSG4" s="568"/>
      <c r="NSH4" s="568"/>
      <c r="NSI4" s="568"/>
      <c r="NSJ4" s="568"/>
      <c r="NSK4" s="568"/>
      <c r="NSL4" s="568"/>
      <c r="NSM4" s="568"/>
      <c r="NSN4" s="568"/>
      <c r="NSO4" s="568"/>
      <c r="NSP4" s="568"/>
      <c r="NSQ4" s="568"/>
      <c r="NSR4" s="568"/>
      <c r="NSS4" s="568"/>
      <c r="NST4" s="568"/>
      <c r="NSU4" s="568"/>
      <c r="NSV4" s="568"/>
      <c r="NSW4" s="568"/>
      <c r="NSX4" s="568"/>
      <c r="NSY4" s="568"/>
      <c r="NSZ4" s="568"/>
      <c r="NTA4" s="568"/>
      <c r="NTB4" s="568"/>
      <c r="NTC4" s="568"/>
      <c r="NTD4" s="568"/>
      <c r="NTE4" s="568"/>
      <c r="NTF4" s="568"/>
      <c r="NTG4" s="568"/>
      <c r="NTH4" s="568"/>
      <c r="NTI4" s="568"/>
      <c r="NTJ4" s="568"/>
      <c r="NTK4" s="568"/>
      <c r="NTL4" s="568"/>
      <c r="NTM4" s="568"/>
      <c r="NTN4" s="568"/>
      <c r="NTO4" s="568"/>
      <c r="NTP4" s="568"/>
      <c r="NTQ4" s="568"/>
      <c r="NTR4" s="568"/>
      <c r="NTS4" s="568"/>
      <c r="NTT4" s="568"/>
      <c r="NTU4" s="568"/>
      <c r="NTV4" s="568"/>
      <c r="NTW4" s="568"/>
      <c r="NTX4" s="568"/>
      <c r="NTY4" s="568"/>
      <c r="NTZ4" s="568"/>
      <c r="NUA4" s="568"/>
      <c r="NUB4" s="568"/>
      <c r="NUC4" s="568"/>
      <c r="NUD4" s="568"/>
      <c r="NUE4" s="568"/>
      <c r="NUF4" s="568"/>
      <c r="NUG4" s="568"/>
      <c r="NUH4" s="568"/>
      <c r="NUI4" s="568"/>
      <c r="NUJ4" s="568"/>
      <c r="NUK4" s="568"/>
      <c r="NUL4" s="568"/>
      <c r="NUM4" s="568"/>
      <c r="NUN4" s="568"/>
      <c r="NUO4" s="568"/>
      <c r="NUP4" s="568"/>
      <c r="NUQ4" s="568"/>
      <c r="NUR4" s="568"/>
      <c r="NUS4" s="568"/>
      <c r="NUT4" s="568"/>
      <c r="NUU4" s="568"/>
      <c r="NUV4" s="568"/>
      <c r="NUW4" s="568"/>
      <c r="NUX4" s="568"/>
      <c r="NUY4" s="568"/>
      <c r="NUZ4" s="568"/>
      <c r="NVA4" s="568"/>
      <c r="NVB4" s="568"/>
      <c r="NVC4" s="568"/>
      <c r="NVD4" s="568"/>
      <c r="NVE4" s="568"/>
      <c r="NVF4" s="568"/>
      <c r="NVG4" s="568"/>
      <c r="NVH4" s="568"/>
      <c r="NVI4" s="568"/>
      <c r="NVJ4" s="568"/>
      <c r="NVK4" s="568"/>
      <c r="NVL4" s="568"/>
      <c r="NVM4" s="568"/>
      <c r="NVN4" s="568"/>
      <c r="NVO4" s="568"/>
      <c r="NVP4" s="568"/>
      <c r="NVQ4" s="568"/>
      <c r="NVR4" s="568"/>
      <c r="NVS4" s="568"/>
      <c r="NVT4" s="568"/>
      <c r="NVU4" s="568"/>
      <c r="NVV4" s="568"/>
      <c r="NVW4" s="568"/>
      <c r="NVX4" s="568"/>
      <c r="NVY4" s="568"/>
      <c r="NVZ4" s="568"/>
      <c r="NWA4" s="568"/>
      <c r="NWB4" s="568"/>
      <c r="NWC4" s="568"/>
      <c r="NWD4" s="568"/>
      <c r="NWE4" s="568"/>
      <c r="NWF4" s="568"/>
      <c r="NWG4" s="568"/>
      <c r="NWH4" s="568"/>
      <c r="NWI4" s="568"/>
      <c r="NWJ4" s="568"/>
      <c r="NWK4" s="568"/>
      <c r="NWL4" s="568"/>
      <c r="NWM4" s="568"/>
      <c r="NWN4" s="568"/>
      <c r="NWO4" s="568"/>
      <c r="NWP4" s="568"/>
      <c r="NWQ4" s="568"/>
      <c r="NWR4" s="568"/>
      <c r="NWS4" s="568"/>
      <c r="NWT4" s="568"/>
      <c r="NWU4" s="568"/>
      <c r="NWV4" s="568"/>
      <c r="NWW4" s="568"/>
      <c r="NWX4" s="568"/>
      <c r="NWY4" s="568"/>
      <c r="NWZ4" s="568"/>
      <c r="NXA4" s="568"/>
      <c r="NXB4" s="568"/>
      <c r="NXC4" s="568"/>
      <c r="NXD4" s="568"/>
      <c r="NXE4" s="568"/>
      <c r="NXF4" s="568"/>
      <c r="NXG4" s="568"/>
      <c r="NXH4" s="568"/>
      <c r="NXI4" s="568"/>
      <c r="NXJ4" s="568"/>
      <c r="NXK4" s="568"/>
      <c r="NXL4" s="568"/>
      <c r="NXM4" s="568"/>
      <c r="NXN4" s="568"/>
      <c r="NXO4" s="568"/>
      <c r="NXP4" s="568"/>
      <c r="NXQ4" s="568"/>
      <c r="NXR4" s="568"/>
      <c r="NXS4" s="568"/>
      <c r="NXT4" s="568"/>
      <c r="NXU4" s="568"/>
      <c r="NXV4" s="568"/>
      <c r="NXW4" s="568"/>
      <c r="NXX4" s="568"/>
      <c r="NXY4" s="568"/>
      <c r="NXZ4" s="568"/>
      <c r="NYA4" s="568"/>
      <c r="NYB4" s="568"/>
      <c r="NYC4" s="568"/>
      <c r="NYD4" s="568"/>
      <c r="NYE4" s="568"/>
      <c r="NYF4" s="568"/>
      <c r="NYG4" s="568"/>
      <c r="NYH4" s="568"/>
      <c r="NYI4" s="568"/>
      <c r="NYJ4" s="568"/>
      <c r="NYK4" s="568"/>
      <c r="NYL4" s="568"/>
      <c r="NYM4" s="568"/>
      <c r="NYN4" s="568"/>
      <c r="NYO4" s="568"/>
      <c r="NYP4" s="568"/>
      <c r="NYQ4" s="568"/>
      <c r="NYR4" s="568"/>
      <c r="NYS4" s="568"/>
      <c r="NYT4" s="568"/>
      <c r="NYU4" s="568"/>
      <c r="NYV4" s="568"/>
      <c r="NYW4" s="568"/>
      <c r="NYX4" s="568"/>
      <c r="NYY4" s="568"/>
      <c r="NYZ4" s="568"/>
      <c r="NZA4" s="568"/>
      <c r="NZB4" s="568"/>
      <c r="NZC4" s="568"/>
      <c r="NZD4" s="568"/>
      <c r="NZE4" s="568"/>
      <c r="NZF4" s="568"/>
      <c r="NZG4" s="568"/>
      <c r="NZH4" s="568"/>
      <c r="NZI4" s="568"/>
      <c r="NZJ4" s="568"/>
      <c r="NZK4" s="568"/>
      <c r="NZL4" s="568"/>
      <c r="NZM4" s="568"/>
      <c r="NZN4" s="568"/>
      <c r="NZO4" s="568"/>
      <c r="NZP4" s="568"/>
      <c r="NZQ4" s="568"/>
      <c r="NZR4" s="568"/>
      <c r="NZS4" s="568"/>
      <c r="NZT4" s="568"/>
      <c r="NZU4" s="568"/>
      <c r="NZV4" s="568"/>
      <c r="NZW4" s="568"/>
      <c r="NZX4" s="568"/>
      <c r="NZY4" s="568"/>
      <c r="NZZ4" s="568"/>
      <c r="OAA4" s="568"/>
      <c r="OAB4" s="568"/>
      <c r="OAC4" s="568"/>
      <c r="OAD4" s="568"/>
      <c r="OAE4" s="568"/>
      <c r="OAF4" s="568"/>
      <c r="OAG4" s="568"/>
      <c r="OAH4" s="568"/>
      <c r="OAI4" s="568"/>
      <c r="OAJ4" s="568"/>
      <c r="OAK4" s="568"/>
      <c r="OAL4" s="568"/>
      <c r="OAM4" s="568"/>
      <c r="OAN4" s="568"/>
      <c r="OAO4" s="568"/>
      <c r="OAP4" s="568"/>
      <c r="OAQ4" s="568"/>
      <c r="OAR4" s="568"/>
      <c r="OAS4" s="568"/>
      <c r="OAT4" s="568"/>
      <c r="OAU4" s="568"/>
      <c r="OAV4" s="568"/>
      <c r="OAW4" s="568"/>
      <c r="OAX4" s="568"/>
      <c r="OAY4" s="568"/>
      <c r="OAZ4" s="568"/>
      <c r="OBA4" s="568"/>
      <c r="OBB4" s="568"/>
      <c r="OBC4" s="568"/>
      <c r="OBD4" s="568"/>
      <c r="OBE4" s="568"/>
      <c r="OBF4" s="568"/>
      <c r="OBG4" s="568"/>
      <c r="OBH4" s="568"/>
      <c r="OBI4" s="568"/>
      <c r="OBJ4" s="568"/>
      <c r="OBK4" s="568"/>
      <c r="OBL4" s="568"/>
      <c r="OBM4" s="568"/>
      <c r="OBN4" s="568"/>
      <c r="OBO4" s="568"/>
      <c r="OBP4" s="568"/>
      <c r="OBQ4" s="568"/>
      <c r="OBR4" s="568"/>
      <c r="OBS4" s="568"/>
      <c r="OBT4" s="568"/>
      <c r="OBU4" s="568"/>
      <c r="OBV4" s="568"/>
      <c r="OBW4" s="568"/>
      <c r="OBX4" s="568"/>
      <c r="OBY4" s="568"/>
      <c r="OBZ4" s="568"/>
      <c r="OCA4" s="568"/>
      <c r="OCB4" s="568"/>
      <c r="OCC4" s="568"/>
      <c r="OCD4" s="568"/>
      <c r="OCE4" s="568"/>
      <c r="OCF4" s="568"/>
      <c r="OCG4" s="568"/>
      <c r="OCH4" s="568"/>
      <c r="OCI4" s="568"/>
      <c r="OCJ4" s="568"/>
      <c r="OCK4" s="568"/>
      <c r="OCL4" s="568"/>
      <c r="OCM4" s="568"/>
      <c r="OCN4" s="568"/>
      <c r="OCO4" s="568"/>
      <c r="OCP4" s="568"/>
      <c r="OCQ4" s="568"/>
      <c r="OCR4" s="568"/>
      <c r="OCS4" s="568"/>
      <c r="OCT4" s="568"/>
      <c r="OCU4" s="568"/>
      <c r="OCV4" s="568"/>
      <c r="OCW4" s="568"/>
      <c r="OCX4" s="568"/>
      <c r="OCY4" s="568"/>
      <c r="OCZ4" s="568"/>
      <c r="ODA4" s="568"/>
      <c r="ODB4" s="568"/>
      <c r="ODC4" s="568"/>
      <c r="ODD4" s="568"/>
      <c r="ODE4" s="568"/>
      <c r="ODF4" s="568"/>
      <c r="ODG4" s="568"/>
      <c r="ODH4" s="568"/>
      <c r="ODI4" s="568"/>
      <c r="ODJ4" s="568"/>
      <c r="ODK4" s="568"/>
      <c r="ODL4" s="568"/>
      <c r="ODM4" s="568"/>
      <c r="ODN4" s="568"/>
      <c r="ODO4" s="568"/>
      <c r="ODP4" s="568"/>
      <c r="ODQ4" s="568"/>
      <c r="ODR4" s="568"/>
      <c r="ODS4" s="568"/>
      <c r="ODT4" s="568"/>
      <c r="ODU4" s="568"/>
      <c r="ODV4" s="568"/>
      <c r="ODW4" s="568"/>
      <c r="ODX4" s="568"/>
      <c r="ODY4" s="568"/>
      <c r="ODZ4" s="568"/>
      <c r="OEA4" s="568"/>
      <c r="OEB4" s="568"/>
      <c r="OEC4" s="568"/>
      <c r="OED4" s="568"/>
      <c r="OEE4" s="568"/>
      <c r="OEF4" s="568"/>
      <c r="OEG4" s="568"/>
      <c r="OEH4" s="568"/>
      <c r="OEI4" s="568"/>
      <c r="OEJ4" s="568"/>
      <c r="OEK4" s="568"/>
      <c r="OEL4" s="568"/>
      <c r="OEM4" s="568"/>
      <c r="OEN4" s="568"/>
      <c r="OEO4" s="568"/>
      <c r="OEP4" s="568"/>
      <c r="OEQ4" s="568"/>
      <c r="OER4" s="568"/>
      <c r="OES4" s="568"/>
      <c r="OET4" s="568"/>
      <c r="OEU4" s="568"/>
      <c r="OEV4" s="568"/>
      <c r="OEW4" s="568"/>
      <c r="OEX4" s="568"/>
      <c r="OEY4" s="568"/>
      <c r="OEZ4" s="568"/>
      <c r="OFA4" s="568"/>
      <c r="OFB4" s="568"/>
      <c r="OFC4" s="568"/>
      <c r="OFD4" s="568"/>
      <c r="OFE4" s="568"/>
      <c r="OFF4" s="568"/>
      <c r="OFG4" s="568"/>
      <c r="OFH4" s="568"/>
      <c r="OFI4" s="568"/>
      <c r="OFJ4" s="568"/>
      <c r="OFK4" s="568"/>
      <c r="OFL4" s="568"/>
      <c r="OFM4" s="568"/>
      <c r="OFN4" s="568"/>
      <c r="OFO4" s="568"/>
      <c r="OFP4" s="568"/>
      <c r="OFQ4" s="568"/>
      <c r="OFR4" s="568"/>
      <c r="OFS4" s="568"/>
      <c r="OFT4" s="568"/>
      <c r="OFU4" s="568"/>
      <c r="OFV4" s="568"/>
      <c r="OFW4" s="568"/>
      <c r="OFX4" s="568"/>
      <c r="OFY4" s="568"/>
      <c r="OFZ4" s="568"/>
      <c r="OGA4" s="568"/>
      <c r="OGB4" s="568"/>
      <c r="OGC4" s="568"/>
      <c r="OGD4" s="568"/>
      <c r="OGE4" s="568"/>
      <c r="OGF4" s="568"/>
      <c r="OGG4" s="568"/>
      <c r="OGH4" s="568"/>
      <c r="OGI4" s="568"/>
      <c r="OGJ4" s="568"/>
      <c r="OGK4" s="568"/>
      <c r="OGL4" s="568"/>
      <c r="OGM4" s="568"/>
      <c r="OGN4" s="568"/>
      <c r="OGO4" s="568"/>
      <c r="OGP4" s="568"/>
      <c r="OGQ4" s="568"/>
      <c r="OGR4" s="568"/>
      <c r="OGS4" s="568"/>
      <c r="OGT4" s="568"/>
      <c r="OGU4" s="568"/>
      <c r="OGV4" s="568"/>
      <c r="OGW4" s="568"/>
      <c r="OGX4" s="568"/>
      <c r="OGY4" s="568"/>
      <c r="OGZ4" s="568"/>
      <c r="OHA4" s="568"/>
      <c r="OHB4" s="568"/>
      <c r="OHC4" s="568"/>
      <c r="OHD4" s="568"/>
      <c r="OHE4" s="568"/>
      <c r="OHF4" s="568"/>
      <c r="OHG4" s="568"/>
      <c r="OHH4" s="568"/>
      <c r="OHI4" s="568"/>
      <c r="OHJ4" s="568"/>
      <c r="OHK4" s="568"/>
      <c r="OHL4" s="568"/>
      <c r="OHM4" s="568"/>
      <c r="OHN4" s="568"/>
      <c r="OHO4" s="568"/>
      <c r="OHP4" s="568"/>
      <c r="OHQ4" s="568"/>
      <c r="OHR4" s="568"/>
      <c r="OHS4" s="568"/>
      <c r="OHT4" s="568"/>
      <c r="OHU4" s="568"/>
      <c r="OHV4" s="568"/>
      <c r="OHW4" s="568"/>
      <c r="OHX4" s="568"/>
      <c r="OHY4" s="568"/>
      <c r="OHZ4" s="568"/>
      <c r="OIA4" s="568"/>
      <c r="OIB4" s="568"/>
      <c r="OIC4" s="568"/>
      <c r="OID4" s="568"/>
      <c r="OIE4" s="568"/>
      <c r="OIF4" s="568"/>
      <c r="OIG4" s="568"/>
      <c r="OIH4" s="568"/>
      <c r="OII4" s="568"/>
      <c r="OIJ4" s="568"/>
      <c r="OIK4" s="568"/>
      <c r="OIL4" s="568"/>
      <c r="OIM4" s="568"/>
      <c r="OIN4" s="568"/>
      <c r="OIO4" s="568"/>
      <c r="OIP4" s="568"/>
      <c r="OIQ4" s="568"/>
      <c r="OIR4" s="568"/>
      <c r="OIS4" s="568"/>
      <c r="OIT4" s="568"/>
      <c r="OIU4" s="568"/>
      <c r="OIV4" s="568"/>
      <c r="OIW4" s="568"/>
      <c r="OIX4" s="568"/>
      <c r="OIY4" s="568"/>
      <c r="OIZ4" s="568"/>
      <c r="OJA4" s="568"/>
      <c r="OJB4" s="568"/>
      <c r="OJC4" s="568"/>
      <c r="OJD4" s="568"/>
      <c r="OJE4" s="568"/>
      <c r="OJF4" s="568"/>
      <c r="OJG4" s="568"/>
      <c r="OJH4" s="568"/>
      <c r="OJI4" s="568"/>
      <c r="OJJ4" s="568"/>
      <c r="OJK4" s="568"/>
      <c r="OJL4" s="568"/>
      <c r="OJM4" s="568"/>
      <c r="OJN4" s="568"/>
      <c r="OJO4" s="568"/>
      <c r="OJP4" s="568"/>
      <c r="OJQ4" s="568"/>
      <c r="OJR4" s="568"/>
      <c r="OJS4" s="568"/>
      <c r="OJT4" s="568"/>
      <c r="OJU4" s="568"/>
      <c r="OJV4" s="568"/>
      <c r="OJW4" s="568"/>
      <c r="OJX4" s="568"/>
      <c r="OJY4" s="568"/>
      <c r="OJZ4" s="568"/>
      <c r="OKA4" s="568"/>
      <c r="OKB4" s="568"/>
      <c r="OKC4" s="568"/>
      <c r="OKD4" s="568"/>
      <c r="OKE4" s="568"/>
      <c r="OKF4" s="568"/>
      <c r="OKG4" s="568"/>
      <c r="OKH4" s="568"/>
      <c r="OKI4" s="568"/>
      <c r="OKJ4" s="568"/>
      <c r="OKK4" s="568"/>
      <c r="OKL4" s="568"/>
      <c r="OKM4" s="568"/>
      <c r="OKN4" s="568"/>
      <c r="OKO4" s="568"/>
      <c r="OKP4" s="568"/>
      <c r="OKQ4" s="568"/>
      <c r="OKR4" s="568"/>
      <c r="OKS4" s="568"/>
      <c r="OKT4" s="568"/>
      <c r="OKU4" s="568"/>
      <c r="OKV4" s="568"/>
      <c r="OKW4" s="568"/>
      <c r="OKX4" s="568"/>
      <c r="OKY4" s="568"/>
      <c r="OKZ4" s="568"/>
      <c r="OLA4" s="568"/>
      <c r="OLB4" s="568"/>
      <c r="OLC4" s="568"/>
      <c r="OLD4" s="568"/>
      <c r="OLE4" s="568"/>
      <c r="OLF4" s="568"/>
      <c r="OLG4" s="568"/>
      <c r="OLH4" s="568"/>
      <c r="OLI4" s="568"/>
      <c r="OLJ4" s="568"/>
      <c r="OLK4" s="568"/>
      <c r="OLL4" s="568"/>
      <c r="OLM4" s="568"/>
      <c r="OLN4" s="568"/>
      <c r="OLO4" s="568"/>
      <c r="OLP4" s="568"/>
      <c r="OLQ4" s="568"/>
      <c r="OLR4" s="568"/>
      <c r="OLS4" s="568"/>
      <c r="OLT4" s="568"/>
      <c r="OLU4" s="568"/>
      <c r="OLV4" s="568"/>
      <c r="OLW4" s="568"/>
      <c r="OLX4" s="568"/>
      <c r="OLY4" s="568"/>
      <c r="OLZ4" s="568"/>
      <c r="OMA4" s="568"/>
      <c r="OMB4" s="568"/>
      <c r="OMC4" s="568"/>
      <c r="OMD4" s="568"/>
      <c r="OME4" s="568"/>
      <c r="OMF4" s="568"/>
      <c r="OMG4" s="568"/>
      <c r="OMH4" s="568"/>
      <c r="OMI4" s="568"/>
      <c r="OMJ4" s="568"/>
      <c r="OMK4" s="568"/>
      <c r="OML4" s="568"/>
      <c r="OMM4" s="568"/>
      <c r="OMN4" s="568"/>
      <c r="OMO4" s="568"/>
      <c r="OMP4" s="568"/>
      <c r="OMQ4" s="568"/>
      <c r="OMR4" s="568"/>
      <c r="OMS4" s="568"/>
      <c r="OMT4" s="568"/>
      <c r="OMU4" s="568"/>
      <c r="OMV4" s="568"/>
      <c r="OMW4" s="568"/>
      <c r="OMX4" s="568"/>
      <c r="OMY4" s="568"/>
      <c r="OMZ4" s="568"/>
      <c r="ONA4" s="568"/>
      <c r="ONB4" s="568"/>
      <c r="ONC4" s="568"/>
      <c r="OND4" s="568"/>
      <c r="ONE4" s="568"/>
      <c r="ONF4" s="568"/>
      <c r="ONG4" s="568"/>
      <c r="ONH4" s="568"/>
      <c r="ONI4" s="568"/>
      <c r="ONJ4" s="568"/>
      <c r="ONK4" s="568"/>
      <c r="ONL4" s="568"/>
      <c r="ONM4" s="568"/>
      <c r="ONN4" s="568"/>
      <c r="ONO4" s="568"/>
      <c r="ONP4" s="568"/>
      <c r="ONQ4" s="568"/>
      <c r="ONR4" s="568"/>
      <c r="ONS4" s="568"/>
      <c r="ONT4" s="568"/>
      <c r="ONU4" s="568"/>
      <c r="ONV4" s="568"/>
      <c r="ONW4" s="568"/>
      <c r="ONX4" s="568"/>
      <c r="ONY4" s="568"/>
      <c r="ONZ4" s="568"/>
      <c r="OOA4" s="568"/>
      <c r="OOB4" s="568"/>
      <c r="OOC4" s="568"/>
      <c r="OOD4" s="568"/>
      <c r="OOE4" s="568"/>
      <c r="OOF4" s="568"/>
      <c r="OOG4" s="568"/>
      <c r="OOH4" s="568"/>
      <c r="OOI4" s="568"/>
      <c r="OOJ4" s="568"/>
      <c r="OOK4" s="568"/>
      <c r="OOL4" s="568"/>
      <c r="OOM4" s="568"/>
      <c r="OON4" s="568"/>
      <c r="OOO4" s="568"/>
      <c r="OOP4" s="568"/>
      <c r="OOQ4" s="568"/>
      <c r="OOR4" s="568"/>
      <c r="OOS4" s="568"/>
      <c r="OOT4" s="568"/>
      <c r="OOU4" s="568"/>
      <c r="OOV4" s="568"/>
      <c r="OOW4" s="568"/>
      <c r="OOX4" s="568"/>
      <c r="OOY4" s="568"/>
      <c r="OOZ4" s="568"/>
      <c r="OPA4" s="568"/>
      <c r="OPB4" s="568"/>
      <c r="OPC4" s="568"/>
      <c r="OPD4" s="568"/>
      <c r="OPE4" s="568"/>
      <c r="OPF4" s="568"/>
      <c r="OPG4" s="568"/>
      <c r="OPH4" s="568"/>
      <c r="OPI4" s="568"/>
      <c r="OPJ4" s="568"/>
      <c r="OPK4" s="568"/>
      <c r="OPL4" s="568"/>
      <c r="OPM4" s="568"/>
      <c r="OPN4" s="568"/>
      <c r="OPO4" s="568"/>
      <c r="OPP4" s="568"/>
      <c r="OPQ4" s="568"/>
      <c r="OPR4" s="568"/>
      <c r="OPS4" s="568"/>
      <c r="OPT4" s="568"/>
      <c r="OPU4" s="568"/>
      <c r="OPV4" s="568"/>
      <c r="OPW4" s="568"/>
      <c r="OPX4" s="568"/>
      <c r="OPY4" s="568"/>
      <c r="OPZ4" s="568"/>
      <c r="OQA4" s="568"/>
      <c r="OQB4" s="568"/>
      <c r="OQC4" s="568"/>
      <c r="OQD4" s="568"/>
      <c r="OQE4" s="568"/>
      <c r="OQF4" s="568"/>
      <c r="OQG4" s="568"/>
      <c r="OQH4" s="568"/>
      <c r="OQI4" s="568"/>
      <c r="OQJ4" s="568"/>
      <c r="OQK4" s="568"/>
      <c r="OQL4" s="568"/>
      <c r="OQM4" s="568"/>
      <c r="OQN4" s="568"/>
      <c r="OQO4" s="568"/>
      <c r="OQP4" s="568"/>
      <c r="OQQ4" s="568"/>
      <c r="OQR4" s="568"/>
      <c r="OQS4" s="568"/>
      <c r="OQT4" s="568"/>
      <c r="OQU4" s="568"/>
      <c r="OQV4" s="568"/>
      <c r="OQW4" s="568"/>
      <c r="OQX4" s="568"/>
      <c r="OQY4" s="568"/>
      <c r="OQZ4" s="568"/>
      <c r="ORA4" s="568"/>
      <c r="ORB4" s="568"/>
      <c r="ORC4" s="568"/>
      <c r="ORD4" s="568"/>
      <c r="ORE4" s="568"/>
      <c r="ORF4" s="568"/>
      <c r="ORG4" s="568"/>
      <c r="ORH4" s="568"/>
      <c r="ORI4" s="568"/>
      <c r="ORJ4" s="568"/>
      <c r="ORK4" s="568"/>
      <c r="ORL4" s="568"/>
      <c r="ORM4" s="568"/>
      <c r="ORN4" s="568"/>
      <c r="ORO4" s="568"/>
      <c r="ORP4" s="568"/>
      <c r="ORQ4" s="568"/>
      <c r="ORR4" s="568"/>
      <c r="ORS4" s="568"/>
      <c r="ORT4" s="568"/>
      <c r="ORU4" s="568"/>
      <c r="ORV4" s="568"/>
      <c r="ORW4" s="568"/>
      <c r="ORX4" s="568"/>
      <c r="ORY4" s="568"/>
      <c r="ORZ4" s="568"/>
      <c r="OSA4" s="568"/>
      <c r="OSB4" s="568"/>
      <c r="OSC4" s="568"/>
      <c r="OSD4" s="568"/>
      <c r="OSE4" s="568"/>
      <c r="OSF4" s="568"/>
      <c r="OSG4" s="568"/>
      <c r="OSH4" s="568"/>
      <c r="OSI4" s="568"/>
      <c r="OSJ4" s="568"/>
      <c r="OSK4" s="568"/>
      <c r="OSL4" s="568"/>
      <c r="OSM4" s="568"/>
      <c r="OSN4" s="568"/>
      <c r="OSO4" s="568"/>
      <c r="OSP4" s="568"/>
      <c r="OSQ4" s="568"/>
      <c r="OSR4" s="568"/>
      <c r="OSS4" s="568"/>
      <c r="OST4" s="568"/>
      <c r="OSU4" s="568"/>
      <c r="OSV4" s="568"/>
      <c r="OSW4" s="568"/>
      <c r="OSX4" s="568"/>
      <c r="OSY4" s="568"/>
      <c r="OSZ4" s="568"/>
      <c r="OTA4" s="568"/>
      <c r="OTB4" s="568"/>
      <c r="OTC4" s="568"/>
      <c r="OTD4" s="568"/>
      <c r="OTE4" s="568"/>
      <c r="OTF4" s="568"/>
      <c r="OTG4" s="568"/>
      <c r="OTH4" s="568"/>
      <c r="OTI4" s="568"/>
      <c r="OTJ4" s="568"/>
      <c r="OTK4" s="568"/>
      <c r="OTL4" s="568"/>
      <c r="OTM4" s="568"/>
      <c r="OTN4" s="568"/>
      <c r="OTO4" s="568"/>
      <c r="OTP4" s="568"/>
      <c r="OTQ4" s="568"/>
      <c r="OTR4" s="568"/>
      <c r="OTS4" s="568"/>
      <c r="OTT4" s="568"/>
      <c r="OTU4" s="568"/>
      <c r="OTV4" s="568"/>
      <c r="OTW4" s="568"/>
      <c r="OTX4" s="568"/>
      <c r="OTY4" s="568"/>
      <c r="OTZ4" s="568"/>
      <c r="OUA4" s="568"/>
      <c r="OUB4" s="568"/>
      <c r="OUC4" s="568"/>
      <c r="OUD4" s="568"/>
      <c r="OUE4" s="568"/>
      <c r="OUF4" s="568"/>
      <c r="OUG4" s="568"/>
      <c r="OUH4" s="568"/>
      <c r="OUI4" s="568"/>
      <c r="OUJ4" s="568"/>
      <c r="OUK4" s="568"/>
      <c r="OUL4" s="568"/>
      <c r="OUM4" s="568"/>
      <c r="OUN4" s="568"/>
      <c r="OUO4" s="568"/>
      <c r="OUP4" s="568"/>
      <c r="OUQ4" s="568"/>
      <c r="OUR4" s="568"/>
      <c r="OUS4" s="568"/>
      <c r="OUT4" s="568"/>
      <c r="OUU4" s="568"/>
      <c r="OUV4" s="568"/>
      <c r="OUW4" s="568"/>
      <c r="OUX4" s="568"/>
      <c r="OUY4" s="568"/>
      <c r="OUZ4" s="568"/>
      <c r="OVA4" s="568"/>
      <c r="OVB4" s="568"/>
      <c r="OVC4" s="568"/>
      <c r="OVD4" s="568"/>
      <c r="OVE4" s="568"/>
      <c r="OVF4" s="568"/>
      <c r="OVG4" s="568"/>
      <c r="OVH4" s="568"/>
      <c r="OVI4" s="568"/>
      <c r="OVJ4" s="568"/>
      <c r="OVK4" s="568"/>
      <c r="OVL4" s="568"/>
      <c r="OVM4" s="568"/>
      <c r="OVN4" s="568"/>
      <c r="OVO4" s="568"/>
      <c r="OVP4" s="568"/>
      <c r="OVQ4" s="568"/>
      <c r="OVR4" s="568"/>
      <c r="OVS4" s="568"/>
      <c r="OVT4" s="568"/>
      <c r="OVU4" s="568"/>
      <c r="OVV4" s="568"/>
      <c r="OVW4" s="568"/>
      <c r="OVX4" s="568"/>
      <c r="OVY4" s="568"/>
      <c r="OVZ4" s="568"/>
      <c r="OWA4" s="568"/>
      <c r="OWB4" s="568"/>
      <c r="OWC4" s="568"/>
      <c r="OWD4" s="568"/>
      <c r="OWE4" s="568"/>
      <c r="OWF4" s="568"/>
      <c r="OWG4" s="568"/>
      <c r="OWH4" s="568"/>
      <c r="OWI4" s="568"/>
      <c r="OWJ4" s="568"/>
      <c r="OWK4" s="568"/>
      <c r="OWL4" s="568"/>
      <c r="OWM4" s="568"/>
      <c r="OWN4" s="568"/>
      <c r="OWO4" s="568"/>
      <c r="OWP4" s="568"/>
      <c r="OWQ4" s="568"/>
      <c r="OWR4" s="568"/>
      <c r="OWS4" s="568"/>
      <c r="OWT4" s="568"/>
      <c r="OWU4" s="568"/>
      <c r="OWV4" s="568"/>
      <c r="OWW4" s="568"/>
      <c r="OWX4" s="568"/>
      <c r="OWY4" s="568"/>
      <c r="OWZ4" s="568"/>
      <c r="OXA4" s="568"/>
      <c r="OXB4" s="568"/>
      <c r="OXC4" s="568"/>
      <c r="OXD4" s="568"/>
      <c r="OXE4" s="568"/>
      <c r="OXF4" s="568"/>
      <c r="OXG4" s="568"/>
      <c r="OXH4" s="568"/>
      <c r="OXI4" s="568"/>
      <c r="OXJ4" s="568"/>
      <c r="OXK4" s="568"/>
      <c r="OXL4" s="568"/>
      <c r="OXM4" s="568"/>
      <c r="OXN4" s="568"/>
      <c r="OXO4" s="568"/>
      <c r="OXP4" s="568"/>
      <c r="OXQ4" s="568"/>
      <c r="OXR4" s="568"/>
      <c r="OXS4" s="568"/>
      <c r="OXT4" s="568"/>
      <c r="OXU4" s="568"/>
      <c r="OXV4" s="568"/>
      <c r="OXW4" s="568"/>
      <c r="OXX4" s="568"/>
      <c r="OXY4" s="568"/>
      <c r="OXZ4" s="568"/>
      <c r="OYA4" s="568"/>
      <c r="OYB4" s="568"/>
      <c r="OYC4" s="568"/>
      <c r="OYD4" s="568"/>
      <c r="OYE4" s="568"/>
      <c r="OYF4" s="568"/>
      <c r="OYG4" s="568"/>
      <c r="OYH4" s="568"/>
      <c r="OYI4" s="568"/>
      <c r="OYJ4" s="568"/>
      <c r="OYK4" s="568"/>
      <c r="OYL4" s="568"/>
      <c r="OYM4" s="568"/>
      <c r="OYN4" s="568"/>
      <c r="OYO4" s="568"/>
      <c r="OYP4" s="568"/>
      <c r="OYQ4" s="568"/>
      <c r="OYR4" s="568"/>
      <c r="OYS4" s="568"/>
      <c r="OYT4" s="568"/>
      <c r="OYU4" s="568"/>
      <c r="OYV4" s="568"/>
      <c r="OYW4" s="568"/>
      <c r="OYX4" s="568"/>
      <c r="OYY4" s="568"/>
      <c r="OYZ4" s="568"/>
      <c r="OZA4" s="568"/>
      <c r="OZB4" s="568"/>
      <c r="OZC4" s="568"/>
      <c r="OZD4" s="568"/>
      <c r="OZE4" s="568"/>
      <c r="OZF4" s="568"/>
      <c r="OZG4" s="568"/>
      <c r="OZH4" s="568"/>
      <c r="OZI4" s="568"/>
      <c r="OZJ4" s="568"/>
      <c r="OZK4" s="568"/>
      <c r="OZL4" s="568"/>
      <c r="OZM4" s="568"/>
      <c r="OZN4" s="568"/>
      <c r="OZO4" s="568"/>
      <c r="OZP4" s="568"/>
      <c r="OZQ4" s="568"/>
      <c r="OZR4" s="568"/>
      <c r="OZS4" s="568"/>
      <c r="OZT4" s="568"/>
      <c r="OZU4" s="568"/>
      <c r="OZV4" s="568"/>
      <c r="OZW4" s="568"/>
      <c r="OZX4" s="568"/>
      <c r="OZY4" s="568"/>
      <c r="OZZ4" s="568"/>
      <c r="PAA4" s="568"/>
      <c r="PAB4" s="568"/>
      <c r="PAC4" s="568"/>
      <c r="PAD4" s="568"/>
      <c r="PAE4" s="568"/>
      <c r="PAF4" s="568"/>
      <c r="PAG4" s="568"/>
      <c r="PAH4" s="568"/>
      <c r="PAI4" s="568"/>
      <c r="PAJ4" s="568"/>
      <c r="PAK4" s="568"/>
      <c r="PAL4" s="568"/>
      <c r="PAM4" s="568"/>
      <c r="PAN4" s="568"/>
      <c r="PAO4" s="568"/>
      <c r="PAP4" s="568"/>
      <c r="PAQ4" s="568"/>
      <c r="PAR4" s="568"/>
      <c r="PAS4" s="568"/>
      <c r="PAT4" s="568"/>
      <c r="PAU4" s="568"/>
      <c r="PAV4" s="568"/>
      <c r="PAW4" s="568"/>
      <c r="PAX4" s="568"/>
      <c r="PAY4" s="568"/>
      <c r="PAZ4" s="568"/>
      <c r="PBA4" s="568"/>
      <c r="PBB4" s="568"/>
      <c r="PBC4" s="568"/>
      <c r="PBD4" s="568"/>
      <c r="PBE4" s="568"/>
      <c r="PBF4" s="568"/>
      <c r="PBG4" s="568"/>
      <c r="PBH4" s="568"/>
      <c r="PBI4" s="568"/>
      <c r="PBJ4" s="568"/>
      <c r="PBK4" s="568"/>
      <c r="PBL4" s="568"/>
      <c r="PBM4" s="568"/>
      <c r="PBN4" s="568"/>
      <c r="PBO4" s="568"/>
      <c r="PBP4" s="568"/>
      <c r="PBQ4" s="568"/>
      <c r="PBR4" s="568"/>
      <c r="PBS4" s="568"/>
      <c r="PBT4" s="568"/>
      <c r="PBU4" s="568"/>
      <c r="PBV4" s="568"/>
      <c r="PBW4" s="568"/>
      <c r="PBX4" s="568"/>
      <c r="PBY4" s="568"/>
      <c r="PBZ4" s="568"/>
      <c r="PCA4" s="568"/>
      <c r="PCB4" s="568"/>
      <c r="PCC4" s="568"/>
      <c r="PCD4" s="568"/>
      <c r="PCE4" s="568"/>
      <c r="PCF4" s="568"/>
      <c r="PCG4" s="568"/>
      <c r="PCH4" s="568"/>
      <c r="PCI4" s="568"/>
      <c r="PCJ4" s="568"/>
      <c r="PCK4" s="568"/>
      <c r="PCL4" s="568"/>
      <c r="PCM4" s="568"/>
      <c r="PCN4" s="568"/>
      <c r="PCO4" s="568"/>
      <c r="PCP4" s="568"/>
      <c r="PCQ4" s="568"/>
      <c r="PCR4" s="568"/>
      <c r="PCS4" s="568"/>
      <c r="PCT4" s="568"/>
      <c r="PCU4" s="568"/>
      <c r="PCV4" s="568"/>
      <c r="PCW4" s="568"/>
      <c r="PCX4" s="568"/>
      <c r="PCY4" s="568"/>
      <c r="PCZ4" s="568"/>
      <c r="PDA4" s="568"/>
      <c r="PDB4" s="568"/>
      <c r="PDC4" s="568"/>
      <c r="PDD4" s="568"/>
      <c r="PDE4" s="568"/>
      <c r="PDF4" s="568"/>
      <c r="PDG4" s="568"/>
      <c r="PDH4" s="568"/>
      <c r="PDI4" s="568"/>
      <c r="PDJ4" s="568"/>
      <c r="PDK4" s="568"/>
      <c r="PDL4" s="568"/>
      <c r="PDM4" s="568"/>
      <c r="PDN4" s="568"/>
      <c r="PDO4" s="568"/>
      <c r="PDP4" s="568"/>
      <c r="PDQ4" s="568"/>
      <c r="PDR4" s="568"/>
      <c r="PDS4" s="568"/>
      <c r="PDT4" s="568"/>
      <c r="PDU4" s="568"/>
      <c r="PDV4" s="568"/>
      <c r="PDW4" s="568"/>
      <c r="PDX4" s="568"/>
      <c r="PDY4" s="568"/>
      <c r="PDZ4" s="568"/>
      <c r="PEA4" s="568"/>
      <c r="PEB4" s="568"/>
      <c r="PEC4" s="568"/>
      <c r="PED4" s="568"/>
      <c r="PEE4" s="568"/>
      <c r="PEF4" s="568"/>
      <c r="PEG4" s="568"/>
      <c r="PEH4" s="568"/>
      <c r="PEI4" s="568"/>
      <c r="PEJ4" s="568"/>
      <c r="PEK4" s="568"/>
      <c r="PEL4" s="568"/>
      <c r="PEM4" s="568"/>
      <c r="PEN4" s="568"/>
      <c r="PEO4" s="568"/>
      <c r="PEP4" s="568"/>
      <c r="PEQ4" s="568"/>
      <c r="PER4" s="568"/>
      <c r="PES4" s="568"/>
      <c r="PET4" s="568"/>
      <c r="PEU4" s="568"/>
      <c r="PEV4" s="568"/>
      <c r="PEW4" s="568"/>
      <c r="PEX4" s="568"/>
      <c r="PEY4" s="568"/>
      <c r="PEZ4" s="568"/>
      <c r="PFA4" s="568"/>
      <c r="PFB4" s="568"/>
      <c r="PFC4" s="568"/>
      <c r="PFD4" s="568"/>
      <c r="PFE4" s="568"/>
      <c r="PFF4" s="568"/>
      <c r="PFG4" s="568"/>
      <c r="PFH4" s="568"/>
      <c r="PFI4" s="568"/>
      <c r="PFJ4" s="568"/>
      <c r="PFK4" s="568"/>
      <c r="PFL4" s="568"/>
      <c r="PFM4" s="568"/>
      <c r="PFN4" s="568"/>
      <c r="PFO4" s="568"/>
      <c r="PFP4" s="568"/>
      <c r="PFQ4" s="568"/>
      <c r="PFR4" s="568"/>
      <c r="PFS4" s="568"/>
      <c r="PFT4" s="568"/>
      <c r="PFU4" s="568"/>
      <c r="PFV4" s="568"/>
      <c r="PFW4" s="568"/>
      <c r="PFX4" s="568"/>
      <c r="PFY4" s="568"/>
      <c r="PFZ4" s="568"/>
      <c r="PGA4" s="568"/>
      <c r="PGB4" s="568"/>
      <c r="PGC4" s="568"/>
      <c r="PGD4" s="568"/>
      <c r="PGE4" s="568"/>
      <c r="PGF4" s="568"/>
      <c r="PGG4" s="568"/>
      <c r="PGH4" s="568"/>
      <c r="PGI4" s="568"/>
      <c r="PGJ4" s="568"/>
      <c r="PGK4" s="568"/>
      <c r="PGL4" s="568"/>
      <c r="PGM4" s="568"/>
      <c r="PGN4" s="568"/>
      <c r="PGO4" s="568"/>
      <c r="PGP4" s="568"/>
      <c r="PGQ4" s="568"/>
      <c r="PGR4" s="568"/>
      <c r="PGS4" s="568"/>
      <c r="PGT4" s="568"/>
      <c r="PGU4" s="568"/>
      <c r="PGV4" s="568"/>
      <c r="PGW4" s="568"/>
      <c r="PGX4" s="568"/>
      <c r="PGY4" s="568"/>
      <c r="PGZ4" s="568"/>
      <c r="PHA4" s="568"/>
      <c r="PHB4" s="568"/>
      <c r="PHC4" s="568"/>
      <c r="PHD4" s="568"/>
      <c r="PHE4" s="568"/>
      <c r="PHF4" s="568"/>
      <c r="PHG4" s="568"/>
      <c r="PHH4" s="568"/>
      <c r="PHI4" s="568"/>
      <c r="PHJ4" s="568"/>
      <c r="PHK4" s="568"/>
      <c r="PHL4" s="568"/>
      <c r="PHM4" s="568"/>
      <c r="PHN4" s="568"/>
      <c r="PHO4" s="568"/>
      <c r="PHP4" s="568"/>
      <c r="PHQ4" s="568"/>
      <c r="PHR4" s="568"/>
      <c r="PHS4" s="568"/>
      <c r="PHT4" s="568"/>
      <c r="PHU4" s="568"/>
      <c r="PHV4" s="568"/>
      <c r="PHW4" s="568"/>
      <c r="PHX4" s="568"/>
      <c r="PHY4" s="568"/>
      <c r="PHZ4" s="568"/>
      <c r="PIA4" s="568"/>
      <c r="PIB4" s="568"/>
      <c r="PIC4" s="568"/>
      <c r="PID4" s="568"/>
      <c r="PIE4" s="568"/>
      <c r="PIF4" s="568"/>
      <c r="PIG4" s="568"/>
      <c r="PIH4" s="568"/>
      <c r="PII4" s="568"/>
      <c r="PIJ4" s="568"/>
      <c r="PIK4" s="568"/>
      <c r="PIL4" s="568"/>
      <c r="PIM4" s="568"/>
      <c r="PIN4" s="568"/>
      <c r="PIO4" s="568"/>
      <c r="PIP4" s="568"/>
      <c r="PIQ4" s="568"/>
      <c r="PIR4" s="568"/>
      <c r="PIS4" s="568"/>
      <c r="PIT4" s="568"/>
      <c r="PIU4" s="568"/>
      <c r="PIV4" s="568"/>
      <c r="PIW4" s="568"/>
      <c r="PIX4" s="568"/>
      <c r="PIY4" s="568"/>
      <c r="PIZ4" s="568"/>
      <c r="PJA4" s="568"/>
      <c r="PJB4" s="568"/>
      <c r="PJC4" s="568"/>
      <c r="PJD4" s="568"/>
      <c r="PJE4" s="568"/>
      <c r="PJF4" s="568"/>
      <c r="PJG4" s="568"/>
      <c r="PJH4" s="568"/>
      <c r="PJI4" s="568"/>
      <c r="PJJ4" s="568"/>
      <c r="PJK4" s="568"/>
      <c r="PJL4" s="568"/>
      <c r="PJM4" s="568"/>
      <c r="PJN4" s="568"/>
      <c r="PJO4" s="568"/>
      <c r="PJP4" s="568"/>
      <c r="PJQ4" s="568"/>
      <c r="PJR4" s="568"/>
      <c r="PJS4" s="568"/>
      <c r="PJT4" s="568"/>
      <c r="PJU4" s="568"/>
      <c r="PJV4" s="568"/>
      <c r="PJW4" s="568"/>
      <c r="PJX4" s="568"/>
      <c r="PJY4" s="568"/>
      <c r="PJZ4" s="568"/>
      <c r="PKA4" s="568"/>
      <c r="PKB4" s="568"/>
      <c r="PKC4" s="568"/>
      <c r="PKD4" s="568"/>
      <c r="PKE4" s="568"/>
      <c r="PKF4" s="568"/>
      <c r="PKG4" s="568"/>
      <c r="PKH4" s="568"/>
      <c r="PKI4" s="568"/>
      <c r="PKJ4" s="568"/>
      <c r="PKK4" s="568"/>
      <c r="PKL4" s="568"/>
      <c r="PKM4" s="568"/>
      <c r="PKN4" s="568"/>
      <c r="PKO4" s="568"/>
      <c r="PKP4" s="568"/>
      <c r="PKQ4" s="568"/>
      <c r="PKR4" s="568"/>
      <c r="PKS4" s="568"/>
      <c r="PKT4" s="568"/>
      <c r="PKU4" s="568"/>
      <c r="PKV4" s="568"/>
      <c r="PKW4" s="568"/>
      <c r="PKX4" s="568"/>
      <c r="PKY4" s="568"/>
      <c r="PKZ4" s="568"/>
      <c r="PLA4" s="568"/>
      <c r="PLB4" s="568"/>
      <c r="PLC4" s="568"/>
      <c r="PLD4" s="568"/>
      <c r="PLE4" s="568"/>
      <c r="PLF4" s="568"/>
      <c r="PLG4" s="568"/>
      <c r="PLH4" s="568"/>
      <c r="PLI4" s="568"/>
      <c r="PLJ4" s="568"/>
      <c r="PLK4" s="568"/>
      <c r="PLL4" s="568"/>
      <c r="PLM4" s="568"/>
      <c r="PLN4" s="568"/>
      <c r="PLO4" s="568"/>
      <c r="PLP4" s="568"/>
      <c r="PLQ4" s="568"/>
      <c r="PLR4" s="568"/>
      <c r="PLS4" s="568"/>
      <c r="PLT4" s="568"/>
      <c r="PLU4" s="568"/>
      <c r="PLV4" s="568"/>
      <c r="PLW4" s="568"/>
      <c r="PLX4" s="568"/>
      <c r="PLY4" s="568"/>
      <c r="PLZ4" s="568"/>
      <c r="PMA4" s="568"/>
      <c r="PMB4" s="568"/>
      <c r="PMC4" s="568"/>
      <c r="PMD4" s="568"/>
      <c r="PME4" s="568"/>
      <c r="PMF4" s="568"/>
      <c r="PMG4" s="568"/>
      <c r="PMH4" s="568"/>
      <c r="PMI4" s="568"/>
      <c r="PMJ4" s="568"/>
      <c r="PMK4" s="568"/>
      <c r="PML4" s="568"/>
      <c r="PMM4" s="568"/>
      <c r="PMN4" s="568"/>
      <c r="PMO4" s="568"/>
      <c r="PMP4" s="568"/>
      <c r="PMQ4" s="568"/>
      <c r="PMR4" s="568"/>
      <c r="PMS4" s="568"/>
      <c r="PMT4" s="568"/>
      <c r="PMU4" s="568"/>
      <c r="PMV4" s="568"/>
      <c r="PMW4" s="568"/>
      <c r="PMX4" s="568"/>
      <c r="PMY4" s="568"/>
      <c r="PMZ4" s="568"/>
      <c r="PNA4" s="568"/>
      <c r="PNB4" s="568"/>
      <c r="PNC4" s="568"/>
      <c r="PND4" s="568"/>
      <c r="PNE4" s="568"/>
      <c r="PNF4" s="568"/>
      <c r="PNG4" s="568"/>
      <c r="PNH4" s="568"/>
      <c r="PNI4" s="568"/>
      <c r="PNJ4" s="568"/>
      <c r="PNK4" s="568"/>
      <c r="PNL4" s="568"/>
      <c r="PNM4" s="568"/>
      <c r="PNN4" s="568"/>
      <c r="PNO4" s="568"/>
      <c r="PNP4" s="568"/>
      <c r="PNQ4" s="568"/>
      <c r="PNR4" s="568"/>
      <c r="PNS4" s="568"/>
      <c r="PNT4" s="568"/>
      <c r="PNU4" s="568"/>
      <c r="PNV4" s="568"/>
      <c r="PNW4" s="568"/>
      <c r="PNX4" s="568"/>
      <c r="PNY4" s="568"/>
      <c r="PNZ4" s="568"/>
      <c r="POA4" s="568"/>
      <c r="POB4" s="568"/>
      <c r="POC4" s="568"/>
      <c r="POD4" s="568"/>
      <c r="POE4" s="568"/>
      <c r="POF4" s="568"/>
      <c r="POG4" s="568"/>
      <c r="POH4" s="568"/>
      <c r="POI4" s="568"/>
      <c r="POJ4" s="568"/>
      <c r="POK4" s="568"/>
      <c r="POL4" s="568"/>
      <c r="POM4" s="568"/>
      <c r="PON4" s="568"/>
      <c r="POO4" s="568"/>
      <c r="POP4" s="568"/>
      <c r="POQ4" s="568"/>
      <c r="POR4" s="568"/>
      <c r="POS4" s="568"/>
      <c r="POT4" s="568"/>
      <c r="POU4" s="568"/>
      <c r="POV4" s="568"/>
      <c r="POW4" s="568"/>
      <c r="POX4" s="568"/>
      <c r="POY4" s="568"/>
      <c r="POZ4" s="568"/>
      <c r="PPA4" s="568"/>
      <c r="PPB4" s="568"/>
      <c r="PPC4" s="568"/>
      <c r="PPD4" s="568"/>
      <c r="PPE4" s="568"/>
      <c r="PPF4" s="568"/>
      <c r="PPG4" s="568"/>
      <c r="PPH4" s="568"/>
      <c r="PPI4" s="568"/>
      <c r="PPJ4" s="568"/>
      <c r="PPK4" s="568"/>
      <c r="PPL4" s="568"/>
      <c r="PPM4" s="568"/>
      <c r="PPN4" s="568"/>
      <c r="PPO4" s="568"/>
      <c r="PPP4" s="568"/>
      <c r="PPQ4" s="568"/>
      <c r="PPR4" s="568"/>
      <c r="PPS4" s="568"/>
      <c r="PPT4" s="568"/>
      <c r="PPU4" s="568"/>
      <c r="PPV4" s="568"/>
      <c r="PPW4" s="568"/>
      <c r="PPX4" s="568"/>
      <c r="PPY4" s="568"/>
      <c r="PPZ4" s="568"/>
      <c r="PQA4" s="568"/>
      <c r="PQB4" s="568"/>
      <c r="PQC4" s="568"/>
      <c r="PQD4" s="568"/>
      <c r="PQE4" s="568"/>
      <c r="PQF4" s="568"/>
      <c r="PQG4" s="568"/>
      <c r="PQH4" s="568"/>
      <c r="PQI4" s="568"/>
      <c r="PQJ4" s="568"/>
      <c r="PQK4" s="568"/>
      <c r="PQL4" s="568"/>
      <c r="PQM4" s="568"/>
      <c r="PQN4" s="568"/>
      <c r="PQO4" s="568"/>
      <c r="PQP4" s="568"/>
      <c r="PQQ4" s="568"/>
      <c r="PQR4" s="568"/>
      <c r="PQS4" s="568"/>
      <c r="PQT4" s="568"/>
      <c r="PQU4" s="568"/>
      <c r="PQV4" s="568"/>
      <c r="PQW4" s="568"/>
      <c r="PQX4" s="568"/>
      <c r="PQY4" s="568"/>
      <c r="PQZ4" s="568"/>
      <c r="PRA4" s="568"/>
      <c r="PRB4" s="568"/>
      <c r="PRC4" s="568"/>
      <c r="PRD4" s="568"/>
      <c r="PRE4" s="568"/>
      <c r="PRF4" s="568"/>
      <c r="PRG4" s="568"/>
      <c r="PRH4" s="568"/>
      <c r="PRI4" s="568"/>
      <c r="PRJ4" s="568"/>
      <c r="PRK4" s="568"/>
      <c r="PRL4" s="568"/>
      <c r="PRM4" s="568"/>
      <c r="PRN4" s="568"/>
      <c r="PRO4" s="568"/>
      <c r="PRP4" s="568"/>
      <c r="PRQ4" s="568"/>
      <c r="PRR4" s="568"/>
      <c r="PRS4" s="568"/>
      <c r="PRT4" s="568"/>
      <c r="PRU4" s="568"/>
      <c r="PRV4" s="568"/>
      <c r="PRW4" s="568"/>
      <c r="PRX4" s="568"/>
      <c r="PRY4" s="568"/>
      <c r="PRZ4" s="568"/>
      <c r="PSA4" s="568"/>
      <c r="PSB4" s="568"/>
      <c r="PSC4" s="568"/>
      <c r="PSD4" s="568"/>
      <c r="PSE4" s="568"/>
      <c r="PSF4" s="568"/>
      <c r="PSG4" s="568"/>
      <c r="PSH4" s="568"/>
      <c r="PSI4" s="568"/>
      <c r="PSJ4" s="568"/>
      <c r="PSK4" s="568"/>
      <c r="PSL4" s="568"/>
      <c r="PSM4" s="568"/>
      <c r="PSN4" s="568"/>
      <c r="PSO4" s="568"/>
      <c r="PSP4" s="568"/>
      <c r="PSQ4" s="568"/>
      <c r="PSR4" s="568"/>
      <c r="PSS4" s="568"/>
      <c r="PST4" s="568"/>
      <c r="PSU4" s="568"/>
      <c r="PSV4" s="568"/>
      <c r="PSW4" s="568"/>
      <c r="PSX4" s="568"/>
      <c r="PSY4" s="568"/>
      <c r="PSZ4" s="568"/>
      <c r="PTA4" s="568"/>
      <c r="PTB4" s="568"/>
      <c r="PTC4" s="568"/>
      <c r="PTD4" s="568"/>
      <c r="PTE4" s="568"/>
      <c r="PTF4" s="568"/>
      <c r="PTG4" s="568"/>
      <c r="PTH4" s="568"/>
      <c r="PTI4" s="568"/>
      <c r="PTJ4" s="568"/>
      <c r="PTK4" s="568"/>
      <c r="PTL4" s="568"/>
      <c r="PTM4" s="568"/>
      <c r="PTN4" s="568"/>
      <c r="PTO4" s="568"/>
      <c r="PTP4" s="568"/>
      <c r="PTQ4" s="568"/>
      <c r="PTR4" s="568"/>
      <c r="PTS4" s="568"/>
      <c r="PTT4" s="568"/>
      <c r="PTU4" s="568"/>
      <c r="PTV4" s="568"/>
      <c r="PTW4" s="568"/>
      <c r="PTX4" s="568"/>
      <c r="PTY4" s="568"/>
      <c r="PTZ4" s="568"/>
      <c r="PUA4" s="568"/>
      <c r="PUB4" s="568"/>
      <c r="PUC4" s="568"/>
      <c r="PUD4" s="568"/>
      <c r="PUE4" s="568"/>
      <c r="PUF4" s="568"/>
      <c r="PUG4" s="568"/>
      <c r="PUH4" s="568"/>
      <c r="PUI4" s="568"/>
      <c r="PUJ4" s="568"/>
      <c r="PUK4" s="568"/>
      <c r="PUL4" s="568"/>
      <c r="PUM4" s="568"/>
      <c r="PUN4" s="568"/>
      <c r="PUO4" s="568"/>
      <c r="PUP4" s="568"/>
      <c r="PUQ4" s="568"/>
      <c r="PUR4" s="568"/>
      <c r="PUS4" s="568"/>
      <c r="PUT4" s="568"/>
      <c r="PUU4" s="568"/>
      <c r="PUV4" s="568"/>
      <c r="PUW4" s="568"/>
      <c r="PUX4" s="568"/>
      <c r="PUY4" s="568"/>
      <c r="PUZ4" s="568"/>
      <c r="PVA4" s="568"/>
      <c r="PVB4" s="568"/>
      <c r="PVC4" s="568"/>
      <c r="PVD4" s="568"/>
      <c r="PVE4" s="568"/>
      <c r="PVF4" s="568"/>
      <c r="PVG4" s="568"/>
      <c r="PVH4" s="568"/>
      <c r="PVI4" s="568"/>
      <c r="PVJ4" s="568"/>
      <c r="PVK4" s="568"/>
      <c r="PVL4" s="568"/>
      <c r="PVM4" s="568"/>
      <c r="PVN4" s="568"/>
      <c r="PVO4" s="568"/>
      <c r="PVP4" s="568"/>
      <c r="PVQ4" s="568"/>
      <c r="PVR4" s="568"/>
      <c r="PVS4" s="568"/>
      <c r="PVT4" s="568"/>
      <c r="PVU4" s="568"/>
      <c r="PVV4" s="568"/>
      <c r="PVW4" s="568"/>
      <c r="PVX4" s="568"/>
      <c r="PVY4" s="568"/>
      <c r="PVZ4" s="568"/>
      <c r="PWA4" s="568"/>
      <c r="PWB4" s="568"/>
      <c r="PWC4" s="568"/>
      <c r="PWD4" s="568"/>
      <c r="PWE4" s="568"/>
      <c r="PWF4" s="568"/>
      <c r="PWG4" s="568"/>
      <c r="PWH4" s="568"/>
      <c r="PWI4" s="568"/>
      <c r="PWJ4" s="568"/>
      <c r="PWK4" s="568"/>
      <c r="PWL4" s="568"/>
      <c r="PWM4" s="568"/>
      <c r="PWN4" s="568"/>
      <c r="PWO4" s="568"/>
      <c r="PWP4" s="568"/>
      <c r="PWQ4" s="568"/>
      <c r="PWR4" s="568"/>
      <c r="PWS4" s="568"/>
      <c r="PWT4" s="568"/>
      <c r="PWU4" s="568"/>
      <c r="PWV4" s="568"/>
      <c r="PWW4" s="568"/>
      <c r="PWX4" s="568"/>
      <c r="PWY4" s="568"/>
      <c r="PWZ4" s="568"/>
      <c r="PXA4" s="568"/>
      <c r="PXB4" s="568"/>
      <c r="PXC4" s="568"/>
      <c r="PXD4" s="568"/>
      <c r="PXE4" s="568"/>
      <c r="PXF4" s="568"/>
      <c r="PXG4" s="568"/>
      <c r="PXH4" s="568"/>
      <c r="PXI4" s="568"/>
      <c r="PXJ4" s="568"/>
      <c r="PXK4" s="568"/>
      <c r="PXL4" s="568"/>
      <c r="PXM4" s="568"/>
      <c r="PXN4" s="568"/>
      <c r="PXO4" s="568"/>
      <c r="PXP4" s="568"/>
      <c r="PXQ4" s="568"/>
      <c r="PXR4" s="568"/>
      <c r="PXS4" s="568"/>
      <c r="PXT4" s="568"/>
      <c r="PXU4" s="568"/>
      <c r="PXV4" s="568"/>
      <c r="PXW4" s="568"/>
      <c r="PXX4" s="568"/>
      <c r="PXY4" s="568"/>
      <c r="PXZ4" s="568"/>
      <c r="PYA4" s="568"/>
      <c r="PYB4" s="568"/>
      <c r="PYC4" s="568"/>
      <c r="PYD4" s="568"/>
      <c r="PYE4" s="568"/>
      <c r="PYF4" s="568"/>
      <c r="PYG4" s="568"/>
      <c r="PYH4" s="568"/>
      <c r="PYI4" s="568"/>
      <c r="PYJ4" s="568"/>
      <c r="PYK4" s="568"/>
      <c r="PYL4" s="568"/>
      <c r="PYM4" s="568"/>
      <c r="PYN4" s="568"/>
      <c r="PYO4" s="568"/>
      <c r="PYP4" s="568"/>
      <c r="PYQ4" s="568"/>
      <c r="PYR4" s="568"/>
      <c r="PYS4" s="568"/>
      <c r="PYT4" s="568"/>
      <c r="PYU4" s="568"/>
      <c r="PYV4" s="568"/>
      <c r="PYW4" s="568"/>
      <c r="PYX4" s="568"/>
      <c r="PYY4" s="568"/>
      <c r="PYZ4" s="568"/>
      <c r="PZA4" s="568"/>
      <c r="PZB4" s="568"/>
      <c r="PZC4" s="568"/>
      <c r="PZD4" s="568"/>
      <c r="PZE4" s="568"/>
      <c r="PZF4" s="568"/>
      <c r="PZG4" s="568"/>
      <c r="PZH4" s="568"/>
      <c r="PZI4" s="568"/>
      <c r="PZJ4" s="568"/>
      <c r="PZK4" s="568"/>
      <c r="PZL4" s="568"/>
      <c r="PZM4" s="568"/>
      <c r="PZN4" s="568"/>
      <c r="PZO4" s="568"/>
      <c r="PZP4" s="568"/>
      <c r="PZQ4" s="568"/>
      <c r="PZR4" s="568"/>
      <c r="PZS4" s="568"/>
      <c r="PZT4" s="568"/>
      <c r="PZU4" s="568"/>
      <c r="PZV4" s="568"/>
      <c r="PZW4" s="568"/>
      <c r="PZX4" s="568"/>
      <c r="PZY4" s="568"/>
      <c r="PZZ4" s="568"/>
      <c r="QAA4" s="568"/>
      <c r="QAB4" s="568"/>
      <c r="QAC4" s="568"/>
      <c r="QAD4" s="568"/>
      <c r="QAE4" s="568"/>
      <c r="QAF4" s="568"/>
      <c r="QAG4" s="568"/>
      <c r="QAH4" s="568"/>
      <c r="QAI4" s="568"/>
      <c r="QAJ4" s="568"/>
      <c r="QAK4" s="568"/>
      <c r="QAL4" s="568"/>
      <c r="QAM4" s="568"/>
      <c r="QAN4" s="568"/>
      <c r="QAO4" s="568"/>
      <c r="QAP4" s="568"/>
      <c r="QAQ4" s="568"/>
      <c r="QAR4" s="568"/>
      <c r="QAS4" s="568"/>
      <c r="QAT4" s="568"/>
      <c r="QAU4" s="568"/>
      <c r="QAV4" s="568"/>
      <c r="QAW4" s="568"/>
      <c r="QAX4" s="568"/>
      <c r="QAY4" s="568"/>
      <c r="QAZ4" s="568"/>
      <c r="QBA4" s="568"/>
      <c r="QBB4" s="568"/>
      <c r="QBC4" s="568"/>
      <c r="QBD4" s="568"/>
      <c r="QBE4" s="568"/>
      <c r="QBF4" s="568"/>
      <c r="QBG4" s="568"/>
      <c r="QBH4" s="568"/>
      <c r="QBI4" s="568"/>
      <c r="QBJ4" s="568"/>
      <c r="QBK4" s="568"/>
      <c r="QBL4" s="568"/>
      <c r="QBM4" s="568"/>
      <c r="QBN4" s="568"/>
      <c r="QBO4" s="568"/>
      <c r="QBP4" s="568"/>
      <c r="QBQ4" s="568"/>
      <c r="QBR4" s="568"/>
      <c r="QBS4" s="568"/>
      <c r="QBT4" s="568"/>
      <c r="QBU4" s="568"/>
      <c r="QBV4" s="568"/>
      <c r="QBW4" s="568"/>
      <c r="QBX4" s="568"/>
      <c r="QBY4" s="568"/>
      <c r="QBZ4" s="568"/>
      <c r="QCA4" s="568"/>
      <c r="QCB4" s="568"/>
      <c r="QCC4" s="568"/>
      <c r="QCD4" s="568"/>
      <c r="QCE4" s="568"/>
      <c r="QCF4" s="568"/>
      <c r="QCG4" s="568"/>
      <c r="QCH4" s="568"/>
      <c r="QCI4" s="568"/>
      <c r="QCJ4" s="568"/>
      <c r="QCK4" s="568"/>
      <c r="QCL4" s="568"/>
      <c r="QCM4" s="568"/>
      <c r="QCN4" s="568"/>
      <c r="QCO4" s="568"/>
      <c r="QCP4" s="568"/>
      <c r="QCQ4" s="568"/>
      <c r="QCR4" s="568"/>
      <c r="QCS4" s="568"/>
      <c r="QCT4" s="568"/>
      <c r="QCU4" s="568"/>
      <c r="QCV4" s="568"/>
      <c r="QCW4" s="568"/>
      <c r="QCX4" s="568"/>
      <c r="QCY4" s="568"/>
      <c r="QCZ4" s="568"/>
      <c r="QDA4" s="568"/>
      <c r="QDB4" s="568"/>
      <c r="QDC4" s="568"/>
      <c r="QDD4" s="568"/>
      <c r="QDE4" s="568"/>
      <c r="QDF4" s="568"/>
      <c r="QDG4" s="568"/>
      <c r="QDH4" s="568"/>
      <c r="QDI4" s="568"/>
      <c r="QDJ4" s="568"/>
      <c r="QDK4" s="568"/>
      <c r="QDL4" s="568"/>
      <c r="QDM4" s="568"/>
      <c r="QDN4" s="568"/>
      <c r="QDO4" s="568"/>
      <c r="QDP4" s="568"/>
      <c r="QDQ4" s="568"/>
      <c r="QDR4" s="568"/>
      <c r="QDS4" s="568"/>
      <c r="QDT4" s="568"/>
      <c r="QDU4" s="568"/>
      <c r="QDV4" s="568"/>
      <c r="QDW4" s="568"/>
      <c r="QDX4" s="568"/>
      <c r="QDY4" s="568"/>
      <c r="QDZ4" s="568"/>
      <c r="QEA4" s="568"/>
      <c r="QEB4" s="568"/>
      <c r="QEC4" s="568"/>
      <c r="QED4" s="568"/>
      <c r="QEE4" s="568"/>
      <c r="QEF4" s="568"/>
      <c r="QEG4" s="568"/>
      <c r="QEH4" s="568"/>
      <c r="QEI4" s="568"/>
      <c r="QEJ4" s="568"/>
      <c r="QEK4" s="568"/>
      <c r="QEL4" s="568"/>
      <c r="QEM4" s="568"/>
      <c r="QEN4" s="568"/>
      <c r="QEO4" s="568"/>
      <c r="QEP4" s="568"/>
      <c r="QEQ4" s="568"/>
      <c r="QER4" s="568"/>
      <c r="QES4" s="568"/>
      <c r="QET4" s="568"/>
      <c r="QEU4" s="568"/>
      <c r="QEV4" s="568"/>
      <c r="QEW4" s="568"/>
      <c r="QEX4" s="568"/>
      <c r="QEY4" s="568"/>
      <c r="QEZ4" s="568"/>
      <c r="QFA4" s="568"/>
      <c r="QFB4" s="568"/>
      <c r="QFC4" s="568"/>
      <c r="QFD4" s="568"/>
      <c r="QFE4" s="568"/>
      <c r="QFF4" s="568"/>
      <c r="QFG4" s="568"/>
      <c r="QFH4" s="568"/>
      <c r="QFI4" s="568"/>
      <c r="QFJ4" s="568"/>
      <c r="QFK4" s="568"/>
      <c r="QFL4" s="568"/>
      <c r="QFM4" s="568"/>
      <c r="QFN4" s="568"/>
      <c r="QFO4" s="568"/>
      <c r="QFP4" s="568"/>
      <c r="QFQ4" s="568"/>
      <c r="QFR4" s="568"/>
      <c r="QFS4" s="568"/>
      <c r="QFT4" s="568"/>
      <c r="QFU4" s="568"/>
      <c r="QFV4" s="568"/>
      <c r="QFW4" s="568"/>
      <c r="QFX4" s="568"/>
      <c r="QFY4" s="568"/>
      <c r="QFZ4" s="568"/>
      <c r="QGA4" s="568"/>
      <c r="QGB4" s="568"/>
      <c r="QGC4" s="568"/>
      <c r="QGD4" s="568"/>
      <c r="QGE4" s="568"/>
      <c r="QGF4" s="568"/>
      <c r="QGG4" s="568"/>
      <c r="QGH4" s="568"/>
      <c r="QGI4" s="568"/>
      <c r="QGJ4" s="568"/>
      <c r="QGK4" s="568"/>
      <c r="QGL4" s="568"/>
      <c r="QGM4" s="568"/>
      <c r="QGN4" s="568"/>
      <c r="QGO4" s="568"/>
      <c r="QGP4" s="568"/>
      <c r="QGQ4" s="568"/>
      <c r="QGR4" s="568"/>
      <c r="QGS4" s="568"/>
      <c r="QGT4" s="568"/>
      <c r="QGU4" s="568"/>
      <c r="QGV4" s="568"/>
      <c r="QGW4" s="568"/>
      <c r="QGX4" s="568"/>
      <c r="QGY4" s="568"/>
      <c r="QGZ4" s="568"/>
      <c r="QHA4" s="568"/>
      <c r="QHB4" s="568"/>
      <c r="QHC4" s="568"/>
      <c r="QHD4" s="568"/>
      <c r="QHE4" s="568"/>
      <c r="QHF4" s="568"/>
      <c r="QHG4" s="568"/>
      <c r="QHH4" s="568"/>
      <c r="QHI4" s="568"/>
      <c r="QHJ4" s="568"/>
      <c r="QHK4" s="568"/>
      <c r="QHL4" s="568"/>
      <c r="QHM4" s="568"/>
      <c r="QHN4" s="568"/>
      <c r="QHO4" s="568"/>
      <c r="QHP4" s="568"/>
      <c r="QHQ4" s="568"/>
      <c r="QHR4" s="568"/>
      <c r="QHS4" s="568"/>
      <c r="QHT4" s="568"/>
      <c r="QHU4" s="568"/>
      <c r="QHV4" s="568"/>
      <c r="QHW4" s="568"/>
      <c r="QHX4" s="568"/>
      <c r="QHY4" s="568"/>
      <c r="QHZ4" s="568"/>
      <c r="QIA4" s="568"/>
      <c r="QIB4" s="568"/>
      <c r="QIC4" s="568"/>
      <c r="QID4" s="568"/>
      <c r="QIE4" s="568"/>
      <c r="QIF4" s="568"/>
      <c r="QIG4" s="568"/>
      <c r="QIH4" s="568"/>
      <c r="QII4" s="568"/>
      <c r="QIJ4" s="568"/>
      <c r="QIK4" s="568"/>
      <c r="QIL4" s="568"/>
      <c r="QIM4" s="568"/>
      <c r="QIN4" s="568"/>
      <c r="QIO4" s="568"/>
      <c r="QIP4" s="568"/>
      <c r="QIQ4" s="568"/>
      <c r="QIR4" s="568"/>
      <c r="QIS4" s="568"/>
      <c r="QIT4" s="568"/>
      <c r="QIU4" s="568"/>
      <c r="QIV4" s="568"/>
      <c r="QIW4" s="568"/>
      <c r="QIX4" s="568"/>
      <c r="QIY4" s="568"/>
      <c r="QIZ4" s="568"/>
      <c r="QJA4" s="568"/>
      <c r="QJB4" s="568"/>
      <c r="QJC4" s="568"/>
      <c r="QJD4" s="568"/>
      <c r="QJE4" s="568"/>
      <c r="QJF4" s="568"/>
      <c r="QJG4" s="568"/>
      <c r="QJH4" s="568"/>
      <c r="QJI4" s="568"/>
      <c r="QJJ4" s="568"/>
      <c r="QJK4" s="568"/>
      <c r="QJL4" s="568"/>
      <c r="QJM4" s="568"/>
      <c r="QJN4" s="568"/>
      <c r="QJO4" s="568"/>
      <c r="QJP4" s="568"/>
      <c r="QJQ4" s="568"/>
      <c r="QJR4" s="568"/>
      <c r="QJS4" s="568"/>
      <c r="QJT4" s="568"/>
      <c r="QJU4" s="568"/>
      <c r="QJV4" s="568"/>
      <c r="QJW4" s="568"/>
      <c r="QJX4" s="568"/>
      <c r="QJY4" s="568"/>
      <c r="QJZ4" s="568"/>
      <c r="QKA4" s="568"/>
      <c r="QKB4" s="568"/>
      <c r="QKC4" s="568"/>
      <c r="QKD4" s="568"/>
      <c r="QKE4" s="568"/>
      <c r="QKF4" s="568"/>
      <c r="QKG4" s="568"/>
      <c r="QKH4" s="568"/>
      <c r="QKI4" s="568"/>
      <c r="QKJ4" s="568"/>
      <c r="QKK4" s="568"/>
      <c r="QKL4" s="568"/>
      <c r="QKM4" s="568"/>
      <c r="QKN4" s="568"/>
      <c r="QKO4" s="568"/>
      <c r="QKP4" s="568"/>
      <c r="QKQ4" s="568"/>
      <c r="QKR4" s="568"/>
      <c r="QKS4" s="568"/>
      <c r="QKT4" s="568"/>
      <c r="QKU4" s="568"/>
      <c r="QKV4" s="568"/>
      <c r="QKW4" s="568"/>
      <c r="QKX4" s="568"/>
      <c r="QKY4" s="568"/>
      <c r="QKZ4" s="568"/>
      <c r="QLA4" s="568"/>
      <c r="QLB4" s="568"/>
      <c r="QLC4" s="568"/>
      <c r="QLD4" s="568"/>
      <c r="QLE4" s="568"/>
      <c r="QLF4" s="568"/>
      <c r="QLG4" s="568"/>
      <c r="QLH4" s="568"/>
      <c r="QLI4" s="568"/>
      <c r="QLJ4" s="568"/>
      <c r="QLK4" s="568"/>
      <c r="QLL4" s="568"/>
      <c r="QLM4" s="568"/>
      <c r="QLN4" s="568"/>
      <c r="QLO4" s="568"/>
      <c r="QLP4" s="568"/>
      <c r="QLQ4" s="568"/>
      <c r="QLR4" s="568"/>
      <c r="QLS4" s="568"/>
      <c r="QLT4" s="568"/>
      <c r="QLU4" s="568"/>
      <c r="QLV4" s="568"/>
      <c r="QLW4" s="568"/>
      <c r="QLX4" s="568"/>
      <c r="QLY4" s="568"/>
      <c r="QLZ4" s="568"/>
      <c r="QMA4" s="568"/>
      <c r="QMB4" s="568"/>
      <c r="QMC4" s="568"/>
      <c r="QMD4" s="568"/>
      <c r="QME4" s="568"/>
      <c r="QMF4" s="568"/>
      <c r="QMG4" s="568"/>
      <c r="QMH4" s="568"/>
      <c r="QMI4" s="568"/>
      <c r="QMJ4" s="568"/>
      <c r="QMK4" s="568"/>
      <c r="QML4" s="568"/>
      <c r="QMM4" s="568"/>
      <c r="QMN4" s="568"/>
      <c r="QMO4" s="568"/>
      <c r="QMP4" s="568"/>
      <c r="QMQ4" s="568"/>
      <c r="QMR4" s="568"/>
      <c r="QMS4" s="568"/>
      <c r="QMT4" s="568"/>
      <c r="QMU4" s="568"/>
      <c r="QMV4" s="568"/>
      <c r="QMW4" s="568"/>
      <c r="QMX4" s="568"/>
      <c r="QMY4" s="568"/>
      <c r="QMZ4" s="568"/>
      <c r="QNA4" s="568"/>
      <c r="QNB4" s="568"/>
      <c r="QNC4" s="568"/>
      <c r="QND4" s="568"/>
      <c r="QNE4" s="568"/>
      <c r="QNF4" s="568"/>
      <c r="QNG4" s="568"/>
      <c r="QNH4" s="568"/>
      <c r="QNI4" s="568"/>
      <c r="QNJ4" s="568"/>
      <c r="QNK4" s="568"/>
      <c r="QNL4" s="568"/>
      <c r="QNM4" s="568"/>
      <c r="QNN4" s="568"/>
      <c r="QNO4" s="568"/>
      <c r="QNP4" s="568"/>
      <c r="QNQ4" s="568"/>
      <c r="QNR4" s="568"/>
      <c r="QNS4" s="568"/>
      <c r="QNT4" s="568"/>
      <c r="QNU4" s="568"/>
      <c r="QNV4" s="568"/>
      <c r="QNW4" s="568"/>
      <c r="QNX4" s="568"/>
      <c r="QNY4" s="568"/>
      <c r="QNZ4" s="568"/>
      <c r="QOA4" s="568"/>
      <c r="QOB4" s="568"/>
      <c r="QOC4" s="568"/>
      <c r="QOD4" s="568"/>
      <c r="QOE4" s="568"/>
      <c r="QOF4" s="568"/>
      <c r="QOG4" s="568"/>
      <c r="QOH4" s="568"/>
      <c r="QOI4" s="568"/>
      <c r="QOJ4" s="568"/>
      <c r="QOK4" s="568"/>
      <c r="QOL4" s="568"/>
      <c r="QOM4" s="568"/>
      <c r="QON4" s="568"/>
      <c r="QOO4" s="568"/>
      <c r="QOP4" s="568"/>
      <c r="QOQ4" s="568"/>
      <c r="QOR4" s="568"/>
      <c r="QOS4" s="568"/>
      <c r="QOT4" s="568"/>
      <c r="QOU4" s="568"/>
      <c r="QOV4" s="568"/>
      <c r="QOW4" s="568"/>
      <c r="QOX4" s="568"/>
      <c r="QOY4" s="568"/>
      <c r="QOZ4" s="568"/>
      <c r="QPA4" s="568"/>
      <c r="QPB4" s="568"/>
      <c r="QPC4" s="568"/>
      <c r="QPD4" s="568"/>
      <c r="QPE4" s="568"/>
      <c r="QPF4" s="568"/>
      <c r="QPG4" s="568"/>
      <c r="QPH4" s="568"/>
      <c r="QPI4" s="568"/>
      <c r="QPJ4" s="568"/>
      <c r="QPK4" s="568"/>
      <c r="QPL4" s="568"/>
      <c r="QPM4" s="568"/>
      <c r="QPN4" s="568"/>
      <c r="QPO4" s="568"/>
      <c r="QPP4" s="568"/>
      <c r="QPQ4" s="568"/>
      <c r="QPR4" s="568"/>
      <c r="QPS4" s="568"/>
      <c r="QPT4" s="568"/>
      <c r="QPU4" s="568"/>
      <c r="QPV4" s="568"/>
      <c r="QPW4" s="568"/>
      <c r="QPX4" s="568"/>
      <c r="QPY4" s="568"/>
      <c r="QPZ4" s="568"/>
      <c r="QQA4" s="568"/>
      <c r="QQB4" s="568"/>
      <c r="QQC4" s="568"/>
      <c r="QQD4" s="568"/>
      <c r="QQE4" s="568"/>
      <c r="QQF4" s="568"/>
      <c r="QQG4" s="568"/>
      <c r="QQH4" s="568"/>
      <c r="QQI4" s="568"/>
      <c r="QQJ4" s="568"/>
      <c r="QQK4" s="568"/>
      <c r="QQL4" s="568"/>
      <c r="QQM4" s="568"/>
      <c r="QQN4" s="568"/>
      <c r="QQO4" s="568"/>
      <c r="QQP4" s="568"/>
      <c r="QQQ4" s="568"/>
      <c r="QQR4" s="568"/>
      <c r="QQS4" s="568"/>
      <c r="QQT4" s="568"/>
      <c r="QQU4" s="568"/>
      <c r="QQV4" s="568"/>
      <c r="QQW4" s="568"/>
      <c r="QQX4" s="568"/>
      <c r="QQY4" s="568"/>
      <c r="QQZ4" s="568"/>
      <c r="QRA4" s="568"/>
      <c r="QRB4" s="568"/>
      <c r="QRC4" s="568"/>
      <c r="QRD4" s="568"/>
      <c r="QRE4" s="568"/>
      <c r="QRF4" s="568"/>
      <c r="QRG4" s="568"/>
      <c r="QRH4" s="568"/>
      <c r="QRI4" s="568"/>
      <c r="QRJ4" s="568"/>
      <c r="QRK4" s="568"/>
      <c r="QRL4" s="568"/>
      <c r="QRM4" s="568"/>
      <c r="QRN4" s="568"/>
      <c r="QRO4" s="568"/>
      <c r="QRP4" s="568"/>
      <c r="QRQ4" s="568"/>
      <c r="QRR4" s="568"/>
      <c r="QRS4" s="568"/>
      <c r="QRT4" s="568"/>
      <c r="QRU4" s="568"/>
      <c r="QRV4" s="568"/>
      <c r="QRW4" s="568"/>
      <c r="QRX4" s="568"/>
      <c r="QRY4" s="568"/>
      <c r="QRZ4" s="568"/>
      <c r="QSA4" s="568"/>
      <c r="QSB4" s="568"/>
      <c r="QSC4" s="568"/>
      <c r="QSD4" s="568"/>
      <c r="QSE4" s="568"/>
      <c r="QSF4" s="568"/>
      <c r="QSG4" s="568"/>
      <c r="QSH4" s="568"/>
      <c r="QSI4" s="568"/>
      <c r="QSJ4" s="568"/>
      <c r="QSK4" s="568"/>
      <c r="QSL4" s="568"/>
      <c r="QSM4" s="568"/>
      <c r="QSN4" s="568"/>
      <c r="QSO4" s="568"/>
      <c r="QSP4" s="568"/>
      <c r="QSQ4" s="568"/>
      <c r="QSR4" s="568"/>
      <c r="QSS4" s="568"/>
      <c r="QST4" s="568"/>
      <c r="QSU4" s="568"/>
      <c r="QSV4" s="568"/>
      <c r="QSW4" s="568"/>
      <c r="QSX4" s="568"/>
      <c r="QSY4" s="568"/>
      <c r="QSZ4" s="568"/>
      <c r="QTA4" s="568"/>
      <c r="QTB4" s="568"/>
      <c r="QTC4" s="568"/>
      <c r="QTD4" s="568"/>
      <c r="QTE4" s="568"/>
      <c r="QTF4" s="568"/>
      <c r="QTG4" s="568"/>
      <c r="QTH4" s="568"/>
      <c r="QTI4" s="568"/>
      <c r="QTJ4" s="568"/>
      <c r="QTK4" s="568"/>
      <c r="QTL4" s="568"/>
      <c r="QTM4" s="568"/>
      <c r="QTN4" s="568"/>
      <c r="QTO4" s="568"/>
      <c r="QTP4" s="568"/>
      <c r="QTQ4" s="568"/>
      <c r="QTR4" s="568"/>
      <c r="QTS4" s="568"/>
      <c r="QTT4" s="568"/>
      <c r="QTU4" s="568"/>
      <c r="QTV4" s="568"/>
      <c r="QTW4" s="568"/>
      <c r="QTX4" s="568"/>
      <c r="QTY4" s="568"/>
      <c r="QTZ4" s="568"/>
      <c r="QUA4" s="568"/>
      <c r="QUB4" s="568"/>
      <c r="QUC4" s="568"/>
      <c r="QUD4" s="568"/>
      <c r="QUE4" s="568"/>
      <c r="QUF4" s="568"/>
      <c r="QUG4" s="568"/>
      <c r="QUH4" s="568"/>
      <c r="QUI4" s="568"/>
      <c r="QUJ4" s="568"/>
      <c r="QUK4" s="568"/>
      <c r="QUL4" s="568"/>
      <c r="QUM4" s="568"/>
      <c r="QUN4" s="568"/>
      <c r="QUO4" s="568"/>
      <c r="QUP4" s="568"/>
      <c r="QUQ4" s="568"/>
      <c r="QUR4" s="568"/>
      <c r="QUS4" s="568"/>
      <c r="QUT4" s="568"/>
      <c r="QUU4" s="568"/>
      <c r="QUV4" s="568"/>
      <c r="QUW4" s="568"/>
      <c r="QUX4" s="568"/>
      <c r="QUY4" s="568"/>
      <c r="QUZ4" s="568"/>
      <c r="QVA4" s="568"/>
      <c r="QVB4" s="568"/>
      <c r="QVC4" s="568"/>
      <c r="QVD4" s="568"/>
      <c r="QVE4" s="568"/>
      <c r="QVF4" s="568"/>
      <c r="QVG4" s="568"/>
      <c r="QVH4" s="568"/>
      <c r="QVI4" s="568"/>
      <c r="QVJ4" s="568"/>
      <c r="QVK4" s="568"/>
      <c r="QVL4" s="568"/>
      <c r="QVM4" s="568"/>
      <c r="QVN4" s="568"/>
      <c r="QVO4" s="568"/>
      <c r="QVP4" s="568"/>
      <c r="QVQ4" s="568"/>
      <c r="QVR4" s="568"/>
      <c r="QVS4" s="568"/>
      <c r="QVT4" s="568"/>
      <c r="QVU4" s="568"/>
      <c r="QVV4" s="568"/>
      <c r="QVW4" s="568"/>
      <c r="QVX4" s="568"/>
      <c r="QVY4" s="568"/>
      <c r="QVZ4" s="568"/>
      <c r="QWA4" s="568"/>
      <c r="QWB4" s="568"/>
      <c r="QWC4" s="568"/>
      <c r="QWD4" s="568"/>
      <c r="QWE4" s="568"/>
      <c r="QWF4" s="568"/>
      <c r="QWG4" s="568"/>
      <c r="QWH4" s="568"/>
      <c r="QWI4" s="568"/>
      <c r="QWJ4" s="568"/>
      <c r="QWK4" s="568"/>
      <c r="QWL4" s="568"/>
      <c r="QWM4" s="568"/>
      <c r="QWN4" s="568"/>
      <c r="QWO4" s="568"/>
      <c r="QWP4" s="568"/>
      <c r="QWQ4" s="568"/>
      <c r="QWR4" s="568"/>
      <c r="QWS4" s="568"/>
      <c r="QWT4" s="568"/>
      <c r="QWU4" s="568"/>
      <c r="QWV4" s="568"/>
      <c r="QWW4" s="568"/>
      <c r="QWX4" s="568"/>
      <c r="QWY4" s="568"/>
      <c r="QWZ4" s="568"/>
      <c r="QXA4" s="568"/>
      <c r="QXB4" s="568"/>
      <c r="QXC4" s="568"/>
      <c r="QXD4" s="568"/>
      <c r="QXE4" s="568"/>
      <c r="QXF4" s="568"/>
      <c r="QXG4" s="568"/>
      <c r="QXH4" s="568"/>
      <c r="QXI4" s="568"/>
      <c r="QXJ4" s="568"/>
      <c r="QXK4" s="568"/>
      <c r="QXL4" s="568"/>
      <c r="QXM4" s="568"/>
      <c r="QXN4" s="568"/>
      <c r="QXO4" s="568"/>
      <c r="QXP4" s="568"/>
      <c r="QXQ4" s="568"/>
      <c r="QXR4" s="568"/>
      <c r="QXS4" s="568"/>
      <c r="QXT4" s="568"/>
      <c r="QXU4" s="568"/>
      <c r="QXV4" s="568"/>
      <c r="QXW4" s="568"/>
      <c r="QXX4" s="568"/>
      <c r="QXY4" s="568"/>
      <c r="QXZ4" s="568"/>
      <c r="QYA4" s="568"/>
      <c r="QYB4" s="568"/>
      <c r="QYC4" s="568"/>
      <c r="QYD4" s="568"/>
      <c r="QYE4" s="568"/>
      <c r="QYF4" s="568"/>
      <c r="QYG4" s="568"/>
      <c r="QYH4" s="568"/>
      <c r="QYI4" s="568"/>
      <c r="QYJ4" s="568"/>
      <c r="QYK4" s="568"/>
      <c r="QYL4" s="568"/>
      <c r="QYM4" s="568"/>
      <c r="QYN4" s="568"/>
      <c r="QYO4" s="568"/>
      <c r="QYP4" s="568"/>
      <c r="QYQ4" s="568"/>
      <c r="QYR4" s="568"/>
      <c r="QYS4" s="568"/>
      <c r="QYT4" s="568"/>
      <c r="QYU4" s="568"/>
      <c r="QYV4" s="568"/>
      <c r="QYW4" s="568"/>
      <c r="QYX4" s="568"/>
      <c r="QYY4" s="568"/>
      <c r="QYZ4" s="568"/>
      <c r="QZA4" s="568"/>
      <c r="QZB4" s="568"/>
      <c r="QZC4" s="568"/>
      <c r="QZD4" s="568"/>
      <c r="QZE4" s="568"/>
      <c r="QZF4" s="568"/>
      <c r="QZG4" s="568"/>
      <c r="QZH4" s="568"/>
      <c r="QZI4" s="568"/>
      <c r="QZJ4" s="568"/>
      <c r="QZK4" s="568"/>
      <c r="QZL4" s="568"/>
      <c r="QZM4" s="568"/>
      <c r="QZN4" s="568"/>
      <c r="QZO4" s="568"/>
      <c r="QZP4" s="568"/>
      <c r="QZQ4" s="568"/>
      <c r="QZR4" s="568"/>
      <c r="QZS4" s="568"/>
      <c r="QZT4" s="568"/>
      <c r="QZU4" s="568"/>
      <c r="QZV4" s="568"/>
      <c r="QZW4" s="568"/>
      <c r="QZX4" s="568"/>
      <c r="QZY4" s="568"/>
      <c r="QZZ4" s="568"/>
      <c r="RAA4" s="568"/>
      <c r="RAB4" s="568"/>
      <c r="RAC4" s="568"/>
      <c r="RAD4" s="568"/>
      <c r="RAE4" s="568"/>
      <c r="RAF4" s="568"/>
      <c r="RAG4" s="568"/>
      <c r="RAH4" s="568"/>
      <c r="RAI4" s="568"/>
      <c r="RAJ4" s="568"/>
      <c r="RAK4" s="568"/>
      <c r="RAL4" s="568"/>
      <c r="RAM4" s="568"/>
      <c r="RAN4" s="568"/>
      <c r="RAO4" s="568"/>
      <c r="RAP4" s="568"/>
      <c r="RAQ4" s="568"/>
      <c r="RAR4" s="568"/>
      <c r="RAS4" s="568"/>
      <c r="RAT4" s="568"/>
      <c r="RAU4" s="568"/>
      <c r="RAV4" s="568"/>
      <c r="RAW4" s="568"/>
      <c r="RAX4" s="568"/>
      <c r="RAY4" s="568"/>
      <c r="RAZ4" s="568"/>
      <c r="RBA4" s="568"/>
      <c r="RBB4" s="568"/>
      <c r="RBC4" s="568"/>
      <c r="RBD4" s="568"/>
      <c r="RBE4" s="568"/>
      <c r="RBF4" s="568"/>
      <c r="RBG4" s="568"/>
      <c r="RBH4" s="568"/>
      <c r="RBI4" s="568"/>
      <c r="RBJ4" s="568"/>
      <c r="RBK4" s="568"/>
      <c r="RBL4" s="568"/>
      <c r="RBM4" s="568"/>
      <c r="RBN4" s="568"/>
      <c r="RBO4" s="568"/>
      <c r="RBP4" s="568"/>
      <c r="RBQ4" s="568"/>
      <c r="RBR4" s="568"/>
      <c r="RBS4" s="568"/>
      <c r="RBT4" s="568"/>
      <c r="RBU4" s="568"/>
      <c r="RBV4" s="568"/>
      <c r="RBW4" s="568"/>
      <c r="RBX4" s="568"/>
      <c r="RBY4" s="568"/>
      <c r="RBZ4" s="568"/>
      <c r="RCA4" s="568"/>
      <c r="RCB4" s="568"/>
      <c r="RCC4" s="568"/>
      <c r="RCD4" s="568"/>
      <c r="RCE4" s="568"/>
      <c r="RCF4" s="568"/>
      <c r="RCG4" s="568"/>
      <c r="RCH4" s="568"/>
      <c r="RCI4" s="568"/>
      <c r="RCJ4" s="568"/>
      <c r="RCK4" s="568"/>
      <c r="RCL4" s="568"/>
      <c r="RCM4" s="568"/>
      <c r="RCN4" s="568"/>
      <c r="RCO4" s="568"/>
      <c r="RCP4" s="568"/>
      <c r="RCQ4" s="568"/>
      <c r="RCR4" s="568"/>
      <c r="RCS4" s="568"/>
      <c r="RCT4" s="568"/>
      <c r="RCU4" s="568"/>
      <c r="RCV4" s="568"/>
      <c r="RCW4" s="568"/>
      <c r="RCX4" s="568"/>
      <c r="RCY4" s="568"/>
      <c r="RCZ4" s="568"/>
      <c r="RDA4" s="568"/>
      <c r="RDB4" s="568"/>
      <c r="RDC4" s="568"/>
      <c r="RDD4" s="568"/>
      <c r="RDE4" s="568"/>
      <c r="RDF4" s="568"/>
      <c r="RDG4" s="568"/>
      <c r="RDH4" s="568"/>
      <c r="RDI4" s="568"/>
      <c r="RDJ4" s="568"/>
      <c r="RDK4" s="568"/>
      <c r="RDL4" s="568"/>
      <c r="RDM4" s="568"/>
      <c r="RDN4" s="568"/>
      <c r="RDO4" s="568"/>
      <c r="RDP4" s="568"/>
      <c r="RDQ4" s="568"/>
      <c r="RDR4" s="568"/>
      <c r="RDS4" s="568"/>
      <c r="RDT4" s="568"/>
      <c r="RDU4" s="568"/>
      <c r="RDV4" s="568"/>
      <c r="RDW4" s="568"/>
      <c r="RDX4" s="568"/>
      <c r="RDY4" s="568"/>
      <c r="RDZ4" s="568"/>
      <c r="REA4" s="568"/>
      <c r="REB4" s="568"/>
      <c r="REC4" s="568"/>
      <c r="RED4" s="568"/>
      <c r="REE4" s="568"/>
      <c r="REF4" s="568"/>
      <c r="REG4" s="568"/>
      <c r="REH4" s="568"/>
      <c r="REI4" s="568"/>
      <c r="REJ4" s="568"/>
      <c r="REK4" s="568"/>
      <c r="REL4" s="568"/>
      <c r="REM4" s="568"/>
      <c r="REN4" s="568"/>
      <c r="REO4" s="568"/>
      <c r="REP4" s="568"/>
      <c r="REQ4" s="568"/>
      <c r="RER4" s="568"/>
      <c r="RES4" s="568"/>
      <c r="RET4" s="568"/>
      <c r="REU4" s="568"/>
      <c r="REV4" s="568"/>
      <c r="REW4" s="568"/>
      <c r="REX4" s="568"/>
      <c r="REY4" s="568"/>
      <c r="REZ4" s="568"/>
      <c r="RFA4" s="568"/>
      <c r="RFB4" s="568"/>
      <c r="RFC4" s="568"/>
      <c r="RFD4" s="568"/>
      <c r="RFE4" s="568"/>
      <c r="RFF4" s="568"/>
      <c r="RFG4" s="568"/>
      <c r="RFH4" s="568"/>
      <c r="RFI4" s="568"/>
      <c r="RFJ4" s="568"/>
      <c r="RFK4" s="568"/>
      <c r="RFL4" s="568"/>
      <c r="RFM4" s="568"/>
      <c r="RFN4" s="568"/>
      <c r="RFO4" s="568"/>
      <c r="RFP4" s="568"/>
      <c r="RFQ4" s="568"/>
      <c r="RFR4" s="568"/>
      <c r="RFS4" s="568"/>
      <c r="RFT4" s="568"/>
      <c r="RFU4" s="568"/>
      <c r="RFV4" s="568"/>
      <c r="RFW4" s="568"/>
      <c r="RFX4" s="568"/>
      <c r="RFY4" s="568"/>
      <c r="RFZ4" s="568"/>
      <c r="RGA4" s="568"/>
      <c r="RGB4" s="568"/>
      <c r="RGC4" s="568"/>
      <c r="RGD4" s="568"/>
      <c r="RGE4" s="568"/>
      <c r="RGF4" s="568"/>
      <c r="RGG4" s="568"/>
      <c r="RGH4" s="568"/>
      <c r="RGI4" s="568"/>
      <c r="RGJ4" s="568"/>
      <c r="RGK4" s="568"/>
      <c r="RGL4" s="568"/>
      <c r="RGM4" s="568"/>
      <c r="RGN4" s="568"/>
      <c r="RGO4" s="568"/>
      <c r="RGP4" s="568"/>
      <c r="RGQ4" s="568"/>
      <c r="RGR4" s="568"/>
      <c r="RGS4" s="568"/>
      <c r="RGT4" s="568"/>
      <c r="RGU4" s="568"/>
      <c r="RGV4" s="568"/>
      <c r="RGW4" s="568"/>
      <c r="RGX4" s="568"/>
      <c r="RGY4" s="568"/>
      <c r="RGZ4" s="568"/>
      <c r="RHA4" s="568"/>
      <c r="RHB4" s="568"/>
      <c r="RHC4" s="568"/>
      <c r="RHD4" s="568"/>
      <c r="RHE4" s="568"/>
      <c r="RHF4" s="568"/>
      <c r="RHG4" s="568"/>
      <c r="RHH4" s="568"/>
      <c r="RHI4" s="568"/>
      <c r="RHJ4" s="568"/>
      <c r="RHK4" s="568"/>
      <c r="RHL4" s="568"/>
      <c r="RHM4" s="568"/>
      <c r="RHN4" s="568"/>
      <c r="RHO4" s="568"/>
      <c r="RHP4" s="568"/>
      <c r="RHQ4" s="568"/>
      <c r="RHR4" s="568"/>
      <c r="RHS4" s="568"/>
      <c r="RHT4" s="568"/>
      <c r="RHU4" s="568"/>
      <c r="RHV4" s="568"/>
      <c r="RHW4" s="568"/>
      <c r="RHX4" s="568"/>
      <c r="RHY4" s="568"/>
      <c r="RHZ4" s="568"/>
      <c r="RIA4" s="568"/>
      <c r="RIB4" s="568"/>
      <c r="RIC4" s="568"/>
      <c r="RID4" s="568"/>
      <c r="RIE4" s="568"/>
      <c r="RIF4" s="568"/>
      <c r="RIG4" s="568"/>
      <c r="RIH4" s="568"/>
      <c r="RII4" s="568"/>
      <c r="RIJ4" s="568"/>
      <c r="RIK4" s="568"/>
      <c r="RIL4" s="568"/>
      <c r="RIM4" s="568"/>
      <c r="RIN4" s="568"/>
      <c r="RIO4" s="568"/>
      <c r="RIP4" s="568"/>
      <c r="RIQ4" s="568"/>
      <c r="RIR4" s="568"/>
      <c r="RIS4" s="568"/>
      <c r="RIT4" s="568"/>
      <c r="RIU4" s="568"/>
      <c r="RIV4" s="568"/>
      <c r="RIW4" s="568"/>
      <c r="RIX4" s="568"/>
      <c r="RIY4" s="568"/>
      <c r="RIZ4" s="568"/>
      <c r="RJA4" s="568"/>
      <c r="RJB4" s="568"/>
      <c r="RJC4" s="568"/>
      <c r="RJD4" s="568"/>
      <c r="RJE4" s="568"/>
      <c r="RJF4" s="568"/>
      <c r="RJG4" s="568"/>
      <c r="RJH4" s="568"/>
      <c r="RJI4" s="568"/>
      <c r="RJJ4" s="568"/>
      <c r="RJK4" s="568"/>
      <c r="RJL4" s="568"/>
      <c r="RJM4" s="568"/>
      <c r="RJN4" s="568"/>
      <c r="RJO4" s="568"/>
      <c r="RJP4" s="568"/>
      <c r="RJQ4" s="568"/>
      <c r="RJR4" s="568"/>
      <c r="RJS4" s="568"/>
      <c r="RJT4" s="568"/>
      <c r="RJU4" s="568"/>
      <c r="RJV4" s="568"/>
      <c r="RJW4" s="568"/>
      <c r="RJX4" s="568"/>
      <c r="RJY4" s="568"/>
      <c r="RJZ4" s="568"/>
      <c r="RKA4" s="568"/>
      <c r="RKB4" s="568"/>
      <c r="RKC4" s="568"/>
      <c r="RKD4" s="568"/>
      <c r="RKE4" s="568"/>
      <c r="RKF4" s="568"/>
      <c r="RKG4" s="568"/>
      <c r="RKH4" s="568"/>
      <c r="RKI4" s="568"/>
      <c r="RKJ4" s="568"/>
      <c r="RKK4" s="568"/>
      <c r="RKL4" s="568"/>
      <c r="RKM4" s="568"/>
      <c r="RKN4" s="568"/>
      <c r="RKO4" s="568"/>
      <c r="RKP4" s="568"/>
      <c r="RKQ4" s="568"/>
      <c r="RKR4" s="568"/>
      <c r="RKS4" s="568"/>
      <c r="RKT4" s="568"/>
      <c r="RKU4" s="568"/>
      <c r="RKV4" s="568"/>
      <c r="RKW4" s="568"/>
      <c r="RKX4" s="568"/>
      <c r="RKY4" s="568"/>
      <c r="RKZ4" s="568"/>
      <c r="RLA4" s="568"/>
      <c r="RLB4" s="568"/>
      <c r="RLC4" s="568"/>
      <c r="RLD4" s="568"/>
      <c r="RLE4" s="568"/>
      <c r="RLF4" s="568"/>
      <c r="RLG4" s="568"/>
      <c r="RLH4" s="568"/>
      <c r="RLI4" s="568"/>
      <c r="RLJ4" s="568"/>
      <c r="RLK4" s="568"/>
      <c r="RLL4" s="568"/>
      <c r="RLM4" s="568"/>
      <c r="RLN4" s="568"/>
      <c r="RLO4" s="568"/>
      <c r="RLP4" s="568"/>
      <c r="RLQ4" s="568"/>
      <c r="RLR4" s="568"/>
      <c r="RLS4" s="568"/>
      <c r="RLT4" s="568"/>
      <c r="RLU4" s="568"/>
      <c r="RLV4" s="568"/>
      <c r="RLW4" s="568"/>
      <c r="RLX4" s="568"/>
      <c r="RLY4" s="568"/>
      <c r="RLZ4" s="568"/>
      <c r="RMA4" s="568"/>
      <c r="RMB4" s="568"/>
      <c r="RMC4" s="568"/>
      <c r="RMD4" s="568"/>
      <c r="RME4" s="568"/>
      <c r="RMF4" s="568"/>
      <c r="RMG4" s="568"/>
      <c r="RMH4" s="568"/>
      <c r="RMI4" s="568"/>
      <c r="RMJ4" s="568"/>
      <c r="RMK4" s="568"/>
      <c r="RML4" s="568"/>
      <c r="RMM4" s="568"/>
      <c r="RMN4" s="568"/>
      <c r="RMO4" s="568"/>
      <c r="RMP4" s="568"/>
      <c r="RMQ4" s="568"/>
      <c r="RMR4" s="568"/>
      <c r="RMS4" s="568"/>
      <c r="RMT4" s="568"/>
      <c r="RMU4" s="568"/>
      <c r="RMV4" s="568"/>
      <c r="RMW4" s="568"/>
      <c r="RMX4" s="568"/>
      <c r="RMY4" s="568"/>
      <c r="RMZ4" s="568"/>
      <c r="RNA4" s="568"/>
      <c r="RNB4" s="568"/>
      <c r="RNC4" s="568"/>
      <c r="RND4" s="568"/>
      <c r="RNE4" s="568"/>
      <c r="RNF4" s="568"/>
      <c r="RNG4" s="568"/>
      <c r="RNH4" s="568"/>
      <c r="RNI4" s="568"/>
      <c r="RNJ4" s="568"/>
      <c r="RNK4" s="568"/>
      <c r="RNL4" s="568"/>
      <c r="RNM4" s="568"/>
      <c r="RNN4" s="568"/>
      <c r="RNO4" s="568"/>
      <c r="RNP4" s="568"/>
      <c r="RNQ4" s="568"/>
      <c r="RNR4" s="568"/>
      <c r="RNS4" s="568"/>
      <c r="RNT4" s="568"/>
      <c r="RNU4" s="568"/>
      <c r="RNV4" s="568"/>
      <c r="RNW4" s="568"/>
      <c r="RNX4" s="568"/>
      <c r="RNY4" s="568"/>
      <c r="RNZ4" s="568"/>
      <c r="ROA4" s="568"/>
      <c r="ROB4" s="568"/>
      <c r="ROC4" s="568"/>
      <c r="ROD4" s="568"/>
      <c r="ROE4" s="568"/>
      <c r="ROF4" s="568"/>
      <c r="ROG4" s="568"/>
      <c r="ROH4" s="568"/>
      <c r="ROI4" s="568"/>
      <c r="ROJ4" s="568"/>
      <c r="ROK4" s="568"/>
      <c r="ROL4" s="568"/>
      <c r="ROM4" s="568"/>
      <c r="RON4" s="568"/>
      <c r="ROO4" s="568"/>
      <c r="ROP4" s="568"/>
      <c r="ROQ4" s="568"/>
      <c r="ROR4" s="568"/>
      <c r="ROS4" s="568"/>
      <c r="ROT4" s="568"/>
      <c r="ROU4" s="568"/>
      <c r="ROV4" s="568"/>
      <c r="ROW4" s="568"/>
      <c r="ROX4" s="568"/>
      <c r="ROY4" s="568"/>
      <c r="ROZ4" s="568"/>
      <c r="RPA4" s="568"/>
      <c r="RPB4" s="568"/>
      <c r="RPC4" s="568"/>
      <c r="RPD4" s="568"/>
      <c r="RPE4" s="568"/>
      <c r="RPF4" s="568"/>
      <c r="RPG4" s="568"/>
      <c r="RPH4" s="568"/>
      <c r="RPI4" s="568"/>
      <c r="RPJ4" s="568"/>
      <c r="RPK4" s="568"/>
      <c r="RPL4" s="568"/>
      <c r="RPM4" s="568"/>
      <c r="RPN4" s="568"/>
      <c r="RPO4" s="568"/>
      <c r="RPP4" s="568"/>
      <c r="RPQ4" s="568"/>
      <c r="RPR4" s="568"/>
      <c r="RPS4" s="568"/>
      <c r="RPT4" s="568"/>
      <c r="RPU4" s="568"/>
      <c r="RPV4" s="568"/>
      <c r="RPW4" s="568"/>
      <c r="RPX4" s="568"/>
      <c r="RPY4" s="568"/>
      <c r="RPZ4" s="568"/>
      <c r="RQA4" s="568"/>
      <c r="RQB4" s="568"/>
      <c r="RQC4" s="568"/>
      <c r="RQD4" s="568"/>
      <c r="RQE4" s="568"/>
      <c r="RQF4" s="568"/>
      <c r="RQG4" s="568"/>
      <c r="RQH4" s="568"/>
      <c r="RQI4" s="568"/>
      <c r="RQJ4" s="568"/>
      <c r="RQK4" s="568"/>
      <c r="RQL4" s="568"/>
      <c r="RQM4" s="568"/>
      <c r="RQN4" s="568"/>
      <c r="RQO4" s="568"/>
      <c r="RQP4" s="568"/>
      <c r="RQQ4" s="568"/>
      <c r="RQR4" s="568"/>
      <c r="RQS4" s="568"/>
      <c r="RQT4" s="568"/>
      <c r="RQU4" s="568"/>
      <c r="RQV4" s="568"/>
      <c r="RQW4" s="568"/>
      <c r="RQX4" s="568"/>
      <c r="RQY4" s="568"/>
      <c r="RQZ4" s="568"/>
      <c r="RRA4" s="568"/>
      <c r="RRB4" s="568"/>
      <c r="RRC4" s="568"/>
      <c r="RRD4" s="568"/>
      <c r="RRE4" s="568"/>
      <c r="RRF4" s="568"/>
      <c r="RRG4" s="568"/>
      <c r="RRH4" s="568"/>
      <c r="RRI4" s="568"/>
      <c r="RRJ4" s="568"/>
      <c r="RRK4" s="568"/>
      <c r="RRL4" s="568"/>
      <c r="RRM4" s="568"/>
      <c r="RRN4" s="568"/>
      <c r="RRO4" s="568"/>
      <c r="RRP4" s="568"/>
      <c r="RRQ4" s="568"/>
      <c r="RRR4" s="568"/>
      <c r="RRS4" s="568"/>
      <c r="RRT4" s="568"/>
      <c r="RRU4" s="568"/>
      <c r="RRV4" s="568"/>
      <c r="RRW4" s="568"/>
      <c r="RRX4" s="568"/>
      <c r="RRY4" s="568"/>
      <c r="RRZ4" s="568"/>
      <c r="RSA4" s="568"/>
      <c r="RSB4" s="568"/>
      <c r="RSC4" s="568"/>
      <c r="RSD4" s="568"/>
      <c r="RSE4" s="568"/>
      <c r="RSF4" s="568"/>
      <c r="RSG4" s="568"/>
      <c r="RSH4" s="568"/>
      <c r="RSI4" s="568"/>
      <c r="RSJ4" s="568"/>
      <c r="RSK4" s="568"/>
      <c r="RSL4" s="568"/>
      <c r="RSM4" s="568"/>
      <c r="RSN4" s="568"/>
      <c r="RSO4" s="568"/>
      <c r="RSP4" s="568"/>
      <c r="RSQ4" s="568"/>
      <c r="RSR4" s="568"/>
      <c r="RSS4" s="568"/>
      <c r="RST4" s="568"/>
      <c r="RSU4" s="568"/>
      <c r="RSV4" s="568"/>
      <c r="RSW4" s="568"/>
      <c r="RSX4" s="568"/>
      <c r="RSY4" s="568"/>
      <c r="RSZ4" s="568"/>
      <c r="RTA4" s="568"/>
      <c r="RTB4" s="568"/>
      <c r="RTC4" s="568"/>
      <c r="RTD4" s="568"/>
      <c r="RTE4" s="568"/>
      <c r="RTF4" s="568"/>
      <c r="RTG4" s="568"/>
      <c r="RTH4" s="568"/>
      <c r="RTI4" s="568"/>
      <c r="RTJ4" s="568"/>
      <c r="RTK4" s="568"/>
      <c r="RTL4" s="568"/>
      <c r="RTM4" s="568"/>
      <c r="RTN4" s="568"/>
      <c r="RTO4" s="568"/>
      <c r="RTP4" s="568"/>
      <c r="RTQ4" s="568"/>
      <c r="RTR4" s="568"/>
      <c r="RTS4" s="568"/>
      <c r="RTT4" s="568"/>
      <c r="RTU4" s="568"/>
      <c r="RTV4" s="568"/>
      <c r="RTW4" s="568"/>
      <c r="RTX4" s="568"/>
      <c r="RTY4" s="568"/>
      <c r="RTZ4" s="568"/>
      <c r="RUA4" s="568"/>
      <c r="RUB4" s="568"/>
      <c r="RUC4" s="568"/>
      <c r="RUD4" s="568"/>
      <c r="RUE4" s="568"/>
      <c r="RUF4" s="568"/>
      <c r="RUG4" s="568"/>
      <c r="RUH4" s="568"/>
      <c r="RUI4" s="568"/>
      <c r="RUJ4" s="568"/>
      <c r="RUK4" s="568"/>
      <c r="RUL4" s="568"/>
      <c r="RUM4" s="568"/>
      <c r="RUN4" s="568"/>
      <c r="RUO4" s="568"/>
      <c r="RUP4" s="568"/>
      <c r="RUQ4" s="568"/>
      <c r="RUR4" s="568"/>
      <c r="RUS4" s="568"/>
      <c r="RUT4" s="568"/>
      <c r="RUU4" s="568"/>
      <c r="RUV4" s="568"/>
      <c r="RUW4" s="568"/>
      <c r="RUX4" s="568"/>
      <c r="RUY4" s="568"/>
      <c r="RUZ4" s="568"/>
      <c r="RVA4" s="568"/>
      <c r="RVB4" s="568"/>
      <c r="RVC4" s="568"/>
      <c r="RVD4" s="568"/>
      <c r="RVE4" s="568"/>
      <c r="RVF4" s="568"/>
      <c r="RVG4" s="568"/>
      <c r="RVH4" s="568"/>
      <c r="RVI4" s="568"/>
      <c r="RVJ4" s="568"/>
      <c r="RVK4" s="568"/>
      <c r="RVL4" s="568"/>
      <c r="RVM4" s="568"/>
      <c r="RVN4" s="568"/>
      <c r="RVO4" s="568"/>
      <c r="RVP4" s="568"/>
      <c r="RVQ4" s="568"/>
      <c r="RVR4" s="568"/>
      <c r="RVS4" s="568"/>
      <c r="RVT4" s="568"/>
      <c r="RVU4" s="568"/>
      <c r="RVV4" s="568"/>
      <c r="RVW4" s="568"/>
      <c r="RVX4" s="568"/>
      <c r="RVY4" s="568"/>
      <c r="RVZ4" s="568"/>
      <c r="RWA4" s="568"/>
      <c r="RWB4" s="568"/>
      <c r="RWC4" s="568"/>
      <c r="RWD4" s="568"/>
      <c r="RWE4" s="568"/>
      <c r="RWF4" s="568"/>
      <c r="RWG4" s="568"/>
      <c r="RWH4" s="568"/>
      <c r="RWI4" s="568"/>
      <c r="RWJ4" s="568"/>
      <c r="RWK4" s="568"/>
      <c r="RWL4" s="568"/>
      <c r="RWM4" s="568"/>
      <c r="RWN4" s="568"/>
      <c r="RWO4" s="568"/>
      <c r="RWP4" s="568"/>
      <c r="RWQ4" s="568"/>
      <c r="RWR4" s="568"/>
      <c r="RWS4" s="568"/>
      <c r="RWT4" s="568"/>
      <c r="RWU4" s="568"/>
      <c r="RWV4" s="568"/>
      <c r="RWW4" s="568"/>
      <c r="RWX4" s="568"/>
      <c r="RWY4" s="568"/>
      <c r="RWZ4" s="568"/>
      <c r="RXA4" s="568"/>
      <c r="RXB4" s="568"/>
      <c r="RXC4" s="568"/>
      <c r="RXD4" s="568"/>
      <c r="RXE4" s="568"/>
      <c r="RXF4" s="568"/>
      <c r="RXG4" s="568"/>
      <c r="RXH4" s="568"/>
      <c r="RXI4" s="568"/>
      <c r="RXJ4" s="568"/>
      <c r="RXK4" s="568"/>
      <c r="RXL4" s="568"/>
      <c r="RXM4" s="568"/>
      <c r="RXN4" s="568"/>
      <c r="RXO4" s="568"/>
      <c r="RXP4" s="568"/>
      <c r="RXQ4" s="568"/>
      <c r="RXR4" s="568"/>
      <c r="RXS4" s="568"/>
      <c r="RXT4" s="568"/>
      <c r="RXU4" s="568"/>
      <c r="RXV4" s="568"/>
      <c r="RXW4" s="568"/>
      <c r="RXX4" s="568"/>
      <c r="RXY4" s="568"/>
      <c r="RXZ4" s="568"/>
      <c r="RYA4" s="568"/>
      <c r="RYB4" s="568"/>
      <c r="RYC4" s="568"/>
      <c r="RYD4" s="568"/>
      <c r="RYE4" s="568"/>
      <c r="RYF4" s="568"/>
      <c r="RYG4" s="568"/>
      <c r="RYH4" s="568"/>
      <c r="RYI4" s="568"/>
      <c r="RYJ4" s="568"/>
      <c r="RYK4" s="568"/>
      <c r="RYL4" s="568"/>
      <c r="RYM4" s="568"/>
      <c r="RYN4" s="568"/>
      <c r="RYO4" s="568"/>
      <c r="RYP4" s="568"/>
      <c r="RYQ4" s="568"/>
      <c r="RYR4" s="568"/>
      <c r="RYS4" s="568"/>
      <c r="RYT4" s="568"/>
      <c r="RYU4" s="568"/>
      <c r="RYV4" s="568"/>
      <c r="RYW4" s="568"/>
      <c r="RYX4" s="568"/>
      <c r="RYY4" s="568"/>
      <c r="RYZ4" s="568"/>
      <c r="RZA4" s="568"/>
      <c r="RZB4" s="568"/>
      <c r="RZC4" s="568"/>
      <c r="RZD4" s="568"/>
      <c r="RZE4" s="568"/>
      <c r="RZF4" s="568"/>
      <c r="RZG4" s="568"/>
      <c r="RZH4" s="568"/>
      <c r="RZI4" s="568"/>
      <c r="RZJ4" s="568"/>
      <c r="RZK4" s="568"/>
      <c r="RZL4" s="568"/>
      <c r="RZM4" s="568"/>
      <c r="RZN4" s="568"/>
      <c r="RZO4" s="568"/>
      <c r="RZP4" s="568"/>
      <c r="RZQ4" s="568"/>
      <c r="RZR4" s="568"/>
      <c r="RZS4" s="568"/>
      <c r="RZT4" s="568"/>
      <c r="RZU4" s="568"/>
      <c r="RZV4" s="568"/>
      <c r="RZW4" s="568"/>
      <c r="RZX4" s="568"/>
      <c r="RZY4" s="568"/>
      <c r="RZZ4" s="568"/>
      <c r="SAA4" s="568"/>
      <c r="SAB4" s="568"/>
      <c r="SAC4" s="568"/>
      <c r="SAD4" s="568"/>
      <c r="SAE4" s="568"/>
      <c r="SAF4" s="568"/>
      <c r="SAG4" s="568"/>
      <c r="SAH4" s="568"/>
      <c r="SAI4" s="568"/>
      <c r="SAJ4" s="568"/>
      <c r="SAK4" s="568"/>
      <c r="SAL4" s="568"/>
      <c r="SAM4" s="568"/>
      <c r="SAN4" s="568"/>
      <c r="SAO4" s="568"/>
      <c r="SAP4" s="568"/>
      <c r="SAQ4" s="568"/>
      <c r="SAR4" s="568"/>
      <c r="SAS4" s="568"/>
      <c r="SAT4" s="568"/>
      <c r="SAU4" s="568"/>
      <c r="SAV4" s="568"/>
      <c r="SAW4" s="568"/>
      <c r="SAX4" s="568"/>
      <c r="SAY4" s="568"/>
      <c r="SAZ4" s="568"/>
      <c r="SBA4" s="568"/>
      <c r="SBB4" s="568"/>
      <c r="SBC4" s="568"/>
      <c r="SBD4" s="568"/>
      <c r="SBE4" s="568"/>
      <c r="SBF4" s="568"/>
      <c r="SBG4" s="568"/>
      <c r="SBH4" s="568"/>
      <c r="SBI4" s="568"/>
      <c r="SBJ4" s="568"/>
      <c r="SBK4" s="568"/>
      <c r="SBL4" s="568"/>
      <c r="SBM4" s="568"/>
      <c r="SBN4" s="568"/>
      <c r="SBO4" s="568"/>
      <c r="SBP4" s="568"/>
      <c r="SBQ4" s="568"/>
      <c r="SBR4" s="568"/>
      <c r="SBS4" s="568"/>
      <c r="SBT4" s="568"/>
      <c r="SBU4" s="568"/>
      <c r="SBV4" s="568"/>
      <c r="SBW4" s="568"/>
      <c r="SBX4" s="568"/>
      <c r="SBY4" s="568"/>
      <c r="SBZ4" s="568"/>
      <c r="SCA4" s="568"/>
      <c r="SCB4" s="568"/>
      <c r="SCC4" s="568"/>
      <c r="SCD4" s="568"/>
      <c r="SCE4" s="568"/>
      <c r="SCF4" s="568"/>
      <c r="SCG4" s="568"/>
      <c r="SCH4" s="568"/>
      <c r="SCI4" s="568"/>
      <c r="SCJ4" s="568"/>
      <c r="SCK4" s="568"/>
      <c r="SCL4" s="568"/>
      <c r="SCM4" s="568"/>
      <c r="SCN4" s="568"/>
      <c r="SCO4" s="568"/>
      <c r="SCP4" s="568"/>
      <c r="SCQ4" s="568"/>
      <c r="SCR4" s="568"/>
      <c r="SCS4" s="568"/>
      <c r="SCT4" s="568"/>
      <c r="SCU4" s="568"/>
      <c r="SCV4" s="568"/>
      <c r="SCW4" s="568"/>
      <c r="SCX4" s="568"/>
      <c r="SCY4" s="568"/>
      <c r="SCZ4" s="568"/>
      <c r="SDA4" s="568"/>
      <c r="SDB4" s="568"/>
      <c r="SDC4" s="568"/>
      <c r="SDD4" s="568"/>
      <c r="SDE4" s="568"/>
      <c r="SDF4" s="568"/>
      <c r="SDG4" s="568"/>
      <c r="SDH4" s="568"/>
      <c r="SDI4" s="568"/>
      <c r="SDJ4" s="568"/>
      <c r="SDK4" s="568"/>
      <c r="SDL4" s="568"/>
      <c r="SDM4" s="568"/>
      <c r="SDN4" s="568"/>
      <c r="SDO4" s="568"/>
      <c r="SDP4" s="568"/>
      <c r="SDQ4" s="568"/>
      <c r="SDR4" s="568"/>
      <c r="SDS4" s="568"/>
      <c r="SDT4" s="568"/>
      <c r="SDU4" s="568"/>
      <c r="SDV4" s="568"/>
      <c r="SDW4" s="568"/>
      <c r="SDX4" s="568"/>
      <c r="SDY4" s="568"/>
      <c r="SDZ4" s="568"/>
      <c r="SEA4" s="568"/>
      <c r="SEB4" s="568"/>
      <c r="SEC4" s="568"/>
      <c r="SED4" s="568"/>
      <c r="SEE4" s="568"/>
      <c r="SEF4" s="568"/>
      <c r="SEG4" s="568"/>
      <c r="SEH4" s="568"/>
      <c r="SEI4" s="568"/>
      <c r="SEJ4" s="568"/>
      <c r="SEK4" s="568"/>
      <c r="SEL4" s="568"/>
      <c r="SEM4" s="568"/>
      <c r="SEN4" s="568"/>
      <c r="SEO4" s="568"/>
      <c r="SEP4" s="568"/>
      <c r="SEQ4" s="568"/>
      <c r="SER4" s="568"/>
      <c r="SES4" s="568"/>
      <c r="SET4" s="568"/>
      <c r="SEU4" s="568"/>
      <c r="SEV4" s="568"/>
      <c r="SEW4" s="568"/>
      <c r="SEX4" s="568"/>
      <c r="SEY4" s="568"/>
      <c r="SEZ4" s="568"/>
      <c r="SFA4" s="568"/>
      <c r="SFB4" s="568"/>
      <c r="SFC4" s="568"/>
      <c r="SFD4" s="568"/>
      <c r="SFE4" s="568"/>
      <c r="SFF4" s="568"/>
      <c r="SFG4" s="568"/>
      <c r="SFH4" s="568"/>
      <c r="SFI4" s="568"/>
      <c r="SFJ4" s="568"/>
      <c r="SFK4" s="568"/>
      <c r="SFL4" s="568"/>
      <c r="SFM4" s="568"/>
      <c r="SFN4" s="568"/>
      <c r="SFO4" s="568"/>
      <c r="SFP4" s="568"/>
      <c r="SFQ4" s="568"/>
      <c r="SFR4" s="568"/>
      <c r="SFS4" s="568"/>
      <c r="SFT4" s="568"/>
      <c r="SFU4" s="568"/>
      <c r="SFV4" s="568"/>
      <c r="SFW4" s="568"/>
      <c r="SFX4" s="568"/>
      <c r="SFY4" s="568"/>
      <c r="SFZ4" s="568"/>
      <c r="SGA4" s="568"/>
      <c r="SGB4" s="568"/>
      <c r="SGC4" s="568"/>
      <c r="SGD4" s="568"/>
      <c r="SGE4" s="568"/>
      <c r="SGF4" s="568"/>
      <c r="SGG4" s="568"/>
      <c r="SGH4" s="568"/>
      <c r="SGI4" s="568"/>
      <c r="SGJ4" s="568"/>
      <c r="SGK4" s="568"/>
      <c r="SGL4" s="568"/>
      <c r="SGM4" s="568"/>
      <c r="SGN4" s="568"/>
      <c r="SGO4" s="568"/>
      <c r="SGP4" s="568"/>
      <c r="SGQ4" s="568"/>
      <c r="SGR4" s="568"/>
      <c r="SGS4" s="568"/>
      <c r="SGT4" s="568"/>
      <c r="SGU4" s="568"/>
      <c r="SGV4" s="568"/>
      <c r="SGW4" s="568"/>
      <c r="SGX4" s="568"/>
      <c r="SGY4" s="568"/>
      <c r="SGZ4" s="568"/>
      <c r="SHA4" s="568"/>
      <c r="SHB4" s="568"/>
      <c r="SHC4" s="568"/>
      <c r="SHD4" s="568"/>
      <c r="SHE4" s="568"/>
      <c r="SHF4" s="568"/>
      <c r="SHG4" s="568"/>
      <c r="SHH4" s="568"/>
      <c r="SHI4" s="568"/>
      <c r="SHJ4" s="568"/>
      <c r="SHK4" s="568"/>
      <c r="SHL4" s="568"/>
      <c r="SHM4" s="568"/>
      <c r="SHN4" s="568"/>
      <c r="SHO4" s="568"/>
      <c r="SHP4" s="568"/>
      <c r="SHQ4" s="568"/>
      <c r="SHR4" s="568"/>
      <c r="SHS4" s="568"/>
      <c r="SHT4" s="568"/>
      <c r="SHU4" s="568"/>
      <c r="SHV4" s="568"/>
      <c r="SHW4" s="568"/>
      <c r="SHX4" s="568"/>
      <c r="SHY4" s="568"/>
      <c r="SHZ4" s="568"/>
      <c r="SIA4" s="568"/>
      <c r="SIB4" s="568"/>
      <c r="SIC4" s="568"/>
      <c r="SID4" s="568"/>
      <c r="SIE4" s="568"/>
      <c r="SIF4" s="568"/>
      <c r="SIG4" s="568"/>
      <c r="SIH4" s="568"/>
      <c r="SII4" s="568"/>
      <c r="SIJ4" s="568"/>
      <c r="SIK4" s="568"/>
      <c r="SIL4" s="568"/>
      <c r="SIM4" s="568"/>
      <c r="SIN4" s="568"/>
      <c r="SIO4" s="568"/>
      <c r="SIP4" s="568"/>
      <c r="SIQ4" s="568"/>
      <c r="SIR4" s="568"/>
      <c r="SIS4" s="568"/>
      <c r="SIT4" s="568"/>
      <c r="SIU4" s="568"/>
      <c r="SIV4" s="568"/>
      <c r="SIW4" s="568"/>
      <c r="SIX4" s="568"/>
      <c r="SIY4" s="568"/>
      <c r="SIZ4" s="568"/>
      <c r="SJA4" s="568"/>
      <c r="SJB4" s="568"/>
      <c r="SJC4" s="568"/>
      <c r="SJD4" s="568"/>
      <c r="SJE4" s="568"/>
      <c r="SJF4" s="568"/>
      <c r="SJG4" s="568"/>
      <c r="SJH4" s="568"/>
      <c r="SJI4" s="568"/>
      <c r="SJJ4" s="568"/>
      <c r="SJK4" s="568"/>
      <c r="SJL4" s="568"/>
      <c r="SJM4" s="568"/>
      <c r="SJN4" s="568"/>
      <c r="SJO4" s="568"/>
      <c r="SJP4" s="568"/>
      <c r="SJQ4" s="568"/>
      <c r="SJR4" s="568"/>
      <c r="SJS4" s="568"/>
      <c r="SJT4" s="568"/>
      <c r="SJU4" s="568"/>
      <c r="SJV4" s="568"/>
      <c r="SJW4" s="568"/>
      <c r="SJX4" s="568"/>
      <c r="SJY4" s="568"/>
      <c r="SJZ4" s="568"/>
      <c r="SKA4" s="568"/>
      <c r="SKB4" s="568"/>
      <c r="SKC4" s="568"/>
      <c r="SKD4" s="568"/>
      <c r="SKE4" s="568"/>
      <c r="SKF4" s="568"/>
      <c r="SKG4" s="568"/>
      <c r="SKH4" s="568"/>
      <c r="SKI4" s="568"/>
      <c r="SKJ4" s="568"/>
      <c r="SKK4" s="568"/>
      <c r="SKL4" s="568"/>
      <c r="SKM4" s="568"/>
      <c r="SKN4" s="568"/>
      <c r="SKO4" s="568"/>
      <c r="SKP4" s="568"/>
      <c r="SKQ4" s="568"/>
      <c r="SKR4" s="568"/>
      <c r="SKS4" s="568"/>
      <c r="SKT4" s="568"/>
      <c r="SKU4" s="568"/>
      <c r="SKV4" s="568"/>
      <c r="SKW4" s="568"/>
      <c r="SKX4" s="568"/>
      <c r="SKY4" s="568"/>
      <c r="SKZ4" s="568"/>
      <c r="SLA4" s="568"/>
      <c r="SLB4" s="568"/>
      <c r="SLC4" s="568"/>
      <c r="SLD4" s="568"/>
      <c r="SLE4" s="568"/>
      <c r="SLF4" s="568"/>
      <c r="SLG4" s="568"/>
      <c r="SLH4" s="568"/>
      <c r="SLI4" s="568"/>
      <c r="SLJ4" s="568"/>
      <c r="SLK4" s="568"/>
      <c r="SLL4" s="568"/>
      <c r="SLM4" s="568"/>
      <c r="SLN4" s="568"/>
      <c r="SLO4" s="568"/>
      <c r="SLP4" s="568"/>
      <c r="SLQ4" s="568"/>
      <c r="SLR4" s="568"/>
      <c r="SLS4" s="568"/>
      <c r="SLT4" s="568"/>
      <c r="SLU4" s="568"/>
      <c r="SLV4" s="568"/>
      <c r="SLW4" s="568"/>
      <c r="SLX4" s="568"/>
      <c r="SLY4" s="568"/>
      <c r="SLZ4" s="568"/>
      <c r="SMA4" s="568"/>
      <c r="SMB4" s="568"/>
      <c r="SMC4" s="568"/>
      <c r="SMD4" s="568"/>
      <c r="SME4" s="568"/>
      <c r="SMF4" s="568"/>
      <c r="SMG4" s="568"/>
      <c r="SMH4" s="568"/>
      <c r="SMI4" s="568"/>
      <c r="SMJ4" s="568"/>
      <c r="SMK4" s="568"/>
      <c r="SML4" s="568"/>
      <c r="SMM4" s="568"/>
      <c r="SMN4" s="568"/>
      <c r="SMO4" s="568"/>
      <c r="SMP4" s="568"/>
      <c r="SMQ4" s="568"/>
      <c r="SMR4" s="568"/>
      <c r="SMS4" s="568"/>
      <c r="SMT4" s="568"/>
      <c r="SMU4" s="568"/>
      <c r="SMV4" s="568"/>
      <c r="SMW4" s="568"/>
      <c r="SMX4" s="568"/>
      <c r="SMY4" s="568"/>
      <c r="SMZ4" s="568"/>
      <c r="SNA4" s="568"/>
      <c r="SNB4" s="568"/>
      <c r="SNC4" s="568"/>
      <c r="SND4" s="568"/>
      <c r="SNE4" s="568"/>
      <c r="SNF4" s="568"/>
      <c r="SNG4" s="568"/>
      <c r="SNH4" s="568"/>
      <c r="SNI4" s="568"/>
      <c r="SNJ4" s="568"/>
      <c r="SNK4" s="568"/>
      <c r="SNL4" s="568"/>
      <c r="SNM4" s="568"/>
      <c r="SNN4" s="568"/>
      <c r="SNO4" s="568"/>
      <c r="SNP4" s="568"/>
      <c r="SNQ4" s="568"/>
      <c r="SNR4" s="568"/>
      <c r="SNS4" s="568"/>
      <c r="SNT4" s="568"/>
      <c r="SNU4" s="568"/>
      <c r="SNV4" s="568"/>
      <c r="SNW4" s="568"/>
      <c r="SNX4" s="568"/>
      <c r="SNY4" s="568"/>
      <c r="SNZ4" s="568"/>
      <c r="SOA4" s="568"/>
      <c r="SOB4" s="568"/>
      <c r="SOC4" s="568"/>
      <c r="SOD4" s="568"/>
      <c r="SOE4" s="568"/>
      <c r="SOF4" s="568"/>
      <c r="SOG4" s="568"/>
      <c r="SOH4" s="568"/>
      <c r="SOI4" s="568"/>
      <c r="SOJ4" s="568"/>
      <c r="SOK4" s="568"/>
      <c r="SOL4" s="568"/>
      <c r="SOM4" s="568"/>
      <c r="SON4" s="568"/>
      <c r="SOO4" s="568"/>
      <c r="SOP4" s="568"/>
      <c r="SOQ4" s="568"/>
      <c r="SOR4" s="568"/>
      <c r="SOS4" s="568"/>
      <c r="SOT4" s="568"/>
      <c r="SOU4" s="568"/>
      <c r="SOV4" s="568"/>
      <c r="SOW4" s="568"/>
      <c r="SOX4" s="568"/>
      <c r="SOY4" s="568"/>
      <c r="SOZ4" s="568"/>
      <c r="SPA4" s="568"/>
      <c r="SPB4" s="568"/>
      <c r="SPC4" s="568"/>
      <c r="SPD4" s="568"/>
      <c r="SPE4" s="568"/>
      <c r="SPF4" s="568"/>
      <c r="SPG4" s="568"/>
      <c r="SPH4" s="568"/>
      <c r="SPI4" s="568"/>
      <c r="SPJ4" s="568"/>
      <c r="SPK4" s="568"/>
      <c r="SPL4" s="568"/>
      <c r="SPM4" s="568"/>
      <c r="SPN4" s="568"/>
      <c r="SPO4" s="568"/>
      <c r="SPP4" s="568"/>
      <c r="SPQ4" s="568"/>
      <c r="SPR4" s="568"/>
      <c r="SPS4" s="568"/>
      <c r="SPT4" s="568"/>
      <c r="SPU4" s="568"/>
      <c r="SPV4" s="568"/>
      <c r="SPW4" s="568"/>
      <c r="SPX4" s="568"/>
      <c r="SPY4" s="568"/>
      <c r="SPZ4" s="568"/>
      <c r="SQA4" s="568"/>
      <c r="SQB4" s="568"/>
      <c r="SQC4" s="568"/>
      <c r="SQD4" s="568"/>
      <c r="SQE4" s="568"/>
      <c r="SQF4" s="568"/>
      <c r="SQG4" s="568"/>
      <c r="SQH4" s="568"/>
      <c r="SQI4" s="568"/>
      <c r="SQJ4" s="568"/>
      <c r="SQK4" s="568"/>
      <c r="SQL4" s="568"/>
      <c r="SQM4" s="568"/>
      <c r="SQN4" s="568"/>
      <c r="SQO4" s="568"/>
      <c r="SQP4" s="568"/>
      <c r="SQQ4" s="568"/>
      <c r="SQR4" s="568"/>
      <c r="SQS4" s="568"/>
      <c r="SQT4" s="568"/>
      <c r="SQU4" s="568"/>
      <c r="SQV4" s="568"/>
      <c r="SQW4" s="568"/>
      <c r="SQX4" s="568"/>
      <c r="SQY4" s="568"/>
      <c r="SQZ4" s="568"/>
      <c r="SRA4" s="568"/>
      <c r="SRB4" s="568"/>
      <c r="SRC4" s="568"/>
      <c r="SRD4" s="568"/>
      <c r="SRE4" s="568"/>
      <c r="SRF4" s="568"/>
      <c r="SRG4" s="568"/>
      <c r="SRH4" s="568"/>
      <c r="SRI4" s="568"/>
      <c r="SRJ4" s="568"/>
      <c r="SRK4" s="568"/>
      <c r="SRL4" s="568"/>
      <c r="SRM4" s="568"/>
      <c r="SRN4" s="568"/>
      <c r="SRO4" s="568"/>
      <c r="SRP4" s="568"/>
      <c r="SRQ4" s="568"/>
      <c r="SRR4" s="568"/>
      <c r="SRS4" s="568"/>
      <c r="SRT4" s="568"/>
      <c r="SRU4" s="568"/>
      <c r="SRV4" s="568"/>
      <c r="SRW4" s="568"/>
      <c r="SRX4" s="568"/>
      <c r="SRY4" s="568"/>
      <c r="SRZ4" s="568"/>
      <c r="SSA4" s="568"/>
      <c r="SSB4" s="568"/>
      <c r="SSC4" s="568"/>
      <c r="SSD4" s="568"/>
      <c r="SSE4" s="568"/>
      <c r="SSF4" s="568"/>
      <c r="SSG4" s="568"/>
      <c r="SSH4" s="568"/>
      <c r="SSI4" s="568"/>
      <c r="SSJ4" s="568"/>
      <c r="SSK4" s="568"/>
      <c r="SSL4" s="568"/>
      <c r="SSM4" s="568"/>
      <c r="SSN4" s="568"/>
      <c r="SSO4" s="568"/>
      <c r="SSP4" s="568"/>
      <c r="SSQ4" s="568"/>
      <c r="SSR4" s="568"/>
      <c r="SSS4" s="568"/>
      <c r="SST4" s="568"/>
      <c r="SSU4" s="568"/>
      <c r="SSV4" s="568"/>
      <c r="SSW4" s="568"/>
      <c r="SSX4" s="568"/>
      <c r="SSY4" s="568"/>
      <c r="SSZ4" s="568"/>
      <c r="STA4" s="568"/>
      <c r="STB4" s="568"/>
      <c r="STC4" s="568"/>
      <c r="STD4" s="568"/>
      <c r="STE4" s="568"/>
      <c r="STF4" s="568"/>
      <c r="STG4" s="568"/>
      <c r="STH4" s="568"/>
      <c r="STI4" s="568"/>
      <c r="STJ4" s="568"/>
      <c r="STK4" s="568"/>
      <c r="STL4" s="568"/>
      <c r="STM4" s="568"/>
      <c r="STN4" s="568"/>
      <c r="STO4" s="568"/>
      <c r="STP4" s="568"/>
      <c r="STQ4" s="568"/>
      <c r="STR4" s="568"/>
      <c r="STS4" s="568"/>
      <c r="STT4" s="568"/>
      <c r="STU4" s="568"/>
      <c r="STV4" s="568"/>
      <c r="STW4" s="568"/>
      <c r="STX4" s="568"/>
      <c r="STY4" s="568"/>
      <c r="STZ4" s="568"/>
      <c r="SUA4" s="568"/>
      <c r="SUB4" s="568"/>
      <c r="SUC4" s="568"/>
      <c r="SUD4" s="568"/>
      <c r="SUE4" s="568"/>
      <c r="SUF4" s="568"/>
      <c r="SUG4" s="568"/>
      <c r="SUH4" s="568"/>
      <c r="SUI4" s="568"/>
      <c r="SUJ4" s="568"/>
      <c r="SUK4" s="568"/>
      <c r="SUL4" s="568"/>
      <c r="SUM4" s="568"/>
      <c r="SUN4" s="568"/>
      <c r="SUO4" s="568"/>
      <c r="SUP4" s="568"/>
      <c r="SUQ4" s="568"/>
      <c r="SUR4" s="568"/>
      <c r="SUS4" s="568"/>
      <c r="SUT4" s="568"/>
      <c r="SUU4" s="568"/>
      <c r="SUV4" s="568"/>
      <c r="SUW4" s="568"/>
      <c r="SUX4" s="568"/>
      <c r="SUY4" s="568"/>
      <c r="SUZ4" s="568"/>
      <c r="SVA4" s="568"/>
      <c r="SVB4" s="568"/>
      <c r="SVC4" s="568"/>
      <c r="SVD4" s="568"/>
      <c r="SVE4" s="568"/>
      <c r="SVF4" s="568"/>
      <c r="SVG4" s="568"/>
      <c r="SVH4" s="568"/>
      <c r="SVI4" s="568"/>
      <c r="SVJ4" s="568"/>
      <c r="SVK4" s="568"/>
      <c r="SVL4" s="568"/>
      <c r="SVM4" s="568"/>
      <c r="SVN4" s="568"/>
      <c r="SVO4" s="568"/>
      <c r="SVP4" s="568"/>
      <c r="SVQ4" s="568"/>
      <c r="SVR4" s="568"/>
      <c r="SVS4" s="568"/>
      <c r="SVT4" s="568"/>
      <c r="SVU4" s="568"/>
      <c r="SVV4" s="568"/>
      <c r="SVW4" s="568"/>
      <c r="SVX4" s="568"/>
      <c r="SVY4" s="568"/>
      <c r="SVZ4" s="568"/>
      <c r="SWA4" s="568"/>
      <c r="SWB4" s="568"/>
      <c r="SWC4" s="568"/>
      <c r="SWD4" s="568"/>
      <c r="SWE4" s="568"/>
      <c r="SWF4" s="568"/>
      <c r="SWG4" s="568"/>
      <c r="SWH4" s="568"/>
      <c r="SWI4" s="568"/>
      <c r="SWJ4" s="568"/>
      <c r="SWK4" s="568"/>
      <c r="SWL4" s="568"/>
      <c r="SWM4" s="568"/>
      <c r="SWN4" s="568"/>
      <c r="SWO4" s="568"/>
      <c r="SWP4" s="568"/>
      <c r="SWQ4" s="568"/>
      <c r="SWR4" s="568"/>
      <c r="SWS4" s="568"/>
      <c r="SWT4" s="568"/>
      <c r="SWU4" s="568"/>
      <c r="SWV4" s="568"/>
      <c r="SWW4" s="568"/>
      <c r="SWX4" s="568"/>
      <c r="SWY4" s="568"/>
      <c r="SWZ4" s="568"/>
      <c r="SXA4" s="568"/>
      <c r="SXB4" s="568"/>
      <c r="SXC4" s="568"/>
      <c r="SXD4" s="568"/>
      <c r="SXE4" s="568"/>
      <c r="SXF4" s="568"/>
      <c r="SXG4" s="568"/>
      <c r="SXH4" s="568"/>
      <c r="SXI4" s="568"/>
      <c r="SXJ4" s="568"/>
      <c r="SXK4" s="568"/>
      <c r="SXL4" s="568"/>
      <c r="SXM4" s="568"/>
      <c r="SXN4" s="568"/>
      <c r="SXO4" s="568"/>
      <c r="SXP4" s="568"/>
      <c r="SXQ4" s="568"/>
      <c r="SXR4" s="568"/>
      <c r="SXS4" s="568"/>
      <c r="SXT4" s="568"/>
      <c r="SXU4" s="568"/>
      <c r="SXV4" s="568"/>
      <c r="SXW4" s="568"/>
      <c r="SXX4" s="568"/>
      <c r="SXY4" s="568"/>
      <c r="SXZ4" s="568"/>
      <c r="SYA4" s="568"/>
      <c r="SYB4" s="568"/>
      <c r="SYC4" s="568"/>
      <c r="SYD4" s="568"/>
      <c r="SYE4" s="568"/>
      <c r="SYF4" s="568"/>
      <c r="SYG4" s="568"/>
      <c r="SYH4" s="568"/>
      <c r="SYI4" s="568"/>
      <c r="SYJ4" s="568"/>
      <c r="SYK4" s="568"/>
      <c r="SYL4" s="568"/>
      <c r="SYM4" s="568"/>
      <c r="SYN4" s="568"/>
      <c r="SYO4" s="568"/>
      <c r="SYP4" s="568"/>
      <c r="SYQ4" s="568"/>
      <c r="SYR4" s="568"/>
      <c r="SYS4" s="568"/>
      <c r="SYT4" s="568"/>
      <c r="SYU4" s="568"/>
      <c r="SYV4" s="568"/>
      <c r="SYW4" s="568"/>
      <c r="SYX4" s="568"/>
      <c r="SYY4" s="568"/>
      <c r="SYZ4" s="568"/>
      <c r="SZA4" s="568"/>
      <c r="SZB4" s="568"/>
      <c r="SZC4" s="568"/>
      <c r="SZD4" s="568"/>
      <c r="SZE4" s="568"/>
      <c r="SZF4" s="568"/>
      <c r="SZG4" s="568"/>
      <c r="SZH4" s="568"/>
      <c r="SZI4" s="568"/>
      <c r="SZJ4" s="568"/>
      <c r="SZK4" s="568"/>
      <c r="SZL4" s="568"/>
      <c r="SZM4" s="568"/>
      <c r="SZN4" s="568"/>
      <c r="SZO4" s="568"/>
      <c r="SZP4" s="568"/>
      <c r="SZQ4" s="568"/>
      <c r="SZR4" s="568"/>
      <c r="SZS4" s="568"/>
      <c r="SZT4" s="568"/>
      <c r="SZU4" s="568"/>
      <c r="SZV4" s="568"/>
      <c r="SZW4" s="568"/>
      <c r="SZX4" s="568"/>
      <c r="SZY4" s="568"/>
      <c r="SZZ4" s="568"/>
      <c r="TAA4" s="568"/>
      <c r="TAB4" s="568"/>
      <c r="TAC4" s="568"/>
      <c r="TAD4" s="568"/>
      <c r="TAE4" s="568"/>
      <c r="TAF4" s="568"/>
      <c r="TAG4" s="568"/>
      <c r="TAH4" s="568"/>
      <c r="TAI4" s="568"/>
      <c r="TAJ4" s="568"/>
      <c r="TAK4" s="568"/>
      <c r="TAL4" s="568"/>
      <c r="TAM4" s="568"/>
      <c r="TAN4" s="568"/>
      <c r="TAO4" s="568"/>
      <c r="TAP4" s="568"/>
      <c r="TAQ4" s="568"/>
      <c r="TAR4" s="568"/>
      <c r="TAS4" s="568"/>
      <c r="TAT4" s="568"/>
      <c r="TAU4" s="568"/>
      <c r="TAV4" s="568"/>
      <c r="TAW4" s="568"/>
      <c r="TAX4" s="568"/>
      <c r="TAY4" s="568"/>
      <c r="TAZ4" s="568"/>
      <c r="TBA4" s="568"/>
      <c r="TBB4" s="568"/>
      <c r="TBC4" s="568"/>
      <c r="TBD4" s="568"/>
      <c r="TBE4" s="568"/>
      <c r="TBF4" s="568"/>
      <c r="TBG4" s="568"/>
      <c r="TBH4" s="568"/>
      <c r="TBI4" s="568"/>
      <c r="TBJ4" s="568"/>
      <c r="TBK4" s="568"/>
      <c r="TBL4" s="568"/>
      <c r="TBM4" s="568"/>
      <c r="TBN4" s="568"/>
      <c r="TBO4" s="568"/>
      <c r="TBP4" s="568"/>
      <c r="TBQ4" s="568"/>
      <c r="TBR4" s="568"/>
      <c r="TBS4" s="568"/>
      <c r="TBT4" s="568"/>
      <c r="TBU4" s="568"/>
      <c r="TBV4" s="568"/>
      <c r="TBW4" s="568"/>
      <c r="TBX4" s="568"/>
      <c r="TBY4" s="568"/>
      <c r="TBZ4" s="568"/>
      <c r="TCA4" s="568"/>
      <c r="TCB4" s="568"/>
      <c r="TCC4" s="568"/>
      <c r="TCD4" s="568"/>
      <c r="TCE4" s="568"/>
      <c r="TCF4" s="568"/>
      <c r="TCG4" s="568"/>
      <c r="TCH4" s="568"/>
      <c r="TCI4" s="568"/>
      <c r="TCJ4" s="568"/>
      <c r="TCK4" s="568"/>
      <c r="TCL4" s="568"/>
      <c r="TCM4" s="568"/>
      <c r="TCN4" s="568"/>
      <c r="TCO4" s="568"/>
      <c r="TCP4" s="568"/>
      <c r="TCQ4" s="568"/>
      <c r="TCR4" s="568"/>
      <c r="TCS4" s="568"/>
      <c r="TCT4" s="568"/>
      <c r="TCU4" s="568"/>
      <c r="TCV4" s="568"/>
      <c r="TCW4" s="568"/>
      <c r="TCX4" s="568"/>
      <c r="TCY4" s="568"/>
      <c r="TCZ4" s="568"/>
      <c r="TDA4" s="568"/>
      <c r="TDB4" s="568"/>
      <c r="TDC4" s="568"/>
      <c r="TDD4" s="568"/>
      <c r="TDE4" s="568"/>
      <c r="TDF4" s="568"/>
      <c r="TDG4" s="568"/>
      <c r="TDH4" s="568"/>
      <c r="TDI4" s="568"/>
      <c r="TDJ4" s="568"/>
      <c r="TDK4" s="568"/>
      <c r="TDL4" s="568"/>
      <c r="TDM4" s="568"/>
      <c r="TDN4" s="568"/>
      <c r="TDO4" s="568"/>
      <c r="TDP4" s="568"/>
      <c r="TDQ4" s="568"/>
      <c r="TDR4" s="568"/>
      <c r="TDS4" s="568"/>
      <c r="TDT4" s="568"/>
      <c r="TDU4" s="568"/>
      <c r="TDV4" s="568"/>
      <c r="TDW4" s="568"/>
      <c r="TDX4" s="568"/>
      <c r="TDY4" s="568"/>
      <c r="TDZ4" s="568"/>
      <c r="TEA4" s="568"/>
      <c r="TEB4" s="568"/>
      <c r="TEC4" s="568"/>
      <c r="TED4" s="568"/>
      <c r="TEE4" s="568"/>
      <c r="TEF4" s="568"/>
      <c r="TEG4" s="568"/>
      <c r="TEH4" s="568"/>
      <c r="TEI4" s="568"/>
      <c r="TEJ4" s="568"/>
      <c r="TEK4" s="568"/>
      <c r="TEL4" s="568"/>
      <c r="TEM4" s="568"/>
      <c r="TEN4" s="568"/>
      <c r="TEO4" s="568"/>
      <c r="TEP4" s="568"/>
      <c r="TEQ4" s="568"/>
      <c r="TER4" s="568"/>
      <c r="TES4" s="568"/>
      <c r="TET4" s="568"/>
      <c r="TEU4" s="568"/>
      <c r="TEV4" s="568"/>
      <c r="TEW4" s="568"/>
      <c r="TEX4" s="568"/>
      <c r="TEY4" s="568"/>
      <c r="TEZ4" s="568"/>
      <c r="TFA4" s="568"/>
      <c r="TFB4" s="568"/>
      <c r="TFC4" s="568"/>
      <c r="TFD4" s="568"/>
      <c r="TFE4" s="568"/>
      <c r="TFF4" s="568"/>
      <c r="TFG4" s="568"/>
      <c r="TFH4" s="568"/>
      <c r="TFI4" s="568"/>
      <c r="TFJ4" s="568"/>
      <c r="TFK4" s="568"/>
      <c r="TFL4" s="568"/>
      <c r="TFM4" s="568"/>
      <c r="TFN4" s="568"/>
      <c r="TFO4" s="568"/>
      <c r="TFP4" s="568"/>
      <c r="TFQ4" s="568"/>
      <c r="TFR4" s="568"/>
      <c r="TFS4" s="568"/>
      <c r="TFT4" s="568"/>
      <c r="TFU4" s="568"/>
      <c r="TFV4" s="568"/>
      <c r="TFW4" s="568"/>
      <c r="TFX4" s="568"/>
      <c r="TFY4" s="568"/>
      <c r="TFZ4" s="568"/>
      <c r="TGA4" s="568"/>
      <c r="TGB4" s="568"/>
      <c r="TGC4" s="568"/>
      <c r="TGD4" s="568"/>
      <c r="TGE4" s="568"/>
      <c r="TGF4" s="568"/>
      <c r="TGG4" s="568"/>
      <c r="TGH4" s="568"/>
      <c r="TGI4" s="568"/>
      <c r="TGJ4" s="568"/>
      <c r="TGK4" s="568"/>
      <c r="TGL4" s="568"/>
      <c r="TGM4" s="568"/>
      <c r="TGN4" s="568"/>
      <c r="TGO4" s="568"/>
      <c r="TGP4" s="568"/>
      <c r="TGQ4" s="568"/>
      <c r="TGR4" s="568"/>
      <c r="TGS4" s="568"/>
      <c r="TGT4" s="568"/>
      <c r="TGU4" s="568"/>
      <c r="TGV4" s="568"/>
      <c r="TGW4" s="568"/>
      <c r="TGX4" s="568"/>
      <c r="TGY4" s="568"/>
      <c r="TGZ4" s="568"/>
      <c r="THA4" s="568"/>
      <c r="THB4" s="568"/>
      <c r="THC4" s="568"/>
      <c r="THD4" s="568"/>
      <c r="THE4" s="568"/>
      <c r="THF4" s="568"/>
      <c r="THG4" s="568"/>
      <c r="THH4" s="568"/>
      <c r="THI4" s="568"/>
      <c r="THJ4" s="568"/>
      <c r="THK4" s="568"/>
      <c r="THL4" s="568"/>
      <c r="THM4" s="568"/>
      <c r="THN4" s="568"/>
      <c r="THO4" s="568"/>
      <c r="THP4" s="568"/>
      <c r="THQ4" s="568"/>
      <c r="THR4" s="568"/>
      <c r="THS4" s="568"/>
      <c r="THT4" s="568"/>
      <c r="THU4" s="568"/>
      <c r="THV4" s="568"/>
      <c r="THW4" s="568"/>
      <c r="THX4" s="568"/>
      <c r="THY4" s="568"/>
      <c r="THZ4" s="568"/>
      <c r="TIA4" s="568"/>
      <c r="TIB4" s="568"/>
      <c r="TIC4" s="568"/>
      <c r="TID4" s="568"/>
      <c r="TIE4" s="568"/>
      <c r="TIF4" s="568"/>
      <c r="TIG4" s="568"/>
      <c r="TIH4" s="568"/>
      <c r="TII4" s="568"/>
      <c r="TIJ4" s="568"/>
      <c r="TIK4" s="568"/>
      <c r="TIL4" s="568"/>
      <c r="TIM4" s="568"/>
      <c r="TIN4" s="568"/>
      <c r="TIO4" s="568"/>
      <c r="TIP4" s="568"/>
      <c r="TIQ4" s="568"/>
      <c r="TIR4" s="568"/>
      <c r="TIS4" s="568"/>
      <c r="TIT4" s="568"/>
      <c r="TIU4" s="568"/>
      <c r="TIV4" s="568"/>
      <c r="TIW4" s="568"/>
      <c r="TIX4" s="568"/>
      <c r="TIY4" s="568"/>
      <c r="TIZ4" s="568"/>
      <c r="TJA4" s="568"/>
      <c r="TJB4" s="568"/>
      <c r="TJC4" s="568"/>
      <c r="TJD4" s="568"/>
      <c r="TJE4" s="568"/>
      <c r="TJF4" s="568"/>
      <c r="TJG4" s="568"/>
      <c r="TJH4" s="568"/>
      <c r="TJI4" s="568"/>
      <c r="TJJ4" s="568"/>
      <c r="TJK4" s="568"/>
      <c r="TJL4" s="568"/>
      <c r="TJM4" s="568"/>
      <c r="TJN4" s="568"/>
      <c r="TJO4" s="568"/>
      <c r="TJP4" s="568"/>
      <c r="TJQ4" s="568"/>
      <c r="TJR4" s="568"/>
      <c r="TJS4" s="568"/>
      <c r="TJT4" s="568"/>
      <c r="TJU4" s="568"/>
      <c r="TJV4" s="568"/>
      <c r="TJW4" s="568"/>
      <c r="TJX4" s="568"/>
      <c r="TJY4" s="568"/>
      <c r="TJZ4" s="568"/>
      <c r="TKA4" s="568"/>
      <c r="TKB4" s="568"/>
      <c r="TKC4" s="568"/>
      <c r="TKD4" s="568"/>
      <c r="TKE4" s="568"/>
      <c r="TKF4" s="568"/>
      <c r="TKG4" s="568"/>
      <c r="TKH4" s="568"/>
      <c r="TKI4" s="568"/>
      <c r="TKJ4" s="568"/>
      <c r="TKK4" s="568"/>
      <c r="TKL4" s="568"/>
      <c r="TKM4" s="568"/>
      <c r="TKN4" s="568"/>
      <c r="TKO4" s="568"/>
      <c r="TKP4" s="568"/>
      <c r="TKQ4" s="568"/>
      <c r="TKR4" s="568"/>
      <c r="TKS4" s="568"/>
      <c r="TKT4" s="568"/>
      <c r="TKU4" s="568"/>
      <c r="TKV4" s="568"/>
      <c r="TKW4" s="568"/>
      <c r="TKX4" s="568"/>
      <c r="TKY4" s="568"/>
      <c r="TKZ4" s="568"/>
      <c r="TLA4" s="568"/>
      <c r="TLB4" s="568"/>
      <c r="TLC4" s="568"/>
      <c r="TLD4" s="568"/>
      <c r="TLE4" s="568"/>
      <c r="TLF4" s="568"/>
      <c r="TLG4" s="568"/>
      <c r="TLH4" s="568"/>
      <c r="TLI4" s="568"/>
      <c r="TLJ4" s="568"/>
      <c r="TLK4" s="568"/>
      <c r="TLL4" s="568"/>
      <c r="TLM4" s="568"/>
      <c r="TLN4" s="568"/>
      <c r="TLO4" s="568"/>
      <c r="TLP4" s="568"/>
      <c r="TLQ4" s="568"/>
      <c r="TLR4" s="568"/>
      <c r="TLS4" s="568"/>
      <c r="TLT4" s="568"/>
      <c r="TLU4" s="568"/>
      <c r="TLV4" s="568"/>
      <c r="TLW4" s="568"/>
      <c r="TLX4" s="568"/>
      <c r="TLY4" s="568"/>
      <c r="TLZ4" s="568"/>
      <c r="TMA4" s="568"/>
      <c r="TMB4" s="568"/>
      <c r="TMC4" s="568"/>
      <c r="TMD4" s="568"/>
      <c r="TME4" s="568"/>
      <c r="TMF4" s="568"/>
      <c r="TMG4" s="568"/>
      <c r="TMH4" s="568"/>
      <c r="TMI4" s="568"/>
      <c r="TMJ4" s="568"/>
      <c r="TMK4" s="568"/>
      <c r="TML4" s="568"/>
      <c r="TMM4" s="568"/>
      <c r="TMN4" s="568"/>
      <c r="TMO4" s="568"/>
      <c r="TMP4" s="568"/>
      <c r="TMQ4" s="568"/>
      <c r="TMR4" s="568"/>
      <c r="TMS4" s="568"/>
      <c r="TMT4" s="568"/>
      <c r="TMU4" s="568"/>
      <c r="TMV4" s="568"/>
      <c r="TMW4" s="568"/>
      <c r="TMX4" s="568"/>
      <c r="TMY4" s="568"/>
      <c r="TMZ4" s="568"/>
      <c r="TNA4" s="568"/>
      <c r="TNB4" s="568"/>
      <c r="TNC4" s="568"/>
      <c r="TND4" s="568"/>
      <c r="TNE4" s="568"/>
      <c r="TNF4" s="568"/>
      <c r="TNG4" s="568"/>
      <c r="TNH4" s="568"/>
      <c r="TNI4" s="568"/>
      <c r="TNJ4" s="568"/>
      <c r="TNK4" s="568"/>
      <c r="TNL4" s="568"/>
      <c r="TNM4" s="568"/>
      <c r="TNN4" s="568"/>
      <c r="TNO4" s="568"/>
      <c r="TNP4" s="568"/>
      <c r="TNQ4" s="568"/>
      <c r="TNR4" s="568"/>
      <c r="TNS4" s="568"/>
      <c r="TNT4" s="568"/>
      <c r="TNU4" s="568"/>
      <c r="TNV4" s="568"/>
      <c r="TNW4" s="568"/>
      <c r="TNX4" s="568"/>
      <c r="TNY4" s="568"/>
      <c r="TNZ4" s="568"/>
      <c r="TOA4" s="568"/>
      <c r="TOB4" s="568"/>
      <c r="TOC4" s="568"/>
      <c r="TOD4" s="568"/>
      <c r="TOE4" s="568"/>
      <c r="TOF4" s="568"/>
      <c r="TOG4" s="568"/>
      <c r="TOH4" s="568"/>
      <c r="TOI4" s="568"/>
      <c r="TOJ4" s="568"/>
      <c r="TOK4" s="568"/>
      <c r="TOL4" s="568"/>
      <c r="TOM4" s="568"/>
      <c r="TON4" s="568"/>
      <c r="TOO4" s="568"/>
      <c r="TOP4" s="568"/>
      <c r="TOQ4" s="568"/>
      <c r="TOR4" s="568"/>
      <c r="TOS4" s="568"/>
      <c r="TOT4" s="568"/>
      <c r="TOU4" s="568"/>
      <c r="TOV4" s="568"/>
      <c r="TOW4" s="568"/>
      <c r="TOX4" s="568"/>
      <c r="TOY4" s="568"/>
      <c r="TOZ4" s="568"/>
      <c r="TPA4" s="568"/>
      <c r="TPB4" s="568"/>
      <c r="TPC4" s="568"/>
      <c r="TPD4" s="568"/>
      <c r="TPE4" s="568"/>
      <c r="TPF4" s="568"/>
      <c r="TPG4" s="568"/>
      <c r="TPH4" s="568"/>
      <c r="TPI4" s="568"/>
      <c r="TPJ4" s="568"/>
      <c r="TPK4" s="568"/>
      <c r="TPL4" s="568"/>
      <c r="TPM4" s="568"/>
      <c r="TPN4" s="568"/>
      <c r="TPO4" s="568"/>
      <c r="TPP4" s="568"/>
      <c r="TPQ4" s="568"/>
      <c r="TPR4" s="568"/>
      <c r="TPS4" s="568"/>
      <c r="TPT4" s="568"/>
      <c r="TPU4" s="568"/>
      <c r="TPV4" s="568"/>
      <c r="TPW4" s="568"/>
      <c r="TPX4" s="568"/>
      <c r="TPY4" s="568"/>
      <c r="TPZ4" s="568"/>
      <c r="TQA4" s="568"/>
      <c r="TQB4" s="568"/>
      <c r="TQC4" s="568"/>
      <c r="TQD4" s="568"/>
      <c r="TQE4" s="568"/>
      <c r="TQF4" s="568"/>
      <c r="TQG4" s="568"/>
      <c r="TQH4" s="568"/>
      <c r="TQI4" s="568"/>
      <c r="TQJ4" s="568"/>
      <c r="TQK4" s="568"/>
      <c r="TQL4" s="568"/>
      <c r="TQM4" s="568"/>
      <c r="TQN4" s="568"/>
      <c r="TQO4" s="568"/>
      <c r="TQP4" s="568"/>
      <c r="TQQ4" s="568"/>
      <c r="TQR4" s="568"/>
      <c r="TQS4" s="568"/>
      <c r="TQT4" s="568"/>
      <c r="TQU4" s="568"/>
      <c r="TQV4" s="568"/>
      <c r="TQW4" s="568"/>
      <c r="TQX4" s="568"/>
      <c r="TQY4" s="568"/>
      <c r="TQZ4" s="568"/>
      <c r="TRA4" s="568"/>
      <c r="TRB4" s="568"/>
      <c r="TRC4" s="568"/>
      <c r="TRD4" s="568"/>
      <c r="TRE4" s="568"/>
      <c r="TRF4" s="568"/>
      <c r="TRG4" s="568"/>
      <c r="TRH4" s="568"/>
      <c r="TRI4" s="568"/>
      <c r="TRJ4" s="568"/>
      <c r="TRK4" s="568"/>
      <c r="TRL4" s="568"/>
      <c r="TRM4" s="568"/>
      <c r="TRN4" s="568"/>
      <c r="TRO4" s="568"/>
      <c r="TRP4" s="568"/>
      <c r="TRQ4" s="568"/>
      <c r="TRR4" s="568"/>
      <c r="TRS4" s="568"/>
      <c r="TRT4" s="568"/>
      <c r="TRU4" s="568"/>
      <c r="TRV4" s="568"/>
      <c r="TRW4" s="568"/>
      <c r="TRX4" s="568"/>
      <c r="TRY4" s="568"/>
      <c r="TRZ4" s="568"/>
      <c r="TSA4" s="568"/>
      <c r="TSB4" s="568"/>
      <c r="TSC4" s="568"/>
      <c r="TSD4" s="568"/>
      <c r="TSE4" s="568"/>
      <c r="TSF4" s="568"/>
      <c r="TSG4" s="568"/>
      <c r="TSH4" s="568"/>
      <c r="TSI4" s="568"/>
      <c r="TSJ4" s="568"/>
      <c r="TSK4" s="568"/>
      <c r="TSL4" s="568"/>
      <c r="TSM4" s="568"/>
      <c r="TSN4" s="568"/>
      <c r="TSO4" s="568"/>
      <c r="TSP4" s="568"/>
      <c r="TSQ4" s="568"/>
      <c r="TSR4" s="568"/>
      <c r="TSS4" s="568"/>
      <c r="TST4" s="568"/>
      <c r="TSU4" s="568"/>
      <c r="TSV4" s="568"/>
      <c r="TSW4" s="568"/>
      <c r="TSX4" s="568"/>
      <c r="TSY4" s="568"/>
      <c r="TSZ4" s="568"/>
      <c r="TTA4" s="568"/>
      <c r="TTB4" s="568"/>
      <c r="TTC4" s="568"/>
      <c r="TTD4" s="568"/>
      <c r="TTE4" s="568"/>
      <c r="TTF4" s="568"/>
      <c r="TTG4" s="568"/>
      <c r="TTH4" s="568"/>
      <c r="TTI4" s="568"/>
      <c r="TTJ4" s="568"/>
      <c r="TTK4" s="568"/>
      <c r="TTL4" s="568"/>
      <c r="TTM4" s="568"/>
      <c r="TTN4" s="568"/>
      <c r="TTO4" s="568"/>
      <c r="TTP4" s="568"/>
      <c r="TTQ4" s="568"/>
      <c r="TTR4" s="568"/>
      <c r="TTS4" s="568"/>
      <c r="TTT4" s="568"/>
      <c r="TTU4" s="568"/>
      <c r="TTV4" s="568"/>
      <c r="TTW4" s="568"/>
      <c r="TTX4" s="568"/>
      <c r="TTY4" s="568"/>
      <c r="TTZ4" s="568"/>
      <c r="TUA4" s="568"/>
      <c r="TUB4" s="568"/>
      <c r="TUC4" s="568"/>
      <c r="TUD4" s="568"/>
      <c r="TUE4" s="568"/>
      <c r="TUF4" s="568"/>
      <c r="TUG4" s="568"/>
      <c r="TUH4" s="568"/>
      <c r="TUI4" s="568"/>
      <c r="TUJ4" s="568"/>
      <c r="TUK4" s="568"/>
      <c r="TUL4" s="568"/>
      <c r="TUM4" s="568"/>
      <c r="TUN4" s="568"/>
      <c r="TUO4" s="568"/>
      <c r="TUP4" s="568"/>
      <c r="TUQ4" s="568"/>
      <c r="TUR4" s="568"/>
      <c r="TUS4" s="568"/>
      <c r="TUT4" s="568"/>
      <c r="TUU4" s="568"/>
      <c r="TUV4" s="568"/>
      <c r="TUW4" s="568"/>
      <c r="TUX4" s="568"/>
      <c r="TUY4" s="568"/>
      <c r="TUZ4" s="568"/>
      <c r="TVA4" s="568"/>
      <c r="TVB4" s="568"/>
      <c r="TVC4" s="568"/>
      <c r="TVD4" s="568"/>
      <c r="TVE4" s="568"/>
      <c r="TVF4" s="568"/>
      <c r="TVG4" s="568"/>
      <c r="TVH4" s="568"/>
      <c r="TVI4" s="568"/>
      <c r="TVJ4" s="568"/>
      <c r="TVK4" s="568"/>
      <c r="TVL4" s="568"/>
      <c r="TVM4" s="568"/>
      <c r="TVN4" s="568"/>
      <c r="TVO4" s="568"/>
      <c r="TVP4" s="568"/>
      <c r="TVQ4" s="568"/>
      <c r="TVR4" s="568"/>
      <c r="TVS4" s="568"/>
      <c r="TVT4" s="568"/>
      <c r="TVU4" s="568"/>
      <c r="TVV4" s="568"/>
      <c r="TVW4" s="568"/>
      <c r="TVX4" s="568"/>
      <c r="TVY4" s="568"/>
      <c r="TVZ4" s="568"/>
      <c r="TWA4" s="568"/>
      <c r="TWB4" s="568"/>
      <c r="TWC4" s="568"/>
      <c r="TWD4" s="568"/>
      <c r="TWE4" s="568"/>
      <c r="TWF4" s="568"/>
      <c r="TWG4" s="568"/>
      <c r="TWH4" s="568"/>
      <c r="TWI4" s="568"/>
      <c r="TWJ4" s="568"/>
      <c r="TWK4" s="568"/>
      <c r="TWL4" s="568"/>
      <c r="TWM4" s="568"/>
      <c r="TWN4" s="568"/>
      <c r="TWO4" s="568"/>
      <c r="TWP4" s="568"/>
      <c r="TWQ4" s="568"/>
      <c r="TWR4" s="568"/>
      <c r="TWS4" s="568"/>
      <c r="TWT4" s="568"/>
      <c r="TWU4" s="568"/>
      <c r="TWV4" s="568"/>
      <c r="TWW4" s="568"/>
      <c r="TWX4" s="568"/>
      <c r="TWY4" s="568"/>
      <c r="TWZ4" s="568"/>
      <c r="TXA4" s="568"/>
      <c r="TXB4" s="568"/>
      <c r="TXC4" s="568"/>
      <c r="TXD4" s="568"/>
      <c r="TXE4" s="568"/>
      <c r="TXF4" s="568"/>
      <c r="TXG4" s="568"/>
      <c r="TXH4" s="568"/>
      <c r="TXI4" s="568"/>
      <c r="TXJ4" s="568"/>
      <c r="TXK4" s="568"/>
      <c r="TXL4" s="568"/>
      <c r="TXM4" s="568"/>
      <c r="TXN4" s="568"/>
      <c r="TXO4" s="568"/>
      <c r="TXP4" s="568"/>
      <c r="TXQ4" s="568"/>
      <c r="TXR4" s="568"/>
      <c r="TXS4" s="568"/>
      <c r="TXT4" s="568"/>
      <c r="TXU4" s="568"/>
      <c r="TXV4" s="568"/>
      <c r="TXW4" s="568"/>
      <c r="TXX4" s="568"/>
      <c r="TXY4" s="568"/>
      <c r="TXZ4" s="568"/>
      <c r="TYA4" s="568"/>
      <c r="TYB4" s="568"/>
      <c r="TYC4" s="568"/>
      <c r="TYD4" s="568"/>
      <c r="TYE4" s="568"/>
      <c r="TYF4" s="568"/>
      <c r="TYG4" s="568"/>
      <c r="TYH4" s="568"/>
      <c r="TYI4" s="568"/>
      <c r="TYJ4" s="568"/>
      <c r="TYK4" s="568"/>
      <c r="TYL4" s="568"/>
      <c r="TYM4" s="568"/>
      <c r="TYN4" s="568"/>
      <c r="TYO4" s="568"/>
      <c r="TYP4" s="568"/>
      <c r="TYQ4" s="568"/>
      <c r="TYR4" s="568"/>
      <c r="TYS4" s="568"/>
      <c r="TYT4" s="568"/>
      <c r="TYU4" s="568"/>
      <c r="TYV4" s="568"/>
      <c r="TYW4" s="568"/>
      <c r="TYX4" s="568"/>
      <c r="TYY4" s="568"/>
      <c r="TYZ4" s="568"/>
      <c r="TZA4" s="568"/>
      <c r="TZB4" s="568"/>
      <c r="TZC4" s="568"/>
      <c r="TZD4" s="568"/>
      <c r="TZE4" s="568"/>
      <c r="TZF4" s="568"/>
      <c r="TZG4" s="568"/>
      <c r="TZH4" s="568"/>
      <c r="TZI4" s="568"/>
      <c r="TZJ4" s="568"/>
      <c r="TZK4" s="568"/>
      <c r="TZL4" s="568"/>
      <c r="TZM4" s="568"/>
      <c r="TZN4" s="568"/>
      <c r="TZO4" s="568"/>
      <c r="TZP4" s="568"/>
      <c r="TZQ4" s="568"/>
      <c r="TZR4" s="568"/>
      <c r="TZS4" s="568"/>
      <c r="TZT4" s="568"/>
      <c r="TZU4" s="568"/>
      <c r="TZV4" s="568"/>
      <c r="TZW4" s="568"/>
      <c r="TZX4" s="568"/>
      <c r="TZY4" s="568"/>
      <c r="TZZ4" s="568"/>
      <c r="UAA4" s="568"/>
      <c r="UAB4" s="568"/>
      <c r="UAC4" s="568"/>
      <c r="UAD4" s="568"/>
      <c r="UAE4" s="568"/>
      <c r="UAF4" s="568"/>
      <c r="UAG4" s="568"/>
      <c r="UAH4" s="568"/>
      <c r="UAI4" s="568"/>
      <c r="UAJ4" s="568"/>
      <c r="UAK4" s="568"/>
      <c r="UAL4" s="568"/>
      <c r="UAM4" s="568"/>
      <c r="UAN4" s="568"/>
      <c r="UAO4" s="568"/>
      <c r="UAP4" s="568"/>
      <c r="UAQ4" s="568"/>
      <c r="UAR4" s="568"/>
      <c r="UAS4" s="568"/>
      <c r="UAT4" s="568"/>
      <c r="UAU4" s="568"/>
      <c r="UAV4" s="568"/>
      <c r="UAW4" s="568"/>
      <c r="UAX4" s="568"/>
      <c r="UAY4" s="568"/>
      <c r="UAZ4" s="568"/>
      <c r="UBA4" s="568"/>
      <c r="UBB4" s="568"/>
      <c r="UBC4" s="568"/>
      <c r="UBD4" s="568"/>
      <c r="UBE4" s="568"/>
      <c r="UBF4" s="568"/>
      <c r="UBG4" s="568"/>
      <c r="UBH4" s="568"/>
      <c r="UBI4" s="568"/>
      <c r="UBJ4" s="568"/>
      <c r="UBK4" s="568"/>
      <c r="UBL4" s="568"/>
      <c r="UBM4" s="568"/>
      <c r="UBN4" s="568"/>
      <c r="UBO4" s="568"/>
      <c r="UBP4" s="568"/>
      <c r="UBQ4" s="568"/>
      <c r="UBR4" s="568"/>
      <c r="UBS4" s="568"/>
      <c r="UBT4" s="568"/>
      <c r="UBU4" s="568"/>
      <c r="UBV4" s="568"/>
      <c r="UBW4" s="568"/>
      <c r="UBX4" s="568"/>
      <c r="UBY4" s="568"/>
      <c r="UBZ4" s="568"/>
      <c r="UCA4" s="568"/>
      <c r="UCB4" s="568"/>
      <c r="UCC4" s="568"/>
      <c r="UCD4" s="568"/>
      <c r="UCE4" s="568"/>
      <c r="UCF4" s="568"/>
      <c r="UCG4" s="568"/>
      <c r="UCH4" s="568"/>
      <c r="UCI4" s="568"/>
      <c r="UCJ4" s="568"/>
      <c r="UCK4" s="568"/>
      <c r="UCL4" s="568"/>
      <c r="UCM4" s="568"/>
      <c r="UCN4" s="568"/>
      <c r="UCO4" s="568"/>
      <c r="UCP4" s="568"/>
      <c r="UCQ4" s="568"/>
      <c r="UCR4" s="568"/>
      <c r="UCS4" s="568"/>
      <c r="UCT4" s="568"/>
      <c r="UCU4" s="568"/>
      <c r="UCV4" s="568"/>
      <c r="UCW4" s="568"/>
      <c r="UCX4" s="568"/>
      <c r="UCY4" s="568"/>
      <c r="UCZ4" s="568"/>
      <c r="UDA4" s="568"/>
      <c r="UDB4" s="568"/>
      <c r="UDC4" s="568"/>
      <c r="UDD4" s="568"/>
      <c r="UDE4" s="568"/>
      <c r="UDF4" s="568"/>
      <c r="UDG4" s="568"/>
      <c r="UDH4" s="568"/>
      <c r="UDI4" s="568"/>
      <c r="UDJ4" s="568"/>
      <c r="UDK4" s="568"/>
      <c r="UDL4" s="568"/>
      <c r="UDM4" s="568"/>
      <c r="UDN4" s="568"/>
      <c r="UDO4" s="568"/>
      <c r="UDP4" s="568"/>
      <c r="UDQ4" s="568"/>
      <c r="UDR4" s="568"/>
      <c r="UDS4" s="568"/>
      <c r="UDT4" s="568"/>
      <c r="UDU4" s="568"/>
      <c r="UDV4" s="568"/>
      <c r="UDW4" s="568"/>
      <c r="UDX4" s="568"/>
      <c r="UDY4" s="568"/>
      <c r="UDZ4" s="568"/>
      <c r="UEA4" s="568"/>
      <c r="UEB4" s="568"/>
      <c r="UEC4" s="568"/>
      <c r="UED4" s="568"/>
      <c r="UEE4" s="568"/>
      <c r="UEF4" s="568"/>
      <c r="UEG4" s="568"/>
      <c r="UEH4" s="568"/>
      <c r="UEI4" s="568"/>
      <c r="UEJ4" s="568"/>
      <c r="UEK4" s="568"/>
      <c r="UEL4" s="568"/>
      <c r="UEM4" s="568"/>
      <c r="UEN4" s="568"/>
      <c r="UEO4" s="568"/>
      <c r="UEP4" s="568"/>
      <c r="UEQ4" s="568"/>
      <c r="UER4" s="568"/>
      <c r="UES4" s="568"/>
      <c r="UET4" s="568"/>
      <c r="UEU4" s="568"/>
      <c r="UEV4" s="568"/>
      <c r="UEW4" s="568"/>
      <c r="UEX4" s="568"/>
      <c r="UEY4" s="568"/>
      <c r="UEZ4" s="568"/>
      <c r="UFA4" s="568"/>
      <c r="UFB4" s="568"/>
      <c r="UFC4" s="568"/>
      <c r="UFD4" s="568"/>
      <c r="UFE4" s="568"/>
      <c r="UFF4" s="568"/>
      <c r="UFG4" s="568"/>
      <c r="UFH4" s="568"/>
      <c r="UFI4" s="568"/>
      <c r="UFJ4" s="568"/>
      <c r="UFK4" s="568"/>
      <c r="UFL4" s="568"/>
      <c r="UFM4" s="568"/>
      <c r="UFN4" s="568"/>
      <c r="UFO4" s="568"/>
      <c r="UFP4" s="568"/>
      <c r="UFQ4" s="568"/>
      <c r="UFR4" s="568"/>
      <c r="UFS4" s="568"/>
      <c r="UFT4" s="568"/>
      <c r="UFU4" s="568"/>
      <c r="UFV4" s="568"/>
      <c r="UFW4" s="568"/>
      <c r="UFX4" s="568"/>
      <c r="UFY4" s="568"/>
      <c r="UFZ4" s="568"/>
      <c r="UGA4" s="568"/>
      <c r="UGB4" s="568"/>
      <c r="UGC4" s="568"/>
      <c r="UGD4" s="568"/>
      <c r="UGE4" s="568"/>
      <c r="UGF4" s="568"/>
      <c r="UGG4" s="568"/>
      <c r="UGH4" s="568"/>
      <c r="UGI4" s="568"/>
      <c r="UGJ4" s="568"/>
      <c r="UGK4" s="568"/>
      <c r="UGL4" s="568"/>
      <c r="UGM4" s="568"/>
      <c r="UGN4" s="568"/>
      <c r="UGO4" s="568"/>
      <c r="UGP4" s="568"/>
      <c r="UGQ4" s="568"/>
      <c r="UGR4" s="568"/>
      <c r="UGS4" s="568"/>
      <c r="UGT4" s="568"/>
      <c r="UGU4" s="568"/>
      <c r="UGV4" s="568"/>
      <c r="UGW4" s="568"/>
      <c r="UGX4" s="568"/>
      <c r="UGY4" s="568"/>
      <c r="UGZ4" s="568"/>
      <c r="UHA4" s="568"/>
      <c r="UHB4" s="568"/>
      <c r="UHC4" s="568"/>
      <c r="UHD4" s="568"/>
      <c r="UHE4" s="568"/>
      <c r="UHF4" s="568"/>
      <c r="UHG4" s="568"/>
      <c r="UHH4" s="568"/>
      <c r="UHI4" s="568"/>
      <c r="UHJ4" s="568"/>
      <c r="UHK4" s="568"/>
      <c r="UHL4" s="568"/>
      <c r="UHM4" s="568"/>
      <c r="UHN4" s="568"/>
      <c r="UHO4" s="568"/>
      <c r="UHP4" s="568"/>
      <c r="UHQ4" s="568"/>
      <c r="UHR4" s="568"/>
      <c r="UHS4" s="568"/>
      <c r="UHT4" s="568"/>
      <c r="UHU4" s="568"/>
      <c r="UHV4" s="568"/>
      <c r="UHW4" s="568"/>
      <c r="UHX4" s="568"/>
      <c r="UHY4" s="568"/>
      <c r="UHZ4" s="568"/>
      <c r="UIA4" s="568"/>
      <c r="UIB4" s="568"/>
      <c r="UIC4" s="568"/>
      <c r="UID4" s="568"/>
      <c r="UIE4" s="568"/>
      <c r="UIF4" s="568"/>
      <c r="UIG4" s="568"/>
      <c r="UIH4" s="568"/>
      <c r="UII4" s="568"/>
      <c r="UIJ4" s="568"/>
      <c r="UIK4" s="568"/>
      <c r="UIL4" s="568"/>
      <c r="UIM4" s="568"/>
      <c r="UIN4" s="568"/>
      <c r="UIO4" s="568"/>
      <c r="UIP4" s="568"/>
      <c r="UIQ4" s="568"/>
      <c r="UIR4" s="568"/>
      <c r="UIS4" s="568"/>
      <c r="UIT4" s="568"/>
      <c r="UIU4" s="568"/>
      <c r="UIV4" s="568"/>
      <c r="UIW4" s="568"/>
      <c r="UIX4" s="568"/>
      <c r="UIY4" s="568"/>
      <c r="UIZ4" s="568"/>
      <c r="UJA4" s="568"/>
      <c r="UJB4" s="568"/>
      <c r="UJC4" s="568"/>
      <c r="UJD4" s="568"/>
      <c r="UJE4" s="568"/>
      <c r="UJF4" s="568"/>
      <c r="UJG4" s="568"/>
      <c r="UJH4" s="568"/>
      <c r="UJI4" s="568"/>
      <c r="UJJ4" s="568"/>
      <c r="UJK4" s="568"/>
      <c r="UJL4" s="568"/>
      <c r="UJM4" s="568"/>
      <c r="UJN4" s="568"/>
      <c r="UJO4" s="568"/>
      <c r="UJP4" s="568"/>
      <c r="UJQ4" s="568"/>
      <c r="UJR4" s="568"/>
      <c r="UJS4" s="568"/>
      <c r="UJT4" s="568"/>
      <c r="UJU4" s="568"/>
      <c r="UJV4" s="568"/>
      <c r="UJW4" s="568"/>
      <c r="UJX4" s="568"/>
      <c r="UJY4" s="568"/>
      <c r="UJZ4" s="568"/>
      <c r="UKA4" s="568"/>
      <c r="UKB4" s="568"/>
      <c r="UKC4" s="568"/>
      <c r="UKD4" s="568"/>
      <c r="UKE4" s="568"/>
      <c r="UKF4" s="568"/>
      <c r="UKG4" s="568"/>
      <c r="UKH4" s="568"/>
      <c r="UKI4" s="568"/>
      <c r="UKJ4" s="568"/>
      <c r="UKK4" s="568"/>
      <c r="UKL4" s="568"/>
      <c r="UKM4" s="568"/>
      <c r="UKN4" s="568"/>
      <c r="UKO4" s="568"/>
      <c r="UKP4" s="568"/>
      <c r="UKQ4" s="568"/>
      <c r="UKR4" s="568"/>
      <c r="UKS4" s="568"/>
      <c r="UKT4" s="568"/>
      <c r="UKU4" s="568"/>
      <c r="UKV4" s="568"/>
      <c r="UKW4" s="568"/>
      <c r="UKX4" s="568"/>
      <c r="UKY4" s="568"/>
      <c r="UKZ4" s="568"/>
      <c r="ULA4" s="568"/>
      <c r="ULB4" s="568"/>
      <c r="ULC4" s="568"/>
      <c r="ULD4" s="568"/>
      <c r="ULE4" s="568"/>
      <c r="ULF4" s="568"/>
      <c r="ULG4" s="568"/>
      <c r="ULH4" s="568"/>
      <c r="ULI4" s="568"/>
      <c r="ULJ4" s="568"/>
      <c r="ULK4" s="568"/>
      <c r="ULL4" s="568"/>
      <c r="ULM4" s="568"/>
      <c r="ULN4" s="568"/>
      <c r="ULO4" s="568"/>
      <c r="ULP4" s="568"/>
      <c r="ULQ4" s="568"/>
      <c r="ULR4" s="568"/>
      <c r="ULS4" s="568"/>
      <c r="ULT4" s="568"/>
      <c r="ULU4" s="568"/>
      <c r="ULV4" s="568"/>
      <c r="ULW4" s="568"/>
      <c r="ULX4" s="568"/>
      <c r="ULY4" s="568"/>
      <c r="ULZ4" s="568"/>
      <c r="UMA4" s="568"/>
      <c r="UMB4" s="568"/>
      <c r="UMC4" s="568"/>
      <c r="UMD4" s="568"/>
      <c r="UME4" s="568"/>
      <c r="UMF4" s="568"/>
      <c r="UMG4" s="568"/>
      <c r="UMH4" s="568"/>
      <c r="UMI4" s="568"/>
      <c r="UMJ4" s="568"/>
      <c r="UMK4" s="568"/>
      <c r="UML4" s="568"/>
      <c r="UMM4" s="568"/>
      <c r="UMN4" s="568"/>
      <c r="UMO4" s="568"/>
      <c r="UMP4" s="568"/>
      <c r="UMQ4" s="568"/>
      <c r="UMR4" s="568"/>
      <c r="UMS4" s="568"/>
      <c r="UMT4" s="568"/>
      <c r="UMU4" s="568"/>
      <c r="UMV4" s="568"/>
      <c r="UMW4" s="568"/>
      <c r="UMX4" s="568"/>
      <c r="UMY4" s="568"/>
      <c r="UMZ4" s="568"/>
      <c r="UNA4" s="568"/>
      <c r="UNB4" s="568"/>
      <c r="UNC4" s="568"/>
      <c r="UND4" s="568"/>
      <c r="UNE4" s="568"/>
      <c r="UNF4" s="568"/>
      <c r="UNG4" s="568"/>
      <c r="UNH4" s="568"/>
      <c r="UNI4" s="568"/>
      <c r="UNJ4" s="568"/>
      <c r="UNK4" s="568"/>
      <c r="UNL4" s="568"/>
      <c r="UNM4" s="568"/>
      <c r="UNN4" s="568"/>
      <c r="UNO4" s="568"/>
      <c r="UNP4" s="568"/>
      <c r="UNQ4" s="568"/>
      <c r="UNR4" s="568"/>
      <c r="UNS4" s="568"/>
      <c r="UNT4" s="568"/>
      <c r="UNU4" s="568"/>
      <c r="UNV4" s="568"/>
      <c r="UNW4" s="568"/>
      <c r="UNX4" s="568"/>
      <c r="UNY4" s="568"/>
      <c r="UNZ4" s="568"/>
      <c r="UOA4" s="568"/>
      <c r="UOB4" s="568"/>
      <c r="UOC4" s="568"/>
      <c r="UOD4" s="568"/>
      <c r="UOE4" s="568"/>
      <c r="UOF4" s="568"/>
      <c r="UOG4" s="568"/>
      <c r="UOH4" s="568"/>
      <c r="UOI4" s="568"/>
      <c r="UOJ4" s="568"/>
      <c r="UOK4" s="568"/>
      <c r="UOL4" s="568"/>
      <c r="UOM4" s="568"/>
      <c r="UON4" s="568"/>
      <c r="UOO4" s="568"/>
      <c r="UOP4" s="568"/>
      <c r="UOQ4" s="568"/>
      <c r="UOR4" s="568"/>
      <c r="UOS4" s="568"/>
      <c r="UOT4" s="568"/>
      <c r="UOU4" s="568"/>
      <c r="UOV4" s="568"/>
      <c r="UOW4" s="568"/>
      <c r="UOX4" s="568"/>
      <c r="UOY4" s="568"/>
      <c r="UOZ4" s="568"/>
      <c r="UPA4" s="568"/>
      <c r="UPB4" s="568"/>
      <c r="UPC4" s="568"/>
      <c r="UPD4" s="568"/>
      <c r="UPE4" s="568"/>
      <c r="UPF4" s="568"/>
      <c r="UPG4" s="568"/>
      <c r="UPH4" s="568"/>
      <c r="UPI4" s="568"/>
      <c r="UPJ4" s="568"/>
      <c r="UPK4" s="568"/>
      <c r="UPL4" s="568"/>
      <c r="UPM4" s="568"/>
      <c r="UPN4" s="568"/>
      <c r="UPO4" s="568"/>
      <c r="UPP4" s="568"/>
      <c r="UPQ4" s="568"/>
      <c r="UPR4" s="568"/>
      <c r="UPS4" s="568"/>
      <c r="UPT4" s="568"/>
      <c r="UPU4" s="568"/>
      <c r="UPV4" s="568"/>
      <c r="UPW4" s="568"/>
      <c r="UPX4" s="568"/>
      <c r="UPY4" s="568"/>
      <c r="UPZ4" s="568"/>
      <c r="UQA4" s="568"/>
      <c r="UQB4" s="568"/>
      <c r="UQC4" s="568"/>
      <c r="UQD4" s="568"/>
      <c r="UQE4" s="568"/>
      <c r="UQF4" s="568"/>
      <c r="UQG4" s="568"/>
      <c r="UQH4" s="568"/>
      <c r="UQI4" s="568"/>
      <c r="UQJ4" s="568"/>
      <c r="UQK4" s="568"/>
      <c r="UQL4" s="568"/>
      <c r="UQM4" s="568"/>
      <c r="UQN4" s="568"/>
      <c r="UQO4" s="568"/>
      <c r="UQP4" s="568"/>
      <c r="UQQ4" s="568"/>
      <c r="UQR4" s="568"/>
      <c r="UQS4" s="568"/>
      <c r="UQT4" s="568"/>
      <c r="UQU4" s="568"/>
      <c r="UQV4" s="568"/>
      <c r="UQW4" s="568"/>
      <c r="UQX4" s="568"/>
      <c r="UQY4" s="568"/>
      <c r="UQZ4" s="568"/>
      <c r="URA4" s="568"/>
      <c r="URB4" s="568"/>
      <c r="URC4" s="568"/>
      <c r="URD4" s="568"/>
      <c r="URE4" s="568"/>
      <c r="URF4" s="568"/>
      <c r="URG4" s="568"/>
      <c r="URH4" s="568"/>
      <c r="URI4" s="568"/>
      <c r="URJ4" s="568"/>
      <c r="URK4" s="568"/>
      <c r="URL4" s="568"/>
      <c r="URM4" s="568"/>
      <c r="URN4" s="568"/>
      <c r="URO4" s="568"/>
      <c r="URP4" s="568"/>
      <c r="URQ4" s="568"/>
      <c r="URR4" s="568"/>
      <c r="URS4" s="568"/>
      <c r="URT4" s="568"/>
      <c r="URU4" s="568"/>
      <c r="URV4" s="568"/>
      <c r="URW4" s="568"/>
      <c r="URX4" s="568"/>
      <c r="URY4" s="568"/>
      <c r="URZ4" s="568"/>
      <c r="USA4" s="568"/>
      <c r="USB4" s="568"/>
      <c r="USC4" s="568"/>
      <c r="USD4" s="568"/>
      <c r="USE4" s="568"/>
      <c r="USF4" s="568"/>
      <c r="USG4" s="568"/>
      <c r="USH4" s="568"/>
      <c r="USI4" s="568"/>
      <c r="USJ4" s="568"/>
      <c r="USK4" s="568"/>
      <c r="USL4" s="568"/>
      <c r="USM4" s="568"/>
      <c r="USN4" s="568"/>
      <c r="USO4" s="568"/>
      <c r="USP4" s="568"/>
      <c r="USQ4" s="568"/>
      <c r="USR4" s="568"/>
      <c r="USS4" s="568"/>
      <c r="UST4" s="568"/>
      <c r="USU4" s="568"/>
      <c r="USV4" s="568"/>
      <c r="USW4" s="568"/>
      <c r="USX4" s="568"/>
      <c r="USY4" s="568"/>
      <c r="USZ4" s="568"/>
      <c r="UTA4" s="568"/>
      <c r="UTB4" s="568"/>
      <c r="UTC4" s="568"/>
      <c r="UTD4" s="568"/>
      <c r="UTE4" s="568"/>
      <c r="UTF4" s="568"/>
      <c r="UTG4" s="568"/>
      <c r="UTH4" s="568"/>
      <c r="UTI4" s="568"/>
      <c r="UTJ4" s="568"/>
      <c r="UTK4" s="568"/>
      <c r="UTL4" s="568"/>
      <c r="UTM4" s="568"/>
      <c r="UTN4" s="568"/>
      <c r="UTO4" s="568"/>
      <c r="UTP4" s="568"/>
      <c r="UTQ4" s="568"/>
      <c r="UTR4" s="568"/>
      <c r="UTS4" s="568"/>
      <c r="UTT4" s="568"/>
      <c r="UTU4" s="568"/>
      <c r="UTV4" s="568"/>
      <c r="UTW4" s="568"/>
      <c r="UTX4" s="568"/>
      <c r="UTY4" s="568"/>
      <c r="UTZ4" s="568"/>
      <c r="UUA4" s="568"/>
      <c r="UUB4" s="568"/>
      <c r="UUC4" s="568"/>
      <c r="UUD4" s="568"/>
      <c r="UUE4" s="568"/>
      <c r="UUF4" s="568"/>
      <c r="UUG4" s="568"/>
      <c r="UUH4" s="568"/>
      <c r="UUI4" s="568"/>
      <c r="UUJ4" s="568"/>
      <c r="UUK4" s="568"/>
      <c r="UUL4" s="568"/>
      <c r="UUM4" s="568"/>
      <c r="UUN4" s="568"/>
      <c r="UUO4" s="568"/>
      <c r="UUP4" s="568"/>
      <c r="UUQ4" s="568"/>
      <c r="UUR4" s="568"/>
      <c r="UUS4" s="568"/>
      <c r="UUT4" s="568"/>
      <c r="UUU4" s="568"/>
      <c r="UUV4" s="568"/>
      <c r="UUW4" s="568"/>
      <c r="UUX4" s="568"/>
      <c r="UUY4" s="568"/>
      <c r="UUZ4" s="568"/>
      <c r="UVA4" s="568"/>
      <c r="UVB4" s="568"/>
      <c r="UVC4" s="568"/>
      <c r="UVD4" s="568"/>
      <c r="UVE4" s="568"/>
      <c r="UVF4" s="568"/>
      <c r="UVG4" s="568"/>
      <c r="UVH4" s="568"/>
      <c r="UVI4" s="568"/>
      <c r="UVJ4" s="568"/>
      <c r="UVK4" s="568"/>
      <c r="UVL4" s="568"/>
      <c r="UVM4" s="568"/>
      <c r="UVN4" s="568"/>
      <c r="UVO4" s="568"/>
      <c r="UVP4" s="568"/>
      <c r="UVQ4" s="568"/>
      <c r="UVR4" s="568"/>
      <c r="UVS4" s="568"/>
      <c r="UVT4" s="568"/>
      <c r="UVU4" s="568"/>
      <c r="UVV4" s="568"/>
      <c r="UVW4" s="568"/>
      <c r="UVX4" s="568"/>
      <c r="UVY4" s="568"/>
      <c r="UVZ4" s="568"/>
      <c r="UWA4" s="568"/>
      <c r="UWB4" s="568"/>
      <c r="UWC4" s="568"/>
      <c r="UWD4" s="568"/>
      <c r="UWE4" s="568"/>
      <c r="UWF4" s="568"/>
      <c r="UWG4" s="568"/>
      <c r="UWH4" s="568"/>
      <c r="UWI4" s="568"/>
      <c r="UWJ4" s="568"/>
      <c r="UWK4" s="568"/>
      <c r="UWL4" s="568"/>
      <c r="UWM4" s="568"/>
      <c r="UWN4" s="568"/>
      <c r="UWO4" s="568"/>
      <c r="UWP4" s="568"/>
      <c r="UWQ4" s="568"/>
      <c r="UWR4" s="568"/>
      <c r="UWS4" s="568"/>
      <c r="UWT4" s="568"/>
      <c r="UWU4" s="568"/>
      <c r="UWV4" s="568"/>
      <c r="UWW4" s="568"/>
      <c r="UWX4" s="568"/>
      <c r="UWY4" s="568"/>
      <c r="UWZ4" s="568"/>
      <c r="UXA4" s="568"/>
      <c r="UXB4" s="568"/>
      <c r="UXC4" s="568"/>
      <c r="UXD4" s="568"/>
      <c r="UXE4" s="568"/>
      <c r="UXF4" s="568"/>
      <c r="UXG4" s="568"/>
      <c r="UXH4" s="568"/>
      <c r="UXI4" s="568"/>
      <c r="UXJ4" s="568"/>
      <c r="UXK4" s="568"/>
      <c r="UXL4" s="568"/>
      <c r="UXM4" s="568"/>
      <c r="UXN4" s="568"/>
      <c r="UXO4" s="568"/>
      <c r="UXP4" s="568"/>
      <c r="UXQ4" s="568"/>
      <c r="UXR4" s="568"/>
      <c r="UXS4" s="568"/>
      <c r="UXT4" s="568"/>
      <c r="UXU4" s="568"/>
      <c r="UXV4" s="568"/>
      <c r="UXW4" s="568"/>
      <c r="UXX4" s="568"/>
      <c r="UXY4" s="568"/>
      <c r="UXZ4" s="568"/>
      <c r="UYA4" s="568"/>
      <c r="UYB4" s="568"/>
      <c r="UYC4" s="568"/>
      <c r="UYD4" s="568"/>
      <c r="UYE4" s="568"/>
      <c r="UYF4" s="568"/>
      <c r="UYG4" s="568"/>
      <c r="UYH4" s="568"/>
      <c r="UYI4" s="568"/>
      <c r="UYJ4" s="568"/>
      <c r="UYK4" s="568"/>
      <c r="UYL4" s="568"/>
      <c r="UYM4" s="568"/>
      <c r="UYN4" s="568"/>
      <c r="UYO4" s="568"/>
      <c r="UYP4" s="568"/>
      <c r="UYQ4" s="568"/>
      <c r="UYR4" s="568"/>
      <c r="UYS4" s="568"/>
      <c r="UYT4" s="568"/>
      <c r="UYU4" s="568"/>
      <c r="UYV4" s="568"/>
      <c r="UYW4" s="568"/>
      <c r="UYX4" s="568"/>
      <c r="UYY4" s="568"/>
      <c r="UYZ4" s="568"/>
      <c r="UZA4" s="568"/>
      <c r="UZB4" s="568"/>
      <c r="UZC4" s="568"/>
      <c r="UZD4" s="568"/>
      <c r="UZE4" s="568"/>
      <c r="UZF4" s="568"/>
      <c r="UZG4" s="568"/>
      <c r="UZH4" s="568"/>
      <c r="UZI4" s="568"/>
      <c r="UZJ4" s="568"/>
      <c r="UZK4" s="568"/>
      <c r="UZL4" s="568"/>
      <c r="UZM4" s="568"/>
      <c r="UZN4" s="568"/>
      <c r="UZO4" s="568"/>
      <c r="UZP4" s="568"/>
      <c r="UZQ4" s="568"/>
      <c r="UZR4" s="568"/>
      <c r="UZS4" s="568"/>
      <c r="UZT4" s="568"/>
      <c r="UZU4" s="568"/>
      <c r="UZV4" s="568"/>
      <c r="UZW4" s="568"/>
      <c r="UZX4" s="568"/>
      <c r="UZY4" s="568"/>
      <c r="UZZ4" s="568"/>
      <c r="VAA4" s="568"/>
      <c r="VAB4" s="568"/>
      <c r="VAC4" s="568"/>
      <c r="VAD4" s="568"/>
      <c r="VAE4" s="568"/>
      <c r="VAF4" s="568"/>
      <c r="VAG4" s="568"/>
      <c r="VAH4" s="568"/>
      <c r="VAI4" s="568"/>
      <c r="VAJ4" s="568"/>
      <c r="VAK4" s="568"/>
      <c r="VAL4" s="568"/>
      <c r="VAM4" s="568"/>
      <c r="VAN4" s="568"/>
      <c r="VAO4" s="568"/>
      <c r="VAP4" s="568"/>
      <c r="VAQ4" s="568"/>
      <c r="VAR4" s="568"/>
      <c r="VAS4" s="568"/>
      <c r="VAT4" s="568"/>
      <c r="VAU4" s="568"/>
      <c r="VAV4" s="568"/>
      <c r="VAW4" s="568"/>
      <c r="VAX4" s="568"/>
      <c r="VAY4" s="568"/>
      <c r="VAZ4" s="568"/>
      <c r="VBA4" s="568"/>
      <c r="VBB4" s="568"/>
      <c r="VBC4" s="568"/>
      <c r="VBD4" s="568"/>
      <c r="VBE4" s="568"/>
      <c r="VBF4" s="568"/>
      <c r="VBG4" s="568"/>
      <c r="VBH4" s="568"/>
      <c r="VBI4" s="568"/>
      <c r="VBJ4" s="568"/>
      <c r="VBK4" s="568"/>
      <c r="VBL4" s="568"/>
      <c r="VBM4" s="568"/>
      <c r="VBN4" s="568"/>
      <c r="VBO4" s="568"/>
      <c r="VBP4" s="568"/>
      <c r="VBQ4" s="568"/>
      <c r="VBR4" s="568"/>
      <c r="VBS4" s="568"/>
      <c r="VBT4" s="568"/>
      <c r="VBU4" s="568"/>
      <c r="VBV4" s="568"/>
      <c r="VBW4" s="568"/>
      <c r="VBX4" s="568"/>
      <c r="VBY4" s="568"/>
      <c r="VBZ4" s="568"/>
      <c r="VCA4" s="568"/>
      <c r="VCB4" s="568"/>
      <c r="VCC4" s="568"/>
      <c r="VCD4" s="568"/>
      <c r="VCE4" s="568"/>
      <c r="VCF4" s="568"/>
      <c r="VCG4" s="568"/>
      <c r="VCH4" s="568"/>
      <c r="VCI4" s="568"/>
      <c r="VCJ4" s="568"/>
      <c r="VCK4" s="568"/>
      <c r="VCL4" s="568"/>
      <c r="VCM4" s="568"/>
      <c r="VCN4" s="568"/>
      <c r="VCO4" s="568"/>
      <c r="VCP4" s="568"/>
      <c r="VCQ4" s="568"/>
      <c r="VCR4" s="568"/>
      <c r="VCS4" s="568"/>
      <c r="VCT4" s="568"/>
      <c r="VCU4" s="568"/>
      <c r="VCV4" s="568"/>
      <c r="VCW4" s="568"/>
      <c r="VCX4" s="568"/>
      <c r="VCY4" s="568"/>
      <c r="VCZ4" s="568"/>
      <c r="VDA4" s="568"/>
      <c r="VDB4" s="568"/>
      <c r="VDC4" s="568"/>
      <c r="VDD4" s="568"/>
      <c r="VDE4" s="568"/>
      <c r="VDF4" s="568"/>
      <c r="VDG4" s="568"/>
      <c r="VDH4" s="568"/>
      <c r="VDI4" s="568"/>
      <c r="VDJ4" s="568"/>
      <c r="VDK4" s="568"/>
      <c r="VDL4" s="568"/>
      <c r="VDM4" s="568"/>
      <c r="VDN4" s="568"/>
      <c r="VDO4" s="568"/>
      <c r="VDP4" s="568"/>
      <c r="VDQ4" s="568"/>
      <c r="VDR4" s="568"/>
      <c r="VDS4" s="568"/>
      <c r="VDT4" s="568"/>
      <c r="VDU4" s="568"/>
      <c r="VDV4" s="568"/>
      <c r="VDW4" s="568"/>
      <c r="VDX4" s="568"/>
      <c r="VDY4" s="568"/>
      <c r="VDZ4" s="568"/>
      <c r="VEA4" s="568"/>
      <c r="VEB4" s="568"/>
      <c r="VEC4" s="568"/>
      <c r="VED4" s="568"/>
      <c r="VEE4" s="568"/>
      <c r="VEF4" s="568"/>
      <c r="VEG4" s="568"/>
      <c r="VEH4" s="568"/>
      <c r="VEI4" s="568"/>
      <c r="VEJ4" s="568"/>
      <c r="VEK4" s="568"/>
      <c r="VEL4" s="568"/>
      <c r="VEM4" s="568"/>
      <c r="VEN4" s="568"/>
      <c r="VEO4" s="568"/>
      <c r="VEP4" s="568"/>
      <c r="VEQ4" s="568"/>
      <c r="VER4" s="568"/>
      <c r="VES4" s="568"/>
      <c r="VET4" s="568"/>
      <c r="VEU4" s="568"/>
      <c r="VEV4" s="568"/>
      <c r="VEW4" s="568"/>
      <c r="VEX4" s="568"/>
      <c r="VEY4" s="568"/>
      <c r="VEZ4" s="568"/>
      <c r="VFA4" s="568"/>
      <c r="VFB4" s="568"/>
      <c r="VFC4" s="568"/>
      <c r="VFD4" s="568"/>
      <c r="VFE4" s="568"/>
      <c r="VFF4" s="568"/>
      <c r="VFG4" s="568"/>
      <c r="VFH4" s="568"/>
      <c r="VFI4" s="568"/>
      <c r="VFJ4" s="568"/>
      <c r="VFK4" s="568"/>
      <c r="VFL4" s="568"/>
      <c r="VFM4" s="568"/>
      <c r="VFN4" s="568"/>
      <c r="VFO4" s="568"/>
      <c r="VFP4" s="568"/>
      <c r="VFQ4" s="568"/>
      <c r="VFR4" s="568"/>
      <c r="VFS4" s="568"/>
      <c r="VFT4" s="568"/>
      <c r="VFU4" s="568"/>
      <c r="VFV4" s="568"/>
      <c r="VFW4" s="568"/>
      <c r="VFX4" s="568"/>
      <c r="VFY4" s="568"/>
      <c r="VFZ4" s="568"/>
      <c r="VGA4" s="568"/>
      <c r="VGB4" s="568"/>
      <c r="VGC4" s="568"/>
      <c r="VGD4" s="568"/>
      <c r="VGE4" s="568"/>
      <c r="VGF4" s="568"/>
      <c r="VGG4" s="568"/>
      <c r="VGH4" s="568"/>
      <c r="VGI4" s="568"/>
      <c r="VGJ4" s="568"/>
      <c r="VGK4" s="568"/>
      <c r="VGL4" s="568"/>
      <c r="VGM4" s="568"/>
      <c r="VGN4" s="568"/>
      <c r="VGO4" s="568"/>
      <c r="VGP4" s="568"/>
      <c r="VGQ4" s="568"/>
      <c r="VGR4" s="568"/>
      <c r="VGS4" s="568"/>
      <c r="VGT4" s="568"/>
      <c r="VGU4" s="568"/>
      <c r="VGV4" s="568"/>
      <c r="VGW4" s="568"/>
      <c r="VGX4" s="568"/>
      <c r="VGY4" s="568"/>
      <c r="VGZ4" s="568"/>
      <c r="VHA4" s="568"/>
      <c r="VHB4" s="568"/>
      <c r="VHC4" s="568"/>
      <c r="VHD4" s="568"/>
      <c r="VHE4" s="568"/>
      <c r="VHF4" s="568"/>
      <c r="VHG4" s="568"/>
      <c r="VHH4" s="568"/>
      <c r="VHI4" s="568"/>
      <c r="VHJ4" s="568"/>
      <c r="VHK4" s="568"/>
      <c r="VHL4" s="568"/>
      <c r="VHM4" s="568"/>
      <c r="VHN4" s="568"/>
      <c r="VHO4" s="568"/>
      <c r="VHP4" s="568"/>
      <c r="VHQ4" s="568"/>
      <c r="VHR4" s="568"/>
      <c r="VHS4" s="568"/>
      <c r="VHT4" s="568"/>
      <c r="VHU4" s="568"/>
      <c r="VHV4" s="568"/>
      <c r="VHW4" s="568"/>
      <c r="VHX4" s="568"/>
      <c r="VHY4" s="568"/>
      <c r="VHZ4" s="568"/>
      <c r="VIA4" s="568"/>
      <c r="VIB4" s="568"/>
      <c r="VIC4" s="568"/>
      <c r="VID4" s="568"/>
      <c r="VIE4" s="568"/>
      <c r="VIF4" s="568"/>
      <c r="VIG4" s="568"/>
      <c r="VIH4" s="568"/>
      <c r="VII4" s="568"/>
      <c r="VIJ4" s="568"/>
      <c r="VIK4" s="568"/>
      <c r="VIL4" s="568"/>
      <c r="VIM4" s="568"/>
      <c r="VIN4" s="568"/>
      <c r="VIO4" s="568"/>
      <c r="VIP4" s="568"/>
      <c r="VIQ4" s="568"/>
      <c r="VIR4" s="568"/>
      <c r="VIS4" s="568"/>
      <c r="VIT4" s="568"/>
      <c r="VIU4" s="568"/>
      <c r="VIV4" s="568"/>
      <c r="VIW4" s="568"/>
      <c r="VIX4" s="568"/>
      <c r="VIY4" s="568"/>
      <c r="VIZ4" s="568"/>
      <c r="VJA4" s="568"/>
      <c r="VJB4" s="568"/>
      <c r="VJC4" s="568"/>
      <c r="VJD4" s="568"/>
      <c r="VJE4" s="568"/>
      <c r="VJF4" s="568"/>
      <c r="VJG4" s="568"/>
      <c r="VJH4" s="568"/>
      <c r="VJI4" s="568"/>
      <c r="VJJ4" s="568"/>
      <c r="VJK4" s="568"/>
      <c r="VJL4" s="568"/>
      <c r="VJM4" s="568"/>
      <c r="VJN4" s="568"/>
      <c r="VJO4" s="568"/>
      <c r="VJP4" s="568"/>
      <c r="VJQ4" s="568"/>
      <c r="VJR4" s="568"/>
      <c r="VJS4" s="568"/>
      <c r="VJT4" s="568"/>
      <c r="VJU4" s="568"/>
      <c r="VJV4" s="568"/>
      <c r="VJW4" s="568"/>
      <c r="VJX4" s="568"/>
      <c r="VJY4" s="568"/>
      <c r="VJZ4" s="568"/>
      <c r="VKA4" s="568"/>
      <c r="VKB4" s="568"/>
      <c r="VKC4" s="568"/>
      <c r="VKD4" s="568"/>
      <c r="VKE4" s="568"/>
      <c r="VKF4" s="568"/>
      <c r="VKG4" s="568"/>
      <c r="VKH4" s="568"/>
      <c r="VKI4" s="568"/>
      <c r="VKJ4" s="568"/>
      <c r="VKK4" s="568"/>
      <c r="VKL4" s="568"/>
      <c r="VKM4" s="568"/>
      <c r="VKN4" s="568"/>
      <c r="VKO4" s="568"/>
      <c r="VKP4" s="568"/>
      <c r="VKQ4" s="568"/>
      <c r="VKR4" s="568"/>
      <c r="VKS4" s="568"/>
      <c r="VKT4" s="568"/>
      <c r="VKU4" s="568"/>
      <c r="VKV4" s="568"/>
      <c r="VKW4" s="568"/>
      <c r="VKX4" s="568"/>
      <c r="VKY4" s="568"/>
      <c r="VKZ4" s="568"/>
      <c r="VLA4" s="568"/>
      <c r="VLB4" s="568"/>
      <c r="VLC4" s="568"/>
      <c r="VLD4" s="568"/>
      <c r="VLE4" s="568"/>
      <c r="VLF4" s="568"/>
      <c r="VLG4" s="568"/>
      <c r="VLH4" s="568"/>
      <c r="VLI4" s="568"/>
      <c r="VLJ4" s="568"/>
      <c r="VLK4" s="568"/>
      <c r="VLL4" s="568"/>
      <c r="VLM4" s="568"/>
      <c r="VLN4" s="568"/>
      <c r="VLO4" s="568"/>
      <c r="VLP4" s="568"/>
      <c r="VLQ4" s="568"/>
      <c r="VLR4" s="568"/>
      <c r="VLS4" s="568"/>
      <c r="VLT4" s="568"/>
      <c r="VLU4" s="568"/>
      <c r="VLV4" s="568"/>
      <c r="VLW4" s="568"/>
      <c r="VLX4" s="568"/>
      <c r="VLY4" s="568"/>
      <c r="VLZ4" s="568"/>
      <c r="VMA4" s="568"/>
      <c r="VMB4" s="568"/>
      <c r="VMC4" s="568"/>
      <c r="VMD4" s="568"/>
      <c r="VME4" s="568"/>
      <c r="VMF4" s="568"/>
      <c r="VMG4" s="568"/>
      <c r="VMH4" s="568"/>
      <c r="VMI4" s="568"/>
      <c r="VMJ4" s="568"/>
      <c r="VMK4" s="568"/>
      <c r="VML4" s="568"/>
      <c r="VMM4" s="568"/>
      <c r="VMN4" s="568"/>
      <c r="VMO4" s="568"/>
      <c r="VMP4" s="568"/>
      <c r="VMQ4" s="568"/>
      <c r="VMR4" s="568"/>
      <c r="VMS4" s="568"/>
      <c r="VMT4" s="568"/>
      <c r="VMU4" s="568"/>
      <c r="VMV4" s="568"/>
      <c r="VMW4" s="568"/>
      <c r="VMX4" s="568"/>
      <c r="VMY4" s="568"/>
      <c r="VMZ4" s="568"/>
      <c r="VNA4" s="568"/>
      <c r="VNB4" s="568"/>
      <c r="VNC4" s="568"/>
      <c r="VND4" s="568"/>
      <c r="VNE4" s="568"/>
      <c r="VNF4" s="568"/>
      <c r="VNG4" s="568"/>
      <c r="VNH4" s="568"/>
      <c r="VNI4" s="568"/>
      <c r="VNJ4" s="568"/>
      <c r="VNK4" s="568"/>
      <c r="VNL4" s="568"/>
      <c r="VNM4" s="568"/>
      <c r="VNN4" s="568"/>
      <c r="VNO4" s="568"/>
      <c r="VNP4" s="568"/>
      <c r="VNQ4" s="568"/>
      <c r="VNR4" s="568"/>
      <c r="VNS4" s="568"/>
      <c r="VNT4" s="568"/>
      <c r="VNU4" s="568"/>
      <c r="VNV4" s="568"/>
      <c r="VNW4" s="568"/>
      <c r="VNX4" s="568"/>
      <c r="VNY4" s="568"/>
      <c r="VNZ4" s="568"/>
      <c r="VOA4" s="568"/>
      <c r="VOB4" s="568"/>
      <c r="VOC4" s="568"/>
      <c r="VOD4" s="568"/>
      <c r="VOE4" s="568"/>
      <c r="VOF4" s="568"/>
      <c r="VOG4" s="568"/>
      <c r="VOH4" s="568"/>
      <c r="VOI4" s="568"/>
      <c r="VOJ4" s="568"/>
      <c r="VOK4" s="568"/>
      <c r="VOL4" s="568"/>
      <c r="VOM4" s="568"/>
      <c r="VON4" s="568"/>
      <c r="VOO4" s="568"/>
      <c r="VOP4" s="568"/>
      <c r="VOQ4" s="568"/>
      <c r="VOR4" s="568"/>
      <c r="VOS4" s="568"/>
      <c r="VOT4" s="568"/>
      <c r="VOU4" s="568"/>
      <c r="VOV4" s="568"/>
      <c r="VOW4" s="568"/>
      <c r="VOX4" s="568"/>
      <c r="VOY4" s="568"/>
      <c r="VOZ4" s="568"/>
      <c r="VPA4" s="568"/>
      <c r="VPB4" s="568"/>
      <c r="VPC4" s="568"/>
      <c r="VPD4" s="568"/>
      <c r="VPE4" s="568"/>
      <c r="VPF4" s="568"/>
      <c r="VPG4" s="568"/>
      <c r="VPH4" s="568"/>
      <c r="VPI4" s="568"/>
      <c r="VPJ4" s="568"/>
      <c r="VPK4" s="568"/>
      <c r="VPL4" s="568"/>
      <c r="VPM4" s="568"/>
      <c r="VPN4" s="568"/>
      <c r="VPO4" s="568"/>
      <c r="VPP4" s="568"/>
      <c r="VPQ4" s="568"/>
      <c r="VPR4" s="568"/>
      <c r="VPS4" s="568"/>
      <c r="VPT4" s="568"/>
      <c r="VPU4" s="568"/>
      <c r="VPV4" s="568"/>
      <c r="VPW4" s="568"/>
      <c r="VPX4" s="568"/>
      <c r="VPY4" s="568"/>
      <c r="VPZ4" s="568"/>
      <c r="VQA4" s="568"/>
      <c r="VQB4" s="568"/>
      <c r="VQC4" s="568"/>
      <c r="VQD4" s="568"/>
      <c r="VQE4" s="568"/>
      <c r="VQF4" s="568"/>
      <c r="VQG4" s="568"/>
      <c r="VQH4" s="568"/>
      <c r="VQI4" s="568"/>
      <c r="VQJ4" s="568"/>
      <c r="VQK4" s="568"/>
      <c r="VQL4" s="568"/>
      <c r="VQM4" s="568"/>
      <c r="VQN4" s="568"/>
      <c r="VQO4" s="568"/>
      <c r="VQP4" s="568"/>
      <c r="VQQ4" s="568"/>
      <c r="VQR4" s="568"/>
      <c r="VQS4" s="568"/>
      <c r="VQT4" s="568"/>
      <c r="VQU4" s="568"/>
      <c r="VQV4" s="568"/>
      <c r="VQW4" s="568"/>
      <c r="VQX4" s="568"/>
      <c r="VQY4" s="568"/>
      <c r="VQZ4" s="568"/>
      <c r="VRA4" s="568"/>
      <c r="VRB4" s="568"/>
      <c r="VRC4" s="568"/>
      <c r="VRD4" s="568"/>
      <c r="VRE4" s="568"/>
      <c r="VRF4" s="568"/>
      <c r="VRG4" s="568"/>
      <c r="VRH4" s="568"/>
      <c r="VRI4" s="568"/>
      <c r="VRJ4" s="568"/>
      <c r="VRK4" s="568"/>
      <c r="VRL4" s="568"/>
      <c r="VRM4" s="568"/>
      <c r="VRN4" s="568"/>
      <c r="VRO4" s="568"/>
      <c r="VRP4" s="568"/>
      <c r="VRQ4" s="568"/>
      <c r="VRR4" s="568"/>
      <c r="VRS4" s="568"/>
      <c r="VRT4" s="568"/>
      <c r="VRU4" s="568"/>
      <c r="VRV4" s="568"/>
      <c r="VRW4" s="568"/>
      <c r="VRX4" s="568"/>
      <c r="VRY4" s="568"/>
      <c r="VRZ4" s="568"/>
      <c r="VSA4" s="568"/>
      <c r="VSB4" s="568"/>
      <c r="VSC4" s="568"/>
      <c r="VSD4" s="568"/>
      <c r="VSE4" s="568"/>
      <c r="VSF4" s="568"/>
      <c r="VSG4" s="568"/>
      <c r="VSH4" s="568"/>
      <c r="VSI4" s="568"/>
      <c r="VSJ4" s="568"/>
      <c r="VSK4" s="568"/>
      <c r="VSL4" s="568"/>
      <c r="VSM4" s="568"/>
      <c r="VSN4" s="568"/>
      <c r="VSO4" s="568"/>
      <c r="VSP4" s="568"/>
      <c r="VSQ4" s="568"/>
      <c r="VSR4" s="568"/>
      <c r="VSS4" s="568"/>
      <c r="VST4" s="568"/>
      <c r="VSU4" s="568"/>
      <c r="VSV4" s="568"/>
      <c r="VSW4" s="568"/>
      <c r="VSX4" s="568"/>
      <c r="VSY4" s="568"/>
      <c r="VSZ4" s="568"/>
      <c r="VTA4" s="568"/>
      <c r="VTB4" s="568"/>
      <c r="VTC4" s="568"/>
      <c r="VTD4" s="568"/>
      <c r="VTE4" s="568"/>
      <c r="VTF4" s="568"/>
      <c r="VTG4" s="568"/>
      <c r="VTH4" s="568"/>
      <c r="VTI4" s="568"/>
      <c r="VTJ4" s="568"/>
      <c r="VTK4" s="568"/>
      <c r="VTL4" s="568"/>
      <c r="VTM4" s="568"/>
      <c r="VTN4" s="568"/>
      <c r="VTO4" s="568"/>
      <c r="VTP4" s="568"/>
      <c r="VTQ4" s="568"/>
      <c r="VTR4" s="568"/>
      <c r="VTS4" s="568"/>
      <c r="VTT4" s="568"/>
      <c r="VTU4" s="568"/>
      <c r="VTV4" s="568"/>
      <c r="VTW4" s="568"/>
      <c r="VTX4" s="568"/>
      <c r="VTY4" s="568"/>
      <c r="VTZ4" s="568"/>
      <c r="VUA4" s="568"/>
      <c r="VUB4" s="568"/>
      <c r="VUC4" s="568"/>
      <c r="VUD4" s="568"/>
      <c r="VUE4" s="568"/>
      <c r="VUF4" s="568"/>
      <c r="VUG4" s="568"/>
      <c r="VUH4" s="568"/>
      <c r="VUI4" s="568"/>
      <c r="VUJ4" s="568"/>
      <c r="VUK4" s="568"/>
      <c r="VUL4" s="568"/>
      <c r="VUM4" s="568"/>
      <c r="VUN4" s="568"/>
      <c r="VUO4" s="568"/>
      <c r="VUP4" s="568"/>
      <c r="VUQ4" s="568"/>
      <c r="VUR4" s="568"/>
      <c r="VUS4" s="568"/>
      <c r="VUT4" s="568"/>
      <c r="VUU4" s="568"/>
      <c r="VUV4" s="568"/>
      <c r="VUW4" s="568"/>
      <c r="VUX4" s="568"/>
      <c r="VUY4" s="568"/>
      <c r="VUZ4" s="568"/>
      <c r="VVA4" s="568"/>
      <c r="VVB4" s="568"/>
      <c r="VVC4" s="568"/>
      <c r="VVD4" s="568"/>
      <c r="VVE4" s="568"/>
      <c r="VVF4" s="568"/>
      <c r="VVG4" s="568"/>
      <c r="VVH4" s="568"/>
      <c r="VVI4" s="568"/>
      <c r="VVJ4" s="568"/>
      <c r="VVK4" s="568"/>
      <c r="VVL4" s="568"/>
      <c r="VVM4" s="568"/>
      <c r="VVN4" s="568"/>
      <c r="VVO4" s="568"/>
      <c r="VVP4" s="568"/>
      <c r="VVQ4" s="568"/>
      <c r="VVR4" s="568"/>
      <c r="VVS4" s="568"/>
      <c r="VVT4" s="568"/>
      <c r="VVU4" s="568"/>
      <c r="VVV4" s="568"/>
      <c r="VVW4" s="568"/>
      <c r="VVX4" s="568"/>
      <c r="VVY4" s="568"/>
      <c r="VVZ4" s="568"/>
      <c r="VWA4" s="568"/>
      <c r="VWB4" s="568"/>
      <c r="VWC4" s="568"/>
      <c r="VWD4" s="568"/>
      <c r="VWE4" s="568"/>
      <c r="VWF4" s="568"/>
      <c r="VWG4" s="568"/>
      <c r="VWH4" s="568"/>
      <c r="VWI4" s="568"/>
      <c r="VWJ4" s="568"/>
      <c r="VWK4" s="568"/>
      <c r="VWL4" s="568"/>
      <c r="VWM4" s="568"/>
      <c r="VWN4" s="568"/>
      <c r="VWO4" s="568"/>
      <c r="VWP4" s="568"/>
      <c r="VWQ4" s="568"/>
      <c r="VWR4" s="568"/>
      <c r="VWS4" s="568"/>
      <c r="VWT4" s="568"/>
      <c r="VWU4" s="568"/>
      <c r="VWV4" s="568"/>
      <c r="VWW4" s="568"/>
      <c r="VWX4" s="568"/>
      <c r="VWY4" s="568"/>
      <c r="VWZ4" s="568"/>
      <c r="VXA4" s="568"/>
      <c r="VXB4" s="568"/>
      <c r="VXC4" s="568"/>
      <c r="VXD4" s="568"/>
      <c r="VXE4" s="568"/>
      <c r="VXF4" s="568"/>
      <c r="VXG4" s="568"/>
      <c r="VXH4" s="568"/>
      <c r="VXI4" s="568"/>
      <c r="VXJ4" s="568"/>
      <c r="VXK4" s="568"/>
      <c r="VXL4" s="568"/>
      <c r="VXM4" s="568"/>
      <c r="VXN4" s="568"/>
      <c r="VXO4" s="568"/>
      <c r="VXP4" s="568"/>
      <c r="VXQ4" s="568"/>
      <c r="VXR4" s="568"/>
      <c r="VXS4" s="568"/>
      <c r="VXT4" s="568"/>
      <c r="VXU4" s="568"/>
      <c r="VXV4" s="568"/>
      <c r="VXW4" s="568"/>
      <c r="VXX4" s="568"/>
      <c r="VXY4" s="568"/>
      <c r="VXZ4" s="568"/>
      <c r="VYA4" s="568"/>
      <c r="VYB4" s="568"/>
      <c r="VYC4" s="568"/>
      <c r="VYD4" s="568"/>
      <c r="VYE4" s="568"/>
      <c r="VYF4" s="568"/>
      <c r="VYG4" s="568"/>
      <c r="VYH4" s="568"/>
      <c r="VYI4" s="568"/>
      <c r="VYJ4" s="568"/>
      <c r="VYK4" s="568"/>
      <c r="VYL4" s="568"/>
      <c r="VYM4" s="568"/>
      <c r="VYN4" s="568"/>
      <c r="VYO4" s="568"/>
      <c r="VYP4" s="568"/>
      <c r="VYQ4" s="568"/>
      <c r="VYR4" s="568"/>
      <c r="VYS4" s="568"/>
      <c r="VYT4" s="568"/>
      <c r="VYU4" s="568"/>
      <c r="VYV4" s="568"/>
      <c r="VYW4" s="568"/>
      <c r="VYX4" s="568"/>
      <c r="VYY4" s="568"/>
      <c r="VYZ4" s="568"/>
      <c r="VZA4" s="568"/>
      <c r="VZB4" s="568"/>
      <c r="VZC4" s="568"/>
      <c r="VZD4" s="568"/>
      <c r="VZE4" s="568"/>
      <c r="VZF4" s="568"/>
      <c r="VZG4" s="568"/>
      <c r="VZH4" s="568"/>
      <c r="VZI4" s="568"/>
      <c r="VZJ4" s="568"/>
      <c r="VZK4" s="568"/>
      <c r="VZL4" s="568"/>
      <c r="VZM4" s="568"/>
      <c r="VZN4" s="568"/>
      <c r="VZO4" s="568"/>
      <c r="VZP4" s="568"/>
      <c r="VZQ4" s="568"/>
      <c r="VZR4" s="568"/>
      <c r="VZS4" s="568"/>
      <c r="VZT4" s="568"/>
      <c r="VZU4" s="568"/>
      <c r="VZV4" s="568"/>
      <c r="VZW4" s="568"/>
      <c r="VZX4" s="568"/>
      <c r="VZY4" s="568"/>
      <c r="VZZ4" s="568"/>
      <c r="WAA4" s="568"/>
      <c r="WAB4" s="568"/>
      <c r="WAC4" s="568"/>
      <c r="WAD4" s="568"/>
      <c r="WAE4" s="568"/>
      <c r="WAF4" s="568"/>
      <c r="WAG4" s="568"/>
      <c r="WAH4" s="568"/>
      <c r="WAI4" s="568"/>
      <c r="WAJ4" s="568"/>
      <c r="WAK4" s="568"/>
      <c r="WAL4" s="568"/>
      <c r="WAM4" s="568"/>
      <c r="WAN4" s="568"/>
      <c r="WAO4" s="568"/>
      <c r="WAP4" s="568"/>
      <c r="WAQ4" s="568"/>
      <c r="WAR4" s="568"/>
      <c r="WAS4" s="568"/>
      <c r="WAT4" s="568"/>
      <c r="WAU4" s="568"/>
      <c r="WAV4" s="568"/>
      <c r="WAW4" s="568"/>
      <c r="WAX4" s="568"/>
      <c r="WAY4" s="568"/>
      <c r="WAZ4" s="568"/>
      <c r="WBA4" s="568"/>
      <c r="WBB4" s="568"/>
      <c r="WBC4" s="568"/>
      <c r="WBD4" s="568"/>
      <c r="WBE4" s="568"/>
      <c r="WBF4" s="568"/>
      <c r="WBG4" s="568"/>
      <c r="WBH4" s="568"/>
      <c r="WBI4" s="568"/>
      <c r="WBJ4" s="568"/>
      <c r="WBK4" s="568"/>
      <c r="WBL4" s="568"/>
      <c r="WBM4" s="568"/>
      <c r="WBN4" s="568"/>
      <c r="WBO4" s="568"/>
      <c r="WBP4" s="568"/>
      <c r="WBQ4" s="568"/>
      <c r="WBR4" s="568"/>
      <c r="WBS4" s="568"/>
      <c r="WBT4" s="568"/>
      <c r="WBU4" s="568"/>
      <c r="WBV4" s="568"/>
      <c r="WBW4" s="568"/>
      <c r="WBX4" s="568"/>
      <c r="WBY4" s="568"/>
      <c r="WBZ4" s="568"/>
      <c r="WCA4" s="568"/>
      <c r="WCB4" s="568"/>
      <c r="WCC4" s="568"/>
      <c r="WCD4" s="568"/>
      <c r="WCE4" s="568"/>
      <c r="WCF4" s="568"/>
      <c r="WCG4" s="568"/>
      <c r="WCH4" s="568"/>
      <c r="WCI4" s="568"/>
      <c r="WCJ4" s="568"/>
      <c r="WCK4" s="568"/>
      <c r="WCL4" s="568"/>
      <c r="WCM4" s="568"/>
      <c r="WCN4" s="568"/>
      <c r="WCO4" s="568"/>
      <c r="WCP4" s="568"/>
      <c r="WCQ4" s="568"/>
      <c r="WCR4" s="568"/>
      <c r="WCS4" s="568"/>
      <c r="WCT4" s="568"/>
      <c r="WCU4" s="568"/>
      <c r="WCV4" s="568"/>
      <c r="WCW4" s="568"/>
      <c r="WCX4" s="568"/>
      <c r="WCY4" s="568"/>
      <c r="WCZ4" s="568"/>
      <c r="WDA4" s="568"/>
      <c r="WDB4" s="568"/>
      <c r="WDC4" s="568"/>
      <c r="WDD4" s="568"/>
      <c r="WDE4" s="568"/>
      <c r="WDF4" s="568"/>
      <c r="WDG4" s="568"/>
      <c r="WDH4" s="568"/>
      <c r="WDI4" s="568"/>
      <c r="WDJ4" s="568"/>
      <c r="WDK4" s="568"/>
      <c r="WDL4" s="568"/>
      <c r="WDM4" s="568"/>
      <c r="WDN4" s="568"/>
      <c r="WDO4" s="568"/>
      <c r="WDP4" s="568"/>
      <c r="WDQ4" s="568"/>
      <c r="WDR4" s="568"/>
      <c r="WDS4" s="568"/>
      <c r="WDT4" s="568"/>
      <c r="WDU4" s="568"/>
      <c r="WDV4" s="568"/>
      <c r="WDW4" s="568"/>
      <c r="WDX4" s="568"/>
      <c r="WDY4" s="568"/>
      <c r="WDZ4" s="568"/>
      <c r="WEA4" s="568"/>
      <c r="WEB4" s="568"/>
      <c r="WEC4" s="568"/>
      <c r="WED4" s="568"/>
      <c r="WEE4" s="568"/>
      <c r="WEF4" s="568"/>
      <c r="WEG4" s="568"/>
      <c r="WEH4" s="568"/>
      <c r="WEI4" s="568"/>
      <c r="WEJ4" s="568"/>
      <c r="WEK4" s="568"/>
      <c r="WEL4" s="568"/>
      <c r="WEM4" s="568"/>
      <c r="WEN4" s="568"/>
      <c r="WEO4" s="568"/>
      <c r="WEP4" s="568"/>
      <c r="WEQ4" s="568"/>
      <c r="WER4" s="568"/>
      <c r="WES4" s="568"/>
      <c r="WET4" s="568"/>
      <c r="WEU4" s="568"/>
      <c r="WEV4" s="568"/>
      <c r="WEW4" s="568"/>
      <c r="WEX4" s="568"/>
      <c r="WEY4" s="568"/>
      <c r="WEZ4" s="568"/>
      <c r="WFA4" s="568"/>
      <c r="WFB4" s="568"/>
      <c r="WFC4" s="568"/>
      <c r="WFD4" s="568"/>
      <c r="WFE4" s="568"/>
      <c r="WFF4" s="568"/>
      <c r="WFG4" s="568"/>
      <c r="WFH4" s="568"/>
      <c r="WFI4" s="568"/>
      <c r="WFJ4" s="568"/>
      <c r="WFK4" s="568"/>
      <c r="WFL4" s="568"/>
      <c r="WFM4" s="568"/>
      <c r="WFN4" s="568"/>
      <c r="WFO4" s="568"/>
      <c r="WFP4" s="568"/>
      <c r="WFQ4" s="568"/>
      <c r="WFR4" s="568"/>
      <c r="WFS4" s="568"/>
      <c r="WFT4" s="568"/>
      <c r="WFU4" s="568"/>
      <c r="WFV4" s="568"/>
      <c r="WFW4" s="568"/>
      <c r="WFX4" s="568"/>
      <c r="WFY4" s="568"/>
      <c r="WFZ4" s="568"/>
      <c r="WGA4" s="568"/>
      <c r="WGB4" s="568"/>
      <c r="WGC4" s="568"/>
      <c r="WGD4" s="568"/>
      <c r="WGE4" s="568"/>
      <c r="WGF4" s="568"/>
      <c r="WGG4" s="568"/>
      <c r="WGH4" s="568"/>
      <c r="WGI4" s="568"/>
      <c r="WGJ4" s="568"/>
      <c r="WGK4" s="568"/>
      <c r="WGL4" s="568"/>
      <c r="WGM4" s="568"/>
      <c r="WGN4" s="568"/>
      <c r="WGO4" s="568"/>
      <c r="WGP4" s="568"/>
      <c r="WGQ4" s="568"/>
      <c r="WGR4" s="568"/>
      <c r="WGS4" s="568"/>
      <c r="WGT4" s="568"/>
      <c r="WGU4" s="568"/>
      <c r="WGV4" s="568"/>
      <c r="WGW4" s="568"/>
      <c r="WGX4" s="568"/>
      <c r="WGY4" s="568"/>
      <c r="WGZ4" s="568"/>
      <c r="WHA4" s="568"/>
      <c r="WHB4" s="568"/>
      <c r="WHC4" s="568"/>
      <c r="WHD4" s="568"/>
      <c r="WHE4" s="568"/>
      <c r="WHF4" s="568"/>
      <c r="WHG4" s="568"/>
      <c r="WHH4" s="568"/>
      <c r="WHI4" s="568"/>
      <c r="WHJ4" s="568"/>
      <c r="WHK4" s="568"/>
      <c r="WHL4" s="568"/>
      <c r="WHM4" s="568"/>
      <c r="WHN4" s="568"/>
      <c r="WHO4" s="568"/>
      <c r="WHP4" s="568"/>
      <c r="WHQ4" s="568"/>
      <c r="WHR4" s="568"/>
      <c r="WHS4" s="568"/>
      <c r="WHT4" s="568"/>
      <c r="WHU4" s="568"/>
      <c r="WHV4" s="568"/>
      <c r="WHW4" s="568"/>
      <c r="WHX4" s="568"/>
      <c r="WHY4" s="568"/>
      <c r="WHZ4" s="568"/>
      <c r="WIA4" s="568"/>
      <c r="WIB4" s="568"/>
      <c r="WIC4" s="568"/>
      <c r="WID4" s="568"/>
      <c r="WIE4" s="568"/>
      <c r="WIF4" s="568"/>
      <c r="WIG4" s="568"/>
      <c r="WIH4" s="568"/>
      <c r="WII4" s="568"/>
      <c r="WIJ4" s="568"/>
      <c r="WIK4" s="568"/>
      <c r="WIL4" s="568"/>
      <c r="WIM4" s="568"/>
      <c r="WIN4" s="568"/>
      <c r="WIO4" s="568"/>
      <c r="WIP4" s="568"/>
      <c r="WIQ4" s="568"/>
      <c r="WIR4" s="568"/>
      <c r="WIS4" s="568"/>
      <c r="WIT4" s="568"/>
      <c r="WIU4" s="568"/>
      <c r="WIV4" s="568"/>
      <c r="WIW4" s="568"/>
      <c r="WIX4" s="568"/>
      <c r="WIY4" s="568"/>
      <c r="WIZ4" s="568"/>
      <c r="WJA4" s="568"/>
      <c r="WJB4" s="568"/>
      <c r="WJC4" s="568"/>
      <c r="WJD4" s="568"/>
      <c r="WJE4" s="568"/>
      <c r="WJF4" s="568"/>
      <c r="WJG4" s="568"/>
      <c r="WJH4" s="568"/>
      <c r="WJI4" s="568"/>
      <c r="WJJ4" s="568"/>
      <c r="WJK4" s="568"/>
      <c r="WJL4" s="568"/>
      <c r="WJM4" s="568"/>
      <c r="WJN4" s="568"/>
      <c r="WJO4" s="568"/>
      <c r="WJP4" s="568"/>
      <c r="WJQ4" s="568"/>
      <c r="WJR4" s="568"/>
      <c r="WJS4" s="568"/>
      <c r="WJT4" s="568"/>
      <c r="WJU4" s="568"/>
      <c r="WJV4" s="568"/>
      <c r="WJW4" s="568"/>
      <c r="WJX4" s="568"/>
      <c r="WJY4" s="568"/>
      <c r="WJZ4" s="568"/>
      <c r="WKA4" s="568"/>
      <c r="WKB4" s="568"/>
      <c r="WKC4" s="568"/>
      <c r="WKD4" s="568"/>
      <c r="WKE4" s="568"/>
      <c r="WKF4" s="568"/>
      <c r="WKG4" s="568"/>
      <c r="WKH4" s="568"/>
      <c r="WKI4" s="568"/>
      <c r="WKJ4" s="568"/>
      <c r="WKK4" s="568"/>
      <c r="WKL4" s="568"/>
      <c r="WKM4" s="568"/>
      <c r="WKN4" s="568"/>
      <c r="WKO4" s="568"/>
      <c r="WKP4" s="568"/>
      <c r="WKQ4" s="568"/>
      <c r="WKR4" s="568"/>
      <c r="WKS4" s="568"/>
      <c r="WKT4" s="568"/>
      <c r="WKU4" s="568"/>
      <c r="WKV4" s="568"/>
      <c r="WKW4" s="568"/>
      <c r="WKX4" s="568"/>
      <c r="WKY4" s="568"/>
      <c r="WKZ4" s="568"/>
      <c r="WLA4" s="568"/>
      <c r="WLB4" s="568"/>
      <c r="WLC4" s="568"/>
      <c r="WLD4" s="568"/>
      <c r="WLE4" s="568"/>
      <c r="WLF4" s="568"/>
      <c r="WLG4" s="568"/>
      <c r="WLH4" s="568"/>
      <c r="WLI4" s="568"/>
      <c r="WLJ4" s="568"/>
      <c r="WLK4" s="568"/>
      <c r="WLL4" s="568"/>
      <c r="WLM4" s="568"/>
      <c r="WLN4" s="568"/>
      <c r="WLO4" s="568"/>
      <c r="WLP4" s="568"/>
      <c r="WLQ4" s="568"/>
      <c r="WLR4" s="568"/>
      <c r="WLS4" s="568"/>
      <c r="WLT4" s="568"/>
      <c r="WLU4" s="568"/>
      <c r="WLV4" s="568"/>
      <c r="WLW4" s="568"/>
      <c r="WLX4" s="568"/>
      <c r="WLY4" s="568"/>
      <c r="WLZ4" s="568"/>
      <c r="WMA4" s="568"/>
      <c r="WMB4" s="568"/>
      <c r="WMC4" s="568"/>
      <c r="WMD4" s="568"/>
      <c r="WME4" s="568"/>
      <c r="WMF4" s="568"/>
      <c r="WMG4" s="568"/>
      <c r="WMH4" s="568"/>
      <c r="WMI4" s="568"/>
      <c r="WMJ4" s="568"/>
      <c r="WMK4" s="568"/>
      <c r="WML4" s="568"/>
      <c r="WMM4" s="568"/>
      <c r="WMN4" s="568"/>
      <c r="WMO4" s="568"/>
      <c r="WMP4" s="568"/>
      <c r="WMQ4" s="568"/>
      <c r="WMR4" s="568"/>
      <c r="WMS4" s="568"/>
      <c r="WMT4" s="568"/>
      <c r="WMU4" s="568"/>
      <c r="WMV4" s="568"/>
      <c r="WMW4" s="568"/>
      <c r="WMX4" s="568"/>
      <c r="WMY4" s="568"/>
      <c r="WMZ4" s="568"/>
      <c r="WNA4" s="568"/>
      <c r="WNB4" s="568"/>
      <c r="WNC4" s="568"/>
      <c r="WND4" s="568"/>
      <c r="WNE4" s="568"/>
      <c r="WNF4" s="568"/>
      <c r="WNG4" s="568"/>
      <c r="WNH4" s="568"/>
      <c r="WNI4" s="568"/>
      <c r="WNJ4" s="568"/>
      <c r="WNK4" s="568"/>
      <c r="WNL4" s="568"/>
      <c r="WNM4" s="568"/>
      <c r="WNN4" s="568"/>
      <c r="WNO4" s="568"/>
      <c r="WNP4" s="568"/>
      <c r="WNQ4" s="568"/>
      <c r="WNR4" s="568"/>
      <c r="WNS4" s="568"/>
      <c r="WNT4" s="568"/>
      <c r="WNU4" s="568"/>
      <c r="WNV4" s="568"/>
      <c r="WNW4" s="568"/>
      <c r="WNX4" s="568"/>
      <c r="WNY4" s="568"/>
      <c r="WNZ4" s="568"/>
      <c r="WOA4" s="568"/>
      <c r="WOB4" s="568"/>
      <c r="WOC4" s="568"/>
      <c r="WOD4" s="568"/>
      <c r="WOE4" s="568"/>
      <c r="WOF4" s="568"/>
      <c r="WOG4" s="568"/>
      <c r="WOH4" s="568"/>
      <c r="WOI4" s="568"/>
      <c r="WOJ4" s="568"/>
      <c r="WOK4" s="568"/>
      <c r="WOL4" s="568"/>
      <c r="WOM4" s="568"/>
      <c r="WON4" s="568"/>
      <c r="WOO4" s="568"/>
      <c r="WOP4" s="568"/>
      <c r="WOQ4" s="568"/>
      <c r="WOR4" s="568"/>
      <c r="WOS4" s="568"/>
      <c r="WOT4" s="568"/>
      <c r="WOU4" s="568"/>
      <c r="WOV4" s="568"/>
      <c r="WOW4" s="568"/>
      <c r="WOX4" s="568"/>
      <c r="WOY4" s="568"/>
      <c r="WOZ4" s="568"/>
      <c r="WPA4" s="568"/>
      <c r="WPB4" s="568"/>
      <c r="WPC4" s="568"/>
      <c r="WPD4" s="568"/>
      <c r="WPE4" s="568"/>
      <c r="WPF4" s="568"/>
      <c r="WPG4" s="568"/>
      <c r="WPH4" s="568"/>
      <c r="WPI4" s="568"/>
      <c r="WPJ4" s="568"/>
      <c r="WPK4" s="568"/>
      <c r="WPL4" s="568"/>
      <c r="WPM4" s="568"/>
      <c r="WPN4" s="568"/>
      <c r="WPO4" s="568"/>
      <c r="WPP4" s="568"/>
      <c r="WPQ4" s="568"/>
      <c r="WPR4" s="568"/>
      <c r="WPS4" s="568"/>
      <c r="WPT4" s="568"/>
      <c r="WPU4" s="568"/>
      <c r="WPV4" s="568"/>
      <c r="WPW4" s="568"/>
      <c r="WPX4" s="568"/>
      <c r="WPY4" s="568"/>
      <c r="WPZ4" s="568"/>
      <c r="WQA4" s="568"/>
      <c r="WQB4" s="568"/>
      <c r="WQC4" s="568"/>
      <c r="WQD4" s="568"/>
      <c r="WQE4" s="568"/>
      <c r="WQF4" s="568"/>
      <c r="WQG4" s="568"/>
      <c r="WQH4" s="568"/>
      <c r="WQI4" s="568"/>
      <c r="WQJ4" s="568"/>
      <c r="WQK4" s="568"/>
      <c r="WQL4" s="568"/>
      <c r="WQM4" s="568"/>
      <c r="WQN4" s="568"/>
      <c r="WQO4" s="568"/>
      <c r="WQP4" s="568"/>
      <c r="WQQ4" s="568"/>
      <c r="WQR4" s="568"/>
      <c r="WQS4" s="568"/>
      <c r="WQT4" s="568"/>
      <c r="WQU4" s="568"/>
      <c r="WQV4" s="568"/>
      <c r="WQW4" s="568"/>
      <c r="WQX4" s="568"/>
      <c r="WQY4" s="568"/>
      <c r="WQZ4" s="568"/>
      <c r="WRA4" s="568"/>
      <c r="WRB4" s="568"/>
      <c r="WRC4" s="568"/>
      <c r="WRD4" s="568"/>
      <c r="WRE4" s="568"/>
      <c r="WRF4" s="568"/>
      <c r="WRG4" s="568"/>
      <c r="WRH4" s="568"/>
      <c r="WRI4" s="568"/>
      <c r="WRJ4" s="568"/>
      <c r="WRK4" s="568"/>
      <c r="WRL4" s="568"/>
      <c r="WRM4" s="568"/>
      <c r="WRN4" s="568"/>
      <c r="WRO4" s="568"/>
      <c r="WRP4" s="568"/>
      <c r="WRQ4" s="568"/>
      <c r="WRR4" s="568"/>
      <c r="WRS4" s="568"/>
      <c r="WRT4" s="568"/>
      <c r="WRU4" s="568"/>
      <c r="WRV4" s="568"/>
      <c r="WRW4" s="568"/>
      <c r="WRX4" s="568"/>
      <c r="WRY4" s="568"/>
      <c r="WRZ4" s="568"/>
      <c r="WSA4" s="568"/>
      <c r="WSB4" s="568"/>
      <c r="WSC4" s="568"/>
      <c r="WSD4" s="568"/>
      <c r="WSE4" s="568"/>
      <c r="WSF4" s="568"/>
      <c r="WSG4" s="568"/>
      <c r="WSH4" s="568"/>
      <c r="WSI4" s="568"/>
      <c r="WSJ4" s="568"/>
      <c r="WSK4" s="568"/>
      <c r="WSL4" s="568"/>
      <c r="WSM4" s="568"/>
      <c r="WSN4" s="568"/>
      <c r="WSO4" s="568"/>
      <c r="WSP4" s="568"/>
      <c r="WSQ4" s="568"/>
      <c r="WSR4" s="568"/>
      <c r="WSS4" s="568"/>
      <c r="WST4" s="568"/>
      <c r="WSU4" s="568"/>
      <c r="WSV4" s="568"/>
      <c r="WSW4" s="568"/>
      <c r="WSX4" s="568"/>
      <c r="WSY4" s="568"/>
      <c r="WSZ4" s="568"/>
      <c r="WTA4" s="568"/>
      <c r="WTB4" s="568"/>
      <c r="WTC4" s="568"/>
      <c r="WTD4" s="568"/>
      <c r="WTE4" s="568"/>
      <c r="WTF4" s="568"/>
      <c r="WTG4" s="568"/>
      <c r="WTH4" s="568"/>
      <c r="WTI4" s="568"/>
      <c r="WTJ4" s="568"/>
      <c r="WTK4" s="568"/>
      <c r="WTL4" s="568"/>
      <c r="WTM4" s="568"/>
      <c r="WTN4" s="568"/>
      <c r="WTO4" s="568"/>
      <c r="WTP4" s="568"/>
      <c r="WTQ4" s="568"/>
      <c r="WTR4" s="568"/>
      <c r="WTS4" s="568"/>
      <c r="WTT4" s="568"/>
      <c r="WTU4" s="568"/>
      <c r="WTV4" s="568"/>
      <c r="WTW4" s="568"/>
      <c r="WTX4" s="568"/>
      <c r="WTY4" s="568"/>
      <c r="WTZ4" s="568"/>
      <c r="WUA4" s="568"/>
      <c r="WUB4" s="568"/>
      <c r="WUC4" s="568"/>
      <c r="WUD4" s="568"/>
      <c r="WUE4" s="568"/>
      <c r="WUF4" s="568"/>
      <c r="WUG4" s="568"/>
      <c r="WUH4" s="568"/>
      <c r="WUI4" s="568"/>
      <c r="WUJ4" s="568"/>
      <c r="WUK4" s="568"/>
      <c r="WUL4" s="568"/>
      <c r="WUM4" s="568"/>
      <c r="WUN4" s="568"/>
      <c r="WUO4" s="568"/>
      <c r="WUP4" s="568"/>
      <c r="WUQ4" s="568"/>
      <c r="WUR4" s="568"/>
      <c r="WUS4" s="568"/>
      <c r="WUT4" s="568"/>
      <c r="WUU4" s="568"/>
      <c r="WUV4" s="568"/>
      <c r="WUW4" s="568"/>
      <c r="WUX4" s="568"/>
      <c r="WUY4" s="568"/>
      <c r="WUZ4" s="568"/>
      <c r="WVA4" s="568"/>
      <c r="WVB4" s="568"/>
      <c r="WVC4" s="568"/>
      <c r="WVD4" s="568"/>
      <c r="WVE4" s="568"/>
      <c r="WVF4" s="568"/>
      <c r="WVG4" s="568"/>
      <c r="WVH4" s="568"/>
      <c r="WVI4" s="568"/>
      <c r="WVJ4" s="568"/>
      <c r="WVK4" s="568"/>
      <c r="WVL4" s="568"/>
      <c r="WVM4" s="568"/>
      <c r="WVN4" s="568"/>
      <c r="WVO4" s="568"/>
      <c r="WVP4" s="568"/>
      <c r="WVQ4" s="568"/>
      <c r="WVR4" s="568"/>
      <c r="WVS4" s="568"/>
      <c r="WVT4" s="568"/>
      <c r="WVU4" s="568"/>
      <c r="WVV4" s="568"/>
      <c r="WVW4" s="568"/>
      <c r="WVX4" s="568"/>
      <c r="WVY4" s="568"/>
      <c r="WVZ4" s="568"/>
      <c r="WWA4" s="568"/>
      <c r="WWB4" s="568"/>
      <c r="WWC4" s="568"/>
      <c r="WWD4" s="568"/>
      <c r="WWE4" s="568"/>
      <c r="WWF4" s="568"/>
      <c r="WWG4" s="568"/>
      <c r="WWH4" s="568"/>
      <c r="WWI4" s="568"/>
      <c r="WWJ4" s="568"/>
      <c r="WWK4" s="568"/>
      <c r="WWL4" s="568"/>
      <c r="WWM4" s="568"/>
      <c r="WWN4" s="568"/>
      <c r="WWO4" s="568"/>
      <c r="WWP4" s="568"/>
      <c r="WWQ4" s="568"/>
      <c r="WWR4" s="568"/>
      <c r="WWS4" s="568"/>
      <c r="WWT4" s="568"/>
      <c r="WWU4" s="568"/>
      <c r="WWV4" s="568"/>
      <c r="WWW4" s="568"/>
      <c r="WWX4" s="568"/>
      <c r="WWY4" s="568"/>
      <c r="WWZ4" s="568"/>
      <c r="WXA4" s="568"/>
      <c r="WXB4" s="568"/>
      <c r="WXC4" s="568"/>
      <c r="WXD4" s="568"/>
      <c r="WXE4" s="568"/>
      <c r="WXF4" s="568"/>
      <c r="WXG4" s="568"/>
      <c r="WXH4" s="568"/>
      <c r="WXI4" s="568"/>
      <c r="WXJ4" s="568"/>
      <c r="WXK4" s="568"/>
      <c r="WXL4" s="568"/>
      <c r="WXM4" s="568"/>
      <c r="WXN4" s="568"/>
      <c r="WXO4" s="568"/>
      <c r="WXP4" s="568"/>
      <c r="WXQ4" s="568"/>
      <c r="WXR4" s="568"/>
      <c r="WXS4" s="568"/>
      <c r="WXT4" s="568"/>
      <c r="WXU4" s="568"/>
      <c r="WXV4" s="568"/>
      <c r="WXW4" s="568"/>
      <c r="WXX4" s="568"/>
      <c r="WXY4" s="568"/>
      <c r="WXZ4" s="568"/>
      <c r="WYA4" s="568"/>
      <c r="WYB4" s="568"/>
      <c r="WYC4" s="568"/>
      <c r="WYD4" s="568"/>
      <c r="WYE4" s="568"/>
      <c r="WYF4" s="568"/>
      <c r="WYG4" s="568"/>
      <c r="WYH4" s="568"/>
      <c r="WYI4" s="568"/>
      <c r="WYJ4" s="568"/>
      <c r="WYK4" s="568"/>
      <c r="WYL4" s="568"/>
      <c r="WYM4" s="568"/>
      <c r="WYN4" s="568"/>
      <c r="WYO4" s="568"/>
      <c r="WYP4" s="568"/>
      <c r="WYQ4" s="568"/>
      <c r="WYR4" s="568"/>
      <c r="WYS4" s="568"/>
      <c r="WYT4" s="568"/>
      <c r="WYU4" s="568"/>
      <c r="WYV4" s="568"/>
      <c r="WYW4" s="568"/>
      <c r="WYX4" s="568"/>
      <c r="WYY4" s="568"/>
      <c r="WYZ4" s="568"/>
      <c r="WZA4" s="568"/>
      <c r="WZB4" s="568"/>
      <c r="WZC4" s="568"/>
      <c r="WZD4" s="568"/>
      <c r="WZE4" s="568"/>
      <c r="WZF4" s="568"/>
      <c r="WZG4" s="568"/>
      <c r="WZH4" s="568"/>
      <c r="WZI4" s="568"/>
      <c r="WZJ4" s="568"/>
      <c r="WZK4" s="568"/>
      <c r="WZL4" s="568"/>
      <c r="WZM4" s="568"/>
      <c r="WZN4" s="568"/>
      <c r="WZO4" s="568"/>
      <c r="WZP4" s="568"/>
      <c r="WZQ4" s="568"/>
      <c r="WZR4" s="568"/>
      <c r="WZS4" s="568"/>
      <c r="WZT4" s="568"/>
      <c r="WZU4" s="568"/>
      <c r="WZV4" s="568"/>
      <c r="WZW4" s="568"/>
      <c r="WZX4" s="568"/>
      <c r="WZY4" s="568"/>
      <c r="WZZ4" s="568"/>
      <c r="XAA4" s="568"/>
      <c r="XAB4" s="568"/>
      <c r="XAC4" s="568"/>
      <c r="XAD4" s="568"/>
      <c r="XAE4" s="568"/>
      <c r="XAF4" s="568"/>
      <c r="XAG4" s="568"/>
      <c r="XAH4" s="568"/>
      <c r="XAI4" s="568"/>
      <c r="XAJ4" s="568"/>
      <c r="XAK4" s="568"/>
      <c r="XAL4" s="568"/>
      <c r="XAM4" s="568"/>
      <c r="XAN4" s="568"/>
      <c r="XAO4" s="568"/>
      <c r="XAP4" s="568"/>
      <c r="XAQ4" s="568"/>
      <c r="XAR4" s="568"/>
      <c r="XAS4" s="568"/>
      <c r="XAT4" s="568"/>
      <c r="XAU4" s="568"/>
      <c r="XAV4" s="568"/>
      <c r="XAW4" s="568"/>
      <c r="XAX4" s="568"/>
      <c r="XAY4" s="568"/>
      <c r="XAZ4" s="568"/>
      <c r="XBA4" s="568"/>
      <c r="XBB4" s="568"/>
      <c r="XBC4" s="568"/>
      <c r="XBD4" s="568"/>
      <c r="XBE4" s="568"/>
      <c r="XBF4" s="568"/>
      <c r="XBG4" s="568"/>
      <c r="XBH4" s="568"/>
      <c r="XBI4" s="568"/>
      <c r="XBJ4" s="568"/>
      <c r="XBK4" s="568"/>
      <c r="XBL4" s="568"/>
      <c r="XBM4" s="568"/>
      <c r="XBN4" s="568"/>
      <c r="XBO4" s="568"/>
      <c r="XBP4" s="568"/>
      <c r="XBQ4" s="568"/>
      <c r="XBR4" s="568"/>
      <c r="XBS4" s="568"/>
      <c r="XBT4" s="568"/>
      <c r="XBU4" s="568"/>
      <c r="XBV4" s="568"/>
      <c r="XBW4" s="568"/>
      <c r="XBX4" s="568"/>
      <c r="XBY4" s="568"/>
      <c r="XBZ4" s="568"/>
      <c r="XCA4" s="568"/>
      <c r="XCB4" s="568"/>
      <c r="XCC4" s="568"/>
      <c r="XCD4" s="568"/>
      <c r="XCE4" s="568"/>
      <c r="XCF4" s="568"/>
      <c r="XCG4" s="568"/>
      <c r="XCH4" s="568"/>
      <c r="XCI4" s="568"/>
      <c r="XCJ4" s="568"/>
      <c r="XCK4" s="568"/>
      <c r="XCL4" s="568"/>
      <c r="XCM4" s="568"/>
      <c r="XCN4" s="568"/>
      <c r="XCO4" s="568"/>
      <c r="XCP4" s="568"/>
      <c r="XCQ4" s="568"/>
      <c r="XCR4" s="568"/>
      <c r="XCS4" s="568"/>
      <c r="XCT4" s="568"/>
      <c r="XCU4" s="568"/>
      <c r="XCV4" s="568"/>
      <c r="XCW4" s="568"/>
      <c r="XCX4" s="568"/>
      <c r="XCY4" s="568"/>
      <c r="XCZ4" s="568"/>
      <c r="XDA4" s="568"/>
      <c r="XDB4" s="568"/>
      <c r="XDC4" s="568"/>
      <c r="XDD4" s="568"/>
      <c r="XDE4" s="568"/>
      <c r="XDF4" s="568"/>
      <c r="XDG4" s="568"/>
      <c r="XDH4" s="568"/>
      <c r="XDI4" s="568"/>
      <c r="XDJ4" s="568"/>
      <c r="XDK4" s="568"/>
      <c r="XDL4" s="568"/>
      <c r="XDM4" s="568"/>
      <c r="XDN4" s="568"/>
      <c r="XDO4" s="568"/>
      <c r="XDP4" s="568"/>
      <c r="XDQ4" s="568"/>
      <c r="XDR4" s="568"/>
      <c r="XDS4" s="568"/>
      <c r="XDT4" s="568"/>
      <c r="XDU4" s="568"/>
      <c r="XDV4" s="568"/>
      <c r="XDW4" s="568"/>
      <c r="XDX4" s="568"/>
      <c r="XDY4" s="568"/>
      <c r="XDZ4" s="568"/>
      <c r="XEA4" s="568"/>
      <c r="XEB4" s="568"/>
      <c r="XEC4" s="568"/>
      <c r="XED4" s="568"/>
      <c r="XEE4" s="568"/>
      <c r="XEF4" s="568"/>
      <c r="XEG4" s="568"/>
      <c r="XEH4" s="568"/>
      <c r="XEI4" s="568"/>
      <c r="XEJ4" s="568"/>
      <c r="XEK4" s="568"/>
      <c r="XEL4" s="568"/>
      <c r="XEM4" s="568"/>
      <c r="XEN4" s="568"/>
      <c r="XEO4" s="568"/>
      <c r="XEP4" s="568"/>
      <c r="XEQ4" s="568"/>
      <c r="XER4" s="568"/>
      <c r="XES4" s="568"/>
      <c r="XET4" s="568"/>
      <c r="XEU4" s="568"/>
      <c r="XEV4" s="568"/>
      <c r="XEW4" s="568"/>
      <c r="XEX4" s="568"/>
      <c r="XEY4" s="568"/>
      <c r="XEZ4" s="568"/>
      <c r="XFA4" s="568"/>
      <c r="XFB4" s="568"/>
      <c r="XFC4" s="568"/>
      <c r="XFD4" s="568"/>
    </row>
    <row r="5" spans="1:16384" ht="22.9" customHeight="1" x14ac:dyDescent="0.45">
      <c r="A5" s="249" t="str">
        <f>H5&amp;  H6&amp;H7</f>
        <v>31December2024</v>
      </c>
      <c r="B5" s="249"/>
      <c r="C5" s="249"/>
      <c r="D5" s="249"/>
      <c r="E5" s="249"/>
      <c r="F5" s="525" t="s">
        <v>167</v>
      </c>
      <c r="G5" s="244">
        <v>31</v>
      </c>
      <c r="H5" s="244">
        <v>31</v>
      </c>
      <c r="I5" s="244" t="s">
        <v>50</v>
      </c>
      <c r="J5" s="525" t="s">
        <v>500</v>
      </c>
      <c r="K5" s="526" t="s">
        <v>167</v>
      </c>
      <c r="M5" s="244" t="s">
        <v>5</v>
      </c>
      <c r="P5" s="244" t="s">
        <v>170</v>
      </c>
    </row>
    <row r="6" spans="1:16384" x14ac:dyDescent="0.45">
      <c r="C6" s="340"/>
      <c r="F6" s="244" t="s">
        <v>176</v>
      </c>
      <c r="G6" s="244" t="s">
        <v>412</v>
      </c>
      <c r="H6" s="244" t="s">
        <v>412</v>
      </c>
      <c r="I6" s="244" t="s">
        <v>51</v>
      </c>
      <c r="J6" s="525" t="s">
        <v>45</v>
      </c>
      <c r="K6" s="525" t="s">
        <v>167</v>
      </c>
    </row>
    <row r="7" spans="1:16384" x14ac:dyDescent="0.45">
      <c r="C7" s="340"/>
      <c r="F7" s="244">
        <v>2017</v>
      </c>
      <c r="G7" s="244">
        <v>2023</v>
      </c>
      <c r="H7" s="244">
        <v>2024</v>
      </c>
      <c r="I7" s="244" t="s">
        <v>28</v>
      </c>
      <c r="J7" s="244">
        <v>2024</v>
      </c>
      <c r="K7" s="244">
        <v>2024</v>
      </c>
    </row>
    <row r="8" spans="1:16384" ht="21.75" x14ac:dyDescent="0.5">
      <c r="B8" s="242"/>
      <c r="C8" s="340"/>
    </row>
    <row r="9" spans="1:16384" x14ac:dyDescent="0.45">
      <c r="C9" s="340"/>
    </row>
    <row r="10" spans="1:16384" x14ac:dyDescent="0.45">
      <c r="C10" s="340"/>
      <c r="I10" s="527">
        <v>4</v>
      </c>
      <c r="K10" s="244" t="s">
        <v>55</v>
      </c>
    </row>
    <row r="11" spans="1:16384" s="242" customFormat="1" ht="21.75" x14ac:dyDescent="0.5">
      <c r="C11" s="528"/>
      <c r="I11" s="529">
        <v>1</v>
      </c>
      <c r="K11" s="472" t="s">
        <v>57</v>
      </c>
    </row>
    <row r="12" spans="1:16384" s="472" customFormat="1" ht="21.75" x14ac:dyDescent="0.5">
      <c r="C12" s="530"/>
      <c r="D12" s="484"/>
      <c r="I12" s="529">
        <v>1</v>
      </c>
      <c r="K12" s="242" t="s">
        <v>56</v>
      </c>
      <c r="L12" s="242"/>
    </row>
    <row r="13" spans="1:16384" s="242" customFormat="1" ht="21.75" x14ac:dyDescent="0.5">
      <c r="I13" s="529">
        <v>1</v>
      </c>
      <c r="K13" s="242" t="s">
        <v>58</v>
      </c>
    </row>
    <row r="14" spans="1:16384" s="532" customFormat="1" ht="21.75" x14ac:dyDescent="0.5">
      <c r="A14" s="486" t="s">
        <v>172</v>
      </c>
      <c r="B14" s="531"/>
      <c r="C14" s="486" t="s">
        <v>173</v>
      </c>
      <c r="I14" s="529">
        <v>1</v>
      </c>
      <c r="K14" s="532" t="s">
        <v>66</v>
      </c>
    </row>
    <row r="15" spans="1:16384" s="242" customFormat="1" ht="21.75" x14ac:dyDescent="0.5">
      <c r="I15" s="529">
        <v>1</v>
      </c>
      <c r="K15" s="532" t="s">
        <v>67</v>
      </c>
      <c r="L15" s="532"/>
    </row>
    <row r="16" spans="1:16384" s="242" customFormat="1" ht="21.75" x14ac:dyDescent="0.5">
      <c r="A16" s="533" t="s">
        <v>498</v>
      </c>
      <c r="C16" s="531" t="s">
        <v>406</v>
      </c>
      <c r="I16" s="529">
        <v>1</v>
      </c>
      <c r="K16" s="532" t="s">
        <v>158</v>
      </c>
      <c r="L16" s="532"/>
    </row>
    <row r="17" spans="1:12" s="242" customFormat="1" ht="21.75" x14ac:dyDescent="0.5">
      <c r="A17" s="534">
        <v>4</v>
      </c>
      <c r="C17" s="531" t="s">
        <v>407</v>
      </c>
      <c r="I17" s="529"/>
      <c r="K17" s="532" t="s">
        <v>159</v>
      </c>
      <c r="L17" s="532"/>
    </row>
    <row r="18" spans="1:12" s="242" customFormat="1" ht="21.75" x14ac:dyDescent="0.5">
      <c r="A18" s="534">
        <v>5</v>
      </c>
      <c r="C18" s="531" t="s">
        <v>408</v>
      </c>
      <c r="I18" s="529"/>
      <c r="K18" s="532" t="s">
        <v>160</v>
      </c>
    </row>
    <row r="19" spans="1:12" s="242" customFormat="1" ht="21.75" x14ac:dyDescent="0.5">
      <c r="A19" s="534">
        <v>6</v>
      </c>
      <c r="C19" s="531" t="s">
        <v>409</v>
      </c>
      <c r="I19" s="529"/>
      <c r="K19" s="532" t="s">
        <v>161</v>
      </c>
      <c r="L19" s="532"/>
    </row>
    <row r="20" spans="1:12" s="242" customFormat="1" ht="21.75" x14ac:dyDescent="0.5">
      <c r="A20" s="534">
        <v>7</v>
      </c>
      <c r="C20" s="531" t="s">
        <v>410</v>
      </c>
      <c r="I20" s="529">
        <v>1</v>
      </c>
      <c r="J20" s="532"/>
      <c r="K20" s="242" t="s">
        <v>61</v>
      </c>
    </row>
    <row r="21" spans="1:12" s="242" customFormat="1" ht="21.75" x14ac:dyDescent="0.5">
      <c r="A21" s="533" t="s">
        <v>497</v>
      </c>
      <c r="C21" s="531" t="s">
        <v>411</v>
      </c>
      <c r="I21" s="529">
        <v>1</v>
      </c>
      <c r="K21" s="532" t="s">
        <v>59</v>
      </c>
    </row>
    <row r="22" spans="1:12" s="242" customFormat="1" ht="21.75" x14ac:dyDescent="0.5">
      <c r="I22" s="529"/>
      <c r="K22" s="532" t="s">
        <v>60</v>
      </c>
    </row>
    <row r="23" spans="1:12" s="242" customFormat="1" ht="21.75" x14ac:dyDescent="0.5">
      <c r="I23" s="529">
        <v>1</v>
      </c>
      <c r="K23" s="242" t="s">
        <v>1</v>
      </c>
    </row>
    <row r="24" spans="1:12" s="242" customFormat="1" ht="21.75" x14ac:dyDescent="0.5">
      <c r="I24" s="529">
        <v>1</v>
      </c>
      <c r="K24" s="242" t="s">
        <v>63</v>
      </c>
    </row>
    <row r="25" spans="1:12" ht="21.75" x14ac:dyDescent="0.5">
      <c r="I25" s="529">
        <v>1</v>
      </c>
      <c r="J25" s="242"/>
      <c r="K25" s="532" t="s">
        <v>62</v>
      </c>
    </row>
    <row r="26" spans="1:12" ht="21.75" x14ac:dyDescent="0.5">
      <c r="I26" s="529">
        <v>1</v>
      </c>
      <c r="J26" s="242"/>
      <c r="K26" s="242" t="s">
        <v>64</v>
      </c>
    </row>
    <row r="27" spans="1:12" ht="21.75" x14ac:dyDescent="0.5">
      <c r="I27" s="529">
        <v>1</v>
      </c>
      <c r="J27" s="242"/>
      <c r="K27" s="242" t="s">
        <v>65</v>
      </c>
    </row>
    <row r="28" spans="1:12" ht="21.75" x14ac:dyDescent="0.5">
      <c r="I28" s="529">
        <v>1</v>
      </c>
      <c r="J28" s="242"/>
      <c r="K28" s="242" t="s">
        <v>28</v>
      </c>
    </row>
    <row r="29" spans="1:12" ht="21.75" x14ac:dyDescent="0.5">
      <c r="I29" s="242"/>
      <c r="J29" s="242"/>
      <c r="K29" s="242"/>
    </row>
    <row r="30" spans="1:12" ht="21.75" x14ac:dyDescent="0.5">
      <c r="I30" s="242"/>
      <c r="J30" s="242"/>
      <c r="K30" s="242" t="s">
        <v>114</v>
      </c>
    </row>
    <row r="31" spans="1:12" x14ac:dyDescent="0.45">
      <c r="K31" s="244" t="s">
        <v>28</v>
      </c>
    </row>
  </sheetData>
  <mergeCells count="13096">
    <mergeCell ref="XFA4:XFD4"/>
    <mergeCell ref="XEB4:XEF4"/>
    <mergeCell ref="XEG4:XEK4"/>
    <mergeCell ref="XEL4:XEP4"/>
    <mergeCell ref="XEQ4:XEU4"/>
    <mergeCell ref="XEV4:XEZ4"/>
    <mergeCell ref="XDC4:XDG4"/>
    <mergeCell ref="XDH4:XDL4"/>
    <mergeCell ref="XDM4:XDQ4"/>
    <mergeCell ref="XDR4:XDV4"/>
    <mergeCell ref="XDW4:XEA4"/>
    <mergeCell ref="XCD4:XCH4"/>
    <mergeCell ref="XCI4:XCM4"/>
    <mergeCell ref="XCN4:XCR4"/>
    <mergeCell ref="XCS4:XCW4"/>
    <mergeCell ref="XCX4:XDB4"/>
    <mergeCell ref="XBE4:XBI4"/>
    <mergeCell ref="XBJ4:XBN4"/>
    <mergeCell ref="XBO4:XBS4"/>
    <mergeCell ref="XBT4:XBX4"/>
    <mergeCell ref="XBY4:XCC4"/>
    <mergeCell ref="XAF4:XAJ4"/>
    <mergeCell ref="XAK4:XAO4"/>
    <mergeCell ref="XAP4:XAT4"/>
    <mergeCell ref="XAU4:XAY4"/>
    <mergeCell ref="XAZ4:XBD4"/>
    <mergeCell ref="WZG4:WZK4"/>
    <mergeCell ref="WZL4:WZP4"/>
    <mergeCell ref="WZQ4:WZU4"/>
    <mergeCell ref="WZV4:WZZ4"/>
    <mergeCell ref="XAA4:XAE4"/>
    <mergeCell ref="WYH4:WYL4"/>
    <mergeCell ref="WYM4:WYQ4"/>
    <mergeCell ref="WYR4:WYV4"/>
    <mergeCell ref="WYW4:WZA4"/>
    <mergeCell ref="WZB4:WZF4"/>
    <mergeCell ref="WXI4:WXM4"/>
    <mergeCell ref="WXN4:WXR4"/>
    <mergeCell ref="WXS4:WXW4"/>
    <mergeCell ref="WXX4:WYB4"/>
    <mergeCell ref="WYC4:WYG4"/>
    <mergeCell ref="WWJ4:WWN4"/>
    <mergeCell ref="WWO4:WWS4"/>
    <mergeCell ref="WWT4:WWX4"/>
    <mergeCell ref="WWY4:WXC4"/>
    <mergeCell ref="WXD4:WXH4"/>
    <mergeCell ref="WVK4:WVO4"/>
    <mergeCell ref="WVP4:WVT4"/>
    <mergeCell ref="WVU4:WVY4"/>
    <mergeCell ref="WVZ4:WWD4"/>
    <mergeCell ref="WWE4:WWI4"/>
    <mergeCell ref="WUL4:WUP4"/>
    <mergeCell ref="WUQ4:WUU4"/>
    <mergeCell ref="WUV4:WUZ4"/>
    <mergeCell ref="WVA4:WVE4"/>
    <mergeCell ref="WVF4:WVJ4"/>
    <mergeCell ref="WTM4:WTQ4"/>
    <mergeCell ref="WTR4:WTV4"/>
    <mergeCell ref="WTW4:WUA4"/>
    <mergeCell ref="WUB4:WUF4"/>
    <mergeCell ref="WUG4:WUK4"/>
    <mergeCell ref="WSN4:WSR4"/>
    <mergeCell ref="WSS4:WSW4"/>
    <mergeCell ref="WSX4:WTB4"/>
    <mergeCell ref="WTC4:WTG4"/>
    <mergeCell ref="WTH4:WTL4"/>
    <mergeCell ref="WRO4:WRS4"/>
    <mergeCell ref="WRT4:WRX4"/>
    <mergeCell ref="WRY4:WSC4"/>
    <mergeCell ref="WSD4:WSH4"/>
    <mergeCell ref="WSI4:WSM4"/>
    <mergeCell ref="WQP4:WQT4"/>
    <mergeCell ref="WQU4:WQY4"/>
    <mergeCell ref="WQZ4:WRD4"/>
    <mergeCell ref="WRE4:WRI4"/>
    <mergeCell ref="WRJ4:WRN4"/>
    <mergeCell ref="WPQ4:WPU4"/>
    <mergeCell ref="WPV4:WPZ4"/>
    <mergeCell ref="WQA4:WQE4"/>
    <mergeCell ref="WQF4:WQJ4"/>
    <mergeCell ref="WQK4:WQO4"/>
    <mergeCell ref="WOR4:WOV4"/>
    <mergeCell ref="WOW4:WPA4"/>
    <mergeCell ref="WPB4:WPF4"/>
    <mergeCell ref="WPG4:WPK4"/>
    <mergeCell ref="WPL4:WPP4"/>
    <mergeCell ref="WNS4:WNW4"/>
    <mergeCell ref="WNX4:WOB4"/>
    <mergeCell ref="WOC4:WOG4"/>
    <mergeCell ref="WOH4:WOL4"/>
    <mergeCell ref="WOM4:WOQ4"/>
    <mergeCell ref="WMT4:WMX4"/>
    <mergeCell ref="WMY4:WNC4"/>
    <mergeCell ref="WND4:WNH4"/>
    <mergeCell ref="WNI4:WNM4"/>
    <mergeCell ref="WNN4:WNR4"/>
    <mergeCell ref="WLU4:WLY4"/>
    <mergeCell ref="WLZ4:WMD4"/>
    <mergeCell ref="WME4:WMI4"/>
    <mergeCell ref="WMJ4:WMN4"/>
    <mergeCell ref="WMO4:WMS4"/>
    <mergeCell ref="WKV4:WKZ4"/>
    <mergeCell ref="WLA4:WLE4"/>
    <mergeCell ref="WLF4:WLJ4"/>
    <mergeCell ref="WLK4:WLO4"/>
    <mergeCell ref="WLP4:WLT4"/>
    <mergeCell ref="WJW4:WKA4"/>
    <mergeCell ref="WKB4:WKF4"/>
    <mergeCell ref="WKG4:WKK4"/>
    <mergeCell ref="WKL4:WKP4"/>
    <mergeCell ref="WKQ4:WKU4"/>
    <mergeCell ref="WIX4:WJB4"/>
    <mergeCell ref="WJC4:WJG4"/>
    <mergeCell ref="WJH4:WJL4"/>
    <mergeCell ref="WJM4:WJQ4"/>
    <mergeCell ref="WJR4:WJV4"/>
    <mergeCell ref="WHY4:WIC4"/>
    <mergeCell ref="WID4:WIH4"/>
    <mergeCell ref="WII4:WIM4"/>
    <mergeCell ref="WIN4:WIR4"/>
    <mergeCell ref="WIS4:WIW4"/>
    <mergeCell ref="WGZ4:WHD4"/>
    <mergeCell ref="WHE4:WHI4"/>
    <mergeCell ref="WHJ4:WHN4"/>
    <mergeCell ref="WHO4:WHS4"/>
    <mergeCell ref="WHT4:WHX4"/>
    <mergeCell ref="WGA4:WGE4"/>
    <mergeCell ref="WGF4:WGJ4"/>
    <mergeCell ref="WGK4:WGO4"/>
    <mergeCell ref="WGP4:WGT4"/>
    <mergeCell ref="WGU4:WGY4"/>
    <mergeCell ref="WFB4:WFF4"/>
    <mergeCell ref="WFG4:WFK4"/>
    <mergeCell ref="WFL4:WFP4"/>
    <mergeCell ref="WFQ4:WFU4"/>
    <mergeCell ref="WFV4:WFZ4"/>
    <mergeCell ref="WEC4:WEG4"/>
    <mergeCell ref="WEH4:WEL4"/>
    <mergeCell ref="WEM4:WEQ4"/>
    <mergeCell ref="WER4:WEV4"/>
    <mergeCell ref="WEW4:WFA4"/>
    <mergeCell ref="WDD4:WDH4"/>
    <mergeCell ref="WDI4:WDM4"/>
    <mergeCell ref="WDN4:WDR4"/>
    <mergeCell ref="WDS4:WDW4"/>
    <mergeCell ref="WDX4:WEB4"/>
    <mergeCell ref="WCE4:WCI4"/>
    <mergeCell ref="WCJ4:WCN4"/>
    <mergeCell ref="WCO4:WCS4"/>
    <mergeCell ref="WCT4:WCX4"/>
    <mergeCell ref="WCY4:WDC4"/>
    <mergeCell ref="WBF4:WBJ4"/>
    <mergeCell ref="WBK4:WBO4"/>
    <mergeCell ref="WBP4:WBT4"/>
    <mergeCell ref="WBU4:WBY4"/>
    <mergeCell ref="WBZ4:WCD4"/>
    <mergeCell ref="WAG4:WAK4"/>
    <mergeCell ref="WAL4:WAP4"/>
    <mergeCell ref="WAQ4:WAU4"/>
    <mergeCell ref="WAV4:WAZ4"/>
    <mergeCell ref="WBA4:WBE4"/>
    <mergeCell ref="VZH4:VZL4"/>
    <mergeCell ref="VZM4:VZQ4"/>
    <mergeCell ref="VZR4:VZV4"/>
    <mergeCell ref="VZW4:WAA4"/>
    <mergeCell ref="WAB4:WAF4"/>
    <mergeCell ref="VYI4:VYM4"/>
    <mergeCell ref="VYN4:VYR4"/>
    <mergeCell ref="VYS4:VYW4"/>
    <mergeCell ref="VYX4:VZB4"/>
    <mergeCell ref="VZC4:VZG4"/>
    <mergeCell ref="VXJ4:VXN4"/>
    <mergeCell ref="VXO4:VXS4"/>
    <mergeCell ref="VXT4:VXX4"/>
    <mergeCell ref="VXY4:VYC4"/>
    <mergeCell ref="VYD4:VYH4"/>
    <mergeCell ref="VWK4:VWO4"/>
    <mergeCell ref="VWP4:VWT4"/>
    <mergeCell ref="VWU4:VWY4"/>
    <mergeCell ref="VWZ4:VXD4"/>
    <mergeCell ref="VXE4:VXI4"/>
    <mergeCell ref="VVL4:VVP4"/>
    <mergeCell ref="VVQ4:VVU4"/>
    <mergeCell ref="VVV4:VVZ4"/>
    <mergeCell ref="VWA4:VWE4"/>
    <mergeCell ref="VWF4:VWJ4"/>
    <mergeCell ref="VUM4:VUQ4"/>
    <mergeCell ref="VUR4:VUV4"/>
    <mergeCell ref="VUW4:VVA4"/>
    <mergeCell ref="VVB4:VVF4"/>
    <mergeCell ref="VVG4:VVK4"/>
    <mergeCell ref="VTN4:VTR4"/>
    <mergeCell ref="VTS4:VTW4"/>
    <mergeCell ref="VTX4:VUB4"/>
    <mergeCell ref="VUC4:VUG4"/>
    <mergeCell ref="VUH4:VUL4"/>
    <mergeCell ref="VSO4:VSS4"/>
    <mergeCell ref="VST4:VSX4"/>
    <mergeCell ref="VSY4:VTC4"/>
    <mergeCell ref="VTD4:VTH4"/>
    <mergeCell ref="VTI4:VTM4"/>
    <mergeCell ref="VRP4:VRT4"/>
    <mergeCell ref="VRU4:VRY4"/>
    <mergeCell ref="VRZ4:VSD4"/>
    <mergeCell ref="VSE4:VSI4"/>
    <mergeCell ref="VSJ4:VSN4"/>
    <mergeCell ref="VQQ4:VQU4"/>
    <mergeCell ref="VQV4:VQZ4"/>
    <mergeCell ref="VRA4:VRE4"/>
    <mergeCell ref="VRF4:VRJ4"/>
    <mergeCell ref="VRK4:VRO4"/>
    <mergeCell ref="VPR4:VPV4"/>
    <mergeCell ref="VPW4:VQA4"/>
    <mergeCell ref="VQB4:VQF4"/>
    <mergeCell ref="VQG4:VQK4"/>
    <mergeCell ref="VQL4:VQP4"/>
    <mergeCell ref="VOS4:VOW4"/>
    <mergeCell ref="VOX4:VPB4"/>
    <mergeCell ref="VPC4:VPG4"/>
    <mergeCell ref="VPH4:VPL4"/>
    <mergeCell ref="VPM4:VPQ4"/>
    <mergeCell ref="VNT4:VNX4"/>
    <mergeCell ref="VNY4:VOC4"/>
    <mergeCell ref="VOD4:VOH4"/>
    <mergeCell ref="VOI4:VOM4"/>
    <mergeCell ref="VON4:VOR4"/>
    <mergeCell ref="VMU4:VMY4"/>
    <mergeCell ref="VMZ4:VND4"/>
    <mergeCell ref="VNE4:VNI4"/>
    <mergeCell ref="VNJ4:VNN4"/>
    <mergeCell ref="VNO4:VNS4"/>
    <mergeCell ref="VLV4:VLZ4"/>
    <mergeCell ref="VMA4:VME4"/>
    <mergeCell ref="VMF4:VMJ4"/>
    <mergeCell ref="VMK4:VMO4"/>
    <mergeCell ref="VMP4:VMT4"/>
    <mergeCell ref="VKW4:VLA4"/>
    <mergeCell ref="VLB4:VLF4"/>
    <mergeCell ref="VLG4:VLK4"/>
    <mergeCell ref="VLL4:VLP4"/>
    <mergeCell ref="VLQ4:VLU4"/>
    <mergeCell ref="VJX4:VKB4"/>
    <mergeCell ref="VKC4:VKG4"/>
    <mergeCell ref="VKH4:VKL4"/>
    <mergeCell ref="VKM4:VKQ4"/>
    <mergeCell ref="VKR4:VKV4"/>
    <mergeCell ref="VIY4:VJC4"/>
    <mergeCell ref="VJD4:VJH4"/>
    <mergeCell ref="VJI4:VJM4"/>
    <mergeCell ref="VJN4:VJR4"/>
    <mergeCell ref="VJS4:VJW4"/>
    <mergeCell ref="VHZ4:VID4"/>
    <mergeCell ref="VIE4:VII4"/>
    <mergeCell ref="VIJ4:VIN4"/>
    <mergeCell ref="VIO4:VIS4"/>
    <mergeCell ref="VIT4:VIX4"/>
    <mergeCell ref="VHA4:VHE4"/>
    <mergeCell ref="VHF4:VHJ4"/>
    <mergeCell ref="VHK4:VHO4"/>
    <mergeCell ref="VHP4:VHT4"/>
    <mergeCell ref="VHU4:VHY4"/>
    <mergeCell ref="VGB4:VGF4"/>
    <mergeCell ref="VGG4:VGK4"/>
    <mergeCell ref="VGL4:VGP4"/>
    <mergeCell ref="VGQ4:VGU4"/>
    <mergeCell ref="VGV4:VGZ4"/>
    <mergeCell ref="VFC4:VFG4"/>
    <mergeCell ref="VFH4:VFL4"/>
    <mergeCell ref="VFM4:VFQ4"/>
    <mergeCell ref="VFR4:VFV4"/>
    <mergeCell ref="VFW4:VGA4"/>
    <mergeCell ref="VED4:VEH4"/>
    <mergeCell ref="VEI4:VEM4"/>
    <mergeCell ref="VEN4:VER4"/>
    <mergeCell ref="VES4:VEW4"/>
    <mergeCell ref="VEX4:VFB4"/>
    <mergeCell ref="VDE4:VDI4"/>
    <mergeCell ref="VDJ4:VDN4"/>
    <mergeCell ref="VDO4:VDS4"/>
    <mergeCell ref="VDT4:VDX4"/>
    <mergeCell ref="VDY4:VEC4"/>
    <mergeCell ref="VCF4:VCJ4"/>
    <mergeCell ref="VCK4:VCO4"/>
    <mergeCell ref="VCP4:VCT4"/>
    <mergeCell ref="VCU4:VCY4"/>
    <mergeCell ref="VCZ4:VDD4"/>
    <mergeCell ref="VBG4:VBK4"/>
    <mergeCell ref="VBL4:VBP4"/>
    <mergeCell ref="VBQ4:VBU4"/>
    <mergeCell ref="VBV4:VBZ4"/>
    <mergeCell ref="VCA4:VCE4"/>
    <mergeCell ref="VAH4:VAL4"/>
    <mergeCell ref="VAM4:VAQ4"/>
    <mergeCell ref="VAR4:VAV4"/>
    <mergeCell ref="VAW4:VBA4"/>
    <mergeCell ref="VBB4:VBF4"/>
    <mergeCell ref="UZI4:UZM4"/>
    <mergeCell ref="UZN4:UZR4"/>
    <mergeCell ref="UZS4:UZW4"/>
    <mergeCell ref="UZX4:VAB4"/>
    <mergeCell ref="VAC4:VAG4"/>
    <mergeCell ref="UYJ4:UYN4"/>
    <mergeCell ref="UYO4:UYS4"/>
    <mergeCell ref="UYT4:UYX4"/>
    <mergeCell ref="UYY4:UZC4"/>
    <mergeCell ref="UZD4:UZH4"/>
    <mergeCell ref="UXK4:UXO4"/>
    <mergeCell ref="UXP4:UXT4"/>
    <mergeCell ref="UXU4:UXY4"/>
    <mergeCell ref="UXZ4:UYD4"/>
    <mergeCell ref="UYE4:UYI4"/>
    <mergeCell ref="UWL4:UWP4"/>
    <mergeCell ref="UWQ4:UWU4"/>
    <mergeCell ref="UWV4:UWZ4"/>
    <mergeCell ref="UXA4:UXE4"/>
    <mergeCell ref="UXF4:UXJ4"/>
    <mergeCell ref="UVM4:UVQ4"/>
    <mergeCell ref="UVR4:UVV4"/>
    <mergeCell ref="UVW4:UWA4"/>
    <mergeCell ref="UWB4:UWF4"/>
    <mergeCell ref="UWG4:UWK4"/>
    <mergeCell ref="UUN4:UUR4"/>
    <mergeCell ref="UUS4:UUW4"/>
    <mergeCell ref="UUX4:UVB4"/>
    <mergeCell ref="UVC4:UVG4"/>
    <mergeCell ref="UVH4:UVL4"/>
    <mergeCell ref="UTO4:UTS4"/>
    <mergeCell ref="UTT4:UTX4"/>
    <mergeCell ref="UTY4:UUC4"/>
    <mergeCell ref="UUD4:UUH4"/>
    <mergeCell ref="UUI4:UUM4"/>
    <mergeCell ref="USP4:UST4"/>
    <mergeCell ref="USU4:USY4"/>
    <mergeCell ref="USZ4:UTD4"/>
    <mergeCell ref="UTE4:UTI4"/>
    <mergeCell ref="UTJ4:UTN4"/>
    <mergeCell ref="URQ4:URU4"/>
    <mergeCell ref="URV4:URZ4"/>
    <mergeCell ref="USA4:USE4"/>
    <mergeCell ref="USF4:USJ4"/>
    <mergeCell ref="USK4:USO4"/>
    <mergeCell ref="UQR4:UQV4"/>
    <mergeCell ref="UQW4:URA4"/>
    <mergeCell ref="URB4:URF4"/>
    <mergeCell ref="URG4:URK4"/>
    <mergeCell ref="URL4:URP4"/>
    <mergeCell ref="UPS4:UPW4"/>
    <mergeCell ref="UPX4:UQB4"/>
    <mergeCell ref="UQC4:UQG4"/>
    <mergeCell ref="UQH4:UQL4"/>
    <mergeCell ref="UQM4:UQQ4"/>
    <mergeCell ref="UOT4:UOX4"/>
    <mergeCell ref="UOY4:UPC4"/>
    <mergeCell ref="UPD4:UPH4"/>
    <mergeCell ref="UPI4:UPM4"/>
    <mergeCell ref="UPN4:UPR4"/>
    <mergeCell ref="UNU4:UNY4"/>
    <mergeCell ref="UNZ4:UOD4"/>
    <mergeCell ref="UOE4:UOI4"/>
    <mergeCell ref="UOJ4:UON4"/>
    <mergeCell ref="UOO4:UOS4"/>
    <mergeCell ref="UMV4:UMZ4"/>
    <mergeCell ref="UNA4:UNE4"/>
    <mergeCell ref="UNF4:UNJ4"/>
    <mergeCell ref="UNK4:UNO4"/>
    <mergeCell ref="UNP4:UNT4"/>
    <mergeCell ref="ULW4:UMA4"/>
    <mergeCell ref="UMB4:UMF4"/>
    <mergeCell ref="UMG4:UMK4"/>
    <mergeCell ref="UML4:UMP4"/>
    <mergeCell ref="UMQ4:UMU4"/>
    <mergeCell ref="UKX4:ULB4"/>
    <mergeCell ref="ULC4:ULG4"/>
    <mergeCell ref="ULH4:ULL4"/>
    <mergeCell ref="ULM4:ULQ4"/>
    <mergeCell ref="ULR4:ULV4"/>
    <mergeCell ref="UJY4:UKC4"/>
    <mergeCell ref="UKD4:UKH4"/>
    <mergeCell ref="UKI4:UKM4"/>
    <mergeCell ref="UKN4:UKR4"/>
    <mergeCell ref="UKS4:UKW4"/>
    <mergeCell ref="UIZ4:UJD4"/>
    <mergeCell ref="UJE4:UJI4"/>
    <mergeCell ref="UJJ4:UJN4"/>
    <mergeCell ref="UJO4:UJS4"/>
    <mergeCell ref="UJT4:UJX4"/>
    <mergeCell ref="UIA4:UIE4"/>
    <mergeCell ref="UIF4:UIJ4"/>
    <mergeCell ref="UIK4:UIO4"/>
    <mergeCell ref="UIP4:UIT4"/>
    <mergeCell ref="UIU4:UIY4"/>
    <mergeCell ref="UHB4:UHF4"/>
    <mergeCell ref="UHG4:UHK4"/>
    <mergeCell ref="UHL4:UHP4"/>
    <mergeCell ref="UHQ4:UHU4"/>
    <mergeCell ref="UHV4:UHZ4"/>
    <mergeCell ref="UGC4:UGG4"/>
    <mergeCell ref="UGH4:UGL4"/>
    <mergeCell ref="UGM4:UGQ4"/>
    <mergeCell ref="UGR4:UGV4"/>
    <mergeCell ref="UGW4:UHA4"/>
    <mergeCell ref="UFD4:UFH4"/>
    <mergeCell ref="UFI4:UFM4"/>
    <mergeCell ref="UFN4:UFR4"/>
    <mergeCell ref="UFS4:UFW4"/>
    <mergeCell ref="UFX4:UGB4"/>
    <mergeCell ref="UEE4:UEI4"/>
    <mergeCell ref="UEJ4:UEN4"/>
    <mergeCell ref="UEO4:UES4"/>
    <mergeCell ref="UET4:UEX4"/>
    <mergeCell ref="UEY4:UFC4"/>
    <mergeCell ref="UDF4:UDJ4"/>
    <mergeCell ref="UDK4:UDO4"/>
    <mergeCell ref="UDP4:UDT4"/>
    <mergeCell ref="UDU4:UDY4"/>
    <mergeCell ref="UDZ4:UED4"/>
    <mergeCell ref="UCG4:UCK4"/>
    <mergeCell ref="UCL4:UCP4"/>
    <mergeCell ref="UCQ4:UCU4"/>
    <mergeCell ref="UCV4:UCZ4"/>
    <mergeCell ref="UDA4:UDE4"/>
    <mergeCell ref="UBH4:UBL4"/>
    <mergeCell ref="UBM4:UBQ4"/>
    <mergeCell ref="UBR4:UBV4"/>
    <mergeCell ref="UBW4:UCA4"/>
    <mergeCell ref="UCB4:UCF4"/>
    <mergeCell ref="UAI4:UAM4"/>
    <mergeCell ref="UAN4:UAR4"/>
    <mergeCell ref="UAS4:UAW4"/>
    <mergeCell ref="UAX4:UBB4"/>
    <mergeCell ref="UBC4:UBG4"/>
    <mergeCell ref="TZJ4:TZN4"/>
    <mergeCell ref="TZO4:TZS4"/>
    <mergeCell ref="TZT4:TZX4"/>
    <mergeCell ref="TZY4:UAC4"/>
    <mergeCell ref="UAD4:UAH4"/>
    <mergeCell ref="TYK4:TYO4"/>
    <mergeCell ref="TYP4:TYT4"/>
    <mergeCell ref="TYU4:TYY4"/>
    <mergeCell ref="TYZ4:TZD4"/>
    <mergeCell ref="TZE4:TZI4"/>
    <mergeCell ref="TXL4:TXP4"/>
    <mergeCell ref="TXQ4:TXU4"/>
    <mergeCell ref="TXV4:TXZ4"/>
    <mergeCell ref="TYA4:TYE4"/>
    <mergeCell ref="TYF4:TYJ4"/>
    <mergeCell ref="TWM4:TWQ4"/>
    <mergeCell ref="TWR4:TWV4"/>
    <mergeCell ref="TWW4:TXA4"/>
    <mergeCell ref="TXB4:TXF4"/>
    <mergeCell ref="TXG4:TXK4"/>
    <mergeCell ref="TVN4:TVR4"/>
    <mergeCell ref="TVS4:TVW4"/>
    <mergeCell ref="TVX4:TWB4"/>
    <mergeCell ref="TWC4:TWG4"/>
    <mergeCell ref="TWH4:TWL4"/>
    <mergeCell ref="TUO4:TUS4"/>
    <mergeCell ref="TUT4:TUX4"/>
    <mergeCell ref="TUY4:TVC4"/>
    <mergeCell ref="TVD4:TVH4"/>
    <mergeCell ref="TVI4:TVM4"/>
    <mergeCell ref="TTP4:TTT4"/>
    <mergeCell ref="TTU4:TTY4"/>
    <mergeCell ref="TTZ4:TUD4"/>
    <mergeCell ref="TUE4:TUI4"/>
    <mergeCell ref="TUJ4:TUN4"/>
    <mergeCell ref="TSQ4:TSU4"/>
    <mergeCell ref="TSV4:TSZ4"/>
    <mergeCell ref="TTA4:TTE4"/>
    <mergeCell ref="TTF4:TTJ4"/>
    <mergeCell ref="TTK4:TTO4"/>
    <mergeCell ref="TRR4:TRV4"/>
    <mergeCell ref="TRW4:TSA4"/>
    <mergeCell ref="TSB4:TSF4"/>
    <mergeCell ref="TSG4:TSK4"/>
    <mergeCell ref="TSL4:TSP4"/>
    <mergeCell ref="TQS4:TQW4"/>
    <mergeCell ref="TQX4:TRB4"/>
    <mergeCell ref="TRC4:TRG4"/>
    <mergeCell ref="TRH4:TRL4"/>
    <mergeCell ref="TRM4:TRQ4"/>
    <mergeCell ref="TPT4:TPX4"/>
    <mergeCell ref="TPY4:TQC4"/>
    <mergeCell ref="TQD4:TQH4"/>
    <mergeCell ref="TQI4:TQM4"/>
    <mergeCell ref="TQN4:TQR4"/>
    <mergeCell ref="TOU4:TOY4"/>
    <mergeCell ref="TOZ4:TPD4"/>
    <mergeCell ref="TPE4:TPI4"/>
    <mergeCell ref="TPJ4:TPN4"/>
    <mergeCell ref="TPO4:TPS4"/>
    <mergeCell ref="TNV4:TNZ4"/>
    <mergeCell ref="TOA4:TOE4"/>
    <mergeCell ref="TOF4:TOJ4"/>
    <mergeCell ref="TOK4:TOO4"/>
    <mergeCell ref="TOP4:TOT4"/>
    <mergeCell ref="TMW4:TNA4"/>
    <mergeCell ref="TNB4:TNF4"/>
    <mergeCell ref="TNG4:TNK4"/>
    <mergeCell ref="TNL4:TNP4"/>
    <mergeCell ref="TNQ4:TNU4"/>
    <mergeCell ref="TLX4:TMB4"/>
    <mergeCell ref="TMC4:TMG4"/>
    <mergeCell ref="TMH4:TML4"/>
    <mergeCell ref="TMM4:TMQ4"/>
    <mergeCell ref="TMR4:TMV4"/>
    <mergeCell ref="TKY4:TLC4"/>
    <mergeCell ref="TLD4:TLH4"/>
    <mergeCell ref="TLI4:TLM4"/>
    <mergeCell ref="TLN4:TLR4"/>
    <mergeCell ref="TLS4:TLW4"/>
    <mergeCell ref="TJZ4:TKD4"/>
    <mergeCell ref="TKE4:TKI4"/>
    <mergeCell ref="TKJ4:TKN4"/>
    <mergeCell ref="TKO4:TKS4"/>
    <mergeCell ref="TKT4:TKX4"/>
    <mergeCell ref="TJA4:TJE4"/>
    <mergeCell ref="TJF4:TJJ4"/>
    <mergeCell ref="TJK4:TJO4"/>
    <mergeCell ref="TJP4:TJT4"/>
    <mergeCell ref="TJU4:TJY4"/>
    <mergeCell ref="TIB4:TIF4"/>
    <mergeCell ref="TIG4:TIK4"/>
    <mergeCell ref="TIL4:TIP4"/>
    <mergeCell ref="TIQ4:TIU4"/>
    <mergeCell ref="TIV4:TIZ4"/>
    <mergeCell ref="THC4:THG4"/>
    <mergeCell ref="THH4:THL4"/>
    <mergeCell ref="THM4:THQ4"/>
    <mergeCell ref="THR4:THV4"/>
    <mergeCell ref="THW4:TIA4"/>
    <mergeCell ref="TGD4:TGH4"/>
    <mergeCell ref="TGI4:TGM4"/>
    <mergeCell ref="TGN4:TGR4"/>
    <mergeCell ref="TGS4:TGW4"/>
    <mergeCell ref="TGX4:THB4"/>
    <mergeCell ref="TFE4:TFI4"/>
    <mergeCell ref="TFJ4:TFN4"/>
    <mergeCell ref="TFO4:TFS4"/>
    <mergeCell ref="TFT4:TFX4"/>
    <mergeCell ref="TFY4:TGC4"/>
    <mergeCell ref="TEF4:TEJ4"/>
    <mergeCell ref="TEK4:TEO4"/>
    <mergeCell ref="TEP4:TET4"/>
    <mergeCell ref="TEU4:TEY4"/>
    <mergeCell ref="TEZ4:TFD4"/>
    <mergeCell ref="TDG4:TDK4"/>
    <mergeCell ref="TDL4:TDP4"/>
    <mergeCell ref="TDQ4:TDU4"/>
    <mergeCell ref="TDV4:TDZ4"/>
    <mergeCell ref="TEA4:TEE4"/>
    <mergeCell ref="TCH4:TCL4"/>
    <mergeCell ref="TCM4:TCQ4"/>
    <mergeCell ref="TCR4:TCV4"/>
    <mergeCell ref="TCW4:TDA4"/>
    <mergeCell ref="TDB4:TDF4"/>
    <mergeCell ref="TBI4:TBM4"/>
    <mergeCell ref="TBN4:TBR4"/>
    <mergeCell ref="TBS4:TBW4"/>
    <mergeCell ref="TBX4:TCB4"/>
    <mergeCell ref="TCC4:TCG4"/>
    <mergeCell ref="TAJ4:TAN4"/>
    <mergeCell ref="TAO4:TAS4"/>
    <mergeCell ref="TAT4:TAX4"/>
    <mergeCell ref="TAY4:TBC4"/>
    <mergeCell ref="TBD4:TBH4"/>
    <mergeCell ref="SZK4:SZO4"/>
    <mergeCell ref="SZP4:SZT4"/>
    <mergeCell ref="SZU4:SZY4"/>
    <mergeCell ref="SZZ4:TAD4"/>
    <mergeCell ref="TAE4:TAI4"/>
    <mergeCell ref="SYL4:SYP4"/>
    <mergeCell ref="SYQ4:SYU4"/>
    <mergeCell ref="SYV4:SYZ4"/>
    <mergeCell ref="SZA4:SZE4"/>
    <mergeCell ref="SZF4:SZJ4"/>
    <mergeCell ref="SXM4:SXQ4"/>
    <mergeCell ref="SXR4:SXV4"/>
    <mergeCell ref="SXW4:SYA4"/>
    <mergeCell ref="SYB4:SYF4"/>
    <mergeCell ref="SYG4:SYK4"/>
    <mergeCell ref="SWN4:SWR4"/>
    <mergeCell ref="SWS4:SWW4"/>
    <mergeCell ref="SWX4:SXB4"/>
    <mergeCell ref="SXC4:SXG4"/>
    <mergeCell ref="SXH4:SXL4"/>
    <mergeCell ref="SVO4:SVS4"/>
    <mergeCell ref="SVT4:SVX4"/>
    <mergeCell ref="SVY4:SWC4"/>
    <mergeCell ref="SWD4:SWH4"/>
    <mergeCell ref="SWI4:SWM4"/>
    <mergeCell ref="SUP4:SUT4"/>
    <mergeCell ref="SUU4:SUY4"/>
    <mergeCell ref="SUZ4:SVD4"/>
    <mergeCell ref="SVE4:SVI4"/>
    <mergeCell ref="SVJ4:SVN4"/>
    <mergeCell ref="STQ4:STU4"/>
    <mergeCell ref="STV4:STZ4"/>
    <mergeCell ref="SUA4:SUE4"/>
    <mergeCell ref="SUF4:SUJ4"/>
    <mergeCell ref="SUK4:SUO4"/>
    <mergeCell ref="SSR4:SSV4"/>
    <mergeCell ref="SSW4:STA4"/>
    <mergeCell ref="STB4:STF4"/>
    <mergeCell ref="STG4:STK4"/>
    <mergeCell ref="STL4:STP4"/>
    <mergeCell ref="SRS4:SRW4"/>
    <mergeCell ref="SRX4:SSB4"/>
    <mergeCell ref="SSC4:SSG4"/>
    <mergeCell ref="SSH4:SSL4"/>
    <mergeCell ref="SSM4:SSQ4"/>
    <mergeCell ref="SQT4:SQX4"/>
    <mergeCell ref="SQY4:SRC4"/>
    <mergeCell ref="SRD4:SRH4"/>
    <mergeCell ref="SRI4:SRM4"/>
    <mergeCell ref="SRN4:SRR4"/>
    <mergeCell ref="SPU4:SPY4"/>
    <mergeCell ref="SPZ4:SQD4"/>
    <mergeCell ref="SQE4:SQI4"/>
    <mergeCell ref="SQJ4:SQN4"/>
    <mergeCell ref="SQO4:SQS4"/>
    <mergeCell ref="SOV4:SOZ4"/>
    <mergeCell ref="SPA4:SPE4"/>
    <mergeCell ref="SPF4:SPJ4"/>
    <mergeCell ref="SPK4:SPO4"/>
    <mergeCell ref="SPP4:SPT4"/>
    <mergeCell ref="SNW4:SOA4"/>
    <mergeCell ref="SOB4:SOF4"/>
    <mergeCell ref="SOG4:SOK4"/>
    <mergeCell ref="SOL4:SOP4"/>
    <mergeCell ref="SOQ4:SOU4"/>
    <mergeCell ref="SMX4:SNB4"/>
    <mergeCell ref="SNC4:SNG4"/>
    <mergeCell ref="SNH4:SNL4"/>
    <mergeCell ref="SNM4:SNQ4"/>
    <mergeCell ref="SNR4:SNV4"/>
    <mergeCell ref="SLY4:SMC4"/>
    <mergeCell ref="SMD4:SMH4"/>
    <mergeCell ref="SMI4:SMM4"/>
    <mergeCell ref="SMN4:SMR4"/>
    <mergeCell ref="SMS4:SMW4"/>
    <mergeCell ref="SKZ4:SLD4"/>
    <mergeCell ref="SLE4:SLI4"/>
    <mergeCell ref="SLJ4:SLN4"/>
    <mergeCell ref="SLO4:SLS4"/>
    <mergeCell ref="SLT4:SLX4"/>
    <mergeCell ref="SKA4:SKE4"/>
    <mergeCell ref="SKF4:SKJ4"/>
    <mergeCell ref="SKK4:SKO4"/>
    <mergeCell ref="SKP4:SKT4"/>
    <mergeCell ref="SKU4:SKY4"/>
    <mergeCell ref="SJB4:SJF4"/>
    <mergeCell ref="SJG4:SJK4"/>
    <mergeCell ref="SJL4:SJP4"/>
    <mergeCell ref="SJQ4:SJU4"/>
    <mergeCell ref="SJV4:SJZ4"/>
    <mergeCell ref="SIC4:SIG4"/>
    <mergeCell ref="SIH4:SIL4"/>
    <mergeCell ref="SIM4:SIQ4"/>
    <mergeCell ref="SIR4:SIV4"/>
    <mergeCell ref="SIW4:SJA4"/>
    <mergeCell ref="SHD4:SHH4"/>
    <mergeCell ref="SHI4:SHM4"/>
    <mergeCell ref="SHN4:SHR4"/>
    <mergeCell ref="SHS4:SHW4"/>
    <mergeCell ref="SHX4:SIB4"/>
    <mergeCell ref="SGE4:SGI4"/>
    <mergeCell ref="SGJ4:SGN4"/>
    <mergeCell ref="SGO4:SGS4"/>
    <mergeCell ref="SGT4:SGX4"/>
    <mergeCell ref="SGY4:SHC4"/>
    <mergeCell ref="SFF4:SFJ4"/>
    <mergeCell ref="SFK4:SFO4"/>
    <mergeCell ref="SFP4:SFT4"/>
    <mergeCell ref="SFU4:SFY4"/>
    <mergeCell ref="SFZ4:SGD4"/>
    <mergeCell ref="SEG4:SEK4"/>
    <mergeCell ref="SEL4:SEP4"/>
    <mergeCell ref="SEQ4:SEU4"/>
    <mergeCell ref="SEV4:SEZ4"/>
    <mergeCell ref="SFA4:SFE4"/>
    <mergeCell ref="SDH4:SDL4"/>
    <mergeCell ref="SDM4:SDQ4"/>
    <mergeCell ref="SDR4:SDV4"/>
    <mergeCell ref="SDW4:SEA4"/>
    <mergeCell ref="SEB4:SEF4"/>
    <mergeCell ref="SCI4:SCM4"/>
    <mergeCell ref="SCN4:SCR4"/>
    <mergeCell ref="SCS4:SCW4"/>
    <mergeCell ref="SCX4:SDB4"/>
    <mergeCell ref="SDC4:SDG4"/>
    <mergeCell ref="SBJ4:SBN4"/>
    <mergeCell ref="SBO4:SBS4"/>
    <mergeCell ref="SBT4:SBX4"/>
    <mergeCell ref="SBY4:SCC4"/>
    <mergeCell ref="SCD4:SCH4"/>
    <mergeCell ref="SAK4:SAO4"/>
    <mergeCell ref="SAP4:SAT4"/>
    <mergeCell ref="SAU4:SAY4"/>
    <mergeCell ref="SAZ4:SBD4"/>
    <mergeCell ref="SBE4:SBI4"/>
    <mergeCell ref="RZL4:RZP4"/>
    <mergeCell ref="RZQ4:RZU4"/>
    <mergeCell ref="RZV4:RZZ4"/>
    <mergeCell ref="SAA4:SAE4"/>
    <mergeCell ref="SAF4:SAJ4"/>
    <mergeCell ref="RYM4:RYQ4"/>
    <mergeCell ref="RYR4:RYV4"/>
    <mergeCell ref="RYW4:RZA4"/>
    <mergeCell ref="RZB4:RZF4"/>
    <mergeCell ref="RZG4:RZK4"/>
    <mergeCell ref="RXN4:RXR4"/>
    <mergeCell ref="RXS4:RXW4"/>
    <mergeCell ref="RXX4:RYB4"/>
    <mergeCell ref="RYC4:RYG4"/>
    <mergeCell ref="RYH4:RYL4"/>
    <mergeCell ref="RWO4:RWS4"/>
    <mergeCell ref="RWT4:RWX4"/>
    <mergeCell ref="RWY4:RXC4"/>
    <mergeCell ref="RXD4:RXH4"/>
    <mergeCell ref="RXI4:RXM4"/>
    <mergeCell ref="RVP4:RVT4"/>
    <mergeCell ref="RVU4:RVY4"/>
    <mergeCell ref="RVZ4:RWD4"/>
    <mergeCell ref="RWE4:RWI4"/>
    <mergeCell ref="RWJ4:RWN4"/>
    <mergeCell ref="RUQ4:RUU4"/>
    <mergeCell ref="RUV4:RUZ4"/>
    <mergeCell ref="RVA4:RVE4"/>
    <mergeCell ref="RVF4:RVJ4"/>
    <mergeCell ref="RVK4:RVO4"/>
    <mergeCell ref="RTR4:RTV4"/>
    <mergeCell ref="RTW4:RUA4"/>
    <mergeCell ref="RUB4:RUF4"/>
    <mergeCell ref="RUG4:RUK4"/>
    <mergeCell ref="RUL4:RUP4"/>
    <mergeCell ref="RSS4:RSW4"/>
    <mergeCell ref="RSX4:RTB4"/>
    <mergeCell ref="RTC4:RTG4"/>
    <mergeCell ref="RTH4:RTL4"/>
    <mergeCell ref="RTM4:RTQ4"/>
    <mergeCell ref="RRT4:RRX4"/>
    <mergeCell ref="RRY4:RSC4"/>
    <mergeCell ref="RSD4:RSH4"/>
    <mergeCell ref="RSI4:RSM4"/>
    <mergeCell ref="RSN4:RSR4"/>
    <mergeCell ref="RQU4:RQY4"/>
    <mergeCell ref="RQZ4:RRD4"/>
    <mergeCell ref="RRE4:RRI4"/>
    <mergeCell ref="RRJ4:RRN4"/>
    <mergeCell ref="RRO4:RRS4"/>
    <mergeCell ref="RPV4:RPZ4"/>
    <mergeCell ref="RQA4:RQE4"/>
    <mergeCell ref="RQF4:RQJ4"/>
    <mergeCell ref="RQK4:RQO4"/>
    <mergeCell ref="RQP4:RQT4"/>
    <mergeCell ref="ROW4:RPA4"/>
    <mergeCell ref="RPB4:RPF4"/>
    <mergeCell ref="RPG4:RPK4"/>
    <mergeCell ref="RPL4:RPP4"/>
    <mergeCell ref="RPQ4:RPU4"/>
    <mergeCell ref="RNX4:ROB4"/>
    <mergeCell ref="ROC4:ROG4"/>
    <mergeCell ref="ROH4:ROL4"/>
    <mergeCell ref="ROM4:ROQ4"/>
    <mergeCell ref="ROR4:ROV4"/>
    <mergeCell ref="RMY4:RNC4"/>
    <mergeCell ref="RND4:RNH4"/>
    <mergeCell ref="RNI4:RNM4"/>
    <mergeCell ref="RNN4:RNR4"/>
    <mergeCell ref="RNS4:RNW4"/>
    <mergeCell ref="RLZ4:RMD4"/>
    <mergeCell ref="RME4:RMI4"/>
    <mergeCell ref="RMJ4:RMN4"/>
    <mergeCell ref="RMO4:RMS4"/>
    <mergeCell ref="RMT4:RMX4"/>
    <mergeCell ref="RLA4:RLE4"/>
    <mergeCell ref="RLF4:RLJ4"/>
    <mergeCell ref="RLK4:RLO4"/>
    <mergeCell ref="RLP4:RLT4"/>
    <mergeCell ref="RLU4:RLY4"/>
    <mergeCell ref="RKB4:RKF4"/>
    <mergeCell ref="RKG4:RKK4"/>
    <mergeCell ref="RKL4:RKP4"/>
    <mergeCell ref="RKQ4:RKU4"/>
    <mergeCell ref="RKV4:RKZ4"/>
    <mergeCell ref="RJC4:RJG4"/>
    <mergeCell ref="RJH4:RJL4"/>
    <mergeCell ref="RJM4:RJQ4"/>
    <mergeCell ref="RJR4:RJV4"/>
    <mergeCell ref="RJW4:RKA4"/>
    <mergeCell ref="RID4:RIH4"/>
    <mergeCell ref="RII4:RIM4"/>
    <mergeCell ref="RIN4:RIR4"/>
    <mergeCell ref="RIS4:RIW4"/>
    <mergeCell ref="RIX4:RJB4"/>
    <mergeCell ref="RHE4:RHI4"/>
    <mergeCell ref="RHJ4:RHN4"/>
    <mergeCell ref="RHO4:RHS4"/>
    <mergeCell ref="RHT4:RHX4"/>
    <mergeCell ref="RHY4:RIC4"/>
    <mergeCell ref="RGF4:RGJ4"/>
    <mergeCell ref="RGK4:RGO4"/>
    <mergeCell ref="RGP4:RGT4"/>
    <mergeCell ref="RGU4:RGY4"/>
    <mergeCell ref="RGZ4:RHD4"/>
    <mergeCell ref="RFG4:RFK4"/>
    <mergeCell ref="RFL4:RFP4"/>
    <mergeCell ref="RFQ4:RFU4"/>
    <mergeCell ref="RFV4:RFZ4"/>
    <mergeCell ref="RGA4:RGE4"/>
    <mergeCell ref="REH4:REL4"/>
    <mergeCell ref="REM4:REQ4"/>
    <mergeCell ref="RER4:REV4"/>
    <mergeCell ref="REW4:RFA4"/>
    <mergeCell ref="RFB4:RFF4"/>
    <mergeCell ref="RDI4:RDM4"/>
    <mergeCell ref="RDN4:RDR4"/>
    <mergeCell ref="RDS4:RDW4"/>
    <mergeCell ref="RDX4:REB4"/>
    <mergeCell ref="REC4:REG4"/>
    <mergeCell ref="RCJ4:RCN4"/>
    <mergeCell ref="RCO4:RCS4"/>
    <mergeCell ref="RCT4:RCX4"/>
    <mergeCell ref="RCY4:RDC4"/>
    <mergeCell ref="RDD4:RDH4"/>
    <mergeCell ref="RBK4:RBO4"/>
    <mergeCell ref="RBP4:RBT4"/>
    <mergeCell ref="RBU4:RBY4"/>
    <mergeCell ref="RBZ4:RCD4"/>
    <mergeCell ref="RCE4:RCI4"/>
    <mergeCell ref="RAL4:RAP4"/>
    <mergeCell ref="RAQ4:RAU4"/>
    <mergeCell ref="RAV4:RAZ4"/>
    <mergeCell ref="RBA4:RBE4"/>
    <mergeCell ref="RBF4:RBJ4"/>
    <mergeCell ref="QZM4:QZQ4"/>
    <mergeCell ref="QZR4:QZV4"/>
    <mergeCell ref="QZW4:RAA4"/>
    <mergeCell ref="RAB4:RAF4"/>
    <mergeCell ref="RAG4:RAK4"/>
    <mergeCell ref="QYN4:QYR4"/>
    <mergeCell ref="QYS4:QYW4"/>
    <mergeCell ref="QYX4:QZB4"/>
    <mergeCell ref="QZC4:QZG4"/>
    <mergeCell ref="QZH4:QZL4"/>
    <mergeCell ref="QXO4:QXS4"/>
    <mergeCell ref="QXT4:QXX4"/>
    <mergeCell ref="QXY4:QYC4"/>
    <mergeCell ref="QYD4:QYH4"/>
    <mergeCell ref="QYI4:QYM4"/>
    <mergeCell ref="QWP4:QWT4"/>
    <mergeCell ref="QWU4:QWY4"/>
    <mergeCell ref="QWZ4:QXD4"/>
    <mergeCell ref="QXE4:QXI4"/>
    <mergeCell ref="QXJ4:QXN4"/>
    <mergeCell ref="QVQ4:QVU4"/>
    <mergeCell ref="QVV4:QVZ4"/>
    <mergeCell ref="QWA4:QWE4"/>
    <mergeCell ref="QWF4:QWJ4"/>
    <mergeCell ref="QWK4:QWO4"/>
    <mergeCell ref="QUR4:QUV4"/>
    <mergeCell ref="QUW4:QVA4"/>
    <mergeCell ref="QVB4:QVF4"/>
    <mergeCell ref="QVG4:QVK4"/>
    <mergeCell ref="QVL4:QVP4"/>
    <mergeCell ref="QTS4:QTW4"/>
    <mergeCell ref="QTX4:QUB4"/>
    <mergeCell ref="QUC4:QUG4"/>
    <mergeCell ref="QUH4:QUL4"/>
    <mergeCell ref="QUM4:QUQ4"/>
    <mergeCell ref="QST4:QSX4"/>
    <mergeCell ref="QSY4:QTC4"/>
    <mergeCell ref="QTD4:QTH4"/>
    <mergeCell ref="QTI4:QTM4"/>
    <mergeCell ref="QTN4:QTR4"/>
    <mergeCell ref="QRU4:QRY4"/>
    <mergeCell ref="QRZ4:QSD4"/>
    <mergeCell ref="QSE4:QSI4"/>
    <mergeCell ref="QSJ4:QSN4"/>
    <mergeCell ref="QSO4:QSS4"/>
    <mergeCell ref="QQV4:QQZ4"/>
    <mergeCell ref="QRA4:QRE4"/>
    <mergeCell ref="QRF4:QRJ4"/>
    <mergeCell ref="QRK4:QRO4"/>
    <mergeCell ref="QRP4:QRT4"/>
    <mergeCell ref="QPW4:QQA4"/>
    <mergeCell ref="QQB4:QQF4"/>
    <mergeCell ref="QQG4:QQK4"/>
    <mergeCell ref="QQL4:QQP4"/>
    <mergeCell ref="QQQ4:QQU4"/>
    <mergeCell ref="QOX4:QPB4"/>
    <mergeCell ref="QPC4:QPG4"/>
    <mergeCell ref="QPH4:QPL4"/>
    <mergeCell ref="QPM4:QPQ4"/>
    <mergeCell ref="QPR4:QPV4"/>
    <mergeCell ref="QNY4:QOC4"/>
    <mergeCell ref="QOD4:QOH4"/>
    <mergeCell ref="QOI4:QOM4"/>
    <mergeCell ref="QON4:QOR4"/>
    <mergeCell ref="QOS4:QOW4"/>
    <mergeCell ref="QMZ4:QND4"/>
    <mergeCell ref="QNE4:QNI4"/>
    <mergeCell ref="QNJ4:QNN4"/>
    <mergeCell ref="QNO4:QNS4"/>
    <mergeCell ref="QNT4:QNX4"/>
    <mergeCell ref="QMA4:QME4"/>
    <mergeCell ref="QMF4:QMJ4"/>
    <mergeCell ref="QMK4:QMO4"/>
    <mergeCell ref="QMP4:QMT4"/>
    <mergeCell ref="QMU4:QMY4"/>
    <mergeCell ref="QLB4:QLF4"/>
    <mergeCell ref="QLG4:QLK4"/>
    <mergeCell ref="QLL4:QLP4"/>
    <mergeCell ref="QLQ4:QLU4"/>
    <mergeCell ref="QLV4:QLZ4"/>
    <mergeCell ref="QKC4:QKG4"/>
    <mergeCell ref="QKH4:QKL4"/>
    <mergeCell ref="QKM4:QKQ4"/>
    <mergeCell ref="QKR4:QKV4"/>
    <mergeCell ref="QKW4:QLA4"/>
    <mergeCell ref="QJD4:QJH4"/>
    <mergeCell ref="QJI4:QJM4"/>
    <mergeCell ref="QJN4:QJR4"/>
    <mergeCell ref="QJS4:QJW4"/>
    <mergeCell ref="QJX4:QKB4"/>
    <mergeCell ref="QIE4:QII4"/>
    <mergeCell ref="QIJ4:QIN4"/>
    <mergeCell ref="QIO4:QIS4"/>
    <mergeCell ref="QIT4:QIX4"/>
    <mergeCell ref="QIY4:QJC4"/>
    <mergeCell ref="QHF4:QHJ4"/>
    <mergeCell ref="QHK4:QHO4"/>
    <mergeCell ref="QHP4:QHT4"/>
    <mergeCell ref="QHU4:QHY4"/>
    <mergeCell ref="QHZ4:QID4"/>
    <mergeCell ref="QGG4:QGK4"/>
    <mergeCell ref="QGL4:QGP4"/>
    <mergeCell ref="QGQ4:QGU4"/>
    <mergeCell ref="QGV4:QGZ4"/>
    <mergeCell ref="QHA4:QHE4"/>
    <mergeCell ref="QFH4:QFL4"/>
    <mergeCell ref="QFM4:QFQ4"/>
    <mergeCell ref="QFR4:QFV4"/>
    <mergeCell ref="QFW4:QGA4"/>
    <mergeCell ref="QGB4:QGF4"/>
    <mergeCell ref="QEI4:QEM4"/>
    <mergeCell ref="QEN4:QER4"/>
    <mergeCell ref="QES4:QEW4"/>
    <mergeCell ref="QEX4:QFB4"/>
    <mergeCell ref="QFC4:QFG4"/>
    <mergeCell ref="QDJ4:QDN4"/>
    <mergeCell ref="QDO4:QDS4"/>
    <mergeCell ref="QDT4:QDX4"/>
    <mergeCell ref="QDY4:QEC4"/>
    <mergeCell ref="QED4:QEH4"/>
    <mergeCell ref="QCK4:QCO4"/>
    <mergeCell ref="QCP4:QCT4"/>
    <mergeCell ref="QCU4:QCY4"/>
    <mergeCell ref="QCZ4:QDD4"/>
    <mergeCell ref="QDE4:QDI4"/>
    <mergeCell ref="QBL4:QBP4"/>
    <mergeCell ref="QBQ4:QBU4"/>
    <mergeCell ref="QBV4:QBZ4"/>
    <mergeCell ref="QCA4:QCE4"/>
    <mergeCell ref="QCF4:QCJ4"/>
    <mergeCell ref="QAM4:QAQ4"/>
    <mergeCell ref="QAR4:QAV4"/>
    <mergeCell ref="QAW4:QBA4"/>
    <mergeCell ref="QBB4:QBF4"/>
    <mergeCell ref="QBG4:QBK4"/>
    <mergeCell ref="PZN4:PZR4"/>
    <mergeCell ref="PZS4:PZW4"/>
    <mergeCell ref="PZX4:QAB4"/>
    <mergeCell ref="QAC4:QAG4"/>
    <mergeCell ref="QAH4:QAL4"/>
    <mergeCell ref="PYO4:PYS4"/>
    <mergeCell ref="PYT4:PYX4"/>
    <mergeCell ref="PYY4:PZC4"/>
    <mergeCell ref="PZD4:PZH4"/>
    <mergeCell ref="PZI4:PZM4"/>
    <mergeCell ref="PXP4:PXT4"/>
    <mergeCell ref="PXU4:PXY4"/>
    <mergeCell ref="PXZ4:PYD4"/>
    <mergeCell ref="PYE4:PYI4"/>
    <mergeCell ref="PYJ4:PYN4"/>
    <mergeCell ref="PWQ4:PWU4"/>
    <mergeCell ref="PWV4:PWZ4"/>
    <mergeCell ref="PXA4:PXE4"/>
    <mergeCell ref="PXF4:PXJ4"/>
    <mergeCell ref="PXK4:PXO4"/>
    <mergeCell ref="PVR4:PVV4"/>
    <mergeCell ref="PVW4:PWA4"/>
    <mergeCell ref="PWB4:PWF4"/>
    <mergeCell ref="PWG4:PWK4"/>
    <mergeCell ref="PWL4:PWP4"/>
    <mergeCell ref="PUS4:PUW4"/>
    <mergeCell ref="PUX4:PVB4"/>
    <mergeCell ref="PVC4:PVG4"/>
    <mergeCell ref="PVH4:PVL4"/>
    <mergeCell ref="PVM4:PVQ4"/>
    <mergeCell ref="PTT4:PTX4"/>
    <mergeCell ref="PTY4:PUC4"/>
    <mergeCell ref="PUD4:PUH4"/>
    <mergeCell ref="PUI4:PUM4"/>
    <mergeCell ref="PUN4:PUR4"/>
    <mergeCell ref="PSU4:PSY4"/>
    <mergeCell ref="PSZ4:PTD4"/>
    <mergeCell ref="PTE4:PTI4"/>
    <mergeCell ref="PTJ4:PTN4"/>
    <mergeCell ref="PTO4:PTS4"/>
    <mergeCell ref="PRV4:PRZ4"/>
    <mergeCell ref="PSA4:PSE4"/>
    <mergeCell ref="PSF4:PSJ4"/>
    <mergeCell ref="PSK4:PSO4"/>
    <mergeCell ref="PSP4:PST4"/>
    <mergeCell ref="PQW4:PRA4"/>
    <mergeCell ref="PRB4:PRF4"/>
    <mergeCell ref="PRG4:PRK4"/>
    <mergeCell ref="PRL4:PRP4"/>
    <mergeCell ref="PRQ4:PRU4"/>
    <mergeCell ref="PPX4:PQB4"/>
    <mergeCell ref="PQC4:PQG4"/>
    <mergeCell ref="PQH4:PQL4"/>
    <mergeCell ref="PQM4:PQQ4"/>
    <mergeCell ref="PQR4:PQV4"/>
    <mergeCell ref="POY4:PPC4"/>
    <mergeCell ref="PPD4:PPH4"/>
    <mergeCell ref="PPI4:PPM4"/>
    <mergeCell ref="PPN4:PPR4"/>
    <mergeCell ref="PPS4:PPW4"/>
    <mergeCell ref="PNZ4:POD4"/>
    <mergeCell ref="POE4:POI4"/>
    <mergeCell ref="POJ4:PON4"/>
    <mergeCell ref="POO4:POS4"/>
    <mergeCell ref="POT4:POX4"/>
    <mergeCell ref="PNA4:PNE4"/>
    <mergeCell ref="PNF4:PNJ4"/>
    <mergeCell ref="PNK4:PNO4"/>
    <mergeCell ref="PNP4:PNT4"/>
    <mergeCell ref="PNU4:PNY4"/>
    <mergeCell ref="PMB4:PMF4"/>
    <mergeCell ref="PMG4:PMK4"/>
    <mergeCell ref="PML4:PMP4"/>
    <mergeCell ref="PMQ4:PMU4"/>
    <mergeCell ref="PMV4:PMZ4"/>
    <mergeCell ref="PLC4:PLG4"/>
    <mergeCell ref="PLH4:PLL4"/>
    <mergeCell ref="PLM4:PLQ4"/>
    <mergeCell ref="PLR4:PLV4"/>
    <mergeCell ref="PLW4:PMA4"/>
    <mergeCell ref="PKD4:PKH4"/>
    <mergeCell ref="PKI4:PKM4"/>
    <mergeCell ref="PKN4:PKR4"/>
    <mergeCell ref="PKS4:PKW4"/>
    <mergeCell ref="PKX4:PLB4"/>
    <mergeCell ref="PJE4:PJI4"/>
    <mergeCell ref="PJJ4:PJN4"/>
    <mergeCell ref="PJO4:PJS4"/>
    <mergeCell ref="PJT4:PJX4"/>
    <mergeCell ref="PJY4:PKC4"/>
    <mergeCell ref="PIF4:PIJ4"/>
    <mergeCell ref="PIK4:PIO4"/>
    <mergeCell ref="PIP4:PIT4"/>
    <mergeCell ref="PIU4:PIY4"/>
    <mergeCell ref="PIZ4:PJD4"/>
    <mergeCell ref="PHG4:PHK4"/>
    <mergeCell ref="PHL4:PHP4"/>
    <mergeCell ref="PHQ4:PHU4"/>
    <mergeCell ref="PHV4:PHZ4"/>
    <mergeCell ref="PIA4:PIE4"/>
    <mergeCell ref="PGH4:PGL4"/>
    <mergeCell ref="PGM4:PGQ4"/>
    <mergeCell ref="PGR4:PGV4"/>
    <mergeCell ref="PGW4:PHA4"/>
    <mergeCell ref="PHB4:PHF4"/>
    <mergeCell ref="PFI4:PFM4"/>
    <mergeCell ref="PFN4:PFR4"/>
    <mergeCell ref="PFS4:PFW4"/>
    <mergeCell ref="PFX4:PGB4"/>
    <mergeCell ref="PGC4:PGG4"/>
    <mergeCell ref="PEJ4:PEN4"/>
    <mergeCell ref="PEO4:PES4"/>
    <mergeCell ref="PET4:PEX4"/>
    <mergeCell ref="PEY4:PFC4"/>
    <mergeCell ref="PFD4:PFH4"/>
    <mergeCell ref="PDK4:PDO4"/>
    <mergeCell ref="PDP4:PDT4"/>
    <mergeCell ref="PDU4:PDY4"/>
    <mergeCell ref="PDZ4:PED4"/>
    <mergeCell ref="PEE4:PEI4"/>
    <mergeCell ref="PCL4:PCP4"/>
    <mergeCell ref="PCQ4:PCU4"/>
    <mergeCell ref="PCV4:PCZ4"/>
    <mergeCell ref="PDA4:PDE4"/>
    <mergeCell ref="PDF4:PDJ4"/>
    <mergeCell ref="PBM4:PBQ4"/>
    <mergeCell ref="PBR4:PBV4"/>
    <mergeCell ref="PBW4:PCA4"/>
    <mergeCell ref="PCB4:PCF4"/>
    <mergeCell ref="PCG4:PCK4"/>
    <mergeCell ref="PAN4:PAR4"/>
    <mergeCell ref="PAS4:PAW4"/>
    <mergeCell ref="PAX4:PBB4"/>
    <mergeCell ref="PBC4:PBG4"/>
    <mergeCell ref="PBH4:PBL4"/>
    <mergeCell ref="OZO4:OZS4"/>
    <mergeCell ref="OZT4:OZX4"/>
    <mergeCell ref="OZY4:PAC4"/>
    <mergeCell ref="PAD4:PAH4"/>
    <mergeCell ref="PAI4:PAM4"/>
    <mergeCell ref="OYP4:OYT4"/>
    <mergeCell ref="OYU4:OYY4"/>
    <mergeCell ref="OYZ4:OZD4"/>
    <mergeCell ref="OZE4:OZI4"/>
    <mergeCell ref="OZJ4:OZN4"/>
    <mergeCell ref="OXQ4:OXU4"/>
    <mergeCell ref="OXV4:OXZ4"/>
    <mergeCell ref="OYA4:OYE4"/>
    <mergeCell ref="OYF4:OYJ4"/>
    <mergeCell ref="OYK4:OYO4"/>
    <mergeCell ref="OWR4:OWV4"/>
    <mergeCell ref="OWW4:OXA4"/>
    <mergeCell ref="OXB4:OXF4"/>
    <mergeCell ref="OXG4:OXK4"/>
    <mergeCell ref="OXL4:OXP4"/>
    <mergeCell ref="OVS4:OVW4"/>
    <mergeCell ref="OVX4:OWB4"/>
    <mergeCell ref="OWC4:OWG4"/>
    <mergeCell ref="OWH4:OWL4"/>
    <mergeCell ref="OWM4:OWQ4"/>
    <mergeCell ref="OUT4:OUX4"/>
    <mergeCell ref="OUY4:OVC4"/>
    <mergeCell ref="OVD4:OVH4"/>
    <mergeCell ref="OVI4:OVM4"/>
    <mergeCell ref="OVN4:OVR4"/>
    <mergeCell ref="OTU4:OTY4"/>
    <mergeCell ref="OTZ4:OUD4"/>
    <mergeCell ref="OUE4:OUI4"/>
    <mergeCell ref="OUJ4:OUN4"/>
    <mergeCell ref="OUO4:OUS4"/>
    <mergeCell ref="OSV4:OSZ4"/>
    <mergeCell ref="OTA4:OTE4"/>
    <mergeCell ref="OTF4:OTJ4"/>
    <mergeCell ref="OTK4:OTO4"/>
    <mergeCell ref="OTP4:OTT4"/>
    <mergeCell ref="ORW4:OSA4"/>
    <mergeCell ref="OSB4:OSF4"/>
    <mergeCell ref="OSG4:OSK4"/>
    <mergeCell ref="OSL4:OSP4"/>
    <mergeCell ref="OSQ4:OSU4"/>
    <mergeCell ref="OQX4:ORB4"/>
    <mergeCell ref="ORC4:ORG4"/>
    <mergeCell ref="ORH4:ORL4"/>
    <mergeCell ref="ORM4:ORQ4"/>
    <mergeCell ref="ORR4:ORV4"/>
    <mergeCell ref="OPY4:OQC4"/>
    <mergeCell ref="OQD4:OQH4"/>
    <mergeCell ref="OQI4:OQM4"/>
    <mergeCell ref="OQN4:OQR4"/>
    <mergeCell ref="OQS4:OQW4"/>
    <mergeCell ref="OOZ4:OPD4"/>
    <mergeCell ref="OPE4:OPI4"/>
    <mergeCell ref="OPJ4:OPN4"/>
    <mergeCell ref="OPO4:OPS4"/>
    <mergeCell ref="OPT4:OPX4"/>
    <mergeCell ref="OOA4:OOE4"/>
    <mergeCell ref="OOF4:OOJ4"/>
    <mergeCell ref="OOK4:OOO4"/>
    <mergeCell ref="OOP4:OOT4"/>
    <mergeCell ref="OOU4:OOY4"/>
    <mergeCell ref="ONB4:ONF4"/>
    <mergeCell ref="ONG4:ONK4"/>
    <mergeCell ref="ONL4:ONP4"/>
    <mergeCell ref="ONQ4:ONU4"/>
    <mergeCell ref="ONV4:ONZ4"/>
    <mergeCell ref="OMC4:OMG4"/>
    <mergeCell ref="OMH4:OML4"/>
    <mergeCell ref="OMM4:OMQ4"/>
    <mergeCell ref="OMR4:OMV4"/>
    <mergeCell ref="OMW4:ONA4"/>
    <mergeCell ref="OLD4:OLH4"/>
    <mergeCell ref="OLI4:OLM4"/>
    <mergeCell ref="OLN4:OLR4"/>
    <mergeCell ref="OLS4:OLW4"/>
    <mergeCell ref="OLX4:OMB4"/>
    <mergeCell ref="OKE4:OKI4"/>
    <mergeCell ref="OKJ4:OKN4"/>
    <mergeCell ref="OKO4:OKS4"/>
    <mergeCell ref="OKT4:OKX4"/>
    <mergeCell ref="OKY4:OLC4"/>
    <mergeCell ref="OJF4:OJJ4"/>
    <mergeCell ref="OJK4:OJO4"/>
    <mergeCell ref="OJP4:OJT4"/>
    <mergeCell ref="OJU4:OJY4"/>
    <mergeCell ref="OJZ4:OKD4"/>
    <mergeCell ref="OIG4:OIK4"/>
    <mergeCell ref="OIL4:OIP4"/>
    <mergeCell ref="OIQ4:OIU4"/>
    <mergeCell ref="OIV4:OIZ4"/>
    <mergeCell ref="OJA4:OJE4"/>
    <mergeCell ref="OHH4:OHL4"/>
    <mergeCell ref="OHM4:OHQ4"/>
    <mergeCell ref="OHR4:OHV4"/>
    <mergeCell ref="OHW4:OIA4"/>
    <mergeCell ref="OIB4:OIF4"/>
    <mergeCell ref="OGI4:OGM4"/>
    <mergeCell ref="OGN4:OGR4"/>
    <mergeCell ref="OGS4:OGW4"/>
    <mergeCell ref="OGX4:OHB4"/>
    <mergeCell ref="OHC4:OHG4"/>
    <mergeCell ref="OFJ4:OFN4"/>
    <mergeCell ref="OFO4:OFS4"/>
    <mergeCell ref="OFT4:OFX4"/>
    <mergeCell ref="OFY4:OGC4"/>
    <mergeCell ref="OGD4:OGH4"/>
    <mergeCell ref="OEK4:OEO4"/>
    <mergeCell ref="OEP4:OET4"/>
    <mergeCell ref="OEU4:OEY4"/>
    <mergeCell ref="OEZ4:OFD4"/>
    <mergeCell ref="OFE4:OFI4"/>
    <mergeCell ref="ODL4:ODP4"/>
    <mergeCell ref="ODQ4:ODU4"/>
    <mergeCell ref="ODV4:ODZ4"/>
    <mergeCell ref="OEA4:OEE4"/>
    <mergeCell ref="OEF4:OEJ4"/>
    <mergeCell ref="OCM4:OCQ4"/>
    <mergeCell ref="OCR4:OCV4"/>
    <mergeCell ref="OCW4:ODA4"/>
    <mergeCell ref="ODB4:ODF4"/>
    <mergeCell ref="ODG4:ODK4"/>
    <mergeCell ref="OBN4:OBR4"/>
    <mergeCell ref="OBS4:OBW4"/>
    <mergeCell ref="OBX4:OCB4"/>
    <mergeCell ref="OCC4:OCG4"/>
    <mergeCell ref="OCH4:OCL4"/>
    <mergeCell ref="OAO4:OAS4"/>
    <mergeCell ref="OAT4:OAX4"/>
    <mergeCell ref="OAY4:OBC4"/>
    <mergeCell ref="OBD4:OBH4"/>
    <mergeCell ref="OBI4:OBM4"/>
    <mergeCell ref="NZP4:NZT4"/>
    <mergeCell ref="NZU4:NZY4"/>
    <mergeCell ref="NZZ4:OAD4"/>
    <mergeCell ref="OAE4:OAI4"/>
    <mergeCell ref="OAJ4:OAN4"/>
    <mergeCell ref="NYQ4:NYU4"/>
    <mergeCell ref="NYV4:NYZ4"/>
    <mergeCell ref="NZA4:NZE4"/>
    <mergeCell ref="NZF4:NZJ4"/>
    <mergeCell ref="NZK4:NZO4"/>
    <mergeCell ref="NXR4:NXV4"/>
    <mergeCell ref="NXW4:NYA4"/>
    <mergeCell ref="NYB4:NYF4"/>
    <mergeCell ref="NYG4:NYK4"/>
    <mergeCell ref="NYL4:NYP4"/>
    <mergeCell ref="NWS4:NWW4"/>
    <mergeCell ref="NWX4:NXB4"/>
    <mergeCell ref="NXC4:NXG4"/>
    <mergeCell ref="NXH4:NXL4"/>
    <mergeCell ref="NXM4:NXQ4"/>
    <mergeCell ref="NVT4:NVX4"/>
    <mergeCell ref="NVY4:NWC4"/>
    <mergeCell ref="NWD4:NWH4"/>
    <mergeCell ref="NWI4:NWM4"/>
    <mergeCell ref="NWN4:NWR4"/>
    <mergeCell ref="NUU4:NUY4"/>
    <mergeCell ref="NUZ4:NVD4"/>
    <mergeCell ref="NVE4:NVI4"/>
    <mergeCell ref="NVJ4:NVN4"/>
    <mergeCell ref="NVO4:NVS4"/>
    <mergeCell ref="NTV4:NTZ4"/>
    <mergeCell ref="NUA4:NUE4"/>
    <mergeCell ref="NUF4:NUJ4"/>
    <mergeCell ref="NUK4:NUO4"/>
    <mergeCell ref="NUP4:NUT4"/>
    <mergeCell ref="NSW4:NTA4"/>
    <mergeCell ref="NTB4:NTF4"/>
    <mergeCell ref="NTG4:NTK4"/>
    <mergeCell ref="NTL4:NTP4"/>
    <mergeCell ref="NTQ4:NTU4"/>
    <mergeCell ref="NRX4:NSB4"/>
    <mergeCell ref="NSC4:NSG4"/>
    <mergeCell ref="NSH4:NSL4"/>
    <mergeCell ref="NSM4:NSQ4"/>
    <mergeCell ref="NSR4:NSV4"/>
    <mergeCell ref="NQY4:NRC4"/>
    <mergeCell ref="NRD4:NRH4"/>
    <mergeCell ref="NRI4:NRM4"/>
    <mergeCell ref="NRN4:NRR4"/>
    <mergeCell ref="NRS4:NRW4"/>
    <mergeCell ref="NPZ4:NQD4"/>
    <mergeCell ref="NQE4:NQI4"/>
    <mergeCell ref="NQJ4:NQN4"/>
    <mergeCell ref="NQO4:NQS4"/>
    <mergeCell ref="NQT4:NQX4"/>
    <mergeCell ref="NPA4:NPE4"/>
    <mergeCell ref="NPF4:NPJ4"/>
    <mergeCell ref="NPK4:NPO4"/>
    <mergeCell ref="NPP4:NPT4"/>
    <mergeCell ref="NPU4:NPY4"/>
    <mergeCell ref="NOB4:NOF4"/>
    <mergeCell ref="NOG4:NOK4"/>
    <mergeCell ref="NOL4:NOP4"/>
    <mergeCell ref="NOQ4:NOU4"/>
    <mergeCell ref="NOV4:NOZ4"/>
    <mergeCell ref="NNC4:NNG4"/>
    <mergeCell ref="NNH4:NNL4"/>
    <mergeCell ref="NNM4:NNQ4"/>
    <mergeCell ref="NNR4:NNV4"/>
    <mergeCell ref="NNW4:NOA4"/>
    <mergeCell ref="NMD4:NMH4"/>
    <mergeCell ref="NMI4:NMM4"/>
    <mergeCell ref="NMN4:NMR4"/>
    <mergeCell ref="NMS4:NMW4"/>
    <mergeCell ref="NMX4:NNB4"/>
    <mergeCell ref="NLE4:NLI4"/>
    <mergeCell ref="NLJ4:NLN4"/>
    <mergeCell ref="NLO4:NLS4"/>
    <mergeCell ref="NLT4:NLX4"/>
    <mergeCell ref="NLY4:NMC4"/>
    <mergeCell ref="NKF4:NKJ4"/>
    <mergeCell ref="NKK4:NKO4"/>
    <mergeCell ref="NKP4:NKT4"/>
    <mergeCell ref="NKU4:NKY4"/>
    <mergeCell ref="NKZ4:NLD4"/>
    <mergeCell ref="NJG4:NJK4"/>
    <mergeCell ref="NJL4:NJP4"/>
    <mergeCell ref="NJQ4:NJU4"/>
    <mergeCell ref="NJV4:NJZ4"/>
    <mergeCell ref="NKA4:NKE4"/>
    <mergeCell ref="NIH4:NIL4"/>
    <mergeCell ref="NIM4:NIQ4"/>
    <mergeCell ref="NIR4:NIV4"/>
    <mergeCell ref="NIW4:NJA4"/>
    <mergeCell ref="NJB4:NJF4"/>
    <mergeCell ref="NHI4:NHM4"/>
    <mergeCell ref="NHN4:NHR4"/>
    <mergeCell ref="NHS4:NHW4"/>
    <mergeCell ref="NHX4:NIB4"/>
    <mergeCell ref="NIC4:NIG4"/>
    <mergeCell ref="NGJ4:NGN4"/>
    <mergeCell ref="NGO4:NGS4"/>
    <mergeCell ref="NGT4:NGX4"/>
    <mergeCell ref="NGY4:NHC4"/>
    <mergeCell ref="NHD4:NHH4"/>
    <mergeCell ref="NFK4:NFO4"/>
    <mergeCell ref="NFP4:NFT4"/>
    <mergeCell ref="NFU4:NFY4"/>
    <mergeCell ref="NFZ4:NGD4"/>
    <mergeCell ref="NGE4:NGI4"/>
    <mergeCell ref="NEL4:NEP4"/>
    <mergeCell ref="NEQ4:NEU4"/>
    <mergeCell ref="NEV4:NEZ4"/>
    <mergeCell ref="NFA4:NFE4"/>
    <mergeCell ref="NFF4:NFJ4"/>
    <mergeCell ref="NDM4:NDQ4"/>
    <mergeCell ref="NDR4:NDV4"/>
    <mergeCell ref="NDW4:NEA4"/>
    <mergeCell ref="NEB4:NEF4"/>
    <mergeCell ref="NEG4:NEK4"/>
    <mergeCell ref="NCN4:NCR4"/>
    <mergeCell ref="NCS4:NCW4"/>
    <mergeCell ref="NCX4:NDB4"/>
    <mergeCell ref="NDC4:NDG4"/>
    <mergeCell ref="NDH4:NDL4"/>
    <mergeCell ref="NBO4:NBS4"/>
    <mergeCell ref="NBT4:NBX4"/>
    <mergeCell ref="NBY4:NCC4"/>
    <mergeCell ref="NCD4:NCH4"/>
    <mergeCell ref="NCI4:NCM4"/>
    <mergeCell ref="NAP4:NAT4"/>
    <mergeCell ref="NAU4:NAY4"/>
    <mergeCell ref="NAZ4:NBD4"/>
    <mergeCell ref="NBE4:NBI4"/>
    <mergeCell ref="NBJ4:NBN4"/>
    <mergeCell ref="MZQ4:MZU4"/>
    <mergeCell ref="MZV4:MZZ4"/>
    <mergeCell ref="NAA4:NAE4"/>
    <mergeCell ref="NAF4:NAJ4"/>
    <mergeCell ref="NAK4:NAO4"/>
    <mergeCell ref="MYR4:MYV4"/>
    <mergeCell ref="MYW4:MZA4"/>
    <mergeCell ref="MZB4:MZF4"/>
    <mergeCell ref="MZG4:MZK4"/>
    <mergeCell ref="MZL4:MZP4"/>
    <mergeCell ref="MXS4:MXW4"/>
    <mergeCell ref="MXX4:MYB4"/>
    <mergeCell ref="MYC4:MYG4"/>
    <mergeCell ref="MYH4:MYL4"/>
    <mergeCell ref="MYM4:MYQ4"/>
    <mergeCell ref="MWT4:MWX4"/>
    <mergeCell ref="MWY4:MXC4"/>
    <mergeCell ref="MXD4:MXH4"/>
    <mergeCell ref="MXI4:MXM4"/>
    <mergeCell ref="MXN4:MXR4"/>
    <mergeCell ref="MVU4:MVY4"/>
    <mergeCell ref="MVZ4:MWD4"/>
    <mergeCell ref="MWE4:MWI4"/>
    <mergeCell ref="MWJ4:MWN4"/>
    <mergeCell ref="MWO4:MWS4"/>
    <mergeCell ref="MUV4:MUZ4"/>
    <mergeCell ref="MVA4:MVE4"/>
    <mergeCell ref="MVF4:MVJ4"/>
    <mergeCell ref="MVK4:MVO4"/>
    <mergeCell ref="MVP4:MVT4"/>
    <mergeCell ref="MTW4:MUA4"/>
    <mergeCell ref="MUB4:MUF4"/>
    <mergeCell ref="MUG4:MUK4"/>
    <mergeCell ref="MUL4:MUP4"/>
    <mergeCell ref="MUQ4:MUU4"/>
    <mergeCell ref="MSX4:MTB4"/>
    <mergeCell ref="MTC4:MTG4"/>
    <mergeCell ref="MTH4:MTL4"/>
    <mergeCell ref="MTM4:MTQ4"/>
    <mergeCell ref="MTR4:MTV4"/>
    <mergeCell ref="MRY4:MSC4"/>
    <mergeCell ref="MSD4:MSH4"/>
    <mergeCell ref="MSI4:MSM4"/>
    <mergeCell ref="MSN4:MSR4"/>
    <mergeCell ref="MSS4:MSW4"/>
    <mergeCell ref="MQZ4:MRD4"/>
    <mergeCell ref="MRE4:MRI4"/>
    <mergeCell ref="MRJ4:MRN4"/>
    <mergeCell ref="MRO4:MRS4"/>
    <mergeCell ref="MRT4:MRX4"/>
    <mergeCell ref="MQA4:MQE4"/>
    <mergeCell ref="MQF4:MQJ4"/>
    <mergeCell ref="MQK4:MQO4"/>
    <mergeCell ref="MQP4:MQT4"/>
    <mergeCell ref="MQU4:MQY4"/>
    <mergeCell ref="MPB4:MPF4"/>
    <mergeCell ref="MPG4:MPK4"/>
    <mergeCell ref="MPL4:MPP4"/>
    <mergeCell ref="MPQ4:MPU4"/>
    <mergeCell ref="MPV4:MPZ4"/>
    <mergeCell ref="MOC4:MOG4"/>
    <mergeCell ref="MOH4:MOL4"/>
    <mergeCell ref="MOM4:MOQ4"/>
    <mergeCell ref="MOR4:MOV4"/>
    <mergeCell ref="MOW4:MPA4"/>
    <mergeCell ref="MND4:MNH4"/>
    <mergeCell ref="MNI4:MNM4"/>
    <mergeCell ref="MNN4:MNR4"/>
    <mergeCell ref="MNS4:MNW4"/>
    <mergeCell ref="MNX4:MOB4"/>
    <mergeCell ref="MME4:MMI4"/>
    <mergeCell ref="MMJ4:MMN4"/>
    <mergeCell ref="MMO4:MMS4"/>
    <mergeCell ref="MMT4:MMX4"/>
    <mergeCell ref="MMY4:MNC4"/>
    <mergeCell ref="MLF4:MLJ4"/>
    <mergeCell ref="MLK4:MLO4"/>
    <mergeCell ref="MLP4:MLT4"/>
    <mergeCell ref="MLU4:MLY4"/>
    <mergeCell ref="MLZ4:MMD4"/>
    <mergeCell ref="MKG4:MKK4"/>
    <mergeCell ref="MKL4:MKP4"/>
    <mergeCell ref="MKQ4:MKU4"/>
    <mergeCell ref="MKV4:MKZ4"/>
    <mergeCell ref="MLA4:MLE4"/>
    <mergeCell ref="MJH4:MJL4"/>
    <mergeCell ref="MJM4:MJQ4"/>
    <mergeCell ref="MJR4:MJV4"/>
    <mergeCell ref="MJW4:MKA4"/>
    <mergeCell ref="MKB4:MKF4"/>
    <mergeCell ref="MII4:MIM4"/>
    <mergeCell ref="MIN4:MIR4"/>
    <mergeCell ref="MIS4:MIW4"/>
    <mergeCell ref="MIX4:MJB4"/>
    <mergeCell ref="MJC4:MJG4"/>
    <mergeCell ref="MHJ4:MHN4"/>
    <mergeCell ref="MHO4:MHS4"/>
    <mergeCell ref="MHT4:MHX4"/>
    <mergeCell ref="MHY4:MIC4"/>
    <mergeCell ref="MID4:MIH4"/>
    <mergeCell ref="MGK4:MGO4"/>
    <mergeCell ref="MGP4:MGT4"/>
    <mergeCell ref="MGU4:MGY4"/>
    <mergeCell ref="MGZ4:MHD4"/>
    <mergeCell ref="MHE4:MHI4"/>
    <mergeCell ref="MFL4:MFP4"/>
    <mergeCell ref="MFQ4:MFU4"/>
    <mergeCell ref="MFV4:MFZ4"/>
    <mergeCell ref="MGA4:MGE4"/>
    <mergeCell ref="MGF4:MGJ4"/>
    <mergeCell ref="MEM4:MEQ4"/>
    <mergeCell ref="MER4:MEV4"/>
    <mergeCell ref="MEW4:MFA4"/>
    <mergeCell ref="MFB4:MFF4"/>
    <mergeCell ref="MFG4:MFK4"/>
    <mergeCell ref="MDN4:MDR4"/>
    <mergeCell ref="MDS4:MDW4"/>
    <mergeCell ref="MDX4:MEB4"/>
    <mergeCell ref="MEC4:MEG4"/>
    <mergeCell ref="MEH4:MEL4"/>
    <mergeCell ref="MCO4:MCS4"/>
    <mergeCell ref="MCT4:MCX4"/>
    <mergeCell ref="MCY4:MDC4"/>
    <mergeCell ref="MDD4:MDH4"/>
    <mergeCell ref="MDI4:MDM4"/>
    <mergeCell ref="MBP4:MBT4"/>
    <mergeCell ref="MBU4:MBY4"/>
    <mergeCell ref="MBZ4:MCD4"/>
    <mergeCell ref="MCE4:MCI4"/>
    <mergeCell ref="MCJ4:MCN4"/>
    <mergeCell ref="MAQ4:MAU4"/>
    <mergeCell ref="MAV4:MAZ4"/>
    <mergeCell ref="MBA4:MBE4"/>
    <mergeCell ref="MBF4:MBJ4"/>
    <mergeCell ref="MBK4:MBO4"/>
    <mergeCell ref="LZR4:LZV4"/>
    <mergeCell ref="LZW4:MAA4"/>
    <mergeCell ref="MAB4:MAF4"/>
    <mergeCell ref="MAG4:MAK4"/>
    <mergeCell ref="MAL4:MAP4"/>
    <mergeCell ref="LYS4:LYW4"/>
    <mergeCell ref="LYX4:LZB4"/>
    <mergeCell ref="LZC4:LZG4"/>
    <mergeCell ref="LZH4:LZL4"/>
    <mergeCell ref="LZM4:LZQ4"/>
    <mergeCell ref="LXT4:LXX4"/>
    <mergeCell ref="LXY4:LYC4"/>
    <mergeCell ref="LYD4:LYH4"/>
    <mergeCell ref="LYI4:LYM4"/>
    <mergeCell ref="LYN4:LYR4"/>
    <mergeCell ref="LWU4:LWY4"/>
    <mergeCell ref="LWZ4:LXD4"/>
    <mergeCell ref="LXE4:LXI4"/>
    <mergeCell ref="LXJ4:LXN4"/>
    <mergeCell ref="LXO4:LXS4"/>
    <mergeCell ref="LVV4:LVZ4"/>
    <mergeCell ref="LWA4:LWE4"/>
    <mergeCell ref="LWF4:LWJ4"/>
    <mergeCell ref="LWK4:LWO4"/>
    <mergeCell ref="LWP4:LWT4"/>
    <mergeCell ref="LUW4:LVA4"/>
    <mergeCell ref="LVB4:LVF4"/>
    <mergeCell ref="LVG4:LVK4"/>
    <mergeCell ref="LVL4:LVP4"/>
    <mergeCell ref="LVQ4:LVU4"/>
    <mergeCell ref="LTX4:LUB4"/>
    <mergeCell ref="LUC4:LUG4"/>
    <mergeCell ref="LUH4:LUL4"/>
    <mergeCell ref="LUM4:LUQ4"/>
    <mergeCell ref="LUR4:LUV4"/>
    <mergeCell ref="LSY4:LTC4"/>
    <mergeCell ref="LTD4:LTH4"/>
    <mergeCell ref="LTI4:LTM4"/>
    <mergeCell ref="LTN4:LTR4"/>
    <mergeCell ref="LTS4:LTW4"/>
    <mergeCell ref="LRZ4:LSD4"/>
    <mergeCell ref="LSE4:LSI4"/>
    <mergeCell ref="LSJ4:LSN4"/>
    <mergeCell ref="LSO4:LSS4"/>
    <mergeCell ref="LST4:LSX4"/>
    <mergeCell ref="LRA4:LRE4"/>
    <mergeCell ref="LRF4:LRJ4"/>
    <mergeCell ref="LRK4:LRO4"/>
    <mergeCell ref="LRP4:LRT4"/>
    <mergeCell ref="LRU4:LRY4"/>
    <mergeCell ref="LQB4:LQF4"/>
    <mergeCell ref="LQG4:LQK4"/>
    <mergeCell ref="LQL4:LQP4"/>
    <mergeCell ref="LQQ4:LQU4"/>
    <mergeCell ref="LQV4:LQZ4"/>
    <mergeCell ref="LPC4:LPG4"/>
    <mergeCell ref="LPH4:LPL4"/>
    <mergeCell ref="LPM4:LPQ4"/>
    <mergeCell ref="LPR4:LPV4"/>
    <mergeCell ref="LPW4:LQA4"/>
    <mergeCell ref="LOD4:LOH4"/>
    <mergeCell ref="LOI4:LOM4"/>
    <mergeCell ref="LON4:LOR4"/>
    <mergeCell ref="LOS4:LOW4"/>
    <mergeCell ref="LOX4:LPB4"/>
    <mergeCell ref="LNE4:LNI4"/>
    <mergeCell ref="LNJ4:LNN4"/>
    <mergeCell ref="LNO4:LNS4"/>
    <mergeCell ref="LNT4:LNX4"/>
    <mergeCell ref="LNY4:LOC4"/>
    <mergeCell ref="LMF4:LMJ4"/>
    <mergeCell ref="LMK4:LMO4"/>
    <mergeCell ref="LMP4:LMT4"/>
    <mergeCell ref="LMU4:LMY4"/>
    <mergeCell ref="LMZ4:LND4"/>
    <mergeCell ref="LLG4:LLK4"/>
    <mergeCell ref="LLL4:LLP4"/>
    <mergeCell ref="LLQ4:LLU4"/>
    <mergeCell ref="LLV4:LLZ4"/>
    <mergeCell ref="LMA4:LME4"/>
    <mergeCell ref="LKH4:LKL4"/>
    <mergeCell ref="LKM4:LKQ4"/>
    <mergeCell ref="LKR4:LKV4"/>
    <mergeCell ref="LKW4:LLA4"/>
    <mergeCell ref="LLB4:LLF4"/>
    <mergeCell ref="LJI4:LJM4"/>
    <mergeCell ref="LJN4:LJR4"/>
    <mergeCell ref="LJS4:LJW4"/>
    <mergeCell ref="LJX4:LKB4"/>
    <mergeCell ref="LKC4:LKG4"/>
    <mergeCell ref="LIJ4:LIN4"/>
    <mergeCell ref="LIO4:LIS4"/>
    <mergeCell ref="LIT4:LIX4"/>
    <mergeCell ref="LIY4:LJC4"/>
    <mergeCell ref="LJD4:LJH4"/>
    <mergeCell ref="LHK4:LHO4"/>
    <mergeCell ref="LHP4:LHT4"/>
    <mergeCell ref="LHU4:LHY4"/>
    <mergeCell ref="LHZ4:LID4"/>
    <mergeCell ref="LIE4:LII4"/>
    <mergeCell ref="LGL4:LGP4"/>
    <mergeCell ref="LGQ4:LGU4"/>
    <mergeCell ref="LGV4:LGZ4"/>
    <mergeCell ref="LHA4:LHE4"/>
    <mergeCell ref="LHF4:LHJ4"/>
    <mergeCell ref="LFM4:LFQ4"/>
    <mergeCell ref="LFR4:LFV4"/>
    <mergeCell ref="LFW4:LGA4"/>
    <mergeCell ref="LGB4:LGF4"/>
    <mergeCell ref="LGG4:LGK4"/>
    <mergeCell ref="LEN4:LER4"/>
    <mergeCell ref="LES4:LEW4"/>
    <mergeCell ref="LEX4:LFB4"/>
    <mergeCell ref="LFC4:LFG4"/>
    <mergeCell ref="LFH4:LFL4"/>
    <mergeCell ref="LDO4:LDS4"/>
    <mergeCell ref="LDT4:LDX4"/>
    <mergeCell ref="LDY4:LEC4"/>
    <mergeCell ref="LED4:LEH4"/>
    <mergeCell ref="LEI4:LEM4"/>
    <mergeCell ref="LCP4:LCT4"/>
    <mergeCell ref="LCU4:LCY4"/>
    <mergeCell ref="LCZ4:LDD4"/>
    <mergeCell ref="LDE4:LDI4"/>
    <mergeCell ref="LDJ4:LDN4"/>
    <mergeCell ref="LBQ4:LBU4"/>
    <mergeCell ref="LBV4:LBZ4"/>
    <mergeCell ref="LCA4:LCE4"/>
    <mergeCell ref="LCF4:LCJ4"/>
    <mergeCell ref="LCK4:LCO4"/>
    <mergeCell ref="LAR4:LAV4"/>
    <mergeCell ref="LAW4:LBA4"/>
    <mergeCell ref="LBB4:LBF4"/>
    <mergeCell ref="LBG4:LBK4"/>
    <mergeCell ref="LBL4:LBP4"/>
    <mergeCell ref="KZS4:KZW4"/>
    <mergeCell ref="KZX4:LAB4"/>
    <mergeCell ref="LAC4:LAG4"/>
    <mergeCell ref="LAH4:LAL4"/>
    <mergeCell ref="LAM4:LAQ4"/>
    <mergeCell ref="KYT4:KYX4"/>
    <mergeCell ref="KYY4:KZC4"/>
    <mergeCell ref="KZD4:KZH4"/>
    <mergeCell ref="KZI4:KZM4"/>
    <mergeCell ref="KZN4:KZR4"/>
    <mergeCell ref="KXU4:KXY4"/>
    <mergeCell ref="KXZ4:KYD4"/>
    <mergeCell ref="KYE4:KYI4"/>
    <mergeCell ref="KYJ4:KYN4"/>
    <mergeCell ref="KYO4:KYS4"/>
    <mergeCell ref="KWV4:KWZ4"/>
    <mergeCell ref="KXA4:KXE4"/>
    <mergeCell ref="KXF4:KXJ4"/>
    <mergeCell ref="KXK4:KXO4"/>
    <mergeCell ref="KXP4:KXT4"/>
    <mergeCell ref="KVW4:KWA4"/>
    <mergeCell ref="KWB4:KWF4"/>
    <mergeCell ref="KWG4:KWK4"/>
    <mergeCell ref="KWL4:KWP4"/>
    <mergeCell ref="KWQ4:KWU4"/>
    <mergeCell ref="KUX4:KVB4"/>
    <mergeCell ref="KVC4:KVG4"/>
    <mergeCell ref="KVH4:KVL4"/>
    <mergeCell ref="KVM4:KVQ4"/>
    <mergeCell ref="KVR4:KVV4"/>
    <mergeCell ref="KTY4:KUC4"/>
    <mergeCell ref="KUD4:KUH4"/>
    <mergeCell ref="KUI4:KUM4"/>
    <mergeCell ref="KUN4:KUR4"/>
    <mergeCell ref="KUS4:KUW4"/>
    <mergeCell ref="KSZ4:KTD4"/>
    <mergeCell ref="KTE4:KTI4"/>
    <mergeCell ref="KTJ4:KTN4"/>
    <mergeCell ref="KTO4:KTS4"/>
    <mergeCell ref="KTT4:KTX4"/>
    <mergeCell ref="KSA4:KSE4"/>
    <mergeCell ref="KSF4:KSJ4"/>
    <mergeCell ref="KSK4:KSO4"/>
    <mergeCell ref="KSP4:KST4"/>
    <mergeCell ref="KSU4:KSY4"/>
    <mergeCell ref="KRB4:KRF4"/>
    <mergeCell ref="KRG4:KRK4"/>
    <mergeCell ref="KRL4:KRP4"/>
    <mergeCell ref="KRQ4:KRU4"/>
    <mergeCell ref="KRV4:KRZ4"/>
    <mergeCell ref="KQC4:KQG4"/>
    <mergeCell ref="KQH4:KQL4"/>
    <mergeCell ref="KQM4:KQQ4"/>
    <mergeCell ref="KQR4:KQV4"/>
    <mergeCell ref="KQW4:KRA4"/>
    <mergeCell ref="KPD4:KPH4"/>
    <mergeCell ref="KPI4:KPM4"/>
    <mergeCell ref="KPN4:KPR4"/>
    <mergeCell ref="KPS4:KPW4"/>
    <mergeCell ref="KPX4:KQB4"/>
    <mergeCell ref="KOE4:KOI4"/>
    <mergeCell ref="KOJ4:KON4"/>
    <mergeCell ref="KOO4:KOS4"/>
    <mergeCell ref="KOT4:KOX4"/>
    <mergeCell ref="KOY4:KPC4"/>
    <mergeCell ref="KNF4:KNJ4"/>
    <mergeCell ref="KNK4:KNO4"/>
    <mergeCell ref="KNP4:KNT4"/>
    <mergeCell ref="KNU4:KNY4"/>
    <mergeCell ref="KNZ4:KOD4"/>
    <mergeCell ref="KMG4:KMK4"/>
    <mergeCell ref="KML4:KMP4"/>
    <mergeCell ref="KMQ4:KMU4"/>
    <mergeCell ref="KMV4:KMZ4"/>
    <mergeCell ref="KNA4:KNE4"/>
    <mergeCell ref="KLH4:KLL4"/>
    <mergeCell ref="KLM4:KLQ4"/>
    <mergeCell ref="KLR4:KLV4"/>
    <mergeCell ref="KLW4:KMA4"/>
    <mergeCell ref="KMB4:KMF4"/>
    <mergeCell ref="KKI4:KKM4"/>
    <mergeCell ref="KKN4:KKR4"/>
    <mergeCell ref="KKS4:KKW4"/>
    <mergeCell ref="KKX4:KLB4"/>
    <mergeCell ref="KLC4:KLG4"/>
    <mergeCell ref="KJJ4:KJN4"/>
    <mergeCell ref="KJO4:KJS4"/>
    <mergeCell ref="KJT4:KJX4"/>
    <mergeCell ref="KJY4:KKC4"/>
    <mergeCell ref="KKD4:KKH4"/>
    <mergeCell ref="KIK4:KIO4"/>
    <mergeCell ref="KIP4:KIT4"/>
    <mergeCell ref="KIU4:KIY4"/>
    <mergeCell ref="KIZ4:KJD4"/>
    <mergeCell ref="KJE4:KJI4"/>
    <mergeCell ref="KHL4:KHP4"/>
    <mergeCell ref="KHQ4:KHU4"/>
    <mergeCell ref="KHV4:KHZ4"/>
    <mergeCell ref="KIA4:KIE4"/>
    <mergeCell ref="KIF4:KIJ4"/>
    <mergeCell ref="KGM4:KGQ4"/>
    <mergeCell ref="KGR4:KGV4"/>
    <mergeCell ref="KGW4:KHA4"/>
    <mergeCell ref="KHB4:KHF4"/>
    <mergeCell ref="KHG4:KHK4"/>
    <mergeCell ref="KFN4:KFR4"/>
    <mergeCell ref="KFS4:KFW4"/>
    <mergeCell ref="KFX4:KGB4"/>
    <mergeCell ref="KGC4:KGG4"/>
    <mergeCell ref="KGH4:KGL4"/>
    <mergeCell ref="KEO4:KES4"/>
    <mergeCell ref="KET4:KEX4"/>
    <mergeCell ref="KEY4:KFC4"/>
    <mergeCell ref="KFD4:KFH4"/>
    <mergeCell ref="KFI4:KFM4"/>
    <mergeCell ref="KDP4:KDT4"/>
    <mergeCell ref="KDU4:KDY4"/>
    <mergeCell ref="KDZ4:KED4"/>
    <mergeCell ref="KEE4:KEI4"/>
    <mergeCell ref="KEJ4:KEN4"/>
    <mergeCell ref="KCQ4:KCU4"/>
    <mergeCell ref="KCV4:KCZ4"/>
    <mergeCell ref="KDA4:KDE4"/>
    <mergeCell ref="KDF4:KDJ4"/>
    <mergeCell ref="KDK4:KDO4"/>
    <mergeCell ref="KBR4:KBV4"/>
    <mergeCell ref="KBW4:KCA4"/>
    <mergeCell ref="KCB4:KCF4"/>
    <mergeCell ref="KCG4:KCK4"/>
    <mergeCell ref="KCL4:KCP4"/>
    <mergeCell ref="KAS4:KAW4"/>
    <mergeCell ref="KAX4:KBB4"/>
    <mergeCell ref="KBC4:KBG4"/>
    <mergeCell ref="KBH4:KBL4"/>
    <mergeCell ref="KBM4:KBQ4"/>
    <mergeCell ref="JZT4:JZX4"/>
    <mergeCell ref="JZY4:KAC4"/>
    <mergeCell ref="KAD4:KAH4"/>
    <mergeCell ref="KAI4:KAM4"/>
    <mergeCell ref="KAN4:KAR4"/>
    <mergeCell ref="JYU4:JYY4"/>
    <mergeCell ref="JYZ4:JZD4"/>
    <mergeCell ref="JZE4:JZI4"/>
    <mergeCell ref="JZJ4:JZN4"/>
    <mergeCell ref="JZO4:JZS4"/>
    <mergeCell ref="JXV4:JXZ4"/>
    <mergeCell ref="JYA4:JYE4"/>
    <mergeCell ref="JYF4:JYJ4"/>
    <mergeCell ref="JYK4:JYO4"/>
    <mergeCell ref="JYP4:JYT4"/>
    <mergeCell ref="JWW4:JXA4"/>
    <mergeCell ref="JXB4:JXF4"/>
    <mergeCell ref="JXG4:JXK4"/>
    <mergeCell ref="JXL4:JXP4"/>
    <mergeCell ref="JXQ4:JXU4"/>
    <mergeCell ref="JVX4:JWB4"/>
    <mergeCell ref="JWC4:JWG4"/>
    <mergeCell ref="JWH4:JWL4"/>
    <mergeCell ref="JWM4:JWQ4"/>
    <mergeCell ref="JWR4:JWV4"/>
    <mergeCell ref="JUY4:JVC4"/>
    <mergeCell ref="JVD4:JVH4"/>
    <mergeCell ref="JVI4:JVM4"/>
    <mergeCell ref="JVN4:JVR4"/>
    <mergeCell ref="JVS4:JVW4"/>
    <mergeCell ref="JTZ4:JUD4"/>
    <mergeCell ref="JUE4:JUI4"/>
    <mergeCell ref="JUJ4:JUN4"/>
    <mergeCell ref="JUO4:JUS4"/>
    <mergeCell ref="JUT4:JUX4"/>
    <mergeCell ref="JTA4:JTE4"/>
    <mergeCell ref="JTF4:JTJ4"/>
    <mergeCell ref="JTK4:JTO4"/>
    <mergeCell ref="JTP4:JTT4"/>
    <mergeCell ref="JTU4:JTY4"/>
    <mergeCell ref="JSB4:JSF4"/>
    <mergeCell ref="JSG4:JSK4"/>
    <mergeCell ref="JSL4:JSP4"/>
    <mergeCell ref="JSQ4:JSU4"/>
    <mergeCell ref="JSV4:JSZ4"/>
    <mergeCell ref="JRC4:JRG4"/>
    <mergeCell ref="JRH4:JRL4"/>
    <mergeCell ref="JRM4:JRQ4"/>
    <mergeCell ref="JRR4:JRV4"/>
    <mergeCell ref="JRW4:JSA4"/>
    <mergeCell ref="JQD4:JQH4"/>
    <mergeCell ref="JQI4:JQM4"/>
    <mergeCell ref="JQN4:JQR4"/>
    <mergeCell ref="JQS4:JQW4"/>
    <mergeCell ref="JQX4:JRB4"/>
    <mergeCell ref="JPE4:JPI4"/>
    <mergeCell ref="JPJ4:JPN4"/>
    <mergeCell ref="JPO4:JPS4"/>
    <mergeCell ref="JPT4:JPX4"/>
    <mergeCell ref="JPY4:JQC4"/>
    <mergeCell ref="JOF4:JOJ4"/>
    <mergeCell ref="JOK4:JOO4"/>
    <mergeCell ref="JOP4:JOT4"/>
    <mergeCell ref="JOU4:JOY4"/>
    <mergeCell ref="JOZ4:JPD4"/>
    <mergeCell ref="JNG4:JNK4"/>
    <mergeCell ref="JNL4:JNP4"/>
    <mergeCell ref="JNQ4:JNU4"/>
    <mergeCell ref="JNV4:JNZ4"/>
    <mergeCell ref="JOA4:JOE4"/>
    <mergeCell ref="JMH4:JML4"/>
    <mergeCell ref="JMM4:JMQ4"/>
    <mergeCell ref="JMR4:JMV4"/>
    <mergeCell ref="JMW4:JNA4"/>
    <mergeCell ref="JNB4:JNF4"/>
    <mergeCell ref="JLI4:JLM4"/>
    <mergeCell ref="JLN4:JLR4"/>
    <mergeCell ref="JLS4:JLW4"/>
    <mergeCell ref="JLX4:JMB4"/>
    <mergeCell ref="JMC4:JMG4"/>
    <mergeCell ref="JKJ4:JKN4"/>
    <mergeCell ref="JKO4:JKS4"/>
    <mergeCell ref="JKT4:JKX4"/>
    <mergeCell ref="JKY4:JLC4"/>
    <mergeCell ref="JLD4:JLH4"/>
    <mergeCell ref="JJK4:JJO4"/>
    <mergeCell ref="JJP4:JJT4"/>
    <mergeCell ref="JJU4:JJY4"/>
    <mergeCell ref="JJZ4:JKD4"/>
    <mergeCell ref="JKE4:JKI4"/>
    <mergeCell ref="JIL4:JIP4"/>
    <mergeCell ref="JIQ4:JIU4"/>
    <mergeCell ref="JIV4:JIZ4"/>
    <mergeCell ref="JJA4:JJE4"/>
    <mergeCell ref="JJF4:JJJ4"/>
    <mergeCell ref="JHM4:JHQ4"/>
    <mergeCell ref="JHR4:JHV4"/>
    <mergeCell ref="JHW4:JIA4"/>
    <mergeCell ref="JIB4:JIF4"/>
    <mergeCell ref="JIG4:JIK4"/>
    <mergeCell ref="JGN4:JGR4"/>
    <mergeCell ref="JGS4:JGW4"/>
    <mergeCell ref="JGX4:JHB4"/>
    <mergeCell ref="JHC4:JHG4"/>
    <mergeCell ref="JHH4:JHL4"/>
    <mergeCell ref="JFO4:JFS4"/>
    <mergeCell ref="JFT4:JFX4"/>
    <mergeCell ref="JFY4:JGC4"/>
    <mergeCell ref="JGD4:JGH4"/>
    <mergeCell ref="JGI4:JGM4"/>
    <mergeCell ref="JEP4:JET4"/>
    <mergeCell ref="JEU4:JEY4"/>
    <mergeCell ref="JEZ4:JFD4"/>
    <mergeCell ref="JFE4:JFI4"/>
    <mergeCell ref="JFJ4:JFN4"/>
    <mergeCell ref="JDQ4:JDU4"/>
    <mergeCell ref="JDV4:JDZ4"/>
    <mergeCell ref="JEA4:JEE4"/>
    <mergeCell ref="JEF4:JEJ4"/>
    <mergeCell ref="JEK4:JEO4"/>
    <mergeCell ref="JCR4:JCV4"/>
    <mergeCell ref="JCW4:JDA4"/>
    <mergeCell ref="JDB4:JDF4"/>
    <mergeCell ref="JDG4:JDK4"/>
    <mergeCell ref="JDL4:JDP4"/>
    <mergeCell ref="JBS4:JBW4"/>
    <mergeCell ref="JBX4:JCB4"/>
    <mergeCell ref="JCC4:JCG4"/>
    <mergeCell ref="JCH4:JCL4"/>
    <mergeCell ref="JCM4:JCQ4"/>
    <mergeCell ref="JAT4:JAX4"/>
    <mergeCell ref="JAY4:JBC4"/>
    <mergeCell ref="JBD4:JBH4"/>
    <mergeCell ref="JBI4:JBM4"/>
    <mergeCell ref="JBN4:JBR4"/>
    <mergeCell ref="IZU4:IZY4"/>
    <mergeCell ref="IZZ4:JAD4"/>
    <mergeCell ref="JAE4:JAI4"/>
    <mergeCell ref="JAJ4:JAN4"/>
    <mergeCell ref="JAO4:JAS4"/>
    <mergeCell ref="IYV4:IYZ4"/>
    <mergeCell ref="IZA4:IZE4"/>
    <mergeCell ref="IZF4:IZJ4"/>
    <mergeCell ref="IZK4:IZO4"/>
    <mergeCell ref="IZP4:IZT4"/>
    <mergeCell ref="IXW4:IYA4"/>
    <mergeCell ref="IYB4:IYF4"/>
    <mergeCell ref="IYG4:IYK4"/>
    <mergeCell ref="IYL4:IYP4"/>
    <mergeCell ref="IYQ4:IYU4"/>
    <mergeCell ref="IWX4:IXB4"/>
    <mergeCell ref="IXC4:IXG4"/>
    <mergeCell ref="IXH4:IXL4"/>
    <mergeCell ref="IXM4:IXQ4"/>
    <mergeCell ref="IXR4:IXV4"/>
    <mergeCell ref="IVY4:IWC4"/>
    <mergeCell ref="IWD4:IWH4"/>
    <mergeCell ref="IWI4:IWM4"/>
    <mergeCell ref="IWN4:IWR4"/>
    <mergeCell ref="IWS4:IWW4"/>
    <mergeCell ref="IUZ4:IVD4"/>
    <mergeCell ref="IVE4:IVI4"/>
    <mergeCell ref="IVJ4:IVN4"/>
    <mergeCell ref="IVO4:IVS4"/>
    <mergeCell ref="IVT4:IVX4"/>
    <mergeCell ref="IUA4:IUE4"/>
    <mergeCell ref="IUF4:IUJ4"/>
    <mergeCell ref="IUK4:IUO4"/>
    <mergeCell ref="IUP4:IUT4"/>
    <mergeCell ref="IUU4:IUY4"/>
    <mergeCell ref="ITB4:ITF4"/>
    <mergeCell ref="ITG4:ITK4"/>
    <mergeCell ref="ITL4:ITP4"/>
    <mergeCell ref="ITQ4:ITU4"/>
    <mergeCell ref="ITV4:ITZ4"/>
    <mergeCell ref="ISC4:ISG4"/>
    <mergeCell ref="ISH4:ISL4"/>
    <mergeCell ref="ISM4:ISQ4"/>
    <mergeCell ref="ISR4:ISV4"/>
    <mergeCell ref="ISW4:ITA4"/>
    <mergeCell ref="IRD4:IRH4"/>
    <mergeCell ref="IRI4:IRM4"/>
    <mergeCell ref="IRN4:IRR4"/>
    <mergeCell ref="IRS4:IRW4"/>
    <mergeCell ref="IRX4:ISB4"/>
    <mergeCell ref="IQE4:IQI4"/>
    <mergeCell ref="IQJ4:IQN4"/>
    <mergeCell ref="IQO4:IQS4"/>
    <mergeCell ref="IQT4:IQX4"/>
    <mergeCell ref="IQY4:IRC4"/>
    <mergeCell ref="IPF4:IPJ4"/>
    <mergeCell ref="IPK4:IPO4"/>
    <mergeCell ref="IPP4:IPT4"/>
    <mergeCell ref="IPU4:IPY4"/>
    <mergeCell ref="IPZ4:IQD4"/>
    <mergeCell ref="IOG4:IOK4"/>
    <mergeCell ref="IOL4:IOP4"/>
    <mergeCell ref="IOQ4:IOU4"/>
    <mergeCell ref="IOV4:IOZ4"/>
    <mergeCell ref="IPA4:IPE4"/>
    <mergeCell ref="INH4:INL4"/>
    <mergeCell ref="INM4:INQ4"/>
    <mergeCell ref="INR4:INV4"/>
    <mergeCell ref="INW4:IOA4"/>
    <mergeCell ref="IOB4:IOF4"/>
    <mergeCell ref="IMI4:IMM4"/>
    <mergeCell ref="IMN4:IMR4"/>
    <mergeCell ref="IMS4:IMW4"/>
    <mergeCell ref="IMX4:INB4"/>
    <mergeCell ref="INC4:ING4"/>
    <mergeCell ref="ILJ4:ILN4"/>
    <mergeCell ref="ILO4:ILS4"/>
    <mergeCell ref="ILT4:ILX4"/>
    <mergeCell ref="ILY4:IMC4"/>
    <mergeCell ref="IMD4:IMH4"/>
    <mergeCell ref="IKK4:IKO4"/>
    <mergeCell ref="IKP4:IKT4"/>
    <mergeCell ref="IKU4:IKY4"/>
    <mergeCell ref="IKZ4:ILD4"/>
    <mergeCell ref="ILE4:ILI4"/>
    <mergeCell ref="IJL4:IJP4"/>
    <mergeCell ref="IJQ4:IJU4"/>
    <mergeCell ref="IJV4:IJZ4"/>
    <mergeCell ref="IKA4:IKE4"/>
    <mergeCell ref="IKF4:IKJ4"/>
    <mergeCell ref="IIM4:IIQ4"/>
    <mergeCell ref="IIR4:IIV4"/>
    <mergeCell ref="IIW4:IJA4"/>
    <mergeCell ref="IJB4:IJF4"/>
    <mergeCell ref="IJG4:IJK4"/>
    <mergeCell ref="IHN4:IHR4"/>
    <mergeCell ref="IHS4:IHW4"/>
    <mergeCell ref="IHX4:IIB4"/>
    <mergeCell ref="IIC4:IIG4"/>
    <mergeCell ref="IIH4:IIL4"/>
    <mergeCell ref="IGO4:IGS4"/>
    <mergeCell ref="IGT4:IGX4"/>
    <mergeCell ref="IGY4:IHC4"/>
    <mergeCell ref="IHD4:IHH4"/>
    <mergeCell ref="IHI4:IHM4"/>
    <mergeCell ref="IFP4:IFT4"/>
    <mergeCell ref="IFU4:IFY4"/>
    <mergeCell ref="IFZ4:IGD4"/>
    <mergeCell ref="IGE4:IGI4"/>
    <mergeCell ref="IGJ4:IGN4"/>
    <mergeCell ref="IEQ4:IEU4"/>
    <mergeCell ref="IEV4:IEZ4"/>
    <mergeCell ref="IFA4:IFE4"/>
    <mergeCell ref="IFF4:IFJ4"/>
    <mergeCell ref="IFK4:IFO4"/>
    <mergeCell ref="IDR4:IDV4"/>
    <mergeCell ref="IDW4:IEA4"/>
    <mergeCell ref="IEB4:IEF4"/>
    <mergeCell ref="IEG4:IEK4"/>
    <mergeCell ref="IEL4:IEP4"/>
    <mergeCell ref="ICS4:ICW4"/>
    <mergeCell ref="ICX4:IDB4"/>
    <mergeCell ref="IDC4:IDG4"/>
    <mergeCell ref="IDH4:IDL4"/>
    <mergeCell ref="IDM4:IDQ4"/>
    <mergeCell ref="IBT4:IBX4"/>
    <mergeCell ref="IBY4:ICC4"/>
    <mergeCell ref="ICD4:ICH4"/>
    <mergeCell ref="ICI4:ICM4"/>
    <mergeCell ref="ICN4:ICR4"/>
    <mergeCell ref="IAU4:IAY4"/>
    <mergeCell ref="IAZ4:IBD4"/>
    <mergeCell ref="IBE4:IBI4"/>
    <mergeCell ref="IBJ4:IBN4"/>
    <mergeCell ref="IBO4:IBS4"/>
    <mergeCell ref="HZV4:HZZ4"/>
    <mergeCell ref="IAA4:IAE4"/>
    <mergeCell ref="IAF4:IAJ4"/>
    <mergeCell ref="IAK4:IAO4"/>
    <mergeCell ref="IAP4:IAT4"/>
    <mergeCell ref="HYW4:HZA4"/>
    <mergeCell ref="HZB4:HZF4"/>
    <mergeCell ref="HZG4:HZK4"/>
    <mergeCell ref="HZL4:HZP4"/>
    <mergeCell ref="HZQ4:HZU4"/>
    <mergeCell ref="HXX4:HYB4"/>
    <mergeCell ref="HYC4:HYG4"/>
    <mergeCell ref="HYH4:HYL4"/>
    <mergeCell ref="HYM4:HYQ4"/>
    <mergeCell ref="HYR4:HYV4"/>
    <mergeCell ref="HWY4:HXC4"/>
    <mergeCell ref="HXD4:HXH4"/>
    <mergeCell ref="HXI4:HXM4"/>
    <mergeCell ref="HXN4:HXR4"/>
    <mergeCell ref="HXS4:HXW4"/>
    <mergeCell ref="HVZ4:HWD4"/>
    <mergeCell ref="HWE4:HWI4"/>
    <mergeCell ref="HWJ4:HWN4"/>
    <mergeCell ref="HWO4:HWS4"/>
    <mergeCell ref="HWT4:HWX4"/>
    <mergeCell ref="HVA4:HVE4"/>
    <mergeCell ref="HVF4:HVJ4"/>
    <mergeCell ref="HVK4:HVO4"/>
    <mergeCell ref="HVP4:HVT4"/>
    <mergeCell ref="HVU4:HVY4"/>
    <mergeCell ref="HUB4:HUF4"/>
    <mergeCell ref="HUG4:HUK4"/>
    <mergeCell ref="HUL4:HUP4"/>
    <mergeCell ref="HUQ4:HUU4"/>
    <mergeCell ref="HUV4:HUZ4"/>
    <mergeCell ref="HTC4:HTG4"/>
    <mergeCell ref="HTH4:HTL4"/>
    <mergeCell ref="HTM4:HTQ4"/>
    <mergeCell ref="HTR4:HTV4"/>
    <mergeCell ref="HTW4:HUA4"/>
    <mergeCell ref="HSD4:HSH4"/>
    <mergeCell ref="HSI4:HSM4"/>
    <mergeCell ref="HSN4:HSR4"/>
    <mergeCell ref="HSS4:HSW4"/>
    <mergeCell ref="HSX4:HTB4"/>
    <mergeCell ref="HRE4:HRI4"/>
    <mergeCell ref="HRJ4:HRN4"/>
    <mergeCell ref="HRO4:HRS4"/>
    <mergeCell ref="HRT4:HRX4"/>
    <mergeCell ref="HRY4:HSC4"/>
    <mergeCell ref="HQF4:HQJ4"/>
    <mergeCell ref="HQK4:HQO4"/>
    <mergeCell ref="HQP4:HQT4"/>
    <mergeCell ref="HQU4:HQY4"/>
    <mergeCell ref="HQZ4:HRD4"/>
    <mergeCell ref="HPG4:HPK4"/>
    <mergeCell ref="HPL4:HPP4"/>
    <mergeCell ref="HPQ4:HPU4"/>
    <mergeCell ref="HPV4:HPZ4"/>
    <mergeCell ref="HQA4:HQE4"/>
    <mergeCell ref="HOH4:HOL4"/>
    <mergeCell ref="HOM4:HOQ4"/>
    <mergeCell ref="HOR4:HOV4"/>
    <mergeCell ref="HOW4:HPA4"/>
    <mergeCell ref="HPB4:HPF4"/>
    <mergeCell ref="HNI4:HNM4"/>
    <mergeCell ref="HNN4:HNR4"/>
    <mergeCell ref="HNS4:HNW4"/>
    <mergeCell ref="HNX4:HOB4"/>
    <mergeCell ref="HOC4:HOG4"/>
    <mergeCell ref="HMJ4:HMN4"/>
    <mergeCell ref="HMO4:HMS4"/>
    <mergeCell ref="HMT4:HMX4"/>
    <mergeCell ref="HMY4:HNC4"/>
    <mergeCell ref="HND4:HNH4"/>
    <mergeCell ref="HLK4:HLO4"/>
    <mergeCell ref="HLP4:HLT4"/>
    <mergeCell ref="HLU4:HLY4"/>
    <mergeCell ref="HLZ4:HMD4"/>
    <mergeCell ref="HME4:HMI4"/>
    <mergeCell ref="HKL4:HKP4"/>
    <mergeCell ref="HKQ4:HKU4"/>
    <mergeCell ref="HKV4:HKZ4"/>
    <mergeCell ref="HLA4:HLE4"/>
    <mergeCell ref="HLF4:HLJ4"/>
    <mergeCell ref="HJM4:HJQ4"/>
    <mergeCell ref="HJR4:HJV4"/>
    <mergeCell ref="HJW4:HKA4"/>
    <mergeCell ref="HKB4:HKF4"/>
    <mergeCell ref="HKG4:HKK4"/>
    <mergeCell ref="HIN4:HIR4"/>
    <mergeCell ref="HIS4:HIW4"/>
    <mergeCell ref="HIX4:HJB4"/>
    <mergeCell ref="HJC4:HJG4"/>
    <mergeCell ref="HJH4:HJL4"/>
    <mergeCell ref="HHO4:HHS4"/>
    <mergeCell ref="HHT4:HHX4"/>
    <mergeCell ref="HHY4:HIC4"/>
    <mergeCell ref="HID4:HIH4"/>
    <mergeCell ref="HII4:HIM4"/>
    <mergeCell ref="HGP4:HGT4"/>
    <mergeCell ref="HGU4:HGY4"/>
    <mergeCell ref="HGZ4:HHD4"/>
    <mergeCell ref="HHE4:HHI4"/>
    <mergeCell ref="HHJ4:HHN4"/>
    <mergeCell ref="HFQ4:HFU4"/>
    <mergeCell ref="HFV4:HFZ4"/>
    <mergeCell ref="HGA4:HGE4"/>
    <mergeCell ref="HGF4:HGJ4"/>
    <mergeCell ref="HGK4:HGO4"/>
    <mergeCell ref="HER4:HEV4"/>
    <mergeCell ref="HEW4:HFA4"/>
    <mergeCell ref="HFB4:HFF4"/>
    <mergeCell ref="HFG4:HFK4"/>
    <mergeCell ref="HFL4:HFP4"/>
    <mergeCell ref="HDS4:HDW4"/>
    <mergeCell ref="HDX4:HEB4"/>
    <mergeCell ref="HEC4:HEG4"/>
    <mergeCell ref="HEH4:HEL4"/>
    <mergeCell ref="HEM4:HEQ4"/>
    <mergeCell ref="HCT4:HCX4"/>
    <mergeCell ref="HCY4:HDC4"/>
    <mergeCell ref="HDD4:HDH4"/>
    <mergeCell ref="HDI4:HDM4"/>
    <mergeCell ref="HDN4:HDR4"/>
    <mergeCell ref="HBU4:HBY4"/>
    <mergeCell ref="HBZ4:HCD4"/>
    <mergeCell ref="HCE4:HCI4"/>
    <mergeCell ref="HCJ4:HCN4"/>
    <mergeCell ref="HCO4:HCS4"/>
    <mergeCell ref="HAV4:HAZ4"/>
    <mergeCell ref="HBA4:HBE4"/>
    <mergeCell ref="HBF4:HBJ4"/>
    <mergeCell ref="HBK4:HBO4"/>
    <mergeCell ref="HBP4:HBT4"/>
    <mergeCell ref="GZW4:HAA4"/>
    <mergeCell ref="HAB4:HAF4"/>
    <mergeCell ref="HAG4:HAK4"/>
    <mergeCell ref="HAL4:HAP4"/>
    <mergeCell ref="HAQ4:HAU4"/>
    <mergeCell ref="GYX4:GZB4"/>
    <mergeCell ref="GZC4:GZG4"/>
    <mergeCell ref="GZH4:GZL4"/>
    <mergeCell ref="GZM4:GZQ4"/>
    <mergeCell ref="GZR4:GZV4"/>
    <mergeCell ref="GXY4:GYC4"/>
    <mergeCell ref="GYD4:GYH4"/>
    <mergeCell ref="GYI4:GYM4"/>
    <mergeCell ref="GYN4:GYR4"/>
    <mergeCell ref="GYS4:GYW4"/>
    <mergeCell ref="GWZ4:GXD4"/>
    <mergeCell ref="GXE4:GXI4"/>
    <mergeCell ref="GXJ4:GXN4"/>
    <mergeCell ref="GXO4:GXS4"/>
    <mergeCell ref="GXT4:GXX4"/>
    <mergeCell ref="GWA4:GWE4"/>
    <mergeCell ref="GWF4:GWJ4"/>
    <mergeCell ref="GWK4:GWO4"/>
    <mergeCell ref="GWP4:GWT4"/>
    <mergeCell ref="GWU4:GWY4"/>
    <mergeCell ref="GVB4:GVF4"/>
    <mergeCell ref="GVG4:GVK4"/>
    <mergeCell ref="GVL4:GVP4"/>
    <mergeCell ref="GVQ4:GVU4"/>
    <mergeCell ref="GVV4:GVZ4"/>
    <mergeCell ref="GUC4:GUG4"/>
    <mergeCell ref="GUH4:GUL4"/>
    <mergeCell ref="GUM4:GUQ4"/>
    <mergeCell ref="GUR4:GUV4"/>
    <mergeCell ref="GUW4:GVA4"/>
    <mergeCell ref="GTD4:GTH4"/>
    <mergeCell ref="GTI4:GTM4"/>
    <mergeCell ref="GTN4:GTR4"/>
    <mergeCell ref="GTS4:GTW4"/>
    <mergeCell ref="GTX4:GUB4"/>
    <mergeCell ref="GSE4:GSI4"/>
    <mergeCell ref="GSJ4:GSN4"/>
    <mergeCell ref="GSO4:GSS4"/>
    <mergeCell ref="GST4:GSX4"/>
    <mergeCell ref="GSY4:GTC4"/>
    <mergeCell ref="GRF4:GRJ4"/>
    <mergeCell ref="GRK4:GRO4"/>
    <mergeCell ref="GRP4:GRT4"/>
    <mergeCell ref="GRU4:GRY4"/>
    <mergeCell ref="GRZ4:GSD4"/>
    <mergeCell ref="GQG4:GQK4"/>
    <mergeCell ref="GQL4:GQP4"/>
    <mergeCell ref="GQQ4:GQU4"/>
    <mergeCell ref="GQV4:GQZ4"/>
    <mergeCell ref="GRA4:GRE4"/>
    <mergeCell ref="GPH4:GPL4"/>
    <mergeCell ref="GPM4:GPQ4"/>
    <mergeCell ref="GPR4:GPV4"/>
    <mergeCell ref="GPW4:GQA4"/>
    <mergeCell ref="GQB4:GQF4"/>
    <mergeCell ref="GOI4:GOM4"/>
    <mergeCell ref="GON4:GOR4"/>
    <mergeCell ref="GOS4:GOW4"/>
    <mergeCell ref="GOX4:GPB4"/>
    <mergeCell ref="GPC4:GPG4"/>
    <mergeCell ref="GNJ4:GNN4"/>
    <mergeCell ref="GNO4:GNS4"/>
    <mergeCell ref="GNT4:GNX4"/>
    <mergeCell ref="GNY4:GOC4"/>
    <mergeCell ref="GOD4:GOH4"/>
    <mergeCell ref="GMK4:GMO4"/>
    <mergeCell ref="GMP4:GMT4"/>
    <mergeCell ref="GMU4:GMY4"/>
    <mergeCell ref="GMZ4:GND4"/>
    <mergeCell ref="GNE4:GNI4"/>
    <mergeCell ref="GLL4:GLP4"/>
    <mergeCell ref="GLQ4:GLU4"/>
    <mergeCell ref="GLV4:GLZ4"/>
    <mergeCell ref="GMA4:GME4"/>
    <mergeCell ref="GMF4:GMJ4"/>
    <mergeCell ref="GKM4:GKQ4"/>
    <mergeCell ref="GKR4:GKV4"/>
    <mergeCell ref="GKW4:GLA4"/>
    <mergeCell ref="GLB4:GLF4"/>
    <mergeCell ref="GLG4:GLK4"/>
    <mergeCell ref="GJN4:GJR4"/>
    <mergeCell ref="GJS4:GJW4"/>
    <mergeCell ref="GJX4:GKB4"/>
    <mergeCell ref="GKC4:GKG4"/>
    <mergeCell ref="GKH4:GKL4"/>
    <mergeCell ref="GIO4:GIS4"/>
    <mergeCell ref="GIT4:GIX4"/>
    <mergeCell ref="GIY4:GJC4"/>
    <mergeCell ref="GJD4:GJH4"/>
    <mergeCell ref="GJI4:GJM4"/>
    <mergeCell ref="GHP4:GHT4"/>
    <mergeCell ref="GHU4:GHY4"/>
    <mergeCell ref="GHZ4:GID4"/>
    <mergeCell ref="GIE4:GII4"/>
    <mergeCell ref="GIJ4:GIN4"/>
    <mergeCell ref="GGQ4:GGU4"/>
    <mergeCell ref="GGV4:GGZ4"/>
    <mergeCell ref="GHA4:GHE4"/>
    <mergeCell ref="GHF4:GHJ4"/>
    <mergeCell ref="GHK4:GHO4"/>
    <mergeCell ref="GFR4:GFV4"/>
    <mergeCell ref="GFW4:GGA4"/>
    <mergeCell ref="GGB4:GGF4"/>
    <mergeCell ref="GGG4:GGK4"/>
    <mergeCell ref="GGL4:GGP4"/>
    <mergeCell ref="GES4:GEW4"/>
    <mergeCell ref="GEX4:GFB4"/>
    <mergeCell ref="GFC4:GFG4"/>
    <mergeCell ref="GFH4:GFL4"/>
    <mergeCell ref="GFM4:GFQ4"/>
    <mergeCell ref="GDT4:GDX4"/>
    <mergeCell ref="GDY4:GEC4"/>
    <mergeCell ref="GED4:GEH4"/>
    <mergeCell ref="GEI4:GEM4"/>
    <mergeCell ref="GEN4:GER4"/>
    <mergeCell ref="GCU4:GCY4"/>
    <mergeCell ref="GCZ4:GDD4"/>
    <mergeCell ref="GDE4:GDI4"/>
    <mergeCell ref="GDJ4:GDN4"/>
    <mergeCell ref="GDO4:GDS4"/>
    <mergeCell ref="GBV4:GBZ4"/>
    <mergeCell ref="GCA4:GCE4"/>
    <mergeCell ref="GCF4:GCJ4"/>
    <mergeCell ref="GCK4:GCO4"/>
    <mergeCell ref="GCP4:GCT4"/>
    <mergeCell ref="GAW4:GBA4"/>
    <mergeCell ref="GBB4:GBF4"/>
    <mergeCell ref="GBG4:GBK4"/>
    <mergeCell ref="GBL4:GBP4"/>
    <mergeCell ref="GBQ4:GBU4"/>
    <mergeCell ref="FZX4:GAB4"/>
    <mergeCell ref="GAC4:GAG4"/>
    <mergeCell ref="GAH4:GAL4"/>
    <mergeCell ref="GAM4:GAQ4"/>
    <mergeCell ref="GAR4:GAV4"/>
    <mergeCell ref="FYY4:FZC4"/>
    <mergeCell ref="FZD4:FZH4"/>
    <mergeCell ref="FZI4:FZM4"/>
    <mergeCell ref="FZN4:FZR4"/>
    <mergeCell ref="FZS4:FZW4"/>
    <mergeCell ref="FXZ4:FYD4"/>
    <mergeCell ref="FYE4:FYI4"/>
    <mergeCell ref="FYJ4:FYN4"/>
    <mergeCell ref="FYO4:FYS4"/>
    <mergeCell ref="FYT4:FYX4"/>
    <mergeCell ref="FXA4:FXE4"/>
    <mergeCell ref="FXF4:FXJ4"/>
    <mergeCell ref="FXK4:FXO4"/>
    <mergeCell ref="FXP4:FXT4"/>
    <mergeCell ref="FXU4:FXY4"/>
    <mergeCell ref="FWB4:FWF4"/>
    <mergeCell ref="FWG4:FWK4"/>
    <mergeCell ref="FWL4:FWP4"/>
    <mergeCell ref="FWQ4:FWU4"/>
    <mergeCell ref="FWV4:FWZ4"/>
    <mergeCell ref="FVC4:FVG4"/>
    <mergeCell ref="FVH4:FVL4"/>
    <mergeCell ref="FVM4:FVQ4"/>
    <mergeCell ref="FVR4:FVV4"/>
    <mergeCell ref="FVW4:FWA4"/>
    <mergeCell ref="FUD4:FUH4"/>
    <mergeCell ref="FUI4:FUM4"/>
    <mergeCell ref="FUN4:FUR4"/>
    <mergeCell ref="FUS4:FUW4"/>
    <mergeCell ref="FUX4:FVB4"/>
    <mergeCell ref="FTE4:FTI4"/>
    <mergeCell ref="FTJ4:FTN4"/>
    <mergeCell ref="FTO4:FTS4"/>
    <mergeCell ref="FTT4:FTX4"/>
    <mergeCell ref="FTY4:FUC4"/>
    <mergeCell ref="FSF4:FSJ4"/>
    <mergeCell ref="FSK4:FSO4"/>
    <mergeCell ref="FSP4:FST4"/>
    <mergeCell ref="FSU4:FSY4"/>
    <mergeCell ref="FSZ4:FTD4"/>
    <mergeCell ref="FRG4:FRK4"/>
    <mergeCell ref="FRL4:FRP4"/>
    <mergeCell ref="FRQ4:FRU4"/>
    <mergeCell ref="FRV4:FRZ4"/>
    <mergeCell ref="FSA4:FSE4"/>
    <mergeCell ref="FQH4:FQL4"/>
    <mergeCell ref="FQM4:FQQ4"/>
    <mergeCell ref="FQR4:FQV4"/>
    <mergeCell ref="FQW4:FRA4"/>
    <mergeCell ref="FRB4:FRF4"/>
    <mergeCell ref="FPI4:FPM4"/>
    <mergeCell ref="FPN4:FPR4"/>
    <mergeCell ref="FPS4:FPW4"/>
    <mergeCell ref="FPX4:FQB4"/>
    <mergeCell ref="FQC4:FQG4"/>
    <mergeCell ref="FOJ4:FON4"/>
    <mergeCell ref="FOO4:FOS4"/>
    <mergeCell ref="FOT4:FOX4"/>
    <mergeCell ref="FOY4:FPC4"/>
    <mergeCell ref="FPD4:FPH4"/>
    <mergeCell ref="FNK4:FNO4"/>
    <mergeCell ref="FNP4:FNT4"/>
    <mergeCell ref="FNU4:FNY4"/>
    <mergeCell ref="FNZ4:FOD4"/>
    <mergeCell ref="FOE4:FOI4"/>
    <mergeCell ref="FML4:FMP4"/>
    <mergeCell ref="FMQ4:FMU4"/>
    <mergeCell ref="FMV4:FMZ4"/>
    <mergeCell ref="FNA4:FNE4"/>
    <mergeCell ref="FNF4:FNJ4"/>
    <mergeCell ref="FLM4:FLQ4"/>
    <mergeCell ref="FLR4:FLV4"/>
    <mergeCell ref="FLW4:FMA4"/>
    <mergeCell ref="FMB4:FMF4"/>
    <mergeCell ref="FMG4:FMK4"/>
    <mergeCell ref="FKN4:FKR4"/>
    <mergeCell ref="FKS4:FKW4"/>
    <mergeCell ref="FKX4:FLB4"/>
    <mergeCell ref="FLC4:FLG4"/>
    <mergeCell ref="FLH4:FLL4"/>
    <mergeCell ref="FJO4:FJS4"/>
    <mergeCell ref="FJT4:FJX4"/>
    <mergeCell ref="FJY4:FKC4"/>
    <mergeCell ref="FKD4:FKH4"/>
    <mergeCell ref="FKI4:FKM4"/>
    <mergeCell ref="FIP4:FIT4"/>
    <mergeCell ref="FIU4:FIY4"/>
    <mergeCell ref="FIZ4:FJD4"/>
    <mergeCell ref="FJE4:FJI4"/>
    <mergeCell ref="FJJ4:FJN4"/>
    <mergeCell ref="FHQ4:FHU4"/>
    <mergeCell ref="FHV4:FHZ4"/>
    <mergeCell ref="FIA4:FIE4"/>
    <mergeCell ref="FIF4:FIJ4"/>
    <mergeCell ref="FIK4:FIO4"/>
    <mergeCell ref="FGR4:FGV4"/>
    <mergeCell ref="FGW4:FHA4"/>
    <mergeCell ref="FHB4:FHF4"/>
    <mergeCell ref="FHG4:FHK4"/>
    <mergeCell ref="FHL4:FHP4"/>
    <mergeCell ref="FFS4:FFW4"/>
    <mergeCell ref="FFX4:FGB4"/>
    <mergeCell ref="FGC4:FGG4"/>
    <mergeCell ref="FGH4:FGL4"/>
    <mergeCell ref="FGM4:FGQ4"/>
    <mergeCell ref="FET4:FEX4"/>
    <mergeCell ref="FEY4:FFC4"/>
    <mergeCell ref="FFD4:FFH4"/>
    <mergeCell ref="FFI4:FFM4"/>
    <mergeCell ref="FFN4:FFR4"/>
    <mergeCell ref="FDU4:FDY4"/>
    <mergeCell ref="FDZ4:FED4"/>
    <mergeCell ref="FEE4:FEI4"/>
    <mergeCell ref="FEJ4:FEN4"/>
    <mergeCell ref="FEO4:FES4"/>
    <mergeCell ref="FCV4:FCZ4"/>
    <mergeCell ref="FDA4:FDE4"/>
    <mergeCell ref="FDF4:FDJ4"/>
    <mergeCell ref="FDK4:FDO4"/>
    <mergeCell ref="FDP4:FDT4"/>
    <mergeCell ref="FBW4:FCA4"/>
    <mergeCell ref="FCB4:FCF4"/>
    <mergeCell ref="FCG4:FCK4"/>
    <mergeCell ref="FCL4:FCP4"/>
    <mergeCell ref="FCQ4:FCU4"/>
    <mergeCell ref="FAX4:FBB4"/>
    <mergeCell ref="FBC4:FBG4"/>
    <mergeCell ref="FBH4:FBL4"/>
    <mergeCell ref="FBM4:FBQ4"/>
    <mergeCell ref="FBR4:FBV4"/>
    <mergeCell ref="EZY4:FAC4"/>
    <mergeCell ref="FAD4:FAH4"/>
    <mergeCell ref="FAI4:FAM4"/>
    <mergeCell ref="FAN4:FAR4"/>
    <mergeCell ref="FAS4:FAW4"/>
    <mergeCell ref="EYZ4:EZD4"/>
    <mergeCell ref="EZE4:EZI4"/>
    <mergeCell ref="EZJ4:EZN4"/>
    <mergeCell ref="EZO4:EZS4"/>
    <mergeCell ref="EZT4:EZX4"/>
    <mergeCell ref="EYA4:EYE4"/>
    <mergeCell ref="EYF4:EYJ4"/>
    <mergeCell ref="EYK4:EYO4"/>
    <mergeCell ref="EYP4:EYT4"/>
    <mergeCell ref="EYU4:EYY4"/>
    <mergeCell ref="EXB4:EXF4"/>
    <mergeCell ref="EXG4:EXK4"/>
    <mergeCell ref="EXL4:EXP4"/>
    <mergeCell ref="EXQ4:EXU4"/>
    <mergeCell ref="EXV4:EXZ4"/>
    <mergeCell ref="EWC4:EWG4"/>
    <mergeCell ref="EWH4:EWL4"/>
    <mergeCell ref="EWM4:EWQ4"/>
    <mergeCell ref="EWR4:EWV4"/>
    <mergeCell ref="EWW4:EXA4"/>
    <mergeCell ref="EVD4:EVH4"/>
    <mergeCell ref="EVI4:EVM4"/>
    <mergeCell ref="EVN4:EVR4"/>
    <mergeCell ref="EVS4:EVW4"/>
    <mergeCell ref="EVX4:EWB4"/>
    <mergeCell ref="EUE4:EUI4"/>
    <mergeCell ref="EUJ4:EUN4"/>
    <mergeCell ref="EUO4:EUS4"/>
    <mergeCell ref="EUT4:EUX4"/>
    <mergeCell ref="EUY4:EVC4"/>
    <mergeCell ref="ETF4:ETJ4"/>
    <mergeCell ref="ETK4:ETO4"/>
    <mergeCell ref="ETP4:ETT4"/>
    <mergeCell ref="ETU4:ETY4"/>
    <mergeCell ref="ETZ4:EUD4"/>
    <mergeCell ref="ESG4:ESK4"/>
    <mergeCell ref="ESL4:ESP4"/>
    <mergeCell ref="ESQ4:ESU4"/>
    <mergeCell ref="ESV4:ESZ4"/>
    <mergeCell ref="ETA4:ETE4"/>
    <mergeCell ref="ERH4:ERL4"/>
    <mergeCell ref="ERM4:ERQ4"/>
    <mergeCell ref="ERR4:ERV4"/>
    <mergeCell ref="ERW4:ESA4"/>
    <mergeCell ref="ESB4:ESF4"/>
    <mergeCell ref="EQI4:EQM4"/>
    <mergeCell ref="EQN4:EQR4"/>
    <mergeCell ref="EQS4:EQW4"/>
    <mergeCell ref="EQX4:ERB4"/>
    <mergeCell ref="ERC4:ERG4"/>
    <mergeCell ref="EPJ4:EPN4"/>
    <mergeCell ref="EPO4:EPS4"/>
    <mergeCell ref="EPT4:EPX4"/>
    <mergeCell ref="EPY4:EQC4"/>
    <mergeCell ref="EQD4:EQH4"/>
    <mergeCell ref="EOK4:EOO4"/>
    <mergeCell ref="EOP4:EOT4"/>
    <mergeCell ref="EOU4:EOY4"/>
    <mergeCell ref="EOZ4:EPD4"/>
    <mergeCell ref="EPE4:EPI4"/>
    <mergeCell ref="ENL4:ENP4"/>
    <mergeCell ref="ENQ4:ENU4"/>
    <mergeCell ref="ENV4:ENZ4"/>
    <mergeCell ref="EOA4:EOE4"/>
    <mergeCell ref="EOF4:EOJ4"/>
    <mergeCell ref="EMM4:EMQ4"/>
    <mergeCell ref="EMR4:EMV4"/>
    <mergeCell ref="EMW4:ENA4"/>
    <mergeCell ref="ENB4:ENF4"/>
    <mergeCell ref="ENG4:ENK4"/>
    <mergeCell ref="ELN4:ELR4"/>
    <mergeCell ref="ELS4:ELW4"/>
    <mergeCell ref="ELX4:EMB4"/>
    <mergeCell ref="EMC4:EMG4"/>
    <mergeCell ref="EMH4:EML4"/>
    <mergeCell ref="EKO4:EKS4"/>
    <mergeCell ref="EKT4:EKX4"/>
    <mergeCell ref="EKY4:ELC4"/>
    <mergeCell ref="ELD4:ELH4"/>
    <mergeCell ref="ELI4:ELM4"/>
    <mergeCell ref="EJP4:EJT4"/>
    <mergeCell ref="EJU4:EJY4"/>
    <mergeCell ref="EJZ4:EKD4"/>
    <mergeCell ref="EKE4:EKI4"/>
    <mergeCell ref="EKJ4:EKN4"/>
    <mergeCell ref="EIQ4:EIU4"/>
    <mergeCell ref="EIV4:EIZ4"/>
    <mergeCell ref="EJA4:EJE4"/>
    <mergeCell ref="EJF4:EJJ4"/>
    <mergeCell ref="EJK4:EJO4"/>
    <mergeCell ref="EHR4:EHV4"/>
    <mergeCell ref="EHW4:EIA4"/>
    <mergeCell ref="EIB4:EIF4"/>
    <mergeCell ref="EIG4:EIK4"/>
    <mergeCell ref="EIL4:EIP4"/>
    <mergeCell ref="EGS4:EGW4"/>
    <mergeCell ref="EGX4:EHB4"/>
    <mergeCell ref="EHC4:EHG4"/>
    <mergeCell ref="EHH4:EHL4"/>
    <mergeCell ref="EHM4:EHQ4"/>
    <mergeCell ref="EFT4:EFX4"/>
    <mergeCell ref="EFY4:EGC4"/>
    <mergeCell ref="EGD4:EGH4"/>
    <mergeCell ref="EGI4:EGM4"/>
    <mergeCell ref="EGN4:EGR4"/>
    <mergeCell ref="EEU4:EEY4"/>
    <mergeCell ref="EEZ4:EFD4"/>
    <mergeCell ref="EFE4:EFI4"/>
    <mergeCell ref="EFJ4:EFN4"/>
    <mergeCell ref="EFO4:EFS4"/>
    <mergeCell ref="EDV4:EDZ4"/>
    <mergeCell ref="EEA4:EEE4"/>
    <mergeCell ref="EEF4:EEJ4"/>
    <mergeCell ref="EEK4:EEO4"/>
    <mergeCell ref="EEP4:EET4"/>
    <mergeCell ref="ECW4:EDA4"/>
    <mergeCell ref="EDB4:EDF4"/>
    <mergeCell ref="EDG4:EDK4"/>
    <mergeCell ref="EDL4:EDP4"/>
    <mergeCell ref="EDQ4:EDU4"/>
    <mergeCell ref="EBX4:ECB4"/>
    <mergeCell ref="ECC4:ECG4"/>
    <mergeCell ref="ECH4:ECL4"/>
    <mergeCell ref="ECM4:ECQ4"/>
    <mergeCell ref="ECR4:ECV4"/>
    <mergeCell ref="EAY4:EBC4"/>
    <mergeCell ref="EBD4:EBH4"/>
    <mergeCell ref="EBI4:EBM4"/>
    <mergeCell ref="EBN4:EBR4"/>
    <mergeCell ref="EBS4:EBW4"/>
    <mergeCell ref="DZZ4:EAD4"/>
    <mergeCell ref="EAE4:EAI4"/>
    <mergeCell ref="EAJ4:EAN4"/>
    <mergeCell ref="EAO4:EAS4"/>
    <mergeCell ref="EAT4:EAX4"/>
    <mergeCell ref="DZA4:DZE4"/>
    <mergeCell ref="DZF4:DZJ4"/>
    <mergeCell ref="DZK4:DZO4"/>
    <mergeCell ref="DZP4:DZT4"/>
    <mergeCell ref="DZU4:DZY4"/>
    <mergeCell ref="DYB4:DYF4"/>
    <mergeCell ref="DYG4:DYK4"/>
    <mergeCell ref="DYL4:DYP4"/>
    <mergeCell ref="DYQ4:DYU4"/>
    <mergeCell ref="DYV4:DYZ4"/>
    <mergeCell ref="DXC4:DXG4"/>
    <mergeCell ref="DXH4:DXL4"/>
    <mergeCell ref="DXM4:DXQ4"/>
    <mergeCell ref="DXR4:DXV4"/>
    <mergeCell ref="DXW4:DYA4"/>
    <mergeCell ref="DWD4:DWH4"/>
    <mergeCell ref="DWI4:DWM4"/>
    <mergeCell ref="DWN4:DWR4"/>
    <mergeCell ref="DWS4:DWW4"/>
    <mergeCell ref="DWX4:DXB4"/>
    <mergeCell ref="DVE4:DVI4"/>
    <mergeCell ref="DVJ4:DVN4"/>
    <mergeCell ref="DVO4:DVS4"/>
    <mergeCell ref="DVT4:DVX4"/>
    <mergeCell ref="DVY4:DWC4"/>
    <mergeCell ref="DUF4:DUJ4"/>
    <mergeCell ref="DUK4:DUO4"/>
    <mergeCell ref="DUP4:DUT4"/>
    <mergeCell ref="DUU4:DUY4"/>
    <mergeCell ref="DUZ4:DVD4"/>
    <mergeCell ref="DTG4:DTK4"/>
    <mergeCell ref="DTL4:DTP4"/>
    <mergeCell ref="DTQ4:DTU4"/>
    <mergeCell ref="DTV4:DTZ4"/>
    <mergeCell ref="DUA4:DUE4"/>
    <mergeCell ref="DSH4:DSL4"/>
    <mergeCell ref="DSM4:DSQ4"/>
    <mergeCell ref="DSR4:DSV4"/>
    <mergeCell ref="DSW4:DTA4"/>
    <mergeCell ref="DTB4:DTF4"/>
    <mergeCell ref="DRI4:DRM4"/>
    <mergeCell ref="DRN4:DRR4"/>
    <mergeCell ref="DRS4:DRW4"/>
    <mergeCell ref="DRX4:DSB4"/>
    <mergeCell ref="DSC4:DSG4"/>
    <mergeCell ref="DQJ4:DQN4"/>
    <mergeCell ref="DQO4:DQS4"/>
    <mergeCell ref="DQT4:DQX4"/>
    <mergeCell ref="DQY4:DRC4"/>
    <mergeCell ref="DRD4:DRH4"/>
    <mergeCell ref="DPK4:DPO4"/>
    <mergeCell ref="DPP4:DPT4"/>
    <mergeCell ref="DPU4:DPY4"/>
    <mergeCell ref="DPZ4:DQD4"/>
    <mergeCell ref="DQE4:DQI4"/>
    <mergeCell ref="DOL4:DOP4"/>
    <mergeCell ref="DOQ4:DOU4"/>
    <mergeCell ref="DOV4:DOZ4"/>
    <mergeCell ref="DPA4:DPE4"/>
    <mergeCell ref="DPF4:DPJ4"/>
    <mergeCell ref="DNM4:DNQ4"/>
    <mergeCell ref="DNR4:DNV4"/>
    <mergeCell ref="DNW4:DOA4"/>
    <mergeCell ref="DOB4:DOF4"/>
    <mergeCell ref="DOG4:DOK4"/>
    <mergeCell ref="DMN4:DMR4"/>
    <mergeCell ref="DMS4:DMW4"/>
    <mergeCell ref="DMX4:DNB4"/>
    <mergeCell ref="DNC4:DNG4"/>
    <mergeCell ref="DNH4:DNL4"/>
    <mergeCell ref="DLO4:DLS4"/>
    <mergeCell ref="DLT4:DLX4"/>
    <mergeCell ref="DLY4:DMC4"/>
    <mergeCell ref="DMD4:DMH4"/>
    <mergeCell ref="DMI4:DMM4"/>
    <mergeCell ref="DKP4:DKT4"/>
    <mergeCell ref="DKU4:DKY4"/>
    <mergeCell ref="DKZ4:DLD4"/>
    <mergeCell ref="DLE4:DLI4"/>
    <mergeCell ref="DLJ4:DLN4"/>
    <mergeCell ref="DJQ4:DJU4"/>
    <mergeCell ref="DJV4:DJZ4"/>
    <mergeCell ref="DKA4:DKE4"/>
    <mergeCell ref="DKF4:DKJ4"/>
    <mergeCell ref="DKK4:DKO4"/>
    <mergeCell ref="DIR4:DIV4"/>
    <mergeCell ref="DIW4:DJA4"/>
    <mergeCell ref="DJB4:DJF4"/>
    <mergeCell ref="DJG4:DJK4"/>
    <mergeCell ref="DJL4:DJP4"/>
    <mergeCell ref="DHS4:DHW4"/>
    <mergeCell ref="DHX4:DIB4"/>
    <mergeCell ref="DIC4:DIG4"/>
    <mergeCell ref="DIH4:DIL4"/>
    <mergeCell ref="DIM4:DIQ4"/>
    <mergeCell ref="DGT4:DGX4"/>
    <mergeCell ref="DGY4:DHC4"/>
    <mergeCell ref="DHD4:DHH4"/>
    <mergeCell ref="DHI4:DHM4"/>
    <mergeCell ref="DHN4:DHR4"/>
    <mergeCell ref="DFU4:DFY4"/>
    <mergeCell ref="DFZ4:DGD4"/>
    <mergeCell ref="DGE4:DGI4"/>
    <mergeCell ref="DGJ4:DGN4"/>
    <mergeCell ref="DGO4:DGS4"/>
    <mergeCell ref="DEV4:DEZ4"/>
    <mergeCell ref="DFA4:DFE4"/>
    <mergeCell ref="DFF4:DFJ4"/>
    <mergeCell ref="DFK4:DFO4"/>
    <mergeCell ref="DFP4:DFT4"/>
    <mergeCell ref="DDW4:DEA4"/>
    <mergeCell ref="DEB4:DEF4"/>
    <mergeCell ref="DEG4:DEK4"/>
    <mergeCell ref="DEL4:DEP4"/>
    <mergeCell ref="DEQ4:DEU4"/>
    <mergeCell ref="DCX4:DDB4"/>
    <mergeCell ref="DDC4:DDG4"/>
    <mergeCell ref="DDH4:DDL4"/>
    <mergeCell ref="DDM4:DDQ4"/>
    <mergeCell ref="DDR4:DDV4"/>
    <mergeCell ref="DBY4:DCC4"/>
    <mergeCell ref="DCD4:DCH4"/>
    <mergeCell ref="DCI4:DCM4"/>
    <mergeCell ref="DCN4:DCR4"/>
    <mergeCell ref="DCS4:DCW4"/>
    <mergeCell ref="DAZ4:DBD4"/>
    <mergeCell ref="DBE4:DBI4"/>
    <mergeCell ref="DBJ4:DBN4"/>
    <mergeCell ref="DBO4:DBS4"/>
    <mergeCell ref="DBT4:DBX4"/>
    <mergeCell ref="DAA4:DAE4"/>
    <mergeCell ref="DAF4:DAJ4"/>
    <mergeCell ref="DAK4:DAO4"/>
    <mergeCell ref="DAP4:DAT4"/>
    <mergeCell ref="DAU4:DAY4"/>
    <mergeCell ref="CZB4:CZF4"/>
    <mergeCell ref="CZG4:CZK4"/>
    <mergeCell ref="CZL4:CZP4"/>
    <mergeCell ref="CZQ4:CZU4"/>
    <mergeCell ref="CZV4:CZZ4"/>
    <mergeCell ref="CYC4:CYG4"/>
    <mergeCell ref="CYH4:CYL4"/>
    <mergeCell ref="CYM4:CYQ4"/>
    <mergeCell ref="CYR4:CYV4"/>
    <mergeCell ref="CYW4:CZA4"/>
    <mergeCell ref="CXD4:CXH4"/>
    <mergeCell ref="CXI4:CXM4"/>
    <mergeCell ref="CXN4:CXR4"/>
    <mergeCell ref="CXS4:CXW4"/>
    <mergeCell ref="CXX4:CYB4"/>
    <mergeCell ref="CWE4:CWI4"/>
    <mergeCell ref="CWJ4:CWN4"/>
    <mergeCell ref="CWO4:CWS4"/>
    <mergeCell ref="CWT4:CWX4"/>
    <mergeCell ref="CWY4:CXC4"/>
    <mergeCell ref="CVF4:CVJ4"/>
    <mergeCell ref="CVK4:CVO4"/>
    <mergeCell ref="CVP4:CVT4"/>
    <mergeCell ref="CVU4:CVY4"/>
    <mergeCell ref="CVZ4:CWD4"/>
    <mergeCell ref="CUG4:CUK4"/>
    <mergeCell ref="CUL4:CUP4"/>
    <mergeCell ref="CUQ4:CUU4"/>
    <mergeCell ref="CUV4:CUZ4"/>
    <mergeCell ref="CVA4:CVE4"/>
    <mergeCell ref="CTH4:CTL4"/>
    <mergeCell ref="CTM4:CTQ4"/>
    <mergeCell ref="CTR4:CTV4"/>
    <mergeCell ref="CTW4:CUA4"/>
    <mergeCell ref="CUB4:CUF4"/>
    <mergeCell ref="CSI4:CSM4"/>
    <mergeCell ref="CSN4:CSR4"/>
    <mergeCell ref="CSS4:CSW4"/>
    <mergeCell ref="CSX4:CTB4"/>
    <mergeCell ref="CTC4:CTG4"/>
    <mergeCell ref="CRJ4:CRN4"/>
    <mergeCell ref="CRO4:CRS4"/>
    <mergeCell ref="CRT4:CRX4"/>
    <mergeCell ref="CRY4:CSC4"/>
    <mergeCell ref="CSD4:CSH4"/>
    <mergeCell ref="CQK4:CQO4"/>
    <mergeCell ref="CQP4:CQT4"/>
    <mergeCell ref="CQU4:CQY4"/>
    <mergeCell ref="CQZ4:CRD4"/>
    <mergeCell ref="CRE4:CRI4"/>
    <mergeCell ref="CPL4:CPP4"/>
    <mergeCell ref="CPQ4:CPU4"/>
    <mergeCell ref="CPV4:CPZ4"/>
    <mergeCell ref="CQA4:CQE4"/>
    <mergeCell ref="CQF4:CQJ4"/>
    <mergeCell ref="COM4:COQ4"/>
    <mergeCell ref="COR4:COV4"/>
    <mergeCell ref="COW4:CPA4"/>
    <mergeCell ref="CPB4:CPF4"/>
    <mergeCell ref="CPG4:CPK4"/>
    <mergeCell ref="CNN4:CNR4"/>
    <mergeCell ref="CNS4:CNW4"/>
    <mergeCell ref="CNX4:COB4"/>
    <mergeCell ref="COC4:COG4"/>
    <mergeCell ref="COH4:COL4"/>
    <mergeCell ref="CMO4:CMS4"/>
    <mergeCell ref="CMT4:CMX4"/>
    <mergeCell ref="CMY4:CNC4"/>
    <mergeCell ref="CND4:CNH4"/>
    <mergeCell ref="CNI4:CNM4"/>
    <mergeCell ref="CLP4:CLT4"/>
    <mergeCell ref="CLU4:CLY4"/>
    <mergeCell ref="CLZ4:CMD4"/>
    <mergeCell ref="CME4:CMI4"/>
    <mergeCell ref="CMJ4:CMN4"/>
    <mergeCell ref="CKQ4:CKU4"/>
    <mergeCell ref="CKV4:CKZ4"/>
    <mergeCell ref="CLA4:CLE4"/>
    <mergeCell ref="CLF4:CLJ4"/>
    <mergeCell ref="CLK4:CLO4"/>
    <mergeCell ref="CJR4:CJV4"/>
    <mergeCell ref="CJW4:CKA4"/>
    <mergeCell ref="CKB4:CKF4"/>
    <mergeCell ref="CKG4:CKK4"/>
    <mergeCell ref="CKL4:CKP4"/>
    <mergeCell ref="CIS4:CIW4"/>
    <mergeCell ref="CIX4:CJB4"/>
    <mergeCell ref="CJC4:CJG4"/>
    <mergeCell ref="CJH4:CJL4"/>
    <mergeCell ref="CJM4:CJQ4"/>
    <mergeCell ref="CHT4:CHX4"/>
    <mergeCell ref="CHY4:CIC4"/>
    <mergeCell ref="CID4:CIH4"/>
    <mergeCell ref="CII4:CIM4"/>
    <mergeCell ref="CIN4:CIR4"/>
    <mergeCell ref="CGU4:CGY4"/>
    <mergeCell ref="CGZ4:CHD4"/>
    <mergeCell ref="CHE4:CHI4"/>
    <mergeCell ref="CHJ4:CHN4"/>
    <mergeCell ref="CHO4:CHS4"/>
    <mergeCell ref="CFV4:CFZ4"/>
    <mergeCell ref="CGA4:CGE4"/>
    <mergeCell ref="CGF4:CGJ4"/>
    <mergeCell ref="CGK4:CGO4"/>
    <mergeCell ref="CGP4:CGT4"/>
    <mergeCell ref="CEW4:CFA4"/>
    <mergeCell ref="CFB4:CFF4"/>
    <mergeCell ref="CFG4:CFK4"/>
    <mergeCell ref="CFL4:CFP4"/>
    <mergeCell ref="CFQ4:CFU4"/>
    <mergeCell ref="CDX4:CEB4"/>
    <mergeCell ref="CEC4:CEG4"/>
    <mergeCell ref="CEH4:CEL4"/>
    <mergeCell ref="CEM4:CEQ4"/>
    <mergeCell ref="CER4:CEV4"/>
    <mergeCell ref="CCY4:CDC4"/>
    <mergeCell ref="CDD4:CDH4"/>
    <mergeCell ref="CDI4:CDM4"/>
    <mergeCell ref="CDN4:CDR4"/>
    <mergeCell ref="CDS4:CDW4"/>
    <mergeCell ref="CBZ4:CCD4"/>
    <mergeCell ref="CCE4:CCI4"/>
    <mergeCell ref="CCJ4:CCN4"/>
    <mergeCell ref="CCO4:CCS4"/>
    <mergeCell ref="CCT4:CCX4"/>
    <mergeCell ref="CBA4:CBE4"/>
    <mergeCell ref="CBF4:CBJ4"/>
    <mergeCell ref="CBK4:CBO4"/>
    <mergeCell ref="CBP4:CBT4"/>
    <mergeCell ref="CBU4:CBY4"/>
    <mergeCell ref="CAB4:CAF4"/>
    <mergeCell ref="CAG4:CAK4"/>
    <mergeCell ref="CAL4:CAP4"/>
    <mergeCell ref="CAQ4:CAU4"/>
    <mergeCell ref="CAV4:CAZ4"/>
    <mergeCell ref="BZC4:BZG4"/>
    <mergeCell ref="BZH4:BZL4"/>
    <mergeCell ref="BZM4:BZQ4"/>
    <mergeCell ref="BZR4:BZV4"/>
    <mergeCell ref="BZW4:CAA4"/>
    <mergeCell ref="BYD4:BYH4"/>
    <mergeCell ref="BYI4:BYM4"/>
    <mergeCell ref="BYN4:BYR4"/>
    <mergeCell ref="BYS4:BYW4"/>
    <mergeCell ref="BYX4:BZB4"/>
    <mergeCell ref="BXE4:BXI4"/>
    <mergeCell ref="BXJ4:BXN4"/>
    <mergeCell ref="BXO4:BXS4"/>
    <mergeCell ref="BXT4:BXX4"/>
    <mergeCell ref="BXY4:BYC4"/>
    <mergeCell ref="BWF4:BWJ4"/>
    <mergeCell ref="BWK4:BWO4"/>
    <mergeCell ref="BWP4:BWT4"/>
    <mergeCell ref="BWU4:BWY4"/>
    <mergeCell ref="BWZ4:BXD4"/>
    <mergeCell ref="BVG4:BVK4"/>
    <mergeCell ref="BVL4:BVP4"/>
    <mergeCell ref="BVQ4:BVU4"/>
    <mergeCell ref="BVV4:BVZ4"/>
    <mergeCell ref="BWA4:BWE4"/>
    <mergeCell ref="BUH4:BUL4"/>
    <mergeCell ref="BUM4:BUQ4"/>
    <mergeCell ref="BUR4:BUV4"/>
    <mergeCell ref="BUW4:BVA4"/>
    <mergeCell ref="BVB4:BVF4"/>
    <mergeCell ref="BTI4:BTM4"/>
    <mergeCell ref="BTN4:BTR4"/>
    <mergeCell ref="BTS4:BTW4"/>
    <mergeCell ref="BTX4:BUB4"/>
    <mergeCell ref="BUC4:BUG4"/>
    <mergeCell ref="BSJ4:BSN4"/>
    <mergeCell ref="BSO4:BSS4"/>
    <mergeCell ref="BST4:BSX4"/>
    <mergeCell ref="BSY4:BTC4"/>
    <mergeCell ref="BTD4:BTH4"/>
    <mergeCell ref="BRK4:BRO4"/>
    <mergeCell ref="BRP4:BRT4"/>
    <mergeCell ref="BRU4:BRY4"/>
    <mergeCell ref="BRZ4:BSD4"/>
    <mergeCell ref="BSE4:BSI4"/>
    <mergeCell ref="BQL4:BQP4"/>
    <mergeCell ref="BQQ4:BQU4"/>
    <mergeCell ref="BQV4:BQZ4"/>
    <mergeCell ref="BRA4:BRE4"/>
    <mergeCell ref="BRF4:BRJ4"/>
    <mergeCell ref="BPM4:BPQ4"/>
    <mergeCell ref="BPR4:BPV4"/>
    <mergeCell ref="BPW4:BQA4"/>
    <mergeCell ref="BQB4:BQF4"/>
    <mergeCell ref="BQG4:BQK4"/>
    <mergeCell ref="BON4:BOR4"/>
    <mergeCell ref="BOS4:BOW4"/>
    <mergeCell ref="BOX4:BPB4"/>
    <mergeCell ref="BPC4:BPG4"/>
    <mergeCell ref="BPH4:BPL4"/>
    <mergeCell ref="BNO4:BNS4"/>
    <mergeCell ref="BNT4:BNX4"/>
    <mergeCell ref="BNY4:BOC4"/>
    <mergeCell ref="BOD4:BOH4"/>
    <mergeCell ref="BOI4:BOM4"/>
    <mergeCell ref="BMP4:BMT4"/>
    <mergeCell ref="BMU4:BMY4"/>
    <mergeCell ref="BMZ4:BND4"/>
    <mergeCell ref="BNE4:BNI4"/>
    <mergeCell ref="BNJ4:BNN4"/>
    <mergeCell ref="BLQ4:BLU4"/>
    <mergeCell ref="BLV4:BLZ4"/>
    <mergeCell ref="BMA4:BME4"/>
    <mergeCell ref="BMF4:BMJ4"/>
    <mergeCell ref="BMK4:BMO4"/>
    <mergeCell ref="BKR4:BKV4"/>
    <mergeCell ref="BKW4:BLA4"/>
    <mergeCell ref="BLB4:BLF4"/>
    <mergeCell ref="BLG4:BLK4"/>
    <mergeCell ref="BLL4:BLP4"/>
    <mergeCell ref="BJS4:BJW4"/>
    <mergeCell ref="BJX4:BKB4"/>
    <mergeCell ref="BKC4:BKG4"/>
    <mergeCell ref="BKH4:BKL4"/>
    <mergeCell ref="BKM4:BKQ4"/>
    <mergeCell ref="BIT4:BIX4"/>
    <mergeCell ref="BIY4:BJC4"/>
    <mergeCell ref="BJD4:BJH4"/>
    <mergeCell ref="BJI4:BJM4"/>
    <mergeCell ref="BJN4:BJR4"/>
    <mergeCell ref="BHU4:BHY4"/>
    <mergeCell ref="BHZ4:BID4"/>
    <mergeCell ref="BIE4:BII4"/>
    <mergeCell ref="BIJ4:BIN4"/>
    <mergeCell ref="BIO4:BIS4"/>
    <mergeCell ref="BGV4:BGZ4"/>
    <mergeCell ref="BHA4:BHE4"/>
    <mergeCell ref="BHF4:BHJ4"/>
    <mergeCell ref="BHK4:BHO4"/>
    <mergeCell ref="BHP4:BHT4"/>
    <mergeCell ref="BFW4:BGA4"/>
    <mergeCell ref="BGB4:BGF4"/>
    <mergeCell ref="BGG4:BGK4"/>
    <mergeCell ref="BGL4:BGP4"/>
    <mergeCell ref="BGQ4:BGU4"/>
    <mergeCell ref="BEX4:BFB4"/>
    <mergeCell ref="BFC4:BFG4"/>
    <mergeCell ref="BFH4:BFL4"/>
    <mergeCell ref="BFM4:BFQ4"/>
    <mergeCell ref="BFR4:BFV4"/>
    <mergeCell ref="BDY4:BEC4"/>
    <mergeCell ref="BED4:BEH4"/>
    <mergeCell ref="BEI4:BEM4"/>
    <mergeCell ref="BEN4:BER4"/>
    <mergeCell ref="BES4:BEW4"/>
    <mergeCell ref="BCZ4:BDD4"/>
    <mergeCell ref="BDE4:BDI4"/>
    <mergeCell ref="BDJ4:BDN4"/>
    <mergeCell ref="BDO4:BDS4"/>
    <mergeCell ref="BDT4:BDX4"/>
    <mergeCell ref="BCA4:BCE4"/>
    <mergeCell ref="BCF4:BCJ4"/>
    <mergeCell ref="BCK4:BCO4"/>
    <mergeCell ref="BCP4:BCT4"/>
    <mergeCell ref="BCU4:BCY4"/>
    <mergeCell ref="BBB4:BBF4"/>
    <mergeCell ref="BBG4:BBK4"/>
    <mergeCell ref="BBL4:BBP4"/>
    <mergeCell ref="BBQ4:BBU4"/>
    <mergeCell ref="BBV4:BBZ4"/>
    <mergeCell ref="BAC4:BAG4"/>
    <mergeCell ref="BAH4:BAL4"/>
    <mergeCell ref="BAM4:BAQ4"/>
    <mergeCell ref="BAR4:BAV4"/>
    <mergeCell ref="BAW4:BBA4"/>
    <mergeCell ref="AZD4:AZH4"/>
    <mergeCell ref="AZI4:AZM4"/>
    <mergeCell ref="AZN4:AZR4"/>
    <mergeCell ref="AZS4:AZW4"/>
    <mergeCell ref="AZX4:BAB4"/>
    <mergeCell ref="AYE4:AYI4"/>
    <mergeCell ref="AYJ4:AYN4"/>
    <mergeCell ref="AYO4:AYS4"/>
    <mergeCell ref="AYT4:AYX4"/>
    <mergeCell ref="AYY4:AZC4"/>
    <mergeCell ref="AXF4:AXJ4"/>
    <mergeCell ref="AXK4:AXO4"/>
    <mergeCell ref="AXP4:AXT4"/>
    <mergeCell ref="AXU4:AXY4"/>
    <mergeCell ref="AXZ4:AYD4"/>
    <mergeCell ref="AWG4:AWK4"/>
    <mergeCell ref="AWL4:AWP4"/>
    <mergeCell ref="AWQ4:AWU4"/>
    <mergeCell ref="AWV4:AWZ4"/>
    <mergeCell ref="AXA4:AXE4"/>
    <mergeCell ref="AVH4:AVL4"/>
    <mergeCell ref="AVM4:AVQ4"/>
    <mergeCell ref="AVR4:AVV4"/>
    <mergeCell ref="AVW4:AWA4"/>
    <mergeCell ref="AWB4:AWF4"/>
    <mergeCell ref="AUI4:AUM4"/>
    <mergeCell ref="AUN4:AUR4"/>
    <mergeCell ref="AUS4:AUW4"/>
    <mergeCell ref="AUX4:AVB4"/>
    <mergeCell ref="AVC4:AVG4"/>
    <mergeCell ref="ATJ4:ATN4"/>
    <mergeCell ref="ATO4:ATS4"/>
    <mergeCell ref="ATT4:ATX4"/>
    <mergeCell ref="ATY4:AUC4"/>
    <mergeCell ref="AUD4:AUH4"/>
    <mergeCell ref="ASK4:ASO4"/>
    <mergeCell ref="ASP4:AST4"/>
    <mergeCell ref="ASU4:ASY4"/>
    <mergeCell ref="ASZ4:ATD4"/>
    <mergeCell ref="ATE4:ATI4"/>
    <mergeCell ref="ARL4:ARP4"/>
    <mergeCell ref="ARQ4:ARU4"/>
    <mergeCell ref="ARV4:ARZ4"/>
    <mergeCell ref="ASA4:ASE4"/>
    <mergeCell ref="ASF4:ASJ4"/>
    <mergeCell ref="AQM4:AQQ4"/>
    <mergeCell ref="AQR4:AQV4"/>
    <mergeCell ref="AQW4:ARA4"/>
    <mergeCell ref="ARB4:ARF4"/>
    <mergeCell ref="ARG4:ARK4"/>
    <mergeCell ref="APN4:APR4"/>
    <mergeCell ref="APS4:APW4"/>
    <mergeCell ref="APX4:AQB4"/>
    <mergeCell ref="AQC4:AQG4"/>
    <mergeCell ref="AQH4:AQL4"/>
    <mergeCell ref="AOO4:AOS4"/>
    <mergeCell ref="AOT4:AOX4"/>
    <mergeCell ref="AOY4:APC4"/>
    <mergeCell ref="APD4:APH4"/>
    <mergeCell ref="API4:APM4"/>
    <mergeCell ref="ANP4:ANT4"/>
    <mergeCell ref="ANU4:ANY4"/>
    <mergeCell ref="ANZ4:AOD4"/>
    <mergeCell ref="AOE4:AOI4"/>
    <mergeCell ref="AOJ4:AON4"/>
    <mergeCell ref="AMQ4:AMU4"/>
    <mergeCell ref="AMV4:AMZ4"/>
    <mergeCell ref="ANA4:ANE4"/>
    <mergeCell ref="ANF4:ANJ4"/>
    <mergeCell ref="ANK4:ANO4"/>
    <mergeCell ref="ALR4:ALV4"/>
    <mergeCell ref="ALW4:AMA4"/>
    <mergeCell ref="AMB4:AMF4"/>
    <mergeCell ref="AMG4:AMK4"/>
    <mergeCell ref="AML4:AMP4"/>
    <mergeCell ref="AKS4:AKW4"/>
    <mergeCell ref="AKX4:ALB4"/>
    <mergeCell ref="ALC4:ALG4"/>
    <mergeCell ref="ALH4:ALL4"/>
    <mergeCell ref="ALM4:ALQ4"/>
    <mergeCell ref="AJT4:AJX4"/>
    <mergeCell ref="AJY4:AKC4"/>
    <mergeCell ref="AKD4:AKH4"/>
    <mergeCell ref="AKI4:AKM4"/>
    <mergeCell ref="AKN4:AKR4"/>
    <mergeCell ref="AIU4:AIY4"/>
    <mergeCell ref="AIZ4:AJD4"/>
    <mergeCell ref="AJE4:AJI4"/>
    <mergeCell ref="AJJ4:AJN4"/>
    <mergeCell ref="AJO4:AJS4"/>
    <mergeCell ref="AHV4:AHZ4"/>
    <mergeCell ref="AIA4:AIE4"/>
    <mergeCell ref="AIF4:AIJ4"/>
    <mergeCell ref="AIK4:AIO4"/>
    <mergeCell ref="AIP4:AIT4"/>
    <mergeCell ref="AGW4:AHA4"/>
    <mergeCell ref="AHB4:AHF4"/>
    <mergeCell ref="AHG4:AHK4"/>
    <mergeCell ref="AHL4:AHP4"/>
    <mergeCell ref="AHQ4:AHU4"/>
    <mergeCell ref="AFX4:AGB4"/>
    <mergeCell ref="AGC4:AGG4"/>
    <mergeCell ref="AGH4:AGL4"/>
    <mergeCell ref="AGM4:AGQ4"/>
    <mergeCell ref="AGR4:AGV4"/>
    <mergeCell ref="AEY4:AFC4"/>
    <mergeCell ref="AFD4:AFH4"/>
    <mergeCell ref="AFI4:AFM4"/>
    <mergeCell ref="AFN4:AFR4"/>
    <mergeCell ref="AFS4:AFW4"/>
    <mergeCell ref="ADZ4:AED4"/>
    <mergeCell ref="AEE4:AEI4"/>
    <mergeCell ref="AEJ4:AEN4"/>
    <mergeCell ref="AEO4:AES4"/>
    <mergeCell ref="AET4:AEX4"/>
    <mergeCell ref="ADA4:ADE4"/>
    <mergeCell ref="ADF4:ADJ4"/>
    <mergeCell ref="ADK4:ADO4"/>
    <mergeCell ref="ADP4:ADT4"/>
    <mergeCell ref="ADU4:ADY4"/>
    <mergeCell ref="ACB4:ACF4"/>
    <mergeCell ref="ACG4:ACK4"/>
    <mergeCell ref="ACL4:ACP4"/>
    <mergeCell ref="ACQ4:ACU4"/>
    <mergeCell ref="ACV4:ACZ4"/>
    <mergeCell ref="ABC4:ABG4"/>
    <mergeCell ref="ABH4:ABL4"/>
    <mergeCell ref="ABM4:ABQ4"/>
    <mergeCell ref="ABR4:ABV4"/>
    <mergeCell ref="ABW4:ACA4"/>
    <mergeCell ref="AAD4:AAH4"/>
    <mergeCell ref="AAI4:AAM4"/>
    <mergeCell ref="AAN4:AAR4"/>
    <mergeCell ref="AAS4:AAW4"/>
    <mergeCell ref="AAX4:ABB4"/>
    <mergeCell ref="ZE4:ZI4"/>
    <mergeCell ref="ZJ4:ZN4"/>
    <mergeCell ref="ZO4:ZS4"/>
    <mergeCell ref="ZT4:ZX4"/>
    <mergeCell ref="ZY4:AAC4"/>
    <mergeCell ref="YF4:YJ4"/>
    <mergeCell ref="YK4:YO4"/>
    <mergeCell ref="YP4:YT4"/>
    <mergeCell ref="YU4:YY4"/>
    <mergeCell ref="YZ4:ZD4"/>
    <mergeCell ref="XG4:XK4"/>
    <mergeCell ref="XL4:XP4"/>
    <mergeCell ref="XQ4:XU4"/>
    <mergeCell ref="XV4:XZ4"/>
    <mergeCell ref="YA4:YE4"/>
    <mergeCell ref="WH4:WL4"/>
    <mergeCell ref="WM4:WQ4"/>
    <mergeCell ref="WR4:WV4"/>
    <mergeCell ref="WW4:XA4"/>
    <mergeCell ref="XB4:XF4"/>
    <mergeCell ref="VI4:VM4"/>
    <mergeCell ref="VN4:VR4"/>
    <mergeCell ref="VS4:VW4"/>
    <mergeCell ref="VX4:WB4"/>
    <mergeCell ref="WC4:WG4"/>
    <mergeCell ref="UJ4:UN4"/>
    <mergeCell ref="UO4:US4"/>
    <mergeCell ref="UT4:UX4"/>
    <mergeCell ref="UY4:VC4"/>
    <mergeCell ref="VD4:VH4"/>
    <mergeCell ref="TK4:TO4"/>
    <mergeCell ref="TP4:TT4"/>
    <mergeCell ref="TU4:TY4"/>
    <mergeCell ref="TZ4:UD4"/>
    <mergeCell ref="UE4:UI4"/>
    <mergeCell ref="SL4:SP4"/>
    <mergeCell ref="SQ4:SU4"/>
    <mergeCell ref="SV4:SZ4"/>
    <mergeCell ref="TA4:TE4"/>
    <mergeCell ref="TF4:TJ4"/>
    <mergeCell ref="RM4:RQ4"/>
    <mergeCell ref="RR4:RV4"/>
    <mergeCell ref="RW4:SA4"/>
    <mergeCell ref="SB4:SF4"/>
    <mergeCell ref="SG4:SK4"/>
    <mergeCell ref="QN4:QR4"/>
    <mergeCell ref="QS4:QW4"/>
    <mergeCell ref="QX4:RB4"/>
    <mergeCell ref="RC4:RG4"/>
    <mergeCell ref="RH4:RL4"/>
    <mergeCell ref="PO4:PS4"/>
    <mergeCell ref="PT4:PX4"/>
    <mergeCell ref="PY4:QC4"/>
    <mergeCell ref="QD4:QH4"/>
    <mergeCell ref="QI4:QM4"/>
    <mergeCell ref="OP4:OT4"/>
    <mergeCell ref="OU4:OY4"/>
    <mergeCell ref="OZ4:PD4"/>
    <mergeCell ref="PE4:PI4"/>
    <mergeCell ref="PJ4:PN4"/>
    <mergeCell ref="NQ4:NU4"/>
    <mergeCell ref="NV4:NZ4"/>
    <mergeCell ref="OA4:OE4"/>
    <mergeCell ref="OF4:OJ4"/>
    <mergeCell ref="OK4:OO4"/>
    <mergeCell ref="MR4:MV4"/>
    <mergeCell ref="MW4:NA4"/>
    <mergeCell ref="NB4:NF4"/>
    <mergeCell ref="NG4:NK4"/>
    <mergeCell ref="NL4:NP4"/>
    <mergeCell ref="LS4:LW4"/>
    <mergeCell ref="LX4:MB4"/>
    <mergeCell ref="MC4:MG4"/>
    <mergeCell ref="MH4:ML4"/>
    <mergeCell ref="MM4:MQ4"/>
    <mergeCell ref="KT4:KX4"/>
    <mergeCell ref="KY4:LC4"/>
    <mergeCell ref="LD4:LH4"/>
    <mergeCell ref="LI4:LM4"/>
    <mergeCell ref="LN4:LR4"/>
    <mergeCell ref="JU4:JY4"/>
    <mergeCell ref="JZ4:KD4"/>
    <mergeCell ref="KE4:KI4"/>
    <mergeCell ref="KJ4:KN4"/>
    <mergeCell ref="KO4:KS4"/>
    <mergeCell ref="JF4:JJ4"/>
    <mergeCell ref="JK4:JO4"/>
    <mergeCell ref="JP4:JT4"/>
    <mergeCell ref="HW4:IA4"/>
    <mergeCell ref="IB4:IF4"/>
    <mergeCell ref="IG4:IK4"/>
    <mergeCell ref="IL4:IP4"/>
    <mergeCell ref="IQ4:IU4"/>
    <mergeCell ref="GX4:HB4"/>
    <mergeCell ref="HC4:HG4"/>
    <mergeCell ref="HH4:HL4"/>
    <mergeCell ref="HM4:HQ4"/>
    <mergeCell ref="HR4:HV4"/>
    <mergeCell ref="FY4:GC4"/>
    <mergeCell ref="GD4:GH4"/>
    <mergeCell ref="GI4:GM4"/>
    <mergeCell ref="GN4:GR4"/>
    <mergeCell ref="GS4:GW4"/>
    <mergeCell ref="EZ4:FD4"/>
    <mergeCell ref="FE4:FI4"/>
    <mergeCell ref="FJ4:FN4"/>
    <mergeCell ref="FO4:FS4"/>
    <mergeCell ref="FT4:FX4"/>
    <mergeCell ref="EA4:EE4"/>
    <mergeCell ref="EF4:EJ4"/>
    <mergeCell ref="EK4:EO4"/>
    <mergeCell ref="EP4:ET4"/>
    <mergeCell ref="EU4:EY4"/>
    <mergeCell ref="DB4:DF4"/>
    <mergeCell ref="DG4:DK4"/>
    <mergeCell ref="DL4:DP4"/>
    <mergeCell ref="DQ4:DU4"/>
    <mergeCell ref="DV4:DZ4"/>
    <mergeCell ref="CC4:CG4"/>
    <mergeCell ref="CH4:CL4"/>
    <mergeCell ref="CM4:CQ4"/>
    <mergeCell ref="CR4:CV4"/>
    <mergeCell ref="CW4:DA4"/>
    <mergeCell ref="XFA3:XFD3"/>
    <mergeCell ref="U4:Y4"/>
    <mergeCell ref="Z4:AD4"/>
    <mergeCell ref="AE4:AI4"/>
    <mergeCell ref="AJ4:AN4"/>
    <mergeCell ref="AO4:AS4"/>
    <mergeCell ref="AT4:AX4"/>
    <mergeCell ref="AY4:BC4"/>
    <mergeCell ref="BD4:BH4"/>
    <mergeCell ref="BI4:BM4"/>
    <mergeCell ref="BN4:BR4"/>
    <mergeCell ref="BS4:BW4"/>
    <mergeCell ref="BX4:CB4"/>
    <mergeCell ref="XEB3:XEF3"/>
    <mergeCell ref="XEG3:XEK3"/>
    <mergeCell ref="XEL3:XEP3"/>
    <mergeCell ref="XEQ3:XEU3"/>
    <mergeCell ref="XEV3:XEZ3"/>
    <mergeCell ref="XDC3:XDG3"/>
    <mergeCell ref="XDH3:XDL3"/>
    <mergeCell ref="XDM3:XDQ3"/>
    <mergeCell ref="XDR3:XDV3"/>
    <mergeCell ref="XDW3:XEA3"/>
    <mergeCell ref="XCD3:XCH3"/>
    <mergeCell ref="XCI3:XCM3"/>
    <mergeCell ref="XCN3:XCR3"/>
    <mergeCell ref="XCS3:XCW3"/>
    <mergeCell ref="XCX3:XDB3"/>
    <mergeCell ref="XBE3:XBI3"/>
    <mergeCell ref="XBJ3:XBN3"/>
    <mergeCell ref="XBO3:XBS3"/>
    <mergeCell ref="XBT3:XBX3"/>
    <mergeCell ref="XBY3:XCC3"/>
    <mergeCell ref="XAF3:XAJ3"/>
    <mergeCell ref="XAK3:XAO3"/>
    <mergeCell ref="XAP3:XAT3"/>
    <mergeCell ref="XAU3:XAY3"/>
    <mergeCell ref="XAZ3:XBD3"/>
    <mergeCell ref="WZG3:WZK3"/>
    <mergeCell ref="WZL3:WZP3"/>
    <mergeCell ref="WZQ3:WZU3"/>
    <mergeCell ref="WZV3:WZZ3"/>
    <mergeCell ref="XAA3:XAE3"/>
    <mergeCell ref="WYH3:WYL3"/>
    <mergeCell ref="WYM3:WYQ3"/>
    <mergeCell ref="WYR3:WYV3"/>
    <mergeCell ref="WYW3:WZA3"/>
    <mergeCell ref="WZB3:WZF3"/>
    <mergeCell ref="WXI3:WXM3"/>
    <mergeCell ref="WXN3:WXR3"/>
    <mergeCell ref="WXS3:WXW3"/>
    <mergeCell ref="WXX3:WYB3"/>
    <mergeCell ref="WYC3:WYG3"/>
    <mergeCell ref="WWJ3:WWN3"/>
    <mergeCell ref="WWO3:WWS3"/>
    <mergeCell ref="WWT3:WWX3"/>
    <mergeCell ref="IV4:IZ4"/>
    <mergeCell ref="JA4:JE4"/>
    <mergeCell ref="WWY3:WXC3"/>
    <mergeCell ref="WXD3:WXH3"/>
    <mergeCell ref="WVK3:WVO3"/>
    <mergeCell ref="WVP3:WVT3"/>
    <mergeCell ref="WVU3:WVY3"/>
    <mergeCell ref="WVZ3:WWD3"/>
    <mergeCell ref="WWE3:WWI3"/>
    <mergeCell ref="WUL3:WUP3"/>
    <mergeCell ref="WUQ3:WUU3"/>
    <mergeCell ref="WUV3:WUZ3"/>
    <mergeCell ref="WVA3:WVE3"/>
    <mergeCell ref="WVF3:WVJ3"/>
    <mergeCell ref="WTM3:WTQ3"/>
    <mergeCell ref="WTR3:WTV3"/>
    <mergeCell ref="WTW3:WUA3"/>
    <mergeCell ref="WUB3:WUF3"/>
    <mergeCell ref="WUG3:WUK3"/>
    <mergeCell ref="WSN3:WSR3"/>
    <mergeCell ref="WSS3:WSW3"/>
    <mergeCell ref="WSX3:WTB3"/>
    <mergeCell ref="WTC3:WTG3"/>
    <mergeCell ref="WTH3:WTL3"/>
    <mergeCell ref="WRO3:WRS3"/>
    <mergeCell ref="WRT3:WRX3"/>
    <mergeCell ref="WRY3:WSC3"/>
    <mergeCell ref="WSD3:WSH3"/>
    <mergeCell ref="WSI3:WSM3"/>
    <mergeCell ref="WQP3:WQT3"/>
    <mergeCell ref="WQU3:WQY3"/>
    <mergeCell ref="WQZ3:WRD3"/>
    <mergeCell ref="WRE3:WRI3"/>
    <mergeCell ref="WRJ3:WRN3"/>
    <mergeCell ref="WPQ3:WPU3"/>
    <mergeCell ref="WPV3:WPZ3"/>
    <mergeCell ref="WQA3:WQE3"/>
    <mergeCell ref="WQF3:WQJ3"/>
    <mergeCell ref="WQK3:WQO3"/>
    <mergeCell ref="WOR3:WOV3"/>
    <mergeCell ref="WOW3:WPA3"/>
    <mergeCell ref="WPB3:WPF3"/>
    <mergeCell ref="WPG3:WPK3"/>
    <mergeCell ref="WPL3:WPP3"/>
    <mergeCell ref="WNS3:WNW3"/>
    <mergeCell ref="WNX3:WOB3"/>
    <mergeCell ref="WOC3:WOG3"/>
    <mergeCell ref="WOH3:WOL3"/>
    <mergeCell ref="WOM3:WOQ3"/>
    <mergeCell ref="WMT3:WMX3"/>
    <mergeCell ref="WMY3:WNC3"/>
    <mergeCell ref="WND3:WNH3"/>
    <mergeCell ref="WNI3:WNM3"/>
    <mergeCell ref="WNN3:WNR3"/>
    <mergeCell ref="WLU3:WLY3"/>
    <mergeCell ref="WLZ3:WMD3"/>
    <mergeCell ref="WME3:WMI3"/>
    <mergeCell ref="WMJ3:WMN3"/>
    <mergeCell ref="WMO3:WMS3"/>
    <mergeCell ref="WKV3:WKZ3"/>
    <mergeCell ref="WLA3:WLE3"/>
    <mergeCell ref="WLF3:WLJ3"/>
    <mergeCell ref="WLK3:WLO3"/>
    <mergeCell ref="WLP3:WLT3"/>
    <mergeCell ref="WJW3:WKA3"/>
    <mergeCell ref="WKB3:WKF3"/>
    <mergeCell ref="WKG3:WKK3"/>
    <mergeCell ref="WKL3:WKP3"/>
    <mergeCell ref="WKQ3:WKU3"/>
    <mergeCell ref="WIX3:WJB3"/>
    <mergeCell ref="WJC3:WJG3"/>
    <mergeCell ref="WJH3:WJL3"/>
    <mergeCell ref="WJM3:WJQ3"/>
    <mergeCell ref="WJR3:WJV3"/>
    <mergeCell ref="WHY3:WIC3"/>
    <mergeCell ref="WID3:WIH3"/>
    <mergeCell ref="WII3:WIM3"/>
    <mergeCell ref="WIN3:WIR3"/>
    <mergeCell ref="WIS3:WIW3"/>
    <mergeCell ref="WGZ3:WHD3"/>
    <mergeCell ref="WHE3:WHI3"/>
    <mergeCell ref="WHJ3:WHN3"/>
    <mergeCell ref="WHO3:WHS3"/>
    <mergeCell ref="WHT3:WHX3"/>
    <mergeCell ref="WGA3:WGE3"/>
    <mergeCell ref="WGF3:WGJ3"/>
    <mergeCell ref="WGK3:WGO3"/>
    <mergeCell ref="WGP3:WGT3"/>
    <mergeCell ref="WGU3:WGY3"/>
    <mergeCell ref="WFB3:WFF3"/>
    <mergeCell ref="WFG3:WFK3"/>
    <mergeCell ref="WFL3:WFP3"/>
    <mergeCell ref="WFQ3:WFU3"/>
    <mergeCell ref="WFV3:WFZ3"/>
    <mergeCell ref="WEC3:WEG3"/>
    <mergeCell ref="WEH3:WEL3"/>
    <mergeCell ref="WEM3:WEQ3"/>
    <mergeCell ref="WER3:WEV3"/>
    <mergeCell ref="WEW3:WFA3"/>
    <mergeCell ref="WDD3:WDH3"/>
    <mergeCell ref="WDI3:WDM3"/>
    <mergeCell ref="WDN3:WDR3"/>
    <mergeCell ref="WDS3:WDW3"/>
    <mergeCell ref="WDX3:WEB3"/>
    <mergeCell ref="WCE3:WCI3"/>
    <mergeCell ref="WCJ3:WCN3"/>
    <mergeCell ref="WCO3:WCS3"/>
    <mergeCell ref="WCT3:WCX3"/>
    <mergeCell ref="WCY3:WDC3"/>
    <mergeCell ref="WBF3:WBJ3"/>
    <mergeCell ref="WBK3:WBO3"/>
    <mergeCell ref="WBP3:WBT3"/>
    <mergeCell ref="WBU3:WBY3"/>
    <mergeCell ref="WBZ3:WCD3"/>
    <mergeCell ref="WAG3:WAK3"/>
    <mergeCell ref="WAL3:WAP3"/>
    <mergeCell ref="WAQ3:WAU3"/>
    <mergeCell ref="WAV3:WAZ3"/>
    <mergeCell ref="WBA3:WBE3"/>
    <mergeCell ref="VZH3:VZL3"/>
    <mergeCell ref="VZM3:VZQ3"/>
    <mergeCell ref="VZR3:VZV3"/>
    <mergeCell ref="VZW3:WAA3"/>
    <mergeCell ref="WAB3:WAF3"/>
    <mergeCell ref="VYI3:VYM3"/>
    <mergeCell ref="VYN3:VYR3"/>
    <mergeCell ref="VYS3:VYW3"/>
    <mergeCell ref="VYX3:VZB3"/>
    <mergeCell ref="VZC3:VZG3"/>
    <mergeCell ref="VXJ3:VXN3"/>
    <mergeCell ref="VXO3:VXS3"/>
    <mergeCell ref="VXT3:VXX3"/>
    <mergeCell ref="VXY3:VYC3"/>
    <mergeCell ref="VYD3:VYH3"/>
    <mergeCell ref="VWK3:VWO3"/>
    <mergeCell ref="VWP3:VWT3"/>
    <mergeCell ref="VWU3:VWY3"/>
    <mergeCell ref="VWZ3:VXD3"/>
    <mergeCell ref="VXE3:VXI3"/>
    <mergeCell ref="VVL3:VVP3"/>
    <mergeCell ref="VVQ3:VVU3"/>
    <mergeCell ref="VVV3:VVZ3"/>
    <mergeCell ref="VWA3:VWE3"/>
    <mergeCell ref="VWF3:VWJ3"/>
    <mergeCell ref="VUM3:VUQ3"/>
    <mergeCell ref="VUR3:VUV3"/>
    <mergeCell ref="VUW3:VVA3"/>
    <mergeCell ref="VVB3:VVF3"/>
    <mergeCell ref="VVG3:VVK3"/>
    <mergeCell ref="VTN3:VTR3"/>
    <mergeCell ref="VTS3:VTW3"/>
    <mergeCell ref="VTX3:VUB3"/>
    <mergeCell ref="VUC3:VUG3"/>
    <mergeCell ref="VUH3:VUL3"/>
    <mergeCell ref="VSO3:VSS3"/>
    <mergeCell ref="VST3:VSX3"/>
    <mergeCell ref="VSY3:VTC3"/>
    <mergeCell ref="VTD3:VTH3"/>
    <mergeCell ref="VTI3:VTM3"/>
    <mergeCell ref="VRP3:VRT3"/>
    <mergeCell ref="VRU3:VRY3"/>
    <mergeCell ref="VRZ3:VSD3"/>
    <mergeCell ref="VSE3:VSI3"/>
    <mergeCell ref="VSJ3:VSN3"/>
    <mergeCell ref="VQQ3:VQU3"/>
    <mergeCell ref="VQV3:VQZ3"/>
    <mergeCell ref="VRA3:VRE3"/>
    <mergeCell ref="VRF3:VRJ3"/>
    <mergeCell ref="VRK3:VRO3"/>
    <mergeCell ref="VPR3:VPV3"/>
    <mergeCell ref="VPW3:VQA3"/>
    <mergeCell ref="VQB3:VQF3"/>
    <mergeCell ref="VQG3:VQK3"/>
    <mergeCell ref="VQL3:VQP3"/>
    <mergeCell ref="VOS3:VOW3"/>
    <mergeCell ref="VOX3:VPB3"/>
    <mergeCell ref="VPC3:VPG3"/>
    <mergeCell ref="VPH3:VPL3"/>
    <mergeCell ref="VPM3:VPQ3"/>
    <mergeCell ref="VNT3:VNX3"/>
    <mergeCell ref="VNY3:VOC3"/>
    <mergeCell ref="VOD3:VOH3"/>
    <mergeCell ref="VOI3:VOM3"/>
    <mergeCell ref="VON3:VOR3"/>
    <mergeCell ref="VMU3:VMY3"/>
    <mergeCell ref="VMZ3:VND3"/>
    <mergeCell ref="VNE3:VNI3"/>
    <mergeCell ref="VNJ3:VNN3"/>
    <mergeCell ref="VNO3:VNS3"/>
    <mergeCell ref="VLV3:VLZ3"/>
    <mergeCell ref="VMA3:VME3"/>
    <mergeCell ref="VMF3:VMJ3"/>
    <mergeCell ref="VMK3:VMO3"/>
    <mergeCell ref="VMP3:VMT3"/>
    <mergeCell ref="VKW3:VLA3"/>
    <mergeCell ref="VLB3:VLF3"/>
    <mergeCell ref="VLG3:VLK3"/>
    <mergeCell ref="VLL3:VLP3"/>
    <mergeCell ref="VLQ3:VLU3"/>
    <mergeCell ref="VJX3:VKB3"/>
    <mergeCell ref="VKC3:VKG3"/>
    <mergeCell ref="VKH3:VKL3"/>
    <mergeCell ref="VKM3:VKQ3"/>
    <mergeCell ref="VKR3:VKV3"/>
    <mergeCell ref="VIY3:VJC3"/>
    <mergeCell ref="VJD3:VJH3"/>
    <mergeCell ref="VJI3:VJM3"/>
    <mergeCell ref="VJN3:VJR3"/>
    <mergeCell ref="VJS3:VJW3"/>
    <mergeCell ref="VHZ3:VID3"/>
    <mergeCell ref="VIE3:VII3"/>
    <mergeCell ref="VIJ3:VIN3"/>
    <mergeCell ref="VIO3:VIS3"/>
    <mergeCell ref="VIT3:VIX3"/>
    <mergeCell ref="VHA3:VHE3"/>
    <mergeCell ref="VHF3:VHJ3"/>
    <mergeCell ref="VHK3:VHO3"/>
    <mergeCell ref="VHP3:VHT3"/>
    <mergeCell ref="VHU3:VHY3"/>
    <mergeCell ref="VGB3:VGF3"/>
    <mergeCell ref="VGG3:VGK3"/>
    <mergeCell ref="VGL3:VGP3"/>
    <mergeCell ref="VGQ3:VGU3"/>
    <mergeCell ref="VGV3:VGZ3"/>
    <mergeCell ref="VFC3:VFG3"/>
    <mergeCell ref="VFH3:VFL3"/>
    <mergeCell ref="VFM3:VFQ3"/>
    <mergeCell ref="VFR3:VFV3"/>
    <mergeCell ref="VFW3:VGA3"/>
    <mergeCell ref="VED3:VEH3"/>
    <mergeCell ref="VEI3:VEM3"/>
    <mergeCell ref="VEN3:VER3"/>
    <mergeCell ref="VES3:VEW3"/>
    <mergeCell ref="VEX3:VFB3"/>
    <mergeCell ref="VDE3:VDI3"/>
    <mergeCell ref="VDJ3:VDN3"/>
    <mergeCell ref="VDO3:VDS3"/>
    <mergeCell ref="VDT3:VDX3"/>
    <mergeCell ref="VDY3:VEC3"/>
    <mergeCell ref="VCF3:VCJ3"/>
    <mergeCell ref="VCK3:VCO3"/>
    <mergeCell ref="VCP3:VCT3"/>
    <mergeCell ref="VCU3:VCY3"/>
    <mergeCell ref="VCZ3:VDD3"/>
    <mergeCell ref="VBG3:VBK3"/>
    <mergeCell ref="VBL3:VBP3"/>
    <mergeCell ref="VBQ3:VBU3"/>
    <mergeCell ref="VBV3:VBZ3"/>
    <mergeCell ref="VCA3:VCE3"/>
    <mergeCell ref="VAH3:VAL3"/>
    <mergeCell ref="VAM3:VAQ3"/>
    <mergeCell ref="VAR3:VAV3"/>
    <mergeCell ref="VAW3:VBA3"/>
    <mergeCell ref="VBB3:VBF3"/>
    <mergeCell ref="UZI3:UZM3"/>
    <mergeCell ref="UZN3:UZR3"/>
    <mergeCell ref="UZS3:UZW3"/>
    <mergeCell ref="UZX3:VAB3"/>
    <mergeCell ref="VAC3:VAG3"/>
    <mergeCell ref="UYJ3:UYN3"/>
    <mergeCell ref="UYO3:UYS3"/>
    <mergeCell ref="UYT3:UYX3"/>
    <mergeCell ref="UYY3:UZC3"/>
    <mergeCell ref="UZD3:UZH3"/>
    <mergeCell ref="UXK3:UXO3"/>
    <mergeCell ref="UXP3:UXT3"/>
    <mergeCell ref="UXU3:UXY3"/>
    <mergeCell ref="UXZ3:UYD3"/>
    <mergeCell ref="UYE3:UYI3"/>
    <mergeCell ref="UWL3:UWP3"/>
    <mergeCell ref="UWQ3:UWU3"/>
    <mergeCell ref="UWV3:UWZ3"/>
    <mergeCell ref="UXA3:UXE3"/>
    <mergeCell ref="UXF3:UXJ3"/>
    <mergeCell ref="UVM3:UVQ3"/>
    <mergeCell ref="UVR3:UVV3"/>
    <mergeCell ref="UVW3:UWA3"/>
    <mergeCell ref="UWB3:UWF3"/>
    <mergeCell ref="UWG3:UWK3"/>
    <mergeCell ref="UUN3:UUR3"/>
    <mergeCell ref="UUS3:UUW3"/>
    <mergeCell ref="UUX3:UVB3"/>
    <mergeCell ref="UVC3:UVG3"/>
    <mergeCell ref="UVH3:UVL3"/>
    <mergeCell ref="UTO3:UTS3"/>
    <mergeCell ref="UTT3:UTX3"/>
    <mergeCell ref="UTY3:UUC3"/>
    <mergeCell ref="UUD3:UUH3"/>
    <mergeCell ref="UUI3:UUM3"/>
    <mergeCell ref="USP3:UST3"/>
    <mergeCell ref="USU3:USY3"/>
    <mergeCell ref="USZ3:UTD3"/>
    <mergeCell ref="UTE3:UTI3"/>
    <mergeCell ref="UTJ3:UTN3"/>
    <mergeCell ref="URQ3:URU3"/>
    <mergeCell ref="URV3:URZ3"/>
    <mergeCell ref="USA3:USE3"/>
    <mergeCell ref="USF3:USJ3"/>
    <mergeCell ref="USK3:USO3"/>
    <mergeCell ref="UQR3:UQV3"/>
    <mergeCell ref="UQW3:URA3"/>
    <mergeCell ref="URB3:URF3"/>
    <mergeCell ref="URG3:URK3"/>
    <mergeCell ref="URL3:URP3"/>
    <mergeCell ref="UPS3:UPW3"/>
    <mergeCell ref="UPX3:UQB3"/>
    <mergeCell ref="UQC3:UQG3"/>
    <mergeCell ref="UQH3:UQL3"/>
    <mergeCell ref="UQM3:UQQ3"/>
    <mergeCell ref="UOT3:UOX3"/>
    <mergeCell ref="UOY3:UPC3"/>
    <mergeCell ref="UPD3:UPH3"/>
    <mergeCell ref="UPI3:UPM3"/>
    <mergeCell ref="UPN3:UPR3"/>
    <mergeCell ref="UNU3:UNY3"/>
    <mergeCell ref="UNZ3:UOD3"/>
    <mergeCell ref="UOE3:UOI3"/>
    <mergeCell ref="UOJ3:UON3"/>
    <mergeCell ref="UOO3:UOS3"/>
    <mergeCell ref="UMV3:UMZ3"/>
    <mergeCell ref="UNA3:UNE3"/>
    <mergeCell ref="UNF3:UNJ3"/>
    <mergeCell ref="UNK3:UNO3"/>
    <mergeCell ref="UNP3:UNT3"/>
    <mergeCell ref="ULW3:UMA3"/>
    <mergeCell ref="UMB3:UMF3"/>
    <mergeCell ref="UMG3:UMK3"/>
    <mergeCell ref="UML3:UMP3"/>
    <mergeCell ref="UMQ3:UMU3"/>
    <mergeCell ref="UKX3:ULB3"/>
    <mergeCell ref="ULC3:ULG3"/>
    <mergeCell ref="ULH3:ULL3"/>
    <mergeCell ref="ULM3:ULQ3"/>
    <mergeCell ref="ULR3:ULV3"/>
    <mergeCell ref="UJY3:UKC3"/>
    <mergeCell ref="UKD3:UKH3"/>
    <mergeCell ref="UKI3:UKM3"/>
    <mergeCell ref="UKN3:UKR3"/>
    <mergeCell ref="UKS3:UKW3"/>
    <mergeCell ref="UIZ3:UJD3"/>
    <mergeCell ref="UJE3:UJI3"/>
    <mergeCell ref="UJJ3:UJN3"/>
    <mergeCell ref="UJO3:UJS3"/>
    <mergeCell ref="UJT3:UJX3"/>
    <mergeCell ref="UIA3:UIE3"/>
    <mergeCell ref="UIF3:UIJ3"/>
    <mergeCell ref="UIK3:UIO3"/>
    <mergeCell ref="UIP3:UIT3"/>
    <mergeCell ref="UIU3:UIY3"/>
    <mergeCell ref="UHB3:UHF3"/>
    <mergeCell ref="UHG3:UHK3"/>
    <mergeCell ref="UHL3:UHP3"/>
    <mergeCell ref="UHQ3:UHU3"/>
    <mergeCell ref="UHV3:UHZ3"/>
    <mergeCell ref="UGC3:UGG3"/>
    <mergeCell ref="UGH3:UGL3"/>
    <mergeCell ref="UGM3:UGQ3"/>
    <mergeCell ref="UGR3:UGV3"/>
    <mergeCell ref="UGW3:UHA3"/>
    <mergeCell ref="UFD3:UFH3"/>
    <mergeCell ref="UFI3:UFM3"/>
    <mergeCell ref="UFN3:UFR3"/>
    <mergeCell ref="UFS3:UFW3"/>
    <mergeCell ref="UFX3:UGB3"/>
    <mergeCell ref="UEE3:UEI3"/>
    <mergeCell ref="UEJ3:UEN3"/>
    <mergeCell ref="UEO3:UES3"/>
    <mergeCell ref="UET3:UEX3"/>
    <mergeCell ref="UEY3:UFC3"/>
    <mergeCell ref="UDF3:UDJ3"/>
    <mergeCell ref="UDK3:UDO3"/>
    <mergeCell ref="UDP3:UDT3"/>
    <mergeCell ref="UDU3:UDY3"/>
    <mergeCell ref="UDZ3:UED3"/>
    <mergeCell ref="UCG3:UCK3"/>
    <mergeCell ref="UCL3:UCP3"/>
    <mergeCell ref="UCQ3:UCU3"/>
    <mergeCell ref="UCV3:UCZ3"/>
    <mergeCell ref="UDA3:UDE3"/>
    <mergeCell ref="UBH3:UBL3"/>
    <mergeCell ref="UBM3:UBQ3"/>
    <mergeCell ref="UBR3:UBV3"/>
    <mergeCell ref="UBW3:UCA3"/>
    <mergeCell ref="UCB3:UCF3"/>
    <mergeCell ref="UAI3:UAM3"/>
    <mergeCell ref="UAN3:UAR3"/>
    <mergeCell ref="UAS3:UAW3"/>
    <mergeCell ref="UAX3:UBB3"/>
    <mergeCell ref="UBC3:UBG3"/>
    <mergeCell ref="TZJ3:TZN3"/>
    <mergeCell ref="TZO3:TZS3"/>
    <mergeCell ref="TZT3:TZX3"/>
    <mergeCell ref="TZY3:UAC3"/>
    <mergeCell ref="UAD3:UAH3"/>
    <mergeCell ref="TYK3:TYO3"/>
    <mergeCell ref="TYP3:TYT3"/>
    <mergeCell ref="TYU3:TYY3"/>
    <mergeCell ref="TYZ3:TZD3"/>
    <mergeCell ref="TZE3:TZI3"/>
    <mergeCell ref="TXL3:TXP3"/>
    <mergeCell ref="TXQ3:TXU3"/>
    <mergeCell ref="TXV3:TXZ3"/>
    <mergeCell ref="TYA3:TYE3"/>
    <mergeCell ref="TYF3:TYJ3"/>
    <mergeCell ref="TWM3:TWQ3"/>
    <mergeCell ref="TWR3:TWV3"/>
    <mergeCell ref="TWW3:TXA3"/>
    <mergeCell ref="TXB3:TXF3"/>
    <mergeCell ref="TXG3:TXK3"/>
    <mergeCell ref="TVN3:TVR3"/>
    <mergeCell ref="TVS3:TVW3"/>
    <mergeCell ref="TVX3:TWB3"/>
    <mergeCell ref="TWC3:TWG3"/>
    <mergeCell ref="TWH3:TWL3"/>
    <mergeCell ref="TUO3:TUS3"/>
    <mergeCell ref="TUT3:TUX3"/>
    <mergeCell ref="TUY3:TVC3"/>
    <mergeCell ref="TVD3:TVH3"/>
    <mergeCell ref="TVI3:TVM3"/>
    <mergeCell ref="TTP3:TTT3"/>
    <mergeCell ref="TTU3:TTY3"/>
    <mergeCell ref="TTZ3:TUD3"/>
    <mergeCell ref="TUE3:TUI3"/>
    <mergeCell ref="TUJ3:TUN3"/>
    <mergeCell ref="TSQ3:TSU3"/>
    <mergeCell ref="TSV3:TSZ3"/>
    <mergeCell ref="TTA3:TTE3"/>
    <mergeCell ref="TTF3:TTJ3"/>
    <mergeCell ref="TTK3:TTO3"/>
    <mergeCell ref="TRR3:TRV3"/>
    <mergeCell ref="TRW3:TSA3"/>
    <mergeCell ref="TSB3:TSF3"/>
    <mergeCell ref="TSG3:TSK3"/>
    <mergeCell ref="TSL3:TSP3"/>
    <mergeCell ref="TQS3:TQW3"/>
    <mergeCell ref="TQX3:TRB3"/>
    <mergeCell ref="TRC3:TRG3"/>
    <mergeCell ref="TRH3:TRL3"/>
    <mergeCell ref="TRM3:TRQ3"/>
    <mergeCell ref="TPT3:TPX3"/>
    <mergeCell ref="TPY3:TQC3"/>
    <mergeCell ref="TQD3:TQH3"/>
    <mergeCell ref="TQI3:TQM3"/>
    <mergeCell ref="TQN3:TQR3"/>
    <mergeCell ref="TOU3:TOY3"/>
    <mergeCell ref="TOZ3:TPD3"/>
    <mergeCell ref="TPE3:TPI3"/>
    <mergeCell ref="TPJ3:TPN3"/>
    <mergeCell ref="TPO3:TPS3"/>
    <mergeCell ref="TNV3:TNZ3"/>
    <mergeCell ref="TOA3:TOE3"/>
    <mergeCell ref="TOF3:TOJ3"/>
    <mergeCell ref="TOK3:TOO3"/>
    <mergeCell ref="TOP3:TOT3"/>
    <mergeCell ref="TMW3:TNA3"/>
    <mergeCell ref="TNB3:TNF3"/>
    <mergeCell ref="TNG3:TNK3"/>
    <mergeCell ref="TNL3:TNP3"/>
    <mergeCell ref="TNQ3:TNU3"/>
    <mergeCell ref="TLX3:TMB3"/>
    <mergeCell ref="TMC3:TMG3"/>
    <mergeCell ref="TMH3:TML3"/>
    <mergeCell ref="TMM3:TMQ3"/>
    <mergeCell ref="TMR3:TMV3"/>
    <mergeCell ref="TKY3:TLC3"/>
    <mergeCell ref="TLD3:TLH3"/>
    <mergeCell ref="TLI3:TLM3"/>
    <mergeCell ref="TLN3:TLR3"/>
    <mergeCell ref="TLS3:TLW3"/>
    <mergeCell ref="TJZ3:TKD3"/>
    <mergeCell ref="TKE3:TKI3"/>
    <mergeCell ref="TKJ3:TKN3"/>
    <mergeCell ref="TKO3:TKS3"/>
    <mergeCell ref="TKT3:TKX3"/>
    <mergeCell ref="TJA3:TJE3"/>
    <mergeCell ref="TJF3:TJJ3"/>
    <mergeCell ref="TJK3:TJO3"/>
    <mergeCell ref="TJP3:TJT3"/>
    <mergeCell ref="TJU3:TJY3"/>
    <mergeCell ref="TIB3:TIF3"/>
    <mergeCell ref="TIG3:TIK3"/>
    <mergeCell ref="TIL3:TIP3"/>
    <mergeCell ref="TIQ3:TIU3"/>
    <mergeCell ref="TIV3:TIZ3"/>
    <mergeCell ref="THC3:THG3"/>
    <mergeCell ref="THH3:THL3"/>
    <mergeCell ref="THM3:THQ3"/>
    <mergeCell ref="THR3:THV3"/>
    <mergeCell ref="THW3:TIA3"/>
    <mergeCell ref="TGD3:TGH3"/>
    <mergeCell ref="TGI3:TGM3"/>
    <mergeCell ref="TGN3:TGR3"/>
    <mergeCell ref="TGS3:TGW3"/>
    <mergeCell ref="TGX3:THB3"/>
    <mergeCell ref="TFE3:TFI3"/>
    <mergeCell ref="TFJ3:TFN3"/>
    <mergeCell ref="TFO3:TFS3"/>
    <mergeCell ref="TFT3:TFX3"/>
    <mergeCell ref="TFY3:TGC3"/>
    <mergeCell ref="TEF3:TEJ3"/>
    <mergeCell ref="TEK3:TEO3"/>
    <mergeCell ref="TEP3:TET3"/>
    <mergeCell ref="TEU3:TEY3"/>
    <mergeCell ref="TEZ3:TFD3"/>
    <mergeCell ref="TDG3:TDK3"/>
    <mergeCell ref="TDL3:TDP3"/>
    <mergeCell ref="TDQ3:TDU3"/>
    <mergeCell ref="TDV3:TDZ3"/>
    <mergeCell ref="TEA3:TEE3"/>
    <mergeCell ref="TCH3:TCL3"/>
    <mergeCell ref="TCM3:TCQ3"/>
    <mergeCell ref="TCR3:TCV3"/>
    <mergeCell ref="TCW3:TDA3"/>
    <mergeCell ref="TDB3:TDF3"/>
    <mergeCell ref="TBI3:TBM3"/>
    <mergeCell ref="TBN3:TBR3"/>
    <mergeCell ref="TBS3:TBW3"/>
    <mergeCell ref="TBX3:TCB3"/>
    <mergeCell ref="TCC3:TCG3"/>
    <mergeCell ref="TAJ3:TAN3"/>
    <mergeCell ref="TAO3:TAS3"/>
    <mergeCell ref="TAT3:TAX3"/>
    <mergeCell ref="TAY3:TBC3"/>
    <mergeCell ref="TBD3:TBH3"/>
    <mergeCell ref="SZK3:SZO3"/>
    <mergeCell ref="SZP3:SZT3"/>
    <mergeCell ref="SZU3:SZY3"/>
    <mergeCell ref="SZZ3:TAD3"/>
    <mergeCell ref="TAE3:TAI3"/>
    <mergeCell ref="SYL3:SYP3"/>
    <mergeCell ref="SYQ3:SYU3"/>
    <mergeCell ref="SYV3:SYZ3"/>
    <mergeCell ref="SZA3:SZE3"/>
    <mergeCell ref="SZF3:SZJ3"/>
    <mergeCell ref="SXM3:SXQ3"/>
    <mergeCell ref="SXR3:SXV3"/>
    <mergeCell ref="SXW3:SYA3"/>
    <mergeCell ref="SYB3:SYF3"/>
    <mergeCell ref="SYG3:SYK3"/>
    <mergeCell ref="SWN3:SWR3"/>
    <mergeCell ref="SWS3:SWW3"/>
    <mergeCell ref="SWX3:SXB3"/>
    <mergeCell ref="SXC3:SXG3"/>
    <mergeCell ref="SXH3:SXL3"/>
    <mergeCell ref="SVO3:SVS3"/>
    <mergeCell ref="SVT3:SVX3"/>
    <mergeCell ref="SVY3:SWC3"/>
    <mergeCell ref="SWD3:SWH3"/>
    <mergeCell ref="SWI3:SWM3"/>
    <mergeCell ref="SUP3:SUT3"/>
    <mergeCell ref="SUU3:SUY3"/>
    <mergeCell ref="SUZ3:SVD3"/>
    <mergeCell ref="SVE3:SVI3"/>
    <mergeCell ref="SVJ3:SVN3"/>
    <mergeCell ref="STQ3:STU3"/>
    <mergeCell ref="STV3:STZ3"/>
    <mergeCell ref="SUA3:SUE3"/>
    <mergeCell ref="SUF3:SUJ3"/>
    <mergeCell ref="SUK3:SUO3"/>
    <mergeCell ref="SSR3:SSV3"/>
    <mergeCell ref="SSW3:STA3"/>
    <mergeCell ref="STB3:STF3"/>
    <mergeCell ref="STG3:STK3"/>
    <mergeCell ref="STL3:STP3"/>
    <mergeCell ref="SRS3:SRW3"/>
    <mergeCell ref="SRX3:SSB3"/>
    <mergeCell ref="SSC3:SSG3"/>
    <mergeCell ref="SSH3:SSL3"/>
    <mergeCell ref="SSM3:SSQ3"/>
    <mergeCell ref="SQT3:SQX3"/>
    <mergeCell ref="SQY3:SRC3"/>
    <mergeCell ref="SRD3:SRH3"/>
    <mergeCell ref="SRI3:SRM3"/>
    <mergeCell ref="SRN3:SRR3"/>
    <mergeCell ref="SPU3:SPY3"/>
    <mergeCell ref="SPZ3:SQD3"/>
    <mergeCell ref="SQE3:SQI3"/>
    <mergeCell ref="SQJ3:SQN3"/>
    <mergeCell ref="SQO3:SQS3"/>
    <mergeCell ref="SOV3:SOZ3"/>
    <mergeCell ref="SPA3:SPE3"/>
    <mergeCell ref="SPF3:SPJ3"/>
    <mergeCell ref="SPK3:SPO3"/>
    <mergeCell ref="SPP3:SPT3"/>
    <mergeCell ref="SNW3:SOA3"/>
    <mergeCell ref="SOB3:SOF3"/>
    <mergeCell ref="SOG3:SOK3"/>
    <mergeCell ref="SOL3:SOP3"/>
    <mergeCell ref="SOQ3:SOU3"/>
    <mergeCell ref="SMX3:SNB3"/>
    <mergeCell ref="SNC3:SNG3"/>
    <mergeCell ref="SNH3:SNL3"/>
    <mergeCell ref="SNM3:SNQ3"/>
    <mergeCell ref="SNR3:SNV3"/>
    <mergeCell ref="SLY3:SMC3"/>
    <mergeCell ref="SMD3:SMH3"/>
    <mergeCell ref="SMI3:SMM3"/>
    <mergeCell ref="SMN3:SMR3"/>
    <mergeCell ref="SMS3:SMW3"/>
    <mergeCell ref="SKZ3:SLD3"/>
    <mergeCell ref="SLE3:SLI3"/>
    <mergeCell ref="SLJ3:SLN3"/>
    <mergeCell ref="SLO3:SLS3"/>
    <mergeCell ref="SLT3:SLX3"/>
    <mergeCell ref="SKA3:SKE3"/>
    <mergeCell ref="SKF3:SKJ3"/>
    <mergeCell ref="SKK3:SKO3"/>
    <mergeCell ref="SKP3:SKT3"/>
    <mergeCell ref="SKU3:SKY3"/>
    <mergeCell ref="SJB3:SJF3"/>
    <mergeCell ref="SJG3:SJK3"/>
    <mergeCell ref="SJL3:SJP3"/>
    <mergeCell ref="SJQ3:SJU3"/>
    <mergeCell ref="SJV3:SJZ3"/>
    <mergeCell ref="SIC3:SIG3"/>
    <mergeCell ref="SIH3:SIL3"/>
    <mergeCell ref="SIM3:SIQ3"/>
    <mergeCell ref="SIR3:SIV3"/>
    <mergeCell ref="SIW3:SJA3"/>
    <mergeCell ref="SHD3:SHH3"/>
    <mergeCell ref="SHI3:SHM3"/>
    <mergeCell ref="SHN3:SHR3"/>
    <mergeCell ref="SHS3:SHW3"/>
    <mergeCell ref="SHX3:SIB3"/>
    <mergeCell ref="SGE3:SGI3"/>
    <mergeCell ref="SGJ3:SGN3"/>
    <mergeCell ref="SGO3:SGS3"/>
    <mergeCell ref="SGT3:SGX3"/>
    <mergeCell ref="SGY3:SHC3"/>
    <mergeCell ref="SFF3:SFJ3"/>
    <mergeCell ref="SFK3:SFO3"/>
    <mergeCell ref="SFP3:SFT3"/>
    <mergeCell ref="SFU3:SFY3"/>
    <mergeCell ref="SFZ3:SGD3"/>
    <mergeCell ref="SEG3:SEK3"/>
    <mergeCell ref="SEL3:SEP3"/>
    <mergeCell ref="SEQ3:SEU3"/>
    <mergeCell ref="SEV3:SEZ3"/>
    <mergeCell ref="SFA3:SFE3"/>
    <mergeCell ref="SDH3:SDL3"/>
    <mergeCell ref="SDM3:SDQ3"/>
    <mergeCell ref="SDR3:SDV3"/>
    <mergeCell ref="SDW3:SEA3"/>
    <mergeCell ref="SEB3:SEF3"/>
    <mergeCell ref="SCI3:SCM3"/>
    <mergeCell ref="SCN3:SCR3"/>
    <mergeCell ref="SCS3:SCW3"/>
    <mergeCell ref="SCX3:SDB3"/>
    <mergeCell ref="SDC3:SDG3"/>
    <mergeCell ref="SBJ3:SBN3"/>
    <mergeCell ref="SBO3:SBS3"/>
    <mergeCell ref="SBT3:SBX3"/>
    <mergeCell ref="SBY3:SCC3"/>
    <mergeCell ref="SCD3:SCH3"/>
    <mergeCell ref="SAK3:SAO3"/>
    <mergeCell ref="SAP3:SAT3"/>
    <mergeCell ref="SAU3:SAY3"/>
    <mergeCell ref="SAZ3:SBD3"/>
    <mergeCell ref="SBE3:SBI3"/>
    <mergeCell ref="RZL3:RZP3"/>
    <mergeCell ref="RZQ3:RZU3"/>
    <mergeCell ref="RZV3:RZZ3"/>
    <mergeCell ref="SAA3:SAE3"/>
    <mergeCell ref="SAF3:SAJ3"/>
    <mergeCell ref="RYM3:RYQ3"/>
    <mergeCell ref="RYR3:RYV3"/>
    <mergeCell ref="RYW3:RZA3"/>
    <mergeCell ref="RZB3:RZF3"/>
    <mergeCell ref="RZG3:RZK3"/>
    <mergeCell ref="RXN3:RXR3"/>
    <mergeCell ref="RXS3:RXW3"/>
    <mergeCell ref="RXX3:RYB3"/>
    <mergeCell ref="RYC3:RYG3"/>
    <mergeCell ref="RYH3:RYL3"/>
    <mergeCell ref="RWO3:RWS3"/>
    <mergeCell ref="RWT3:RWX3"/>
    <mergeCell ref="RWY3:RXC3"/>
    <mergeCell ref="RXD3:RXH3"/>
    <mergeCell ref="RXI3:RXM3"/>
    <mergeCell ref="RVP3:RVT3"/>
    <mergeCell ref="RVU3:RVY3"/>
    <mergeCell ref="RVZ3:RWD3"/>
    <mergeCell ref="RWE3:RWI3"/>
    <mergeCell ref="RWJ3:RWN3"/>
    <mergeCell ref="RUQ3:RUU3"/>
    <mergeCell ref="RUV3:RUZ3"/>
    <mergeCell ref="RVA3:RVE3"/>
    <mergeCell ref="RVF3:RVJ3"/>
    <mergeCell ref="RVK3:RVO3"/>
    <mergeCell ref="RTR3:RTV3"/>
    <mergeCell ref="RTW3:RUA3"/>
    <mergeCell ref="RUB3:RUF3"/>
    <mergeCell ref="RUG3:RUK3"/>
    <mergeCell ref="RUL3:RUP3"/>
    <mergeCell ref="RSS3:RSW3"/>
    <mergeCell ref="RSX3:RTB3"/>
    <mergeCell ref="RTC3:RTG3"/>
    <mergeCell ref="RTH3:RTL3"/>
    <mergeCell ref="RTM3:RTQ3"/>
    <mergeCell ref="RRT3:RRX3"/>
    <mergeCell ref="RRY3:RSC3"/>
    <mergeCell ref="RSD3:RSH3"/>
    <mergeCell ref="RSI3:RSM3"/>
    <mergeCell ref="RSN3:RSR3"/>
    <mergeCell ref="RQU3:RQY3"/>
    <mergeCell ref="RQZ3:RRD3"/>
    <mergeCell ref="RRE3:RRI3"/>
    <mergeCell ref="RRJ3:RRN3"/>
    <mergeCell ref="RRO3:RRS3"/>
    <mergeCell ref="RPV3:RPZ3"/>
    <mergeCell ref="RQA3:RQE3"/>
    <mergeCell ref="RQF3:RQJ3"/>
    <mergeCell ref="RQK3:RQO3"/>
    <mergeCell ref="RQP3:RQT3"/>
    <mergeCell ref="ROW3:RPA3"/>
    <mergeCell ref="RPB3:RPF3"/>
    <mergeCell ref="RPG3:RPK3"/>
    <mergeCell ref="RPL3:RPP3"/>
    <mergeCell ref="RPQ3:RPU3"/>
    <mergeCell ref="RNX3:ROB3"/>
    <mergeCell ref="ROC3:ROG3"/>
    <mergeCell ref="ROH3:ROL3"/>
    <mergeCell ref="ROM3:ROQ3"/>
    <mergeCell ref="ROR3:ROV3"/>
    <mergeCell ref="RMY3:RNC3"/>
    <mergeCell ref="RND3:RNH3"/>
    <mergeCell ref="RNI3:RNM3"/>
    <mergeCell ref="RNN3:RNR3"/>
    <mergeCell ref="RNS3:RNW3"/>
    <mergeCell ref="RLZ3:RMD3"/>
    <mergeCell ref="RME3:RMI3"/>
    <mergeCell ref="RMJ3:RMN3"/>
    <mergeCell ref="RMO3:RMS3"/>
    <mergeCell ref="RMT3:RMX3"/>
    <mergeCell ref="RLA3:RLE3"/>
    <mergeCell ref="RLF3:RLJ3"/>
    <mergeCell ref="RLK3:RLO3"/>
    <mergeCell ref="RLP3:RLT3"/>
    <mergeCell ref="RLU3:RLY3"/>
    <mergeCell ref="RKB3:RKF3"/>
    <mergeCell ref="RKG3:RKK3"/>
    <mergeCell ref="RKL3:RKP3"/>
    <mergeCell ref="RKQ3:RKU3"/>
    <mergeCell ref="RKV3:RKZ3"/>
    <mergeCell ref="RJC3:RJG3"/>
    <mergeCell ref="RJH3:RJL3"/>
    <mergeCell ref="RJM3:RJQ3"/>
    <mergeCell ref="RJR3:RJV3"/>
    <mergeCell ref="RJW3:RKA3"/>
    <mergeCell ref="RID3:RIH3"/>
    <mergeCell ref="RII3:RIM3"/>
    <mergeCell ref="RIN3:RIR3"/>
    <mergeCell ref="RIS3:RIW3"/>
    <mergeCell ref="RIX3:RJB3"/>
    <mergeCell ref="RHE3:RHI3"/>
    <mergeCell ref="RHJ3:RHN3"/>
    <mergeCell ref="RHO3:RHS3"/>
    <mergeCell ref="RHT3:RHX3"/>
    <mergeCell ref="RHY3:RIC3"/>
    <mergeCell ref="RGF3:RGJ3"/>
    <mergeCell ref="RGK3:RGO3"/>
    <mergeCell ref="RGP3:RGT3"/>
    <mergeCell ref="RGU3:RGY3"/>
    <mergeCell ref="RGZ3:RHD3"/>
    <mergeCell ref="RFG3:RFK3"/>
    <mergeCell ref="RFL3:RFP3"/>
    <mergeCell ref="RFQ3:RFU3"/>
    <mergeCell ref="RFV3:RFZ3"/>
    <mergeCell ref="RGA3:RGE3"/>
    <mergeCell ref="REH3:REL3"/>
    <mergeCell ref="REM3:REQ3"/>
    <mergeCell ref="RER3:REV3"/>
    <mergeCell ref="REW3:RFA3"/>
    <mergeCell ref="RFB3:RFF3"/>
    <mergeCell ref="RDI3:RDM3"/>
    <mergeCell ref="RDN3:RDR3"/>
    <mergeCell ref="RDS3:RDW3"/>
    <mergeCell ref="RDX3:REB3"/>
    <mergeCell ref="REC3:REG3"/>
    <mergeCell ref="RCJ3:RCN3"/>
    <mergeCell ref="RCO3:RCS3"/>
    <mergeCell ref="RCT3:RCX3"/>
    <mergeCell ref="RCY3:RDC3"/>
    <mergeCell ref="RDD3:RDH3"/>
    <mergeCell ref="RBK3:RBO3"/>
    <mergeCell ref="RBP3:RBT3"/>
    <mergeCell ref="RBU3:RBY3"/>
    <mergeCell ref="RBZ3:RCD3"/>
    <mergeCell ref="RCE3:RCI3"/>
    <mergeCell ref="RAL3:RAP3"/>
    <mergeCell ref="RAQ3:RAU3"/>
    <mergeCell ref="RAV3:RAZ3"/>
    <mergeCell ref="RBA3:RBE3"/>
    <mergeCell ref="RBF3:RBJ3"/>
    <mergeCell ref="QZM3:QZQ3"/>
    <mergeCell ref="QZR3:QZV3"/>
    <mergeCell ref="QZW3:RAA3"/>
    <mergeCell ref="RAB3:RAF3"/>
    <mergeCell ref="RAG3:RAK3"/>
    <mergeCell ref="QYN3:QYR3"/>
    <mergeCell ref="QYS3:QYW3"/>
    <mergeCell ref="QYX3:QZB3"/>
    <mergeCell ref="QZC3:QZG3"/>
    <mergeCell ref="QZH3:QZL3"/>
    <mergeCell ref="QXO3:QXS3"/>
    <mergeCell ref="QXT3:QXX3"/>
    <mergeCell ref="QXY3:QYC3"/>
    <mergeCell ref="QYD3:QYH3"/>
    <mergeCell ref="QYI3:QYM3"/>
    <mergeCell ref="QWP3:QWT3"/>
    <mergeCell ref="QWU3:QWY3"/>
    <mergeCell ref="QWZ3:QXD3"/>
    <mergeCell ref="QXE3:QXI3"/>
    <mergeCell ref="QXJ3:QXN3"/>
    <mergeCell ref="QVQ3:QVU3"/>
    <mergeCell ref="QVV3:QVZ3"/>
    <mergeCell ref="QWA3:QWE3"/>
    <mergeCell ref="QWF3:QWJ3"/>
    <mergeCell ref="QWK3:QWO3"/>
    <mergeCell ref="QUR3:QUV3"/>
    <mergeCell ref="QUW3:QVA3"/>
    <mergeCell ref="QVB3:QVF3"/>
    <mergeCell ref="QVG3:QVK3"/>
    <mergeCell ref="QVL3:QVP3"/>
    <mergeCell ref="QTS3:QTW3"/>
    <mergeCell ref="QTX3:QUB3"/>
    <mergeCell ref="QUC3:QUG3"/>
    <mergeCell ref="QUH3:QUL3"/>
    <mergeCell ref="QUM3:QUQ3"/>
    <mergeCell ref="QST3:QSX3"/>
    <mergeCell ref="QSY3:QTC3"/>
    <mergeCell ref="QTD3:QTH3"/>
    <mergeCell ref="QTI3:QTM3"/>
    <mergeCell ref="QTN3:QTR3"/>
    <mergeCell ref="QRU3:QRY3"/>
    <mergeCell ref="QRZ3:QSD3"/>
    <mergeCell ref="QSE3:QSI3"/>
    <mergeCell ref="QSJ3:QSN3"/>
    <mergeCell ref="QSO3:QSS3"/>
    <mergeCell ref="QQV3:QQZ3"/>
    <mergeCell ref="QRA3:QRE3"/>
    <mergeCell ref="QRF3:QRJ3"/>
    <mergeCell ref="QRK3:QRO3"/>
    <mergeCell ref="QRP3:QRT3"/>
    <mergeCell ref="QPW3:QQA3"/>
    <mergeCell ref="QQB3:QQF3"/>
    <mergeCell ref="QQG3:QQK3"/>
    <mergeCell ref="QQL3:QQP3"/>
    <mergeCell ref="QQQ3:QQU3"/>
    <mergeCell ref="QOX3:QPB3"/>
    <mergeCell ref="QPC3:QPG3"/>
    <mergeCell ref="QPH3:QPL3"/>
    <mergeCell ref="QPM3:QPQ3"/>
    <mergeCell ref="QPR3:QPV3"/>
    <mergeCell ref="QNY3:QOC3"/>
    <mergeCell ref="QOD3:QOH3"/>
    <mergeCell ref="QOI3:QOM3"/>
    <mergeCell ref="QON3:QOR3"/>
    <mergeCell ref="QOS3:QOW3"/>
    <mergeCell ref="QMZ3:QND3"/>
    <mergeCell ref="QNE3:QNI3"/>
    <mergeCell ref="QNJ3:QNN3"/>
    <mergeCell ref="QNO3:QNS3"/>
    <mergeCell ref="QNT3:QNX3"/>
    <mergeCell ref="QMA3:QME3"/>
    <mergeCell ref="QMF3:QMJ3"/>
    <mergeCell ref="QMK3:QMO3"/>
    <mergeCell ref="QMP3:QMT3"/>
    <mergeCell ref="QMU3:QMY3"/>
    <mergeCell ref="QLB3:QLF3"/>
    <mergeCell ref="QLG3:QLK3"/>
    <mergeCell ref="QLL3:QLP3"/>
    <mergeCell ref="QLQ3:QLU3"/>
    <mergeCell ref="QLV3:QLZ3"/>
    <mergeCell ref="QKC3:QKG3"/>
    <mergeCell ref="QKH3:QKL3"/>
    <mergeCell ref="QKM3:QKQ3"/>
    <mergeCell ref="QKR3:QKV3"/>
    <mergeCell ref="QKW3:QLA3"/>
    <mergeCell ref="QJD3:QJH3"/>
    <mergeCell ref="QJI3:QJM3"/>
    <mergeCell ref="QJN3:QJR3"/>
    <mergeCell ref="QJS3:QJW3"/>
    <mergeCell ref="QJX3:QKB3"/>
    <mergeCell ref="QIE3:QII3"/>
    <mergeCell ref="QIJ3:QIN3"/>
    <mergeCell ref="QIO3:QIS3"/>
    <mergeCell ref="QIT3:QIX3"/>
    <mergeCell ref="QIY3:QJC3"/>
    <mergeCell ref="QHF3:QHJ3"/>
    <mergeCell ref="QHK3:QHO3"/>
    <mergeCell ref="QHP3:QHT3"/>
    <mergeCell ref="QHU3:QHY3"/>
    <mergeCell ref="QHZ3:QID3"/>
    <mergeCell ref="QGG3:QGK3"/>
    <mergeCell ref="QGL3:QGP3"/>
    <mergeCell ref="QGQ3:QGU3"/>
    <mergeCell ref="QGV3:QGZ3"/>
    <mergeCell ref="QHA3:QHE3"/>
    <mergeCell ref="QFH3:QFL3"/>
    <mergeCell ref="QFM3:QFQ3"/>
    <mergeCell ref="QFR3:QFV3"/>
    <mergeCell ref="QFW3:QGA3"/>
    <mergeCell ref="QGB3:QGF3"/>
    <mergeCell ref="QEI3:QEM3"/>
    <mergeCell ref="QEN3:QER3"/>
    <mergeCell ref="QES3:QEW3"/>
    <mergeCell ref="QEX3:QFB3"/>
    <mergeCell ref="QFC3:QFG3"/>
    <mergeCell ref="QDJ3:QDN3"/>
    <mergeCell ref="QDO3:QDS3"/>
    <mergeCell ref="QDT3:QDX3"/>
    <mergeCell ref="QDY3:QEC3"/>
    <mergeCell ref="QED3:QEH3"/>
    <mergeCell ref="QCK3:QCO3"/>
    <mergeCell ref="QCP3:QCT3"/>
    <mergeCell ref="QCU3:QCY3"/>
    <mergeCell ref="QCZ3:QDD3"/>
    <mergeCell ref="QDE3:QDI3"/>
    <mergeCell ref="QBL3:QBP3"/>
    <mergeCell ref="QBQ3:QBU3"/>
    <mergeCell ref="QBV3:QBZ3"/>
    <mergeCell ref="QCA3:QCE3"/>
    <mergeCell ref="QCF3:QCJ3"/>
    <mergeCell ref="QAM3:QAQ3"/>
    <mergeCell ref="QAR3:QAV3"/>
    <mergeCell ref="QAW3:QBA3"/>
    <mergeCell ref="QBB3:QBF3"/>
    <mergeCell ref="QBG3:QBK3"/>
    <mergeCell ref="PZN3:PZR3"/>
    <mergeCell ref="PZS3:PZW3"/>
    <mergeCell ref="PZX3:QAB3"/>
    <mergeCell ref="QAC3:QAG3"/>
    <mergeCell ref="QAH3:QAL3"/>
    <mergeCell ref="PYO3:PYS3"/>
    <mergeCell ref="PYT3:PYX3"/>
    <mergeCell ref="PYY3:PZC3"/>
    <mergeCell ref="PZD3:PZH3"/>
    <mergeCell ref="PZI3:PZM3"/>
    <mergeCell ref="PXP3:PXT3"/>
    <mergeCell ref="PXU3:PXY3"/>
    <mergeCell ref="PXZ3:PYD3"/>
    <mergeCell ref="PYE3:PYI3"/>
    <mergeCell ref="PYJ3:PYN3"/>
    <mergeCell ref="PWQ3:PWU3"/>
    <mergeCell ref="PWV3:PWZ3"/>
    <mergeCell ref="PXA3:PXE3"/>
    <mergeCell ref="PXF3:PXJ3"/>
    <mergeCell ref="PXK3:PXO3"/>
    <mergeCell ref="PVR3:PVV3"/>
    <mergeCell ref="PVW3:PWA3"/>
    <mergeCell ref="PWB3:PWF3"/>
    <mergeCell ref="PWG3:PWK3"/>
    <mergeCell ref="PWL3:PWP3"/>
    <mergeCell ref="PUS3:PUW3"/>
    <mergeCell ref="PUX3:PVB3"/>
    <mergeCell ref="PVC3:PVG3"/>
    <mergeCell ref="PVH3:PVL3"/>
    <mergeCell ref="PVM3:PVQ3"/>
    <mergeCell ref="PTT3:PTX3"/>
    <mergeCell ref="PTY3:PUC3"/>
    <mergeCell ref="PUD3:PUH3"/>
    <mergeCell ref="PUI3:PUM3"/>
    <mergeCell ref="PUN3:PUR3"/>
    <mergeCell ref="PSU3:PSY3"/>
    <mergeCell ref="PSZ3:PTD3"/>
    <mergeCell ref="PTE3:PTI3"/>
    <mergeCell ref="PTJ3:PTN3"/>
    <mergeCell ref="PTO3:PTS3"/>
    <mergeCell ref="PRV3:PRZ3"/>
    <mergeCell ref="PSA3:PSE3"/>
    <mergeCell ref="PSF3:PSJ3"/>
    <mergeCell ref="PSK3:PSO3"/>
    <mergeCell ref="PSP3:PST3"/>
    <mergeCell ref="PQW3:PRA3"/>
    <mergeCell ref="PRB3:PRF3"/>
    <mergeCell ref="PRG3:PRK3"/>
    <mergeCell ref="PRL3:PRP3"/>
    <mergeCell ref="PRQ3:PRU3"/>
    <mergeCell ref="PPX3:PQB3"/>
    <mergeCell ref="PQC3:PQG3"/>
    <mergeCell ref="PQH3:PQL3"/>
    <mergeCell ref="PQM3:PQQ3"/>
    <mergeCell ref="PQR3:PQV3"/>
    <mergeCell ref="POY3:PPC3"/>
    <mergeCell ref="PPD3:PPH3"/>
    <mergeCell ref="PPI3:PPM3"/>
    <mergeCell ref="PPN3:PPR3"/>
    <mergeCell ref="PPS3:PPW3"/>
    <mergeCell ref="PNZ3:POD3"/>
    <mergeCell ref="POE3:POI3"/>
    <mergeCell ref="POJ3:PON3"/>
    <mergeCell ref="POO3:POS3"/>
    <mergeCell ref="POT3:POX3"/>
    <mergeCell ref="PNA3:PNE3"/>
    <mergeCell ref="PNF3:PNJ3"/>
    <mergeCell ref="PNK3:PNO3"/>
    <mergeCell ref="PNP3:PNT3"/>
    <mergeCell ref="PNU3:PNY3"/>
    <mergeCell ref="PMB3:PMF3"/>
    <mergeCell ref="PMG3:PMK3"/>
    <mergeCell ref="PML3:PMP3"/>
    <mergeCell ref="PMQ3:PMU3"/>
    <mergeCell ref="PMV3:PMZ3"/>
    <mergeCell ref="PLC3:PLG3"/>
    <mergeCell ref="PLH3:PLL3"/>
    <mergeCell ref="PLM3:PLQ3"/>
    <mergeCell ref="PLR3:PLV3"/>
    <mergeCell ref="PLW3:PMA3"/>
    <mergeCell ref="PKD3:PKH3"/>
    <mergeCell ref="PKI3:PKM3"/>
    <mergeCell ref="PKN3:PKR3"/>
    <mergeCell ref="PKS3:PKW3"/>
    <mergeCell ref="PKX3:PLB3"/>
    <mergeCell ref="PJE3:PJI3"/>
    <mergeCell ref="PJJ3:PJN3"/>
    <mergeCell ref="PJO3:PJS3"/>
    <mergeCell ref="PJT3:PJX3"/>
    <mergeCell ref="PJY3:PKC3"/>
    <mergeCell ref="PIF3:PIJ3"/>
    <mergeCell ref="PIK3:PIO3"/>
    <mergeCell ref="PIP3:PIT3"/>
    <mergeCell ref="PIU3:PIY3"/>
    <mergeCell ref="PIZ3:PJD3"/>
    <mergeCell ref="PHG3:PHK3"/>
    <mergeCell ref="PHL3:PHP3"/>
    <mergeCell ref="PHQ3:PHU3"/>
    <mergeCell ref="PHV3:PHZ3"/>
    <mergeCell ref="PIA3:PIE3"/>
    <mergeCell ref="PGH3:PGL3"/>
    <mergeCell ref="PGM3:PGQ3"/>
    <mergeCell ref="PGR3:PGV3"/>
    <mergeCell ref="PGW3:PHA3"/>
    <mergeCell ref="PHB3:PHF3"/>
    <mergeCell ref="PFI3:PFM3"/>
    <mergeCell ref="PFN3:PFR3"/>
    <mergeCell ref="PFS3:PFW3"/>
    <mergeCell ref="PFX3:PGB3"/>
    <mergeCell ref="PGC3:PGG3"/>
    <mergeCell ref="PEJ3:PEN3"/>
    <mergeCell ref="PEO3:PES3"/>
    <mergeCell ref="PET3:PEX3"/>
    <mergeCell ref="PEY3:PFC3"/>
    <mergeCell ref="PFD3:PFH3"/>
    <mergeCell ref="PDK3:PDO3"/>
    <mergeCell ref="PDP3:PDT3"/>
    <mergeCell ref="PDU3:PDY3"/>
    <mergeCell ref="PDZ3:PED3"/>
    <mergeCell ref="PEE3:PEI3"/>
    <mergeCell ref="PCL3:PCP3"/>
    <mergeCell ref="PCQ3:PCU3"/>
    <mergeCell ref="PCV3:PCZ3"/>
    <mergeCell ref="PDA3:PDE3"/>
    <mergeCell ref="PDF3:PDJ3"/>
    <mergeCell ref="PBM3:PBQ3"/>
    <mergeCell ref="PBR3:PBV3"/>
    <mergeCell ref="PBW3:PCA3"/>
    <mergeCell ref="PCB3:PCF3"/>
    <mergeCell ref="PCG3:PCK3"/>
    <mergeCell ref="PAN3:PAR3"/>
    <mergeCell ref="PAS3:PAW3"/>
    <mergeCell ref="PAX3:PBB3"/>
    <mergeCell ref="PBC3:PBG3"/>
    <mergeCell ref="PBH3:PBL3"/>
    <mergeCell ref="OZO3:OZS3"/>
    <mergeCell ref="OZT3:OZX3"/>
    <mergeCell ref="OZY3:PAC3"/>
    <mergeCell ref="PAD3:PAH3"/>
    <mergeCell ref="PAI3:PAM3"/>
    <mergeCell ref="OYP3:OYT3"/>
    <mergeCell ref="OYU3:OYY3"/>
    <mergeCell ref="OYZ3:OZD3"/>
    <mergeCell ref="OZE3:OZI3"/>
    <mergeCell ref="OZJ3:OZN3"/>
    <mergeCell ref="OXQ3:OXU3"/>
    <mergeCell ref="OXV3:OXZ3"/>
    <mergeCell ref="OYA3:OYE3"/>
    <mergeCell ref="OYF3:OYJ3"/>
    <mergeCell ref="OYK3:OYO3"/>
    <mergeCell ref="OWR3:OWV3"/>
    <mergeCell ref="OWW3:OXA3"/>
    <mergeCell ref="OXB3:OXF3"/>
    <mergeCell ref="OXG3:OXK3"/>
    <mergeCell ref="OXL3:OXP3"/>
    <mergeCell ref="OVS3:OVW3"/>
    <mergeCell ref="OVX3:OWB3"/>
    <mergeCell ref="OWC3:OWG3"/>
    <mergeCell ref="OWH3:OWL3"/>
    <mergeCell ref="OWM3:OWQ3"/>
    <mergeCell ref="OUT3:OUX3"/>
    <mergeCell ref="OUY3:OVC3"/>
    <mergeCell ref="OVD3:OVH3"/>
    <mergeCell ref="OVI3:OVM3"/>
    <mergeCell ref="OVN3:OVR3"/>
    <mergeCell ref="OTU3:OTY3"/>
    <mergeCell ref="OTZ3:OUD3"/>
    <mergeCell ref="OUE3:OUI3"/>
    <mergeCell ref="OUJ3:OUN3"/>
    <mergeCell ref="OUO3:OUS3"/>
    <mergeCell ref="OSV3:OSZ3"/>
    <mergeCell ref="OTA3:OTE3"/>
    <mergeCell ref="OTF3:OTJ3"/>
    <mergeCell ref="OTK3:OTO3"/>
    <mergeCell ref="OTP3:OTT3"/>
    <mergeCell ref="ORW3:OSA3"/>
    <mergeCell ref="OSB3:OSF3"/>
    <mergeCell ref="OSG3:OSK3"/>
    <mergeCell ref="OSL3:OSP3"/>
    <mergeCell ref="OSQ3:OSU3"/>
    <mergeCell ref="OQX3:ORB3"/>
    <mergeCell ref="ORC3:ORG3"/>
    <mergeCell ref="ORH3:ORL3"/>
    <mergeCell ref="ORM3:ORQ3"/>
    <mergeCell ref="ORR3:ORV3"/>
    <mergeCell ref="OPY3:OQC3"/>
    <mergeCell ref="OQD3:OQH3"/>
    <mergeCell ref="OQI3:OQM3"/>
    <mergeCell ref="OQN3:OQR3"/>
    <mergeCell ref="OQS3:OQW3"/>
    <mergeCell ref="OOZ3:OPD3"/>
    <mergeCell ref="OPE3:OPI3"/>
    <mergeCell ref="OPJ3:OPN3"/>
    <mergeCell ref="OPO3:OPS3"/>
    <mergeCell ref="OPT3:OPX3"/>
    <mergeCell ref="OOA3:OOE3"/>
    <mergeCell ref="OOF3:OOJ3"/>
    <mergeCell ref="OOK3:OOO3"/>
    <mergeCell ref="OOP3:OOT3"/>
    <mergeCell ref="OOU3:OOY3"/>
    <mergeCell ref="ONB3:ONF3"/>
    <mergeCell ref="ONG3:ONK3"/>
    <mergeCell ref="ONL3:ONP3"/>
    <mergeCell ref="ONQ3:ONU3"/>
    <mergeCell ref="ONV3:ONZ3"/>
    <mergeCell ref="OMC3:OMG3"/>
    <mergeCell ref="OMH3:OML3"/>
    <mergeCell ref="OMM3:OMQ3"/>
    <mergeCell ref="OMR3:OMV3"/>
    <mergeCell ref="OMW3:ONA3"/>
    <mergeCell ref="OLD3:OLH3"/>
    <mergeCell ref="OLI3:OLM3"/>
    <mergeCell ref="OLN3:OLR3"/>
    <mergeCell ref="OLS3:OLW3"/>
    <mergeCell ref="OLX3:OMB3"/>
    <mergeCell ref="OKE3:OKI3"/>
    <mergeCell ref="OKJ3:OKN3"/>
    <mergeCell ref="OKO3:OKS3"/>
    <mergeCell ref="OKT3:OKX3"/>
    <mergeCell ref="OKY3:OLC3"/>
    <mergeCell ref="OJF3:OJJ3"/>
    <mergeCell ref="OJK3:OJO3"/>
    <mergeCell ref="OJP3:OJT3"/>
    <mergeCell ref="OJU3:OJY3"/>
    <mergeCell ref="OJZ3:OKD3"/>
    <mergeCell ref="OIG3:OIK3"/>
    <mergeCell ref="OIL3:OIP3"/>
    <mergeCell ref="OIQ3:OIU3"/>
    <mergeCell ref="OIV3:OIZ3"/>
    <mergeCell ref="OJA3:OJE3"/>
    <mergeCell ref="OHH3:OHL3"/>
    <mergeCell ref="OHM3:OHQ3"/>
    <mergeCell ref="OHR3:OHV3"/>
    <mergeCell ref="OHW3:OIA3"/>
    <mergeCell ref="OIB3:OIF3"/>
    <mergeCell ref="OGI3:OGM3"/>
    <mergeCell ref="OGN3:OGR3"/>
    <mergeCell ref="OGS3:OGW3"/>
    <mergeCell ref="OGX3:OHB3"/>
    <mergeCell ref="OHC3:OHG3"/>
    <mergeCell ref="OFJ3:OFN3"/>
    <mergeCell ref="OFO3:OFS3"/>
    <mergeCell ref="OFT3:OFX3"/>
    <mergeCell ref="OFY3:OGC3"/>
    <mergeCell ref="OGD3:OGH3"/>
    <mergeCell ref="OEK3:OEO3"/>
    <mergeCell ref="OEP3:OET3"/>
    <mergeCell ref="OEU3:OEY3"/>
    <mergeCell ref="OEZ3:OFD3"/>
    <mergeCell ref="OFE3:OFI3"/>
    <mergeCell ref="ODL3:ODP3"/>
    <mergeCell ref="ODQ3:ODU3"/>
    <mergeCell ref="ODV3:ODZ3"/>
    <mergeCell ref="OEA3:OEE3"/>
    <mergeCell ref="OEF3:OEJ3"/>
    <mergeCell ref="OCM3:OCQ3"/>
    <mergeCell ref="OCR3:OCV3"/>
    <mergeCell ref="OCW3:ODA3"/>
    <mergeCell ref="ODB3:ODF3"/>
    <mergeCell ref="ODG3:ODK3"/>
    <mergeCell ref="OBN3:OBR3"/>
    <mergeCell ref="OBS3:OBW3"/>
    <mergeCell ref="OBX3:OCB3"/>
    <mergeCell ref="OCC3:OCG3"/>
    <mergeCell ref="OCH3:OCL3"/>
    <mergeCell ref="OAO3:OAS3"/>
    <mergeCell ref="OAT3:OAX3"/>
    <mergeCell ref="OAY3:OBC3"/>
    <mergeCell ref="OBD3:OBH3"/>
    <mergeCell ref="OBI3:OBM3"/>
    <mergeCell ref="NZP3:NZT3"/>
    <mergeCell ref="NZU3:NZY3"/>
    <mergeCell ref="NZZ3:OAD3"/>
    <mergeCell ref="OAE3:OAI3"/>
    <mergeCell ref="OAJ3:OAN3"/>
    <mergeCell ref="NYQ3:NYU3"/>
    <mergeCell ref="NYV3:NYZ3"/>
    <mergeCell ref="NZA3:NZE3"/>
    <mergeCell ref="NZF3:NZJ3"/>
    <mergeCell ref="NZK3:NZO3"/>
    <mergeCell ref="NXR3:NXV3"/>
    <mergeCell ref="NXW3:NYA3"/>
    <mergeCell ref="NYB3:NYF3"/>
    <mergeCell ref="NYG3:NYK3"/>
    <mergeCell ref="NYL3:NYP3"/>
    <mergeCell ref="NWS3:NWW3"/>
    <mergeCell ref="NWX3:NXB3"/>
    <mergeCell ref="NXC3:NXG3"/>
    <mergeCell ref="NXH3:NXL3"/>
    <mergeCell ref="NXM3:NXQ3"/>
    <mergeCell ref="NVT3:NVX3"/>
    <mergeCell ref="NVY3:NWC3"/>
    <mergeCell ref="NWD3:NWH3"/>
    <mergeCell ref="NWI3:NWM3"/>
    <mergeCell ref="NWN3:NWR3"/>
    <mergeCell ref="NUU3:NUY3"/>
    <mergeCell ref="NUZ3:NVD3"/>
    <mergeCell ref="NVE3:NVI3"/>
    <mergeCell ref="NVJ3:NVN3"/>
    <mergeCell ref="NVO3:NVS3"/>
    <mergeCell ref="NTV3:NTZ3"/>
    <mergeCell ref="NUA3:NUE3"/>
    <mergeCell ref="NUF3:NUJ3"/>
    <mergeCell ref="NUK3:NUO3"/>
    <mergeCell ref="NUP3:NUT3"/>
    <mergeCell ref="NSW3:NTA3"/>
    <mergeCell ref="NTB3:NTF3"/>
    <mergeCell ref="NTG3:NTK3"/>
    <mergeCell ref="NTL3:NTP3"/>
    <mergeCell ref="NTQ3:NTU3"/>
    <mergeCell ref="NRX3:NSB3"/>
    <mergeCell ref="NSC3:NSG3"/>
    <mergeCell ref="NSH3:NSL3"/>
    <mergeCell ref="NSM3:NSQ3"/>
    <mergeCell ref="NSR3:NSV3"/>
    <mergeCell ref="NQY3:NRC3"/>
    <mergeCell ref="NRD3:NRH3"/>
    <mergeCell ref="NRI3:NRM3"/>
    <mergeCell ref="NRN3:NRR3"/>
    <mergeCell ref="NRS3:NRW3"/>
    <mergeCell ref="NPZ3:NQD3"/>
    <mergeCell ref="NQE3:NQI3"/>
    <mergeCell ref="NQJ3:NQN3"/>
    <mergeCell ref="NQO3:NQS3"/>
    <mergeCell ref="NQT3:NQX3"/>
    <mergeCell ref="NPA3:NPE3"/>
    <mergeCell ref="NPF3:NPJ3"/>
    <mergeCell ref="NPK3:NPO3"/>
    <mergeCell ref="NPP3:NPT3"/>
    <mergeCell ref="NPU3:NPY3"/>
    <mergeCell ref="NOB3:NOF3"/>
    <mergeCell ref="NOG3:NOK3"/>
    <mergeCell ref="NOL3:NOP3"/>
    <mergeCell ref="NOQ3:NOU3"/>
    <mergeCell ref="NOV3:NOZ3"/>
    <mergeCell ref="NNC3:NNG3"/>
    <mergeCell ref="NNH3:NNL3"/>
    <mergeCell ref="NNM3:NNQ3"/>
    <mergeCell ref="NNR3:NNV3"/>
    <mergeCell ref="NNW3:NOA3"/>
    <mergeCell ref="NMD3:NMH3"/>
    <mergeCell ref="NMI3:NMM3"/>
    <mergeCell ref="NMN3:NMR3"/>
    <mergeCell ref="NMS3:NMW3"/>
    <mergeCell ref="NMX3:NNB3"/>
    <mergeCell ref="NLE3:NLI3"/>
    <mergeCell ref="NLJ3:NLN3"/>
    <mergeCell ref="NLO3:NLS3"/>
    <mergeCell ref="NLT3:NLX3"/>
    <mergeCell ref="NLY3:NMC3"/>
    <mergeCell ref="NKF3:NKJ3"/>
    <mergeCell ref="NKK3:NKO3"/>
    <mergeCell ref="NKP3:NKT3"/>
    <mergeCell ref="NKU3:NKY3"/>
    <mergeCell ref="NKZ3:NLD3"/>
    <mergeCell ref="NJG3:NJK3"/>
    <mergeCell ref="NJL3:NJP3"/>
    <mergeCell ref="NJQ3:NJU3"/>
    <mergeCell ref="NJV3:NJZ3"/>
    <mergeCell ref="NKA3:NKE3"/>
    <mergeCell ref="NIH3:NIL3"/>
    <mergeCell ref="NIM3:NIQ3"/>
    <mergeCell ref="NIR3:NIV3"/>
    <mergeCell ref="NIW3:NJA3"/>
    <mergeCell ref="NJB3:NJF3"/>
    <mergeCell ref="NHI3:NHM3"/>
    <mergeCell ref="NHN3:NHR3"/>
    <mergeCell ref="NHS3:NHW3"/>
    <mergeCell ref="NHX3:NIB3"/>
    <mergeCell ref="NIC3:NIG3"/>
    <mergeCell ref="NGJ3:NGN3"/>
    <mergeCell ref="NGO3:NGS3"/>
    <mergeCell ref="NGT3:NGX3"/>
    <mergeCell ref="NGY3:NHC3"/>
    <mergeCell ref="NHD3:NHH3"/>
    <mergeCell ref="NFK3:NFO3"/>
    <mergeCell ref="NFP3:NFT3"/>
    <mergeCell ref="NFU3:NFY3"/>
    <mergeCell ref="NFZ3:NGD3"/>
    <mergeCell ref="NGE3:NGI3"/>
    <mergeCell ref="NEL3:NEP3"/>
    <mergeCell ref="NEQ3:NEU3"/>
    <mergeCell ref="NEV3:NEZ3"/>
    <mergeCell ref="NFA3:NFE3"/>
    <mergeCell ref="NFF3:NFJ3"/>
    <mergeCell ref="NDM3:NDQ3"/>
    <mergeCell ref="NDR3:NDV3"/>
    <mergeCell ref="NDW3:NEA3"/>
    <mergeCell ref="NEB3:NEF3"/>
    <mergeCell ref="NEG3:NEK3"/>
    <mergeCell ref="NCN3:NCR3"/>
    <mergeCell ref="NCS3:NCW3"/>
    <mergeCell ref="NCX3:NDB3"/>
    <mergeCell ref="NDC3:NDG3"/>
    <mergeCell ref="NDH3:NDL3"/>
    <mergeCell ref="NBO3:NBS3"/>
    <mergeCell ref="NBT3:NBX3"/>
    <mergeCell ref="NBY3:NCC3"/>
    <mergeCell ref="NCD3:NCH3"/>
    <mergeCell ref="NCI3:NCM3"/>
    <mergeCell ref="NAP3:NAT3"/>
    <mergeCell ref="NAU3:NAY3"/>
    <mergeCell ref="NAZ3:NBD3"/>
    <mergeCell ref="NBE3:NBI3"/>
    <mergeCell ref="NBJ3:NBN3"/>
    <mergeCell ref="MZQ3:MZU3"/>
    <mergeCell ref="MZV3:MZZ3"/>
    <mergeCell ref="NAA3:NAE3"/>
    <mergeCell ref="NAF3:NAJ3"/>
    <mergeCell ref="NAK3:NAO3"/>
    <mergeCell ref="MYR3:MYV3"/>
    <mergeCell ref="MYW3:MZA3"/>
    <mergeCell ref="MZB3:MZF3"/>
    <mergeCell ref="MZG3:MZK3"/>
    <mergeCell ref="MZL3:MZP3"/>
    <mergeCell ref="MXS3:MXW3"/>
    <mergeCell ref="MXX3:MYB3"/>
    <mergeCell ref="MYC3:MYG3"/>
    <mergeCell ref="MYH3:MYL3"/>
    <mergeCell ref="MYM3:MYQ3"/>
    <mergeCell ref="MWT3:MWX3"/>
    <mergeCell ref="MWY3:MXC3"/>
    <mergeCell ref="MXD3:MXH3"/>
    <mergeCell ref="MXI3:MXM3"/>
    <mergeCell ref="MXN3:MXR3"/>
    <mergeCell ref="MVU3:MVY3"/>
    <mergeCell ref="MVZ3:MWD3"/>
    <mergeCell ref="MWE3:MWI3"/>
    <mergeCell ref="MWJ3:MWN3"/>
    <mergeCell ref="MWO3:MWS3"/>
    <mergeCell ref="MUV3:MUZ3"/>
    <mergeCell ref="MVA3:MVE3"/>
    <mergeCell ref="MVF3:MVJ3"/>
    <mergeCell ref="MVK3:MVO3"/>
    <mergeCell ref="MVP3:MVT3"/>
    <mergeCell ref="MTW3:MUA3"/>
    <mergeCell ref="MUB3:MUF3"/>
    <mergeCell ref="MUG3:MUK3"/>
    <mergeCell ref="MUL3:MUP3"/>
    <mergeCell ref="MUQ3:MUU3"/>
    <mergeCell ref="MSX3:MTB3"/>
    <mergeCell ref="MTC3:MTG3"/>
    <mergeCell ref="MTH3:MTL3"/>
    <mergeCell ref="MTM3:MTQ3"/>
    <mergeCell ref="MTR3:MTV3"/>
    <mergeCell ref="MRY3:MSC3"/>
    <mergeCell ref="MSD3:MSH3"/>
    <mergeCell ref="MSI3:MSM3"/>
    <mergeCell ref="MSN3:MSR3"/>
    <mergeCell ref="MSS3:MSW3"/>
    <mergeCell ref="MQZ3:MRD3"/>
    <mergeCell ref="MRE3:MRI3"/>
    <mergeCell ref="MRJ3:MRN3"/>
    <mergeCell ref="MRO3:MRS3"/>
    <mergeCell ref="MRT3:MRX3"/>
    <mergeCell ref="MQA3:MQE3"/>
    <mergeCell ref="MQF3:MQJ3"/>
    <mergeCell ref="MQK3:MQO3"/>
    <mergeCell ref="MQP3:MQT3"/>
    <mergeCell ref="MQU3:MQY3"/>
    <mergeCell ref="MPB3:MPF3"/>
    <mergeCell ref="MPG3:MPK3"/>
    <mergeCell ref="MPL3:MPP3"/>
    <mergeCell ref="MPQ3:MPU3"/>
    <mergeCell ref="MPV3:MPZ3"/>
    <mergeCell ref="MOC3:MOG3"/>
    <mergeCell ref="MOH3:MOL3"/>
    <mergeCell ref="MOM3:MOQ3"/>
    <mergeCell ref="MOR3:MOV3"/>
    <mergeCell ref="MOW3:MPA3"/>
    <mergeCell ref="MND3:MNH3"/>
    <mergeCell ref="MNI3:MNM3"/>
    <mergeCell ref="MNN3:MNR3"/>
    <mergeCell ref="MNS3:MNW3"/>
    <mergeCell ref="MNX3:MOB3"/>
    <mergeCell ref="MME3:MMI3"/>
    <mergeCell ref="MMJ3:MMN3"/>
    <mergeCell ref="MMO3:MMS3"/>
    <mergeCell ref="MMT3:MMX3"/>
    <mergeCell ref="MMY3:MNC3"/>
    <mergeCell ref="MLF3:MLJ3"/>
    <mergeCell ref="MLK3:MLO3"/>
    <mergeCell ref="MLP3:MLT3"/>
    <mergeCell ref="MLU3:MLY3"/>
    <mergeCell ref="MLZ3:MMD3"/>
    <mergeCell ref="MKG3:MKK3"/>
    <mergeCell ref="MKL3:MKP3"/>
    <mergeCell ref="MKQ3:MKU3"/>
    <mergeCell ref="MKV3:MKZ3"/>
    <mergeCell ref="MLA3:MLE3"/>
    <mergeCell ref="MJH3:MJL3"/>
    <mergeCell ref="MJM3:MJQ3"/>
    <mergeCell ref="MJR3:MJV3"/>
    <mergeCell ref="MJW3:MKA3"/>
    <mergeCell ref="MKB3:MKF3"/>
    <mergeCell ref="MII3:MIM3"/>
    <mergeCell ref="MIN3:MIR3"/>
    <mergeCell ref="MIS3:MIW3"/>
    <mergeCell ref="MIX3:MJB3"/>
    <mergeCell ref="MJC3:MJG3"/>
    <mergeCell ref="MHJ3:MHN3"/>
    <mergeCell ref="MHO3:MHS3"/>
    <mergeCell ref="MHT3:MHX3"/>
    <mergeCell ref="MHY3:MIC3"/>
    <mergeCell ref="MID3:MIH3"/>
    <mergeCell ref="MGK3:MGO3"/>
    <mergeCell ref="MGP3:MGT3"/>
    <mergeCell ref="MGU3:MGY3"/>
    <mergeCell ref="MGZ3:MHD3"/>
    <mergeCell ref="MHE3:MHI3"/>
    <mergeCell ref="MFL3:MFP3"/>
    <mergeCell ref="MFQ3:MFU3"/>
    <mergeCell ref="MFV3:MFZ3"/>
    <mergeCell ref="MGA3:MGE3"/>
    <mergeCell ref="MGF3:MGJ3"/>
    <mergeCell ref="MEM3:MEQ3"/>
    <mergeCell ref="MER3:MEV3"/>
    <mergeCell ref="MEW3:MFA3"/>
    <mergeCell ref="MFB3:MFF3"/>
    <mergeCell ref="MFG3:MFK3"/>
    <mergeCell ref="MDN3:MDR3"/>
    <mergeCell ref="MDS3:MDW3"/>
    <mergeCell ref="MDX3:MEB3"/>
    <mergeCell ref="MEC3:MEG3"/>
    <mergeCell ref="MEH3:MEL3"/>
    <mergeCell ref="MCO3:MCS3"/>
    <mergeCell ref="MCT3:MCX3"/>
    <mergeCell ref="MCY3:MDC3"/>
    <mergeCell ref="MDD3:MDH3"/>
    <mergeCell ref="MDI3:MDM3"/>
    <mergeCell ref="MBP3:MBT3"/>
    <mergeCell ref="MBU3:MBY3"/>
    <mergeCell ref="MBZ3:MCD3"/>
    <mergeCell ref="MCE3:MCI3"/>
    <mergeCell ref="MCJ3:MCN3"/>
    <mergeCell ref="MAQ3:MAU3"/>
    <mergeCell ref="MAV3:MAZ3"/>
    <mergeCell ref="MBA3:MBE3"/>
    <mergeCell ref="MBF3:MBJ3"/>
    <mergeCell ref="MBK3:MBO3"/>
    <mergeCell ref="LZR3:LZV3"/>
    <mergeCell ref="LZW3:MAA3"/>
    <mergeCell ref="MAB3:MAF3"/>
    <mergeCell ref="MAG3:MAK3"/>
    <mergeCell ref="MAL3:MAP3"/>
    <mergeCell ref="LYS3:LYW3"/>
    <mergeCell ref="LYX3:LZB3"/>
    <mergeCell ref="LZC3:LZG3"/>
    <mergeCell ref="LZH3:LZL3"/>
    <mergeCell ref="LZM3:LZQ3"/>
    <mergeCell ref="LXT3:LXX3"/>
    <mergeCell ref="LXY3:LYC3"/>
    <mergeCell ref="LYD3:LYH3"/>
    <mergeCell ref="LYI3:LYM3"/>
    <mergeCell ref="LYN3:LYR3"/>
    <mergeCell ref="LWU3:LWY3"/>
    <mergeCell ref="LWZ3:LXD3"/>
    <mergeCell ref="LXE3:LXI3"/>
    <mergeCell ref="LXJ3:LXN3"/>
    <mergeCell ref="LXO3:LXS3"/>
    <mergeCell ref="LVV3:LVZ3"/>
    <mergeCell ref="LWA3:LWE3"/>
    <mergeCell ref="LWF3:LWJ3"/>
    <mergeCell ref="LWK3:LWO3"/>
    <mergeCell ref="LWP3:LWT3"/>
    <mergeCell ref="LUW3:LVA3"/>
    <mergeCell ref="LVB3:LVF3"/>
    <mergeCell ref="LVG3:LVK3"/>
    <mergeCell ref="LVL3:LVP3"/>
    <mergeCell ref="LVQ3:LVU3"/>
    <mergeCell ref="LTX3:LUB3"/>
    <mergeCell ref="LUC3:LUG3"/>
    <mergeCell ref="LUH3:LUL3"/>
    <mergeCell ref="LUM3:LUQ3"/>
    <mergeCell ref="LUR3:LUV3"/>
    <mergeCell ref="LSY3:LTC3"/>
    <mergeCell ref="LTD3:LTH3"/>
    <mergeCell ref="LTI3:LTM3"/>
    <mergeCell ref="LTN3:LTR3"/>
    <mergeCell ref="LTS3:LTW3"/>
    <mergeCell ref="LRZ3:LSD3"/>
    <mergeCell ref="LSE3:LSI3"/>
    <mergeCell ref="LSJ3:LSN3"/>
    <mergeCell ref="LSO3:LSS3"/>
    <mergeCell ref="LST3:LSX3"/>
    <mergeCell ref="LRA3:LRE3"/>
    <mergeCell ref="LRF3:LRJ3"/>
    <mergeCell ref="LRK3:LRO3"/>
    <mergeCell ref="LRP3:LRT3"/>
    <mergeCell ref="LRU3:LRY3"/>
    <mergeCell ref="LQB3:LQF3"/>
    <mergeCell ref="LQG3:LQK3"/>
    <mergeCell ref="LQL3:LQP3"/>
    <mergeCell ref="LQQ3:LQU3"/>
    <mergeCell ref="LQV3:LQZ3"/>
    <mergeCell ref="LPC3:LPG3"/>
    <mergeCell ref="LPH3:LPL3"/>
    <mergeCell ref="LPM3:LPQ3"/>
    <mergeCell ref="LPR3:LPV3"/>
    <mergeCell ref="LPW3:LQA3"/>
    <mergeCell ref="LOD3:LOH3"/>
    <mergeCell ref="LOI3:LOM3"/>
    <mergeCell ref="LON3:LOR3"/>
    <mergeCell ref="LOS3:LOW3"/>
    <mergeCell ref="LOX3:LPB3"/>
    <mergeCell ref="LNE3:LNI3"/>
    <mergeCell ref="LNJ3:LNN3"/>
    <mergeCell ref="LNO3:LNS3"/>
    <mergeCell ref="LNT3:LNX3"/>
    <mergeCell ref="LNY3:LOC3"/>
    <mergeCell ref="LMF3:LMJ3"/>
    <mergeCell ref="LMK3:LMO3"/>
    <mergeCell ref="LMP3:LMT3"/>
    <mergeCell ref="LMU3:LMY3"/>
    <mergeCell ref="LMZ3:LND3"/>
    <mergeCell ref="LLG3:LLK3"/>
    <mergeCell ref="LLL3:LLP3"/>
    <mergeCell ref="LLQ3:LLU3"/>
    <mergeCell ref="LLV3:LLZ3"/>
    <mergeCell ref="LMA3:LME3"/>
    <mergeCell ref="LKH3:LKL3"/>
    <mergeCell ref="LKM3:LKQ3"/>
    <mergeCell ref="LKR3:LKV3"/>
    <mergeCell ref="LKW3:LLA3"/>
    <mergeCell ref="LLB3:LLF3"/>
    <mergeCell ref="LJI3:LJM3"/>
    <mergeCell ref="LJN3:LJR3"/>
    <mergeCell ref="LJS3:LJW3"/>
    <mergeCell ref="LJX3:LKB3"/>
    <mergeCell ref="LKC3:LKG3"/>
    <mergeCell ref="LIJ3:LIN3"/>
    <mergeCell ref="LIO3:LIS3"/>
    <mergeCell ref="LIT3:LIX3"/>
    <mergeCell ref="LIY3:LJC3"/>
    <mergeCell ref="LJD3:LJH3"/>
    <mergeCell ref="LHK3:LHO3"/>
    <mergeCell ref="LHP3:LHT3"/>
    <mergeCell ref="LHU3:LHY3"/>
    <mergeCell ref="LHZ3:LID3"/>
    <mergeCell ref="LIE3:LII3"/>
    <mergeCell ref="LGL3:LGP3"/>
    <mergeCell ref="LGQ3:LGU3"/>
    <mergeCell ref="LGV3:LGZ3"/>
    <mergeCell ref="LHA3:LHE3"/>
    <mergeCell ref="LHF3:LHJ3"/>
    <mergeCell ref="LFM3:LFQ3"/>
    <mergeCell ref="LFR3:LFV3"/>
    <mergeCell ref="LFW3:LGA3"/>
    <mergeCell ref="LGB3:LGF3"/>
    <mergeCell ref="LGG3:LGK3"/>
    <mergeCell ref="LEN3:LER3"/>
    <mergeCell ref="LES3:LEW3"/>
    <mergeCell ref="LEX3:LFB3"/>
    <mergeCell ref="LFC3:LFG3"/>
    <mergeCell ref="LFH3:LFL3"/>
    <mergeCell ref="LDO3:LDS3"/>
    <mergeCell ref="LDT3:LDX3"/>
    <mergeCell ref="LDY3:LEC3"/>
    <mergeCell ref="LED3:LEH3"/>
    <mergeCell ref="LEI3:LEM3"/>
    <mergeCell ref="LCP3:LCT3"/>
    <mergeCell ref="LCU3:LCY3"/>
    <mergeCell ref="LCZ3:LDD3"/>
    <mergeCell ref="LDE3:LDI3"/>
    <mergeCell ref="LDJ3:LDN3"/>
    <mergeCell ref="LBQ3:LBU3"/>
    <mergeCell ref="LBV3:LBZ3"/>
    <mergeCell ref="LCA3:LCE3"/>
    <mergeCell ref="LCF3:LCJ3"/>
    <mergeCell ref="LCK3:LCO3"/>
    <mergeCell ref="LAR3:LAV3"/>
    <mergeCell ref="LAW3:LBA3"/>
    <mergeCell ref="LBB3:LBF3"/>
    <mergeCell ref="LBG3:LBK3"/>
    <mergeCell ref="LBL3:LBP3"/>
    <mergeCell ref="KZS3:KZW3"/>
    <mergeCell ref="KZX3:LAB3"/>
    <mergeCell ref="LAC3:LAG3"/>
    <mergeCell ref="LAH3:LAL3"/>
    <mergeCell ref="LAM3:LAQ3"/>
    <mergeCell ref="KYT3:KYX3"/>
    <mergeCell ref="KYY3:KZC3"/>
    <mergeCell ref="KZD3:KZH3"/>
    <mergeCell ref="KZI3:KZM3"/>
    <mergeCell ref="KZN3:KZR3"/>
    <mergeCell ref="KXU3:KXY3"/>
    <mergeCell ref="KXZ3:KYD3"/>
    <mergeCell ref="KYE3:KYI3"/>
    <mergeCell ref="KYJ3:KYN3"/>
    <mergeCell ref="KYO3:KYS3"/>
    <mergeCell ref="KWV3:KWZ3"/>
    <mergeCell ref="KXA3:KXE3"/>
    <mergeCell ref="KXF3:KXJ3"/>
    <mergeCell ref="KXK3:KXO3"/>
    <mergeCell ref="KXP3:KXT3"/>
    <mergeCell ref="KVW3:KWA3"/>
    <mergeCell ref="KWB3:KWF3"/>
    <mergeCell ref="KWG3:KWK3"/>
    <mergeCell ref="KWL3:KWP3"/>
    <mergeCell ref="KWQ3:KWU3"/>
    <mergeCell ref="KUX3:KVB3"/>
    <mergeCell ref="KVC3:KVG3"/>
    <mergeCell ref="KVH3:KVL3"/>
    <mergeCell ref="KVM3:KVQ3"/>
    <mergeCell ref="KVR3:KVV3"/>
    <mergeCell ref="KTY3:KUC3"/>
    <mergeCell ref="KUD3:KUH3"/>
    <mergeCell ref="KUI3:KUM3"/>
    <mergeCell ref="KUN3:KUR3"/>
    <mergeCell ref="KUS3:KUW3"/>
    <mergeCell ref="KSZ3:KTD3"/>
    <mergeCell ref="KTE3:KTI3"/>
    <mergeCell ref="KTJ3:KTN3"/>
    <mergeCell ref="KTO3:KTS3"/>
    <mergeCell ref="KTT3:KTX3"/>
    <mergeCell ref="KSA3:KSE3"/>
    <mergeCell ref="KSF3:KSJ3"/>
    <mergeCell ref="KSK3:KSO3"/>
    <mergeCell ref="KSP3:KST3"/>
    <mergeCell ref="KSU3:KSY3"/>
    <mergeCell ref="KRB3:KRF3"/>
    <mergeCell ref="KRG3:KRK3"/>
    <mergeCell ref="KRL3:KRP3"/>
    <mergeCell ref="KRQ3:KRU3"/>
    <mergeCell ref="KRV3:KRZ3"/>
    <mergeCell ref="KQC3:KQG3"/>
    <mergeCell ref="KQH3:KQL3"/>
    <mergeCell ref="KQM3:KQQ3"/>
    <mergeCell ref="KQR3:KQV3"/>
    <mergeCell ref="KQW3:KRA3"/>
    <mergeCell ref="KPD3:KPH3"/>
    <mergeCell ref="KPI3:KPM3"/>
    <mergeCell ref="KPN3:KPR3"/>
    <mergeCell ref="KPS3:KPW3"/>
    <mergeCell ref="KPX3:KQB3"/>
    <mergeCell ref="KOE3:KOI3"/>
    <mergeCell ref="KOJ3:KON3"/>
    <mergeCell ref="KOO3:KOS3"/>
    <mergeCell ref="KOT3:KOX3"/>
    <mergeCell ref="KOY3:KPC3"/>
    <mergeCell ref="KNF3:KNJ3"/>
    <mergeCell ref="KNK3:KNO3"/>
    <mergeCell ref="KNP3:KNT3"/>
    <mergeCell ref="KNU3:KNY3"/>
    <mergeCell ref="KNZ3:KOD3"/>
    <mergeCell ref="KMG3:KMK3"/>
    <mergeCell ref="KML3:KMP3"/>
    <mergeCell ref="KMQ3:KMU3"/>
    <mergeCell ref="KMV3:KMZ3"/>
    <mergeCell ref="KNA3:KNE3"/>
    <mergeCell ref="KLH3:KLL3"/>
    <mergeCell ref="KLM3:KLQ3"/>
    <mergeCell ref="KLR3:KLV3"/>
    <mergeCell ref="KLW3:KMA3"/>
    <mergeCell ref="KMB3:KMF3"/>
    <mergeCell ref="KKI3:KKM3"/>
    <mergeCell ref="KKN3:KKR3"/>
    <mergeCell ref="KKS3:KKW3"/>
    <mergeCell ref="KKX3:KLB3"/>
    <mergeCell ref="KLC3:KLG3"/>
    <mergeCell ref="KJJ3:KJN3"/>
    <mergeCell ref="KJO3:KJS3"/>
    <mergeCell ref="KJT3:KJX3"/>
    <mergeCell ref="KJY3:KKC3"/>
    <mergeCell ref="KKD3:KKH3"/>
    <mergeCell ref="KIK3:KIO3"/>
    <mergeCell ref="KIP3:KIT3"/>
    <mergeCell ref="KIU3:KIY3"/>
    <mergeCell ref="KIZ3:KJD3"/>
    <mergeCell ref="KJE3:KJI3"/>
    <mergeCell ref="KHL3:KHP3"/>
    <mergeCell ref="KHQ3:KHU3"/>
    <mergeCell ref="KHV3:KHZ3"/>
    <mergeCell ref="KIA3:KIE3"/>
    <mergeCell ref="KIF3:KIJ3"/>
    <mergeCell ref="KGM3:KGQ3"/>
    <mergeCell ref="KGR3:KGV3"/>
    <mergeCell ref="KGW3:KHA3"/>
    <mergeCell ref="KHB3:KHF3"/>
    <mergeCell ref="KHG3:KHK3"/>
    <mergeCell ref="KFN3:KFR3"/>
    <mergeCell ref="KFS3:KFW3"/>
    <mergeCell ref="KFX3:KGB3"/>
    <mergeCell ref="KGC3:KGG3"/>
    <mergeCell ref="KGH3:KGL3"/>
    <mergeCell ref="KEO3:KES3"/>
    <mergeCell ref="KET3:KEX3"/>
    <mergeCell ref="KEY3:KFC3"/>
    <mergeCell ref="KFD3:KFH3"/>
    <mergeCell ref="KFI3:KFM3"/>
    <mergeCell ref="KDP3:KDT3"/>
    <mergeCell ref="KDU3:KDY3"/>
    <mergeCell ref="KDZ3:KED3"/>
    <mergeCell ref="KEE3:KEI3"/>
    <mergeCell ref="KEJ3:KEN3"/>
    <mergeCell ref="KCQ3:KCU3"/>
    <mergeCell ref="KCV3:KCZ3"/>
    <mergeCell ref="KDA3:KDE3"/>
    <mergeCell ref="KDF3:KDJ3"/>
    <mergeCell ref="KDK3:KDO3"/>
    <mergeCell ref="KBR3:KBV3"/>
    <mergeCell ref="KBW3:KCA3"/>
    <mergeCell ref="KCB3:KCF3"/>
    <mergeCell ref="KCG3:KCK3"/>
    <mergeCell ref="KCL3:KCP3"/>
    <mergeCell ref="KAS3:KAW3"/>
    <mergeCell ref="KAX3:KBB3"/>
    <mergeCell ref="KBC3:KBG3"/>
    <mergeCell ref="KBH3:KBL3"/>
    <mergeCell ref="KBM3:KBQ3"/>
    <mergeCell ref="JZT3:JZX3"/>
    <mergeCell ref="JZY3:KAC3"/>
    <mergeCell ref="KAD3:KAH3"/>
    <mergeCell ref="KAI3:KAM3"/>
    <mergeCell ref="KAN3:KAR3"/>
    <mergeCell ref="JYU3:JYY3"/>
    <mergeCell ref="JYZ3:JZD3"/>
    <mergeCell ref="JZE3:JZI3"/>
    <mergeCell ref="JZJ3:JZN3"/>
    <mergeCell ref="JZO3:JZS3"/>
    <mergeCell ref="JXV3:JXZ3"/>
    <mergeCell ref="JYA3:JYE3"/>
    <mergeCell ref="JYF3:JYJ3"/>
    <mergeCell ref="JYK3:JYO3"/>
    <mergeCell ref="JYP3:JYT3"/>
    <mergeCell ref="JWW3:JXA3"/>
    <mergeCell ref="JXB3:JXF3"/>
    <mergeCell ref="JXG3:JXK3"/>
    <mergeCell ref="JXL3:JXP3"/>
    <mergeCell ref="JXQ3:JXU3"/>
    <mergeCell ref="JVX3:JWB3"/>
    <mergeCell ref="JWC3:JWG3"/>
    <mergeCell ref="JWH3:JWL3"/>
    <mergeCell ref="JWM3:JWQ3"/>
    <mergeCell ref="JWR3:JWV3"/>
    <mergeCell ref="JUY3:JVC3"/>
    <mergeCell ref="JVD3:JVH3"/>
    <mergeCell ref="JVI3:JVM3"/>
    <mergeCell ref="JVN3:JVR3"/>
    <mergeCell ref="JVS3:JVW3"/>
    <mergeCell ref="JTZ3:JUD3"/>
    <mergeCell ref="JUE3:JUI3"/>
    <mergeCell ref="JUJ3:JUN3"/>
    <mergeCell ref="JUO3:JUS3"/>
    <mergeCell ref="JUT3:JUX3"/>
    <mergeCell ref="JTA3:JTE3"/>
    <mergeCell ref="JTF3:JTJ3"/>
    <mergeCell ref="JTK3:JTO3"/>
    <mergeCell ref="JTP3:JTT3"/>
    <mergeCell ref="JTU3:JTY3"/>
    <mergeCell ref="JSB3:JSF3"/>
    <mergeCell ref="JSG3:JSK3"/>
    <mergeCell ref="JSL3:JSP3"/>
    <mergeCell ref="JSQ3:JSU3"/>
    <mergeCell ref="JSV3:JSZ3"/>
    <mergeCell ref="JRC3:JRG3"/>
    <mergeCell ref="JRH3:JRL3"/>
    <mergeCell ref="JRM3:JRQ3"/>
    <mergeCell ref="JRR3:JRV3"/>
    <mergeCell ref="JRW3:JSA3"/>
    <mergeCell ref="JQD3:JQH3"/>
    <mergeCell ref="JQI3:JQM3"/>
    <mergeCell ref="JQN3:JQR3"/>
    <mergeCell ref="JQS3:JQW3"/>
    <mergeCell ref="JQX3:JRB3"/>
    <mergeCell ref="JPE3:JPI3"/>
    <mergeCell ref="JPJ3:JPN3"/>
    <mergeCell ref="JPO3:JPS3"/>
    <mergeCell ref="JPT3:JPX3"/>
    <mergeCell ref="JPY3:JQC3"/>
    <mergeCell ref="JOF3:JOJ3"/>
    <mergeCell ref="JOK3:JOO3"/>
    <mergeCell ref="JOP3:JOT3"/>
    <mergeCell ref="JOU3:JOY3"/>
    <mergeCell ref="JOZ3:JPD3"/>
    <mergeCell ref="JNG3:JNK3"/>
    <mergeCell ref="JNL3:JNP3"/>
    <mergeCell ref="JNQ3:JNU3"/>
    <mergeCell ref="JNV3:JNZ3"/>
    <mergeCell ref="JOA3:JOE3"/>
    <mergeCell ref="JMH3:JML3"/>
    <mergeCell ref="JMM3:JMQ3"/>
    <mergeCell ref="JMR3:JMV3"/>
    <mergeCell ref="JMW3:JNA3"/>
    <mergeCell ref="JNB3:JNF3"/>
    <mergeCell ref="JLI3:JLM3"/>
    <mergeCell ref="JLN3:JLR3"/>
    <mergeCell ref="JLS3:JLW3"/>
    <mergeCell ref="JLX3:JMB3"/>
    <mergeCell ref="JMC3:JMG3"/>
    <mergeCell ref="JKJ3:JKN3"/>
    <mergeCell ref="JKO3:JKS3"/>
    <mergeCell ref="JKT3:JKX3"/>
    <mergeCell ref="JKY3:JLC3"/>
    <mergeCell ref="JLD3:JLH3"/>
    <mergeCell ref="JJK3:JJO3"/>
    <mergeCell ref="JJP3:JJT3"/>
    <mergeCell ref="JJU3:JJY3"/>
    <mergeCell ref="JJZ3:JKD3"/>
    <mergeCell ref="JKE3:JKI3"/>
    <mergeCell ref="JIL3:JIP3"/>
    <mergeCell ref="JIQ3:JIU3"/>
    <mergeCell ref="JIV3:JIZ3"/>
    <mergeCell ref="JJA3:JJE3"/>
    <mergeCell ref="JJF3:JJJ3"/>
    <mergeCell ref="JHM3:JHQ3"/>
    <mergeCell ref="JHR3:JHV3"/>
    <mergeCell ref="JHW3:JIA3"/>
    <mergeCell ref="JIB3:JIF3"/>
    <mergeCell ref="JIG3:JIK3"/>
    <mergeCell ref="JGN3:JGR3"/>
    <mergeCell ref="JGS3:JGW3"/>
    <mergeCell ref="JGX3:JHB3"/>
    <mergeCell ref="JHC3:JHG3"/>
    <mergeCell ref="JHH3:JHL3"/>
    <mergeCell ref="JFO3:JFS3"/>
    <mergeCell ref="JFT3:JFX3"/>
    <mergeCell ref="JFY3:JGC3"/>
    <mergeCell ref="JGD3:JGH3"/>
    <mergeCell ref="JGI3:JGM3"/>
    <mergeCell ref="JEP3:JET3"/>
    <mergeCell ref="JEU3:JEY3"/>
    <mergeCell ref="JEZ3:JFD3"/>
    <mergeCell ref="JFE3:JFI3"/>
    <mergeCell ref="JFJ3:JFN3"/>
    <mergeCell ref="JDQ3:JDU3"/>
    <mergeCell ref="JDV3:JDZ3"/>
    <mergeCell ref="JEA3:JEE3"/>
    <mergeCell ref="JEF3:JEJ3"/>
    <mergeCell ref="JEK3:JEO3"/>
    <mergeCell ref="JCR3:JCV3"/>
    <mergeCell ref="JCW3:JDA3"/>
    <mergeCell ref="JDB3:JDF3"/>
    <mergeCell ref="JDG3:JDK3"/>
    <mergeCell ref="JDL3:JDP3"/>
    <mergeCell ref="JBS3:JBW3"/>
    <mergeCell ref="JBX3:JCB3"/>
    <mergeCell ref="JCC3:JCG3"/>
    <mergeCell ref="JCH3:JCL3"/>
    <mergeCell ref="JCM3:JCQ3"/>
    <mergeCell ref="JAT3:JAX3"/>
    <mergeCell ref="JAY3:JBC3"/>
    <mergeCell ref="JBD3:JBH3"/>
    <mergeCell ref="JBI3:JBM3"/>
    <mergeCell ref="JBN3:JBR3"/>
    <mergeCell ref="IZU3:IZY3"/>
    <mergeCell ref="IZZ3:JAD3"/>
    <mergeCell ref="JAE3:JAI3"/>
    <mergeCell ref="JAJ3:JAN3"/>
    <mergeCell ref="JAO3:JAS3"/>
    <mergeCell ref="IYV3:IYZ3"/>
    <mergeCell ref="IZA3:IZE3"/>
    <mergeCell ref="IZF3:IZJ3"/>
    <mergeCell ref="IZK3:IZO3"/>
    <mergeCell ref="IZP3:IZT3"/>
    <mergeCell ref="IXW3:IYA3"/>
    <mergeCell ref="IYB3:IYF3"/>
    <mergeCell ref="IYG3:IYK3"/>
    <mergeCell ref="IYL3:IYP3"/>
    <mergeCell ref="IYQ3:IYU3"/>
    <mergeCell ref="IWX3:IXB3"/>
    <mergeCell ref="IXC3:IXG3"/>
    <mergeCell ref="IXH3:IXL3"/>
    <mergeCell ref="IXM3:IXQ3"/>
    <mergeCell ref="IXR3:IXV3"/>
    <mergeCell ref="IVY3:IWC3"/>
    <mergeCell ref="IWD3:IWH3"/>
    <mergeCell ref="IWI3:IWM3"/>
    <mergeCell ref="IWN3:IWR3"/>
    <mergeCell ref="IWS3:IWW3"/>
    <mergeCell ref="IUZ3:IVD3"/>
    <mergeCell ref="IVE3:IVI3"/>
    <mergeCell ref="IVJ3:IVN3"/>
    <mergeCell ref="IVO3:IVS3"/>
    <mergeCell ref="IVT3:IVX3"/>
    <mergeCell ref="IUA3:IUE3"/>
    <mergeCell ref="IUF3:IUJ3"/>
    <mergeCell ref="IUK3:IUO3"/>
    <mergeCell ref="IUP3:IUT3"/>
    <mergeCell ref="IUU3:IUY3"/>
    <mergeCell ref="ITB3:ITF3"/>
    <mergeCell ref="ITG3:ITK3"/>
    <mergeCell ref="ITL3:ITP3"/>
    <mergeCell ref="ITQ3:ITU3"/>
    <mergeCell ref="ITV3:ITZ3"/>
    <mergeCell ref="ISC3:ISG3"/>
    <mergeCell ref="ISH3:ISL3"/>
    <mergeCell ref="ISM3:ISQ3"/>
    <mergeCell ref="ISR3:ISV3"/>
    <mergeCell ref="ISW3:ITA3"/>
    <mergeCell ref="IRD3:IRH3"/>
    <mergeCell ref="IRI3:IRM3"/>
    <mergeCell ref="IRN3:IRR3"/>
    <mergeCell ref="IRS3:IRW3"/>
    <mergeCell ref="IRX3:ISB3"/>
    <mergeCell ref="IQE3:IQI3"/>
    <mergeCell ref="IQJ3:IQN3"/>
    <mergeCell ref="IQO3:IQS3"/>
    <mergeCell ref="IQT3:IQX3"/>
    <mergeCell ref="IQY3:IRC3"/>
    <mergeCell ref="IPF3:IPJ3"/>
    <mergeCell ref="IPK3:IPO3"/>
    <mergeCell ref="IPP3:IPT3"/>
    <mergeCell ref="IPU3:IPY3"/>
    <mergeCell ref="IPZ3:IQD3"/>
    <mergeCell ref="IOG3:IOK3"/>
    <mergeCell ref="IOL3:IOP3"/>
    <mergeCell ref="IOQ3:IOU3"/>
    <mergeCell ref="IOV3:IOZ3"/>
    <mergeCell ref="IPA3:IPE3"/>
    <mergeCell ref="INH3:INL3"/>
    <mergeCell ref="INM3:INQ3"/>
    <mergeCell ref="INR3:INV3"/>
    <mergeCell ref="INW3:IOA3"/>
    <mergeCell ref="IOB3:IOF3"/>
    <mergeCell ref="IMI3:IMM3"/>
    <mergeCell ref="IMN3:IMR3"/>
    <mergeCell ref="IMS3:IMW3"/>
    <mergeCell ref="IMX3:INB3"/>
    <mergeCell ref="INC3:ING3"/>
    <mergeCell ref="ILJ3:ILN3"/>
    <mergeCell ref="ILO3:ILS3"/>
    <mergeCell ref="ILT3:ILX3"/>
    <mergeCell ref="ILY3:IMC3"/>
    <mergeCell ref="IMD3:IMH3"/>
    <mergeCell ref="IKK3:IKO3"/>
    <mergeCell ref="IKP3:IKT3"/>
    <mergeCell ref="IKU3:IKY3"/>
    <mergeCell ref="IKZ3:ILD3"/>
    <mergeCell ref="ILE3:ILI3"/>
    <mergeCell ref="IJL3:IJP3"/>
    <mergeCell ref="IJQ3:IJU3"/>
    <mergeCell ref="IJV3:IJZ3"/>
    <mergeCell ref="IKA3:IKE3"/>
    <mergeCell ref="IKF3:IKJ3"/>
    <mergeCell ref="IIM3:IIQ3"/>
    <mergeCell ref="IIR3:IIV3"/>
    <mergeCell ref="IIW3:IJA3"/>
    <mergeCell ref="IJB3:IJF3"/>
    <mergeCell ref="IJG3:IJK3"/>
    <mergeCell ref="IHN3:IHR3"/>
    <mergeCell ref="IHS3:IHW3"/>
    <mergeCell ref="IHX3:IIB3"/>
    <mergeCell ref="IIC3:IIG3"/>
    <mergeCell ref="IIH3:IIL3"/>
    <mergeCell ref="IGO3:IGS3"/>
    <mergeCell ref="IGT3:IGX3"/>
    <mergeCell ref="IGY3:IHC3"/>
    <mergeCell ref="IHD3:IHH3"/>
    <mergeCell ref="IHI3:IHM3"/>
    <mergeCell ref="IFP3:IFT3"/>
    <mergeCell ref="IFU3:IFY3"/>
    <mergeCell ref="IFZ3:IGD3"/>
    <mergeCell ref="IGE3:IGI3"/>
    <mergeCell ref="IGJ3:IGN3"/>
    <mergeCell ref="IEQ3:IEU3"/>
    <mergeCell ref="IEV3:IEZ3"/>
    <mergeCell ref="IFA3:IFE3"/>
    <mergeCell ref="IFF3:IFJ3"/>
    <mergeCell ref="IFK3:IFO3"/>
    <mergeCell ref="IDR3:IDV3"/>
    <mergeCell ref="IDW3:IEA3"/>
    <mergeCell ref="IEB3:IEF3"/>
    <mergeCell ref="IEG3:IEK3"/>
    <mergeCell ref="IEL3:IEP3"/>
    <mergeCell ref="ICS3:ICW3"/>
    <mergeCell ref="ICX3:IDB3"/>
    <mergeCell ref="IDC3:IDG3"/>
    <mergeCell ref="IDH3:IDL3"/>
    <mergeCell ref="IDM3:IDQ3"/>
    <mergeCell ref="IBT3:IBX3"/>
    <mergeCell ref="IBY3:ICC3"/>
    <mergeCell ref="ICD3:ICH3"/>
    <mergeCell ref="ICI3:ICM3"/>
    <mergeCell ref="ICN3:ICR3"/>
    <mergeCell ref="IAU3:IAY3"/>
    <mergeCell ref="IAZ3:IBD3"/>
    <mergeCell ref="IBE3:IBI3"/>
    <mergeCell ref="IBJ3:IBN3"/>
    <mergeCell ref="IBO3:IBS3"/>
    <mergeCell ref="HZV3:HZZ3"/>
    <mergeCell ref="IAA3:IAE3"/>
    <mergeCell ref="IAF3:IAJ3"/>
    <mergeCell ref="IAK3:IAO3"/>
    <mergeCell ref="IAP3:IAT3"/>
    <mergeCell ref="HYW3:HZA3"/>
    <mergeCell ref="HZB3:HZF3"/>
    <mergeCell ref="HZG3:HZK3"/>
    <mergeCell ref="HZL3:HZP3"/>
    <mergeCell ref="HZQ3:HZU3"/>
    <mergeCell ref="HXX3:HYB3"/>
    <mergeCell ref="HYC3:HYG3"/>
    <mergeCell ref="HYH3:HYL3"/>
    <mergeCell ref="HYM3:HYQ3"/>
    <mergeCell ref="HYR3:HYV3"/>
    <mergeCell ref="HWY3:HXC3"/>
    <mergeCell ref="HXD3:HXH3"/>
    <mergeCell ref="HXI3:HXM3"/>
    <mergeCell ref="HXN3:HXR3"/>
    <mergeCell ref="HXS3:HXW3"/>
    <mergeCell ref="HVZ3:HWD3"/>
    <mergeCell ref="HWE3:HWI3"/>
    <mergeCell ref="HWJ3:HWN3"/>
    <mergeCell ref="HWO3:HWS3"/>
    <mergeCell ref="HWT3:HWX3"/>
    <mergeCell ref="HVA3:HVE3"/>
    <mergeCell ref="HVF3:HVJ3"/>
    <mergeCell ref="HVK3:HVO3"/>
    <mergeCell ref="HVP3:HVT3"/>
    <mergeCell ref="HVU3:HVY3"/>
    <mergeCell ref="HUB3:HUF3"/>
    <mergeCell ref="HUG3:HUK3"/>
    <mergeCell ref="HUL3:HUP3"/>
    <mergeCell ref="HUQ3:HUU3"/>
    <mergeCell ref="HUV3:HUZ3"/>
    <mergeCell ref="HTC3:HTG3"/>
    <mergeCell ref="HTH3:HTL3"/>
    <mergeCell ref="HTM3:HTQ3"/>
    <mergeCell ref="HTR3:HTV3"/>
    <mergeCell ref="HTW3:HUA3"/>
    <mergeCell ref="HSD3:HSH3"/>
    <mergeCell ref="HSI3:HSM3"/>
    <mergeCell ref="HSN3:HSR3"/>
    <mergeCell ref="HSS3:HSW3"/>
    <mergeCell ref="HSX3:HTB3"/>
    <mergeCell ref="HRE3:HRI3"/>
    <mergeCell ref="HRJ3:HRN3"/>
    <mergeCell ref="HRO3:HRS3"/>
    <mergeCell ref="HRT3:HRX3"/>
    <mergeCell ref="HRY3:HSC3"/>
    <mergeCell ref="HQF3:HQJ3"/>
    <mergeCell ref="HQK3:HQO3"/>
    <mergeCell ref="HQP3:HQT3"/>
    <mergeCell ref="HQU3:HQY3"/>
    <mergeCell ref="HQZ3:HRD3"/>
    <mergeCell ref="HPG3:HPK3"/>
    <mergeCell ref="HPL3:HPP3"/>
    <mergeCell ref="HPQ3:HPU3"/>
    <mergeCell ref="HPV3:HPZ3"/>
    <mergeCell ref="HQA3:HQE3"/>
    <mergeCell ref="HOH3:HOL3"/>
    <mergeCell ref="HOM3:HOQ3"/>
    <mergeCell ref="HOR3:HOV3"/>
    <mergeCell ref="HOW3:HPA3"/>
    <mergeCell ref="HPB3:HPF3"/>
    <mergeCell ref="HNI3:HNM3"/>
    <mergeCell ref="HNN3:HNR3"/>
    <mergeCell ref="HNS3:HNW3"/>
    <mergeCell ref="HNX3:HOB3"/>
    <mergeCell ref="HOC3:HOG3"/>
    <mergeCell ref="HMJ3:HMN3"/>
    <mergeCell ref="HMO3:HMS3"/>
    <mergeCell ref="HMT3:HMX3"/>
    <mergeCell ref="HMY3:HNC3"/>
    <mergeCell ref="HND3:HNH3"/>
    <mergeCell ref="HLK3:HLO3"/>
    <mergeCell ref="HLP3:HLT3"/>
    <mergeCell ref="HLU3:HLY3"/>
    <mergeCell ref="HLZ3:HMD3"/>
    <mergeCell ref="HME3:HMI3"/>
    <mergeCell ref="HKL3:HKP3"/>
    <mergeCell ref="HKQ3:HKU3"/>
    <mergeCell ref="HKV3:HKZ3"/>
    <mergeCell ref="HLA3:HLE3"/>
    <mergeCell ref="HLF3:HLJ3"/>
    <mergeCell ref="HJM3:HJQ3"/>
    <mergeCell ref="HJR3:HJV3"/>
    <mergeCell ref="HJW3:HKA3"/>
    <mergeCell ref="HKB3:HKF3"/>
    <mergeCell ref="HKG3:HKK3"/>
    <mergeCell ref="HIN3:HIR3"/>
    <mergeCell ref="HIS3:HIW3"/>
    <mergeCell ref="HIX3:HJB3"/>
    <mergeCell ref="HJC3:HJG3"/>
    <mergeCell ref="HJH3:HJL3"/>
    <mergeCell ref="HHO3:HHS3"/>
    <mergeCell ref="HHT3:HHX3"/>
    <mergeCell ref="HHY3:HIC3"/>
    <mergeCell ref="HID3:HIH3"/>
    <mergeCell ref="HII3:HIM3"/>
    <mergeCell ref="HGP3:HGT3"/>
    <mergeCell ref="HGU3:HGY3"/>
    <mergeCell ref="HGZ3:HHD3"/>
    <mergeCell ref="HHE3:HHI3"/>
    <mergeCell ref="HHJ3:HHN3"/>
    <mergeCell ref="HFQ3:HFU3"/>
    <mergeCell ref="HFV3:HFZ3"/>
    <mergeCell ref="HGA3:HGE3"/>
    <mergeCell ref="HGF3:HGJ3"/>
    <mergeCell ref="HGK3:HGO3"/>
    <mergeCell ref="HER3:HEV3"/>
    <mergeCell ref="HEW3:HFA3"/>
    <mergeCell ref="HFB3:HFF3"/>
    <mergeCell ref="HFG3:HFK3"/>
    <mergeCell ref="HFL3:HFP3"/>
    <mergeCell ref="HDS3:HDW3"/>
    <mergeCell ref="HDX3:HEB3"/>
    <mergeCell ref="HEC3:HEG3"/>
    <mergeCell ref="HEH3:HEL3"/>
    <mergeCell ref="HEM3:HEQ3"/>
    <mergeCell ref="HCT3:HCX3"/>
    <mergeCell ref="HCY3:HDC3"/>
    <mergeCell ref="HDD3:HDH3"/>
    <mergeCell ref="HDI3:HDM3"/>
    <mergeCell ref="HDN3:HDR3"/>
    <mergeCell ref="HBU3:HBY3"/>
    <mergeCell ref="HBZ3:HCD3"/>
    <mergeCell ref="HCE3:HCI3"/>
    <mergeCell ref="HCJ3:HCN3"/>
    <mergeCell ref="HCO3:HCS3"/>
    <mergeCell ref="HAV3:HAZ3"/>
    <mergeCell ref="HBA3:HBE3"/>
    <mergeCell ref="HBF3:HBJ3"/>
    <mergeCell ref="HBK3:HBO3"/>
    <mergeCell ref="HBP3:HBT3"/>
    <mergeCell ref="GZW3:HAA3"/>
    <mergeCell ref="HAB3:HAF3"/>
    <mergeCell ref="HAG3:HAK3"/>
    <mergeCell ref="HAL3:HAP3"/>
    <mergeCell ref="HAQ3:HAU3"/>
    <mergeCell ref="GYX3:GZB3"/>
    <mergeCell ref="GZC3:GZG3"/>
    <mergeCell ref="GZH3:GZL3"/>
    <mergeCell ref="GZM3:GZQ3"/>
    <mergeCell ref="GZR3:GZV3"/>
    <mergeCell ref="GXY3:GYC3"/>
    <mergeCell ref="GYD3:GYH3"/>
    <mergeCell ref="GYI3:GYM3"/>
    <mergeCell ref="GYN3:GYR3"/>
    <mergeCell ref="GYS3:GYW3"/>
    <mergeCell ref="GWZ3:GXD3"/>
    <mergeCell ref="GXE3:GXI3"/>
    <mergeCell ref="GXJ3:GXN3"/>
    <mergeCell ref="GXO3:GXS3"/>
    <mergeCell ref="GXT3:GXX3"/>
    <mergeCell ref="GWA3:GWE3"/>
    <mergeCell ref="GWF3:GWJ3"/>
    <mergeCell ref="GWK3:GWO3"/>
    <mergeCell ref="GWP3:GWT3"/>
    <mergeCell ref="GWU3:GWY3"/>
    <mergeCell ref="GVB3:GVF3"/>
    <mergeCell ref="GVG3:GVK3"/>
    <mergeCell ref="GVL3:GVP3"/>
    <mergeCell ref="GVQ3:GVU3"/>
    <mergeCell ref="GVV3:GVZ3"/>
    <mergeCell ref="GUC3:GUG3"/>
    <mergeCell ref="GUH3:GUL3"/>
    <mergeCell ref="GUM3:GUQ3"/>
    <mergeCell ref="GUR3:GUV3"/>
    <mergeCell ref="GUW3:GVA3"/>
    <mergeCell ref="GTD3:GTH3"/>
    <mergeCell ref="GTI3:GTM3"/>
    <mergeCell ref="GTN3:GTR3"/>
    <mergeCell ref="GTS3:GTW3"/>
    <mergeCell ref="GTX3:GUB3"/>
    <mergeCell ref="GSE3:GSI3"/>
    <mergeCell ref="GSJ3:GSN3"/>
    <mergeCell ref="GSO3:GSS3"/>
    <mergeCell ref="GST3:GSX3"/>
    <mergeCell ref="GSY3:GTC3"/>
    <mergeCell ref="GRF3:GRJ3"/>
    <mergeCell ref="GRK3:GRO3"/>
    <mergeCell ref="GRP3:GRT3"/>
    <mergeCell ref="GRU3:GRY3"/>
    <mergeCell ref="GRZ3:GSD3"/>
    <mergeCell ref="GQG3:GQK3"/>
    <mergeCell ref="GQL3:GQP3"/>
    <mergeCell ref="GQQ3:GQU3"/>
    <mergeCell ref="GQV3:GQZ3"/>
    <mergeCell ref="GRA3:GRE3"/>
    <mergeCell ref="GPH3:GPL3"/>
    <mergeCell ref="GPM3:GPQ3"/>
    <mergeCell ref="GPR3:GPV3"/>
    <mergeCell ref="GPW3:GQA3"/>
    <mergeCell ref="GQB3:GQF3"/>
    <mergeCell ref="GOI3:GOM3"/>
    <mergeCell ref="GON3:GOR3"/>
    <mergeCell ref="GOS3:GOW3"/>
    <mergeCell ref="GOX3:GPB3"/>
    <mergeCell ref="GPC3:GPG3"/>
    <mergeCell ref="GNJ3:GNN3"/>
    <mergeCell ref="GNO3:GNS3"/>
    <mergeCell ref="GNT3:GNX3"/>
    <mergeCell ref="GNY3:GOC3"/>
    <mergeCell ref="GOD3:GOH3"/>
    <mergeCell ref="GMK3:GMO3"/>
    <mergeCell ref="GMP3:GMT3"/>
    <mergeCell ref="GMU3:GMY3"/>
    <mergeCell ref="GMZ3:GND3"/>
    <mergeCell ref="GNE3:GNI3"/>
    <mergeCell ref="GLL3:GLP3"/>
    <mergeCell ref="GLQ3:GLU3"/>
    <mergeCell ref="GLV3:GLZ3"/>
    <mergeCell ref="GMA3:GME3"/>
    <mergeCell ref="GMF3:GMJ3"/>
    <mergeCell ref="GKM3:GKQ3"/>
    <mergeCell ref="GKR3:GKV3"/>
    <mergeCell ref="GKW3:GLA3"/>
    <mergeCell ref="GLB3:GLF3"/>
    <mergeCell ref="GLG3:GLK3"/>
    <mergeCell ref="GJN3:GJR3"/>
    <mergeCell ref="GJS3:GJW3"/>
    <mergeCell ref="GJX3:GKB3"/>
    <mergeCell ref="GKC3:GKG3"/>
    <mergeCell ref="GKH3:GKL3"/>
    <mergeCell ref="GIO3:GIS3"/>
    <mergeCell ref="GIT3:GIX3"/>
    <mergeCell ref="GIY3:GJC3"/>
    <mergeCell ref="GJD3:GJH3"/>
    <mergeCell ref="GJI3:GJM3"/>
    <mergeCell ref="GHP3:GHT3"/>
    <mergeCell ref="GHU3:GHY3"/>
    <mergeCell ref="GHZ3:GID3"/>
    <mergeCell ref="GIE3:GII3"/>
    <mergeCell ref="GIJ3:GIN3"/>
    <mergeCell ref="GGQ3:GGU3"/>
    <mergeCell ref="GGV3:GGZ3"/>
    <mergeCell ref="GHA3:GHE3"/>
    <mergeCell ref="GHF3:GHJ3"/>
    <mergeCell ref="GHK3:GHO3"/>
    <mergeCell ref="GFR3:GFV3"/>
    <mergeCell ref="GFW3:GGA3"/>
    <mergeCell ref="GGB3:GGF3"/>
    <mergeCell ref="GGG3:GGK3"/>
    <mergeCell ref="GGL3:GGP3"/>
    <mergeCell ref="GES3:GEW3"/>
    <mergeCell ref="GEX3:GFB3"/>
    <mergeCell ref="GFC3:GFG3"/>
    <mergeCell ref="GFH3:GFL3"/>
    <mergeCell ref="GFM3:GFQ3"/>
    <mergeCell ref="GDT3:GDX3"/>
    <mergeCell ref="GDY3:GEC3"/>
    <mergeCell ref="GED3:GEH3"/>
    <mergeCell ref="GEI3:GEM3"/>
    <mergeCell ref="GEN3:GER3"/>
    <mergeCell ref="GCU3:GCY3"/>
    <mergeCell ref="GCZ3:GDD3"/>
    <mergeCell ref="GDE3:GDI3"/>
    <mergeCell ref="GDJ3:GDN3"/>
    <mergeCell ref="GDO3:GDS3"/>
    <mergeCell ref="GBV3:GBZ3"/>
    <mergeCell ref="GCA3:GCE3"/>
    <mergeCell ref="GCF3:GCJ3"/>
    <mergeCell ref="GCK3:GCO3"/>
    <mergeCell ref="GCP3:GCT3"/>
    <mergeCell ref="GAW3:GBA3"/>
    <mergeCell ref="GBB3:GBF3"/>
    <mergeCell ref="GBG3:GBK3"/>
    <mergeCell ref="GBL3:GBP3"/>
    <mergeCell ref="GBQ3:GBU3"/>
    <mergeCell ref="FZX3:GAB3"/>
    <mergeCell ref="GAC3:GAG3"/>
    <mergeCell ref="GAH3:GAL3"/>
    <mergeCell ref="GAM3:GAQ3"/>
    <mergeCell ref="GAR3:GAV3"/>
    <mergeCell ref="FYY3:FZC3"/>
    <mergeCell ref="FZD3:FZH3"/>
    <mergeCell ref="FZI3:FZM3"/>
    <mergeCell ref="FZN3:FZR3"/>
    <mergeCell ref="FZS3:FZW3"/>
    <mergeCell ref="FXZ3:FYD3"/>
    <mergeCell ref="FYE3:FYI3"/>
    <mergeCell ref="FYJ3:FYN3"/>
    <mergeCell ref="FYO3:FYS3"/>
    <mergeCell ref="FYT3:FYX3"/>
    <mergeCell ref="FXA3:FXE3"/>
    <mergeCell ref="FXF3:FXJ3"/>
    <mergeCell ref="FXK3:FXO3"/>
    <mergeCell ref="FXP3:FXT3"/>
    <mergeCell ref="FXU3:FXY3"/>
    <mergeCell ref="FWB3:FWF3"/>
    <mergeCell ref="FWG3:FWK3"/>
    <mergeCell ref="FWL3:FWP3"/>
    <mergeCell ref="FWQ3:FWU3"/>
    <mergeCell ref="FWV3:FWZ3"/>
    <mergeCell ref="FVC3:FVG3"/>
    <mergeCell ref="FVH3:FVL3"/>
    <mergeCell ref="FVM3:FVQ3"/>
    <mergeCell ref="FVR3:FVV3"/>
    <mergeCell ref="FVW3:FWA3"/>
    <mergeCell ref="FUD3:FUH3"/>
    <mergeCell ref="FUI3:FUM3"/>
    <mergeCell ref="FUN3:FUR3"/>
    <mergeCell ref="FUS3:FUW3"/>
    <mergeCell ref="FUX3:FVB3"/>
    <mergeCell ref="FTE3:FTI3"/>
    <mergeCell ref="FTJ3:FTN3"/>
    <mergeCell ref="FTO3:FTS3"/>
    <mergeCell ref="FTT3:FTX3"/>
    <mergeCell ref="FTY3:FUC3"/>
    <mergeCell ref="FSF3:FSJ3"/>
    <mergeCell ref="FSK3:FSO3"/>
    <mergeCell ref="FSP3:FST3"/>
    <mergeCell ref="FSU3:FSY3"/>
    <mergeCell ref="FSZ3:FTD3"/>
    <mergeCell ref="FRG3:FRK3"/>
    <mergeCell ref="FRL3:FRP3"/>
    <mergeCell ref="FRQ3:FRU3"/>
    <mergeCell ref="FRV3:FRZ3"/>
    <mergeCell ref="FSA3:FSE3"/>
    <mergeCell ref="FQH3:FQL3"/>
    <mergeCell ref="FQM3:FQQ3"/>
    <mergeCell ref="FQR3:FQV3"/>
    <mergeCell ref="FQW3:FRA3"/>
    <mergeCell ref="FRB3:FRF3"/>
    <mergeCell ref="FPI3:FPM3"/>
    <mergeCell ref="FPN3:FPR3"/>
    <mergeCell ref="FPS3:FPW3"/>
    <mergeCell ref="FPX3:FQB3"/>
    <mergeCell ref="FQC3:FQG3"/>
    <mergeCell ref="FOJ3:FON3"/>
    <mergeCell ref="FOO3:FOS3"/>
    <mergeCell ref="FOT3:FOX3"/>
    <mergeCell ref="FOY3:FPC3"/>
    <mergeCell ref="FPD3:FPH3"/>
    <mergeCell ref="FNK3:FNO3"/>
    <mergeCell ref="FNP3:FNT3"/>
    <mergeCell ref="FNU3:FNY3"/>
    <mergeCell ref="FNZ3:FOD3"/>
    <mergeCell ref="FOE3:FOI3"/>
    <mergeCell ref="FML3:FMP3"/>
    <mergeCell ref="FMQ3:FMU3"/>
    <mergeCell ref="FMV3:FMZ3"/>
    <mergeCell ref="FNA3:FNE3"/>
    <mergeCell ref="FNF3:FNJ3"/>
    <mergeCell ref="FLM3:FLQ3"/>
    <mergeCell ref="FLR3:FLV3"/>
    <mergeCell ref="FLW3:FMA3"/>
    <mergeCell ref="FMB3:FMF3"/>
    <mergeCell ref="FMG3:FMK3"/>
    <mergeCell ref="FKN3:FKR3"/>
    <mergeCell ref="FKS3:FKW3"/>
    <mergeCell ref="FKX3:FLB3"/>
    <mergeCell ref="FLC3:FLG3"/>
    <mergeCell ref="FLH3:FLL3"/>
    <mergeCell ref="FJO3:FJS3"/>
    <mergeCell ref="FJT3:FJX3"/>
    <mergeCell ref="FJY3:FKC3"/>
    <mergeCell ref="FKD3:FKH3"/>
    <mergeCell ref="FKI3:FKM3"/>
    <mergeCell ref="FIP3:FIT3"/>
    <mergeCell ref="FIU3:FIY3"/>
    <mergeCell ref="FIZ3:FJD3"/>
    <mergeCell ref="FJE3:FJI3"/>
    <mergeCell ref="FJJ3:FJN3"/>
    <mergeCell ref="FHQ3:FHU3"/>
    <mergeCell ref="FHV3:FHZ3"/>
    <mergeCell ref="FIA3:FIE3"/>
    <mergeCell ref="FIF3:FIJ3"/>
    <mergeCell ref="FIK3:FIO3"/>
    <mergeCell ref="FGR3:FGV3"/>
    <mergeCell ref="FGW3:FHA3"/>
    <mergeCell ref="FHB3:FHF3"/>
    <mergeCell ref="FHG3:FHK3"/>
    <mergeCell ref="FHL3:FHP3"/>
    <mergeCell ref="FFS3:FFW3"/>
    <mergeCell ref="FFX3:FGB3"/>
    <mergeCell ref="FGC3:FGG3"/>
    <mergeCell ref="FGH3:FGL3"/>
    <mergeCell ref="FGM3:FGQ3"/>
    <mergeCell ref="FET3:FEX3"/>
    <mergeCell ref="FEY3:FFC3"/>
    <mergeCell ref="FFD3:FFH3"/>
    <mergeCell ref="FFI3:FFM3"/>
    <mergeCell ref="FFN3:FFR3"/>
    <mergeCell ref="FDU3:FDY3"/>
    <mergeCell ref="FDZ3:FED3"/>
    <mergeCell ref="FEE3:FEI3"/>
    <mergeCell ref="FEJ3:FEN3"/>
    <mergeCell ref="FEO3:FES3"/>
    <mergeCell ref="FCV3:FCZ3"/>
    <mergeCell ref="FDA3:FDE3"/>
    <mergeCell ref="FDF3:FDJ3"/>
    <mergeCell ref="FDK3:FDO3"/>
    <mergeCell ref="FDP3:FDT3"/>
    <mergeCell ref="FBW3:FCA3"/>
    <mergeCell ref="FCB3:FCF3"/>
    <mergeCell ref="FCG3:FCK3"/>
    <mergeCell ref="FCL3:FCP3"/>
    <mergeCell ref="FCQ3:FCU3"/>
    <mergeCell ref="FAX3:FBB3"/>
    <mergeCell ref="FBC3:FBG3"/>
    <mergeCell ref="FBH3:FBL3"/>
    <mergeCell ref="FBM3:FBQ3"/>
    <mergeCell ref="FBR3:FBV3"/>
    <mergeCell ref="EZY3:FAC3"/>
    <mergeCell ref="FAD3:FAH3"/>
    <mergeCell ref="FAI3:FAM3"/>
    <mergeCell ref="FAN3:FAR3"/>
    <mergeCell ref="FAS3:FAW3"/>
    <mergeCell ref="EYZ3:EZD3"/>
    <mergeCell ref="EZE3:EZI3"/>
    <mergeCell ref="EZJ3:EZN3"/>
    <mergeCell ref="EZO3:EZS3"/>
    <mergeCell ref="EZT3:EZX3"/>
    <mergeCell ref="EYA3:EYE3"/>
    <mergeCell ref="EYF3:EYJ3"/>
    <mergeCell ref="EYK3:EYO3"/>
    <mergeCell ref="EYP3:EYT3"/>
    <mergeCell ref="EYU3:EYY3"/>
    <mergeCell ref="EXB3:EXF3"/>
    <mergeCell ref="EXG3:EXK3"/>
    <mergeCell ref="EXL3:EXP3"/>
    <mergeCell ref="EXQ3:EXU3"/>
    <mergeCell ref="EXV3:EXZ3"/>
    <mergeCell ref="EWC3:EWG3"/>
    <mergeCell ref="EWH3:EWL3"/>
    <mergeCell ref="EWM3:EWQ3"/>
    <mergeCell ref="EWR3:EWV3"/>
    <mergeCell ref="EWW3:EXA3"/>
    <mergeCell ref="EVD3:EVH3"/>
    <mergeCell ref="EVI3:EVM3"/>
    <mergeCell ref="EVN3:EVR3"/>
    <mergeCell ref="EVS3:EVW3"/>
    <mergeCell ref="EVX3:EWB3"/>
    <mergeCell ref="EUE3:EUI3"/>
    <mergeCell ref="EUJ3:EUN3"/>
    <mergeCell ref="EUO3:EUS3"/>
    <mergeCell ref="EUT3:EUX3"/>
    <mergeCell ref="EUY3:EVC3"/>
    <mergeCell ref="ETF3:ETJ3"/>
    <mergeCell ref="ETK3:ETO3"/>
    <mergeCell ref="ETP3:ETT3"/>
    <mergeCell ref="ETU3:ETY3"/>
    <mergeCell ref="ETZ3:EUD3"/>
    <mergeCell ref="ESG3:ESK3"/>
    <mergeCell ref="ESL3:ESP3"/>
    <mergeCell ref="ESQ3:ESU3"/>
    <mergeCell ref="ESV3:ESZ3"/>
    <mergeCell ref="ETA3:ETE3"/>
    <mergeCell ref="ERH3:ERL3"/>
    <mergeCell ref="ERM3:ERQ3"/>
    <mergeCell ref="ERR3:ERV3"/>
    <mergeCell ref="ERW3:ESA3"/>
    <mergeCell ref="ESB3:ESF3"/>
    <mergeCell ref="EQI3:EQM3"/>
    <mergeCell ref="EQN3:EQR3"/>
    <mergeCell ref="EQS3:EQW3"/>
    <mergeCell ref="EQX3:ERB3"/>
    <mergeCell ref="ERC3:ERG3"/>
    <mergeCell ref="EPJ3:EPN3"/>
    <mergeCell ref="EPO3:EPS3"/>
    <mergeCell ref="EPT3:EPX3"/>
    <mergeCell ref="EPY3:EQC3"/>
    <mergeCell ref="EQD3:EQH3"/>
    <mergeCell ref="EOK3:EOO3"/>
    <mergeCell ref="EOP3:EOT3"/>
    <mergeCell ref="EOU3:EOY3"/>
    <mergeCell ref="EOZ3:EPD3"/>
    <mergeCell ref="EPE3:EPI3"/>
    <mergeCell ref="ENL3:ENP3"/>
    <mergeCell ref="ENQ3:ENU3"/>
    <mergeCell ref="ENV3:ENZ3"/>
    <mergeCell ref="EOA3:EOE3"/>
    <mergeCell ref="EOF3:EOJ3"/>
    <mergeCell ref="EMM3:EMQ3"/>
    <mergeCell ref="EMR3:EMV3"/>
    <mergeCell ref="EMW3:ENA3"/>
    <mergeCell ref="ENB3:ENF3"/>
    <mergeCell ref="ENG3:ENK3"/>
    <mergeCell ref="ELN3:ELR3"/>
    <mergeCell ref="ELS3:ELW3"/>
    <mergeCell ref="ELX3:EMB3"/>
    <mergeCell ref="EMC3:EMG3"/>
    <mergeCell ref="EMH3:EML3"/>
    <mergeCell ref="EKO3:EKS3"/>
    <mergeCell ref="EKT3:EKX3"/>
    <mergeCell ref="EKY3:ELC3"/>
    <mergeCell ref="ELD3:ELH3"/>
    <mergeCell ref="ELI3:ELM3"/>
    <mergeCell ref="EJP3:EJT3"/>
    <mergeCell ref="EJU3:EJY3"/>
    <mergeCell ref="EJZ3:EKD3"/>
    <mergeCell ref="EKE3:EKI3"/>
    <mergeCell ref="EKJ3:EKN3"/>
    <mergeCell ref="EIQ3:EIU3"/>
    <mergeCell ref="EIV3:EIZ3"/>
    <mergeCell ref="EJA3:EJE3"/>
    <mergeCell ref="EJF3:EJJ3"/>
    <mergeCell ref="EJK3:EJO3"/>
    <mergeCell ref="EHR3:EHV3"/>
    <mergeCell ref="EHW3:EIA3"/>
    <mergeCell ref="EIB3:EIF3"/>
    <mergeCell ref="EIG3:EIK3"/>
    <mergeCell ref="EIL3:EIP3"/>
    <mergeCell ref="EGS3:EGW3"/>
    <mergeCell ref="EGX3:EHB3"/>
    <mergeCell ref="EHC3:EHG3"/>
    <mergeCell ref="EHH3:EHL3"/>
    <mergeCell ref="EHM3:EHQ3"/>
    <mergeCell ref="EFT3:EFX3"/>
    <mergeCell ref="EFY3:EGC3"/>
    <mergeCell ref="EGD3:EGH3"/>
    <mergeCell ref="EGI3:EGM3"/>
    <mergeCell ref="EGN3:EGR3"/>
    <mergeCell ref="EEU3:EEY3"/>
    <mergeCell ref="EEZ3:EFD3"/>
    <mergeCell ref="EFE3:EFI3"/>
    <mergeCell ref="EFJ3:EFN3"/>
    <mergeCell ref="EFO3:EFS3"/>
    <mergeCell ref="EDV3:EDZ3"/>
    <mergeCell ref="EEA3:EEE3"/>
    <mergeCell ref="EEF3:EEJ3"/>
    <mergeCell ref="EEK3:EEO3"/>
    <mergeCell ref="EEP3:EET3"/>
    <mergeCell ref="ECW3:EDA3"/>
    <mergeCell ref="EDB3:EDF3"/>
    <mergeCell ref="EDG3:EDK3"/>
    <mergeCell ref="EDL3:EDP3"/>
    <mergeCell ref="EDQ3:EDU3"/>
    <mergeCell ref="EBX3:ECB3"/>
    <mergeCell ref="ECC3:ECG3"/>
    <mergeCell ref="ECH3:ECL3"/>
    <mergeCell ref="ECM3:ECQ3"/>
    <mergeCell ref="ECR3:ECV3"/>
    <mergeCell ref="EAY3:EBC3"/>
    <mergeCell ref="EBD3:EBH3"/>
    <mergeCell ref="EBI3:EBM3"/>
    <mergeCell ref="EBN3:EBR3"/>
    <mergeCell ref="EBS3:EBW3"/>
    <mergeCell ref="DZZ3:EAD3"/>
    <mergeCell ref="EAE3:EAI3"/>
    <mergeCell ref="EAJ3:EAN3"/>
    <mergeCell ref="EAO3:EAS3"/>
    <mergeCell ref="EAT3:EAX3"/>
    <mergeCell ref="DZA3:DZE3"/>
    <mergeCell ref="DZF3:DZJ3"/>
    <mergeCell ref="DZK3:DZO3"/>
    <mergeCell ref="DZP3:DZT3"/>
    <mergeCell ref="DZU3:DZY3"/>
    <mergeCell ref="DYB3:DYF3"/>
    <mergeCell ref="DYG3:DYK3"/>
    <mergeCell ref="DYL3:DYP3"/>
    <mergeCell ref="DYQ3:DYU3"/>
    <mergeCell ref="DYV3:DYZ3"/>
    <mergeCell ref="DXC3:DXG3"/>
    <mergeCell ref="DXH3:DXL3"/>
    <mergeCell ref="DXM3:DXQ3"/>
    <mergeCell ref="DXR3:DXV3"/>
    <mergeCell ref="DXW3:DYA3"/>
    <mergeCell ref="DWD3:DWH3"/>
    <mergeCell ref="DWI3:DWM3"/>
    <mergeCell ref="DWN3:DWR3"/>
    <mergeCell ref="DWS3:DWW3"/>
    <mergeCell ref="DWX3:DXB3"/>
    <mergeCell ref="DVE3:DVI3"/>
    <mergeCell ref="DVJ3:DVN3"/>
    <mergeCell ref="DVO3:DVS3"/>
    <mergeCell ref="DVT3:DVX3"/>
    <mergeCell ref="DVY3:DWC3"/>
    <mergeCell ref="DUF3:DUJ3"/>
    <mergeCell ref="DUK3:DUO3"/>
    <mergeCell ref="DUP3:DUT3"/>
    <mergeCell ref="DUU3:DUY3"/>
    <mergeCell ref="DUZ3:DVD3"/>
    <mergeCell ref="DTG3:DTK3"/>
    <mergeCell ref="DTL3:DTP3"/>
    <mergeCell ref="DTQ3:DTU3"/>
    <mergeCell ref="DTV3:DTZ3"/>
    <mergeCell ref="DUA3:DUE3"/>
    <mergeCell ref="DSH3:DSL3"/>
    <mergeCell ref="DSM3:DSQ3"/>
    <mergeCell ref="DSR3:DSV3"/>
    <mergeCell ref="DSW3:DTA3"/>
    <mergeCell ref="DTB3:DTF3"/>
    <mergeCell ref="DRI3:DRM3"/>
    <mergeCell ref="DRN3:DRR3"/>
    <mergeCell ref="DRS3:DRW3"/>
    <mergeCell ref="DRX3:DSB3"/>
    <mergeCell ref="DSC3:DSG3"/>
    <mergeCell ref="DQJ3:DQN3"/>
    <mergeCell ref="DQO3:DQS3"/>
    <mergeCell ref="DQT3:DQX3"/>
    <mergeCell ref="DQY3:DRC3"/>
    <mergeCell ref="DRD3:DRH3"/>
    <mergeCell ref="DPK3:DPO3"/>
    <mergeCell ref="DPP3:DPT3"/>
    <mergeCell ref="DPU3:DPY3"/>
    <mergeCell ref="DPZ3:DQD3"/>
    <mergeCell ref="DQE3:DQI3"/>
    <mergeCell ref="DOL3:DOP3"/>
    <mergeCell ref="DOQ3:DOU3"/>
    <mergeCell ref="DOV3:DOZ3"/>
    <mergeCell ref="DPA3:DPE3"/>
    <mergeCell ref="DPF3:DPJ3"/>
    <mergeCell ref="DNM3:DNQ3"/>
    <mergeCell ref="DNR3:DNV3"/>
    <mergeCell ref="DNW3:DOA3"/>
    <mergeCell ref="DOB3:DOF3"/>
    <mergeCell ref="DOG3:DOK3"/>
    <mergeCell ref="DMN3:DMR3"/>
    <mergeCell ref="DMS3:DMW3"/>
    <mergeCell ref="DMX3:DNB3"/>
    <mergeCell ref="DNC3:DNG3"/>
    <mergeCell ref="DNH3:DNL3"/>
    <mergeCell ref="DLO3:DLS3"/>
    <mergeCell ref="DLT3:DLX3"/>
    <mergeCell ref="DLY3:DMC3"/>
    <mergeCell ref="DMD3:DMH3"/>
    <mergeCell ref="DMI3:DMM3"/>
    <mergeCell ref="DKP3:DKT3"/>
    <mergeCell ref="DKU3:DKY3"/>
    <mergeCell ref="DKZ3:DLD3"/>
    <mergeCell ref="DLE3:DLI3"/>
    <mergeCell ref="DLJ3:DLN3"/>
    <mergeCell ref="DJQ3:DJU3"/>
    <mergeCell ref="DJV3:DJZ3"/>
    <mergeCell ref="DKA3:DKE3"/>
    <mergeCell ref="DKF3:DKJ3"/>
    <mergeCell ref="DKK3:DKO3"/>
    <mergeCell ref="DIR3:DIV3"/>
    <mergeCell ref="DIW3:DJA3"/>
    <mergeCell ref="DJB3:DJF3"/>
    <mergeCell ref="DJG3:DJK3"/>
    <mergeCell ref="DJL3:DJP3"/>
    <mergeCell ref="DHS3:DHW3"/>
    <mergeCell ref="DHX3:DIB3"/>
    <mergeCell ref="DIC3:DIG3"/>
    <mergeCell ref="DIH3:DIL3"/>
    <mergeCell ref="DIM3:DIQ3"/>
    <mergeCell ref="DGT3:DGX3"/>
    <mergeCell ref="DGY3:DHC3"/>
    <mergeCell ref="DHD3:DHH3"/>
    <mergeCell ref="DHI3:DHM3"/>
    <mergeCell ref="DHN3:DHR3"/>
    <mergeCell ref="DFU3:DFY3"/>
    <mergeCell ref="DFZ3:DGD3"/>
    <mergeCell ref="DGE3:DGI3"/>
    <mergeCell ref="DGJ3:DGN3"/>
    <mergeCell ref="DGO3:DGS3"/>
    <mergeCell ref="DEV3:DEZ3"/>
    <mergeCell ref="DFA3:DFE3"/>
    <mergeCell ref="DFF3:DFJ3"/>
    <mergeCell ref="DFK3:DFO3"/>
    <mergeCell ref="DFP3:DFT3"/>
    <mergeCell ref="DDW3:DEA3"/>
    <mergeCell ref="DEB3:DEF3"/>
    <mergeCell ref="DEG3:DEK3"/>
    <mergeCell ref="DEL3:DEP3"/>
    <mergeCell ref="DEQ3:DEU3"/>
    <mergeCell ref="DCX3:DDB3"/>
    <mergeCell ref="DDC3:DDG3"/>
    <mergeCell ref="DDH3:DDL3"/>
    <mergeCell ref="DDM3:DDQ3"/>
    <mergeCell ref="DDR3:DDV3"/>
    <mergeCell ref="DBY3:DCC3"/>
    <mergeCell ref="DCD3:DCH3"/>
    <mergeCell ref="DCI3:DCM3"/>
    <mergeCell ref="DCN3:DCR3"/>
    <mergeCell ref="DCS3:DCW3"/>
    <mergeCell ref="DAZ3:DBD3"/>
    <mergeCell ref="DBE3:DBI3"/>
    <mergeCell ref="DBJ3:DBN3"/>
    <mergeCell ref="DBO3:DBS3"/>
    <mergeCell ref="DBT3:DBX3"/>
    <mergeCell ref="DAA3:DAE3"/>
    <mergeCell ref="DAF3:DAJ3"/>
    <mergeCell ref="DAK3:DAO3"/>
    <mergeCell ref="DAP3:DAT3"/>
    <mergeCell ref="DAU3:DAY3"/>
    <mergeCell ref="CZB3:CZF3"/>
    <mergeCell ref="CZG3:CZK3"/>
    <mergeCell ref="CZL3:CZP3"/>
    <mergeCell ref="CZQ3:CZU3"/>
    <mergeCell ref="CZV3:CZZ3"/>
    <mergeCell ref="CYC3:CYG3"/>
    <mergeCell ref="CYH3:CYL3"/>
    <mergeCell ref="CYM3:CYQ3"/>
    <mergeCell ref="CYR3:CYV3"/>
    <mergeCell ref="CYW3:CZA3"/>
    <mergeCell ref="CXD3:CXH3"/>
    <mergeCell ref="CXI3:CXM3"/>
    <mergeCell ref="CXN3:CXR3"/>
    <mergeCell ref="CXS3:CXW3"/>
    <mergeCell ref="CXX3:CYB3"/>
    <mergeCell ref="CWE3:CWI3"/>
    <mergeCell ref="CWJ3:CWN3"/>
    <mergeCell ref="CWO3:CWS3"/>
    <mergeCell ref="CWT3:CWX3"/>
    <mergeCell ref="CWY3:CXC3"/>
    <mergeCell ref="CVF3:CVJ3"/>
    <mergeCell ref="CVK3:CVO3"/>
    <mergeCell ref="CVP3:CVT3"/>
    <mergeCell ref="CVU3:CVY3"/>
    <mergeCell ref="CVZ3:CWD3"/>
    <mergeCell ref="CUG3:CUK3"/>
    <mergeCell ref="CUL3:CUP3"/>
    <mergeCell ref="CUQ3:CUU3"/>
    <mergeCell ref="CUV3:CUZ3"/>
    <mergeCell ref="CVA3:CVE3"/>
    <mergeCell ref="CTH3:CTL3"/>
    <mergeCell ref="CTM3:CTQ3"/>
    <mergeCell ref="CTR3:CTV3"/>
    <mergeCell ref="CTW3:CUA3"/>
    <mergeCell ref="CUB3:CUF3"/>
    <mergeCell ref="CSI3:CSM3"/>
    <mergeCell ref="CSN3:CSR3"/>
    <mergeCell ref="CSS3:CSW3"/>
    <mergeCell ref="CSX3:CTB3"/>
    <mergeCell ref="CTC3:CTG3"/>
    <mergeCell ref="CRJ3:CRN3"/>
    <mergeCell ref="CRO3:CRS3"/>
    <mergeCell ref="CRT3:CRX3"/>
    <mergeCell ref="CRY3:CSC3"/>
    <mergeCell ref="CSD3:CSH3"/>
    <mergeCell ref="CQK3:CQO3"/>
    <mergeCell ref="CQP3:CQT3"/>
    <mergeCell ref="CQU3:CQY3"/>
    <mergeCell ref="CQZ3:CRD3"/>
    <mergeCell ref="CRE3:CRI3"/>
    <mergeCell ref="CPL3:CPP3"/>
    <mergeCell ref="CPQ3:CPU3"/>
    <mergeCell ref="CPV3:CPZ3"/>
    <mergeCell ref="CQA3:CQE3"/>
    <mergeCell ref="CQF3:CQJ3"/>
    <mergeCell ref="COM3:COQ3"/>
    <mergeCell ref="COR3:COV3"/>
    <mergeCell ref="COW3:CPA3"/>
    <mergeCell ref="CPB3:CPF3"/>
    <mergeCell ref="CPG3:CPK3"/>
    <mergeCell ref="CNN3:CNR3"/>
    <mergeCell ref="CNS3:CNW3"/>
    <mergeCell ref="CNX3:COB3"/>
    <mergeCell ref="COC3:COG3"/>
    <mergeCell ref="COH3:COL3"/>
    <mergeCell ref="CMO3:CMS3"/>
    <mergeCell ref="CMT3:CMX3"/>
    <mergeCell ref="CMY3:CNC3"/>
    <mergeCell ref="CND3:CNH3"/>
    <mergeCell ref="CNI3:CNM3"/>
    <mergeCell ref="CLP3:CLT3"/>
    <mergeCell ref="CLU3:CLY3"/>
    <mergeCell ref="CLZ3:CMD3"/>
    <mergeCell ref="CME3:CMI3"/>
    <mergeCell ref="CMJ3:CMN3"/>
    <mergeCell ref="CKQ3:CKU3"/>
    <mergeCell ref="CKV3:CKZ3"/>
    <mergeCell ref="CLA3:CLE3"/>
    <mergeCell ref="CLF3:CLJ3"/>
    <mergeCell ref="CLK3:CLO3"/>
    <mergeCell ref="CJR3:CJV3"/>
    <mergeCell ref="CJW3:CKA3"/>
    <mergeCell ref="CKB3:CKF3"/>
    <mergeCell ref="CKG3:CKK3"/>
    <mergeCell ref="CKL3:CKP3"/>
    <mergeCell ref="CIS3:CIW3"/>
    <mergeCell ref="CIX3:CJB3"/>
    <mergeCell ref="CJC3:CJG3"/>
    <mergeCell ref="CJH3:CJL3"/>
    <mergeCell ref="CJM3:CJQ3"/>
    <mergeCell ref="CHT3:CHX3"/>
    <mergeCell ref="CHY3:CIC3"/>
    <mergeCell ref="CID3:CIH3"/>
    <mergeCell ref="CII3:CIM3"/>
    <mergeCell ref="CIN3:CIR3"/>
    <mergeCell ref="CGU3:CGY3"/>
    <mergeCell ref="CGZ3:CHD3"/>
    <mergeCell ref="CHE3:CHI3"/>
    <mergeCell ref="CHJ3:CHN3"/>
    <mergeCell ref="CHO3:CHS3"/>
    <mergeCell ref="CFV3:CFZ3"/>
    <mergeCell ref="CGA3:CGE3"/>
    <mergeCell ref="CGF3:CGJ3"/>
    <mergeCell ref="CGK3:CGO3"/>
    <mergeCell ref="CGP3:CGT3"/>
    <mergeCell ref="CEW3:CFA3"/>
    <mergeCell ref="CFB3:CFF3"/>
    <mergeCell ref="CFG3:CFK3"/>
    <mergeCell ref="CFL3:CFP3"/>
    <mergeCell ref="CFQ3:CFU3"/>
    <mergeCell ref="CDX3:CEB3"/>
    <mergeCell ref="CEC3:CEG3"/>
    <mergeCell ref="CEH3:CEL3"/>
    <mergeCell ref="CEM3:CEQ3"/>
    <mergeCell ref="CER3:CEV3"/>
    <mergeCell ref="CCY3:CDC3"/>
    <mergeCell ref="CDD3:CDH3"/>
    <mergeCell ref="CDI3:CDM3"/>
    <mergeCell ref="CDN3:CDR3"/>
    <mergeCell ref="CDS3:CDW3"/>
    <mergeCell ref="CBZ3:CCD3"/>
    <mergeCell ref="CCE3:CCI3"/>
    <mergeCell ref="CCJ3:CCN3"/>
    <mergeCell ref="CCO3:CCS3"/>
    <mergeCell ref="CCT3:CCX3"/>
    <mergeCell ref="CBA3:CBE3"/>
    <mergeCell ref="CBF3:CBJ3"/>
    <mergeCell ref="CBK3:CBO3"/>
    <mergeCell ref="CBP3:CBT3"/>
    <mergeCell ref="CBU3:CBY3"/>
    <mergeCell ref="CAB3:CAF3"/>
    <mergeCell ref="CAG3:CAK3"/>
    <mergeCell ref="CAL3:CAP3"/>
    <mergeCell ref="CAQ3:CAU3"/>
    <mergeCell ref="CAV3:CAZ3"/>
    <mergeCell ref="BZC3:BZG3"/>
    <mergeCell ref="BZH3:BZL3"/>
    <mergeCell ref="BZM3:BZQ3"/>
    <mergeCell ref="BZR3:BZV3"/>
    <mergeCell ref="BZW3:CAA3"/>
    <mergeCell ref="BYD3:BYH3"/>
    <mergeCell ref="BYI3:BYM3"/>
    <mergeCell ref="BYN3:BYR3"/>
    <mergeCell ref="BYS3:BYW3"/>
    <mergeCell ref="BYX3:BZB3"/>
    <mergeCell ref="BXE3:BXI3"/>
    <mergeCell ref="BXJ3:BXN3"/>
    <mergeCell ref="BXO3:BXS3"/>
    <mergeCell ref="BXT3:BXX3"/>
    <mergeCell ref="BXY3:BYC3"/>
    <mergeCell ref="BWF3:BWJ3"/>
    <mergeCell ref="BWK3:BWO3"/>
    <mergeCell ref="BWP3:BWT3"/>
    <mergeCell ref="BWU3:BWY3"/>
    <mergeCell ref="BWZ3:BXD3"/>
    <mergeCell ref="BVG3:BVK3"/>
    <mergeCell ref="BVL3:BVP3"/>
    <mergeCell ref="BVQ3:BVU3"/>
    <mergeCell ref="BVV3:BVZ3"/>
    <mergeCell ref="BWA3:BWE3"/>
    <mergeCell ref="BUH3:BUL3"/>
    <mergeCell ref="BUM3:BUQ3"/>
    <mergeCell ref="BUR3:BUV3"/>
    <mergeCell ref="BUW3:BVA3"/>
    <mergeCell ref="BVB3:BVF3"/>
    <mergeCell ref="BTI3:BTM3"/>
    <mergeCell ref="BTN3:BTR3"/>
    <mergeCell ref="BTS3:BTW3"/>
    <mergeCell ref="BTX3:BUB3"/>
    <mergeCell ref="BUC3:BUG3"/>
    <mergeCell ref="BSJ3:BSN3"/>
    <mergeCell ref="BSO3:BSS3"/>
    <mergeCell ref="BST3:BSX3"/>
    <mergeCell ref="BSY3:BTC3"/>
    <mergeCell ref="BTD3:BTH3"/>
    <mergeCell ref="BRK3:BRO3"/>
    <mergeCell ref="BRP3:BRT3"/>
    <mergeCell ref="BRU3:BRY3"/>
    <mergeCell ref="BRZ3:BSD3"/>
    <mergeCell ref="BSE3:BSI3"/>
    <mergeCell ref="BQL3:BQP3"/>
    <mergeCell ref="BQQ3:BQU3"/>
    <mergeCell ref="BQV3:BQZ3"/>
    <mergeCell ref="BRA3:BRE3"/>
    <mergeCell ref="BRF3:BRJ3"/>
    <mergeCell ref="BPM3:BPQ3"/>
    <mergeCell ref="BPR3:BPV3"/>
    <mergeCell ref="BPW3:BQA3"/>
    <mergeCell ref="BQB3:BQF3"/>
    <mergeCell ref="BQG3:BQK3"/>
    <mergeCell ref="BON3:BOR3"/>
    <mergeCell ref="BOS3:BOW3"/>
    <mergeCell ref="BOX3:BPB3"/>
    <mergeCell ref="BPC3:BPG3"/>
    <mergeCell ref="BPH3:BPL3"/>
    <mergeCell ref="BNO3:BNS3"/>
    <mergeCell ref="BNT3:BNX3"/>
    <mergeCell ref="BNY3:BOC3"/>
    <mergeCell ref="BOD3:BOH3"/>
    <mergeCell ref="BOI3:BOM3"/>
    <mergeCell ref="BMP3:BMT3"/>
    <mergeCell ref="BMU3:BMY3"/>
    <mergeCell ref="BMZ3:BND3"/>
    <mergeCell ref="BNE3:BNI3"/>
    <mergeCell ref="BNJ3:BNN3"/>
    <mergeCell ref="BLQ3:BLU3"/>
    <mergeCell ref="BLV3:BLZ3"/>
    <mergeCell ref="BMA3:BME3"/>
    <mergeCell ref="BMF3:BMJ3"/>
    <mergeCell ref="BMK3:BMO3"/>
    <mergeCell ref="BKR3:BKV3"/>
    <mergeCell ref="BKW3:BLA3"/>
    <mergeCell ref="BLB3:BLF3"/>
    <mergeCell ref="BLG3:BLK3"/>
    <mergeCell ref="BLL3:BLP3"/>
    <mergeCell ref="BJS3:BJW3"/>
    <mergeCell ref="BJX3:BKB3"/>
    <mergeCell ref="BKC3:BKG3"/>
    <mergeCell ref="BKH3:BKL3"/>
    <mergeCell ref="BKM3:BKQ3"/>
    <mergeCell ref="BIT3:BIX3"/>
    <mergeCell ref="BIY3:BJC3"/>
    <mergeCell ref="BJD3:BJH3"/>
    <mergeCell ref="BJI3:BJM3"/>
    <mergeCell ref="BJN3:BJR3"/>
    <mergeCell ref="BHU3:BHY3"/>
    <mergeCell ref="BHZ3:BID3"/>
    <mergeCell ref="BIE3:BII3"/>
    <mergeCell ref="BIJ3:BIN3"/>
    <mergeCell ref="BIO3:BIS3"/>
    <mergeCell ref="BGV3:BGZ3"/>
    <mergeCell ref="BHA3:BHE3"/>
    <mergeCell ref="BHF3:BHJ3"/>
    <mergeCell ref="BHK3:BHO3"/>
    <mergeCell ref="BHP3:BHT3"/>
    <mergeCell ref="BFW3:BGA3"/>
    <mergeCell ref="BGB3:BGF3"/>
    <mergeCell ref="BGG3:BGK3"/>
    <mergeCell ref="BGL3:BGP3"/>
    <mergeCell ref="BGQ3:BGU3"/>
    <mergeCell ref="BEX3:BFB3"/>
    <mergeCell ref="BFC3:BFG3"/>
    <mergeCell ref="BFH3:BFL3"/>
    <mergeCell ref="BFM3:BFQ3"/>
    <mergeCell ref="BFR3:BFV3"/>
    <mergeCell ref="BDY3:BEC3"/>
    <mergeCell ref="BED3:BEH3"/>
    <mergeCell ref="BEI3:BEM3"/>
    <mergeCell ref="BEN3:BER3"/>
    <mergeCell ref="BES3:BEW3"/>
    <mergeCell ref="BCZ3:BDD3"/>
    <mergeCell ref="BDE3:BDI3"/>
    <mergeCell ref="BDJ3:BDN3"/>
    <mergeCell ref="BDO3:BDS3"/>
    <mergeCell ref="BDT3:BDX3"/>
    <mergeCell ref="BCA3:BCE3"/>
    <mergeCell ref="BCF3:BCJ3"/>
    <mergeCell ref="BCK3:BCO3"/>
    <mergeCell ref="BCP3:BCT3"/>
    <mergeCell ref="BCU3:BCY3"/>
    <mergeCell ref="BBB3:BBF3"/>
    <mergeCell ref="BBG3:BBK3"/>
    <mergeCell ref="BBL3:BBP3"/>
    <mergeCell ref="BBQ3:BBU3"/>
    <mergeCell ref="BBV3:BBZ3"/>
    <mergeCell ref="BAC3:BAG3"/>
    <mergeCell ref="BAH3:BAL3"/>
    <mergeCell ref="BAM3:BAQ3"/>
    <mergeCell ref="BAR3:BAV3"/>
    <mergeCell ref="BAW3:BBA3"/>
    <mergeCell ref="AZD3:AZH3"/>
    <mergeCell ref="AZI3:AZM3"/>
    <mergeCell ref="AZN3:AZR3"/>
    <mergeCell ref="AZS3:AZW3"/>
    <mergeCell ref="AZX3:BAB3"/>
    <mergeCell ref="AYE3:AYI3"/>
    <mergeCell ref="AYJ3:AYN3"/>
    <mergeCell ref="AYO3:AYS3"/>
    <mergeCell ref="AYT3:AYX3"/>
    <mergeCell ref="AYY3:AZC3"/>
    <mergeCell ref="AXF3:AXJ3"/>
    <mergeCell ref="AXK3:AXO3"/>
    <mergeCell ref="AXP3:AXT3"/>
    <mergeCell ref="AXU3:AXY3"/>
    <mergeCell ref="AXZ3:AYD3"/>
    <mergeCell ref="AWG3:AWK3"/>
    <mergeCell ref="AWL3:AWP3"/>
    <mergeCell ref="AWQ3:AWU3"/>
    <mergeCell ref="AWV3:AWZ3"/>
    <mergeCell ref="AXA3:AXE3"/>
    <mergeCell ref="AVH3:AVL3"/>
    <mergeCell ref="AVM3:AVQ3"/>
    <mergeCell ref="AVR3:AVV3"/>
    <mergeCell ref="AVW3:AWA3"/>
    <mergeCell ref="AWB3:AWF3"/>
    <mergeCell ref="AUI3:AUM3"/>
    <mergeCell ref="AUN3:AUR3"/>
    <mergeCell ref="AUS3:AUW3"/>
    <mergeCell ref="AUX3:AVB3"/>
    <mergeCell ref="AVC3:AVG3"/>
    <mergeCell ref="ATJ3:ATN3"/>
    <mergeCell ref="ATO3:ATS3"/>
    <mergeCell ref="ATT3:ATX3"/>
    <mergeCell ref="ATY3:AUC3"/>
    <mergeCell ref="AUD3:AUH3"/>
    <mergeCell ref="ASK3:ASO3"/>
    <mergeCell ref="ASP3:AST3"/>
    <mergeCell ref="ASU3:ASY3"/>
    <mergeCell ref="ASZ3:ATD3"/>
    <mergeCell ref="ATE3:ATI3"/>
    <mergeCell ref="ARL3:ARP3"/>
    <mergeCell ref="ARQ3:ARU3"/>
    <mergeCell ref="ARV3:ARZ3"/>
    <mergeCell ref="ASA3:ASE3"/>
    <mergeCell ref="ASF3:ASJ3"/>
    <mergeCell ref="AQM3:AQQ3"/>
    <mergeCell ref="AQR3:AQV3"/>
    <mergeCell ref="AQW3:ARA3"/>
    <mergeCell ref="ARB3:ARF3"/>
    <mergeCell ref="ARG3:ARK3"/>
    <mergeCell ref="APN3:APR3"/>
    <mergeCell ref="APS3:APW3"/>
    <mergeCell ref="APX3:AQB3"/>
    <mergeCell ref="AQC3:AQG3"/>
    <mergeCell ref="AQH3:AQL3"/>
    <mergeCell ref="AOO3:AOS3"/>
    <mergeCell ref="AOT3:AOX3"/>
    <mergeCell ref="AOY3:APC3"/>
    <mergeCell ref="APD3:APH3"/>
    <mergeCell ref="API3:APM3"/>
    <mergeCell ref="ANP3:ANT3"/>
    <mergeCell ref="ANU3:ANY3"/>
    <mergeCell ref="ANZ3:AOD3"/>
    <mergeCell ref="AOE3:AOI3"/>
    <mergeCell ref="AOJ3:AON3"/>
    <mergeCell ref="AMQ3:AMU3"/>
    <mergeCell ref="AMV3:AMZ3"/>
    <mergeCell ref="ANA3:ANE3"/>
    <mergeCell ref="ANF3:ANJ3"/>
    <mergeCell ref="ANK3:ANO3"/>
    <mergeCell ref="ALR3:ALV3"/>
    <mergeCell ref="ALW3:AMA3"/>
    <mergeCell ref="AMB3:AMF3"/>
    <mergeCell ref="AMG3:AMK3"/>
    <mergeCell ref="AML3:AMP3"/>
    <mergeCell ref="AKS3:AKW3"/>
    <mergeCell ref="AKX3:ALB3"/>
    <mergeCell ref="ALC3:ALG3"/>
    <mergeCell ref="ALH3:ALL3"/>
    <mergeCell ref="ALM3:ALQ3"/>
    <mergeCell ref="AJT3:AJX3"/>
    <mergeCell ref="AJY3:AKC3"/>
    <mergeCell ref="AKD3:AKH3"/>
    <mergeCell ref="AKI3:AKM3"/>
    <mergeCell ref="AKN3:AKR3"/>
    <mergeCell ref="AIU3:AIY3"/>
    <mergeCell ref="AIZ3:AJD3"/>
    <mergeCell ref="AJE3:AJI3"/>
    <mergeCell ref="AJJ3:AJN3"/>
    <mergeCell ref="AJO3:AJS3"/>
    <mergeCell ref="AHV3:AHZ3"/>
    <mergeCell ref="AIA3:AIE3"/>
    <mergeCell ref="AIF3:AIJ3"/>
    <mergeCell ref="AIK3:AIO3"/>
    <mergeCell ref="AIP3:AIT3"/>
    <mergeCell ref="AGW3:AHA3"/>
    <mergeCell ref="AHB3:AHF3"/>
    <mergeCell ref="AHG3:AHK3"/>
    <mergeCell ref="AHL3:AHP3"/>
    <mergeCell ref="AHQ3:AHU3"/>
    <mergeCell ref="AFX3:AGB3"/>
    <mergeCell ref="AGC3:AGG3"/>
    <mergeCell ref="AGH3:AGL3"/>
    <mergeCell ref="AGM3:AGQ3"/>
    <mergeCell ref="AGR3:AGV3"/>
    <mergeCell ref="AEY3:AFC3"/>
    <mergeCell ref="AFD3:AFH3"/>
    <mergeCell ref="AFI3:AFM3"/>
    <mergeCell ref="AFN3:AFR3"/>
    <mergeCell ref="AFS3:AFW3"/>
    <mergeCell ref="ADZ3:AED3"/>
    <mergeCell ref="AEE3:AEI3"/>
    <mergeCell ref="AEJ3:AEN3"/>
    <mergeCell ref="AEO3:AES3"/>
    <mergeCell ref="AET3:AEX3"/>
    <mergeCell ref="ADA3:ADE3"/>
    <mergeCell ref="ADF3:ADJ3"/>
    <mergeCell ref="ADK3:ADO3"/>
    <mergeCell ref="ADP3:ADT3"/>
    <mergeCell ref="ADU3:ADY3"/>
    <mergeCell ref="ACB3:ACF3"/>
    <mergeCell ref="ACG3:ACK3"/>
    <mergeCell ref="ACL3:ACP3"/>
    <mergeCell ref="ACQ3:ACU3"/>
    <mergeCell ref="ACV3:ACZ3"/>
    <mergeCell ref="ABC3:ABG3"/>
    <mergeCell ref="ABH3:ABL3"/>
    <mergeCell ref="ABM3:ABQ3"/>
    <mergeCell ref="ABR3:ABV3"/>
    <mergeCell ref="ABW3:ACA3"/>
    <mergeCell ref="AAD3:AAH3"/>
    <mergeCell ref="AAI3:AAM3"/>
    <mergeCell ref="AAN3:AAR3"/>
    <mergeCell ref="AAS3:AAW3"/>
    <mergeCell ref="AAX3:ABB3"/>
    <mergeCell ref="ZE3:ZI3"/>
    <mergeCell ref="ZJ3:ZN3"/>
    <mergeCell ref="ZO3:ZS3"/>
    <mergeCell ref="ZT3:ZX3"/>
    <mergeCell ref="ZY3:AAC3"/>
    <mergeCell ref="YF3:YJ3"/>
    <mergeCell ref="YK3:YO3"/>
    <mergeCell ref="YP3:YT3"/>
    <mergeCell ref="YU3:YY3"/>
    <mergeCell ref="YZ3:ZD3"/>
    <mergeCell ref="XG3:XK3"/>
    <mergeCell ref="XL3:XP3"/>
    <mergeCell ref="XQ3:XU3"/>
    <mergeCell ref="XV3:XZ3"/>
    <mergeCell ref="YA3:YE3"/>
    <mergeCell ref="WH3:WL3"/>
    <mergeCell ref="WM3:WQ3"/>
    <mergeCell ref="WR3:WV3"/>
    <mergeCell ref="WW3:XA3"/>
    <mergeCell ref="XB3:XF3"/>
    <mergeCell ref="VI3:VM3"/>
    <mergeCell ref="VN3:VR3"/>
    <mergeCell ref="VS3:VW3"/>
    <mergeCell ref="VX3:WB3"/>
    <mergeCell ref="WC3:WG3"/>
    <mergeCell ref="UJ3:UN3"/>
    <mergeCell ref="UO3:US3"/>
    <mergeCell ref="UT3:UX3"/>
    <mergeCell ref="UY3:VC3"/>
    <mergeCell ref="VD3:VH3"/>
    <mergeCell ref="TK3:TO3"/>
    <mergeCell ref="TP3:TT3"/>
    <mergeCell ref="TU3:TY3"/>
    <mergeCell ref="TZ3:UD3"/>
    <mergeCell ref="UE3:UI3"/>
    <mergeCell ref="SL3:SP3"/>
    <mergeCell ref="SQ3:SU3"/>
    <mergeCell ref="SV3:SZ3"/>
    <mergeCell ref="TA3:TE3"/>
    <mergeCell ref="TF3:TJ3"/>
    <mergeCell ref="RM3:RQ3"/>
    <mergeCell ref="RR3:RV3"/>
    <mergeCell ref="RW3:SA3"/>
    <mergeCell ref="SB3:SF3"/>
    <mergeCell ref="SG3:SK3"/>
    <mergeCell ref="QN3:QR3"/>
    <mergeCell ref="QS3:QW3"/>
    <mergeCell ref="QX3:RB3"/>
    <mergeCell ref="RC3:RG3"/>
    <mergeCell ref="RH3:RL3"/>
    <mergeCell ref="PO3:PS3"/>
    <mergeCell ref="PT3:PX3"/>
    <mergeCell ref="PY3:QC3"/>
    <mergeCell ref="QD3:QH3"/>
    <mergeCell ref="QI3:QM3"/>
    <mergeCell ref="OP3:OT3"/>
    <mergeCell ref="OU3:OY3"/>
    <mergeCell ref="OZ3:PD3"/>
    <mergeCell ref="PE3:PI3"/>
    <mergeCell ref="PJ3:PN3"/>
    <mergeCell ref="NV3:NZ3"/>
    <mergeCell ref="OA3:OE3"/>
    <mergeCell ref="OF3:OJ3"/>
    <mergeCell ref="OK3:OO3"/>
    <mergeCell ref="MR3:MV3"/>
    <mergeCell ref="MW3:NA3"/>
    <mergeCell ref="NB3:NF3"/>
    <mergeCell ref="NG3:NK3"/>
    <mergeCell ref="NL3:NP3"/>
    <mergeCell ref="LS3:LW3"/>
    <mergeCell ref="LX3:MB3"/>
    <mergeCell ref="MC3:MG3"/>
    <mergeCell ref="MH3:ML3"/>
    <mergeCell ref="MM3:MQ3"/>
    <mergeCell ref="KT3:KX3"/>
    <mergeCell ref="KY3:LC3"/>
    <mergeCell ref="LD3:LH3"/>
    <mergeCell ref="LI3:LM3"/>
    <mergeCell ref="LN3:LR3"/>
    <mergeCell ref="JU3:JY3"/>
    <mergeCell ref="JZ3:KD3"/>
    <mergeCell ref="KE3:KI3"/>
    <mergeCell ref="KJ3:KN3"/>
    <mergeCell ref="KO3:KS3"/>
    <mergeCell ref="IV3:IZ3"/>
    <mergeCell ref="JA3:JE3"/>
    <mergeCell ref="JF3:JJ3"/>
    <mergeCell ref="JK3:JO3"/>
    <mergeCell ref="JP3:JT3"/>
    <mergeCell ref="HW3:IA3"/>
    <mergeCell ref="IB3:IF3"/>
    <mergeCell ref="IG3:IK3"/>
    <mergeCell ref="IL3:IP3"/>
    <mergeCell ref="IQ3:IU3"/>
    <mergeCell ref="GX3:HB3"/>
    <mergeCell ref="HC3:HG3"/>
    <mergeCell ref="HH3:HL3"/>
    <mergeCell ref="HM3:HQ3"/>
    <mergeCell ref="HR3:HV3"/>
    <mergeCell ref="FY3:GC3"/>
    <mergeCell ref="GD3:GH3"/>
    <mergeCell ref="GI3:GM3"/>
    <mergeCell ref="GN3:GR3"/>
    <mergeCell ref="GS3:GW3"/>
    <mergeCell ref="EZ3:FD3"/>
    <mergeCell ref="FE3:FI3"/>
    <mergeCell ref="FJ3:FN3"/>
    <mergeCell ref="FO3:FS3"/>
    <mergeCell ref="FT3:FX3"/>
    <mergeCell ref="EA3:EE3"/>
    <mergeCell ref="EF3:EJ3"/>
    <mergeCell ref="EK3:EO3"/>
    <mergeCell ref="EP3:ET3"/>
    <mergeCell ref="EU3:EY3"/>
    <mergeCell ref="DB3:DF3"/>
    <mergeCell ref="DG3:DK3"/>
    <mergeCell ref="DL3:DP3"/>
    <mergeCell ref="DQ3:DU3"/>
    <mergeCell ref="DV3:DZ3"/>
    <mergeCell ref="CC3:CG3"/>
    <mergeCell ref="CH3:CL3"/>
    <mergeCell ref="CM3:CQ3"/>
    <mergeCell ref="CR3:CV3"/>
    <mergeCell ref="CW3:DA3"/>
    <mergeCell ref="XFA2:XFD2"/>
    <mergeCell ref="P3:T3"/>
    <mergeCell ref="U3:Y3"/>
    <mergeCell ref="Z3:AD3"/>
    <mergeCell ref="AE3:AI3"/>
    <mergeCell ref="AJ3:AN3"/>
    <mergeCell ref="AO3:AS3"/>
    <mergeCell ref="AT3:AX3"/>
    <mergeCell ref="AY3:BC3"/>
    <mergeCell ref="BD3:BH3"/>
    <mergeCell ref="BI3:BM3"/>
    <mergeCell ref="BN3:BR3"/>
    <mergeCell ref="BS3:BW3"/>
    <mergeCell ref="BX3:CB3"/>
    <mergeCell ref="XEB2:XEF2"/>
    <mergeCell ref="XEG2:XEK2"/>
    <mergeCell ref="XEL2:XEP2"/>
    <mergeCell ref="XEQ2:XEU2"/>
    <mergeCell ref="XEV2:XEZ2"/>
    <mergeCell ref="XDC2:XDG2"/>
    <mergeCell ref="XDH2:XDL2"/>
    <mergeCell ref="XDM2:XDQ2"/>
    <mergeCell ref="XDR2:XDV2"/>
    <mergeCell ref="XDW2:XEA2"/>
    <mergeCell ref="XCD2:XCH2"/>
    <mergeCell ref="XCI2:XCM2"/>
    <mergeCell ref="XCN2:XCR2"/>
    <mergeCell ref="XCS2:XCW2"/>
    <mergeCell ref="XCX2:XDB2"/>
    <mergeCell ref="XBE2:XBI2"/>
    <mergeCell ref="XBJ2:XBN2"/>
    <mergeCell ref="XBO2:XBS2"/>
    <mergeCell ref="NQ3:NU3"/>
    <mergeCell ref="XBT2:XBX2"/>
    <mergeCell ref="XBY2:XCC2"/>
    <mergeCell ref="XAF2:XAJ2"/>
    <mergeCell ref="XAK2:XAO2"/>
    <mergeCell ref="XAP2:XAT2"/>
    <mergeCell ref="XAU2:XAY2"/>
    <mergeCell ref="XAZ2:XBD2"/>
    <mergeCell ref="WZG2:WZK2"/>
    <mergeCell ref="WZL2:WZP2"/>
    <mergeCell ref="WZQ2:WZU2"/>
    <mergeCell ref="WZV2:WZZ2"/>
    <mergeCell ref="XAA2:XAE2"/>
    <mergeCell ref="WYH2:WYL2"/>
    <mergeCell ref="WYM2:WYQ2"/>
    <mergeCell ref="WYR2:WYV2"/>
    <mergeCell ref="WYW2:WZA2"/>
    <mergeCell ref="WZB2:WZF2"/>
    <mergeCell ref="WXI2:WXM2"/>
    <mergeCell ref="WXN2:WXR2"/>
    <mergeCell ref="WXS2:WXW2"/>
    <mergeCell ref="WXX2:WYB2"/>
    <mergeCell ref="WYC2:WYG2"/>
    <mergeCell ref="WWJ2:WWN2"/>
    <mergeCell ref="WWO2:WWS2"/>
    <mergeCell ref="WWT2:WWX2"/>
    <mergeCell ref="WWY2:WXC2"/>
    <mergeCell ref="WXD2:WXH2"/>
    <mergeCell ref="WVK2:WVO2"/>
    <mergeCell ref="WVP2:WVT2"/>
    <mergeCell ref="WVU2:WVY2"/>
    <mergeCell ref="WVZ2:WWD2"/>
    <mergeCell ref="WWE2:WWI2"/>
    <mergeCell ref="WUL2:WUP2"/>
    <mergeCell ref="WUQ2:WUU2"/>
    <mergeCell ref="WUV2:WUZ2"/>
    <mergeCell ref="WVA2:WVE2"/>
    <mergeCell ref="WVF2:WVJ2"/>
    <mergeCell ref="WTM2:WTQ2"/>
    <mergeCell ref="WTR2:WTV2"/>
    <mergeCell ref="WTW2:WUA2"/>
    <mergeCell ref="WUB2:WUF2"/>
    <mergeCell ref="WUG2:WUK2"/>
    <mergeCell ref="WSN2:WSR2"/>
    <mergeCell ref="WSS2:WSW2"/>
    <mergeCell ref="WSX2:WTB2"/>
    <mergeCell ref="WTC2:WTG2"/>
    <mergeCell ref="WTH2:WTL2"/>
    <mergeCell ref="WRO2:WRS2"/>
    <mergeCell ref="WRT2:WRX2"/>
    <mergeCell ref="WRY2:WSC2"/>
    <mergeCell ref="WSD2:WSH2"/>
    <mergeCell ref="WSI2:WSM2"/>
    <mergeCell ref="WQP2:WQT2"/>
    <mergeCell ref="WQU2:WQY2"/>
    <mergeCell ref="WQZ2:WRD2"/>
    <mergeCell ref="WRE2:WRI2"/>
    <mergeCell ref="WRJ2:WRN2"/>
    <mergeCell ref="WPQ2:WPU2"/>
    <mergeCell ref="WPV2:WPZ2"/>
    <mergeCell ref="WQA2:WQE2"/>
    <mergeCell ref="WQF2:WQJ2"/>
    <mergeCell ref="WQK2:WQO2"/>
    <mergeCell ref="WOR2:WOV2"/>
    <mergeCell ref="WOW2:WPA2"/>
    <mergeCell ref="WPB2:WPF2"/>
    <mergeCell ref="WPG2:WPK2"/>
    <mergeCell ref="WPL2:WPP2"/>
    <mergeCell ref="WNS2:WNW2"/>
    <mergeCell ref="WNX2:WOB2"/>
    <mergeCell ref="WOC2:WOG2"/>
    <mergeCell ref="WOH2:WOL2"/>
    <mergeCell ref="WOM2:WOQ2"/>
    <mergeCell ref="WMT2:WMX2"/>
    <mergeCell ref="WMY2:WNC2"/>
    <mergeCell ref="WND2:WNH2"/>
    <mergeCell ref="WNI2:WNM2"/>
    <mergeCell ref="WNN2:WNR2"/>
    <mergeCell ref="WLU2:WLY2"/>
    <mergeCell ref="WLZ2:WMD2"/>
    <mergeCell ref="WME2:WMI2"/>
    <mergeCell ref="WMJ2:WMN2"/>
    <mergeCell ref="WMO2:WMS2"/>
    <mergeCell ref="WKV2:WKZ2"/>
    <mergeCell ref="WLA2:WLE2"/>
    <mergeCell ref="WLF2:WLJ2"/>
    <mergeCell ref="WLK2:WLO2"/>
    <mergeCell ref="WLP2:WLT2"/>
    <mergeCell ref="WJW2:WKA2"/>
    <mergeCell ref="WKB2:WKF2"/>
    <mergeCell ref="WKG2:WKK2"/>
    <mergeCell ref="WKL2:WKP2"/>
    <mergeCell ref="WKQ2:WKU2"/>
    <mergeCell ref="WIX2:WJB2"/>
    <mergeCell ref="WJC2:WJG2"/>
    <mergeCell ref="WJH2:WJL2"/>
    <mergeCell ref="WJM2:WJQ2"/>
    <mergeCell ref="WJR2:WJV2"/>
    <mergeCell ref="WHY2:WIC2"/>
    <mergeCell ref="WID2:WIH2"/>
    <mergeCell ref="WII2:WIM2"/>
    <mergeCell ref="WIN2:WIR2"/>
    <mergeCell ref="WIS2:WIW2"/>
    <mergeCell ref="WGZ2:WHD2"/>
    <mergeCell ref="WHE2:WHI2"/>
    <mergeCell ref="WHJ2:WHN2"/>
    <mergeCell ref="WHO2:WHS2"/>
    <mergeCell ref="WHT2:WHX2"/>
    <mergeCell ref="WGA2:WGE2"/>
    <mergeCell ref="WGF2:WGJ2"/>
    <mergeCell ref="WGK2:WGO2"/>
    <mergeCell ref="WGP2:WGT2"/>
    <mergeCell ref="WGU2:WGY2"/>
    <mergeCell ref="WFB2:WFF2"/>
    <mergeCell ref="WFG2:WFK2"/>
    <mergeCell ref="WFL2:WFP2"/>
    <mergeCell ref="WFQ2:WFU2"/>
    <mergeCell ref="WFV2:WFZ2"/>
    <mergeCell ref="WEC2:WEG2"/>
    <mergeCell ref="WEH2:WEL2"/>
    <mergeCell ref="WEM2:WEQ2"/>
    <mergeCell ref="WER2:WEV2"/>
    <mergeCell ref="WEW2:WFA2"/>
    <mergeCell ref="WDD2:WDH2"/>
    <mergeCell ref="WDI2:WDM2"/>
    <mergeCell ref="WDN2:WDR2"/>
    <mergeCell ref="WDS2:WDW2"/>
    <mergeCell ref="WDX2:WEB2"/>
    <mergeCell ref="WCE2:WCI2"/>
    <mergeCell ref="WCJ2:WCN2"/>
    <mergeCell ref="WCO2:WCS2"/>
    <mergeCell ref="WCT2:WCX2"/>
    <mergeCell ref="WCY2:WDC2"/>
    <mergeCell ref="WBF2:WBJ2"/>
    <mergeCell ref="WBK2:WBO2"/>
    <mergeCell ref="WBP2:WBT2"/>
    <mergeCell ref="WBU2:WBY2"/>
    <mergeCell ref="WBZ2:WCD2"/>
    <mergeCell ref="WAG2:WAK2"/>
    <mergeCell ref="WAL2:WAP2"/>
    <mergeCell ref="WAQ2:WAU2"/>
    <mergeCell ref="WAV2:WAZ2"/>
    <mergeCell ref="WBA2:WBE2"/>
    <mergeCell ref="VZH2:VZL2"/>
    <mergeCell ref="VZM2:VZQ2"/>
    <mergeCell ref="VZR2:VZV2"/>
    <mergeCell ref="VZW2:WAA2"/>
    <mergeCell ref="WAB2:WAF2"/>
    <mergeCell ref="VYI2:VYM2"/>
    <mergeCell ref="VYN2:VYR2"/>
    <mergeCell ref="VYS2:VYW2"/>
    <mergeCell ref="VYX2:VZB2"/>
    <mergeCell ref="VZC2:VZG2"/>
    <mergeCell ref="VXJ2:VXN2"/>
    <mergeCell ref="VXO2:VXS2"/>
    <mergeCell ref="VXT2:VXX2"/>
    <mergeCell ref="VXY2:VYC2"/>
    <mergeCell ref="VYD2:VYH2"/>
    <mergeCell ref="VWK2:VWO2"/>
    <mergeCell ref="VWP2:VWT2"/>
    <mergeCell ref="VWU2:VWY2"/>
    <mergeCell ref="VWZ2:VXD2"/>
    <mergeCell ref="VXE2:VXI2"/>
    <mergeCell ref="VVL2:VVP2"/>
    <mergeCell ref="VVQ2:VVU2"/>
    <mergeCell ref="VVV2:VVZ2"/>
    <mergeCell ref="VWA2:VWE2"/>
    <mergeCell ref="VWF2:VWJ2"/>
    <mergeCell ref="VUM2:VUQ2"/>
    <mergeCell ref="VUR2:VUV2"/>
    <mergeCell ref="VUW2:VVA2"/>
    <mergeCell ref="VVB2:VVF2"/>
    <mergeCell ref="VVG2:VVK2"/>
    <mergeCell ref="VTN2:VTR2"/>
    <mergeCell ref="VTS2:VTW2"/>
    <mergeCell ref="VTX2:VUB2"/>
    <mergeCell ref="VUC2:VUG2"/>
    <mergeCell ref="VUH2:VUL2"/>
    <mergeCell ref="VSO2:VSS2"/>
    <mergeCell ref="VST2:VSX2"/>
    <mergeCell ref="VSY2:VTC2"/>
    <mergeCell ref="VTD2:VTH2"/>
    <mergeCell ref="VTI2:VTM2"/>
    <mergeCell ref="VRP2:VRT2"/>
    <mergeCell ref="VRU2:VRY2"/>
    <mergeCell ref="VRZ2:VSD2"/>
    <mergeCell ref="VSE2:VSI2"/>
    <mergeCell ref="VSJ2:VSN2"/>
    <mergeCell ref="VQQ2:VQU2"/>
    <mergeCell ref="VQV2:VQZ2"/>
    <mergeCell ref="VRA2:VRE2"/>
    <mergeCell ref="VRF2:VRJ2"/>
    <mergeCell ref="VRK2:VRO2"/>
    <mergeCell ref="VPR2:VPV2"/>
    <mergeCell ref="VPW2:VQA2"/>
    <mergeCell ref="VQB2:VQF2"/>
    <mergeCell ref="VQG2:VQK2"/>
    <mergeCell ref="VQL2:VQP2"/>
    <mergeCell ref="VOS2:VOW2"/>
    <mergeCell ref="VOX2:VPB2"/>
    <mergeCell ref="VPC2:VPG2"/>
    <mergeCell ref="VPH2:VPL2"/>
    <mergeCell ref="VPM2:VPQ2"/>
    <mergeCell ref="VNT2:VNX2"/>
    <mergeCell ref="VNY2:VOC2"/>
    <mergeCell ref="VOD2:VOH2"/>
    <mergeCell ref="VOI2:VOM2"/>
    <mergeCell ref="VON2:VOR2"/>
    <mergeCell ref="VMU2:VMY2"/>
    <mergeCell ref="VMZ2:VND2"/>
    <mergeCell ref="VNE2:VNI2"/>
    <mergeCell ref="VNJ2:VNN2"/>
    <mergeCell ref="VNO2:VNS2"/>
    <mergeCell ref="VLV2:VLZ2"/>
    <mergeCell ref="VMA2:VME2"/>
    <mergeCell ref="VMF2:VMJ2"/>
    <mergeCell ref="VMK2:VMO2"/>
    <mergeCell ref="VMP2:VMT2"/>
    <mergeCell ref="VKW2:VLA2"/>
    <mergeCell ref="VLB2:VLF2"/>
    <mergeCell ref="VLG2:VLK2"/>
    <mergeCell ref="VLL2:VLP2"/>
    <mergeCell ref="VLQ2:VLU2"/>
    <mergeCell ref="VJX2:VKB2"/>
    <mergeCell ref="VKC2:VKG2"/>
    <mergeCell ref="VKH2:VKL2"/>
    <mergeCell ref="VKM2:VKQ2"/>
    <mergeCell ref="VKR2:VKV2"/>
    <mergeCell ref="VIY2:VJC2"/>
    <mergeCell ref="VJD2:VJH2"/>
    <mergeCell ref="VJI2:VJM2"/>
    <mergeCell ref="VJN2:VJR2"/>
    <mergeCell ref="VJS2:VJW2"/>
    <mergeCell ref="VHZ2:VID2"/>
    <mergeCell ref="VIE2:VII2"/>
    <mergeCell ref="VIJ2:VIN2"/>
    <mergeCell ref="VIO2:VIS2"/>
    <mergeCell ref="VIT2:VIX2"/>
    <mergeCell ref="VHA2:VHE2"/>
    <mergeCell ref="VHF2:VHJ2"/>
    <mergeCell ref="VHK2:VHO2"/>
    <mergeCell ref="VHP2:VHT2"/>
    <mergeCell ref="VHU2:VHY2"/>
    <mergeCell ref="VGB2:VGF2"/>
    <mergeCell ref="VGG2:VGK2"/>
    <mergeCell ref="VGL2:VGP2"/>
    <mergeCell ref="VGQ2:VGU2"/>
    <mergeCell ref="VGV2:VGZ2"/>
    <mergeCell ref="VFC2:VFG2"/>
    <mergeCell ref="VFH2:VFL2"/>
    <mergeCell ref="VFM2:VFQ2"/>
    <mergeCell ref="VFR2:VFV2"/>
    <mergeCell ref="VFW2:VGA2"/>
    <mergeCell ref="VED2:VEH2"/>
    <mergeCell ref="VEI2:VEM2"/>
    <mergeCell ref="VEN2:VER2"/>
    <mergeCell ref="VES2:VEW2"/>
    <mergeCell ref="VEX2:VFB2"/>
    <mergeCell ref="VDE2:VDI2"/>
    <mergeCell ref="VDJ2:VDN2"/>
    <mergeCell ref="VDO2:VDS2"/>
    <mergeCell ref="VDT2:VDX2"/>
    <mergeCell ref="VDY2:VEC2"/>
    <mergeCell ref="VCF2:VCJ2"/>
    <mergeCell ref="VCK2:VCO2"/>
    <mergeCell ref="VCP2:VCT2"/>
    <mergeCell ref="VCU2:VCY2"/>
    <mergeCell ref="VCZ2:VDD2"/>
    <mergeCell ref="VBG2:VBK2"/>
    <mergeCell ref="VBL2:VBP2"/>
    <mergeCell ref="VBQ2:VBU2"/>
    <mergeCell ref="VBV2:VBZ2"/>
    <mergeCell ref="VCA2:VCE2"/>
    <mergeCell ref="VAH2:VAL2"/>
    <mergeCell ref="VAM2:VAQ2"/>
    <mergeCell ref="VAR2:VAV2"/>
    <mergeCell ref="VAW2:VBA2"/>
    <mergeCell ref="VBB2:VBF2"/>
    <mergeCell ref="UZI2:UZM2"/>
    <mergeCell ref="UZN2:UZR2"/>
    <mergeCell ref="UZS2:UZW2"/>
    <mergeCell ref="UZX2:VAB2"/>
    <mergeCell ref="VAC2:VAG2"/>
    <mergeCell ref="UYJ2:UYN2"/>
    <mergeCell ref="UYO2:UYS2"/>
    <mergeCell ref="UYT2:UYX2"/>
    <mergeCell ref="UYY2:UZC2"/>
    <mergeCell ref="UZD2:UZH2"/>
    <mergeCell ref="UXK2:UXO2"/>
    <mergeCell ref="UXP2:UXT2"/>
    <mergeCell ref="UXU2:UXY2"/>
    <mergeCell ref="UXZ2:UYD2"/>
    <mergeCell ref="UYE2:UYI2"/>
    <mergeCell ref="UWL2:UWP2"/>
    <mergeCell ref="UWQ2:UWU2"/>
    <mergeCell ref="UWV2:UWZ2"/>
    <mergeCell ref="UXA2:UXE2"/>
    <mergeCell ref="UXF2:UXJ2"/>
    <mergeCell ref="UVM2:UVQ2"/>
    <mergeCell ref="UVR2:UVV2"/>
    <mergeCell ref="UVW2:UWA2"/>
    <mergeCell ref="UWB2:UWF2"/>
    <mergeCell ref="UWG2:UWK2"/>
    <mergeCell ref="UUN2:UUR2"/>
    <mergeCell ref="UUS2:UUW2"/>
    <mergeCell ref="UUX2:UVB2"/>
    <mergeCell ref="UVC2:UVG2"/>
    <mergeCell ref="UVH2:UVL2"/>
    <mergeCell ref="UTO2:UTS2"/>
    <mergeCell ref="UTT2:UTX2"/>
    <mergeCell ref="UTY2:UUC2"/>
    <mergeCell ref="UUD2:UUH2"/>
    <mergeCell ref="UUI2:UUM2"/>
    <mergeCell ref="USP2:UST2"/>
    <mergeCell ref="USU2:USY2"/>
    <mergeCell ref="USZ2:UTD2"/>
    <mergeCell ref="UTE2:UTI2"/>
    <mergeCell ref="UTJ2:UTN2"/>
    <mergeCell ref="URQ2:URU2"/>
    <mergeCell ref="URV2:URZ2"/>
    <mergeCell ref="USA2:USE2"/>
    <mergeCell ref="USF2:USJ2"/>
    <mergeCell ref="USK2:USO2"/>
    <mergeCell ref="UQR2:UQV2"/>
    <mergeCell ref="UQW2:URA2"/>
    <mergeCell ref="URB2:URF2"/>
    <mergeCell ref="URG2:URK2"/>
    <mergeCell ref="URL2:URP2"/>
    <mergeCell ref="UPS2:UPW2"/>
    <mergeCell ref="UPX2:UQB2"/>
    <mergeCell ref="UQC2:UQG2"/>
    <mergeCell ref="UQH2:UQL2"/>
    <mergeCell ref="UQM2:UQQ2"/>
    <mergeCell ref="UOT2:UOX2"/>
    <mergeCell ref="UOY2:UPC2"/>
    <mergeCell ref="UPD2:UPH2"/>
    <mergeCell ref="UPI2:UPM2"/>
    <mergeCell ref="UPN2:UPR2"/>
    <mergeCell ref="UNU2:UNY2"/>
    <mergeCell ref="UNZ2:UOD2"/>
    <mergeCell ref="UOE2:UOI2"/>
    <mergeCell ref="UOJ2:UON2"/>
    <mergeCell ref="UOO2:UOS2"/>
    <mergeCell ref="UMV2:UMZ2"/>
    <mergeCell ref="UNA2:UNE2"/>
    <mergeCell ref="UNF2:UNJ2"/>
    <mergeCell ref="UNK2:UNO2"/>
    <mergeCell ref="UNP2:UNT2"/>
    <mergeCell ref="ULW2:UMA2"/>
    <mergeCell ref="UMB2:UMF2"/>
    <mergeCell ref="UMG2:UMK2"/>
    <mergeCell ref="UML2:UMP2"/>
    <mergeCell ref="UMQ2:UMU2"/>
    <mergeCell ref="UKX2:ULB2"/>
    <mergeCell ref="ULC2:ULG2"/>
    <mergeCell ref="ULH2:ULL2"/>
    <mergeCell ref="ULM2:ULQ2"/>
    <mergeCell ref="ULR2:ULV2"/>
    <mergeCell ref="UJY2:UKC2"/>
    <mergeCell ref="UKD2:UKH2"/>
    <mergeCell ref="UKI2:UKM2"/>
    <mergeCell ref="UKN2:UKR2"/>
    <mergeCell ref="UKS2:UKW2"/>
    <mergeCell ref="UIZ2:UJD2"/>
    <mergeCell ref="UJE2:UJI2"/>
    <mergeCell ref="UJJ2:UJN2"/>
    <mergeCell ref="UJO2:UJS2"/>
    <mergeCell ref="UJT2:UJX2"/>
    <mergeCell ref="UIA2:UIE2"/>
    <mergeCell ref="UIF2:UIJ2"/>
    <mergeCell ref="UIK2:UIO2"/>
    <mergeCell ref="UIP2:UIT2"/>
    <mergeCell ref="UIU2:UIY2"/>
    <mergeCell ref="UHB2:UHF2"/>
    <mergeCell ref="UHG2:UHK2"/>
    <mergeCell ref="UHL2:UHP2"/>
    <mergeCell ref="UHQ2:UHU2"/>
    <mergeCell ref="UHV2:UHZ2"/>
    <mergeCell ref="UGC2:UGG2"/>
    <mergeCell ref="UGH2:UGL2"/>
    <mergeCell ref="UGM2:UGQ2"/>
    <mergeCell ref="UGR2:UGV2"/>
    <mergeCell ref="UGW2:UHA2"/>
    <mergeCell ref="UFD2:UFH2"/>
    <mergeCell ref="UFI2:UFM2"/>
    <mergeCell ref="UFN2:UFR2"/>
    <mergeCell ref="UFS2:UFW2"/>
    <mergeCell ref="UFX2:UGB2"/>
    <mergeCell ref="UEE2:UEI2"/>
    <mergeCell ref="UEJ2:UEN2"/>
    <mergeCell ref="UEO2:UES2"/>
    <mergeCell ref="UET2:UEX2"/>
    <mergeCell ref="UEY2:UFC2"/>
    <mergeCell ref="UDF2:UDJ2"/>
    <mergeCell ref="UDK2:UDO2"/>
    <mergeCell ref="UDP2:UDT2"/>
    <mergeCell ref="UDU2:UDY2"/>
    <mergeCell ref="UDZ2:UED2"/>
    <mergeCell ref="UCG2:UCK2"/>
    <mergeCell ref="UCL2:UCP2"/>
    <mergeCell ref="UCQ2:UCU2"/>
    <mergeCell ref="UCV2:UCZ2"/>
    <mergeCell ref="UDA2:UDE2"/>
    <mergeCell ref="UBH2:UBL2"/>
    <mergeCell ref="UBM2:UBQ2"/>
    <mergeCell ref="UBR2:UBV2"/>
    <mergeCell ref="UBW2:UCA2"/>
    <mergeCell ref="UCB2:UCF2"/>
    <mergeCell ref="UAI2:UAM2"/>
    <mergeCell ref="UAN2:UAR2"/>
    <mergeCell ref="UAS2:UAW2"/>
    <mergeCell ref="UAX2:UBB2"/>
    <mergeCell ref="UBC2:UBG2"/>
    <mergeCell ref="TZJ2:TZN2"/>
    <mergeCell ref="TZO2:TZS2"/>
    <mergeCell ref="TZT2:TZX2"/>
    <mergeCell ref="TZY2:UAC2"/>
    <mergeCell ref="UAD2:UAH2"/>
    <mergeCell ref="TYK2:TYO2"/>
    <mergeCell ref="TYP2:TYT2"/>
    <mergeCell ref="TYU2:TYY2"/>
    <mergeCell ref="TYZ2:TZD2"/>
    <mergeCell ref="TZE2:TZI2"/>
    <mergeCell ref="TXL2:TXP2"/>
    <mergeCell ref="TXQ2:TXU2"/>
    <mergeCell ref="TXV2:TXZ2"/>
    <mergeCell ref="TYA2:TYE2"/>
    <mergeCell ref="TYF2:TYJ2"/>
    <mergeCell ref="TWM2:TWQ2"/>
    <mergeCell ref="TWR2:TWV2"/>
    <mergeCell ref="TWW2:TXA2"/>
    <mergeCell ref="TXB2:TXF2"/>
    <mergeCell ref="TXG2:TXK2"/>
    <mergeCell ref="TVN2:TVR2"/>
    <mergeCell ref="TVS2:TVW2"/>
    <mergeCell ref="TVX2:TWB2"/>
    <mergeCell ref="TWC2:TWG2"/>
    <mergeCell ref="TWH2:TWL2"/>
    <mergeCell ref="TUO2:TUS2"/>
    <mergeCell ref="TUT2:TUX2"/>
    <mergeCell ref="TUY2:TVC2"/>
    <mergeCell ref="TVD2:TVH2"/>
    <mergeCell ref="TVI2:TVM2"/>
    <mergeCell ref="TTP2:TTT2"/>
    <mergeCell ref="TTU2:TTY2"/>
    <mergeCell ref="TTZ2:TUD2"/>
    <mergeCell ref="TUE2:TUI2"/>
    <mergeCell ref="TUJ2:TUN2"/>
    <mergeCell ref="TSQ2:TSU2"/>
    <mergeCell ref="TSV2:TSZ2"/>
    <mergeCell ref="TTA2:TTE2"/>
    <mergeCell ref="TTF2:TTJ2"/>
    <mergeCell ref="TTK2:TTO2"/>
    <mergeCell ref="TRR2:TRV2"/>
    <mergeCell ref="TRW2:TSA2"/>
    <mergeCell ref="TSB2:TSF2"/>
    <mergeCell ref="TSG2:TSK2"/>
    <mergeCell ref="TSL2:TSP2"/>
    <mergeCell ref="TQS2:TQW2"/>
    <mergeCell ref="TQX2:TRB2"/>
    <mergeCell ref="TRC2:TRG2"/>
    <mergeCell ref="TRH2:TRL2"/>
    <mergeCell ref="TRM2:TRQ2"/>
    <mergeCell ref="TPT2:TPX2"/>
    <mergeCell ref="TPY2:TQC2"/>
    <mergeCell ref="TQD2:TQH2"/>
    <mergeCell ref="TQI2:TQM2"/>
    <mergeCell ref="TQN2:TQR2"/>
    <mergeCell ref="TOU2:TOY2"/>
    <mergeCell ref="TOZ2:TPD2"/>
    <mergeCell ref="TPE2:TPI2"/>
    <mergeCell ref="TPJ2:TPN2"/>
    <mergeCell ref="TPO2:TPS2"/>
    <mergeCell ref="TNV2:TNZ2"/>
    <mergeCell ref="TOA2:TOE2"/>
    <mergeCell ref="TOF2:TOJ2"/>
    <mergeCell ref="TOK2:TOO2"/>
    <mergeCell ref="TOP2:TOT2"/>
    <mergeCell ref="TMW2:TNA2"/>
    <mergeCell ref="TNB2:TNF2"/>
    <mergeCell ref="TNG2:TNK2"/>
    <mergeCell ref="TNL2:TNP2"/>
    <mergeCell ref="TNQ2:TNU2"/>
    <mergeCell ref="TLX2:TMB2"/>
    <mergeCell ref="TMC2:TMG2"/>
    <mergeCell ref="TMH2:TML2"/>
    <mergeCell ref="TMM2:TMQ2"/>
    <mergeCell ref="TMR2:TMV2"/>
    <mergeCell ref="TKY2:TLC2"/>
    <mergeCell ref="TLD2:TLH2"/>
    <mergeCell ref="TLI2:TLM2"/>
    <mergeCell ref="TLN2:TLR2"/>
    <mergeCell ref="TLS2:TLW2"/>
    <mergeCell ref="TJZ2:TKD2"/>
    <mergeCell ref="TKE2:TKI2"/>
    <mergeCell ref="TKJ2:TKN2"/>
    <mergeCell ref="TKO2:TKS2"/>
    <mergeCell ref="TKT2:TKX2"/>
    <mergeCell ref="TJA2:TJE2"/>
    <mergeCell ref="TJF2:TJJ2"/>
    <mergeCell ref="TJK2:TJO2"/>
    <mergeCell ref="TJP2:TJT2"/>
    <mergeCell ref="TJU2:TJY2"/>
    <mergeCell ref="TIB2:TIF2"/>
    <mergeCell ref="TIG2:TIK2"/>
    <mergeCell ref="TIL2:TIP2"/>
    <mergeCell ref="TIQ2:TIU2"/>
    <mergeCell ref="TIV2:TIZ2"/>
    <mergeCell ref="THC2:THG2"/>
    <mergeCell ref="THH2:THL2"/>
    <mergeCell ref="THM2:THQ2"/>
    <mergeCell ref="THR2:THV2"/>
    <mergeCell ref="THW2:TIA2"/>
    <mergeCell ref="TGD2:TGH2"/>
    <mergeCell ref="TGI2:TGM2"/>
    <mergeCell ref="TGN2:TGR2"/>
    <mergeCell ref="TGS2:TGW2"/>
    <mergeCell ref="TGX2:THB2"/>
    <mergeCell ref="TFE2:TFI2"/>
    <mergeCell ref="TFJ2:TFN2"/>
    <mergeCell ref="TFO2:TFS2"/>
    <mergeCell ref="TFT2:TFX2"/>
    <mergeCell ref="TFY2:TGC2"/>
    <mergeCell ref="TEF2:TEJ2"/>
    <mergeCell ref="TEK2:TEO2"/>
    <mergeCell ref="TEP2:TET2"/>
    <mergeCell ref="TEU2:TEY2"/>
    <mergeCell ref="TEZ2:TFD2"/>
    <mergeCell ref="TDG2:TDK2"/>
    <mergeCell ref="TDL2:TDP2"/>
    <mergeCell ref="TDQ2:TDU2"/>
    <mergeCell ref="TDV2:TDZ2"/>
    <mergeCell ref="TEA2:TEE2"/>
    <mergeCell ref="TCH2:TCL2"/>
    <mergeCell ref="TCM2:TCQ2"/>
    <mergeCell ref="TCR2:TCV2"/>
    <mergeCell ref="TCW2:TDA2"/>
    <mergeCell ref="TDB2:TDF2"/>
    <mergeCell ref="TBI2:TBM2"/>
    <mergeCell ref="TBN2:TBR2"/>
    <mergeCell ref="TBS2:TBW2"/>
    <mergeCell ref="TBX2:TCB2"/>
    <mergeCell ref="TCC2:TCG2"/>
    <mergeCell ref="TAJ2:TAN2"/>
    <mergeCell ref="TAO2:TAS2"/>
    <mergeCell ref="TAT2:TAX2"/>
    <mergeCell ref="TAY2:TBC2"/>
    <mergeCell ref="TBD2:TBH2"/>
    <mergeCell ref="SZK2:SZO2"/>
    <mergeCell ref="SZP2:SZT2"/>
    <mergeCell ref="SZU2:SZY2"/>
    <mergeCell ref="SZZ2:TAD2"/>
    <mergeCell ref="TAE2:TAI2"/>
    <mergeCell ref="SYL2:SYP2"/>
    <mergeCell ref="SYQ2:SYU2"/>
    <mergeCell ref="SYV2:SYZ2"/>
    <mergeCell ref="SZA2:SZE2"/>
    <mergeCell ref="SZF2:SZJ2"/>
    <mergeCell ref="SXM2:SXQ2"/>
    <mergeCell ref="SXR2:SXV2"/>
    <mergeCell ref="SXW2:SYA2"/>
    <mergeCell ref="SYB2:SYF2"/>
    <mergeCell ref="SYG2:SYK2"/>
    <mergeCell ref="SWN2:SWR2"/>
    <mergeCell ref="SWS2:SWW2"/>
    <mergeCell ref="SWX2:SXB2"/>
    <mergeCell ref="SXC2:SXG2"/>
    <mergeCell ref="SXH2:SXL2"/>
    <mergeCell ref="SVO2:SVS2"/>
    <mergeCell ref="SVT2:SVX2"/>
    <mergeCell ref="SVY2:SWC2"/>
    <mergeCell ref="SWD2:SWH2"/>
    <mergeCell ref="SWI2:SWM2"/>
    <mergeCell ref="SUP2:SUT2"/>
    <mergeCell ref="SUU2:SUY2"/>
    <mergeCell ref="SUZ2:SVD2"/>
    <mergeCell ref="SVE2:SVI2"/>
    <mergeCell ref="SVJ2:SVN2"/>
    <mergeCell ref="STQ2:STU2"/>
    <mergeCell ref="STV2:STZ2"/>
    <mergeCell ref="SUA2:SUE2"/>
    <mergeCell ref="SUF2:SUJ2"/>
    <mergeCell ref="SUK2:SUO2"/>
    <mergeCell ref="SSR2:SSV2"/>
    <mergeCell ref="SSW2:STA2"/>
    <mergeCell ref="STB2:STF2"/>
    <mergeCell ref="STG2:STK2"/>
    <mergeCell ref="STL2:STP2"/>
    <mergeCell ref="SRS2:SRW2"/>
    <mergeCell ref="SRX2:SSB2"/>
    <mergeCell ref="SSC2:SSG2"/>
    <mergeCell ref="SSH2:SSL2"/>
    <mergeCell ref="SSM2:SSQ2"/>
    <mergeCell ref="SQT2:SQX2"/>
    <mergeCell ref="SQY2:SRC2"/>
    <mergeCell ref="SRD2:SRH2"/>
    <mergeCell ref="SRI2:SRM2"/>
    <mergeCell ref="SRN2:SRR2"/>
    <mergeCell ref="SPU2:SPY2"/>
    <mergeCell ref="SPZ2:SQD2"/>
    <mergeCell ref="SQE2:SQI2"/>
    <mergeCell ref="SQJ2:SQN2"/>
    <mergeCell ref="SQO2:SQS2"/>
    <mergeCell ref="SOV2:SOZ2"/>
    <mergeCell ref="SPA2:SPE2"/>
    <mergeCell ref="SPF2:SPJ2"/>
    <mergeCell ref="SPK2:SPO2"/>
    <mergeCell ref="SPP2:SPT2"/>
    <mergeCell ref="SNW2:SOA2"/>
    <mergeCell ref="SOB2:SOF2"/>
    <mergeCell ref="SOG2:SOK2"/>
    <mergeCell ref="SOL2:SOP2"/>
    <mergeCell ref="SOQ2:SOU2"/>
    <mergeCell ref="SMX2:SNB2"/>
    <mergeCell ref="SNC2:SNG2"/>
    <mergeCell ref="SNH2:SNL2"/>
    <mergeCell ref="SNM2:SNQ2"/>
    <mergeCell ref="SNR2:SNV2"/>
    <mergeCell ref="SLY2:SMC2"/>
    <mergeCell ref="SMD2:SMH2"/>
    <mergeCell ref="SMI2:SMM2"/>
    <mergeCell ref="SMN2:SMR2"/>
    <mergeCell ref="SMS2:SMW2"/>
    <mergeCell ref="SKZ2:SLD2"/>
    <mergeCell ref="SLE2:SLI2"/>
    <mergeCell ref="SLJ2:SLN2"/>
    <mergeCell ref="SLO2:SLS2"/>
    <mergeCell ref="SLT2:SLX2"/>
    <mergeCell ref="SKA2:SKE2"/>
    <mergeCell ref="SKF2:SKJ2"/>
    <mergeCell ref="SKK2:SKO2"/>
    <mergeCell ref="SKP2:SKT2"/>
    <mergeCell ref="SKU2:SKY2"/>
    <mergeCell ref="SJB2:SJF2"/>
    <mergeCell ref="SJG2:SJK2"/>
    <mergeCell ref="SJL2:SJP2"/>
    <mergeCell ref="SJQ2:SJU2"/>
    <mergeCell ref="SJV2:SJZ2"/>
    <mergeCell ref="SIC2:SIG2"/>
    <mergeCell ref="SIH2:SIL2"/>
    <mergeCell ref="SIM2:SIQ2"/>
    <mergeCell ref="SIR2:SIV2"/>
    <mergeCell ref="SIW2:SJA2"/>
    <mergeCell ref="SHD2:SHH2"/>
    <mergeCell ref="SHI2:SHM2"/>
    <mergeCell ref="SHN2:SHR2"/>
    <mergeCell ref="SHS2:SHW2"/>
    <mergeCell ref="SHX2:SIB2"/>
    <mergeCell ref="SGE2:SGI2"/>
    <mergeCell ref="SGJ2:SGN2"/>
    <mergeCell ref="SGO2:SGS2"/>
    <mergeCell ref="SGT2:SGX2"/>
    <mergeCell ref="SGY2:SHC2"/>
    <mergeCell ref="SFF2:SFJ2"/>
    <mergeCell ref="SFK2:SFO2"/>
    <mergeCell ref="SFP2:SFT2"/>
    <mergeCell ref="SFU2:SFY2"/>
    <mergeCell ref="SFZ2:SGD2"/>
    <mergeCell ref="SEG2:SEK2"/>
    <mergeCell ref="SEL2:SEP2"/>
    <mergeCell ref="SEQ2:SEU2"/>
    <mergeCell ref="SEV2:SEZ2"/>
    <mergeCell ref="SFA2:SFE2"/>
    <mergeCell ref="SDH2:SDL2"/>
    <mergeCell ref="SDM2:SDQ2"/>
    <mergeCell ref="SDR2:SDV2"/>
    <mergeCell ref="SDW2:SEA2"/>
    <mergeCell ref="SEB2:SEF2"/>
    <mergeCell ref="SCI2:SCM2"/>
    <mergeCell ref="SCN2:SCR2"/>
    <mergeCell ref="SCS2:SCW2"/>
    <mergeCell ref="SCX2:SDB2"/>
    <mergeCell ref="SDC2:SDG2"/>
    <mergeCell ref="SBJ2:SBN2"/>
    <mergeCell ref="SBO2:SBS2"/>
    <mergeCell ref="SBT2:SBX2"/>
    <mergeCell ref="SBY2:SCC2"/>
    <mergeCell ref="SCD2:SCH2"/>
    <mergeCell ref="SAK2:SAO2"/>
    <mergeCell ref="SAP2:SAT2"/>
    <mergeCell ref="SAU2:SAY2"/>
    <mergeCell ref="SAZ2:SBD2"/>
    <mergeCell ref="SBE2:SBI2"/>
    <mergeCell ref="RZL2:RZP2"/>
    <mergeCell ref="RZQ2:RZU2"/>
    <mergeCell ref="RZV2:RZZ2"/>
    <mergeCell ref="SAA2:SAE2"/>
    <mergeCell ref="SAF2:SAJ2"/>
    <mergeCell ref="RYM2:RYQ2"/>
    <mergeCell ref="RYR2:RYV2"/>
    <mergeCell ref="RYW2:RZA2"/>
    <mergeCell ref="RZB2:RZF2"/>
    <mergeCell ref="RZG2:RZK2"/>
    <mergeCell ref="RXN2:RXR2"/>
    <mergeCell ref="RXS2:RXW2"/>
    <mergeCell ref="RXX2:RYB2"/>
    <mergeCell ref="RYC2:RYG2"/>
    <mergeCell ref="RYH2:RYL2"/>
    <mergeCell ref="RWO2:RWS2"/>
    <mergeCell ref="RWT2:RWX2"/>
    <mergeCell ref="RWY2:RXC2"/>
    <mergeCell ref="RXD2:RXH2"/>
    <mergeCell ref="RXI2:RXM2"/>
    <mergeCell ref="RVP2:RVT2"/>
    <mergeCell ref="RVU2:RVY2"/>
    <mergeCell ref="RVZ2:RWD2"/>
    <mergeCell ref="RWE2:RWI2"/>
    <mergeCell ref="RWJ2:RWN2"/>
    <mergeCell ref="RUQ2:RUU2"/>
    <mergeCell ref="RUV2:RUZ2"/>
    <mergeCell ref="RVA2:RVE2"/>
    <mergeCell ref="RVF2:RVJ2"/>
    <mergeCell ref="RVK2:RVO2"/>
    <mergeCell ref="RTR2:RTV2"/>
    <mergeCell ref="RTW2:RUA2"/>
    <mergeCell ref="RUB2:RUF2"/>
    <mergeCell ref="RUG2:RUK2"/>
    <mergeCell ref="RUL2:RUP2"/>
    <mergeCell ref="RSS2:RSW2"/>
    <mergeCell ref="RSX2:RTB2"/>
    <mergeCell ref="RTC2:RTG2"/>
    <mergeCell ref="RTH2:RTL2"/>
    <mergeCell ref="RTM2:RTQ2"/>
    <mergeCell ref="RRT2:RRX2"/>
    <mergeCell ref="RRY2:RSC2"/>
    <mergeCell ref="RSD2:RSH2"/>
    <mergeCell ref="RSI2:RSM2"/>
    <mergeCell ref="RSN2:RSR2"/>
    <mergeCell ref="RQU2:RQY2"/>
    <mergeCell ref="RQZ2:RRD2"/>
    <mergeCell ref="RRE2:RRI2"/>
    <mergeCell ref="RRJ2:RRN2"/>
    <mergeCell ref="RRO2:RRS2"/>
    <mergeCell ref="RPV2:RPZ2"/>
    <mergeCell ref="RQA2:RQE2"/>
    <mergeCell ref="RQF2:RQJ2"/>
    <mergeCell ref="RQK2:RQO2"/>
    <mergeCell ref="RQP2:RQT2"/>
    <mergeCell ref="ROW2:RPA2"/>
    <mergeCell ref="RPB2:RPF2"/>
    <mergeCell ref="RPG2:RPK2"/>
    <mergeCell ref="RPL2:RPP2"/>
    <mergeCell ref="RPQ2:RPU2"/>
    <mergeCell ref="RNX2:ROB2"/>
    <mergeCell ref="ROC2:ROG2"/>
    <mergeCell ref="ROH2:ROL2"/>
    <mergeCell ref="ROM2:ROQ2"/>
    <mergeCell ref="ROR2:ROV2"/>
    <mergeCell ref="RMY2:RNC2"/>
    <mergeCell ref="RND2:RNH2"/>
    <mergeCell ref="RNI2:RNM2"/>
    <mergeCell ref="RNN2:RNR2"/>
    <mergeCell ref="RNS2:RNW2"/>
    <mergeCell ref="RLZ2:RMD2"/>
    <mergeCell ref="RME2:RMI2"/>
    <mergeCell ref="RMJ2:RMN2"/>
    <mergeCell ref="RMO2:RMS2"/>
    <mergeCell ref="RMT2:RMX2"/>
    <mergeCell ref="RLA2:RLE2"/>
    <mergeCell ref="RLF2:RLJ2"/>
    <mergeCell ref="RLK2:RLO2"/>
    <mergeCell ref="RLP2:RLT2"/>
    <mergeCell ref="RLU2:RLY2"/>
    <mergeCell ref="RKB2:RKF2"/>
    <mergeCell ref="RKG2:RKK2"/>
    <mergeCell ref="RKL2:RKP2"/>
    <mergeCell ref="RKQ2:RKU2"/>
    <mergeCell ref="RKV2:RKZ2"/>
    <mergeCell ref="RJC2:RJG2"/>
    <mergeCell ref="RJH2:RJL2"/>
    <mergeCell ref="RJM2:RJQ2"/>
    <mergeCell ref="RJR2:RJV2"/>
    <mergeCell ref="RJW2:RKA2"/>
    <mergeCell ref="RID2:RIH2"/>
    <mergeCell ref="RII2:RIM2"/>
    <mergeCell ref="RIN2:RIR2"/>
    <mergeCell ref="RIS2:RIW2"/>
    <mergeCell ref="RIX2:RJB2"/>
    <mergeCell ref="RHE2:RHI2"/>
    <mergeCell ref="RHJ2:RHN2"/>
    <mergeCell ref="RHO2:RHS2"/>
    <mergeCell ref="RHT2:RHX2"/>
    <mergeCell ref="RHY2:RIC2"/>
    <mergeCell ref="RGF2:RGJ2"/>
    <mergeCell ref="RGK2:RGO2"/>
    <mergeCell ref="RGP2:RGT2"/>
    <mergeCell ref="RGU2:RGY2"/>
    <mergeCell ref="RGZ2:RHD2"/>
    <mergeCell ref="RFG2:RFK2"/>
    <mergeCell ref="RFL2:RFP2"/>
    <mergeCell ref="RFQ2:RFU2"/>
    <mergeCell ref="RFV2:RFZ2"/>
    <mergeCell ref="RGA2:RGE2"/>
    <mergeCell ref="REH2:REL2"/>
    <mergeCell ref="REM2:REQ2"/>
    <mergeCell ref="RER2:REV2"/>
    <mergeCell ref="REW2:RFA2"/>
    <mergeCell ref="RFB2:RFF2"/>
    <mergeCell ref="RDI2:RDM2"/>
    <mergeCell ref="RDN2:RDR2"/>
    <mergeCell ref="RDS2:RDW2"/>
    <mergeCell ref="RDX2:REB2"/>
    <mergeCell ref="REC2:REG2"/>
    <mergeCell ref="RCJ2:RCN2"/>
    <mergeCell ref="RCO2:RCS2"/>
    <mergeCell ref="RCT2:RCX2"/>
    <mergeCell ref="RCY2:RDC2"/>
    <mergeCell ref="RDD2:RDH2"/>
    <mergeCell ref="RBK2:RBO2"/>
    <mergeCell ref="RBP2:RBT2"/>
    <mergeCell ref="RBU2:RBY2"/>
    <mergeCell ref="RBZ2:RCD2"/>
    <mergeCell ref="RCE2:RCI2"/>
    <mergeCell ref="RAL2:RAP2"/>
    <mergeCell ref="RAQ2:RAU2"/>
    <mergeCell ref="RAV2:RAZ2"/>
    <mergeCell ref="RBA2:RBE2"/>
    <mergeCell ref="RBF2:RBJ2"/>
    <mergeCell ref="QZM2:QZQ2"/>
    <mergeCell ref="QZR2:QZV2"/>
    <mergeCell ref="QZW2:RAA2"/>
    <mergeCell ref="RAB2:RAF2"/>
    <mergeCell ref="RAG2:RAK2"/>
    <mergeCell ref="QYN2:QYR2"/>
    <mergeCell ref="QYS2:QYW2"/>
    <mergeCell ref="QYX2:QZB2"/>
    <mergeCell ref="QZC2:QZG2"/>
    <mergeCell ref="QZH2:QZL2"/>
    <mergeCell ref="QXO2:QXS2"/>
    <mergeCell ref="QXT2:QXX2"/>
    <mergeCell ref="QXY2:QYC2"/>
    <mergeCell ref="QYD2:QYH2"/>
    <mergeCell ref="QYI2:QYM2"/>
    <mergeCell ref="QWP2:QWT2"/>
    <mergeCell ref="QWU2:QWY2"/>
    <mergeCell ref="QWZ2:QXD2"/>
    <mergeCell ref="QXE2:QXI2"/>
    <mergeCell ref="QXJ2:QXN2"/>
    <mergeCell ref="QVQ2:QVU2"/>
    <mergeCell ref="QVV2:QVZ2"/>
    <mergeCell ref="QWA2:QWE2"/>
    <mergeCell ref="QWF2:QWJ2"/>
    <mergeCell ref="QWK2:QWO2"/>
    <mergeCell ref="QUR2:QUV2"/>
    <mergeCell ref="QUW2:QVA2"/>
    <mergeCell ref="QVB2:QVF2"/>
    <mergeCell ref="QVG2:QVK2"/>
    <mergeCell ref="QVL2:QVP2"/>
    <mergeCell ref="QTS2:QTW2"/>
    <mergeCell ref="QTX2:QUB2"/>
    <mergeCell ref="QUC2:QUG2"/>
    <mergeCell ref="QUH2:QUL2"/>
    <mergeCell ref="QUM2:QUQ2"/>
    <mergeCell ref="QST2:QSX2"/>
    <mergeCell ref="QSY2:QTC2"/>
    <mergeCell ref="QTD2:QTH2"/>
    <mergeCell ref="QTI2:QTM2"/>
    <mergeCell ref="QTN2:QTR2"/>
    <mergeCell ref="QRU2:QRY2"/>
    <mergeCell ref="QRZ2:QSD2"/>
    <mergeCell ref="QSE2:QSI2"/>
    <mergeCell ref="QSJ2:QSN2"/>
    <mergeCell ref="QSO2:QSS2"/>
    <mergeCell ref="QQV2:QQZ2"/>
    <mergeCell ref="QRA2:QRE2"/>
    <mergeCell ref="QRF2:QRJ2"/>
    <mergeCell ref="QRK2:QRO2"/>
    <mergeCell ref="QRP2:QRT2"/>
    <mergeCell ref="QPW2:QQA2"/>
    <mergeCell ref="QQB2:QQF2"/>
    <mergeCell ref="QQG2:QQK2"/>
    <mergeCell ref="QQL2:QQP2"/>
    <mergeCell ref="QQQ2:QQU2"/>
    <mergeCell ref="QOX2:QPB2"/>
    <mergeCell ref="QPC2:QPG2"/>
    <mergeCell ref="QPH2:QPL2"/>
    <mergeCell ref="QPM2:QPQ2"/>
    <mergeCell ref="QPR2:QPV2"/>
    <mergeCell ref="QNY2:QOC2"/>
    <mergeCell ref="QOD2:QOH2"/>
    <mergeCell ref="QOI2:QOM2"/>
    <mergeCell ref="QON2:QOR2"/>
    <mergeCell ref="QOS2:QOW2"/>
    <mergeCell ref="QMZ2:QND2"/>
    <mergeCell ref="QNE2:QNI2"/>
    <mergeCell ref="QNJ2:QNN2"/>
    <mergeCell ref="QNO2:QNS2"/>
    <mergeCell ref="QNT2:QNX2"/>
    <mergeCell ref="QMA2:QME2"/>
    <mergeCell ref="QMF2:QMJ2"/>
    <mergeCell ref="QMK2:QMO2"/>
    <mergeCell ref="QMP2:QMT2"/>
    <mergeCell ref="QMU2:QMY2"/>
    <mergeCell ref="QLB2:QLF2"/>
    <mergeCell ref="QLG2:QLK2"/>
    <mergeCell ref="QLL2:QLP2"/>
    <mergeCell ref="QLQ2:QLU2"/>
    <mergeCell ref="QLV2:QLZ2"/>
    <mergeCell ref="QKC2:QKG2"/>
    <mergeCell ref="QKH2:QKL2"/>
    <mergeCell ref="QKM2:QKQ2"/>
    <mergeCell ref="QKR2:QKV2"/>
    <mergeCell ref="QKW2:QLA2"/>
    <mergeCell ref="QJD2:QJH2"/>
    <mergeCell ref="QJI2:QJM2"/>
    <mergeCell ref="QJN2:QJR2"/>
    <mergeCell ref="QJS2:QJW2"/>
    <mergeCell ref="QJX2:QKB2"/>
    <mergeCell ref="QIE2:QII2"/>
    <mergeCell ref="QIJ2:QIN2"/>
    <mergeCell ref="QIO2:QIS2"/>
    <mergeCell ref="QIT2:QIX2"/>
    <mergeCell ref="QIY2:QJC2"/>
    <mergeCell ref="QHF2:QHJ2"/>
    <mergeCell ref="QHK2:QHO2"/>
    <mergeCell ref="QHP2:QHT2"/>
    <mergeCell ref="QHU2:QHY2"/>
    <mergeCell ref="QHZ2:QID2"/>
    <mergeCell ref="QGG2:QGK2"/>
    <mergeCell ref="QGL2:QGP2"/>
    <mergeCell ref="QGQ2:QGU2"/>
    <mergeCell ref="QGV2:QGZ2"/>
    <mergeCell ref="QHA2:QHE2"/>
    <mergeCell ref="QFH2:QFL2"/>
    <mergeCell ref="QFM2:QFQ2"/>
    <mergeCell ref="QFR2:QFV2"/>
    <mergeCell ref="QFW2:QGA2"/>
    <mergeCell ref="QGB2:QGF2"/>
    <mergeCell ref="QEI2:QEM2"/>
    <mergeCell ref="QEN2:QER2"/>
    <mergeCell ref="QES2:QEW2"/>
    <mergeCell ref="QEX2:QFB2"/>
    <mergeCell ref="QFC2:QFG2"/>
    <mergeCell ref="QDJ2:QDN2"/>
    <mergeCell ref="QDO2:QDS2"/>
    <mergeCell ref="QDT2:QDX2"/>
    <mergeCell ref="QDY2:QEC2"/>
    <mergeCell ref="QED2:QEH2"/>
    <mergeCell ref="QCK2:QCO2"/>
    <mergeCell ref="QCP2:QCT2"/>
    <mergeCell ref="QCU2:QCY2"/>
    <mergeCell ref="QCZ2:QDD2"/>
    <mergeCell ref="QDE2:QDI2"/>
    <mergeCell ref="QBL2:QBP2"/>
    <mergeCell ref="QBQ2:QBU2"/>
    <mergeCell ref="QBV2:QBZ2"/>
    <mergeCell ref="QCA2:QCE2"/>
    <mergeCell ref="QCF2:QCJ2"/>
    <mergeCell ref="QAM2:QAQ2"/>
    <mergeCell ref="QAR2:QAV2"/>
    <mergeCell ref="QAW2:QBA2"/>
    <mergeCell ref="QBB2:QBF2"/>
    <mergeCell ref="QBG2:QBK2"/>
    <mergeCell ref="PZN2:PZR2"/>
    <mergeCell ref="PZS2:PZW2"/>
    <mergeCell ref="PZX2:QAB2"/>
    <mergeCell ref="QAC2:QAG2"/>
    <mergeCell ref="QAH2:QAL2"/>
    <mergeCell ref="PYO2:PYS2"/>
    <mergeCell ref="PYT2:PYX2"/>
    <mergeCell ref="PYY2:PZC2"/>
    <mergeCell ref="PZD2:PZH2"/>
    <mergeCell ref="PZI2:PZM2"/>
    <mergeCell ref="PXP2:PXT2"/>
    <mergeCell ref="PXU2:PXY2"/>
    <mergeCell ref="PXZ2:PYD2"/>
    <mergeCell ref="PYE2:PYI2"/>
    <mergeCell ref="PYJ2:PYN2"/>
    <mergeCell ref="PWQ2:PWU2"/>
    <mergeCell ref="PWV2:PWZ2"/>
    <mergeCell ref="PXA2:PXE2"/>
    <mergeCell ref="PXF2:PXJ2"/>
    <mergeCell ref="PXK2:PXO2"/>
    <mergeCell ref="PVR2:PVV2"/>
    <mergeCell ref="PVW2:PWA2"/>
    <mergeCell ref="PWB2:PWF2"/>
    <mergeCell ref="PWG2:PWK2"/>
    <mergeCell ref="PWL2:PWP2"/>
    <mergeCell ref="PUS2:PUW2"/>
    <mergeCell ref="PUX2:PVB2"/>
    <mergeCell ref="PVC2:PVG2"/>
    <mergeCell ref="PVH2:PVL2"/>
    <mergeCell ref="PVM2:PVQ2"/>
    <mergeCell ref="PTT2:PTX2"/>
    <mergeCell ref="PTY2:PUC2"/>
    <mergeCell ref="PUD2:PUH2"/>
    <mergeCell ref="PUI2:PUM2"/>
    <mergeCell ref="PUN2:PUR2"/>
    <mergeCell ref="PSU2:PSY2"/>
    <mergeCell ref="PSZ2:PTD2"/>
    <mergeCell ref="PTE2:PTI2"/>
    <mergeCell ref="PTJ2:PTN2"/>
    <mergeCell ref="PTO2:PTS2"/>
    <mergeCell ref="PRV2:PRZ2"/>
    <mergeCell ref="PSA2:PSE2"/>
    <mergeCell ref="PSF2:PSJ2"/>
    <mergeCell ref="PSK2:PSO2"/>
    <mergeCell ref="PSP2:PST2"/>
    <mergeCell ref="PQW2:PRA2"/>
    <mergeCell ref="PRB2:PRF2"/>
    <mergeCell ref="PRG2:PRK2"/>
    <mergeCell ref="PRL2:PRP2"/>
    <mergeCell ref="PRQ2:PRU2"/>
    <mergeCell ref="PPX2:PQB2"/>
    <mergeCell ref="PQC2:PQG2"/>
    <mergeCell ref="PQH2:PQL2"/>
    <mergeCell ref="PQM2:PQQ2"/>
    <mergeCell ref="PQR2:PQV2"/>
    <mergeCell ref="POY2:PPC2"/>
    <mergeCell ref="PPD2:PPH2"/>
    <mergeCell ref="PPI2:PPM2"/>
    <mergeCell ref="PPN2:PPR2"/>
    <mergeCell ref="PPS2:PPW2"/>
    <mergeCell ref="PNZ2:POD2"/>
    <mergeCell ref="POE2:POI2"/>
    <mergeCell ref="POJ2:PON2"/>
    <mergeCell ref="POO2:POS2"/>
    <mergeCell ref="POT2:POX2"/>
    <mergeCell ref="PNA2:PNE2"/>
    <mergeCell ref="PNF2:PNJ2"/>
    <mergeCell ref="PNK2:PNO2"/>
    <mergeCell ref="PNP2:PNT2"/>
    <mergeCell ref="PNU2:PNY2"/>
    <mergeCell ref="PMB2:PMF2"/>
    <mergeCell ref="PMG2:PMK2"/>
    <mergeCell ref="PML2:PMP2"/>
    <mergeCell ref="PMQ2:PMU2"/>
    <mergeCell ref="PMV2:PMZ2"/>
    <mergeCell ref="PLC2:PLG2"/>
    <mergeCell ref="PLH2:PLL2"/>
    <mergeCell ref="PLM2:PLQ2"/>
    <mergeCell ref="PLR2:PLV2"/>
    <mergeCell ref="PLW2:PMA2"/>
    <mergeCell ref="PKD2:PKH2"/>
    <mergeCell ref="PKI2:PKM2"/>
    <mergeCell ref="PKN2:PKR2"/>
    <mergeCell ref="PKS2:PKW2"/>
    <mergeCell ref="PKX2:PLB2"/>
    <mergeCell ref="PJE2:PJI2"/>
    <mergeCell ref="PJJ2:PJN2"/>
    <mergeCell ref="PJO2:PJS2"/>
    <mergeCell ref="PJT2:PJX2"/>
    <mergeCell ref="PJY2:PKC2"/>
    <mergeCell ref="PIF2:PIJ2"/>
    <mergeCell ref="PIK2:PIO2"/>
    <mergeCell ref="PIP2:PIT2"/>
    <mergeCell ref="PIU2:PIY2"/>
    <mergeCell ref="PIZ2:PJD2"/>
    <mergeCell ref="PHG2:PHK2"/>
    <mergeCell ref="PHL2:PHP2"/>
    <mergeCell ref="PHQ2:PHU2"/>
    <mergeCell ref="PHV2:PHZ2"/>
    <mergeCell ref="PIA2:PIE2"/>
    <mergeCell ref="PGH2:PGL2"/>
    <mergeCell ref="PGM2:PGQ2"/>
    <mergeCell ref="PGR2:PGV2"/>
    <mergeCell ref="PGW2:PHA2"/>
    <mergeCell ref="PHB2:PHF2"/>
    <mergeCell ref="PFI2:PFM2"/>
    <mergeCell ref="PFN2:PFR2"/>
    <mergeCell ref="PFS2:PFW2"/>
    <mergeCell ref="PFX2:PGB2"/>
    <mergeCell ref="PGC2:PGG2"/>
    <mergeCell ref="PEJ2:PEN2"/>
    <mergeCell ref="PEO2:PES2"/>
    <mergeCell ref="PET2:PEX2"/>
    <mergeCell ref="PEY2:PFC2"/>
    <mergeCell ref="PFD2:PFH2"/>
    <mergeCell ref="PDK2:PDO2"/>
    <mergeCell ref="PDP2:PDT2"/>
    <mergeCell ref="PDU2:PDY2"/>
    <mergeCell ref="PDZ2:PED2"/>
    <mergeCell ref="PEE2:PEI2"/>
    <mergeCell ref="PCL2:PCP2"/>
    <mergeCell ref="PCQ2:PCU2"/>
    <mergeCell ref="PCV2:PCZ2"/>
    <mergeCell ref="PDA2:PDE2"/>
    <mergeCell ref="PDF2:PDJ2"/>
    <mergeCell ref="PBM2:PBQ2"/>
    <mergeCell ref="PBR2:PBV2"/>
    <mergeCell ref="PBW2:PCA2"/>
    <mergeCell ref="PCB2:PCF2"/>
    <mergeCell ref="PCG2:PCK2"/>
    <mergeCell ref="PAN2:PAR2"/>
    <mergeCell ref="PAS2:PAW2"/>
    <mergeCell ref="PAX2:PBB2"/>
    <mergeCell ref="PBC2:PBG2"/>
    <mergeCell ref="PBH2:PBL2"/>
    <mergeCell ref="OZO2:OZS2"/>
    <mergeCell ref="OZT2:OZX2"/>
    <mergeCell ref="OZY2:PAC2"/>
    <mergeCell ref="PAD2:PAH2"/>
    <mergeCell ref="PAI2:PAM2"/>
    <mergeCell ref="OYP2:OYT2"/>
    <mergeCell ref="OYU2:OYY2"/>
    <mergeCell ref="OYZ2:OZD2"/>
    <mergeCell ref="OZE2:OZI2"/>
    <mergeCell ref="OZJ2:OZN2"/>
    <mergeCell ref="OXQ2:OXU2"/>
    <mergeCell ref="OXV2:OXZ2"/>
    <mergeCell ref="OYA2:OYE2"/>
    <mergeCell ref="OYF2:OYJ2"/>
    <mergeCell ref="OYK2:OYO2"/>
    <mergeCell ref="OWR2:OWV2"/>
    <mergeCell ref="OWW2:OXA2"/>
    <mergeCell ref="OXB2:OXF2"/>
    <mergeCell ref="OXG2:OXK2"/>
    <mergeCell ref="OXL2:OXP2"/>
    <mergeCell ref="OVS2:OVW2"/>
    <mergeCell ref="OVX2:OWB2"/>
    <mergeCell ref="OWC2:OWG2"/>
    <mergeCell ref="OWH2:OWL2"/>
    <mergeCell ref="OWM2:OWQ2"/>
    <mergeCell ref="OUT2:OUX2"/>
    <mergeCell ref="OUY2:OVC2"/>
    <mergeCell ref="OVD2:OVH2"/>
    <mergeCell ref="OVI2:OVM2"/>
    <mergeCell ref="OVN2:OVR2"/>
    <mergeCell ref="OTU2:OTY2"/>
    <mergeCell ref="OTZ2:OUD2"/>
    <mergeCell ref="OUE2:OUI2"/>
    <mergeCell ref="OUJ2:OUN2"/>
    <mergeCell ref="OUO2:OUS2"/>
    <mergeCell ref="OSV2:OSZ2"/>
    <mergeCell ref="OTA2:OTE2"/>
    <mergeCell ref="OTF2:OTJ2"/>
    <mergeCell ref="OTK2:OTO2"/>
    <mergeCell ref="OTP2:OTT2"/>
    <mergeCell ref="ORW2:OSA2"/>
    <mergeCell ref="OSB2:OSF2"/>
    <mergeCell ref="OSG2:OSK2"/>
    <mergeCell ref="OSL2:OSP2"/>
    <mergeCell ref="OSQ2:OSU2"/>
    <mergeCell ref="OQX2:ORB2"/>
    <mergeCell ref="ORC2:ORG2"/>
    <mergeCell ref="ORH2:ORL2"/>
    <mergeCell ref="ORM2:ORQ2"/>
    <mergeCell ref="ORR2:ORV2"/>
    <mergeCell ref="OPY2:OQC2"/>
    <mergeCell ref="OQD2:OQH2"/>
    <mergeCell ref="OQI2:OQM2"/>
    <mergeCell ref="OQN2:OQR2"/>
    <mergeCell ref="OQS2:OQW2"/>
    <mergeCell ref="OOZ2:OPD2"/>
    <mergeCell ref="OPE2:OPI2"/>
    <mergeCell ref="OPJ2:OPN2"/>
    <mergeCell ref="OPO2:OPS2"/>
    <mergeCell ref="OPT2:OPX2"/>
    <mergeCell ref="OOA2:OOE2"/>
    <mergeCell ref="OOF2:OOJ2"/>
    <mergeCell ref="OOK2:OOO2"/>
    <mergeCell ref="OOP2:OOT2"/>
    <mergeCell ref="OOU2:OOY2"/>
    <mergeCell ref="ONB2:ONF2"/>
    <mergeCell ref="ONG2:ONK2"/>
    <mergeCell ref="ONL2:ONP2"/>
    <mergeCell ref="ONQ2:ONU2"/>
    <mergeCell ref="ONV2:ONZ2"/>
    <mergeCell ref="OMC2:OMG2"/>
    <mergeCell ref="OMH2:OML2"/>
    <mergeCell ref="OMM2:OMQ2"/>
    <mergeCell ref="OMR2:OMV2"/>
    <mergeCell ref="OMW2:ONA2"/>
    <mergeCell ref="OLD2:OLH2"/>
    <mergeCell ref="OLI2:OLM2"/>
    <mergeCell ref="OLN2:OLR2"/>
    <mergeCell ref="OLS2:OLW2"/>
    <mergeCell ref="OLX2:OMB2"/>
    <mergeCell ref="OKE2:OKI2"/>
    <mergeCell ref="OKJ2:OKN2"/>
    <mergeCell ref="OKO2:OKS2"/>
    <mergeCell ref="OKT2:OKX2"/>
    <mergeCell ref="OKY2:OLC2"/>
    <mergeCell ref="OJF2:OJJ2"/>
    <mergeCell ref="OJK2:OJO2"/>
    <mergeCell ref="OJP2:OJT2"/>
    <mergeCell ref="OJU2:OJY2"/>
    <mergeCell ref="OJZ2:OKD2"/>
    <mergeCell ref="OIG2:OIK2"/>
    <mergeCell ref="OIL2:OIP2"/>
    <mergeCell ref="OIQ2:OIU2"/>
    <mergeCell ref="OIV2:OIZ2"/>
    <mergeCell ref="OJA2:OJE2"/>
    <mergeCell ref="OHH2:OHL2"/>
    <mergeCell ref="OHM2:OHQ2"/>
    <mergeCell ref="OHR2:OHV2"/>
    <mergeCell ref="OHW2:OIA2"/>
    <mergeCell ref="OIB2:OIF2"/>
    <mergeCell ref="OGI2:OGM2"/>
    <mergeCell ref="OGN2:OGR2"/>
    <mergeCell ref="OGS2:OGW2"/>
    <mergeCell ref="OGX2:OHB2"/>
    <mergeCell ref="OHC2:OHG2"/>
    <mergeCell ref="OFJ2:OFN2"/>
    <mergeCell ref="OFO2:OFS2"/>
    <mergeCell ref="OFT2:OFX2"/>
    <mergeCell ref="OFY2:OGC2"/>
    <mergeCell ref="OGD2:OGH2"/>
    <mergeCell ref="OEK2:OEO2"/>
    <mergeCell ref="OEP2:OET2"/>
    <mergeCell ref="OEU2:OEY2"/>
    <mergeCell ref="OEZ2:OFD2"/>
    <mergeCell ref="OFE2:OFI2"/>
    <mergeCell ref="ODL2:ODP2"/>
    <mergeCell ref="ODQ2:ODU2"/>
    <mergeCell ref="ODV2:ODZ2"/>
    <mergeCell ref="OEA2:OEE2"/>
    <mergeCell ref="OEF2:OEJ2"/>
    <mergeCell ref="OCM2:OCQ2"/>
    <mergeCell ref="OCR2:OCV2"/>
    <mergeCell ref="OCW2:ODA2"/>
    <mergeCell ref="ODB2:ODF2"/>
    <mergeCell ref="ODG2:ODK2"/>
    <mergeCell ref="OBN2:OBR2"/>
    <mergeCell ref="OBS2:OBW2"/>
    <mergeCell ref="OBX2:OCB2"/>
    <mergeCell ref="OCC2:OCG2"/>
    <mergeCell ref="OCH2:OCL2"/>
    <mergeCell ref="OAO2:OAS2"/>
    <mergeCell ref="OAT2:OAX2"/>
    <mergeCell ref="OAY2:OBC2"/>
    <mergeCell ref="OBD2:OBH2"/>
    <mergeCell ref="OBI2:OBM2"/>
    <mergeCell ref="NZP2:NZT2"/>
    <mergeCell ref="NZU2:NZY2"/>
    <mergeCell ref="NZZ2:OAD2"/>
    <mergeCell ref="OAE2:OAI2"/>
    <mergeCell ref="OAJ2:OAN2"/>
    <mergeCell ref="NYQ2:NYU2"/>
    <mergeCell ref="NYV2:NYZ2"/>
    <mergeCell ref="NZA2:NZE2"/>
    <mergeCell ref="NZF2:NZJ2"/>
    <mergeCell ref="NZK2:NZO2"/>
    <mergeCell ref="NXR2:NXV2"/>
    <mergeCell ref="NXW2:NYA2"/>
    <mergeCell ref="NYB2:NYF2"/>
    <mergeCell ref="NYG2:NYK2"/>
    <mergeCell ref="NYL2:NYP2"/>
    <mergeCell ref="NWS2:NWW2"/>
    <mergeCell ref="NWX2:NXB2"/>
    <mergeCell ref="NXC2:NXG2"/>
    <mergeCell ref="NXH2:NXL2"/>
    <mergeCell ref="NXM2:NXQ2"/>
    <mergeCell ref="NVT2:NVX2"/>
    <mergeCell ref="NVY2:NWC2"/>
    <mergeCell ref="NWD2:NWH2"/>
    <mergeCell ref="NWI2:NWM2"/>
    <mergeCell ref="NWN2:NWR2"/>
    <mergeCell ref="NUU2:NUY2"/>
    <mergeCell ref="NUZ2:NVD2"/>
    <mergeCell ref="NVE2:NVI2"/>
    <mergeCell ref="NVJ2:NVN2"/>
    <mergeCell ref="NVO2:NVS2"/>
    <mergeCell ref="NTV2:NTZ2"/>
    <mergeCell ref="NUA2:NUE2"/>
    <mergeCell ref="NUF2:NUJ2"/>
    <mergeCell ref="NUK2:NUO2"/>
    <mergeCell ref="NUP2:NUT2"/>
    <mergeCell ref="NSW2:NTA2"/>
    <mergeCell ref="NTB2:NTF2"/>
    <mergeCell ref="NTG2:NTK2"/>
    <mergeCell ref="NTL2:NTP2"/>
    <mergeCell ref="NTQ2:NTU2"/>
    <mergeCell ref="NRX2:NSB2"/>
    <mergeCell ref="NSC2:NSG2"/>
    <mergeCell ref="NSH2:NSL2"/>
    <mergeCell ref="NSM2:NSQ2"/>
    <mergeCell ref="NSR2:NSV2"/>
    <mergeCell ref="NQY2:NRC2"/>
    <mergeCell ref="NRD2:NRH2"/>
    <mergeCell ref="NRI2:NRM2"/>
    <mergeCell ref="NRN2:NRR2"/>
    <mergeCell ref="NRS2:NRW2"/>
    <mergeCell ref="NPZ2:NQD2"/>
    <mergeCell ref="NQE2:NQI2"/>
    <mergeCell ref="NQJ2:NQN2"/>
    <mergeCell ref="NQO2:NQS2"/>
    <mergeCell ref="NQT2:NQX2"/>
    <mergeCell ref="NPA2:NPE2"/>
    <mergeCell ref="NPF2:NPJ2"/>
    <mergeCell ref="NPK2:NPO2"/>
    <mergeCell ref="NPP2:NPT2"/>
    <mergeCell ref="NPU2:NPY2"/>
    <mergeCell ref="NOB2:NOF2"/>
    <mergeCell ref="NOG2:NOK2"/>
    <mergeCell ref="NOL2:NOP2"/>
    <mergeCell ref="NOQ2:NOU2"/>
    <mergeCell ref="NOV2:NOZ2"/>
    <mergeCell ref="NNC2:NNG2"/>
    <mergeCell ref="NNH2:NNL2"/>
    <mergeCell ref="NNM2:NNQ2"/>
    <mergeCell ref="NNR2:NNV2"/>
    <mergeCell ref="NNW2:NOA2"/>
    <mergeCell ref="NMD2:NMH2"/>
    <mergeCell ref="NMI2:NMM2"/>
    <mergeCell ref="NMN2:NMR2"/>
    <mergeCell ref="NMS2:NMW2"/>
    <mergeCell ref="NMX2:NNB2"/>
    <mergeCell ref="NLE2:NLI2"/>
    <mergeCell ref="NLJ2:NLN2"/>
    <mergeCell ref="NLO2:NLS2"/>
    <mergeCell ref="NLT2:NLX2"/>
    <mergeCell ref="NLY2:NMC2"/>
    <mergeCell ref="NKF2:NKJ2"/>
    <mergeCell ref="NKK2:NKO2"/>
    <mergeCell ref="NKP2:NKT2"/>
    <mergeCell ref="NKU2:NKY2"/>
    <mergeCell ref="NKZ2:NLD2"/>
    <mergeCell ref="NJG2:NJK2"/>
    <mergeCell ref="NJL2:NJP2"/>
    <mergeCell ref="NJQ2:NJU2"/>
    <mergeCell ref="NJV2:NJZ2"/>
    <mergeCell ref="NKA2:NKE2"/>
    <mergeCell ref="NIH2:NIL2"/>
    <mergeCell ref="NIM2:NIQ2"/>
    <mergeCell ref="NIR2:NIV2"/>
    <mergeCell ref="NIW2:NJA2"/>
    <mergeCell ref="NJB2:NJF2"/>
    <mergeCell ref="NHI2:NHM2"/>
    <mergeCell ref="NHN2:NHR2"/>
    <mergeCell ref="NHS2:NHW2"/>
    <mergeCell ref="NHX2:NIB2"/>
    <mergeCell ref="NIC2:NIG2"/>
    <mergeCell ref="NGJ2:NGN2"/>
    <mergeCell ref="NGO2:NGS2"/>
    <mergeCell ref="NGT2:NGX2"/>
    <mergeCell ref="NGY2:NHC2"/>
    <mergeCell ref="NHD2:NHH2"/>
    <mergeCell ref="NFK2:NFO2"/>
    <mergeCell ref="NFP2:NFT2"/>
    <mergeCell ref="NFU2:NFY2"/>
    <mergeCell ref="NFZ2:NGD2"/>
    <mergeCell ref="NGE2:NGI2"/>
    <mergeCell ref="NEL2:NEP2"/>
    <mergeCell ref="NEQ2:NEU2"/>
    <mergeCell ref="NEV2:NEZ2"/>
    <mergeCell ref="NFA2:NFE2"/>
    <mergeCell ref="NFF2:NFJ2"/>
    <mergeCell ref="NDM2:NDQ2"/>
    <mergeCell ref="NDR2:NDV2"/>
    <mergeCell ref="NDW2:NEA2"/>
    <mergeCell ref="NEB2:NEF2"/>
    <mergeCell ref="NEG2:NEK2"/>
    <mergeCell ref="NCN2:NCR2"/>
    <mergeCell ref="NCS2:NCW2"/>
    <mergeCell ref="NCX2:NDB2"/>
    <mergeCell ref="NDC2:NDG2"/>
    <mergeCell ref="NDH2:NDL2"/>
    <mergeCell ref="NBO2:NBS2"/>
    <mergeCell ref="NBT2:NBX2"/>
    <mergeCell ref="NBY2:NCC2"/>
    <mergeCell ref="NCD2:NCH2"/>
    <mergeCell ref="NCI2:NCM2"/>
    <mergeCell ref="NAP2:NAT2"/>
    <mergeCell ref="NAU2:NAY2"/>
    <mergeCell ref="NAZ2:NBD2"/>
    <mergeCell ref="NBE2:NBI2"/>
    <mergeCell ref="NBJ2:NBN2"/>
    <mergeCell ref="MZQ2:MZU2"/>
    <mergeCell ref="MZV2:MZZ2"/>
    <mergeCell ref="NAA2:NAE2"/>
    <mergeCell ref="NAF2:NAJ2"/>
    <mergeCell ref="NAK2:NAO2"/>
    <mergeCell ref="MYR2:MYV2"/>
    <mergeCell ref="MYW2:MZA2"/>
    <mergeCell ref="MZB2:MZF2"/>
    <mergeCell ref="MZG2:MZK2"/>
    <mergeCell ref="MZL2:MZP2"/>
    <mergeCell ref="MXS2:MXW2"/>
    <mergeCell ref="MXX2:MYB2"/>
    <mergeCell ref="MYC2:MYG2"/>
    <mergeCell ref="MYH2:MYL2"/>
    <mergeCell ref="MYM2:MYQ2"/>
    <mergeCell ref="MWT2:MWX2"/>
    <mergeCell ref="MWY2:MXC2"/>
    <mergeCell ref="MXD2:MXH2"/>
    <mergeCell ref="MXI2:MXM2"/>
    <mergeCell ref="MXN2:MXR2"/>
    <mergeCell ref="MVU2:MVY2"/>
    <mergeCell ref="MVZ2:MWD2"/>
    <mergeCell ref="MWE2:MWI2"/>
    <mergeCell ref="MWJ2:MWN2"/>
    <mergeCell ref="MWO2:MWS2"/>
    <mergeCell ref="MUV2:MUZ2"/>
    <mergeCell ref="MVA2:MVE2"/>
    <mergeCell ref="MVF2:MVJ2"/>
    <mergeCell ref="MVK2:MVO2"/>
    <mergeCell ref="MVP2:MVT2"/>
    <mergeCell ref="MTW2:MUA2"/>
    <mergeCell ref="MUB2:MUF2"/>
    <mergeCell ref="MUG2:MUK2"/>
    <mergeCell ref="MUL2:MUP2"/>
    <mergeCell ref="MUQ2:MUU2"/>
    <mergeCell ref="MSX2:MTB2"/>
    <mergeCell ref="MTC2:MTG2"/>
    <mergeCell ref="MTH2:MTL2"/>
    <mergeCell ref="MTM2:MTQ2"/>
    <mergeCell ref="MTR2:MTV2"/>
    <mergeCell ref="MRY2:MSC2"/>
    <mergeCell ref="MSD2:MSH2"/>
    <mergeCell ref="MSI2:MSM2"/>
    <mergeCell ref="MSN2:MSR2"/>
    <mergeCell ref="MSS2:MSW2"/>
    <mergeCell ref="MQZ2:MRD2"/>
    <mergeCell ref="MRE2:MRI2"/>
    <mergeCell ref="MRJ2:MRN2"/>
    <mergeCell ref="MRO2:MRS2"/>
    <mergeCell ref="MRT2:MRX2"/>
    <mergeCell ref="MQA2:MQE2"/>
    <mergeCell ref="MQF2:MQJ2"/>
    <mergeCell ref="MQK2:MQO2"/>
    <mergeCell ref="MQP2:MQT2"/>
    <mergeCell ref="MQU2:MQY2"/>
    <mergeCell ref="MPB2:MPF2"/>
    <mergeCell ref="MPG2:MPK2"/>
    <mergeCell ref="MPL2:MPP2"/>
    <mergeCell ref="MPQ2:MPU2"/>
    <mergeCell ref="MPV2:MPZ2"/>
    <mergeCell ref="MOC2:MOG2"/>
    <mergeCell ref="MOH2:MOL2"/>
    <mergeCell ref="MOM2:MOQ2"/>
    <mergeCell ref="MOR2:MOV2"/>
    <mergeCell ref="MOW2:MPA2"/>
    <mergeCell ref="MND2:MNH2"/>
    <mergeCell ref="MNI2:MNM2"/>
    <mergeCell ref="MNN2:MNR2"/>
    <mergeCell ref="MNS2:MNW2"/>
    <mergeCell ref="MNX2:MOB2"/>
    <mergeCell ref="MME2:MMI2"/>
    <mergeCell ref="MMJ2:MMN2"/>
    <mergeCell ref="MMO2:MMS2"/>
    <mergeCell ref="MMT2:MMX2"/>
    <mergeCell ref="MMY2:MNC2"/>
    <mergeCell ref="MLF2:MLJ2"/>
    <mergeCell ref="MLK2:MLO2"/>
    <mergeCell ref="MLP2:MLT2"/>
    <mergeCell ref="MLU2:MLY2"/>
    <mergeCell ref="MLZ2:MMD2"/>
    <mergeCell ref="MKG2:MKK2"/>
    <mergeCell ref="MKL2:MKP2"/>
    <mergeCell ref="MKQ2:MKU2"/>
    <mergeCell ref="MKV2:MKZ2"/>
    <mergeCell ref="MLA2:MLE2"/>
    <mergeCell ref="MJH2:MJL2"/>
    <mergeCell ref="MJM2:MJQ2"/>
    <mergeCell ref="MJR2:MJV2"/>
    <mergeCell ref="MJW2:MKA2"/>
    <mergeCell ref="MKB2:MKF2"/>
    <mergeCell ref="MII2:MIM2"/>
    <mergeCell ref="MIN2:MIR2"/>
    <mergeCell ref="MIS2:MIW2"/>
    <mergeCell ref="MIX2:MJB2"/>
    <mergeCell ref="MJC2:MJG2"/>
    <mergeCell ref="MHJ2:MHN2"/>
    <mergeCell ref="MHO2:MHS2"/>
    <mergeCell ref="MHT2:MHX2"/>
    <mergeCell ref="MHY2:MIC2"/>
    <mergeCell ref="MID2:MIH2"/>
    <mergeCell ref="MGK2:MGO2"/>
    <mergeCell ref="MGP2:MGT2"/>
    <mergeCell ref="MGU2:MGY2"/>
    <mergeCell ref="MGZ2:MHD2"/>
    <mergeCell ref="MHE2:MHI2"/>
    <mergeCell ref="MFL2:MFP2"/>
    <mergeCell ref="MFQ2:MFU2"/>
    <mergeCell ref="MFV2:MFZ2"/>
    <mergeCell ref="MGA2:MGE2"/>
    <mergeCell ref="MGF2:MGJ2"/>
    <mergeCell ref="MEM2:MEQ2"/>
    <mergeCell ref="MER2:MEV2"/>
    <mergeCell ref="MEW2:MFA2"/>
    <mergeCell ref="MFB2:MFF2"/>
    <mergeCell ref="MFG2:MFK2"/>
    <mergeCell ref="MDN2:MDR2"/>
    <mergeCell ref="MDS2:MDW2"/>
    <mergeCell ref="MDX2:MEB2"/>
    <mergeCell ref="MEC2:MEG2"/>
    <mergeCell ref="MEH2:MEL2"/>
    <mergeCell ref="MCO2:MCS2"/>
    <mergeCell ref="MCT2:MCX2"/>
    <mergeCell ref="MCY2:MDC2"/>
    <mergeCell ref="MDD2:MDH2"/>
    <mergeCell ref="MDI2:MDM2"/>
    <mergeCell ref="MBP2:MBT2"/>
    <mergeCell ref="MBU2:MBY2"/>
    <mergeCell ref="MBZ2:MCD2"/>
    <mergeCell ref="MCE2:MCI2"/>
    <mergeCell ref="MCJ2:MCN2"/>
    <mergeCell ref="MAQ2:MAU2"/>
    <mergeCell ref="MAV2:MAZ2"/>
    <mergeCell ref="MBA2:MBE2"/>
    <mergeCell ref="MBF2:MBJ2"/>
    <mergeCell ref="MBK2:MBO2"/>
    <mergeCell ref="LZR2:LZV2"/>
    <mergeCell ref="LZW2:MAA2"/>
    <mergeCell ref="MAB2:MAF2"/>
    <mergeCell ref="MAG2:MAK2"/>
    <mergeCell ref="MAL2:MAP2"/>
    <mergeCell ref="LYS2:LYW2"/>
    <mergeCell ref="LYX2:LZB2"/>
    <mergeCell ref="LZC2:LZG2"/>
    <mergeCell ref="LZH2:LZL2"/>
    <mergeCell ref="LZM2:LZQ2"/>
    <mergeCell ref="LXT2:LXX2"/>
    <mergeCell ref="LXY2:LYC2"/>
    <mergeCell ref="LYD2:LYH2"/>
    <mergeCell ref="LYI2:LYM2"/>
    <mergeCell ref="LYN2:LYR2"/>
    <mergeCell ref="LWU2:LWY2"/>
    <mergeCell ref="LWZ2:LXD2"/>
    <mergeCell ref="LXE2:LXI2"/>
    <mergeCell ref="LXJ2:LXN2"/>
    <mergeCell ref="LXO2:LXS2"/>
    <mergeCell ref="LVV2:LVZ2"/>
    <mergeCell ref="LWA2:LWE2"/>
    <mergeCell ref="LWF2:LWJ2"/>
    <mergeCell ref="LWK2:LWO2"/>
    <mergeCell ref="LWP2:LWT2"/>
    <mergeCell ref="LUW2:LVA2"/>
    <mergeCell ref="LVB2:LVF2"/>
    <mergeCell ref="LVG2:LVK2"/>
    <mergeCell ref="LVL2:LVP2"/>
    <mergeCell ref="LVQ2:LVU2"/>
    <mergeCell ref="LTX2:LUB2"/>
    <mergeCell ref="LUC2:LUG2"/>
    <mergeCell ref="LUH2:LUL2"/>
    <mergeCell ref="LUM2:LUQ2"/>
    <mergeCell ref="LUR2:LUV2"/>
    <mergeCell ref="LSY2:LTC2"/>
    <mergeCell ref="LTD2:LTH2"/>
    <mergeCell ref="LTI2:LTM2"/>
    <mergeCell ref="LTN2:LTR2"/>
    <mergeCell ref="LTS2:LTW2"/>
    <mergeCell ref="LRZ2:LSD2"/>
    <mergeCell ref="LSE2:LSI2"/>
    <mergeCell ref="LSJ2:LSN2"/>
    <mergeCell ref="LSO2:LSS2"/>
    <mergeCell ref="LST2:LSX2"/>
    <mergeCell ref="LRA2:LRE2"/>
    <mergeCell ref="LRF2:LRJ2"/>
    <mergeCell ref="LRK2:LRO2"/>
    <mergeCell ref="LRP2:LRT2"/>
    <mergeCell ref="LRU2:LRY2"/>
    <mergeCell ref="LQB2:LQF2"/>
    <mergeCell ref="LQG2:LQK2"/>
    <mergeCell ref="LQL2:LQP2"/>
    <mergeCell ref="LQQ2:LQU2"/>
    <mergeCell ref="LQV2:LQZ2"/>
    <mergeCell ref="LPC2:LPG2"/>
    <mergeCell ref="LPH2:LPL2"/>
    <mergeCell ref="LPM2:LPQ2"/>
    <mergeCell ref="LPR2:LPV2"/>
    <mergeCell ref="LPW2:LQA2"/>
    <mergeCell ref="LOD2:LOH2"/>
    <mergeCell ref="LOI2:LOM2"/>
    <mergeCell ref="LON2:LOR2"/>
    <mergeCell ref="LOS2:LOW2"/>
    <mergeCell ref="LOX2:LPB2"/>
    <mergeCell ref="LNE2:LNI2"/>
    <mergeCell ref="LNJ2:LNN2"/>
    <mergeCell ref="LNO2:LNS2"/>
    <mergeCell ref="LNT2:LNX2"/>
    <mergeCell ref="LNY2:LOC2"/>
    <mergeCell ref="LMF2:LMJ2"/>
    <mergeCell ref="LMK2:LMO2"/>
    <mergeCell ref="LMP2:LMT2"/>
    <mergeCell ref="LMU2:LMY2"/>
    <mergeCell ref="LMZ2:LND2"/>
    <mergeCell ref="LLG2:LLK2"/>
    <mergeCell ref="LLL2:LLP2"/>
    <mergeCell ref="LLQ2:LLU2"/>
    <mergeCell ref="LLV2:LLZ2"/>
    <mergeCell ref="LMA2:LME2"/>
    <mergeCell ref="LKH2:LKL2"/>
    <mergeCell ref="LKM2:LKQ2"/>
    <mergeCell ref="LKR2:LKV2"/>
    <mergeCell ref="LKW2:LLA2"/>
    <mergeCell ref="LLB2:LLF2"/>
    <mergeCell ref="LJI2:LJM2"/>
    <mergeCell ref="LJN2:LJR2"/>
    <mergeCell ref="LJS2:LJW2"/>
    <mergeCell ref="LJX2:LKB2"/>
    <mergeCell ref="LKC2:LKG2"/>
    <mergeCell ref="LIJ2:LIN2"/>
    <mergeCell ref="LIO2:LIS2"/>
    <mergeCell ref="LIT2:LIX2"/>
    <mergeCell ref="LIY2:LJC2"/>
    <mergeCell ref="LJD2:LJH2"/>
    <mergeCell ref="LHK2:LHO2"/>
    <mergeCell ref="LHP2:LHT2"/>
    <mergeCell ref="LHU2:LHY2"/>
    <mergeCell ref="LHZ2:LID2"/>
    <mergeCell ref="LIE2:LII2"/>
    <mergeCell ref="LGL2:LGP2"/>
    <mergeCell ref="LGQ2:LGU2"/>
    <mergeCell ref="LGV2:LGZ2"/>
    <mergeCell ref="LHA2:LHE2"/>
    <mergeCell ref="LHF2:LHJ2"/>
    <mergeCell ref="LFM2:LFQ2"/>
    <mergeCell ref="LFR2:LFV2"/>
    <mergeCell ref="LFW2:LGA2"/>
    <mergeCell ref="LGB2:LGF2"/>
    <mergeCell ref="LGG2:LGK2"/>
    <mergeCell ref="LEN2:LER2"/>
    <mergeCell ref="LES2:LEW2"/>
    <mergeCell ref="LEX2:LFB2"/>
    <mergeCell ref="LFC2:LFG2"/>
    <mergeCell ref="LFH2:LFL2"/>
    <mergeCell ref="LDO2:LDS2"/>
    <mergeCell ref="LDT2:LDX2"/>
    <mergeCell ref="LDY2:LEC2"/>
    <mergeCell ref="LED2:LEH2"/>
    <mergeCell ref="LEI2:LEM2"/>
    <mergeCell ref="LCP2:LCT2"/>
    <mergeCell ref="LCU2:LCY2"/>
    <mergeCell ref="LCZ2:LDD2"/>
    <mergeCell ref="LDE2:LDI2"/>
    <mergeCell ref="LDJ2:LDN2"/>
    <mergeCell ref="LBQ2:LBU2"/>
    <mergeCell ref="LBV2:LBZ2"/>
    <mergeCell ref="LCA2:LCE2"/>
    <mergeCell ref="LCF2:LCJ2"/>
    <mergeCell ref="LCK2:LCO2"/>
    <mergeCell ref="LAR2:LAV2"/>
    <mergeCell ref="LAW2:LBA2"/>
    <mergeCell ref="LBB2:LBF2"/>
    <mergeCell ref="LBG2:LBK2"/>
    <mergeCell ref="LBL2:LBP2"/>
    <mergeCell ref="KZS2:KZW2"/>
    <mergeCell ref="KZX2:LAB2"/>
    <mergeCell ref="LAC2:LAG2"/>
    <mergeCell ref="LAH2:LAL2"/>
    <mergeCell ref="LAM2:LAQ2"/>
    <mergeCell ref="KYT2:KYX2"/>
    <mergeCell ref="KYY2:KZC2"/>
    <mergeCell ref="KZD2:KZH2"/>
    <mergeCell ref="KZI2:KZM2"/>
    <mergeCell ref="KZN2:KZR2"/>
    <mergeCell ref="KXU2:KXY2"/>
    <mergeCell ref="KXZ2:KYD2"/>
    <mergeCell ref="KYE2:KYI2"/>
    <mergeCell ref="KYJ2:KYN2"/>
    <mergeCell ref="KYO2:KYS2"/>
    <mergeCell ref="KWV2:KWZ2"/>
    <mergeCell ref="KXA2:KXE2"/>
    <mergeCell ref="KXF2:KXJ2"/>
    <mergeCell ref="KXK2:KXO2"/>
    <mergeCell ref="KXP2:KXT2"/>
    <mergeCell ref="KVW2:KWA2"/>
    <mergeCell ref="KWB2:KWF2"/>
    <mergeCell ref="KWG2:KWK2"/>
    <mergeCell ref="KWL2:KWP2"/>
    <mergeCell ref="KWQ2:KWU2"/>
    <mergeCell ref="KUX2:KVB2"/>
    <mergeCell ref="KVC2:KVG2"/>
    <mergeCell ref="KVH2:KVL2"/>
    <mergeCell ref="KVM2:KVQ2"/>
    <mergeCell ref="KVR2:KVV2"/>
    <mergeCell ref="KTY2:KUC2"/>
    <mergeCell ref="KUD2:KUH2"/>
    <mergeCell ref="KUI2:KUM2"/>
    <mergeCell ref="KUN2:KUR2"/>
    <mergeCell ref="KUS2:KUW2"/>
    <mergeCell ref="KSZ2:KTD2"/>
    <mergeCell ref="KTE2:KTI2"/>
    <mergeCell ref="KTJ2:KTN2"/>
    <mergeCell ref="KTO2:KTS2"/>
    <mergeCell ref="KTT2:KTX2"/>
    <mergeCell ref="KSA2:KSE2"/>
    <mergeCell ref="KSF2:KSJ2"/>
    <mergeCell ref="KSK2:KSO2"/>
    <mergeCell ref="KSP2:KST2"/>
    <mergeCell ref="KSU2:KSY2"/>
    <mergeCell ref="KRB2:KRF2"/>
    <mergeCell ref="KRG2:KRK2"/>
    <mergeCell ref="KRL2:KRP2"/>
    <mergeCell ref="KRQ2:KRU2"/>
    <mergeCell ref="KRV2:KRZ2"/>
    <mergeCell ref="KQC2:KQG2"/>
    <mergeCell ref="KQH2:KQL2"/>
    <mergeCell ref="KQM2:KQQ2"/>
    <mergeCell ref="KQR2:KQV2"/>
    <mergeCell ref="KQW2:KRA2"/>
    <mergeCell ref="KPD2:KPH2"/>
    <mergeCell ref="KPI2:KPM2"/>
    <mergeCell ref="KPN2:KPR2"/>
    <mergeCell ref="KPS2:KPW2"/>
    <mergeCell ref="KPX2:KQB2"/>
    <mergeCell ref="KOE2:KOI2"/>
    <mergeCell ref="KOJ2:KON2"/>
    <mergeCell ref="KOO2:KOS2"/>
    <mergeCell ref="KOT2:KOX2"/>
    <mergeCell ref="KOY2:KPC2"/>
    <mergeCell ref="KNF2:KNJ2"/>
    <mergeCell ref="KNK2:KNO2"/>
    <mergeCell ref="KNP2:KNT2"/>
    <mergeCell ref="KNU2:KNY2"/>
    <mergeCell ref="KNZ2:KOD2"/>
    <mergeCell ref="KMG2:KMK2"/>
    <mergeCell ref="KML2:KMP2"/>
    <mergeCell ref="KMQ2:KMU2"/>
    <mergeCell ref="KMV2:KMZ2"/>
    <mergeCell ref="KNA2:KNE2"/>
    <mergeCell ref="KLH2:KLL2"/>
    <mergeCell ref="KLM2:KLQ2"/>
    <mergeCell ref="KLR2:KLV2"/>
    <mergeCell ref="KLW2:KMA2"/>
    <mergeCell ref="KMB2:KMF2"/>
    <mergeCell ref="KKI2:KKM2"/>
    <mergeCell ref="KKN2:KKR2"/>
    <mergeCell ref="KKS2:KKW2"/>
    <mergeCell ref="KKX2:KLB2"/>
    <mergeCell ref="KLC2:KLG2"/>
    <mergeCell ref="KJJ2:KJN2"/>
    <mergeCell ref="KJO2:KJS2"/>
    <mergeCell ref="KJT2:KJX2"/>
    <mergeCell ref="KJY2:KKC2"/>
    <mergeCell ref="KKD2:KKH2"/>
    <mergeCell ref="KIK2:KIO2"/>
    <mergeCell ref="KIP2:KIT2"/>
    <mergeCell ref="KIU2:KIY2"/>
    <mergeCell ref="KIZ2:KJD2"/>
    <mergeCell ref="KJE2:KJI2"/>
    <mergeCell ref="KHL2:KHP2"/>
    <mergeCell ref="KHQ2:KHU2"/>
    <mergeCell ref="KHV2:KHZ2"/>
    <mergeCell ref="KIA2:KIE2"/>
    <mergeCell ref="KIF2:KIJ2"/>
    <mergeCell ref="KGM2:KGQ2"/>
    <mergeCell ref="KGR2:KGV2"/>
    <mergeCell ref="KGW2:KHA2"/>
    <mergeCell ref="KHB2:KHF2"/>
    <mergeCell ref="KHG2:KHK2"/>
    <mergeCell ref="KFN2:KFR2"/>
    <mergeCell ref="KFS2:KFW2"/>
    <mergeCell ref="KFX2:KGB2"/>
    <mergeCell ref="KGC2:KGG2"/>
    <mergeCell ref="KGH2:KGL2"/>
    <mergeCell ref="KEO2:KES2"/>
    <mergeCell ref="KET2:KEX2"/>
    <mergeCell ref="KEY2:KFC2"/>
    <mergeCell ref="KFD2:KFH2"/>
    <mergeCell ref="KFI2:KFM2"/>
    <mergeCell ref="KDP2:KDT2"/>
    <mergeCell ref="KDU2:KDY2"/>
    <mergeCell ref="KDZ2:KED2"/>
    <mergeCell ref="KEE2:KEI2"/>
    <mergeCell ref="KEJ2:KEN2"/>
    <mergeCell ref="KCQ2:KCU2"/>
    <mergeCell ref="KCV2:KCZ2"/>
    <mergeCell ref="KDA2:KDE2"/>
    <mergeCell ref="KDF2:KDJ2"/>
    <mergeCell ref="KDK2:KDO2"/>
    <mergeCell ref="KBR2:KBV2"/>
    <mergeCell ref="KBW2:KCA2"/>
    <mergeCell ref="KCB2:KCF2"/>
    <mergeCell ref="KCG2:KCK2"/>
    <mergeCell ref="KCL2:KCP2"/>
    <mergeCell ref="KAS2:KAW2"/>
    <mergeCell ref="KAX2:KBB2"/>
    <mergeCell ref="KBC2:KBG2"/>
    <mergeCell ref="KBH2:KBL2"/>
    <mergeCell ref="KBM2:KBQ2"/>
    <mergeCell ref="JZT2:JZX2"/>
    <mergeCell ref="JZY2:KAC2"/>
    <mergeCell ref="KAD2:KAH2"/>
    <mergeCell ref="KAI2:KAM2"/>
    <mergeCell ref="KAN2:KAR2"/>
    <mergeCell ref="JYU2:JYY2"/>
    <mergeCell ref="JYZ2:JZD2"/>
    <mergeCell ref="JZE2:JZI2"/>
    <mergeCell ref="JZJ2:JZN2"/>
    <mergeCell ref="JZO2:JZS2"/>
    <mergeCell ref="JXV2:JXZ2"/>
    <mergeCell ref="JYA2:JYE2"/>
    <mergeCell ref="JYF2:JYJ2"/>
    <mergeCell ref="JYK2:JYO2"/>
    <mergeCell ref="JYP2:JYT2"/>
    <mergeCell ref="JWW2:JXA2"/>
    <mergeCell ref="JXB2:JXF2"/>
    <mergeCell ref="JXG2:JXK2"/>
    <mergeCell ref="JXL2:JXP2"/>
    <mergeCell ref="JXQ2:JXU2"/>
    <mergeCell ref="JVX2:JWB2"/>
    <mergeCell ref="JWC2:JWG2"/>
    <mergeCell ref="JWH2:JWL2"/>
    <mergeCell ref="JWM2:JWQ2"/>
    <mergeCell ref="JWR2:JWV2"/>
    <mergeCell ref="JUY2:JVC2"/>
    <mergeCell ref="JVD2:JVH2"/>
    <mergeCell ref="JVI2:JVM2"/>
    <mergeCell ref="JVN2:JVR2"/>
    <mergeCell ref="JVS2:JVW2"/>
    <mergeCell ref="JTZ2:JUD2"/>
    <mergeCell ref="JUE2:JUI2"/>
    <mergeCell ref="JUJ2:JUN2"/>
    <mergeCell ref="JUO2:JUS2"/>
    <mergeCell ref="JUT2:JUX2"/>
    <mergeCell ref="JTA2:JTE2"/>
    <mergeCell ref="JTF2:JTJ2"/>
    <mergeCell ref="JTK2:JTO2"/>
    <mergeCell ref="JTP2:JTT2"/>
    <mergeCell ref="JTU2:JTY2"/>
    <mergeCell ref="JSB2:JSF2"/>
    <mergeCell ref="JSG2:JSK2"/>
    <mergeCell ref="JSL2:JSP2"/>
    <mergeCell ref="JSQ2:JSU2"/>
    <mergeCell ref="JSV2:JSZ2"/>
    <mergeCell ref="JRC2:JRG2"/>
    <mergeCell ref="JRH2:JRL2"/>
    <mergeCell ref="JRM2:JRQ2"/>
    <mergeCell ref="JRR2:JRV2"/>
    <mergeCell ref="JRW2:JSA2"/>
    <mergeCell ref="JQD2:JQH2"/>
    <mergeCell ref="JQI2:JQM2"/>
    <mergeCell ref="JQN2:JQR2"/>
    <mergeCell ref="JQS2:JQW2"/>
    <mergeCell ref="JQX2:JRB2"/>
    <mergeCell ref="JPE2:JPI2"/>
    <mergeCell ref="JPJ2:JPN2"/>
    <mergeCell ref="JPO2:JPS2"/>
    <mergeCell ref="JPT2:JPX2"/>
    <mergeCell ref="JPY2:JQC2"/>
    <mergeCell ref="JOF2:JOJ2"/>
    <mergeCell ref="JOK2:JOO2"/>
    <mergeCell ref="JOP2:JOT2"/>
    <mergeCell ref="JOU2:JOY2"/>
    <mergeCell ref="JOZ2:JPD2"/>
    <mergeCell ref="JNG2:JNK2"/>
    <mergeCell ref="JNL2:JNP2"/>
    <mergeCell ref="JNQ2:JNU2"/>
    <mergeCell ref="JNV2:JNZ2"/>
    <mergeCell ref="JOA2:JOE2"/>
    <mergeCell ref="JMH2:JML2"/>
    <mergeCell ref="JMM2:JMQ2"/>
    <mergeCell ref="JMR2:JMV2"/>
    <mergeCell ref="JMW2:JNA2"/>
    <mergeCell ref="JNB2:JNF2"/>
    <mergeCell ref="JLI2:JLM2"/>
    <mergeCell ref="JLN2:JLR2"/>
    <mergeCell ref="JLS2:JLW2"/>
    <mergeCell ref="JLX2:JMB2"/>
    <mergeCell ref="JMC2:JMG2"/>
    <mergeCell ref="JKJ2:JKN2"/>
    <mergeCell ref="JKO2:JKS2"/>
    <mergeCell ref="JKT2:JKX2"/>
    <mergeCell ref="JKY2:JLC2"/>
    <mergeCell ref="JLD2:JLH2"/>
    <mergeCell ref="JJK2:JJO2"/>
    <mergeCell ref="JJP2:JJT2"/>
    <mergeCell ref="JJU2:JJY2"/>
    <mergeCell ref="JJZ2:JKD2"/>
    <mergeCell ref="JKE2:JKI2"/>
    <mergeCell ref="JIL2:JIP2"/>
    <mergeCell ref="JIQ2:JIU2"/>
    <mergeCell ref="JIV2:JIZ2"/>
    <mergeCell ref="JJA2:JJE2"/>
    <mergeCell ref="JJF2:JJJ2"/>
    <mergeCell ref="JHM2:JHQ2"/>
    <mergeCell ref="JHR2:JHV2"/>
    <mergeCell ref="JHW2:JIA2"/>
    <mergeCell ref="JIB2:JIF2"/>
    <mergeCell ref="JIG2:JIK2"/>
    <mergeCell ref="JGN2:JGR2"/>
    <mergeCell ref="JGS2:JGW2"/>
    <mergeCell ref="JGX2:JHB2"/>
    <mergeCell ref="JHC2:JHG2"/>
    <mergeCell ref="JHH2:JHL2"/>
    <mergeCell ref="JFO2:JFS2"/>
    <mergeCell ref="JFT2:JFX2"/>
    <mergeCell ref="JFY2:JGC2"/>
    <mergeCell ref="JGD2:JGH2"/>
    <mergeCell ref="JGI2:JGM2"/>
    <mergeCell ref="JEP2:JET2"/>
    <mergeCell ref="JEU2:JEY2"/>
    <mergeCell ref="JEZ2:JFD2"/>
    <mergeCell ref="JFE2:JFI2"/>
    <mergeCell ref="JFJ2:JFN2"/>
    <mergeCell ref="JDQ2:JDU2"/>
    <mergeCell ref="JDV2:JDZ2"/>
    <mergeCell ref="JEA2:JEE2"/>
    <mergeCell ref="JEF2:JEJ2"/>
    <mergeCell ref="JEK2:JEO2"/>
    <mergeCell ref="JCR2:JCV2"/>
    <mergeCell ref="JCW2:JDA2"/>
    <mergeCell ref="JDB2:JDF2"/>
    <mergeCell ref="JDG2:JDK2"/>
    <mergeCell ref="JDL2:JDP2"/>
    <mergeCell ref="JBS2:JBW2"/>
    <mergeCell ref="JBX2:JCB2"/>
    <mergeCell ref="JCC2:JCG2"/>
    <mergeCell ref="JCH2:JCL2"/>
    <mergeCell ref="JCM2:JCQ2"/>
    <mergeCell ref="JAT2:JAX2"/>
    <mergeCell ref="JAY2:JBC2"/>
    <mergeCell ref="JBD2:JBH2"/>
    <mergeCell ref="JBI2:JBM2"/>
    <mergeCell ref="JBN2:JBR2"/>
    <mergeCell ref="IZU2:IZY2"/>
    <mergeCell ref="IZZ2:JAD2"/>
    <mergeCell ref="JAE2:JAI2"/>
    <mergeCell ref="JAJ2:JAN2"/>
    <mergeCell ref="JAO2:JAS2"/>
    <mergeCell ref="IYV2:IYZ2"/>
    <mergeCell ref="IZA2:IZE2"/>
    <mergeCell ref="IZF2:IZJ2"/>
    <mergeCell ref="IZK2:IZO2"/>
    <mergeCell ref="IZP2:IZT2"/>
    <mergeCell ref="IXW2:IYA2"/>
    <mergeCell ref="IYB2:IYF2"/>
    <mergeCell ref="IYG2:IYK2"/>
    <mergeCell ref="IYL2:IYP2"/>
    <mergeCell ref="IYQ2:IYU2"/>
    <mergeCell ref="IWX2:IXB2"/>
    <mergeCell ref="IXC2:IXG2"/>
    <mergeCell ref="IXH2:IXL2"/>
    <mergeCell ref="IXM2:IXQ2"/>
    <mergeCell ref="IXR2:IXV2"/>
    <mergeCell ref="IVY2:IWC2"/>
    <mergeCell ref="IWD2:IWH2"/>
    <mergeCell ref="IWI2:IWM2"/>
    <mergeCell ref="IWN2:IWR2"/>
    <mergeCell ref="IWS2:IWW2"/>
    <mergeCell ref="IUZ2:IVD2"/>
    <mergeCell ref="IVE2:IVI2"/>
    <mergeCell ref="IVJ2:IVN2"/>
    <mergeCell ref="IVO2:IVS2"/>
    <mergeCell ref="IVT2:IVX2"/>
    <mergeCell ref="IUA2:IUE2"/>
    <mergeCell ref="IUF2:IUJ2"/>
    <mergeCell ref="IUK2:IUO2"/>
    <mergeCell ref="IUP2:IUT2"/>
    <mergeCell ref="IUU2:IUY2"/>
    <mergeCell ref="ITB2:ITF2"/>
    <mergeCell ref="ITG2:ITK2"/>
    <mergeCell ref="ITL2:ITP2"/>
    <mergeCell ref="ITQ2:ITU2"/>
    <mergeCell ref="ITV2:ITZ2"/>
    <mergeCell ref="ISC2:ISG2"/>
    <mergeCell ref="ISH2:ISL2"/>
    <mergeCell ref="ISM2:ISQ2"/>
    <mergeCell ref="ISR2:ISV2"/>
    <mergeCell ref="ISW2:ITA2"/>
    <mergeCell ref="IRD2:IRH2"/>
    <mergeCell ref="IRI2:IRM2"/>
    <mergeCell ref="IRN2:IRR2"/>
    <mergeCell ref="IRS2:IRW2"/>
    <mergeCell ref="IRX2:ISB2"/>
    <mergeCell ref="IQE2:IQI2"/>
    <mergeCell ref="IQJ2:IQN2"/>
    <mergeCell ref="IQO2:IQS2"/>
    <mergeCell ref="IQT2:IQX2"/>
    <mergeCell ref="IQY2:IRC2"/>
    <mergeCell ref="IPF2:IPJ2"/>
    <mergeCell ref="IPK2:IPO2"/>
    <mergeCell ref="IPP2:IPT2"/>
    <mergeCell ref="IPU2:IPY2"/>
    <mergeCell ref="IPZ2:IQD2"/>
    <mergeCell ref="IOG2:IOK2"/>
    <mergeCell ref="IOL2:IOP2"/>
    <mergeCell ref="IOQ2:IOU2"/>
    <mergeCell ref="IOV2:IOZ2"/>
    <mergeCell ref="IPA2:IPE2"/>
    <mergeCell ref="INH2:INL2"/>
    <mergeCell ref="INM2:INQ2"/>
    <mergeCell ref="INR2:INV2"/>
    <mergeCell ref="INW2:IOA2"/>
    <mergeCell ref="IOB2:IOF2"/>
    <mergeCell ref="IMI2:IMM2"/>
    <mergeCell ref="IMN2:IMR2"/>
    <mergeCell ref="IMS2:IMW2"/>
    <mergeCell ref="IMX2:INB2"/>
    <mergeCell ref="INC2:ING2"/>
    <mergeCell ref="ILJ2:ILN2"/>
    <mergeCell ref="ILO2:ILS2"/>
    <mergeCell ref="ILT2:ILX2"/>
    <mergeCell ref="ILY2:IMC2"/>
    <mergeCell ref="IMD2:IMH2"/>
    <mergeCell ref="IKK2:IKO2"/>
    <mergeCell ref="IKP2:IKT2"/>
    <mergeCell ref="IKU2:IKY2"/>
    <mergeCell ref="IKZ2:ILD2"/>
    <mergeCell ref="ILE2:ILI2"/>
    <mergeCell ref="IJL2:IJP2"/>
    <mergeCell ref="IJQ2:IJU2"/>
    <mergeCell ref="IJV2:IJZ2"/>
    <mergeCell ref="IKA2:IKE2"/>
    <mergeCell ref="IKF2:IKJ2"/>
    <mergeCell ref="IIM2:IIQ2"/>
    <mergeCell ref="IIR2:IIV2"/>
    <mergeCell ref="IIW2:IJA2"/>
    <mergeCell ref="IJB2:IJF2"/>
    <mergeCell ref="IJG2:IJK2"/>
    <mergeCell ref="IHN2:IHR2"/>
    <mergeCell ref="IHS2:IHW2"/>
    <mergeCell ref="IHX2:IIB2"/>
    <mergeCell ref="IIC2:IIG2"/>
    <mergeCell ref="IIH2:IIL2"/>
    <mergeCell ref="IGO2:IGS2"/>
    <mergeCell ref="IGT2:IGX2"/>
    <mergeCell ref="IGY2:IHC2"/>
    <mergeCell ref="IHD2:IHH2"/>
    <mergeCell ref="IHI2:IHM2"/>
    <mergeCell ref="IFP2:IFT2"/>
    <mergeCell ref="IFU2:IFY2"/>
    <mergeCell ref="IFZ2:IGD2"/>
    <mergeCell ref="IGE2:IGI2"/>
    <mergeCell ref="IGJ2:IGN2"/>
    <mergeCell ref="IEQ2:IEU2"/>
    <mergeCell ref="IEV2:IEZ2"/>
    <mergeCell ref="IFA2:IFE2"/>
    <mergeCell ref="IFF2:IFJ2"/>
    <mergeCell ref="IFK2:IFO2"/>
    <mergeCell ref="IDR2:IDV2"/>
    <mergeCell ref="IDW2:IEA2"/>
    <mergeCell ref="IEB2:IEF2"/>
    <mergeCell ref="IEG2:IEK2"/>
    <mergeCell ref="IEL2:IEP2"/>
    <mergeCell ref="ICS2:ICW2"/>
    <mergeCell ref="ICX2:IDB2"/>
    <mergeCell ref="IDC2:IDG2"/>
    <mergeCell ref="IDH2:IDL2"/>
    <mergeCell ref="IDM2:IDQ2"/>
    <mergeCell ref="IBT2:IBX2"/>
    <mergeCell ref="IBY2:ICC2"/>
    <mergeCell ref="ICD2:ICH2"/>
    <mergeCell ref="ICI2:ICM2"/>
    <mergeCell ref="ICN2:ICR2"/>
    <mergeCell ref="IAU2:IAY2"/>
    <mergeCell ref="IAZ2:IBD2"/>
    <mergeCell ref="IBE2:IBI2"/>
    <mergeCell ref="IBJ2:IBN2"/>
    <mergeCell ref="IBO2:IBS2"/>
    <mergeCell ref="HZV2:HZZ2"/>
    <mergeCell ref="IAA2:IAE2"/>
    <mergeCell ref="IAF2:IAJ2"/>
    <mergeCell ref="IAK2:IAO2"/>
    <mergeCell ref="IAP2:IAT2"/>
    <mergeCell ref="HYW2:HZA2"/>
    <mergeCell ref="HZB2:HZF2"/>
    <mergeCell ref="HZG2:HZK2"/>
    <mergeCell ref="HZL2:HZP2"/>
    <mergeCell ref="HZQ2:HZU2"/>
    <mergeCell ref="HXX2:HYB2"/>
    <mergeCell ref="HYC2:HYG2"/>
    <mergeCell ref="HYH2:HYL2"/>
    <mergeCell ref="HYM2:HYQ2"/>
    <mergeCell ref="HYR2:HYV2"/>
    <mergeCell ref="HWY2:HXC2"/>
    <mergeCell ref="HXD2:HXH2"/>
    <mergeCell ref="HXI2:HXM2"/>
    <mergeCell ref="HXN2:HXR2"/>
    <mergeCell ref="HXS2:HXW2"/>
    <mergeCell ref="HVZ2:HWD2"/>
    <mergeCell ref="HWE2:HWI2"/>
    <mergeCell ref="HWJ2:HWN2"/>
    <mergeCell ref="HWO2:HWS2"/>
    <mergeCell ref="HWT2:HWX2"/>
    <mergeCell ref="HVA2:HVE2"/>
    <mergeCell ref="HVF2:HVJ2"/>
    <mergeCell ref="HVK2:HVO2"/>
    <mergeCell ref="HVP2:HVT2"/>
    <mergeCell ref="HVU2:HVY2"/>
    <mergeCell ref="HUB2:HUF2"/>
    <mergeCell ref="HUG2:HUK2"/>
    <mergeCell ref="HUL2:HUP2"/>
    <mergeCell ref="HUQ2:HUU2"/>
    <mergeCell ref="HUV2:HUZ2"/>
    <mergeCell ref="HTC2:HTG2"/>
    <mergeCell ref="HTH2:HTL2"/>
    <mergeCell ref="HTM2:HTQ2"/>
    <mergeCell ref="HTR2:HTV2"/>
    <mergeCell ref="HTW2:HUA2"/>
    <mergeCell ref="HSD2:HSH2"/>
    <mergeCell ref="HSI2:HSM2"/>
    <mergeCell ref="HSN2:HSR2"/>
    <mergeCell ref="HSS2:HSW2"/>
    <mergeCell ref="HSX2:HTB2"/>
    <mergeCell ref="HRE2:HRI2"/>
    <mergeCell ref="HRJ2:HRN2"/>
    <mergeCell ref="HRO2:HRS2"/>
    <mergeCell ref="HRT2:HRX2"/>
    <mergeCell ref="HRY2:HSC2"/>
    <mergeCell ref="HQF2:HQJ2"/>
    <mergeCell ref="HQK2:HQO2"/>
    <mergeCell ref="HQP2:HQT2"/>
    <mergeCell ref="HQU2:HQY2"/>
    <mergeCell ref="HQZ2:HRD2"/>
    <mergeCell ref="HPG2:HPK2"/>
    <mergeCell ref="HPL2:HPP2"/>
    <mergeCell ref="HPQ2:HPU2"/>
    <mergeCell ref="HPV2:HPZ2"/>
    <mergeCell ref="HQA2:HQE2"/>
    <mergeCell ref="HOH2:HOL2"/>
    <mergeCell ref="HOM2:HOQ2"/>
    <mergeCell ref="HOR2:HOV2"/>
    <mergeCell ref="HOW2:HPA2"/>
    <mergeCell ref="HPB2:HPF2"/>
    <mergeCell ref="HNI2:HNM2"/>
    <mergeCell ref="HNN2:HNR2"/>
    <mergeCell ref="HNS2:HNW2"/>
    <mergeCell ref="HNX2:HOB2"/>
    <mergeCell ref="HOC2:HOG2"/>
    <mergeCell ref="HMJ2:HMN2"/>
    <mergeCell ref="HMO2:HMS2"/>
    <mergeCell ref="HMT2:HMX2"/>
    <mergeCell ref="HMY2:HNC2"/>
    <mergeCell ref="HND2:HNH2"/>
    <mergeCell ref="HLK2:HLO2"/>
    <mergeCell ref="HLP2:HLT2"/>
    <mergeCell ref="HLU2:HLY2"/>
    <mergeCell ref="HLZ2:HMD2"/>
    <mergeCell ref="HME2:HMI2"/>
    <mergeCell ref="HKL2:HKP2"/>
    <mergeCell ref="HKQ2:HKU2"/>
    <mergeCell ref="HKV2:HKZ2"/>
    <mergeCell ref="HLA2:HLE2"/>
    <mergeCell ref="HLF2:HLJ2"/>
    <mergeCell ref="HJM2:HJQ2"/>
    <mergeCell ref="HJR2:HJV2"/>
    <mergeCell ref="HJW2:HKA2"/>
    <mergeCell ref="HKB2:HKF2"/>
    <mergeCell ref="HKG2:HKK2"/>
    <mergeCell ref="HIN2:HIR2"/>
    <mergeCell ref="HIS2:HIW2"/>
    <mergeCell ref="HIX2:HJB2"/>
    <mergeCell ref="HJC2:HJG2"/>
    <mergeCell ref="HJH2:HJL2"/>
    <mergeCell ref="HHO2:HHS2"/>
    <mergeCell ref="HHT2:HHX2"/>
    <mergeCell ref="HHY2:HIC2"/>
    <mergeCell ref="HID2:HIH2"/>
    <mergeCell ref="HII2:HIM2"/>
    <mergeCell ref="HGP2:HGT2"/>
    <mergeCell ref="HGU2:HGY2"/>
    <mergeCell ref="HGZ2:HHD2"/>
    <mergeCell ref="HHE2:HHI2"/>
    <mergeCell ref="HHJ2:HHN2"/>
    <mergeCell ref="HFQ2:HFU2"/>
    <mergeCell ref="HFV2:HFZ2"/>
    <mergeCell ref="HGA2:HGE2"/>
    <mergeCell ref="HGF2:HGJ2"/>
    <mergeCell ref="HGK2:HGO2"/>
    <mergeCell ref="HER2:HEV2"/>
    <mergeCell ref="HEW2:HFA2"/>
    <mergeCell ref="HFB2:HFF2"/>
    <mergeCell ref="HFG2:HFK2"/>
    <mergeCell ref="HFL2:HFP2"/>
    <mergeCell ref="HDS2:HDW2"/>
    <mergeCell ref="HDX2:HEB2"/>
    <mergeCell ref="HEC2:HEG2"/>
    <mergeCell ref="HEH2:HEL2"/>
    <mergeCell ref="HEM2:HEQ2"/>
    <mergeCell ref="HCT2:HCX2"/>
    <mergeCell ref="HCY2:HDC2"/>
    <mergeCell ref="HDD2:HDH2"/>
    <mergeCell ref="HDI2:HDM2"/>
    <mergeCell ref="HDN2:HDR2"/>
    <mergeCell ref="HBU2:HBY2"/>
    <mergeCell ref="HBZ2:HCD2"/>
    <mergeCell ref="HCE2:HCI2"/>
    <mergeCell ref="HCJ2:HCN2"/>
    <mergeCell ref="HCO2:HCS2"/>
    <mergeCell ref="HAV2:HAZ2"/>
    <mergeCell ref="HBA2:HBE2"/>
    <mergeCell ref="HBF2:HBJ2"/>
    <mergeCell ref="HBK2:HBO2"/>
    <mergeCell ref="HBP2:HBT2"/>
    <mergeCell ref="GZW2:HAA2"/>
    <mergeCell ref="HAB2:HAF2"/>
    <mergeCell ref="HAG2:HAK2"/>
    <mergeCell ref="HAL2:HAP2"/>
    <mergeCell ref="HAQ2:HAU2"/>
    <mergeCell ref="GYX2:GZB2"/>
    <mergeCell ref="GZC2:GZG2"/>
    <mergeCell ref="GZH2:GZL2"/>
    <mergeCell ref="GZM2:GZQ2"/>
    <mergeCell ref="GZR2:GZV2"/>
    <mergeCell ref="GXY2:GYC2"/>
    <mergeCell ref="GYD2:GYH2"/>
    <mergeCell ref="GYI2:GYM2"/>
    <mergeCell ref="GYN2:GYR2"/>
    <mergeCell ref="GYS2:GYW2"/>
    <mergeCell ref="GWZ2:GXD2"/>
    <mergeCell ref="GXE2:GXI2"/>
    <mergeCell ref="GXJ2:GXN2"/>
    <mergeCell ref="GXO2:GXS2"/>
    <mergeCell ref="GXT2:GXX2"/>
    <mergeCell ref="GWA2:GWE2"/>
    <mergeCell ref="GWF2:GWJ2"/>
    <mergeCell ref="GWK2:GWO2"/>
    <mergeCell ref="GWP2:GWT2"/>
    <mergeCell ref="GWU2:GWY2"/>
    <mergeCell ref="GVB2:GVF2"/>
    <mergeCell ref="GVG2:GVK2"/>
    <mergeCell ref="GVL2:GVP2"/>
    <mergeCell ref="GVQ2:GVU2"/>
    <mergeCell ref="GVV2:GVZ2"/>
    <mergeCell ref="GUC2:GUG2"/>
    <mergeCell ref="GUH2:GUL2"/>
    <mergeCell ref="GUM2:GUQ2"/>
    <mergeCell ref="GUR2:GUV2"/>
    <mergeCell ref="GUW2:GVA2"/>
    <mergeCell ref="GTD2:GTH2"/>
    <mergeCell ref="GTI2:GTM2"/>
    <mergeCell ref="GTN2:GTR2"/>
    <mergeCell ref="GTS2:GTW2"/>
    <mergeCell ref="GTX2:GUB2"/>
    <mergeCell ref="GSE2:GSI2"/>
    <mergeCell ref="GSJ2:GSN2"/>
    <mergeCell ref="GSO2:GSS2"/>
    <mergeCell ref="GST2:GSX2"/>
    <mergeCell ref="GSY2:GTC2"/>
    <mergeCell ref="GRF2:GRJ2"/>
    <mergeCell ref="GRK2:GRO2"/>
    <mergeCell ref="GRP2:GRT2"/>
    <mergeCell ref="GRU2:GRY2"/>
    <mergeCell ref="GRZ2:GSD2"/>
    <mergeCell ref="GQG2:GQK2"/>
    <mergeCell ref="GQL2:GQP2"/>
    <mergeCell ref="GQQ2:GQU2"/>
    <mergeCell ref="GQV2:GQZ2"/>
    <mergeCell ref="GRA2:GRE2"/>
    <mergeCell ref="GPH2:GPL2"/>
    <mergeCell ref="GPM2:GPQ2"/>
    <mergeCell ref="GPR2:GPV2"/>
    <mergeCell ref="GPW2:GQA2"/>
    <mergeCell ref="GQB2:GQF2"/>
    <mergeCell ref="GOI2:GOM2"/>
    <mergeCell ref="GON2:GOR2"/>
    <mergeCell ref="GOS2:GOW2"/>
    <mergeCell ref="GOX2:GPB2"/>
    <mergeCell ref="GPC2:GPG2"/>
    <mergeCell ref="GNJ2:GNN2"/>
    <mergeCell ref="GNO2:GNS2"/>
    <mergeCell ref="GNT2:GNX2"/>
    <mergeCell ref="GNY2:GOC2"/>
    <mergeCell ref="GOD2:GOH2"/>
    <mergeCell ref="GMK2:GMO2"/>
    <mergeCell ref="GMP2:GMT2"/>
    <mergeCell ref="GMU2:GMY2"/>
    <mergeCell ref="GMZ2:GND2"/>
    <mergeCell ref="GNE2:GNI2"/>
    <mergeCell ref="GLL2:GLP2"/>
    <mergeCell ref="GLQ2:GLU2"/>
    <mergeCell ref="GLV2:GLZ2"/>
    <mergeCell ref="GMA2:GME2"/>
    <mergeCell ref="GMF2:GMJ2"/>
    <mergeCell ref="GKM2:GKQ2"/>
    <mergeCell ref="GKR2:GKV2"/>
    <mergeCell ref="GKW2:GLA2"/>
    <mergeCell ref="GLB2:GLF2"/>
    <mergeCell ref="GLG2:GLK2"/>
    <mergeCell ref="GJN2:GJR2"/>
    <mergeCell ref="GJS2:GJW2"/>
    <mergeCell ref="GJX2:GKB2"/>
    <mergeCell ref="GKC2:GKG2"/>
    <mergeCell ref="GKH2:GKL2"/>
    <mergeCell ref="GIO2:GIS2"/>
    <mergeCell ref="GIT2:GIX2"/>
    <mergeCell ref="GIY2:GJC2"/>
    <mergeCell ref="GJD2:GJH2"/>
    <mergeCell ref="GJI2:GJM2"/>
    <mergeCell ref="GHP2:GHT2"/>
    <mergeCell ref="GHU2:GHY2"/>
    <mergeCell ref="GHZ2:GID2"/>
    <mergeCell ref="GIE2:GII2"/>
    <mergeCell ref="GIJ2:GIN2"/>
    <mergeCell ref="GGQ2:GGU2"/>
    <mergeCell ref="GGV2:GGZ2"/>
    <mergeCell ref="GHA2:GHE2"/>
    <mergeCell ref="GHF2:GHJ2"/>
    <mergeCell ref="GHK2:GHO2"/>
    <mergeCell ref="GFR2:GFV2"/>
    <mergeCell ref="GFW2:GGA2"/>
    <mergeCell ref="GGB2:GGF2"/>
    <mergeCell ref="GGG2:GGK2"/>
    <mergeCell ref="GGL2:GGP2"/>
    <mergeCell ref="GES2:GEW2"/>
    <mergeCell ref="GEX2:GFB2"/>
    <mergeCell ref="GFC2:GFG2"/>
    <mergeCell ref="GFH2:GFL2"/>
    <mergeCell ref="GFM2:GFQ2"/>
    <mergeCell ref="GDT2:GDX2"/>
    <mergeCell ref="GDY2:GEC2"/>
    <mergeCell ref="GED2:GEH2"/>
    <mergeCell ref="GEI2:GEM2"/>
    <mergeCell ref="GEN2:GER2"/>
    <mergeCell ref="GCU2:GCY2"/>
    <mergeCell ref="GCZ2:GDD2"/>
    <mergeCell ref="GDE2:GDI2"/>
    <mergeCell ref="GDJ2:GDN2"/>
    <mergeCell ref="GDO2:GDS2"/>
    <mergeCell ref="GBV2:GBZ2"/>
    <mergeCell ref="GCA2:GCE2"/>
    <mergeCell ref="GCF2:GCJ2"/>
    <mergeCell ref="GCK2:GCO2"/>
    <mergeCell ref="GCP2:GCT2"/>
    <mergeCell ref="GAW2:GBA2"/>
    <mergeCell ref="GBB2:GBF2"/>
    <mergeCell ref="GBG2:GBK2"/>
    <mergeCell ref="GBL2:GBP2"/>
    <mergeCell ref="GBQ2:GBU2"/>
    <mergeCell ref="FZX2:GAB2"/>
    <mergeCell ref="GAC2:GAG2"/>
    <mergeCell ref="GAH2:GAL2"/>
    <mergeCell ref="GAM2:GAQ2"/>
    <mergeCell ref="GAR2:GAV2"/>
    <mergeCell ref="FYY2:FZC2"/>
    <mergeCell ref="FZD2:FZH2"/>
    <mergeCell ref="FZI2:FZM2"/>
    <mergeCell ref="FZN2:FZR2"/>
    <mergeCell ref="FZS2:FZW2"/>
    <mergeCell ref="FXZ2:FYD2"/>
    <mergeCell ref="FYE2:FYI2"/>
    <mergeCell ref="FYJ2:FYN2"/>
    <mergeCell ref="FYO2:FYS2"/>
    <mergeCell ref="FYT2:FYX2"/>
    <mergeCell ref="FXA2:FXE2"/>
    <mergeCell ref="FXF2:FXJ2"/>
    <mergeCell ref="FXK2:FXO2"/>
    <mergeCell ref="FXP2:FXT2"/>
    <mergeCell ref="FXU2:FXY2"/>
    <mergeCell ref="FWB2:FWF2"/>
    <mergeCell ref="FWG2:FWK2"/>
    <mergeCell ref="FWL2:FWP2"/>
    <mergeCell ref="FWQ2:FWU2"/>
    <mergeCell ref="FWV2:FWZ2"/>
    <mergeCell ref="FVC2:FVG2"/>
    <mergeCell ref="FVH2:FVL2"/>
    <mergeCell ref="FVM2:FVQ2"/>
    <mergeCell ref="FVR2:FVV2"/>
    <mergeCell ref="FVW2:FWA2"/>
    <mergeCell ref="FUD2:FUH2"/>
    <mergeCell ref="FUI2:FUM2"/>
    <mergeCell ref="FUN2:FUR2"/>
    <mergeCell ref="FUS2:FUW2"/>
    <mergeCell ref="FUX2:FVB2"/>
    <mergeCell ref="FTE2:FTI2"/>
    <mergeCell ref="FTJ2:FTN2"/>
    <mergeCell ref="FTO2:FTS2"/>
    <mergeCell ref="FTT2:FTX2"/>
    <mergeCell ref="FTY2:FUC2"/>
    <mergeCell ref="FSF2:FSJ2"/>
    <mergeCell ref="FSK2:FSO2"/>
    <mergeCell ref="FSP2:FST2"/>
    <mergeCell ref="FSU2:FSY2"/>
    <mergeCell ref="FSZ2:FTD2"/>
    <mergeCell ref="FRG2:FRK2"/>
    <mergeCell ref="FRL2:FRP2"/>
    <mergeCell ref="FRQ2:FRU2"/>
    <mergeCell ref="FRV2:FRZ2"/>
    <mergeCell ref="FSA2:FSE2"/>
    <mergeCell ref="FQH2:FQL2"/>
    <mergeCell ref="FQM2:FQQ2"/>
    <mergeCell ref="FQR2:FQV2"/>
    <mergeCell ref="FQW2:FRA2"/>
    <mergeCell ref="FRB2:FRF2"/>
    <mergeCell ref="FPI2:FPM2"/>
    <mergeCell ref="FPN2:FPR2"/>
    <mergeCell ref="FPS2:FPW2"/>
    <mergeCell ref="FPX2:FQB2"/>
    <mergeCell ref="FQC2:FQG2"/>
    <mergeCell ref="FOJ2:FON2"/>
    <mergeCell ref="FOO2:FOS2"/>
    <mergeCell ref="FOT2:FOX2"/>
    <mergeCell ref="FOY2:FPC2"/>
    <mergeCell ref="FPD2:FPH2"/>
    <mergeCell ref="FNK2:FNO2"/>
    <mergeCell ref="FNP2:FNT2"/>
    <mergeCell ref="FNU2:FNY2"/>
    <mergeCell ref="FNZ2:FOD2"/>
    <mergeCell ref="FOE2:FOI2"/>
    <mergeCell ref="FML2:FMP2"/>
    <mergeCell ref="FMQ2:FMU2"/>
    <mergeCell ref="FMV2:FMZ2"/>
    <mergeCell ref="FNA2:FNE2"/>
    <mergeCell ref="FNF2:FNJ2"/>
    <mergeCell ref="FLM2:FLQ2"/>
    <mergeCell ref="FLR2:FLV2"/>
    <mergeCell ref="FLW2:FMA2"/>
    <mergeCell ref="FMB2:FMF2"/>
    <mergeCell ref="FMG2:FMK2"/>
    <mergeCell ref="FKN2:FKR2"/>
    <mergeCell ref="FKS2:FKW2"/>
    <mergeCell ref="FKX2:FLB2"/>
    <mergeCell ref="FLC2:FLG2"/>
    <mergeCell ref="FLH2:FLL2"/>
    <mergeCell ref="FJO2:FJS2"/>
    <mergeCell ref="FJT2:FJX2"/>
    <mergeCell ref="FJY2:FKC2"/>
    <mergeCell ref="FKD2:FKH2"/>
    <mergeCell ref="FKI2:FKM2"/>
    <mergeCell ref="FIP2:FIT2"/>
    <mergeCell ref="FIU2:FIY2"/>
    <mergeCell ref="FIZ2:FJD2"/>
    <mergeCell ref="FJE2:FJI2"/>
    <mergeCell ref="FJJ2:FJN2"/>
    <mergeCell ref="FHQ2:FHU2"/>
    <mergeCell ref="FHV2:FHZ2"/>
    <mergeCell ref="FIA2:FIE2"/>
    <mergeCell ref="FIF2:FIJ2"/>
    <mergeCell ref="FIK2:FIO2"/>
    <mergeCell ref="FGR2:FGV2"/>
    <mergeCell ref="FGW2:FHA2"/>
    <mergeCell ref="FHB2:FHF2"/>
    <mergeCell ref="FHG2:FHK2"/>
    <mergeCell ref="FHL2:FHP2"/>
    <mergeCell ref="FFS2:FFW2"/>
    <mergeCell ref="FFX2:FGB2"/>
    <mergeCell ref="FGC2:FGG2"/>
    <mergeCell ref="FGH2:FGL2"/>
    <mergeCell ref="FGM2:FGQ2"/>
    <mergeCell ref="FET2:FEX2"/>
    <mergeCell ref="FEY2:FFC2"/>
    <mergeCell ref="FFD2:FFH2"/>
    <mergeCell ref="FFI2:FFM2"/>
    <mergeCell ref="FFN2:FFR2"/>
    <mergeCell ref="FDU2:FDY2"/>
    <mergeCell ref="FDZ2:FED2"/>
    <mergeCell ref="FEE2:FEI2"/>
    <mergeCell ref="FEJ2:FEN2"/>
    <mergeCell ref="FEO2:FES2"/>
    <mergeCell ref="FCV2:FCZ2"/>
    <mergeCell ref="FDA2:FDE2"/>
    <mergeCell ref="FDF2:FDJ2"/>
    <mergeCell ref="FDK2:FDO2"/>
    <mergeCell ref="FDP2:FDT2"/>
    <mergeCell ref="FBW2:FCA2"/>
    <mergeCell ref="FCB2:FCF2"/>
    <mergeCell ref="FCG2:FCK2"/>
    <mergeCell ref="FCL2:FCP2"/>
    <mergeCell ref="FCQ2:FCU2"/>
    <mergeCell ref="FAX2:FBB2"/>
    <mergeCell ref="FBC2:FBG2"/>
    <mergeCell ref="FBH2:FBL2"/>
    <mergeCell ref="FBM2:FBQ2"/>
    <mergeCell ref="FBR2:FBV2"/>
    <mergeCell ref="EZY2:FAC2"/>
    <mergeCell ref="FAD2:FAH2"/>
    <mergeCell ref="FAI2:FAM2"/>
    <mergeCell ref="FAN2:FAR2"/>
    <mergeCell ref="FAS2:FAW2"/>
    <mergeCell ref="EYZ2:EZD2"/>
    <mergeCell ref="EZE2:EZI2"/>
    <mergeCell ref="EZJ2:EZN2"/>
    <mergeCell ref="EZO2:EZS2"/>
    <mergeCell ref="EZT2:EZX2"/>
    <mergeCell ref="EYA2:EYE2"/>
    <mergeCell ref="EYF2:EYJ2"/>
    <mergeCell ref="EYK2:EYO2"/>
    <mergeCell ref="EYP2:EYT2"/>
    <mergeCell ref="EYU2:EYY2"/>
    <mergeCell ref="EXB2:EXF2"/>
    <mergeCell ref="EXG2:EXK2"/>
    <mergeCell ref="EXL2:EXP2"/>
    <mergeCell ref="EXQ2:EXU2"/>
    <mergeCell ref="EXV2:EXZ2"/>
    <mergeCell ref="EWC2:EWG2"/>
    <mergeCell ref="EWH2:EWL2"/>
    <mergeCell ref="EWM2:EWQ2"/>
    <mergeCell ref="EWR2:EWV2"/>
    <mergeCell ref="EWW2:EXA2"/>
    <mergeCell ref="EVD2:EVH2"/>
    <mergeCell ref="EVI2:EVM2"/>
    <mergeCell ref="EVN2:EVR2"/>
    <mergeCell ref="EVS2:EVW2"/>
    <mergeCell ref="EVX2:EWB2"/>
    <mergeCell ref="EUE2:EUI2"/>
    <mergeCell ref="EUJ2:EUN2"/>
    <mergeCell ref="EUO2:EUS2"/>
    <mergeCell ref="EUT2:EUX2"/>
    <mergeCell ref="EUY2:EVC2"/>
    <mergeCell ref="ETF2:ETJ2"/>
    <mergeCell ref="ETK2:ETO2"/>
    <mergeCell ref="ETP2:ETT2"/>
    <mergeCell ref="ETU2:ETY2"/>
    <mergeCell ref="ETZ2:EUD2"/>
    <mergeCell ref="ESG2:ESK2"/>
    <mergeCell ref="ESL2:ESP2"/>
    <mergeCell ref="ESQ2:ESU2"/>
    <mergeCell ref="ESV2:ESZ2"/>
    <mergeCell ref="ETA2:ETE2"/>
    <mergeCell ref="ERH2:ERL2"/>
    <mergeCell ref="ERM2:ERQ2"/>
    <mergeCell ref="ERR2:ERV2"/>
    <mergeCell ref="ERW2:ESA2"/>
    <mergeCell ref="ESB2:ESF2"/>
    <mergeCell ref="EQI2:EQM2"/>
    <mergeCell ref="EQN2:EQR2"/>
    <mergeCell ref="EQS2:EQW2"/>
    <mergeCell ref="EQX2:ERB2"/>
    <mergeCell ref="ERC2:ERG2"/>
    <mergeCell ref="EPJ2:EPN2"/>
    <mergeCell ref="EPO2:EPS2"/>
    <mergeCell ref="EPT2:EPX2"/>
    <mergeCell ref="EPY2:EQC2"/>
    <mergeCell ref="EQD2:EQH2"/>
    <mergeCell ref="EOK2:EOO2"/>
    <mergeCell ref="EOP2:EOT2"/>
    <mergeCell ref="EOU2:EOY2"/>
    <mergeCell ref="EOZ2:EPD2"/>
    <mergeCell ref="EPE2:EPI2"/>
    <mergeCell ref="ENL2:ENP2"/>
    <mergeCell ref="ENQ2:ENU2"/>
    <mergeCell ref="ENV2:ENZ2"/>
    <mergeCell ref="EOA2:EOE2"/>
    <mergeCell ref="EOF2:EOJ2"/>
    <mergeCell ref="EMM2:EMQ2"/>
    <mergeCell ref="EMR2:EMV2"/>
    <mergeCell ref="EMW2:ENA2"/>
    <mergeCell ref="ENB2:ENF2"/>
    <mergeCell ref="ENG2:ENK2"/>
    <mergeCell ref="ELN2:ELR2"/>
    <mergeCell ref="ELS2:ELW2"/>
    <mergeCell ref="ELX2:EMB2"/>
    <mergeCell ref="EMC2:EMG2"/>
    <mergeCell ref="EMH2:EML2"/>
    <mergeCell ref="EKO2:EKS2"/>
    <mergeCell ref="EKT2:EKX2"/>
    <mergeCell ref="EKY2:ELC2"/>
    <mergeCell ref="ELD2:ELH2"/>
    <mergeCell ref="ELI2:ELM2"/>
    <mergeCell ref="EJP2:EJT2"/>
    <mergeCell ref="EJU2:EJY2"/>
    <mergeCell ref="EJZ2:EKD2"/>
    <mergeCell ref="EKE2:EKI2"/>
    <mergeCell ref="EKJ2:EKN2"/>
    <mergeCell ref="EIQ2:EIU2"/>
    <mergeCell ref="EIV2:EIZ2"/>
    <mergeCell ref="EJA2:EJE2"/>
    <mergeCell ref="EJF2:EJJ2"/>
    <mergeCell ref="EJK2:EJO2"/>
    <mergeCell ref="EHR2:EHV2"/>
    <mergeCell ref="EHW2:EIA2"/>
    <mergeCell ref="EIB2:EIF2"/>
    <mergeCell ref="EIG2:EIK2"/>
    <mergeCell ref="EIL2:EIP2"/>
    <mergeCell ref="EGS2:EGW2"/>
    <mergeCell ref="EGX2:EHB2"/>
    <mergeCell ref="EHC2:EHG2"/>
    <mergeCell ref="EHH2:EHL2"/>
    <mergeCell ref="EHM2:EHQ2"/>
    <mergeCell ref="EFT2:EFX2"/>
    <mergeCell ref="EFY2:EGC2"/>
    <mergeCell ref="EGD2:EGH2"/>
    <mergeCell ref="EGI2:EGM2"/>
    <mergeCell ref="EGN2:EGR2"/>
    <mergeCell ref="EEU2:EEY2"/>
    <mergeCell ref="EEZ2:EFD2"/>
    <mergeCell ref="EFE2:EFI2"/>
    <mergeCell ref="EFJ2:EFN2"/>
    <mergeCell ref="EFO2:EFS2"/>
    <mergeCell ref="EDV2:EDZ2"/>
    <mergeCell ref="EEA2:EEE2"/>
    <mergeCell ref="EEF2:EEJ2"/>
    <mergeCell ref="EEK2:EEO2"/>
    <mergeCell ref="EEP2:EET2"/>
    <mergeCell ref="ECW2:EDA2"/>
    <mergeCell ref="EDB2:EDF2"/>
    <mergeCell ref="EDG2:EDK2"/>
    <mergeCell ref="EDL2:EDP2"/>
    <mergeCell ref="EDQ2:EDU2"/>
    <mergeCell ref="EBX2:ECB2"/>
    <mergeCell ref="ECC2:ECG2"/>
    <mergeCell ref="ECH2:ECL2"/>
    <mergeCell ref="ECM2:ECQ2"/>
    <mergeCell ref="ECR2:ECV2"/>
    <mergeCell ref="EAY2:EBC2"/>
    <mergeCell ref="EBD2:EBH2"/>
    <mergeCell ref="EBI2:EBM2"/>
    <mergeCell ref="EBN2:EBR2"/>
    <mergeCell ref="EBS2:EBW2"/>
    <mergeCell ref="DZZ2:EAD2"/>
    <mergeCell ref="EAE2:EAI2"/>
    <mergeCell ref="EAJ2:EAN2"/>
    <mergeCell ref="EAO2:EAS2"/>
    <mergeCell ref="EAT2:EAX2"/>
    <mergeCell ref="DZA2:DZE2"/>
    <mergeCell ref="DZF2:DZJ2"/>
    <mergeCell ref="DZK2:DZO2"/>
    <mergeCell ref="DZP2:DZT2"/>
    <mergeCell ref="DZU2:DZY2"/>
    <mergeCell ref="DYB2:DYF2"/>
    <mergeCell ref="DYG2:DYK2"/>
    <mergeCell ref="DYL2:DYP2"/>
    <mergeCell ref="DYQ2:DYU2"/>
    <mergeCell ref="DYV2:DYZ2"/>
    <mergeCell ref="DXC2:DXG2"/>
    <mergeCell ref="DXH2:DXL2"/>
    <mergeCell ref="DXM2:DXQ2"/>
    <mergeCell ref="DXR2:DXV2"/>
    <mergeCell ref="DXW2:DYA2"/>
    <mergeCell ref="DWD2:DWH2"/>
    <mergeCell ref="DWI2:DWM2"/>
    <mergeCell ref="DWN2:DWR2"/>
    <mergeCell ref="DWS2:DWW2"/>
    <mergeCell ref="DWX2:DXB2"/>
    <mergeCell ref="DVE2:DVI2"/>
    <mergeCell ref="DVJ2:DVN2"/>
    <mergeCell ref="DVO2:DVS2"/>
    <mergeCell ref="DVT2:DVX2"/>
    <mergeCell ref="DVY2:DWC2"/>
    <mergeCell ref="DUF2:DUJ2"/>
    <mergeCell ref="DUK2:DUO2"/>
    <mergeCell ref="DUP2:DUT2"/>
    <mergeCell ref="DUU2:DUY2"/>
    <mergeCell ref="DUZ2:DVD2"/>
    <mergeCell ref="DTG2:DTK2"/>
    <mergeCell ref="DTL2:DTP2"/>
    <mergeCell ref="DTQ2:DTU2"/>
    <mergeCell ref="DTV2:DTZ2"/>
    <mergeCell ref="DUA2:DUE2"/>
    <mergeCell ref="DSH2:DSL2"/>
    <mergeCell ref="DSM2:DSQ2"/>
    <mergeCell ref="DSR2:DSV2"/>
    <mergeCell ref="DSW2:DTA2"/>
    <mergeCell ref="DTB2:DTF2"/>
    <mergeCell ref="DRI2:DRM2"/>
    <mergeCell ref="DRN2:DRR2"/>
    <mergeCell ref="DRS2:DRW2"/>
    <mergeCell ref="DRX2:DSB2"/>
    <mergeCell ref="DSC2:DSG2"/>
    <mergeCell ref="DQJ2:DQN2"/>
    <mergeCell ref="DQO2:DQS2"/>
    <mergeCell ref="DQT2:DQX2"/>
    <mergeCell ref="DQY2:DRC2"/>
    <mergeCell ref="DRD2:DRH2"/>
    <mergeCell ref="DPK2:DPO2"/>
    <mergeCell ref="DPP2:DPT2"/>
    <mergeCell ref="DPU2:DPY2"/>
    <mergeCell ref="DPZ2:DQD2"/>
    <mergeCell ref="DQE2:DQI2"/>
    <mergeCell ref="DOL2:DOP2"/>
    <mergeCell ref="DOQ2:DOU2"/>
    <mergeCell ref="DOV2:DOZ2"/>
    <mergeCell ref="DPA2:DPE2"/>
    <mergeCell ref="DPF2:DPJ2"/>
    <mergeCell ref="DNM2:DNQ2"/>
    <mergeCell ref="DNR2:DNV2"/>
    <mergeCell ref="DNW2:DOA2"/>
    <mergeCell ref="DOB2:DOF2"/>
    <mergeCell ref="DOG2:DOK2"/>
    <mergeCell ref="DMN2:DMR2"/>
    <mergeCell ref="DMS2:DMW2"/>
    <mergeCell ref="DMX2:DNB2"/>
    <mergeCell ref="DNC2:DNG2"/>
    <mergeCell ref="DNH2:DNL2"/>
    <mergeCell ref="DLO2:DLS2"/>
    <mergeCell ref="DLT2:DLX2"/>
    <mergeCell ref="DLY2:DMC2"/>
    <mergeCell ref="DMD2:DMH2"/>
    <mergeCell ref="DMI2:DMM2"/>
    <mergeCell ref="DKP2:DKT2"/>
    <mergeCell ref="DKU2:DKY2"/>
    <mergeCell ref="DKZ2:DLD2"/>
    <mergeCell ref="DLE2:DLI2"/>
    <mergeCell ref="DLJ2:DLN2"/>
    <mergeCell ref="DJQ2:DJU2"/>
    <mergeCell ref="DJV2:DJZ2"/>
    <mergeCell ref="DKA2:DKE2"/>
    <mergeCell ref="DKF2:DKJ2"/>
    <mergeCell ref="DKK2:DKO2"/>
    <mergeCell ref="DIR2:DIV2"/>
    <mergeCell ref="DIW2:DJA2"/>
    <mergeCell ref="DJB2:DJF2"/>
    <mergeCell ref="DJG2:DJK2"/>
    <mergeCell ref="DJL2:DJP2"/>
    <mergeCell ref="DHS2:DHW2"/>
    <mergeCell ref="DHX2:DIB2"/>
    <mergeCell ref="DIC2:DIG2"/>
    <mergeCell ref="DIH2:DIL2"/>
    <mergeCell ref="DIM2:DIQ2"/>
    <mergeCell ref="DGT2:DGX2"/>
    <mergeCell ref="DGY2:DHC2"/>
    <mergeCell ref="DHD2:DHH2"/>
    <mergeCell ref="DHI2:DHM2"/>
    <mergeCell ref="DHN2:DHR2"/>
    <mergeCell ref="DFU2:DFY2"/>
    <mergeCell ref="DFZ2:DGD2"/>
    <mergeCell ref="DGE2:DGI2"/>
    <mergeCell ref="DGJ2:DGN2"/>
    <mergeCell ref="DGO2:DGS2"/>
    <mergeCell ref="DEV2:DEZ2"/>
    <mergeCell ref="DFA2:DFE2"/>
    <mergeCell ref="DFF2:DFJ2"/>
    <mergeCell ref="DFK2:DFO2"/>
    <mergeCell ref="DFP2:DFT2"/>
    <mergeCell ref="DDW2:DEA2"/>
    <mergeCell ref="DEB2:DEF2"/>
    <mergeCell ref="DEG2:DEK2"/>
    <mergeCell ref="DEL2:DEP2"/>
    <mergeCell ref="DEQ2:DEU2"/>
    <mergeCell ref="DCX2:DDB2"/>
    <mergeCell ref="DDC2:DDG2"/>
    <mergeCell ref="DDH2:DDL2"/>
    <mergeCell ref="DDM2:DDQ2"/>
    <mergeCell ref="DDR2:DDV2"/>
    <mergeCell ref="DBY2:DCC2"/>
    <mergeCell ref="DCD2:DCH2"/>
    <mergeCell ref="DCI2:DCM2"/>
    <mergeCell ref="DCN2:DCR2"/>
    <mergeCell ref="DCS2:DCW2"/>
    <mergeCell ref="DAZ2:DBD2"/>
    <mergeCell ref="DBE2:DBI2"/>
    <mergeCell ref="DBJ2:DBN2"/>
    <mergeCell ref="DBO2:DBS2"/>
    <mergeCell ref="DBT2:DBX2"/>
    <mergeCell ref="DAA2:DAE2"/>
    <mergeCell ref="DAF2:DAJ2"/>
    <mergeCell ref="DAK2:DAO2"/>
    <mergeCell ref="DAP2:DAT2"/>
    <mergeCell ref="DAU2:DAY2"/>
    <mergeCell ref="CZB2:CZF2"/>
    <mergeCell ref="CZG2:CZK2"/>
    <mergeCell ref="CZL2:CZP2"/>
    <mergeCell ref="CZQ2:CZU2"/>
    <mergeCell ref="CZV2:CZZ2"/>
    <mergeCell ref="CYC2:CYG2"/>
    <mergeCell ref="CYH2:CYL2"/>
    <mergeCell ref="CYM2:CYQ2"/>
    <mergeCell ref="CYR2:CYV2"/>
    <mergeCell ref="CYW2:CZA2"/>
    <mergeCell ref="CXD2:CXH2"/>
    <mergeCell ref="CXI2:CXM2"/>
    <mergeCell ref="CXN2:CXR2"/>
    <mergeCell ref="CXS2:CXW2"/>
    <mergeCell ref="CXX2:CYB2"/>
    <mergeCell ref="CWE2:CWI2"/>
    <mergeCell ref="CWJ2:CWN2"/>
    <mergeCell ref="CWO2:CWS2"/>
    <mergeCell ref="CWT2:CWX2"/>
    <mergeCell ref="CWY2:CXC2"/>
    <mergeCell ref="CVF2:CVJ2"/>
    <mergeCell ref="CVK2:CVO2"/>
    <mergeCell ref="CVP2:CVT2"/>
    <mergeCell ref="CVU2:CVY2"/>
    <mergeCell ref="CVZ2:CWD2"/>
    <mergeCell ref="CUG2:CUK2"/>
    <mergeCell ref="CUL2:CUP2"/>
    <mergeCell ref="CUQ2:CUU2"/>
    <mergeCell ref="CUV2:CUZ2"/>
    <mergeCell ref="CVA2:CVE2"/>
    <mergeCell ref="CTH2:CTL2"/>
    <mergeCell ref="CTM2:CTQ2"/>
    <mergeCell ref="CTR2:CTV2"/>
    <mergeCell ref="CTW2:CUA2"/>
    <mergeCell ref="CUB2:CUF2"/>
    <mergeCell ref="CSI2:CSM2"/>
    <mergeCell ref="CSN2:CSR2"/>
    <mergeCell ref="CSS2:CSW2"/>
    <mergeCell ref="CSX2:CTB2"/>
    <mergeCell ref="CTC2:CTG2"/>
    <mergeCell ref="CRJ2:CRN2"/>
    <mergeCell ref="CRO2:CRS2"/>
    <mergeCell ref="CRT2:CRX2"/>
    <mergeCell ref="CRY2:CSC2"/>
    <mergeCell ref="CSD2:CSH2"/>
    <mergeCell ref="CQK2:CQO2"/>
    <mergeCell ref="CQP2:CQT2"/>
    <mergeCell ref="CQU2:CQY2"/>
    <mergeCell ref="CQZ2:CRD2"/>
    <mergeCell ref="CRE2:CRI2"/>
    <mergeCell ref="CPL2:CPP2"/>
    <mergeCell ref="CPQ2:CPU2"/>
    <mergeCell ref="CPV2:CPZ2"/>
    <mergeCell ref="CQA2:CQE2"/>
    <mergeCell ref="CQF2:CQJ2"/>
    <mergeCell ref="COM2:COQ2"/>
    <mergeCell ref="COR2:COV2"/>
    <mergeCell ref="COW2:CPA2"/>
    <mergeCell ref="CPB2:CPF2"/>
    <mergeCell ref="CPG2:CPK2"/>
    <mergeCell ref="CNN2:CNR2"/>
    <mergeCell ref="CNS2:CNW2"/>
    <mergeCell ref="CNX2:COB2"/>
    <mergeCell ref="COC2:COG2"/>
    <mergeCell ref="COH2:COL2"/>
    <mergeCell ref="CMO2:CMS2"/>
    <mergeCell ref="CMT2:CMX2"/>
    <mergeCell ref="CMY2:CNC2"/>
    <mergeCell ref="CND2:CNH2"/>
    <mergeCell ref="CNI2:CNM2"/>
    <mergeCell ref="CLP2:CLT2"/>
    <mergeCell ref="CLU2:CLY2"/>
    <mergeCell ref="CLZ2:CMD2"/>
    <mergeCell ref="CME2:CMI2"/>
    <mergeCell ref="CMJ2:CMN2"/>
    <mergeCell ref="CKQ2:CKU2"/>
    <mergeCell ref="CKV2:CKZ2"/>
    <mergeCell ref="CLA2:CLE2"/>
    <mergeCell ref="CLF2:CLJ2"/>
    <mergeCell ref="CLK2:CLO2"/>
    <mergeCell ref="CJR2:CJV2"/>
    <mergeCell ref="CJW2:CKA2"/>
    <mergeCell ref="CKB2:CKF2"/>
    <mergeCell ref="CKG2:CKK2"/>
    <mergeCell ref="CKL2:CKP2"/>
    <mergeCell ref="CIS2:CIW2"/>
    <mergeCell ref="CIX2:CJB2"/>
    <mergeCell ref="CJC2:CJG2"/>
    <mergeCell ref="CJH2:CJL2"/>
    <mergeCell ref="CJM2:CJQ2"/>
    <mergeCell ref="CHT2:CHX2"/>
    <mergeCell ref="CHY2:CIC2"/>
    <mergeCell ref="CID2:CIH2"/>
    <mergeCell ref="CII2:CIM2"/>
    <mergeCell ref="CIN2:CIR2"/>
    <mergeCell ref="CGU2:CGY2"/>
    <mergeCell ref="CGZ2:CHD2"/>
    <mergeCell ref="CHE2:CHI2"/>
    <mergeCell ref="CHJ2:CHN2"/>
    <mergeCell ref="CHO2:CHS2"/>
    <mergeCell ref="CFV2:CFZ2"/>
    <mergeCell ref="CGA2:CGE2"/>
    <mergeCell ref="CGF2:CGJ2"/>
    <mergeCell ref="CGK2:CGO2"/>
    <mergeCell ref="CGP2:CGT2"/>
    <mergeCell ref="CEW2:CFA2"/>
    <mergeCell ref="CFB2:CFF2"/>
    <mergeCell ref="CFG2:CFK2"/>
    <mergeCell ref="CFL2:CFP2"/>
    <mergeCell ref="CFQ2:CFU2"/>
    <mergeCell ref="CDX2:CEB2"/>
    <mergeCell ref="CEC2:CEG2"/>
    <mergeCell ref="CEH2:CEL2"/>
    <mergeCell ref="CEM2:CEQ2"/>
    <mergeCell ref="CER2:CEV2"/>
    <mergeCell ref="CCY2:CDC2"/>
    <mergeCell ref="CDD2:CDH2"/>
    <mergeCell ref="CDI2:CDM2"/>
    <mergeCell ref="CDN2:CDR2"/>
    <mergeCell ref="CDS2:CDW2"/>
    <mergeCell ref="CBZ2:CCD2"/>
    <mergeCell ref="CCE2:CCI2"/>
    <mergeCell ref="CCJ2:CCN2"/>
    <mergeCell ref="CCO2:CCS2"/>
    <mergeCell ref="CCT2:CCX2"/>
    <mergeCell ref="CBA2:CBE2"/>
    <mergeCell ref="CBF2:CBJ2"/>
    <mergeCell ref="CBK2:CBO2"/>
    <mergeCell ref="CBP2:CBT2"/>
    <mergeCell ref="CBU2:CBY2"/>
    <mergeCell ref="CAB2:CAF2"/>
    <mergeCell ref="CAG2:CAK2"/>
    <mergeCell ref="CAL2:CAP2"/>
    <mergeCell ref="CAQ2:CAU2"/>
    <mergeCell ref="CAV2:CAZ2"/>
    <mergeCell ref="BZC2:BZG2"/>
    <mergeCell ref="BZH2:BZL2"/>
    <mergeCell ref="BZM2:BZQ2"/>
    <mergeCell ref="BZR2:BZV2"/>
    <mergeCell ref="BZW2:CAA2"/>
    <mergeCell ref="BYD2:BYH2"/>
    <mergeCell ref="BYI2:BYM2"/>
    <mergeCell ref="BYN2:BYR2"/>
    <mergeCell ref="BYS2:BYW2"/>
    <mergeCell ref="BYX2:BZB2"/>
    <mergeCell ref="BXE2:BXI2"/>
    <mergeCell ref="BXJ2:BXN2"/>
    <mergeCell ref="BXO2:BXS2"/>
    <mergeCell ref="BXT2:BXX2"/>
    <mergeCell ref="BXY2:BYC2"/>
    <mergeCell ref="BWF2:BWJ2"/>
    <mergeCell ref="BWK2:BWO2"/>
    <mergeCell ref="BWP2:BWT2"/>
    <mergeCell ref="BWU2:BWY2"/>
    <mergeCell ref="BWZ2:BXD2"/>
    <mergeCell ref="BVG2:BVK2"/>
    <mergeCell ref="BVL2:BVP2"/>
    <mergeCell ref="BVQ2:BVU2"/>
    <mergeCell ref="BVV2:BVZ2"/>
    <mergeCell ref="BWA2:BWE2"/>
    <mergeCell ref="BUH2:BUL2"/>
    <mergeCell ref="BUM2:BUQ2"/>
    <mergeCell ref="BUR2:BUV2"/>
    <mergeCell ref="BUW2:BVA2"/>
    <mergeCell ref="BVB2:BVF2"/>
    <mergeCell ref="BTI2:BTM2"/>
    <mergeCell ref="BTN2:BTR2"/>
    <mergeCell ref="BTS2:BTW2"/>
    <mergeCell ref="BTX2:BUB2"/>
    <mergeCell ref="BUC2:BUG2"/>
    <mergeCell ref="BSJ2:BSN2"/>
    <mergeCell ref="BSO2:BSS2"/>
    <mergeCell ref="BST2:BSX2"/>
    <mergeCell ref="BSY2:BTC2"/>
    <mergeCell ref="BTD2:BTH2"/>
    <mergeCell ref="BRK2:BRO2"/>
    <mergeCell ref="BRP2:BRT2"/>
    <mergeCell ref="BRU2:BRY2"/>
    <mergeCell ref="BRZ2:BSD2"/>
    <mergeCell ref="BSE2:BSI2"/>
    <mergeCell ref="BQL2:BQP2"/>
    <mergeCell ref="BQQ2:BQU2"/>
    <mergeCell ref="BQV2:BQZ2"/>
    <mergeCell ref="BRA2:BRE2"/>
    <mergeCell ref="BRF2:BRJ2"/>
    <mergeCell ref="BPM2:BPQ2"/>
    <mergeCell ref="BPR2:BPV2"/>
    <mergeCell ref="BPW2:BQA2"/>
    <mergeCell ref="BQB2:BQF2"/>
    <mergeCell ref="BQG2:BQK2"/>
    <mergeCell ref="BON2:BOR2"/>
    <mergeCell ref="BOS2:BOW2"/>
    <mergeCell ref="BOX2:BPB2"/>
    <mergeCell ref="BPC2:BPG2"/>
    <mergeCell ref="BPH2:BPL2"/>
    <mergeCell ref="BNO2:BNS2"/>
    <mergeCell ref="BNT2:BNX2"/>
    <mergeCell ref="BNY2:BOC2"/>
    <mergeCell ref="BOD2:BOH2"/>
    <mergeCell ref="BOI2:BOM2"/>
    <mergeCell ref="BMP2:BMT2"/>
    <mergeCell ref="BMU2:BMY2"/>
    <mergeCell ref="BMZ2:BND2"/>
    <mergeCell ref="BNE2:BNI2"/>
    <mergeCell ref="BNJ2:BNN2"/>
    <mergeCell ref="BLQ2:BLU2"/>
    <mergeCell ref="BLV2:BLZ2"/>
    <mergeCell ref="BMA2:BME2"/>
    <mergeCell ref="BMF2:BMJ2"/>
    <mergeCell ref="BMK2:BMO2"/>
    <mergeCell ref="BKR2:BKV2"/>
    <mergeCell ref="BKW2:BLA2"/>
    <mergeCell ref="BLB2:BLF2"/>
    <mergeCell ref="BLG2:BLK2"/>
    <mergeCell ref="BLL2:BLP2"/>
    <mergeCell ref="BJS2:BJW2"/>
    <mergeCell ref="BJX2:BKB2"/>
    <mergeCell ref="BKC2:BKG2"/>
    <mergeCell ref="BKH2:BKL2"/>
    <mergeCell ref="BKM2:BKQ2"/>
    <mergeCell ref="BIT2:BIX2"/>
    <mergeCell ref="BIY2:BJC2"/>
    <mergeCell ref="BJD2:BJH2"/>
    <mergeCell ref="BJI2:BJM2"/>
    <mergeCell ref="BJN2:BJR2"/>
    <mergeCell ref="BHU2:BHY2"/>
    <mergeCell ref="BHZ2:BID2"/>
    <mergeCell ref="BIE2:BII2"/>
    <mergeCell ref="BIJ2:BIN2"/>
    <mergeCell ref="BIO2:BIS2"/>
    <mergeCell ref="BGV2:BGZ2"/>
    <mergeCell ref="BHA2:BHE2"/>
    <mergeCell ref="BHF2:BHJ2"/>
    <mergeCell ref="BHK2:BHO2"/>
    <mergeCell ref="BHP2:BHT2"/>
    <mergeCell ref="BFW2:BGA2"/>
    <mergeCell ref="BGB2:BGF2"/>
    <mergeCell ref="BGG2:BGK2"/>
    <mergeCell ref="BGL2:BGP2"/>
    <mergeCell ref="BGQ2:BGU2"/>
    <mergeCell ref="BEX2:BFB2"/>
    <mergeCell ref="BFC2:BFG2"/>
    <mergeCell ref="BFH2:BFL2"/>
    <mergeCell ref="BFM2:BFQ2"/>
    <mergeCell ref="BFR2:BFV2"/>
    <mergeCell ref="BDY2:BEC2"/>
    <mergeCell ref="BED2:BEH2"/>
    <mergeCell ref="BEI2:BEM2"/>
    <mergeCell ref="BEN2:BER2"/>
    <mergeCell ref="BES2:BEW2"/>
    <mergeCell ref="BCZ2:BDD2"/>
    <mergeCell ref="BDE2:BDI2"/>
    <mergeCell ref="BDJ2:BDN2"/>
    <mergeCell ref="BDO2:BDS2"/>
    <mergeCell ref="BDT2:BDX2"/>
    <mergeCell ref="BCA2:BCE2"/>
    <mergeCell ref="BCF2:BCJ2"/>
    <mergeCell ref="BCK2:BCO2"/>
    <mergeCell ref="BCP2:BCT2"/>
    <mergeCell ref="BCU2:BCY2"/>
    <mergeCell ref="BBB2:BBF2"/>
    <mergeCell ref="BBG2:BBK2"/>
    <mergeCell ref="BBL2:BBP2"/>
    <mergeCell ref="BBQ2:BBU2"/>
    <mergeCell ref="BBV2:BBZ2"/>
    <mergeCell ref="BAC2:BAG2"/>
    <mergeCell ref="BAH2:BAL2"/>
    <mergeCell ref="BAM2:BAQ2"/>
    <mergeCell ref="BAR2:BAV2"/>
    <mergeCell ref="BAW2:BBA2"/>
    <mergeCell ref="AZD2:AZH2"/>
    <mergeCell ref="AZI2:AZM2"/>
    <mergeCell ref="AZN2:AZR2"/>
    <mergeCell ref="AZS2:AZW2"/>
    <mergeCell ref="AZX2:BAB2"/>
    <mergeCell ref="AYE2:AYI2"/>
    <mergeCell ref="AYJ2:AYN2"/>
    <mergeCell ref="AYO2:AYS2"/>
    <mergeCell ref="AYT2:AYX2"/>
    <mergeCell ref="AYY2:AZC2"/>
    <mergeCell ref="AXF2:AXJ2"/>
    <mergeCell ref="AXK2:AXO2"/>
    <mergeCell ref="AXP2:AXT2"/>
    <mergeCell ref="AXU2:AXY2"/>
    <mergeCell ref="AXZ2:AYD2"/>
    <mergeCell ref="AWG2:AWK2"/>
    <mergeCell ref="AWL2:AWP2"/>
    <mergeCell ref="AWQ2:AWU2"/>
    <mergeCell ref="AWV2:AWZ2"/>
    <mergeCell ref="AXA2:AXE2"/>
    <mergeCell ref="AVH2:AVL2"/>
    <mergeCell ref="AVM2:AVQ2"/>
    <mergeCell ref="AVR2:AVV2"/>
    <mergeCell ref="AVW2:AWA2"/>
    <mergeCell ref="AWB2:AWF2"/>
    <mergeCell ref="AUI2:AUM2"/>
    <mergeCell ref="AUN2:AUR2"/>
    <mergeCell ref="AUS2:AUW2"/>
    <mergeCell ref="AUX2:AVB2"/>
    <mergeCell ref="AVC2:AVG2"/>
    <mergeCell ref="ATJ2:ATN2"/>
    <mergeCell ref="ATO2:ATS2"/>
    <mergeCell ref="ATT2:ATX2"/>
    <mergeCell ref="ATY2:AUC2"/>
    <mergeCell ref="AUD2:AUH2"/>
    <mergeCell ref="ASK2:ASO2"/>
    <mergeCell ref="ASP2:AST2"/>
    <mergeCell ref="ASU2:ASY2"/>
    <mergeCell ref="ASZ2:ATD2"/>
    <mergeCell ref="ATE2:ATI2"/>
    <mergeCell ref="ARL2:ARP2"/>
    <mergeCell ref="ARQ2:ARU2"/>
    <mergeCell ref="ARV2:ARZ2"/>
    <mergeCell ref="ASA2:ASE2"/>
    <mergeCell ref="ASF2:ASJ2"/>
    <mergeCell ref="AQM2:AQQ2"/>
    <mergeCell ref="AQR2:AQV2"/>
    <mergeCell ref="AQW2:ARA2"/>
    <mergeCell ref="ARB2:ARF2"/>
    <mergeCell ref="ARG2:ARK2"/>
    <mergeCell ref="APN2:APR2"/>
    <mergeCell ref="APS2:APW2"/>
    <mergeCell ref="APX2:AQB2"/>
    <mergeCell ref="AQC2:AQG2"/>
    <mergeCell ref="AQH2:AQL2"/>
    <mergeCell ref="AOO2:AOS2"/>
    <mergeCell ref="AOT2:AOX2"/>
    <mergeCell ref="AOY2:APC2"/>
    <mergeCell ref="APD2:APH2"/>
    <mergeCell ref="API2:APM2"/>
    <mergeCell ref="ANP2:ANT2"/>
    <mergeCell ref="ANU2:ANY2"/>
    <mergeCell ref="ANZ2:AOD2"/>
    <mergeCell ref="AOE2:AOI2"/>
    <mergeCell ref="AOJ2:AON2"/>
    <mergeCell ref="AMQ2:AMU2"/>
    <mergeCell ref="AMV2:AMZ2"/>
    <mergeCell ref="ANA2:ANE2"/>
    <mergeCell ref="ANF2:ANJ2"/>
    <mergeCell ref="ANK2:ANO2"/>
    <mergeCell ref="ALR2:ALV2"/>
    <mergeCell ref="ALW2:AMA2"/>
    <mergeCell ref="AMB2:AMF2"/>
    <mergeCell ref="AMG2:AMK2"/>
    <mergeCell ref="AML2:AMP2"/>
    <mergeCell ref="AKS2:AKW2"/>
    <mergeCell ref="AKX2:ALB2"/>
    <mergeCell ref="ALC2:ALG2"/>
    <mergeCell ref="ALH2:ALL2"/>
    <mergeCell ref="ALM2:ALQ2"/>
    <mergeCell ref="AJT2:AJX2"/>
    <mergeCell ref="AJY2:AKC2"/>
    <mergeCell ref="AKD2:AKH2"/>
    <mergeCell ref="AKI2:AKM2"/>
    <mergeCell ref="AKN2:AKR2"/>
    <mergeCell ref="AIU2:AIY2"/>
    <mergeCell ref="AIZ2:AJD2"/>
    <mergeCell ref="AJE2:AJI2"/>
    <mergeCell ref="AJJ2:AJN2"/>
    <mergeCell ref="AJO2:AJS2"/>
    <mergeCell ref="AHV2:AHZ2"/>
    <mergeCell ref="AIA2:AIE2"/>
    <mergeCell ref="AIF2:AIJ2"/>
    <mergeCell ref="AIK2:AIO2"/>
    <mergeCell ref="AIP2:AIT2"/>
    <mergeCell ref="AGW2:AHA2"/>
    <mergeCell ref="AHB2:AHF2"/>
    <mergeCell ref="AHG2:AHK2"/>
    <mergeCell ref="AHL2:AHP2"/>
    <mergeCell ref="AHQ2:AHU2"/>
    <mergeCell ref="AFX2:AGB2"/>
    <mergeCell ref="AGC2:AGG2"/>
    <mergeCell ref="AGH2:AGL2"/>
    <mergeCell ref="AGM2:AGQ2"/>
    <mergeCell ref="AGR2:AGV2"/>
    <mergeCell ref="AEY2:AFC2"/>
    <mergeCell ref="AFD2:AFH2"/>
    <mergeCell ref="AFI2:AFM2"/>
    <mergeCell ref="AFN2:AFR2"/>
    <mergeCell ref="AFS2:AFW2"/>
    <mergeCell ref="ADZ2:AED2"/>
    <mergeCell ref="AEE2:AEI2"/>
    <mergeCell ref="AEJ2:AEN2"/>
    <mergeCell ref="AEO2:AES2"/>
    <mergeCell ref="AET2:AEX2"/>
    <mergeCell ref="ADA2:ADE2"/>
    <mergeCell ref="ADF2:ADJ2"/>
    <mergeCell ref="ADK2:ADO2"/>
    <mergeCell ref="ADP2:ADT2"/>
    <mergeCell ref="ADU2:ADY2"/>
    <mergeCell ref="ACB2:ACF2"/>
    <mergeCell ref="ACG2:ACK2"/>
    <mergeCell ref="ACL2:ACP2"/>
    <mergeCell ref="ACQ2:ACU2"/>
    <mergeCell ref="ACV2:ACZ2"/>
    <mergeCell ref="ABC2:ABG2"/>
    <mergeCell ref="ABH2:ABL2"/>
    <mergeCell ref="ABM2:ABQ2"/>
    <mergeCell ref="ABR2:ABV2"/>
    <mergeCell ref="ABW2:ACA2"/>
    <mergeCell ref="AAD2:AAH2"/>
    <mergeCell ref="AAI2:AAM2"/>
    <mergeCell ref="AAN2:AAR2"/>
    <mergeCell ref="AAS2:AAW2"/>
    <mergeCell ref="AAX2:ABB2"/>
    <mergeCell ref="ZE2:ZI2"/>
    <mergeCell ref="ZJ2:ZN2"/>
    <mergeCell ref="ZO2:ZS2"/>
    <mergeCell ref="ZT2:ZX2"/>
    <mergeCell ref="ZY2:AAC2"/>
    <mergeCell ref="YF2:YJ2"/>
    <mergeCell ref="YK2:YO2"/>
    <mergeCell ref="YP2:YT2"/>
    <mergeCell ref="YU2:YY2"/>
    <mergeCell ref="YZ2:ZD2"/>
    <mergeCell ref="XG2:XK2"/>
    <mergeCell ref="XL2:XP2"/>
    <mergeCell ref="XQ2:XU2"/>
    <mergeCell ref="XV2:XZ2"/>
    <mergeCell ref="YA2:YE2"/>
    <mergeCell ref="WH2:WL2"/>
    <mergeCell ref="WM2:WQ2"/>
    <mergeCell ref="WR2:WV2"/>
    <mergeCell ref="WW2:XA2"/>
    <mergeCell ref="XB2:XF2"/>
    <mergeCell ref="VI2:VM2"/>
    <mergeCell ref="VN2:VR2"/>
    <mergeCell ref="VS2:VW2"/>
    <mergeCell ref="VX2:WB2"/>
    <mergeCell ref="WC2:WG2"/>
    <mergeCell ref="UJ2:UN2"/>
    <mergeCell ref="UO2:US2"/>
    <mergeCell ref="UT2:UX2"/>
    <mergeCell ref="UY2:VC2"/>
    <mergeCell ref="VD2:VH2"/>
    <mergeCell ref="TK2:TO2"/>
    <mergeCell ref="TP2:TT2"/>
    <mergeCell ref="TU2:TY2"/>
    <mergeCell ref="TZ2:UD2"/>
    <mergeCell ref="UE2:UI2"/>
    <mergeCell ref="SL2:SP2"/>
    <mergeCell ref="SQ2:SU2"/>
    <mergeCell ref="SV2:SZ2"/>
    <mergeCell ref="TA2:TE2"/>
    <mergeCell ref="TF2:TJ2"/>
    <mergeCell ref="RM2:RQ2"/>
    <mergeCell ref="RR2:RV2"/>
    <mergeCell ref="RW2:SA2"/>
    <mergeCell ref="SB2:SF2"/>
    <mergeCell ref="SG2:SK2"/>
    <mergeCell ref="QN2:QR2"/>
    <mergeCell ref="QS2:QW2"/>
    <mergeCell ref="QX2:RB2"/>
    <mergeCell ref="RC2:RG2"/>
    <mergeCell ref="RH2:RL2"/>
    <mergeCell ref="PO2:PS2"/>
    <mergeCell ref="PT2:PX2"/>
    <mergeCell ref="PY2:QC2"/>
    <mergeCell ref="QD2:QH2"/>
    <mergeCell ref="QI2:QM2"/>
    <mergeCell ref="OP2:OT2"/>
    <mergeCell ref="OU2:OY2"/>
    <mergeCell ref="OZ2:PD2"/>
    <mergeCell ref="PE2:PI2"/>
    <mergeCell ref="PJ2:PN2"/>
    <mergeCell ref="NQ2:NU2"/>
    <mergeCell ref="NV2:NZ2"/>
    <mergeCell ref="OA2:OE2"/>
    <mergeCell ref="OF2:OJ2"/>
    <mergeCell ref="OK2:OO2"/>
    <mergeCell ref="MR2:MV2"/>
    <mergeCell ref="MW2:NA2"/>
    <mergeCell ref="NB2:NF2"/>
    <mergeCell ref="NG2:NK2"/>
    <mergeCell ref="NL2:NP2"/>
    <mergeCell ref="XFA1:XFD1"/>
    <mergeCell ref="P2:T2"/>
    <mergeCell ref="U2:Y2"/>
    <mergeCell ref="Z2:AD2"/>
    <mergeCell ref="AE2:AI2"/>
    <mergeCell ref="AJ2:AN2"/>
    <mergeCell ref="AO2:AS2"/>
    <mergeCell ref="AT2:AX2"/>
    <mergeCell ref="AY2:BC2"/>
    <mergeCell ref="BD2:BH2"/>
    <mergeCell ref="BI2:BM2"/>
    <mergeCell ref="BN2:BR2"/>
    <mergeCell ref="BS2:BW2"/>
    <mergeCell ref="BX2:CB2"/>
    <mergeCell ref="XEB1:XEF1"/>
    <mergeCell ref="XEG1:XEK1"/>
    <mergeCell ref="XEL1:XEP1"/>
    <mergeCell ref="XEQ1:XEU1"/>
    <mergeCell ref="XEV1:XEZ1"/>
    <mergeCell ref="XDC1:XDG1"/>
    <mergeCell ref="XDH1:XDL1"/>
    <mergeCell ref="XDM1:XDQ1"/>
    <mergeCell ref="XDR1:XDV1"/>
    <mergeCell ref="XDW1:XEA1"/>
    <mergeCell ref="XCD1:XCH1"/>
    <mergeCell ref="XCI1:XCM1"/>
    <mergeCell ref="XCN1:XCR1"/>
    <mergeCell ref="XCS1:XCW1"/>
    <mergeCell ref="XCX1:XDB1"/>
    <mergeCell ref="XBE1:XBI1"/>
    <mergeCell ref="XBJ1:XBN1"/>
    <mergeCell ref="XBO1:XBS1"/>
    <mergeCell ref="XBT1:XBX1"/>
    <mergeCell ref="XBY1:XCC1"/>
    <mergeCell ref="XAF1:XAJ1"/>
    <mergeCell ref="XAK1:XAO1"/>
    <mergeCell ref="XAP1:XAT1"/>
    <mergeCell ref="XAU1:XAY1"/>
    <mergeCell ref="XAZ1:XBD1"/>
    <mergeCell ref="WZG1:WZK1"/>
    <mergeCell ref="WZL1:WZP1"/>
    <mergeCell ref="WZQ1:WZU1"/>
    <mergeCell ref="LS2:LW2"/>
    <mergeCell ref="LX2:MB2"/>
    <mergeCell ref="MC2:MG2"/>
    <mergeCell ref="MH2:ML2"/>
    <mergeCell ref="MM2:MQ2"/>
    <mergeCell ref="KT2:KX2"/>
    <mergeCell ref="KY2:LC2"/>
    <mergeCell ref="LD2:LH2"/>
    <mergeCell ref="LI2:LM2"/>
    <mergeCell ref="LN2:LR2"/>
    <mergeCell ref="JU2:JY2"/>
    <mergeCell ref="JZ2:KD2"/>
    <mergeCell ref="KE2:KI2"/>
    <mergeCell ref="KJ2:KN2"/>
    <mergeCell ref="KO2:KS2"/>
    <mergeCell ref="IV2:IZ2"/>
    <mergeCell ref="JA2:JE2"/>
    <mergeCell ref="JF2:JJ2"/>
    <mergeCell ref="JK2:JO2"/>
    <mergeCell ref="JP2:JT2"/>
    <mergeCell ref="HW2:IA2"/>
    <mergeCell ref="WZV1:WZZ1"/>
    <mergeCell ref="XAA1:XAE1"/>
    <mergeCell ref="WYH1:WYL1"/>
    <mergeCell ref="WYM1:WYQ1"/>
    <mergeCell ref="WYR1:WYV1"/>
    <mergeCell ref="WYW1:WZA1"/>
    <mergeCell ref="WZB1:WZF1"/>
    <mergeCell ref="WXI1:WXM1"/>
    <mergeCell ref="WXN1:WXR1"/>
    <mergeCell ref="WXS1:WXW1"/>
    <mergeCell ref="WXX1:WYB1"/>
    <mergeCell ref="WYC1:WYG1"/>
    <mergeCell ref="WWJ1:WWN1"/>
    <mergeCell ref="WWO1:WWS1"/>
    <mergeCell ref="WWT1:WWX1"/>
    <mergeCell ref="WWY1:WXC1"/>
    <mergeCell ref="WXD1:WXH1"/>
    <mergeCell ref="WVK1:WVO1"/>
    <mergeCell ref="WVP1:WVT1"/>
    <mergeCell ref="WVU1:WVY1"/>
    <mergeCell ref="WVZ1:WWD1"/>
    <mergeCell ref="WWE1:WWI1"/>
    <mergeCell ref="WUL1:WUP1"/>
    <mergeCell ref="WUQ1:WUU1"/>
    <mergeCell ref="WUV1:WUZ1"/>
    <mergeCell ref="WVA1:WVE1"/>
    <mergeCell ref="WVF1:WVJ1"/>
    <mergeCell ref="WTM1:WTQ1"/>
    <mergeCell ref="WTR1:WTV1"/>
    <mergeCell ref="WTW1:WUA1"/>
    <mergeCell ref="WUB1:WUF1"/>
    <mergeCell ref="WUG1:WUK1"/>
    <mergeCell ref="WSN1:WSR1"/>
    <mergeCell ref="WSS1:WSW1"/>
    <mergeCell ref="WSX1:WTB1"/>
    <mergeCell ref="WTC1:WTG1"/>
    <mergeCell ref="WTH1:WTL1"/>
    <mergeCell ref="WRO1:WRS1"/>
    <mergeCell ref="WRT1:WRX1"/>
    <mergeCell ref="WRY1:WSC1"/>
    <mergeCell ref="WSD1:WSH1"/>
    <mergeCell ref="WSI1:WSM1"/>
    <mergeCell ref="WQP1:WQT1"/>
    <mergeCell ref="WQU1:WQY1"/>
    <mergeCell ref="WQZ1:WRD1"/>
    <mergeCell ref="WRE1:WRI1"/>
    <mergeCell ref="WRJ1:WRN1"/>
    <mergeCell ref="WPQ1:WPU1"/>
    <mergeCell ref="WPV1:WPZ1"/>
    <mergeCell ref="WQA1:WQE1"/>
    <mergeCell ref="WQF1:WQJ1"/>
    <mergeCell ref="WQK1:WQO1"/>
    <mergeCell ref="WOR1:WOV1"/>
    <mergeCell ref="WOW1:WPA1"/>
    <mergeCell ref="WPB1:WPF1"/>
    <mergeCell ref="WPG1:WPK1"/>
    <mergeCell ref="WPL1:WPP1"/>
    <mergeCell ref="WNS1:WNW1"/>
    <mergeCell ref="WNX1:WOB1"/>
    <mergeCell ref="WOC1:WOG1"/>
    <mergeCell ref="WOH1:WOL1"/>
    <mergeCell ref="WOM1:WOQ1"/>
    <mergeCell ref="WMT1:WMX1"/>
    <mergeCell ref="WMY1:WNC1"/>
    <mergeCell ref="WND1:WNH1"/>
    <mergeCell ref="WNI1:WNM1"/>
    <mergeCell ref="WNN1:WNR1"/>
    <mergeCell ref="WLU1:WLY1"/>
    <mergeCell ref="WLZ1:WMD1"/>
    <mergeCell ref="WME1:WMI1"/>
    <mergeCell ref="WMJ1:WMN1"/>
    <mergeCell ref="WMO1:WMS1"/>
    <mergeCell ref="WKV1:WKZ1"/>
    <mergeCell ref="WLA1:WLE1"/>
    <mergeCell ref="WLF1:WLJ1"/>
    <mergeCell ref="WLK1:WLO1"/>
    <mergeCell ref="WLP1:WLT1"/>
    <mergeCell ref="WJW1:WKA1"/>
    <mergeCell ref="WKB1:WKF1"/>
    <mergeCell ref="WKG1:WKK1"/>
    <mergeCell ref="WKL1:WKP1"/>
    <mergeCell ref="WKQ1:WKU1"/>
    <mergeCell ref="WIX1:WJB1"/>
    <mergeCell ref="WJC1:WJG1"/>
    <mergeCell ref="WJH1:WJL1"/>
    <mergeCell ref="WJM1:WJQ1"/>
    <mergeCell ref="WJR1:WJV1"/>
    <mergeCell ref="WHY1:WIC1"/>
    <mergeCell ref="WID1:WIH1"/>
    <mergeCell ref="WII1:WIM1"/>
    <mergeCell ref="WIN1:WIR1"/>
    <mergeCell ref="WIS1:WIW1"/>
    <mergeCell ref="WGZ1:WHD1"/>
    <mergeCell ref="WHE1:WHI1"/>
    <mergeCell ref="WHJ1:WHN1"/>
    <mergeCell ref="WHO1:WHS1"/>
    <mergeCell ref="WHT1:WHX1"/>
    <mergeCell ref="WGA1:WGE1"/>
    <mergeCell ref="WGF1:WGJ1"/>
    <mergeCell ref="WGK1:WGO1"/>
    <mergeCell ref="WGP1:WGT1"/>
    <mergeCell ref="WGU1:WGY1"/>
    <mergeCell ref="WFB1:WFF1"/>
    <mergeCell ref="WFG1:WFK1"/>
    <mergeCell ref="WFL1:WFP1"/>
    <mergeCell ref="WFQ1:WFU1"/>
    <mergeCell ref="WFV1:WFZ1"/>
    <mergeCell ref="WEC1:WEG1"/>
    <mergeCell ref="WEH1:WEL1"/>
    <mergeCell ref="WEM1:WEQ1"/>
    <mergeCell ref="WER1:WEV1"/>
    <mergeCell ref="WEW1:WFA1"/>
    <mergeCell ref="WDD1:WDH1"/>
    <mergeCell ref="WDI1:WDM1"/>
    <mergeCell ref="WDN1:WDR1"/>
    <mergeCell ref="WDS1:WDW1"/>
    <mergeCell ref="WDX1:WEB1"/>
    <mergeCell ref="WCE1:WCI1"/>
    <mergeCell ref="WCJ1:WCN1"/>
    <mergeCell ref="WCO1:WCS1"/>
    <mergeCell ref="WCT1:WCX1"/>
    <mergeCell ref="WCY1:WDC1"/>
    <mergeCell ref="WBF1:WBJ1"/>
    <mergeCell ref="WBK1:WBO1"/>
    <mergeCell ref="WBP1:WBT1"/>
    <mergeCell ref="WBU1:WBY1"/>
    <mergeCell ref="WBZ1:WCD1"/>
    <mergeCell ref="WAG1:WAK1"/>
    <mergeCell ref="WAL1:WAP1"/>
    <mergeCell ref="WAQ1:WAU1"/>
    <mergeCell ref="WAV1:WAZ1"/>
    <mergeCell ref="WBA1:WBE1"/>
    <mergeCell ref="VZH1:VZL1"/>
    <mergeCell ref="VZM1:VZQ1"/>
    <mergeCell ref="VZR1:VZV1"/>
    <mergeCell ref="VZW1:WAA1"/>
    <mergeCell ref="WAB1:WAF1"/>
    <mergeCell ref="VYI1:VYM1"/>
    <mergeCell ref="VYN1:VYR1"/>
    <mergeCell ref="VYS1:VYW1"/>
    <mergeCell ref="VYX1:VZB1"/>
    <mergeCell ref="VZC1:VZG1"/>
    <mergeCell ref="VXJ1:VXN1"/>
    <mergeCell ref="VXO1:VXS1"/>
    <mergeCell ref="VXT1:VXX1"/>
    <mergeCell ref="VXY1:VYC1"/>
    <mergeCell ref="VYD1:VYH1"/>
    <mergeCell ref="VWK1:VWO1"/>
    <mergeCell ref="VWP1:VWT1"/>
    <mergeCell ref="VWU1:VWY1"/>
    <mergeCell ref="VWZ1:VXD1"/>
    <mergeCell ref="VXE1:VXI1"/>
    <mergeCell ref="VVL1:VVP1"/>
    <mergeCell ref="VVQ1:VVU1"/>
    <mergeCell ref="VVV1:VVZ1"/>
    <mergeCell ref="VWA1:VWE1"/>
    <mergeCell ref="VWF1:VWJ1"/>
    <mergeCell ref="VUM1:VUQ1"/>
    <mergeCell ref="VUR1:VUV1"/>
    <mergeCell ref="VUW1:VVA1"/>
    <mergeCell ref="VVB1:VVF1"/>
    <mergeCell ref="VVG1:VVK1"/>
    <mergeCell ref="VTN1:VTR1"/>
    <mergeCell ref="VTS1:VTW1"/>
    <mergeCell ref="VTX1:VUB1"/>
    <mergeCell ref="VUC1:VUG1"/>
    <mergeCell ref="VUH1:VUL1"/>
    <mergeCell ref="VSO1:VSS1"/>
    <mergeCell ref="VST1:VSX1"/>
    <mergeCell ref="VSY1:VTC1"/>
    <mergeCell ref="VTD1:VTH1"/>
    <mergeCell ref="VTI1:VTM1"/>
    <mergeCell ref="VRP1:VRT1"/>
    <mergeCell ref="VRU1:VRY1"/>
    <mergeCell ref="VRZ1:VSD1"/>
    <mergeCell ref="VSE1:VSI1"/>
    <mergeCell ref="VSJ1:VSN1"/>
    <mergeCell ref="VQQ1:VQU1"/>
    <mergeCell ref="VQV1:VQZ1"/>
    <mergeCell ref="VRA1:VRE1"/>
    <mergeCell ref="VRF1:VRJ1"/>
    <mergeCell ref="VRK1:VRO1"/>
    <mergeCell ref="VPR1:VPV1"/>
    <mergeCell ref="VPW1:VQA1"/>
    <mergeCell ref="VQB1:VQF1"/>
    <mergeCell ref="VQG1:VQK1"/>
    <mergeCell ref="VQL1:VQP1"/>
    <mergeCell ref="VOS1:VOW1"/>
    <mergeCell ref="VOX1:VPB1"/>
    <mergeCell ref="VPC1:VPG1"/>
    <mergeCell ref="VPH1:VPL1"/>
    <mergeCell ref="VPM1:VPQ1"/>
    <mergeCell ref="VNT1:VNX1"/>
    <mergeCell ref="VNY1:VOC1"/>
    <mergeCell ref="VOD1:VOH1"/>
    <mergeCell ref="VOI1:VOM1"/>
    <mergeCell ref="VON1:VOR1"/>
    <mergeCell ref="VMU1:VMY1"/>
    <mergeCell ref="VMZ1:VND1"/>
    <mergeCell ref="VNE1:VNI1"/>
    <mergeCell ref="VNJ1:VNN1"/>
    <mergeCell ref="VNO1:VNS1"/>
    <mergeCell ref="VLV1:VLZ1"/>
    <mergeCell ref="VMA1:VME1"/>
    <mergeCell ref="VMF1:VMJ1"/>
    <mergeCell ref="VMK1:VMO1"/>
    <mergeCell ref="VMP1:VMT1"/>
    <mergeCell ref="VKW1:VLA1"/>
    <mergeCell ref="VLB1:VLF1"/>
    <mergeCell ref="VLG1:VLK1"/>
    <mergeCell ref="VLL1:VLP1"/>
    <mergeCell ref="VLQ1:VLU1"/>
    <mergeCell ref="VJX1:VKB1"/>
    <mergeCell ref="VKC1:VKG1"/>
    <mergeCell ref="VKH1:VKL1"/>
    <mergeCell ref="VKM1:VKQ1"/>
    <mergeCell ref="VKR1:VKV1"/>
    <mergeCell ref="VIY1:VJC1"/>
    <mergeCell ref="VJD1:VJH1"/>
    <mergeCell ref="VJI1:VJM1"/>
    <mergeCell ref="VJN1:VJR1"/>
    <mergeCell ref="VJS1:VJW1"/>
    <mergeCell ref="VHZ1:VID1"/>
    <mergeCell ref="VIE1:VII1"/>
    <mergeCell ref="VIJ1:VIN1"/>
    <mergeCell ref="VIO1:VIS1"/>
    <mergeCell ref="VIT1:VIX1"/>
    <mergeCell ref="VHA1:VHE1"/>
    <mergeCell ref="VHF1:VHJ1"/>
    <mergeCell ref="VHK1:VHO1"/>
    <mergeCell ref="VHP1:VHT1"/>
    <mergeCell ref="VHU1:VHY1"/>
    <mergeCell ref="VGB1:VGF1"/>
    <mergeCell ref="VGG1:VGK1"/>
    <mergeCell ref="VGL1:VGP1"/>
    <mergeCell ref="VGQ1:VGU1"/>
    <mergeCell ref="VGV1:VGZ1"/>
    <mergeCell ref="VFC1:VFG1"/>
    <mergeCell ref="VFH1:VFL1"/>
    <mergeCell ref="VFM1:VFQ1"/>
    <mergeCell ref="VFR1:VFV1"/>
    <mergeCell ref="VFW1:VGA1"/>
    <mergeCell ref="VED1:VEH1"/>
    <mergeCell ref="VEI1:VEM1"/>
    <mergeCell ref="VEN1:VER1"/>
    <mergeCell ref="VES1:VEW1"/>
    <mergeCell ref="VEX1:VFB1"/>
    <mergeCell ref="VDE1:VDI1"/>
    <mergeCell ref="VDJ1:VDN1"/>
    <mergeCell ref="VDO1:VDS1"/>
    <mergeCell ref="VDT1:VDX1"/>
    <mergeCell ref="VDY1:VEC1"/>
    <mergeCell ref="VCF1:VCJ1"/>
    <mergeCell ref="VCK1:VCO1"/>
    <mergeCell ref="VCP1:VCT1"/>
    <mergeCell ref="VCU1:VCY1"/>
    <mergeCell ref="VCZ1:VDD1"/>
    <mergeCell ref="VBG1:VBK1"/>
    <mergeCell ref="VBL1:VBP1"/>
    <mergeCell ref="VBQ1:VBU1"/>
    <mergeCell ref="VBV1:VBZ1"/>
    <mergeCell ref="VCA1:VCE1"/>
    <mergeCell ref="VAH1:VAL1"/>
    <mergeCell ref="VAM1:VAQ1"/>
    <mergeCell ref="VAR1:VAV1"/>
    <mergeCell ref="VAW1:VBA1"/>
    <mergeCell ref="VBB1:VBF1"/>
    <mergeCell ref="UZI1:UZM1"/>
    <mergeCell ref="UZN1:UZR1"/>
    <mergeCell ref="UZS1:UZW1"/>
    <mergeCell ref="UZX1:VAB1"/>
    <mergeCell ref="VAC1:VAG1"/>
    <mergeCell ref="UYJ1:UYN1"/>
    <mergeCell ref="UYO1:UYS1"/>
    <mergeCell ref="UYT1:UYX1"/>
    <mergeCell ref="UYY1:UZC1"/>
    <mergeCell ref="UZD1:UZH1"/>
    <mergeCell ref="UXK1:UXO1"/>
    <mergeCell ref="UXP1:UXT1"/>
    <mergeCell ref="UXU1:UXY1"/>
    <mergeCell ref="UXZ1:UYD1"/>
    <mergeCell ref="UYE1:UYI1"/>
    <mergeCell ref="UWL1:UWP1"/>
    <mergeCell ref="UWQ1:UWU1"/>
    <mergeCell ref="UWV1:UWZ1"/>
    <mergeCell ref="UXA1:UXE1"/>
    <mergeCell ref="UXF1:UXJ1"/>
    <mergeCell ref="UVM1:UVQ1"/>
    <mergeCell ref="UVR1:UVV1"/>
    <mergeCell ref="UVW1:UWA1"/>
    <mergeCell ref="UWB1:UWF1"/>
    <mergeCell ref="UWG1:UWK1"/>
    <mergeCell ref="UUN1:UUR1"/>
    <mergeCell ref="UUS1:UUW1"/>
    <mergeCell ref="UUX1:UVB1"/>
    <mergeCell ref="UVC1:UVG1"/>
    <mergeCell ref="UVH1:UVL1"/>
    <mergeCell ref="UTO1:UTS1"/>
    <mergeCell ref="UTT1:UTX1"/>
    <mergeCell ref="UTY1:UUC1"/>
    <mergeCell ref="UUD1:UUH1"/>
    <mergeCell ref="UUI1:UUM1"/>
    <mergeCell ref="USP1:UST1"/>
    <mergeCell ref="USU1:USY1"/>
    <mergeCell ref="USZ1:UTD1"/>
    <mergeCell ref="UTE1:UTI1"/>
    <mergeCell ref="UTJ1:UTN1"/>
    <mergeCell ref="URQ1:URU1"/>
    <mergeCell ref="URV1:URZ1"/>
    <mergeCell ref="USA1:USE1"/>
    <mergeCell ref="USF1:USJ1"/>
    <mergeCell ref="USK1:USO1"/>
    <mergeCell ref="UQR1:UQV1"/>
    <mergeCell ref="UQW1:URA1"/>
    <mergeCell ref="URB1:URF1"/>
    <mergeCell ref="URG1:URK1"/>
    <mergeCell ref="URL1:URP1"/>
    <mergeCell ref="UPS1:UPW1"/>
    <mergeCell ref="UPX1:UQB1"/>
    <mergeCell ref="UQC1:UQG1"/>
    <mergeCell ref="UQH1:UQL1"/>
    <mergeCell ref="UQM1:UQQ1"/>
    <mergeCell ref="UOT1:UOX1"/>
    <mergeCell ref="UOY1:UPC1"/>
    <mergeCell ref="UPD1:UPH1"/>
    <mergeCell ref="UPI1:UPM1"/>
    <mergeCell ref="UPN1:UPR1"/>
    <mergeCell ref="UNU1:UNY1"/>
    <mergeCell ref="UNZ1:UOD1"/>
    <mergeCell ref="UOE1:UOI1"/>
    <mergeCell ref="UOJ1:UON1"/>
    <mergeCell ref="UOO1:UOS1"/>
    <mergeCell ref="UMV1:UMZ1"/>
    <mergeCell ref="UNA1:UNE1"/>
    <mergeCell ref="UNF1:UNJ1"/>
    <mergeCell ref="UNK1:UNO1"/>
    <mergeCell ref="UNP1:UNT1"/>
    <mergeCell ref="ULW1:UMA1"/>
    <mergeCell ref="UMB1:UMF1"/>
    <mergeCell ref="UMG1:UMK1"/>
    <mergeCell ref="UML1:UMP1"/>
    <mergeCell ref="UMQ1:UMU1"/>
    <mergeCell ref="UKX1:ULB1"/>
    <mergeCell ref="ULC1:ULG1"/>
    <mergeCell ref="ULH1:ULL1"/>
    <mergeCell ref="ULM1:ULQ1"/>
    <mergeCell ref="ULR1:ULV1"/>
    <mergeCell ref="UJY1:UKC1"/>
    <mergeCell ref="UKD1:UKH1"/>
    <mergeCell ref="UKI1:UKM1"/>
    <mergeCell ref="UKN1:UKR1"/>
    <mergeCell ref="UKS1:UKW1"/>
    <mergeCell ref="UIZ1:UJD1"/>
    <mergeCell ref="UJE1:UJI1"/>
    <mergeCell ref="UJJ1:UJN1"/>
    <mergeCell ref="UJO1:UJS1"/>
    <mergeCell ref="UJT1:UJX1"/>
    <mergeCell ref="UIA1:UIE1"/>
    <mergeCell ref="UIF1:UIJ1"/>
    <mergeCell ref="UIK1:UIO1"/>
    <mergeCell ref="UIP1:UIT1"/>
    <mergeCell ref="UIU1:UIY1"/>
    <mergeCell ref="UHB1:UHF1"/>
    <mergeCell ref="UHG1:UHK1"/>
    <mergeCell ref="UHL1:UHP1"/>
    <mergeCell ref="UHQ1:UHU1"/>
    <mergeCell ref="UHV1:UHZ1"/>
    <mergeCell ref="UGC1:UGG1"/>
    <mergeCell ref="UGH1:UGL1"/>
    <mergeCell ref="UGM1:UGQ1"/>
    <mergeCell ref="UGR1:UGV1"/>
    <mergeCell ref="UGW1:UHA1"/>
    <mergeCell ref="UFD1:UFH1"/>
    <mergeCell ref="UFI1:UFM1"/>
    <mergeCell ref="UFN1:UFR1"/>
    <mergeCell ref="UFS1:UFW1"/>
    <mergeCell ref="UFX1:UGB1"/>
    <mergeCell ref="UEE1:UEI1"/>
    <mergeCell ref="UEJ1:UEN1"/>
    <mergeCell ref="UEO1:UES1"/>
    <mergeCell ref="UET1:UEX1"/>
    <mergeCell ref="UEY1:UFC1"/>
    <mergeCell ref="UDF1:UDJ1"/>
    <mergeCell ref="UDK1:UDO1"/>
    <mergeCell ref="UDP1:UDT1"/>
    <mergeCell ref="UDU1:UDY1"/>
    <mergeCell ref="UDZ1:UED1"/>
    <mergeCell ref="UCG1:UCK1"/>
    <mergeCell ref="UCL1:UCP1"/>
    <mergeCell ref="UCQ1:UCU1"/>
    <mergeCell ref="UCV1:UCZ1"/>
    <mergeCell ref="UDA1:UDE1"/>
    <mergeCell ref="UBH1:UBL1"/>
    <mergeCell ref="UBM1:UBQ1"/>
    <mergeCell ref="UBR1:UBV1"/>
    <mergeCell ref="UBW1:UCA1"/>
    <mergeCell ref="UCB1:UCF1"/>
    <mergeCell ref="UAI1:UAM1"/>
    <mergeCell ref="UAN1:UAR1"/>
    <mergeCell ref="UAS1:UAW1"/>
    <mergeCell ref="UAX1:UBB1"/>
    <mergeCell ref="UBC1:UBG1"/>
    <mergeCell ref="TZJ1:TZN1"/>
    <mergeCell ref="TZO1:TZS1"/>
    <mergeCell ref="TZT1:TZX1"/>
    <mergeCell ref="TZY1:UAC1"/>
    <mergeCell ref="UAD1:UAH1"/>
    <mergeCell ref="TYK1:TYO1"/>
    <mergeCell ref="TYP1:TYT1"/>
    <mergeCell ref="TYU1:TYY1"/>
    <mergeCell ref="TYZ1:TZD1"/>
    <mergeCell ref="TZE1:TZI1"/>
    <mergeCell ref="TXL1:TXP1"/>
    <mergeCell ref="TXQ1:TXU1"/>
    <mergeCell ref="TXV1:TXZ1"/>
    <mergeCell ref="TYA1:TYE1"/>
    <mergeCell ref="TYF1:TYJ1"/>
    <mergeCell ref="TWM1:TWQ1"/>
    <mergeCell ref="TWR1:TWV1"/>
    <mergeCell ref="TWW1:TXA1"/>
    <mergeCell ref="TXB1:TXF1"/>
    <mergeCell ref="TXG1:TXK1"/>
    <mergeCell ref="TVN1:TVR1"/>
    <mergeCell ref="TVS1:TVW1"/>
    <mergeCell ref="TVX1:TWB1"/>
    <mergeCell ref="TWC1:TWG1"/>
    <mergeCell ref="TWH1:TWL1"/>
    <mergeCell ref="TUO1:TUS1"/>
    <mergeCell ref="TUT1:TUX1"/>
    <mergeCell ref="TUY1:TVC1"/>
    <mergeCell ref="TVD1:TVH1"/>
    <mergeCell ref="TVI1:TVM1"/>
    <mergeCell ref="TTP1:TTT1"/>
    <mergeCell ref="TTU1:TTY1"/>
    <mergeCell ref="TTZ1:TUD1"/>
    <mergeCell ref="TUE1:TUI1"/>
    <mergeCell ref="TUJ1:TUN1"/>
    <mergeCell ref="TSQ1:TSU1"/>
    <mergeCell ref="TSV1:TSZ1"/>
    <mergeCell ref="TTA1:TTE1"/>
    <mergeCell ref="TTF1:TTJ1"/>
    <mergeCell ref="TTK1:TTO1"/>
    <mergeCell ref="TRR1:TRV1"/>
    <mergeCell ref="TRW1:TSA1"/>
    <mergeCell ref="TSB1:TSF1"/>
    <mergeCell ref="TSG1:TSK1"/>
    <mergeCell ref="TSL1:TSP1"/>
    <mergeCell ref="TQS1:TQW1"/>
    <mergeCell ref="TQX1:TRB1"/>
    <mergeCell ref="TRC1:TRG1"/>
    <mergeCell ref="TRH1:TRL1"/>
    <mergeCell ref="TRM1:TRQ1"/>
    <mergeCell ref="TPT1:TPX1"/>
    <mergeCell ref="TPY1:TQC1"/>
    <mergeCell ref="TQD1:TQH1"/>
    <mergeCell ref="TQI1:TQM1"/>
    <mergeCell ref="TQN1:TQR1"/>
    <mergeCell ref="TOU1:TOY1"/>
    <mergeCell ref="TOZ1:TPD1"/>
    <mergeCell ref="TPE1:TPI1"/>
    <mergeCell ref="TPJ1:TPN1"/>
    <mergeCell ref="TPO1:TPS1"/>
    <mergeCell ref="TNV1:TNZ1"/>
    <mergeCell ref="TOA1:TOE1"/>
    <mergeCell ref="TOF1:TOJ1"/>
    <mergeCell ref="TOK1:TOO1"/>
    <mergeCell ref="TOP1:TOT1"/>
    <mergeCell ref="TMW1:TNA1"/>
    <mergeCell ref="TNB1:TNF1"/>
    <mergeCell ref="TNG1:TNK1"/>
    <mergeCell ref="TNL1:TNP1"/>
    <mergeCell ref="TNQ1:TNU1"/>
    <mergeCell ref="TLX1:TMB1"/>
    <mergeCell ref="TMC1:TMG1"/>
    <mergeCell ref="TMH1:TML1"/>
    <mergeCell ref="TMM1:TMQ1"/>
    <mergeCell ref="TMR1:TMV1"/>
    <mergeCell ref="TKY1:TLC1"/>
    <mergeCell ref="TLD1:TLH1"/>
    <mergeCell ref="TLI1:TLM1"/>
    <mergeCell ref="TLN1:TLR1"/>
    <mergeCell ref="TLS1:TLW1"/>
    <mergeCell ref="TJZ1:TKD1"/>
    <mergeCell ref="TKE1:TKI1"/>
    <mergeCell ref="TKJ1:TKN1"/>
    <mergeCell ref="TKO1:TKS1"/>
    <mergeCell ref="TKT1:TKX1"/>
    <mergeCell ref="TJA1:TJE1"/>
    <mergeCell ref="TJF1:TJJ1"/>
    <mergeCell ref="TJK1:TJO1"/>
    <mergeCell ref="TJP1:TJT1"/>
    <mergeCell ref="TJU1:TJY1"/>
    <mergeCell ref="TIB1:TIF1"/>
    <mergeCell ref="TIG1:TIK1"/>
    <mergeCell ref="TIL1:TIP1"/>
    <mergeCell ref="TIQ1:TIU1"/>
    <mergeCell ref="TIV1:TIZ1"/>
    <mergeCell ref="THC1:THG1"/>
    <mergeCell ref="THH1:THL1"/>
    <mergeCell ref="THM1:THQ1"/>
    <mergeCell ref="THR1:THV1"/>
    <mergeCell ref="THW1:TIA1"/>
    <mergeCell ref="TGD1:TGH1"/>
    <mergeCell ref="TGI1:TGM1"/>
    <mergeCell ref="TGN1:TGR1"/>
    <mergeCell ref="TGS1:TGW1"/>
    <mergeCell ref="TGX1:THB1"/>
    <mergeCell ref="TFE1:TFI1"/>
    <mergeCell ref="TFJ1:TFN1"/>
    <mergeCell ref="TFO1:TFS1"/>
    <mergeCell ref="TFT1:TFX1"/>
    <mergeCell ref="TFY1:TGC1"/>
    <mergeCell ref="TEF1:TEJ1"/>
    <mergeCell ref="TEK1:TEO1"/>
    <mergeCell ref="TEP1:TET1"/>
    <mergeCell ref="TEU1:TEY1"/>
    <mergeCell ref="TEZ1:TFD1"/>
    <mergeCell ref="TDG1:TDK1"/>
    <mergeCell ref="TDL1:TDP1"/>
    <mergeCell ref="TDQ1:TDU1"/>
    <mergeCell ref="TDV1:TDZ1"/>
    <mergeCell ref="TEA1:TEE1"/>
    <mergeCell ref="TCH1:TCL1"/>
    <mergeCell ref="TCM1:TCQ1"/>
    <mergeCell ref="TCR1:TCV1"/>
    <mergeCell ref="TCW1:TDA1"/>
    <mergeCell ref="TDB1:TDF1"/>
    <mergeCell ref="TBI1:TBM1"/>
    <mergeCell ref="TBN1:TBR1"/>
    <mergeCell ref="TBS1:TBW1"/>
    <mergeCell ref="TBX1:TCB1"/>
    <mergeCell ref="TCC1:TCG1"/>
    <mergeCell ref="TAJ1:TAN1"/>
    <mergeCell ref="TAO1:TAS1"/>
    <mergeCell ref="TAT1:TAX1"/>
    <mergeCell ref="TAY1:TBC1"/>
    <mergeCell ref="TBD1:TBH1"/>
    <mergeCell ref="SZK1:SZO1"/>
    <mergeCell ref="SZP1:SZT1"/>
    <mergeCell ref="SZU1:SZY1"/>
    <mergeCell ref="SZZ1:TAD1"/>
    <mergeCell ref="TAE1:TAI1"/>
    <mergeCell ref="SYL1:SYP1"/>
    <mergeCell ref="SYQ1:SYU1"/>
    <mergeCell ref="SYV1:SYZ1"/>
    <mergeCell ref="SZA1:SZE1"/>
    <mergeCell ref="SZF1:SZJ1"/>
    <mergeCell ref="SXM1:SXQ1"/>
    <mergeCell ref="SXR1:SXV1"/>
    <mergeCell ref="SXW1:SYA1"/>
    <mergeCell ref="SYB1:SYF1"/>
    <mergeCell ref="SYG1:SYK1"/>
    <mergeCell ref="SWN1:SWR1"/>
    <mergeCell ref="SWS1:SWW1"/>
    <mergeCell ref="SWX1:SXB1"/>
    <mergeCell ref="SXC1:SXG1"/>
    <mergeCell ref="SXH1:SXL1"/>
    <mergeCell ref="SVO1:SVS1"/>
    <mergeCell ref="SVT1:SVX1"/>
    <mergeCell ref="SVY1:SWC1"/>
    <mergeCell ref="SWD1:SWH1"/>
    <mergeCell ref="SWI1:SWM1"/>
    <mergeCell ref="SUP1:SUT1"/>
    <mergeCell ref="SUU1:SUY1"/>
    <mergeCell ref="SUZ1:SVD1"/>
    <mergeCell ref="SVE1:SVI1"/>
    <mergeCell ref="SVJ1:SVN1"/>
    <mergeCell ref="STQ1:STU1"/>
    <mergeCell ref="STV1:STZ1"/>
    <mergeCell ref="SUA1:SUE1"/>
    <mergeCell ref="SUF1:SUJ1"/>
    <mergeCell ref="SUK1:SUO1"/>
    <mergeCell ref="SSR1:SSV1"/>
    <mergeCell ref="SSW1:STA1"/>
    <mergeCell ref="STB1:STF1"/>
    <mergeCell ref="STG1:STK1"/>
    <mergeCell ref="STL1:STP1"/>
    <mergeCell ref="SRS1:SRW1"/>
    <mergeCell ref="SRX1:SSB1"/>
    <mergeCell ref="SSC1:SSG1"/>
    <mergeCell ref="SSH1:SSL1"/>
    <mergeCell ref="SSM1:SSQ1"/>
    <mergeCell ref="SQT1:SQX1"/>
    <mergeCell ref="SQY1:SRC1"/>
    <mergeCell ref="SRD1:SRH1"/>
    <mergeCell ref="SRI1:SRM1"/>
    <mergeCell ref="SRN1:SRR1"/>
    <mergeCell ref="SPU1:SPY1"/>
    <mergeCell ref="SPZ1:SQD1"/>
    <mergeCell ref="SQE1:SQI1"/>
    <mergeCell ref="SQJ1:SQN1"/>
    <mergeCell ref="SQO1:SQS1"/>
    <mergeCell ref="SOV1:SOZ1"/>
    <mergeCell ref="SPA1:SPE1"/>
    <mergeCell ref="SPF1:SPJ1"/>
    <mergeCell ref="SPK1:SPO1"/>
    <mergeCell ref="SPP1:SPT1"/>
    <mergeCell ref="SNW1:SOA1"/>
    <mergeCell ref="SOB1:SOF1"/>
    <mergeCell ref="SOG1:SOK1"/>
    <mergeCell ref="SOL1:SOP1"/>
    <mergeCell ref="SOQ1:SOU1"/>
    <mergeCell ref="SMX1:SNB1"/>
    <mergeCell ref="SNC1:SNG1"/>
    <mergeCell ref="SNH1:SNL1"/>
    <mergeCell ref="SNM1:SNQ1"/>
    <mergeCell ref="SNR1:SNV1"/>
    <mergeCell ref="SLY1:SMC1"/>
    <mergeCell ref="SMD1:SMH1"/>
    <mergeCell ref="SMI1:SMM1"/>
    <mergeCell ref="SMN1:SMR1"/>
    <mergeCell ref="SMS1:SMW1"/>
    <mergeCell ref="SKZ1:SLD1"/>
    <mergeCell ref="SLE1:SLI1"/>
    <mergeCell ref="SLJ1:SLN1"/>
    <mergeCell ref="SLO1:SLS1"/>
    <mergeCell ref="SLT1:SLX1"/>
    <mergeCell ref="SKA1:SKE1"/>
    <mergeCell ref="SKF1:SKJ1"/>
    <mergeCell ref="SKK1:SKO1"/>
    <mergeCell ref="SKP1:SKT1"/>
    <mergeCell ref="SKU1:SKY1"/>
    <mergeCell ref="SJB1:SJF1"/>
    <mergeCell ref="SJG1:SJK1"/>
    <mergeCell ref="SJL1:SJP1"/>
    <mergeCell ref="SJQ1:SJU1"/>
    <mergeCell ref="SJV1:SJZ1"/>
    <mergeCell ref="SIC1:SIG1"/>
    <mergeCell ref="SIH1:SIL1"/>
    <mergeCell ref="SIM1:SIQ1"/>
    <mergeCell ref="SIR1:SIV1"/>
    <mergeCell ref="SIW1:SJA1"/>
    <mergeCell ref="SHD1:SHH1"/>
    <mergeCell ref="SHI1:SHM1"/>
    <mergeCell ref="SHN1:SHR1"/>
    <mergeCell ref="SHS1:SHW1"/>
    <mergeCell ref="SHX1:SIB1"/>
    <mergeCell ref="SGE1:SGI1"/>
    <mergeCell ref="SGJ1:SGN1"/>
    <mergeCell ref="SGO1:SGS1"/>
    <mergeCell ref="SGT1:SGX1"/>
    <mergeCell ref="SGY1:SHC1"/>
    <mergeCell ref="SFF1:SFJ1"/>
    <mergeCell ref="SFK1:SFO1"/>
    <mergeCell ref="SFP1:SFT1"/>
    <mergeCell ref="SFU1:SFY1"/>
    <mergeCell ref="SFZ1:SGD1"/>
    <mergeCell ref="SEG1:SEK1"/>
    <mergeCell ref="SEL1:SEP1"/>
    <mergeCell ref="SEQ1:SEU1"/>
    <mergeCell ref="SEV1:SEZ1"/>
    <mergeCell ref="SFA1:SFE1"/>
    <mergeCell ref="SDH1:SDL1"/>
    <mergeCell ref="SDM1:SDQ1"/>
    <mergeCell ref="SDR1:SDV1"/>
    <mergeCell ref="SDW1:SEA1"/>
    <mergeCell ref="SEB1:SEF1"/>
    <mergeCell ref="SCI1:SCM1"/>
    <mergeCell ref="SCN1:SCR1"/>
    <mergeCell ref="SCS1:SCW1"/>
    <mergeCell ref="SCX1:SDB1"/>
    <mergeCell ref="SDC1:SDG1"/>
    <mergeCell ref="SBJ1:SBN1"/>
    <mergeCell ref="SBO1:SBS1"/>
    <mergeCell ref="SBT1:SBX1"/>
    <mergeCell ref="SBY1:SCC1"/>
    <mergeCell ref="SCD1:SCH1"/>
    <mergeCell ref="SAK1:SAO1"/>
    <mergeCell ref="SAP1:SAT1"/>
    <mergeCell ref="SAU1:SAY1"/>
    <mergeCell ref="SAZ1:SBD1"/>
    <mergeCell ref="SBE1:SBI1"/>
    <mergeCell ref="RZL1:RZP1"/>
    <mergeCell ref="RZQ1:RZU1"/>
    <mergeCell ref="RZV1:RZZ1"/>
    <mergeCell ref="SAA1:SAE1"/>
    <mergeCell ref="SAF1:SAJ1"/>
    <mergeCell ref="RYM1:RYQ1"/>
    <mergeCell ref="RYR1:RYV1"/>
    <mergeCell ref="RYW1:RZA1"/>
    <mergeCell ref="RZB1:RZF1"/>
    <mergeCell ref="RZG1:RZK1"/>
    <mergeCell ref="RXN1:RXR1"/>
    <mergeCell ref="RXS1:RXW1"/>
    <mergeCell ref="RXX1:RYB1"/>
    <mergeCell ref="RYC1:RYG1"/>
    <mergeCell ref="RYH1:RYL1"/>
    <mergeCell ref="RWO1:RWS1"/>
    <mergeCell ref="RWT1:RWX1"/>
    <mergeCell ref="RWY1:RXC1"/>
    <mergeCell ref="RXD1:RXH1"/>
    <mergeCell ref="RXI1:RXM1"/>
    <mergeCell ref="RVP1:RVT1"/>
    <mergeCell ref="RVU1:RVY1"/>
    <mergeCell ref="RVZ1:RWD1"/>
    <mergeCell ref="RWE1:RWI1"/>
    <mergeCell ref="RWJ1:RWN1"/>
    <mergeCell ref="RUQ1:RUU1"/>
    <mergeCell ref="RUV1:RUZ1"/>
    <mergeCell ref="RVA1:RVE1"/>
    <mergeCell ref="RVF1:RVJ1"/>
    <mergeCell ref="RVK1:RVO1"/>
    <mergeCell ref="RTR1:RTV1"/>
    <mergeCell ref="RTW1:RUA1"/>
    <mergeCell ref="RUB1:RUF1"/>
    <mergeCell ref="RUG1:RUK1"/>
    <mergeCell ref="RUL1:RUP1"/>
    <mergeCell ref="RSS1:RSW1"/>
    <mergeCell ref="RSX1:RTB1"/>
    <mergeCell ref="RTC1:RTG1"/>
    <mergeCell ref="RTH1:RTL1"/>
    <mergeCell ref="RTM1:RTQ1"/>
    <mergeCell ref="RRT1:RRX1"/>
    <mergeCell ref="RRY1:RSC1"/>
    <mergeCell ref="RSD1:RSH1"/>
    <mergeCell ref="RSI1:RSM1"/>
    <mergeCell ref="RSN1:RSR1"/>
    <mergeCell ref="RQU1:RQY1"/>
    <mergeCell ref="RQZ1:RRD1"/>
    <mergeCell ref="RRE1:RRI1"/>
    <mergeCell ref="RRJ1:RRN1"/>
    <mergeCell ref="RRO1:RRS1"/>
    <mergeCell ref="RPV1:RPZ1"/>
    <mergeCell ref="RQA1:RQE1"/>
    <mergeCell ref="RQF1:RQJ1"/>
    <mergeCell ref="RQK1:RQO1"/>
    <mergeCell ref="RQP1:RQT1"/>
    <mergeCell ref="ROW1:RPA1"/>
    <mergeCell ref="RPB1:RPF1"/>
    <mergeCell ref="RPG1:RPK1"/>
    <mergeCell ref="RPL1:RPP1"/>
    <mergeCell ref="RPQ1:RPU1"/>
    <mergeCell ref="RNX1:ROB1"/>
    <mergeCell ref="ROC1:ROG1"/>
    <mergeCell ref="ROH1:ROL1"/>
    <mergeCell ref="ROM1:ROQ1"/>
    <mergeCell ref="ROR1:ROV1"/>
    <mergeCell ref="RMY1:RNC1"/>
    <mergeCell ref="RND1:RNH1"/>
    <mergeCell ref="RNI1:RNM1"/>
    <mergeCell ref="RNN1:RNR1"/>
    <mergeCell ref="RNS1:RNW1"/>
    <mergeCell ref="RLZ1:RMD1"/>
    <mergeCell ref="RME1:RMI1"/>
    <mergeCell ref="RMJ1:RMN1"/>
    <mergeCell ref="RMO1:RMS1"/>
    <mergeCell ref="RMT1:RMX1"/>
    <mergeCell ref="RLA1:RLE1"/>
    <mergeCell ref="RLF1:RLJ1"/>
    <mergeCell ref="RLK1:RLO1"/>
    <mergeCell ref="RLP1:RLT1"/>
    <mergeCell ref="RLU1:RLY1"/>
    <mergeCell ref="RKB1:RKF1"/>
    <mergeCell ref="RKG1:RKK1"/>
    <mergeCell ref="RKL1:RKP1"/>
    <mergeCell ref="RKQ1:RKU1"/>
    <mergeCell ref="RKV1:RKZ1"/>
    <mergeCell ref="RJC1:RJG1"/>
    <mergeCell ref="RJH1:RJL1"/>
    <mergeCell ref="RJM1:RJQ1"/>
    <mergeCell ref="RJR1:RJV1"/>
    <mergeCell ref="RJW1:RKA1"/>
    <mergeCell ref="RID1:RIH1"/>
    <mergeCell ref="RII1:RIM1"/>
    <mergeCell ref="RIN1:RIR1"/>
    <mergeCell ref="RIS1:RIW1"/>
    <mergeCell ref="RIX1:RJB1"/>
    <mergeCell ref="RHE1:RHI1"/>
    <mergeCell ref="RHJ1:RHN1"/>
    <mergeCell ref="RHO1:RHS1"/>
    <mergeCell ref="RHT1:RHX1"/>
    <mergeCell ref="RHY1:RIC1"/>
    <mergeCell ref="RGF1:RGJ1"/>
    <mergeCell ref="RGK1:RGO1"/>
    <mergeCell ref="RGP1:RGT1"/>
    <mergeCell ref="RGU1:RGY1"/>
    <mergeCell ref="RGZ1:RHD1"/>
    <mergeCell ref="RFG1:RFK1"/>
    <mergeCell ref="RFL1:RFP1"/>
    <mergeCell ref="RFQ1:RFU1"/>
    <mergeCell ref="RFV1:RFZ1"/>
    <mergeCell ref="RGA1:RGE1"/>
    <mergeCell ref="REH1:REL1"/>
    <mergeCell ref="REM1:REQ1"/>
    <mergeCell ref="RER1:REV1"/>
    <mergeCell ref="REW1:RFA1"/>
    <mergeCell ref="RFB1:RFF1"/>
    <mergeCell ref="RDI1:RDM1"/>
    <mergeCell ref="RDN1:RDR1"/>
    <mergeCell ref="RDS1:RDW1"/>
    <mergeCell ref="RDX1:REB1"/>
    <mergeCell ref="REC1:REG1"/>
    <mergeCell ref="RCJ1:RCN1"/>
    <mergeCell ref="RCO1:RCS1"/>
    <mergeCell ref="RCT1:RCX1"/>
    <mergeCell ref="RCY1:RDC1"/>
    <mergeCell ref="RDD1:RDH1"/>
    <mergeCell ref="RBK1:RBO1"/>
    <mergeCell ref="RBP1:RBT1"/>
    <mergeCell ref="RBU1:RBY1"/>
    <mergeCell ref="RBZ1:RCD1"/>
    <mergeCell ref="RCE1:RCI1"/>
    <mergeCell ref="RAL1:RAP1"/>
    <mergeCell ref="RAQ1:RAU1"/>
    <mergeCell ref="RAV1:RAZ1"/>
    <mergeCell ref="RBA1:RBE1"/>
    <mergeCell ref="RBF1:RBJ1"/>
    <mergeCell ref="QZM1:QZQ1"/>
    <mergeCell ref="QZR1:QZV1"/>
    <mergeCell ref="QZW1:RAA1"/>
    <mergeCell ref="RAB1:RAF1"/>
    <mergeCell ref="RAG1:RAK1"/>
    <mergeCell ref="QYN1:QYR1"/>
    <mergeCell ref="QYS1:QYW1"/>
    <mergeCell ref="QYX1:QZB1"/>
    <mergeCell ref="QZC1:QZG1"/>
    <mergeCell ref="QZH1:QZL1"/>
    <mergeCell ref="QXO1:QXS1"/>
    <mergeCell ref="QXT1:QXX1"/>
    <mergeCell ref="QXY1:QYC1"/>
    <mergeCell ref="QYD1:QYH1"/>
    <mergeCell ref="QYI1:QYM1"/>
    <mergeCell ref="QWP1:QWT1"/>
    <mergeCell ref="QWU1:QWY1"/>
    <mergeCell ref="QWZ1:QXD1"/>
    <mergeCell ref="QXE1:QXI1"/>
    <mergeCell ref="QXJ1:QXN1"/>
    <mergeCell ref="QVQ1:QVU1"/>
    <mergeCell ref="QVV1:QVZ1"/>
    <mergeCell ref="QWA1:QWE1"/>
    <mergeCell ref="QWF1:QWJ1"/>
    <mergeCell ref="QWK1:QWO1"/>
    <mergeCell ref="QUR1:QUV1"/>
    <mergeCell ref="QUW1:QVA1"/>
    <mergeCell ref="QVB1:QVF1"/>
    <mergeCell ref="QVG1:QVK1"/>
    <mergeCell ref="QVL1:QVP1"/>
    <mergeCell ref="QTS1:QTW1"/>
    <mergeCell ref="QTX1:QUB1"/>
    <mergeCell ref="QUC1:QUG1"/>
    <mergeCell ref="QUH1:QUL1"/>
    <mergeCell ref="QUM1:QUQ1"/>
    <mergeCell ref="QST1:QSX1"/>
    <mergeCell ref="QSY1:QTC1"/>
    <mergeCell ref="QTD1:QTH1"/>
    <mergeCell ref="QTI1:QTM1"/>
    <mergeCell ref="QTN1:QTR1"/>
    <mergeCell ref="QRU1:QRY1"/>
    <mergeCell ref="QRZ1:QSD1"/>
    <mergeCell ref="QSE1:QSI1"/>
    <mergeCell ref="QSJ1:QSN1"/>
    <mergeCell ref="QSO1:QSS1"/>
    <mergeCell ref="QQV1:QQZ1"/>
    <mergeCell ref="QRA1:QRE1"/>
    <mergeCell ref="QRF1:QRJ1"/>
    <mergeCell ref="QRK1:QRO1"/>
    <mergeCell ref="QRP1:QRT1"/>
    <mergeCell ref="QPW1:QQA1"/>
    <mergeCell ref="QQB1:QQF1"/>
    <mergeCell ref="QQG1:QQK1"/>
    <mergeCell ref="QQL1:QQP1"/>
    <mergeCell ref="QQQ1:QQU1"/>
    <mergeCell ref="QOX1:QPB1"/>
    <mergeCell ref="QPC1:QPG1"/>
    <mergeCell ref="QPH1:QPL1"/>
    <mergeCell ref="QPM1:QPQ1"/>
    <mergeCell ref="QPR1:QPV1"/>
    <mergeCell ref="QNY1:QOC1"/>
    <mergeCell ref="QOD1:QOH1"/>
    <mergeCell ref="QOI1:QOM1"/>
    <mergeCell ref="QON1:QOR1"/>
    <mergeCell ref="QOS1:QOW1"/>
    <mergeCell ref="QMZ1:QND1"/>
    <mergeCell ref="QNE1:QNI1"/>
    <mergeCell ref="QNJ1:QNN1"/>
    <mergeCell ref="QNO1:QNS1"/>
    <mergeCell ref="QNT1:QNX1"/>
    <mergeCell ref="QMA1:QME1"/>
    <mergeCell ref="QMF1:QMJ1"/>
    <mergeCell ref="QMK1:QMO1"/>
    <mergeCell ref="QMP1:QMT1"/>
    <mergeCell ref="QMU1:QMY1"/>
    <mergeCell ref="QLB1:QLF1"/>
    <mergeCell ref="QLG1:QLK1"/>
    <mergeCell ref="QLL1:QLP1"/>
    <mergeCell ref="QLQ1:QLU1"/>
    <mergeCell ref="QLV1:QLZ1"/>
    <mergeCell ref="QKC1:QKG1"/>
    <mergeCell ref="QKH1:QKL1"/>
    <mergeCell ref="QKM1:QKQ1"/>
    <mergeCell ref="QKR1:QKV1"/>
    <mergeCell ref="QKW1:QLA1"/>
    <mergeCell ref="QJD1:QJH1"/>
    <mergeCell ref="QJI1:QJM1"/>
    <mergeCell ref="QJN1:QJR1"/>
    <mergeCell ref="QJS1:QJW1"/>
    <mergeCell ref="QJX1:QKB1"/>
    <mergeCell ref="QIE1:QII1"/>
    <mergeCell ref="QIJ1:QIN1"/>
    <mergeCell ref="QIO1:QIS1"/>
    <mergeCell ref="QIT1:QIX1"/>
    <mergeCell ref="QIY1:QJC1"/>
    <mergeCell ref="QHF1:QHJ1"/>
    <mergeCell ref="QHK1:QHO1"/>
    <mergeCell ref="QHP1:QHT1"/>
    <mergeCell ref="QHU1:QHY1"/>
    <mergeCell ref="QHZ1:QID1"/>
    <mergeCell ref="QGG1:QGK1"/>
    <mergeCell ref="QGL1:QGP1"/>
    <mergeCell ref="QGQ1:QGU1"/>
    <mergeCell ref="QGV1:QGZ1"/>
    <mergeCell ref="QHA1:QHE1"/>
    <mergeCell ref="QFH1:QFL1"/>
    <mergeCell ref="QFM1:QFQ1"/>
    <mergeCell ref="QFR1:QFV1"/>
    <mergeCell ref="QFW1:QGA1"/>
    <mergeCell ref="QGB1:QGF1"/>
    <mergeCell ref="QEI1:QEM1"/>
    <mergeCell ref="QEN1:QER1"/>
    <mergeCell ref="QES1:QEW1"/>
    <mergeCell ref="QEX1:QFB1"/>
    <mergeCell ref="QFC1:QFG1"/>
    <mergeCell ref="QDJ1:QDN1"/>
    <mergeCell ref="QDO1:QDS1"/>
    <mergeCell ref="QDT1:QDX1"/>
    <mergeCell ref="QDY1:QEC1"/>
    <mergeCell ref="QED1:QEH1"/>
    <mergeCell ref="QCK1:QCO1"/>
    <mergeCell ref="QCP1:QCT1"/>
    <mergeCell ref="QCU1:QCY1"/>
    <mergeCell ref="QCZ1:QDD1"/>
    <mergeCell ref="QDE1:QDI1"/>
    <mergeCell ref="QBL1:QBP1"/>
    <mergeCell ref="QBQ1:QBU1"/>
    <mergeCell ref="QBV1:QBZ1"/>
    <mergeCell ref="QCA1:QCE1"/>
    <mergeCell ref="QCF1:QCJ1"/>
    <mergeCell ref="QAM1:QAQ1"/>
    <mergeCell ref="QAR1:QAV1"/>
    <mergeCell ref="QAW1:QBA1"/>
    <mergeCell ref="QBB1:QBF1"/>
    <mergeCell ref="QBG1:QBK1"/>
    <mergeCell ref="PZN1:PZR1"/>
    <mergeCell ref="PZS1:PZW1"/>
    <mergeCell ref="PZX1:QAB1"/>
    <mergeCell ref="QAC1:QAG1"/>
    <mergeCell ref="QAH1:QAL1"/>
    <mergeCell ref="PYO1:PYS1"/>
    <mergeCell ref="PYT1:PYX1"/>
    <mergeCell ref="PYY1:PZC1"/>
    <mergeCell ref="PZD1:PZH1"/>
    <mergeCell ref="PZI1:PZM1"/>
    <mergeCell ref="PXP1:PXT1"/>
    <mergeCell ref="PXU1:PXY1"/>
    <mergeCell ref="PXZ1:PYD1"/>
    <mergeCell ref="PYE1:PYI1"/>
    <mergeCell ref="PYJ1:PYN1"/>
    <mergeCell ref="PWQ1:PWU1"/>
    <mergeCell ref="PWV1:PWZ1"/>
    <mergeCell ref="PXA1:PXE1"/>
    <mergeCell ref="PXF1:PXJ1"/>
    <mergeCell ref="PXK1:PXO1"/>
    <mergeCell ref="PVR1:PVV1"/>
    <mergeCell ref="PVW1:PWA1"/>
    <mergeCell ref="PWB1:PWF1"/>
    <mergeCell ref="PWG1:PWK1"/>
    <mergeCell ref="PWL1:PWP1"/>
    <mergeCell ref="PUS1:PUW1"/>
    <mergeCell ref="PUX1:PVB1"/>
    <mergeCell ref="PVC1:PVG1"/>
    <mergeCell ref="PVH1:PVL1"/>
    <mergeCell ref="PVM1:PVQ1"/>
    <mergeCell ref="PTT1:PTX1"/>
    <mergeCell ref="PTY1:PUC1"/>
    <mergeCell ref="PUD1:PUH1"/>
    <mergeCell ref="PUI1:PUM1"/>
    <mergeCell ref="PUN1:PUR1"/>
    <mergeCell ref="PSU1:PSY1"/>
    <mergeCell ref="PSZ1:PTD1"/>
    <mergeCell ref="PTE1:PTI1"/>
    <mergeCell ref="PTJ1:PTN1"/>
    <mergeCell ref="PTO1:PTS1"/>
    <mergeCell ref="PRV1:PRZ1"/>
    <mergeCell ref="PSA1:PSE1"/>
    <mergeCell ref="PSF1:PSJ1"/>
    <mergeCell ref="PSK1:PSO1"/>
    <mergeCell ref="PSP1:PST1"/>
    <mergeCell ref="PQW1:PRA1"/>
    <mergeCell ref="PRB1:PRF1"/>
    <mergeCell ref="PRG1:PRK1"/>
    <mergeCell ref="PRL1:PRP1"/>
    <mergeCell ref="PRQ1:PRU1"/>
    <mergeCell ref="PPX1:PQB1"/>
    <mergeCell ref="PQC1:PQG1"/>
    <mergeCell ref="PQH1:PQL1"/>
    <mergeCell ref="PQM1:PQQ1"/>
    <mergeCell ref="PQR1:PQV1"/>
    <mergeCell ref="POY1:PPC1"/>
    <mergeCell ref="PPD1:PPH1"/>
    <mergeCell ref="PPI1:PPM1"/>
    <mergeCell ref="PPN1:PPR1"/>
    <mergeCell ref="PPS1:PPW1"/>
    <mergeCell ref="PNZ1:POD1"/>
    <mergeCell ref="POE1:POI1"/>
    <mergeCell ref="POJ1:PON1"/>
    <mergeCell ref="POO1:POS1"/>
    <mergeCell ref="POT1:POX1"/>
    <mergeCell ref="PNA1:PNE1"/>
    <mergeCell ref="PNF1:PNJ1"/>
    <mergeCell ref="PNK1:PNO1"/>
    <mergeCell ref="PNP1:PNT1"/>
    <mergeCell ref="PNU1:PNY1"/>
    <mergeCell ref="PMB1:PMF1"/>
    <mergeCell ref="PMG1:PMK1"/>
    <mergeCell ref="PML1:PMP1"/>
    <mergeCell ref="PMQ1:PMU1"/>
    <mergeCell ref="PMV1:PMZ1"/>
    <mergeCell ref="PLC1:PLG1"/>
    <mergeCell ref="PLH1:PLL1"/>
    <mergeCell ref="PLM1:PLQ1"/>
    <mergeCell ref="PLR1:PLV1"/>
    <mergeCell ref="PLW1:PMA1"/>
    <mergeCell ref="PKD1:PKH1"/>
    <mergeCell ref="PKI1:PKM1"/>
    <mergeCell ref="PKN1:PKR1"/>
    <mergeCell ref="PKS1:PKW1"/>
    <mergeCell ref="PKX1:PLB1"/>
    <mergeCell ref="PJE1:PJI1"/>
    <mergeCell ref="PJJ1:PJN1"/>
    <mergeCell ref="PJO1:PJS1"/>
    <mergeCell ref="PJT1:PJX1"/>
    <mergeCell ref="PJY1:PKC1"/>
    <mergeCell ref="PIF1:PIJ1"/>
    <mergeCell ref="PIK1:PIO1"/>
    <mergeCell ref="PIP1:PIT1"/>
    <mergeCell ref="PIU1:PIY1"/>
    <mergeCell ref="PIZ1:PJD1"/>
    <mergeCell ref="PHG1:PHK1"/>
    <mergeCell ref="PHL1:PHP1"/>
    <mergeCell ref="PHQ1:PHU1"/>
    <mergeCell ref="PHV1:PHZ1"/>
    <mergeCell ref="PIA1:PIE1"/>
    <mergeCell ref="PGH1:PGL1"/>
    <mergeCell ref="PGM1:PGQ1"/>
    <mergeCell ref="PGR1:PGV1"/>
    <mergeCell ref="PGW1:PHA1"/>
    <mergeCell ref="PHB1:PHF1"/>
    <mergeCell ref="PFI1:PFM1"/>
    <mergeCell ref="PFN1:PFR1"/>
    <mergeCell ref="PFS1:PFW1"/>
    <mergeCell ref="PFX1:PGB1"/>
    <mergeCell ref="PGC1:PGG1"/>
    <mergeCell ref="PEJ1:PEN1"/>
    <mergeCell ref="PEO1:PES1"/>
    <mergeCell ref="PET1:PEX1"/>
    <mergeCell ref="PEY1:PFC1"/>
    <mergeCell ref="PFD1:PFH1"/>
    <mergeCell ref="PDK1:PDO1"/>
    <mergeCell ref="PDP1:PDT1"/>
    <mergeCell ref="PDU1:PDY1"/>
    <mergeCell ref="PDZ1:PED1"/>
    <mergeCell ref="PEE1:PEI1"/>
    <mergeCell ref="PCL1:PCP1"/>
    <mergeCell ref="PCQ1:PCU1"/>
    <mergeCell ref="PCV1:PCZ1"/>
    <mergeCell ref="PDA1:PDE1"/>
    <mergeCell ref="PDF1:PDJ1"/>
    <mergeCell ref="PBM1:PBQ1"/>
    <mergeCell ref="PBR1:PBV1"/>
    <mergeCell ref="PBW1:PCA1"/>
    <mergeCell ref="PCB1:PCF1"/>
    <mergeCell ref="PCG1:PCK1"/>
    <mergeCell ref="PAN1:PAR1"/>
    <mergeCell ref="PAS1:PAW1"/>
    <mergeCell ref="PAX1:PBB1"/>
    <mergeCell ref="PBC1:PBG1"/>
    <mergeCell ref="PBH1:PBL1"/>
    <mergeCell ref="OZO1:OZS1"/>
    <mergeCell ref="OZT1:OZX1"/>
    <mergeCell ref="OZY1:PAC1"/>
    <mergeCell ref="PAD1:PAH1"/>
    <mergeCell ref="PAI1:PAM1"/>
    <mergeCell ref="OYP1:OYT1"/>
    <mergeCell ref="OYU1:OYY1"/>
    <mergeCell ref="OYZ1:OZD1"/>
    <mergeCell ref="OZE1:OZI1"/>
    <mergeCell ref="OZJ1:OZN1"/>
    <mergeCell ref="OXQ1:OXU1"/>
    <mergeCell ref="OXV1:OXZ1"/>
    <mergeCell ref="OYA1:OYE1"/>
    <mergeCell ref="OYF1:OYJ1"/>
    <mergeCell ref="OYK1:OYO1"/>
    <mergeCell ref="OWR1:OWV1"/>
    <mergeCell ref="OWW1:OXA1"/>
    <mergeCell ref="OXB1:OXF1"/>
    <mergeCell ref="OXG1:OXK1"/>
    <mergeCell ref="OXL1:OXP1"/>
    <mergeCell ref="OVS1:OVW1"/>
    <mergeCell ref="OVX1:OWB1"/>
    <mergeCell ref="OWC1:OWG1"/>
    <mergeCell ref="OWH1:OWL1"/>
    <mergeCell ref="OWM1:OWQ1"/>
    <mergeCell ref="OUT1:OUX1"/>
    <mergeCell ref="OUY1:OVC1"/>
    <mergeCell ref="OVD1:OVH1"/>
    <mergeCell ref="OVI1:OVM1"/>
    <mergeCell ref="OVN1:OVR1"/>
    <mergeCell ref="OTU1:OTY1"/>
    <mergeCell ref="OTZ1:OUD1"/>
    <mergeCell ref="OUE1:OUI1"/>
    <mergeCell ref="OUJ1:OUN1"/>
    <mergeCell ref="OUO1:OUS1"/>
    <mergeCell ref="OSV1:OSZ1"/>
    <mergeCell ref="OTA1:OTE1"/>
    <mergeCell ref="OTF1:OTJ1"/>
    <mergeCell ref="OTK1:OTO1"/>
    <mergeCell ref="OTP1:OTT1"/>
    <mergeCell ref="ORW1:OSA1"/>
    <mergeCell ref="OSB1:OSF1"/>
    <mergeCell ref="OSG1:OSK1"/>
    <mergeCell ref="OSL1:OSP1"/>
    <mergeCell ref="OSQ1:OSU1"/>
    <mergeCell ref="OQX1:ORB1"/>
    <mergeCell ref="ORC1:ORG1"/>
    <mergeCell ref="ORH1:ORL1"/>
    <mergeCell ref="ORM1:ORQ1"/>
    <mergeCell ref="ORR1:ORV1"/>
    <mergeCell ref="OPY1:OQC1"/>
    <mergeCell ref="OQD1:OQH1"/>
    <mergeCell ref="OQI1:OQM1"/>
    <mergeCell ref="OQN1:OQR1"/>
    <mergeCell ref="OQS1:OQW1"/>
    <mergeCell ref="OOZ1:OPD1"/>
    <mergeCell ref="OPE1:OPI1"/>
    <mergeCell ref="OPJ1:OPN1"/>
    <mergeCell ref="OPO1:OPS1"/>
    <mergeCell ref="OPT1:OPX1"/>
    <mergeCell ref="OOA1:OOE1"/>
    <mergeCell ref="OOF1:OOJ1"/>
    <mergeCell ref="OOK1:OOO1"/>
    <mergeCell ref="OOP1:OOT1"/>
    <mergeCell ref="OOU1:OOY1"/>
    <mergeCell ref="ONB1:ONF1"/>
    <mergeCell ref="ONG1:ONK1"/>
    <mergeCell ref="ONL1:ONP1"/>
    <mergeCell ref="ONQ1:ONU1"/>
    <mergeCell ref="ONV1:ONZ1"/>
    <mergeCell ref="OMC1:OMG1"/>
    <mergeCell ref="OMH1:OML1"/>
    <mergeCell ref="OMM1:OMQ1"/>
    <mergeCell ref="OMR1:OMV1"/>
    <mergeCell ref="OMW1:ONA1"/>
    <mergeCell ref="OLD1:OLH1"/>
    <mergeCell ref="OLI1:OLM1"/>
    <mergeCell ref="OLN1:OLR1"/>
    <mergeCell ref="OLS1:OLW1"/>
    <mergeCell ref="OLX1:OMB1"/>
    <mergeCell ref="OKE1:OKI1"/>
    <mergeCell ref="OKJ1:OKN1"/>
    <mergeCell ref="OKO1:OKS1"/>
    <mergeCell ref="OKT1:OKX1"/>
    <mergeCell ref="OKY1:OLC1"/>
    <mergeCell ref="OJF1:OJJ1"/>
    <mergeCell ref="OJK1:OJO1"/>
    <mergeCell ref="OJP1:OJT1"/>
    <mergeCell ref="OJU1:OJY1"/>
    <mergeCell ref="OJZ1:OKD1"/>
    <mergeCell ref="OIG1:OIK1"/>
    <mergeCell ref="OIL1:OIP1"/>
    <mergeCell ref="OIQ1:OIU1"/>
    <mergeCell ref="OIV1:OIZ1"/>
    <mergeCell ref="OJA1:OJE1"/>
    <mergeCell ref="OHH1:OHL1"/>
    <mergeCell ref="OHM1:OHQ1"/>
    <mergeCell ref="OHR1:OHV1"/>
    <mergeCell ref="OHW1:OIA1"/>
    <mergeCell ref="OIB1:OIF1"/>
    <mergeCell ref="OGI1:OGM1"/>
    <mergeCell ref="OGN1:OGR1"/>
    <mergeCell ref="OGS1:OGW1"/>
    <mergeCell ref="OGX1:OHB1"/>
    <mergeCell ref="OHC1:OHG1"/>
    <mergeCell ref="OFJ1:OFN1"/>
    <mergeCell ref="OFO1:OFS1"/>
    <mergeCell ref="OFT1:OFX1"/>
    <mergeCell ref="OFY1:OGC1"/>
    <mergeCell ref="OGD1:OGH1"/>
    <mergeCell ref="OEK1:OEO1"/>
    <mergeCell ref="OEP1:OET1"/>
    <mergeCell ref="OEU1:OEY1"/>
    <mergeCell ref="OEZ1:OFD1"/>
    <mergeCell ref="OFE1:OFI1"/>
    <mergeCell ref="ODL1:ODP1"/>
    <mergeCell ref="ODQ1:ODU1"/>
    <mergeCell ref="ODV1:ODZ1"/>
    <mergeCell ref="OEA1:OEE1"/>
    <mergeCell ref="OEF1:OEJ1"/>
    <mergeCell ref="OCM1:OCQ1"/>
    <mergeCell ref="OCR1:OCV1"/>
    <mergeCell ref="OCW1:ODA1"/>
    <mergeCell ref="ODB1:ODF1"/>
    <mergeCell ref="ODG1:ODK1"/>
    <mergeCell ref="OBN1:OBR1"/>
    <mergeCell ref="OBS1:OBW1"/>
    <mergeCell ref="OBX1:OCB1"/>
    <mergeCell ref="OCC1:OCG1"/>
    <mergeCell ref="OCH1:OCL1"/>
    <mergeCell ref="OAO1:OAS1"/>
    <mergeCell ref="OAT1:OAX1"/>
    <mergeCell ref="OAY1:OBC1"/>
    <mergeCell ref="OBD1:OBH1"/>
    <mergeCell ref="OBI1:OBM1"/>
    <mergeCell ref="NZP1:NZT1"/>
    <mergeCell ref="NZU1:NZY1"/>
    <mergeCell ref="NZZ1:OAD1"/>
    <mergeCell ref="OAE1:OAI1"/>
    <mergeCell ref="OAJ1:OAN1"/>
    <mergeCell ref="NYQ1:NYU1"/>
    <mergeCell ref="NYV1:NYZ1"/>
    <mergeCell ref="NZA1:NZE1"/>
    <mergeCell ref="NZF1:NZJ1"/>
    <mergeCell ref="NZK1:NZO1"/>
    <mergeCell ref="NXR1:NXV1"/>
    <mergeCell ref="NXW1:NYA1"/>
    <mergeCell ref="NYB1:NYF1"/>
    <mergeCell ref="NYG1:NYK1"/>
    <mergeCell ref="NYL1:NYP1"/>
    <mergeCell ref="NWS1:NWW1"/>
    <mergeCell ref="NWX1:NXB1"/>
    <mergeCell ref="NXC1:NXG1"/>
    <mergeCell ref="NXH1:NXL1"/>
    <mergeCell ref="NXM1:NXQ1"/>
    <mergeCell ref="NVT1:NVX1"/>
    <mergeCell ref="NVY1:NWC1"/>
    <mergeCell ref="NWD1:NWH1"/>
    <mergeCell ref="NWI1:NWM1"/>
    <mergeCell ref="NWN1:NWR1"/>
    <mergeCell ref="NUU1:NUY1"/>
    <mergeCell ref="NUZ1:NVD1"/>
    <mergeCell ref="NVE1:NVI1"/>
    <mergeCell ref="NVJ1:NVN1"/>
    <mergeCell ref="NVO1:NVS1"/>
    <mergeCell ref="NTV1:NTZ1"/>
    <mergeCell ref="NUA1:NUE1"/>
    <mergeCell ref="NUF1:NUJ1"/>
    <mergeCell ref="NUK1:NUO1"/>
    <mergeCell ref="NUP1:NUT1"/>
    <mergeCell ref="NSW1:NTA1"/>
    <mergeCell ref="NTB1:NTF1"/>
    <mergeCell ref="NTG1:NTK1"/>
    <mergeCell ref="NTL1:NTP1"/>
    <mergeCell ref="NTQ1:NTU1"/>
    <mergeCell ref="NRX1:NSB1"/>
    <mergeCell ref="NSC1:NSG1"/>
    <mergeCell ref="NSH1:NSL1"/>
    <mergeCell ref="NSM1:NSQ1"/>
    <mergeCell ref="NSR1:NSV1"/>
    <mergeCell ref="NQY1:NRC1"/>
    <mergeCell ref="NRD1:NRH1"/>
    <mergeCell ref="NRI1:NRM1"/>
    <mergeCell ref="NRN1:NRR1"/>
    <mergeCell ref="NRS1:NRW1"/>
    <mergeCell ref="NPZ1:NQD1"/>
    <mergeCell ref="NQE1:NQI1"/>
    <mergeCell ref="NQJ1:NQN1"/>
    <mergeCell ref="NQO1:NQS1"/>
    <mergeCell ref="NQT1:NQX1"/>
    <mergeCell ref="NPA1:NPE1"/>
    <mergeCell ref="NPF1:NPJ1"/>
    <mergeCell ref="NPK1:NPO1"/>
    <mergeCell ref="NPP1:NPT1"/>
    <mergeCell ref="NPU1:NPY1"/>
    <mergeCell ref="NOB1:NOF1"/>
    <mergeCell ref="NOG1:NOK1"/>
    <mergeCell ref="NOL1:NOP1"/>
    <mergeCell ref="NOQ1:NOU1"/>
    <mergeCell ref="NOV1:NOZ1"/>
    <mergeCell ref="NNC1:NNG1"/>
    <mergeCell ref="NNH1:NNL1"/>
    <mergeCell ref="NNM1:NNQ1"/>
    <mergeCell ref="NNR1:NNV1"/>
    <mergeCell ref="NNW1:NOA1"/>
    <mergeCell ref="NMD1:NMH1"/>
    <mergeCell ref="NMI1:NMM1"/>
    <mergeCell ref="NMN1:NMR1"/>
    <mergeCell ref="NMS1:NMW1"/>
    <mergeCell ref="NMX1:NNB1"/>
    <mergeCell ref="NLE1:NLI1"/>
    <mergeCell ref="NLJ1:NLN1"/>
    <mergeCell ref="NLO1:NLS1"/>
    <mergeCell ref="NLT1:NLX1"/>
    <mergeCell ref="NLY1:NMC1"/>
    <mergeCell ref="NKF1:NKJ1"/>
    <mergeCell ref="NKK1:NKO1"/>
    <mergeCell ref="NKP1:NKT1"/>
    <mergeCell ref="NKU1:NKY1"/>
    <mergeCell ref="NKZ1:NLD1"/>
    <mergeCell ref="NJG1:NJK1"/>
    <mergeCell ref="NJL1:NJP1"/>
    <mergeCell ref="NJQ1:NJU1"/>
    <mergeCell ref="NJV1:NJZ1"/>
    <mergeCell ref="NKA1:NKE1"/>
    <mergeCell ref="NIH1:NIL1"/>
    <mergeCell ref="NIM1:NIQ1"/>
    <mergeCell ref="NIR1:NIV1"/>
    <mergeCell ref="NIW1:NJA1"/>
    <mergeCell ref="NJB1:NJF1"/>
    <mergeCell ref="NHI1:NHM1"/>
    <mergeCell ref="NHN1:NHR1"/>
    <mergeCell ref="NHS1:NHW1"/>
    <mergeCell ref="NHX1:NIB1"/>
    <mergeCell ref="NIC1:NIG1"/>
    <mergeCell ref="NGJ1:NGN1"/>
    <mergeCell ref="NGO1:NGS1"/>
    <mergeCell ref="NGT1:NGX1"/>
    <mergeCell ref="NGY1:NHC1"/>
    <mergeCell ref="NHD1:NHH1"/>
    <mergeCell ref="NFK1:NFO1"/>
    <mergeCell ref="NFP1:NFT1"/>
    <mergeCell ref="NFU1:NFY1"/>
    <mergeCell ref="NFZ1:NGD1"/>
    <mergeCell ref="NGE1:NGI1"/>
    <mergeCell ref="NEL1:NEP1"/>
    <mergeCell ref="NEQ1:NEU1"/>
    <mergeCell ref="NEV1:NEZ1"/>
    <mergeCell ref="NFA1:NFE1"/>
    <mergeCell ref="NFF1:NFJ1"/>
    <mergeCell ref="NDM1:NDQ1"/>
    <mergeCell ref="NDR1:NDV1"/>
    <mergeCell ref="NDW1:NEA1"/>
    <mergeCell ref="NEB1:NEF1"/>
    <mergeCell ref="NEG1:NEK1"/>
    <mergeCell ref="NCN1:NCR1"/>
    <mergeCell ref="NCS1:NCW1"/>
    <mergeCell ref="NCX1:NDB1"/>
    <mergeCell ref="NDC1:NDG1"/>
    <mergeCell ref="NDH1:NDL1"/>
    <mergeCell ref="NBO1:NBS1"/>
    <mergeCell ref="NBT1:NBX1"/>
    <mergeCell ref="NBY1:NCC1"/>
    <mergeCell ref="NCD1:NCH1"/>
    <mergeCell ref="NCI1:NCM1"/>
    <mergeCell ref="NAP1:NAT1"/>
    <mergeCell ref="NAU1:NAY1"/>
    <mergeCell ref="NAZ1:NBD1"/>
    <mergeCell ref="NBE1:NBI1"/>
    <mergeCell ref="NBJ1:NBN1"/>
    <mergeCell ref="MZQ1:MZU1"/>
    <mergeCell ref="MZV1:MZZ1"/>
    <mergeCell ref="NAA1:NAE1"/>
    <mergeCell ref="NAF1:NAJ1"/>
    <mergeCell ref="NAK1:NAO1"/>
    <mergeCell ref="MYR1:MYV1"/>
    <mergeCell ref="MYW1:MZA1"/>
    <mergeCell ref="MZB1:MZF1"/>
    <mergeCell ref="MZG1:MZK1"/>
    <mergeCell ref="MZL1:MZP1"/>
    <mergeCell ref="MXS1:MXW1"/>
    <mergeCell ref="MXX1:MYB1"/>
    <mergeCell ref="MYC1:MYG1"/>
    <mergeCell ref="MYH1:MYL1"/>
    <mergeCell ref="MYM1:MYQ1"/>
    <mergeCell ref="MWT1:MWX1"/>
    <mergeCell ref="MWY1:MXC1"/>
    <mergeCell ref="MXD1:MXH1"/>
    <mergeCell ref="MXI1:MXM1"/>
    <mergeCell ref="MXN1:MXR1"/>
    <mergeCell ref="MVU1:MVY1"/>
    <mergeCell ref="MVZ1:MWD1"/>
    <mergeCell ref="MWE1:MWI1"/>
    <mergeCell ref="MWJ1:MWN1"/>
    <mergeCell ref="MWO1:MWS1"/>
    <mergeCell ref="MUV1:MUZ1"/>
    <mergeCell ref="MVA1:MVE1"/>
    <mergeCell ref="MVF1:MVJ1"/>
    <mergeCell ref="MVK1:MVO1"/>
    <mergeCell ref="MVP1:MVT1"/>
    <mergeCell ref="MTW1:MUA1"/>
    <mergeCell ref="MUB1:MUF1"/>
    <mergeCell ref="MUG1:MUK1"/>
    <mergeCell ref="MUL1:MUP1"/>
    <mergeCell ref="MUQ1:MUU1"/>
    <mergeCell ref="MSX1:MTB1"/>
    <mergeCell ref="MTC1:MTG1"/>
    <mergeCell ref="MTH1:MTL1"/>
    <mergeCell ref="MTM1:MTQ1"/>
    <mergeCell ref="MTR1:MTV1"/>
    <mergeCell ref="MRY1:MSC1"/>
    <mergeCell ref="MSD1:MSH1"/>
    <mergeCell ref="MSI1:MSM1"/>
    <mergeCell ref="MSN1:MSR1"/>
    <mergeCell ref="MSS1:MSW1"/>
    <mergeCell ref="MQZ1:MRD1"/>
    <mergeCell ref="MRE1:MRI1"/>
    <mergeCell ref="MRJ1:MRN1"/>
    <mergeCell ref="MRO1:MRS1"/>
    <mergeCell ref="MRT1:MRX1"/>
    <mergeCell ref="MQA1:MQE1"/>
    <mergeCell ref="MQF1:MQJ1"/>
    <mergeCell ref="MQK1:MQO1"/>
    <mergeCell ref="MQP1:MQT1"/>
    <mergeCell ref="MQU1:MQY1"/>
    <mergeCell ref="MPB1:MPF1"/>
    <mergeCell ref="MPG1:MPK1"/>
    <mergeCell ref="MPL1:MPP1"/>
    <mergeCell ref="MPQ1:MPU1"/>
    <mergeCell ref="MPV1:MPZ1"/>
    <mergeCell ref="MOC1:MOG1"/>
    <mergeCell ref="MOH1:MOL1"/>
    <mergeCell ref="MOM1:MOQ1"/>
    <mergeCell ref="MOR1:MOV1"/>
    <mergeCell ref="MOW1:MPA1"/>
    <mergeCell ref="MND1:MNH1"/>
    <mergeCell ref="MNI1:MNM1"/>
    <mergeCell ref="MNN1:MNR1"/>
    <mergeCell ref="MNS1:MNW1"/>
    <mergeCell ref="MNX1:MOB1"/>
    <mergeCell ref="MME1:MMI1"/>
    <mergeCell ref="MMJ1:MMN1"/>
    <mergeCell ref="MMO1:MMS1"/>
    <mergeCell ref="MMT1:MMX1"/>
    <mergeCell ref="MMY1:MNC1"/>
    <mergeCell ref="MLF1:MLJ1"/>
    <mergeCell ref="MLK1:MLO1"/>
    <mergeCell ref="MLP1:MLT1"/>
    <mergeCell ref="MLU1:MLY1"/>
    <mergeCell ref="MLZ1:MMD1"/>
    <mergeCell ref="MKG1:MKK1"/>
    <mergeCell ref="MKL1:MKP1"/>
    <mergeCell ref="MKQ1:MKU1"/>
    <mergeCell ref="MKV1:MKZ1"/>
    <mergeCell ref="MLA1:MLE1"/>
    <mergeCell ref="MJH1:MJL1"/>
    <mergeCell ref="MJM1:MJQ1"/>
    <mergeCell ref="MJR1:MJV1"/>
    <mergeCell ref="MJW1:MKA1"/>
    <mergeCell ref="MKB1:MKF1"/>
    <mergeCell ref="MII1:MIM1"/>
    <mergeCell ref="MIN1:MIR1"/>
    <mergeCell ref="MIS1:MIW1"/>
    <mergeCell ref="MIX1:MJB1"/>
    <mergeCell ref="MJC1:MJG1"/>
    <mergeCell ref="MHJ1:MHN1"/>
    <mergeCell ref="MHO1:MHS1"/>
    <mergeCell ref="MHT1:MHX1"/>
    <mergeCell ref="MHY1:MIC1"/>
    <mergeCell ref="MID1:MIH1"/>
    <mergeCell ref="MGK1:MGO1"/>
    <mergeCell ref="MGP1:MGT1"/>
    <mergeCell ref="MGU1:MGY1"/>
    <mergeCell ref="MGZ1:MHD1"/>
    <mergeCell ref="MHE1:MHI1"/>
    <mergeCell ref="MFL1:MFP1"/>
    <mergeCell ref="MFQ1:MFU1"/>
    <mergeCell ref="MFV1:MFZ1"/>
    <mergeCell ref="MGA1:MGE1"/>
    <mergeCell ref="MGF1:MGJ1"/>
    <mergeCell ref="MEM1:MEQ1"/>
    <mergeCell ref="MER1:MEV1"/>
    <mergeCell ref="MEW1:MFA1"/>
    <mergeCell ref="MFB1:MFF1"/>
    <mergeCell ref="MFG1:MFK1"/>
    <mergeCell ref="MDN1:MDR1"/>
    <mergeCell ref="MDS1:MDW1"/>
    <mergeCell ref="MDX1:MEB1"/>
    <mergeCell ref="MEC1:MEG1"/>
    <mergeCell ref="MEH1:MEL1"/>
    <mergeCell ref="MCO1:MCS1"/>
    <mergeCell ref="MCT1:MCX1"/>
    <mergeCell ref="MCY1:MDC1"/>
    <mergeCell ref="MDD1:MDH1"/>
    <mergeCell ref="MDI1:MDM1"/>
    <mergeCell ref="MBP1:MBT1"/>
    <mergeCell ref="MBU1:MBY1"/>
    <mergeCell ref="MBZ1:MCD1"/>
    <mergeCell ref="MCE1:MCI1"/>
    <mergeCell ref="MCJ1:MCN1"/>
    <mergeCell ref="MAQ1:MAU1"/>
    <mergeCell ref="MAV1:MAZ1"/>
    <mergeCell ref="MBA1:MBE1"/>
    <mergeCell ref="MBF1:MBJ1"/>
    <mergeCell ref="MBK1:MBO1"/>
    <mergeCell ref="LZR1:LZV1"/>
    <mergeCell ref="LZW1:MAA1"/>
    <mergeCell ref="MAB1:MAF1"/>
    <mergeCell ref="MAG1:MAK1"/>
    <mergeCell ref="MAL1:MAP1"/>
    <mergeCell ref="LYS1:LYW1"/>
    <mergeCell ref="LYX1:LZB1"/>
    <mergeCell ref="LZC1:LZG1"/>
    <mergeCell ref="LZH1:LZL1"/>
    <mergeCell ref="LZM1:LZQ1"/>
    <mergeCell ref="LXT1:LXX1"/>
    <mergeCell ref="LXY1:LYC1"/>
    <mergeCell ref="LYD1:LYH1"/>
    <mergeCell ref="LYI1:LYM1"/>
    <mergeCell ref="LYN1:LYR1"/>
    <mergeCell ref="LWU1:LWY1"/>
    <mergeCell ref="LWZ1:LXD1"/>
    <mergeCell ref="LXE1:LXI1"/>
    <mergeCell ref="LXJ1:LXN1"/>
    <mergeCell ref="LXO1:LXS1"/>
    <mergeCell ref="LVV1:LVZ1"/>
    <mergeCell ref="LWA1:LWE1"/>
    <mergeCell ref="LWF1:LWJ1"/>
    <mergeCell ref="LWK1:LWO1"/>
    <mergeCell ref="LWP1:LWT1"/>
    <mergeCell ref="LUW1:LVA1"/>
    <mergeCell ref="LVB1:LVF1"/>
    <mergeCell ref="LVG1:LVK1"/>
    <mergeCell ref="LVL1:LVP1"/>
    <mergeCell ref="LVQ1:LVU1"/>
    <mergeCell ref="LTX1:LUB1"/>
    <mergeCell ref="LUC1:LUG1"/>
    <mergeCell ref="LUH1:LUL1"/>
    <mergeCell ref="LUM1:LUQ1"/>
    <mergeCell ref="LUR1:LUV1"/>
    <mergeCell ref="LSY1:LTC1"/>
    <mergeCell ref="LTD1:LTH1"/>
    <mergeCell ref="LTI1:LTM1"/>
    <mergeCell ref="LTN1:LTR1"/>
    <mergeCell ref="LTS1:LTW1"/>
    <mergeCell ref="LRZ1:LSD1"/>
    <mergeCell ref="LSE1:LSI1"/>
    <mergeCell ref="LSJ1:LSN1"/>
    <mergeCell ref="LSO1:LSS1"/>
    <mergeCell ref="LST1:LSX1"/>
    <mergeCell ref="LRA1:LRE1"/>
    <mergeCell ref="LRF1:LRJ1"/>
    <mergeCell ref="LRK1:LRO1"/>
    <mergeCell ref="LRP1:LRT1"/>
    <mergeCell ref="LRU1:LRY1"/>
    <mergeCell ref="LQB1:LQF1"/>
    <mergeCell ref="LQG1:LQK1"/>
    <mergeCell ref="LQL1:LQP1"/>
    <mergeCell ref="LQQ1:LQU1"/>
    <mergeCell ref="LQV1:LQZ1"/>
    <mergeCell ref="LPC1:LPG1"/>
    <mergeCell ref="LPH1:LPL1"/>
    <mergeCell ref="LPM1:LPQ1"/>
    <mergeCell ref="LPR1:LPV1"/>
    <mergeCell ref="LPW1:LQA1"/>
    <mergeCell ref="LOD1:LOH1"/>
    <mergeCell ref="LOI1:LOM1"/>
    <mergeCell ref="LON1:LOR1"/>
    <mergeCell ref="LOS1:LOW1"/>
    <mergeCell ref="LOX1:LPB1"/>
    <mergeCell ref="LNE1:LNI1"/>
    <mergeCell ref="LNJ1:LNN1"/>
    <mergeCell ref="LNO1:LNS1"/>
    <mergeCell ref="LNT1:LNX1"/>
    <mergeCell ref="LNY1:LOC1"/>
    <mergeCell ref="LMF1:LMJ1"/>
    <mergeCell ref="LMK1:LMO1"/>
    <mergeCell ref="LMP1:LMT1"/>
    <mergeCell ref="LMU1:LMY1"/>
    <mergeCell ref="LMZ1:LND1"/>
    <mergeCell ref="LLG1:LLK1"/>
    <mergeCell ref="LLL1:LLP1"/>
    <mergeCell ref="LLQ1:LLU1"/>
    <mergeCell ref="LLV1:LLZ1"/>
    <mergeCell ref="LMA1:LME1"/>
    <mergeCell ref="LKH1:LKL1"/>
    <mergeCell ref="LKM1:LKQ1"/>
    <mergeCell ref="LKR1:LKV1"/>
    <mergeCell ref="LKW1:LLA1"/>
    <mergeCell ref="LLB1:LLF1"/>
    <mergeCell ref="LJI1:LJM1"/>
    <mergeCell ref="LJN1:LJR1"/>
    <mergeCell ref="LJS1:LJW1"/>
    <mergeCell ref="LJX1:LKB1"/>
    <mergeCell ref="LKC1:LKG1"/>
    <mergeCell ref="LIJ1:LIN1"/>
    <mergeCell ref="LIO1:LIS1"/>
    <mergeCell ref="LIT1:LIX1"/>
    <mergeCell ref="LIY1:LJC1"/>
    <mergeCell ref="LJD1:LJH1"/>
    <mergeCell ref="LHK1:LHO1"/>
    <mergeCell ref="LHP1:LHT1"/>
    <mergeCell ref="LHU1:LHY1"/>
    <mergeCell ref="LHZ1:LID1"/>
    <mergeCell ref="LIE1:LII1"/>
    <mergeCell ref="LGL1:LGP1"/>
    <mergeCell ref="LGQ1:LGU1"/>
    <mergeCell ref="LGV1:LGZ1"/>
    <mergeCell ref="LHA1:LHE1"/>
    <mergeCell ref="LHF1:LHJ1"/>
    <mergeCell ref="LFM1:LFQ1"/>
    <mergeCell ref="LFR1:LFV1"/>
    <mergeCell ref="LFW1:LGA1"/>
    <mergeCell ref="LGB1:LGF1"/>
    <mergeCell ref="LGG1:LGK1"/>
    <mergeCell ref="LEN1:LER1"/>
    <mergeCell ref="LES1:LEW1"/>
    <mergeCell ref="LEX1:LFB1"/>
    <mergeCell ref="LFC1:LFG1"/>
    <mergeCell ref="LFH1:LFL1"/>
    <mergeCell ref="LDO1:LDS1"/>
    <mergeCell ref="LDT1:LDX1"/>
    <mergeCell ref="LDY1:LEC1"/>
    <mergeCell ref="LED1:LEH1"/>
    <mergeCell ref="LEI1:LEM1"/>
    <mergeCell ref="LCP1:LCT1"/>
    <mergeCell ref="LCU1:LCY1"/>
    <mergeCell ref="LCZ1:LDD1"/>
    <mergeCell ref="LDE1:LDI1"/>
    <mergeCell ref="LDJ1:LDN1"/>
    <mergeCell ref="LBQ1:LBU1"/>
    <mergeCell ref="LBV1:LBZ1"/>
    <mergeCell ref="LCA1:LCE1"/>
    <mergeCell ref="LCF1:LCJ1"/>
    <mergeCell ref="LCK1:LCO1"/>
    <mergeCell ref="LAR1:LAV1"/>
    <mergeCell ref="LAW1:LBA1"/>
    <mergeCell ref="LBB1:LBF1"/>
    <mergeCell ref="LBG1:LBK1"/>
    <mergeCell ref="LBL1:LBP1"/>
    <mergeCell ref="KZS1:KZW1"/>
    <mergeCell ref="KZX1:LAB1"/>
    <mergeCell ref="LAC1:LAG1"/>
    <mergeCell ref="LAH1:LAL1"/>
    <mergeCell ref="LAM1:LAQ1"/>
    <mergeCell ref="KYT1:KYX1"/>
    <mergeCell ref="KYY1:KZC1"/>
    <mergeCell ref="KZD1:KZH1"/>
    <mergeCell ref="KZI1:KZM1"/>
    <mergeCell ref="KZN1:KZR1"/>
    <mergeCell ref="KXU1:KXY1"/>
    <mergeCell ref="KXZ1:KYD1"/>
    <mergeCell ref="KYE1:KYI1"/>
    <mergeCell ref="KYJ1:KYN1"/>
    <mergeCell ref="KYO1:KYS1"/>
    <mergeCell ref="KWV1:KWZ1"/>
    <mergeCell ref="KXA1:KXE1"/>
    <mergeCell ref="KXF1:KXJ1"/>
    <mergeCell ref="KXK1:KXO1"/>
    <mergeCell ref="KXP1:KXT1"/>
    <mergeCell ref="KVW1:KWA1"/>
    <mergeCell ref="KWB1:KWF1"/>
    <mergeCell ref="KWG1:KWK1"/>
    <mergeCell ref="KWL1:KWP1"/>
    <mergeCell ref="KWQ1:KWU1"/>
    <mergeCell ref="KUX1:KVB1"/>
    <mergeCell ref="KVC1:KVG1"/>
    <mergeCell ref="KVH1:KVL1"/>
    <mergeCell ref="KVM1:KVQ1"/>
    <mergeCell ref="KVR1:KVV1"/>
    <mergeCell ref="KTY1:KUC1"/>
    <mergeCell ref="KUD1:KUH1"/>
    <mergeCell ref="KUI1:KUM1"/>
    <mergeCell ref="KUN1:KUR1"/>
    <mergeCell ref="KUS1:KUW1"/>
    <mergeCell ref="KSZ1:KTD1"/>
    <mergeCell ref="KTE1:KTI1"/>
    <mergeCell ref="KTJ1:KTN1"/>
    <mergeCell ref="KTO1:KTS1"/>
    <mergeCell ref="KTT1:KTX1"/>
    <mergeCell ref="KSA1:KSE1"/>
    <mergeCell ref="KSF1:KSJ1"/>
    <mergeCell ref="KSK1:KSO1"/>
    <mergeCell ref="KSP1:KST1"/>
    <mergeCell ref="KSU1:KSY1"/>
    <mergeCell ref="KRB1:KRF1"/>
    <mergeCell ref="KRG1:KRK1"/>
    <mergeCell ref="KRL1:KRP1"/>
    <mergeCell ref="KRQ1:KRU1"/>
    <mergeCell ref="KRV1:KRZ1"/>
    <mergeCell ref="KQC1:KQG1"/>
    <mergeCell ref="KQH1:KQL1"/>
    <mergeCell ref="KQM1:KQQ1"/>
    <mergeCell ref="KQR1:KQV1"/>
    <mergeCell ref="KQW1:KRA1"/>
    <mergeCell ref="KPD1:KPH1"/>
    <mergeCell ref="KPI1:KPM1"/>
    <mergeCell ref="KPN1:KPR1"/>
    <mergeCell ref="KPS1:KPW1"/>
    <mergeCell ref="KPX1:KQB1"/>
    <mergeCell ref="KOE1:KOI1"/>
    <mergeCell ref="KOJ1:KON1"/>
    <mergeCell ref="KOO1:KOS1"/>
    <mergeCell ref="KOT1:KOX1"/>
    <mergeCell ref="KOY1:KPC1"/>
    <mergeCell ref="KNF1:KNJ1"/>
    <mergeCell ref="KNK1:KNO1"/>
    <mergeCell ref="KNP1:KNT1"/>
    <mergeCell ref="KNU1:KNY1"/>
    <mergeCell ref="KNZ1:KOD1"/>
    <mergeCell ref="KMG1:KMK1"/>
    <mergeCell ref="KML1:KMP1"/>
    <mergeCell ref="KMQ1:KMU1"/>
    <mergeCell ref="KMV1:KMZ1"/>
    <mergeCell ref="KNA1:KNE1"/>
    <mergeCell ref="KLH1:KLL1"/>
    <mergeCell ref="KLM1:KLQ1"/>
    <mergeCell ref="KLR1:KLV1"/>
    <mergeCell ref="KLW1:KMA1"/>
    <mergeCell ref="KMB1:KMF1"/>
    <mergeCell ref="KKI1:KKM1"/>
    <mergeCell ref="KKN1:KKR1"/>
    <mergeCell ref="KKS1:KKW1"/>
    <mergeCell ref="KKX1:KLB1"/>
    <mergeCell ref="KLC1:KLG1"/>
    <mergeCell ref="KJJ1:KJN1"/>
    <mergeCell ref="KJO1:KJS1"/>
    <mergeCell ref="KJT1:KJX1"/>
    <mergeCell ref="KJY1:KKC1"/>
    <mergeCell ref="KKD1:KKH1"/>
    <mergeCell ref="KIK1:KIO1"/>
    <mergeCell ref="KIP1:KIT1"/>
    <mergeCell ref="KIU1:KIY1"/>
    <mergeCell ref="KIZ1:KJD1"/>
    <mergeCell ref="KJE1:KJI1"/>
    <mergeCell ref="KHL1:KHP1"/>
    <mergeCell ref="KHQ1:KHU1"/>
    <mergeCell ref="KHV1:KHZ1"/>
    <mergeCell ref="KIA1:KIE1"/>
    <mergeCell ref="KIF1:KIJ1"/>
    <mergeCell ref="KGM1:KGQ1"/>
    <mergeCell ref="KGR1:KGV1"/>
    <mergeCell ref="KGW1:KHA1"/>
    <mergeCell ref="KHB1:KHF1"/>
    <mergeCell ref="KHG1:KHK1"/>
    <mergeCell ref="KFN1:KFR1"/>
    <mergeCell ref="KFS1:KFW1"/>
    <mergeCell ref="KFX1:KGB1"/>
    <mergeCell ref="KGC1:KGG1"/>
    <mergeCell ref="KGH1:KGL1"/>
    <mergeCell ref="KEO1:KES1"/>
    <mergeCell ref="KET1:KEX1"/>
    <mergeCell ref="KEY1:KFC1"/>
    <mergeCell ref="KFD1:KFH1"/>
    <mergeCell ref="KFI1:KFM1"/>
    <mergeCell ref="KDP1:KDT1"/>
    <mergeCell ref="KDU1:KDY1"/>
    <mergeCell ref="KDZ1:KED1"/>
    <mergeCell ref="KEE1:KEI1"/>
    <mergeCell ref="KEJ1:KEN1"/>
    <mergeCell ref="KCQ1:KCU1"/>
    <mergeCell ref="KCV1:KCZ1"/>
    <mergeCell ref="KDA1:KDE1"/>
    <mergeCell ref="KDF1:KDJ1"/>
    <mergeCell ref="KDK1:KDO1"/>
    <mergeCell ref="KBR1:KBV1"/>
    <mergeCell ref="KBW1:KCA1"/>
    <mergeCell ref="KCB1:KCF1"/>
    <mergeCell ref="KCG1:KCK1"/>
    <mergeCell ref="KCL1:KCP1"/>
    <mergeCell ref="KAS1:KAW1"/>
    <mergeCell ref="KAX1:KBB1"/>
    <mergeCell ref="KBC1:KBG1"/>
    <mergeCell ref="KBH1:KBL1"/>
    <mergeCell ref="KBM1:KBQ1"/>
    <mergeCell ref="JZT1:JZX1"/>
    <mergeCell ref="JZY1:KAC1"/>
    <mergeCell ref="KAD1:KAH1"/>
    <mergeCell ref="KAI1:KAM1"/>
    <mergeCell ref="KAN1:KAR1"/>
    <mergeCell ref="JYU1:JYY1"/>
    <mergeCell ref="JYZ1:JZD1"/>
    <mergeCell ref="JZE1:JZI1"/>
    <mergeCell ref="JZJ1:JZN1"/>
    <mergeCell ref="JZO1:JZS1"/>
    <mergeCell ref="JXV1:JXZ1"/>
    <mergeCell ref="JYA1:JYE1"/>
    <mergeCell ref="JYF1:JYJ1"/>
    <mergeCell ref="JYK1:JYO1"/>
    <mergeCell ref="JYP1:JYT1"/>
    <mergeCell ref="JWW1:JXA1"/>
    <mergeCell ref="JXB1:JXF1"/>
    <mergeCell ref="JXG1:JXK1"/>
    <mergeCell ref="JXL1:JXP1"/>
    <mergeCell ref="JXQ1:JXU1"/>
    <mergeCell ref="JVX1:JWB1"/>
    <mergeCell ref="JWC1:JWG1"/>
    <mergeCell ref="JWH1:JWL1"/>
    <mergeCell ref="JWM1:JWQ1"/>
    <mergeCell ref="JWR1:JWV1"/>
    <mergeCell ref="JUY1:JVC1"/>
    <mergeCell ref="JVD1:JVH1"/>
    <mergeCell ref="JVI1:JVM1"/>
    <mergeCell ref="JVN1:JVR1"/>
    <mergeCell ref="JVS1:JVW1"/>
    <mergeCell ref="JTZ1:JUD1"/>
    <mergeCell ref="JUE1:JUI1"/>
    <mergeCell ref="JUJ1:JUN1"/>
    <mergeCell ref="JUO1:JUS1"/>
    <mergeCell ref="JUT1:JUX1"/>
    <mergeCell ref="JTA1:JTE1"/>
    <mergeCell ref="JTF1:JTJ1"/>
    <mergeCell ref="JTK1:JTO1"/>
    <mergeCell ref="JTP1:JTT1"/>
    <mergeCell ref="JTU1:JTY1"/>
    <mergeCell ref="JSB1:JSF1"/>
    <mergeCell ref="JSG1:JSK1"/>
    <mergeCell ref="JSL1:JSP1"/>
    <mergeCell ref="JSQ1:JSU1"/>
    <mergeCell ref="JSV1:JSZ1"/>
    <mergeCell ref="JRC1:JRG1"/>
    <mergeCell ref="JRH1:JRL1"/>
    <mergeCell ref="JRM1:JRQ1"/>
    <mergeCell ref="JRR1:JRV1"/>
    <mergeCell ref="JRW1:JSA1"/>
    <mergeCell ref="JQD1:JQH1"/>
    <mergeCell ref="JQI1:JQM1"/>
    <mergeCell ref="JQN1:JQR1"/>
    <mergeCell ref="JQS1:JQW1"/>
    <mergeCell ref="JQX1:JRB1"/>
    <mergeCell ref="JPE1:JPI1"/>
    <mergeCell ref="JPJ1:JPN1"/>
    <mergeCell ref="JPO1:JPS1"/>
    <mergeCell ref="JPT1:JPX1"/>
    <mergeCell ref="JPY1:JQC1"/>
    <mergeCell ref="JOF1:JOJ1"/>
    <mergeCell ref="JOK1:JOO1"/>
    <mergeCell ref="JOP1:JOT1"/>
    <mergeCell ref="JOU1:JOY1"/>
    <mergeCell ref="JOZ1:JPD1"/>
    <mergeCell ref="JNG1:JNK1"/>
    <mergeCell ref="JNL1:JNP1"/>
    <mergeCell ref="JNQ1:JNU1"/>
    <mergeCell ref="JNV1:JNZ1"/>
    <mergeCell ref="JOA1:JOE1"/>
    <mergeCell ref="JMH1:JML1"/>
    <mergeCell ref="JMM1:JMQ1"/>
    <mergeCell ref="JMR1:JMV1"/>
    <mergeCell ref="JMW1:JNA1"/>
    <mergeCell ref="JNB1:JNF1"/>
    <mergeCell ref="JLI1:JLM1"/>
    <mergeCell ref="JLN1:JLR1"/>
    <mergeCell ref="JLS1:JLW1"/>
    <mergeCell ref="JLX1:JMB1"/>
    <mergeCell ref="JMC1:JMG1"/>
    <mergeCell ref="JKJ1:JKN1"/>
    <mergeCell ref="JKO1:JKS1"/>
    <mergeCell ref="JKT1:JKX1"/>
    <mergeCell ref="JKY1:JLC1"/>
    <mergeCell ref="JLD1:JLH1"/>
    <mergeCell ref="JJK1:JJO1"/>
    <mergeCell ref="JJP1:JJT1"/>
    <mergeCell ref="JJU1:JJY1"/>
    <mergeCell ref="JJZ1:JKD1"/>
    <mergeCell ref="JKE1:JKI1"/>
    <mergeCell ref="JIL1:JIP1"/>
    <mergeCell ref="JIQ1:JIU1"/>
    <mergeCell ref="JIV1:JIZ1"/>
    <mergeCell ref="JJA1:JJE1"/>
    <mergeCell ref="JJF1:JJJ1"/>
    <mergeCell ref="JHM1:JHQ1"/>
    <mergeCell ref="JHR1:JHV1"/>
    <mergeCell ref="JHW1:JIA1"/>
    <mergeCell ref="JIB1:JIF1"/>
    <mergeCell ref="JIG1:JIK1"/>
    <mergeCell ref="JGN1:JGR1"/>
    <mergeCell ref="JGS1:JGW1"/>
    <mergeCell ref="JGX1:JHB1"/>
    <mergeCell ref="JHC1:JHG1"/>
    <mergeCell ref="JHH1:JHL1"/>
    <mergeCell ref="JFO1:JFS1"/>
    <mergeCell ref="JFT1:JFX1"/>
    <mergeCell ref="JFY1:JGC1"/>
    <mergeCell ref="JGD1:JGH1"/>
    <mergeCell ref="JGI1:JGM1"/>
    <mergeCell ref="JEP1:JET1"/>
    <mergeCell ref="JEU1:JEY1"/>
    <mergeCell ref="JEZ1:JFD1"/>
    <mergeCell ref="JFE1:JFI1"/>
    <mergeCell ref="JFJ1:JFN1"/>
    <mergeCell ref="JDQ1:JDU1"/>
    <mergeCell ref="JDV1:JDZ1"/>
    <mergeCell ref="JEA1:JEE1"/>
    <mergeCell ref="JEF1:JEJ1"/>
    <mergeCell ref="JEK1:JEO1"/>
    <mergeCell ref="JCR1:JCV1"/>
    <mergeCell ref="JCW1:JDA1"/>
    <mergeCell ref="JDB1:JDF1"/>
    <mergeCell ref="JDG1:JDK1"/>
    <mergeCell ref="JDL1:JDP1"/>
    <mergeCell ref="JBS1:JBW1"/>
    <mergeCell ref="JBX1:JCB1"/>
    <mergeCell ref="JCC1:JCG1"/>
    <mergeCell ref="JCH1:JCL1"/>
    <mergeCell ref="JCM1:JCQ1"/>
    <mergeCell ref="JAT1:JAX1"/>
    <mergeCell ref="JAY1:JBC1"/>
    <mergeCell ref="JBD1:JBH1"/>
    <mergeCell ref="JBI1:JBM1"/>
    <mergeCell ref="JBN1:JBR1"/>
    <mergeCell ref="IZU1:IZY1"/>
    <mergeCell ref="IZZ1:JAD1"/>
    <mergeCell ref="JAE1:JAI1"/>
    <mergeCell ref="JAJ1:JAN1"/>
    <mergeCell ref="JAO1:JAS1"/>
    <mergeCell ref="IYV1:IYZ1"/>
    <mergeCell ref="IZA1:IZE1"/>
    <mergeCell ref="IZF1:IZJ1"/>
    <mergeCell ref="IZK1:IZO1"/>
    <mergeCell ref="IZP1:IZT1"/>
    <mergeCell ref="IXW1:IYA1"/>
    <mergeCell ref="IYB1:IYF1"/>
    <mergeCell ref="IYG1:IYK1"/>
    <mergeCell ref="IYL1:IYP1"/>
    <mergeCell ref="IYQ1:IYU1"/>
    <mergeCell ref="IWX1:IXB1"/>
    <mergeCell ref="IXC1:IXG1"/>
    <mergeCell ref="IXH1:IXL1"/>
    <mergeCell ref="IXM1:IXQ1"/>
    <mergeCell ref="IXR1:IXV1"/>
    <mergeCell ref="IVY1:IWC1"/>
    <mergeCell ref="IWD1:IWH1"/>
    <mergeCell ref="IWI1:IWM1"/>
    <mergeCell ref="IWN1:IWR1"/>
    <mergeCell ref="IWS1:IWW1"/>
    <mergeCell ref="IUZ1:IVD1"/>
    <mergeCell ref="IVE1:IVI1"/>
    <mergeCell ref="IVJ1:IVN1"/>
    <mergeCell ref="IVO1:IVS1"/>
    <mergeCell ref="IVT1:IVX1"/>
    <mergeCell ref="IUA1:IUE1"/>
    <mergeCell ref="IUF1:IUJ1"/>
    <mergeCell ref="IUK1:IUO1"/>
    <mergeCell ref="IUP1:IUT1"/>
    <mergeCell ref="IUU1:IUY1"/>
    <mergeCell ref="ITB1:ITF1"/>
    <mergeCell ref="ITG1:ITK1"/>
    <mergeCell ref="ITL1:ITP1"/>
    <mergeCell ref="ITQ1:ITU1"/>
    <mergeCell ref="ITV1:ITZ1"/>
    <mergeCell ref="ISC1:ISG1"/>
    <mergeCell ref="ISH1:ISL1"/>
    <mergeCell ref="ISM1:ISQ1"/>
    <mergeCell ref="ISR1:ISV1"/>
    <mergeCell ref="ISW1:ITA1"/>
    <mergeCell ref="IRD1:IRH1"/>
    <mergeCell ref="IRI1:IRM1"/>
    <mergeCell ref="IRN1:IRR1"/>
    <mergeCell ref="IRS1:IRW1"/>
    <mergeCell ref="IRX1:ISB1"/>
    <mergeCell ref="IQE1:IQI1"/>
    <mergeCell ref="IQJ1:IQN1"/>
    <mergeCell ref="IQO1:IQS1"/>
    <mergeCell ref="IQT1:IQX1"/>
    <mergeCell ref="IQY1:IRC1"/>
    <mergeCell ref="IPF1:IPJ1"/>
    <mergeCell ref="IPK1:IPO1"/>
    <mergeCell ref="IPP1:IPT1"/>
    <mergeCell ref="IPU1:IPY1"/>
    <mergeCell ref="IPZ1:IQD1"/>
    <mergeCell ref="IOG1:IOK1"/>
    <mergeCell ref="IOL1:IOP1"/>
    <mergeCell ref="IOQ1:IOU1"/>
    <mergeCell ref="IOV1:IOZ1"/>
    <mergeCell ref="IPA1:IPE1"/>
    <mergeCell ref="INH1:INL1"/>
    <mergeCell ref="INM1:INQ1"/>
    <mergeCell ref="INR1:INV1"/>
    <mergeCell ref="INW1:IOA1"/>
    <mergeCell ref="IOB1:IOF1"/>
    <mergeCell ref="IMI1:IMM1"/>
    <mergeCell ref="IMN1:IMR1"/>
    <mergeCell ref="IMS1:IMW1"/>
    <mergeCell ref="IMX1:INB1"/>
    <mergeCell ref="INC1:ING1"/>
    <mergeCell ref="ILJ1:ILN1"/>
    <mergeCell ref="ILO1:ILS1"/>
    <mergeCell ref="ILT1:ILX1"/>
    <mergeCell ref="ILY1:IMC1"/>
    <mergeCell ref="IMD1:IMH1"/>
    <mergeCell ref="IKK1:IKO1"/>
    <mergeCell ref="IKP1:IKT1"/>
    <mergeCell ref="IKU1:IKY1"/>
    <mergeCell ref="IKZ1:ILD1"/>
    <mergeCell ref="ILE1:ILI1"/>
    <mergeCell ref="IJL1:IJP1"/>
    <mergeCell ref="IJQ1:IJU1"/>
    <mergeCell ref="IJV1:IJZ1"/>
    <mergeCell ref="IKA1:IKE1"/>
    <mergeCell ref="IKF1:IKJ1"/>
    <mergeCell ref="IIM1:IIQ1"/>
    <mergeCell ref="IIR1:IIV1"/>
    <mergeCell ref="IIW1:IJA1"/>
    <mergeCell ref="IJB1:IJF1"/>
    <mergeCell ref="IJG1:IJK1"/>
    <mergeCell ref="IHN1:IHR1"/>
    <mergeCell ref="IHS1:IHW1"/>
    <mergeCell ref="IHX1:IIB1"/>
    <mergeCell ref="IIC1:IIG1"/>
    <mergeCell ref="IIH1:IIL1"/>
    <mergeCell ref="IGO1:IGS1"/>
    <mergeCell ref="IGT1:IGX1"/>
    <mergeCell ref="IGY1:IHC1"/>
    <mergeCell ref="IHD1:IHH1"/>
    <mergeCell ref="IHI1:IHM1"/>
    <mergeCell ref="IFP1:IFT1"/>
    <mergeCell ref="IFU1:IFY1"/>
    <mergeCell ref="IFZ1:IGD1"/>
    <mergeCell ref="IGE1:IGI1"/>
    <mergeCell ref="IGJ1:IGN1"/>
    <mergeCell ref="IEQ1:IEU1"/>
    <mergeCell ref="IEV1:IEZ1"/>
    <mergeCell ref="IFA1:IFE1"/>
    <mergeCell ref="IFF1:IFJ1"/>
    <mergeCell ref="IFK1:IFO1"/>
    <mergeCell ref="IDR1:IDV1"/>
    <mergeCell ref="IDW1:IEA1"/>
    <mergeCell ref="IEB1:IEF1"/>
    <mergeCell ref="IEG1:IEK1"/>
    <mergeCell ref="IEL1:IEP1"/>
    <mergeCell ref="ICS1:ICW1"/>
    <mergeCell ref="ICX1:IDB1"/>
    <mergeCell ref="IDC1:IDG1"/>
    <mergeCell ref="IDH1:IDL1"/>
    <mergeCell ref="IDM1:IDQ1"/>
    <mergeCell ref="IBT1:IBX1"/>
    <mergeCell ref="IBY1:ICC1"/>
    <mergeCell ref="ICD1:ICH1"/>
    <mergeCell ref="ICI1:ICM1"/>
    <mergeCell ref="ICN1:ICR1"/>
    <mergeCell ref="IAU1:IAY1"/>
    <mergeCell ref="IAZ1:IBD1"/>
    <mergeCell ref="IBE1:IBI1"/>
    <mergeCell ref="IBJ1:IBN1"/>
    <mergeCell ref="IBO1:IBS1"/>
    <mergeCell ref="HZV1:HZZ1"/>
    <mergeCell ref="IAA1:IAE1"/>
    <mergeCell ref="IAF1:IAJ1"/>
    <mergeCell ref="IAK1:IAO1"/>
    <mergeCell ref="IAP1:IAT1"/>
    <mergeCell ref="HYW1:HZA1"/>
    <mergeCell ref="HZB1:HZF1"/>
    <mergeCell ref="HZG1:HZK1"/>
    <mergeCell ref="HZL1:HZP1"/>
    <mergeCell ref="HZQ1:HZU1"/>
    <mergeCell ref="HXX1:HYB1"/>
    <mergeCell ref="HYC1:HYG1"/>
    <mergeCell ref="HYH1:HYL1"/>
    <mergeCell ref="HYM1:HYQ1"/>
    <mergeCell ref="HYR1:HYV1"/>
    <mergeCell ref="HWY1:HXC1"/>
    <mergeCell ref="HXD1:HXH1"/>
    <mergeCell ref="HXI1:HXM1"/>
    <mergeCell ref="HXN1:HXR1"/>
    <mergeCell ref="HXS1:HXW1"/>
    <mergeCell ref="HVZ1:HWD1"/>
    <mergeCell ref="HWE1:HWI1"/>
    <mergeCell ref="HWJ1:HWN1"/>
    <mergeCell ref="HWO1:HWS1"/>
    <mergeCell ref="HWT1:HWX1"/>
    <mergeCell ref="HVA1:HVE1"/>
    <mergeCell ref="HVF1:HVJ1"/>
    <mergeCell ref="HVK1:HVO1"/>
    <mergeCell ref="HVP1:HVT1"/>
    <mergeCell ref="HVU1:HVY1"/>
    <mergeCell ref="HUB1:HUF1"/>
    <mergeCell ref="HUG1:HUK1"/>
    <mergeCell ref="HUL1:HUP1"/>
    <mergeCell ref="HUQ1:HUU1"/>
    <mergeCell ref="HUV1:HUZ1"/>
    <mergeCell ref="HTC1:HTG1"/>
    <mergeCell ref="HTH1:HTL1"/>
    <mergeCell ref="HTM1:HTQ1"/>
    <mergeCell ref="HTR1:HTV1"/>
    <mergeCell ref="HTW1:HUA1"/>
    <mergeCell ref="HSD1:HSH1"/>
    <mergeCell ref="HSI1:HSM1"/>
    <mergeCell ref="HSN1:HSR1"/>
    <mergeCell ref="HSS1:HSW1"/>
    <mergeCell ref="HSX1:HTB1"/>
    <mergeCell ref="HRE1:HRI1"/>
    <mergeCell ref="HRJ1:HRN1"/>
    <mergeCell ref="HRO1:HRS1"/>
    <mergeCell ref="HRT1:HRX1"/>
    <mergeCell ref="HRY1:HSC1"/>
    <mergeCell ref="HQF1:HQJ1"/>
    <mergeCell ref="HQK1:HQO1"/>
    <mergeCell ref="HQP1:HQT1"/>
    <mergeCell ref="HQU1:HQY1"/>
    <mergeCell ref="HQZ1:HRD1"/>
    <mergeCell ref="HPG1:HPK1"/>
    <mergeCell ref="HPL1:HPP1"/>
    <mergeCell ref="HPQ1:HPU1"/>
    <mergeCell ref="HPV1:HPZ1"/>
    <mergeCell ref="HQA1:HQE1"/>
    <mergeCell ref="HOH1:HOL1"/>
    <mergeCell ref="HOM1:HOQ1"/>
    <mergeCell ref="HOR1:HOV1"/>
    <mergeCell ref="HOW1:HPA1"/>
    <mergeCell ref="HPB1:HPF1"/>
    <mergeCell ref="HNI1:HNM1"/>
    <mergeCell ref="HNN1:HNR1"/>
    <mergeCell ref="HNS1:HNW1"/>
    <mergeCell ref="HNX1:HOB1"/>
    <mergeCell ref="HOC1:HOG1"/>
    <mergeCell ref="HMJ1:HMN1"/>
    <mergeCell ref="HMO1:HMS1"/>
    <mergeCell ref="HMT1:HMX1"/>
    <mergeCell ref="HMY1:HNC1"/>
    <mergeCell ref="HND1:HNH1"/>
    <mergeCell ref="HLK1:HLO1"/>
    <mergeCell ref="HLP1:HLT1"/>
    <mergeCell ref="HLU1:HLY1"/>
    <mergeCell ref="HLZ1:HMD1"/>
    <mergeCell ref="HME1:HMI1"/>
    <mergeCell ref="HKL1:HKP1"/>
    <mergeCell ref="HKQ1:HKU1"/>
    <mergeCell ref="HKV1:HKZ1"/>
    <mergeCell ref="HLA1:HLE1"/>
    <mergeCell ref="HLF1:HLJ1"/>
    <mergeCell ref="HJM1:HJQ1"/>
    <mergeCell ref="HJR1:HJV1"/>
    <mergeCell ref="HJW1:HKA1"/>
    <mergeCell ref="HKB1:HKF1"/>
    <mergeCell ref="HKG1:HKK1"/>
    <mergeCell ref="HIN1:HIR1"/>
    <mergeCell ref="HIS1:HIW1"/>
    <mergeCell ref="HIX1:HJB1"/>
    <mergeCell ref="HJC1:HJG1"/>
    <mergeCell ref="HJH1:HJL1"/>
    <mergeCell ref="HHO1:HHS1"/>
    <mergeCell ref="HHT1:HHX1"/>
    <mergeCell ref="HHY1:HIC1"/>
    <mergeCell ref="HID1:HIH1"/>
    <mergeCell ref="HII1:HIM1"/>
    <mergeCell ref="HGP1:HGT1"/>
    <mergeCell ref="HGU1:HGY1"/>
    <mergeCell ref="HGZ1:HHD1"/>
    <mergeCell ref="HHE1:HHI1"/>
    <mergeCell ref="HHJ1:HHN1"/>
    <mergeCell ref="HFQ1:HFU1"/>
    <mergeCell ref="HFV1:HFZ1"/>
    <mergeCell ref="HGA1:HGE1"/>
    <mergeCell ref="HGF1:HGJ1"/>
    <mergeCell ref="HGK1:HGO1"/>
    <mergeCell ref="HER1:HEV1"/>
    <mergeCell ref="HEW1:HFA1"/>
    <mergeCell ref="HFB1:HFF1"/>
    <mergeCell ref="HFG1:HFK1"/>
    <mergeCell ref="HFL1:HFP1"/>
    <mergeCell ref="HDS1:HDW1"/>
    <mergeCell ref="HDX1:HEB1"/>
    <mergeCell ref="HEC1:HEG1"/>
    <mergeCell ref="HEH1:HEL1"/>
    <mergeCell ref="HEM1:HEQ1"/>
    <mergeCell ref="HCT1:HCX1"/>
    <mergeCell ref="HCY1:HDC1"/>
    <mergeCell ref="HDD1:HDH1"/>
    <mergeCell ref="HDI1:HDM1"/>
    <mergeCell ref="HDN1:HDR1"/>
    <mergeCell ref="HBU1:HBY1"/>
    <mergeCell ref="HBZ1:HCD1"/>
    <mergeCell ref="HCE1:HCI1"/>
    <mergeCell ref="HCJ1:HCN1"/>
    <mergeCell ref="HCO1:HCS1"/>
    <mergeCell ref="HAV1:HAZ1"/>
    <mergeCell ref="HBA1:HBE1"/>
    <mergeCell ref="HBF1:HBJ1"/>
    <mergeCell ref="HBK1:HBO1"/>
    <mergeCell ref="HBP1:HBT1"/>
    <mergeCell ref="GZW1:HAA1"/>
    <mergeCell ref="HAB1:HAF1"/>
    <mergeCell ref="HAG1:HAK1"/>
    <mergeCell ref="HAL1:HAP1"/>
    <mergeCell ref="HAQ1:HAU1"/>
    <mergeCell ref="GYX1:GZB1"/>
    <mergeCell ref="GZC1:GZG1"/>
    <mergeCell ref="GZH1:GZL1"/>
    <mergeCell ref="GZM1:GZQ1"/>
    <mergeCell ref="GZR1:GZV1"/>
    <mergeCell ref="GXY1:GYC1"/>
    <mergeCell ref="GYD1:GYH1"/>
    <mergeCell ref="GYI1:GYM1"/>
    <mergeCell ref="GYN1:GYR1"/>
    <mergeCell ref="GYS1:GYW1"/>
    <mergeCell ref="GWZ1:GXD1"/>
    <mergeCell ref="GXE1:GXI1"/>
    <mergeCell ref="GXJ1:GXN1"/>
    <mergeCell ref="GXO1:GXS1"/>
    <mergeCell ref="GXT1:GXX1"/>
    <mergeCell ref="GWA1:GWE1"/>
    <mergeCell ref="GWF1:GWJ1"/>
    <mergeCell ref="GWK1:GWO1"/>
    <mergeCell ref="GWP1:GWT1"/>
    <mergeCell ref="GWU1:GWY1"/>
    <mergeCell ref="GVB1:GVF1"/>
    <mergeCell ref="GVG1:GVK1"/>
    <mergeCell ref="GVL1:GVP1"/>
    <mergeCell ref="GVQ1:GVU1"/>
    <mergeCell ref="GVV1:GVZ1"/>
    <mergeCell ref="GUC1:GUG1"/>
    <mergeCell ref="GUH1:GUL1"/>
    <mergeCell ref="GUM1:GUQ1"/>
    <mergeCell ref="GUR1:GUV1"/>
    <mergeCell ref="GUW1:GVA1"/>
    <mergeCell ref="GTD1:GTH1"/>
    <mergeCell ref="GTI1:GTM1"/>
    <mergeCell ref="GTN1:GTR1"/>
    <mergeCell ref="GTS1:GTW1"/>
    <mergeCell ref="GTX1:GUB1"/>
    <mergeCell ref="GSE1:GSI1"/>
    <mergeCell ref="GSJ1:GSN1"/>
    <mergeCell ref="GSO1:GSS1"/>
    <mergeCell ref="GST1:GSX1"/>
    <mergeCell ref="GSY1:GTC1"/>
    <mergeCell ref="GRF1:GRJ1"/>
    <mergeCell ref="GRK1:GRO1"/>
    <mergeCell ref="GRP1:GRT1"/>
    <mergeCell ref="GRU1:GRY1"/>
    <mergeCell ref="GRZ1:GSD1"/>
    <mergeCell ref="GQG1:GQK1"/>
    <mergeCell ref="GQL1:GQP1"/>
    <mergeCell ref="GQQ1:GQU1"/>
    <mergeCell ref="GQV1:GQZ1"/>
    <mergeCell ref="GRA1:GRE1"/>
    <mergeCell ref="GPH1:GPL1"/>
    <mergeCell ref="GPM1:GPQ1"/>
    <mergeCell ref="GPR1:GPV1"/>
    <mergeCell ref="GPW1:GQA1"/>
    <mergeCell ref="GQB1:GQF1"/>
    <mergeCell ref="GOI1:GOM1"/>
    <mergeCell ref="GON1:GOR1"/>
    <mergeCell ref="GOS1:GOW1"/>
    <mergeCell ref="GOX1:GPB1"/>
    <mergeCell ref="GPC1:GPG1"/>
    <mergeCell ref="GNJ1:GNN1"/>
    <mergeCell ref="GNO1:GNS1"/>
    <mergeCell ref="GNT1:GNX1"/>
    <mergeCell ref="GNY1:GOC1"/>
    <mergeCell ref="GOD1:GOH1"/>
    <mergeCell ref="GMK1:GMO1"/>
    <mergeCell ref="GMP1:GMT1"/>
    <mergeCell ref="GMU1:GMY1"/>
    <mergeCell ref="GMZ1:GND1"/>
    <mergeCell ref="GNE1:GNI1"/>
    <mergeCell ref="GLL1:GLP1"/>
    <mergeCell ref="GLQ1:GLU1"/>
    <mergeCell ref="GLV1:GLZ1"/>
    <mergeCell ref="GMA1:GME1"/>
    <mergeCell ref="GMF1:GMJ1"/>
    <mergeCell ref="GKM1:GKQ1"/>
    <mergeCell ref="GKR1:GKV1"/>
    <mergeCell ref="GKW1:GLA1"/>
    <mergeCell ref="GLB1:GLF1"/>
    <mergeCell ref="GLG1:GLK1"/>
    <mergeCell ref="GJN1:GJR1"/>
    <mergeCell ref="GJS1:GJW1"/>
    <mergeCell ref="GJX1:GKB1"/>
    <mergeCell ref="GKC1:GKG1"/>
    <mergeCell ref="GKH1:GKL1"/>
    <mergeCell ref="GIO1:GIS1"/>
    <mergeCell ref="GIT1:GIX1"/>
    <mergeCell ref="GIY1:GJC1"/>
    <mergeCell ref="GJD1:GJH1"/>
    <mergeCell ref="GJI1:GJM1"/>
    <mergeCell ref="GHP1:GHT1"/>
    <mergeCell ref="GHU1:GHY1"/>
    <mergeCell ref="GHZ1:GID1"/>
    <mergeCell ref="GIE1:GII1"/>
    <mergeCell ref="GIJ1:GIN1"/>
    <mergeCell ref="GGQ1:GGU1"/>
    <mergeCell ref="GGV1:GGZ1"/>
    <mergeCell ref="GHA1:GHE1"/>
    <mergeCell ref="GHF1:GHJ1"/>
    <mergeCell ref="GHK1:GHO1"/>
    <mergeCell ref="GFR1:GFV1"/>
    <mergeCell ref="GFW1:GGA1"/>
    <mergeCell ref="GGB1:GGF1"/>
    <mergeCell ref="GGG1:GGK1"/>
    <mergeCell ref="GGL1:GGP1"/>
    <mergeCell ref="GES1:GEW1"/>
    <mergeCell ref="GEX1:GFB1"/>
    <mergeCell ref="GFC1:GFG1"/>
    <mergeCell ref="GFH1:GFL1"/>
    <mergeCell ref="GFM1:GFQ1"/>
    <mergeCell ref="GDT1:GDX1"/>
    <mergeCell ref="GDY1:GEC1"/>
    <mergeCell ref="GED1:GEH1"/>
    <mergeCell ref="GEI1:GEM1"/>
    <mergeCell ref="GEN1:GER1"/>
    <mergeCell ref="GCU1:GCY1"/>
    <mergeCell ref="GCZ1:GDD1"/>
    <mergeCell ref="GDE1:GDI1"/>
    <mergeCell ref="GDJ1:GDN1"/>
    <mergeCell ref="GDO1:GDS1"/>
    <mergeCell ref="GBV1:GBZ1"/>
    <mergeCell ref="GCA1:GCE1"/>
    <mergeCell ref="GCF1:GCJ1"/>
    <mergeCell ref="GCK1:GCO1"/>
    <mergeCell ref="GCP1:GCT1"/>
    <mergeCell ref="GAW1:GBA1"/>
    <mergeCell ref="GBB1:GBF1"/>
    <mergeCell ref="GBG1:GBK1"/>
    <mergeCell ref="GBL1:GBP1"/>
    <mergeCell ref="GBQ1:GBU1"/>
    <mergeCell ref="FZX1:GAB1"/>
    <mergeCell ref="GAC1:GAG1"/>
    <mergeCell ref="GAH1:GAL1"/>
    <mergeCell ref="GAM1:GAQ1"/>
    <mergeCell ref="GAR1:GAV1"/>
    <mergeCell ref="FYY1:FZC1"/>
    <mergeCell ref="FZD1:FZH1"/>
    <mergeCell ref="FZI1:FZM1"/>
    <mergeCell ref="FZN1:FZR1"/>
    <mergeCell ref="FZS1:FZW1"/>
    <mergeCell ref="FXZ1:FYD1"/>
    <mergeCell ref="FYE1:FYI1"/>
    <mergeCell ref="FYJ1:FYN1"/>
    <mergeCell ref="FYO1:FYS1"/>
    <mergeCell ref="FYT1:FYX1"/>
    <mergeCell ref="FXA1:FXE1"/>
    <mergeCell ref="FXF1:FXJ1"/>
    <mergeCell ref="FXK1:FXO1"/>
    <mergeCell ref="FXP1:FXT1"/>
    <mergeCell ref="FXU1:FXY1"/>
    <mergeCell ref="FWB1:FWF1"/>
    <mergeCell ref="FWG1:FWK1"/>
    <mergeCell ref="FWL1:FWP1"/>
    <mergeCell ref="FWQ1:FWU1"/>
    <mergeCell ref="FWV1:FWZ1"/>
    <mergeCell ref="FVC1:FVG1"/>
    <mergeCell ref="FVH1:FVL1"/>
    <mergeCell ref="FVM1:FVQ1"/>
    <mergeCell ref="FVR1:FVV1"/>
    <mergeCell ref="FVW1:FWA1"/>
    <mergeCell ref="FUD1:FUH1"/>
    <mergeCell ref="FUI1:FUM1"/>
    <mergeCell ref="FUN1:FUR1"/>
    <mergeCell ref="FUS1:FUW1"/>
    <mergeCell ref="FUX1:FVB1"/>
    <mergeCell ref="FTE1:FTI1"/>
    <mergeCell ref="FTJ1:FTN1"/>
    <mergeCell ref="FTO1:FTS1"/>
    <mergeCell ref="FTT1:FTX1"/>
    <mergeCell ref="FTY1:FUC1"/>
    <mergeCell ref="FSF1:FSJ1"/>
    <mergeCell ref="FSK1:FSO1"/>
    <mergeCell ref="FSP1:FST1"/>
    <mergeCell ref="FSU1:FSY1"/>
    <mergeCell ref="FSZ1:FTD1"/>
    <mergeCell ref="FRG1:FRK1"/>
    <mergeCell ref="FRL1:FRP1"/>
    <mergeCell ref="FRQ1:FRU1"/>
    <mergeCell ref="FRV1:FRZ1"/>
    <mergeCell ref="FSA1:FSE1"/>
    <mergeCell ref="FQH1:FQL1"/>
    <mergeCell ref="FQM1:FQQ1"/>
    <mergeCell ref="FQR1:FQV1"/>
    <mergeCell ref="FQW1:FRA1"/>
    <mergeCell ref="FRB1:FRF1"/>
    <mergeCell ref="FPI1:FPM1"/>
    <mergeCell ref="FPN1:FPR1"/>
    <mergeCell ref="FPS1:FPW1"/>
    <mergeCell ref="FPX1:FQB1"/>
    <mergeCell ref="FQC1:FQG1"/>
    <mergeCell ref="FOJ1:FON1"/>
    <mergeCell ref="FOO1:FOS1"/>
    <mergeCell ref="FOT1:FOX1"/>
    <mergeCell ref="FOY1:FPC1"/>
    <mergeCell ref="FPD1:FPH1"/>
    <mergeCell ref="FNK1:FNO1"/>
    <mergeCell ref="FNP1:FNT1"/>
    <mergeCell ref="FNU1:FNY1"/>
    <mergeCell ref="FNZ1:FOD1"/>
    <mergeCell ref="FOE1:FOI1"/>
    <mergeCell ref="FML1:FMP1"/>
    <mergeCell ref="FMQ1:FMU1"/>
    <mergeCell ref="FMV1:FMZ1"/>
    <mergeCell ref="FNA1:FNE1"/>
    <mergeCell ref="FNF1:FNJ1"/>
    <mergeCell ref="FLM1:FLQ1"/>
    <mergeCell ref="FLR1:FLV1"/>
    <mergeCell ref="FLW1:FMA1"/>
    <mergeCell ref="FMB1:FMF1"/>
    <mergeCell ref="FMG1:FMK1"/>
    <mergeCell ref="FKN1:FKR1"/>
    <mergeCell ref="FKS1:FKW1"/>
    <mergeCell ref="FKX1:FLB1"/>
    <mergeCell ref="FLC1:FLG1"/>
    <mergeCell ref="FLH1:FLL1"/>
    <mergeCell ref="FJO1:FJS1"/>
    <mergeCell ref="FJT1:FJX1"/>
    <mergeCell ref="FJY1:FKC1"/>
    <mergeCell ref="FKD1:FKH1"/>
    <mergeCell ref="FKI1:FKM1"/>
    <mergeCell ref="FIP1:FIT1"/>
    <mergeCell ref="FIU1:FIY1"/>
    <mergeCell ref="FIZ1:FJD1"/>
    <mergeCell ref="FJE1:FJI1"/>
    <mergeCell ref="FJJ1:FJN1"/>
    <mergeCell ref="FHQ1:FHU1"/>
    <mergeCell ref="FHV1:FHZ1"/>
    <mergeCell ref="FIA1:FIE1"/>
    <mergeCell ref="FIF1:FIJ1"/>
    <mergeCell ref="FIK1:FIO1"/>
    <mergeCell ref="FGR1:FGV1"/>
    <mergeCell ref="FGW1:FHA1"/>
    <mergeCell ref="FHB1:FHF1"/>
    <mergeCell ref="FHG1:FHK1"/>
    <mergeCell ref="FHL1:FHP1"/>
    <mergeCell ref="FFS1:FFW1"/>
    <mergeCell ref="FFX1:FGB1"/>
    <mergeCell ref="FGC1:FGG1"/>
    <mergeCell ref="FGH1:FGL1"/>
    <mergeCell ref="FGM1:FGQ1"/>
    <mergeCell ref="FET1:FEX1"/>
    <mergeCell ref="FEY1:FFC1"/>
    <mergeCell ref="FFD1:FFH1"/>
    <mergeCell ref="FFI1:FFM1"/>
    <mergeCell ref="FFN1:FFR1"/>
    <mergeCell ref="FDU1:FDY1"/>
    <mergeCell ref="FDZ1:FED1"/>
    <mergeCell ref="FEE1:FEI1"/>
    <mergeCell ref="FEJ1:FEN1"/>
    <mergeCell ref="FEO1:FES1"/>
    <mergeCell ref="FCV1:FCZ1"/>
    <mergeCell ref="FDA1:FDE1"/>
    <mergeCell ref="FDF1:FDJ1"/>
    <mergeCell ref="FDK1:FDO1"/>
    <mergeCell ref="FDP1:FDT1"/>
    <mergeCell ref="FBW1:FCA1"/>
    <mergeCell ref="FCB1:FCF1"/>
    <mergeCell ref="FCG1:FCK1"/>
    <mergeCell ref="FCL1:FCP1"/>
    <mergeCell ref="FCQ1:FCU1"/>
    <mergeCell ref="FAX1:FBB1"/>
    <mergeCell ref="FBC1:FBG1"/>
    <mergeCell ref="FBH1:FBL1"/>
    <mergeCell ref="FBM1:FBQ1"/>
    <mergeCell ref="FBR1:FBV1"/>
    <mergeCell ref="EZY1:FAC1"/>
    <mergeCell ref="FAD1:FAH1"/>
    <mergeCell ref="FAI1:FAM1"/>
    <mergeCell ref="FAN1:FAR1"/>
    <mergeCell ref="FAS1:FAW1"/>
    <mergeCell ref="EYZ1:EZD1"/>
    <mergeCell ref="EZE1:EZI1"/>
    <mergeCell ref="EZJ1:EZN1"/>
    <mergeCell ref="EZO1:EZS1"/>
    <mergeCell ref="EZT1:EZX1"/>
    <mergeCell ref="EYA1:EYE1"/>
    <mergeCell ref="EYF1:EYJ1"/>
    <mergeCell ref="EYK1:EYO1"/>
    <mergeCell ref="EYP1:EYT1"/>
    <mergeCell ref="EYU1:EYY1"/>
    <mergeCell ref="EXB1:EXF1"/>
    <mergeCell ref="EXG1:EXK1"/>
    <mergeCell ref="EXL1:EXP1"/>
    <mergeCell ref="EXQ1:EXU1"/>
    <mergeCell ref="EXV1:EXZ1"/>
    <mergeCell ref="EWC1:EWG1"/>
    <mergeCell ref="EWH1:EWL1"/>
    <mergeCell ref="EWM1:EWQ1"/>
    <mergeCell ref="EWR1:EWV1"/>
    <mergeCell ref="EWW1:EXA1"/>
    <mergeCell ref="EVD1:EVH1"/>
    <mergeCell ref="EVI1:EVM1"/>
    <mergeCell ref="EVN1:EVR1"/>
    <mergeCell ref="EVS1:EVW1"/>
    <mergeCell ref="EVX1:EWB1"/>
    <mergeCell ref="EUE1:EUI1"/>
    <mergeCell ref="EUJ1:EUN1"/>
    <mergeCell ref="EUO1:EUS1"/>
    <mergeCell ref="EUT1:EUX1"/>
    <mergeCell ref="EUY1:EVC1"/>
    <mergeCell ref="ETF1:ETJ1"/>
    <mergeCell ref="ETK1:ETO1"/>
    <mergeCell ref="ETP1:ETT1"/>
    <mergeCell ref="ETU1:ETY1"/>
    <mergeCell ref="ETZ1:EUD1"/>
    <mergeCell ref="ESG1:ESK1"/>
    <mergeCell ref="ESL1:ESP1"/>
    <mergeCell ref="ESQ1:ESU1"/>
    <mergeCell ref="ESV1:ESZ1"/>
    <mergeCell ref="ETA1:ETE1"/>
    <mergeCell ref="ERH1:ERL1"/>
    <mergeCell ref="ERM1:ERQ1"/>
    <mergeCell ref="ERR1:ERV1"/>
    <mergeCell ref="ERW1:ESA1"/>
    <mergeCell ref="ESB1:ESF1"/>
    <mergeCell ref="EQI1:EQM1"/>
    <mergeCell ref="EQN1:EQR1"/>
    <mergeCell ref="EQS1:EQW1"/>
    <mergeCell ref="EQX1:ERB1"/>
    <mergeCell ref="ERC1:ERG1"/>
    <mergeCell ref="EPJ1:EPN1"/>
    <mergeCell ref="EPO1:EPS1"/>
    <mergeCell ref="EPT1:EPX1"/>
    <mergeCell ref="EPY1:EQC1"/>
    <mergeCell ref="EQD1:EQH1"/>
    <mergeCell ref="EOK1:EOO1"/>
    <mergeCell ref="EOP1:EOT1"/>
    <mergeCell ref="EOU1:EOY1"/>
    <mergeCell ref="EOZ1:EPD1"/>
    <mergeCell ref="EPE1:EPI1"/>
    <mergeCell ref="ENL1:ENP1"/>
    <mergeCell ref="ENQ1:ENU1"/>
    <mergeCell ref="ENV1:ENZ1"/>
    <mergeCell ref="EOA1:EOE1"/>
    <mergeCell ref="EOF1:EOJ1"/>
    <mergeCell ref="EMM1:EMQ1"/>
    <mergeCell ref="EMR1:EMV1"/>
    <mergeCell ref="EMW1:ENA1"/>
    <mergeCell ref="ENB1:ENF1"/>
    <mergeCell ref="ENG1:ENK1"/>
    <mergeCell ref="ELN1:ELR1"/>
    <mergeCell ref="ELS1:ELW1"/>
    <mergeCell ref="ELX1:EMB1"/>
    <mergeCell ref="EMC1:EMG1"/>
    <mergeCell ref="EMH1:EML1"/>
    <mergeCell ref="EKO1:EKS1"/>
    <mergeCell ref="EKT1:EKX1"/>
    <mergeCell ref="EKY1:ELC1"/>
    <mergeCell ref="ELD1:ELH1"/>
    <mergeCell ref="ELI1:ELM1"/>
    <mergeCell ref="EJP1:EJT1"/>
    <mergeCell ref="EJU1:EJY1"/>
    <mergeCell ref="EJZ1:EKD1"/>
    <mergeCell ref="EKE1:EKI1"/>
    <mergeCell ref="EKJ1:EKN1"/>
    <mergeCell ref="EIQ1:EIU1"/>
    <mergeCell ref="EIV1:EIZ1"/>
    <mergeCell ref="EJA1:EJE1"/>
    <mergeCell ref="EJF1:EJJ1"/>
    <mergeCell ref="EJK1:EJO1"/>
    <mergeCell ref="EHR1:EHV1"/>
    <mergeCell ref="EHW1:EIA1"/>
    <mergeCell ref="EIB1:EIF1"/>
    <mergeCell ref="EIG1:EIK1"/>
    <mergeCell ref="EIL1:EIP1"/>
    <mergeCell ref="EGS1:EGW1"/>
    <mergeCell ref="EGX1:EHB1"/>
    <mergeCell ref="EHC1:EHG1"/>
    <mergeCell ref="EHH1:EHL1"/>
    <mergeCell ref="EHM1:EHQ1"/>
    <mergeCell ref="EFT1:EFX1"/>
    <mergeCell ref="EFY1:EGC1"/>
    <mergeCell ref="EGD1:EGH1"/>
    <mergeCell ref="EGI1:EGM1"/>
    <mergeCell ref="EGN1:EGR1"/>
    <mergeCell ref="EEU1:EEY1"/>
    <mergeCell ref="EEZ1:EFD1"/>
    <mergeCell ref="EFE1:EFI1"/>
    <mergeCell ref="EFJ1:EFN1"/>
    <mergeCell ref="EFO1:EFS1"/>
    <mergeCell ref="EDV1:EDZ1"/>
    <mergeCell ref="EEA1:EEE1"/>
    <mergeCell ref="EEF1:EEJ1"/>
    <mergeCell ref="EEK1:EEO1"/>
    <mergeCell ref="EEP1:EET1"/>
    <mergeCell ref="ECW1:EDA1"/>
    <mergeCell ref="EDB1:EDF1"/>
    <mergeCell ref="EDG1:EDK1"/>
    <mergeCell ref="EDL1:EDP1"/>
    <mergeCell ref="EDQ1:EDU1"/>
    <mergeCell ref="EBX1:ECB1"/>
    <mergeCell ref="ECC1:ECG1"/>
    <mergeCell ref="ECH1:ECL1"/>
    <mergeCell ref="ECM1:ECQ1"/>
    <mergeCell ref="ECR1:ECV1"/>
    <mergeCell ref="EAY1:EBC1"/>
    <mergeCell ref="EBD1:EBH1"/>
    <mergeCell ref="EBI1:EBM1"/>
    <mergeCell ref="EBN1:EBR1"/>
    <mergeCell ref="EBS1:EBW1"/>
    <mergeCell ref="DZZ1:EAD1"/>
    <mergeCell ref="EAE1:EAI1"/>
    <mergeCell ref="EAJ1:EAN1"/>
    <mergeCell ref="EAO1:EAS1"/>
    <mergeCell ref="EAT1:EAX1"/>
    <mergeCell ref="DZA1:DZE1"/>
    <mergeCell ref="DZF1:DZJ1"/>
    <mergeCell ref="DZK1:DZO1"/>
    <mergeCell ref="DZP1:DZT1"/>
    <mergeCell ref="DZU1:DZY1"/>
    <mergeCell ref="DYB1:DYF1"/>
    <mergeCell ref="DYG1:DYK1"/>
    <mergeCell ref="DYL1:DYP1"/>
    <mergeCell ref="DYQ1:DYU1"/>
    <mergeCell ref="DYV1:DYZ1"/>
    <mergeCell ref="DXC1:DXG1"/>
    <mergeCell ref="DXH1:DXL1"/>
    <mergeCell ref="DXM1:DXQ1"/>
    <mergeCell ref="DXR1:DXV1"/>
    <mergeCell ref="DXW1:DYA1"/>
    <mergeCell ref="DWD1:DWH1"/>
    <mergeCell ref="DWI1:DWM1"/>
    <mergeCell ref="DWN1:DWR1"/>
    <mergeCell ref="DWS1:DWW1"/>
    <mergeCell ref="DWX1:DXB1"/>
    <mergeCell ref="DVE1:DVI1"/>
    <mergeCell ref="DVJ1:DVN1"/>
    <mergeCell ref="DVO1:DVS1"/>
    <mergeCell ref="DVT1:DVX1"/>
    <mergeCell ref="DVY1:DWC1"/>
    <mergeCell ref="DUF1:DUJ1"/>
    <mergeCell ref="DUK1:DUO1"/>
    <mergeCell ref="DUP1:DUT1"/>
    <mergeCell ref="DUU1:DUY1"/>
    <mergeCell ref="DUZ1:DVD1"/>
    <mergeCell ref="DTG1:DTK1"/>
    <mergeCell ref="DTL1:DTP1"/>
    <mergeCell ref="DTQ1:DTU1"/>
    <mergeCell ref="DTV1:DTZ1"/>
    <mergeCell ref="DUA1:DUE1"/>
    <mergeCell ref="DSH1:DSL1"/>
    <mergeCell ref="DSM1:DSQ1"/>
    <mergeCell ref="DSR1:DSV1"/>
    <mergeCell ref="DSW1:DTA1"/>
    <mergeCell ref="DTB1:DTF1"/>
    <mergeCell ref="DRI1:DRM1"/>
    <mergeCell ref="DRN1:DRR1"/>
    <mergeCell ref="DRS1:DRW1"/>
    <mergeCell ref="DRX1:DSB1"/>
    <mergeCell ref="DSC1:DSG1"/>
    <mergeCell ref="DQJ1:DQN1"/>
    <mergeCell ref="DQO1:DQS1"/>
    <mergeCell ref="DQT1:DQX1"/>
    <mergeCell ref="DQY1:DRC1"/>
    <mergeCell ref="DRD1:DRH1"/>
    <mergeCell ref="DPK1:DPO1"/>
    <mergeCell ref="DPP1:DPT1"/>
    <mergeCell ref="DPU1:DPY1"/>
    <mergeCell ref="DPZ1:DQD1"/>
    <mergeCell ref="DQE1:DQI1"/>
    <mergeCell ref="DOL1:DOP1"/>
    <mergeCell ref="DOQ1:DOU1"/>
    <mergeCell ref="DOV1:DOZ1"/>
    <mergeCell ref="DPA1:DPE1"/>
    <mergeCell ref="DPF1:DPJ1"/>
    <mergeCell ref="DNM1:DNQ1"/>
    <mergeCell ref="DNR1:DNV1"/>
    <mergeCell ref="DNW1:DOA1"/>
    <mergeCell ref="DOB1:DOF1"/>
    <mergeCell ref="DOG1:DOK1"/>
    <mergeCell ref="DMN1:DMR1"/>
    <mergeCell ref="DMS1:DMW1"/>
    <mergeCell ref="DMX1:DNB1"/>
    <mergeCell ref="DNC1:DNG1"/>
    <mergeCell ref="DNH1:DNL1"/>
    <mergeCell ref="DLO1:DLS1"/>
    <mergeCell ref="DLT1:DLX1"/>
    <mergeCell ref="DLY1:DMC1"/>
    <mergeCell ref="DMD1:DMH1"/>
    <mergeCell ref="DMI1:DMM1"/>
    <mergeCell ref="DKP1:DKT1"/>
    <mergeCell ref="DKU1:DKY1"/>
    <mergeCell ref="DKZ1:DLD1"/>
    <mergeCell ref="DLE1:DLI1"/>
    <mergeCell ref="DLJ1:DLN1"/>
    <mergeCell ref="DJQ1:DJU1"/>
    <mergeCell ref="DJV1:DJZ1"/>
    <mergeCell ref="DKA1:DKE1"/>
    <mergeCell ref="DKF1:DKJ1"/>
    <mergeCell ref="DKK1:DKO1"/>
    <mergeCell ref="DIR1:DIV1"/>
    <mergeCell ref="DIW1:DJA1"/>
    <mergeCell ref="DJB1:DJF1"/>
    <mergeCell ref="DJG1:DJK1"/>
    <mergeCell ref="DJL1:DJP1"/>
    <mergeCell ref="DHS1:DHW1"/>
    <mergeCell ref="DHX1:DIB1"/>
    <mergeCell ref="DIC1:DIG1"/>
    <mergeCell ref="DIH1:DIL1"/>
    <mergeCell ref="DIM1:DIQ1"/>
    <mergeCell ref="DGT1:DGX1"/>
    <mergeCell ref="DGY1:DHC1"/>
    <mergeCell ref="DHD1:DHH1"/>
    <mergeCell ref="DHI1:DHM1"/>
    <mergeCell ref="DHN1:DHR1"/>
    <mergeCell ref="DFU1:DFY1"/>
    <mergeCell ref="DFZ1:DGD1"/>
    <mergeCell ref="DGE1:DGI1"/>
    <mergeCell ref="DGJ1:DGN1"/>
    <mergeCell ref="DGO1:DGS1"/>
    <mergeCell ref="DEV1:DEZ1"/>
    <mergeCell ref="DFA1:DFE1"/>
    <mergeCell ref="DFF1:DFJ1"/>
    <mergeCell ref="DFK1:DFO1"/>
    <mergeCell ref="DFP1:DFT1"/>
    <mergeCell ref="DDW1:DEA1"/>
    <mergeCell ref="DEB1:DEF1"/>
    <mergeCell ref="DEG1:DEK1"/>
    <mergeCell ref="DEL1:DEP1"/>
    <mergeCell ref="DEQ1:DEU1"/>
    <mergeCell ref="DCX1:DDB1"/>
    <mergeCell ref="DDC1:DDG1"/>
    <mergeCell ref="DDH1:DDL1"/>
    <mergeCell ref="DDM1:DDQ1"/>
    <mergeCell ref="DDR1:DDV1"/>
    <mergeCell ref="DBY1:DCC1"/>
    <mergeCell ref="DCD1:DCH1"/>
    <mergeCell ref="DCI1:DCM1"/>
    <mergeCell ref="DCN1:DCR1"/>
    <mergeCell ref="DCS1:DCW1"/>
    <mergeCell ref="DAZ1:DBD1"/>
    <mergeCell ref="DBE1:DBI1"/>
    <mergeCell ref="DBJ1:DBN1"/>
    <mergeCell ref="DBO1:DBS1"/>
    <mergeCell ref="DBT1:DBX1"/>
    <mergeCell ref="DAA1:DAE1"/>
    <mergeCell ref="DAF1:DAJ1"/>
    <mergeCell ref="DAK1:DAO1"/>
    <mergeCell ref="DAP1:DAT1"/>
    <mergeCell ref="DAU1:DAY1"/>
    <mergeCell ref="CZB1:CZF1"/>
    <mergeCell ref="CZG1:CZK1"/>
    <mergeCell ref="CZL1:CZP1"/>
    <mergeCell ref="CZQ1:CZU1"/>
    <mergeCell ref="CZV1:CZZ1"/>
    <mergeCell ref="CYC1:CYG1"/>
    <mergeCell ref="CYH1:CYL1"/>
    <mergeCell ref="CYM1:CYQ1"/>
    <mergeCell ref="CYR1:CYV1"/>
    <mergeCell ref="CYW1:CZA1"/>
    <mergeCell ref="CXD1:CXH1"/>
    <mergeCell ref="CXI1:CXM1"/>
    <mergeCell ref="CXN1:CXR1"/>
    <mergeCell ref="CXS1:CXW1"/>
    <mergeCell ref="CXX1:CYB1"/>
    <mergeCell ref="CWE1:CWI1"/>
    <mergeCell ref="CWJ1:CWN1"/>
    <mergeCell ref="CWO1:CWS1"/>
    <mergeCell ref="CWT1:CWX1"/>
    <mergeCell ref="CWY1:CXC1"/>
    <mergeCell ref="CVF1:CVJ1"/>
    <mergeCell ref="CVK1:CVO1"/>
    <mergeCell ref="CVP1:CVT1"/>
    <mergeCell ref="CVU1:CVY1"/>
    <mergeCell ref="CVZ1:CWD1"/>
    <mergeCell ref="CUG1:CUK1"/>
    <mergeCell ref="CUL1:CUP1"/>
    <mergeCell ref="CUQ1:CUU1"/>
    <mergeCell ref="CUV1:CUZ1"/>
    <mergeCell ref="CVA1:CVE1"/>
    <mergeCell ref="CTH1:CTL1"/>
    <mergeCell ref="CTM1:CTQ1"/>
    <mergeCell ref="CTR1:CTV1"/>
    <mergeCell ref="CTW1:CUA1"/>
    <mergeCell ref="CUB1:CUF1"/>
    <mergeCell ref="CSI1:CSM1"/>
    <mergeCell ref="CSN1:CSR1"/>
    <mergeCell ref="CSS1:CSW1"/>
    <mergeCell ref="CSX1:CTB1"/>
    <mergeCell ref="CTC1:CTG1"/>
    <mergeCell ref="CRJ1:CRN1"/>
    <mergeCell ref="CRO1:CRS1"/>
    <mergeCell ref="CRT1:CRX1"/>
    <mergeCell ref="CRY1:CSC1"/>
    <mergeCell ref="CSD1:CSH1"/>
    <mergeCell ref="CQK1:CQO1"/>
    <mergeCell ref="CQP1:CQT1"/>
    <mergeCell ref="CQU1:CQY1"/>
    <mergeCell ref="CQZ1:CRD1"/>
    <mergeCell ref="CRE1:CRI1"/>
    <mergeCell ref="CPL1:CPP1"/>
    <mergeCell ref="CPQ1:CPU1"/>
    <mergeCell ref="CPV1:CPZ1"/>
    <mergeCell ref="CQA1:CQE1"/>
    <mergeCell ref="CQF1:CQJ1"/>
    <mergeCell ref="COM1:COQ1"/>
    <mergeCell ref="COR1:COV1"/>
    <mergeCell ref="COW1:CPA1"/>
    <mergeCell ref="CPB1:CPF1"/>
    <mergeCell ref="CPG1:CPK1"/>
    <mergeCell ref="CNN1:CNR1"/>
    <mergeCell ref="CNS1:CNW1"/>
    <mergeCell ref="CNX1:COB1"/>
    <mergeCell ref="COC1:COG1"/>
    <mergeCell ref="COH1:COL1"/>
    <mergeCell ref="CMO1:CMS1"/>
    <mergeCell ref="CMT1:CMX1"/>
    <mergeCell ref="CMY1:CNC1"/>
    <mergeCell ref="CND1:CNH1"/>
    <mergeCell ref="CNI1:CNM1"/>
    <mergeCell ref="CLP1:CLT1"/>
    <mergeCell ref="CLU1:CLY1"/>
    <mergeCell ref="CLZ1:CMD1"/>
    <mergeCell ref="CME1:CMI1"/>
    <mergeCell ref="CMJ1:CMN1"/>
    <mergeCell ref="CKQ1:CKU1"/>
    <mergeCell ref="CKV1:CKZ1"/>
    <mergeCell ref="CLA1:CLE1"/>
    <mergeCell ref="CLF1:CLJ1"/>
    <mergeCell ref="CLK1:CLO1"/>
    <mergeCell ref="CJR1:CJV1"/>
    <mergeCell ref="CJW1:CKA1"/>
    <mergeCell ref="CKB1:CKF1"/>
    <mergeCell ref="CKG1:CKK1"/>
    <mergeCell ref="CKL1:CKP1"/>
    <mergeCell ref="CIS1:CIW1"/>
    <mergeCell ref="CIX1:CJB1"/>
    <mergeCell ref="CJC1:CJG1"/>
    <mergeCell ref="CJH1:CJL1"/>
    <mergeCell ref="CJM1:CJQ1"/>
    <mergeCell ref="CHT1:CHX1"/>
    <mergeCell ref="CHY1:CIC1"/>
    <mergeCell ref="CID1:CIH1"/>
    <mergeCell ref="CII1:CIM1"/>
    <mergeCell ref="CIN1:CIR1"/>
    <mergeCell ref="CGU1:CGY1"/>
    <mergeCell ref="CGZ1:CHD1"/>
    <mergeCell ref="CHE1:CHI1"/>
    <mergeCell ref="CHJ1:CHN1"/>
    <mergeCell ref="CHO1:CHS1"/>
    <mergeCell ref="CFV1:CFZ1"/>
    <mergeCell ref="CGA1:CGE1"/>
    <mergeCell ref="CGF1:CGJ1"/>
    <mergeCell ref="CGK1:CGO1"/>
    <mergeCell ref="CGP1:CGT1"/>
    <mergeCell ref="CEW1:CFA1"/>
    <mergeCell ref="CFB1:CFF1"/>
    <mergeCell ref="CFG1:CFK1"/>
    <mergeCell ref="CFL1:CFP1"/>
    <mergeCell ref="CFQ1:CFU1"/>
    <mergeCell ref="CDX1:CEB1"/>
    <mergeCell ref="CEC1:CEG1"/>
    <mergeCell ref="CEH1:CEL1"/>
    <mergeCell ref="CEM1:CEQ1"/>
    <mergeCell ref="CER1:CEV1"/>
    <mergeCell ref="CCY1:CDC1"/>
    <mergeCell ref="CDD1:CDH1"/>
    <mergeCell ref="CDI1:CDM1"/>
    <mergeCell ref="CDN1:CDR1"/>
    <mergeCell ref="CDS1:CDW1"/>
    <mergeCell ref="CBZ1:CCD1"/>
    <mergeCell ref="CCE1:CCI1"/>
    <mergeCell ref="CCJ1:CCN1"/>
    <mergeCell ref="CCO1:CCS1"/>
    <mergeCell ref="CCT1:CCX1"/>
    <mergeCell ref="CBA1:CBE1"/>
    <mergeCell ref="CBF1:CBJ1"/>
    <mergeCell ref="CBK1:CBO1"/>
    <mergeCell ref="CBP1:CBT1"/>
    <mergeCell ref="CBU1:CBY1"/>
    <mergeCell ref="CAB1:CAF1"/>
    <mergeCell ref="CAG1:CAK1"/>
    <mergeCell ref="CAL1:CAP1"/>
    <mergeCell ref="CAQ1:CAU1"/>
    <mergeCell ref="CAV1:CAZ1"/>
    <mergeCell ref="BZC1:BZG1"/>
    <mergeCell ref="BZH1:BZL1"/>
    <mergeCell ref="BZM1:BZQ1"/>
    <mergeCell ref="BZR1:BZV1"/>
    <mergeCell ref="BZW1:CAA1"/>
    <mergeCell ref="BYD1:BYH1"/>
    <mergeCell ref="BYI1:BYM1"/>
    <mergeCell ref="BYN1:BYR1"/>
    <mergeCell ref="BYS1:BYW1"/>
    <mergeCell ref="BYX1:BZB1"/>
    <mergeCell ref="BXE1:BXI1"/>
    <mergeCell ref="BXJ1:BXN1"/>
    <mergeCell ref="BXO1:BXS1"/>
    <mergeCell ref="BXT1:BXX1"/>
    <mergeCell ref="BXY1:BYC1"/>
    <mergeCell ref="BWF1:BWJ1"/>
    <mergeCell ref="BWK1:BWO1"/>
    <mergeCell ref="BWP1:BWT1"/>
    <mergeCell ref="BWU1:BWY1"/>
    <mergeCell ref="BWZ1:BXD1"/>
    <mergeCell ref="BVG1:BVK1"/>
    <mergeCell ref="BVL1:BVP1"/>
    <mergeCell ref="BVQ1:BVU1"/>
    <mergeCell ref="BVV1:BVZ1"/>
    <mergeCell ref="BWA1:BWE1"/>
    <mergeCell ref="BUH1:BUL1"/>
    <mergeCell ref="BUM1:BUQ1"/>
    <mergeCell ref="BUR1:BUV1"/>
    <mergeCell ref="BUW1:BVA1"/>
    <mergeCell ref="BVB1:BVF1"/>
    <mergeCell ref="BTI1:BTM1"/>
    <mergeCell ref="BTN1:BTR1"/>
    <mergeCell ref="BTS1:BTW1"/>
    <mergeCell ref="BTX1:BUB1"/>
    <mergeCell ref="BUC1:BUG1"/>
    <mergeCell ref="BSJ1:BSN1"/>
    <mergeCell ref="BSO1:BSS1"/>
    <mergeCell ref="BST1:BSX1"/>
    <mergeCell ref="BSY1:BTC1"/>
    <mergeCell ref="BTD1:BTH1"/>
    <mergeCell ref="BRK1:BRO1"/>
    <mergeCell ref="BRP1:BRT1"/>
    <mergeCell ref="BRU1:BRY1"/>
    <mergeCell ref="BRZ1:BSD1"/>
    <mergeCell ref="BSE1:BSI1"/>
    <mergeCell ref="BQL1:BQP1"/>
    <mergeCell ref="BQQ1:BQU1"/>
    <mergeCell ref="BQV1:BQZ1"/>
    <mergeCell ref="BRA1:BRE1"/>
    <mergeCell ref="BRF1:BRJ1"/>
    <mergeCell ref="BPM1:BPQ1"/>
    <mergeCell ref="BPR1:BPV1"/>
    <mergeCell ref="BPW1:BQA1"/>
    <mergeCell ref="BQB1:BQF1"/>
    <mergeCell ref="BQG1:BQK1"/>
    <mergeCell ref="BON1:BOR1"/>
    <mergeCell ref="BOS1:BOW1"/>
    <mergeCell ref="BOX1:BPB1"/>
    <mergeCell ref="BPC1:BPG1"/>
    <mergeCell ref="BPH1:BPL1"/>
    <mergeCell ref="BNO1:BNS1"/>
    <mergeCell ref="BNT1:BNX1"/>
    <mergeCell ref="BNY1:BOC1"/>
    <mergeCell ref="BOD1:BOH1"/>
    <mergeCell ref="BOI1:BOM1"/>
    <mergeCell ref="BMP1:BMT1"/>
    <mergeCell ref="BMU1:BMY1"/>
    <mergeCell ref="BMZ1:BND1"/>
    <mergeCell ref="BNE1:BNI1"/>
    <mergeCell ref="BNJ1:BNN1"/>
    <mergeCell ref="BLQ1:BLU1"/>
    <mergeCell ref="BLV1:BLZ1"/>
    <mergeCell ref="BMA1:BME1"/>
    <mergeCell ref="BMF1:BMJ1"/>
    <mergeCell ref="BMK1:BMO1"/>
    <mergeCell ref="BKR1:BKV1"/>
    <mergeCell ref="BKW1:BLA1"/>
    <mergeCell ref="BLB1:BLF1"/>
    <mergeCell ref="BLG1:BLK1"/>
    <mergeCell ref="BLL1:BLP1"/>
    <mergeCell ref="BJS1:BJW1"/>
    <mergeCell ref="BJX1:BKB1"/>
    <mergeCell ref="BKC1:BKG1"/>
    <mergeCell ref="BKH1:BKL1"/>
    <mergeCell ref="BKM1:BKQ1"/>
    <mergeCell ref="BIT1:BIX1"/>
    <mergeCell ref="BIY1:BJC1"/>
    <mergeCell ref="BJD1:BJH1"/>
    <mergeCell ref="BJI1:BJM1"/>
    <mergeCell ref="BJN1:BJR1"/>
    <mergeCell ref="BHU1:BHY1"/>
    <mergeCell ref="BHZ1:BID1"/>
    <mergeCell ref="BIE1:BII1"/>
    <mergeCell ref="BIJ1:BIN1"/>
    <mergeCell ref="BIO1:BIS1"/>
    <mergeCell ref="BGV1:BGZ1"/>
    <mergeCell ref="BHA1:BHE1"/>
    <mergeCell ref="BHF1:BHJ1"/>
    <mergeCell ref="BHK1:BHO1"/>
    <mergeCell ref="BHP1:BHT1"/>
    <mergeCell ref="BFW1:BGA1"/>
    <mergeCell ref="BGB1:BGF1"/>
    <mergeCell ref="BGG1:BGK1"/>
    <mergeCell ref="BGL1:BGP1"/>
    <mergeCell ref="BGQ1:BGU1"/>
    <mergeCell ref="BEX1:BFB1"/>
    <mergeCell ref="BFC1:BFG1"/>
    <mergeCell ref="BFH1:BFL1"/>
    <mergeCell ref="BFM1:BFQ1"/>
    <mergeCell ref="BFR1:BFV1"/>
    <mergeCell ref="BDY1:BEC1"/>
    <mergeCell ref="BED1:BEH1"/>
    <mergeCell ref="BEI1:BEM1"/>
    <mergeCell ref="BEN1:BER1"/>
    <mergeCell ref="BES1:BEW1"/>
    <mergeCell ref="BCZ1:BDD1"/>
    <mergeCell ref="BDE1:BDI1"/>
    <mergeCell ref="BDJ1:BDN1"/>
    <mergeCell ref="BDO1:BDS1"/>
    <mergeCell ref="BDT1:BDX1"/>
    <mergeCell ref="BCA1:BCE1"/>
    <mergeCell ref="BCF1:BCJ1"/>
    <mergeCell ref="BCK1:BCO1"/>
    <mergeCell ref="BCP1:BCT1"/>
    <mergeCell ref="BCU1:BCY1"/>
    <mergeCell ref="BBB1:BBF1"/>
    <mergeCell ref="BBG1:BBK1"/>
    <mergeCell ref="BBL1:BBP1"/>
    <mergeCell ref="BBQ1:BBU1"/>
    <mergeCell ref="BBV1:BBZ1"/>
    <mergeCell ref="BAC1:BAG1"/>
    <mergeCell ref="BAH1:BAL1"/>
    <mergeCell ref="BAM1:BAQ1"/>
    <mergeCell ref="BAR1:BAV1"/>
    <mergeCell ref="BAW1:BBA1"/>
    <mergeCell ref="AZD1:AZH1"/>
    <mergeCell ref="AZI1:AZM1"/>
    <mergeCell ref="AZN1:AZR1"/>
    <mergeCell ref="AZS1:AZW1"/>
    <mergeCell ref="AZX1:BAB1"/>
    <mergeCell ref="AYE1:AYI1"/>
    <mergeCell ref="AYJ1:AYN1"/>
    <mergeCell ref="AYO1:AYS1"/>
    <mergeCell ref="AYT1:AYX1"/>
    <mergeCell ref="AYY1:AZC1"/>
    <mergeCell ref="AXF1:AXJ1"/>
    <mergeCell ref="AXK1:AXO1"/>
    <mergeCell ref="AXP1:AXT1"/>
    <mergeCell ref="AXU1:AXY1"/>
    <mergeCell ref="AXZ1:AYD1"/>
    <mergeCell ref="AWG1:AWK1"/>
    <mergeCell ref="AWL1:AWP1"/>
    <mergeCell ref="AWQ1:AWU1"/>
    <mergeCell ref="AWV1:AWZ1"/>
    <mergeCell ref="AXA1:AXE1"/>
    <mergeCell ref="AVH1:AVL1"/>
    <mergeCell ref="AVM1:AVQ1"/>
    <mergeCell ref="AVR1:AVV1"/>
    <mergeCell ref="AVW1:AWA1"/>
    <mergeCell ref="AWB1:AWF1"/>
    <mergeCell ref="AUI1:AUM1"/>
    <mergeCell ref="AUN1:AUR1"/>
    <mergeCell ref="AUS1:AUW1"/>
    <mergeCell ref="AUX1:AVB1"/>
    <mergeCell ref="AVC1:AVG1"/>
    <mergeCell ref="ATJ1:ATN1"/>
    <mergeCell ref="ATO1:ATS1"/>
    <mergeCell ref="ATT1:ATX1"/>
    <mergeCell ref="ATY1:AUC1"/>
    <mergeCell ref="AUD1:AUH1"/>
    <mergeCell ref="ASK1:ASO1"/>
    <mergeCell ref="ASP1:AST1"/>
    <mergeCell ref="ASU1:ASY1"/>
    <mergeCell ref="ASZ1:ATD1"/>
    <mergeCell ref="ATE1:ATI1"/>
    <mergeCell ref="ARL1:ARP1"/>
    <mergeCell ref="ARQ1:ARU1"/>
    <mergeCell ref="ARV1:ARZ1"/>
    <mergeCell ref="ASA1:ASE1"/>
    <mergeCell ref="ASF1:ASJ1"/>
    <mergeCell ref="AQM1:AQQ1"/>
    <mergeCell ref="AQR1:AQV1"/>
    <mergeCell ref="AQW1:ARA1"/>
    <mergeCell ref="ARB1:ARF1"/>
    <mergeCell ref="ARG1:ARK1"/>
    <mergeCell ref="APN1:APR1"/>
    <mergeCell ref="APS1:APW1"/>
    <mergeCell ref="APX1:AQB1"/>
    <mergeCell ref="AQC1:AQG1"/>
    <mergeCell ref="AQH1:AQL1"/>
    <mergeCell ref="AOO1:AOS1"/>
    <mergeCell ref="AOT1:AOX1"/>
    <mergeCell ref="AOY1:APC1"/>
    <mergeCell ref="APD1:APH1"/>
    <mergeCell ref="API1:APM1"/>
    <mergeCell ref="ANP1:ANT1"/>
    <mergeCell ref="ANU1:ANY1"/>
    <mergeCell ref="ANZ1:AOD1"/>
    <mergeCell ref="AOE1:AOI1"/>
    <mergeCell ref="AOJ1:AON1"/>
    <mergeCell ref="AMQ1:AMU1"/>
    <mergeCell ref="AMV1:AMZ1"/>
    <mergeCell ref="ANA1:ANE1"/>
    <mergeCell ref="ANF1:ANJ1"/>
    <mergeCell ref="ANK1:ANO1"/>
    <mergeCell ref="ALR1:ALV1"/>
    <mergeCell ref="ALW1:AMA1"/>
    <mergeCell ref="AMB1:AMF1"/>
    <mergeCell ref="AMG1:AMK1"/>
    <mergeCell ref="AML1:AMP1"/>
    <mergeCell ref="AKS1:AKW1"/>
    <mergeCell ref="AKX1:ALB1"/>
    <mergeCell ref="ALC1:ALG1"/>
    <mergeCell ref="ALH1:ALL1"/>
    <mergeCell ref="ALM1:ALQ1"/>
    <mergeCell ref="AJT1:AJX1"/>
    <mergeCell ref="AJY1:AKC1"/>
    <mergeCell ref="AKD1:AKH1"/>
    <mergeCell ref="AKI1:AKM1"/>
    <mergeCell ref="AKN1:AKR1"/>
    <mergeCell ref="AIU1:AIY1"/>
    <mergeCell ref="AIZ1:AJD1"/>
    <mergeCell ref="AJE1:AJI1"/>
    <mergeCell ref="AJJ1:AJN1"/>
    <mergeCell ref="AJO1:AJS1"/>
    <mergeCell ref="AHV1:AHZ1"/>
    <mergeCell ref="AIA1:AIE1"/>
    <mergeCell ref="AIF1:AIJ1"/>
    <mergeCell ref="AIK1:AIO1"/>
    <mergeCell ref="AIP1:AIT1"/>
    <mergeCell ref="AGW1:AHA1"/>
    <mergeCell ref="AHB1:AHF1"/>
    <mergeCell ref="AHG1:AHK1"/>
    <mergeCell ref="AHL1:AHP1"/>
    <mergeCell ref="AHQ1:AHU1"/>
    <mergeCell ref="AFX1:AGB1"/>
    <mergeCell ref="AGC1:AGG1"/>
    <mergeCell ref="AGH1:AGL1"/>
    <mergeCell ref="AGM1:AGQ1"/>
    <mergeCell ref="AGR1:AGV1"/>
    <mergeCell ref="AEY1:AFC1"/>
    <mergeCell ref="AFD1:AFH1"/>
    <mergeCell ref="AFI1:AFM1"/>
    <mergeCell ref="AFN1:AFR1"/>
    <mergeCell ref="AFS1:AFW1"/>
    <mergeCell ref="ADZ1:AED1"/>
    <mergeCell ref="AEE1:AEI1"/>
    <mergeCell ref="AEJ1:AEN1"/>
    <mergeCell ref="AEO1:AES1"/>
    <mergeCell ref="AET1:AEX1"/>
    <mergeCell ref="ADA1:ADE1"/>
    <mergeCell ref="ADF1:ADJ1"/>
    <mergeCell ref="ADK1:ADO1"/>
    <mergeCell ref="ADP1:ADT1"/>
    <mergeCell ref="ADU1:ADY1"/>
    <mergeCell ref="ACB1:ACF1"/>
    <mergeCell ref="ACG1:ACK1"/>
    <mergeCell ref="ACL1:ACP1"/>
    <mergeCell ref="ACQ1:ACU1"/>
    <mergeCell ref="ACV1:ACZ1"/>
    <mergeCell ref="ABC1:ABG1"/>
    <mergeCell ref="ABH1:ABL1"/>
    <mergeCell ref="ABM1:ABQ1"/>
    <mergeCell ref="ABR1:ABV1"/>
    <mergeCell ref="ABW1:ACA1"/>
    <mergeCell ref="AAD1:AAH1"/>
    <mergeCell ref="AAI1:AAM1"/>
    <mergeCell ref="AAN1:AAR1"/>
    <mergeCell ref="AAS1:AAW1"/>
    <mergeCell ref="AAX1:ABB1"/>
    <mergeCell ref="ZE1:ZI1"/>
    <mergeCell ref="ZJ1:ZN1"/>
    <mergeCell ref="ZO1:ZS1"/>
    <mergeCell ref="ZT1:ZX1"/>
    <mergeCell ref="ZY1:AAC1"/>
    <mergeCell ref="YF1:YJ1"/>
    <mergeCell ref="YK1:YO1"/>
    <mergeCell ref="YP1:YT1"/>
    <mergeCell ref="YU1:YY1"/>
    <mergeCell ref="YZ1:ZD1"/>
    <mergeCell ref="XG1:XK1"/>
    <mergeCell ref="XL1:XP1"/>
    <mergeCell ref="XQ1:XU1"/>
    <mergeCell ref="XV1:XZ1"/>
    <mergeCell ref="YA1:YE1"/>
    <mergeCell ref="WH1:WL1"/>
    <mergeCell ref="WM1:WQ1"/>
    <mergeCell ref="WR1:WV1"/>
    <mergeCell ref="WW1:XA1"/>
    <mergeCell ref="XB1:XF1"/>
    <mergeCell ref="VI1:VM1"/>
    <mergeCell ref="VN1:VR1"/>
    <mergeCell ref="VS1:VW1"/>
    <mergeCell ref="VX1:WB1"/>
    <mergeCell ref="WC1:WG1"/>
    <mergeCell ref="UJ1:UN1"/>
    <mergeCell ref="UO1:US1"/>
    <mergeCell ref="UT1:UX1"/>
    <mergeCell ref="UY1:VC1"/>
    <mergeCell ref="VD1:VH1"/>
    <mergeCell ref="TK1:TO1"/>
    <mergeCell ref="TP1:TT1"/>
    <mergeCell ref="TU1:TY1"/>
    <mergeCell ref="TZ1:UD1"/>
    <mergeCell ref="UE1:UI1"/>
    <mergeCell ref="SL1:SP1"/>
    <mergeCell ref="SQ1:SU1"/>
    <mergeCell ref="SV1:SZ1"/>
    <mergeCell ref="TA1:TE1"/>
    <mergeCell ref="TF1:TJ1"/>
    <mergeCell ref="RM1:RQ1"/>
    <mergeCell ref="RR1:RV1"/>
    <mergeCell ref="RW1:SA1"/>
    <mergeCell ref="SB1:SF1"/>
    <mergeCell ref="SG1:SK1"/>
    <mergeCell ref="QX1:RB1"/>
    <mergeCell ref="RC1:RG1"/>
    <mergeCell ref="RH1:RL1"/>
    <mergeCell ref="PO1:PS1"/>
    <mergeCell ref="PT1:PX1"/>
    <mergeCell ref="PY1:QC1"/>
    <mergeCell ref="QD1:QH1"/>
    <mergeCell ref="QI1:QM1"/>
    <mergeCell ref="OP1:OT1"/>
    <mergeCell ref="OU1:OY1"/>
    <mergeCell ref="OZ1:PD1"/>
    <mergeCell ref="PE1:PI1"/>
    <mergeCell ref="PJ1:PN1"/>
    <mergeCell ref="NQ1:NU1"/>
    <mergeCell ref="NV1:NZ1"/>
    <mergeCell ref="OA1:OE1"/>
    <mergeCell ref="OF1:OJ1"/>
    <mergeCell ref="OK1:OO1"/>
    <mergeCell ref="MR1:MV1"/>
    <mergeCell ref="MW1:NA1"/>
    <mergeCell ref="NB1:NF1"/>
    <mergeCell ref="NG1:NK1"/>
    <mergeCell ref="NL1:NP1"/>
    <mergeCell ref="LS1:LW1"/>
    <mergeCell ref="LX1:MB1"/>
    <mergeCell ref="MC1:MG1"/>
    <mergeCell ref="MH1:ML1"/>
    <mergeCell ref="MM1:MQ1"/>
    <mergeCell ref="KT1:KX1"/>
    <mergeCell ref="KY1:LC1"/>
    <mergeCell ref="LD1:LH1"/>
    <mergeCell ref="LI1:LM1"/>
    <mergeCell ref="LN1:LR1"/>
    <mergeCell ref="KO1:KS1"/>
    <mergeCell ref="IV1:IZ1"/>
    <mergeCell ref="JA1:JE1"/>
    <mergeCell ref="JF1:JJ1"/>
    <mergeCell ref="JK1:JO1"/>
    <mergeCell ref="JP1:JT1"/>
    <mergeCell ref="HW1:IA1"/>
    <mergeCell ref="IB1:IF1"/>
    <mergeCell ref="IG1:IK1"/>
    <mergeCell ref="IL1:IP1"/>
    <mergeCell ref="IQ1:IU1"/>
    <mergeCell ref="GX1:HB1"/>
    <mergeCell ref="HC1:HG1"/>
    <mergeCell ref="HH1:HL1"/>
    <mergeCell ref="HM1:HQ1"/>
    <mergeCell ref="HR1:HV1"/>
    <mergeCell ref="FY1:GC1"/>
    <mergeCell ref="GD1:GH1"/>
    <mergeCell ref="GI1:GM1"/>
    <mergeCell ref="GN1:GR1"/>
    <mergeCell ref="GS1:GW1"/>
    <mergeCell ref="EZ1:FD1"/>
    <mergeCell ref="FE1:FI1"/>
    <mergeCell ref="FJ1:FN1"/>
    <mergeCell ref="FO1:FS1"/>
    <mergeCell ref="FT1:FX1"/>
    <mergeCell ref="EA1:EE1"/>
    <mergeCell ref="EF1:EJ1"/>
    <mergeCell ref="EK1:EO1"/>
    <mergeCell ref="EP1:ET1"/>
    <mergeCell ref="EU1:EY1"/>
    <mergeCell ref="QN1:QR1"/>
    <mergeCell ref="QS1:QW1"/>
    <mergeCell ref="DB1:DF1"/>
    <mergeCell ref="DG1:DK1"/>
    <mergeCell ref="DL1:DP1"/>
    <mergeCell ref="DQ1:DU1"/>
    <mergeCell ref="DV1:DZ1"/>
    <mergeCell ref="CC1:CG1"/>
    <mergeCell ref="CH1:CL1"/>
    <mergeCell ref="CM1:CQ1"/>
    <mergeCell ref="CR1:CV1"/>
    <mergeCell ref="CW1:DA1"/>
    <mergeCell ref="BD1:BH1"/>
    <mergeCell ref="BI1:BM1"/>
    <mergeCell ref="BN1:BR1"/>
    <mergeCell ref="BS1:BW1"/>
    <mergeCell ref="BX1:CB1"/>
    <mergeCell ref="AE1:AI1"/>
    <mergeCell ref="AJ1:AN1"/>
    <mergeCell ref="AO1:AS1"/>
    <mergeCell ref="AT1:AX1"/>
    <mergeCell ref="AY1:BC1"/>
    <mergeCell ref="K1:O1"/>
    <mergeCell ref="P1:T1"/>
    <mergeCell ref="U1:Y1"/>
    <mergeCell ref="Z1:AD1"/>
    <mergeCell ref="JU1:JY1"/>
    <mergeCell ref="JZ1:KD1"/>
    <mergeCell ref="KE1:KI1"/>
    <mergeCell ref="KJ1:KN1"/>
    <mergeCell ref="EZ2:FD2"/>
    <mergeCell ref="FE2:FI2"/>
    <mergeCell ref="FJ2:FN2"/>
    <mergeCell ref="FO2:FS2"/>
    <mergeCell ref="FT2:FX2"/>
    <mergeCell ref="EA2:EE2"/>
    <mergeCell ref="EF2:EJ2"/>
    <mergeCell ref="EK2:EO2"/>
    <mergeCell ref="EP2:ET2"/>
    <mergeCell ref="EU2:EY2"/>
    <mergeCell ref="DB2:DF2"/>
    <mergeCell ref="DG2:DK2"/>
    <mergeCell ref="DL2:DP2"/>
    <mergeCell ref="DQ2:DU2"/>
    <mergeCell ref="DV2:DZ2"/>
    <mergeCell ref="CC2:CG2"/>
    <mergeCell ref="CH2:CL2"/>
    <mergeCell ref="CM2:CQ2"/>
    <mergeCell ref="CR2:CV2"/>
    <mergeCell ref="CW2:DA2"/>
    <mergeCell ref="IB2:IF2"/>
    <mergeCell ref="IG2:IK2"/>
    <mergeCell ref="IL2:IP2"/>
    <mergeCell ref="IQ2:IU2"/>
    <mergeCell ref="GX2:HB2"/>
    <mergeCell ref="HC2:HG2"/>
    <mergeCell ref="HH2:HL2"/>
    <mergeCell ref="HM2:HQ2"/>
    <mergeCell ref="HR2:HV2"/>
    <mergeCell ref="FY2:GC2"/>
    <mergeCell ref="GD2:GH2"/>
    <mergeCell ref="GI2:GM2"/>
    <mergeCell ref="GN2:GR2"/>
    <mergeCell ref="GS2:GW2"/>
  </mergeCells>
  <dataValidations disablePrompts="1" count="1">
    <dataValidation type="list" allowBlank="1" showInputMessage="1" showErrorMessage="1" sqref="J2" xr:uid="{FFDC2A26-E77D-4CB1-BDB9-7A7167D176E0}">
      <formula1>$P$4:$P$5</formula1>
    </dataValidation>
  </dataValidations>
  <pageMargins left="0.7" right="0.7" top="0.75" bottom="0.75" header="0.3" footer="0.3"/>
  <pageSetup scale="99" orientation="portrait" r:id="rId1"/>
  <customProperties>
    <customPr name="ExcelFSM_AdjustedButtonPressed" r:id="rId2"/>
    <customPr name="ExcelFSM_DetailsButtonPresse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71"/>
  <sheetViews>
    <sheetView rightToLeft="1" view="pageBreakPreview" topLeftCell="A61" zoomScale="115" zoomScaleNormal="100" zoomScaleSheetLayoutView="115" workbookViewId="0">
      <selection activeCell="F51" sqref="F51"/>
    </sheetView>
  </sheetViews>
  <sheetFormatPr defaultColWidth="9.140625" defaultRowHeight="18.75" x14ac:dyDescent="0.2"/>
  <cols>
    <col min="1" max="2" width="1" style="280" customWidth="1"/>
    <col min="3" max="3" width="1.42578125" style="280" customWidth="1"/>
    <col min="4" max="4" width="17.140625" style="280" customWidth="1"/>
    <col min="5" max="5" width="2.7109375" style="280" customWidth="1"/>
    <col min="6" max="6" width="27.42578125" style="288" customWidth="1"/>
    <col min="7" max="7" width="3.7109375" style="280" customWidth="1"/>
    <col min="8" max="8" width="14.28515625" style="280" bestFit="1" customWidth="1"/>
    <col min="9" max="9" width="12" style="280" hidden="1" customWidth="1"/>
    <col min="10" max="10" width="0.5703125" style="280" hidden="1" customWidth="1"/>
    <col min="11" max="11" width="36.85546875" style="280" customWidth="1"/>
    <col min="12" max="12" width="1.5703125" style="287" customWidth="1"/>
    <col min="13" max="13" width="1.7109375" style="287" customWidth="1"/>
    <col min="14" max="14" width="20.42578125" style="336" bestFit="1" customWidth="1"/>
    <col min="15" max="15" width="16.5703125" style="280" customWidth="1"/>
    <col min="16" max="16" width="9.7109375" style="280" bestFit="1" customWidth="1"/>
    <col min="17" max="17" width="20.42578125" style="280" bestFit="1" customWidth="1"/>
    <col min="18" max="19" width="9.140625" style="280"/>
    <col min="20" max="20" width="11" style="280" bestFit="1" customWidth="1"/>
    <col min="21" max="16384" width="9.140625" style="280"/>
  </cols>
  <sheetData>
    <row r="1" spans="1:17" x14ac:dyDescent="0.2">
      <c r="A1" s="571">
        <f>Cover!A14</f>
        <v>0</v>
      </c>
      <c r="B1" s="571"/>
      <c r="C1" s="571"/>
      <c r="D1" s="572"/>
      <c r="E1" s="572"/>
      <c r="F1" s="572"/>
      <c r="G1" s="572"/>
      <c r="H1" s="572"/>
      <c r="I1" s="572"/>
      <c r="J1" s="572"/>
      <c r="K1" s="572"/>
      <c r="L1" s="572"/>
      <c r="M1" s="572"/>
    </row>
    <row r="2" spans="1:17" x14ac:dyDescent="0.2">
      <c r="A2" s="571" t="str">
        <f>Cover!A15</f>
        <v>(Foreign Company – Limited Liability Company)</v>
      </c>
      <c r="B2" s="571"/>
      <c r="C2" s="571"/>
      <c r="D2" s="572"/>
      <c r="E2" s="572"/>
      <c r="F2" s="572"/>
      <c r="G2" s="572"/>
      <c r="H2" s="572"/>
      <c r="I2" s="572"/>
      <c r="J2" s="572"/>
      <c r="K2" s="572"/>
      <c r="L2" s="572"/>
      <c r="M2" s="572"/>
    </row>
    <row r="3" spans="1:17" x14ac:dyDescent="0.2">
      <c r="A3" s="571" t="str">
        <f>Cover!A16</f>
        <v>Riyadh – Kingdom of Saudi Arabia</v>
      </c>
      <c r="B3" s="571"/>
      <c r="C3" s="571"/>
      <c r="D3" s="571"/>
      <c r="E3" s="571"/>
      <c r="F3" s="571"/>
      <c r="G3" s="571"/>
      <c r="H3" s="571"/>
      <c r="I3" s="571"/>
      <c r="J3" s="571"/>
      <c r="K3" s="571"/>
      <c r="L3" s="571"/>
      <c r="M3" s="571"/>
    </row>
    <row r="4" spans="1:17" x14ac:dyDescent="0.2">
      <c r="A4" s="571" t="str">
        <f>"Statement of financial position as at "&amp;Index!A5</f>
        <v>Statement of financial position as at 31December2024</v>
      </c>
      <c r="B4" s="571"/>
      <c r="C4" s="571"/>
      <c r="D4" s="571"/>
      <c r="E4" s="571"/>
      <c r="F4" s="571"/>
      <c r="G4" s="571"/>
      <c r="H4" s="571"/>
      <c r="I4" s="571"/>
      <c r="J4" s="571"/>
      <c r="K4" s="571"/>
      <c r="L4" s="571"/>
      <c r="M4" s="571"/>
    </row>
    <row r="5" spans="1:17" x14ac:dyDescent="0.2">
      <c r="A5" s="573" t="s">
        <v>174</v>
      </c>
      <c r="B5" s="573"/>
      <c r="C5" s="573"/>
      <c r="D5" s="573"/>
      <c r="E5" s="573"/>
      <c r="F5" s="573"/>
      <c r="G5" s="573"/>
      <c r="H5" s="573"/>
      <c r="I5" s="573"/>
      <c r="J5" s="573"/>
      <c r="K5" s="573"/>
      <c r="L5" s="573"/>
      <c r="M5" s="573"/>
    </row>
    <row r="6" spans="1:17" ht="9" customHeight="1" x14ac:dyDescent="0.2">
      <c r="A6" s="406"/>
      <c r="B6" s="406"/>
      <c r="C6" s="505"/>
      <c r="D6" s="505"/>
      <c r="E6" s="406"/>
      <c r="F6" s="406"/>
      <c r="G6" s="406"/>
      <c r="H6" s="406"/>
      <c r="I6" s="406"/>
      <c r="J6" s="406"/>
      <c r="K6" s="406"/>
      <c r="L6" s="289"/>
      <c r="M6" s="289"/>
    </row>
    <row r="7" spans="1:17" ht="31.15" customHeight="1" x14ac:dyDescent="0.2">
      <c r="C7" s="506"/>
      <c r="D7" s="506" t="str">
        <f>"As at "&amp;Index!G5&amp;Index!G6</f>
        <v>As at 31December</v>
      </c>
      <c r="F7" s="506" t="str">
        <f>"As at "&amp;Index!H5&amp;Index!H6</f>
        <v>As at 31December</v>
      </c>
      <c r="I7" s="287"/>
      <c r="J7" s="287"/>
    </row>
    <row r="8" spans="1:17" ht="16.899999999999999" customHeight="1" x14ac:dyDescent="0.2">
      <c r="B8" s="323"/>
      <c r="C8" s="292"/>
      <c r="D8" s="292">
        <f>Index!G7</f>
        <v>2023</v>
      </c>
      <c r="E8" s="505"/>
      <c r="F8" s="292">
        <f>Index!H7</f>
        <v>2024</v>
      </c>
      <c r="G8" s="287"/>
      <c r="H8" s="406" t="s">
        <v>175</v>
      </c>
      <c r="I8" s="287"/>
      <c r="J8" s="287"/>
      <c r="K8" s="291"/>
      <c r="L8" s="291"/>
      <c r="M8" s="311" t="s">
        <v>177</v>
      </c>
    </row>
    <row r="9" spans="1:17" ht="16.899999999999999" customHeight="1" x14ac:dyDescent="0.2">
      <c r="C9" s="507"/>
      <c r="D9" s="507"/>
      <c r="E9" s="505"/>
      <c r="F9" s="292"/>
      <c r="G9" s="287"/>
      <c r="H9" s="406"/>
      <c r="I9" s="287"/>
      <c r="J9" s="287"/>
      <c r="K9" s="291"/>
      <c r="L9" s="291"/>
      <c r="M9" s="311"/>
    </row>
    <row r="10" spans="1:17" ht="16.899999999999999" customHeight="1" x14ac:dyDescent="0.2">
      <c r="C10" s="292"/>
      <c r="D10" s="292" t="str">
        <f>+A5</f>
        <v>(saudi riyal)</v>
      </c>
      <c r="E10" s="293"/>
      <c r="F10" s="292" t="str">
        <f>+A5</f>
        <v>(saudi riyal)</v>
      </c>
      <c r="G10" s="287"/>
      <c r="H10" s="406"/>
      <c r="I10" s="287"/>
      <c r="J10" s="287"/>
      <c r="K10" s="291"/>
      <c r="L10" s="291"/>
      <c r="M10" s="311"/>
    </row>
    <row r="11" spans="1:17" ht="16.899999999999999" customHeight="1" x14ac:dyDescent="0.45">
      <c r="C11" s="347"/>
      <c r="D11" s="304"/>
      <c r="E11" s="304"/>
      <c r="F11" s="399"/>
      <c r="G11" s="282"/>
      <c r="H11" s="496"/>
      <c r="I11" s="287"/>
      <c r="J11" s="287"/>
      <c r="K11" s="291"/>
      <c r="L11" s="311" t="s">
        <v>178</v>
      </c>
      <c r="M11" s="291"/>
      <c r="O11" s="318"/>
      <c r="Q11" s="336"/>
    </row>
    <row r="12" spans="1:17" ht="16.899999999999999" customHeight="1" x14ac:dyDescent="0.2">
      <c r="C12" s="337"/>
      <c r="D12" s="337">
        <f>F!A15</f>
        <v>0</v>
      </c>
      <c r="E12" s="316"/>
      <c r="F12" s="337">
        <f>F!C15</f>
        <v>0</v>
      </c>
      <c r="G12" s="282"/>
      <c r="H12" s="496" t="s">
        <v>39</v>
      </c>
      <c r="I12" s="287"/>
      <c r="J12" s="287"/>
      <c r="K12" s="291" t="s">
        <v>179</v>
      </c>
      <c r="L12" s="311"/>
      <c r="M12" s="291"/>
      <c r="N12" s="508"/>
      <c r="O12" s="318"/>
      <c r="Q12" s="336"/>
    </row>
    <row r="13" spans="1:17" ht="16.899999999999999" customHeight="1" x14ac:dyDescent="0.2">
      <c r="C13" s="337"/>
      <c r="D13" s="337">
        <f>F!A46</f>
        <v>0</v>
      </c>
      <c r="E13" s="316"/>
      <c r="F13" s="337">
        <f>F!C46</f>
        <v>0</v>
      </c>
      <c r="G13" s="282"/>
      <c r="H13" s="496"/>
      <c r="I13" s="287"/>
      <c r="J13" s="287"/>
      <c r="K13" s="291" t="s">
        <v>238</v>
      </c>
      <c r="L13" s="311"/>
      <c r="M13" s="291"/>
      <c r="N13" s="508"/>
      <c r="O13" s="318"/>
      <c r="Q13" s="336"/>
    </row>
    <row r="14" spans="1:17" ht="16.899999999999999" customHeight="1" x14ac:dyDescent="0.2">
      <c r="C14" s="337"/>
      <c r="D14" s="337">
        <f>F!A55</f>
        <v>0</v>
      </c>
      <c r="E14" s="316"/>
      <c r="F14" s="337">
        <f>F!C55</f>
        <v>0</v>
      </c>
      <c r="G14" s="282"/>
      <c r="H14" s="496"/>
      <c r="I14" s="287"/>
      <c r="J14" s="287"/>
      <c r="K14" s="291" t="s">
        <v>342</v>
      </c>
      <c r="L14" s="311"/>
      <c r="M14" s="291"/>
      <c r="N14" s="508"/>
      <c r="Q14" s="336"/>
    </row>
    <row r="15" spans="1:17" ht="16.899999999999999" customHeight="1" x14ac:dyDescent="0.2">
      <c r="C15" s="337"/>
      <c r="D15" s="337">
        <f>F!A64</f>
        <v>0</v>
      </c>
      <c r="E15" s="316"/>
      <c r="F15" s="337">
        <f>F!C64</f>
        <v>0</v>
      </c>
      <c r="G15" s="282"/>
      <c r="H15" s="496"/>
      <c r="I15" s="287"/>
      <c r="J15" s="287"/>
      <c r="K15" s="509" t="s">
        <v>240</v>
      </c>
      <c r="L15" s="311"/>
      <c r="M15" s="291"/>
      <c r="Q15" s="336"/>
    </row>
    <row r="16" spans="1:17" ht="16.899999999999999" customHeight="1" x14ac:dyDescent="0.2">
      <c r="C16" s="337"/>
      <c r="D16" s="337">
        <f>D!C13</f>
        <v>0</v>
      </c>
      <c r="E16" s="316"/>
      <c r="F16" s="337">
        <f>D!E13</f>
        <v>0</v>
      </c>
      <c r="G16" s="510"/>
      <c r="H16" s="496"/>
      <c r="I16" s="287"/>
      <c r="J16" s="287"/>
      <c r="K16" s="291" t="s">
        <v>341</v>
      </c>
      <c r="L16" s="291"/>
      <c r="M16" s="291"/>
      <c r="O16" s="318"/>
      <c r="Q16" s="336"/>
    </row>
    <row r="17" spans="3:20" ht="16.899999999999999" customHeight="1" x14ac:dyDescent="0.2">
      <c r="C17" s="337"/>
      <c r="D17" s="337">
        <f>D!C21</f>
        <v>0</v>
      </c>
      <c r="E17" s="316"/>
      <c r="F17" s="337">
        <f>D!E21</f>
        <v>0</v>
      </c>
      <c r="G17" s="282"/>
      <c r="H17" s="496"/>
      <c r="I17" s="287"/>
      <c r="J17" s="287"/>
      <c r="K17" s="291" t="s">
        <v>385</v>
      </c>
      <c r="L17" s="311"/>
      <c r="M17" s="291"/>
      <c r="Q17" s="336"/>
    </row>
    <row r="18" spans="3:20" ht="16.899999999999999" customHeight="1" x14ac:dyDescent="0.2">
      <c r="C18" s="337"/>
      <c r="D18" s="342">
        <f>SUM(D12:D17)</f>
        <v>0</v>
      </c>
      <c r="E18" s="316"/>
      <c r="F18" s="342">
        <f>SUM(F12:F17)</f>
        <v>0</v>
      </c>
      <c r="G18" s="282"/>
      <c r="H18" s="496"/>
      <c r="I18" s="287"/>
      <c r="J18" s="287"/>
      <c r="K18" s="284" t="s">
        <v>181</v>
      </c>
      <c r="L18" s="311"/>
      <c r="M18" s="291"/>
      <c r="O18" s="318"/>
      <c r="Q18" s="336"/>
    </row>
    <row r="19" spans="3:20" ht="13.9" customHeight="1" x14ac:dyDescent="0.2">
      <c r="C19" s="337"/>
      <c r="D19" s="316"/>
      <c r="E19" s="316"/>
      <c r="F19" s="511"/>
      <c r="G19" s="282"/>
      <c r="H19" s="496"/>
      <c r="I19" s="287"/>
      <c r="J19" s="287"/>
      <c r="K19" s="291"/>
      <c r="L19" s="291"/>
      <c r="M19" s="291"/>
      <c r="Q19" s="336"/>
      <c r="T19" s="355"/>
    </row>
    <row r="20" spans="3:20" ht="16.899999999999999" customHeight="1" thickBot="1" x14ac:dyDescent="0.25">
      <c r="C20" s="316"/>
      <c r="D20" s="316"/>
      <c r="E20" s="379"/>
      <c r="F20" s="511"/>
      <c r="G20" s="512"/>
      <c r="I20" s="513" t="s">
        <v>0</v>
      </c>
      <c r="J20" s="293"/>
      <c r="K20" s="291"/>
      <c r="L20" s="311" t="s">
        <v>182</v>
      </c>
      <c r="M20" s="291"/>
      <c r="N20" s="508"/>
      <c r="Q20" s="336"/>
    </row>
    <row r="21" spans="3:20" ht="16.899999999999999" customHeight="1" x14ac:dyDescent="0.2">
      <c r="C21" s="337"/>
      <c r="D21" s="337">
        <f>D!C29</f>
        <v>0</v>
      </c>
      <c r="E21" s="316"/>
      <c r="F21" s="337">
        <f>D!E29</f>
        <v>0</v>
      </c>
      <c r="G21" s="282"/>
      <c r="H21" s="496"/>
      <c r="I21" s="293"/>
      <c r="J21" s="293"/>
      <c r="K21" s="291" t="s">
        <v>183</v>
      </c>
      <c r="L21" s="291"/>
      <c r="M21" s="291"/>
      <c r="N21" s="508"/>
      <c r="O21" s="318"/>
      <c r="Q21" s="336"/>
    </row>
    <row r="22" spans="3:20" ht="16.899999999999999" customHeight="1" x14ac:dyDescent="0.2">
      <c r="C22" s="337"/>
      <c r="D22" s="337">
        <f>D!C38</f>
        <v>0</v>
      </c>
      <c r="E22" s="316"/>
      <c r="F22" s="337">
        <f>D!E38</f>
        <v>0</v>
      </c>
      <c r="G22" s="282"/>
      <c r="H22" s="496" t="s">
        <v>40</v>
      </c>
      <c r="I22" s="293"/>
      <c r="J22" s="293"/>
      <c r="K22" s="291" t="s">
        <v>184</v>
      </c>
      <c r="L22" s="291"/>
      <c r="M22" s="291"/>
      <c r="N22" s="508"/>
      <c r="O22" s="318"/>
      <c r="Q22" s="336"/>
    </row>
    <row r="23" spans="3:20" x14ac:dyDescent="0.2">
      <c r="C23" s="337"/>
      <c r="D23" s="337">
        <f>D!C50</f>
        <v>0</v>
      </c>
      <c r="E23" s="316"/>
      <c r="F23" s="337">
        <f>D!E50</f>
        <v>0</v>
      </c>
      <c r="G23" s="510"/>
      <c r="H23" s="496" t="s">
        <v>41</v>
      </c>
      <c r="I23" s="287"/>
      <c r="J23" s="287"/>
      <c r="K23" s="291" t="s">
        <v>185</v>
      </c>
      <c r="L23" s="291"/>
      <c r="M23" s="291"/>
      <c r="N23" s="508"/>
      <c r="O23" s="318"/>
      <c r="Q23" s="336"/>
    </row>
    <row r="24" spans="3:20" x14ac:dyDescent="0.2">
      <c r="C24" s="337"/>
      <c r="D24" s="337">
        <f>L!D21</f>
        <v>0</v>
      </c>
      <c r="E24" s="316"/>
      <c r="F24" s="337">
        <f>+L!H21</f>
        <v>0</v>
      </c>
      <c r="G24" s="510"/>
      <c r="H24" s="496" t="s">
        <v>427</v>
      </c>
      <c r="I24" s="287"/>
      <c r="J24" s="287"/>
      <c r="K24" s="291" t="s">
        <v>426</v>
      </c>
      <c r="L24" s="291"/>
      <c r="M24" s="291"/>
      <c r="O24" s="318"/>
      <c r="Q24" s="336"/>
    </row>
    <row r="25" spans="3:20" x14ac:dyDescent="0.2">
      <c r="C25" s="337"/>
      <c r="D25" s="337">
        <f>D!C58</f>
        <v>0</v>
      </c>
      <c r="E25" s="316"/>
      <c r="F25" s="337">
        <f>D!E58</f>
        <v>0</v>
      </c>
      <c r="G25" s="510"/>
      <c r="H25" s="496" t="s">
        <v>46</v>
      </c>
      <c r="I25" s="287"/>
      <c r="J25" s="287"/>
      <c r="K25" s="291" t="s">
        <v>232</v>
      </c>
      <c r="L25" s="291"/>
      <c r="M25" s="291"/>
      <c r="O25" s="318"/>
      <c r="Q25" s="336"/>
    </row>
    <row r="26" spans="3:20" ht="16.899999999999999" customHeight="1" x14ac:dyDescent="0.2">
      <c r="C26" s="337"/>
      <c r="D26" s="337">
        <f>D!C66</f>
        <v>0</v>
      </c>
      <c r="E26" s="316"/>
      <c r="F26" s="337">
        <f>D!E66</f>
        <v>0</v>
      </c>
      <c r="G26" s="282"/>
      <c r="H26" s="496" t="s">
        <v>42</v>
      </c>
      <c r="I26" s="293">
        <v>1</v>
      </c>
      <c r="J26" s="293"/>
      <c r="K26" s="291" t="s">
        <v>186</v>
      </c>
      <c r="L26" s="291"/>
      <c r="M26" s="291"/>
      <c r="Q26" s="336"/>
    </row>
    <row r="27" spans="3:20" ht="16.899999999999999" customHeight="1" x14ac:dyDescent="0.2">
      <c r="C27" s="337"/>
      <c r="D27" s="342">
        <f>SUM(D21:D26)</f>
        <v>0</v>
      </c>
      <c r="E27" s="316"/>
      <c r="F27" s="342">
        <f>SUM(F21:F26)</f>
        <v>0</v>
      </c>
      <c r="G27" s="282"/>
      <c r="H27" s="496"/>
      <c r="I27" s="287"/>
      <c r="J27" s="287"/>
      <c r="K27" s="284" t="s">
        <v>187</v>
      </c>
      <c r="L27" s="291"/>
      <c r="M27" s="291"/>
      <c r="Q27" s="336"/>
      <c r="T27" s="318"/>
    </row>
    <row r="28" spans="3:20" ht="16.899999999999999" customHeight="1" thickBot="1" x14ac:dyDescent="0.25">
      <c r="C28" s="337"/>
      <c r="D28" s="339">
        <f>D18+D27</f>
        <v>0</v>
      </c>
      <c r="E28" s="316"/>
      <c r="F28" s="339">
        <f>F18+F27</f>
        <v>0</v>
      </c>
      <c r="G28" s="282"/>
      <c r="H28" s="496"/>
      <c r="I28" s="287"/>
      <c r="J28" s="287"/>
      <c r="K28" s="284" t="s">
        <v>188</v>
      </c>
      <c r="L28" s="291"/>
      <c r="M28" s="291"/>
      <c r="O28" s="318"/>
      <c r="Q28" s="336"/>
    </row>
    <row r="29" spans="3:20" ht="16.899999999999999" customHeight="1" thickTop="1" x14ac:dyDescent="0.2">
      <c r="C29" s="337"/>
      <c r="D29" s="316"/>
      <c r="E29" s="316"/>
      <c r="F29" s="511"/>
      <c r="G29" s="282"/>
      <c r="H29" s="496"/>
      <c r="I29" s="287"/>
      <c r="J29" s="287"/>
      <c r="K29" s="284"/>
      <c r="L29" s="291"/>
      <c r="M29" s="291"/>
      <c r="O29" s="419"/>
      <c r="Q29" s="336"/>
    </row>
    <row r="30" spans="3:20" ht="16.899999999999999" customHeight="1" x14ac:dyDescent="0.2">
      <c r="C30" s="337"/>
      <c r="D30" s="316"/>
      <c r="E30" s="316"/>
      <c r="F30" s="511"/>
      <c r="G30" s="287"/>
      <c r="H30" s="496"/>
      <c r="K30" s="291"/>
      <c r="L30" s="291"/>
      <c r="M30" s="311" t="s">
        <v>189</v>
      </c>
      <c r="Q30" s="336"/>
    </row>
    <row r="31" spans="3:20" ht="16.899999999999999" customHeight="1" x14ac:dyDescent="0.2">
      <c r="C31" s="337"/>
      <c r="D31" s="316"/>
      <c r="E31" s="316"/>
      <c r="F31" s="511"/>
      <c r="G31" s="282"/>
      <c r="H31" s="496"/>
      <c r="K31" s="571" t="s">
        <v>190</v>
      </c>
      <c r="L31" s="571"/>
      <c r="M31" s="291"/>
      <c r="Q31" s="336"/>
    </row>
    <row r="32" spans="3:20" ht="16.899999999999999" customHeight="1" x14ac:dyDescent="0.2">
      <c r="C32" s="337"/>
      <c r="D32" s="337">
        <f>'Partners Equity'!F20</f>
        <v>0</v>
      </c>
      <c r="E32" s="316"/>
      <c r="F32" s="337">
        <f>'Partners Equity'!F27</f>
        <v>0</v>
      </c>
      <c r="G32" s="282"/>
      <c r="H32" s="496" t="s">
        <v>47</v>
      </c>
      <c r="K32" s="291" t="s">
        <v>191</v>
      </c>
      <c r="L32" s="291"/>
      <c r="M32" s="291"/>
      <c r="P32" s="514"/>
      <c r="Q32" s="336"/>
    </row>
    <row r="33" spans="3:17" ht="16.899999999999999" customHeight="1" x14ac:dyDescent="0.2">
      <c r="C33" s="337"/>
      <c r="D33" s="337">
        <f>'Partners Equity'!E20</f>
        <v>0</v>
      </c>
      <c r="E33" s="316"/>
      <c r="F33" s="337">
        <f>'Partners Equity'!E27</f>
        <v>0</v>
      </c>
      <c r="G33" s="282"/>
      <c r="H33" s="496"/>
      <c r="K33" s="291" t="s">
        <v>192</v>
      </c>
      <c r="L33" s="291"/>
      <c r="M33" s="291"/>
      <c r="Q33" s="336"/>
    </row>
    <row r="34" spans="3:17" ht="16.899999999999999" customHeight="1" x14ac:dyDescent="0.2">
      <c r="C34" s="337"/>
      <c r="D34" s="337">
        <f>'Partners Equity'!D20</f>
        <v>0</v>
      </c>
      <c r="E34" s="316"/>
      <c r="F34" s="337">
        <f>'Partners Equity'!D27</f>
        <v>0</v>
      </c>
      <c r="G34" s="282"/>
      <c r="H34" s="496"/>
      <c r="K34" s="291" t="s">
        <v>423</v>
      </c>
      <c r="L34" s="291"/>
      <c r="M34" s="291"/>
      <c r="Q34" s="336"/>
    </row>
    <row r="35" spans="3:17" ht="16.899999999999999" customHeight="1" x14ac:dyDescent="0.2">
      <c r="C35" s="337"/>
      <c r="D35" s="337">
        <f>'Partners Equity'!C20</f>
        <v>0</v>
      </c>
      <c r="E35" s="316"/>
      <c r="F35" s="337">
        <f>'Partners Equity'!C27</f>
        <v>0</v>
      </c>
      <c r="G35" s="282"/>
      <c r="H35" s="496"/>
      <c r="K35" s="335" t="s">
        <v>388</v>
      </c>
      <c r="L35" s="291"/>
      <c r="M35" s="291"/>
      <c r="Q35" s="336"/>
    </row>
    <row r="36" spans="3:17" ht="16.899999999999999" customHeight="1" x14ac:dyDescent="0.2">
      <c r="C36" s="337"/>
      <c r="D36" s="342">
        <f>SUM(D32:D35)</f>
        <v>0</v>
      </c>
      <c r="E36" s="316"/>
      <c r="F36" s="342">
        <f>SUM(F32:F35)</f>
        <v>0</v>
      </c>
      <c r="G36" s="282"/>
      <c r="H36" s="496"/>
      <c r="K36" s="284" t="s">
        <v>193</v>
      </c>
      <c r="L36" s="291"/>
      <c r="M36" s="291"/>
      <c r="O36" s="318"/>
      <c r="Q36" s="336"/>
    </row>
    <row r="37" spans="3:17" ht="16.899999999999999" customHeight="1" x14ac:dyDescent="0.2">
      <c r="C37" s="337"/>
      <c r="D37" s="316"/>
      <c r="E37" s="316"/>
      <c r="F37" s="511"/>
      <c r="G37" s="282"/>
      <c r="H37" s="496"/>
      <c r="K37" s="284"/>
      <c r="L37" s="291"/>
      <c r="M37" s="291"/>
      <c r="Q37" s="336"/>
    </row>
    <row r="38" spans="3:17" ht="21" customHeight="1" x14ac:dyDescent="0.2">
      <c r="C38" s="337"/>
      <c r="D38" s="316"/>
      <c r="E38" s="316"/>
      <c r="F38" s="511"/>
      <c r="G38" s="282"/>
      <c r="H38" s="496"/>
      <c r="K38" s="571" t="s">
        <v>194</v>
      </c>
      <c r="L38" s="571"/>
      <c r="M38" s="291"/>
      <c r="P38" s="318"/>
      <c r="Q38" s="336"/>
    </row>
    <row r="39" spans="3:17" ht="16.899999999999999" customHeight="1" x14ac:dyDescent="0.2">
      <c r="C39" s="337"/>
      <c r="D39" s="337">
        <f>L!E21</f>
        <v>0</v>
      </c>
      <c r="E39" s="316"/>
      <c r="F39" s="337">
        <f>L!I21</f>
        <v>0</v>
      </c>
      <c r="G39" s="282"/>
      <c r="H39" s="496" t="s">
        <v>427</v>
      </c>
      <c r="K39" s="291" t="s">
        <v>234</v>
      </c>
      <c r="L39" s="291"/>
      <c r="M39" s="291"/>
      <c r="N39" s="508"/>
      <c r="O39" s="318"/>
      <c r="Q39" s="336"/>
    </row>
    <row r="40" spans="3:17" ht="16.899999999999999" customHeight="1" x14ac:dyDescent="0.2">
      <c r="C40" s="337"/>
      <c r="D40" s="337">
        <f>+'C'!D14</f>
        <v>0</v>
      </c>
      <c r="E40" s="316"/>
      <c r="F40" s="337">
        <f>+'C'!F14</f>
        <v>0</v>
      </c>
      <c r="G40" s="282"/>
      <c r="H40" s="496" t="s">
        <v>43</v>
      </c>
      <c r="K40" s="515" t="s">
        <v>203</v>
      </c>
      <c r="L40" s="291"/>
      <c r="M40" s="291"/>
      <c r="N40" s="508"/>
      <c r="O40" s="318"/>
      <c r="Q40" s="336"/>
    </row>
    <row r="41" spans="3:17" ht="16.899999999999999" customHeight="1" x14ac:dyDescent="0.2">
      <c r="C41" s="337"/>
      <c r="D41" s="337">
        <f>'C'!D45</f>
        <v>0</v>
      </c>
      <c r="E41" s="316"/>
      <c r="F41" s="337">
        <v>0</v>
      </c>
      <c r="G41" s="282"/>
      <c r="H41" s="496" t="s">
        <v>162</v>
      </c>
      <c r="K41" s="515" t="s">
        <v>236</v>
      </c>
      <c r="L41" s="291"/>
      <c r="M41" s="291"/>
      <c r="N41" s="508"/>
      <c r="O41" s="318"/>
      <c r="Q41" s="336"/>
    </row>
    <row r="42" spans="3:17" ht="16.899999999999999" customHeight="1" x14ac:dyDescent="0.2">
      <c r="C42" s="337"/>
      <c r="D42" s="337">
        <f>'C'!D46</f>
        <v>0</v>
      </c>
      <c r="E42" s="316"/>
      <c r="F42" s="337">
        <v>0</v>
      </c>
      <c r="G42" s="282"/>
      <c r="H42" s="496" t="s">
        <v>162</v>
      </c>
      <c r="K42" s="515" t="s">
        <v>235</v>
      </c>
      <c r="L42" s="291"/>
      <c r="M42" s="291"/>
      <c r="N42" s="508"/>
      <c r="O42" s="318"/>
      <c r="Q42" s="336"/>
    </row>
    <row r="43" spans="3:17" ht="16.899999999999999" customHeight="1" x14ac:dyDescent="0.2">
      <c r="C43" s="337"/>
      <c r="D43" s="342">
        <f>SUM(D39:D42)</f>
        <v>0</v>
      </c>
      <c r="E43" s="316"/>
      <c r="F43" s="342">
        <f>SUM(F39:F42)</f>
        <v>0</v>
      </c>
      <c r="G43" s="282"/>
      <c r="H43" s="496"/>
      <c r="K43" s="284" t="s">
        <v>196</v>
      </c>
      <c r="L43" s="291"/>
      <c r="M43" s="291"/>
      <c r="O43" s="318"/>
      <c r="Q43" s="336"/>
    </row>
    <row r="44" spans="3:17" ht="16.899999999999999" customHeight="1" x14ac:dyDescent="0.2">
      <c r="C44" s="337"/>
      <c r="D44" s="379"/>
      <c r="E44" s="316"/>
      <c r="F44" s="511"/>
      <c r="G44" s="287"/>
      <c r="H44" s="496"/>
      <c r="K44" s="571" t="s">
        <v>195</v>
      </c>
      <c r="L44" s="571"/>
      <c r="M44" s="291"/>
      <c r="O44" s="516"/>
      <c r="Q44" s="336"/>
    </row>
    <row r="45" spans="3:17" ht="16.899999999999999" customHeight="1" x14ac:dyDescent="0.2">
      <c r="C45" s="337"/>
      <c r="D45" s="337">
        <f>'C'!D66</f>
        <v>0</v>
      </c>
      <c r="E45" s="316"/>
      <c r="F45" s="337">
        <f>'C'!F66</f>
        <v>0</v>
      </c>
      <c r="G45" s="282"/>
      <c r="H45" s="496" t="s">
        <v>44</v>
      </c>
      <c r="K45" s="291" t="s">
        <v>200</v>
      </c>
      <c r="L45" s="291"/>
      <c r="M45" s="291"/>
      <c r="O45" s="318"/>
      <c r="Q45" s="336"/>
    </row>
    <row r="46" spans="3:17" ht="16.899999999999999" customHeight="1" x14ac:dyDescent="0.2">
      <c r="C46" s="337"/>
      <c r="D46" s="337">
        <f>'C'!D80</f>
        <v>0</v>
      </c>
      <c r="E46" s="316"/>
      <c r="F46" s="337">
        <f>'C'!F80</f>
        <v>0</v>
      </c>
      <c r="G46" s="282"/>
      <c r="H46" s="496" t="s">
        <v>45</v>
      </c>
      <c r="K46" s="291" t="s">
        <v>201</v>
      </c>
      <c r="L46" s="291"/>
      <c r="M46" s="291"/>
      <c r="N46" s="508"/>
      <c r="O46" s="318"/>
      <c r="Q46" s="336"/>
    </row>
    <row r="47" spans="3:17" ht="16.899999999999999" customHeight="1" x14ac:dyDescent="0.2">
      <c r="C47" s="337"/>
      <c r="D47" s="337">
        <f>P!B14</f>
        <v>0</v>
      </c>
      <c r="E47" s="316"/>
      <c r="F47" s="337">
        <f>P!D14</f>
        <v>0</v>
      </c>
      <c r="G47" s="282"/>
      <c r="H47" s="496" t="s">
        <v>165</v>
      </c>
      <c r="K47" s="515" t="s">
        <v>237</v>
      </c>
      <c r="L47" s="291"/>
      <c r="M47" s="291"/>
      <c r="N47" s="508"/>
      <c r="O47" s="318"/>
      <c r="Q47" s="336"/>
    </row>
    <row r="48" spans="3:17" ht="16.899999999999999" customHeight="1" x14ac:dyDescent="0.2">
      <c r="C48" s="337"/>
      <c r="D48" s="337">
        <f>+P!B38</f>
        <v>0</v>
      </c>
      <c r="E48" s="316"/>
      <c r="F48" s="337">
        <f>P!D38</f>
        <v>0</v>
      </c>
      <c r="G48" s="282"/>
      <c r="H48" s="496" t="s">
        <v>402</v>
      </c>
      <c r="K48" s="415" t="s">
        <v>536</v>
      </c>
      <c r="L48" s="291"/>
      <c r="M48" s="291"/>
      <c r="N48" s="508"/>
      <c r="O48" s="318"/>
      <c r="Q48" s="336"/>
    </row>
    <row r="49" spans="3:17" ht="16.899999999999999" customHeight="1" x14ac:dyDescent="0.2">
      <c r="C49" s="337"/>
      <c r="D49" s="342">
        <f>SUM(D45:D48)</f>
        <v>0</v>
      </c>
      <c r="E49" s="316"/>
      <c r="F49" s="342">
        <f>SUM(F45:F48)</f>
        <v>0</v>
      </c>
      <c r="G49" s="282"/>
      <c r="H49" s="496"/>
      <c r="K49" s="284" t="s">
        <v>197</v>
      </c>
      <c r="L49" s="291"/>
      <c r="M49" s="291"/>
      <c r="Q49" s="336"/>
    </row>
    <row r="50" spans="3:17" ht="16.899999999999999" customHeight="1" x14ac:dyDescent="0.2">
      <c r="C50" s="337"/>
      <c r="D50" s="342">
        <f>D49+D43</f>
        <v>0</v>
      </c>
      <c r="E50" s="511"/>
      <c r="F50" s="342">
        <f>F49+F43</f>
        <v>0</v>
      </c>
      <c r="G50" s="282"/>
      <c r="H50" s="496"/>
      <c r="K50" s="284" t="s">
        <v>198</v>
      </c>
      <c r="L50" s="291"/>
      <c r="M50" s="291"/>
      <c r="Q50" s="336"/>
    </row>
    <row r="51" spans="3:17" ht="16.899999999999999" customHeight="1" thickBot="1" x14ac:dyDescent="0.25">
      <c r="C51" s="337"/>
      <c r="D51" s="339">
        <f>D36+D50</f>
        <v>0</v>
      </c>
      <c r="E51" s="316"/>
      <c r="F51" s="339">
        <f>F36+F50</f>
        <v>0</v>
      </c>
      <c r="G51" s="282"/>
      <c r="H51" s="496"/>
      <c r="K51" s="284" t="s">
        <v>199</v>
      </c>
      <c r="L51" s="291"/>
      <c r="M51" s="291"/>
    </row>
    <row r="52" spans="3:17" ht="10.5" customHeight="1" thickTop="1" x14ac:dyDescent="0.2">
      <c r="C52" s="316"/>
      <c r="D52" s="316"/>
      <c r="E52" s="379"/>
      <c r="F52" s="511"/>
      <c r="G52" s="282"/>
      <c r="H52" s="517"/>
      <c r="K52" s="317"/>
    </row>
    <row r="53" spans="3:17" x14ac:dyDescent="0.2">
      <c r="C53" s="316"/>
      <c r="D53" s="316"/>
      <c r="E53" s="379"/>
      <c r="F53" s="511"/>
      <c r="G53" s="282"/>
      <c r="H53" s="517"/>
      <c r="K53" s="317"/>
    </row>
    <row r="54" spans="3:17" x14ac:dyDescent="0.2">
      <c r="C54" s="316"/>
      <c r="D54" s="316"/>
      <c r="E54" s="379"/>
      <c r="F54" s="511"/>
      <c r="G54" s="282"/>
      <c r="H54" s="517"/>
      <c r="K54" s="317"/>
    </row>
    <row r="55" spans="3:17" x14ac:dyDescent="0.2">
      <c r="C55" s="316"/>
      <c r="D55" s="316"/>
      <c r="E55" s="379"/>
      <c r="F55" s="511"/>
      <c r="G55" s="282"/>
      <c r="H55" s="517"/>
      <c r="K55" s="317"/>
    </row>
    <row r="56" spans="3:17" x14ac:dyDescent="0.2">
      <c r="C56" s="316"/>
      <c r="D56" s="316"/>
      <c r="E56" s="379"/>
      <c r="F56" s="511"/>
      <c r="G56" s="282"/>
      <c r="H56" s="517"/>
      <c r="K56" s="317"/>
    </row>
    <row r="57" spans="3:17" x14ac:dyDescent="0.2">
      <c r="C57" s="316"/>
      <c r="D57" s="316"/>
      <c r="E57" s="379"/>
      <c r="F57" s="511"/>
      <c r="G57" s="282"/>
      <c r="H57" s="517"/>
      <c r="K57" s="317"/>
    </row>
    <row r="58" spans="3:17" x14ac:dyDescent="0.2">
      <c r="C58" s="316"/>
      <c r="D58" s="316"/>
      <c r="E58" s="379"/>
      <c r="F58" s="511"/>
      <c r="G58" s="282"/>
      <c r="H58" s="517"/>
      <c r="K58" s="317"/>
    </row>
    <row r="59" spans="3:17" x14ac:dyDescent="0.2">
      <c r="C59" s="316"/>
      <c r="D59" s="316"/>
      <c r="E59" s="379"/>
      <c r="F59" s="511"/>
      <c r="G59" s="282"/>
      <c r="H59" s="517"/>
      <c r="K59" s="317"/>
    </row>
    <row r="60" spans="3:17" x14ac:dyDescent="0.2">
      <c r="C60" s="316"/>
      <c r="D60" s="316"/>
      <c r="E60" s="379"/>
      <c r="F60" s="511"/>
      <c r="G60" s="282"/>
      <c r="H60" s="517"/>
      <c r="K60" s="317"/>
    </row>
    <row r="61" spans="3:17" x14ac:dyDescent="0.2">
      <c r="C61" s="316"/>
      <c r="D61" s="316"/>
      <c r="E61" s="379"/>
      <c r="F61" s="511"/>
      <c r="G61" s="282"/>
      <c r="H61" s="517"/>
      <c r="K61" s="317"/>
    </row>
    <row r="62" spans="3:17" x14ac:dyDescent="0.2">
      <c r="C62" s="316"/>
      <c r="D62" s="316"/>
      <c r="E62" s="379"/>
      <c r="F62" s="511"/>
      <c r="G62" s="282"/>
      <c r="H62" s="517"/>
      <c r="K62" s="317"/>
    </row>
    <row r="63" spans="3:17" x14ac:dyDescent="0.2">
      <c r="C63" s="316"/>
      <c r="D63" s="316"/>
      <c r="E63" s="379"/>
      <c r="F63" s="511"/>
      <c r="G63" s="282"/>
      <c r="H63" s="517"/>
      <c r="K63" s="317"/>
    </row>
    <row r="64" spans="3:17" x14ac:dyDescent="0.2">
      <c r="O64" s="355"/>
    </row>
    <row r="65" spans="1:13" x14ac:dyDescent="0.2">
      <c r="A65" s="570" t="s">
        <v>213</v>
      </c>
      <c r="B65" s="570"/>
      <c r="C65" s="570"/>
      <c r="D65" s="570"/>
      <c r="E65" s="570"/>
      <c r="F65" s="570"/>
      <c r="G65" s="570"/>
      <c r="H65" s="570"/>
      <c r="I65" s="570"/>
      <c r="J65" s="570"/>
      <c r="K65" s="570"/>
      <c r="L65" s="570"/>
      <c r="M65" s="570"/>
    </row>
    <row r="66" spans="1:13" ht="20.25" customHeight="1" x14ac:dyDescent="0.2">
      <c r="A66" s="569" t="str">
        <f>"-"&amp;SUM(Index!I10)&amp;"-"</f>
        <v>-4-</v>
      </c>
      <c r="B66" s="569"/>
      <c r="C66" s="569"/>
      <c r="D66" s="569"/>
      <c r="E66" s="569"/>
      <c r="F66" s="569"/>
      <c r="G66" s="569"/>
      <c r="H66" s="569"/>
      <c r="I66" s="569"/>
      <c r="J66" s="569"/>
      <c r="K66" s="569"/>
      <c r="L66" s="569"/>
      <c r="M66" s="569"/>
    </row>
    <row r="67" spans="1:13" x14ac:dyDescent="0.2">
      <c r="D67" s="361"/>
      <c r="E67" s="361"/>
      <c r="F67" s="300"/>
      <c r="G67" s="361"/>
    </row>
    <row r="68" spans="1:13" x14ac:dyDescent="0.2">
      <c r="D68" s="518">
        <f>D51-D28</f>
        <v>0</v>
      </c>
      <c r="E68" s="281"/>
      <c r="F68" s="518">
        <f>F51-F28</f>
        <v>0</v>
      </c>
      <c r="G68" s="282"/>
      <c r="H68" s="355"/>
    </row>
    <row r="70" spans="1:13" x14ac:dyDescent="0.2">
      <c r="D70" s="318"/>
      <c r="F70" s="519"/>
      <c r="H70" s="355"/>
    </row>
    <row r="71" spans="1:13" x14ac:dyDescent="0.2">
      <c r="D71" s="318"/>
      <c r="F71" s="520"/>
      <c r="G71" s="355"/>
      <c r="H71" s="356"/>
      <c r="K71" s="356"/>
    </row>
  </sheetData>
  <mergeCells count="10">
    <mergeCell ref="A66:M66"/>
    <mergeCell ref="A65:M65"/>
    <mergeCell ref="A1:M1"/>
    <mergeCell ref="A3:M3"/>
    <mergeCell ref="A4:M4"/>
    <mergeCell ref="A5:M5"/>
    <mergeCell ref="A2:M2"/>
    <mergeCell ref="K31:L31"/>
    <mergeCell ref="K44:L44"/>
    <mergeCell ref="K38:L38"/>
  </mergeCells>
  <phoneticPr fontId="0" type="noConversion"/>
  <hyperlinks>
    <hyperlink ref="H22" location="م!Print_Area" display="4" xr:uid="{00000000-0004-0000-0200-000000000000}"/>
    <hyperlink ref="H23" location="م!Print_Area" display="5" xr:uid="{00000000-0004-0000-0200-000001000000}"/>
  </hyperlinks>
  <printOptions horizontalCentered="1"/>
  <pageMargins left="0.19685039370078741" right="0.27559055118110237" top="0.31496062992125984" bottom="0.39370078740157483" header="0.55118110236220474" footer="0.39370078740157483"/>
  <pageSetup scale="65" orientation="portrait" r:id="rId1"/>
  <headerFooter alignWithMargins="0"/>
  <colBreaks count="1" manualBreakCount="1">
    <brk id="13" max="46" man="1"/>
  </colBreaks>
  <customProperties>
    <customPr name="ExcelFSM_AdjustedButtonPressed" r:id="rId2"/>
    <customPr name="ExcelFSM_DetailsButtonPressed" r:id="rId3"/>
  </customProperties>
  <ignoredErrors>
    <ignoredError sqref="H44 H49 H27:H3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38"/>
  <sheetViews>
    <sheetView rightToLeft="1" view="pageBreakPreview" topLeftCell="A23" zoomScale="115" zoomScaleNormal="100" zoomScaleSheetLayoutView="115" workbookViewId="0">
      <selection activeCell="D12" sqref="D12"/>
    </sheetView>
  </sheetViews>
  <sheetFormatPr defaultColWidth="9.140625" defaultRowHeight="18.75" x14ac:dyDescent="0.45"/>
  <cols>
    <col min="1" max="1" width="1.5703125" style="244" customWidth="1"/>
    <col min="2" max="2" width="24.28515625" style="503" customWidth="1"/>
    <col min="3" max="3" width="5.28515625" style="244" customWidth="1"/>
    <col min="4" max="4" width="23.42578125" style="340" customWidth="1"/>
    <col min="5" max="5" width="9.7109375" style="244" customWidth="1"/>
    <col min="6" max="6" width="7.5703125" style="244" customWidth="1"/>
    <col min="7" max="7" width="42.140625" style="244" customWidth="1"/>
    <col min="8" max="9" width="0" style="244" hidden="1" customWidth="1"/>
    <col min="10" max="10" width="3.140625" style="244" hidden="1" customWidth="1"/>
    <col min="11" max="11" width="3.42578125" style="244" customWidth="1"/>
    <col min="12" max="12" width="18.28515625" style="244" customWidth="1"/>
    <col min="13" max="13" width="16.140625" style="244" bestFit="1" customWidth="1"/>
    <col min="14" max="14" width="10.28515625" style="244" customWidth="1"/>
    <col min="15" max="15" width="15.42578125" style="244" customWidth="1"/>
    <col min="16" max="16" width="13.7109375" style="244" bestFit="1" customWidth="1"/>
    <col min="17" max="16384" width="9.140625" style="244"/>
  </cols>
  <sheetData>
    <row r="1" spans="1:16" x14ac:dyDescent="0.45">
      <c r="A1" s="574">
        <f>Cover!A14</f>
        <v>0</v>
      </c>
      <c r="B1" s="574"/>
      <c r="C1" s="574"/>
      <c r="D1" s="574"/>
      <c r="E1" s="574"/>
      <c r="F1" s="574"/>
      <c r="G1" s="574"/>
      <c r="H1" s="254"/>
      <c r="I1" s="254"/>
      <c r="J1" s="254"/>
      <c r="K1" s="254"/>
      <c r="O1" s="247"/>
    </row>
    <row r="2" spans="1:16" x14ac:dyDescent="0.45">
      <c r="A2" s="574" t="str">
        <f>Cover!A15</f>
        <v>(Foreign Company – Limited Liability Company)</v>
      </c>
      <c r="B2" s="574"/>
      <c r="C2" s="574"/>
      <c r="D2" s="574"/>
      <c r="E2" s="574"/>
      <c r="F2" s="574"/>
      <c r="G2" s="574"/>
      <c r="H2" s="246"/>
      <c r="I2" s="246"/>
      <c r="J2" s="246"/>
      <c r="K2" s="246"/>
    </row>
    <row r="3" spans="1:16" x14ac:dyDescent="0.45">
      <c r="A3" s="574" t="str">
        <f>Cover!A16</f>
        <v>Riyadh – Kingdom of Saudi Arabia</v>
      </c>
      <c r="B3" s="574"/>
      <c r="C3" s="574"/>
      <c r="D3" s="574"/>
      <c r="E3" s="574"/>
      <c r="F3" s="574"/>
      <c r="G3" s="574"/>
      <c r="H3" s="246"/>
      <c r="I3" s="246"/>
      <c r="J3" s="246"/>
      <c r="K3" s="246"/>
    </row>
    <row r="4" spans="1:16" ht="21.75" customHeight="1" x14ac:dyDescent="0.45">
      <c r="A4" s="575" t="str">
        <f>"statement of profit or loss and other comprehensive income For year "&amp;Index!A5</f>
        <v>statement of profit or loss and other comprehensive income For year 31December2024</v>
      </c>
      <c r="B4" s="575"/>
      <c r="C4" s="575"/>
      <c r="D4" s="575"/>
      <c r="E4" s="576"/>
      <c r="F4" s="576"/>
      <c r="G4" s="576"/>
      <c r="H4" s="246"/>
      <c r="I4" s="246"/>
      <c r="J4" s="246"/>
      <c r="K4" s="246"/>
    </row>
    <row r="5" spans="1:16" x14ac:dyDescent="0.45">
      <c r="A5" s="573" t="str">
        <f>'Balance Sheet'!A5:M5</f>
        <v>(saudi riyal)</v>
      </c>
      <c r="B5" s="573"/>
      <c r="C5" s="573"/>
      <c r="D5" s="573"/>
      <c r="E5" s="578"/>
      <c r="F5" s="578"/>
      <c r="G5" s="578"/>
      <c r="H5" s="246"/>
      <c r="I5" s="246"/>
      <c r="J5" s="246"/>
      <c r="K5" s="246"/>
      <c r="L5" s="487"/>
      <c r="O5" s="247"/>
    </row>
    <row r="6" spans="1:16" x14ac:dyDescent="0.45">
      <c r="B6" s="488"/>
      <c r="C6" s="489"/>
      <c r="E6" s="489"/>
      <c r="F6" s="490"/>
      <c r="G6" s="489"/>
      <c r="L6" s="487"/>
    </row>
    <row r="7" spans="1:16" s="280" customFormat="1" ht="36" x14ac:dyDescent="0.2">
      <c r="B7" s="491" t="s">
        <v>430</v>
      </c>
      <c r="C7" s="293"/>
      <c r="D7" s="400" t="s">
        <v>522</v>
      </c>
      <c r="F7" s="406" t="s">
        <v>175</v>
      </c>
      <c r="N7" s="492"/>
      <c r="O7" s="287"/>
    </row>
    <row r="8" spans="1:16" s="280" customFormat="1" ht="26.25" customHeight="1" x14ac:dyDescent="0.2">
      <c r="B8" s="493" t="str">
        <f>'Balance Sheet'!$D$10</f>
        <v>(saudi riyal)</v>
      </c>
      <c r="C8" s="293"/>
      <c r="D8" s="292" t="str">
        <f>'Balance Sheet'!$F$10</f>
        <v>(saudi riyal)</v>
      </c>
      <c r="F8" s="406"/>
      <c r="N8" s="492"/>
      <c r="O8" s="287"/>
    </row>
    <row r="9" spans="1:16" s="280" customFormat="1" ht="19.899999999999999" hidden="1" customHeight="1" x14ac:dyDescent="0.2">
      <c r="B9" s="494"/>
      <c r="C9" s="287"/>
      <c r="D9" s="317"/>
      <c r="E9" s="424"/>
      <c r="F9" s="495"/>
      <c r="L9" s="318"/>
      <c r="N9" s="361"/>
      <c r="O9" s="287"/>
    </row>
    <row r="10" spans="1:16" s="280" customFormat="1" ht="21.75" customHeight="1" x14ac:dyDescent="0.2">
      <c r="B10" s="454">
        <f>S!C18</f>
        <v>0</v>
      </c>
      <c r="C10" s="316"/>
      <c r="D10" s="454">
        <f>S!E18</f>
        <v>0</v>
      </c>
      <c r="E10" s="424"/>
      <c r="F10" s="496" t="s">
        <v>46</v>
      </c>
      <c r="G10" s="291" t="s">
        <v>241</v>
      </c>
      <c r="L10" s="336"/>
      <c r="O10" s="287"/>
    </row>
    <row r="11" spans="1:16" s="280" customFormat="1" ht="18" hidden="1" customHeight="1" x14ac:dyDescent="0.2">
      <c r="B11" s="338"/>
      <c r="C11" s="316"/>
      <c r="D11" s="338"/>
      <c r="E11" s="424"/>
      <c r="F11" s="496"/>
      <c r="G11" s="291"/>
      <c r="L11" s="336"/>
      <c r="O11" s="287"/>
      <c r="P11" s="318"/>
    </row>
    <row r="12" spans="1:16" s="280" customFormat="1" ht="22.5" customHeight="1" x14ac:dyDescent="0.2">
      <c r="B12" s="454">
        <f>-S!C27</f>
        <v>0</v>
      </c>
      <c r="C12" s="316"/>
      <c r="D12" s="454">
        <f>-S!E27</f>
        <v>0</v>
      </c>
      <c r="E12" s="282"/>
      <c r="F12" s="496" t="s">
        <v>428</v>
      </c>
      <c r="G12" s="291" t="s">
        <v>242</v>
      </c>
      <c r="L12" s="336"/>
      <c r="M12" s="356"/>
      <c r="O12" s="287"/>
    </row>
    <row r="13" spans="1:16" s="280" customFormat="1" ht="20.25" customHeight="1" x14ac:dyDescent="0.2">
      <c r="B13" s="342">
        <f>SUM(B10:B12)</f>
        <v>0</v>
      </c>
      <c r="C13" s="316"/>
      <c r="D13" s="342">
        <f>SUM(D10:D12)</f>
        <v>0</v>
      </c>
      <c r="E13" s="287"/>
      <c r="F13" s="496"/>
      <c r="G13" s="284" t="s">
        <v>206</v>
      </c>
      <c r="L13" s="336"/>
    </row>
    <row r="14" spans="1:16" s="280" customFormat="1" ht="25.15" customHeight="1" x14ac:dyDescent="0.2">
      <c r="B14" s="338"/>
      <c r="C14" s="316"/>
      <c r="D14" s="338"/>
      <c r="E14" s="287"/>
      <c r="F14" s="496"/>
      <c r="G14" s="287"/>
      <c r="L14" s="336"/>
      <c r="M14" s="361"/>
      <c r="P14" s="318"/>
    </row>
    <row r="15" spans="1:16" s="280" customFormat="1" ht="25.15" hidden="1" customHeight="1" x14ac:dyDescent="0.2">
      <c r="B15" s="454">
        <f>-S!C35</f>
        <v>0</v>
      </c>
      <c r="C15" s="454"/>
      <c r="D15" s="454">
        <v>0</v>
      </c>
      <c r="E15" s="287"/>
      <c r="F15" s="496" t="s">
        <v>428</v>
      </c>
      <c r="G15" s="291" t="s">
        <v>204</v>
      </c>
      <c r="L15" s="336"/>
      <c r="M15" s="361"/>
      <c r="P15" s="318"/>
    </row>
    <row r="16" spans="1:16" s="280" customFormat="1" ht="22.5" customHeight="1" x14ac:dyDescent="0.2">
      <c r="B16" s="454">
        <f>-G!B24</f>
        <v>0</v>
      </c>
      <c r="C16" s="454"/>
      <c r="D16" s="454">
        <f>-G!D24</f>
        <v>0</v>
      </c>
      <c r="E16" s="497"/>
      <c r="F16" s="496" t="s">
        <v>429</v>
      </c>
      <c r="G16" s="280" t="s">
        <v>205</v>
      </c>
      <c r="L16" s="336"/>
      <c r="N16" s="318"/>
      <c r="P16" s="318"/>
    </row>
    <row r="17" spans="1:16" s="280" customFormat="1" ht="22.5" customHeight="1" x14ac:dyDescent="0.2">
      <c r="B17" s="458">
        <f>SUM(B15:B16)</f>
        <v>0</v>
      </c>
      <c r="C17" s="498"/>
      <c r="D17" s="458">
        <f>SUM(D15:D16)</f>
        <v>0</v>
      </c>
      <c r="E17" s="497"/>
      <c r="F17" s="499"/>
      <c r="G17" s="284" t="s">
        <v>221</v>
      </c>
      <c r="L17" s="336"/>
      <c r="N17" s="318"/>
      <c r="P17" s="318"/>
    </row>
    <row r="18" spans="1:16" s="280" customFormat="1" ht="25.15" customHeight="1" x14ac:dyDescent="0.2">
      <c r="B18" s="458">
        <f>B13+B17</f>
        <v>0</v>
      </c>
      <c r="C18" s="500"/>
      <c r="D18" s="458">
        <f>D13+D17</f>
        <v>0</v>
      </c>
      <c r="E18" s="497"/>
      <c r="F18" s="572" t="s">
        <v>222</v>
      </c>
      <c r="G18" s="572"/>
      <c r="L18" s="336"/>
      <c r="M18" s="336"/>
    </row>
    <row r="19" spans="1:16" s="280" customFormat="1" ht="25.15" hidden="1" customHeight="1" x14ac:dyDescent="0.2">
      <c r="B19" s="454">
        <v>0</v>
      </c>
      <c r="C19" s="498"/>
      <c r="D19" s="454">
        <v>0</v>
      </c>
      <c r="E19" s="497"/>
      <c r="F19" s="312"/>
      <c r="G19" s="291" t="s">
        <v>515</v>
      </c>
      <c r="L19" s="336"/>
      <c r="M19" s="336"/>
    </row>
    <row r="20" spans="1:16" s="280" customFormat="1" ht="25.15" customHeight="1" x14ac:dyDescent="0.2">
      <c r="B20" s="501">
        <v>0</v>
      </c>
      <c r="C20" s="498"/>
      <c r="D20" s="501">
        <v>0</v>
      </c>
      <c r="E20" s="497"/>
      <c r="F20" s="312"/>
      <c r="G20" s="291" t="s">
        <v>553</v>
      </c>
      <c r="L20" s="336"/>
    </row>
    <row r="21" spans="1:16" s="280" customFormat="1" x14ac:dyDescent="0.2">
      <c r="B21" s="342">
        <f>SUM(B18:B20)</f>
        <v>0</v>
      </c>
      <c r="C21" s="498"/>
      <c r="D21" s="342">
        <f>SUM(D18:D20)</f>
        <v>0</v>
      </c>
      <c r="E21" s="497"/>
      <c r="F21" s="312"/>
      <c r="G21" s="445" t="s">
        <v>537</v>
      </c>
      <c r="L21" s="336"/>
    </row>
    <row r="22" spans="1:16" s="280" customFormat="1" ht="25.15" customHeight="1" x14ac:dyDescent="0.2">
      <c r="B22" s="502">
        <f>-P!B36</f>
        <v>0</v>
      </c>
      <c r="C22" s="316"/>
      <c r="D22" s="502">
        <f>-P!D36</f>
        <v>0</v>
      </c>
      <c r="E22" s="282"/>
      <c r="F22" s="496" t="s">
        <v>402</v>
      </c>
      <c r="G22" s="445" t="s">
        <v>538</v>
      </c>
      <c r="L22" s="336"/>
    </row>
    <row r="23" spans="1:16" s="280" customFormat="1" ht="25.15" customHeight="1" thickBot="1" x14ac:dyDescent="0.25">
      <c r="B23" s="339">
        <f>SUM(B21:B22)</f>
        <v>0</v>
      </c>
      <c r="C23" s="316"/>
      <c r="D23" s="339">
        <f>SUM(D21:D22)</f>
        <v>0</v>
      </c>
      <c r="E23" s="287"/>
      <c r="F23" s="287"/>
      <c r="G23" s="284" t="s">
        <v>210</v>
      </c>
      <c r="L23" s="336"/>
    </row>
    <row r="24" spans="1:16" ht="19.5" thickTop="1" x14ac:dyDescent="0.45">
      <c r="A24" s="280"/>
      <c r="B24" s="337"/>
      <c r="C24" s="379"/>
      <c r="D24" s="337"/>
      <c r="L24" s="503"/>
    </row>
    <row r="25" spans="1:16" hidden="1" x14ac:dyDescent="0.45">
      <c r="A25" s="280"/>
      <c r="B25" s="337"/>
      <c r="C25" s="379"/>
      <c r="D25" s="337"/>
      <c r="L25" s="503"/>
    </row>
    <row r="26" spans="1:16" hidden="1" x14ac:dyDescent="0.45">
      <c r="A26" s="280"/>
      <c r="B26" s="454"/>
      <c r="C26" s="498"/>
      <c r="D26" s="454"/>
      <c r="L26" s="503"/>
    </row>
    <row r="27" spans="1:16" x14ac:dyDescent="0.45">
      <c r="A27" s="280"/>
      <c r="B27" s="349">
        <v>0</v>
      </c>
      <c r="C27" s="498"/>
      <c r="D27" s="349">
        <v>0</v>
      </c>
      <c r="G27" s="504" t="s">
        <v>212</v>
      </c>
      <c r="L27" s="503"/>
    </row>
    <row r="28" spans="1:16" x14ac:dyDescent="0.45">
      <c r="A28" s="280"/>
      <c r="B28" s="337"/>
      <c r="C28" s="379"/>
      <c r="D28" s="337"/>
      <c r="L28" s="503"/>
    </row>
    <row r="29" spans="1:16" s="280" customFormat="1" ht="25.15" customHeight="1" thickBot="1" x14ac:dyDescent="0.25">
      <c r="B29" s="339">
        <f>SUM(B23:B28)</f>
        <v>0</v>
      </c>
      <c r="C29" s="316"/>
      <c r="D29" s="339">
        <f>SUM(D23:D28)</f>
        <v>0</v>
      </c>
      <c r="E29" s="287"/>
      <c r="F29" s="287"/>
      <c r="G29" s="284" t="s">
        <v>211</v>
      </c>
      <c r="L29" s="336"/>
    </row>
    <row r="30" spans="1:16" s="280" customFormat="1" ht="25.15" customHeight="1" thickTop="1" x14ac:dyDescent="0.2">
      <c r="B30" s="467"/>
      <c r="C30" s="316"/>
      <c r="D30" s="338"/>
      <c r="E30" s="287"/>
      <c r="F30" s="287"/>
      <c r="G30" s="312"/>
      <c r="L30" s="356"/>
    </row>
    <row r="31" spans="1:16" s="280" customFormat="1" ht="25.15" customHeight="1" x14ac:dyDescent="0.2">
      <c r="B31" s="467"/>
      <c r="C31" s="316"/>
      <c r="D31" s="338"/>
      <c r="E31" s="287"/>
      <c r="F31" s="287"/>
      <c r="G31" s="312"/>
      <c r="L31" s="356"/>
    </row>
    <row r="32" spans="1:16" s="280" customFormat="1" ht="25.15" customHeight="1" x14ac:dyDescent="0.2">
      <c r="B32" s="467"/>
      <c r="C32" s="316"/>
      <c r="D32" s="338"/>
      <c r="E32" s="287"/>
      <c r="F32" s="287"/>
      <c r="G32" s="312"/>
      <c r="L32" s="356"/>
    </row>
    <row r="33" spans="1:12" s="280" customFormat="1" ht="25.15" customHeight="1" x14ac:dyDescent="0.2">
      <c r="B33" s="467"/>
      <c r="C33" s="316"/>
      <c r="D33" s="338"/>
      <c r="E33" s="287"/>
      <c r="F33" s="287"/>
      <c r="G33" s="312"/>
      <c r="L33" s="356"/>
    </row>
    <row r="34" spans="1:12" s="280" customFormat="1" ht="12.6" customHeight="1" x14ac:dyDescent="0.2">
      <c r="B34" s="467"/>
      <c r="C34" s="316"/>
      <c r="D34" s="338"/>
      <c r="E34" s="287"/>
      <c r="F34" s="287"/>
      <c r="G34" s="312"/>
      <c r="L34" s="356"/>
    </row>
    <row r="37" spans="1:12" x14ac:dyDescent="0.45">
      <c r="A37" s="577" t="str">
        <f>'Balance Sheet'!A65</f>
        <v>The accompanying form integral part of these financial statements.</v>
      </c>
      <c r="B37" s="577"/>
      <c r="C37" s="577"/>
      <c r="D37" s="577"/>
      <c r="E37" s="577"/>
      <c r="F37" s="577"/>
      <c r="G37" s="577"/>
      <c r="H37" s="577"/>
    </row>
    <row r="38" spans="1:12" x14ac:dyDescent="0.45">
      <c r="A38" s="569" t="str">
        <f>"-"&amp;SUM(Index!I10:I11)&amp;"-"</f>
        <v>-5-</v>
      </c>
      <c r="B38" s="569"/>
      <c r="C38" s="569"/>
      <c r="D38" s="569"/>
      <c r="E38" s="569"/>
      <c r="F38" s="569"/>
      <c r="G38" s="569"/>
      <c r="H38" s="569"/>
      <c r="I38" s="569"/>
      <c r="J38" s="569"/>
      <c r="K38" s="569"/>
    </row>
  </sheetData>
  <mergeCells count="8">
    <mergeCell ref="A38:K38"/>
    <mergeCell ref="A1:G1"/>
    <mergeCell ref="A4:G4"/>
    <mergeCell ref="A37:H37"/>
    <mergeCell ref="A2:G2"/>
    <mergeCell ref="A5:G5"/>
    <mergeCell ref="A3:G3"/>
    <mergeCell ref="F18:G18"/>
  </mergeCells>
  <phoneticPr fontId="0" type="noConversion"/>
  <printOptions horizontalCentered="1"/>
  <pageMargins left="0.23622047244094491" right="0.35433070866141736" top="0.43307086614173229" bottom="0.51181102362204722" header="0.43307086614173229" footer="0.55118110236220474"/>
  <pageSetup scale="94" orientation="portrait" r:id="rId1"/>
  <headerFooter alignWithMargins="0"/>
  <customProperties>
    <customPr name="ExcelFSM_AdjustedButtonPressed" r:id="rId2"/>
    <customPr name="ExcelFSM_DetailsButtonPresse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4"/>
  <sheetViews>
    <sheetView rightToLeft="1" view="pageBreakPreview" zoomScaleNormal="100" zoomScaleSheetLayoutView="100" workbookViewId="0">
      <selection activeCell="I35" sqref="I35"/>
    </sheetView>
  </sheetViews>
  <sheetFormatPr defaultRowHeight="21.75" x14ac:dyDescent="0.5"/>
  <cols>
    <col min="1" max="1" width="4.7109375" style="242" customWidth="1"/>
    <col min="2" max="2" width="21.7109375" style="242" bestFit="1" customWidth="1"/>
    <col min="3" max="3" width="25.28515625" style="242" customWidth="1"/>
    <col min="4" max="4" width="21.7109375" style="242" customWidth="1"/>
    <col min="5" max="5" width="20.85546875" style="242" customWidth="1"/>
    <col min="6" max="6" width="16.85546875" style="242" bestFit="1" customWidth="1"/>
    <col min="7" max="7" width="45.140625" style="242" customWidth="1"/>
    <col min="8" max="8" width="8.85546875" style="242"/>
    <col min="9" max="9" width="14.42578125" style="242" bestFit="1" customWidth="1"/>
    <col min="10" max="10" width="8.85546875" style="242"/>
    <col min="11" max="11" width="10.7109375" style="242" bestFit="1" customWidth="1"/>
    <col min="12" max="228" width="8.85546875" style="242"/>
    <col min="229" max="229" width="25.42578125" style="242" bestFit="1" customWidth="1"/>
    <col min="230" max="230" width="14.42578125" style="242" bestFit="1" customWidth="1"/>
    <col min="231" max="231" width="17.85546875" style="242" customWidth="1"/>
    <col min="232" max="232" width="21.5703125" style="242" customWidth="1"/>
    <col min="233" max="233" width="18.7109375" style="242" customWidth="1"/>
    <col min="234" max="234" width="18.85546875" style="242" bestFit="1" customWidth="1"/>
    <col min="235" max="235" width="8.85546875" style="242"/>
    <col min="236" max="236" width="14.140625" style="242" bestFit="1" customWidth="1"/>
    <col min="237" max="237" width="12.7109375" style="242" bestFit="1" customWidth="1"/>
    <col min="238" max="484" width="8.85546875" style="242"/>
    <col min="485" max="485" width="25.42578125" style="242" bestFit="1" customWidth="1"/>
    <col min="486" max="486" width="14.42578125" style="242" bestFit="1" customWidth="1"/>
    <col min="487" max="487" width="17.85546875" style="242" customWidth="1"/>
    <col min="488" max="488" width="21.5703125" style="242" customWidth="1"/>
    <col min="489" max="489" width="18.7109375" style="242" customWidth="1"/>
    <col min="490" max="490" width="18.85546875" style="242" bestFit="1" customWidth="1"/>
    <col min="491" max="491" width="8.85546875" style="242"/>
    <col min="492" max="492" width="14.140625" style="242" bestFit="1" customWidth="1"/>
    <col min="493" max="493" width="12.7109375" style="242" bestFit="1" customWidth="1"/>
    <col min="494" max="740" width="8.85546875" style="242"/>
    <col min="741" max="741" width="25.42578125" style="242" bestFit="1" customWidth="1"/>
    <col min="742" max="742" width="14.42578125" style="242" bestFit="1" customWidth="1"/>
    <col min="743" max="743" width="17.85546875" style="242" customWidth="1"/>
    <col min="744" max="744" width="21.5703125" style="242" customWidth="1"/>
    <col min="745" max="745" width="18.7109375" style="242" customWidth="1"/>
    <col min="746" max="746" width="18.85546875" style="242" bestFit="1" customWidth="1"/>
    <col min="747" max="747" width="8.85546875" style="242"/>
    <col min="748" max="748" width="14.140625" style="242" bestFit="1" customWidth="1"/>
    <col min="749" max="749" width="12.7109375" style="242" bestFit="1" customWidth="1"/>
    <col min="750" max="996" width="8.85546875" style="242"/>
    <col min="997" max="997" width="25.42578125" style="242" bestFit="1" customWidth="1"/>
    <col min="998" max="998" width="14.42578125" style="242" bestFit="1" customWidth="1"/>
    <col min="999" max="999" width="17.85546875" style="242" customWidth="1"/>
    <col min="1000" max="1000" width="21.5703125" style="242" customWidth="1"/>
    <col min="1001" max="1001" width="18.7109375" style="242" customWidth="1"/>
    <col min="1002" max="1002" width="18.85546875" style="242" bestFit="1" customWidth="1"/>
    <col min="1003" max="1003" width="8.85546875" style="242"/>
    <col min="1004" max="1004" width="14.140625" style="242" bestFit="1" customWidth="1"/>
    <col min="1005" max="1005" width="12.7109375" style="242" bestFit="1" customWidth="1"/>
    <col min="1006" max="1252" width="8.85546875" style="242"/>
    <col min="1253" max="1253" width="25.42578125" style="242" bestFit="1" customWidth="1"/>
    <col min="1254" max="1254" width="14.42578125" style="242" bestFit="1" customWidth="1"/>
    <col min="1255" max="1255" width="17.85546875" style="242" customWidth="1"/>
    <col min="1256" max="1256" width="21.5703125" style="242" customWidth="1"/>
    <col min="1257" max="1257" width="18.7109375" style="242" customWidth="1"/>
    <col min="1258" max="1258" width="18.85546875" style="242" bestFit="1" customWidth="1"/>
    <col min="1259" max="1259" width="8.85546875" style="242"/>
    <col min="1260" max="1260" width="14.140625" style="242" bestFit="1" customWidth="1"/>
    <col min="1261" max="1261" width="12.7109375" style="242" bestFit="1" customWidth="1"/>
    <col min="1262" max="1508" width="8.85546875" style="242"/>
    <col min="1509" max="1509" width="25.42578125" style="242" bestFit="1" customWidth="1"/>
    <col min="1510" max="1510" width="14.42578125" style="242" bestFit="1" customWidth="1"/>
    <col min="1511" max="1511" width="17.85546875" style="242" customWidth="1"/>
    <col min="1512" max="1512" width="21.5703125" style="242" customWidth="1"/>
    <col min="1513" max="1513" width="18.7109375" style="242" customWidth="1"/>
    <col min="1514" max="1514" width="18.85546875" style="242" bestFit="1" customWidth="1"/>
    <col min="1515" max="1515" width="8.85546875" style="242"/>
    <col min="1516" max="1516" width="14.140625" style="242" bestFit="1" customWidth="1"/>
    <col min="1517" max="1517" width="12.7109375" style="242" bestFit="1" customWidth="1"/>
    <col min="1518" max="1764" width="8.85546875" style="242"/>
    <col min="1765" max="1765" width="25.42578125" style="242" bestFit="1" customWidth="1"/>
    <col min="1766" max="1766" width="14.42578125" style="242" bestFit="1" customWidth="1"/>
    <col min="1767" max="1767" width="17.85546875" style="242" customWidth="1"/>
    <col min="1768" max="1768" width="21.5703125" style="242" customWidth="1"/>
    <col min="1769" max="1769" width="18.7109375" style="242" customWidth="1"/>
    <col min="1770" max="1770" width="18.85546875" style="242" bestFit="1" customWidth="1"/>
    <col min="1771" max="1771" width="8.85546875" style="242"/>
    <col min="1772" max="1772" width="14.140625" style="242" bestFit="1" customWidth="1"/>
    <col min="1773" max="1773" width="12.7109375" style="242" bestFit="1" customWidth="1"/>
    <col min="1774" max="2020" width="8.85546875" style="242"/>
    <col min="2021" max="2021" width="25.42578125" style="242" bestFit="1" customWidth="1"/>
    <col min="2022" max="2022" width="14.42578125" style="242" bestFit="1" customWidth="1"/>
    <col min="2023" max="2023" width="17.85546875" style="242" customWidth="1"/>
    <col min="2024" max="2024" width="21.5703125" style="242" customWidth="1"/>
    <col min="2025" max="2025" width="18.7109375" style="242" customWidth="1"/>
    <col min="2026" max="2026" width="18.85546875" style="242" bestFit="1" customWidth="1"/>
    <col min="2027" max="2027" width="8.85546875" style="242"/>
    <col min="2028" max="2028" width="14.140625" style="242" bestFit="1" customWidth="1"/>
    <col min="2029" max="2029" width="12.7109375" style="242" bestFit="1" customWidth="1"/>
    <col min="2030" max="2276" width="8.85546875" style="242"/>
    <col min="2277" max="2277" width="25.42578125" style="242" bestFit="1" customWidth="1"/>
    <col min="2278" max="2278" width="14.42578125" style="242" bestFit="1" customWidth="1"/>
    <col min="2279" max="2279" width="17.85546875" style="242" customWidth="1"/>
    <col min="2280" max="2280" width="21.5703125" style="242" customWidth="1"/>
    <col min="2281" max="2281" width="18.7109375" style="242" customWidth="1"/>
    <col min="2282" max="2282" width="18.85546875" style="242" bestFit="1" customWidth="1"/>
    <col min="2283" max="2283" width="8.85546875" style="242"/>
    <col min="2284" max="2284" width="14.140625" style="242" bestFit="1" customWidth="1"/>
    <col min="2285" max="2285" width="12.7109375" style="242" bestFit="1" customWidth="1"/>
    <col min="2286" max="2532" width="8.85546875" style="242"/>
    <col min="2533" max="2533" width="25.42578125" style="242" bestFit="1" customWidth="1"/>
    <col min="2534" max="2534" width="14.42578125" style="242" bestFit="1" customWidth="1"/>
    <col min="2535" max="2535" width="17.85546875" style="242" customWidth="1"/>
    <col min="2536" max="2536" width="21.5703125" style="242" customWidth="1"/>
    <col min="2537" max="2537" width="18.7109375" style="242" customWidth="1"/>
    <col min="2538" max="2538" width="18.85546875" style="242" bestFit="1" customWidth="1"/>
    <col min="2539" max="2539" width="8.85546875" style="242"/>
    <col min="2540" max="2540" width="14.140625" style="242" bestFit="1" customWidth="1"/>
    <col min="2541" max="2541" width="12.7109375" style="242" bestFit="1" customWidth="1"/>
    <col min="2542" max="2788" width="8.85546875" style="242"/>
    <col min="2789" max="2789" width="25.42578125" style="242" bestFit="1" customWidth="1"/>
    <col min="2790" max="2790" width="14.42578125" style="242" bestFit="1" customWidth="1"/>
    <col min="2791" max="2791" width="17.85546875" style="242" customWidth="1"/>
    <col min="2792" max="2792" width="21.5703125" style="242" customWidth="1"/>
    <col min="2793" max="2793" width="18.7109375" style="242" customWidth="1"/>
    <col min="2794" max="2794" width="18.85546875" style="242" bestFit="1" customWidth="1"/>
    <col min="2795" max="2795" width="8.85546875" style="242"/>
    <col min="2796" max="2796" width="14.140625" style="242" bestFit="1" customWidth="1"/>
    <col min="2797" max="2797" width="12.7109375" style="242" bestFit="1" customWidth="1"/>
    <col min="2798" max="3044" width="8.85546875" style="242"/>
    <col min="3045" max="3045" width="25.42578125" style="242" bestFit="1" customWidth="1"/>
    <col min="3046" max="3046" width="14.42578125" style="242" bestFit="1" customWidth="1"/>
    <col min="3047" max="3047" width="17.85546875" style="242" customWidth="1"/>
    <col min="3048" max="3048" width="21.5703125" style="242" customWidth="1"/>
    <col min="3049" max="3049" width="18.7109375" style="242" customWidth="1"/>
    <col min="3050" max="3050" width="18.85546875" style="242" bestFit="1" customWidth="1"/>
    <col min="3051" max="3051" width="8.85546875" style="242"/>
    <col min="3052" max="3052" width="14.140625" style="242" bestFit="1" customWidth="1"/>
    <col min="3053" max="3053" width="12.7109375" style="242" bestFit="1" customWidth="1"/>
    <col min="3054" max="3300" width="8.85546875" style="242"/>
    <col min="3301" max="3301" width="25.42578125" style="242" bestFit="1" customWidth="1"/>
    <col min="3302" max="3302" width="14.42578125" style="242" bestFit="1" customWidth="1"/>
    <col min="3303" max="3303" width="17.85546875" style="242" customWidth="1"/>
    <col min="3304" max="3304" width="21.5703125" style="242" customWidth="1"/>
    <col min="3305" max="3305" width="18.7109375" style="242" customWidth="1"/>
    <col min="3306" max="3306" width="18.85546875" style="242" bestFit="1" customWidth="1"/>
    <col min="3307" max="3307" width="8.85546875" style="242"/>
    <col min="3308" max="3308" width="14.140625" style="242" bestFit="1" customWidth="1"/>
    <col min="3309" max="3309" width="12.7109375" style="242" bestFit="1" customWidth="1"/>
    <col min="3310" max="3556" width="8.85546875" style="242"/>
    <col min="3557" max="3557" width="25.42578125" style="242" bestFit="1" customWidth="1"/>
    <col min="3558" max="3558" width="14.42578125" style="242" bestFit="1" customWidth="1"/>
    <col min="3559" max="3559" width="17.85546875" style="242" customWidth="1"/>
    <col min="3560" max="3560" width="21.5703125" style="242" customWidth="1"/>
    <col min="3561" max="3561" width="18.7109375" style="242" customWidth="1"/>
    <col min="3562" max="3562" width="18.85546875" style="242" bestFit="1" customWidth="1"/>
    <col min="3563" max="3563" width="8.85546875" style="242"/>
    <col min="3564" max="3564" width="14.140625" style="242" bestFit="1" customWidth="1"/>
    <col min="3565" max="3565" width="12.7109375" style="242" bestFit="1" customWidth="1"/>
    <col min="3566" max="3812" width="8.85546875" style="242"/>
    <col min="3813" max="3813" width="25.42578125" style="242" bestFit="1" customWidth="1"/>
    <col min="3814" max="3814" width="14.42578125" style="242" bestFit="1" customWidth="1"/>
    <col min="3815" max="3815" width="17.85546875" style="242" customWidth="1"/>
    <col min="3816" max="3816" width="21.5703125" style="242" customWidth="1"/>
    <col min="3817" max="3817" width="18.7109375" style="242" customWidth="1"/>
    <col min="3818" max="3818" width="18.85546875" style="242" bestFit="1" customWidth="1"/>
    <col min="3819" max="3819" width="8.85546875" style="242"/>
    <col min="3820" max="3820" width="14.140625" style="242" bestFit="1" customWidth="1"/>
    <col min="3821" max="3821" width="12.7109375" style="242" bestFit="1" customWidth="1"/>
    <col min="3822" max="4068" width="8.85546875" style="242"/>
    <col min="4069" max="4069" width="25.42578125" style="242" bestFit="1" customWidth="1"/>
    <col min="4070" max="4070" width="14.42578125" style="242" bestFit="1" customWidth="1"/>
    <col min="4071" max="4071" width="17.85546875" style="242" customWidth="1"/>
    <col min="4072" max="4072" width="21.5703125" style="242" customWidth="1"/>
    <col min="4073" max="4073" width="18.7109375" style="242" customWidth="1"/>
    <col min="4074" max="4074" width="18.85546875" style="242" bestFit="1" customWidth="1"/>
    <col min="4075" max="4075" width="8.85546875" style="242"/>
    <col min="4076" max="4076" width="14.140625" style="242" bestFit="1" customWidth="1"/>
    <col min="4077" max="4077" width="12.7109375" style="242" bestFit="1" customWidth="1"/>
    <col min="4078" max="4324" width="8.85546875" style="242"/>
    <col min="4325" max="4325" width="25.42578125" style="242" bestFit="1" customWidth="1"/>
    <col min="4326" max="4326" width="14.42578125" style="242" bestFit="1" customWidth="1"/>
    <col min="4327" max="4327" width="17.85546875" style="242" customWidth="1"/>
    <col min="4328" max="4328" width="21.5703125" style="242" customWidth="1"/>
    <col min="4329" max="4329" width="18.7109375" style="242" customWidth="1"/>
    <col min="4330" max="4330" width="18.85546875" style="242" bestFit="1" customWidth="1"/>
    <col min="4331" max="4331" width="8.85546875" style="242"/>
    <col min="4332" max="4332" width="14.140625" style="242" bestFit="1" customWidth="1"/>
    <col min="4333" max="4333" width="12.7109375" style="242" bestFit="1" customWidth="1"/>
    <col min="4334" max="4580" width="8.85546875" style="242"/>
    <col min="4581" max="4581" width="25.42578125" style="242" bestFit="1" customWidth="1"/>
    <col min="4582" max="4582" width="14.42578125" style="242" bestFit="1" customWidth="1"/>
    <col min="4583" max="4583" width="17.85546875" style="242" customWidth="1"/>
    <col min="4584" max="4584" width="21.5703125" style="242" customWidth="1"/>
    <col min="4585" max="4585" width="18.7109375" style="242" customWidth="1"/>
    <col min="4586" max="4586" width="18.85546875" style="242" bestFit="1" customWidth="1"/>
    <col min="4587" max="4587" width="8.85546875" style="242"/>
    <col min="4588" max="4588" width="14.140625" style="242" bestFit="1" customWidth="1"/>
    <col min="4589" max="4589" width="12.7109375" style="242" bestFit="1" customWidth="1"/>
    <col min="4590" max="4836" width="8.85546875" style="242"/>
    <col min="4837" max="4837" width="25.42578125" style="242" bestFit="1" customWidth="1"/>
    <col min="4838" max="4838" width="14.42578125" style="242" bestFit="1" customWidth="1"/>
    <col min="4839" max="4839" width="17.85546875" style="242" customWidth="1"/>
    <col min="4840" max="4840" width="21.5703125" style="242" customWidth="1"/>
    <col min="4841" max="4841" width="18.7109375" style="242" customWidth="1"/>
    <col min="4842" max="4842" width="18.85546875" style="242" bestFit="1" customWidth="1"/>
    <col min="4843" max="4843" width="8.85546875" style="242"/>
    <col min="4844" max="4844" width="14.140625" style="242" bestFit="1" customWidth="1"/>
    <col min="4845" max="4845" width="12.7109375" style="242" bestFit="1" customWidth="1"/>
    <col min="4846" max="5092" width="8.85546875" style="242"/>
    <col min="5093" max="5093" width="25.42578125" style="242" bestFit="1" customWidth="1"/>
    <col min="5094" max="5094" width="14.42578125" style="242" bestFit="1" customWidth="1"/>
    <col min="5095" max="5095" width="17.85546875" style="242" customWidth="1"/>
    <col min="5096" max="5096" width="21.5703125" style="242" customWidth="1"/>
    <col min="5097" max="5097" width="18.7109375" style="242" customWidth="1"/>
    <col min="5098" max="5098" width="18.85546875" style="242" bestFit="1" customWidth="1"/>
    <col min="5099" max="5099" width="8.85546875" style="242"/>
    <col min="5100" max="5100" width="14.140625" style="242" bestFit="1" customWidth="1"/>
    <col min="5101" max="5101" width="12.7109375" style="242" bestFit="1" customWidth="1"/>
    <col min="5102" max="5348" width="8.85546875" style="242"/>
    <col min="5349" max="5349" width="25.42578125" style="242" bestFit="1" customWidth="1"/>
    <col min="5350" max="5350" width="14.42578125" style="242" bestFit="1" customWidth="1"/>
    <col min="5351" max="5351" width="17.85546875" style="242" customWidth="1"/>
    <col min="5352" max="5352" width="21.5703125" style="242" customWidth="1"/>
    <col min="5353" max="5353" width="18.7109375" style="242" customWidth="1"/>
    <col min="5354" max="5354" width="18.85546875" style="242" bestFit="1" customWidth="1"/>
    <col min="5355" max="5355" width="8.85546875" style="242"/>
    <col min="5356" max="5356" width="14.140625" style="242" bestFit="1" customWidth="1"/>
    <col min="5357" max="5357" width="12.7109375" style="242" bestFit="1" customWidth="1"/>
    <col min="5358" max="5604" width="8.85546875" style="242"/>
    <col min="5605" max="5605" width="25.42578125" style="242" bestFit="1" customWidth="1"/>
    <col min="5606" max="5606" width="14.42578125" style="242" bestFit="1" customWidth="1"/>
    <col min="5607" max="5607" width="17.85546875" style="242" customWidth="1"/>
    <col min="5608" max="5608" width="21.5703125" style="242" customWidth="1"/>
    <col min="5609" max="5609" width="18.7109375" style="242" customWidth="1"/>
    <col min="5610" max="5610" width="18.85546875" style="242" bestFit="1" customWidth="1"/>
    <col min="5611" max="5611" width="8.85546875" style="242"/>
    <col min="5612" max="5612" width="14.140625" style="242" bestFit="1" customWidth="1"/>
    <col min="5613" max="5613" width="12.7109375" style="242" bestFit="1" customWidth="1"/>
    <col min="5614" max="5860" width="8.85546875" style="242"/>
    <col min="5861" max="5861" width="25.42578125" style="242" bestFit="1" customWidth="1"/>
    <col min="5862" max="5862" width="14.42578125" style="242" bestFit="1" customWidth="1"/>
    <col min="5863" max="5863" width="17.85546875" style="242" customWidth="1"/>
    <col min="5864" max="5864" width="21.5703125" style="242" customWidth="1"/>
    <col min="5865" max="5865" width="18.7109375" style="242" customWidth="1"/>
    <col min="5866" max="5866" width="18.85546875" style="242" bestFit="1" customWidth="1"/>
    <col min="5867" max="5867" width="8.85546875" style="242"/>
    <col min="5868" max="5868" width="14.140625" style="242" bestFit="1" customWidth="1"/>
    <col min="5869" max="5869" width="12.7109375" style="242" bestFit="1" customWidth="1"/>
    <col min="5870" max="6116" width="8.85546875" style="242"/>
    <col min="6117" max="6117" width="25.42578125" style="242" bestFit="1" customWidth="1"/>
    <col min="6118" max="6118" width="14.42578125" style="242" bestFit="1" customWidth="1"/>
    <col min="6119" max="6119" width="17.85546875" style="242" customWidth="1"/>
    <col min="6120" max="6120" width="21.5703125" style="242" customWidth="1"/>
    <col min="6121" max="6121" width="18.7109375" style="242" customWidth="1"/>
    <col min="6122" max="6122" width="18.85546875" style="242" bestFit="1" customWidth="1"/>
    <col min="6123" max="6123" width="8.85546875" style="242"/>
    <col min="6124" max="6124" width="14.140625" style="242" bestFit="1" customWidth="1"/>
    <col min="6125" max="6125" width="12.7109375" style="242" bestFit="1" customWidth="1"/>
    <col min="6126" max="6372" width="8.85546875" style="242"/>
    <col min="6373" max="6373" width="25.42578125" style="242" bestFit="1" customWidth="1"/>
    <col min="6374" max="6374" width="14.42578125" style="242" bestFit="1" customWidth="1"/>
    <col min="6375" max="6375" width="17.85546875" style="242" customWidth="1"/>
    <col min="6376" max="6376" width="21.5703125" style="242" customWidth="1"/>
    <col min="6377" max="6377" width="18.7109375" style="242" customWidth="1"/>
    <col min="6378" max="6378" width="18.85546875" style="242" bestFit="1" customWidth="1"/>
    <col min="6379" max="6379" width="8.85546875" style="242"/>
    <col min="6380" max="6380" width="14.140625" style="242" bestFit="1" customWidth="1"/>
    <col min="6381" max="6381" width="12.7109375" style="242" bestFit="1" customWidth="1"/>
    <col min="6382" max="6628" width="8.85546875" style="242"/>
    <col min="6629" max="6629" width="25.42578125" style="242" bestFit="1" customWidth="1"/>
    <col min="6630" max="6630" width="14.42578125" style="242" bestFit="1" customWidth="1"/>
    <col min="6631" max="6631" width="17.85546875" style="242" customWidth="1"/>
    <col min="6632" max="6632" width="21.5703125" style="242" customWidth="1"/>
    <col min="6633" max="6633" width="18.7109375" style="242" customWidth="1"/>
    <col min="6634" max="6634" width="18.85546875" style="242" bestFit="1" customWidth="1"/>
    <col min="6635" max="6635" width="8.85546875" style="242"/>
    <col min="6636" max="6636" width="14.140625" style="242" bestFit="1" customWidth="1"/>
    <col min="6637" max="6637" width="12.7109375" style="242" bestFit="1" customWidth="1"/>
    <col min="6638" max="6884" width="8.85546875" style="242"/>
    <col min="6885" max="6885" width="25.42578125" style="242" bestFit="1" customWidth="1"/>
    <col min="6886" max="6886" width="14.42578125" style="242" bestFit="1" customWidth="1"/>
    <col min="6887" max="6887" width="17.85546875" style="242" customWidth="1"/>
    <col min="6888" max="6888" width="21.5703125" style="242" customWidth="1"/>
    <col min="6889" max="6889" width="18.7109375" style="242" customWidth="1"/>
    <col min="6890" max="6890" width="18.85546875" style="242" bestFit="1" customWidth="1"/>
    <col min="6891" max="6891" width="8.85546875" style="242"/>
    <col min="6892" max="6892" width="14.140625" style="242" bestFit="1" customWidth="1"/>
    <col min="6893" max="6893" width="12.7109375" style="242" bestFit="1" customWidth="1"/>
    <col min="6894" max="7140" width="8.85546875" style="242"/>
    <col min="7141" max="7141" width="25.42578125" style="242" bestFit="1" customWidth="1"/>
    <col min="7142" max="7142" width="14.42578125" style="242" bestFit="1" customWidth="1"/>
    <col min="7143" max="7143" width="17.85546875" style="242" customWidth="1"/>
    <col min="7144" max="7144" width="21.5703125" style="242" customWidth="1"/>
    <col min="7145" max="7145" width="18.7109375" style="242" customWidth="1"/>
    <col min="7146" max="7146" width="18.85546875" style="242" bestFit="1" customWidth="1"/>
    <col min="7147" max="7147" width="8.85546875" style="242"/>
    <col min="7148" max="7148" width="14.140625" style="242" bestFit="1" customWidth="1"/>
    <col min="7149" max="7149" width="12.7109375" style="242" bestFit="1" customWidth="1"/>
    <col min="7150" max="7396" width="8.85546875" style="242"/>
    <col min="7397" max="7397" width="25.42578125" style="242" bestFit="1" customWidth="1"/>
    <col min="7398" max="7398" width="14.42578125" style="242" bestFit="1" customWidth="1"/>
    <col min="7399" max="7399" width="17.85546875" style="242" customWidth="1"/>
    <col min="7400" max="7400" width="21.5703125" style="242" customWidth="1"/>
    <col min="7401" max="7401" width="18.7109375" style="242" customWidth="1"/>
    <col min="7402" max="7402" width="18.85546875" style="242" bestFit="1" customWidth="1"/>
    <col min="7403" max="7403" width="8.85546875" style="242"/>
    <col min="7404" max="7404" width="14.140625" style="242" bestFit="1" customWidth="1"/>
    <col min="7405" max="7405" width="12.7109375" style="242" bestFit="1" customWidth="1"/>
    <col min="7406" max="7652" width="8.85546875" style="242"/>
    <col min="7653" max="7653" width="25.42578125" style="242" bestFit="1" customWidth="1"/>
    <col min="7654" max="7654" width="14.42578125" style="242" bestFit="1" customWidth="1"/>
    <col min="7655" max="7655" width="17.85546875" style="242" customWidth="1"/>
    <col min="7656" max="7656" width="21.5703125" style="242" customWidth="1"/>
    <col min="7657" max="7657" width="18.7109375" style="242" customWidth="1"/>
    <col min="7658" max="7658" width="18.85546875" style="242" bestFit="1" customWidth="1"/>
    <col min="7659" max="7659" width="8.85546875" style="242"/>
    <col min="7660" max="7660" width="14.140625" style="242" bestFit="1" customWidth="1"/>
    <col min="7661" max="7661" width="12.7109375" style="242" bestFit="1" customWidth="1"/>
    <col min="7662" max="7908" width="8.85546875" style="242"/>
    <col min="7909" max="7909" width="25.42578125" style="242" bestFit="1" customWidth="1"/>
    <col min="7910" max="7910" width="14.42578125" style="242" bestFit="1" customWidth="1"/>
    <col min="7911" max="7911" width="17.85546875" style="242" customWidth="1"/>
    <col min="7912" max="7912" width="21.5703125" style="242" customWidth="1"/>
    <col min="7913" max="7913" width="18.7109375" style="242" customWidth="1"/>
    <col min="7914" max="7914" width="18.85546875" style="242" bestFit="1" customWidth="1"/>
    <col min="7915" max="7915" width="8.85546875" style="242"/>
    <col min="7916" max="7916" width="14.140625" style="242" bestFit="1" customWidth="1"/>
    <col min="7917" max="7917" width="12.7109375" style="242" bestFit="1" customWidth="1"/>
    <col min="7918" max="8164" width="8.85546875" style="242"/>
    <col min="8165" max="8165" width="25.42578125" style="242" bestFit="1" customWidth="1"/>
    <col min="8166" max="8166" width="14.42578125" style="242" bestFit="1" customWidth="1"/>
    <col min="8167" max="8167" width="17.85546875" style="242" customWidth="1"/>
    <col min="8168" max="8168" width="21.5703125" style="242" customWidth="1"/>
    <col min="8169" max="8169" width="18.7109375" style="242" customWidth="1"/>
    <col min="8170" max="8170" width="18.85546875" style="242" bestFit="1" customWidth="1"/>
    <col min="8171" max="8171" width="8.85546875" style="242"/>
    <col min="8172" max="8172" width="14.140625" style="242" bestFit="1" customWidth="1"/>
    <col min="8173" max="8173" width="12.7109375" style="242" bestFit="1" customWidth="1"/>
    <col min="8174" max="8420" width="8.85546875" style="242"/>
    <col min="8421" max="8421" width="25.42578125" style="242" bestFit="1" customWidth="1"/>
    <col min="8422" max="8422" width="14.42578125" style="242" bestFit="1" customWidth="1"/>
    <col min="8423" max="8423" width="17.85546875" style="242" customWidth="1"/>
    <col min="8424" max="8424" width="21.5703125" style="242" customWidth="1"/>
    <col min="8425" max="8425" width="18.7109375" style="242" customWidth="1"/>
    <col min="8426" max="8426" width="18.85546875" style="242" bestFit="1" customWidth="1"/>
    <col min="8427" max="8427" width="8.85546875" style="242"/>
    <col min="8428" max="8428" width="14.140625" style="242" bestFit="1" customWidth="1"/>
    <col min="8429" max="8429" width="12.7109375" style="242" bestFit="1" customWidth="1"/>
    <col min="8430" max="8676" width="8.85546875" style="242"/>
    <col min="8677" max="8677" width="25.42578125" style="242" bestFit="1" customWidth="1"/>
    <col min="8678" max="8678" width="14.42578125" style="242" bestFit="1" customWidth="1"/>
    <col min="8679" max="8679" width="17.85546875" style="242" customWidth="1"/>
    <col min="8680" max="8680" width="21.5703125" style="242" customWidth="1"/>
    <col min="8681" max="8681" width="18.7109375" style="242" customWidth="1"/>
    <col min="8682" max="8682" width="18.85546875" style="242" bestFit="1" customWidth="1"/>
    <col min="8683" max="8683" width="8.85546875" style="242"/>
    <col min="8684" max="8684" width="14.140625" style="242" bestFit="1" customWidth="1"/>
    <col min="8685" max="8685" width="12.7109375" style="242" bestFit="1" customWidth="1"/>
    <col min="8686" max="8932" width="8.85546875" style="242"/>
    <col min="8933" max="8933" width="25.42578125" style="242" bestFit="1" customWidth="1"/>
    <col min="8934" max="8934" width="14.42578125" style="242" bestFit="1" customWidth="1"/>
    <col min="8935" max="8935" width="17.85546875" style="242" customWidth="1"/>
    <col min="8936" max="8936" width="21.5703125" style="242" customWidth="1"/>
    <col min="8937" max="8937" width="18.7109375" style="242" customWidth="1"/>
    <col min="8938" max="8938" width="18.85546875" style="242" bestFit="1" customWidth="1"/>
    <col min="8939" max="8939" width="8.85546875" style="242"/>
    <col min="8940" max="8940" width="14.140625" style="242" bestFit="1" customWidth="1"/>
    <col min="8941" max="8941" width="12.7109375" style="242" bestFit="1" customWidth="1"/>
    <col min="8942" max="9188" width="8.85546875" style="242"/>
    <col min="9189" max="9189" width="25.42578125" style="242" bestFit="1" customWidth="1"/>
    <col min="9190" max="9190" width="14.42578125" style="242" bestFit="1" customWidth="1"/>
    <col min="9191" max="9191" width="17.85546875" style="242" customWidth="1"/>
    <col min="9192" max="9192" width="21.5703125" style="242" customWidth="1"/>
    <col min="9193" max="9193" width="18.7109375" style="242" customWidth="1"/>
    <col min="9194" max="9194" width="18.85546875" style="242" bestFit="1" customWidth="1"/>
    <col min="9195" max="9195" width="8.85546875" style="242"/>
    <col min="9196" max="9196" width="14.140625" style="242" bestFit="1" customWidth="1"/>
    <col min="9197" max="9197" width="12.7109375" style="242" bestFit="1" customWidth="1"/>
    <col min="9198" max="9444" width="8.85546875" style="242"/>
    <col min="9445" max="9445" width="25.42578125" style="242" bestFit="1" customWidth="1"/>
    <col min="9446" max="9446" width="14.42578125" style="242" bestFit="1" customWidth="1"/>
    <col min="9447" max="9447" width="17.85546875" style="242" customWidth="1"/>
    <col min="9448" max="9448" width="21.5703125" style="242" customWidth="1"/>
    <col min="9449" max="9449" width="18.7109375" style="242" customWidth="1"/>
    <col min="9450" max="9450" width="18.85546875" style="242" bestFit="1" customWidth="1"/>
    <col min="9451" max="9451" width="8.85546875" style="242"/>
    <col min="9452" max="9452" width="14.140625" style="242" bestFit="1" customWidth="1"/>
    <col min="9453" max="9453" width="12.7109375" style="242" bestFit="1" customWidth="1"/>
    <col min="9454" max="9700" width="8.85546875" style="242"/>
    <col min="9701" max="9701" width="25.42578125" style="242" bestFit="1" customWidth="1"/>
    <col min="9702" max="9702" width="14.42578125" style="242" bestFit="1" customWidth="1"/>
    <col min="9703" max="9703" width="17.85546875" style="242" customWidth="1"/>
    <col min="9704" max="9704" width="21.5703125" style="242" customWidth="1"/>
    <col min="9705" max="9705" width="18.7109375" style="242" customWidth="1"/>
    <col min="9706" max="9706" width="18.85546875" style="242" bestFit="1" customWidth="1"/>
    <col min="9707" max="9707" width="8.85546875" style="242"/>
    <col min="9708" max="9708" width="14.140625" style="242" bestFit="1" customWidth="1"/>
    <col min="9709" max="9709" width="12.7109375" style="242" bestFit="1" customWidth="1"/>
    <col min="9710" max="9956" width="8.85546875" style="242"/>
    <col min="9957" max="9957" width="25.42578125" style="242" bestFit="1" customWidth="1"/>
    <col min="9958" max="9958" width="14.42578125" style="242" bestFit="1" customWidth="1"/>
    <col min="9959" max="9959" width="17.85546875" style="242" customWidth="1"/>
    <col min="9960" max="9960" width="21.5703125" style="242" customWidth="1"/>
    <col min="9961" max="9961" width="18.7109375" style="242" customWidth="1"/>
    <col min="9962" max="9962" width="18.85546875" style="242" bestFit="1" customWidth="1"/>
    <col min="9963" max="9963" width="8.85546875" style="242"/>
    <col min="9964" max="9964" width="14.140625" style="242" bestFit="1" customWidth="1"/>
    <col min="9965" max="9965" width="12.7109375" style="242" bestFit="1" customWidth="1"/>
    <col min="9966" max="10212" width="8.85546875" style="242"/>
    <col min="10213" max="10213" width="25.42578125" style="242" bestFit="1" customWidth="1"/>
    <col min="10214" max="10214" width="14.42578125" style="242" bestFit="1" customWidth="1"/>
    <col min="10215" max="10215" width="17.85546875" style="242" customWidth="1"/>
    <col min="10216" max="10216" width="21.5703125" style="242" customWidth="1"/>
    <col min="10217" max="10217" width="18.7109375" style="242" customWidth="1"/>
    <col min="10218" max="10218" width="18.85546875" style="242" bestFit="1" customWidth="1"/>
    <col min="10219" max="10219" width="8.85546875" style="242"/>
    <col min="10220" max="10220" width="14.140625" style="242" bestFit="1" customWidth="1"/>
    <col min="10221" max="10221" width="12.7109375" style="242" bestFit="1" customWidth="1"/>
    <col min="10222" max="10468" width="8.85546875" style="242"/>
    <col min="10469" max="10469" width="25.42578125" style="242" bestFit="1" customWidth="1"/>
    <col min="10470" max="10470" width="14.42578125" style="242" bestFit="1" customWidth="1"/>
    <col min="10471" max="10471" width="17.85546875" style="242" customWidth="1"/>
    <col min="10472" max="10472" width="21.5703125" style="242" customWidth="1"/>
    <col min="10473" max="10473" width="18.7109375" style="242" customWidth="1"/>
    <col min="10474" max="10474" width="18.85546875" style="242" bestFit="1" customWidth="1"/>
    <col min="10475" max="10475" width="8.85546875" style="242"/>
    <col min="10476" max="10476" width="14.140625" style="242" bestFit="1" customWidth="1"/>
    <col min="10477" max="10477" width="12.7109375" style="242" bestFit="1" customWidth="1"/>
    <col min="10478" max="10724" width="8.85546875" style="242"/>
    <col min="10725" max="10725" width="25.42578125" style="242" bestFit="1" customWidth="1"/>
    <col min="10726" max="10726" width="14.42578125" style="242" bestFit="1" customWidth="1"/>
    <col min="10727" max="10727" width="17.85546875" style="242" customWidth="1"/>
    <col min="10728" max="10728" width="21.5703125" style="242" customWidth="1"/>
    <col min="10729" max="10729" width="18.7109375" style="242" customWidth="1"/>
    <col min="10730" max="10730" width="18.85546875" style="242" bestFit="1" customWidth="1"/>
    <col min="10731" max="10731" width="8.85546875" style="242"/>
    <col min="10732" max="10732" width="14.140625" style="242" bestFit="1" customWidth="1"/>
    <col min="10733" max="10733" width="12.7109375" style="242" bestFit="1" customWidth="1"/>
    <col min="10734" max="10980" width="8.85546875" style="242"/>
    <col min="10981" max="10981" width="25.42578125" style="242" bestFit="1" customWidth="1"/>
    <col min="10982" max="10982" width="14.42578125" style="242" bestFit="1" customWidth="1"/>
    <col min="10983" max="10983" width="17.85546875" style="242" customWidth="1"/>
    <col min="10984" max="10984" width="21.5703125" style="242" customWidth="1"/>
    <col min="10985" max="10985" width="18.7109375" style="242" customWidth="1"/>
    <col min="10986" max="10986" width="18.85546875" style="242" bestFit="1" customWidth="1"/>
    <col min="10987" max="10987" width="8.85546875" style="242"/>
    <col min="10988" max="10988" width="14.140625" style="242" bestFit="1" customWidth="1"/>
    <col min="10989" max="10989" width="12.7109375" style="242" bestFit="1" customWidth="1"/>
    <col min="10990" max="11236" width="8.85546875" style="242"/>
    <col min="11237" max="11237" width="25.42578125" style="242" bestFit="1" customWidth="1"/>
    <col min="11238" max="11238" width="14.42578125" style="242" bestFit="1" customWidth="1"/>
    <col min="11239" max="11239" width="17.85546875" style="242" customWidth="1"/>
    <col min="11240" max="11240" width="21.5703125" style="242" customWidth="1"/>
    <col min="11241" max="11241" width="18.7109375" style="242" customWidth="1"/>
    <col min="11242" max="11242" width="18.85546875" style="242" bestFit="1" customWidth="1"/>
    <col min="11243" max="11243" width="8.85546875" style="242"/>
    <col min="11244" max="11244" width="14.140625" style="242" bestFit="1" customWidth="1"/>
    <col min="11245" max="11245" width="12.7109375" style="242" bestFit="1" customWidth="1"/>
    <col min="11246" max="11492" width="8.85546875" style="242"/>
    <col min="11493" max="11493" width="25.42578125" style="242" bestFit="1" customWidth="1"/>
    <col min="11494" max="11494" width="14.42578125" style="242" bestFit="1" customWidth="1"/>
    <col min="11495" max="11495" width="17.85546875" style="242" customWidth="1"/>
    <col min="11496" max="11496" width="21.5703125" style="242" customWidth="1"/>
    <col min="11497" max="11497" width="18.7109375" style="242" customWidth="1"/>
    <col min="11498" max="11498" width="18.85546875" style="242" bestFit="1" customWidth="1"/>
    <col min="11499" max="11499" width="8.85546875" style="242"/>
    <col min="11500" max="11500" width="14.140625" style="242" bestFit="1" customWidth="1"/>
    <col min="11501" max="11501" width="12.7109375" style="242" bestFit="1" customWidth="1"/>
    <col min="11502" max="11748" width="8.85546875" style="242"/>
    <col min="11749" max="11749" width="25.42578125" style="242" bestFit="1" customWidth="1"/>
    <col min="11750" max="11750" width="14.42578125" style="242" bestFit="1" customWidth="1"/>
    <col min="11751" max="11751" width="17.85546875" style="242" customWidth="1"/>
    <col min="11752" max="11752" width="21.5703125" style="242" customWidth="1"/>
    <col min="11753" max="11753" width="18.7109375" style="242" customWidth="1"/>
    <col min="11754" max="11754" width="18.85546875" style="242" bestFit="1" customWidth="1"/>
    <col min="11755" max="11755" width="8.85546875" style="242"/>
    <col min="11756" max="11756" width="14.140625" style="242" bestFit="1" customWidth="1"/>
    <col min="11757" max="11757" width="12.7109375" style="242" bestFit="1" customWidth="1"/>
    <col min="11758" max="12004" width="8.85546875" style="242"/>
    <col min="12005" max="12005" width="25.42578125" style="242" bestFit="1" customWidth="1"/>
    <col min="12006" max="12006" width="14.42578125" style="242" bestFit="1" customWidth="1"/>
    <col min="12007" max="12007" width="17.85546875" style="242" customWidth="1"/>
    <col min="12008" max="12008" width="21.5703125" style="242" customWidth="1"/>
    <col min="12009" max="12009" width="18.7109375" style="242" customWidth="1"/>
    <col min="12010" max="12010" width="18.85546875" style="242" bestFit="1" customWidth="1"/>
    <col min="12011" max="12011" width="8.85546875" style="242"/>
    <col min="12012" max="12012" width="14.140625" style="242" bestFit="1" customWidth="1"/>
    <col min="12013" max="12013" width="12.7109375" style="242" bestFit="1" customWidth="1"/>
    <col min="12014" max="12260" width="8.85546875" style="242"/>
    <col min="12261" max="12261" width="25.42578125" style="242" bestFit="1" customWidth="1"/>
    <col min="12262" max="12262" width="14.42578125" style="242" bestFit="1" customWidth="1"/>
    <col min="12263" max="12263" width="17.85546875" style="242" customWidth="1"/>
    <col min="12264" max="12264" width="21.5703125" style="242" customWidth="1"/>
    <col min="12265" max="12265" width="18.7109375" style="242" customWidth="1"/>
    <col min="12266" max="12266" width="18.85546875" style="242" bestFit="1" customWidth="1"/>
    <col min="12267" max="12267" width="8.85546875" style="242"/>
    <col min="12268" max="12268" width="14.140625" style="242" bestFit="1" customWidth="1"/>
    <col min="12269" max="12269" width="12.7109375" style="242" bestFit="1" customWidth="1"/>
    <col min="12270" max="12516" width="8.85546875" style="242"/>
    <col min="12517" max="12517" width="25.42578125" style="242" bestFit="1" customWidth="1"/>
    <col min="12518" max="12518" width="14.42578125" style="242" bestFit="1" customWidth="1"/>
    <col min="12519" max="12519" width="17.85546875" style="242" customWidth="1"/>
    <col min="12520" max="12520" width="21.5703125" style="242" customWidth="1"/>
    <col min="12521" max="12521" width="18.7109375" style="242" customWidth="1"/>
    <col min="12522" max="12522" width="18.85546875" style="242" bestFit="1" customWidth="1"/>
    <col min="12523" max="12523" width="8.85546875" style="242"/>
    <col min="12524" max="12524" width="14.140625" style="242" bestFit="1" customWidth="1"/>
    <col min="12525" max="12525" width="12.7109375" style="242" bestFit="1" customWidth="1"/>
    <col min="12526" max="12772" width="8.85546875" style="242"/>
    <col min="12773" max="12773" width="25.42578125" style="242" bestFit="1" customWidth="1"/>
    <col min="12774" max="12774" width="14.42578125" style="242" bestFit="1" customWidth="1"/>
    <col min="12775" max="12775" width="17.85546875" style="242" customWidth="1"/>
    <col min="12776" max="12776" width="21.5703125" style="242" customWidth="1"/>
    <col min="12777" max="12777" width="18.7109375" style="242" customWidth="1"/>
    <col min="12778" max="12778" width="18.85546875" style="242" bestFit="1" customWidth="1"/>
    <col min="12779" max="12779" width="8.85546875" style="242"/>
    <col min="12780" max="12780" width="14.140625" style="242" bestFit="1" customWidth="1"/>
    <col min="12781" max="12781" width="12.7109375" style="242" bestFit="1" customWidth="1"/>
    <col min="12782" max="13028" width="8.85546875" style="242"/>
    <col min="13029" max="13029" width="25.42578125" style="242" bestFit="1" customWidth="1"/>
    <col min="13030" max="13030" width="14.42578125" style="242" bestFit="1" customWidth="1"/>
    <col min="13031" max="13031" width="17.85546875" style="242" customWidth="1"/>
    <col min="13032" max="13032" width="21.5703125" style="242" customWidth="1"/>
    <col min="13033" max="13033" width="18.7109375" style="242" customWidth="1"/>
    <col min="13034" max="13034" width="18.85546875" style="242" bestFit="1" customWidth="1"/>
    <col min="13035" max="13035" width="8.85546875" style="242"/>
    <col min="13036" max="13036" width="14.140625" style="242" bestFit="1" customWidth="1"/>
    <col min="13037" max="13037" width="12.7109375" style="242" bestFit="1" customWidth="1"/>
    <col min="13038" max="13284" width="8.85546875" style="242"/>
    <col min="13285" max="13285" width="25.42578125" style="242" bestFit="1" customWidth="1"/>
    <col min="13286" max="13286" width="14.42578125" style="242" bestFit="1" customWidth="1"/>
    <col min="13287" max="13287" width="17.85546875" style="242" customWidth="1"/>
    <col min="13288" max="13288" width="21.5703125" style="242" customWidth="1"/>
    <col min="13289" max="13289" width="18.7109375" style="242" customWidth="1"/>
    <col min="13290" max="13290" width="18.85546875" style="242" bestFit="1" customWidth="1"/>
    <col min="13291" max="13291" width="8.85546875" style="242"/>
    <col min="13292" max="13292" width="14.140625" style="242" bestFit="1" customWidth="1"/>
    <col min="13293" max="13293" width="12.7109375" style="242" bestFit="1" customWidth="1"/>
    <col min="13294" max="13540" width="8.85546875" style="242"/>
    <col min="13541" max="13541" width="25.42578125" style="242" bestFit="1" customWidth="1"/>
    <col min="13542" max="13542" width="14.42578125" style="242" bestFit="1" customWidth="1"/>
    <col min="13543" max="13543" width="17.85546875" style="242" customWidth="1"/>
    <col min="13544" max="13544" width="21.5703125" style="242" customWidth="1"/>
    <col min="13545" max="13545" width="18.7109375" style="242" customWidth="1"/>
    <col min="13546" max="13546" width="18.85546875" style="242" bestFit="1" customWidth="1"/>
    <col min="13547" max="13547" width="8.85546875" style="242"/>
    <col min="13548" max="13548" width="14.140625" style="242" bestFit="1" customWidth="1"/>
    <col min="13549" max="13549" width="12.7109375" style="242" bestFit="1" customWidth="1"/>
    <col min="13550" max="13796" width="8.85546875" style="242"/>
    <col min="13797" max="13797" width="25.42578125" style="242" bestFit="1" customWidth="1"/>
    <col min="13798" max="13798" width="14.42578125" style="242" bestFit="1" customWidth="1"/>
    <col min="13799" max="13799" width="17.85546875" style="242" customWidth="1"/>
    <col min="13800" max="13800" width="21.5703125" style="242" customWidth="1"/>
    <col min="13801" max="13801" width="18.7109375" style="242" customWidth="1"/>
    <col min="13802" max="13802" width="18.85546875" style="242" bestFit="1" customWidth="1"/>
    <col min="13803" max="13803" width="8.85546875" style="242"/>
    <col min="13804" max="13804" width="14.140625" style="242" bestFit="1" customWidth="1"/>
    <col min="13805" max="13805" width="12.7109375" style="242" bestFit="1" customWidth="1"/>
    <col min="13806" max="14052" width="8.85546875" style="242"/>
    <col min="14053" max="14053" width="25.42578125" style="242" bestFit="1" customWidth="1"/>
    <col min="14054" max="14054" width="14.42578125" style="242" bestFit="1" customWidth="1"/>
    <col min="14055" max="14055" width="17.85546875" style="242" customWidth="1"/>
    <col min="14056" max="14056" width="21.5703125" style="242" customWidth="1"/>
    <col min="14057" max="14057" width="18.7109375" style="242" customWidth="1"/>
    <col min="14058" max="14058" width="18.85546875" style="242" bestFit="1" customWidth="1"/>
    <col min="14059" max="14059" width="8.85546875" style="242"/>
    <col min="14060" max="14060" width="14.140625" style="242" bestFit="1" customWidth="1"/>
    <col min="14061" max="14061" width="12.7109375" style="242" bestFit="1" customWidth="1"/>
    <col min="14062" max="14308" width="8.85546875" style="242"/>
    <col min="14309" max="14309" width="25.42578125" style="242" bestFit="1" customWidth="1"/>
    <col min="14310" max="14310" width="14.42578125" style="242" bestFit="1" customWidth="1"/>
    <col min="14311" max="14311" width="17.85546875" style="242" customWidth="1"/>
    <col min="14312" max="14312" width="21.5703125" style="242" customWidth="1"/>
    <col min="14313" max="14313" width="18.7109375" style="242" customWidth="1"/>
    <col min="14314" max="14314" width="18.85546875" style="242" bestFit="1" customWidth="1"/>
    <col min="14315" max="14315" width="8.85546875" style="242"/>
    <col min="14316" max="14316" width="14.140625" style="242" bestFit="1" customWidth="1"/>
    <col min="14317" max="14317" width="12.7109375" style="242" bestFit="1" customWidth="1"/>
    <col min="14318" max="14564" width="8.85546875" style="242"/>
    <col min="14565" max="14565" width="25.42578125" style="242" bestFit="1" customWidth="1"/>
    <col min="14566" max="14566" width="14.42578125" style="242" bestFit="1" customWidth="1"/>
    <col min="14567" max="14567" width="17.85546875" style="242" customWidth="1"/>
    <col min="14568" max="14568" width="21.5703125" style="242" customWidth="1"/>
    <col min="14569" max="14569" width="18.7109375" style="242" customWidth="1"/>
    <col min="14570" max="14570" width="18.85546875" style="242" bestFit="1" customWidth="1"/>
    <col min="14571" max="14571" width="8.85546875" style="242"/>
    <col min="14572" max="14572" width="14.140625" style="242" bestFit="1" customWidth="1"/>
    <col min="14573" max="14573" width="12.7109375" style="242" bestFit="1" customWidth="1"/>
    <col min="14574" max="14820" width="8.85546875" style="242"/>
    <col min="14821" max="14821" width="25.42578125" style="242" bestFit="1" customWidth="1"/>
    <col min="14822" max="14822" width="14.42578125" style="242" bestFit="1" customWidth="1"/>
    <col min="14823" max="14823" width="17.85546875" style="242" customWidth="1"/>
    <col min="14824" max="14824" width="21.5703125" style="242" customWidth="1"/>
    <col min="14825" max="14825" width="18.7109375" style="242" customWidth="1"/>
    <col min="14826" max="14826" width="18.85546875" style="242" bestFit="1" customWidth="1"/>
    <col min="14827" max="14827" width="8.85546875" style="242"/>
    <col min="14828" max="14828" width="14.140625" style="242" bestFit="1" customWidth="1"/>
    <col min="14829" max="14829" width="12.7109375" style="242" bestFit="1" customWidth="1"/>
    <col min="14830" max="15076" width="8.85546875" style="242"/>
    <col min="15077" max="15077" width="25.42578125" style="242" bestFit="1" customWidth="1"/>
    <col min="15078" max="15078" width="14.42578125" style="242" bestFit="1" customWidth="1"/>
    <col min="15079" max="15079" width="17.85546875" style="242" customWidth="1"/>
    <col min="15080" max="15080" width="21.5703125" style="242" customWidth="1"/>
    <col min="15081" max="15081" width="18.7109375" style="242" customWidth="1"/>
    <col min="15082" max="15082" width="18.85546875" style="242" bestFit="1" customWidth="1"/>
    <col min="15083" max="15083" width="8.85546875" style="242"/>
    <col min="15084" max="15084" width="14.140625" style="242" bestFit="1" customWidth="1"/>
    <col min="15085" max="15085" width="12.7109375" style="242" bestFit="1" customWidth="1"/>
    <col min="15086" max="15332" width="8.85546875" style="242"/>
    <col min="15333" max="15333" width="25.42578125" style="242" bestFit="1" customWidth="1"/>
    <col min="15334" max="15334" width="14.42578125" style="242" bestFit="1" customWidth="1"/>
    <col min="15335" max="15335" width="17.85546875" style="242" customWidth="1"/>
    <col min="15336" max="15336" width="21.5703125" style="242" customWidth="1"/>
    <col min="15337" max="15337" width="18.7109375" style="242" customWidth="1"/>
    <col min="15338" max="15338" width="18.85546875" style="242" bestFit="1" customWidth="1"/>
    <col min="15339" max="15339" width="8.85546875" style="242"/>
    <col min="15340" max="15340" width="14.140625" style="242" bestFit="1" customWidth="1"/>
    <col min="15341" max="15341" width="12.7109375" style="242" bestFit="1" customWidth="1"/>
    <col min="15342" max="15588" width="8.85546875" style="242"/>
    <col min="15589" max="15589" width="25.42578125" style="242" bestFit="1" customWidth="1"/>
    <col min="15590" max="15590" width="14.42578125" style="242" bestFit="1" customWidth="1"/>
    <col min="15591" max="15591" width="17.85546875" style="242" customWidth="1"/>
    <col min="15592" max="15592" width="21.5703125" style="242" customWidth="1"/>
    <col min="15593" max="15593" width="18.7109375" style="242" customWidth="1"/>
    <col min="15594" max="15594" width="18.85546875" style="242" bestFit="1" customWidth="1"/>
    <col min="15595" max="15595" width="8.85546875" style="242"/>
    <col min="15596" max="15596" width="14.140625" style="242" bestFit="1" customWidth="1"/>
    <col min="15597" max="15597" width="12.7109375" style="242" bestFit="1" customWidth="1"/>
    <col min="15598" max="15844" width="8.85546875" style="242"/>
    <col min="15845" max="15845" width="25.42578125" style="242" bestFit="1" customWidth="1"/>
    <col min="15846" max="15846" width="14.42578125" style="242" bestFit="1" customWidth="1"/>
    <col min="15847" max="15847" width="17.85546875" style="242" customWidth="1"/>
    <col min="15848" max="15848" width="21.5703125" style="242" customWidth="1"/>
    <col min="15849" max="15849" width="18.7109375" style="242" customWidth="1"/>
    <col min="15850" max="15850" width="18.85546875" style="242" bestFit="1" customWidth="1"/>
    <col min="15851" max="15851" width="8.85546875" style="242"/>
    <col min="15852" max="15852" width="14.140625" style="242" bestFit="1" customWidth="1"/>
    <col min="15853" max="15853" width="12.7109375" style="242" bestFit="1" customWidth="1"/>
    <col min="15854" max="16100" width="8.85546875" style="242"/>
    <col min="16101" max="16101" width="25.42578125" style="242" bestFit="1" customWidth="1"/>
    <col min="16102" max="16102" width="14.42578125" style="242" bestFit="1" customWidth="1"/>
    <col min="16103" max="16103" width="17.85546875" style="242" customWidth="1"/>
    <col min="16104" max="16104" width="21.5703125" style="242" customWidth="1"/>
    <col min="16105" max="16105" width="18.7109375" style="242" customWidth="1"/>
    <col min="16106" max="16106" width="18.85546875" style="242" bestFit="1" customWidth="1"/>
    <col min="16107" max="16107" width="8.85546875" style="242"/>
    <col min="16108" max="16108" width="14.140625" style="242" bestFit="1" customWidth="1"/>
    <col min="16109" max="16109" width="12.7109375" style="242" bestFit="1" customWidth="1"/>
    <col min="16110" max="16384" width="8.85546875" style="242"/>
  </cols>
  <sheetData>
    <row r="1" spans="1:9" x14ac:dyDescent="0.5">
      <c r="B1" s="580">
        <f>Cover!A14</f>
        <v>0</v>
      </c>
      <c r="C1" s="580"/>
      <c r="D1" s="580"/>
      <c r="E1" s="580"/>
      <c r="F1" s="580"/>
      <c r="G1" s="580"/>
    </row>
    <row r="2" spans="1:9" x14ac:dyDescent="0.5">
      <c r="B2" s="580" t="str">
        <f>Cover!A15</f>
        <v>(Foreign Company – Limited Liability Company)</v>
      </c>
      <c r="C2" s="580"/>
      <c r="D2" s="580"/>
      <c r="E2" s="580"/>
      <c r="F2" s="580"/>
      <c r="G2" s="580"/>
    </row>
    <row r="3" spans="1:9" x14ac:dyDescent="0.5">
      <c r="B3" s="580" t="str">
        <f>Cover!A16</f>
        <v>Riyadh – Kingdom of Saudi Arabia</v>
      </c>
      <c r="C3" s="580"/>
      <c r="D3" s="580"/>
      <c r="E3" s="580"/>
      <c r="F3" s="580"/>
      <c r="G3" s="580"/>
    </row>
    <row r="4" spans="1:9" x14ac:dyDescent="0.5">
      <c r="A4" s="469"/>
      <c r="B4" s="581" t="str">
        <f>"Statement of changes in equity For period from 13 march to "&amp;Index!A5</f>
        <v>Statement of changes in equity For period from 13 march to 31December2024</v>
      </c>
      <c r="C4" s="581"/>
      <c r="D4" s="581"/>
      <c r="E4" s="581"/>
      <c r="F4" s="582"/>
      <c r="G4" s="582"/>
    </row>
    <row r="5" spans="1:9" x14ac:dyDescent="0.5">
      <c r="B5" s="470"/>
      <c r="C5" s="471"/>
      <c r="D5" s="471"/>
      <c r="E5" s="471"/>
      <c r="F5" s="471"/>
      <c r="G5" s="471"/>
    </row>
    <row r="6" spans="1:9" s="472" customFormat="1" x14ac:dyDescent="0.5">
      <c r="B6" s="473" t="s">
        <v>214</v>
      </c>
      <c r="C6" s="474" t="str">
        <f>'Balance Sheet'!K35</f>
        <v>Accumulated losses</v>
      </c>
      <c r="D6" s="474" t="s">
        <v>423</v>
      </c>
      <c r="E6" s="474" t="str">
        <f>'Balance Sheet'!K33</f>
        <v>Statutory reserve</v>
      </c>
      <c r="F6" s="473" t="str">
        <f>'Balance Sheet'!K32</f>
        <v>capital</v>
      </c>
    </row>
    <row r="7" spans="1:9" s="472" customFormat="1" x14ac:dyDescent="0.5">
      <c r="B7" s="475" t="str">
        <f>'Balance Sheet'!A5</f>
        <v>(saudi riyal)</v>
      </c>
      <c r="C7" s="475" t="str">
        <f>'Balance Sheet'!$A$5</f>
        <v>(saudi riyal)</v>
      </c>
      <c r="D7" s="475" t="str">
        <f>'Balance Sheet'!$A$5</f>
        <v>(saudi riyal)</v>
      </c>
      <c r="E7" s="475" t="str">
        <f>'Balance Sheet'!$A$5</f>
        <v>(saudi riyal)</v>
      </c>
      <c r="F7" s="475" t="str">
        <f>'Balance Sheet'!$A$5</f>
        <v>(saudi riyal)</v>
      </c>
      <c r="G7" s="476"/>
    </row>
    <row r="8" spans="1:9" ht="22.5" hidden="1" thickBot="1" x14ac:dyDescent="0.55000000000000004">
      <c r="B8" s="477">
        <f>SUM(C8:F8)</f>
        <v>0</v>
      </c>
      <c r="C8" s="478">
        <v>0</v>
      </c>
      <c r="D8" s="478">
        <v>0</v>
      </c>
      <c r="E8" s="477">
        <v>0</v>
      </c>
      <c r="F8" s="477">
        <v>0</v>
      </c>
      <c r="G8" s="445" t="s">
        <v>424</v>
      </c>
      <c r="I8" s="479"/>
    </row>
    <row r="9" spans="1:9" ht="22.5" hidden="1" thickTop="1" x14ac:dyDescent="0.5">
      <c r="B9" s="480">
        <f t="shared" ref="B9:B14" si="0">SUM(C9:F9)</f>
        <v>0</v>
      </c>
      <c r="C9" s="480">
        <v>0</v>
      </c>
      <c r="D9" s="480">
        <v>0</v>
      </c>
      <c r="E9" s="481">
        <v>0</v>
      </c>
      <c r="F9" s="481">
        <v>0</v>
      </c>
      <c r="G9" s="415" t="s">
        <v>423</v>
      </c>
    </row>
    <row r="10" spans="1:9" ht="22.5" thickBot="1" x14ac:dyDescent="0.55000000000000004">
      <c r="B10" s="477">
        <f>SUM(C10:F10)</f>
        <v>0</v>
      </c>
      <c r="C10" s="477">
        <v>0</v>
      </c>
      <c r="D10" s="477">
        <v>0</v>
      </c>
      <c r="E10" s="477">
        <v>0</v>
      </c>
      <c r="F10" s="477">
        <v>0</v>
      </c>
      <c r="G10" s="759" t="s">
        <v>578</v>
      </c>
    </row>
    <row r="11" spans="1:9" ht="22.5" thickTop="1" x14ac:dyDescent="0.5">
      <c r="B11" s="482">
        <f t="shared" si="0"/>
        <v>0</v>
      </c>
      <c r="C11" s="480">
        <f>'Income Statement'!B23</f>
        <v>0</v>
      </c>
      <c r="D11" s="480">
        <v>0</v>
      </c>
      <c r="E11" s="481">
        <v>0</v>
      </c>
      <c r="F11" s="481">
        <v>0</v>
      </c>
      <c r="G11" s="308" t="s">
        <v>514</v>
      </c>
    </row>
    <row r="12" spans="1:9" x14ac:dyDescent="0.5">
      <c r="B12" s="480">
        <f t="shared" si="0"/>
        <v>0</v>
      </c>
      <c r="C12" s="481">
        <v>0</v>
      </c>
      <c r="D12" s="480">
        <v>0</v>
      </c>
      <c r="E12" s="481">
        <v>0</v>
      </c>
      <c r="F12" s="481">
        <v>0</v>
      </c>
      <c r="G12" s="308" t="s">
        <v>566</v>
      </c>
    </row>
    <row r="13" spans="1:9" x14ac:dyDescent="0.5">
      <c r="B13" s="480">
        <v>0</v>
      </c>
      <c r="C13" s="481">
        <v>0</v>
      </c>
      <c r="D13" s="481">
        <v>0</v>
      </c>
      <c r="E13" s="481">
        <v>0</v>
      </c>
      <c r="F13" s="481">
        <v>0</v>
      </c>
      <c r="G13" s="308" t="s">
        <v>552</v>
      </c>
      <c r="I13" s="242" t="s">
        <v>31</v>
      </c>
    </row>
    <row r="14" spans="1:9" x14ac:dyDescent="0.5">
      <c r="B14" s="480">
        <f t="shared" si="0"/>
        <v>0</v>
      </c>
      <c r="C14" s="481">
        <v>0</v>
      </c>
      <c r="D14" s="481">
        <v>0</v>
      </c>
      <c r="E14" s="481">
        <v>0</v>
      </c>
      <c r="F14" s="481">
        <v>0</v>
      </c>
      <c r="G14" s="308" t="s">
        <v>551</v>
      </c>
      <c r="I14" s="242" t="s">
        <v>31</v>
      </c>
    </row>
    <row r="15" spans="1:9" x14ac:dyDescent="0.5">
      <c r="B15" s="480"/>
      <c r="C15" s="481"/>
      <c r="D15" s="481"/>
      <c r="E15" s="481"/>
      <c r="F15" s="481"/>
      <c r="G15" s="308" t="s">
        <v>577</v>
      </c>
    </row>
    <row r="16" spans="1:9" x14ac:dyDescent="0.5">
      <c r="B16" s="480"/>
      <c r="C16" s="481"/>
      <c r="D16" s="481"/>
      <c r="E16" s="481"/>
      <c r="F16" s="481"/>
      <c r="G16" s="308" t="s">
        <v>517</v>
      </c>
    </row>
    <row r="17" spans="2:11" x14ac:dyDescent="0.5">
      <c r="B17" s="480"/>
      <c r="C17" s="481"/>
      <c r="D17" s="481"/>
      <c r="E17" s="481"/>
      <c r="F17" s="481"/>
      <c r="G17" s="308" t="s">
        <v>495</v>
      </c>
    </row>
    <row r="18" spans="2:11" ht="22.5" thickBot="1" x14ac:dyDescent="0.55000000000000004">
      <c r="B18" s="477">
        <f t="shared" ref="B18" si="1">SUM(C18:F18)</f>
        <v>0</v>
      </c>
      <c r="C18" s="477">
        <f t="shared" ref="C18:E18" si="2">SUM(C10:C14)</f>
        <v>0</v>
      </c>
      <c r="D18" s="477">
        <f t="shared" si="2"/>
        <v>0</v>
      </c>
      <c r="E18" s="477">
        <f t="shared" si="2"/>
        <v>0</v>
      </c>
      <c r="F18" s="477">
        <v>0</v>
      </c>
      <c r="G18" s="760" t="s">
        <v>581</v>
      </c>
      <c r="I18" s="479"/>
    </row>
    <row r="19" spans="2:11" ht="23.25" thickTop="1" thickBot="1" x14ac:dyDescent="0.55000000000000004">
      <c r="B19" s="477"/>
      <c r="C19" s="477"/>
      <c r="D19" s="477"/>
      <c r="E19" s="477"/>
      <c r="F19" s="477"/>
      <c r="G19" s="760"/>
      <c r="I19" s="479"/>
    </row>
    <row r="20" spans="2:11" ht="23.25" thickTop="1" thickBot="1" x14ac:dyDescent="0.55000000000000004">
      <c r="B20" s="477">
        <f t="shared" ref="B20:B27" si="3">SUM(C20:F20)</f>
        <v>0</v>
      </c>
      <c r="C20" s="477">
        <v>0</v>
      </c>
      <c r="D20" s="477">
        <f>+D18</f>
        <v>0</v>
      </c>
      <c r="E20" s="477">
        <f>+E18</f>
        <v>0</v>
      </c>
      <c r="F20" s="477">
        <v>0</v>
      </c>
      <c r="G20" s="759" t="s">
        <v>579</v>
      </c>
    </row>
    <row r="21" spans="2:11" ht="22.5" thickTop="1" x14ac:dyDescent="0.5">
      <c r="B21" s="482">
        <v>0</v>
      </c>
      <c r="C21" s="482">
        <v>0</v>
      </c>
      <c r="D21" s="482">
        <v>0</v>
      </c>
      <c r="E21" s="482">
        <v>0</v>
      </c>
      <c r="F21" s="482">
        <v>0</v>
      </c>
      <c r="G21" s="308" t="s">
        <v>566</v>
      </c>
    </row>
    <row r="22" spans="2:11" x14ac:dyDescent="0.5">
      <c r="B22" s="757">
        <v>0</v>
      </c>
      <c r="C22" s="758">
        <v>0</v>
      </c>
      <c r="D22" s="757">
        <v>0</v>
      </c>
      <c r="E22" s="757">
        <v>0</v>
      </c>
      <c r="F22" s="757">
        <v>0</v>
      </c>
      <c r="G22" s="762" t="s">
        <v>552</v>
      </c>
    </row>
    <row r="23" spans="2:11" x14ac:dyDescent="0.5">
      <c r="B23" s="482">
        <f t="shared" si="3"/>
        <v>0</v>
      </c>
      <c r="C23" s="481">
        <v>0</v>
      </c>
      <c r="D23" s="481">
        <v>0</v>
      </c>
      <c r="E23" s="480">
        <v>0</v>
      </c>
      <c r="F23" s="480">
        <v>0</v>
      </c>
      <c r="G23" s="308" t="s">
        <v>551</v>
      </c>
    </row>
    <row r="24" spans="2:11" x14ac:dyDescent="0.5">
      <c r="B24" s="480">
        <f t="shared" si="3"/>
        <v>0</v>
      </c>
      <c r="C24" s="480">
        <f>'Income Statement'!D23</f>
        <v>0</v>
      </c>
      <c r="D24" s="480">
        <v>0</v>
      </c>
      <c r="E24" s="480">
        <v>0</v>
      </c>
      <c r="F24" s="480">
        <v>0</v>
      </c>
      <c r="G24" s="308" t="str">
        <f>IF(C24&gt;=0,"Net income for the year","Net Loss for the year")</f>
        <v>Net income for the year</v>
      </c>
    </row>
    <row r="25" spans="2:11" x14ac:dyDescent="0.5">
      <c r="B25" s="480">
        <f t="shared" si="3"/>
        <v>0</v>
      </c>
      <c r="C25" s="481">
        <v>0</v>
      </c>
      <c r="D25" s="481">
        <v>0</v>
      </c>
      <c r="E25" s="481">
        <v>0</v>
      </c>
      <c r="F25" s="480">
        <v>0</v>
      </c>
      <c r="G25" s="308" t="s">
        <v>517</v>
      </c>
    </row>
    <row r="26" spans="2:11" x14ac:dyDescent="0.5">
      <c r="B26" s="480">
        <f t="shared" si="3"/>
        <v>0</v>
      </c>
      <c r="C26" s="481">
        <f>'Income Statement'!D27</f>
        <v>0</v>
      </c>
      <c r="D26" s="481">
        <v>0</v>
      </c>
      <c r="E26" s="481">
        <v>0</v>
      </c>
      <c r="F26" s="480">
        <v>0</v>
      </c>
      <c r="G26" s="308" t="s">
        <v>495</v>
      </c>
    </row>
    <row r="27" spans="2:11" ht="22.5" thickBot="1" x14ac:dyDescent="0.55000000000000004">
      <c r="B27" s="477">
        <f t="shared" si="3"/>
        <v>0</v>
      </c>
      <c r="C27" s="477">
        <f t="shared" ref="C27:E27" si="4">SUM(C20:C26)</f>
        <v>0</v>
      </c>
      <c r="D27" s="477">
        <f>SUM(D20:D26)</f>
        <v>0</v>
      </c>
      <c r="E27" s="477">
        <f t="shared" si="4"/>
        <v>0</v>
      </c>
      <c r="F27" s="477">
        <f>SUM(F20:F26)</f>
        <v>0</v>
      </c>
      <c r="G27" s="761" t="s">
        <v>580</v>
      </c>
      <c r="I27" s="479">
        <f>+B27-'Balance Sheet'!F36</f>
        <v>0</v>
      </c>
      <c r="K27" s="479"/>
    </row>
    <row r="28" spans="2:11" ht="22.5" thickTop="1" x14ac:dyDescent="0.5">
      <c r="B28" s="483"/>
      <c r="C28" s="483"/>
      <c r="D28" s="483"/>
      <c r="E28" s="483"/>
      <c r="F28" s="483"/>
      <c r="G28" s="484"/>
    </row>
    <row r="29" spans="2:11" ht="36" hidden="1" customHeight="1" x14ac:dyDescent="0.5">
      <c r="B29" s="583" t="s">
        <v>494</v>
      </c>
      <c r="C29" s="583"/>
      <c r="D29" s="583"/>
      <c r="E29" s="583"/>
      <c r="F29" s="583"/>
      <c r="G29" s="583"/>
    </row>
    <row r="30" spans="2:11" x14ac:dyDescent="0.5">
      <c r="B30" s="485"/>
      <c r="C30" s="485"/>
      <c r="D30" s="485"/>
      <c r="E30" s="485"/>
      <c r="F30" s="485"/>
      <c r="G30" s="485"/>
    </row>
    <row r="31" spans="2:11" x14ac:dyDescent="0.5">
      <c r="B31" s="485"/>
      <c r="C31" s="485"/>
      <c r="D31" s="485"/>
      <c r="E31" s="485"/>
      <c r="F31" s="485"/>
      <c r="G31" s="485"/>
    </row>
    <row r="32" spans="2:11" x14ac:dyDescent="0.5">
      <c r="B32" s="483"/>
      <c r="C32" s="483"/>
      <c r="D32" s="483"/>
      <c r="E32" s="483"/>
      <c r="F32" s="483"/>
      <c r="G32" s="484"/>
    </row>
    <row r="33" spans="1:11" x14ac:dyDescent="0.5">
      <c r="A33" s="579" t="str">
        <f>'Balance Sheet'!A65</f>
        <v>The accompanying form integral part of these financial statements.</v>
      </c>
      <c r="B33" s="579"/>
      <c r="C33" s="579"/>
      <c r="D33" s="579"/>
      <c r="E33" s="579"/>
      <c r="F33" s="579"/>
      <c r="G33" s="579"/>
    </row>
    <row r="34" spans="1:11" x14ac:dyDescent="0.5">
      <c r="A34" s="569" t="str">
        <f>"-"&amp;SUM(Index!I10:I12)&amp;"-"</f>
        <v>-6-</v>
      </c>
      <c r="B34" s="569"/>
      <c r="C34" s="569"/>
      <c r="D34" s="569"/>
      <c r="E34" s="569"/>
      <c r="F34" s="569"/>
      <c r="G34" s="569"/>
      <c r="H34" s="383"/>
      <c r="I34" s="383"/>
      <c r="J34" s="383"/>
      <c r="K34" s="383"/>
    </row>
  </sheetData>
  <mergeCells count="7">
    <mergeCell ref="A33:G33"/>
    <mergeCell ref="A34:G34"/>
    <mergeCell ref="B1:G1"/>
    <mergeCell ref="B2:G2"/>
    <mergeCell ref="B4:G4"/>
    <mergeCell ref="B3:G3"/>
    <mergeCell ref="B29:G29"/>
  </mergeCells>
  <printOptions horizontalCentered="1"/>
  <pageMargins left="0.47244094488188981" right="0.70866141732283472" top="0.74803149606299213" bottom="0.74803149606299213" header="0.31496062992125984" footer="0.31496062992125984"/>
  <pageSetup scale="7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61"/>
  <sheetViews>
    <sheetView rightToLeft="1" view="pageBreakPreview" topLeftCell="A14" zoomScaleNormal="100" zoomScaleSheetLayoutView="100" workbookViewId="0">
      <selection activeCell="I51" sqref="I51"/>
    </sheetView>
  </sheetViews>
  <sheetFormatPr defaultColWidth="9.140625" defaultRowHeight="18.75" x14ac:dyDescent="0.2"/>
  <cols>
    <col min="1" max="1" width="2.140625" style="280" customWidth="1"/>
    <col min="2" max="2" width="24.85546875" style="459" hidden="1" customWidth="1"/>
    <col min="3" max="3" width="2.7109375" style="280" customWidth="1"/>
    <col min="4" max="4" width="25.85546875" style="336" customWidth="1"/>
    <col min="5" max="5" width="3.7109375" style="280" customWidth="1"/>
    <col min="6" max="6" width="12" style="280" hidden="1" customWidth="1"/>
    <col min="7" max="7" width="0.5703125" style="280" hidden="1" customWidth="1"/>
    <col min="8" max="8" width="4.85546875" style="280" customWidth="1"/>
    <col min="9" max="9" width="55.85546875" style="280" customWidth="1"/>
    <col min="10" max="10" width="2" style="280" customWidth="1"/>
    <col min="11" max="11" width="19.140625" style="280" bestFit="1" customWidth="1"/>
    <col min="12" max="12" width="16.140625" style="280" bestFit="1" customWidth="1"/>
    <col min="13" max="13" width="11.140625" style="280" bestFit="1" customWidth="1"/>
    <col min="14" max="16384" width="9.140625" style="280"/>
  </cols>
  <sheetData>
    <row r="1" spans="1:13" x14ac:dyDescent="0.2">
      <c r="A1" s="571">
        <f>Cover!A14</f>
        <v>0</v>
      </c>
      <c r="B1" s="571"/>
      <c r="C1" s="571"/>
      <c r="D1" s="571"/>
      <c r="E1" s="571"/>
      <c r="F1" s="571"/>
      <c r="G1" s="571"/>
      <c r="H1" s="571"/>
      <c r="I1" s="571"/>
      <c r="J1" s="571"/>
      <c r="K1" s="321"/>
    </row>
    <row r="2" spans="1:13" x14ac:dyDescent="0.2">
      <c r="A2" s="571" t="str">
        <f>Cover!A15</f>
        <v>(Foreign Company – Limited Liability Company)</v>
      </c>
      <c r="B2" s="571"/>
      <c r="C2" s="571"/>
      <c r="D2" s="571"/>
      <c r="E2" s="571"/>
      <c r="F2" s="571"/>
      <c r="G2" s="571"/>
      <c r="H2" s="571"/>
      <c r="I2" s="571"/>
      <c r="J2" s="571"/>
      <c r="K2" s="321"/>
    </row>
    <row r="3" spans="1:13" x14ac:dyDescent="0.2">
      <c r="A3" s="571" t="str">
        <f>Cover!A16</f>
        <v>Riyadh – Kingdom of Saudi Arabia</v>
      </c>
      <c r="B3" s="571"/>
      <c r="C3" s="571"/>
      <c r="D3" s="571"/>
      <c r="E3" s="571"/>
      <c r="F3" s="571"/>
      <c r="G3" s="571"/>
      <c r="H3" s="571"/>
      <c r="I3" s="571"/>
      <c r="J3" s="571"/>
      <c r="K3" s="287"/>
    </row>
    <row r="4" spans="1:13" x14ac:dyDescent="0.2">
      <c r="A4" s="571" t="str">
        <f>"Statement of cash flows For prieod Ended"&amp;Index!A5</f>
        <v>Statement of cash flows For prieod Ended31December2024</v>
      </c>
      <c r="B4" s="571"/>
      <c r="C4" s="571"/>
      <c r="D4" s="571"/>
      <c r="E4" s="571"/>
      <c r="F4" s="571"/>
      <c r="G4" s="571"/>
      <c r="H4" s="571"/>
      <c r="I4" s="571"/>
      <c r="J4" s="571"/>
    </row>
    <row r="5" spans="1:13" x14ac:dyDescent="0.2">
      <c r="A5" s="573" t="str">
        <f>'Balance Sheet'!A5</f>
        <v>(saudi riyal)</v>
      </c>
      <c r="B5" s="573"/>
      <c r="C5" s="573"/>
      <c r="D5" s="573"/>
      <c r="E5" s="573"/>
      <c r="F5" s="573"/>
      <c r="G5" s="573"/>
      <c r="H5" s="573"/>
      <c r="I5" s="573"/>
      <c r="J5" s="573"/>
    </row>
    <row r="6" spans="1:13" x14ac:dyDescent="0.2">
      <c r="A6" s="406"/>
      <c r="B6" s="447"/>
      <c r="C6" s="406"/>
      <c r="D6" s="448"/>
      <c r="E6" s="406"/>
      <c r="F6" s="406"/>
      <c r="G6" s="406"/>
      <c r="H6" s="406"/>
      <c r="I6" s="406"/>
      <c r="J6" s="406"/>
    </row>
    <row r="7" spans="1:13" ht="44.25" customHeight="1" x14ac:dyDescent="0.2">
      <c r="B7" s="449" t="str">
        <f>'Income Statement'!$B$7</f>
        <v xml:space="preserve">prieod from 5 may  to 31 december </v>
      </c>
      <c r="C7" s="293"/>
      <c r="D7" s="450" t="str">
        <f>+'Income Statement'!$D$7</f>
        <v>For the Period Ended 31 December 2024</v>
      </c>
      <c r="E7" s="287"/>
      <c r="F7" s="293"/>
      <c r="G7" s="293"/>
      <c r="H7" s="293"/>
      <c r="I7" s="451"/>
      <c r="J7" s="334" t="s">
        <v>218</v>
      </c>
      <c r="K7" s="336"/>
    </row>
    <row r="8" spans="1:13" ht="16.899999999999999" customHeight="1" x14ac:dyDescent="0.2">
      <c r="B8" s="449" t="str">
        <f>'Balance Sheet'!$D$10</f>
        <v>(saudi riyal)</v>
      </c>
      <c r="C8" s="293"/>
      <c r="D8" s="450" t="str">
        <f>'Balance Sheet'!$F$10</f>
        <v>(saudi riyal)</v>
      </c>
      <c r="E8" s="287"/>
      <c r="F8" s="293"/>
      <c r="G8" s="293"/>
      <c r="H8" s="293"/>
      <c r="I8" s="451"/>
      <c r="J8" s="451"/>
      <c r="K8" s="336"/>
    </row>
    <row r="9" spans="1:13" ht="16.899999999999999" customHeight="1" x14ac:dyDescent="0.2">
      <c r="B9" s="452"/>
      <c r="C9" s="316"/>
      <c r="D9" s="453"/>
      <c r="E9" s="287"/>
      <c r="F9" s="293"/>
      <c r="G9" s="293"/>
      <c r="H9" s="293"/>
      <c r="I9" s="451"/>
      <c r="J9" s="451"/>
      <c r="K9" s="336"/>
    </row>
    <row r="10" spans="1:13" ht="16.899999999999999" customHeight="1" x14ac:dyDescent="0.2">
      <c r="B10" s="454">
        <f>'Income Statement'!B21</f>
        <v>0</v>
      </c>
      <c r="C10" s="454"/>
      <c r="D10" s="454">
        <f>'Income Statement'!D21</f>
        <v>0</v>
      </c>
      <c r="E10" s="287"/>
      <c r="F10" s="287"/>
      <c r="G10" s="287"/>
      <c r="H10" s="287"/>
      <c r="I10" s="455" t="str">
        <f>'Income Statement'!G21</f>
        <v>INCOME BEFORE income tax</v>
      </c>
      <c r="K10" s="336"/>
    </row>
    <row r="11" spans="1:13" ht="20.25" customHeight="1" x14ac:dyDescent="0.2">
      <c r="B11" s="454"/>
      <c r="C11" s="454"/>
      <c r="D11" s="454"/>
      <c r="E11" s="287"/>
      <c r="F11" s="287"/>
      <c r="G11" s="287"/>
      <c r="H11" s="287"/>
      <c r="I11" s="293"/>
      <c r="J11" s="456" t="s">
        <v>215</v>
      </c>
      <c r="K11" s="336"/>
    </row>
    <row r="12" spans="1:13" ht="20.25" hidden="1" customHeight="1" x14ac:dyDescent="0.2">
      <c r="B12" s="454">
        <v>0</v>
      </c>
      <c r="C12" s="316"/>
      <c r="D12" s="454">
        <v>0</v>
      </c>
      <c r="E12" s="287"/>
      <c r="I12" s="457" t="s">
        <v>216</v>
      </c>
      <c r="J12" s="451"/>
      <c r="K12" s="336"/>
    </row>
    <row r="13" spans="1:13" ht="20.25" customHeight="1" x14ac:dyDescent="0.2">
      <c r="B13" s="454"/>
      <c r="C13" s="454"/>
      <c r="D13" s="454"/>
      <c r="E13" s="287"/>
      <c r="F13" s="287"/>
      <c r="G13" s="287"/>
      <c r="H13" s="287"/>
      <c r="I13" s="586" t="s">
        <v>217</v>
      </c>
      <c r="J13" s="586"/>
      <c r="K13" s="336"/>
      <c r="M13" s="318"/>
    </row>
    <row r="14" spans="1:13" ht="20.25" customHeight="1" x14ac:dyDescent="0.2">
      <c r="B14" s="454">
        <v>0</v>
      </c>
      <c r="C14" s="454"/>
      <c r="D14" s="454">
        <f>F!I15</f>
        <v>0</v>
      </c>
      <c r="E14" s="287"/>
      <c r="F14" s="287"/>
      <c r="G14" s="287"/>
      <c r="H14" s="287"/>
      <c r="I14" s="280" t="s">
        <v>219</v>
      </c>
      <c r="K14" s="336"/>
    </row>
    <row r="15" spans="1:13" ht="20.25" hidden="1" customHeight="1" x14ac:dyDescent="0.2">
      <c r="B15" s="454">
        <f>-'Income Statement'!B19</f>
        <v>0</v>
      </c>
      <c r="C15" s="454"/>
      <c r="D15" s="454">
        <f>-'Income Statement'!D19</f>
        <v>0</v>
      </c>
      <c r="E15" s="287"/>
      <c r="F15" s="287"/>
      <c r="G15" s="287"/>
      <c r="H15" s="287"/>
      <c r="I15" s="280" t="s">
        <v>220</v>
      </c>
      <c r="K15" s="336"/>
    </row>
    <row r="16" spans="1:13" ht="23.25" customHeight="1" x14ac:dyDescent="0.2">
      <c r="B16" s="454">
        <v>0</v>
      </c>
      <c r="C16" s="454"/>
      <c r="D16" s="454">
        <f>'C'!F12</f>
        <v>0</v>
      </c>
      <c r="E16" s="287"/>
      <c r="F16" s="287"/>
      <c r="G16" s="287"/>
      <c r="H16" s="287"/>
      <c r="I16" s="280" t="s">
        <v>496</v>
      </c>
      <c r="K16" s="336"/>
    </row>
    <row r="17" spans="2:12" ht="16.899999999999999" customHeight="1" x14ac:dyDescent="0.2">
      <c r="B17" s="454"/>
      <c r="C17" s="454"/>
      <c r="D17" s="454"/>
      <c r="E17" s="287"/>
      <c r="F17" s="287"/>
      <c r="G17" s="287"/>
      <c r="H17" s="287"/>
      <c r="J17" s="334" t="s">
        <v>223</v>
      </c>
      <c r="K17" s="336"/>
    </row>
    <row r="18" spans="2:12" ht="16.899999999999999" customHeight="1" x14ac:dyDescent="0.2">
      <c r="B18" s="454">
        <v>0</v>
      </c>
      <c r="C18" s="454"/>
      <c r="D18" s="454">
        <f>D!C36-D!E36</f>
        <v>0</v>
      </c>
      <c r="E18" s="287"/>
      <c r="F18" s="287"/>
      <c r="G18" s="287"/>
      <c r="H18" s="287"/>
      <c r="I18" s="280" t="str">
        <f>'Balance Sheet'!K22</f>
        <v>Trade receivables</v>
      </c>
      <c r="J18" s="451"/>
      <c r="K18" s="336"/>
    </row>
    <row r="19" spans="2:12" ht="16.899999999999999" hidden="1" customHeight="1" x14ac:dyDescent="0.2">
      <c r="B19" s="454">
        <v>0</v>
      </c>
      <c r="C19" s="454"/>
      <c r="D19" s="454">
        <f>'Balance Sheet'!D21-'Balance Sheet'!F21</f>
        <v>0</v>
      </c>
      <c r="E19" s="287"/>
      <c r="F19" s="287"/>
      <c r="G19" s="287"/>
      <c r="H19" s="287"/>
      <c r="I19" s="280" t="str">
        <f>'Balance Sheet'!K21</f>
        <v>Inventories</v>
      </c>
      <c r="J19" s="451"/>
      <c r="K19" s="336"/>
    </row>
    <row r="20" spans="2:12" ht="16.899999999999999" customHeight="1" x14ac:dyDescent="0.2">
      <c r="B20" s="454">
        <v>0</v>
      </c>
      <c r="C20" s="454"/>
      <c r="D20" s="454">
        <f>+'Balance Sheet'!D23-'Balance Sheet'!F23</f>
        <v>0</v>
      </c>
      <c r="E20" s="287"/>
      <c r="F20" s="287"/>
      <c r="G20" s="287"/>
      <c r="H20" s="287"/>
      <c r="I20" s="280" t="str">
        <f>'Balance Sheet'!K23</f>
        <v>Prepayments and other receivables</v>
      </c>
      <c r="J20" s="451"/>
      <c r="K20" s="336"/>
      <c r="L20" s="286"/>
    </row>
    <row r="21" spans="2:12" ht="16.899999999999999" customHeight="1" x14ac:dyDescent="0.2">
      <c r="B21" s="454">
        <v>0</v>
      </c>
      <c r="C21" s="454"/>
      <c r="D21" s="454">
        <f>+'Balance Sheet'!F45-'Balance Sheet'!D45</f>
        <v>0</v>
      </c>
      <c r="E21" s="287"/>
      <c r="F21" s="287"/>
      <c r="G21" s="287"/>
      <c r="H21" s="287"/>
      <c r="I21" s="280" t="str">
        <f>'Balance Sheet'!K45</f>
        <v>Trade payables</v>
      </c>
      <c r="J21" s="451"/>
      <c r="K21" s="336"/>
      <c r="L21" s="286"/>
    </row>
    <row r="22" spans="2:12" ht="16.899999999999999" customHeight="1" x14ac:dyDescent="0.2">
      <c r="B22" s="454">
        <v>0</v>
      </c>
      <c r="C22" s="454"/>
      <c r="D22" s="454">
        <f>+'Balance Sheet'!F46-'Balance Sheet'!D46</f>
        <v>0</v>
      </c>
      <c r="E22" s="287"/>
      <c r="F22" s="287"/>
      <c r="G22" s="287"/>
      <c r="H22" s="287"/>
      <c r="I22" s="280" t="str">
        <f>'Balance Sheet'!K46</f>
        <v>Accruals and other payables</v>
      </c>
      <c r="J22" s="451"/>
      <c r="K22" s="336"/>
    </row>
    <row r="23" spans="2:12" ht="16.899999999999999" hidden="1" customHeight="1" x14ac:dyDescent="0.2">
      <c r="B23" s="454">
        <v>0</v>
      </c>
      <c r="C23" s="454"/>
      <c r="D23" s="454">
        <f>'C'!F13</f>
        <v>0</v>
      </c>
      <c r="E23" s="287"/>
      <c r="F23" s="287"/>
      <c r="G23" s="287"/>
      <c r="H23" s="287"/>
      <c r="I23" s="280" t="s">
        <v>225</v>
      </c>
      <c r="J23" s="451"/>
      <c r="K23" s="336"/>
    </row>
    <row r="24" spans="2:12" ht="16.899999999999999" hidden="1" customHeight="1" x14ac:dyDescent="0.2">
      <c r="B24" s="454">
        <v>0</v>
      </c>
      <c r="C24" s="454"/>
      <c r="D24" s="454">
        <f>P!D37+P!D35</f>
        <v>0</v>
      </c>
      <c r="E24" s="287"/>
      <c r="F24" s="287"/>
      <c r="G24" s="287"/>
      <c r="H24" s="287"/>
      <c r="I24" s="280" t="s">
        <v>224</v>
      </c>
      <c r="J24" s="451"/>
      <c r="K24" s="336"/>
    </row>
    <row r="25" spans="2:12" ht="16.899999999999999" customHeight="1" x14ac:dyDescent="0.2">
      <c r="B25" s="458">
        <f>SUM(B10:B24)</f>
        <v>0</v>
      </c>
      <c r="C25" s="316"/>
      <c r="D25" s="458">
        <f>SUM(D10:D24)</f>
        <v>0</v>
      </c>
      <c r="E25" s="287"/>
      <c r="F25" s="287"/>
      <c r="G25" s="287"/>
      <c r="H25" s="586" t="s">
        <v>377</v>
      </c>
      <c r="I25" s="586"/>
      <c r="K25" s="336"/>
    </row>
    <row r="26" spans="2:12" ht="12" customHeight="1" x14ac:dyDescent="0.2">
      <c r="C26" s="316"/>
      <c r="D26" s="459"/>
      <c r="E26" s="287"/>
      <c r="K26" s="460"/>
    </row>
    <row r="27" spans="2:12" ht="16.899999999999999" customHeight="1" x14ac:dyDescent="0.2">
      <c r="B27" s="454"/>
      <c r="C27" s="316"/>
      <c r="D27" s="454"/>
      <c r="E27" s="287"/>
      <c r="J27" s="334" t="s">
        <v>226</v>
      </c>
      <c r="K27" s="336"/>
    </row>
    <row r="28" spans="2:12" ht="27.6" hidden="1" customHeight="1" x14ac:dyDescent="0.2">
      <c r="B28" s="454">
        <v>0</v>
      </c>
      <c r="C28" s="316"/>
      <c r="D28" s="454">
        <f>+F!O15-F!G15+'Income Statement'!D19</f>
        <v>0</v>
      </c>
      <c r="E28" s="287"/>
      <c r="I28" s="457" t="s">
        <v>227</v>
      </c>
      <c r="K28" s="336"/>
    </row>
    <row r="29" spans="2:12" x14ac:dyDescent="0.2">
      <c r="B29" s="454">
        <v>0</v>
      </c>
      <c r="C29" s="316"/>
      <c r="D29" s="454">
        <f>-F!Q15-F!Q55</f>
        <v>0</v>
      </c>
      <c r="E29" s="287"/>
      <c r="I29" s="280" t="s">
        <v>425</v>
      </c>
      <c r="K29" s="336"/>
    </row>
    <row r="30" spans="2:12" ht="16.899999999999999" hidden="1" customHeight="1" x14ac:dyDescent="0.2">
      <c r="B30" s="461">
        <v>0</v>
      </c>
      <c r="C30" s="454"/>
      <c r="D30" s="461">
        <f>-F!Q16-F!Q56</f>
        <v>0</v>
      </c>
      <c r="E30" s="287"/>
      <c r="F30" s="287"/>
      <c r="G30" s="287"/>
      <c r="H30" s="287"/>
      <c r="I30" s="280" t="str">
        <f>'Balance Sheet'!K16</f>
        <v>Capital work in progress</v>
      </c>
      <c r="J30" s="451"/>
      <c r="K30" s="336"/>
      <c r="L30" s="286"/>
    </row>
    <row r="31" spans="2:12" ht="16.899999999999999" customHeight="1" x14ac:dyDescent="0.2">
      <c r="B31" s="458">
        <f>SUM(B28:B30)</f>
        <v>0</v>
      </c>
      <c r="C31" s="316"/>
      <c r="D31" s="458">
        <f>SUM(D28:D30)</f>
        <v>0</v>
      </c>
      <c r="E31" s="287"/>
      <c r="H31" s="584" t="s">
        <v>378</v>
      </c>
      <c r="I31" s="584"/>
      <c r="K31" s="336"/>
    </row>
    <row r="32" spans="2:12" ht="11.25" customHeight="1" x14ac:dyDescent="0.2">
      <c r="C32" s="316"/>
      <c r="D32" s="459"/>
      <c r="E32" s="287"/>
      <c r="I32" s="462"/>
      <c r="K32" s="460"/>
      <c r="L32" s="355"/>
    </row>
    <row r="33" spans="2:15" ht="16.899999999999999" customHeight="1" x14ac:dyDescent="0.2">
      <c r="C33" s="316"/>
      <c r="D33" s="459"/>
      <c r="E33" s="287"/>
      <c r="J33" s="334" t="s">
        <v>228</v>
      </c>
      <c r="K33" s="336"/>
    </row>
    <row r="34" spans="2:15" ht="16.899999999999999" customHeight="1" x14ac:dyDescent="0.2">
      <c r="C34" s="316"/>
      <c r="D34" s="454">
        <f>'Partners Equity'!F21</f>
        <v>0</v>
      </c>
      <c r="E34" s="287"/>
      <c r="I34" s="280" t="str">
        <f>'Partners Equity'!F6</f>
        <v>capital</v>
      </c>
      <c r="J34" s="334"/>
      <c r="K34" s="336"/>
    </row>
    <row r="35" spans="2:15" ht="16.899999999999999" customHeight="1" x14ac:dyDescent="0.2">
      <c r="B35" s="454">
        <v>0</v>
      </c>
      <c r="C35" s="316"/>
      <c r="D35" s="454">
        <f>'Partners Equity'!D23</f>
        <v>0</v>
      </c>
      <c r="E35" s="287"/>
      <c r="I35" s="280" t="str">
        <f>'Partners Equity'!D6</f>
        <v>additional capital</v>
      </c>
      <c r="J35" s="451"/>
      <c r="K35" s="336"/>
    </row>
    <row r="36" spans="2:15" ht="16.899999999999999" customHeight="1" x14ac:dyDescent="0.2">
      <c r="B36" s="454">
        <v>0</v>
      </c>
      <c r="C36" s="454"/>
      <c r="D36" s="454">
        <f>'Balance Sheet'!F39-'Balance Sheet'!D39</f>
        <v>0</v>
      </c>
      <c r="E36" s="287"/>
      <c r="F36" s="287"/>
      <c r="G36" s="287"/>
      <c r="H36" s="287"/>
      <c r="I36" s="280" t="str">
        <f>'Balance Sheet'!K24</f>
        <v xml:space="preserve"> Related parties  </v>
      </c>
      <c r="J36" s="451"/>
      <c r="K36" s="336"/>
    </row>
    <row r="37" spans="2:15" ht="16.899999999999999" customHeight="1" x14ac:dyDescent="0.2">
      <c r="B37" s="454">
        <v>0</v>
      </c>
      <c r="C37" s="316"/>
      <c r="D37" s="454">
        <f>'Partners Equity'!C22</f>
        <v>0</v>
      </c>
      <c r="E37" s="287"/>
      <c r="I37" s="367" t="s">
        <v>565</v>
      </c>
      <c r="J37" s="451"/>
      <c r="K37" s="336"/>
    </row>
    <row r="38" spans="2:15" ht="16.899999999999999" customHeight="1" x14ac:dyDescent="0.2">
      <c r="B38" s="458">
        <f>SUM(B36:B37)</f>
        <v>0</v>
      </c>
      <c r="C38" s="316"/>
      <c r="D38" s="458">
        <f>SUM(D34:D37)</f>
        <v>0</v>
      </c>
      <c r="E38" s="287"/>
      <c r="I38" s="334" t="s">
        <v>379</v>
      </c>
      <c r="K38" s="336"/>
      <c r="O38" s="463"/>
    </row>
    <row r="39" spans="2:15" ht="16.899999999999999" customHeight="1" x14ac:dyDescent="0.2">
      <c r="C39" s="316"/>
      <c r="D39" s="459"/>
      <c r="E39" s="287"/>
      <c r="I39" s="457"/>
      <c r="K39" s="336"/>
    </row>
    <row r="40" spans="2:15" ht="26.25" customHeight="1" thickBot="1" x14ac:dyDescent="0.25">
      <c r="B40" s="339">
        <f>B38+B31+B25</f>
        <v>0</v>
      </c>
      <c r="C40" s="454"/>
      <c r="D40" s="339">
        <f>D38+D31+D25</f>
        <v>0</v>
      </c>
      <c r="E40" s="584" t="s">
        <v>229</v>
      </c>
      <c r="F40" s="584"/>
      <c r="G40" s="584"/>
      <c r="H40" s="584"/>
      <c r="I40" s="584"/>
      <c r="J40" s="464"/>
      <c r="K40" s="465"/>
    </row>
    <row r="41" spans="2:15" ht="28.5" customHeight="1" thickTop="1" x14ac:dyDescent="0.2">
      <c r="B41" s="454">
        <v>0</v>
      </c>
      <c r="C41" s="454"/>
      <c r="D41" s="454">
        <f>+B42</f>
        <v>0</v>
      </c>
      <c r="E41" s="287"/>
      <c r="H41" s="585" t="s">
        <v>230</v>
      </c>
      <c r="I41" s="585"/>
    </row>
    <row r="42" spans="2:15" ht="16.899999999999999" customHeight="1" thickBot="1" x14ac:dyDescent="0.25">
      <c r="B42" s="339">
        <f>SUM(B40:B41)</f>
        <v>0</v>
      </c>
      <c r="C42" s="316"/>
      <c r="D42" s="339">
        <f>SUM(D40:D41)</f>
        <v>0</v>
      </c>
      <c r="E42" s="287"/>
      <c r="H42" s="584" t="s">
        <v>231</v>
      </c>
      <c r="I42" s="584"/>
    </row>
    <row r="43" spans="2:15" ht="16.899999999999999" customHeight="1" thickTop="1" x14ac:dyDescent="0.2">
      <c r="B43" s="466"/>
      <c r="C43" s="316"/>
      <c r="D43" s="467"/>
      <c r="E43" s="287"/>
      <c r="H43" s="451"/>
      <c r="I43" s="451"/>
    </row>
    <row r="44" spans="2:15" ht="16.899999999999999" customHeight="1" x14ac:dyDescent="0.2">
      <c r="B44" s="466"/>
      <c r="C44" s="316"/>
      <c r="D44" s="467"/>
      <c r="E44" s="287"/>
      <c r="H44" s="451"/>
      <c r="I44" s="451"/>
    </row>
    <row r="45" spans="2:15" ht="16.899999999999999" customHeight="1" x14ac:dyDescent="0.2">
      <c r="B45" s="466"/>
      <c r="C45" s="316"/>
      <c r="D45" s="467"/>
      <c r="E45" s="287"/>
      <c r="H45" s="451"/>
      <c r="I45" s="451"/>
    </row>
    <row r="46" spans="2:15" ht="16.899999999999999" customHeight="1" x14ac:dyDescent="0.2">
      <c r="B46" s="466"/>
      <c r="C46" s="316"/>
      <c r="D46" s="467"/>
      <c r="E46" s="287"/>
      <c r="H46" s="451"/>
      <c r="I46" s="451"/>
    </row>
    <row r="47" spans="2:15" ht="16.899999999999999" hidden="1" customHeight="1" x14ac:dyDescent="0.2">
      <c r="B47" s="466"/>
      <c r="C47" s="316"/>
      <c r="D47" s="467"/>
      <c r="E47" s="287"/>
      <c r="H47" s="451"/>
      <c r="I47" s="451"/>
    </row>
    <row r="48" spans="2:15" ht="16.899999999999999" hidden="1" customHeight="1" x14ac:dyDescent="0.2">
      <c r="B48" s="466"/>
      <c r="C48" s="316"/>
      <c r="D48" s="467"/>
      <c r="E48" s="287"/>
      <c r="H48" s="451"/>
      <c r="I48" s="451"/>
    </row>
    <row r="49" spans="1:11" ht="16.149999999999999" hidden="1" customHeight="1" x14ac:dyDescent="0.2">
      <c r="B49" s="466"/>
      <c r="C49" s="316"/>
      <c r="D49" s="467"/>
      <c r="E49" s="287"/>
      <c r="H49" s="451"/>
      <c r="I49" s="451"/>
    </row>
    <row r="50" spans="1:11" ht="16.899999999999999" hidden="1" customHeight="1" x14ac:dyDescent="0.2">
      <c r="B50" s="466"/>
      <c r="C50" s="316"/>
      <c r="D50" s="467"/>
      <c r="E50" s="287"/>
      <c r="H50" s="451"/>
      <c r="I50" s="451"/>
    </row>
    <row r="51" spans="1:11" ht="16.899999999999999" customHeight="1" x14ac:dyDescent="0.2">
      <c r="B51" s="466"/>
      <c r="C51" s="316"/>
      <c r="D51" s="467"/>
      <c r="E51" s="287"/>
      <c r="H51" s="451"/>
      <c r="I51" s="451"/>
    </row>
    <row r="52" spans="1:11" ht="16.899999999999999" customHeight="1" x14ac:dyDescent="0.2">
      <c r="B52" s="466"/>
      <c r="C52" s="316"/>
      <c r="D52" s="467"/>
      <c r="E52" s="287"/>
      <c r="H52" s="451"/>
      <c r="I52" s="451"/>
    </row>
    <row r="53" spans="1:11" ht="12" customHeight="1" x14ac:dyDescent="0.2">
      <c r="C53" s="315"/>
      <c r="D53" s="467"/>
      <c r="E53" s="287"/>
      <c r="H53" s="451"/>
      <c r="I53" s="451"/>
    </row>
    <row r="54" spans="1:11" ht="1.5" customHeight="1" x14ac:dyDescent="0.2"/>
    <row r="55" spans="1:11" x14ac:dyDescent="0.2">
      <c r="A55" s="570" t="str">
        <f>'Balance Sheet'!A65</f>
        <v>The accompanying form integral part of these financial statements.</v>
      </c>
      <c r="B55" s="570"/>
      <c r="C55" s="570"/>
      <c r="D55" s="570"/>
      <c r="E55" s="570"/>
      <c r="F55" s="570"/>
      <c r="G55" s="570"/>
      <c r="H55" s="570"/>
      <c r="I55" s="570"/>
      <c r="J55" s="570"/>
      <c r="K55" s="317"/>
    </row>
    <row r="56" spans="1:11" x14ac:dyDescent="0.2">
      <c r="A56" s="569" t="str">
        <f>"-"&amp;SUM(Index!I10:I13)&amp;"-"</f>
        <v>-7-</v>
      </c>
      <c r="B56" s="569"/>
      <c r="C56" s="569"/>
      <c r="D56" s="569"/>
      <c r="E56" s="569"/>
      <c r="F56" s="569"/>
      <c r="G56" s="569"/>
      <c r="H56" s="569"/>
      <c r="I56" s="569"/>
      <c r="J56" s="569"/>
      <c r="K56" s="383"/>
    </row>
    <row r="59" spans="1:11" x14ac:dyDescent="0.2">
      <c r="B59" s="459">
        <f>B42-'Balance Sheet'!D26</f>
        <v>0</v>
      </c>
      <c r="C59" s="293"/>
      <c r="D59" s="468">
        <f>D42-'Balance Sheet'!F26</f>
        <v>0</v>
      </c>
    </row>
    <row r="61" spans="1:11" x14ac:dyDescent="0.2">
      <c r="I61" s="355"/>
    </row>
  </sheetData>
  <mergeCells count="13">
    <mergeCell ref="A56:J56"/>
    <mergeCell ref="H42:I42"/>
    <mergeCell ref="A55:J55"/>
    <mergeCell ref="A5:J5"/>
    <mergeCell ref="A1:J1"/>
    <mergeCell ref="A3:J3"/>
    <mergeCell ref="A4:J4"/>
    <mergeCell ref="H41:I41"/>
    <mergeCell ref="A2:J2"/>
    <mergeCell ref="I13:J13"/>
    <mergeCell ref="H25:I25"/>
    <mergeCell ref="E40:I40"/>
    <mergeCell ref="H31:I31"/>
  </mergeCells>
  <phoneticPr fontId="0" type="noConversion"/>
  <printOptions horizontalCentered="1"/>
  <pageMargins left="0.19685039370078741" right="0.62992125984251968" top="0.23622047244094491" bottom="0.39370078740157483" header="0.51181102362204722" footer="0.43307086614173229"/>
  <pageSetup scale="95" orientation="portrait" r:id="rId1"/>
  <headerFooter alignWithMargins="0"/>
  <customProperties>
    <customPr name="ExcelFSM_AdjustedButtonPressed" r:id="rId2"/>
    <customPr name="ExcelFSM_DetailsButtonPressed"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70"/>
  <sheetViews>
    <sheetView rightToLeft="1" view="pageBreakPreview" topLeftCell="A37" zoomScaleSheetLayoutView="100" workbookViewId="0">
      <selection activeCell="H64" sqref="H64"/>
    </sheetView>
  </sheetViews>
  <sheetFormatPr defaultColWidth="9.140625" defaultRowHeight="18.75" x14ac:dyDescent="0.45"/>
  <cols>
    <col min="1" max="1" width="0.7109375" style="244" customWidth="1"/>
    <col min="2" max="2" width="2.7109375" style="244" customWidth="1"/>
    <col min="3" max="3" width="17.140625" style="247" customWidth="1"/>
    <col min="4" max="4" width="1.5703125" style="244" customWidth="1"/>
    <col min="5" max="5" width="33" style="254" bestFit="1" customWidth="1"/>
    <col min="6" max="6" width="3.7109375" style="244" customWidth="1"/>
    <col min="7" max="7" width="9.7109375" style="244" customWidth="1"/>
    <col min="8" max="8" width="40.7109375" style="244" customWidth="1"/>
    <col min="9" max="9" width="1.5703125" style="244" customWidth="1"/>
    <col min="10" max="10" width="4.42578125" style="306" customWidth="1"/>
    <col min="11" max="16384" width="9.140625" style="244"/>
  </cols>
  <sheetData>
    <row r="1" spans="1:12" x14ac:dyDescent="0.45">
      <c r="B1" s="588">
        <f>Cover!A14</f>
        <v>0</v>
      </c>
      <c r="C1" s="588"/>
      <c r="D1" s="588"/>
      <c r="E1" s="588"/>
      <c r="F1" s="588"/>
      <c r="G1" s="588"/>
      <c r="H1" s="588"/>
      <c r="I1" s="588"/>
      <c r="J1" s="588"/>
      <c r="K1" s="246"/>
    </row>
    <row r="2" spans="1:12" x14ac:dyDescent="0.45">
      <c r="B2" s="588" t="str">
        <f>Cover!A15</f>
        <v>(Foreign Company – Limited Liability Company)</v>
      </c>
      <c r="C2" s="588"/>
      <c r="D2" s="588"/>
      <c r="E2" s="588"/>
      <c r="F2" s="588"/>
      <c r="G2" s="588"/>
      <c r="H2" s="588"/>
      <c r="I2" s="588"/>
      <c r="J2" s="588"/>
      <c r="K2" s="246"/>
    </row>
    <row r="3" spans="1:12" x14ac:dyDescent="0.45">
      <c r="B3" s="588" t="str">
        <f>Cover!A16</f>
        <v>Riyadh – Kingdom of Saudi Arabia</v>
      </c>
      <c r="C3" s="588"/>
      <c r="D3" s="588"/>
      <c r="E3" s="588"/>
      <c r="F3" s="588"/>
      <c r="G3" s="588"/>
      <c r="H3" s="588"/>
      <c r="I3" s="588"/>
      <c r="J3" s="588"/>
      <c r="K3" s="247"/>
    </row>
    <row r="4" spans="1:12" x14ac:dyDescent="0.45">
      <c r="B4" s="588" t="str">
        <f>"NOTES TO THE FINANCIAL STATEMENTS FOR PERIOD  ENDED"&amp;Index!A5</f>
        <v>NOTES TO THE FINANCIAL STATEMENTS FOR PERIOD  ENDED31December2024</v>
      </c>
      <c r="C4" s="588"/>
      <c r="D4" s="588"/>
      <c r="E4" s="588"/>
      <c r="F4" s="588"/>
      <c r="G4" s="588"/>
      <c r="H4" s="588"/>
      <c r="I4" s="588"/>
      <c r="J4" s="588"/>
      <c r="L4" s="247"/>
    </row>
    <row r="5" spans="1:12" x14ac:dyDescent="0.45">
      <c r="A5" s="244" t="s">
        <v>5</v>
      </c>
      <c r="B5" s="606" t="str">
        <f>'Balance Sheet'!A5</f>
        <v>(saudi riyal)</v>
      </c>
      <c r="C5" s="606"/>
      <c r="D5" s="606"/>
      <c r="E5" s="606"/>
      <c r="F5" s="606"/>
      <c r="G5" s="606"/>
      <c r="H5" s="606"/>
      <c r="I5" s="606"/>
      <c r="J5" s="606"/>
    </row>
    <row r="6" spans="1:12" ht="10.5" customHeight="1" x14ac:dyDescent="0.45">
      <c r="B6" s="250"/>
      <c r="C6" s="251"/>
      <c r="D6" s="250"/>
      <c r="E6" s="250"/>
      <c r="F6" s="250"/>
      <c r="G6" s="250"/>
      <c r="H6" s="250"/>
      <c r="I6" s="250"/>
      <c r="J6" s="261"/>
    </row>
    <row r="7" spans="1:12" hidden="1" x14ac:dyDescent="0.45"/>
    <row r="8" spans="1:12" ht="21.75" x14ac:dyDescent="0.5">
      <c r="B8" s="242"/>
      <c r="H8" s="588" t="s">
        <v>274</v>
      </c>
      <c r="I8" s="588"/>
      <c r="J8" s="270">
        <v>-1</v>
      </c>
    </row>
    <row r="9" spans="1:12" ht="42.75" customHeight="1" x14ac:dyDescent="0.45">
      <c r="A9" s="603" t="s">
        <v>572</v>
      </c>
      <c r="B9" s="603"/>
      <c r="C9" s="603"/>
      <c r="D9" s="603"/>
      <c r="E9" s="603"/>
      <c r="F9" s="603"/>
      <c r="G9" s="603"/>
      <c r="H9" s="603"/>
      <c r="I9" s="603"/>
      <c r="J9" s="270"/>
    </row>
    <row r="10" spans="1:12" ht="22.5" customHeight="1" x14ac:dyDescent="0.45">
      <c r="A10" s="605" t="s">
        <v>571</v>
      </c>
      <c r="B10" s="605"/>
      <c r="C10" s="605"/>
      <c r="D10" s="605"/>
      <c r="E10" s="605"/>
      <c r="F10" s="605"/>
      <c r="G10" s="605"/>
      <c r="H10" s="605"/>
      <c r="I10" s="605"/>
      <c r="J10" s="270"/>
    </row>
    <row r="11" spans="1:12" ht="34.15" customHeight="1" x14ac:dyDescent="0.45">
      <c r="A11" s="308"/>
      <c r="B11" s="603" t="s">
        <v>573</v>
      </c>
      <c r="C11" s="604"/>
      <c r="D11" s="604"/>
      <c r="E11" s="604"/>
      <c r="F11" s="604"/>
      <c r="G11" s="604"/>
      <c r="H11" s="604"/>
      <c r="J11" s="270"/>
    </row>
    <row r="12" spans="1:12" ht="4.5" customHeight="1" x14ac:dyDescent="0.45">
      <c r="A12" s="308"/>
      <c r="B12" s="308"/>
      <c r="C12" s="425"/>
      <c r="D12" s="425"/>
      <c r="E12" s="426"/>
      <c r="F12" s="308"/>
      <c r="G12" s="308"/>
      <c r="H12" s="308"/>
      <c r="I12" s="308"/>
    </row>
    <row r="13" spans="1:12" ht="136.5" customHeight="1" x14ac:dyDescent="0.45">
      <c r="A13" s="308"/>
      <c r="B13" s="603" t="s">
        <v>574</v>
      </c>
      <c r="C13" s="604"/>
      <c r="D13" s="604"/>
      <c r="E13" s="604"/>
      <c r="F13" s="604"/>
      <c r="G13" s="604"/>
      <c r="H13" s="604"/>
      <c r="I13" s="536"/>
    </row>
    <row r="14" spans="1:12" ht="32.450000000000003" hidden="1" customHeight="1" x14ac:dyDescent="0.45">
      <c r="B14" s="549"/>
      <c r="C14" s="550" t="s">
        <v>270</v>
      </c>
      <c r="D14" s="591" t="s">
        <v>269</v>
      </c>
      <c r="E14" s="592"/>
      <c r="F14" s="591" t="s">
        <v>268</v>
      </c>
      <c r="G14" s="592"/>
      <c r="H14" s="593" t="s">
        <v>267</v>
      </c>
      <c r="I14" s="594"/>
    </row>
    <row r="15" spans="1:12" ht="23.45" hidden="1" customHeight="1" x14ac:dyDescent="0.45">
      <c r="B15" s="549"/>
      <c r="C15" s="551"/>
      <c r="D15" s="595" t="s">
        <v>369</v>
      </c>
      <c r="E15" s="596"/>
      <c r="F15" s="597"/>
      <c r="G15" s="598"/>
      <c r="H15" s="597"/>
      <c r="I15" s="598"/>
    </row>
    <row r="16" spans="1:12" ht="20.25" hidden="1" x14ac:dyDescent="0.45">
      <c r="B16" s="549"/>
      <c r="C16" s="552"/>
      <c r="D16" s="599"/>
      <c r="E16" s="600"/>
      <c r="F16" s="601"/>
      <c r="G16" s="602"/>
      <c r="H16" s="601"/>
      <c r="I16" s="602"/>
    </row>
    <row r="17" spans="1:16" ht="20.25" hidden="1" x14ac:dyDescent="0.45">
      <c r="B17" s="549"/>
      <c r="C17" s="552"/>
      <c r="D17" s="599"/>
      <c r="E17" s="600"/>
      <c r="F17" s="601"/>
      <c r="G17" s="615"/>
      <c r="H17" s="601"/>
      <c r="I17" s="602"/>
    </row>
    <row r="18" spans="1:16" ht="20.25" hidden="1" x14ac:dyDescent="0.45">
      <c r="B18" s="549"/>
      <c r="C18" s="552"/>
      <c r="D18" s="599"/>
      <c r="E18" s="600"/>
      <c r="F18" s="601"/>
      <c r="G18" s="602"/>
      <c r="H18" s="601"/>
      <c r="I18" s="602"/>
    </row>
    <row r="19" spans="1:16" ht="39" customHeight="1" x14ac:dyDescent="0.45">
      <c r="B19" s="603" t="s">
        <v>575</v>
      </c>
      <c r="C19" s="604"/>
      <c r="D19" s="604"/>
      <c r="E19" s="604"/>
      <c r="F19" s="604"/>
      <c r="G19" s="604"/>
      <c r="H19" s="604"/>
      <c r="I19" s="548"/>
    </row>
    <row r="20" spans="1:16" ht="16.899999999999999" customHeight="1" x14ac:dyDescent="0.5">
      <c r="C20" s="264"/>
      <c r="D20" s="264"/>
      <c r="E20" s="265"/>
      <c r="H20" s="246" t="s">
        <v>431</v>
      </c>
      <c r="I20" s="553"/>
      <c r="J20" s="270">
        <v>-2</v>
      </c>
    </row>
    <row r="21" spans="1:16" ht="20.25" x14ac:dyDescent="0.5">
      <c r="C21" s="264"/>
      <c r="D21" s="264"/>
      <c r="E21" s="265"/>
      <c r="H21" s="554"/>
      <c r="I21" s="554"/>
      <c r="J21" s="270"/>
    </row>
    <row r="22" spans="1:16" x14ac:dyDescent="0.45">
      <c r="C22" s="254"/>
      <c r="D22" s="254"/>
      <c r="F22" s="254"/>
      <c r="G22" s="254"/>
      <c r="H22" s="254"/>
      <c r="I22" s="254" t="s">
        <v>432</v>
      </c>
      <c r="J22" s="428" t="s">
        <v>434</v>
      </c>
    </row>
    <row r="23" spans="1:16" ht="79.5" customHeight="1" x14ac:dyDescent="0.45">
      <c r="B23" s="604" t="s">
        <v>433</v>
      </c>
      <c r="C23" s="604"/>
      <c r="D23" s="604"/>
      <c r="E23" s="604"/>
      <c r="F23" s="604"/>
      <c r="G23" s="604"/>
      <c r="H23" s="604"/>
      <c r="I23" s="604"/>
    </row>
    <row r="24" spans="1:16" ht="44.25" hidden="1" customHeight="1" x14ac:dyDescent="0.45">
      <c r="B24" s="604"/>
      <c r="C24" s="604"/>
      <c r="D24" s="604"/>
      <c r="E24" s="604"/>
      <c r="F24" s="604"/>
      <c r="G24" s="604"/>
      <c r="H24" s="604"/>
      <c r="I24" s="604"/>
      <c r="J24" s="270"/>
    </row>
    <row r="25" spans="1:16" ht="15.75" customHeight="1" x14ac:dyDescent="0.45">
      <c r="A25" s="258"/>
      <c r="B25" s="258"/>
      <c r="C25" s="258"/>
      <c r="D25" s="258"/>
      <c r="E25" s="258"/>
      <c r="F25" s="258"/>
      <c r="G25" s="258"/>
      <c r="H25" s="589" t="s">
        <v>271</v>
      </c>
      <c r="I25" s="589"/>
      <c r="J25" s="270" t="s">
        <v>435</v>
      </c>
    </row>
    <row r="26" spans="1:16" ht="64.5" customHeight="1" x14ac:dyDescent="0.45">
      <c r="A26" s="604" t="s">
        <v>436</v>
      </c>
      <c r="B26" s="604"/>
      <c r="C26" s="604"/>
      <c r="D26" s="604"/>
      <c r="E26" s="604"/>
      <c r="F26" s="604"/>
      <c r="G26" s="604"/>
      <c r="H26" s="604"/>
      <c r="I26" s="604"/>
      <c r="J26" s="270"/>
    </row>
    <row r="27" spans="1:16" x14ac:dyDescent="0.45">
      <c r="C27" s="254"/>
      <c r="D27" s="254"/>
      <c r="E27" s="588" t="s">
        <v>438</v>
      </c>
      <c r="F27" s="588"/>
      <c r="G27" s="588"/>
      <c r="H27" s="588"/>
      <c r="I27" s="588"/>
      <c r="J27" s="270" t="s">
        <v>437</v>
      </c>
    </row>
    <row r="28" spans="1:16" ht="23.25" customHeight="1" x14ac:dyDescent="0.45">
      <c r="B28" s="587" t="s">
        <v>272</v>
      </c>
      <c r="C28" s="587"/>
      <c r="D28" s="587"/>
      <c r="E28" s="587"/>
      <c r="F28" s="587"/>
      <c r="G28" s="587"/>
      <c r="H28" s="587"/>
      <c r="I28" s="587"/>
      <c r="J28" s="590" t="s">
        <v>439</v>
      </c>
      <c r="L28" s="556"/>
    </row>
    <row r="29" spans="1:16" ht="24" customHeight="1" x14ac:dyDescent="0.45">
      <c r="B29" s="587"/>
      <c r="C29" s="587"/>
      <c r="D29" s="587"/>
      <c r="E29" s="587"/>
      <c r="F29" s="587"/>
      <c r="G29" s="587"/>
      <c r="H29" s="587"/>
      <c r="I29" s="587"/>
      <c r="J29" s="590"/>
    </row>
    <row r="30" spans="1:16" ht="17.25" customHeight="1" x14ac:dyDescent="0.45">
      <c r="B30" s="555"/>
      <c r="C30" s="555"/>
      <c r="D30" s="555"/>
      <c r="E30" s="555"/>
      <c r="F30" s="555"/>
      <c r="G30" s="555"/>
      <c r="H30" s="555"/>
      <c r="I30" s="555"/>
      <c r="J30" s="270"/>
    </row>
    <row r="31" spans="1:16" ht="17.25" customHeight="1" x14ac:dyDescent="0.45">
      <c r="B31" s="555"/>
      <c r="C31" s="555"/>
      <c r="D31" s="555"/>
      <c r="E31" s="588" t="s">
        <v>440</v>
      </c>
      <c r="F31" s="588"/>
      <c r="G31" s="588"/>
      <c r="H31" s="588"/>
      <c r="I31" s="588"/>
      <c r="J31" s="254" t="s">
        <v>260</v>
      </c>
      <c r="K31" s="254"/>
      <c r="L31" s="254"/>
      <c r="M31" s="254"/>
    </row>
    <row r="32" spans="1:16" ht="77.25" customHeight="1" x14ac:dyDescent="0.45">
      <c r="B32" s="555"/>
      <c r="C32" s="587" t="s">
        <v>441</v>
      </c>
      <c r="D32" s="587"/>
      <c r="E32" s="587"/>
      <c r="F32" s="587"/>
      <c r="G32" s="587"/>
      <c r="H32" s="587"/>
      <c r="I32" s="587"/>
      <c r="J32" s="557"/>
      <c r="K32" s="557"/>
      <c r="L32" s="557"/>
      <c r="M32" s="557"/>
      <c r="N32" s="557"/>
      <c r="O32" s="557"/>
      <c r="P32" s="557"/>
    </row>
    <row r="33" spans="2:17" ht="24" customHeight="1" x14ac:dyDescent="0.45">
      <c r="B33" s="555"/>
      <c r="C33" s="555"/>
      <c r="D33" s="555"/>
      <c r="E33" s="555"/>
      <c r="F33" s="555"/>
      <c r="G33" s="555"/>
      <c r="H33" s="555"/>
      <c r="I33" s="557"/>
      <c r="J33" s="557"/>
      <c r="K33" s="557"/>
      <c r="L33" s="557"/>
      <c r="M33" s="557"/>
      <c r="N33" s="557"/>
      <c r="O33" s="557"/>
      <c r="P33" s="557"/>
    </row>
    <row r="34" spans="2:17" ht="24" customHeight="1" x14ac:dyDescent="0.45">
      <c r="B34" s="555"/>
      <c r="C34" s="555"/>
      <c r="D34" s="555"/>
      <c r="E34" s="588" t="s">
        <v>442</v>
      </c>
      <c r="F34" s="588"/>
      <c r="G34" s="588"/>
      <c r="H34" s="588"/>
      <c r="I34" s="588"/>
      <c r="J34" s="270">
        <v>-3</v>
      </c>
    </row>
    <row r="35" spans="2:17" ht="9" customHeight="1" x14ac:dyDescent="0.45">
      <c r="B35" s="555"/>
      <c r="C35" s="555"/>
      <c r="D35" s="555"/>
      <c r="E35" s="245"/>
      <c r="F35" s="245"/>
      <c r="G35" s="245"/>
      <c r="H35" s="245"/>
      <c r="I35" s="245"/>
      <c r="J35" s="270"/>
    </row>
    <row r="36" spans="2:17" x14ac:dyDescent="0.45">
      <c r="C36" s="254"/>
      <c r="D36" s="254"/>
      <c r="E36" s="589" t="s">
        <v>273</v>
      </c>
      <c r="F36" s="589"/>
      <c r="G36" s="589"/>
      <c r="H36" s="589"/>
      <c r="I36" s="589"/>
      <c r="J36" s="270" t="s">
        <v>445</v>
      </c>
    </row>
    <row r="37" spans="2:17" ht="89.25" customHeight="1" x14ac:dyDescent="0.45">
      <c r="B37" s="611" t="s">
        <v>444</v>
      </c>
      <c r="C37" s="611"/>
      <c r="D37" s="611"/>
      <c r="E37" s="611"/>
      <c r="F37" s="611"/>
      <c r="G37" s="611"/>
      <c r="H37" s="611"/>
      <c r="I37" s="611"/>
      <c r="J37" s="270"/>
    </row>
    <row r="38" spans="2:17" x14ac:dyDescent="0.45">
      <c r="B38" s="565"/>
      <c r="C38" s="565"/>
      <c r="D38" s="565"/>
      <c r="E38" s="565"/>
      <c r="F38" s="565"/>
      <c r="G38" s="565"/>
      <c r="H38" s="565"/>
      <c r="I38" s="565"/>
      <c r="J38" s="270"/>
    </row>
    <row r="39" spans="2:17" ht="6.75" customHeight="1" x14ac:dyDescent="0.45">
      <c r="B39" s="247"/>
      <c r="D39" s="247"/>
      <c r="E39" s="247"/>
      <c r="F39" s="247"/>
      <c r="G39" s="247"/>
      <c r="H39" s="247"/>
      <c r="I39" s="247"/>
      <c r="J39" s="270"/>
    </row>
    <row r="40" spans="2:17" x14ac:dyDescent="0.45">
      <c r="C40" s="264"/>
      <c r="D40" s="264"/>
      <c r="E40" s="265"/>
      <c r="H40" s="589" t="s">
        <v>179</v>
      </c>
      <c r="I40" s="589"/>
      <c r="J40" s="428" t="s">
        <v>446</v>
      </c>
    </row>
    <row r="41" spans="2:17" ht="15.75" customHeight="1" x14ac:dyDescent="0.45">
      <c r="B41" s="610" t="s">
        <v>280</v>
      </c>
      <c r="C41" s="610"/>
      <c r="D41" s="610"/>
      <c r="E41" s="610"/>
      <c r="F41" s="610"/>
      <c r="G41" s="610"/>
      <c r="H41" s="610"/>
      <c r="I41" s="610"/>
      <c r="O41" s="287"/>
      <c r="Q41" s="254"/>
    </row>
    <row r="42" spans="2:17" ht="79.150000000000006" customHeight="1" x14ac:dyDescent="0.45">
      <c r="B42" s="610"/>
      <c r="C42" s="610"/>
      <c r="D42" s="610"/>
      <c r="E42" s="610"/>
      <c r="F42" s="610"/>
      <c r="G42" s="610"/>
      <c r="H42" s="610"/>
      <c r="I42" s="610"/>
      <c r="J42" s="270"/>
      <c r="O42" s="287"/>
    </row>
    <row r="43" spans="2:17" ht="7.5" customHeight="1" x14ac:dyDescent="0.45">
      <c r="H43" s="609"/>
      <c r="I43" s="609"/>
      <c r="J43" s="270"/>
    </row>
    <row r="44" spans="2:17" x14ac:dyDescent="0.45">
      <c r="C44" s="588" t="s">
        <v>278</v>
      </c>
      <c r="D44" s="588"/>
      <c r="E44" s="245" t="s">
        <v>277</v>
      </c>
      <c r="F44" s="588" t="s">
        <v>278</v>
      </c>
      <c r="G44" s="588"/>
      <c r="H44" s="245" t="s">
        <v>277</v>
      </c>
      <c r="I44" s="247"/>
      <c r="J44" s="270"/>
    </row>
    <row r="45" spans="2:17" x14ac:dyDescent="0.45">
      <c r="B45" s="247"/>
      <c r="C45" s="607">
        <v>0.15</v>
      </c>
      <c r="D45" s="607"/>
      <c r="E45" s="308">
        <f>F!U14</f>
        <v>0</v>
      </c>
      <c r="F45" s="607">
        <v>0.15</v>
      </c>
      <c r="G45" s="607"/>
      <c r="H45" s="308" t="s">
        <v>503</v>
      </c>
      <c r="I45" s="247"/>
      <c r="J45" s="270"/>
    </row>
    <row r="46" spans="2:17" hidden="1" x14ac:dyDescent="0.45">
      <c r="B46" s="247"/>
      <c r="C46" s="608">
        <v>0.15</v>
      </c>
      <c r="D46" s="608"/>
      <c r="E46" s="308" t="s">
        <v>505</v>
      </c>
      <c r="F46" s="607">
        <v>0.15</v>
      </c>
      <c r="G46" s="607"/>
      <c r="H46" s="244" t="s">
        <v>504</v>
      </c>
      <c r="I46" s="247"/>
      <c r="J46" s="270"/>
    </row>
    <row r="47" spans="2:17" hidden="1" x14ac:dyDescent="0.45">
      <c r="B47" s="247"/>
      <c r="C47" s="608"/>
      <c r="D47" s="608"/>
      <c r="E47" s="308"/>
      <c r="F47" s="607">
        <v>0.15</v>
      </c>
      <c r="G47" s="607"/>
      <c r="H47" s="244" t="s">
        <v>513</v>
      </c>
      <c r="I47" s="247"/>
      <c r="J47" s="270"/>
    </row>
    <row r="48" spans="2:17" ht="7.5" customHeight="1" x14ac:dyDescent="0.45">
      <c r="C48" s="559"/>
      <c r="D48" s="559"/>
      <c r="E48" s="560"/>
      <c r="F48" s="560"/>
      <c r="G48" s="561"/>
      <c r="H48" s="308"/>
      <c r="J48" s="270"/>
    </row>
    <row r="49" spans="2:10" ht="63" customHeight="1" x14ac:dyDescent="0.45">
      <c r="C49" s="613" t="s">
        <v>281</v>
      </c>
      <c r="D49" s="613"/>
      <c r="E49" s="613"/>
      <c r="F49" s="613"/>
      <c r="G49" s="613"/>
      <c r="H49" s="613"/>
      <c r="I49" s="613"/>
      <c r="J49" s="562" t="s">
        <v>168</v>
      </c>
    </row>
    <row r="50" spans="2:10" ht="6" customHeight="1" x14ac:dyDescent="0.45">
      <c r="C50" s="559"/>
      <c r="D50" s="559"/>
      <c r="E50" s="558"/>
      <c r="F50" s="558"/>
      <c r="G50" s="561"/>
      <c r="H50" s="308"/>
      <c r="J50" s="270"/>
    </row>
    <row r="51" spans="2:10" ht="48.75" customHeight="1" x14ac:dyDescent="0.45">
      <c r="C51" s="614" t="s">
        <v>282</v>
      </c>
      <c r="D51" s="614"/>
      <c r="E51" s="614"/>
      <c r="F51" s="614"/>
      <c r="G51" s="614"/>
      <c r="H51" s="614"/>
      <c r="I51" s="614"/>
      <c r="J51" s="562" t="s">
        <v>168</v>
      </c>
    </row>
    <row r="52" spans="2:10" ht="24" hidden="1" customHeight="1" x14ac:dyDescent="0.45">
      <c r="C52" s="559"/>
      <c r="D52" s="559"/>
      <c r="E52" s="558"/>
      <c r="F52" s="558"/>
      <c r="G52" s="561"/>
      <c r="H52" s="308"/>
      <c r="J52" s="270"/>
    </row>
    <row r="53" spans="2:10" ht="24" hidden="1" customHeight="1" x14ac:dyDescent="0.45">
      <c r="C53" s="559"/>
      <c r="D53" s="559"/>
      <c r="E53" s="558"/>
      <c r="F53" s="558"/>
      <c r="G53" s="561"/>
      <c r="H53" s="308"/>
      <c r="J53" s="270"/>
    </row>
    <row r="54" spans="2:10" ht="24" hidden="1" customHeight="1" x14ac:dyDescent="0.45">
      <c r="C54" s="559"/>
      <c r="D54" s="559"/>
      <c r="E54" s="558"/>
      <c r="F54" s="558"/>
      <c r="G54" s="561"/>
      <c r="H54" s="308"/>
      <c r="J54" s="270"/>
    </row>
    <row r="55" spans="2:10" ht="24" hidden="1" customHeight="1" x14ac:dyDescent="0.45">
      <c r="C55" s="559"/>
      <c r="D55" s="559"/>
      <c r="E55" s="558"/>
      <c r="F55" s="558"/>
      <c r="G55" s="561"/>
      <c r="H55" s="308"/>
      <c r="J55" s="270"/>
    </row>
    <row r="56" spans="2:10" ht="24" hidden="1" customHeight="1" x14ac:dyDescent="0.45">
      <c r="C56" s="559"/>
      <c r="D56" s="559"/>
      <c r="E56" s="558"/>
      <c r="F56" s="558"/>
      <c r="G56" s="561"/>
      <c r="H56" s="308"/>
      <c r="J56" s="270"/>
    </row>
    <row r="57" spans="2:10" ht="24" hidden="1" customHeight="1" x14ac:dyDescent="0.45">
      <c r="C57" s="559"/>
      <c r="D57" s="559"/>
      <c r="E57" s="558"/>
      <c r="F57" s="558"/>
      <c r="G57" s="561"/>
      <c r="H57" s="308"/>
      <c r="J57" s="270"/>
    </row>
    <row r="58" spans="2:10" ht="24" hidden="1" customHeight="1" x14ac:dyDescent="0.45">
      <c r="C58" s="559"/>
      <c r="D58" s="559"/>
      <c r="E58" s="558"/>
      <c r="F58" s="558"/>
      <c r="G58" s="561"/>
      <c r="H58" s="308"/>
      <c r="J58" s="270"/>
    </row>
    <row r="59" spans="2:10" ht="24" hidden="1" customHeight="1" x14ac:dyDescent="0.45">
      <c r="C59" s="559"/>
      <c r="D59" s="559"/>
      <c r="E59" s="558"/>
      <c r="F59" s="558"/>
      <c r="G59" s="561"/>
      <c r="H59" s="308"/>
      <c r="J59" s="270"/>
    </row>
    <row r="60" spans="2:10" ht="24" hidden="1" customHeight="1" x14ac:dyDescent="0.45">
      <c r="C60" s="559"/>
      <c r="D60" s="559"/>
      <c r="E60" s="558"/>
      <c r="F60" s="558"/>
      <c r="G60" s="561"/>
      <c r="H60" s="308"/>
      <c r="J60" s="270"/>
    </row>
    <row r="61" spans="2:10" ht="10.5" customHeight="1" x14ac:dyDescent="0.45">
      <c r="B61" s="563"/>
      <c r="C61" s="563"/>
      <c r="D61" s="563"/>
      <c r="E61" s="563"/>
      <c r="F61" s="563"/>
      <c r="G61" s="563"/>
      <c r="H61" s="563"/>
      <c r="I61" s="563"/>
      <c r="J61" s="270"/>
    </row>
    <row r="62" spans="2:10" ht="15" customHeight="1" x14ac:dyDescent="0.45">
      <c r="B62" s="612" t="str">
        <f>"-"&amp;SUM(Index!I10:I14)&amp;"-"</f>
        <v>-8-</v>
      </c>
      <c r="C62" s="612"/>
      <c r="D62" s="612"/>
      <c r="E62" s="612"/>
      <c r="F62" s="612"/>
      <c r="G62" s="612"/>
      <c r="H62" s="612"/>
      <c r="I62" s="612"/>
      <c r="J62" s="612"/>
    </row>
    <row r="63" spans="2:10" x14ac:dyDescent="0.45">
      <c r="C63" s="275"/>
      <c r="H63" s="276"/>
      <c r="J63" s="270"/>
    </row>
    <row r="64" spans="2:10" x14ac:dyDescent="0.45">
      <c r="C64" s="277"/>
      <c r="H64" s="276"/>
    </row>
    <row r="65" spans="3:10" x14ac:dyDescent="0.45">
      <c r="C65" s="277"/>
      <c r="H65" s="276"/>
      <c r="J65" s="270"/>
    </row>
    <row r="66" spans="3:10" x14ac:dyDescent="0.45">
      <c r="C66" s="277"/>
      <c r="H66" s="276"/>
      <c r="J66" s="270"/>
    </row>
    <row r="67" spans="3:10" x14ac:dyDescent="0.45">
      <c r="C67" s="277"/>
      <c r="H67" s="276"/>
      <c r="J67" s="270"/>
    </row>
    <row r="68" spans="3:10" x14ac:dyDescent="0.45">
      <c r="C68" s="275"/>
      <c r="H68" s="276"/>
    </row>
    <row r="69" spans="3:10" x14ac:dyDescent="0.45">
      <c r="C69" s="275"/>
      <c r="H69" s="278"/>
    </row>
    <row r="70" spans="3:10" x14ac:dyDescent="0.45">
      <c r="C70" s="275"/>
      <c r="H70" s="276"/>
    </row>
  </sheetData>
  <mergeCells count="52">
    <mergeCell ref="B11:H11"/>
    <mergeCell ref="B23:I23"/>
    <mergeCell ref="B24:I24"/>
    <mergeCell ref="H25:I25"/>
    <mergeCell ref="B13:H13"/>
    <mergeCell ref="D16:E16"/>
    <mergeCell ref="F16:G16"/>
    <mergeCell ref="H16:I16"/>
    <mergeCell ref="D17:E17"/>
    <mergeCell ref="F17:G17"/>
    <mergeCell ref="H17:I17"/>
    <mergeCell ref="B37:I37"/>
    <mergeCell ref="B62:J62"/>
    <mergeCell ref="F44:G44"/>
    <mergeCell ref="F45:G45"/>
    <mergeCell ref="F46:G46"/>
    <mergeCell ref="C47:D47"/>
    <mergeCell ref="F47:G47"/>
    <mergeCell ref="C49:I49"/>
    <mergeCell ref="C51:I51"/>
    <mergeCell ref="C44:D44"/>
    <mergeCell ref="C45:D45"/>
    <mergeCell ref="C46:D46"/>
    <mergeCell ref="H43:I43"/>
    <mergeCell ref="H40:I40"/>
    <mergeCell ref="B41:I42"/>
    <mergeCell ref="B1:J1"/>
    <mergeCell ref="B2:J2"/>
    <mergeCell ref="B3:J3"/>
    <mergeCell ref="B4:J4"/>
    <mergeCell ref="B5:J5"/>
    <mergeCell ref="E27:I27"/>
    <mergeCell ref="H8:I8"/>
    <mergeCell ref="B28:I29"/>
    <mergeCell ref="D14:E14"/>
    <mergeCell ref="F14:G14"/>
    <mergeCell ref="H14:I14"/>
    <mergeCell ref="D15:E15"/>
    <mergeCell ref="F15:G15"/>
    <mergeCell ref="D18:E18"/>
    <mergeCell ref="F18:G18"/>
    <mergeCell ref="H18:I18"/>
    <mergeCell ref="H15:I15"/>
    <mergeCell ref="B19:H19"/>
    <mergeCell ref="A9:I9"/>
    <mergeCell ref="A26:I26"/>
    <mergeCell ref="A10:I10"/>
    <mergeCell ref="C32:I32"/>
    <mergeCell ref="E34:I34"/>
    <mergeCell ref="E36:I36"/>
    <mergeCell ref="J28:J29"/>
    <mergeCell ref="E31:I31"/>
  </mergeCells>
  <printOptions horizontalCentered="1"/>
  <pageMargins left="0" right="0.51181102362204722" top="0.51181102362204722" bottom="0" header="0" footer="0"/>
  <pageSetup scale="59" orientation="portrait" r:id="rId1"/>
  <headerFooter alignWithMargins="0"/>
  <colBreaks count="1" manualBreakCount="1">
    <brk id="10" max="1048575" man="1"/>
  </colBreaks>
  <customProperties>
    <customPr name="ExcelFSM_AdjustedButtonPressed" r:id="rId2"/>
    <customPr name="ExcelFSM_DetailsButtonPressed"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492D4-39EA-4FD3-B55B-E3307AD92F79}">
  <sheetPr>
    <pageSetUpPr fitToPage="1"/>
  </sheetPr>
  <dimension ref="A1:V86"/>
  <sheetViews>
    <sheetView rightToLeft="1" view="pageBreakPreview" zoomScaleSheetLayoutView="100" workbookViewId="0">
      <selection activeCell="M68" sqref="M68"/>
    </sheetView>
  </sheetViews>
  <sheetFormatPr defaultColWidth="9.140625" defaultRowHeight="18.75" x14ac:dyDescent="0.45"/>
  <cols>
    <col min="1" max="1" width="5.7109375" style="244" customWidth="1"/>
    <col min="2" max="2" width="5.5703125" style="244" customWidth="1"/>
    <col min="3" max="3" width="12.28515625" style="247" customWidth="1"/>
    <col min="4" max="4" width="3.5703125" style="244" customWidth="1"/>
    <col min="5" max="5" width="17.42578125" style="254" customWidth="1"/>
    <col min="6" max="6" width="3.7109375" style="244" customWidth="1"/>
    <col min="7" max="7" width="9.7109375" style="244" customWidth="1"/>
    <col min="8" max="8" width="38.28515625" style="244" customWidth="1"/>
    <col min="9" max="9" width="1.5703125" style="308" customWidth="1"/>
    <col min="10" max="10" width="1.28515625" style="263" customWidth="1"/>
    <col min="11" max="11" width="5" style="308" customWidth="1"/>
    <col min="12" max="16384" width="9.140625" style="244"/>
  </cols>
  <sheetData>
    <row r="1" spans="1:15" x14ac:dyDescent="0.45">
      <c r="A1" s="588">
        <f>Cover!A14</f>
        <v>0</v>
      </c>
      <c r="B1" s="588"/>
      <c r="C1" s="588"/>
      <c r="D1" s="588"/>
      <c r="E1" s="588"/>
      <c r="F1" s="588"/>
      <c r="G1" s="588"/>
      <c r="H1" s="588"/>
      <c r="I1" s="588"/>
      <c r="J1" s="588"/>
      <c r="K1" s="588"/>
      <c r="L1" s="246"/>
    </row>
    <row r="2" spans="1:15" x14ac:dyDescent="0.45">
      <c r="A2" s="588" t="str">
        <f>Cover!A15</f>
        <v>(Foreign Company – Limited Liability Company)</v>
      </c>
      <c r="B2" s="588"/>
      <c r="C2" s="588"/>
      <c r="D2" s="588"/>
      <c r="E2" s="588"/>
      <c r="F2" s="588"/>
      <c r="G2" s="588"/>
      <c r="H2" s="588"/>
      <c r="I2" s="588"/>
      <c r="J2" s="588"/>
      <c r="K2" s="588"/>
      <c r="L2" s="246"/>
    </row>
    <row r="3" spans="1:15" x14ac:dyDescent="0.45">
      <c r="A3" s="588" t="str">
        <f>Cover!A16</f>
        <v>Riyadh – Kingdom of Saudi Arabia</v>
      </c>
      <c r="B3" s="588"/>
      <c r="C3" s="588"/>
      <c r="D3" s="588"/>
      <c r="E3" s="588"/>
      <c r="F3" s="588"/>
      <c r="G3" s="588"/>
      <c r="H3" s="588"/>
      <c r="I3" s="588"/>
      <c r="J3" s="588"/>
      <c r="K3" s="588"/>
      <c r="L3" s="247"/>
    </row>
    <row r="4" spans="1:15" x14ac:dyDescent="0.45">
      <c r="A4" s="588" t="str">
        <f>'1'!B4</f>
        <v>NOTES TO THE FINANCIAL STATEMENTS FOR PERIOD  ENDED31December2024</v>
      </c>
      <c r="B4" s="588"/>
      <c r="C4" s="588"/>
      <c r="D4" s="588"/>
      <c r="E4" s="588"/>
      <c r="F4" s="588"/>
      <c r="G4" s="588"/>
      <c r="H4" s="588"/>
      <c r="I4" s="588"/>
      <c r="J4" s="588"/>
      <c r="K4" s="588"/>
      <c r="M4" s="247"/>
    </row>
    <row r="5" spans="1:15" ht="15.6" customHeight="1" x14ac:dyDescent="0.45">
      <c r="A5" s="606" t="str">
        <f>'Balance Sheet'!A5</f>
        <v>(saudi riyal)</v>
      </c>
      <c r="B5" s="606"/>
      <c r="C5" s="606"/>
      <c r="D5" s="606"/>
      <c r="E5" s="606"/>
      <c r="F5" s="606"/>
      <c r="G5" s="606"/>
      <c r="H5" s="606"/>
      <c r="I5" s="606"/>
      <c r="J5" s="606"/>
      <c r="K5" s="606"/>
    </row>
    <row r="6" spans="1:15" ht="9" customHeight="1" x14ac:dyDescent="0.45">
      <c r="B6" s="250"/>
      <c r="C6" s="250"/>
      <c r="D6" s="250"/>
      <c r="E6" s="250"/>
      <c r="F6" s="250"/>
      <c r="G6" s="250"/>
      <c r="H6" s="250"/>
      <c r="I6" s="245"/>
      <c r="J6" s="245"/>
      <c r="K6" s="245"/>
    </row>
    <row r="7" spans="1:15" hidden="1" x14ac:dyDescent="0.45">
      <c r="C7" s="277"/>
      <c r="H7" s="589" t="s">
        <v>276</v>
      </c>
      <c r="I7" s="589"/>
      <c r="J7" s="589"/>
    </row>
    <row r="8" spans="1:15" ht="7.15" hidden="1" customHeight="1" x14ac:dyDescent="0.5">
      <c r="B8" s="242"/>
      <c r="C8" s="277"/>
      <c r="H8" s="432"/>
      <c r="I8" s="263"/>
    </row>
    <row r="9" spans="1:15" ht="15.6" hidden="1" customHeight="1" x14ac:dyDescent="0.45">
      <c r="A9" s="616" t="s">
        <v>275</v>
      </c>
      <c r="B9" s="616"/>
      <c r="C9" s="616"/>
      <c r="D9" s="616"/>
      <c r="E9" s="616"/>
      <c r="F9" s="616"/>
      <c r="G9" s="616"/>
      <c r="H9" s="616"/>
      <c r="I9" s="616"/>
      <c r="J9" s="616"/>
    </row>
    <row r="10" spans="1:15" ht="15.6" hidden="1" customHeight="1" x14ac:dyDescent="0.45">
      <c r="A10" s="616"/>
      <c r="B10" s="616"/>
      <c r="C10" s="616"/>
      <c r="D10" s="616"/>
      <c r="E10" s="616"/>
      <c r="F10" s="616"/>
      <c r="G10" s="616"/>
      <c r="H10" s="616"/>
      <c r="I10" s="616"/>
      <c r="J10" s="616"/>
    </row>
    <row r="11" spans="1:15" ht="15.6" hidden="1" customHeight="1" x14ac:dyDescent="0.45">
      <c r="A11" s="616"/>
      <c r="B11" s="616"/>
      <c r="C11" s="616"/>
      <c r="D11" s="616"/>
      <c r="E11" s="616"/>
      <c r="F11" s="616"/>
      <c r="G11" s="616"/>
      <c r="H11" s="616"/>
      <c r="I11" s="616"/>
      <c r="J11" s="616"/>
    </row>
    <row r="12" spans="1:15" hidden="1" x14ac:dyDescent="0.45">
      <c r="A12" s="616"/>
      <c r="B12" s="616"/>
      <c r="C12" s="616"/>
      <c r="D12" s="616"/>
      <c r="E12" s="616"/>
      <c r="F12" s="616"/>
      <c r="G12" s="616"/>
      <c r="H12" s="616"/>
      <c r="I12" s="616"/>
      <c r="J12" s="616"/>
      <c r="O12" s="263"/>
    </row>
    <row r="13" spans="1:15" hidden="1" x14ac:dyDescent="0.45">
      <c r="A13" s="616"/>
      <c r="B13" s="616"/>
      <c r="C13" s="616"/>
      <c r="D13" s="616"/>
      <c r="E13" s="616"/>
      <c r="F13" s="616"/>
      <c r="G13" s="616"/>
      <c r="H13" s="616"/>
      <c r="I13" s="616"/>
      <c r="J13" s="616"/>
      <c r="O13" s="263"/>
    </row>
    <row r="14" spans="1:15" ht="25.9" hidden="1" customHeight="1" x14ac:dyDescent="0.45">
      <c r="A14" s="616"/>
      <c r="B14" s="616"/>
      <c r="C14" s="616"/>
      <c r="D14" s="616"/>
      <c r="E14" s="616"/>
      <c r="F14" s="616"/>
      <c r="G14" s="616"/>
      <c r="H14" s="616"/>
      <c r="I14" s="616"/>
      <c r="J14" s="616"/>
      <c r="O14" s="279"/>
    </row>
    <row r="15" spans="1:15" ht="7.15" hidden="1" customHeight="1" x14ac:dyDescent="0.45">
      <c r="C15" s="277"/>
      <c r="H15" s="432"/>
      <c r="I15" s="263"/>
    </row>
    <row r="16" spans="1:15" hidden="1" x14ac:dyDescent="0.45">
      <c r="C16" s="277"/>
      <c r="H16" s="589" t="s">
        <v>298</v>
      </c>
      <c r="I16" s="589"/>
      <c r="J16" s="589"/>
    </row>
    <row r="17" spans="1:15" ht="7.15" hidden="1" customHeight="1" x14ac:dyDescent="0.45">
      <c r="C17" s="277"/>
      <c r="H17" s="432"/>
      <c r="I17" s="263"/>
    </row>
    <row r="18" spans="1:15" ht="15.6" hidden="1" customHeight="1" x14ac:dyDescent="0.45">
      <c r="A18" s="616" t="s">
        <v>299</v>
      </c>
      <c r="B18" s="616"/>
      <c r="C18" s="616"/>
      <c r="D18" s="616"/>
      <c r="E18" s="616"/>
      <c r="F18" s="616"/>
      <c r="G18" s="616"/>
      <c r="H18" s="616"/>
      <c r="I18" s="616"/>
      <c r="J18" s="616"/>
    </row>
    <row r="19" spans="1:15" ht="15.6" hidden="1" customHeight="1" x14ac:dyDescent="0.45">
      <c r="A19" s="616"/>
      <c r="B19" s="616"/>
      <c r="C19" s="616"/>
      <c r="D19" s="616"/>
      <c r="E19" s="616"/>
      <c r="F19" s="616"/>
      <c r="G19" s="616"/>
      <c r="H19" s="616"/>
      <c r="I19" s="616"/>
      <c r="J19" s="616"/>
    </row>
    <row r="20" spans="1:15" ht="15.6" hidden="1" customHeight="1" x14ac:dyDescent="0.45">
      <c r="A20" s="616"/>
      <c r="B20" s="616"/>
      <c r="C20" s="616"/>
      <c r="D20" s="616"/>
      <c r="E20" s="616"/>
      <c r="F20" s="616"/>
      <c r="G20" s="616"/>
      <c r="H20" s="616"/>
      <c r="I20" s="616"/>
      <c r="J20" s="616"/>
    </row>
    <row r="21" spans="1:15" ht="45.6" hidden="1" customHeight="1" x14ac:dyDescent="0.45">
      <c r="A21" s="616"/>
      <c r="B21" s="616"/>
      <c r="C21" s="616"/>
      <c r="D21" s="616"/>
      <c r="E21" s="616"/>
      <c r="F21" s="616"/>
      <c r="G21" s="616"/>
      <c r="H21" s="616"/>
      <c r="I21" s="616"/>
      <c r="J21" s="616"/>
    </row>
    <row r="22" spans="1:15" ht="4.9000000000000004" hidden="1" customHeight="1" x14ac:dyDescent="0.45">
      <c r="C22" s="275"/>
      <c r="H22" s="278"/>
      <c r="J22" s="308"/>
      <c r="O22" s="279"/>
    </row>
    <row r="23" spans="1:15" ht="63" hidden="1" customHeight="1" x14ac:dyDescent="0.45">
      <c r="B23" s="618"/>
      <c r="C23" s="618"/>
      <c r="D23" s="618"/>
      <c r="E23" s="618"/>
      <c r="F23" s="618"/>
      <c r="G23" s="618"/>
      <c r="H23" s="618"/>
      <c r="I23" s="618"/>
      <c r="J23" s="433" t="s">
        <v>168</v>
      </c>
      <c r="K23" s="244"/>
    </row>
    <row r="24" spans="1:15" ht="6.6" hidden="1" customHeight="1" x14ac:dyDescent="0.45">
      <c r="I24" s="244"/>
      <c r="J24" s="306"/>
      <c r="K24" s="244"/>
    </row>
    <row r="25" spans="1:15" ht="46.15" hidden="1" customHeight="1" x14ac:dyDescent="0.45">
      <c r="A25" s="610"/>
      <c r="B25" s="610"/>
      <c r="C25" s="610"/>
      <c r="D25" s="610"/>
      <c r="E25" s="610"/>
      <c r="F25" s="610"/>
      <c r="G25" s="610"/>
      <c r="H25" s="610"/>
      <c r="I25" s="434"/>
      <c r="J25" s="433" t="s">
        <v>168</v>
      </c>
      <c r="K25" s="244"/>
    </row>
    <row r="26" spans="1:15" x14ac:dyDescent="0.45">
      <c r="C26" s="264"/>
      <c r="D26" s="264"/>
      <c r="E26" s="265"/>
      <c r="H26" s="589" t="s">
        <v>295</v>
      </c>
      <c r="I26" s="589"/>
      <c r="J26" s="589"/>
      <c r="K26" s="263" t="s">
        <v>443</v>
      </c>
    </row>
    <row r="27" spans="1:15" ht="7.15" customHeight="1" x14ac:dyDescent="0.45">
      <c r="B27" s="258"/>
      <c r="C27" s="258"/>
      <c r="D27" s="258"/>
      <c r="E27" s="258"/>
      <c r="F27" s="258"/>
      <c r="G27" s="258"/>
      <c r="H27" s="258"/>
      <c r="I27" s="435"/>
      <c r="J27" s="435"/>
      <c r="K27" s="270"/>
    </row>
    <row r="28" spans="1:15" x14ac:dyDescent="0.45">
      <c r="B28" s="258"/>
      <c r="C28" s="258"/>
      <c r="D28" s="258"/>
      <c r="E28" s="258"/>
      <c r="F28" s="258"/>
      <c r="G28" s="258"/>
      <c r="H28" s="258"/>
      <c r="I28" s="435"/>
      <c r="J28" s="436" t="s">
        <v>296</v>
      </c>
      <c r="K28" s="427" t="s">
        <v>447</v>
      </c>
    </row>
    <row r="29" spans="1:15" ht="9.75" customHeight="1" x14ac:dyDescent="0.45">
      <c r="C29" s="264"/>
      <c r="D29" s="264"/>
      <c r="E29" s="265"/>
      <c r="H29" s="254"/>
      <c r="I29" s="263"/>
      <c r="K29" s="263"/>
    </row>
    <row r="30" spans="1:15" x14ac:dyDescent="0.45">
      <c r="C30" s="264"/>
      <c r="D30" s="264"/>
      <c r="E30" s="265"/>
      <c r="H30" s="254"/>
      <c r="I30" s="263"/>
      <c r="J30" s="436" t="s">
        <v>297</v>
      </c>
      <c r="K30" s="263"/>
    </row>
    <row r="31" spans="1:15" ht="6" customHeight="1" x14ac:dyDescent="0.45">
      <c r="C31" s="264"/>
      <c r="D31" s="264"/>
      <c r="E31" s="265"/>
      <c r="H31" s="254"/>
      <c r="I31" s="263"/>
      <c r="J31" s="308"/>
      <c r="K31" s="263"/>
    </row>
    <row r="32" spans="1:15" x14ac:dyDescent="0.45">
      <c r="B32" s="262"/>
      <c r="C32" s="262"/>
      <c r="D32" s="262"/>
      <c r="E32" s="262"/>
      <c r="F32" s="262"/>
      <c r="G32" s="262"/>
      <c r="H32" s="262"/>
      <c r="I32" s="345"/>
      <c r="J32" s="345" t="s">
        <v>186</v>
      </c>
      <c r="K32" s="284" t="s">
        <v>168</v>
      </c>
    </row>
    <row r="33" spans="1:12" hidden="1" x14ac:dyDescent="0.45">
      <c r="B33" s="262"/>
      <c r="C33" s="262"/>
      <c r="D33" s="262"/>
      <c r="E33" s="262"/>
      <c r="F33" s="262"/>
      <c r="G33" s="262"/>
      <c r="H33" s="262"/>
      <c r="I33" s="345"/>
      <c r="J33" s="437" t="s">
        <v>284</v>
      </c>
      <c r="K33" s="284" t="s">
        <v>168</v>
      </c>
    </row>
    <row r="34" spans="1:12" hidden="1" x14ac:dyDescent="0.45">
      <c r="B34" s="262"/>
      <c r="C34" s="262"/>
      <c r="D34" s="262"/>
      <c r="E34" s="262"/>
      <c r="F34" s="262"/>
      <c r="G34" s="262"/>
      <c r="H34" s="262"/>
      <c r="I34" s="345"/>
      <c r="J34" s="345" t="s">
        <v>285</v>
      </c>
      <c r="K34" s="284" t="s">
        <v>168</v>
      </c>
    </row>
    <row r="35" spans="1:12" ht="34.9" customHeight="1" x14ac:dyDescent="0.45">
      <c r="A35" s="616" t="s">
        <v>380</v>
      </c>
      <c r="B35" s="616"/>
      <c r="C35" s="616"/>
      <c r="D35" s="616"/>
      <c r="E35" s="616"/>
      <c r="F35" s="616"/>
      <c r="G35" s="616"/>
      <c r="H35" s="616"/>
      <c r="I35" s="616"/>
      <c r="J35" s="616"/>
      <c r="K35" s="284" t="s">
        <v>168</v>
      </c>
    </row>
    <row r="36" spans="1:12" ht="18" customHeight="1" x14ac:dyDescent="0.45">
      <c r="A36" s="616" t="s">
        <v>286</v>
      </c>
      <c r="B36" s="616"/>
      <c r="C36" s="616"/>
      <c r="D36" s="616"/>
      <c r="E36" s="616"/>
      <c r="F36" s="616"/>
      <c r="G36" s="616"/>
      <c r="H36" s="616"/>
      <c r="I36" s="616"/>
      <c r="J36" s="616"/>
      <c r="K36" s="263"/>
    </row>
    <row r="37" spans="1:12" ht="34.15" customHeight="1" x14ac:dyDescent="0.45">
      <c r="A37" s="616"/>
      <c r="B37" s="616"/>
      <c r="C37" s="616"/>
      <c r="D37" s="616"/>
      <c r="E37" s="616"/>
      <c r="F37" s="616"/>
      <c r="G37" s="616"/>
      <c r="H37" s="616"/>
      <c r="I37" s="616"/>
      <c r="J37" s="616"/>
      <c r="K37" s="263"/>
    </row>
    <row r="38" spans="1:12" ht="5.45" customHeight="1" x14ac:dyDescent="0.45">
      <c r="B38" s="438"/>
      <c r="C38" s="438"/>
      <c r="D38" s="438"/>
      <c r="E38" s="438"/>
      <c r="F38" s="438"/>
      <c r="G38" s="438"/>
      <c r="H38" s="438"/>
      <c r="I38" s="436"/>
      <c r="J38" s="436"/>
      <c r="K38" s="263"/>
    </row>
    <row r="39" spans="1:12" x14ac:dyDescent="0.45">
      <c r="B39" s="258"/>
      <c r="C39" s="258"/>
      <c r="D39" s="258"/>
      <c r="E39" s="258"/>
      <c r="F39" s="258"/>
      <c r="G39" s="258"/>
      <c r="H39" s="258"/>
      <c r="I39" s="435"/>
      <c r="J39" s="436" t="s">
        <v>287</v>
      </c>
      <c r="K39" s="427" t="s">
        <v>448</v>
      </c>
    </row>
    <row r="40" spans="1:12" ht="7.15" customHeight="1" x14ac:dyDescent="0.45">
      <c r="C40" s="264"/>
      <c r="D40" s="264"/>
      <c r="E40" s="265"/>
      <c r="H40" s="254"/>
      <c r="I40" s="263"/>
      <c r="K40" s="263"/>
    </row>
    <row r="41" spans="1:12" ht="15.75" customHeight="1" x14ac:dyDescent="0.45">
      <c r="A41" s="604" t="s">
        <v>449</v>
      </c>
      <c r="B41" s="604"/>
      <c r="C41" s="604"/>
      <c r="D41" s="604"/>
      <c r="E41" s="604"/>
      <c r="F41" s="604"/>
      <c r="G41" s="604"/>
      <c r="H41" s="604"/>
      <c r="I41" s="604"/>
      <c r="J41" s="604"/>
      <c r="K41" s="334"/>
    </row>
    <row r="42" spans="1:12" ht="15.75" customHeight="1" x14ac:dyDescent="0.45">
      <c r="A42" s="604"/>
      <c r="B42" s="604"/>
      <c r="C42" s="604"/>
      <c r="D42" s="604"/>
      <c r="E42" s="604"/>
      <c r="F42" s="604"/>
      <c r="G42" s="604"/>
      <c r="H42" s="604"/>
      <c r="I42" s="604"/>
      <c r="J42" s="604"/>
      <c r="K42" s="263"/>
    </row>
    <row r="43" spans="1:12" ht="18" customHeight="1" x14ac:dyDescent="0.45">
      <c r="A43" s="604"/>
      <c r="B43" s="604"/>
      <c r="C43" s="604"/>
      <c r="D43" s="604"/>
      <c r="E43" s="604"/>
      <c r="F43" s="604"/>
      <c r="G43" s="604"/>
      <c r="H43" s="604"/>
      <c r="I43" s="604"/>
      <c r="J43" s="604"/>
      <c r="K43" s="263"/>
    </row>
    <row r="44" spans="1:12" ht="10.9" customHeight="1" x14ac:dyDescent="0.45">
      <c r="B44" s="439"/>
      <c r="C44" s="439"/>
      <c r="D44" s="439"/>
      <c r="E44" s="439"/>
      <c r="F44" s="439"/>
      <c r="G44" s="439"/>
      <c r="H44" s="439"/>
      <c r="I44" s="440"/>
      <c r="J44" s="306"/>
      <c r="K44" s="263"/>
    </row>
    <row r="45" spans="1:12" ht="15.75" customHeight="1" x14ac:dyDescent="0.45">
      <c r="B45" s="439"/>
      <c r="C45" s="439"/>
      <c r="D45" s="439"/>
      <c r="E45" s="439"/>
      <c r="F45" s="439"/>
      <c r="G45" s="439"/>
      <c r="H45" s="259"/>
      <c r="I45" s="441"/>
      <c r="J45" s="270" t="s">
        <v>183</v>
      </c>
      <c r="K45" s="263"/>
      <c r="L45" s="442"/>
    </row>
    <row r="46" spans="1:12" ht="15.75" customHeight="1" x14ac:dyDescent="0.45">
      <c r="A46" s="604" t="s">
        <v>283</v>
      </c>
      <c r="B46" s="604"/>
      <c r="C46" s="604"/>
      <c r="D46" s="604"/>
      <c r="E46" s="604"/>
      <c r="F46" s="604"/>
      <c r="G46" s="604"/>
      <c r="H46" s="604"/>
      <c r="I46" s="604"/>
      <c r="J46" s="604"/>
      <c r="K46" s="263"/>
    </row>
    <row r="47" spans="1:12" ht="15.6" customHeight="1" x14ac:dyDescent="0.45">
      <c r="A47" s="604"/>
      <c r="B47" s="604"/>
      <c r="C47" s="604"/>
      <c r="D47" s="604"/>
      <c r="E47" s="604"/>
      <c r="F47" s="604"/>
      <c r="G47" s="604"/>
      <c r="H47" s="604"/>
      <c r="I47" s="604"/>
      <c r="J47" s="604"/>
      <c r="K47" s="263"/>
    </row>
    <row r="48" spans="1:12" ht="74.45" customHeight="1" x14ac:dyDescent="0.45">
      <c r="A48" s="604"/>
      <c r="B48" s="604"/>
      <c r="C48" s="604"/>
      <c r="D48" s="604"/>
      <c r="E48" s="604"/>
      <c r="F48" s="604"/>
      <c r="G48" s="604"/>
      <c r="H48" s="604"/>
      <c r="I48" s="604"/>
      <c r="J48" s="604"/>
      <c r="K48" s="263"/>
    </row>
    <row r="49" spans="1:12" ht="9" customHeight="1" x14ac:dyDescent="0.45">
      <c r="B49" s="266"/>
      <c r="C49" s="266"/>
      <c r="D49" s="266"/>
      <c r="E49" s="266"/>
      <c r="F49" s="266"/>
      <c r="G49" s="266"/>
      <c r="H49" s="266"/>
      <c r="I49" s="443"/>
      <c r="J49" s="443"/>
      <c r="K49" s="263"/>
    </row>
    <row r="50" spans="1:12" ht="15.75" hidden="1" customHeight="1" x14ac:dyDescent="0.45">
      <c r="B50" s="439"/>
      <c r="C50" s="439"/>
      <c r="D50" s="439"/>
      <c r="E50" s="439"/>
      <c r="F50" s="439"/>
      <c r="G50" s="439"/>
      <c r="H50" s="259"/>
      <c r="I50" s="441"/>
      <c r="J50" s="270"/>
      <c r="K50" s="263"/>
      <c r="L50" s="442"/>
    </row>
    <row r="51" spans="1:12" ht="15.75" customHeight="1" x14ac:dyDescent="0.45">
      <c r="A51" s="444"/>
      <c r="B51" s="444"/>
      <c r="C51" s="444"/>
      <c r="D51" s="444"/>
      <c r="E51" s="444"/>
      <c r="F51" s="444"/>
      <c r="G51" s="444"/>
      <c r="I51" s="270"/>
      <c r="J51" s="270" t="s">
        <v>450</v>
      </c>
      <c r="K51" s="427" t="s">
        <v>451</v>
      </c>
    </row>
    <row r="52" spans="1:12" ht="93" customHeight="1" x14ac:dyDescent="0.45">
      <c r="A52" s="444"/>
      <c r="B52" s="614" t="s">
        <v>452</v>
      </c>
      <c r="C52" s="614"/>
      <c r="D52" s="614"/>
      <c r="E52" s="614"/>
      <c r="F52" s="614"/>
      <c r="G52" s="614"/>
      <c r="H52" s="614"/>
      <c r="I52" s="614"/>
      <c r="J52" s="614"/>
      <c r="K52" s="263"/>
    </row>
    <row r="53" spans="1:12" ht="6.75" customHeight="1" x14ac:dyDescent="0.45">
      <c r="A53" s="444"/>
      <c r="B53" s="444"/>
      <c r="C53" s="444"/>
      <c r="D53" s="444"/>
      <c r="E53" s="444"/>
      <c r="F53" s="444"/>
      <c r="G53" s="444"/>
      <c r="H53" s="444"/>
      <c r="I53" s="444"/>
      <c r="J53" s="444"/>
      <c r="K53" s="263"/>
    </row>
    <row r="54" spans="1:12" x14ac:dyDescent="0.45">
      <c r="A54" s="444"/>
      <c r="B54" s="444"/>
      <c r="C54" s="444"/>
      <c r="D54" s="444"/>
      <c r="E54" s="444"/>
      <c r="F54" s="444"/>
      <c r="G54" s="444"/>
      <c r="H54" s="444"/>
      <c r="I54" s="444"/>
      <c r="J54" s="270" t="s">
        <v>457</v>
      </c>
      <c r="K54" s="270" t="s">
        <v>453</v>
      </c>
    </row>
    <row r="55" spans="1:12" ht="20.25" customHeight="1" x14ac:dyDescent="0.45">
      <c r="A55" s="444"/>
      <c r="B55" s="614" t="s">
        <v>464</v>
      </c>
      <c r="C55" s="614"/>
      <c r="D55" s="614"/>
      <c r="E55" s="614"/>
      <c r="F55" s="614"/>
      <c r="G55" s="614"/>
      <c r="H55" s="614"/>
      <c r="I55" s="614"/>
      <c r="J55" s="614"/>
      <c r="K55" s="263"/>
    </row>
    <row r="56" spans="1:12" ht="38.25" customHeight="1" x14ac:dyDescent="0.45">
      <c r="A56" s="444"/>
      <c r="B56" s="415"/>
      <c r="C56" s="619" t="s">
        <v>458</v>
      </c>
      <c r="D56" s="619"/>
      <c r="E56" s="619"/>
      <c r="F56" s="619"/>
      <c r="G56" s="619"/>
      <c r="H56" s="619"/>
      <c r="I56" s="619"/>
      <c r="J56" s="619"/>
      <c r="K56" s="445" t="s">
        <v>459</v>
      </c>
    </row>
    <row r="57" spans="1:12" ht="40.5" customHeight="1" x14ac:dyDescent="0.45">
      <c r="A57" s="444"/>
      <c r="B57" s="620" t="s">
        <v>461</v>
      </c>
      <c r="C57" s="620"/>
      <c r="D57" s="620"/>
      <c r="E57" s="620"/>
      <c r="F57" s="620"/>
      <c r="G57" s="620"/>
      <c r="H57" s="620"/>
      <c r="I57" s="620"/>
      <c r="J57" s="620"/>
      <c r="K57" s="445" t="s">
        <v>460</v>
      </c>
    </row>
    <row r="58" spans="1:12" ht="42" customHeight="1" x14ac:dyDescent="0.45">
      <c r="A58" s="444"/>
      <c r="B58" s="619" t="s">
        <v>462</v>
      </c>
      <c r="C58" s="619"/>
      <c r="D58" s="619"/>
      <c r="E58" s="619"/>
      <c r="F58" s="619"/>
      <c r="G58" s="619"/>
      <c r="H58" s="619"/>
      <c r="I58" s="619"/>
      <c r="J58" s="619"/>
      <c r="K58" s="445" t="s">
        <v>463</v>
      </c>
    </row>
    <row r="59" spans="1:12" hidden="1" x14ac:dyDescent="0.45">
      <c r="A59" s="444"/>
      <c r="B59" s="415"/>
      <c r="C59" s="415"/>
      <c r="D59" s="415"/>
      <c r="E59" s="415"/>
      <c r="F59" s="415"/>
      <c r="G59" s="415"/>
      <c r="H59" s="415"/>
      <c r="I59" s="415"/>
      <c r="J59" s="415"/>
      <c r="K59" s="263"/>
    </row>
    <row r="60" spans="1:12" hidden="1" x14ac:dyDescent="0.45">
      <c r="A60" s="444"/>
      <c r="B60" s="444"/>
      <c r="C60" s="444"/>
      <c r="D60" s="444"/>
      <c r="E60" s="444"/>
      <c r="F60" s="444"/>
      <c r="G60" s="444"/>
      <c r="H60" s="444"/>
      <c r="I60" s="444"/>
      <c r="J60" s="444"/>
      <c r="K60" s="263"/>
    </row>
    <row r="61" spans="1:12" ht="6" customHeight="1" x14ac:dyDescent="0.45">
      <c r="A61" s="444"/>
      <c r="B61" s="444"/>
      <c r="C61" s="444"/>
      <c r="D61" s="444"/>
      <c r="E61" s="444"/>
      <c r="F61" s="444"/>
      <c r="G61" s="444"/>
      <c r="H61" s="444"/>
      <c r="I61" s="444"/>
      <c r="J61" s="444"/>
      <c r="K61" s="263"/>
    </row>
    <row r="62" spans="1:12" ht="20.25" customHeight="1" x14ac:dyDescent="0.45">
      <c r="A62" s="257"/>
      <c r="B62" s="257"/>
      <c r="C62" s="257"/>
      <c r="D62" s="257"/>
      <c r="E62" s="257"/>
      <c r="F62" s="257"/>
      <c r="G62" s="257"/>
      <c r="H62" s="621" t="s">
        <v>465</v>
      </c>
      <c r="I62" s="621"/>
      <c r="J62" s="621"/>
      <c r="K62" s="263" t="s">
        <v>456</v>
      </c>
    </row>
    <row r="63" spans="1:12" ht="49.5" customHeight="1" x14ac:dyDescent="0.45">
      <c r="A63" s="257"/>
      <c r="B63" s="622" t="s">
        <v>466</v>
      </c>
      <c r="C63" s="622"/>
      <c r="D63" s="622"/>
      <c r="E63" s="622"/>
      <c r="F63" s="622"/>
      <c r="G63" s="622"/>
      <c r="H63" s="622"/>
      <c r="I63" s="622"/>
      <c r="J63" s="622"/>
      <c r="K63" s="263"/>
    </row>
    <row r="64" spans="1:12" x14ac:dyDescent="0.45">
      <c r="C64" s="617"/>
      <c r="D64" s="617"/>
      <c r="E64" s="247"/>
      <c r="H64" s="589" t="s">
        <v>311</v>
      </c>
      <c r="I64" s="589"/>
      <c r="J64" s="589"/>
      <c r="K64" s="263"/>
    </row>
    <row r="65" spans="1:22" ht="33.6" customHeight="1" x14ac:dyDescent="0.45">
      <c r="B65" s="616" t="s">
        <v>312</v>
      </c>
      <c r="C65" s="616"/>
      <c r="D65" s="616"/>
      <c r="E65" s="616"/>
      <c r="F65" s="616"/>
      <c r="G65" s="616"/>
      <c r="H65" s="616"/>
      <c r="I65" s="616"/>
      <c r="J65" s="616"/>
      <c r="K65" s="307"/>
    </row>
    <row r="66" spans="1:22" ht="8.25" customHeight="1" x14ac:dyDescent="0.45">
      <c r="B66" s="308"/>
      <c r="C66" s="425"/>
      <c r="D66" s="425"/>
      <c r="E66" s="426"/>
      <c r="F66" s="308"/>
      <c r="G66" s="308"/>
      <c r="H66" s="308"/>
      <c r="K66" s="254"/>
    </row>
    <row r="67" spans="1:22" x14ac:dyDescent="0.45">
      <c r="B67" s="308"/>
      <c r="C67" s="425"/>
      <c r="D67" s="425"/>
      <c r="E67" s="426"/>
      <c r="F67" s="308"/>
      <c r="G67" s="308"/>
      <c r="H67" s="589" t="s">
        <v>266</v>
      </c>
      <c r="I67" s="589"/>
      <c r="J67" s="589"/>
      <c r="K67" s="427" t="s">
        <v>454</v>
      </c>
    </row>
    <row r="68" spans="1:22" ht="60" customHeight="1" x14ac:dyDescent="0.45">
      <c r="B68" s="616" t="s">
        <v>309</v>
      </c>
      <c r="C68" s="616"/>
      <c r="D68" s="616"/>
      <c r="E68" s="616"/>
      <c r="F68" s="616"/>
      <c r="G68" s="616"/>
      <c r="H68" s="616"/>
      <c r="I68" s="616"/>
      <c r="J68" s="616"/>
      <c r="K68" s="307"/>
    </row>
    <row r="69" spans="1:22" x14ac:dyDescent="0.45">
      <c r="B69" s="308"/>
      <c r="C69" s="425"/>
      <c r="D69" s="425"/>
      <c r="E69" s="426"/>
      <c r="F69" s="308"/>
      <c r="G69" s="308"/>
      <c r="H69" s="589" t="s">
        <v>568</v>
      </c>
      <c r="I69" s="589"/>
      <c r="J69" s="589"/>
      <c r="K69" s="427" t="s">
        <v>455</v>
      </c>
    </row>
    <row r="70" spans="1:22" ht="39" customHeight="1" x14ac:dyDescent="0.45">
      <c r="B70" s="616" t="s">
        <v>567</v>
      </c>
      <c r="C70" s="616"/>
      <c r="D70" s="616"/>
      <c r="E70" s="616"/>
      <c r="F70" s="616"/>
      <c r="G70" s="616"/>
      <c r="H70" s="616"/>
      <c r="I70" s="616"/>
      <c r="J70" s="616"/>
      <c r="K70" s="307"/>
    </row>
    <row r="71" spans="1:22" x14ac:dyDescent="0.45">
      <c r="B71" s="257"/>
      <c r="C71" s="257"/>
      <c r="D71" s="257"/>
      <c r="E71" s="257"/>
      <c r="F71" s="257"/>
      <c r="G71" s="257"/>
      <c r="H71" s="257"/>
      <c r="I71" s="257"/>
      <c r="J71" s="257"/>
      <c r="K71" s="307"/>
    </row>
    <row r="72" spans="1:22" ht="7.15" customHeight="1" x14ac:dyDescent="0.45">
      <c r="C72" s="264"/>
      <c r="D72" s="264"/>
      <c r="E72" s="265"/>
      <c r="H72" s="432"/>
      <c r="I72" s="263"/>
    </row>
    <row r="73" spans="1:22" hidden="1" x14ac:dyDescent="0.45">
      <c r="C73" s="264"/>
      <c r="D73" s="264"/>
      <c r="E73" s="265"/>
      <c r="H73" s="254"/>
      <c r="I73" s="263"/>
      <c r="J73" s="263" t="s">
        <v>288</v>
      </c>
    </row>
    <row r="74" spans="1:22" ht="9" hidden="1" customHeight="1" x14ac:dyDescent="0.45">
      <c r="B74" s="266"/>
      <c r="C74" s="266"/>
      <c r="D74" s="266"/>
      <c r="E74" s="266"/>
      <c r="F74" s="266"/>
      <c r="G74" s="266"/>
      <c r="H74" s="266"/>
      <c r="I74" s="443"/>
      <c r="J74" s="443"/>
      <c r="U74" s="443"/>
      <c r="V74" s="345"/>
    </row>
    <row r="75" spans="1:22" ht="15.75" hidden="1" customHeight="1" x14ac:dyDescent="0.45">
      <c r="B75" s="266"/>
      <c r="C75" s="266"/>
      <c r="D75" s="266"/>
      <c r="E75" s="266"/>
      <c r="F75" s="266"/>
      <c r="G75" s="266"/>
      <c r="H75" s="266"/>
      <c r="K75" s="308" t="s">
        <v>289</v>
      </c>
      <c r="U75" s="443"/>
      <c r="V75" s="345"/>
    </row>
    <row r="76" spans="1:22" ht="33" hidden="1" customHeight="1" x14ac:dyDescent="0.45">
      <c r="A76" s="616" t="s">
        <v>291</v>
      </c>
      <c r="B76" s="616"/>
      <c r="C76" s="616"/>
      <c r="D76" s="616"/>
      <c r="E76" s="616"/>
      <c r="F76" s="616"/>
      <c r="G76" s="616"/>
      <c r="H76" s="616"/>
      <c r="I76" s="616"/>
      <c r="J76" s="616"/>
      <c r="K76" s="257"/>
      <c r="U76" s="446"/>
      <c r="V76" s="308"/>
    </row>
    <row r="77" spans="1:22" ht="32.450000000000003" hidden="1" customHeight="1" x14ac:dyDescent="0.45">
      <c r="A77" s="616" t="s">
        <v>292</v>
      </c>
      <c r="B77" s="616"/>
      <c r="C77" s="616"/>
      <c r="D77" s="616"/>
      <c r="E77" s="616"/>
      <c r="F77" s="616"/>
      <c r="G77" s="616"/>
      <c r="H77" s="616"/>
      <c r="I77" s="616"/>
      <c r="J77" s="616"/>
      <c r="U77" s="245"/>
      <c r="V77" s="345"/>
    </row>
    <row r="78" spans="1:22" ht="44.45" hidden="1" customHeight="1" x14ac:dyDescent="0.45">
      <c r="A78" s="616" t="s">
        <v>290</v>
      </c>
      <c r="B78" s="616"/>
      <c r="C78" s="616"/>
      <c r="D78" s="616"/>
      <c r="E78" s="616"/>
      <c r="F78" s="616"/>
      <c r="G78" s="616"/>
      <c r="H78" s="616"/>
      <c r="I78" s="616"/>
      <c r="J78" s="616"/>
      <c r="U78" s="431"/>
      <c r="V78" s="308"/>
    </row>
    <row r="79" spans="1:22" ht="8.4499999999999993" hidden="1" customHeight="1" x14ac:dyDescent="0.45">
      <c r="C79" s="264"/>
      <c r="D79" s="264"/>
      <c r="E79" s="265"/>
      <c r="H79" s="246"/>
      <c r="I79" s="245"/>
      <c r="J79" s="245"/>
      <c r="K79" s="263"/>
    </row>
    <row r="80" spans="1:22" hidden="1" x14ac:dyDescent="0.45">
      <c r="C80" s="264"/>
      <c r="D80" s="264"/>
      <c r="E80" s="265"/>
      <c r="H80" s="254"/>
      <c r="I80" s="263"/>
      <c r="J80" s="263" t="s">
        <v>293</v>
      </c>
    </row>
    <row r="81" spans="1:14" ht="8.4499999999999993" hidden="1" customHeight="1" x14ac:dyDescent="0.45">
      <c r="B81" s="429"/>
      <c r="C81" s="429"/>
      <c r="D81" s="429"/>
      <c r="E81" s="429"/>
      <c r="F81" s="429"/>
      <c r="G81" s="429"/>
      <c r="H81" s="429"/>
      <c r="I81" s="431"/>
      <c r="J81" s="431"/>
    </row>
    <row r="82" spans="1:14" ht="57" hidden="1" customHeight="1" x14ac:dyDescent="0.45">
      <c r="A82" s="616" t="s">
        <v>294</v>
      </c>
      <c r="B82" s="616"/>
      <c r="C82" s="616"/>
      <c r="D82" s="616"/>
      <c r="E82" s="616"/>
      <c r="F82" s="616"/>
      <c r="G82" s="616"/>
      <c r="H82" s="616"/>
      <c r="I82" s="616"/>
      <c r="J82" s="616"/>
      <c r="N82" s="247"/>
    </row>
    <row r="83" spans="1:14" hidden="1" x14ac:dyDescent="0.45"/>
    <row r="84" spans="1:14" x14ac:dyDescent="0.45">
      <c r="A84" s="612" t="str">
        <f>"-"&amp;SUM(Index!I10:I15)&amp;"-"</f>
        <v>-9-</v>
      </c>
      <c r="B84" s="612"/>
      <c r="C84" s="612"/>
      <c r="D84" s="612"/>
      <c r="E84" s="612"/>
      <c r="F84" s="612"/>
      <c r="G84" s="612"/>
      <c r="H84" s="612"/>
      <c r="I84" s="612"/>
      <c r="J84" s="612"/>
      <c r="K84" s="612"/>
    </row>
    <row r="85" spans="1:14" x14ac:dyDescent="0.45">
      <c r="C85" s="275"/>
      <c r="H85" s="276"/>
      <c r="K85" s="263"/>
    </row>
    <row r="86" spans="1:14" x14ac:dyDescent="0.45">
      <c r="C86" s="275"/>
      <c r="H86" s="276"/>
      <c r="J86" s="279"/>
    </row>
  </sheetData>
  <mergeCells count="35">
    <mergeCell ref="B23:I23"/>
    <mergeCell ref="A77:J77"/>
    <mergeCell ref="A35:J35"/>
    <mergeCell ref="A36:J37"/>
    <mergeCell ref="A41:J43"/>
    <mergeCell ref="B68:J68"/>
    <mergeCell ref="B70:J70"/>
    <mergeCell ref="B52:J52"/>
    <mergeCell ref="B55:J55"/>
    <mergeCell ref="C56:J56"/>
    <mergeCell ref="B57:J57"/>
    <mergeCell ref="B58:J58"/>
    <mergeCell ref="H62:J62"/>
    <mergeCell ref="B63:J63"/>
    <mergeCell ref="A1:K1"/>
    <mergeCell ref="A2:K2"/>
    <mergeCell ref="A3:K3"/>
    <mergeCell ref="A4:K4"/>
    <mergeCell ref="A5:K5"/>
    <mergeCell ref="A84:K84"/>
    <mergeCell ref="H26:J26"/>
    <mergeCell ref="H7:J7"/>
    <mergeCell ref="H16:J16"/>
    <mergeCell ref="A9:J14"/>
    <mergeCell ref="A46:J48"/>
    <mergeCell ref="H69:J69"/>
    <mergeCell ref="H64:J64"/>
    <mergeCell ref="C64:D64"/>
    <mergeCell ref="B65:J65"/>
    <mergeCell ref="H67:J67"/>
    <mergeCell ref="A78:J78"/>
    <mergeCell ref="A82:J82"/>
    <mergeCell ref="A18:J21"/>
    <mergeCell ref="A76:J76"/>
    <mergeCell ref="A25:H25"/>
  </mergeCells>
  <printOptions horizontalCentered="1"/>
  <pageMargins left="0" right="0.27559055118110237" top="0.51181102362204722" bottom="0" header="0" footer="0"/>
  <pageSetup scale="6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43"/>
  <sheetViews>
    <sheetView rightToLeft="1" view="pageBreakPreview" topLeftCell="A19" zoomScale="85" zoomScaleSheetLayoutView="85" workbookViewId="0">
      <selection activeCell="P49" sqref="P49"/>
    </sheetView>
  </sheetViews>
  <sheetFormatPr defaultColWidth="9.140625" defaultRowHeight="18.75" x14ac:dyDescent="0.45"/>
  <cols>
    <col min="1" max="1" width="4.140625" style="244" customWidth="1"/>
    <col min="2" max="2" width="5.5703125" style="244" customWidth="1"/>
    <col min="3" max="3" width="12.28515625" style="247" customWidth="1"/>
    <col min="4" max="4" width="3.5703125" style="244" customWidth="1"/>
    <col min="5" max="5" width="17.42578125" style="254" customWidth="1"/>
    <col min="6" max="6" width="3.7109375" style="244" customWidth="1"/>
    <col min="7" max="7" width="9.7109375" style="244" customWidth="1"/>
    <col min="8" max="8" width="41.7109375" style="244" customWidth="1"/>
    <col min="9" max="9" width="1.5703125" style="244" customWidth="1"/>
    <col min="10" max="10" width="1.28515625" style="263" customWidth="1"/>
    <col min="11" max="11" width="5.42578125" style="244" bestFit="1" customWidth="1"/>
    <col min="12" max="16384" width="9.140625" style="244"/>
  </cols>
  <sheetData>
    <row r="1" spans="1:13" x14ac:dyDescent="0.45">
      <c r="B1" s="588">
        <f>Cover!A14</f>
        <v>0</v>
      </c>
      <c r="C1" s="588"/>
      <c r="D1" s="588"/>
      <c r="E1" s="588"/>
      <c r="F1" s="588"/>
      <c r="G1" s="588"/>
      <c r="H1" s="588"/>
      <c r="I1" s="588"/>
      <c r="J1" s="588"/>
      <c r="K1" s="588"/>
      <c r="L1" s="246"/>
    </row>
    <row r="2" spans="1:13" x14ac:dyDescent="0.45">
      <c r="B2" s="588" t="str">
        <f>Cover!A15</f>
        <v>(Foreign Company – Limited Liability Company)</v>
      </c>
      <c r="C2" s="588"/>
      <c r="D2" s="588"/>
      <c r="E2" s="588"/>
      <c r="F2" s="588"/>
      <c r="G2" s="588"/>
      <c r="H2" s="588"/>
      <c r="I2" s="588"/>
      <c r="J2" s="588"/>
      <c r="K2" s="588"/>
      <c r="L2" s="246"/>
    </row>
    <row r="3" spans="1:13" x14ac:dyDescent="0.45">
      <c r="B3" s="588" t="str">
        <f>Cover!A16</f>
        <v>Riyadh – Kingdom of Saudi Arabia</v>
      </c>
      <c r="C3" s="588"/>
      <c r="D3" s="588"/>
      <c r="E3" s="588"/>
      <c r="F3" s="588"/>
      <c r="G3" s="588"/>
      <c r="H3" s="588"/>
      <c r="I3" s="588"/>
      <c r="J3" s="588"/>
      <c r="K3" s="588"/>
      <c r="L3" s="247"/>
    </row>
    <row r="4" spans="1:13" x14ac:dyDescent="0.45">
      <c r="B4" s="588" t="str">
        <f>'1'!B4</f>
        <v>NOTES TO THE FINANCIAL STATEMENTS FOR PERIOD  ENDED31December2024</v>
      </c>
      <c r="C4" s="588"/>
      <c r="D4" s="588"/>
      <c r="E4" s="588"/>
      <c r="F4" s="588"/>
      <c r="G4" s="588"/>
      <c r="H4" s="588"/>
      <c r="I4" s="588"/>
      <c r="J4" s="588"/>
      <c r="K4" s="588"/>
      <c r="M4" s="247"/>
    </row>
    <row r="5" spans="1:13" x14ac:dyDescent="0.45">
      <c r="A5" s="248" t="s">
        <v>5</v>
      </c>
      <c r="B5" s="606" t="str">
        <f>'Balance Sheet'!A5</f>
        <v>(saudi riyal)</v>
      </c>
      <c r="C5" s="606"/>
      <c r="D5" s="606"/>
      <c r="E5" s="606"/>
      <c r="F5" s="606"/>
      <c r="G5" s="606"/>
      <c r="H5" s="606"/>
      <c r="I5" s="606"/>
      <c r="J5" s="606"/>
      <c r="K5" s="606"/>
    </row>
    <row r="6" spans="1:13" ht="18.600000000000001" customHeight="1" x14ac:dyDescent="0.45">
      <c r="B6" s="308"/>
      <c r="C6" s="425"/>
      <c r="D6" s="425"/>
      <c r="E6" s="426"/>
      <c r="F6" s="308"/>
      <c r="G6" s="308"/>
      <c r="H6" s="254"/>
      <c r="I6" s="254"/>
      <c r="J6" s="254"/>
    </row>
    <row r="7" spans="1:13" ht="18.600000000000001" customHeight="1" x14ac:dyDescent="0.45">
      <c r="B7" s="308"/>
      <c r="C7" s="425"/>
      <c r="D7" s="425"/>
      <c r="E7" s="426"/>
      <c r="F7" s="308"/>
      <c r="G7" s="308"/>
      <c r="H7" s="254"/>
      <c r="I7" s="254"/>
      <c r="J7" s="246" t="s">
        <v>467</v>
      </c>
      <c r="K7" s="327" t="s">
        <v>443</v>
      </c>
    </row>
    <row r="8" spans="1:13" x14ac:dyDescent="0.45">
      <c r="B8" s="308"/>
      <c r="C8" s="425"/>
      <c r="D8" s="425"/>
      <c r="E8" s="426"/>
      <c r="F8" s="308"/>
      <c r="G8" s="308"/>
      <c r="I8" s="254"/>
      <c r="J8" s="254" t="s">
        <v>314</v>
      </c>
      <c r="K8" s="427" t="s">
        <v>468</v>
      </c>
    </row>
    <row r="9" spans="1:13" ht="165.75" customHeight="1" x14ac:dyDescent="0.45">
      <c r="B9" s="616" t="s">
        <v>313</v>
      </c>
      <c r="C9" s="616"/>
      <c r="D9" s="616"/>
      <c r="E9" s="616"/>
      <c r="F9" s="616"/>
      <c r="G9" s="616"/>
      <c r="H9" s="616"/>
      <c r="I9" s="616"/>
      <c r="J9" s="616"/>
    </row>
    <row r="10" spans="1:13" ht="20.25" customHeight="1" x14ac:dyDescent="0.45">
      <c r="B10" s="308"/>
      <c r="C10" s="425"/>
      <c r="D10" s="425"/>
      <c r="E10" s="426"/>
      <c r="F10" s="308"/>
      <c r="G10" s="308"/>
      <c r="H10" s="589" t="s">
        <v>192</v>
      </c>
      <c r="I10" s="589"/>
      <c r="J10" s="589"/>
      <c r="K10" s="428" t="s">
        <v>469</v>
      </c>
    </row>
    <row r="11" spans="1:13" ht="52.9" customHeight="1" x14ac:dyDescent="0.45">
      <c r="B11" s="616" t="s">
        <v>310</v>
      </c>
      <c r="C11" s="616"/>
      <c r="D11" s="616"/>
      <c r="E11" s="616"/>
      <c r="F11" s="616"/>
      <c r="G11" s="616"/>
      <c r="H11" s="616"/>
      <c r="I11" s="616"/>
      <c r="J11" s="616"/>
      <c r="K11" s="307"/>
    </row>
    <row r="12" spans="1:13" x14ac:dyDescent="0.45">
      <c r="B12" s="308"/>
      <c r="C12" s="425"/>
      <c r="D12" s="425"/>
      <c r="E12" s="426"/>
      <c r="F12" s="308"/>
      <c r="G12" s="308"/>
      <c r="H12" s="589" t="s">
        <v>315</v>
      </c>
      <c r="I12" s="589"/>
      <c r="J12" s="589"/>
      <c r="K12" s="428" t="s">
        <v>470</v>
      </c>
    </row>
    <row r="13" spans="1:13" ht="48" customHeight="1" x14ac:dyDescent="0.45">
      <c r="B13" s="616" t="s">
        <v>316</v>
      </c>
      <c r="C13" s="616"/>
      <c r="D13" s="616"/>
      <c r="E13" s="616"/>
      <c r="F13" s="616"/>
      <c r="G13" s="616"/>
      <c r="H13" s="616"/>
      <c r="I13" s="616"/>
      <c r="J13" s="616"/>
      <c r="M13" s="429"/>
    </row>
    <row r="14" spans="1:13" ht="127.9" customHeight="1" x14ac:dyDescent="0.45">
      <c r="B14" s="616" t="s">
        <v>381</v>
      </c>
      <c r="C14" s="616"/>
      <c r="D14" s="616"/>
      <c r="E14" s="616"/>
      <c r="F14" s="616"/>
      <c r="G14" s="616"/>
      <c r="H14" s="616"/>
      <c r="I14" s="616"/>
      <c r="J14" s="616"/>
    </row>
    <row r="15" spans="1:13" x14ac:dyDescent="0.45">
      <c r="B15" s="308"/>
      <c r="C15" s="425"/>
      <c r="D15" s="308"/>
      <c r="E15" s="426"/>
      <c r="F15" s="308"/>
      <c r="G15" s="308"/>
      <c r="H15" s="589" t="s">
        <v>317</v>
      </c>
      <c r="I15" s="589"/>
      <c r="J15" s="589"/>
      <c r="K15" s="428" t="s">
        <v>471</v>
      </c>
    </row>
    <row r="16" spans="1:13" ht="63.6" customHeight="1" x14ac:dyDescent="0.45">
      <c r="B16" s="616" t="s">
        <v>318</v>
      </c>
      <c r="C16" s="616"/>
      <c r="D16" s="616"/>
      <c r="E16" s="616"/>
      <c r="F16" s="616"/>
      <c r="G16" s="616"/>
      <c r="H16" s="616"/>
      <c r="I16" s="616"/>
      <c r="J16" s="616"/>
      <c r="K16" s="257"/>
    </row>
    <row r="17" spans="2:11" ht="15" customHeight="1" x14ac:dyDescent="0.45">
      <c r="C17" s="430"/>
      <c r="D17" s="430"/>
      <c r="E17" s="430"/>
      <c r="F17" s="430"/>
      <c r="G17" s="430"/>
      <c r="H17" s="621" t="s">
        <v>319</v>
      </c>
      <c r="I17" s="621"/>
      <c r="J17" s="621"/>
      <c r="K17" s="428" t="s">
        <v>472</v>
      </c>
    </row>
    <row r="18" spans="2:11" ht="65.45" customHeight="1" x14ac:dyDescent="0.45">
      <c r="B18" s="616" t="s">
        <v>320</v>
      </c>
      <c r="C18" s="616"/>
      <c r="D18" s="616"/>
      <c r="E18" s="616"/>
      <c r="F18" s="616"/>
      <c r="G18" s="616"/>
      <c r="H18" s="616"/>
      <c r="I18" s="616"/>
      <c r="J18" s="616"/>
    </row>
    <row r="19" spans="2:11" x14ac:dyDescent="0.45">
      <c r="B19" s="308"/>
      <c r="C19" s="425"/>
      <c r="D19" s="425"/>
      <c r="E19" s="426"/>
      <c r="F19" s="308"/>
      <c r="G19" s="308"/>
      <c r="H19" s="263"/>
      <c r="I19" s="263"/>
    </row>
    <row r="20" spans="2:11" x14ac:dyDescent="0.45">
      <c r="B20" s="308"/>
      <c r="C20" s="425"/>
      <c r="D20" s="425"/>
      <c r="E20" s="426"/>
      <c r="F20" s="308"/>
      <c r="G20" s="308"/>
      <c r="H20" s="589" t="s">
        <v>205</v>
      </c>
      <c r="I20" s="589"/>
      <c r="J20" s="589"/>
      <c r="K20" s="428" t="s">
        <v>473</v>
      </c>
    </row>
    <row r="21" spans="2:11" ht="65.45" customHeight="1" x14ac:dyDescent="0.45">
      <c r="B21" s="616" t="s">
        <v>321</v>
      </c>
      <c r="C21" s="616"/>
      <c r="D21" s="616"/>
      <c r="E21" s="616"/>
      <c r="F21" s="616"/>
      <c r="G21" s="616"/>
      <c r="H21" s="616"/>
      <c r="I21" s="616"/>
      <c r="J21" s="616"/>
    </row>
    <row r="22" spans="2:11" ht="15.75" hidden="1" customHeight="1" x14ac:dyDescent="0.45">
      <c r="B22" s="308"/>
      <c r="C22" s="425"/>
      <c r="D22" s="425"/>
      <c r="E22" s="426"/>
      <c r="F22" s="308"/>
      <c r="G22" s="308"/>
      <c r="H22" s="588" t="s">
        <v>322</v>
      </c>
      <c r="I22" s="588"/>
      <c r="J22" s="588"/>
    </row>
    <row r="23" spans="2:11" ht="15.75" hidden="1" customHeight="1" x14ac:dyDescent="0.45">
      <c r="B23" s="308"/>
      <c r="C23" s="425"/>
      <c r="D23" s="425"/>
      <c r="E23" s="426"/>
      <c r="F23" s="308"/>
      <c r="G23" s="308"/>
      <c r="H23" s="588" t="s">
        <v>323</v>
      </c>
      <c r="I23" s="588"/>
      <c r="J23" s="588"/>
      <c r="K23" s="263" t="s">
        <v>324</v>
      </c>
    </row>
    <row r="24" spans="2:11" ht="34.9" hidden="1" customHeight="1" x14ac:dyDescent="0.45">
      <c r="B24" s="616" t="s">
        <v>325</v>
      </c>
      <c r="C24" s="616"/>
      <c r="D24" s="616"/>
      <c r="E24" s="616"/>
      <c r="F24" s="616"/>
      <c r="G24" s="616"/>
      <c r="H24" s="616"/>
      <c r="I24" s="616"/>
      <c r="J24" s="616"/>
      <c r="K24" s="263"/>
    </row>
    <row r="25" spans="2:11" ht="10.5" hidden="1" customHeight="1" x14ac:dyDescent="0.45">
      <c r="B25" s="431"/>
      <c r="C25" s="431"/>
      <c r="D25" s="431"/>
      <c r="E25" s="431"/>
      <c r="F25" s="431"/>
      <c r="G25" s="431"/>
      <c r="H25" s="431"/>
      <c r="I25" s="431"/>
      <c r="J25" s="431"/>
      <c r="K25" s="263"/>
    </row>
    <row r="26" spans="2:11" ht="15.75" hidden="1" customHeight="1" x14ac:dyDescent="0.45">
      <c r="B26" s="308"/>
      <c r="C26" s="425"/>
      <c r="D26" s="425"/>
      <c r="E26" s="426"/>
      <c r="F26" s="308"/>
      <c r="G26" s="308"/>
      <c r="H26" s="588" t="s">
        <v>326</v>
      </c>
      <c r="I26" s="588"/>
      <c r="J26" s="588"/>
      <c r="K26" s="263" t="s">
        <v>327</v>
      </c>
    </row>
    <row r="27" spans="2:11" ht="19.899999999999999" hidden="1" customHeight="1" x14ac:dyDescent="0.45">
      <c r="B27" s="616" t="s">
        <v>328</v>
      </c>
      <c r="C27" s="616"/>
      <c r="D27" s="616"/>
      <c r="E27" s="616"/>
      <c r="F27" s="616"/>
      <c r="G27" s="616"/>
      <c r="H27" s="616"/>
      <c r="I27" s="616"/>
      <c r="J27" s="616"/>
    </row>
    <row r="28" spans="2:11" ht="15.75" hidden="1" customHeight="1" x14ac:dyDescent="0.45">
      <c r="B28" s="616"/>
      <c r="C28" s="616"/>
      <c r="D28" s="616"/>
      <c r="E28" s="616"/>
      <c r="F28" s="616"/>
      <c r="G28" s="616"/>
      <c r="H28" s="616"/>
      <c r="I28" s="616"/>
      <c r="J28" s="616"/>
    </row>
    <row r="29" spans="2:11" ht="43.9" hidden="1" customHeight="1" x14ac:dyDescent="0.45">
      <c r="B29" s="616"/>
      <c r="C29" s="616"/>
      <c r="D29" s="616"/>
      <c r="E29" s="616"/>
      <c r="F29" s="616"/>
      <c r="G29" s="616"/>
      <c r="H29" s="616"/>
      <c r="I29" s="616"/>
      <c r="J29" s="616"/>
    </row>
    <row r="30" spans="2:11" ht="43.9" hidden="1" customHeight="1" x14ac:dyDescent="0.45">
      <c r="B30" s="257"/>
      <c r="C30" s="257"/>
      <c r="D30" s="257"/>
      <c r="E30" s="257"/>
      <c r="F30" s="257"/>
      <c r="G30" s="257"/>
      <c r="H30" s="257"/>
      <c r="I30" s="257"/>
      <c r="J30" s="257"/>
    </row>
    <row r="31" spans="2:11" ht="43.9" hidden="1" customHeight="1" x14ac:dyDescent="0.45">
      <c r="B31" s="257"/>
      <c r="C31" s="257"/>
      <c r="D31" s="257"/>
      <c r="E31" s="257"/>
      <c r="F31" s="257"/>
      <c r="G31" s="257"/>
      <c r="H31" s="257"/>
      <c r="I31" s="257"/>
      <c r="J31" s="257"/>
    </row>
    <row r="32" spans="2:11" ht="43.9" hidden="1" customHeight="1" x14ac:dyDescent="0.45">
      <c r="B32" s="257"/>
      <c r="C32" s="257"/>
      <c r="D32" s="257"/>
      <c r="E32" s="257"/>
      <c r="F32" s="257"/>
      <c r="G32" s="257"/>
      <c r="H32" s="257"/>
      <c r="I32" s="257"/>
      <c r="J32" s="257"/>
    </row>
    <row r="33" spans="2:11" ht="43.9" customHeight="1" x14ac:dyDescent="0.45">
      <c r="B33" s="257"/>
      <c r="C33" s="257"/>
      <c r="D33" s="257"/>
      <c r="E33" s="257"/>
      <c r="F33" s="257"/>
      <c r="G33" s="257"/>
      <c r="H33" s="257"/>
      <c r="I33" s="257"/>
      <c r="J33" s="257"/>
    </row>
    <row r="34" spans="2:11" ht="21" customHeight="1" x14ac:dyDescent="0.45"/>
    <row r="35" spans="2:11" x14ac:dyDescent="0.45">
      <c r="B35" s="612" t="str">
        <f>"-"&amp;SUM(Index!I10:I16)&amp;"-"</f>
        <v>-10-</v>
      </c>
      <c r="C35" s="612"/>
      <c r="D35" s="612"/>
      <c r="E35" s="612"/>
      <c r="F35" s="612"/>
      <c r="G35" s="612"/>
      <c r="H35" s="612"/>
      <c r="I35" s="612"/>
      <c r="J35" s="612"/>
      <c r="K35" s="612"/>
    </row>
    <row r="36" spans="2:11" x14ac:dyDescent="0.45">
      <c r="C36" s="275"/>
      <c r="H36" s="276"/>
      <c r="K36" s="254"/>
    </row>
    <row r="37" spans="2:11" x14ac:dyDescent="0.45">
      <c r="C37" s="277"/>
      <c r="H37" s="276"/>
      <c r="J37" s="270"/>
    </row>
    <row r="38" spans="2:11" x14ac:dyDescent="0.45">
      <c r="C38" s="277"/>
      <c r="H38" s="276"/>
      <c r="K38" s="307"/>
    </row>
    <row r="39" spans="2:11" x14ac:dyDescent="0.45">
      <c r="C39" s="277"/>
      <c r="H39" s="276"/>
      <c r="K39" s="307"/>
    </row>
    <row r="40" spans="2:11" x14ac:dyDescent="0.45">
      <c r="C40" s="277"/>
      <c r="H40" s="276"/>
      <c r="K40" s="307"/>
    </row>
    <row r="41" spans="2:11" x14ac:dyDescent="0.45">
      <c r="C41" s="275"/>
      <c r="H41" s="276"/>
    </row>
    <row r="42" spans="2:11" x14ac:dyDescent="0.45">
      <c r="C42" s="275"/>
      <c r="H42" s="278"/>
      <c r="J42" s="279"/>
    </row>
    <row r="43" spans="2:11" x14ac:dyDescent="0.45">
      <c r="C43" s="275"/>
      <c r="H43" s="276"/>
      <c r="J43" s="279"/>
    </row>
  </sheetData>
  <mergeCells count="23">
    <mergeCell ref="B35:K35"/>
    <mergeCell ref="B1:K1"/>
    <mergeCell ref="B2:K2"/>
    <mergeCell ref="B3:K3"/>
    <mergeCell ref="B4:K4"/>
    <mergeCell ref="B5:K5"/>
    <mergeCell ref="H12:J12"/>
    <mergeCell ref="H20:J20"/>
    <mergeCell ref="B24:J24"/>
    <mergeCell ref="H26:J26"/>
    <mergeCell ref="B27:J29"/>
    <mergeCell ref="H15:J15"/>
    <mergeCell ref="B9:J9"/>
    <mergeCell ref="B13:J13"/>
    <mergeCell ref="B14:J14"/>
    <mergeCell ref="H22:J22"/>
    <mergeCell ref="H23:J23"/>
    <mergeCell ref="B21:J21"/>
    <mergeCell ref="H10:J10"/>
    <mergeCell ref="B11:J11"/>
    <mergeCell ref="B16:J16"/>
    <mergeCell ref="B18:J18"/>
    <mergeCell ref="H17:J17"/>
  </mergeCells>
  <phoneticPr fontId="0" type="noConversion"/>
  <printOptions horizontalCentered="1"/>
  <pageMargins left="0" right="0.43307086614173229" top="0.51181102362204722" bottom="0" header="0" footer="0"/>
  <pageSetup scale="82" orientation="portrait" r:id="rId1"/>
  <headerFooter alignWithMargins="0"/>
  <customProperties>
    <customPr name="ExcelFSM_AdjustedButtonPressed" r:id="rId2"/>
    <customPr name="ExcelFSM_DetailsButtonPresse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C758-3E0F-4A14-BDF2-57B839EBFE30}">
  <dimension ref="A1:P70"/>
  <sheetViews>
    <sheetView rightToLeft="1" view="pageBreakPreview" zoomScaleSheetLayoutView="100" workbookViewId="0">
      <selection activeCell="B8" sqref="B8:J8"/>
    </sheetView>
  </sheetViews>
  <sheetFormatPr defaultColWidth="9.140625" defaultRowHeight="15.75" x14ac:dyDescent="0.25"/>
  <cols>
    <col min="1" max="1" width="5.5703125" style="173" customWidth="1"/>
    <col min="2" max="2" width="15.7109375" style="173" customWidth="1"/>
    <col min="3" max="3" width="2.42578125" style="188" customWidth="1"/>
    <col min="4" max="4" width="12.42578125" style="173" customWidth="1"/>
    <col min="5" max="5" width="2.85546875" style="173" customWidth="1"/>
    <col min="6" max="6" width="13.5703125" style="173" customWidth="1"/>
    <col min="7" max="7" width="3" style="173" customWidth="1"/>
    <col min="8" max="8" width="13.7109375" style="173" bestFit="1" customWidth="1"/>
    <col min="9" max="9" width="1.42578125" style="188" customWidth="1"/>
    <col min="10" max="10" width="12.42578125" style="173" customWidth="1"/>
    <col min="11" max="11" width="1.28515625" style="173" customWidth="1"/>
    <col min="12" max="12" width="13.5703125" style="173" customWidth="1"/>
    <col min="13" max="13" width="8.7109375" style="173" customWidth="1"/>
    <col min="14" max="14" width="10.140625" style="173" customWidth="1"/>
    <col min="15" max="15" width="12.7109375" style="173" customWidth="1"/>
    <col min="16" max="16" width="15.42578125" style="189" customWidth="1"/>
    <col min="17" max="16384" width="9.140625" style="173"/>
  </cols>
  <sheetData>
    <row r="1" spans="1:16" x14ac:dyDescent="0.25">
      <c r="A1" s="623">
        <f>Cover!A14</f>
        <v>0</v>
      </c>
      <c r="B1" s="623"/>
      <c r="C1" s="623"/>
      <c r="D1" s="623"/>
      <c r="E1" s="623"/>
      <c r="F1" s="623"/>
      <c r="G1" s="623"/>
      <c r="H1" s="623"/>
      <c r="I1" s="623"/>
      <c r="J1" s="623"/>
      <c r="K1" s="623"/>
      <c r="L1" s="623"/>
      <c r="M1" s="623"/>
      <c r="N1" s="623"/>
      <c r="O1" s="623"/>
      <c r="P1" s="623"/>
    </row>
    <row r="2" spans="1:16" x14ac:dyDescent="0.25">
      <c r="A2" s="623" t="str">
        <f>Cover!A15</f>
        <v>(Foreign Company – Limited Liability Company)</v>
      </c>
      <c r="B2" s="623"/>
      <c r="C2" s="623"/>
      <c r="D2" s="623"/>
      <c r="E2" s="623"/>
      <c r="F2" s="623"/>
      <c r="G2" s="623"/>
      <c r="H2" s="623"/>
      <c r="I2" s="623"/>
      <c r="J2" s="623"/>
      <c r="K2" s="623"/>
      <c r="L2" s="623"/>
      <c r="M2" s="623"/>
      <c r="N2" s="623"/>
      <c r="O2" s="623"/>
      <c r="P2" s="623"/>
    </row>
    <row r="3" spans="1:16" x14ac:dyDescent="0.25">
      <c r="A3" s="623" t="str">
        <f>Cover!A16</f>
        <v>Riyadh – Kingdom of Saudi Arabia</v>
      </c>
      <c r="B3" s="623"/>
      <c r="C3" s="623"/>
      <c r="D3" s="623"/>
      <c r="E3" s="623"/>
      <c r="F3" s="623"/>
      <c r="G3" s="623"/>
      <c r="H3" s="623"/>
      <c r="I3" s="623"/>
      <c r="J3" s="623"/>
      <c r="K3" s="623"/>
      <c r="L3" s="623"/>
      <c r="M3" s="623"/>
      <c r="N3" s="623"/>
      <c r="O3" s="623"/>
      <c r="P3" s="623"/>
    </row>
    <row r="4" spans="1:16" x14ac:dyDescent="0.25">
      <c r="A4" s="623" t="str">
        <f>'1'!B4</f>
        <v>NOTES TO THE FINANCIAL STATEMENTS FOR PERIOD  ENDED31December2024</v>
      </c>
      <c r="B4" s="623"/>
      <c r="C4" s="623"/>
      <c r="D4" s="623"/>
      <c r="E4" s="623"/>
      <c r="F4" s="623"/>
      <c r="G4" s="623"/>
      <c r="H4" s="623"/>
      <c r="I4" s="623"/>
      <c r="J4" s="623"/>
      <c r="K4" s="623"/>
      <c r="L4" s="623"/>
      <c r="M4" s="623"/>
      <c r="N4" s="623"/>
      <c r="O4" s="623"/>
      <c r="P4" s="623"/>
    </row>
    <row r="5" spans="1:16" x14ac:dyDescent="0.25">
      <c r="A5" s="623" t="str">
        <f>'Balance Sheet'!A5</f>
        <v>(saudi riyal)</v>
      </c>
      <c r="B5" s="623"/>
      <c r="C5" s="623"/>
      <c r="D5" s="623"/>
      <c r="E5" s="623"/>
      <c r="F5" s="623"/>
      <c r="G5" s="623"/>
      <c r="H5" s="623"/>
      <c r="I5" s="623"/>
      <c r="J5" s="623"/>
      <c r="K5" s="623"/>
      <c r="L5" s="623"/>
      <c r="M5" s="623"/>
      <c r="N5" s="623"/>
      <c r="O5" s="623"/>
      <c r="P5" s="623"/>
    </row>
    <row r="6" spans="1:16" x14ac:dyDescent="0.25">
      <c r="A6" s="186"/>
      <c r="B6" s="186"/>
      <c r="C6" s="186"/>
      <c r="D6" s="186"/>
      <c r="E6" s="186"/>
      <c r="F6" s="186"/>
      <c r="G6" s="186"/>
      <c r="H6" s="186"/>
      <c r="I6" s="186"/>
      <c r="J6" s="186"/>
      <c r="K6" s="186"/>
      <c r="L6" s="186"/>
      <c r="M6" s="186"/>
    </row>
    <row r="7" spans="1:16" x14ac:dyDescent="0.25">
      <c r="B7" s="179"/>
      <c r="C7" s="180"/>
      <c r="H7" s="179"/>
      <c r="I7" s="180"/>
      <c r="P7" s="187" t="s">
        <v>300</v>
      </c>
    </row>
    <row r="8" spans="1:16" ht="9" customHeight="1" x14ac:dyDescent="0.25">
      <c r="B8" s="179"/>
      <c r="C8" s="180"/>
      <c r="H8" s="179"/>
      <c r="I8" s="180"/>
      <c r="P8" s="187"/>
    </row>
    <row r="9" spans="1:16" x14ac:dyDescent="0.25">
      <c r="A9" s="185"/>
      <c r="B9" s="185"/>
      <c r="C9" s="185"/>
      <c r="D9" s="185"/>
      <c r="E9" s="185"/>
      <c r="F9" s="185"/>
      <c r="G9" s="185"/>
      <c r="H9" s="185"/>
      <c r="I9" s="185"/>
      <c r="J9" s="185"/>
      <c r="K9" s="185"/>
      <c r="L9" s="185"/>
      <c r="M9" s="193"/>
      <c r="P9" s="226" t="s">
        <v>301</v>
      </c>
    </row>
    <row r="10" spans="1:16" x14ac:dyDescent="0.25">
      <c r="A10" s="185"/>
      <c r="C10" s="185"/>
      <c r="D10" s="185"/>
      <c r="E10" s="185"/>
      <c r="F10" s="185"/>
      <c r="G10" s="185"/>
      <c r="H10" s="185"/>
      <c r="I10" s="185"/>
      <c r="J10" s="185"/>
      <c r="K10" s="185"/>
      <c r="L10" s="185"/>
      <c r="M10" s="193"/>
      <c r="P10" s="226" t="s">
        <v>302</v>
      </c>
    </row>
    <row r="11" spans="1:16" x14ac:dyDescent="0.25">
      <c r="A11" s="185"/>
      <c r="B11" s="206"/>
      <c r="C11" s="206"/>
      <c r="D11" s="227" t="s">
        <v>307</v>
      </c>
      <c r="E11" s="206"/>
      <c r="F11" s="228"/>
      <c r="G11" s="206"/>
      <c r="H11" s="206"/>
      <c r="I11" s="206"/>
      <c r="J11" s="204" t="s">
        <v>308</v>
      </c>
      <c r="K11" s="206"/>
      <c r="L11" s="227"/>
      <c r="M11" s="229"/>
    </row>
    <row r="12" spans="1:16" ht="9.75" customHeight="1" x14ac:dyDescent="0.25">
      <c r="B12" s="179"/>
      <c r="C12" s="180"/>
      <c r="F12" s="208"/>
      <c r="H12" s="179"/>
      <c r="I12" s="180"/>
      <c r="L12" s="208"/>
    </row>
    <row r="13" spans="1:16" ht="32.25" thickBot="1" x14ac:dyDescent="0.3">
      <c r="B13" s="209" t="s">
        <v>305</v>
      </c>
      <c r="C13" s="203"/>
      <c r="D13" s="205" t="s">
        <v>304</v>
      </c>
      <c r="E13" s="174"/>
      <c r="F13" s="205" t="s">
        <v>303</v>
      </c>
      <c r="G13" s="174"/>
      <c r="H13" s="209" t="s">
        <v>305</v>
      </c>
      <c r="I13" s="203"/>
      <c r="J13" s="205" t="s">
        <v>304</v>
      </c>
      <c r="K13" s="174"/>
      <c r="L13" s="205" t="s">
        <v>303</v>
      </c>
      <c r="M13" s="210" t="s">
        <v>175</v>
      </c>
    </row>
    <row r="14" spans="1:16" ht="15.75" customHeight="1" x14ac:dyDescent="0.25">
      <c r="B14" s="176"/>
      <c r="C14" s="176"/>
      <c r="D14" s="176"/>
      <c r="E14" s="176"/>
      <c r="F14" s="176"/>
      <c r="G14" s="176"/>
      <c r="H14" s="176"/>
      <c r="I14" s="176"/>
      <c r="J14" s="176"/>
      <c r="K14" s="176"/>
      <c r="L14" s="176"/>
      <c r="M14" s="213"/>
      <c r="N14" s="183"/>
      <c r="O14" s="183"/>
      <c r="P14" s="230" t="s">
        <v>334</v>
      </c>
    </row>
    <row r="15" spans="1:16" ht="15.75" customHeight="1" x14ac:dyDescent="0.25">
      <c r="B15" s="175">
        <f>+F15+D15</f>
        <v>4810396</v>
      </c>
      <c r="C15" s="175"/>
      <c r="D15" s="175">
        <v>0</v>
      </c>
      <c r="E15" s="175"/>
      <c r="F15" s="194">
        <v>4810396</v>
      </c>
      <c r="G15" s="175"/>
      <c r="H15" s="175">
        <f>+L15+J15</f>
        <v>3660315</v>
      </c>
      <c r="I15" s="175"/>
      <c r="J15" s="175">
        <v>0</v>
      </c>
      <c r="K15" s="175"/>
      <c r="L15" s="194">
        <v>3660315</v>
      </c>
      <c r="N15" s="183"/>
      <c r="O15" s="183"/>
      <c r="P15" s="196" t="s">
        <v>179</v>
      </c>
    </row>
    <row r="16" spans="1:16" ht="15.75" hidden="1" customHeight="1" x14ac:dyDescent="0.25">
      <c r="B16" s="175">
        <f t="shared" ref="B16:B20" si="0">+F16+D16</f>
        <v>0</v>
      </c>
      <c r="C16" s="175"/>
      <c r="D16" s="175">
        <v>0</v>
      </c>
      <c r="E16" s="175"/>
      <c r="F16" s="175">
        <v>0</v>
      </c>
      <c r="G16" s="175"/>
      <c r="H16" s="175">
        <f t="shared" ref="H16:H20" si="1">+L16+J16</f>
        <v>0</v>
      </c>
      <c r="I16" s="175"/>
      <c r="J16" s="175">
        <v>0</v>
      </c>
      <c r="K16" s="175"/>
      <c r="L16" s="175">
        <v>0</v>
      </c>
      <c r="M16" s="213"/>
      <c r="N16" s="183"/>
      <c r="O16" s="183"/>
      <c r="P16" s="196" t="s">
        <v>238</v>
      </c>
    </row>
    <row r="17" spans="2:16" ht="15.75" hidden="1" customHeight="1" x14ac:dyDescent="0.25">
      <c r="B17" s="175">
        <f t="shared" ref="B17" si="2">+F17+D17</f>
        <v>0</v>
      </c>
      <c r="C17" s="175"/>
      <c r="D17" s="175">
        <v>0</v>
      </c>
      <c r="E17" s="175"/>
      <c r="F17" s="175">
        <v>0</v>
      </c>
      <c r="G17" s="175"/>
      <c r="H17" s="175">
        <f t="shared" ref="H17" si="3">+L17+J17</f>
        <v>0</v>
      </c>
      <c r="I17" s="175"/>
      <c r="J17" s="175">
        <v>0</v>
      </c>
      <c r="K17" s="175"/>
      <c r="L17" s="175">
        <v>0</v>
      </c>
      <c r="M17" s="213"/>
      <c r="N17" s="183"/>
      <c r="O17" s="183"/>
      <c r="P17" s="196" t="s">
        <v>239</v>
      </c>
    </row>
    <row r="18" spans="2:16" ht="15.75" hidden="1" customHeight="1" x14ac:dyDescent="0.25">
      <c r="B18" s="175">
        <f t="shared" ref="B18" si="4">+F18+D18</f>
        <v>0</v>
      </c>
      <c r="C18" s="175"/>
      <c r="D18" s="175">
        <v>0</v>
      </c>
      <c r="E18" s="175"/>
      <c r="F18" s="175">
        <v>0</v>
      </c>
      <c r="G18" s="175"/>
      <c r="H18" s="175">
        <f t="shared" ref="H18" si="5">+L18+J18</f>
        <v>0</v>
      </c>
      <c r="I18" s="175"/>
      <c r="J18" s="175">
        <v>0</v>
      </c>
      <c r="K18" s="175"/>
      <c r="L18" s="175">
        <v>0</v>
      </c>
      <c r="M18" s="213"/>
      <c r="N18" s="183"/>
      <c r="O18" s="183"/>
      <c r="P18" s="196" t="s">
        <v>240</v>
      </c>
    </row>
    <row r="19" spans="2:16" ht="15.75" customHeight="1" x14ac:dyDescent="0.25">
      <c r="B19" s="175">
        <f t="shared" ref="B19" si="6">+F19+D19</f>
        <v>113674</v>
      </c>
      <c r="C19" s="175"/>
      <c r="D19" s="175">
        <v>0</v>
      </c>
      <c r="E19" s="175"/>
      <c r="F19" s="194">
        <v>113674</v>
      </c>
      <c r="G19" s="175"/>
      <c r="H19" s="175">
        <f t="shared" ref="H19" si="7">+L19+J19</f>
        <v>136120</v>
      </c>
      <c r="I19" s="175"/>
      <c r="J19" s="175">
        <v>0</v>
      </c>
      <c r="K19" s="175"/>
      <c r="L19" s="194">
        <v>136120</v>
      </c>
      <c r="M19" s="213"/>
      <c r="N19" s="183"/>
      <c r="O19" s="183"/>
      <c r="P19" s="196" t="s">
        <v>253</v>
      </c>
    </row>
    <row r="20" spans="2:16" hidden="1" x14ac:dyDescent="0.25">
      <c r="B20" s="175">
        <f t="shared" si="0"/>
        <v>0</v>
      </c>
      <c r="C20" s="175"/>
      <c r="D20" s="175">
        <v>0</v>
      </c>
      <c r="E20" s="175"/>
      <c r="F20" s="175">
        <v>0</v>
      </c>
      <c r="G20" s="175"/>
      <c r="H20" s="175">
        <f t="shared" si="1"/>
        <v>0</v>
      </c>
      <c r="I20" s="175"/>
      <c r="J20" s="175">
        <v>0</v>
      </c>
      <c r="K20" s="175"/>
      <c r="L20" s="175">
        <v>0</v>
      </c>
      <c r="M20" s="215"/>
      <c r="N20" s="183"/>
      <c r="O20" s="183"/>
      <c r="P20" s="196" t="s">
        <v>180</v>
      </c>
    </row>
    <row r="21" spans="2:16" ht="18" customHeight="1" x14ac:dyDescent="0.25">
      <c r="B21" s="199">
        <f>SUM(B15:B20)</f>
        <v>4924070</v>
      </c>
      <c r="C21" s="178"/>
      <c r="D21" s="199">
        <f>SUM(D15:D20)</f>
        <v>0</v>
      </c>
      <c r="E21" s="181"/>
      <c r="F21" s="199">
        <f>SUM(F15:F20)</f>
        <v>4924070</v>
      </c>
      <c r="G21" s="202"/>
      <c r="H21" s="199">
        <f>SUM(H15:H20)</f>
        <v>3796435</v>
      </c>
      <c r="I21" s="178"/>
      <c r="J21" s="199">
        <f>SUM(J15:J20)</f>
        <v>0</v>
      </c>
      <c r="K21" s="181"/>
      <c r="L21" s="199">
        <f>SUM(L15:L20)</f>
        <v>3796435</v>
      </c>
      <c r="M21" s="215"/>
      <c r="N21" s="183"/>
      <c r="O21" s="183"/>
      <c r="P21" s="192" t="s">
        <v>181</v>
      </c>
    </row>
    <row r="22" spans="2:16" ht="18" customHeight="1" x14ac:dyDescent="0.25">
      <c r="B22" s="181"/>
      <c r="C22" s="178"/>
      <c r="D22" s="181"/>
      <c r="E22" s="181"/>
      <c r="F22" s="178"/>
      <c r="G22" s="202"/>
      <c r="H22" s="181"/>
      <c r="I22" s="178"/>
      <c r="J22" s="181"/>
      <c r="K22" s="181"/>
      <c r="L22" s="178"/>
      <c r="M22" s="215"/>
      <c r="N22" s="183"/>
      <c r="O22" s="183"/>
      <c r="P22" s="196"/>
    </row>
    <row r="23" spans="2:16" ht="18" customHeight="1" x14ac:dyDescent="0.25">
      <c r="B23" s="181"/>
      <c r="C23" s="178"/>
      <c r="D23" s="175"/>
      <c r="E23" s="202"/>
      <c r="F23" s="178"/>
      <c r="G23" s="202"/>
      <c r="H23" s="181"/>
      <c r="I23" s="178"/>
      <c r="J23" s="175"/>
      <c r="K23" s="202"/>
      <c r="L23" s="178"/>
      <c r="M23" s="215"/>
      <c r="O23" s="182"/>
      <c r="P23" s="230" t="s">
        <v>182</v>
      </c>
    </row>
    <row r="24" spans="2:16" ht="18" customHeight="1" x14ac:dyDescent="0.25">
      <c r="B24" s="175">
        <f t="shared" ref="B24:B29" si="8">+F24+D24</f>
        <v>3622948</v>
      </c>
      <c r="C24" s="178"/>
      <c r="D24" s="175">
        <v>0</v>
      </c>
      <c r="E24" s="181"/>
      <c r="F24" s="194">
        <v>3622948</v>
      </c>
      <c r="G24" s="202"/>
      <c r="H24" s="175">
        <f t="shared" ref="H24:H29" si="9">+L24+J24</f>
        <v>3557557</v>
      </c>
      <c r="I24" s="178"/>
      <c r="J24" s="175">
        <v>0</v>
      </c>
      <c r="K24" s="181"/>
      <c r="L24" s="194">
        <v>3557557</v>
      </c>
      <c r="M24" s="215"/>
      <c r="N24" s="182"/>
      <c r="O24" s="182"/>
      <c r="P24" s="196" t="s">
        <v>183</v>
      </c>
    </row>
    <row r="25" spans="2:16" hidden="1" x14ac:dyDescent="0.25">
      <c r="B25" s="175">
        <f t="shared" si="8"/>
        <v>0</v>
      </c>
      <c r="C25" s="178"/>
      <c r="D25" s="175">
        <v>0</v>
      </c>
      <c r="E25" s="181"/>
      <c r="F25" s="194"/>
      <c r="G25" s="202"/>
      <c r="H25" s="175">
        <f t="shared" si="9"/>
        <v>0</v>
      </c>
      <c r="I25" s="178"/>
      <c r="J25" s="175">
        <v>0</v>
      </c>
      <c r="K25" s="181"/>
      <c r="L25" s="194"/>
      <c r="M25" s="215"/>
      <c r="N25" s="182"/>
      <c r="O25" s="182"/>
      <c r="P25" s="196" t="s">
        <v>184</v>
      </c>
    </row>
    <row r="26" spans="2:16" x14ac:dyDescent="0.25">
      <c r="B26" s="175">
        <f t="shared" si="8"/>
        <v>188703</v>
      </c>
      <c r="C26" s="178"/>
      <c r="D26" s="175">
        <v>0</v>
      </c>
      <c r="E26" s="181"/>
      <c r="F26" s="194">
        <v>188703</v>
      </c>
      <c r="G26" s="202"/>
      <c r="H26" s="175">
        <f t="shared" si="9"/>
        <v>210297</v>
      </c>
      <c r="I26" s="178"/>
      <c r="J26" s="175">
        <v>0</v>
      </c>
      <c r="K26" s="181"/>
      <c r="L26" s="194">
        <v>210297</v>
      </c>
      <c r="M26" s="215"/>
      <c r="N26" s="183"/>
      <c r="O26" s="183"/>
      <c r="P26" s="196" t="s">
        <v>185</v>
      </c>
    </row>
    <row r="27" spans="2:16" ht="15.75" hidden="1" customHeight="1" x14ac:dyDescent="0.25">
      <c r="B27" s="175">
        <f t="shared" si="8"/>
        <v>0</v>
      </c>
      <c r="C27" s="178"/>
      <c r="D27" s="175">
        <v>0</v>
      </c>
      <c r="E27" s="181"/>
      <c r="F27" s="194"/>
      <c r="G27" s="202"/>
      <c r="H27" s="175">
        <f t="shared" si="9"/>
        <v>0</v>
      </c>
      <c r="I27" s="178"/>
      <c r="J27" s="175">
        <v>0</v>
      </c>
      <c r="K27" s="181"/>
      <c r="L27" s="194"/>
      <c r="M27" s="215"/>
      <c r="N27" s="183"/>
      <c r="O27" s="183"/>
      <c r="P27" s="196" t="s">
        <v>233</v>
      </c>
    </row>
    <row r="28" spans="2:16" ht="15.75" hidden="1" customHeight="1" x14ac:dyDescent="0.25">
      <c r="B28" s="175">
        <f t="shared" si="8"/>
        <v>0</v>
      </c>
      <c r="C28" s="178"/>
      <c r="D28" s="175">
        <v>0</v>
      </c>
      <c r="E28" s="181"/>
      <c r="F28" s="194"/>
      <c r="G28" s="202"/>
      <c r="H28" s="175">
        <f t="shared" si="9"/>
        <v>0</v>
      </c>
      <c r="I28" s="178"/>
      <c r="J28" s="175">
        <v>0</v>
      </c>
      <c r="K28" s="181"/>
      <c r="L28" s="194"/>
      <c r="M28" s="215"/>
      <c r="N28" s="183"/>
      <c r="O28" s="183"/>
      <c r="P28" s="196" t="s">
        <v>232</v>
      </c>
    </row>
    <row r="29" spans="2:16" ht="15.75" customHeight="1" x14ac:dyDescent="0.25">
      <c r="B29" s="175">
        <f t="shared" si="8"/>
        <v>13799</v>
      </c>
      <c r="C29" s="178"/>
      <c r="D29" s="175">
        <v>0</v>
      </c>
      <c r="E29" s="181"/>
      <c r="F29" s="194">
        <v>13799</v>
      </c>
      <c r="G29" s="202"/>
      <c r="H29" s="175">
        <f t="shared" si="9"/>
        <v>44504</v>
      </c>
      <c r="I29" s="178"/>
      <c r="J29" s="175">
        <v>0</v>
      </c>
      <c r="K29" s="181"/>
      <c r="L29" s="194">
        <v>44504</v>
      </c>
      <c r="M29" s="215"/>
      <c r="N29" s="182"/>
      <c r="O29" s="182"/>
      <c r="P29" s="196" t="s">
        <v>186</v>
      </c>
    </row>
    <row r="30" spans="2:16" ht="15.75" customHeight="1" x14ac:dyDescent="0.25">
      <c r="B30" s="199">
        <f>SUM(B24:B29)</f>
        <v>3825450</v>
      </c>
      <c r="C30" s="178"/>
      <c r="D30" s="199">
        <f>SUM(D24:D29)</f>
        <v>0</v>
      </c>
      <c r="E30" s="181"/>
      <c r="F30" s="199">
        <f>SUM(F24:F29)</f>
        <v>3825450</v>
      </c>
      <c r="G30" s="202"/>
      <c r="H30" s="199">
        <f>SUM(H24:H29)</f>
        <v>3812358</v>
      </c>
      <c r="I30" s="178"/>
      <c r="J30" s="199">
        <f>SUM(J24:J29)</f>
        <v>0</v>
      </c>
      <c r="K30" s="181"/>
      <c r="L30" s="199">
        <f>SUM(L24:L29)</f>
        <v>3812358</v>
      </c>
      <c r="M30" s="215"/>
      <c r="N30" s="183"/>
      <c r="O30" s="183"/>
      <c r="P30" s="192" t="s">
        <v>187</v>
      </c>
    </row>
    <row r="31" spans="2:16" ht="15.75" customHeight="1" thickBot="1" x14ac:dyDescent="0.3">
      <c r="B31" s="198">
        <f>B21+B30</f>
        <v>8749520</v>
      </c>
      <c r="C31" s="178"/>
      <c r="D31" s="198">
        <f>D21+D30</f>
        <v>0</v>
      </c>
      <c r="E31" s="181"/>
      <c r="F31" s="198">
        <f>F21+F30</f>
        <v>8749520</v>
      </c>
      <c r="G31" s="202"/>
      <c r="H31" s="198">
        <f>H21+H30</f>
        <v>7608793</v>
      </c>
      <c r="I31" s="178"/>
      <c r="J31" s="198">
        <f>J21+J30</f>
        <v>0</v>
      </c>
      <c r="K31" s="181"/>
      <c r="L31" s="198">
        <f>L21+L30</f>
        <v>7608793</v>
      </c>
      <c r="M31" s="215"/>
      <c r="N31" s="183"/>
      <c r="O31" s="183"/>
      <c r="P31" s="192" t="s">
        <v>188</v>
      </c>
    </row>
    <row r="32" spans="2:16" ht="15.75" customHeight="1" thickTop="1" x14ac:dyDescent="0.25">
      <c r="B32" s="181"/>
      <c r="C32" s="178"/>
      <c r="D32" s="181"/>
      <c r="E32" s="181"/>
      <c r="F32" s="178"/>
      <c r="G32" s="202"/>
      <c r="H32" s="181"/>
      <c r="I32" s="178"/>
      <c r="J32" s="181"/>
      <c r="K32" s="181"/>
      <c r="L32" s="178"/>
      <c r="M32" s="215"/>
      <c r="N32" s="183"/>
      <c r="O32" s="183"/>
      <c r="P32" s="192"/>
    </row>
    <row r="33" spans="2:16" x14ac:dyDescent="0.25">
      <c r="B33" s="181"/>
      <c r="C33" s="178"/>
      <c r="D33" s="181"/>
      <c r="E33" s="181"/>
      <c r="F33" s="178"/>
      <c r="G33" s="202"/>
      <c r="H33" s="181"/>
      <c r="I33" s="178"/>
      <c r="J33" s="181"/>
      <c r="K33" s="181"/>
      <c r="L33" s="178"/>
      <c r="M33" s="215"/>
      <c r="N33" s="174"/>
      <c r="O33" s="174"/>
      <c r="P33" s="230" t="s">
        <v>189</v>
      </c>
    </row>
    <row r="34" spans="2:16" ht="15.75" customHeight="1" x14ac:dyDescent="0.25">
      <c r="B34" s="181"/>
      <c r="C34" s="178"/>
      <c r="D34" s="181"/>
      <c r="E34" s="181"/>
      <c r="F34" s="178"/>
      <c r="G34" s="202"/>
      <c r="H34" s="181"/>
      <c r="I34" s="178"/>
      <c r="J34" s="181"/>
      <c r="K34" s="181"/>
      <c r="L34" s="178"/>
      <c r="M34" s="215"/>
      <c r="N34" s="174"/>
      <c r="O34" s="174"/>
      <c r="P34" s="230" t="s">
        <v>190</v>
      </c>
    </row>
    <row r="35" spans="2:16" ht="15.75" customHeight="1" x14ac:dyDescent="0.25">
      <c r="B35" s="175">
        <f>+F35+D35</f>
        <v>10000000</v>
      </c>
      <c r="C35" s="178"/>
      <c r="D35" s="175">
        <v>0</v>
      </c>
      <c r="E35" s="181"/>
      <c r="F35" s="194">
        <v>10000000</v>
      </c>
      <c r="G35" s="202"/>
      <c r="H35" s="175">
        <f>+L35+J35</f>
        <v>10000000</v>
      </c>
      <c r="I35" s="178"/>
      <c r="J35" s="175">
        <v>0</v>
      </c>
      <c r="K35" s="181"/>
      <c r="L35" s="194">
        <v>10000000</v>
      </c>
      <c r="M35" s="215"/>
      <c r="N35" s="174"/>
      <c r="O35" s="174"/>
      <c r="P35" s="196" t="s">
        <v>191</v>
      </c>
    </row>
    <row r="36" spans="2:16" ht="15.75" hidden="1" customHeight="1" x14ac:dyDescent="0.25">
      <c r="B36" s="175">
        <f t="shared" ref="B36:B37" si="10">+F36+D36</f>
        <v>0</v>
      </c>
      <c r="C36" s="178"/>
      <c r="D36" s="175">
        <v>0</v>
      </c>
      <c r="E36" s="181"/>
      <c r="F36" s="194"/>
      <c r="G36" s="202"/>
      <c r="H36" s="175">
        <f t="shared" ref="H36:H37" si="11">+L36+J36</f>
        <v>0</v>
      </c>
      <c r="I36" s="178"/>
      <c r="J36" s="175">
        <v>0</v>
      </c>
      <c r="K36" s="181"/>
      <c r="L36" s="194"/>
      <c r="M36" s="215"/>
      <c r="N36" s="174"/>
      <c r="O36" s="174"/>
      <c r="P36" s="196" t="s">
        <v>192</v>
      </c>
    </row>
    <row r="37" spans="2:16" x14ac:dyDescent="0.25">
      <c r="B37" s="175">
        <f t="shared" si="10"/>
        <v>-7784438</v>
      </c>
      <c r="C37" s="178"/>
      <c r="D37" s="175">
        <v>0</v>
      </c>
      <c r="E37" s="181"/>
      <c r="F37" s="200">
        <v>-7784438</v>
      </c>
      <c r="G37" s="202"/>
      <c r="H37" s="175">
        <f t="shared" si="11"/>
        <v>-10509615</v>
      </c>
      <c r="I37" s="178"/>
      <c r="J37" s="200">
        <v>-2325</v>
      </c>
      <c r="K37" s="181"/>
      <c r="L37" s="200">
        <v>-10507290</v>
      </c>
      <c r="M37" s="214" t="s">
        <v>306</v>
      </c>
      <c r="N37" s="174"/>
      <c r="O37" s="174"/>
      <c r="P37" s="196" t="s">
        <v>388</v>
      </c>
    </row>
    <row r="38" spans="2:16" x14ac:dyDescent="0.25">
      <c r="B38" s="199">
        <f>SUM(B35:B37)</f>
        <v>2215562</v>
      </c>
      <c r="C38" s="178"/>
      <c r="D38" s="199">
        <f>SUM(D35:D37)</f>
        <v>0</v>
      </c>
      <c r="E38" s="181"/>
      <c r="F38" s="199">
        <f>SUM(F35:F37)</f>
        <v>2215562</v>
      </c>
      <c r="G38" s="202"/>
      <c r="H38" s="199">
        <f>SUM(H35:H37)</f>
        <v>-509615</v>
      </c>
      <c r="I38" s="178"/>
      <c r="J38" s="199">
        <f>SUM(J35:J37)</f>
        <v>-2325</v>
      </c>
      <c r="K38" s="181"/>
      <c r="L38" s="199">
        <f>SUM(L35:L37)</f>
        <v>-507290</v>
      </c>
      <c r="M38" s="215"/>
      <c r="N38" s="174"/>
      <c r="O38" s="174"/>
      <c r="P38" s="192" t="s">
        <v>193</v>
      </c>
    </row>
    <row r="39" spans="2:16" ht="15.75" customHeight="1" x14ac:dyDescent="0.25">
      <c r="B39" s="181"/>
      <c r="C39" s="178"/>
      <c r="D39" s="181"/>
      <c r="E39" s="181"/>
      <c r="F39" s="178"/>
      <c r="G39" s="202"/>
      <c r="H39" s="181"/>
      <c r="I39" s="178"/>
      <c r="J39" s="181"/>
      <c r="K39" s="181"/>
      <c r="L39" s="178"/>
      <c r="M39" s="215"/>
      <c r="N39" s="174"/>
      <c r="O39" s="174"/>
      <c r="P39" s="192"/>
    </row>
    <row r="40" spans="2:16" ht="15.75" customHeight="1" x14ac:dyDescent="0.25">
      <c r="B40" s="181"/>
      <c r="C40" s="178"/>
      <c r="D40" s="181"/>
      <c r="E40" s="181"/>
      <c r="F40" s="178"/>
      <c r="G40" s="202"/>
      <c r="H40" s="181"/>
      <c r="I40" s="178"/>
      <c r="J40" s="181"/>
      <c r="K40" s="181"/>
      <c r="L40" s="178"/>
      <c r="M40" s="215"/>
      <c r="N40" s="174"/>
      <c r="O40" s="174"/>
      <c r="P40" s="230" t="s">
        <v>194</v>
      </c>
    </row>
    <row r="41" spans="2:16" ht="15.75" customHeight="1" x14ac:dyDescent="0.25">
      <c r="B41" s="175">
        <f t="shared" ref="B41:B43" si="12">+F41+D41</f>
        <v>6393646</v>
      </c>
      <c r="C41" s="178"/>
      <c r="D41" s="175">
        <v>0</v>
      </c>
      <c r="E41" s="181"/>
      <c r="F41" s="194">
        <v>6393646</v>
      </c>
      <c r="G41" s="202"/>
      <c r="H41" s="175">
        <f t="shared" ref="H41:H43" si="13">+L41+J41</f>
        <v>7767073</v>
      </c>
      <c r="I41" s="178"/>
      <c r="J41" s="175">
        <v>0</v>
      </c>
      <c r="K41" s="181"/>
      <c r="L41" s="194">
        <v>7767073</v>
      </c>
      <c r="M41" s="215"/>
      <c r="N41" s="174"/>
      <c r="O41" s="174"/>
      <c r="P41" s="196" t="s">
        <v>234</v>
      </c>
    </row>
    <row r="42" spans="2:16" x14ac:dyDescent="0.25">
      <c r="B42" s="175">
        <f t="shared" si="12"/>
        <v>25451</v>
      </c>
      <c r="C42" s="178"/>
      <c r="D42" s="175">
        <v>0</v>
      </c>
      <c r="E42" s="181"/>
      <c r="F42" s="194">
        <v>25451</v>
      </c>
      <c r="G42" s="202"/>
      <c r="H42" s="175">
        <f t="shared" si="13"/>
        <v>75374</v>
      </c>
      <c r="I42" s="178"/>
      <c r="J42" s="175">
        <v>0</v>
      </c>
      <c r="K42" s="181"/>
      <c r="L42" s="194">
        <v>75374</v>
      </c>
      <c r="M42" s="215"/>
      <c r="N42" s="174"/>
      <c r="O42" s="174"/>
      <c r="P42" s="231" t="s">
        <v>203</v>
      </c>
    </row>
    <row r="43" spans="2:16" hidden="1" x14ac:dyDescent="0.25">
      <c r="B43" s="175">
        <f t="shared" si="12"/>
        <v>0</v>
      </c>
      <c r="C43" s="178"/>
      <c r="D43" s="175">
        <v>0</v>
      </c>
      <c r="E43" s="181"/>
      <c r="F43" s="175">
        <v>0</v>
      </c>
      <c r="G43" s="202"/>
      <c r="H43" s="175">
        <f t="shared" si="13"/>
        <v>0</v>
      </c>
      <c r="I43" s="178"/>
      <c r="J43" s="175">
        <v>0</v>
      </c>
      <c r="K43" s="181"/>
      <c r="L43" s="175">
        <v>0</v>
      </c>
      <c r="M43" s="215"/>
      <c r="N43" s="174"/>
      <c r="O43" s="174"/>
      <c r="P43" s="231" t="s">
        <v>236</v>
      </c>
    </row>
    <row r="44" spans="2:16" ht="15.75" customHeight="1" x14ac:dyDescent="0.25">
      <c r="B44" s="199">
        <f>SUM(B41:B43)</f>
        <v>6419097</v>
      </c>
      <c r="C44" s="178"/>
      <c r="D44" s="199">
        <f>SUM(D41:D43)</f>
        <v>0</v>
      </c>
      <c r="E44" s="181"/>
      <c r="F44" s="199">
        <f>SUM(F41:F43)</f>
        <v>6419097</v>
      </c>
      <c r="G44" s="202"/>
      <c r="H44" s="199">
        <f>SUM(H41:H43)</f>
        <v>7842447</v>
      </c>
      <c r="I44" s="178"/>
      <c r="J44" s="199">
        <f>SUM(J41:J43)</f>
        <v>0</v>
      </c>
      <c r="K44" s="181"/>
      <c r="L44" s="199">
        <f>SUM(L41:L43)</f>
        <v>7842447</v>
      </c>
      <c r="M44" s="215"/>
      <c r="N44" s="174"/>
      <c r="O44" s="174"/>
      <c r="P44" s="192" t="s">
        <v>196</v>
      </c>
    </row>
    <row r="45" spans="2:16" ht="15.75" customHeight="1" x14ac:dyDescent="0.25">
      <c r="B45" s="202"/>
      <c r="C45" s="178"/>
      <c r="D45" s="202"/>
      <c r="E45" s="181"/>
      <c r="F45" s="178"/>
      <c r="G45" s="202"/>
      <c r="H45" s="202"/>
      <c r="I45" s="178"/>
      <c r="J45" s="202"/>
      <c r="K45" s="181"/>
      <c r="L45" s="178"/>
      <c r="M45" s="215"/>
      <c r="N45" s="174"/>
      <c r="O45" s="174"/>
      <c r="P45" s="230" t="s">
        <v>195</v>
      </c>
    </row>
    <row r="46" spans="2:16" ht="15.75" hidden="1" customHeight="1" x14ac:dyDescent="0.25">
      <c r="B46" s="175">
        <f t="shared" ref="B46:B49" si="14">+F46+D46</f>
        <v>0</v>
      </c>
      <c r="C46" s="178"/>
      <c r="D46" s="175">
        <v>0</v>
      </c>
      <c r="E46" s="181"/>
      <c r="F46" s="175">
        <v>0</v>
      </c>
      <c r="G46" s="202"/>
      <c r="H46" s="175">
        <f t="shared" ref="H46:H49" si="15">+L46+J46</f>
        <v>0</v>
      </c>
      <c r="I46" s="178"/>
      <c r="J46" s="175">
        <v>0</v>
      </c>
      <c r="K46" s="181"/>
      <c r="L46" s="175">
        <v>0</v>
      </c>
      <c r="M46" s="215"/>
      <c r="N46" s="174"/>
      <c r="O46" s="174"/>
      <c r="P46" s="196" t="s">
        <v>200</v>
      </c>
    </row>
    <row r="47" spans="2:16" ht="15.75" customHeight="1" x14ac:dyDescent="0.25">
      <c r="B47" s="175">
        <f t="shared" si="14"/>
        <v>114861</v>
      </c>
      <c r="C47" s="178"/>
      <c r="D47" s="175">
        <v>0</v>
      </c>
      <c r="E47" s="181"/>
      <c r="F47" s="194">
        <v>114861</v>
      </c>
      <c r="G47" s="202"/>
      <c r="H47" s="175">
        <f t="shared" si="15"/>
        <v>260978</v>
      </c>
      <c r="I47" s="178"/>
      <c r="J47" s="194">
        <v>2325</v>
      </c>
      <c r="K47" s="181"/>
      <c r="L47" s="194">
        <v>258653</v>
      </c>
      <c r="M47" s="214" t="s">
        <v>306</v>
      </c>
      <c r="N47" s="174"/>
      <c r="O47" s="174"/>
      <c r="P47" s="196" t="s">
        <v>201</v>
      </c>
    </row>
    <row r="48" spans="2:16" ht="15.75" hidden="1" customHeight="1" x14ac:dyDescent="0.25">
      <c r="B48" s="175">
        <f t="shared" si="14"/>
        <v>0</v>
      </c>
      <c r="C48" s="178"/>
      <c r="D48" s="175">
        <v>0</v>
      </c>
      <c r="E48" s="181"/>
      <c r="F48" s="194"/>
      <c r="G48" s="202"/>
      <c r="H48" s="175">
        <f t="shared" si="15"/>
        <v>0</v>
      </c>
      <c r="I48" s="178"/>
      <c r="J48" s="175"/>
      <c r="K48" s="181"/>
      <c r="L48" s="194"/>
      <c r="M48" s="215"/>
      <c r="N48" s="174"/>
      <c r="O48" s="174"/>
      <c r="P48" s="196" t="s">
        <v>237</v>
      </c>
    </row>
    <row r="49" spans="1:16" ht="15.75" customHeight="1" x14ac:dyDescent="0.25">
      <c r="B49" s="175">
        <f t="shared" si="14"/>
        <v>0</v>
      </c>
      <c r="C49" s="178"/>
      <c r="D49" s="175">
        <v>0</v>
      </c>
      <c r="E49" s="181"/>
      <c r="F49" s="194">
        <v>0</v>
      </c>
      <c r="G49" s="202"/>
      <c r="H49" s="175">
        <f t="shared" si="15"/>
        <v>14983</v>
      </c>
      <c r="I49" s="178"/>
      <c r="J49" s="175">
        <v>0</v>
      </c>
      <c r="K49" s="181"/>
      <c r="L49" s="194">
        <v>14983</v>
      </c>
      <c r="M49" s="214"/>
      <c r="N49" s="174"/>
      <c r="O49" s="174"/>
      <c r="P49" s="196" t="s">
        <v>202</v>
      </c>
    </row>
    <row r="50" spans="1:16" ht="15.75" customHeight="1" x14ac:dyDescent="0.25">
      <c r="B50" s="199">
        <f>SUM(B46:B49)</f>
        <v>114861</v>
      </c>
      <c r="C50" s="178"/>
      <c r="D50" s="199">
        <f>SUM(D46:D49)</f>
        <v>0</v>
      </c>
      <c r="E50" s="181"/>
      <c r="F50" s="199">
        <f>SUM(F46:F49)</f>
        <v>114861</v>
      </c>
      <c r="G50" s="202"/>
      <c r="H50" s="199">
        <f>SUM(H46:H49)</f>
        <v>275961</v>
      </c>
      <c r="I50" s="178"/>
      <c r="J50" s="199">
        <f>SUM(J46:J49)</f>
        <v>2325</v>
      </c>
      <c r="K50" s="181"/>
      <c r="L50" s="199">
        <f>SUM(L46:L49)</f>
        <v>273636</v>
      </c>
      <c r="M50" s="215"/>
      <c r="N50" s="174"/>
      <c r="O50" s="174"/>
      <c r="P50" s="192" t="s">
        <v>197</v>
      </c>
    </row>
    <row r="51" spans="1:16" x14ac:dyDescent="0.25">
      <c r="B51" s="199">
        <f>B50+B44</f>
        <v>6533958</v>
      </c>
      <c r="C51" s="178"/>
      <c r="D51" s="199">
        <f>D50+D44</f>
        <v>0</v>
      </c>
      <c r="E51" s="178"/>
      <c r="F51" s="199">
        <f>F50+F44</f>
        <v>6533958</v>
      </c>
      <c r="G51" s="202"/>
      <c r="H51" s="199">
        <f>H50+H44</f>
        <v>8118408</v>
      </c>
      <c r="I51" s="178"/>
      <c r="J51" s="199">
        <f>J50+J44</f>
        <v>2325</v>
      </c>
      <c r="K51" s="178"/>
      <c r="L51" s="199">
        <f>L50+L44</f>
        <v>8116083</v>
      </c>
      <c r="M51" s="215"/>
      <c r="N51" s="174"/>
      <c r="O51" s="174"/>
      <c r="P51" s="192" t="s">
        <v>198</v>
      </c>
    </row>
    <row r="52" spans="1:16" ht="15.75" customHeight="1" thickBot="1" x14ac:dyDescent="0.3">
      <c r="B52" s="198">
        <f>B38+B51</f>
        <v>8749520</v>
      </c>
      <c r="C52" s="178"/>
      <c r="D52" s="198">
        <f>D38+D51</f>
        <v>0</v>
      </c>
      <c r="E52" s="181"/>
      <c r="F52" s="198">
        <f>F38+F51</f>
        <v>8749520</v>
      </c>
      <c r="G52" s="202"/>
      <c r="H52" s="198">
        <f>H38+H51</f>
        <v>7608793</v>
      </c>
      <c r="I52" s="178"/>
      <c r="J52" s="198">
        <f>J38+J51</f>
        <v>0</v>
      </c>
      <c r="K52" s="181"/>
      <c r="L52" s="198">
        <f>L38+L51</f>
        <v>7608793</v>
      </c>
      <c r="M52" s="213"/>
      <c r="N52" s="174"/>
      <c r="O52" s="174"/>
      <c r="P52" s="192" t="s">
        <v>199</v>
      </c>
    </row>
    <row r="53" spans="1:16" ht="15.75" customHeight="1" thickTop="1" x14ac:dyDescent="0.25">
      <c r="B53" s="197"/>
      <c r="C53" s="178"/>
      <c r="D53" s="197"/>
      <c r="E53" s="181"/>
      <c r="F53" s="197"/>
      <c r="G53" s="202"/>
      <c r="H53" s="197"/>
      <c r="I53" s="178"/>
      <c r="J53" s="197"/>
      <c r="K53" s="181"/>
      <c r="L53" s="197"/>
      <c r="M53" s="213"/>
      <c r="N53" s="174"/>
      <c r="O53" s="174"/>
      <c r="P53" s="192"/>
    </row>
    <row r="54" spans="1:16" ht="15.75" customHeight="1" x14ac:dyDescent="0.25">
      <c r="B54" s="197"/>
      <c r="C54" s="178"/>
      <c r="D54" s="197"/>
      <c r="E54" s="181"/>
      <c r="F54" s="197"/>
      <c r="G54" s="202"/>
      <c r="H54" s="197"/>
      <c r="I54" s="178"/>
      <c r="J54" s="197"/>
      <c r="K54" s="181"/>
      <c r="L54" s="197"/>
      <c r="M54" s="213"/>
      <c r="N54" s="174"/>
      <c r="O54" s="174"/>
      <c r="P54" s="192"/>
    </row>
    <row r="55" spans="1:16" ht="15.75" customHeight="1" x14ac:dyDescent="0.25">
      <c r="B55" s="197"/>
      <c r="C55" s="178"/>
      <c r="D55" s="197"/>
      <c r="E55" s="181"/>
      <c r="F55" s="197"/>
      <c r="G55" s="202"/>
      <c r="H55" s="197"/>
      <c r="I55" s="178"/>
      <c r="J55" s="197"/>
      <c r="K55" s="181"/>
      <c r="L55" s="197"/>
      <c r="M55" s="213"/>
      <c r="N55" s="174"/>
      <c r="O55" s="174"/>
      <c r="P55" s="192"/>
    </row>
    <row r="56" spans="1:16" ht="15.75" customHeight="1" x14ac:dyDescent="0.25">
      <c r="B56" s="197"/>
      <c r="C56" s="178"/>
      <c r="D56" s="197"/>
      <c r="E56" s="181"/>
      <c r="F56" s="197"/>
      <c r="G56" s="202"/>
      <c r="H56" s="197"/>
      <c r="I56" s="178"/>
      <c r="J56" s="197"/>
      <c r="K56" s="181"/>
      <c r="L56" s="197"/>
      <c r="M56" s="213"/>
      <c r="N56" s="174"/>
      <c r="O56" s="174"/>
      <c r="P56" s="192"/>
    </row>
    <row r="57" spans="1:16" ht="15.75" customHeight="1" x14ac:dyDescent="0.25">
      <c r="B57" s="197"/>
      <c r="C57" s="178"/>
      <c r="D57" s="197"/>
      <c r="E57" s="181"/>
      <c r="F57" s="197"/>
      <c r="G57" s="202"/>
      <c r="H57" s="197"/>
      <c r="I57" s="178"/>
      <c r="J57" s="197"/>
      <c r="K57" s="181"/>
      <c r="L57" s="197"/>
      <c r="M57" s="213"/>
      <c r="N57" s="174"/>
      <c r="O57" s="174"/>
      <c r="P57" s="192"/>
    </row>
    <row r="58" spans="1:16" ht="15.75" customHeight="1" x14ac:dyDescent="0.25">
      <c r="B58" s="197"/>
      <c r="C58" s="178"/>
      <c r="D58" s="197"/>
      <c r="E58" s="181"/>
      <c r="F58" s="197"/>
      <c r="G58" s="202"/>
      <c r="H58" s="197"/>
      <c r="I58" s="178"/>
      <c r="J58" s="197"/>
      <c r="K58" s="181"/>
      <c r="L58" s="197"/>
      <c r="M58" s="213"/>
      <c r="N58" s="174"/>
      <c r="O58" s="174"/>
      <c r="P58" s="192"/>
    </row>
    <row r="59" spans="1:16" ht="15.75" customHeight="1" x14ac:dyDescent="0.25">
      <c r="B59" s="197"/>
      <c r="C59" s="178"/>
      <c r="D59" s="197"/>
      <c r="E59" s="181"/>
      <c r="F59" s="197"/>
      <c r="G59" s="202"/>
      <c r="H59" s="197"/>
      <c r="I59" s="178"/>
      <c r="J59" s="197"/>
      <c r="K59" s="181"/>
      <c r="L59" s="197"/>
      <c r="M59" s="213"/>
      <c r="N59" s="174"/>
      <c r="O59" s="174"/>
      <c r="P59" s="192"/>
    </row>
    <row r="60" spans="1:16" ht="15.75" customHeight="1" x14ac:dyDescent="0.25">
      <c r="B60" s="197"/>
      <c r="C60" s="178"/>
      <c r="D60" s="197"/>
      <c r="E60" s="181"/>
      <c r="F60" s="197"/>
      <c r="G60" s="202"/>
      <c r="H60" s="197"/>
      <c r="I60" s="178"/>
      <c r="J60" s="197"/>
      <c r="K60" s="181"/>
      <c r="L60" s="197"/>
      <c r="M60" s="213"/>
      <c r="N60" s="174"/>
      <c r="O60" s="174"/>
      <c r="P60" s="192"/>
    </row>
    <row r="61" spans="1:16" ht="15" customHeight="1" x14ac:dyDescent="0.25"/>
    <row r="62" spans="1:16" x14ac:dyDescent="0.25">
      <c r="A62" s="624" t="str">
        <f>"-"&amp;SUM(Index!I10:I17)&amp;"-"</f>
        <v>-10-</v>
      </c>
      <c r="B62" s="624"/>
      <c r="C62" s="624"/>
      <c r="D62" s="624"/>
      <c r="E62" s="624"/>
      <c r="F62" s="624"/>
      <c r="G62" s="624"/>
      <c r="H62" s="624"/>
      <c r="I62" s="624"/>
      <c r="J62" s="624"/>
      <c r="K62" s="624"/>
      <c r="L62" s="624"/>
      <c r="M62" s="624"/>
      <c r="N62" s="624"/>
      <c r="O62" s="624"/>
      <c r="P62" s="624"/>
    </row>
    <row r="63" spans="1:16" x14ac:dyDescent="0.25">
      <c r="F63" s="190"/>
      <c r="L63" s="190"/>
      <c r="M63" s="188"/>
    </row>
    <row r="64" spans="1:16" x14ac:dyDescent="0.25">
      <c r="B64" s="232">
        <f t="shared" ref="B64:K64" si="16">+B31-B52</f>
        <v>0</v>
      </c>
      <c r="C64" s="232"/>
      <c r="D64" s="232">
        <f t="shared" si="16"/>
        <v>0</v>
      </c>
      <c r="E64" s="232"/>
      <c r="F64" s="232">
        <f t="shared" si="16"/>
        <v>0</v>
      </c>
      <c r="G64" s="232"/>
      <c r="H64" s="232">
        <f t="shared" si="16"/>
        <v>0</v>
      </c>
      <c r="I64" s="232">
        <f t="shared" si="16"/>
        <v>0</v>
      </c>
      <c r="J64" s="232">
        <f t="shared" si="16"/>
        <v>0</v>
      </c>
      <c r="K64" s="232">
        <f t="shared" si="16"/>
        <v>0</v>
      </c>
      <c r="L64" s="232">
        <f>+L31-L52</f>
        <v>0</v>
      </c>
    </row>
    <row r="65" spans="6:13" x14ac:dyDescent="0.25">
      <c r="F65" s="190"/>
      <c r="L65" s="190"/>
      <c r="M65" s="193"/>
    </row>
    <row r="66" spans="6:13" x14ac:dyDescent="0.25">
      <c r="F66" s="190"/>
      <c r="L66" s="190"/>
      <c r="M66" s="193"/>
    </row>
    <row r="67" spans="6:13" x14ac:dyDescent="0.25">
      <c r="F67" s="190"/>
      <c r="L67" s="190"/>
      <c r="M67" s="193"/>
    </row>
    <row r="68" spans="6:13" x14ac:dyDescent="0.25">
      <c r="F68" s="190"/>
      <c r="L68" s="190"/>
    </row>
    <row r="69" spans="6:13" x14ac:dyDescent="0.25">
      <c r="F69" s="191"/>
      <c r="L69" s="191"/>
    </row>
    <row r="70" spans="6:13" x14ac:dyDescent="0.25">
      <c r="F70" s="190"/>
      <c r="L70" s="190"/>
    </row>
  </sheetData>
  <mergeCells count="6">
    <mergeCell ref="A1:P1"/>
    <mergeCell ref="A62:P62"/>
    <mergeCell ref="A2:P2"/>
    <mergeCell ref="A3:P3"/>
    <mergeCell ref="A4:P4"/>
    <mergeCell ref="A5:P5"/>
  </mergeCells>
  <printOptions horizontalCentered="1"/>
  <pageMargins left="0" right="0.5" top="0.5" bottom="0" header="0" footer="0"/>
  <pageSetup scale="73"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2146B-EE00-4135-8C19-6A7B8E0A7ADF}">
  <dimension ref="A1:Q51"/>
  <sheetViews>
    <sheetView rightToLeft="1" view="pageBreakPreview" zoomScaleSheetLayoutView="100" workbookViewId="0">
      <selection activeCell="L44" sqref="L44"/>
    </sheetView>
  </sheetViews>
  <sheetFormatPr defaultColWidth="9.140625" defaultRowHeight="15.75" x14ac:dyDescent="0.25"/>
  <cols>
    <col min="1" max="1" width="5.5703125" style="173" customWidth="1"/>
    <col min="2" max="2" width="15.7109375" style="173" customWidth="1"/>
    <col min="3" max="3" width="2" style="188" customWidth="1"/>
    <col min="4" max="4" width="13.85546875" style="173" customWidth="1"/>
    <col min="5" max="5" width="2.85546875" style="173" customWidth="1"/>
    <col min="6" max="6" width="13.5703125" style="173" customWidth="1"/>
    <col min="7" max="7" width="3" style="173" customWidth="1"/>
    <col min="8" max="8" width="13.28515625" style="173" customWidth="1"/>
    <col min="9" max="9" width="1.42578125" style="188" customWidth="1"/>
    <col min="10" max="10" width="15.85546875" style="173" customWidth="1"/>
    <col min="11" max="11" width="10.140625" style="173" customWidth="1"/>
    <col min="12" max="12" width="12.7109375" style="173" customWidth="1"/>
    <col min="13" max="13" width="15.42578125" style="173" customWidth="1"/>
    <col min="14" max="16384" width="9.140625" style="173"/>
  </cols>
  <sheetData>
    <row r="1" spans="1:17" x14ac:dyDescent="0.25">
      <c r="A1" s="623">
        <f>Cover!A14</f>
        <v>0</v>
      </c>
      <c r="B1" s="623"/>
      <c r="C1" s="623"/>
      <c r="D1" s="623"/>
      <c r="E1" s="623"/>
      <c r="F1" s="623"/>
      <c r="G1" s="623"/>
      <c r="H1" s="623"/>
      <c r="I1" s="623"/>
      <c r="J1" s="623"/>
      <c r="K1" s="623"/>
      <c r="L1" s="623"/>
      <c r="M1" s="623"/>
    </row>
    <row r="2" spans="1:17" x14ac:dyDescent="0.25">
      <c r="A2" s="623" t="str">
        <f>Cover!A15</f>
        <v>(Foreign Company – Limited Liability Company)</v>
      </c>
      <c r="B2" s="623"/>
      <c r="C2" s="623"/>
      <c r="D2" s="623"/>
      <c r="E2" s="623"/>
      <c r="F2" s="623"/>
      <c r="G2" s="623"/>
      <c r="H2" s="623"/>
      <c r="I2" s="623"/>
      <c r="J2" s="623"/>
      <c r="K2" s="623"/>
      <c r="L2" s="623"/>
      <c r="M2" s="623"/>
    </row>
    <row r="3" spans="1:17" x14ac:dyDescent="0.25">
      <c r="A3" s="623" t="str">
        <f>Cover!A16</f>
        <v>Riyadh – Kingdom of Saudi Arabia</v>
      </c>
      <c r="B3" s="623"/>
      <c r="C3" s="623"/>
      <c r="D3" s="623"/>
      <c r="E3" s="623"/>
      <c r="F3" s="623"/>
      <c r="G3" s="623"/>
      <c r="H3" s="623"/>
      <c r="I3" s="623"/>
      <c r="J3" s="623"/>
      <c r="K3" s="623"/>
      <c r="L3" s="623"/>
      <c r="M3" s="623"/>
    </row>
    <row r="4" spans="1:17" x14ac:dyDescent="0.25">
      <c r="A4" s="623" t="str">
        <f>'1'!B4</f>
        <v>NOTES TO THE FINANCIAL STATEMENTS FOR PERIOD  ENDED31December2024</v>
      </c>
      <c r="B4" s="623"/>
      <c r="C4" s="623"/>
      <c r="D4" s="623"/>
      <c r="E4" s="623"/>
      <c r="F4" s="623"/>
      <c r="G4" s="623"/>
      <c r="H4" s="623"/>
      <c r="I4" s="623"/>
      <c r="J4" s="623"/>
      <c r="K4" s="623"/>
      <c r="L4" s="623"/>
      <c r="M4" s="623"/>
    </row>
    <row r="5" spans="1:17" x14ac:dyDescent="0.25">
      <c r="A5" s="623" t="str">
        <f>'Balance Sheet'!A5</f>
        <v>(saudi riyal)</v>
      </c>
      <c r="B5" s="623"/>
      <c r="C5" s="623"/>
      <c r="D5" s="623"/>
      <c r="E5" s="623"/>
      <c r="F5" s="623"/>
      <c r="G5" s="623"/>
      <c r="H5" s="623"/>
      <c r="I5" s="623"/>
      <c r="J5" s="623"/>
      <c r="K5" s="623"/>
      <c r="L5" s="623"/>
      <c r="M5" s="623"/>
    </row>
    <row r="6" spans="1:17" x14ac:dyDescent="0.25">
      <c r="A6" s="186"/>
      <c r="B6" s="186"/>
      <c r="C6" s="186"/>
      <c r="D6" s="186"/>
      <c r="E6" s="186"/>
      <c r="F6" s="186"/>
      <c r="G6" s="186"/>
      <c r="H6" s="186"/>
      <c r="I6" s="186"/>
      <c r="J6" s="186"/>
    </row>
    <row r="7" spans="1:17" x14ac:dyDescent="0.25">
      <c r="B7" s="179"/>
      <c r="C7" s="180"/>
      <c r="H7" s="179"/>
      <c r="I7" s="180"/>
      <c r="M7" s="187" t="s">
        <v>300</v>
      </c>
      <c r="Q7" s="173">
        <f>104425+406648</f>
        <v>511073</v>
      </c>
    </row>
    <row r="8" spans="1:17" ht="15.75" customHeight="1" x14ac:dyDescent="0.25">
      <c r="A8" s="185"/>
      <c r="B8" s="185"/>
      <c r="C8" s="185"/>
      <c r="D8" s="185"/>
      <c r="E8" s="185"/>
      <c r="F8" s="185"/>
      <c r="G8" s="185"/>
      <c r="H8" s="185"/>
      <c r="I8" s="185"/>
      <c r="J8" s="193"/>
    </row>
    <row r="9" spans="1:17" x14ac:dyDescent="0.25">
      <c r="A9" s="185"/>
      <c r="B9" s="206"/>
      <c r="C9" s="206"/>
      <c r="D9" s="206"/>
      <c r="E9" s="206"/>
      <c r="F9" s="204" t="s">
        <v>308</v>
      </c>
      <c r="G9" s="206"/>
      <c r="H9" s="206"/>
      <c r="I9" s="206"/>
      <c r="J9" s="207"/>
    </row>
    <row r="10" spans="1:17" ht="9.75" customHeight="1" x14ac:dyDescent="0.25">
      <c r="B10" s="179"/>
      <c r="C10" s="180"/>
      <c r="F10" s="208"/>
      <c r="H10" s="179"/>
      <c r="I10" s="180"/>
    </row>
    <row r="11" spans="1:17" ht="42" customHeight="1" thickBot="1" x14ac:dyDescent="0.3">
      <c r="B11" s="209" t="s">
        <v>305</v>
      </c>
      <c r="C11" s="203"/>
      <c r="D11" s="209" t="s">
        <v>331</v>
      </c>
      <c r="E11" s="174"/>
      <c r="F11" s="209" t="s">
        <v>304</v>
      </c>
      <c r="G11" s="174"/>
      <c r="H11" s="205" t="s">
        <v>329</v>
      </c>
      <c r="I11" s="203"/>
      <c r="J11" s="210" t="s">
        <v>330</v>
      </c>
    </row>
    <row r="12" spans="1:17" ht="15.75" customHeight="1" x14ac:dyDescent="0.25">
      <c r="B12" s="177">
        <f>+H12+F12+D12</f>
        <v>175462</v>
      </c>
      <c r="C12" s="178"/>
      <c r="D12" s="177">
        <v>0</v>
      </c>
      <c r="E12" s="181"/>
      <c r="F12" s="177">
        <v>0</v>
      </c>
      <c r="G12" s="202"/>
      <c r="H12" s="195">
        <v>175462</v>
      </c>
      <c r="I12" s="180"/>
      <c r="J12" s="211"/>
      <c r="K12" s="183"/>
      <c r="L12" s="183"/>
      <c r="M12" s="212" t="s">
        <v>241</v>
      </c>
    </row>
    <row r="13" spans="1:17" ht="15.75" customHeight="1" x14ac:dyDescent="0.25">
      <c r="B13" s="197"/>
      <c r="C13" s="178"/>
      <c r="D13" s="197"/>
      <c r="E13" s="181"/>
      <c r="F13" s="197"/>
      <c r="G13" s="202"/>
      <c r="H13" s="197"/>
      <c r="I13" s="180"/>
      <c r="J13" s="213"/>
      <c r="K13" s="183"/>
      <c r="L13" s="183"/>
      <c r="M13" s="212"/>
    </row>
    <row r="14" spans="1:17" ht="15.75" customHeight="1" x14ac:dyDescent="0.25">
      <c r="B14" s="177">
        <f>+H14+F14+D14</f>
        <v>-870214</v>
      </c>
      <c r="C14" s="178"/>
      <c r="D14" s="195">
        <v>-714768</v>
      </c>
      <c r="E14" s="181"/>
      <c r="F14" s="177">
        <v>0</v>
      </c>
      <c r="G14" s="202"/>
      <c r="H14" s="195">
        <v>-155446</v>
      </c>
      <c r="I14" s="180"/>
      <c r="J14" s="214"/>
      <c r="K14" s="183"/>
      <c r="L14" s="183"/>
      <c r="M14" s="173" t="s">
        <v>242</v>
      </c>
    </row>
    <row r="15" spans="1:17" x14ac:dyDescent="0.25">
      <c r="B15" s="199">
        <f>SUM(B14+B12)</f>
        <v>-694752</v>
      </c>
      <c r="C15" s="178"/>
      <c r="D15" s="199">
        <f>SUM(D14+D12)</f>
        <v>-714768</v>
      </c>
      <c r="E15" s="181"/>
      <c r="F15" s="199">
        <f>SUM(F14+F12)</f>
        <v>0</v>
      </c>
      <c r="G15" s="202"/>
      <c r="H15" s="199">
        <f>SUM(H14+H12)</f>
        <v>20016</v>
      </c>
      <c r="I15" s="180"/>
      <c r="J15" s="215"/>
      <c r="K15" s="183"/>
      <c r="L15" s="183"/>
      <c r="M15" s="188" t="s">
        <v>206</v>
      </c>
    </row>
    <row r="16" spans="1:17" ht="18" customHeight="1" x14ac:dyDescent="0.25">
      <c r="B16" s="197"/>
      <c r="C16" s="178"/>
      <c r="D16" s="197"/>
      <c r="E16" s="181"/>
      <c r="F16" s="197"/>
      <c r="G16" s="202"/>
      <c r="H16" s="197"/>
      <c r="I16" s="180"/>
      <c r="J16" s="215"/>
      <c r="K16" s="183"/>
      <c r="L16" s="183"/>
      <c r="M16" s="212"/>
    </row>
    <row r="17" spans="2:15" ht="18" customHeight="1" x14ac:dyDescent="0.25">
      <c r="B17" s="177">
        <f>+H17+F17+D17</f>
        <v>0</v>
      </c>
      <c r="C17" s="178"/>
      <c r="D17" s="177">
        <v>0</v>
      </c>
      <c r="E17" s="181"/>
      <c r="F17" s="177">
        <v>0</v>
      </c>
      <c r="G17" s="202"/>
      <c r="H17" s="177">
        <v>0</v>
      </c>
      <c r="I17" s="180"/>
      <c r="J17" s="215"/>
      <c r="K17" s="183"/>
      <c r="L17" s="183"/>
      <c r="M17" s="216" t="s">
        <v>204</v>
      </c>
    </row>
    <row r="18" spans="2:15" ht="18" customHeight="1" x14ac:dyDescent="0.25">
      <c r="B18" s="177">
        <f>+H18+F18+D18</f>
        <v>-2015442</v>
      </c>
      <c r="C18" s="178"/>
      <c r="D18" s="195">
        <v>-435313</v>
      </c>
      <c r="E18" s="202"/>
      <c r="F18" s="195">
        <v>-2325</v>
      </c>
      <c r="G18" s="201"/>
      <c r="H18" s="195">
        <f>-1577804</f>
        <v>-1577804</v>
      </c>
      <c r="I18" s="180"/>
      <c r="J18" s="214" t="s">
        <v>404</v>
      </c>
      <c r="L18" s="182"/>
      <c r="M18" s="216" t="s">
        <v>205</v>
      </c>
    </row>
    <row r="19" spans="2:15" ht="18" customHeight="1" x14ac:dyDescent="0.25">
      <c r="B19" s="177">
        <f>+H19+F19+D19</f>
        <v>0</v>
      </c>
      <c r="C19" s="178"/>
      <c r="D19" s="195">
        <v>1150081</v>
      </c>
      <c r="E19" s="181"/>
      <c r="F19" s="195">
        <v>0</v>
      </c>
      <c r="G19" s="201"/>
      <c r="H19" s="195">
        <v>-1150081</v>
      </c>
      <c r="I19" s="180"/>
      <c r="J19" s="214" t="s">
        <v>386</v>
      </c>
      <c r="K19" s="182"/>
      <c r="L19" s="182"/>
      <c r="M19" s="183" t="s">
        <v>333</v>
      </c>
    </row>
    <row r="20" spans="2:15" x14ac:dyDescent="0.25">
      <c r="B20" s="177">
        <f>+H20+F20+D20</f>
        <v>0</v>
      </c>
      <c r="C20" s="178"/>
      <c r="D20" s="177">
        <v>0</v>
      </c>
      <c r="E20" s="181"/>
      <c r="F20" s="177">
        <v>0</v>
      </c>
      <c r="G20" s="202"/>
      <c r="H20" s="177">
        <v>0</v>
      </c>
      <c r="I20" s="180"/>
      <c r="J20" s="215"/>
      <c r="K20" s="182"/>
      <c r="L20" s="182"/>
      <c r="M20" s="217" t="s">
        <v>332</v>
      </c>
      <c r="O20" s="218"/>
    </row>
    <row r="21" spans="2:15" x14ac:dyDescent="0.25">
      <c r="B21" s="219">
        <f>SUM(B17:B20)</f>
        <v>-2015442</v>
      </c>
      <c r="C21" s="178"/>
      <c r="D21" s="219">
        <f>SUM(D17:D20)</f>
        <v>714768</v>
      </c>
      <c r="E21" s="181"/>
      <c r="F21" s="219">
        <f>SUM(F17:F20)</f>
        <v>-2325</v>
      </c>
      <c r="G21" s="202"/>
      <c r="H21" s="219">
        <f>SUM(H17:H20)</f>
        <v>-2727885</v>
      </c>
      <c r="I21" s="180"/>
      <c r="J21" s="215"/>
      <c r="K21" s="183"/>
      <c r="L21" s="183"/>
      <c r="M21" s="188" t="s">
        <v>221</v>
      </c>
    </row>
    <row r="22" spans="2:15" ht="15.75" customHeight="1" x14ac:dyDescent="0.25">
      <c r="B22" s="220"/>
      <c r="C22" s="178"/>
      <c r="D22" s="220"/>
      <c r="E22" s="181"/>
      <c r="F22" s="220"/>
      <c r="G22" s="202"/>
      <c r="H22" s="220"/>
      <c r="I22" s="180"/>
      <c r="J22" s="215"/>
      <c r="K22" s="183"/>
      <c r="L22" s="183"/>
      <c r="M22" s="221"/>
    </row>
    <row r="23" spans="2:15" ht="15.75" customHeight="1" x14ac:dyDescent="0.25">
      <c r="B23" s="177">
        <f t="shared" ref="B23:B24" si="0">+H23+F23+D23</f>
        <v>0</v>
      </c>
      <c r="C23" s="178"/>
      <c r="D23" s="177">
        <v>0</v>
      </c>
      <c r="E23" s="181"/>
      <c r="F23" s="177">
        <v>0</v>
      </c>
      <c r="G23" s="202"/>
      <c r="H23" s="177">
        <v>0</v>
      </c>
      <c r="I23" s="180"/>
      <c r="J23" s="215"/>
      <c r="K23" s="183"/>
      <c r="L23" s="183"/>
      <c r="M23" s="173" t="s">
        <v>220</v>
      </c>
    </row>
    <row r="24" spans="2:15" ht="15.75" customHeight="1" x14ac:dyDescent="0.25">
      <c r="B24" s="177">
        <f t="shared" si="0"/>
        <v>0</v>
      </c>
      <c r="C24" s="178"/>
      <c r="D24" s="177">
        <v>0</v>
      </c>
      <c r="E24" s="181"/>
      <c r="F24" s="177">
        <v>0</v>
      </c>
      <c r="G24" s="202"/>
      <c r="H24" s="177">
        <v>0</v>
      </c>
      <c r="I24" s="180"/>
      <c r="J24" s="215"/>
      <c r="K24" s="182"/>
      <c r="L24" s="182"/>
      <c r="M24" s="173" t="s">
        <v>207</v>
      </c>
    </row>
    <row r="25" spans="2:15" ht="15.75" customHeight="1" x14ac:dyDescent="0.25">
      <c r="B25" s="199">
        <f>+B15+B21+B23+B24</f>
        <v>-2710194</v>
      </c>
      <c r="C25" s="178"/>
      <c r="D25" s="199">
        <f>+D15+D21+D23+D24</f>
        <v>0</v>
      </c>
      <c r="E25" s="181"/>
      <c r="F25" s="199">
        <f>+F15+F21+F23+F24</f>
        <v>-2325</v>
      </c>
      <c r="G25" s="202"/>
      <c r="H25" s="199">
        <f>+H15+H21+H23+H24</f>
        <v>-2707869</v>
      </c>
      <c r="I25" s="180"/>
      <c r="J25" s="215"/>
      <c r="K25" s="183"/>
      <c r="L25" s="183"/>
      <c r="M25" s="188" t="s">
        <v>209</v>
      </c>
    </row>
    <row r="26" spans="2:15" ht="15.75" customHeight="1" x14ac:dyDescent="0.25">
      <c r="B26" s="177">
        <f>+H26+F26+D26</f>
        <v>-14983</v>
      </c>
      <c r="C26" s="178"/>
      <c r="D26" s="177">
        <v>0</v>
      </c>
      <c r="E26" s="181"/>
      <c r="F26" s="177">
        <v>0</v>
      </c>
      <c r="G26" s="202"/>
      <c r="H26" s="222">
        <v>-14983</v>
      </c>
      <c r="I26" s="180"/>
      <c r="J26" s="215"/>
      <c r="K26" s="183"/>
      <c r="L26" s="183"/>
      <c r="M26" s="173" t="s">
        <v>208</v>
      </c>
    </row>
    <row r="27" spans="2:15" ht="15.75" customHeight="1" thickBot="1" x14ac:dyDescent="0.3">
      <c r="B27" s="198">
        <f>SUM(B25:B26)</f>
        <v>-2725177</v>
      </c>
      <c r="C27" s="178"/>
      <c r="D27" s="198">
        <f>SUM(D25:D26)</f>
        <v>0</v>
      </c>
      <c r="E27" s="181"/>
      <c r="F27" s="198">
        <f>SUM(F25:F26)</f>
        <v>-2325</v>
      </c>
      <c r="G27" s="202"/>
      <c r="H27" s="198">
        <f>SUM(H25:H26)</f>
        <v>-2722852</v>
      </c>
      <c r="I27" s="180"/>
      <c r="J27" s="215"/>
      <c r="K27" s="183"/>
      <c r="L27" s="183"/>
      <c r="M27" s="188" t="s">
        <v>210</v>
      </c>
    </row>
    <row r="28" spans="2:15" ht="15.75" customHeight="1" thickTop="1" x14ac:dyDescent="0.25">
      <c r="B28" s="200"/>
      <c r="C28" s="223"/>
      <c r="D28" s="200"/>
      <c r="E28" s="201"/>
      <c r="F28" s="200"/>
      <c r="G28" s="201"/>
      <c r="H28" s="200"/>
      <c r="I28" s="180"/>
      <c r="J28" s="215"/>
      <c r="M28" s="224" t="s">
        <v>212</v>
      </c>
    </row>
    <row r="29" spans="2:15" ht="15.75" customHeight="1" x14ac:dyDescent="0.25">
      <c r="B29" s="195"/>
      <c r="C29" s="223"/>
      <c r="D29" s="195"/>
      <c r="E29" s="201"/>
      <c r="F29" s="195"/>
      <c r="G29" s="201"/>
      <c r="H29" s="195"/>
      <c r="I29" s="180"/>
      <c r="J29" s="215"/>
      <c r="M29" s="225"/>
    </row>
    <row r="30" spans="2:15" ht="15.75" customHeight="1" x14ac:dyDescent="0.25">
      <c r="B30" s="195">
        <f t="shared" ref="B30:B31" si="1">+H30+F30+D30</f>
        <v>0</v>
      </c>
      <c r="C30" s="223"/>
      <c r="D30" s="177">
        <v>0</v>
      </c>
      <c r="E30" s="181"/>
      <c r="F30" s="195">
        <v>0</v>
      </c>
      <c r="G30" s="201"/>
      <c r="H30" s="195">
        <v>0</v>
      </c>
      <c r="I30" s="180"/>
      <c r="M30" s="225"/>
    </row>
    <row r="31" spans="2:15" ht="15.75" customHeight="1" x14ac:dyDescent="0.25">
      <c r="B31" s="195">
        <f t="shared" si="1"/>
        <v>0</v>
      </c>
      <c r="C31" s="223"/>
      <c r="D31" s="177">
        <v>0</v>
      </c>
      <c r="E31" s="181"/>
      <c r="F31" s="195">
        <v>0</v>
      </c>
      <c r="G31" s="201"/>
      <c r="H31" s="195">
        <v>0</v>
      </c>
      <c r="I31" s="180"/>
      <c r="M31" s="225"/>
    </row>
    <row r="32" spans="2:15" ht="15.75" customHeight="1" thickBot="1" x14ac:dyDescent="0.3">
      <c r="B32" s="198">
        <f>SUM(B27:B31)</f>
        <v>-2725177</v>
      </c>
      <c r="C32" s="223"/>
      <c r="D32" s="198">
        <f>SUM(D27:D31)</f>
        <v>0</v>
      </c>
      <c r="E32" s="201"/>
      <c r="F32" s="198">
        <f>SUM(F27:F31)</f>
        <v>-2325</v>
      </c>
      <c r="G32" s="201"/>
      <c r="H32" s="198">
        <f>SUM(H27:H31)</f>
        <v>-2722852</v>
      </c>
      <c r="I32" s="180"/>
      <c r="M32" s="188" t="s">
        <v>211</v>
      </c>
    </row>
    <row r="33" spans="1:13" ht="15.75" customHeight="1" thickTop="1" x14ac:dyDescent="0.25">
      <c r="B33" s="179"/>
      <c r="C33" s="180"/>
      <c r="F33" s="188"/>
      <c r="H33" s="188"/>
      <c r="I33" s="180"/>
    </row>
    <row r="34" spans="1:13" ht="15.75" customHeight="1" x14ac:dyDescent="0.25">
      <c r="A34" s="625" t="s">
        <v>403</v>
      </c>
      <c r="B34" s="625"/>
      <c r="C34" s="625"/>
      <c r="D34" s="625"/>
      <c r="E34" s="625"/>
      <c r="F34" s="625"/>
      <c r="G34" s="625"/>
      <c r="H34" s="625"/>
      <c r="I34" s="625"/>
      <c r="J34" s="625"/>
      <c r="K34" s="625"/>
      <c r="L34" s="625"/>
      <c r="M34" s="214" t="s">
        <v>306</v>
      </c>
    </row>
    <row r="35" spans="1:13" ht="15.75" customHeight="1" x14ac:dyDescent="0.25">
      <c r="A35" s="625"/>
      <c r="B35" s="625"/>
      <c r="C35" s="625"/>
      <c r="D35" s="625"/>
      <c r="E35" s="625"/>
      <c r="F35" s="625"/>
      <c r="G35" s="625"/>
      <c r="H35" s="625"/>
      <c r="I35" s="625"/>
      <c r="J35" s="625"/>
      <c r="K35" s="625"/>
      <c r="L35" s="625"/>
    </row>
    <row r="36" spans="1:13" ht="22.15" customHeight="1" x14ac:dyDescent="0.25">
      <c r="A36" s="625"/>
      <c r="B36" s="625"/>
      <c r="C36" s="625"/>
      <c r="D36" s="625"/>
      <c r="E36" s="625"/>
      <c r="F36" s="625"/>
      <c r="G36" s="625"/>
      <c r="H36" s="625"/>
      <c r="I36" s="625"/>
      <c r="J36" s="625"/>
      <c r="K36" s="625"/>
      <c r="L36" s="625"/>
    </row>
    <row r="37" spans="1:13" ht="15.75" customHeight="1" x14ac:dyDescent="0.25">
      <c r="A37" s="625" t="s">
        <v>387</v>
      </c>
      <c r="B37" s="625"/>
      <c r="C37" s="625"/>
      <c r="D37" s="625"/>
      <c r="E37" s="625"/>
      <c r="F37" s="625"/>
      <c r="G37" s="625"/>
      <c r="H37" s="625"/>
      <c r="I37" s="625"/>
      <c r="J37" s="625"/>
      <c r="K37" s="625"/>
      <c r="L37" s="625"/>
      <c r="M37" s="214" t="s">
        <v>386</v>
      </c>
    </row>
    <row r="38" spans="1:13" ht="15.75" customHeight="1" x14ac:dyDescent="0.25">
      <c r="A38" s="625"/>
      <c r="B38" s="625"/>
      <c r="C38" s="625"/>
      <c r="D38" s="625"/>
      <c r="E38" s="625"/>
      <c r="F38" s="625"/>
      <c r="G38" s="625"/>
      <c r="H38" s="625"/>
      <c r="I38" s="625"/>
      <c r="J38" s="625"/>
      <c r="K38" s="625"/>
      <c r="L38" s="625"/>
    </row>
    <row r="39" spans="1:13" ht="22.15" customHeight="1" x14ac:dyDescent="0.25">
      <c r="A39" s="625"/>
      <c r="B39" s="625"/>
      <c r="C39" s="625"/>
      <c r="D39" s="625"/>
      <c r="E39" s="625"/>
      <c r="F39" s="625"/>
      <c r="G39" s="625"/>
      <c r="H39" s="625"/>
      <c r="I39" s="625"/>
      <c r="J39" s="625"/>
      <c r="K39" s="625"/>
      <c r="L39" s="625"/>
    </row>
    <row r="41" spans="1:13" x14ac:dyDescent="0.25">
      <c r="A41" s="624" t="str">
        <f>"-"&amp;SUM(Index!I10:I18)&amp;"-"</f>
        <v>-10-</v>
      </c>
      <c r="B41" s="624"/>
      <c r="C41" s="624"/>
      <c r="D41" s="624"/>
      <c r="E41" s="624"/>
      <c r="F41" s="624"/>
      <c r="G41" s="624"/>
      <c r="H41" s="624"/>
      <c r="I41" s="624"/>
      <c r="J41" s="624"/>
      <c r="K41" s="624"/>
      <c r="L41" s="624"/>
      <c r="M41" s="624"/>
    </row>
    <row r="42" spans="1:13" x14ac:dyDescent="0.25">
      <c r="F42" s="190"/>
      <c r="J42" s="188"/>
    </row>
    <row r="43" spans="1:13" x14ac:dyDescent="0.25">
      <c r="F43" s="190"/>
    </row>
    <row r="44" spans="1:13" x14ac:dyDescent="0.25">
      <c r="F44" s="190"/>
      <c r="J44" s="193"/>
    </row>
    <row r="45" spans="1:13" x14ac:dyDescent="0.25">
      <c r="F45" s="190"/>
      <c r="J45" s="193"/>
    </row>
    <row r="46" spans="1:13" x14ac:dyDescent="0.25">
      <c r="F46" s="190"/>
      <c r="H46" s="200"/>
      <c r="I46" s="173"/>
      <c r="K46" s="224"/>
    </row>
    <row r="47" spans="1:13" x14ac:dyDescent="0.25">
      <c r="F47" s="190"/>
      <c r="H47" s="195"/>
      <c r="I47" s="173"/>
    </row>
    <row r="48" spans="1:13" x14ac:dyDescent="0.25">
      <c r="F48" s="191"/>
      <c r="H48" s="195"/>
      <c r="I48" s="173"/>
    </row>
    <row r="49" spans="6:11" x14ac:dyDescent="0.25">
      <c r="F49" s="190"/>
      <c r="H49" s="200"/>
      <c r="I49" s="173"/>
    </row>
    <row r="50" spans="6:11" ht="16.5" thickBot="1" x14ac:dyDescent="0.3">
      <c r="H50" s="198"/>
      <c r="I50" s="183"/>
      <c r="J50" s="183"/>
      <c r="K50" s="184"/>
    </row>
    <row r="51" spans="6:11" ht="16.5" thickTop="1" x14ac:dyDescent="0.25"/>
  </sheetData>
  <mergeCells count="8">
    <mergeCell ref="A41:M41"/>
    <mergeCell ref="A1:M1"/>
    <mergeCell ref="A2:M2"/>
    <mergeCell ref="A3:M3"/>
    <mergeCell ref="A4:M4"/>
    <mergeCell ref="A5:M5"/>
    <mergeCell ref="A34:L36"/>
    <mergeCell ref="A37:L39"/>
  </mergeCells>
  <printOptions horizontalCentered="1"/>
  <pageMargins left="0" right="0.51181102362204722" top="0.51181102362204722" bottom="0" header="0" footer="0"/>
  <pageSetup scale="8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B930A-1F2D-46CC-8D7A-C9DF2D83BBF1}">
  <dimension ref="A1:M61"/>
  <sheetViews>
    <sheetView view="pageBreakPreview" topLeftCell="A13" zoomScaleSheetLayoutView="100" workbookViewId="0">
      <selection activeCell="H23" sqref="H23"/>
    </sheetView>
  </sheetViews>
  <sheetFormatPr defaultColWidth="9.140625" defaultRowHeight="15.75" x14ac:dyDescent="0.25"/>
  <cols>
    <col min="1" max="1" width="4.140625" style="1" customWidth="1"/>
    <col min="2" max="2" width="5.5703125" style="1" customWidth="1"/>
    <col min="3" max="3" width="12.28515625" style="15" customWidth="1"/>
    <col min="4" max="4" width="3.5703125" style="1" customWidth="1"/>
    <col min="5" max="5" width="17.42578125" style="2" customWidth="1"/>
    <col min="6" max="6" width="3.7109375" style="1" customWidth="1"/>
    <col min="7" max="7" width="9.7109375" style="1" customWidth="1"/>
    <col min="8" max="8" width="36.85546875" style="1" customWidth="1"/>
    <col min="9" max="9" width="1.5703125" style="1" customWidth="1"/>
    <col min="10" max="10" width="1.28515625" style="5" customWidth="1"/>
    <col min="11" max="11" width="5.42578125" style="1" bestFit="1" customWidth="1"/>
    <col min="12" max="16384" width="9.140625" style="1"/>
  </cols>
  <sheetData>
    <row r="1" spans="1:13" x14ac:dyDescent="0.25">
      <c r="B1" s="627">
        <f>Cover!A14</f>
        <v>0</v>
      </c>
      <c r="C1" s="627"/>
      <c r="D1" s="627"/>
      <c r="E1" s="627"/>
      <c r="F1" s="627"/>
      <c r="G1" s="627"/>
      <c r="H1" s="627"/>
      <c r="I1" s="627"/>
      <c r="J1" s="627"/>
      <c r="K1" s="627"/>
      <c r="L1" s="11"/>
    </row>
    <row r="2" spans="1:13" x14ac:dyDescent="0.25">
      <c r="B2" s="627" t="str">
        <f>Cover!A15</f>
        <v>(Foreign Company – Limited Liability Company)</v>
      </c>
      <c r="C2" s="627"/>
      <c r="D2" s="627"/>
      <c r="E2" s="627"/>
      <c r="F2" s="627"/>
      <c r="G2" s="627"/>
      <c r="H2" s="627"/>
      <c r="I2" s="627"/>
      <c r="J2" s="627"/>
      <c r="K2" s="627"/>
      <c r="L2" s="11"/>
    </row>
    <row r="3" spans="1:13" x14ac:dyDescent="0.25">
      <c r="B3" s="627" t="str">
        <f>Cover!A16</f>
        <v>Riyadh – Kingdom of Saudi Arabia</v>
      </c>
      <c r="C3" s="627"/>
      <c r="D3" s="627"/>
      <c r="E3" s="627"/>
      <c r="F3" s="627"/>
      <c r="G3" s="627"/>
      <c r="H3" s="627"/>
      <c r="I3" s="627"/>
      <c r="J3" s="627"/>
      <c r="K3" s="627"/>
      <c r="L3" s="4"/>
    </row>
    <row r="4" spans="1:13" x14ac:dyDescent="0.25">
      <c r="B4" s="627" t="str">
        <f>'1'!B4</f>
        <v>NOTES TO THE FINANCIAL STATEMENTS FOR PERIOD  ENDED31December2024</v>
      </c>
      <c r="C4" s="627"/>
      <c r="D4" s="627"/>
      <c r="E4" s="627"/>
      <c r="F4" s="627"/>
      <c r="G4" s="627"/>
      <c r="H4" s="627"/>
      <c r="I4" s="627"/>
      <c r="J4" s="627"/>
      <c r="K4" s="627"/>
      <c r="M4" s="4"/>
    </row>
    <row r="5" spans="1:13" x14ac:dyDescent="0.25">
      <c r="A5" s="1" t="s">
        <v>5</v>
      </c>
      <c r="B5" s="627" t="str">
        <f>'Balance Sheet'!A5</f>
        <v>(saudi riyal)</v>
      </c>
      <c r="C5" s="627"/>
      <c r="D5" s="627"/>
      <c r="E5" s="627"/>
      <c r="F5" s="627"/>
      <c r="G5" s="627"/>
      <c r="H5" s="627"/>
      <c r="I5" s="627"/>
      <c r="J5" s="627"/>
      <c r="K5" s="627"/>
    </row>
    <row r="6" spans="1:13" x14ac:dyDescent="0.25">
      <c r="B6" s="14"/>
      <c r="C6" s="14"/>
      <c r="D6" s="14"/>
      <c r="E6" s="14"/>
      <c r="F6" s="14"/>
      <c r="G6" s="14"/>
      <c r="H6" s="14"/>
      <c r="I6" s="14"/>
      <c r="J6" s="14"/>
      <c r="K6" s="14"/>
    </row>
    <row r="7" spans="1:13" x14ac:dyDescent="0.25">
      <c r="C7" s="13"/>
      <c r="D7" s="12"/>
      <c r="E7" s="7"/>
      <c r="H7" s="20"/>
      <c r="I7" s="20"/>
      <c r="J7" s="20"/>
    </row>
    <row r="8" spans="1:13" ht="15.75" customHeight="1" x14ac:dyDescent="0.25">
      <c r="B8" s="162"/>
      <c r="C8" s="162"/>
      <c r="D8" s="162"/>
      <c r="E8" s="162"/>
      <c r="F8" s="162"/>
      <c r="G8" s="162"/>
      <c r="H8" s="162"/>
      <c r="I8" s="162"/>
      <c r="J8" s="162"/>
      <c r="K8" s="8"/>
    </row>
    <row r="9" spans="1:13" x14ac:dyDescent="0.25">
      <c r="B9" s="162"/>
      <c r="C9" s="162"/>
      <c r="D9" s="162"/>
      <c r="E9" s="162"/>
      <c r="F9" s="162"/>
      <c r="G9" s="162"/>
      <c r="H9" s="162"/>
      <c r="I9" s="162"/>
      <c r="J9" s="162"/>
      <c r="K9" s="3"/>
    </row>
    <row r="10" spans="1:13" ht="9.75" customHeight="1" x14ac:dyDescent="0.25">
      <c r="C10" s="13"/>
      <c r="D10" s="12"/>
      <c r="E10" s="7"/>
      <c r="H10" s="20"/>
      <c r="I10" s="20"/>
      <c r="J10" s="20"/>
    </row>
    <row r="11" spans="1:13" x14ac:dyDescent="0.25">
      <c r="C11" s="13"/>
      <c r="D11" s="12"/>
      <c r="E11" s="7"/>
      <c r="H11" s="20"/>
      <c r="I11" s="20"/>
      <c r="J11" s="20"/>
    </row>
    <row r="12" spans="1:13" ht="15.75" customHeight="1" x14ac:dyDescent="0.2">
      <c r="B12" s="164"/>
      <c r="C12" s="164"/>
      <c r="D12" s="164"/>
      <c r="E12" s="164"/>
      <c r="F12" s="164"/>
      <c r="G12" s="164"/>
      <c r="H12" s="164"/>
      <c r="I12" s="164"/>
      <c r="J12" s="164"/>
    </row>
    <row r="13" spans="1:13" ht="15.75" customHeight="1" x14ac:dyDescent="0.2">
      <c r="B13" s="164"/>
      <c r="C13" s="164"/>
      <c r="D13" s="164"/>
      <c r="E13" s="164"/>
      <c r="F13" s="164"/>
      <c r="G13" s="164"/>
      <c r="H13" s="164"/>
      <c r="I13" s="164"/>
      <c r="J13" s="164"/>
    </row>
    <row r="14" spans="1:13" ht="15.75" customHeight="1" x14ac:dyDescent="0.2">
      <c r="B14" s="164"/>
      <c r="C14" s="164"/>
      <c r="D14" s="164"/>
      <c r="E14" s="164"/>
      <c r="F14" s="164"/>
      <c r="G14" s="164"/>
      <c r="H14" s="164"/>
      <c r="I14" s="164"/>
      <c r="J14" s="164"/>
    </row>
    <row r="15" spans="1:13" ht="36.75" customHeight="1" x14ac:dyDescent="0.2">
      <c r="B15" s="164"/>
      <c r="C15" s="164"/>
      <c r="D15" s="164"/>
      <c r="E15" s="164"/>
      <c r="F15" s="164"/>
      <c r="G15" s="164"/>
      <c r="H15" s="164"/>
      <c r="I15" s="164"/>
      <c r="J15" s="164"/>
    </row>
    <row r="16" spans="1:13" ht="18" customHeight="1" x14ac:dyDescent="0.2">
      <c r="B16" s="19"/>
      <c r="C16" s="19"/>
      <c r="D16" s="19"/>
      <c r="E16" s="19"/>
      <c r="F16" s="19"/>
      <c r="G16" s="19"/>
      <c r="H16" s="19"/>
      <c r="I16" s="19"/>
      <c r="J16" s="19"/>
    </row>
    <row r="17" spans="2:10" ht="18" customHeight="1" x14ac:dyDescent="0.25">
      <c r="B17" s="37"/>
      <c r="C17" s="37"/>
      <c r="D17" s="37"/>
      <c r="E17" s="37"/>
      <c r="F17" s="37"/>
      <c r="G17" s="165"/>
      <c r="H17" s="165"/>
      <c r="I17" s="165"/>
      <c r="J17" s="19"/>
    </row>
    <row r="18" spans="2:10" ht="18" customHeight="1" x14ac:dyDescent="0.2">
      <c r="B18" s="166"/>
      <c r="C18" s="166"/>
      <c r="D18" s="166"/>
      <c r="E18" s="166"/>
      <c r="F18" s="166"/>
      <c r="G18" s="166"/>
      <c r="H18" s="166"/>
      <c r="I18" s="166"/>
      <c r="J18" s="19"/>
    </row>
    <row r="19" spans="2:10" ht="18" customHeight="1" x14ac:dyDescent="0.2">
      <c r="B19" s="166"/>
      <c r="C19" s="166"/>
      <c r="D19" s="166"/>
      <c r="E19" s="166"/>
      <c r="F19" s="166"/>
      <c r="G19" s="166"/>
      <c r="H19" s="166"/>
      <c r="I19" s="166"/>
      <c r="J19" s="19"/>
    </row>
    <row r="20" spans="2:10" ht="29.25" customHeight="1" x14ac:dyDescent="0.25">
      <c r="B20" s="166"/>
      <c r="C20" s="166"/>
      <c r="D20" s="166"/>
      <c r="E20" s="166"/>
      <c r="F20" s="166"/>
      <c r="G20" s="166"/>
      <c r="H20" s="166"/>
      <c r="I20" s="166"/>
    </row>
    <row r="21" spans="2:10" x14ac:dyDescent="0.25">
      <c r="C21" s="13"/>
      <c r="D21" s="12"/>
      <c r="E21" s="7"/>
      <c r="H21" s="20"/>
      <c r="I21" s="20"/>
      <c r="J21" s="20"/>
    </row>
    <row r="22" spans="2:10" ht="15.75" customHeight="1" x14ac:dyDescent="0.2">
      <c r="B22" s="167"/>
      <c r="C22" s="167"/>
      <c r="D22" s="167"/>
      <c r="E22" s="167"/>
      <c r="F22" s="167"/>
      <c r="G22" s="167"/>
      <c r="H22" s="167"/>
      <c r="I22" s="167"/>
      <c r="J22" s="167"/>
    </row>
    <row r="23" spans="2:10" ht="15.75" customHeight="1" x14ac:dyDescent="0.2">
      <c r="B23" s="167"/>
      <c r="C23" s="167"/>
      <c r="D23" s="167"/>
      <c r="E23" s="167"/>
      <c r="F23" s="167"/>
      <c r="G23" s="167"/>
      <c r="H23" s="167"/>
      <c r="I23" s="167"/>
      <c r="J23" s="167"/>
    </row>
    <row r="24" spans="2:10" ht="15.75" customHeight="1" x14ac:dyDescent="0.2">
      <c r="B24" s="167"/>
      <c r="C24" s="167"/>
      <c r="D24" s="167"/>
      <c r="E24" s="167"/>
      <c r="F24" s="167"/>
      <c r="G24" s="167"/>
      <c r="H24" s="167"/>
      <c r="I24" s="167"/>
      <c r="J24" s="167"/>
    </row>
    <row r="25" spans="2:10" ht="15.75" customHeight="1" x14ac:dyDescent="0.2">
      <c r="B25" s="167"/>
      <c r="C25" s="167"/>
      <c r="D25" s="167"/>
      <c r="E25" s="167"/>
      <c r="F25" s="167"/>
      <c r="G25" s="167"/>
      <c r="H25" s="167"/>
      <c r="I25" s="167"/>
      <c r="J25" s="167"/>
    </row>
    <row r="26" spans="2:10" ht="15.75" customHeight="1" x14ac:dyDescent="0.2">
      <c r="B26" s="167"/>
      <c r="C26" s="167"/>
      <c r="D26" s="167"/>
      <c r="E26" s="167"/>
      <c r="F26" s="167"/>
      <c r="G26" s="167"/>
      <c r="H26" s="167"/>
      <c r="I26" s="167"/>
      <c r="J26" s="167"/>
    </row>
    <row r="27" spans="2:10" ht="15.75" customHeight="1" x14ac:dyDescent="0.2">
      <c r="B27" s="167"/>
      <c r="C27" s="167"/>
      <c r="D27" s="167"/>
      <c r="E27" s="167"/>
      <c r="F27" s="167"/>
      <c r="G27" s="167"/>
      <c r="H27" s="167"/>
      <c r="I27" s="167"/>
      <c r="J27" s="167"/>
    </row>
    <row r="28" spans="2:10" x14ac:dyDescent="0.25">
      <c r="C28" s="13"/>
      <c r="E28" s="7"/>
      <c r="H28" s="20"/>
      <c r="I28" s="20"/>
      <c r="J28" s="20"/>
    </row>
    <row r="29" spans="2:10" ht="15.75" customHeight="1" x14ac:dyDescent="0.2">
      <c r="B29" s="168"/>
      <c r="C29" s="168"/>
      <c r="D29" s="168"/>
      <c r="E29" s="168"/>
      <c r="F29" s="168"/>
      <c r="G29" s="168"/>
      <c r="H29" s="168"/>
      <c r="I29" s="168"/>
      <c r="J29" s="168"/>
    </row>
    <row r="30" spans="2:10" ht="15.75" customHeight="1" x14ac:dyDescent="0.2">
      <c r="B30" s="168"/>
      <c r="C30" s="168"/>
      <c r="D30" s="168"/>
      <c r="E30" s="168"/>
      <c r="F30" s="168"/>
      <c r="G30" s="168"/>
      <c r="H30" s="168"/>
      <c r="I30" s="168"/>
      <c r="J30" s="168"/>
    </row>
    <row r="31" spans="2:10" ht="15.75" customHeight="1" x14ac:dyDescent="0.2">
      <c r="B31" s="168"/>
      <c r="C31" s="168"/>
      <c r="D31" s="168"/>
      <c r="E31" s="168"/>
      <c r="F31" s="168"/>
      <c r="G31" s="168"/>
      <c r="H31" s="168"/>
      <c r="I31" s="168"/>
      <c r="J31" s="168"/>
    </row>
    <row r="32" spans="2:10" x14ac:dyDescent="0.25">
      <c r="C32" s="13"/>
      <c r="D32" s="12"/>
      <c r="E32" s="7"/>
      <c r="H32" s="22"/>
      <c r="I32" s="22"/>
      <c r="J32" s="22"/>
    </row>
    <row r="33" spans="2:11" x14ac:dyDescent="0.25">
      <c r="C33" s="13"/>
      <c r="D33" s="12"/>
      <c r="E33" s="7"/>
      <c r="H33" s="20"/>
      <c r="I33" s="20"/>
      <c r="J33" s="20"/>
    </row>
    <row r="34" spans="2:11" ht="15.75" customHeight="1" x14ac:dyDescent="0.2">
      <c r="B34" s="163"/>
      <c r="C34" s="163"/>
      <c r="D34" s="163"/>
      <c r="E34" s="163"/>
      <c r="F34" s="163"/>
      <c r="G34" s="163"/>
      <c r="H34" s="163"/>
      <c r="I34" s="163"/>
      <c r="J34" s="163"/>
    </row>
    <row r="35" spans="2:11" ht="15.75" customHeight="1" x14ac:dyDescent="0.2">
      <c r="B35" s="163"/>
      <c r="C35" s="163"/>
      <c r="D35" s="163"/>
      <c r="E35" s="163"/>
      <c r="F35" s="163"/>
      <c r="G35" s="163"/>
      <c r="H35" s="163"/>
      <c r="I35" s="163"/>
      <c r="J35" s="163"/>
    </row>
    <row r="36" spans="2:11" ht="15.75" customHeight="1" x14ac:dyDescent="0.2">
      <c r="B36" s="163"/>
      <c r="C36" s="163"/>
      <c r="D36" s="163"/>
      <c r="E36" s="163"/>
      <c r="F36" s="163"/>
      <c r="G36" s="163"/>
      <c r="H36" s="163"/>
      <c r="I36" s="163"/>
      <c r="J36" s="163"/>
    </row>
    <row r="37" spans="2:11" x14ac:dyDescent="0.25">
      <c r="C37" s="13"/>
      <c r="D37" s="12"/>
      <c r="E37" s="7"/>
      <c r="H37" s="22"/>
      <c r="I37" s="22"/>
      <c r="J37" s="22"/>
    </row>
    <row r="38" spans="2:11" x14ac:dyDescent="0.25">
      <c r="C38" s="13"/>
      <c r="D38" s="12"/>
      <c r="E38" s="7"/>
      <c r="H38" s="20"/>
      <c r="I38" s="20"/>
      <c r="J38" s="20"/>
    </row>
    <row r="39" spans="2:11" ht="15.75" customHeight="1" x14ac:dyDescent="0.2">
      <c r="B39" s="163"/>
      <c r="C39" s="163"/>
      <c r="D39" s="163"/>
      <c r="E39" s="163"/>
      <c r="F39" s="163"/>
      <c r="G39" s="163"/>
      <c r="H39" s="163"/>
      <c r="I39" s="163"/>
      <c r="J39" s="163"/>
    </row>
    <row r="40" spans="2:11" ht="15.75" customHeight="1" x14ac:dyDescent="0.2">
      <c r="B40" s="163"/>
      <c r="C40" s="163"/>
      <c r="D40" s="163"/>
      <c r="E40" s="163"/>
      <c r="F40" s="163"/>
      <c r="G40" s="163"/>
      <c r="H40" s="163"/>
      <c r="I40" s="163"/>
      <c r="J40" s="163"/>
    </row>
    <row r="41" spans="2:11" ht="15.75" customHeight="1" x14ac:dyDescent="0.2">
      <c r="B41" s="163"/>
      <c r="C41" s="163"/>
      <c r="D41" s="163"/>
      <c r="E41" s="163"/>
      <c r="F41" s="163"/>
      <c r="G41" s="163"/>
      <c r="H41" s="163"/>
      <c r="I41" s="163"/>
      <c r="J41" s="163"/>
    </row>
    <row r="42" spans="2:11" ht="15.75" customHeight="1" x14ac:dyDescent="0.2">
      <c r="B42" s="23"/>
      <c r="C42" s="23"/>
      <c r="D42" s="23"/>
      <c r="E42" s="23"/>
      <c r="F42" s="23"/>
      <c r="G42" s="23"/>
      <c r="H42" s="23"/>
      <c r="I42" s="23"/>
      <c r="J42" s="23"/>
    </row>
    <row r="43" spans="2:11" ht="15.75" customHeight="1" x14ac:dyDescent="0.25">
      <c r="C43" s="13"/>
      <c r="D43" s="12"/>
      <c r="E43" s="7"/>
      <c r="H43" s="18"/>
      <c r="I43" s="18"/>
      <c r="J43" s="18"/>
    </row>
    <row r="44" spans="2:11" ht="15.75" customHeight="1" x14ac:dyDescent="0.25">
      <c r="C44" s="13"/>
      <c r="D44" s="12"/>
      <c r="E44" s="7"/>
      <c r="H44" s="18"/>
      <c r="I44" s="18"/>
      <c r="J44" s="18"/>
      <c r="K44" s="21"/>
    </row>
    <row r="45" spans="2:11" ht="15.75" customHeight="1" x14ac:dyDescent="0.25">
      <c r="B45" s="169"/>
      <c r="C45" s="169"/>
      <c r="D45" s="169"/>
      <c r="E45" s="169"/>
      <c r="F45" s="169"/>
      <c r="G45" s="169"/>
      <c r="H45" s="169"/>
      <c r="I45" s="169"/>
      <c r="J45" s="169"/>
      <c r="K45" s="21"/>
    </row>
    <row r="46" spans="2:11" ht="10.5" customHeight="1" x14ac:dyDescent="0.25">
      <c r="B46" s="24"/>
      <c r="C46" s="24"/>
      <c r="D46" s="24"/>
      <c r="E46" s="24"/>
      <c r="F46" s="24"/>
      <c r="G46" s="24"/>
      <c r="H46" s="24"/>
      <c r="I46" s="24"/>
      <c r="J46" s="24"/>
      <c r="K46" s="21"/>
    </row>
    <row r="47" spans="2:11" ht="15.75" customHeight="1" x14ac:dyDescent="0.25">
      <c r="C47" s="13"/>
      <c r="D47" s="12"/>
      <c r="E47" s="7"/>
      <c r="H47" s="18"/>
      <c r="I47" s="18"/>
      <c r="J47" s="18"/>
      <c r="K47" s="21"/>
    </row>
    <row r="48" spans="2:11" ht="15.75" customHeight="1" x14ac:dyDescent="0.2">
      <c r="B48" s="169"/>
      <c r="C48" s="169"/>
      <c r="D48" s="169"/>
      <c r="E48" s="169"/>
      <c r="F48" s="169"/>
      <c r="G48" s="169"/>
      <c r="H48" s="169"/>
      <c r="I48" s="169"/>
      <c r="J48" s="169"/>
    </row>
    <row r="49" spans="2:11" ht="15.75" customHeight="1" x14ac:dyDescent="0.2">
      <c r="B49" s="169"/>
      <c r="C49" s="169"/>
      <c r="D49" s="169"/>
      <c r="E49" s="169"/>
      <c r="F49" s="169"/>
      <c r="G49" s="169"/>
      <c r="H49" s="169"/>
      <c r="I49" s="169"/>
      <c r="J49" s="169"/>
    </row>
    <row r="50" spans="2:11" ht="15.75" customHeight="1" x14ac:dyDescent="0.2">
      <c r="B50" s="169"/>
      <c r="C50" s="169"/>
      <c r="D50" s="169"/>
      <c r="E50" s="169"/>
      <c r="F50" s="169"/>
      <c r="G50" s="169"/>
      <c r="H50" s="169"/>
      <c r="I50" s="169"/>
      <c r="J50" s="169"/>
    </row>
    <row r="51" spans="2:11" ht="15.75" customHeight="1" x14ac:dyDescent="0.2">
      <c r="B51" s="23"/>
      <c r="C51" s="23"/>
      <c r="D51" s="23"/>
      <c r="E51" s="23"/>
      <c r="F51" s="23"/>
      <c r="G51" s="23"/>
      <c r="H51" s="23"/>
      <c r="I51" s="23"/>
      <c r="J51" s="23"/>
    </row>
    <row r="52" spans="2:11" hidden="1" x14ac:dyDescent="0.25"/>
    <row r="53" spans="2:11" ht="15" x14ac:dyDescent="0.2">
      <c r="B53" s="626" t="str">
        <f>"-"&amp;SUM(Index!I10:I19)&amp;"-"</f>
        <v>-10-</v>
      </c>
      <c r="C53" s="626"/>
      <c r="D53" s="626"/>
      <c r="E53" s="626"/>
      <c r="F53" s="626"/>
      <c r="G53" s="626"/>
      <c r="H53" s="626"/>
      <c r="I53" s="626"/>
      <c r="J53" s="626"/>
      <c r="K53" s="626"/>
    </row>
    <row r="54" spans="2:11" x14ac:dyDescent="0.25">
      <c r="C54" s="16"/>
      <c r="H54" s="6"/>
      <c r="K54" s="2"/>
    </row>
    <row r="55" spans="2:11" x14ac:dyDescent="0.25">
      <c r="C55" s="17"/>
      <c r="H55" s="6"/>
      <c r="J55" s="3"/>
    </row>
    <row r="56" spans="2:11" x14ac:dyDescent="0.25">
      <c r="C56" s="17"/>
      <c r="H56" s="6"/>
      <c r="K56" s="8"/>
    </row>
    <row r="57" spans="2:11" x14ac:dyDescent="0.25">
      <c r="C57" s="17"/>
      <c r="H57" s="6"/>
      <c r="K57" s="8"/>
    </row>
    <row r="58" spans="2:11" x14ac:dyDescent="0.25">
      <c r="C58" s="17"/>
      <c r="H58" s="6"/>
      <c r="K58" s="8"/>
    </row>
    <row r="59" spans="2:11" x14ac:dyDescent="0.25">
      <c r="C59" s="16"/>
      <c r="H59" s="6"/>
    </row>
    <row r="60" spans="2:11" x14ac:dyDescent="0.25">
      <c r="C60" s="16"/>
      <c r="H60" s="9"/>
      <c r="J60" s="10"/>
    </row>
    <row r="61" spans="2:11" x14ac:dyDescent="0.25">
      <c r="C61" s="16"/>
      <c r="H61" s="6"/>
      <c r="J61" s="10"/>
    </row>
  </sheetData>
  <mergeCells count="6">
    <mergeCell ref="B53:K53"/>
    <mergeCell ref="B1:K1"/>
    <mergeCell ref="B2:K2"/>
    <mergeCell ref="B3:K3"/>
    <mergeCell ref="B4:K4"/>
    <mergeCell ref="B5:K5"/>
  </mergeCells>
  <printOptions horizontalCentered="1"/>
  <pageMargins left="0" right="0.5" top="0.5" bottom="0" header="0" footer="0"/>
  <pageSetup scale="9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XEI70"/>
  <sheetViews>
    <sheetView rightToLeft="1" view="pageBreakPreview" topLeftCell="C1" zoomScale="85" zoomScaleNormal="100" zoomScaleSheetLayoutView="85" workbookViewId="0">
      <selection activeCell="P77" sqref="P77"/>
    </sheetView>
  </sheetViews>
  <sheetFormatPr defaultColWidth="9.140625" defaultRowHeight="21.75" x14ac:dyDescent="0.2"/>
  <cols>
    <col min="1" max="1" width="19" style="287" customWidth="1"/>
    <col min="2" max="2" width="0.5703125" style="287" customWidth="1"/>
    <col min="3" max="3" width="16.5703125" style="312" customWidth="1"/>
    <col min="4" max="4" width="0.5703125" style="287" customWidth="1"/>
    <col min="5" max="5" width="18.5703125" style="312" customWidth="1"/>
    <col min="6" max="6" width="0.5703125" style="287" customWidth="1"/>
    <col min="7" max="7" width="13.28515625" style="287" customWidth="1"/>
    <col min="8" max="8" width="0.5703125" style="287" customWidth="1"/>
    <col min="9" max="9" width="15.42578125" style="287" bestFit="1" customWidth="1"/>
    <col min="10" max="10" width="0.5703125" style="287" customWidth="1"/>
    <col min="11" max="11" width="16.7109375" style="287" customWidth="1"/>
    <col min="12" max="12" width="0.5703125" style="287" customWidth="1"/>
    <col min="13" max="13" width="19.42578125" style="312" bestFit="1" customWidth="1"/>
    <col min="14" max="14" width="0.7109375" style="287" customWidth="1"/>
    <col min="15" max="15" width="13.28515625" style="287" customWidth="1"/>
    <col min="16" max="16" width="0.5703125" style="287" customWidth="1"/>
    <col min="17" max="17" width="17.5703125" style="287" bestFit="1" customWidth="1"/>
    <col min="18" max="18" width="0.5703125" style="287" customWidth="1"/>
    <col min="19" max="19" width="17.85546875" style="287" bestFit="1" customWidth="1"/>
    <col min="20" max="20" width="0.7109375" style="287" customWidth="1"/>
    <col min="21" max="21" width="20.42578125" style="287" customWidth="1"/>
    <col min="22" max="22" width="4.140625" style="287" customWidth="1"/>
    <col min="23" max="23" width="15.28515625" style="407" bestFit="1" customWidth="1"/>
    <col min="24" max="24" width="9.140625" style="407"/>
    <col min="25" max="16384" width="9.140625" style="287"/>
  </cols>
  <sheetData>
    <row r="1" spans="1:16363" s="280" customFormat="1" ht="18.75" x14ac:dyDescent="0.2">
      <c r="A1" s="571">
        <f>Cover!A14</f>
        <v>0</v>
      </c>
      <c r="B1" s="571"/>
      <c r="C1" s="571"/>
      <c r="D1" s="571"/>
      <c r="E1" s="571"/>
      <c r="F1" s="571"/>
      <c r="G1" s="571"/>
      <c r="H1" s="571"/>
      <c r="I1" s="571"/>
      <c r="J1" s="571"/>
      <c r="K1" s="571"/>
      <c r="L1" s="571"/>
      <c r="M1" s="571"/>
      <c r="N1" s="571"/>
      <c r="O1" s="571"/>
      <c r="P1" s="571"/>
      <c r="Q1" s="571"/>
      <c r="R1" s="571"/>
      <c r="S1" s="571"/>
      <c r="T1" s="571"/>
      <c r="U1" s="571"/>
      <c r="V1" s="571"/>
    </row>
    <row r="2" spans="1:16363" s="280" customFormat="1" ht="18.75" x14ac:dyDescent="0.2">
      <c r="A2" s="571" t="str">
        <f>Cover!A15</f>
        <v>(Foreign Company – Limited Liability Company)</v>
      </c>
      <c r="B2" s="571"/>
      <c r="C2" s="571"/>
      <c r="D2" s="571"/>
      <c r="E2" s="571"/>
      <c r="F2" s="571"/>
      <c r="G2" s="571"/>
      <c r="H2" s="571"/>
      <c r="I2" s="571"/>
      <c r="J2" s="571"/>
      <c r="K2" s="571"/>
      <c r="L2" s="571"/>
      <c r="M2" s="571"/>
      <c r="N2" s="571"/>
      <c r="O2" s="571"/>
      <c r="P2" s="571"/>
      <c r="Q2" s="571"/>
      <c r="R2" s="571"/>
      <c r="S2" s="571"/>
      <c r="T2" s="571"/>
      <c r="U2" s="571"/>
      <c r="V2" s="571"/>
    </row>
    <row r="3" spans="1:16363" s="280" customFormat="1" ht="18.75" x14ac:dyDescent="0.2">
      <c r="A3" s="571" t="str">
        <f>Cover!A16</f>
        <v>Riyadh – Kingdom of Saudi Arabia</v>
      </c>
      <c r="B3" s="571"/>
      <c r="C3" s="571"/>
      <c r="D3" s="571"/>
      <c r="E3" s="571"/>
      <c r="F3" s="571"/>
      <c r="G3" s="571"/>
      <c r="H3" s="571"/>
      <c r="I3" s="571"/>
      <c r="J3" s="571"/>
      <c r="K3" s="571"/>
      <c r="L3" s="571"/>
      <c r="M3" s="571"/>
      <c r="N3" s="571"/>
      <c r="O3" s="571"/>
      <c r="P3" s="571"/>
      <c r="Q3" s="571"/>
      <c r="R3" s="571"/>
      <c r="S3" s="571"/>
      <c r="T3" s="571"/>
      <c r="U3" s="571"/>
      <c r="V3" s="571"/>
    </row>
    <row r="4" spans="1:16363" s="280" customFormat="1" ht="18.75" x14ac:dyDescent="0.2">
      <c r="A4" s="571" t="str">
        <f>'1'!B4</f>
        <v>NOTES TO THE FINANCIAL STATEMENTS FOR PERIOD  ENDED31December2024</v>
      </c>
      <c r="B4" s="571"/>
      <c r="C4" s="571"/>
      <c r="D4" s="571"/>
      <c r="E4" s="571"/>
      <c r="F4" s="571"/>
      <c r="G4" s="571"/>
      <c r="H4" s="571"/>
      <c r="I4" s="571"/>
      <c r="J4" s="571"/>
      <c r="K4" s="571"/>
      <c r="L4" s="571"/>
      <c r="M4" s="571"/>
      <c r="N4" s="571"/>
      <c r="O4" s="571"/>
      <c r="P4" s="571"/>
      <c r="Q4" s="571"/>
      <c r="R4" s="571"/>
      <c r="S4" s="571"/>
      <c r="T4" s="571"/>
      <c r="U4" s="571"/>
      <c r="V4" s="571"/>
    </row>
    <row r="5" spans="1:16363" s="280" customFormat="1" ht="18.75" x14ac:dyDescent="0.2">
      <c r="A5" s="573" t="str">
        <f>'Balance Sheet'!A5</f>
        <v>(saudi riyal)</v>
      </c>
      <c r="B5" s="573"/>
      <c r="C5" s="573"/>
      <c r="D5" s="573"/>
      <c r="E5" s="573"/>
      <c r="F5" s="573"/>
      <c r="G5" s="573"/>
      <c r="H5" s="573"/>
      <c r="I5" s="573"/>
      <c r="J5" s="573"/>
      <c r="K5" s="573"/>
      <c r="L5" s="573"/>
      <c r="M5" s="573"/>
      <c r="N5" s="573"/>
      <c r="O5" s="573"/>
      <c r="P5" s="573"/>
      <c r="Q5" s="573"/>
      <c r="R5" s="573"/>
      <c r="S5" s="573"/>
      <c r="T5" s="573"/>
      <c r="U5" s="573"/>
      <c r="V5" s="573"/>
      <c r="W5" s="628"/>
      <c r="X5" s="628"/>
      <c r="Y5" s="628"/>
      <c r="Z5" s="628"/>
      <c r="AA5" s="628"/>
      <c r="AB5" s="628"/>
      <c r="AC5" s="628"/>
      <c r="AD5" s="628"/>
      <c r="AE5" s="628"/>
      <c r="AF5" s="628"/>
      <c r="AG5" s="628"/>
      <c r="AH5" s="628"/>
      <c r="AI5" s="628"/>
      <c r="AJ5" s="628"/>
      <c r="AK5" s="628"/>
      <c r="AL5" s="628"/>
      <c r="AM5" s="628"/>
      <c r="AN5" s="628"/>
      <c r="AO5" s="628"/>
      <c r="AP5" s="628"/>
      <c r="AQ5" s="628"/>
      <c r="AR5" s="628"/>
      <c r="AS5" s="628"/>
      <c r="AT5" s="628"/>
      <c r="AU5" s="628"/>
      <c r="AV5" s="628"/>
      <c r="AW5" s="628"/>
      <c r="AX5" s="628"/>
      <c r="AY5" s="628"/>
      <c r="AZ5" s="628"/>
      <c r="BA5" s="628"/>
      <c r="BB5" s="628"/>
      <c r="BC5" s="628"/>
      <c r="BD5" s="628"/>
      <c r="BE5" s="628"/>
      <c r="BF5" s="628"/>
      <c r="BG5" s="628"/>
      <c r="BH5" s="628"/>
      <c r="BI5" s="628"/>
      <c r="BJ5" s="628"/>
      <c r="BK5" s="628"/>
      <c r="BL5" s="628"/>
      <c r="BM5" s="628"/>
      <c r="BN5" s="628"/>
      <c r="BO5" s="628"/>
      <c r="BP5" s="628"/>
      <c r="BQ5" s="628"/>
      <c r="BR5" s="628"/>
      <c r="BS5" s="628"/>
      <c r="BT5" s="628"/>
      <c r="BU5" s="628"/>
      <c r="BV5" s="628"/>
      <c r="BW5" s="628"/>
      <c r="BX5" s="628"/>
      <c r="BY5" s="628"/>
      <c r="BZ5" s="628"/>
      <c r="CA5" s="628"/>
      <c r="CB5" s="628"/>
      <c r="CC5" s="628"/>
      <c r="CD5" s="628"/>
      <c r="CE5" s="628"/>
      <c r="CF5" s="628"/>
      <c r="CG5" s="628"/>
      <c r="CH5" s="628"/>
      <c r="CI5" s="628"/>
      <c r="CJ5" s="628"/>
      <c r="CK5" s="628"/>
      <c r="CL5" s="628"/>
      <c r="CM5" s="628"/>
      <c r="CN5" s="628"/>
      <c r="CO5" s="628"/>
      <c r="CP5" s="628"/>
      <c r="CQ5" s="628"/>
      <c r="CR5" s="628"/>
      <c r="CS5" s="628"/>
      <c r="CT5" s="628"/>
      <c r="CU5" s="628"/>
      <c r="CV5" s="628"/>
      <c r="CW5" s="628"/>
      <c r="CX5" s="628"/>
      <c r="CY5" s="628"/>
      <c r="CZ5" s="628"/>
      <c r="DA5" s="628"/>
      <c r="DB5" s="628"/>
      <c r="DC5" s="628"/>
      <c r="DD5" s="628"/>
      <c r="DE5" s="628"/>
      <c r="DF5" s="628"/>
      <c r="DG5" s="628"/>
      <c r="DH5" s="628"/>
      <c r="DI5" s="628"/>
      <c r="DJ5" s="628"/>
      <c r="DK5" s="628"/>
      <c r="DL5" s="628"/>
      <c r="DM5" s="628"/>
      <c r="DN5" s="628"/>
      <c r="DO5" s="628"/>
      <c r="DP5" s="628"/>
      <c r="DQ5" s="628"/>
      <c r="DR5" s="628"/>
      <c r="DS5" s="628"/>
      <c r="DT5" s="628"/>
      <c r="DU5" s="628"/>
      <c r="DV5" s="628"/>
      <c r="DW5" s="628"/>
      <c r="DX5" s="628"/>
      <c r="DY5" s="628"/>
      <c r="DZ5" s="628"/>
      <c r="EA5" s="628"/>
      <c r="EB5" s="628"/>
      <c r="EC5" s="628"/>
      <c r="ED5" s="628"/>
      <c r="EE5" s="628"/>
      <c r="EF5" s="628"/>
      <c r="EG5" s="628"/>
      <c r="EH5" s="628"/>
      <c r="EI5" s="628"/>
      <c r="EJ5" s="628"/>
      <c r="EK5" s="628"/>
      <c r="EL5" s="628"/>
      <c r="EM5" s="628"/>
      <c r="EN5" s="628"/>
      <c r="EO5" s="628"/>
      <c r="EP5" s="628"/>
      <c r="EQ5" s="628"/>
      <c r="ER5" s="628"/>
      <c r="ES5" s="628"/>
      <c r="ET5" s="628"/>
      <c r="EU5" s="628"/>
      <c r="EV5" s="628"/>
      <c r="EW5" s="628"/>
      <c r="EX5" s="628"/>
      <c r="EY5" s="628"/>
      <c r="EZ5" s="628"/>
      <c r="FA5" s="628"/>
      <c r="FB5" s="628"/>
      <c r="FC5" s="628"/>
      <c r="FD5" s="628"/>
      <c r="FE5" s="628"/>
      <c r="FF5" s="628"/>
      <c r="FG5" s="628"/>
      <c r="FH5" s="628"/>
      <c r="FI5" s="628"/>
      <c r="FJ5" s="628"/>
      <c r="FK5" s="628"/>
      <c r="FL5" s="628"/>
      <c r="FM5" s="628"/>
      <c r="FN5" s="628"/>
      <c r="FO5" s="628"/>
      <c r="FP5" s="628"/>
      <c r="FQ5" s="628"/>
      <c r="FR5" s="628"/>
      <c r="FS5" s="628"/>
      <c r="FT5" s="628"/>
      <c r="FU5" s="628"/>
      <c r="FV5" s="628"/>
      <c r="FW5" s="628"/>
      <c r="FX5" s="628"/>
      <c r="FY5" s="628"/>
      <c r="FZ5" s="628"/>
      <c r="GA5" s="628"/>
      <c r="GB5" s="628"/>
      <c r="GC5" s="628"/>
      <c r="GD5" s="628"/>
      <c r="GE5" s="628"/>
      <c r="GF5" s="628"/>
      <c r="GG5" s="628"/>
      <c r="GH5" s="628"/>
      <c r="GI5" s="628"/>
      <c r="GJ5" s="628"/>
      <c r="GK5" s="628"/>
      <c r="GL5" s="628"/>
      <c r="GM5" s="628"/>
      <c r="GN5" s="628"/>
      <c r="GO5" s="628"/>
      <c r="GP5" s="628"/>
      <c r="GQ5" s="628"/>
      <c r="GR5" s="628"/>
      <c r="GS5" s="628"/>
      <c r="GT5" s="628"/>
      <c r="GU5" s="628"/>
      <c r="GV5" s="628"/>
      <c r="GW5" s="628"/>
      <c r="GX5" s="628"/>
      <c r="GY5" s="628"/>
      <c r="GZ5" s="628"/>
      <c r="HA5" s="628"/>
      <c r="HB5" s="628"/>
      <c r="HC5" s="628"/>
      <c r="HD5" s="628"/>
      <c r="HE5" s="628"/>
      <c r="HF5" s="628"/>
      <c r="HG5" s="628"/>
      <c r="HH5" s="628"/>
      <c r="HI5" s="628"/>
      <c r="HJ5" s="628"/>
      <c r="HK5" s="628"/>
      <c r="HL5" s="628"/>
      <c r="HM5" s="628"/>
      <c r="HN5" s="628"/>
      <c r="HO5" s="628"/>
      <c r="HP5" s="628"/>
      <c r="HQ5" s="628"/>
      <c r="HR5" s="628"/>
      <c r="HS5" s="628"/>
      <c r="HT5" s="628"/>
      <c r="HU5" s="628"/>
      <c r="HV5" s="628"/>
      <c r="HW5" s="628"/>
      <c r="HX5" s="628"/>
      <c r="HY5" s="628"/>
      <c r="HZ5" s="628"/>
      <c r="IA5" s="628"/>
      <c r="IB5" s="628"/>
      <c r="IC5" s="628"/>
      <c r="ID5" s="628"/>
      <c r="IE5" s="628"/>
      <c r="IF5" s="628"/>
      <c r="IG5" s="628"/>
      <c r="IH5" s="628"/>
      <c r="II5" s="628"/>
      <c r="IJ5" s="628"/>
      <c r="IK5" s="628"/>
      <c r="IL5" s="628"/>
      <c r="IM5" s="628"/>
      <c r="IN5" s="628"/>
      <c r="IO5" s="628"/>
      <c r="IP5" s="628"/>
      <c r="IQ5" s="628"/>
      <c r="IR5" s="628"/>
      <c r="IS5" s="628"/>
      <c r="IT5" s="628"/>
      <c r="IU5" s="628"/>
      <c r="IV5" s="628"/>
      <c r="IW5" s="628"/>
      <c r="IX5" s="628"/>
      <c r="IY5" s="628"/>
      <c r="IZ5" s="628"/>
      <c r="JA5" s="628"/>
      <c r="JB5" s="628"/>
      <c r="JC5" s="628"/>
      <c r="JD5" s="628"/>
      <c r="JE5" s="628"/>
      <c r="JF5" s="628"/>
      <c r="JG5" s="628"/>
      <c r="JH5" s="628"/>
      <c r="JI5" s="628"/>
      <c r="JJ5" s="628"/>
      <c r="JK5" s="628"/>
      <c r="JL5" s="628"/>
      <c r="JM5" s="628"/>
      <c r="JN5" s="628"/>
      <c r="JO5" s="628"/>
      <c r="JP5" s="628"/>
      <c r="JQ5" s="628"/>
      <c r="JR5" s="628"/>
      <c r="JS5" s="628"/>
      <c r="JT5" s="628"/>
      <c r="JU5" s="628"/>
      <c r="JV5" s="628"/>
      <c r="JW5" s="628"/>
      <c r="JX5" s="628"/>
      <c r="JY5" s="628"/>
      <c r="JZ5" s="628"/>
      <c r="KA5" s="628"/>
      <c r="KB5" s="628"/>
      <c r="KC5" s="628"/>
      <c r="KD5" s="628"/>
      <c r="KE5" s="628"/>
      <c r="KF5" s="628"/>
      <c r="KG5" s="628"/>
      <c r="KH5" s="628"/>
      <c r="KI5" s="628"/>
      <c r="KJ5" s="628"/>
      <c r="KK5" s="628"/>
      <c r="KL5" s="628"/>
      <c r="KM5" s="628"/>
      <c r="KN5" s="628"/>
      <c r="KO5" s="628"/>
      <c r="KP5" s="628"/>
      <c r="KQ5" s="628"/>
      <c r="KR5" s="628"/>
      <c r="KS5" s="628"/>
      <c r="KT5" s="628"/>
      <c r="KU5" s="628"/>
      <c r="KV5" s="628"/>
      <c r="KW5" s="628"/>
      <c r="KX5" s="628"/>
      <c r="KY5" s="628"/>
      <c r="KZ5" s="628"/>
      <c r="LA5" s="628"/>
      <c r="LB5" s="628"/>
      <c r="LC5" s="628"/>
      <c r="LD5" s="628"/>
      <c r="LE5" s="628"/>
      <c r="LF5" s="628"/>
      <c r="LG5" s="628"/>
      <c r="LH5" s="628"/>
      <c r="LI5" s="628"/>
      <c r="LJ5" s="628"/>
      <c r="LK5" s="628"/>
      <c r="LL5" s="628"/>
      <c r="LM5" s="628"/>
      <c r="LN5" s="628"/>
      <c r="LO5" s="628"/>
      <c r="LP5" s="628"/>
      <c r="LQ5" s="628"/>
      <c r="LR5" s="628"/>
      <c r="LS5" s="628"/>
      <c r="LT5" s="628"/>
      <c r="LU5" s="628"/>
      <c r="LV5" s="628"/>
      <c r="LW5" s="628"/>
      <c r="LX5" s="628"/>
      <c r="LY5" s="628"/>
      <c r="LZ5" s="628"/>
      <c r="MA5" s="628"/>
      <c r="MB5" s="628"/>
      <c r="MC5" s="628"/>
      <c r="MD5" s="628"/>
      <c r="ME5" s="628"/>
      <c r="MF5" s="628"/>
      <c r="MG5" s="628"/>
      <c r="MH5" s="628"/>
      <c r="MI5" s="628"/>
      <c r="MJ5" s="628"/>
      <c r="MK5" s="628"/>
      <c r="ML5" s="628"/>
      <c r="MM5" s="628"/>
      <c r="MN5" s="628"/>
      <c r="MO5" s="628"/>
      <c r="MP5" s="628"/>
      <c r="MQ5" s="628"/>
      <c r="MR5" s="628"/>
      <c r="MS5" s="628"/>
      <c r="MT5" s="628"/>
      <c r="MU5" s="628"/>
      <c r="MV5" s="628"/>
      <c r="MW5" s="628"/>
      <c r="MX5" s="628"/>
      <c r="MY5" s="628"/>
      <c r="MZ5" s="628"/>
      <c r="NA5" s="628"/>
      <c r="NB5" s="628"/>
      <c r="NC5" s="628"/>
      <c r="ND5" s="628"/>
      <c r="NE5" s="628"/>
      <c r="NF5" s="628"/>
      <c r="NG5" s="628"/>
      <c r="NH5" s="628"/>
      <c r="NI5" s="628"/>
      <c r="NJ5" s="628"/>
      <c r="NK5" s="628"/>
      <c r="NL5" s="628"/>
      <c r="NM5" s="628"/>
      <c r="NN5" s="628"/>
      <c r="NO5" s="628"/>
      <c r="NP5" s="628"/>
      <c r="NQ5" s="628"/>
      <c r="NR5" s="628"/>
      <c r="NS5" s="628"/>
      <c r="NT5" s="628"/>
      <c r="NU5" s="628"/>
      <c r="NV5" s="628"/>
      <c r="NW5" s="628"/>
      <c r="NX5" s="628"/>
      <c r="NY5" s="628"/>
      <c r="NZ5" s="628"/>
      <c r="OA5" s="628"/>
      <c r="OB5" s="628"/>
      <c r="OC5" s="628"/>
      <c r="OD5" s="628"/>
      <c r="OE5" s="628"/>
      <c r="OF5" s="628"/>
      <c r="OG5" s="628"/>
      <c r="OH5" s="628"/>
      <c r="OI5" s="628"/>
      <c r="OJ5" s="628"/>
      <c r="OK5" s="628"/>
      <c r="OL5" s="628"/>
      <c r="OM5" s="628"/>
      <c r="ON5" s="628"/>
      <c r="OO5" s="628"/>
      <c r="OP5" s="628"/>
      <c r="OQ5" s="628"/>
      <c r="OR5" s="628"/>
      <c r="OS5" s="628"/>
      <c r="OT5" s="628"/>
      <c r="OU5" s="628"/>
      <c r="OV5" s="628"/>
      <c r="OW5" s="628"/>
      <c r="OX5" s="628"/>
      <c r="OY5" s="628"/>
      <c r="OZ5" s="628"/>
      <c r="PA5" s="628"/>
      <c r="PB5" s="628"/>
      <c r="PC5" s="628"/>
      <c r="PD5" s="628"/>
      <c r="PE5" s="628"/>
      <c r="PF5" s="628"/>
      <c r="PG5" s="628"/>
      <c r="PH5" s="628"/>
      <c r="PI5" s="628"/>
      <c r="PJ5" s="628"/>
      <c r="PK5" s="628"/>
      <c r="PL5" s="628"/>
      <c r="PM5" s="628"/>
      <c r="PN5" s="628"/>
      <c r="PO5" s="628"/>
      <c r="PP5" s="628"/>
      <c r="PQ5" s="628"/>
      <c r="PR5" s="628"/>
      <c r="PS5" s="628"/>
      <c r="PT5" s="628"/>
      <c r="PU5" s="628"/>
      <c r="PV5" s="628"/>
      <c r="PW5" s="628"/>
      <c r="PX5" s="628"/>
      <c r="PY5" s="628"/>
      <c r="PZ5" s="628"/>
      <c r="QA5" s="628"/>
      <c r="QB5" s="628"/>
      <c r="QC5" s="628"/>
      <c r="QD5" s="628"/>
      <c r="QE5" s="628"/>
      <c r="QF5" s="628"/>
      <c r="QG5" s="628"/>
      <c r="QH5" s="628"/>
      <c r="QI5" s="628"/>
      <c r="QJ5" s="628"/>
      <c r="QK5" s="628"/>
      <c r="QL5" s="628"/>
      <c r="QM5" s="628"/>
      <c r="QN5" s="628"/>
      <c r="QO5" s="628"/>
      <c r="QP5" s="628"/>
      <c r="QQ5" s="628"/>
      <c r="QR5" s="628"/>
      <c r="QS5" s="628"/>
      <c r="QT5" s="628"/>
      <c r="QU5" s="628"/>
      <c r="QV5" s="628"/>
      <c r="QW5" s="628"/>
      <c r="QX5" s="628"/>
      <c r="QY5" s="628"/>
      <c r="QZ5" s="628"/>
      <c r="RA5" s="628"/>
      <c r="RB5" s="628"/>
      <c r="RC5" s="628"/>
      <c r="RD5" s="628"/>
      <c r="RE5" s="628"/>
      <c r="RF5" s="628"/>
      <c r="RG5" s="628"/>
      <c r="RH5" s="628"/>
      <c r="RI5" s="628"/>
      <c r="RJ5" s="628"/>
      <c r="RK5" s="628"/>
      <c r="RL5" s="628"/>
      <c r="RM5" s="628"/>
      <c r="RN5" s="628"/>
      <c r="RO5" s="628"/>
      <c r="RP5" s="628"/>
      <c r="RQ5" s="628"/>
      <c r="RR5" s="628"/>
      <c r="RS5" s="628"/>
      <c r="RT5" s="628"/>
      <c r="RU5" s="628"/>
      <c r="RV5" s="628"/>
      <c r="RW5" s="628"/>
      <c r="RX5" s="628"/>
      <c r="RY5" s="628"/>
      <c r="RZ5" s="628"/>
      <c r="SA5" s="628"/>
      <c r="SB5" s="628"/>
      <c r="SC5" s="628"/>
      <c r="SD5" s="628"/>
      <c r="SE5" s="628"/>
      <c r="SF5" s="628"/>
      <c r="SG5" s="628"/>
      <c r="SH5" s="628"/>
      <c r="SI5" s="628"/>
      <c r="SJ5" s="628"/>
      <c r="SK5" s="628"/>
      <c r="SL5" s="628"/>
      <c r="SM5" s="628"/>
      <c r="SN5" s="628"/>
      <c r="SO5" s="628"/>
      <c r="SP5" s="628"/>
      <c r="SQ5" s="628"/>
      <c r="SR5" s="628"/>
      <c r="SS5" s="628"/>
      <c r="ST5" s="628"/>
      <c r="SU5" s="628"/>
      <c r="SV5" s="628"/>
      <c r="SW5" s="628"/>
      <c r="SX5" s="628"/>
      <c r="SY5" s="628"/>
      <c r="SZ5" s="628"/>
      <c r="TA5" s="628"/>
      <c r="TB5" s="628"/>
      <c r="TC5" s="628"/>
      <c r="TD5" s="628"/>
      <c r="TE5" s="628"/>
      <c r="TF5" s="628"/>
      <c r="TG5" s="628"/>
      <c r="TH5" s="628"/>
      <c r="TI5" s="628"/>
      <c r="TJ5" s="628"/>
      <c r="TK5" s="628"/>
      <c r="TL5" s="628"/>
      <c r="TM5" s="628"/>
      <c r="TN5" s="628"/>
      <c r="TO5" s="628"/>
      <c r="TP5" s="628"/>
      <c r="TQ5" s="628"/>
      <c r="TR5" s="628"/>
      <c r="TS5" s="628"/>
      <c r="TT5" s="628"/>
      <c r="TU5" s="628"/>
      <c r="TV5" s="628"/>
      <c r="TW5" s="628"/>
      <c r="TX5" s="628"/>
      <c r="TY5" s="628"/>
      <c r="TZ5" s="628"/>
      <c r="UA5" s="628"/>
      <c r="UB5" s="628"/>
      <c r="UC5" s="628"/>
      <c r="UD5" s="628"/>
      <c r="UE5" s="628"/>
      <c r="UF5" s="628"/>
      <c r="UG5" s="628"/>
      <c r="UH5" s="628"/>
      <c r="UI5" s="628"/>
      <c r="UJ5" s="628"/>
      <c r="UK5" s="628"/>
      <c r="UL5" s="628"/>
      <c r="UM5" s="628"/>
      <c r="UN5" s="628"/>
      <c r="UO5" s="628"/>
      <c r="UP5" s="628"/>
      <c r="UQ5" s="628"/>
      <c r="UR5" s="628"/>
      <c r="US5" s="628"/>
      <c r="UT5" s="628"/>
      <c r="UU5" s="628"/>
      <c r="UV5" s="628"/>
      <c r="UW5" s="628"/>
      <c r="UX5" s="628"/>
      <c r="UY5" s="628"/>
      <c r="UZ5" s="628"/>
      <c r="VA5" s="628"/>
      <c r="VB5" s="628"/>
      <c r="VC5" s="628"/>
      <c r="VD5" s="628"/>
      <c r="VE5" s="628"/>
      <c r="VF5" s="628"/>
      <c r="VG5" s="628"/>
      <c r="VH5" s="628"/>
      <c r="VI5" s="628"/>
      <c r="VJ5" s="628"/>
      <c r="VK5" s="628"/>
      <c r="VL5" s="628"/>
      <c r="VM5" s="628"/>
      <c r="VN5" s="628"/>
      <c r="VO5" s="628"/>
      <c r="VP5" s="628"/>
      <c r="VQ5" s="628"/>
      <c r="VR5" s="628"/>
      <c r="VS5" s="628"/>
      <c r="VT5" s="628"/>
      <c r="VU5" s="628"/>
      <c r="VV5" s="628"/>
      <c r="VW5" s="628"/>
      <c r="VX5" s="628"/>
      <c r="VY5" s="628"/>
      <c r="VZ5" s="628"/>
      <c r="WA5" s="628"/>
      <c r="WB5" s="628"/>
      <c r="WC5" s="628"/>
      <c r="WD5" s="628"/>
      <c r="WE5" s="628"/>
      <c r="WF5" s="628"/>
      <c r="WG5" s="628"/>
      <c r="WH5" s="628"/>
      <c r="WI5" s="628"/>
      <c r="WJ5" s="628"/>
      <c r="WK5" s="628"/>
      <c r="WL5" s="628"/>
      <c r="WM5" s="628"/>
      <c r="WN5" s="628"/>
      <c r="WO5" s="628"/>
      <c r="WP5" s="628"/>
      <c r="WQ5" s="628"/>
      <c r="WR5" s="628"/>
      <c r="WS5" s="628"/>
      <c r="WT5" s="628"/>
      <c r="WU5" s="628"/>
      <c r="WV5" s="628"/>
      <c r="WW5" s="628"/>
      <c r="WX5" s="628"/>
      <c r="WY5" s="628"/>
      <c r="WZ5" s="628"/>
      <c r="XA5" s="628"/>
      <c r="XB5" s="628"/>
      <c r="XC5" s="628"/>
      <c r="XD5" s="628"/>
      <c r="XE5" s="628"/>
      <c r="XF5" s="628"/>
      <c r="XG5" s="628"/>
      <c r="XH5" s="628"/>
      <c r="XI5" s="628"/>
      <c r="XJ5" s="628"/>
      <c r="XK5" s="628"/>
      <c r="XL5" s="628"/>
      <c r="XM5" s="628"/>
      <c r="XN5" s="628"/>
      <c r="XO5" s="628"/>
      <c r="XP5" s="628"/>
      <c r="XQ5" s="628"/>
      <c r="XR5" s="628"/>
      <c r="XS5" s="628"/>
      <c r="XT5" s="628"/>
      <c r="XU5" s="628"/>
      <c r="XV5" s="628"/>
      <c r="XW5" s="628"/>
      <c r="XX5" s="628"/>
      <c r="XY5" s="628"/>
      <c r="XZ5" s="628"/>
      <c r="YA5" s="628"/>
      <c r="YB5" s="628"/>
      <c r="YC5" s="628"/>
      <c r="YD5" s="628"/>
      <c r="YE5" s="628"/>
      <c r="YF5" s="628"/>
      <c r="YG5" s="628"/>
      <c r="YH5" s="628"/>
      <c r="YI5" s="628"/>
      <c r="YJ5" s="628"/>
      <c r="YK5" s="628"/>
      <c r="YL5" s="628"/>
      <c r="YM5" s="628"/>
      <c r="YN5" s="628"/>
      <c r="YO5" s="628"/>
      <c r="YP5" s="628"/>
      <c r="YQ5" s="628"/>
      <c r="YR5" s="628"/>
      <c r="YS5" s="628"/>
      <c r="YT5" s="628"/>
      <c r="YU5" s="628"/>
      <c r="YV5" s="628"/>
      <c r="YW5" s="628"/>
      <c r="YX5" s="628"/>
      <c r="YY5" s="628"/>
      <c r="YZ5" s="628"/>
      <c r="ZA5" s="628"/>
      <c r="ZB5" s="628"/>
      <c r="ZC5" s="628"/>
      <c r="ZD5" s="628"/>
      <c r="ZE5" s="628"/>
      <c r="ZF5" s="628"/>
      <c r="ZG5" s="628"/>
      <c r="ZH5" s="628"/>
      <c r="ZI5" s="628"/>
      <c r="ZJ5" s="628"/>
      <c r="ZK5" s="628"/>
      <c r="ZL5" s="628"/>
      <c r="ZM5" s="628"/>
      <c r="ZN5" s="628"/>
      <c r="ZO5" s="628"/>
      <c r="ZP5" s="628"/>
      <c r="ZQ5" s="628"/>
      <c r="ZR5" s="628"/>
      <c r="ZS5" s="628"/>
      <c r="ZT5" s="628"/>
      <c r="ZU5" s="628"/>
      <c r="ZV5" s="628"/>
      <c r="ZW5" s="628"/>
      <c r="ZX5" s="628"/>
      <c r="ZY5" s="628"/>
      <c r="ZZ5" s="628"/>
      <c r="AAA5" s="628"/>
      <c r="AAB5" s="628"/>
      <c r="AAC5" s="628"/>
      <c r="AAD5" s="628"/>
      <c r="AAE5" s="628"/>
      <c r="AAF5" s="628"/>
      <c r="AAG5" s="628"/>
      <c r="AAH5" s="628"/>
      <c r="AAI5" s="628"/>
      <c r="AAJ5" s="628"/>
      <c r="AAK5" s="628"/>
      <c r="AAL5" s="628"/>
      <c r="AAM5" s="628"/>
      <c r="AAN5" s="628"/>
      <c r="AAO5" s="628"/>
      <c r="AAP5" s="628"/>
      <c r="AAQ5" s="628"/>
      <c r="AAR5" s="628"/>
      <c r="AAS5" s="628"/>
      <c r="AAT5" s="628"/>
      <c r="AAU5" s="628"/>
      <c r="AAV5" s="628"/>
      <c r="AAW5" s="628"/>
      <c r="AAX5" s="628"/>
      <c r="AAY5" s="628"/>
      <c r="AAZ5" s="628"/>
      <c r="ABA5" s="628"/>
      <c r="ABB5" s="628"/>
      <c r="ABC5" s="628"/>
      <c r="ABD5" s="628"/>
      <c r="ABE5" s="628"/>
      <c r="ABF5" s="628"/>
      <c r="ABG5" s="628"/>
      <c r="ABH5" s="628"/>
      <c r="ABI5" s="628"/>
      <c r="ABJ5" s="628"/>
      <c r="ABK5" s="628"/>
      <c r="ABL5" s="628"/>
      <c r="ABM5" s="628"/>
      <c r="ABN5" s="628"/>
      <c r="ABO5" s="628"/>
      <c r="ABP5" s="628"/>
      <c r="ABQ5" s="628"/>
      <c r="ABR5" s="628"/>
      <c r="ABS5" s="628"/>
      <c r="ABT5" s="628"/>
      <c r="ABU5" s="628"/>
      <c r="ABV5" s="628"/>
      <c r="ABW5" s="628"/>
      <c r="ABX5" s="628"/>
      <c r="ABY5" s="628"/>
      <c r="ABZ5" s="628"/>
      <c r="ACA5" s="628"/>
      <c r="ACB5" s="628"/>
      <c r="ACC5" s="628"/>
      <c r="ACD5" s="628"/>
      <c r="ACE5" s="628"/>
      <c r="ACF5" s="628"/>
      <c r="ACG5" s="628"/>
      <c r="ACH5" s="628"/>
      <c r="ACI5" s="628"/>
      <c r="ACJ5" s="628"/>
      <c r="ACK5" s="628"/>
      <c r="ACL5" s="628"/>
      <c r="ACM5" s="628"/>
      <c r="ACN5" s="628"/>
      <c r="ACO5" s="628"/>
      <c r="ACP5" s="628"/>
      <c r="ACQ5" s="628"/>
      <c r="ACR5" s="628"/>
      <c r="ACS5" s="628"/>
      <c r="ACT5" s="628"/>
      <c r="ACU5" s="628"/>
      <c r="ACV5" s="628"/>
      <c r="ACW5" s="628"/>
      <c r="ACX5" s="628"/>
      <c r="ACY5" s="628"/>
      <c r="ACZ5" s="628"/>
      <c r="ADA5" s="628"/>
      <c r="ADB5" s="628"/>
      <c r="ADC5" s="628"/>
      <c r="ADD5" s="628"/>
      <c r="ADE5" s="628"/>
      <c r="ADF5" s="628"/>
      <c r="ADG5" s="628"/>
      <c r="ADH5" s="628"/>
      <c r="ADI5" s="628"/>
      <c r="ADJ5" s="628"/>
      <c r="ADK5" s="628"/>
      <c r="ADL5" s="628"/>
      <c r="ADM5" s="628"/>
      <c r="ADN5" s="628"/>
      <c r="ADO5" s="628"/>
      <c r="ADP5" s="628"/>
      <c r="ADQ5" s="628"/>
      <c r="ADR5" s="628"/>
      <c r="ADS5" s="628"/>
      <c r="ADT5" s="628"/>
      <c r="ADU5" s="628"/>
      <c r="ADV5" s="628"/>
      <c r="ADW5" s="628"/>
      <c r="ADX5" s="628"/>
      <c r="ADY5" s="628"/>
      <c r="ADZ5" s="628"/>
      <c r="AEA5" s="628"/>
      <c r="AEB5" s="628"/>
      <c r="AEC5" s="628"/>
      <c r="AED5" s="628"/>
      <c r="AEE5" s="628"/>
      <c r="AEF5" s="628"/>
      <c r="AEG5" s="628"/>
      <c r="AEH5" s="628"/>
      <c r="AEI5" s="628"/>
      <c r="AEJ5" s="628"/>
      <c r="AEK5" s="628"/>
      <c r="AEL5" s="628"/>
      <c r="AEM5" s="628"/>
      <c r="AEN5" s="628"/>
      <c r="AEO5" s="628"/>
      <c r="AEP5" s="628"/>
      <c r="AEQ5" s="628"/>
      <c r="AER5" s="628"/>
      <c r="AES5" s="628"/>
      <c r="AET5" s="628"/>
      <c r="AEU5" s="628"/>
      <c r="AEV5" s="628"/>
      <c r="AEW5" s="628"/>
      <c r="AEX5" s="628"/>
      <c r="AEY5" s="628"/>
      <c r="AEZ5" s="628"/>
      <c r="AFA5" s="628"/>
      <c r="AFB5" s="628"/>
      <c r="AFC5" s="628"/>
      <c r="AFD5" s="628"/>
      <c r="AFE5" s="628"/>
      <c r="AFF5" s="628"/>
      <c r="AFG5" s="628"/>
      <c r="AFH5" s="628"/>
      <c r="AFI5" s="628"/>
      <c r="AFJ5" s="628"/>
      <c r="AFK5" s="628"/>
      <c r="AFL5" s="628"/>
      <c r="AFM5" s="628"/>
      <c r="AFN5" s="628"/>
      <c r="AFO5" s="628"/>
      <c r="AFP5" s="628"/>
      <c r="AFQ5" s="628"/>
      <c r="AFR5" s="628"/>
      <c r="AFS5" s="628"/>
      <c r="AFT5" s="628"/>
      <c r="AFU5" s="628"/>
      <c r="AFV5" s="628"/>
      <c r="AFW5" s="628"/>
      <c r="AFX5" s="628"/>
      <c r="AFY5" s="628"/>
      <c r="AFZ5" s="628"/>
      <c r="AGA5" s="628"/>
      <c r="AGB5" s="628"/>
      <c r="AGC5" s="628"/>
      <c r="AGD5" s="628"/>
      <c r="AGE5" s="628"/>
      <c r="AGF5" s="628"/>
      <c r="AGG5" s="628"/>
      <c r="AGH5" s="628"/>
      <c r="AGI5" s="628"/>
      <c r="AGJ5" s="628"/>
      <c r="AGK5" s="628"/>
      <c r="AGL5" s="628"/>
      <c r="AGM5" s="628"/>
      <c r="AGN5" s="628"/>
      <c r="AGO5" s="628"/>
      <c r="AGP5" s="628"/>
      <c r="AGQ5" s="628"/>
      <c r="AGR5" s="628"/>
      <c r="AGS5" s="628"/>
      <c r="AGT5" s="628"/>
      <c r="AGU5" s="628"/>
      <c r="AGV5" s="628"/>
      <c r="AGW5" s="628"/>
      <c r="AGX5" s="628"/>
      <c r="AGY5" s="628"/>
      <c r="AGZ5" s="628"/>
      <c r="AHA5" s="628"/>
      <c r="AHB5" s="628"/>
      <c r="AHC5" s="628"/>
      <c r="AHD5" s="628"/>
      <c r="AHE5" s="628"/>
      <c r="AHF5" s="628"/>
      <c r="AHG5" s="628"/>
      <c r="AHH5" s="628"/>
      <c r="AHI5" s="628"/>
      <c r="AHJ5" s="628"/>
      <c r="AHK5" s="628"/>
      <c r="AHL5" s="628"/>
      <c r="AHM5" s="628"/>
      <c r="AHN5" s="628"/>
      <c r="AHO5" s="628"/>
      <c r="AHP5" s="628"/>
      <c r="AHQ5" s="628"/>
      <c r="AHR5" s="628"/>
      <c r="AHS5" s="628"/>
      <c r="AHT5" s="628"/>
      <c r="AHU5" s="628"/>
      <c r="AHV5" s="628"/>
      <c r="AHW5" s="628"/>
      <c r="AHX5" s="628"/>
      <c r="AHY5" s="628"/>
      <c r="AHZ5" s="628"/>
      <c r="AIA5" s="628"/>
      <c r="AIB5" s="628"/>
      <c r="AIC5" s="628"/>
      <c r="AID5" s="628"/>
      <c r="AIE5" s="628"/>
      <c r="AIF5" s="628"/>
      <c r="AIG5" s="628"/>
      <c r="AIH5" s="628"/>
      <c r="AII5" s="628"/>
      <c r="AIJ5" s="628"/>
      <c r="AIK5" s="628"/>
      <c r="AIL5" s="628"/>
      <c r="AIM5" s="628"/>
      <c r="AIN5" s="628"/>
      <c r="AIO5" s="628"/>
      <c r="AIP5" s="628"/>
      <c r="AIQ5" s="628"/>
      <c r="AIR5" s="628"/>
      <c r="AIS5" s="628"/>
      <c r="AIT5" s="628"/>
      <c r="AIU5" s="628"/>
      <c r="AIV5" s="628"/>
      <c r="AIW5" s="628"/>
      <c r="AIX5" s="628"/>
      <c r="AIY5" s="628"/>
      <c r="AIZ5" s="628"/>
      <c r="AJA5" s="628"/>
      <c r="AJB5" s="628"/>
      <c r="AJC5" s="628"/>
      <c r="AJD5" s="628"/>
      <c r="AJE5" s="628"/>
      <c r="AJF5" s="628"/>
      <c r="AJG5" s="628"/>
      <c r="AJH5" s="628"/>
      <c r="AJI5" s="628"/>
      <c r="AJJ5" s="628"/>
      <c r="AJK5" s="628"/>
      <c r="AJL5" s="628"/>
      <c r="AJM5" s="628"/>
      <c r="AJN5" s="628"/>
      <c r="AJO5" s="628"/>
      <c r="AJP5" s="628"/>
      <c r="AJQ5" s="628"/>
      <c r="AJR5" s="628"/>
      <c r="AJS5" s="628"/>
      <c r="AJT5" s="628"/>
      <c r="AJU5" s="628"/>
      <c r="AJV5" s="628"/>
      <c r="AJW5" s="628"/>
      <c r="AJX5" s="628"/>
      <c r="AJY5" s="628"/>
      <c r="AJZ5" s="628"/>
      <c r="AKA5" s="628"/>
      <c r="AKB5" s="628"/>
      <c r="AKC5" s="628"/>
      <c r="AKD5" s="628"/>
      <c r="AKE5" s="628"/>
      <c r="AKF5" s="628"/>
      <c r="AKG5" s="628"/>
      <c r="AKH5" s="628"/>
      <c r="AKI5" s="628"/>
      <c r="AKJ5" s="628"/>
      <c r="AKK5" s="628"/>
      <c r="AKL5" s="628"/>
      <c r="AKM5" s="628"/>
      <c r="AKN5" s="628"/>
      <c r="AKO5" s="628"/>
      <c r="AKP5" s="628"/>
      <c r="AKQ5" s="628"/>
      <c r="AKR5" s="628"/>
      <c r="AKS5" s="628"/>
      <c r="AKT5" s="628"/>
      <c r="AKU5" s="628"/>
      <c r="AKV5" s="628"/>
      <c r="AKW5" s="628"/>
      <c r="AKX5" s="628"/>
      <c r="AKY5" s="628"/>
      <c r="AKZ5" s="628"/>
      <c r="ALA5" s="628"/>
      <c r="ALB5" s="628"/>
      <c r="ALC5" s="628"/>
      <c r="ALD5" s="628"/>
      <c r="ALE5" s="628"/>
      <c r="ALF5" s="628"/>
      <c r="ALG5" s="628"/>
      <c r="ALH5" s="628"/>
      <c r="ALI5" s="628"/>
      <c r="ALJ5" s="628"/>
      <c r="ALK5" s="628"/>
      <c r="ALL5" s="628"/>
      <c r="ALM5" s="628"/>
      <c r="ALN5" s="628"/>
      <c r="ALO5" s="628"/>
      <c r="ALP5" s="628"/>
      <c r="ALQ5" s="628"/>
      <c r="ALR5" s="628"/>
      <c r="ALS5" s="628"/>
      <c r="ALT5" s="628"/>
      <c r="ALU5" s="628"/>
      <c r="ALV5" s="628"/>
      <c r="ALW5" s="628"/>
      <c r="ALX5" s="628"/>
      <c r="ALY5" s="628"/>
      <c r="ALZ5" s="628"/>
      <c r="AMA5" s="628"/>
      <c r="AMB5" s="628"/>
      <c r="AMC5" s="628"/>
      <c r="AMD5" s="628"/>
      <c r="AME5" s="628"/>
      <c r="AMF5" s="628"/>
      <c r="AMG5" s="628"/>
      <c r="AMH5" s="628"/>
      <c r="AMI5" s="628"/>
      <c r="AMJ5" s="628"/>
      <c r="AMK5" s="628"/>
      <c r="AML5" s="628"/>
      <c r="AMM5" s="628"/>
      <c r="AMN5" s="628"/>
      <c r="AMO5" s="628"/>
      <c r="AMP5" s="628"/>
      <c r="AMQ5" s="628"/>
      <c r="AMR5" s="628"/>
      <c r="AMS5" s="628"/>
      <c r="AMT5" s="628"/>
      <c r="AMU5" s="628"/>
      <c r="AMV5" s="628"/>
      <c r="AMW5" s="628"/>
      <c r="AMX5" s="628"/>
      <c r="AMY5" s="628"/>
      <c r="AMZ5" s="628"/>
      <c r="ANA5" s="628"/>
      <c r="ANB5" s="628"/>
      <c r="ANC5" s="628"/>
      <c r="AND5" s="628"/>
      <c r="ANE5" s="628"/>
      <c r="ANF5" s="628"/>
      <c r="ANG5" s="628"/>
      <c r="ANH5" s="628"/>
      <c r="ANI5" s="628"/>
      <c r="ANJ5" s="628"/>
      <c r="ANK5" s="628"/>
      <c r="ANL5" s="628"/>
      <c r="ANM5" s="628"/>
      <c r="ANN5" s="628"/>
      <c r="ANO5" s="628"/>
      <c r="ANP5" s="628"/>
      <c r="ANQ5" s="628"/>
      <c r="ANR5" s="628"/>
      <c r="ANS5" s="628"/>
      <c r="ANT5" s="628"/>
      <c r="ANU5" s="628"/>
      <c r="ANV5" s="628"/>
      <c r="ANW5" s="628"/>
      <c r="ANX5" s="628"/>
      <c r="ANY5" s="628"/>
      <c r="ANZ5" s="628"/>
      <c r="AOA5" s="628"/>
      <c r="AOB5" s="628"/>
      <c r="AOC5" s="628"/>
      <c r="AOD5" s="628"/>
      <c r="AOE5" s="628"/>
      <c r="AOF5" s="628"/>
      <c r="AOG5" s="628"/>
      <c r="AOH5" s="628"/>
      <c r="AOI5" s="628"/>
      <c r="AOJ5" s="628"/>
      <c r="AOK5" s="628"/>
      <c r="AOL5" s="628"/>
      <c r="AOM5" s="628"/>
      <c r="AON5" s="628"/>
      <c r="AOO5" s="628"/>
      <c r="AOP5" s="628"/>
      <c r="AOQ5" s="628"/>
      <c r="AOR5" s="628"/>
      <c r="AOS5" s="628"/>
      <c r="AOT5" s="628"/>
      <c r="AOU5" s="628"/>
      <c r="AOV5" s="628"/>
      <c r="AOW5" s="628"/>
      <c r="AOX5" s="628"/>
      <c r="AOY5" s="628"/>
      <c r="AOZ5" s="628"/>
      <c r="APA5" s="628"/>
      <c r="APB5" s="628"/>
      <c r="APC5" s="628"/>
      <c r="APD5" s="628"/>
      <c r="APE5" s="628"/>
      <c r="APF5" s="628"/>
      <c r="APG5" s="628"/>
      <c r="APH5" s="628"/>
      <c r="API5" s="628"/>
      <c r="APJ5" s="628"/>
      <c r="APK5" s="628"/>
      <c r="APL5" s="628"/>
      <c r="APM5" s="628"/>
      <c r="APN5" s="628"/>
      <c r="APO5" s="628"/>
      <c r="APP5" s="628"/>
      <c r="APQ5" s="628"/>
      <c r="APR5" s="628"/>
      <c r="APS5" s="628"/>
      <c r="APT5" s="628"/>
      <c r="APU5" s="628"/>
      <c r="APV5" s="628"/>
      <c r="APW5" s="628"/>
      <c r="APX5" s="628"/>
      <c r="APY5" s="628"/>
      <c r="APZ5" s="628"/>
      <c r="AQA5" s="628"/>
      <c r="AQB5" s="628"/>
      <c r="AQC5" s="628"/>
      <c r="AQD5" s="628"/>
      <c r="AQE5" s="628"/>
      <c r="AQF5" s="628"/>
      <c r="AQG5" s="628"/>
      <c r="AQH5" s="628"/>
      <c r="AQI5" s="628"/>
      <c r="AQJ5" s="628"/>
      <c r="AQK5" s="628"/>
      <c r="AQL5" s="628"/>
      <c r="AQM5" s="628"/>
      <c r="AQN5" s="628"/>
      <c r="AQO5" s="628"/>
      <c r="AQP5" s="628"/>
      <c r="AQQ5" s="628"/>
      <c r="AQR5" s="628"/>
      <c r="AQS5" s="628"/>
      <c r="AQT5" s="628"/>
      <c r="AQU5" s="628"/>
      <c r="AQV5" s="628"/>
      <c r="AQW5" s="628"/>
      <c r="AQX5" s="628"/>
      <c r="AQY5" s="628"/>
      <c r="AQZ5" s="628"/>
      <c r="ARA5" s="628"/>
      <c r="ARB5" s="628"/>
      <c r="ARC5" s="628"/>
      <c r="ARD5" s="628"/>
      <c r="ARE5" s="628"/>
      <c r="ARF5" s="628"/>
      <c r="ARG5" s="628"/>
      <c r="ARH5" s="628"/>
      <c r="ARI5" s="628"/>
      <c r="ARJ5" s="628"/>
      <c r="ARK5" s="628"/>
      <c r="ARL5" s="628"/>
      <c r="ARM5" s="628"/>
      <c r="ARN5" s="628"/>
      <c r="ARO5" s="628"/>
      <c r="ARP5" s="628"/>
      <c r="ARQ5" s="628"/>
      <c r="ARR5" s="628"/>
      <c r="ARS5" s="628"/>
      <c r="ART5" s="628"/>
      <c r="ARU5" s="628"/>
      <c r="ARV5" s="628"/>
      <c r="ARW5" s="628"/>
      <c r="ARX5" s="628"/>
      <c r="ARY5" s="628"/>
      <c r="ARZ5" s="628"/>
      <c r="ASA5" s="628"/>
      <c r="ASB5" s="628"/>
      <c r="ASC5" s="628"/>
      <c r="ASD5" s="628"/>
      <c r="ASE5" s="628"/>
      <c r="ASF5" s="628"/>
      <c r="ASG5" s="628"/>
      <c r="ASH5" s="628"/>
      <c r="ASI5" s="628"/>
      <c r="ASJ5" s="628"/>
      <c r="ASK5" s="628"/>
      <c r="ASL5" s="628"/>
      <c r="ASM5" s="628"/>
      <c r="ASN5" s="628"/>
      <c r="ASO5" s="628"/>
      <c r="ASP5" s="628"/>
      <c r="ASQ5" s="628"/>
      <c r="ASR5" s="628"/>
      <c r="ASS5" s="628"/>
      <c r="AST5" s="628"/>
      <c r="ASU5" s="628"/>
      <c r="ASV5" s="628"/>
      <c r="ASW5" s="628"/>
      <c r="ASX5" s="628"/>
      <c r="ASY5" s="628"/>
      <c r="ASZ5" s="628"/>
      <c r="ATA5" s="628"/>
      <c r="ATB5" s="628"/>
      <c r="ATC5" s="628"/>
      <c r="ATD5" s="628"/>
      <c r="ATE5" s="628"/>
      <c r="ATF5" s="628"/>
      <c r="ATG5" s="628"/>
      <c r="ATH5" s="628"/>
      <c r="ATI5" s="628"/>
      <c r="ATJ5" s="628"/>
      <c r="ATK5" s="628"/>
      <c r="ATL5" s="628"/>
      <c r="ATM5" s="628"/>
      <c r="ATN5" s="628"/>
      <c r="ATO5" s="628"/>
      <c r="ATP5" s="628"/>
      <c r="ATQ5" s="628"/>
      <c r="ATR5" s="628"/>
      <c r="ATS5" s="628"/>
      <c r="ATT5" s="628"/>
      <c r="ATU5" s="628"/>
      <c r="ATV5" s="628"/>
      <c r="ATW5" s="628"/>
      <c r="ATX5" s="628"/>
      <c r="ATY5" s="628"/>
      <c r="ATZ5" s="628"/>
      <c r="AUA5" s="628"/>
      <c r="AUB5" s="628"/>
      <c r="AUC5" s="628"/>
      <c r="AUD5" s="628"/>
      <c r="AUE5" s="628"/>
      <c r="AUF5" s="628"/>
      <c r="AUG5" s="628"/>
      <c r="AUH5" s="628"/>
      <c r="AUI5" s="628"/>
      <c r="AUJ5" s="628"/>
      <c r="AUK5" s="628"/>
      <c r="AUL5" s="628"/>
      <c r="AUM5" s="628"/>
      <c r="AUN5" s="628"/>
      <c r="AUO5" s="628"/>
      <c r="AUP5" s="628"/>
      <c r="AUQ5" s="628"/>
      <c r="AUR5" s="628"/>
      <c r="AUS5" s="628"/>
      <c r="AUT5" s="628"/>
      <c r="AUU5" s="628"/>
      <c r="AUV5" s="628"/>
      <c r="AUW5" s="628"/>
      <c r="AUX5" s="628"/>
      <c r="AUY5" s="628"/>
      <c r="AUZ5" s="628"/>
      <c r="AVA5" s="628"/>
      <c r="AVB5" s="628"/>
      <c r="AVC5" s="628"/>
      <c r="AVD5" s="628"/>
      <c r="AVE5" s="628"/>
      <c r="AVF5" s="628"/>
      <c r="AVG5" s="628"/>
      <c r="AVH5" s="628"/>
      <c r="AVI5" s="628"/>
      <c r="AVJ5" s="628"/>
      <c r="AVK5" s="628"/>
      <c r="AVL5" s="628"/>
      <c r="AVM5" s="628"/>
      <c r="AVN5" s="628"/>
      <c r="AVO5" s="628"/>
      <c r="AVP5" s="628"/>
      <c r="AVQ5" s="628"/>
      <c r="AVR5" s="628"/>
      <c r="AVS5" s="628"/>
      <c r="AVT5" s="628"/>
      <c r="AVU5" s="628"/>
      <c r="AVV5" s="628"/>
      <c r="AVW5" s="628"/>
      <c r="AVX5" s="628"/>
      <c r="AVY5" s="628"/>
      <c r="AVZ5" s="628"/>
      <c r="AWA5" s="628"/>
      <c r="AWB5" s="628"/>
      <c r="AWC5" s="628"/>
      <c r="AWD5" s="628"/>
      <c r="AWE5" s="628"/>
      <c r="AWF5" s="628"/>
      <c r="AWG5" s="628"/>
      <c r="AWH5" s="628"/>
      <c r="AWI5" s="628"/>
      <c r="AWJ5" s="628"/>
      <c r="AWK5" s="628"/>
      <c r="AWL5" s="628"/>
      <c r="AWM5" s="628"/>
      <c r="AWN5" s="628"/>
      <c r="AWO5" s="628"/>
      <c r="AWP5" s="628"/>
      <c r="AWQ5" s="628"/>
      <c r="AWR5" s="628"/>
      <c r="AWS5" s="628"/>
      <c r="AWT5" s="628"/>
      <c r="AWU5" s="628"/>
      <c r="AWV5" s="628"/>
      <c r="AWW5" s="628"/>
      <c r="AWX5" s="628"/>
      <c r="AWY5" s="628"/>
      <c r="AWZ5" s="628"/>
      <c r="AXA5" s="628"/>
      <c r="AXB5" s="628"/>
      <c r="AXC5" s="628"/>
      <c r="AXD5" s="628"/>
      <c r="AXE5" s="628"/>
      <c r="AXF5" s="628"/>
      <c r="AXG5" s="628"/>
      <c r="AXH5" s="628"/>
      <c r="AXI5" s="628"/>
      <c r="AXJ5" s="628"/>
      <c r="AXK5" s="628"/>
      <c r="AXL5" s="628"/>
      <c r="AXM5" s="628"/>
      <c r="AXN5" s="628"/>
      <c r="AXO5" s="628"/>
      <c r="AXP5" s="628"/>
      <c r="AXQ5" s="628"/>
      <c r="AXR5" s="628"/>
      <c r="AXS5" s="628"/>
      <c r="AXT5" s="628"/>
      <c r="AXU5" s="628"/>
      <c r="AXV5" s="628"/>
      <c r="AXW5" s="628"/>
      <c r="AXX5" s="628"/>
      <c r="AXY5" s="628"/>
      <c r="AXZ5" s="628"/>
      <c r="AYA5" s="628"/>
      <c r="AYB5" s="628"/>
      <c r="AYC5" s="628"/>
      <c r="AYD5" s="628"/>
      <c r="AYE5" s="628"/>
      <c r="AYF5" s="628"/>
      <c r="AYG5" s="628"/>
      <c r="AYH5" s="628"/>
      <c r="AYI5" s="628"/>
      <c r="AYJ5" s="628"/>
      <c r="AYK5" s="628"/>
      <c r="AYL5" s="628"/>
      <c r="AYM5" s="628"/>
      <c r="AYN5" s="628"/>
      <c r="AYO5" s="628"/>
      <c r="AYP5" s="628"/>
      <c r="AYQ5" s="628"/>
      <c r="AYR5" s="628"/>
      <c r="AYS5" s="628"/>
      <c r="AYT5" s="628"/>
      <c r="AYU5" s="628"/>
      <c r="AYV5" s="628"/>
      <c r="AYW5" s="628"/>
      <c r="AYX5" s="628"/>
      <c r="AYY5" s="628"/>
      <c r="AYZ5" s="628"/>
      <c r="AZA5" s="628"/>
      <c r="AZB5" s="628"/>
      <c r="AZC5" s="628"/>
      <c r="AZD5" s="628"/>
      <c r="AZE5" s="628"/>
      <c r="AZF5" s="628"/>
      <c r="AZG5" s="628"/>
      <c r="AZH5" s="628"/>
      <c r="AZI5" s="628"/>
      <c r="AZJ5" s="628"/>
      <c r="AZK5" s="628"/>
      <c r="AZL5" s="628"/>
      <c r="AZM5" s="628"/>
      <c r="AZN5" s="628"/>
      <c r="AZO5" s="628"/>
      <c r="AZP5" s="628"/>
      <c r="AZQ5" s="628"/>
      <c r="AZR5" s="628"/>
      <c r="AZS5" s="628"/>
      <c r="AZT5" s="628"/>
      <c r="AZU5" s="628"/>
      <c r="AZV5" s="628"/>
      <c r="AZW5" s="628"/>
      <c r="AZX5" s="628"/>
      <c r="AZY5" s="628"/>
      <c r="AZZ5" s="628"/>
      <c r="BAA5" s="628"/>
      <c r="BAB5" s="628"/>
      <c r="BAC5" s="628"/>
      <c r="BAD5" s="628"/>
      <c r="BAE5" s="628"/>
      <c r="BAF5" s="628"/>
      <c r="BAG5" s="628"/>
      <c r="BAH5" s="628"/>
      <c r="BAI5" s="628"/>
      <c r="BAJ5" s="628"/>
      <c r="BAK5" s="628"/>
      <c r="BAL5" s="628"/>
      <c r="BAM5" s="628"/>
      <c r="BAN5" s="628"/>
      <c r="BAO5" s="628"/>
      <c r="BAP5" s="628"/>
      <c r="BAQ5" s="628"/>
      <c r="BAR5" s="628"/>
      <c r="BAS5" s="628"/>
      <c r="BAT5" s="628"/>
      <c r="BAU5" s="628"/>
      <c r="BAV5" s="628"/>
      <c r="BAW5" s="628"/>
      <c r="BAX5" s="628"/>
      <c r="BAY5" s="628"/>
      <c r="BAZ5" s="628"/>
      <c r="BBA5" s="628"/>
      <c r="BBB5" s="628"/>
      <c r="BBC5" s="628"/>
      <c r="BBD5" s="628"/>
      <c r="BBE5" s="628"/>
      <c r="BBF5" s="628"/>
      <c r="BBG5" s="628"/>
      <c r="BBH5" s="628"/>
      <c r="BBI5" s="628"/>
      <c r="BBJ5" s="628"/>
      <c r="BBK5" s="628"/>
      <c r="BBL5" s="628"/>
      <c r="BBM5" s="628"/>
      <c r="BBN5" s="628"/>
      <c r="BBO5" s="628"/>
      <c r="BBP5" s="628"/>
      <c r="BBQ5" s="628"/>
      <c r="BBR5" s="628"/>
      <c r="BBS5" s="628"/>
      <c r="BBT5" s="628"/>
      <c r="BBU5" s="628"/>
      <c r="BBV5" s="628"/>
      <c r="BBW5" s="628"/>
      <c r="BBX5" s="628"/>
      <c r="BBY5" s="628"/>
      <c r="BBZ5" s="628"/>
      <c r="BCA5" s="628"/>
      <c r="BCB5" s="628"/>
      <c r="BCC5" s="628"/>
      <c r="BCD5" s="628"/>
      <c r="BCE5" s="628"/>
      <c r="BCF5" s="628"/>
      <c r="BCG5" s="628"/>
      <c r="BCH5" s="628"/>
      <c r="BCI5" s="628"/>
      <c r="BCJ5" s="628"/>
      <c r="BCK5" s="628"/>
      <c r="BCL5" s="628"/>
      <c r="BCM5" s="628"/>
      <c r="BCN5" s="628"/>
      <c r="BCO5" s="628"/>
      <c r="BCP5" s="628"/>
      <c r="BCQ5" s="628"/>
      <c r="BCR5" s="628"/>
      <c r="BCS5" s="628"/>
      <c r="BCT5" s="628"/>
      <c r="BCU5" s="628"/>
      <c r="BCV5" s="628"/>
      <c r="BCW5" s="628"/>
      <c r="BCX5" s="628"/>
      <c r="BCY5" s="628"/>
      <c r="BCZ5" s="628"/>
      <c r="BDA5" s="628"/>
      <c r="BDB5" s="628"/>
      <c r="BDC5" s="628"/>
      <c r="BDD5" s="628"/>
      <c r="BDE5" s="628"/>
      <c r="BDF5" s="628"/>
      <c r="BDG5" s="628"/>
      <c r="BDH5" s="628"/>
      <c r="BDI5" s="628"/>
      <c r="BDJ5" s="628"/>
      <c r="BDK5" s="628"/>
      <c r="BDL5" s="628"/>
      <c r="BDM5" s="628"/>
      <c r="BDN5" s="628"/>
      <c r="BDO5" s="628"/>
      <c r="BDP5" s="628"/>
      <c r="BDQ5" s="628"/>
      <c r="BDR5" s="628"/>
      <c r="BDS5" s="628"/>
      <c r="BDT5" s="628"/>
      <c r="BDU5" s="628"/>
      <c r="BDV5" s="628"/>
      <c r="BDW5" s="628"/>
      <c r="BDX5" s="628"/>
      <c r="BDY5" s="628"/>
      <c r="BDZ5" s="628"/>
      <c r="BEA5" s="628"/>
      <c r="BEB5" s="628"/>
      <c r="BEC5" s="628"/>
      <c r="BED5" s="628"/>
      <c r="BEE5" s="628"/>
      <c r="BEF5" s="628"/>
      <c r="BEG5" s="628"/>
      <c r="BEH5" s="628"/>
      <c r="BEI5" s="628"/>
      <c r="BEJ5" s="628"/>
      <c r="BEK5" s="628"/>
      <c r="BEL5" s="628"/>
      <c r="BEM5" s="628"/>
      <c r="BEN5" s="628"/>
      <c r="BEO5" s="628"/>
      <c r="BEP5" s="628"/>
      <c r="BEQ5" s="628"/>
      <c r="BER5" s="628"/>
      <c r="BES5" s="628"/>
      <c r="BET5" s="628"/>
      <c r="BEU5" s="628"/>
      <c r="BEV5" s="628"/>
      <c r="BEW5" s="628"/>
      <c r="BEX5" s="628"/>
      <c r="BEY5" s="628"/>
      <c r="BEZ5" s="628"/>
      <c r="BFA5" s="628"/>
      <c r="BFB5" s="628"/>
      <c r="BFC5" s="628"/>
      <c r="BFD5" s="628"/>
      <c r="BFE5" s="628"/>
      <c r="BFF5" s="628"/>
      <c r="BFG5" s="628"/>
      <c r="BFH5" s="628"/>
      <c r="BFI5" s="628"/>
      <c r="BFJ5" s="628"/>
      <c r="BFK5" s="628"/>
      <c r="BFL5" s="628"/>
      <c r="BFM5" s="628"/>
      <c r="BFN5" s="628"/>
      <c r="BFO5" s="628"/>
      <c r="BFP5" s="628"/>
      <c r="BFQ5" s="628"/>
      <c r="BFR5" s="628"/>
      <c r="BFS5" s="628"/>
      <c r="BFT5" s="628"/>
      <c r="BFU5" s="628"/>
      <c r="BFV5" s="628"/>
      <c r="BFW5" s="628"/>
      <c r="BFX5" s="628"/>
      <c r="BFY5" s="628"/>
      <c r="BFZ5" s="628"/>
      <c r="BGA5" s="628"/>
      <c r="BGB5" s="628"/>
      <c r="BGC5" s="628"/>
      <c r="BGD5" s="628"/>
      <c r="BGE5" s="628"/>
      <c r="BGF5" s="628"/>
      <c r="BGG5" s="628"/>
      <c r="BGH5" s="628"/>
      <c r="BGI5" s="628"/>
      <c r="BGJ5" s="628"/>
      <c r="BGK5" s="628"/>
      <c r="BGL5" s="628"/>
      <c r="BGM5" s="628"/>
      <c r="BGN5" s="628"/>
      <c r="BGO5" s="628"/>
      <c r="BGP5" s="628"/>
      <c r="BGQ5" s="628"/>
      <c r="BGR5" s="628"/>
      <c r="BGS5" s="628"/>
      <c r="BGT5" s="628"/>
      <c r="BGU5" s="628"/>
      <c r="BGV5" s="628"/>
      <c r="BGW5" s="628"/>
      <c r="BGX5" s="628"/>
      <c r="BGY5" s="628"/>
      <c r="BGZ5" s="628"/>
      <c r="BHA5" s="628"/>
      <c r="BHB5" s="628"/>
      <c r="BHC5" s="628"/>
      <c r="BHD5" s="628"/>
      <c r="BHE5" s="628"/>
      <c r="BHF5" s="628"/>
      <c r="BHG5" s="628"/>
      <c r="BHH5" s="628"/>
      <c r="BHI5" s="628"/>
      <c r="BHJ5" s="628"/>
      <c r="BHK5" s="628"/>
      <c r="BHL5" s="628"/>
      <c r="BHM5" s="628"/>
      <c r="BHN5" s="628"/>
      <c r="BHO5" s="628"/>
      <c r="BHP5" s="628"/>
      <c r="BHQ5" s="628"/>
      <c r="BHR5" s="628"/>
      <c r="BHS5" s="628"/>
      <c r="BHT5" s="628"/>
      <c r="BHU5" s="628"/>
      <c r="BHV5" s="628"/>
      <c r="BHW5" s="628"/>
      <c r="BHX5" s="628"/>
      <c r="BHY5" s="628"/>
      <c r="BHZ5" s="628"/>
      <c r="BIA5" s="628"/>
      <c r="BIB5" s="628"/>
      <c r="BIC5" s="628"/>
      <c r="BID5" s="628"/>
      <c r="BIE5" s="628"/>
      <c r="BIF5" s="628"/>
      <c r="BIG5" s="628"/>
      <c r="BIH5" s="628"/>
      <c r="BII5" s="628"/>
      <c r="BIJ5" s="628"/>
      <c r="BIK5" s="628"/>
      <c r="BIL5" s="628"/>
      <c r="BIM5" s="628"/>
      <c r="BIN5" s="628"/>
      <c r="BIO5" s="628"/>
      <c r="BIP5" s="628"/>
      <c r="BIQ5" s="628"/>
      <c r="BIR5" s="628"/>
      <c r="BIS5" s="628"/>
      <c r="BIT5" s="628"/>
      <c r="BIU5" s="628"/>
      <c r="BIV5" s="628"/>
      <c r="BIW5" s="628"/>
      <c r="BIX5" s="628"/>
      <c r="BIY5" s="628"/>
      <c r="BIZ5" s="628"/>
      <c r="BJA5" s="628"/>
      <c r="BJB5" s="628"/>
      <c r="BJC5" s="628"/>
      <c r="BJD5" s="628"/>
      <c r="BJE5" s="628"/>
      <c r="BJF5" s="628"/>
      <c r="BJG5" s="628"/>
      <c r="BJH5" s="628"/>
      <c r="BJI5" s="628"/>
      <c r="BJJ5" s="628"/>
      <c r="BJK5" s="628"/>
      <c r="BJL5" s="628"/>
      <c r="BJM5" s="628"/>
      <c r="BJN5" s="628"/>
      <c r="BJO5" s="628"/>
      <c r="BJP5" s="628"/>
      <c r="BJQ5" s="628"/>
      <c r="BJR5" s="628"/>
      <c r="BJS5" s="628"/>
      <c r="BJT5" s="628"/>
      <c r="BJU5" s="628"/>
      <c r="BJV5" s="628"/>
      <c r="BJW5" s="628"/>
      <c r="BJX5" s="628"/>
      <c r="BJY5" s="628"/>
      <c r="BJZ5" s="628"/>
      <c r="BKA5" s="628"/>
      <c r="BKB5" s="628"/>
      <c r="BKC5" s="628"/>
      <c r="BKD5" s="628"/>
      <c r="BKE5" s="628"/>
      <c r="BKF5" s="628"/>
      <c r="BKG5" s="628"/>
      <c r="BKH5" s="628"/>
      <c r="BKI5" s="628"/>
      <c r="BKJ5" s="628"/>
      <c r="BKK5" s="628"/>
      <c r="BKL5" s="628"/>
      <c r="BKM5" s="628"/>
      <c r="BKN5" s="628"/>
      <c r="BKO5" s="628"/>
      <c r="BKP5" s="628"/>
      <c r="BKQ5" s="628"/>
      <c r="BKR5" s="628"/>
      <c r="BKS5" s="628"/>
      <c r="BKT5" s="628"/>
      <c r="BKU5" s="628"/>
      <c r="BKV5" s="628"/>
      <c r="BKW5" s="628"/>
      <c r="BKX5" s="628"/>
      <c r="BKY5" s="628"/>
      <c r="BKZ5" s="628"/>
      <c r="BLA5" s="628"/>
      <c r="BLB5" s="628"/>
      <c r="BLC5" s="628"/>
      <c r="BLD5" s="628"/>
      <c r="BLE5" s="628"/>
      <c r="BLF5" s="628"/>
      <c r="BLG5" s="628"/>
      <c r="BLH5" s="628"/>
      <c r="BLI5" s="628"/>
      <c r="BLJ5" s="628"/>
      <c r="BLK5" s="628"/>
      <c r="BLL5" s="628"/>
      <c r="BLM5" s="628"/>
      <c r="BLN5" s="628"/>
      <c r="BLO5" s="628"/>
      <c r="BLP5" s="628"/>
      <c r="BLQ5" s="628"/>
      <c r="BLR5" s="628"/>
      <c r="BLS5" s="628"/>
      <c r="BLT5" s="628"/>
      <c r="BLU5" s="628"/>
      <c r="BLV5" s="628"/>
      <c r="BLW5" s="628"/>
      <c r="BLX5" s="628"/>
      <c r="BLY5" s="628"/>
      <c r="BLZ5" s="628"/>
      <c r="BMA5" s="628"/>
      <c r="BMB5" s="628"/>
      <c r="BMC5" s="628"/>
      <c r="BMD5" s="628"/>
      <c r="BME5" s="628"/>
      <c r="BMF5" s="628"/>
      <c r="BMG5" s="628"/>
      <c r="BMH5" s="628"/>
      <c r="BMI5" s="628"/>
      <c r="BMJ5" s="628"/>
      <c r="BMK5" s="628"/>
      <c r="BML5" s="628"/>
      <c r="BMM5" s="628"/>
      <c r="BMN5" s="628"/>
      <c r="BMO5" s="628"/>
      <c r="BMP5" s="628"/>
      <c r="BMQ5" s="628"/>
      <c r="BMR5" s="628"/>
      <c r="BMS5" s="628"/>
      <c r="BMT5" s="628"/>
      <c r="BMU5" s="628"/>
      <c r="BMV5" s="628"/>
      <c r="BMW5" s="628"/>
      <c r="BMX5" s="628"/>
      <c r="BMY5" s="628"/>
      <c r="BMZ5" s="628"/>
      <c r="BNA5" s="628"/>
      <c r="BNB5" s="628"/>
      <c r="BNC5" s="628"/>
      <c r="BND5" s="628"/>
      <c r="BNE5" s="628"/>
      <c r="BNF5" s="628"/>
      <c r="BNG5" s="628"/>
      <c r="BNH5" s="628"/>
      <c r="BNI5" s="628"/>
      <c r="BNJ5" s="628"/>
      <c r="BNK5" s="628"/>
      <c r="BNL5" s="628"/>
      <c r="BNM5" s="628"/>
      <c r="BNN5" s="628"/>
      <c r="BNO5" s="628"/>
      <c r="BNP5" s="628"/>
      <c r="BNQ5" s="628"/>
      <c r="BNR5" s="628"/>
      <c r="BNS5" s="628"/>
      <c r="BNT5" s="628"/>
      <c r="BNU5" s="628"/>
      <c r="BNV5" s="628"/>
      <c r="BNW5" s="628"/>
      <c r="BNX5" s="628"/>
      <c r="BNY5" s="628"/>
      <c r="BNZ5" s="628"/>
      <c r="BOA5" s="628"/>
      <c r="BOB5" s="628"/>
      <c r="BOC5" s="628"/>
      <c r="BOD5" s="628"/>
      <c r="BOE5" s="628"/>
      <c r="BOF5" s="628"/>
      <c r="BOG5" s="628"/>
      <c r="BOH5" s="628"/>
      <c r="BOI5" s="628"/>
      <c r="BOJ5" s="628"/>
      <c r="BOK5" s="628"/>
      <c r="BOL5" s="628"/>
      <c r="BOM5" s="628"/>
      <c r="BON5" s="628"/>
      <c r="BOO5" s="628"/>
      <c r="BOP5" s="628"/>
      <c r="BOQ5" s="628"/>
      <c r="BOR5" s="628"/>
      <c r="BOS5" s="628"/>
      <c r="BOT5" s="628"/>
      <c r="BOU5" s="628"/>
      <c r="BOV5" s="628"/>
      <c r="BOW5" s="628"/>
      <c r="BOX5" s="628"/>
      <c r="BOY5" s="628"/>
      <c r="BOZ5" s="628"/>
      <c r="BPA5" s="628"/>
      <c r="BPB5" s="628"/>
      <c r="BPC5" s="628"/>
      <c r="BPD5" s="628"/>
      <c r="BPE5" s="628"/>
      <c r="BPF5" s="628"/>
      <c r="BPG5" s="628"/>
      <c r="BPH5" s="628"/>
      <c r="BPI5" s="628"/>
      <c r="BPJ5" s="628"/>
      <c r="BPK5" s="628"/>
      <c r="BPL5" s="628"/>
      <c r="BPM5" s="628"/>
      <c r="BPN5" s="628"/>
      <c r="BPO5" s="628"/>
      <c r="BPP5" s="628"/>
      <c r="BPQ5" s="628"/>
      <c r="BPR5" s="628"/>
      <c r="BPS5" s="628"/>
      <c r="BPT5" s="628"/>
      <c r="BPU5" s="628"/>
      <c r="BPV5" s="628"/>
      <c r="BPW5" s="628"/>
      <c r="BPX5" s="628"/>
      <c r="BPY5" s="628"/>
      <c r="BPZ5" s="628"/>
      <c r="BQA5" s="628"/>
      <c r="BQB5" s="628"/>
      <c r="BQC5" s="628"/>
      <c r="BQD5" s="628"/>
      <c r="BQE5" s="628"/>
      <c r="BQF5" s="628"/>
      <c r="BQG5" s="628"/>
      <c r="BQH5" s="628"/>
      <c r="BQI5" s="628"/>
      <c r="BQJ5" s="628"/>
      <c r="BQK5" s="628"/>
      <c r="BQL5" s="628"/>
      <c r="BQM5" s="628"/>
      <c r="BQN5" s="628"/>
      <c r="BQO5" s="628"/>
      <c r="BQP5" s="628"/>
      <c r="BQQ5" s="628"/>
      <c r="BQR5" s="628"/>
      <c r="BQS5" s="628"/>
      <c r="BQT5" s="628"/>
      <c r="BQU5" s="628"/>
      <c r="BQV5" s="628"/>
      <c r="BQW5" s="628"/>
      <c r="BQX5" s="628"/>
      <c r="BQY5" s="628"/>
      <c r="BQZ5" s="628"/>
      <c r="BRA5" s="628"/>
      <c r="BRB5" s="628"/>
      <c r="BRC5" s="628"/>
      <c r="BRD5" s="628"/>
      <c r="BRE5" s="628"/>
      <c r="BRF5" s="628"/>
      <c r="BRG5" s="628"/>
      <c r="BRH5" s="628"/>
      <c r="BRI5" s="628"/>
      <c r="BRJ5" s="628"/>
      <c r="BRK5" s="628"/>
      <c r="BRL5" s="628"/>
      <c r="BRM5" s="628"/>
      <c r="BRN5" s="628"/>
      <c r="BRO5" s="628"/>
      <c r="BRP5" s="628"/>
      <c r="BRQ5" s="628"/>
      <c r="BRR5" s="628"/>
      <c r="BRS5" s="628"/>
      <c r="BRT5" s="628"/>
      <c r="BRU5" s="628"/>
      <c r="BRV5" s="628"/>
      <c r="BRW5" s="628"/>
      <c r="BRX5" s="628"/>
      <c r="BRY5" s="628"/>
      <c r="BRZ5" s="628"/>
      <c r="BSA5" s="628"/>
      <c r="BSB5" s="628"/>
      <c r="BSC5" s="628"/>
      <c r="BSD5" s="628"/>
      <c r="BSE5" s="628"/>
      <c r="BSF5" s="628"/>
      <c r="BSG5" s="628"/>
      <c r="BSH5" s="628"/>
      <c r="BSI5" s="628"/>
      <c r="BSJ5" s="628"/>
      <c r="BSK5" s="628"/>
      <c r="BSL5" s="628"/>
      <c r="BSM5" s="628"/>
      <c r="BSN5" s="628"/>
      <c r="BSO5" s="628"/>
      <c r="BSP5" s="628"/>
      <c r="BSQ5" s="628"/>
      <c r="BSR5" s="628"/>
      <c r="BSS5" s="628"/>
      <c r="BST5" s="628"/>
      <c r="BSU5" s="628"/>
      <c r="BSV5" s="628"/>
      <c r="BSW5" s="628"/>
      <c r="BSX5" s="628"/>
      <c r="BSY5" s="628"/>
      <c r="BSZ5" s="628"/>
      <c r="BTA5" s="628"/>
      <c r="BTB5" s="628"/>
      <c r="BTC5" s="628"/>
      <c r="BTD5" s="628"/>
      <c r="BTE5" s="628"/>
      <c r="BTF5" s="628"/>
      <c r="BTG5" s="628"/>
      <c r="BTH5" s="628"/>
      <c r="BTI5" s="628"/>
      <c r="BTJ5" s="628"/>
      <c r="BTK5" s="628"/>
      <c r="BTL5" s="628"/>
      <c r="BTM5" s="628"/>
      <c r="BTN5" s="628"/>
      <c r="BTO5" s="628"/>
      <c r="BTP5" s="628"/>
      <c r="BTQ5" s="628"/>
      <c r="BTR5" s="628"/>
      <c r="BTS5" s="628"/>
      <c r="BTT5" s="628"/>
      <c r="BTU5" s="628"/>
      <c r="BTV5" s="628"/>
      <c r="BTW5" s="628"/>
      <c r="BTX5" s="628"/>
      <c r="BTY5" s="628"/>
      <c r="BTZ5" s="628"/>
      <c r="BUA5" s="628"/>
      <c r="BUB5" s="628"/>
      <c r="BUC5" s="628"/>
      <c r="BUD5" s="628"/>
      <c r="BUE5" s="628"/>
      <c r="BUF5" s="628"/>
      <c r="BUG5" s="628"/>
      <c r="BUH5" s="628"/>
      <c r="BUI5" s="628"/>
      <c r="BUJ5" s="628"/>
      <c r="BUK5" s="628"/>
      <c r="BUL5" s="628"/>
      <c r="BUM5" s="628"/>
      <c r="BUN5" s="628"/>
      <c r="BUO5" s="628"/>
      <c r="BUP5" s="628"/>
      <c r="BUQ5" s="628"/>
      <c r="BUR5" s="628"/>
      <c r="BUS5" s="628"/>
      <c r="BUT5" s="628"/>
      <c r="BUU5" s="628"/>
      <c r="BUV5" s="628"/>
      <c r="BUW5" s="628"/>
      <c r="BUX5" s="628"/>
      <c r="BUY5" s="628"/>
      <c r="BUZ5" s="628"/>
      <c r="BVA5" s="628"/>
      <c r="BVB5" s="628"/>
      <c r="BVC5" s="628"/>
      <c r="BVD5" s="628"/>
      <c r="BVE5" s="628"/>
      <c r="BVF5" s="628"/>
      <c r="BVG5" s="628"/>
      <c r="BVH5" s="628"/>
      <c r="BVI5" s="628"/>
      <c r="BVJ5" s="628"/>
      <c r="BVK5" s="628"/>
      <c r="BVL5" s="628"/>
      <c r="BVM5" s="628"/>
      <c r="BVN5" s="628"/>
      <c r="BVO5" s="628"/>
      <c r="BVP5" s="628"/>
      <c r="BVQ5" s="628"/>
      <c r="BVR5" s="628"/>
      <c r="BVS5" s="628"/>
      <c r="BVT5" s="628"/>
      <c r="BVU5" s="628"/>
      <c r="BVV5" s="628"/>
      <c r="BVW5" s="628"/>
      <c r="BVX5" s="628"/>
      <c r="BVY5" s="628"/>
      <c r="BVZ5" s="628"/>
      <c r="BWA5" s="628"/>
      <c r="BWB5" s="628"/>
      <c r="BWC5" s="628"/>
      <c r="BWD5" s="628"/>
      <c r="BWE5" s="628"/>
      <c r="BWF5" s="628"/>
      <c r="BWG5" s="628"/>
      <c r="BWH5" s="628"/>
      <c r="BWI5" s="628"/>
      <c r="BWJ5" s="628"/>
      <c r="BWK5" s="628"/>
      <c r="BWL5" s="628"/>
      <c r="BWM5" s="628"/>
      <c r="BWN5" s="628"/>
      <c r="BWO5" s="628"/>
      <c r="BWP5" s="628"/>
      <c r="BWQ5" s="628"/>
      <c r="BWR5" s="628"/>
      <c r="BWS5" s="628"/>
      <c r="BWT5" s="628"/>
      <c r="BWU5" s="628"/>
      <c r="BWV5" s="628"/>
      <c r="BWW5" s="628"/>
      <c r="BWX5" s="628"/>
      <c r="BWY5" s="628"/>
      <c r="BWZ5" s="628"/>
      <c r="BXA5" s="628"/>
      <c r="BXB5" s="628"/>
      <c r="BXC5" s="628"/>
      <c r="BXD5" s="628"/>
      <c r="BXE5" s="628"/>
      <c r="BXF5" s="628"/>
      <c r="BXG5" s="628"/>
      <c r="BXH5" s="628"/>
      <c r="BXI5" s="628"/>
      <c r="BXJ5" s="628"/>
      <c r="BXK5" s="628"/>
      <c r="BXL5" s="628"/>
      <c r="BXM5" s="628"/>
      <c r="BXN5" s="628"/>
      <c r="BXO5" s="628"/>
      <c r="BXP5" s="628"/>
      <c r="BXQ5" s="628"/>
      <c r="BXR5" s="628"/>
      <c r="BXS5" s="628"/>
      <c r="BXT5" s="628"/>
      <c r="BXU5" s="628"/>
      <c r="BXV5" s="628"/>
      <c r="BXW5" s="628"/>
      <c r="BXX5" s="628"/>
      <c r="BXY5" s="628"/>
      <c r="BXZ5" s="628"/>
      <c r="BYA5" s="628"/>
      <c r="BYB5" s="628"/>
      <c r="BYC5" s="628"/>
      <c r="BYD5" s="628"/>
      <c r="BYE5" s="628"/>
      <c r="BYF5" s="628"/>
      <c r="BYG5" s="628"/>
      <c r="BYH5" s="628"/>
      <c r="BYI5" s="628"/>
      <c r="BYJ5" s="628"/>
      <c r="BYK5" s="628"/>
      <c r="BYL5" s="628"/>
      <c r="BYM5" s="628"/>
      <c r="BYN5" s="628"/>
      <c r="BYO5" s="628"/>
      <c r="BYP5" s="628"/>
      <c r="BYQ5" s="628"/>
      <c r="BYR5" s="628"/>
      <c r="BYS5" s="628"/>
      <c r="BYT5" s="628"/>
      <c r="BYU5" s="628"/>
      <c r="BYV5" s="628"/>
      <c r="BYW5" s="628"/>
      <c r="BYX5" s="628"/>
      <c r="BYY5" s="628"/>
      <c r="BYZ5" s="628"/>
      <c r="BZA5" s="628"/>
      <c r="BZB5" s="628"/>
      <c r="BZC5" s="628"/>
      <c r="BZD5" s="628"/>
      <c r="BZE5" s="628"/>
      <c r="BZF5" s="628"/>
      <c r="BZG5" s="628"/>
      <c r="BZH5" s="628"/>
      <c r="BZI5" s="628"/>
      <c r="BZJ5" s="628"/>
      <c r="BZK5" s="628"/>
      <c r="BZL5" s="628"/>
      <c r="BZM5" s="628"/>
      <c r="BZN5" s="628"/>
      <c r="BZO5" s="628"/>
      <c r="BZP5" s="628"/>
      <c r="BZQ5" s="628"/>
      <c r="BZR5" s="628"/>
      <c r="BZS5" s="628"/>
      <c r="BZT5" s="628"/>
      <c r="BZU5" s="628"/>
      <c r="BZV5" s="628"/>
      <c r="BZW5" s="628"/>
      <c r="BZX5" s="628"/>
      <c r="BZY5" s="628"/>
      <c r="BZZ5" s="628"/>
      <c r="CAA5" s="628"/>
      <c r="CAB5" s="628"/>
      <c r="CAC5" s="628"/>
      <c r="CAD5" s="628"/>
      <c r="CAE5" s="628"/>
      <c r="CAF5" s="628"/>
      <c r="CAG5" s="628"/>
      <c r="CAH5" s="628"/>
      <c r="CAI5" s="628"/>
      <c r="CAJ5" s="628"/>
      <c r="CAK5" s="628"/>
      <c r="CAL5" s="628"/>
      <c r="CAM5" s="628"/>
      <c r="CAN5" s="628"/>
      <c r="CAO5" s="628"/>
      <c r="CAP5" s="628"/>
      <c r="CAQ5" s="628"/>
      <c r="CAR5" s="628"/>
      <c r="CAS5" s="628"/>
      <c r="CAT5" s="628"/>
      <c r="CAU5" s="628"/>
      <c r="CAV5" s="628"/>
      <c r="CAW5" s="628"/>
      <c r="CAX5" s="628"/>
      <c r="CAY5" s="628"/>
      <c r="CAZ5" s="628"/>
      <c r="CBA5" s="628"/>
      <c r="CBB5" s="628"/>
      <c r="CBC5" s="628"/>
      <c r="CBD5" s="628"/>
      <c r="CBE5" s="628"/>
      <c r="CBF5" s="628"/>
      <c r="CBG5" s="628"/>
      <c r="CBH5" s="628"/>
      <c r="CBI5" s="628"/>
      <c r="CBJ5" s="628"/>
      <c r="CBK5" s="628"/>
      <c r="CBL5" s="628"/>
      <c r="CBM5" s="628"/>
      <c r="CBN5" s="628"/>
      <c r="CBO5" s="628"/>
      <c r="CBP5" s="628"/>
      <c r="CBQ5" s="628"/>
      <c r="CBR5" s="628"/>
      <c r="CBS5" s="628"/>
      <c r="CBT5" s="628"/>
      <c r="CBU5" s="628"/>
      <c r="CBV5" s="628"/>
      <c r="CBW5" s="628"/>
      <c r="CBX5" s="628"/>
      <c r="CBY5" s="628"/>
      <c r="CBZ5" s="628"/>
      <c r="CCA5" s="628"/>
      <c r="CCB5" s="628"/>
      <c r="CCC5" s="628"/>
      <c r="CCD5" s="628"/>
      <c r="CCE5" s="628"/>
      <c r="CCF5" s="628"/>
      <c r="CCG5" s="628"/>
      <c r="CCH5" s="628"/>
      <c r="CCI5" s="628"/>
      <c r="CCJ5" s="628"/>
      <c r="CCK5" s="628"/>
      <c r="CCL5" s="628"/>
      <c r="CCM5" s="628"/>
      <c r="CCN5" s="628"/>
      <c r="CCO5" s="628"/>
      <c r="CCP5" s="628"/>
      <c r="CCQ5" s="628"/>
      <c r="CCR5" s="628"/>
      <c r="CCS5" s="628"/>
      <c r="CCT5" s="628"/>
      <c r="CCU5" s="628"/>
      <c r="CCV5" s="628"/>
      <c r="CCW5" s="628"/>
      <c r="CCX5" s="628"/>
      <c r="CCY5" s="628"/>
      <c r="CCZ5" s="628"/>
      <c r="CDA5" s="628"/>
      <c r="CDB5" s="628"/>
      <c r="CDC5" s="628"/>
      <c r="CDD5" s="628"/>
      <c r="CDE5" s="628"/>
      <c r="CDF5" s="628"/>
      <c r="CDG5" s="628"/>
      <c r="CDH5" s="628"/>
      <c r="CDI5" s="628"/>
      <c r="CDJ5" s="628"/>
      <c r="CDK5" s="628"/>
      <c r="CDL5" s="628"/>
      <c r="CDM5" s="628"/>
      <c r="CDN5" s="628"/>
      <c r="CDO5" s="628"/>
      <c r="CDP5" s="628"/>
      <c r="CDQ5" s="628"/>
      <c r="CDR5" s="628"/>
      <c r="CDS5" s="628"/>
      <c r="CDT5" s="628"/>
      <c r="CDU5" s="628"/>
      <c r="CDV5" s="628"/>
      <c r="CDW5" s="628"/>
      <c r="CDX5" s="628"/>
      <c r="CDY5" s="628"/>
      <c r="CDZ5" s="628"/>
      <c r="CEA5" s="628"/>
      <c r="CEB5" s="628"/>
      <c r="CEC5" s="628"/>
      <c r="CED5" s="628"/>
      <c r="CEE5" s="628"/>
      <c r="CEF5" s="628"/>
      <c r="CEG5" s="628"/>
      <c r="CEH5" s="628"/>
      <c r="CEI5" s="628"/>
      <c r="CEJ5" s="628"/>
      <c r="CEK5" s="628"/>
      <c r="CEL5" s="628"/>
      <c r="CEM5" s="628"/>
      <c r="CEN5" s="628"/>
      <c r="CEO5" s="628"/>
      <c r="CEP5" s="628"/>
      <c r="CEQ5" s="628"/>
      <c r="CER5" s="628"/>
      <c r="CES5" s="628"/>
      <c r="CET5" s="628"/>
      <c r="CEU5" s="628"/>
      <c r="CEV5" s="628"/>
      <c r="CEW5" s="628"/>
      <c r="CEX5" s="628"/>
      <c r="CEY5" s="628"/>
      <c r="CEZ5" s="628"/>
      <c r="CFA5" s="628"/>
      <c r="CFB5" s="628"/>
      <c r="CFC5" s="628"/>
      <c r="CFD5" s="628"/>
      <c r="CFE5" s="628"/>
      <c r="CFF5" s="628"/>
      <c r="CFG5" s="628"/>
      <c r="CFH5" s="628"/>
      <c r="CFI5" s="628"/>
      <c r="CFJ5" s="628"/>
      <c r="CFK5" s="628"/>
      <c r="CFL5" s="628"/>
      <c r="CFM5" s="628"/>
      <c r="CFN5" s="628"/>
      <c r="CFO5" s="628"/>
      <c r="CFP5" s="628"/>
      <c r="CFQ5" s="628"/>
      <c r="CFR5" s="628"/>
      <c r="CFS5" s="628"/>
      <c r="CFT5" s="628"/>
      <c r="CFU5" s="628"/>
      <c r="CFV5" s="628"/>
      <c r="CFW5" s="628"/>
      <c r="CFX5" s="628"/>
      <c r="CFY5" s="628"/>
      <c r="CFZ5" s="628"/>
      <c r="CGA5" s="628"/>
      <c r="CGB5" s="628"/>
      <c r="CGC5" s="628"/>
      <c r="CGD5" s="628"/>
      <c r="CGE5" s="628"/>
      <c r="CGF5" s="628"/>
      <c r="CGG5" s="628"/>
      <c r="CGH5" s="628"/>
      <c r="CGI5" s="628"/>
      <c r="CGJ5" s="628"/>
      <c r="CGK5" s="628"/>
      <c r="CGL5" s="628"/>
      <c r="CGM5" s="628"/>
      <c r="CGN5" s="628"/>
      <c r="CGO5" s="628"/>
      <c r="CGP5" s="628"/>
      <c r="CGQ5" s="628"/>
      <c r="CGR5" s="628"/>
      <c r="CGS5" s="628"/>
      <c r="CGT5" s="628"/>
      <c r="CGU5" s="628"/>
      <c r="CGV5" s="628"/>
      <c r="CGW5" s="628"/>
      <c r="CGX5" s="628"/>
      <c r="CGY5" s="628"/>
      <c r="CGZ5" s="628"/>
      <c r="CHA5" s="628"/>
      <c r="CHB5" s="628"/>
      <c r="CHC5" s="628"/>
      <c r="CHD5" s="628"/>
      <c r="CHE5" s="628"/>
      <c r="CHF5" s="628"/>
      <c r="CHG5" s="628"/>
      <c r="CHH5" s="628"/>
      <c r="CHI5" s="628"/>
      <c r="CHJ5" s="628"/>
      <c r="CHK5" s="628"/>
      <c r="CHL5" s="628"/>
      <c r="CHM5" s="628"/>
      <c r="CHN5" s="628"/>
      <c r="CHO5" s="628"/>
      <c r="CHP5" s="628"/>
      <c r="CHQ5" s="628"/>
      <c r="CHR5" s="628"/>
      <c r="CHS5" s="628"/>
      <c r="CHT5" s="628"/>
      <c r="CHU5" s="628"/>
      <c r="CHV5" s="628"/>
      <c r="CHW5" s="628"/>
      <c r="CHX5" s="628"/>
      <c r="CHY5" s="628"/>
      <c r="CHZ5" s="628"/>
      <c r="CIA5" s="628"/>
      <c r="CIB5" s="628"/>
      <c r="CIC5" s="628"/>
      <c r="CID5" s="628"/>
      <c r="CIE5" s="628"/>
      <c r="CIF5" s="628"/>
      <c r="CIG5" s="628"/>
      <c r="CIH5" s="628"/>
      <c r="CII5" s="628"/>
      <c r="CIJ5" s="628"/>
      <c r="CIK5" s="628"/>
      <c r="CIL5" s="628"/>
      <c r="CIM5" s="628"/>
      <c r="CIN5" s="628"/>
      <c r="CIO5" s="628"/>
      <c r="CIP5" s="628"/>
      <c r="CIQ5" s="628"/>
      <c r="CIR5" s="628"/>
      <c r="CIS5" s="628"/>
      <c r="CIT5" s="628"/>
      <c r="CIU5" s="628"/>
      <c r="CIV5" s="628"/>
      <c r="CIW5" s="628"/>
      <c r="CIX5" s="628"/>
      <c r="CIY5" s="628"/>
      <c r="CIZ5" s="628"/>
      <c r="CJA5" s="628"/>
      <c r="CJB5" s="628"/>
      <c r="CJC5" s="628"/>
      <c r="CJD5" s="628"/>
      <c r="CJE5" s="628"/>
      <c r="CJF5" s="628"/>
      <c r="CJG5" s="628"/>
      <c r="CJH5" s="628"/>
      <c r="CJI5" s="628"/>
      <c r="CJJ5" s="628"/>
      <c r="CJK5" s="628"/>
      <c r="CJL5" s="628"/>
      <c r="CJM5" s="628"/>
      <c r="CJN5" s="628"/>
      <c r="CJO5" s="628"/>
      <c r="CJP5" s="628"/>
      <c r="CJQ5" s="628"/>
      <c r="CJR5" s="628"/>
      <c r="CJS5" s="628"/>
      <c r="CJT5" s="628"/>
      <c r="CJU5" s="628"/>
      <c r="CJV5" s="628"/>
      <c r="CJW5" s="628"/>
      <c r="CJX5" s="628"/>
      <c r="CJY5" s="628"/>
      <c r="CJZ5" s="628"/>
      <c r="CKA5" s="628"/>
      <c r="CKB5" s="628"/>
      <c r="CKC5" s="628"/>
      <c r="CKD5" s="628"/>
      <c r="CKE5" s="628"/>
      <c r="CKF5" s="628"/>
      <c r="CKG5" s="628"/>
      <c r="CKH5" s="628"/>
      <c r="CKI5" s="628"/>
      <c r="CKJ5" s="628"/>
      <c r="CKK5" s="628"/>
      <c r="CKL5" s="628"/>
      <c r="CKM5" s="628"/>
      <c r="CKN5" s="628"/>
      <c r="CKO5" s="628"/>
      <c r="CKP5" s="628"/>
      <c r="CKQ5" s="628"/>
      <c r="CKR5" s="628"/>
      <c r="CKS5" s="628"/>
      <c r="CKT5" s="628"/>
      <c r="CKU5" s="628"/>
      <c r="CKV5" s="628"/>
      <c r="CKW5" s="628"/>
      <c r="CKX5" s="628"/>
      <c r="CKY5" s="628"/>
      <c r="CKZ5" s="628"/>
      <c r="CLA5" s="628"/>
      <c r="CLB5" s="628"/>
      <c r="CLC5" s="628"/>
      <c r="CLD5" s="628"/>
      <c r="CLE5" s="628"/>
      <c r="CLF5" s="628"/>
      <c r="CLG5" s="628"/>
      <c r="CLH5" s="628"/>
      <c r="CLI5" s="628"/>
      <c r="CLJ5" s="628"/>
      <c r="CLK5" s="628"/>
      <c r="CLL5" s="628"/>
      <c r="CLM5" s="628"/>
      <c r="CLN5" s="628"/>
      <c r="CLO5" s="628"/>
      <c r="CLP5" s="628"/>
      <c r="CLQ5" s="628"/>
      <c r="CLR5" s="628"/>
      <c r="CLS5" s="628"/>
      <c r="CLT5" s="628"/>
      <c r="CLU5" s="628"/>
      <c r="CLV5" s="628"/>
      <c r="CLW5" s="628"/>
      <c r="CLX5" s="628"/>
      <c r="CLY5" s="628"/>
      <c r="CLZ5" s="628"/>
      <c r="CMA5" s="628"/>
      <c r="CMB5" s="628"/>
      <c r="CMC5" s="628"/>
      <c r="CMD5" s="628"/>
      <c r="CME5" s="628"/>
      <c r="CMF5" s="628"/>
      <c r="CMG5" s="628"/>
      <c r="CMH5" s="628"/>
      <c r="CMI5" s="628"/>
      <c r="CMJ5" s="628"/>
      <c r="CMK5" s="628"/>
      <c r="CML5" s="628"/>
      <c r="CMM5" s="628"/>
      <c r="CMN5" s="628"/>
      <c r="CMO5" s="628"/>
      <c r="CMP5" s="628"/>
      <c r="CMQ5" s="628"/>
      <c r="CMR5" s="628"/>
      <c r="CMS5" s="628"/>
      <c r="CMT5" s="628"/>
      <c r="CMU5" s="628"/>
      <c r="CMV5" s="628"/>
      <c r="CMW5" s="628"/>
      <c r="CMX5" s="628"/>
      <c r="CMY5" s="628"/>
      <c r="CMZ5" s="628"/>
      <c r="CNA5" s="628"/>
      <c r="CNB5" s="628"/>
      <c r="CNC5" s="628"/>
      <c r="CND5" s="628"/>
      <c r="CNE5" s="628"/>
      <c r="CNF5" s="628"/>
      <c r="CNG5" s="628"/>
      <c r="CNH5" s="628"/>
      <c r="CNI5" s="628"/>
      <c r="CNJ5" s="628"/>
      <c r="CNK5" s="628"/>
      <c r="CNL5" s="628"/>
      <c r="CNM5" s="628"/>
      <c r="CNN5" s="628"/>
      <c r="CNO5" s="628"/>
      <c r="CNP5" s="628"/>
      <c r="CNQ5" s="628"/>
      <c r="CNR5" s="628"/>
      <c r="CNS5" s="628"/>
      <c r="CNT5" s="628"/>
      <c r="CNU5" s="628"/>
      <c r="CNV5" s="628"/>
      <c r="CNW5" s="628"/>
      <c r="CNX5" s="628"/>
      <c r="CNY5" s="628"/>
      <c r="CNZ5" s="628"/>
      <c r="COA5" s="628"/>
      <c r="COB5" s="628"/>
      <c r="COC5" s="628"/>
      <c r="COD5" s="628"/>
      <c r="COE5" s="628"/>
      <c r="COF5" s="628"/>
      <c r="COG5" s="628"/>
      <c r="COH5" s="628"/>
      <c r="COI5" s="628"/>
      <c r="COJ5" s="628"/>
      <c r="COK5" s="628"/>
      <c r="COL5" s="628"/>
      <c r="COM5" s="628"/>
      <c r="CON5" s="628"/>
      <c r="COO5" s="628"/>
      <c r="COP5" s="628"/>
      <c r="COQ5" s="628"/>
      <c r="COR5" s="628"/>
      <c r="COS5" s="628"/>
      <c r="COT5" s="628"/>
      <c r="COU5" s="628"/>
      <c r="COV5" s="628"/>
      <c r="COW5" s="628"/>
      <c r="COX5" s="628"/>
      <c r="COY5" s="628"/>
      <c r="COZ5" s="628"/>
      <c r="CPA5" s="628"/>
      <c r="CPB5" s="628"/>
      <c r="CPC5" s="628"/>
      <c r="CPD5" s="628"/>
      <c r="CPE5" s="628"/>
      <c r="CPF5" s="628"/>
      <c r="CPG5" s="628"/>
      <c r="CPH5" s="628"/>
      <c r="CPI5" s="628"/>
      <c r="CPJ5" s="628"/>
      <c r="CPK5" s="628"/>
      <c r="CPL5" s="628"/>
      <c r="CPM5" s="628"/>
      <c r="CPN5" s="628"/>
      <c r="CPO5" s="628"/>
      <c r="CPP5" s="628"/>
      <c r="CPQ5" s="628"/>
      <c r="CPR5" s="628"/>
      <c r="CPS5" s="628"/>
      <c r="CPT5" s="628"/>
      <c r="CPU5" s="628"/>
      <c r="CPV5" s="628"/>
      <c r="CPW5" s="628"/>
      <c r="CPX5" s="628"/>
      <c r="CPY5" s="628"/>
      <c r="CPZ5" s="628"/>
      <c r="CQA5" s="628"/>
      <c r="CQB5" s="628"/>
      <c r="CQC5" s="628"/>
      <c r="CQD5" s="628"/>
      <c r="CQE5" s="628"/>
      <c r="CQF5" s="628"/>
      <c r="CQG5" s="628"/>
      <c r="CQH5" s="628"/>
      <c r="CQI5" s="628"/>
      <c r="CQJ5" s="628"/>
      <c r="CQK5" s="628"/>
      <c r="CQL5" s="628"/>
      <c r="CQM5" s="628"/>
      <c r="CQN5" s="628"/>
      <c r="CQO5" s="628"/>
      <c r="CQP5" s="628"/>
      <c r="CQQ5" s="628"/>
      <c r="CQR5" s="628"/>
      <c r="CQS5" s="628"/>
      <c r="CQT5" s="628"/>
      <c r="CQU5" s="628"/>
      <c r="CQV5" s="628"/>
      <c r="CQW5" s="628"/>
      <c r="CQX5" s="628"/>
      <c r="CQY5" s="628"/>
      <c r="CQZ5" s="628"/>
      <c r="CRA5" s="628"/>
      <c r="CRB5" s="628"/>
      <c r="CRC5" s="628"/>
      <c r="CRD5" s="628"/>
      <c r="CRE5" s="628"/>
      <c r="CRF5" s="628"/>
      <c r="CRG5" s="628"/>
      <c r="CRH5" s="628"/>
      <c r="CRI5" s="628"/>
      <c r="CRJ5" s="628"/>
      <c r="CRK5" s="628"/>
      <c r="CRL5" s="628"/>
      <c r="CRM5" s="628"/>
      <c r="CRN5" s="628"/>
      <c r="CRO5" s="628"/>
      <c r="CRP5" s="628"/>
      <c r="CRQ5" s="628"/>
      <c r="CRR5" s="628"/>
      <c r="CRS5" s="628"/>
      <c r="CRT5" s="628"/>
      <c r="CRU5" s="628"/>
      <c r="CRV5" s="628"/>
      <c r="CRW5" s="628"/>
      <c r="CRX5" s="628"/>
      <c r="CRY5" s="628"/>
      <c r="CRZ5" s="628"/>
      <c r="CSA5" s="628"/>
      <c r="CSB5" s="628"/>
      <c r="CSC5" s="628"/>
      <c r="CSD5" s="628"/>
      <c r="CSE5" s="628"/>
      <c r="CSF5" s="628"/>
      <c r="CSG5" s="628"/>
      <c r="CSH5" s="628"/>
      <c r="CSI5" s="628"/>
      <c r="CSJ5" s="628"/>
      <c r="CSK5" s="628"/>
      <c r="CSL5" s="628"/>
      <c r="CSM5" s="628"/>
      <c r="CSN5" s="628"/>
      <c r="CSO5" s="628"/>
      <c r="CSP5" s="628"/>
      <c r="CSQ5" s="628"/>
      <c r="CSR5" s="628"/>
      <c r="CSS5" s="628"/>
      <c r="CST5" s="628"/>
      <c r="CSU5" s="628"/>
      <c r="CSV5" s="628"/>
      <c r="CSW5" s="628"/>
      <c r="CSX5" s="628"/>
      <c r="CSY5" s="628"/>
      <c r="CSZ5" s="628"/>
      <c r="CTA5" s="628"/>
      <c r="CTB5" s="628"/>
      <c r="CTC5" s="628"/>
      <c r="CTD5" s="628"/>
      <c r="CTE5" s="628"/>
      <c r="CTF5" s="628"/>
      <c r="CTG5" s="628"/>
      <c r="CTH5" s="628"/>
      <c r="CTI5" s="628"/>
      <c r="CTJ5" s="628"/>
      <c r="CTK5" s="628"/>
      <c r="CTL5" s="628"/>
      <c r="CTM5" s="628"/>
      <c r="CTN5" s="628"/>
      <c r="CTO5" s="628"/>
      <c r="CTP5" s="628"/>
      <c r="CTQ5" s="628"/>
      <c r="CTR5" s="628"/>
      <c r="CTS5" s="628"/>
      <c r="CTT5" s="628"/>
      <c r="CTU5" s="628"/>
      <c r="CTV5" s="628"/>
      <c r="CTW5" s="628"/>
      <c r="CTX5" s="628"/>
      <c r="CTY5" s="628"/>
      <c r="CTZ5" s="628"/>
      <c r="CUA5" s="628"/>
      <c r="CUB5" s="628"/>
      <c r="CUC5" s="628"/>
      <c r="CUD5" s="628"/>
      <c r="CUE5" s="628"/>
      <c r="CUF5" s="628"/>
      <c r="CUG5" s="628"/>
      <c r="CUH5" s="628"/>
      <c r="CUI5" s="628"/>
      <c r="CUJ5" s="628"/>
      <c r="CUK5" s="628"/>
      <c r="CUL5" s="628"/>
      <c r="CUM5" s="628"/>
      <c r="CUN5" s="628"/>
      <c r="CUO5" s="628"/>
      <c r="CUP5" s="628"/>
      <c r="CUQ5" s="628"/>
      <c r="CUR5" s="628"/>
      <c r="CUS5" s="628"/>
      <c r="CUT5" s="628"/>
      <c r="CUU5" s="628"/>
      <c r="CUV5" s="628"/>
      <c r="CUW5" s="628"/>
      <c r="CUX5" s="628"/>
      <c r="CUY5" s="628"/>
      <c r="CUZ5" s="628"/>
      <c r="CVA5" s="628"/>
      <c r="CVB5" s="628"/>
      <c r="CVC5" s="628"/>
      <c r="CVD5" s="628"/>
      <c r="CVE5" s="628"/>
      <c r="CVF5" s="628"/>
      <c r="CVG5" s="628"/>
      <c r="CVH5" s="628"/>
      <c r="CVI5" s="628"/>
      <c r="CVJ5" s="628"/>
      <c r="CVK5" s="628"/>
      <c r="CVL5" s="628"/>
      <c r="CVM5" s="628"/>
      <c r="CVN5" s="628"/>
      <c r="CVO5" s="628"/>
      <c r="CVP5" s="628"/>
      <c r="CVQ5" s="628"/>
      <c r="CVR5" s="628"/>
      <c r="CVS5" s="628"/>
      <c r="CVT5" s="628"/>
      <c r="CVU5" s="628"/>
      <c r="CVV5" s="628"/>
      <c r="CVW5" s="628"/>
      <c r="CVX5" s="628"/>
      <c r="CVY5" s="628"/>
      <c r="CVZ5" s="628"/>
      <c r="CWA5" s="628"/>
      <c r="CWB5" s="628"/>
      <c r="CWC5" s="628"/>
      <c r="CWD5" s="628"/>
      <c r="CWE5" s="628"/>
      <c r="CWF5" s="628"/>
      <c r="CWG5" s="628"/>
      <c r="CWH5" s="628"/>
      <c r="CWI5" s="628"/>
      <c r="CWJ5" s="628"/>
      <c r="CWK5" s="628"/>
      <c r="CWL5" s="628"/>
      <c r="CWM5" s="628"/>
      <c r="CWN5" s="628"/>
      <c r="CWO5" s="628"/>
      <c r="CWP5" s="628"/>
      <c r="CWQ5" s="628"/>
      <c r="CWR5" s="628"/>
      <c r="CWS5" s="628"/>
      <c r="CWT5" s="628"/>
      <c r="CWU5" s="628"/>
      <c r="CWV5" s="628"/>
      <c r="CWW5" s="628"/>
      <c r="CWX5" s="628"/>
      <c r="CWY5" s="628"/>
      <c r="CWZ5" s="628"/>
      <c r="CXA5" s="628"/>
      <c r="CXB5" s="628"/>
      <c r="CXC5" s="628"/>
      <c r="CXD5" s="628"/>
      <c r="CXE5" s="628"/>
      <c r="CXF5" s="628"/>
      <c r="CXG5" s="628"/>
      <c r="CXH5" s="628"/>
      <c r="CXI5" s="628"/>
      <c r="CXJ5" s="628"/>
      <c r="CXK5" s="628"/>
      <c r="CXL5" s="628"/>
      <c r="CXM5" s="628"/>
      <c r="CXN5" s="628"/>
      <c r="CXO5" s="628"/>
      <c r="CXP5" s="628"/>
      <c r="CXQ5" s="628"/>
      <c r="CXR5" s="628"/>
      <c r="CXS5" s="628"/>
      <c r="CXT5" s="628"/>
      <c r="CXU5" s="628"/>
      <c r="CXV5" s="628"/>
      <c r="CXW5" s="628"/>
      <c r="CXX5" s="628"/>
      <c r="CXY5" s="628"/>
      <c r="CXZ5" s="628"/>
      <c r="CYA5" s="628"/>
      <c r="CYB5" s="628"/>
      <c r="CYC5" s="628"/>
      <c r="CYD5" s="628"/>
      <c r="CYE5" s="628"/>
      <c r="CYF5" s="628"/>
      <c r="CYG5" s="628"/>
      <c r="CYH5" s="628"/>
      <c r="CYI5" s="628"/>
      <c r="CYJ5" s="628"/>
      <c r="CYK5" s="628"/>
      <c r="CYL5" s="628"/>
      <c r="CYM5" s="628"/>
      <c r="CYN5" s="628"/>
      <c r="CYO5" s="628"/>
      <c r="CYP5" s="628"/>
      <c r="CYQ5" s="628"/>
      <c r="CYR5" s="628"/>
      <c r="CYS5" s="628"/>
      <c r="CYT5" s="628"/>
      <c r="CYU5" s="628"/>
      <c r="CYV5" s="628"/>
      <c r="CYW5" s="628"/>
      <c r="CYX5" s="628"/>
      <c r="CYY5" s="628"/>
      <c r="CYZ5" s="628"/>
      <c r="CZA5" s="628"/>
      <c r="CZB5" s="628"/>
      <c r="CZC5" s="628"/>
      <c r="CZD5" s="628"/>
      <c r="CZE5" s="628"/>
      <c r="CZF5" s="628"/>
      <c r="CZG5" s="628"/>
      <c r="CZH5" s="628"/>
      <c r="CZI5" s="628"/>
      <c r="CZJ5" s="628"/>
      <c r="CZK5" s="628"/>
      <c r="CZL5" s="628"/>
      <c r="CZM5" s="628"/>
      <c r="CZN5" s="628"/>
      <c r="CZO5" s="628"/>
      <c r="CZP5" s="628"/>
      <c r="CZQ5" s="628"/>
      <c r="CZR5" s="628"/>
      <c r="CZS5" s="628"/>
      <c r="CZT5" s="628"/>
      <c r="CZU5" s="628"/>
      <c r="CZV5" s="628"/>
      <c r="CZW5" s="628"/>
      <c r="CZX5" s="628"/>
      <c r="CZY5" s="628"/>
      <c r="CZZ5" s="628"/>
      <c r="DAA5" s="628"/>
      <c r="DAB5" s="628"/>
      <c r="DAC5" s="628"/>
      <c r="DAD5" s="628"/>
      <c r="DAE5" s="628"/>
      <c r="DAF5" s="628"/>
      <c r="DAG5" s="628"/>
      <c r="DAH5" s="628"/>
      <c r="DAI5" s="628"/>
      <c r="DAJ5" s="628"/>
      <c r="DAK5" s="628"/>
      <c r="DAL5" s="628"/>
      <c r="DAM5" s="628"/>
      <c r="DAN5" s="628"/>
      <c r="DAO5" s="628"/>
      <c r="DAP5" s="628"/>
      <c r="DAQ5" s="628"/>
      <c r="DAR5" s="628"/>
      <c r="DAS5" s="628"/>
      <c r="DAT5" s="628"/>
      <c r="DAU5" s="628"/>
      <c r="DAV5" s="628"/>
      <c r="DAW5" s="628"/>
      <c r="DAX5" s="628"/>
      <c r="DAY5" s="628"/>
      <c r="DAZ5" s="628"/>
      <c r="DBA5" s="628"/>
      <c r="DBB5" s="628"/>
      <c r="DBC5" s="628"/>
      <c r="DBD5" s="628"/>
      <c r="DBE5" s="628"/>
      <c r="DBF5" s="628"/>
      <c r="DBG5" s="628"/>
      <c r="DBH5" s="628"/>
      <c r="DBI5" s="628"/>
      <c r="DBJ5" s="628"/>
      <c r="DBK5" s="628"/>
      <c r="DBL5" s="628"/>
      <c r="DBM5" s="628"/>
      <c r="DBN5" s="628"/>
      <c r="DBO5" s="628"/>
      <c r="DBP5" s="628"/>
      <c r="DBQ5" s="628"/>
      <c r="DBR5" s="628"/>
      <c r="DBS5" s="628"/>
      <c r="DBT5" s="628"/>
      <c r="DBU5" s="628"/>
      <c r="DBV5" s="628"/>
      <c r="DBW5" s="628"/>
      <c r="DBX5" s="628"/>
      <c r="DBY5" s="628"/>
      <c r="DBZ5" s="628"/>
      <c r="DCA5" s="628"/>
      <c r="DCB5" s="628"/>
      <c r="DCC5" s="628"/>
      <c r="DCD5" s="628"/>
      <c r="DCE5" s="628"/>
      <c r="DCF5" s="628"/>
      <c r="DCG5" s="628"/>
      <c r="DCH5" s="628"/>
      <c r="DCI5" s="628"/>
      <c r="DCJ5" s="628"/>
      <c r="DCK5" s="628"/>
      <c r="DCL5" s="628"/>
      <c r="DCM5" s="628"/>
      <c r="DCN5" s="628"/>
      <c r="DCO5" s="628"/>
      <c r="DCP5" s="628"/>
      <c r="DCQ5" s="628"/>
      <c r="DCR5" s="628"/>
      <c r="DCS5" s="628"/>
      <c r="DCT5" s="628"/>
      <c r="DCU5" s="628"/>
      <c r="DCV5" s="628"/>
      <c r="DCW5" s="628"/>
      <c r="DCX5" s="628"/>
      <c r="DCY5" s="628"/>
      <c r="DCZ5" s="628"/>
      <c r="DDA5" s="628"/>
      <c r="DDB5" s="628"/>
      <c r="DDC5" s="628"/>
      <c r="DDD5" s="628"/>
      <c r="DDE5" s="628"/>
      <c r="DDF5" s="628"/>
      <c r="DDG5" s="628"/>
      <c r="DDH5" s="628"/>
      <c r="DDI5" s="628"/>
      <c r="DDJ5" s="628"/>
      <c r="DDK5" s="628"/>
      <c r="DDL5" s="628"/>
      <c r="DDM5" s="628"/>
      <c r="DDN5" s="628"/>
      <c r="DDO5" s="628"/>
      <c r="DDP5" s="628"/>
      <c r="DDQ5" s="628"/>
      <c r="DDR5" s="628"/>
      <c r="DDS5" s="628"/>
      <c r="DDT5" s="628"/>
      <c r="DDU5" s="628"/>
      <c r="DDV5" s="628"/>
      <c r="DDW5" s="628"/>
      <c r="DDX5" s="628"/>
      <c r="DDY5" s="628"/>
      <c r="DDZ5" s="628"/>
      <c r="DEA5" s="628"/>
      <c r="DEB5" s="628"/>
      <c r="DEC5" s="628"/>
      <c r="DED5" s="628"/>
      <c r="DEE5" s="628"/>
      <c r="DEF5" s="628"/>
      <c r="DEG5" s="628"/>
      <c r="DEH5" s="628"/>
      <c r="DEI5" s="628"/>
      <c r="DEJ5" s="628"/>
      <c r="DEK5" s="628"/>
      <c r="DEL5" s="628"/>
      <c r="DEM5" s="628"/>
      <c r="DEN5" s="628"/>
      <c r="DEO5" s="628"/>
      <c r="DEP5" s="628"/>
      <c r="DEQ5" s="628"/>
      <c r="DER5" s="628"/>
      <c r="DES5" s="628"/>
      <c r="DET5" s="628"/>
      <c r="DEU5" s="628"/>
      <c r="DEV5" s="628"/>
      <c r="DEW5" s="628"/>
      <c r="DEX5" s="628"/>
      <c r="DEY5" s="628"/>
      <c r="DEZ5" s="628"/>
      <c r="DFA5" s="628"/>
      <c r="DFB5" s="628"/>
      <c r="DFC5" s="628"/>
      <c r="DFD5" s="628"/>
      <c r="DFE5" s="628"/>
      <c r="DFF5" s="628"/>
      <c r="DFG5" s="628"/>
      <c r="DFH5" s="628"/>
      <c r="DFI5" s="628"/>
      <c r="DFJ5" s="628"/>
      <c r="DFK5" s="628"/>
      <c r="DFL5" s="628"/>
      <c r="DFM5" s="628"/>
      <c r="DFN5" s="628"/>
      <c r="DFO5" s="628"/>
      <c r="DFP5" s="628"/>
      <c r="DFQ5" s="628"/>
      <c r="DFR5" s="628"/>
      <c r="DFS5" s="628"/>
      <c r="DFT5" s="628"/>
      <c r="DFU5" s="628"/>
      <c r="DFV5" s="628"/>
      <c r="DFW5" s="628"/>
      <c r="DFX5" s="628"/>
      <c r="DFY5" s="628"/>
      <c r="DFZ5" s="628"/>
      <c r="DGA5" s="628"/>
      <c r="DGB5" s="628"/>
      <c r="DGC5" s="628"/>
      <c r="DGD5" s="628"/>
      <c r="DGE5" s="628"/>
      <c r="DGF5" s="628"/>
      <c r="DGG5" s="628"/>
      <c r="DGH5" s="628"/>
      <c r="DGI5" s="628"/>
      <c r="DGJ5" s="628"/>
      <c r="DGK5" s="628"/>
      <c r="DGL5" s="628"/>
      <c r="DGM5" s="628"/>
      <c r="DGN5" s="628"/>
      <c r="DGO5" s="628"/>
      <c r="DGP5" s="628"/>
      <c r="DGQ5" s="628"/>
      <c r="DGR5" s="628"/>
      <c r="DGS5" s="628"/>
      <c r="DGT5" s="628"/>
      <c r="DGU5" s="628"/>
      <c r="DGV5" s="628"/>
      <c r="DGW5" s="628"/>
      <c r="DGX5" s="628"/>
      <c r="DGY5" s="628"/>
      <c r="DGZ5" s="628"/>
      <c r="DHA5" s="628"/>
      <c r="DHB5" s="628"/>
      <c r="DHC5" s="628"/>
      <c r="DHD5" s="628"/>
      <c r="DHE5" s="628"/>
      <c r="DHF5" s="628"/>
      <c r="DHG5" s="628"/>
      <c r="DHH5" s="628"/>
      <c r="DHI5" s="628"/>
      <c r="DHJ5" s="628"/>
      <c r="DHK5" s="628"/>
      <c r="DHL5" s="628"/>
      <c r="DHM5" s="628"/>
      <c r="DHN5" s="628"/>
      <c r="DHO5" s="628"/>
      <c r="DHP5" s="628"/>
      <c r="DHQ5" s="628"/>
      <c r="DHR5" s="628"/>
      <c r="DHS5" s="628"/>
      <c r="DHT5" s="628"/>
      <c r="DHU5" s="628"/>
      <c r="DHV5" s="628"/>
      <c r="DHW5" s="628"/>
      <c r="DHX5" s="628"/>
      <c r="DHY5" s="628"/>
      <c r="DHZ5" s="628"/>
      <c r="DIA5" s="628"/>
      <c r="DIB5" s="628"/>
      <c r="DIC5" s="628"/>
      <c r="DID5" s="628"/>
      <c r="DIE5" s="628"/>
      <c r="DIF5" s="628"/>
      <c r="DIG5" s="628"/>
      <c r="DIH5" s="628"/>
      <c r="DII5" s="628"/>
      <c r="DIJ5" s="628"/>
      <c r="DIK5" s="628"/>
      <c r="DIL5" s="628"/>
      <c r="DIM5" s="628"/>
      <c r="DIN5" s="628"/>
      <c r="DIO5" s="628"/>
      <c r="DIP5" s="628"/>
      <c r="DIQ5" s="628"/>
      <c r="DIR5" s="628"/>
      <c r="DIS5" s="628"/>
      <c r="DIT5" s="628"/>
      <c r="DIU5" s="628"/>
      <c r="DIV5" s="628"/>
      <c r="DIW5" s="628"/>
      <c r="DIX5" s="628"/>
      <c r="DIY5" s="628"/>
      <c r="DIZ5" s="628"/>
      <c r="DJA5" s="628"/>
      <c r="DJB5" s="628"/>
      <c r="DJC5" s="628"/>
      <c r="DJD5" s="628"/>
      <c r="DJE5" s="628"/>
      <c r="DJF5" s="628"/>
      <c r="DJG5" s="628"/>
      <c r="DJH5" s="628"/>
      <c r="DJI5" s="628"/>
      <c r="DJJ5" s="628"/>
      <c r="DJK5" s="628"/>
      <c r="DJL5" s="628"/>
      <c r="DJM5" s="628"/>
      <c r="DJN5" s="628"/>
      <c r="DJO5" s="628"/>
      <c r="DJP5" s="628"/>
      <c r="DJQ5" s="628"/>
      <c r="DJR5" s="628"/>
      <c r="DJS5" s="628"/>
      <c r="DJT5" s="628"/>
      <c r="DJU5" s="628"/>
      <c r="DJV5" s="628"/>
      <c r="DJW5" s="628"/>
      <c r="DJX5" s="628"/>
      <c r="DJY5" s="628"/>
      <c r="DJZ5" s="628"/>
      <c r="DKA5" s="628"/>
      <c r="DKB5" s="628"/>
      <c r="DKC5" s="628"/>
      <c r="DKD5" s="628"/>
      <c r="DKE5" s="628"/>
      <c r="DKF5" s="628"/>
      <c r="DKG5" s="628"/>
      <c r="DKH5" s="628"/>
      <c r="DKI5" s="628"/>
      <c r="DKJ5" s="628"/>
      <c r="DKK5" s="628"/>
      <c r="DKL5" s="628"/>
      <c r="DKM5" s="628"/>
      <c r="DKN5" s="628"/>
      <c r="DKO5" s="628"/>
      <c r="DKP5" s="628"/>
      <c r="DKQ5" s="628"/>
      <c r="DKR5" s="628"/>
      <c r="DKS5" s="628"/>
      <c r="DKT5" s="628"/>
      <c r="DKU5" s="628"/>
      <c r="DKV5" s="628"/>
      <c r="DKW5" s="628"/>
      <c r="DKX5" s="628"/>
      <c r="DKY5" s="628"/>
      <c r="DKZ5" s="628"/>
      <c r="DLA5" s="628"/>
      <c r="DLB5" s="628"/>
      <c r="DLC5" s="628"/>
      <c r="DLD5" s="628"/>
      <c r="DLE5" s="628"/>
      <c r="DLF5" s="628"/>
      <c r="DLG5" s="628"/>
      <c r="DLH5" s="628"/>
      <c r="DLI5" s="628"/>
      <c r="DLJ5" s="628"/>
      <c r="DLK5" s="628"/>
      <c r="DLL5" s="628"/>
      <c r="DLM5" s="628"/>
      <c r="DLN5" s="628"/>
      <c r="DLO5" s="628"/>
      <c r="DLP5" s="628"/>
      <c r="DLQ5" s="628"/>
      <c r="DLR5" s="628"/>
      <c r="DLS5" s="628"/>
      <c r="DLT5" s="628"/>
      <c r="DLU5" s="628"/>
      <c r="DLV5" s="628"/>
      <c r="DLW5" s="628"/>
      <c r="DLX5" s="628"/>
      <c r="DLY5" s="628"/>
      <c r="DLZ5" s="628"/>
      <c r="DMA5" s="628"/>
      <c r="DMB5" s="628"/>
      <c r="DMC5" s="628"/>
      <c r="DMD5" s="628"/>
      <c r="DME5" s="628"/>
      <c r="DMF5" s="628"/>
      <c r="DMG5" s="628"/>
      <c r="DMH5" s="628"/>
      <c r="DMI5" s="628"/>
      <c r="DMJ5" s="628"/>
      <c r="DMK5" s="628"/>
      <c r="DML5" s="628"/>
      <c r="DMM5" s="628"/>
      <c r="DMN5" s="628"/>
      <c r="DMO5" s="628"/>
      <c r="DMP5" s="628"/>
      <c r="DMQ5" s="628"/>
      <c r="DMR5" s="628"/>
      <c r="DMS5" s="628"/>
      <c r="DMT5" s="628"/>
      <c r="DMU5" s="628"/>
      <c r="DMV5" s="628"/>
      <c r="DMW5" s="628"/>
      <c r="DMX5" s="628"/>
      <c r="DMY5" s="628"/>
      <c r="DMZ5" s="628"/>
      <c r="DNA5" s="628"/>
      <c r="DNB5" s="628"/>
      <c r="DNC5" s="628"/>
      <c r="DND5" s="628"/>
      <c r="DNE5" s="628"/>
      <c r="DNF5" s="628"/>
      <c r="DNG5" s="628"/>
      <c r="DNH5" s="628"/>
      <c r="DNI5" s="628"/>
      <c r="DNJ5" s="628"/>
      <c r="DNK5" s="628"/>
      <c r="DNL5" s="628"/>
      <c r="DNM5" s="628"/>
      <c r="DNN5" s="628"/>
      <c r="DNO5" s="628"/>
      <c r="DNP5" s="628"/>
      <c r="DNQ5" s="628"/>
      <c r="DNR5" s="628"/>
      <c r="DNS5" s="628"/>
      <c r="DNT5" s="628"/>
      <c r="DNU5" s="628"/>
      <c r="DNV5" s="628"/>
      <c r="DNW5" s="628"/>
      <c r="DNX5" s="628"/>
      <c r="DNY5" s="628"/>
      <c r="DNZ5" s="628"/>
      <c r="DOA5" s="628"/>
      <c r="DOB5" s="628"/>
      <c r="DOC5" s="628"/>
      <c r="DOD5" s="628"/>
      <c r="DOE5" s="628"/>
      <c r="DOF5" s="628"/>
      <c r="DOG5" s="628"/>
      <c r="DOH5" s="628"/>
      <c r="DOI5" s="628"/>
      <c r="DOJ5" s="628"/>
      <c r="DOK5" s="628"/>
      <c r="DOL5" s="628"/>
      <c r="DOM5" s="628"/>
      <c r="DON5" s="628"/>
      <c r="DOO5" s="628"/>
      <c r="DOP5" s="628"/>
      <c r="DOQ5" s="628"/>
      <c r="DOR5" s="628"/>
      <c r="DOS5" s="628"/>
      <c r="DOT5" s="628"/>
      <c r="DOU5" s="628"/>
      <c r="DOV5" s="628"/>
      <c r="DOW5" s="628"/>
      <c r="DOX5" s="628"/>
      <c r="DOY5" s="628"/>
      <c r="DOZ5" s="628"/>
      <c r="DPA5" s="628"/>
      <c r="DPB5" s="628"/>
      <c r="DPC5" s="628"/>
      <c r="DPD5" s="628"/>
      <c r="DPE5" s="628"/>
      <c r="DPF5" s="628"/>
      <c r="DPG5" s="628"/>
      <c r="DPH5" s="628"/>
      <c r="DPI5" s="628"/>
      <c r="DPJ5" s="628"/>
      <c r="DPK5" s="628"/>
      <c r="DPL5" s="628"/>
      <c r="DPM5" s="628"/>
      <c r="DPN5" s="628"/>
      <c r="DPO5" s="628"/>
      <c r="DPP5" s="628"/>
      <c r="DPQ5" s="628"/>
      <c r="DPR5" s="628"/>
      <c r="DPS5" s="628"/>
      <c r="DPT5" s="628"/>
      <c r="DPU5" s="628"/>
      <c r="DPV5" s="628"/>
      <c r="DPW5" s="628"/>
      <c r="DPX5" s="628"/>
      <c r="DPY5" s="628"/>
      <c r="DPZ5" s="628"/>
      <c r="DQA5" s="628"/>
      <c r="DQB5" s="628"/>
      <c r="DQC5" s="628"/>
      <c r="DQD5" s="628"/>
      <c r="DQE5" s="628"/>
      <c r="DQF5" s="628"/>
      <c r="DQG5" s="628"/>
      <c r="DQH5" s="628"/>
      <c r="DQI5" s="628"/>
      <c r="DQJ5" s="628"/>
      <c r="DQK5" s="628"/>
      <c r="DQL5" s="628"/>
      <c r="DQM5" s="628"/>
      <c r="DQN5" s="628"/>
      <c r="DQO5" s="628"/>
      <c r="DQP5" s="628"/>
      <c r="DQQ5" s="628"/>
      <c r="DQR5" s="628"/>
      <c r="DQS5" s="628"/>
      <c r="DQT5" s="628"/>
      <c r="DQU5" s="628"/>
      <c r="DQV5" s="628"/>
      <c r="DQW5" s="628"/>
      <c r="DQX5" s="628"/>
      <c r="DQY5" s="628"/>
      <c r="DQZ5" s="628"/>
      <c r="DRA5" s="628"/>
      <c r="DRB5" s="628"/>
      <c r="DRC5" s="628"/>
      <c r="DRD5" s="628"/>
      <c r="DRE5" s="628"/>
      <c r="DRF5" s="628"/>
      <c r="DRG5" s="628"/>
      <c r="DRH5" s="628"/>
      <c r="DRI5" s="628"/>
      <c r="DRJ5" s="628"/>
      <c r="DRK5" s="628"/>
      <c r="DRL5" s="628"/>
      <c r="DRM5" s="628"/>
      <c r="DRN5" s="628"/>
      <c r="DRO5" s="628"/>
      <c r="DRP5" s="628"/>
      <c r="DRQ5" s="628"/>
      <c r="DRR5" s="628"/>
      <c r="DRS5" s="628"/>
      <c r="DRT5" s="628"/>
      <c r="DRU5" s="628"/>
      <c r="DRV5" s="628"/>
      <c r="DRW5" s="628"/>
      <c r="DRX5" s="628"/>
      <c r="DRY5" s="628"/>
      <c r="DRZ5" s="628"/>
      <c r="DSA5" s="628"/>
      <c r="DSB5" s="628"/>
      <c r="DSC5" s="628"/>
      <c r="DSD5" s="628"/>
      <c r="DSE5" s="628"/>
      <c r="DSF5" s="628"/>
      <c r="DSG5" s="628"/>
      <c r="DSH5" s="628"/>
      <c r="DSI5" s="628"/>
      <c r="DSJ5" s="628"/>
      <c r="DSK5" s="628"/>
      <c r="DSL5" s="628"/>
      <c r="DSM5" s="628"/>
      <c r="DSN5" s="628"/>
      <c r="DSO5" s="628"/>
      <c r="DSP5" s="628"/>
      <c r="DSQ5" s="628"/>
      <c r="DSR5" s="628"/>
      <c r="DSS5" s="628"/>
      <c r="DST5" s="628"/>
      <c r="DSU5" s="628"/>
      <c r="DSV5" s="628"/>
      <c r="DSW5" s="628"/>
      <c r="DSX5" s="628"/>
      <c r="DSY5" s="628"/>
      <c r="DSZ5" s="628"/>
      <c r="DTA5" s="628"/>
      <c r="DTB5" s="628"/>
      <c r="DTC5" s="628"/>
      <c r="DTD5" s="628"/>
      <c r="DTE5" s="628"/>
      <c r="DTF5" s="628"/>
      <c r="DTG5" s="628"/>
      <c r="DTH5" s="628"/>
      <c r="DTI5" s="628"/>
      <c r="DTJ5" s="628"/>
      <c r="DTK5" s="628"/>
      <c r="DTL5" s="628"/>
      <c r="DTM5" s="628"/>
      <c r="DTN5" s="628"/>
      <c r="DTO5" s="628"/>
      <c r="DTP5" s="628"/>
      <c r="DTQ5" s="628"/>
      <c r="DTR5" s="628"/>
      <c r="DTS5" s="628"/>
      <c r="DTT5" s="628"/>
      <c r="DTU5" s="628"/>
      <c r="DTV5" s="628"/>
      <c r="DTW5" s="628"/>
      <c r="DTX5" s="628"/>
      <c r="DTY5" s="628"/>
      <c r="DTZ5" s="628"/>
      <c r="DUA5" s="628"/>
      <c r="DUB5" s="628"/>
      <c r="DUC5" s="628"/>
      <c r="DUD5" s="628"/>
      <c r="DUE5" s="628"/>
      <c r="DUF5" s="628"/>
      <c r="DUG5" s="628"/>
      <c r="DUH5" s="628"/>
      <c r="DUI5" s="628"/>
      <c r="DUJ5" s="628"/>
      <c r="DUK5" s="628"/>
      <c r="DUL5" s="628"/>
      <c r="DUM5" s="628"/>
      <c r="DUN5" s="628"/>
      <c r="DUO5" s="628"/>
      <c r="DUP5" s="628"/>
      <c r="DUQ5" s="628"/>
      <c r="DUR5" s="628"/>
      <c r="DUS5" s="628"/>
      <c r="DUT5" s="628"/>
      <c r="DUU5" s="628"/>
      <c r="DUV5" s="628"/>
      <c r="DUW5" s="628"/>
      <c r="DUX5" s="628"/>
      <c r="DUY5" s="628"/>
      <c r="DUZ5" s="628"/>
      <c r="DVA5" s="628"/>
      <c r="DVB5" s="628"/>
      <c r="DVC5" s="628"/>
      <c r="DVD5" s="628"/>
      <c r="DVE5" s="628"/>
      <c r="DVF5" s="628"/>
      <c r="DVG5" s="628"/>
      <c r="DVH5" s="628"/>
      <c r="DVI5" s="628"/>
      <c r="DVJ5" s="628"/>
      <c r="DVK5" s="628"/>
      <c r="DVL5" s="628"/>
      <c r="DVM5" s="628"/>
      <c r="DVN5" s="628"/>
      <c r="DVO5" s="628"/>
      <c r="DVP5" s="628"/>
      <c r="DVQ5" s="628"/>
      <c r="DVR5" s="628"/>
      <c r="DVS5" s="628"/>
      <c r="DVT5" s="628"/>
      <c r="DVU5" s="628"/>
      <c r="DVV5" s="628"/>
      <c r="DVW5" s="628"/>
      <c r="DVX5" s="628"/>
      <c r="DVY5" s="628"/>
      <c r="DVZ5" s="628"/>
      <c r="DWA5" s="628"/>
      <c r="DWB5" s="628"/>
      <c r="DWC5" s="628"/>
      <c r="DWD5" s="628"/>
      <c r="DWE5" s="628"/>
      <c r="DWF5" s="628"/>
      <c r="DWG5" s="628"/>
      <c r="DWH5" s="628"/>
      <c r="DWI5" s="628"/>
      <c r="DWJ5" s="628"/>
      <c r="DWK5" s="628"/>
      <c r="DWL5" s="628"/>
      <c r="DWM5" s="628"/>
      <c r="DWN5" s="628"/>
      <c r="DWO5" s="628"/>
      <c r="DWP5" s="628"/>
      <c r="DWQ5" s="628"/>
      <c r="DWR5" s="628"/>
      <c r="DWS5" s="628"/>
      <c r="DWT5" s="628"/>
      <c r="DWU5" s="628"/>
      <c r="DWV5" s="628"/>
      <c r="DWW5" s="628"/>
      <c r="DWX5" s="628"/>
      <c r="DWY5" s="628"/>
      <c r="DWZ5" s="628"/>
      <c r="DXA5" s="628"/>
      <c r="DXB5" s="628"/>
      <c r="DXC5" s="628"/>
      <c r="DXD5" s="628"/>
      <c r="DXE5" s="628"/>
      <c r="DXF5" s="628"/>
      <c r="DXG5" s="628"/>
      <c r="DXH5" s="628"/>
      <c r="DXI5" s="628"/>
      <c r="DXJ5" s="628"/>
      <c r="DXK5" s="628"/>
      <c r="DXL5" s="628"/>
      <c r="DXM5" s="628"/>
      <c r="DXN5" s="628"/>
      <c r="DXO5" s="628"/>
      <c r="DXP5" s="628"/>
      <c r="DXQ5" s="628"/>
      <c r="DXR5" s="628"/>
      <c r="DXS5" s="628"/>
      <c r="DXT5" s="628"/>
      <c r="DXU5" s="628"/>
      <c r="DXV5" s="628"/>
      <c r="DXW5" s="628"/>
      <c r="DXX5" s="628"/>
      <c r="DXY5" s="628"/>
      <c r="DXZ5" s="628"/>
      <c r="DYA5" s="628"/>
      <c r="DYB5" s="628"/>
      <c r="DYC5" s="628"/>
      <c r="DYD5" s="628"/>
      <c r="DYE5" s="628"/>
      <c r="DYF5" s="628"/>
      <c r="DYG5" s="628"/>
      <c r="DYH5" s="628"/>
      <c r="DYI5" s="628"/>
      <c r="DYJ5" s="628"/>
      <c r="DYK5" s="628"/>
      <c r="DYL5" s="628"/>
      <c r="DYM5" s="628"/>
      <c r="DYN5" s="628"/>
      <c r="DYO5" s="628"/>
      <c r="DYP5" s="628"/>
      <c r="DYQ5" s="628"/>
      <c r="DYR5" s="628"/>
      <c r="DYS5" s="628"/>
      <c r="DYT5" s="628"/>
      <c r="DYU5" s="628"/>
      <c r="DYV5" s="628"/>
      <c r="DYW5" s="628"/>
      <c r="DYX5" s="628"/>
      <c r="DYY5" s="628"/>
      <c r="DYZ5" s="628"/>
      <c r="DZA5" s="628"/>
      <c r="DZB5" s="628"/>
      <c r="DZC5" s="628"/>
      <c r="DZD5" s="628"/>
      <c r="DZE5" s="628"/>
      <c r="DZF5" s="628"/>
      <c r="DZG5" s="628"/>
      <c r="DZH5" s="628"/>
      <c r="DZI5" s="628"/>
      <c r="DZJ5" s="628"/>
      <c r="DZK5" s="628"/>
      <c r="DZL5" s="628"/>
      <c r="DZM5" s="628"/>
      <c r="DZN5" s="628"/>
      <c r="DZO5" s="628"/>
      <c r="DZP5" s="628"/>
      <c r="DZQ5" s="628"/>
      <c r="DZR5" s="628"/>
      <c r="DZS5" s="628"/>
      <c r="DZT5" s="628"/>
      <c r="DZU5" s="628"/>
      <c r="DZV5" s="628"/>
      <c r="DZW5" s="628"/>
      <c r="DZX5" s="628"/>
      <c r="DZY5" s="628"/>
      <c r="DZZ5" s="628"/>
      <c r="EAA5" s="628"/>
      <c r="EAB5" s="628"/>
      <c r="EAC5" s="628"/>
      <c r="EAD5" s="628"/>
      <c r="EAE5" s="628"/>
      <c r="EAF5" s="628"/>
      <c r="EAG5" s="628"/>
      <c r="EAH5" s="628"/>
      <c r="EAI5" s="628"/>
      <c r="EAJ5" s="628"/>
      <c r="EAK5" s="628"/>
      <c r="EAL5" s="628"/>
      <c r="EAM5" s="628"/>
      <c r="EAN5" s="628"/>
      <c r="EAO5" s="628"/>
      <c r="EAP5" s="628"/>
      <c r="EAQ5" s="628"/>
      <c r="EAR5" s="628"/>
      <c r="EAS5" s="628"/>
      <c r="EAT5" s="628"/>
      <c r="EAU5" s="628"/>
      <c r="EAV5" s="628"/>
      <c r="EAW5" s="628"/>
      <c r="EAX5" s="628"/>
      <c r="EAY5" s="628"/>
      <c r="EAZ5" s="628"/>
      <c r="EBA5" s="628"/>
      <c r="EBB5" s="628"/>
      <c r="EBC5" s="628"/>
      <c r="EBD5" s="628"/>
      <c r="EBE5" s="628"/>
      <c r="EBF5" s="628"/>
      <c r="EBG5" s="628"/>
      <c r="EBH5" s="628"/>
      <c r="EBI5" s="628"/>
      <c r="EBJ5" s="628"/>
      <c r="EBK5" s="628"/>
      <c r="EBL5" s="628"/>
      <c r="EBM5" s="628"/>
      <c r="EBN5" s="628"/>
      <c r="EBO5" s="628"/>
      <c r="EBP5" s="628"/>
      <c r="EBQ5" s="628"/>
      <c r="EBR5" s="628"/>
      <c r="EBS5" s="628"/>
      <c r="EBT5" s="628"/>
      <c r="EBU5" s="628"/>
      <c r="EBV5" s="628"/>
      <c r="EBW5" s="628"/>
      <c r="EBX5" s="628"/>
      <c r="EBY5" s="628"/>
      <c r="EBZ5" s="628"/>
      <c r="ECA5" s="628"/>
      <c r="ECB5" s="628"/>
      <c r="ECC5" s="628"/>
      <c r="ECD5" s="628"/>
      <c r="ECE5" s="628"/>
      <c r="ECF5" s="628"/>
      <c r="ECG5" s="628"/>
      <c r="ECH5" s="628"/>
      <c r="ECI5" s="628"/>
      <c r="ECJ5" s="628"/>
      <c r="ECK5" s="628"/>
      <c r="ECL5" s="628"/>
      <c r="ECM5" s="628"/>
      <c r="ECN5" s="628"/>
      <c r="ECO5" s="628"/>
      <c r="ECP5" s="628"/>
      <c r="ECQ5" s="628"/>
      <c r="ECR5" s="628"/>
      <c r="ECS5" s="628"/>
      <c r="ECT5" s="628"/>
      <c r="ECU5" s="628"/>
      <c r="ECV5" s="628"/>
      <c r="ECW5" s="628"/>
      <c r="ECX5" s="628"/>
      <c r="ECY5" s="628"/>
      <c r="ECZ5" s="628"/>
      <c r="EDA5" s="628"/>
      <c r="EDB5" s="628"/>
      <c r="EDC5" s="628"/>
      <c r="EDD5" s="628"/>
      <c r="EDE5" s="628"/>
      <c r="EDF5" s="628"/>
      <c r="EDG5" s="628"/>
      <c r="EDH5" s="628"/>
      <c r="EDI5" s="628"/>
      <c r="EDJ5" s="628"/>
      <c r="EDK5" s="628"/>
      <c r="EDL5" s="628"/>
      <c r="EDM5" s="628"/>
      <c r="EDN5" s="628"/>
      <c r="EDO5" s="628"/>
      <c r="EDP5" s="628"/>
      <c r="EDQ5" s="628"/>
      <c r="EDR5" s="628"/>
      <c r="EDS5" s="628"/>
      <c r="EDT5" s="628"/>
      <c r="EDU5" s="628"/>
      <c r="EDV5" s="628"/>
      <c r="EDW5" s="628"/>
      <c r="EDX5" s="628"/>
      <c r="EDY5" s="628"/>
      <c r="EDZ5" s="628"/>
      <c r="EEA5" s="628"/>
      <c r="EEB5" s="628"/>
      <c r="EEC5" s="628"/>
      <c r="EED5" s="628"/>
      <c r="EEE5" s="628"/>
      <c r="EEF5" s="628"/>
      <c r="EEG5" s="628"/>
      <c r="EEH5" s="628"/>
      <c r="EEI5" s="628"/>
      <c r="EEJ5" s="628"/>
      <c r="EEK5" s="628"/>
      <c r="EEL5" s="628"/>
      <c r="EEM5" s="628"/>
      <c r="EEN5" s="628"/>
      <c r="EEO5" s="628"/>
      <c r="EEP5" s="628"/>
      <c r="EEQ5" s="628"/>
      <c r="EER5" s="628"/>
      <c r="EES5" s="628"/>
      <c r="EET5" s="628"/>
      <c r="EEU5" s="628"/>
      <c r="EEV5" s="628"/>
      <c r="EEW5" s="628"/>
      <c r="EEX5" s="628"/>
      <c r="EEY5" s="628"/>
      <c r="EEZ5" s="628"/>
      <c r="EFA5" s="628"/>
      <c r="EFB5" s="628"/>
      <c r="EFC5" s="628"/>
      <c r="EFD5" s="628"/>
      <c r="EFE5" s="628"/>
      <c r="EFF5" s="628"/>
      <c r="EFG5" s="628"/>
      <c r="EFH5" s="628"/>
      <c r="EFI5" s="628"/>
      <c r="EFJ5" s="628"/>
      <c r="EFK5" s="628"/>
      <c r="EFL5" s="628"/>
      <c r="EFM5" s="628"/>
      <c r="EFN5" s="628"/>
      <c r="EFO5" s="628"/>
      <c r="EFP5" s="628"/>
      <c r="EFQ5" s="628"/>
      <c r="EFR5" s="628"/>
      <c r="EFS5" s="628"/>
      <c r="EFT5" s="628"/>
      <c r="EFU5" s="628"/>
      <c r="EFV5" s="628"/>
      <c r="EFW5" s="628"/>
      <c r="EFX5" s="628"/>
      <c r="EFY5" s="628"/>
      <c r="EFZ5" s="628"/>
      <c r="EGA5" s="628"/>
      <c r="EGB5" s="628"/>
      <c r="EGC5" s="628"/>
      <c r="EGD5" s="628"/>
      <c r="EGE5" s="628"/>
      <c r="EGF5" s="628"/>
      <c r="EGG5" s="628"/>
      <c r="EGH5" s="628"/>
      <c r="EGI5" s="628"/>
      <c r="EGJ5" s="628"/>
      <c r="EGK5" s="628"/>
      <c r="EGL5" s="628"/>
      <c r="EGM5" s="628"/>
      <c r="EGN5" s="628"/>
      <c r="EGO5" s="628"/>
      <c r="EGP5" s="628"/>
      <c r="EGQ5" s="628"/>
      <c r="EGR5" s="628"/>
      <c r="EGS5" s="628"/>
      <c r="EGT5" s="628"/>
      <c r="EGU5" s="628"/>
      <c r="EGV5" s="628"/>
      <c r="EGW5" s="628"/>
      <c r="EGX5" s="628"/>
      <c r="EGY5" s="628"/>
      <c r="EGZ5" s="628"/>
      <c r="EHA5" s="628"/>
      <c r="EHB5" s="628"/>
      <c r="EHC5" s="628"/>
      <c r="EHD5" s="628"/>
      <c r="EHE5" s="628"/>
      <c r="EHF5" s="628"/>
      <c r="EHG5" s="628"/>
      <c r="EHH5" s="628"/>
      <c r="EHI5" s="628"/>
      <c r="EHJ5" s="628"/>
      <c r="EHK5" s="628"/>
      <c r="EHL5" s="628"/>
      <c r="EHM5" s="628"/>
      <c r="EHN5" s="628"/>
      <c r="EHO5" s="628"/>
      <c r="EHP5" s="628"/>
      <c r="EHQ5" s="628"/>
      <c r="EHR5" s="628"/>
      <c r="EHS5" s="628"/>
      <c r="EHT5" s="628"/>
      <c r="EHU5" s="628"/>
      <c r="EHV5" s="628"/>
      <c r="EHW5" s="628"/>
      <c r="EHX5" s="628"/>
      <c r="EHY5" s="628"/>
      <c r="EHZ5" s="628"/>
      <c r="EIA5" s="628"/>
      <c r="EIB5" s="628"/>
      <c r="EIC5" s="628"/>
      <c r="EID5" s="628"/>
      <c r="EIE5" s="628"/>
      <c r="EIF5" s="628"/>
      <c r="EIG5" s="628"/>
      <c r="EIH5" s="628"/>
      <c r="EII5" s="628"/>
      <c r="EIJ5" s="628"/>
      <c r="EIK5" s="628"/>
      <c r="EIL5" s="628"/>
      <c r="EIM5" s="628"/>
      <c r="EIN5" s="628"/>
      <c r="EIO5" s="628"/>
      <c r="EIP5" s="628"/>
      <c r="EIQ5" s="628"/>
      <c r="EIR5" s="628"/>
      <c r="EIS5" s="628"/>
      <c r="EIT5" s="628"/>
      <c r="EIU5" s="628"/>
      <c r="EIV5" s="628"/>
      <c r="EIW5" s="628"/>
      <c r="EIX5" s="628"/>
      <c r="EIY5" s="628"/>
      <c r="EIZ5" s="628"/>
      <c r="EJA5" s="628"/>
      <c r="EJB5" s="628"/>
      <c r="EJC5" s="628"/>
      <c r="EJD5" s="628"/>
      <c r="EJE5" s="628"/>
      <c r="EJF5" s="628"/>
      <c r="EJG5" s="628"/>
      <c r="EJH5" s="628"/>
      <c r="EJI5" s="628"/>
      <c r="EJJ5" s="628"/>
      <c r="EJK5" s="628"/>
      <c r="EJL5" s="628"/>
      <c r="EJM5" s="628"/>
      <c r="EJN5" s="628"/>
      <c r="EJO5" s="628"/>
      <c r="EJP5" s="628"/>
      <c r="EJQ5" s="628"/>
      <c r="EJR5" s="628"/>
      <c r="EJS5" s="628"/>
      <c r="EJT5" s="628"/>
      <c r="EJU5" s="628"/>
      <c r="EJV5" s="628"/>
      <c r="EJW5" s="628"/>
      <c r="EJX5" s="628"/>
      <c r="EJY5" s="628"/>
      <c r="EJZ5" s="628"/>
      <c r="EKA5" s="628"/>
      <c r="EKB5" s="628"/>
      <c r="EKC5" s="628"/>
      <c r="EKD5" s="628"/>
      <c r="EKE5" s="628"/>
      <c r="EKF5" s="628"/>
      <c r="EKG5" s="628"/>
      <c r="EKH5" s="628"/>
      <c r="EKI5" s="628"/>
      <c r="EKJ5" s="628"/>
      <c r="EKK5" s="628"/>
      <c r="EKL5" s="628"/>
      <c r="EKM5" s="628"/>
      <c r="EKN5" s="628"/>
      <c r="EKO5" s="628"/>
      <c r="EKP5" s="628"/>
      <c r="EKQ5" s="628"/>
      <c r="EKR5" s="628"/>
      <c r="EKS5" s="628"/>
      <c r="EKT5" s="628"/>
      <c r="EKU5" s="628"/>
      <c r="EKV5" s="628"/>
      <c r="EKW5" s="628"/>
      <c r="EKX5" s="628"/>
      <c r="EKY5" s="628"/>
      <c r="EKZ5" s="628"/>
      <c r="ELA5" s="628"/>
      <c r="ELB5" s="628"/>
      <c r="ELC5" s="628"/>
      <c r="ELD5" s="628"/>
      <c r="ELE5" s="628"/>
      <c r="ELF5" s="628"/>
      <c r="ELG5" s="628"/>
      <c r="ELH5" s="628"/>
      <c r="ELI5" s="628"/>
      <c r="ELJ5" s="628"/>
      <c r="ELK5" s="628"/>
      <c r="ELL5" s="628"/>
      <c r="ELM5" s="628"/>
      <c r="ELN5" s="628"/>
      <c r="ELO5" s="628"/>
      <c r="ELP5" s="628"/>
      <c r="ELQ5" s="628"/>
      <c r="ELR5" s="628"/>
      <c r="ELS5" s="628"/>
      <c r="ELT5" s="628"/>
      <c r="ELU5" s="628"/>
      <c r="ELV5" s="628"/>
      <c r="ELW5" s="628"/>
      <c r="ELX5" s="628"/>
      <c r="ELY5" s="628"/>
      <c r="ELZ5" s="628"/>
      <c r="EMA5" s="628"/>
      <c r="EMB5" s="628"/>
      <c r="EMC5" s="628"/>
      <c r="EMD5" s="628"/>
      <c r="EME5" s="628"/>
      <c r="EMF5" s="628"/>
      <c r="EMG5" s="628"/>
      <c r="EMH5" s="628"/>
      <c r="EMI5" s="628"/>
      <c r="EMJ5" s="628"/>
      <c r="EMK5" s="628"/>
      <c r="EML5" s="628"/>
      <c r="EMM5" s="628"/>
      <c r="EMN5" s="628"/>
      <c r="EMO5" s="628"/>
      <c r="EMP5" s="628"/>
      <c r="EMQ5" s="628"/>
      <c r="EMR5" s="628"/>
      <c r="EMS5" s="628"/>
      <c r="EMT5" s="628"/>
      <c r="EMU5" s="628"/>
      <c r="EMV5" s="628"/>
      <c r="EMW5" s="628"/>
      <c r="EMX5" s="628"/>
      <c r="EMY5" s="628"/>
      <c r="EMZ5" s="628"/>
      <c r="ENA5" s="628"/>
      <c r="ENB5" s="628"/>
      <c r="ENC5" s="628"/>
      <c r="END5" s="628"/>
      <c r="ENE5" s="628"/>
      <c r="ENF5" s="628"/>
      <c r="ENG5" s="628"/>
      <c r="ENH5" s="628"/>
      <c r="ENI5" s="628"/>
      <c r="ENJ5" s="628"/>
      <c r="ENK5" s="628"/>
      <c r="ENL5" s="628"/>
      <c r="ENM5" s="628"/>
      <c r="ENN5" s="628"/>
      <c r="ENO5" s="628"/>
      <c r="ENP5" s="628"/>
      <c r="ENQ5" s="628"/>
      <c r="ENR5" s="628"/>
      <c r="ENS5" s="628"/>
      <c r="ENT5" s="628"/>
      <c r="ENU5" s="628"/>
      <c r="ENV5" s="628"/>
      <c r="ENW5" s="628"/>
      <c r="ENX5" s="628"/>
      <c r="ENY5" s="628"/>
      <c r="ENZ5" s="628"/>
      <c r="EOA5" s="628"/>
      <c r="EOB5" s="628"/>
      <c r="EOC5" s="628"/>
      <c r="EOD5" s="628"/>
      <c r="EOE5" s="628"/>
      <c r="EOF5" s="628"/>
      <c r="EOG5" s="628"/>
      <c r="EOH5" s="628"/>
      <c r="EOI5" s="628"/>
      <c r="EOJ5" s="628"/>
      <c r="EOK5" s="628"/>
      <c r="EOL5" s="628"/>
      <c r="EOM5" s="628"/>
      <c r="EON5" s="628"/>
      <c r="EOO5" s="628"/>
      <c r="EOP5" s="628"/>
      <c r="EOQ5" s="628"/>
      <c r="EOR5" s="628"/>
      <c r="EOS5" s="628"/>
      <c r="EOT5" s="628"/>
      <c r="EOU5" s="628"/>
      <c r="EOV5" s="628"/>
      <c r="EOW5" s="628"/>
      <c r="EOX5" s="628"/>
      <c r="EOY5" s="628"/>
      <c r="EOZ5" s="628"/>
      <c r="EPA5" s="628"/>
      <c r="EPB5" s="628"/>
      <c r="EPC5" s="628"/>
      <c r="EPD5" s="628"/>
      <c r="EPE5" s="628"/>
      <c r="EPF5" s="628"/>
      <c r="EPG5" s="628"/>
      <c r="EPH5" s="628"/>
      <c r="EPI5" s="628"/>
      <c r="EPJ5" s="628"/>
      <c r="EPK5" s="628"/>
      <c r="EPL5" s="628"/>
      <c r="EPM5" s="628"/>
      <c r="EPN5" s="628"/>
      <c r="EPO5" s="628"/>
      <c r="EPP5" s="628"/>
      <c r="EPQ5" s="628"/>
      <c r="EPR5" s="628"/>
      <c r="EPS5" s="628"/>
      <c r="EPT5" s="628"/>
      <c r="EPU5" s="628"/>
      <c r="EPV5" s="628"/>
      <c r="EPW5" s="628"/>
      <c r="EPX5" s="628"/>
      <c r="EPY5" s="628"/>
      <c r="EPZ5" s="628"/>
      <c r="EQA5" s="628"/>
      <c r="EQB5" s="628"/>
      <c r="EQC5" s="628"/>
      <c r="EQD5" s="628"/>
      <c r="EQE5" s="628"/>
      <c r="EQF5" s="628"/>
      <c r="EQG5" s="628"/>
      <c r="EQH5" s="628"/>
      <c r="EQI5" s="628"/>
      <c r="EQJ5" s="628"/>
      <c r="EQK5" s="628"/>
      <c r="EQL5" s="628"/>
      <c r="EQM5" s="628"/>
      <c r="EQN5" s="628"/>
      <c r="EQO5" s="628"/>
      <c r="EQP5" s="628"/>
      <c r="EQQ5" s="628"/>
      <c r="EQR5" s="628"/>
      <c r="EQS5" s="628"/>
      <c r="EQT5" s="628"/>
      <c r="EQU5" s="628"/>
      <c r="EQV5" s="628"/>
      <c r="EQW5" s="628"/>
      <c r="EQX5" s="628"/>
      <c r="EQY5" s="628"/>
      <c r="EQZ5" s="628"/>
      <c r="ERA5" s="628"/>
      <c r="ERB5" s="628"/>
      <c r="ERC5" s="628"/>
      <c r="ERD5" s="628"/>
      <c r="ERE5" s="628"/>
      <c r="ERF5" s="628"/>
      <c r="ERG5" s="628"/>
      <c r="ERH5" s="628"/>
      <c r="ERI5" s="628"/>
      <c r="ERJ5" s="628"/>
      <c r="ERK5" s="628"/>
      <c r="ERL5" s="628"/>
      <c r="ERM5" s="628"/>
      <c r="ERN5" s="628"/>
      <c r="ERO5" s="628"/>
      <c r="ERP5" s="628"/>
      <c r="ERQ5" s="628"/>
      <c r="ERR5" s="628"/>
      <c r="ERS5" s="628"/>
      <c r="ERT5" s="628"/>
      <c r="ERU5" s="628"/>
      <c r="ERV5" s="628"/>
      <c r="ERW5" s="628"/>
      <c r="ERX5" s="628"/>
      <c r="ERY5" s="628"/>
      <c r="ERZ5" s="628"/>
      <c r="ESA5" s="628"/>
      <c r="ESB5" s="628"/>
      <c r="ESC5" s="628"/>
      <c r="ESD5" s="628"/>
      <c r="ESE5" s="628"/>
      <c r="ESF5" s="628"/>
      <c r="ESG5" s="628"/>
      <c r="ESH5" s="628"/>
      <c r="ESI5" s="628"/>
      <c r="ESJ5" s="628"/>
      <c r="ESK5" s="628"/>
      <c r="ESL5" s="628"/>
      <c r="ESM5" s="628"/>
      <c r="ESN5" s="628"/>
      <c r="ESO5" s="628"/>
      <c r="ESP5" s="628"/>
      <c r="ESQ5" s="628"/>
      <c r="ESR5" s="628"/>
      <c r="ESS5" s="628"/>
      <c r="EST5" s="628"/>
      <c r="ESU5" s="628"/>
      <c r="ESV5" s="628"/>
      <c r="ESW5" s="628"/>
      <c r="ESX5" s="628"/>
      <c r="ESY5" s="628"/>
      <c r="ESZ5" s="628"/>
      <c r="ETA5" s="628"/>
      <c r="ETB5" s="628"/>
      <c r="ETC5" s="628"/>
      <c r="ETD5" s="628"/>
      <c r="ETE5" s="628"/>
      <c r="ETF5" s="628"/>
      <c r="ETG5" s="628"/>
      <c r="ETH5" s="628"/>
      <c r="ETI5" s="628"/>
      <c r="ETJ5" s="628"/>
      <c r="ETK5" s="628"/>
      <c r="ETL5" s="628"/>
      <c r="ETM5" s="628"/>
      <c r="ETN5" s="628"/>
      <c r="ETO5" s="628"/>
      <c r="ETP5" s="628"/>
      <c r="ETQ5" s="628"/>
      <c r="ETR5" s="628"/>
      <c r="ETS5" s="628"/>
      <c r="ETT5" s="628"/>
      <c r="ETU5" s="628"/>
      <c r="ETV5" s="628"/>
      <c r="ETW5" s="628"/>
      <c r="ETX5" s="628"/>
      <c r="ETY5" s="628"/>
      <c r="ETZ5" s="628"/>
      <c r="EUA5" s="628"/>
      <c r="EUB5" s="628"/>
      <c r="EUC5" s="628"/>
      <c r="EUD5" s="628"/>
      <c r="EUE5" s="628"/>
      <c r="EUF5" s="628"/>
      <c r="EUG5" s="628"/>
      <c r="EUH5" s="628"/>
      <c r="EUI5" s="628"/>
      <c r="EUJ5" s="628"/>
      <c r="EUK5" s="628"/>
      <c r="EUL5" s="628"/>
      <c r="EUM5" s="628"/>
      <c r="EUN5" s="628"/>
      <c r="EUO5" s="628"/>
      <c r="EUP5" s="628"/>
      <c r="EUQ5" s="628"/>
      <c r="EUR5" s="628"/>
      <c r="EUS5" s="628"/>
      <c r="EUT5" s="628"/>
      <c r="EUU5" s="628"/>
      <c r="EUV5" s="628"/>
      <c r="EUW5" s="628"/>
      <c r="EUX5" s="628"/>
      <c r="EUY5" s="628"/>
      <c r="EUZ5" s="628"/>
      <c r="EVA5" s="628"/>
      <c r="EVB5" s="628"/>
      <c r="EVC5" s="628"/>
      <c r="EVD5" s="628"/>
      <c r="EVE5" s="628"/>
      <c r="EVF5" s="628"/>
      <c r="EVG5" s="628"/>
      <c r="EVH5" s="628"/>
      <c r="EVI5" s="628"/>
      <c r="EVJ5" s="628"/>
      <c r="EVK5" s="628"/>
      <c r="EVL5" s="628"/>
      <c r="EVM5" s="628"/>
      <c r="EVN5" s="628"/>
      <c r="EVO5" s="628"/>
      <c r="EVP5" s="628"/>
      <c r="EVQ5" s="628"/>
      <c r="EVR5" s="628"/>
      <c r="EVS5" s="628"/>
      <c r="EVT5" s="628"/>
      <c r="EVU5" s="628"/>
      <c r="EVV5" s="628"/>
      <c r="EVW5" s="628"/>
      <c r="EVX5" s="628"/>
      <c r="EVY5" s="628"/>
      <c r="EVZ5" s="628"/>
      <c r="EWA5" s="628"/>
      <c r="EWB5" s="628"/>
      <c r="EWC5" s="628"/>
      <c r="EWD5" s="628"/>
      <c r="EWE5" s="628"/>
      <c r="EWF5" s="628"/>
      <c r="EWG5" s="628"/>
      <c r="EWH5" s="628"/>
      <c r="EWI5" s="628"/>
      <c r="EWJ5" s="628"/>
      <c r="EWK5" s="628"/>
      <c r="EWL5" s="628"/>
      <c r="EWM5" s="628"/>
      <c r="EWN5" s="628"/>
      <c r="EWO5" s="628"/>
      <c r="EWP5" s="628"/>
      <c r="EWQ5" s="628"/>
      <c r="EWR5" s="628"/>
      <c r="EWS5" s="628"/>
      <c r="EWT5" s="628"/>
      <c r="EWU5" s="628"/>
      <c r="EWV5" s="628"/>
      <c r="EWW5" s="628"/>
      <c r="EWX5" s="628"/>
      <c r="EWY5" s="628"/>
      <c r="EWZ5" s="628"/>
      <c r="EXA5" s="628"/>
      <c r="EXB5" s="628"/>
      <c r="EXC5" s="628"/>
      <c r="EXD5" s="628"/>
      <c r="EXE5" s="628"/>
      <c r="EXF5" s="628"/>
      <c r="EXG5" s="628"/>
      <c r="EXH5" s="628"/>
      <c r="EXI5" s="628"/>
      <c r="EXJ5" s="628"/>
      <c r="EXK5" s="628"/>
      <c r="EXL5" s="628"/>
      <c r="EXM5" s="628"/>
      <c r="EXN5" s="628"/>
      <c r="EXO5" s="628"/>
      <c r="EXP5" s="628"/>
      <c r="EXQ5" s="628"/>
      <c r="EXR5" s="628"/>
      <c r="EXS5" s="628"/>
      <c r="EXT5" s="628"/>
      <c r="EXU5" s="628"/>
      <c r="EXV5" s="628"/>
      <c r="EXW5" s="628"/>
      <c r="EXX5" s="628"/>
      <c r="EXY5" s="628"/>
      <c r="EXZ5" s="628"/>
      <c r="EYA5" s="628"/>
      <c r="EYB5" s="628"/>
      <c r="EYC5" s="628"/>
      <c r="EYD5" s="628"/>
      <c r="EYE5" s="628"/>
      <c r="EYF5" s="628"/>
      <c r="EYG5" s="628"/>
      <c r="EYH5" s="628"/>
      <c r="EYI5" s="628"/>
      <c r="EYJ5" s="628"/>
      <c r="EYK5" s="628"/>
      <c r="EYL5" s="628"/>
      <c r="EYM5" s="628"/>
      <c r="EYN5" s="628"/>
      <c r="EYO5" s="628"/>
      <c r="EYP5" s="628"/>
      <c r="EYQ5" s="628"/>
      <c r="EYR5" s="628"/>
      <c r="EYS5" s="628"/>
      <c r="EYT5" s="628"/>
      <c r="EYU5" s="628"/>
      <c r="EYV5" s="628"/>
      <c r="EYW5" s="628"/>
      <c r="EYX5" s="628"/>
      <c r="EYY5" s="628"/>
      <c r="EYZ5" s="628"/>
      <c r="EZA5" s="628"/>
      <c r="EZB5" s="628"/>
      <c r="EZC5" s="628"/>
      <c r="EZD5" s="628"/>
      <c r="EZE5" s="628"/>
      <c r="EZF5" s="628"/>
      <c r="EZG5" s="628"/>
      <c r="EZH5" s="628"/>
      <c r="EZI5" s="628"/>
      <c r="EZJ5" s="628"/>
      <c r="EZK5" s="628"/>
      <c r="EZL5" s="628"/>
      <c r="EZM5" s="628"/>
      <c r="EZN5" s="628"/>
      <c r="EZO5" s="628"/>
      <c r="EZP5" s="628"/>
      <c r="EZQ5" s="628"/>
      <c r="EZR5" s="628"/>
      <c r="EZS5" s="628"/>
      <c r="EZT5" s="628"/>
      <c r="EZU5" s="628"/>
      <c r="EZV5" s="628"/>
      <c r="EZW5" s="628"/>
      <c r="EZX5" s="628"/>
      <c r="EZY5" s="628"/>
      <c r="EZZ5" s="628"/>
      <c r="FAA5" s="628"/>
      <c r="FAB5" s="628"/>
      <c r="FAC5" s="628"/>
      <c r="FAD5" s="628"/>
      <c r="FAE5" s="628"/>
      <c r="FAF5" s="628"/>
      <c r="FAG5" s="628"/>
      <c r="FAH5" s="628"/>
      <c r="FAI5" s="628"/>
      <c r="FAJ5" s="628"/>
      <c r="FAK5" s="628"/>
      <c r="FAL5" s="628"/>
      <c r="FAM5" s="628"/>
      <c r="FAN5" s="628"/>
      <c r="FAO5" s="628"/>
      <c r="FAP5" s="628"/>
      <c r="FAQ5" s="628"/>
      <c r="FAR5" s="628"/>
      <c r="FAS5" s="628"/>
      <c r="FAT5" s="628"/>
      <c r="FAU5" s="628"/>
      <c r="FAV5" s="628"/>
      <c r="FAW5" s="628"/>
      <c r="FAX5" s="628"/>
      <c r="FAY5" s="628"/>
      <c r="FAZ5" s="628"/>
      <c r="FBA5" s="628"/>
      <c r="FBB5" s="628"/>
      <c r="FBC5" s="628"/>
      <c r="FBD5" s="628"/>
      <c r="FBE5" s="628"/>
      <c r="FBF5" s="628"/>
      <c r="FBG5" s="628"/>
      <c r="FBH5" s="628"/>
      <c r="FBI5" s="628"/>
      <c r="FBJ5" s="628"/>
      <c r="FBK5" s="628"/>
      <c r="FBL5" s="628"/>
      <c r="FBM5" s="628"/>
      <c r="FBN5" s="628"/>
      <c r="FBO5" s="628"/>
      <c r="FBP5" s="628"/>
      <c r="FBQ5" s="628"/>
      <c r="FBR5" s="628"/>
      <c r="FBS5" s="628"/>
      <c r="FBT5" s="628"/>
      <c r="FBU5" s="628"/>
      <c r="FBV5" s="628"/>
      <c r="FBW5" s="628"/>
      <c r="FBX5" s="628"/>
      <c r="FBY5" s="628"/>
      <c r="FBZ5" s="628"/>
      <c r="FCA5" s="628"/>
      <c r="FCB5" s="628"/>
      <c r="FCC5" s="628"/>
      <c r="FCD5" s="628"/>
      <c r="FCE5" s="628"/>
      <c r="FCF5" s="628"/>
      <c r="FCG5" s="628"/>
      <c r="FCH5" s="628"/>
      <c r="FCI5" s="628"/>
      <c r="FCJ5" s="628"/>
      <c r="FCK5" s="628"/>
      <c r="FCL5" s="628"/>
      <c r="FCM5" s="628"/>
      <c r="FCN5" s="628"/>
      <c r="FCO5" s="628"/>
      <c r="FCP5" s="628"/>
      <c r="FCQ5" s="628"/>
      <c r="FCR5" s="628"/>
      <c r="FCS5" s="628"/>
      <c r="FCT5" s="628"/>
      <c r="FCU5" s="628"/>
      <c r="FCV5" s="628"/>
      <c r="FCW5" s="628"/>
      <c r="FCX5" s="628"/>
      <c r="FCY5" s="628"/>
      <c r="FCZ5" s="628"/>
      <c r="FDA5" s="628"/>
      <c r="FDB5" s="628"/>
      <c r="FDC5" s="628"/>
      <c r="FDD5" s="628"/>
      <c r="FDE5" s="628"/>
      <c r="FDF5" s="628"/>
      <c r="FDG5" s="628"/>
      <c r="FDH5" s="628"/>
      <c r="FDI5" s="628"/>
      <c r="FDJ5" s="628"/>
      <c r="FDK5" s="628"/>
      <c r="FDL5" s="628"/>
      <c r="FDM5" s="628"/>
      <c r="FDN5" s="628"/>
      <c r="FDO5" s="628"/>
      <c r="FDP5" s="628"/>
      <c r="FDQ5" s="628"/>
      <c r="FDR5" s="628"/>
      <c r="FDS5" s="628"/>
      <c r="FDT5" s="628"/>
      <c r="FDU5" s="628"/>
      <c r="FDV5" s="628"/>
      <c r="FDW5" s="628"/>
      <c r="FDX5" s="628"/>
      <c r="FDY5" s="628"/>
      <c r="FDZ5" s="628"/>
      <c r="FEA5" s="628"/>
      <c r="FEB5" s="628"/>
      <c r="FEC5" s="628"/>
      <c r="FED5" s="628"/>
      <c r="FEE5" s="628"/>
      <c r="FEF5" s="628"/>
      <c r="FEG5" s="628"/>
      <c r="FEH5" s="628"/>
      <c r="FEI5" s="628"/>
      <c r="FEJ5" s="628"/>
      <c r="FEK5" s="628"/>
      <c r="FEL5" s="628"/>
      <c r="FEM5" s="628"/>
      <c r="FEN5" s="628"/>
      <c r="FEO5" s="628"/>
      <c r="FEP5" s="628"/>
      <c r="FEQ5" s="628"/>
      <c r="FER5" s="628"/>
      <c r="FES5" s="628"/>
      <c r="FET5" s="628"/>
      <c r="FEU5" s="628"/>
      <c r="FEV5" s="628"/>
      <c r="FEW5" s="628"/>
      <c r="FEX5" s="628"/>
      <c r="FEY5" s="628"/>
      <c r="FEZ5" s="628"/>
      <c r="FFA5" s="628"/>
      <c r="FFB5" s="628"/>
      <c r="FFC5" s="628"/>
      <c r="FFD5" s="628"/>
      <c r="FFE5" s="628"/>
      <c r="FFF5" s="628"/>
      <c r="FFG5" s="628"/>
      <c r="FFH5" s="628"/>
      <c r="FFI5" s="628"/>
      <c r="FFJ5" s="628"/>
      <c r="FFK5" s="628"/>
      <c r="FFL5" s="628"/>
      <c r="FFM5" s="628"/>
      <c r="FFN5" s="628"/>
      <c r="FFO5" s="628"/>
      <c r="FFP5" s="628"/>
      <c r="FFQ5" s="628"/>
      <c r="FFR5" s="628"/>
      <c r="FFS5" s="628"/>
      <c r="FFT5" s="628"/>
      <c r="FFU5" s="628"/>
      <c r="FFV5" s="628"/>
      <c r="FFW5" s="628"/>
      <c r="FFX5" s="628"/>
      <c r="FFY5" s="628"/>
      <c r="FFZ5" s="628"/>
      <c r="FGA5" s="628"/>
      <c r="FGB5" s="628"/>
      <c r="FGC5" s="628"/>
      <c r="FGD5" s="628"/>
      <c r="FGE5" s="628"/>
      <c r="FGF5" s="628"/>
      <c r="FGG5" s="628"/>
      <c r="FGH5" s="628"/>
      <c r="FGI5" s="628"/>
      <c r="FGJ5" s="628"/>
      <c r="FGK5" s="628"/>
      <c r="FGL5" s="628"/>
      <c r="FGM5" s="628"/>
      <c r="FGN5" s="628"/>
      <c r="FGO5" s="628"/>
      <c r="FGP5" s="628"/>
      <c r="FGQ5" s="628"/>
      <c r="FGR5" s="628"/>
      <c r="FGS5" s="628"/>
      <c r="FGT5" s="628"/>
      <c r="FGU5" s="628"/>
      <c r="FGV5" s="628"/>
      <c r="FGW5" s="628"/>
      <c r="FGX5" s="628"/>
      <c r="FGY5" s="628"/>
      <c r="FGZ5" s="628"/>
      <c r="FHA5" s="628"/>
      <c r="FHB5" s="628"/>
      <c r="FHC5" s="628"/>
      <c r="FHD5" s="628"/>
      <c r="FHE5" s="628"/>
      <c r="FHF5" s="628"/>
      <c r="FHG5" s="628"/>
      <c r="FHH5" s="628"/>
      <c r="FHI5" s="628"/>
      <c r="FHJ5" s="628"/>
      <c r="FHK5" s="628"/>
      <c r="FHL5" s="628"/>
      <c r="FHM5" s="628"/>
      <c r="FHN5" s="628"/>
      <c r="FHO5" s="628"/>
      <c r="FHP5" s="628"/>
      <c r="FHQ5" s="628"/>
      <c r="FHR5" s="628"/>
      <c r="FHS5" s="628"/>
      <c r="FHT5" s="628"/>
      <c r="FHU5" s="628"/>
      <c r="FHV5" s="628"/>
      <c r="FHW5" s="628"/>
      <c r="FHX5" s="628"/>
      <c r="FHY5" s="628"/>
      <c r="FHZ5" s="628"/>
      <c r="FIA5" s="628"/>
      <c r="FIB5" s="628"/>
      <c r="FIC5" s="628"/>
      <c r="FID5" s="628"/>
      <c r="FIE5" s="628"/>
      <c r="FIF5" s="628"/>
      <c r="FIG5" s="628"/>
      <c r="FIH5" s="628"/>
      <c r="FII5" s="628"/>
      <c r="FIJ5" s="628"/>
      <c r="FIK5" s="628"/>
      <c r="FIL5" s="628"/>
      <c r="FIM5" s="628"/>
      <c r="FIN5" s="628"/>
      <c r="FIO5" s="628"/>
      <c r="FIP5" s="628"/>
      <c r="FIQ5" s="628"/>
      <c r="FIR5" s="628"/>
      <c r="FIS5" s="628"/>
      <c r="FIT5" s="628"/>
      <c r="FIU5" s="628"/>
      <c r="FIV5" s="628"/>
      <c r="FIW5" s="628"/>
      <c r="FIX5" s="628"/>
      <c r="FIY5" s="628"/>
      <c r="FIZ5" s="628"/>
      <c r="FJA5" s="628"/>
      <c r="FJB5" s="628"/>
      <c r="FJC5" s="628"/>
      <c r="FJD5" s="628"/>
      <c r="FJE5" s="628"/>
      <c r="FJF5" s="628"/>
      <c r="FJG5" s="628"/>
      <c r="FJH5" s="628"/>
      <c r="FJI5" s="628"/>
      <c r="FJJ5" s="628"/>
      <c r="FJK5" s="628"/>
      <c r="FJL5" s="628"/>
      <c r="FJM5" s="628"/>
      <c r="FJN5" s="628"/>
      <c r="FJO5" s="628"/>
      <c r="FJP5" s="628"/>
      <c r="FJQ5" s="628"/>
      <c r="FJR5" s="628"/>
      <c r="FJS5" s="628"/>
      <c r="FJT5" s="628"/>
      <c r="FJU5" s="628"/>
      <c r="FJV5" s="628"/>
      <c r="FJW5" s="628"/>
      <c r="FJX5" s="628"/>
      <c r="FJY5" s="628"/>
      <c r="FJZ5" s="628"/>
      <c r="FKA5" s="628"/>
      <c r="FKB5" s="628"/>
      <c r="FKC5" s="628"/>
      <c r="FKD5" s="628"/>
      <c r="FKE5" s="628"/>
      <c r="FKF5" s="628"/>
      <c r="FKG5" s="628"/>
      <c r="FKH5" s="628"/>
      <c r="FKI5" s="628"/>
      <c r="FKJ5" s="628"/>
      <c r="FKK5" s="628"/>
      <c r="FKL5" s="628"/>
      <c r="FKM5" s="628"/>
      <c r="FKN5" s="628"/>
      <c r="FKO5" s="628"/>
      <c r="FKP5" s="628"/>
      <c r="FKQ5" s="628"/>
      <c r="FKR5" s="628"/>
      <c r="FKS5" s="628"/>
      <c r="FKT5" s="628"/>
      <c r="FKU5" s="628"/>
      <c r="FKV5" s="628"/>
      <c r="FKW5" s="628"/>
      <c r="FKX5" s="628"/>
      <c r="FKY5" s="628"/>
      <c r="FKZ5" s="628"/>
      <c r="FLA5" s="628"/>
      <c r="FLB5" s="628"/>
      <c r="FLC5" s="628"/>
      <c r="FLD5" s="628"/>
      <c r="FLE5" s="628"/>
      <c r="FLF5" s="628"/>
      <c r="FLG5" s="628"/>
      <c r="FLH5" s="628"/>
      <c r="FLI5" s="628"/>
      <c r="FLJ5" s="628"/>
      <c r="FLK5" s="628"/>
      <c r="FLL5" s="628"/>
      <c r="FLM5" s="628"/>
      <c r="FLN5" s="628"/>
      <c r="FLO5" s="628"/>
      <c r="FLP5" s="628"/>
      <c r="FLQ5" s="628"/>
      <c r="FLR5" s="628"/>
      <c r="FLS5" s="628"/>
      <c r="FLT5" s="628"/>
      <c r="FLU5" s="628"/>
      <c r="FLV5" s="628"/>
      <c r="FLW5" s="628"/>
      <c r="FLX5" s="628"/>
      <c r="FLY5" s="628"/>
      <c r="FLZ5" s="628"/>
      <c r="FMA5" s="628"/>
      <c r="FMB5" s="628"/>
      <c r="FMC5" s="628"/>
      <c r="FMD5" s="628"/>
      <c r="FME5" s="628"/>
      <c r="FMF5" s="628"/>
      <c r="FMG5" s="628"/>
      <c r="FMH5" s="628"/>
      <c r="FMI5" s="628"/>
      <c r="FMJ5" s="628"/>
      <c r="FMK5" s="628"/>
      <c r="FML5" s="628"/>
      <c r="FMM5" s="628"/>
      <c r="FMN5" s="628"/>
      <c r="FMO5" s="628"/>
      <c r="FMP5" s="628"/>
      <c r="FMQ5" s="628"/>
      <c r="FMR5" s="628"/>
      <c r="FMS5" s="628"/>
      <c r="FMT5" s="628"/>
      <c r="FMU5" s="628"/>
      <c r="FMV5" s="628"/>
      <c r="FMW5" s="628"/>
      <c r="FMX5" s="628"/>
      <c r="FMY5" s="628"/>
      <c r="FMZ5" s="628"/>
      <c r="FNA5" s="628"/>
      <c r="FNB5" s="628"/>
      <c r="FNC5" s="628"/>
      <c r="FND5" s="628"/>
      <c r="FNE5" s="628"/>
      <c r="FNF5" s="628"/>
      <c r="FNG5" s="628"/>
      <c r="FNH5" s="628"/>
      <c r="FNI5" s="628"/>
      <c r="FNJ5" s="628"/>
      <c r="FNK5" s="628"/>
      <c r="FNL5" s="628"/>
      <c r="FNM5" s="628"/>
      <c r="FNN5" s="628"/>
      <c r="FNO5" s="628"/>
      <c r="FNP5" s="628"/>
      <c r="FNQ5" s="628"/>
      <c r="FNR5" s="628"/>
      <c r="FNS5" s="628"/>
      <c r="FNT5" s="628"/>
      <c r="FNU5" s="628"/>
      <c r="FNV5" s="628"/>
      <c r="FNW5" s="628"/>
      <c r="FNX5" s="628"/>
      <c r="FNY5" s="628"/>
      <c r="FNZ5" s="628"/>
      <c r="FOA5" s="628"/>
      <c r="FOB5" s="628"/>
      <c r="FOC5" s="628"/>
      <c r="FOD5" s="628"/>
      <c r="FOE5" s="628"/>
      <c r="FOF5" s="628"/>
      <c r="FOG5" s="628"/>
      <c r="FOH5" s="628"/>
      <c r="FOI5" s="628"/>
      <c r="FOJ5" s="628"/>
      <c r="FOK5" s="628"/>
      <c r="FOL5" s="628"/>
      <c r="FOM5" s="628"/>
      <c r="FON5" s="628"/>
      <c r="FOO5" s="628"/>
      <c r="FOP5" s="628"/>
      <c r="FOQ5" s="628"/>
      <c r="FOR5" s="628"/>
      <c r="FOS5" s="628"/>
      <c r="FOT5" s="628"/>
      <c r="FOU5" s="628"/>
      <c r="FOV5" s="628"/>
      <c r="FOW5" s="628"/>
      <c r="FOX5" s="628"/>
      <c r="FOY5" s="628"/>
      <c r="FOZ5" s="628"/>
      <c r="FPA5" s="628"/>
      <c r="FPB5" s="628"/>
      <c r="FPC5" s="628"/>
      <c r="FPD5" s="628"/>
      <c r="FPE5" s="628"/>
      <c r="FPF5" s="628"/>
      <c r="FPG5" s="628"/>
      <c r="FPH5" s="628"/>
      <c r="FPI5" s="628"/>
      <c r="FPJ5" s="628"/>
      <c r="FPK5" s="628"/>
      <c r="FPL5" s="628"/>
      <c r="FPM5" s="628"/>
      <c r="FPN5" s="628"/>
      <c r="FPO5" s="628"/>
      <c r="FPP5" s="628"/>
      <c r="FPQ5" s="628"/>
      <c r="FPR5" s="628"/>
      <c r="FPS5" s="628"/>
      <c r="FPT5" s="628"/>
      <c r="FPU5" s="628"/>
      <c r="FPV5" s="628"/>
      <c r="FPW5" s="628"/>
      <c r="FPX5" s="628"/>
      <c r="FPY5" s="628"/>
      <c r="FPZ5" s="628"/>
      <c r="FQA5" s="628"/>
      <c r="FQB5" s="628"/>
      <c r="FQC5" s="628"/>
      <c r="FQD5" s="628"/>
      <c r="FQE5" s="628"/>
      <c r="FQF5" s="628"/>
      <c r="FQG5" s="628"/>
      <c r="FQH5" s="628"/>
      <c r="FQI5" s="628"/>
      <c r="FQJ5" s="628"/>
      <c r="FQK5" s="628"/>
      <c r="FQL5" s="628"/>
      <c r="FQM5" s="628"/>
      <c r="FQN5" s="628"/>
      <c r="FQO5" s="628"/>
      <c r="FQP5" s="628"/>
      <c r="FQQ5" s="628"/>
      <c r="FQR5" s="628"/>
      <c r="FQS5" s="628"/>
      <c r="FQT5" s="628"/>
      <c r="FQU5" s="628"/>
      <c r="FQV5" s="628"/>
      <c r="FQW5" s="628"/>
      <c r="FQX5" s="628"/>
      <c r="FQY5" s="628"/>
      <c r="FQZ5" s="628"/>
      <c r="FRA5" s="628"/>
      <c r="FRB5" s="628"/>
      <c r="FRC5" s="628"/>
      <c r="FRD5" s="628"/>
      <c r="FRE5" s="628"/>
      <c r="FRF5" s="628"/>
      <c r="FRG5" s="628"/>
      <c r="FRH5" s="628"/>
      <c r="FRI5" s="628"/>
      <c r="FRJ5" s="628"/>
      <c r="FRK5" s="628"/>
      <c r="FRL5" s="628"/>
      <c r="FRM5" s="628"/>
      <c r="FRN5" s="628"/>
      <c r="FRO5" s="628"/>
      <c r="FRP5" s="628"/>
      <c r="FRQ5" s="628"/>
      <c r="FRR5" s="628"/>
      <c r="FRS5" s="628"/>
      <c r="FRT5" s="628"/>
      <c r="FRU5" s="628"/>
      <c r="FRV5" s="628"/>
      <c r="FRW5" s="628"/>
      <c r="FRX5" s="628"/>
      <c r="FRY5" s="628"/>
      <c r="FRZ5" s="628"/>
      <c r="FSA5" s="628"/>
      <c r="FSB5" s="628"/>
      <c r="FSC5" s="628"/>
      <c r="FSD5" s="628"/>
      <c r="FSE5" s="628"/>
      <c r="FSF5" s="628"/>
      <c r="FSG5" s="628"/>
      <c r="FSH5" s="628"/>
      <c r="FSI5" s="628"/>
      <c r="FSJ5" s="628"/>
      <c r="FSK5" s="628"/>
      <c r="FSL5" s="628"/>
      <c r="FSM5" s="628"/>
      <c r="FSN5" s="628"/>
      <c r="FSO5" s="628"/>
      <c r="FSP5" s="628"/>
      <c r="FSQ5" s="628"/>
      <c r="FSR5" s="628"/>
      <c r="FSS5" s="628"/>
      <c r="FST5" s="628"/>
      <c r="FSU5" s="628"/>
      <c r="FSV5" s="628"/>
      <c r="FSW5" s="628"/>
      <c r="FSX5" s="628"/>
      <c r="FSY5" s="628"/>
      <c r="FSZ5" s="628"/>
      <c r="FTA5" s="628"/>
      <c r="FTB5" s="628"/>
      <c r="FTC5" s="628"/>
      <c r="FTD5" s="628"/>
      <c r="FTE5" s="628"/>
      <c r="FTF5" s="628"/>
      <c r="FTG5" s="628"/>
      <c r="FTH5" s="628"/>
      <c r="FTI5" s="628"/>
      <c r="FTJ5" s="628"/>
      <c r="FTK5" s="628"/>
      <c r="FTL5" s="628"/>
      <c r="FTM5" s="628"/>
      <c r="FTN5" s="628"/>
      <c r="FTO5" s="628"/>
      <c r="FTP5" s="628"/>
      <c r="FTQ5" s="628"/>
      <c r="FTR5" s="628"/>
      <c r="FTS5" s="628"/>
      <c r="FTT5" s="628"/>
      <c r="FTU5" s="628"/>
      <c r="FTV5" s="628"/>
      <c r="FTW5" s="628"/>
      <c r="FTX5" s="628"/>
      <c r="FTY5" s="628"/>
      <c r="FTZ5" s="628"/>
      <c r="FUA5" s="628"/>
      <c r="FUB5" s="628"/>
      <c r="FUC5" s="628"/>
      <c r="FUD5" s="628"/>
      <c r="FUE5" s="628"/>
      <c r="FUF5" s="628"/>
      <c r="FUG5" s="628"/>
      <c r="FUH5" s="628"/>
      <c r="FUI5" s="628"/>
      <c r="FUJ5" s="628"/>
      <c r="FUK5" s="628"/>
      <c r="FUL5" s="628"/>
      <c r="FUM5" s="628"/>
      <c r="FUN5" s="628"/>
      <c r="FUO5" s="628"/>
      <c r="FUP5" s="628"/>
      <c r="FUQ5" s="628"/>
      <c r="FUR5" s="628"/>
      <c r="FUS5" s="628"/>
      <c r="FUT5" s="628"/>
      <c r="FUU5" s="628"/>
      <c r="FUV5" s="628"/>
      <c r="FUW5" s="628"/>
      <c r="FUX5" s="628"/>
      <c r="FUY5" s="628"/>
      <c r="FUZ5" s="628"/>
      <c r="FVA5" s="628"/>
      <c r="FVB5" s="628"/>
      <c r="FVC5" s="628"/>
      <c r="FVD5" s="628"/>
      <c r="FVE5" s="628"/>
      <c r="FVF5" s="628"/>
      <c r="FVG5" s="628"/>
      <c r="FVH5" s="628"/>
      <c r="FVI5" s="628"/>
      <c r="FVJ5" s="628"/>
      <c r="FVK5" s="628"/>
      <c r="FVL5" s="628"/>
      <c r="FVM5" s="628"/>
      <c r="FVN5" s="628"/>
      <c r="FVO5" s="628"/>
      <c r="FVP5" s="628"/>
      <c r="FVQ5" s="628"/>
      <c r="FVR5" s="628"/>
      <c r="FVS5" s="628"/>
      <c r="FVT5" s="628"/>
      <c r="FVU5" s="628"/>
      <c r="FVV5" s="628"/>
      <c r="FVW5" s="628"/>
      <c r="FVX5" s="628"/>
      <c r="FVY5" s="628"/>
      <c r="FVZ5" s="628"/>
      <c r="FWA5" s="628"/>
      <c r="FWB5" s="628"/>
      <c r="FWC5" s="628"/>
      <c r="FWD5" s="628"/>
      <c r="FWE5" s="628"/>
      <c r="FWF5" s="628"/>
      <c r="FWG5" s="628"/>
      <c r="FWH5" s="628"/>
      <c r="FWI5" s="628"/>
      <c r="FWJ5" s="628"/>
      <c r="FWK5" s="628"/>
      <c r="FWL5" s="628"/>
      <c r="FWM5" s="628"/>
      <c r="FWN5" s="628"/>
      <c r="FWO5" s="628"/>
      <c r="FWP5" s="628"/>
      <c r="FWQ5" s="628"/>
      <c r="FWR5" s="628"/>
      <c r="FWS5" s="628"/>
      <c r="FWT5" s="628"/>
      <c r="FWU5" s="628"/>
      <c r="FWV5" s="628"/>
      <c r="FWW5" s="628"/>
      <c r="FWX5" s="628"/>
      <c r="FWY5" s="628"/>
      <c r="FWZ5" s="628"/>
      <c r="FXA5" s="628"/>
      <c r="FXB5" s="628"/>
      <c r="FXC5" s="628"/>
      <c r="FXD5" s="628"/>
      <c r="FXE5" s="628"/>
      <c r="FXF5" s="628"/>
      <c r="FXG5" s="628"/>
      <c r="FXH5" s="628"/>
      <c r="FXI5" s="628"/>
      <c r="FXJ5" s="628"/>
      <c r="FXK5" s="628"/>
      <c r="FXL5" s="628"/>
      <c r="FXM5" s="628"/>
      <c r="FXN5" s="628"/>
      <c r="FXO5" s="628"/>
      <c r="FXP5" s="628"/>
      <c r="FXQ5" s="628"/>
      <c r="FXR5" s="628"/>
      <c r="FXS5" s="628"/>
      <c r="FXT5" s="628"/>
      <c r="FXU5" s="628"/>
      <c r="FXV5" s="628"/>
      <c r="FXW5" s="628"/>
      <c r="FXX5" s="628"/>
      <c r="FXY5" s="628"/>
      <c r="FXZ5" s="628"/>
      <c r="FYA5" s="628"/>
      <c r="FYB5" s="628"/>
      <c r="FYC5" s="628"/>
      <c r="FYD5" s="628"/>
      <c r="FYE5" s="628"/>
      <c r="FYF5" s="628"/>
      <c r="FYG5" s="628"/>
      <c r="FYH5" s="628"/>
      <c r="FYI5" s="628"/>
      <c r="FYJ5" s="628"/>
      <c r="FYK5" s="628"/>
      <c r="FYL5" s="628"/>
      <c r="FYM5" s="628"/>
      <c r="FYN5" s="628"/>
      <c r="FYO5" s="628"/>
      <c r="FYP5" s="628"/>
      <c r="FYQ5" s="628"/>
      <c r="FYR5" s="628"/>
      <c r="FYS5" s="628"/>
      <c r="FYT5" s="628"/>
      <c r="FYU5" s="628"/>
      <c r="FYV5" s="628"/>
      <c r="FYW5" s="628"/>
      <c r="FYX5" s="628"/>
      <c r="FYY5" s="628"/>
      <c r="FYZ5" s="628"/>
      <c r="FZA5" s="628"/>
      <c r="FZB5" s="628"/>
      <c r="FZC5" s="628"/>
      <c r="FZD5" s="628"/>
      <c r="FZE5" s="628"/>
      <c r="FZF5" s="628"/>
      <c r="FZG5" s="628"/>
      <c r="FZH5" s="628"/>
      <c r="FZI5" s="628"/>
      <c r="FZJ5" s="628"/>
      <c r="FZK5" s="628"/>
      <c r="FZL5" s="628"/>
      <c r="FZM5" s="628"/>
      <c r="FZN5" s="628"/>
      <c r="FZO5" s="628"/>
      <c r="FZP5" s="628"/>
      <c r="FZQ5" s="628"/>
      <c r="FZR5" s="628"/>
      <c r="FZS5" s="628"/>
      <c r="FZT5" s="628"/>
      <c r="FZU5" s="628"/>
      <c r="FZV5" s="628"/>
      <c r="FZW5" s="628"/>
      <c r="FZX5" s="628"/>
      <c r="FZY5" s="628"/>
      <c r="FZZ5" s="628"/>
      <c r="GAA5" s="628"/>
      <c r="GAB5" s="628"/>
      <c r="GAC5" s="628"/>
      <c r="GAD5" s="628"/>
      <c r="GAE5" s="628"/>
      <c r="GAF5" s="628"/>
      <c r="GAG5" s="628"/>
      <c r="GAH5" s="628"/>
      <c r="GAI5" s="628"/>
      <c r="GAJ5" s="628"/>
      <c r="GAK5" s="628"/>
      <c r="GAL5" s="628"/>
      <c r="GAM5" s="628"/>
      <c r="GAN5" s="628"/>
      <c r="GAO5" s="628"/>
      <c r="GAP5" s="628"/>
      <c r="GAQ5" s="628"/>
      <c r="GAR5" s="628"/>
      <c r="GAS5" s="628"/>
      <c r="GAT5" s="628"/>
      <c r="GAU5" s="628"/>
      <c r="GAV5" s="628"/>
      <c r="GAW5" s="628"/>
      <c r="GAX5" s="628"/>
      <c r="GAY5" s="628"/>
      <c r="GAZ5" s="628"/>
      <c r="GBA5" s="628"/>
      <c r="GBB5" s="628"/>
      <c r="GBC5" s="628"/>
      <c r="GBD5" s="628"/>
      <c r="GBE5" s="628"/>
      <c r="GBF5" s="628"/>
      <c r="GBG5" s="628"/>
      <c r="GBH5" s="628"/>
      <c r="GBI5" s="628"/>
      <c r="GBJ5" s="628"/>
      <c r="GBK5" s="628"/>
      <c r="GBL5" s="628"/>
      <c r="GBM5" s="628"/>
      <c r="GBN5" s="628"/>
      <c r="GBO5" s="628"/>
      <c r="GBP5" s="628"/>
      <c r="GBQ5" s="628"/>
      <c r="GBR5" s="628"/>
      <c r="GBS5" s="628"/>
      <c r="GBT5" s="628"/>
      <c r="GBU5" s="628"/>
      <c r="GBV5" s="628"/>
      <c r="GBW5" s="628"/>
      <c r="GBX5" s="628"/>
      <c r="GBY5" s="628"/>
      <c r="GBZ5" s="628"/>
      <c r="GCA5" s="628"/>
      <c r="GCB5" s="628"/>
      <c r="GCC5" s="628"/>
      <c r="GCD5" s="628"/>
      <c r="GCE5" s="628"/>
      <c r="GCF5" s="628"/>
      <c r="GCG5" s="628"/>
      <c r="GCH5" s="628"/>
      <c r="GCI5" s="628"/>
      <c r="GCJ5" s="628"/>
      <c r="GCK5" s="628"/>
      <c r="GCL5" s="628"/>
      <c r="GCM5" s="628"/>
      <c r="GCN5" s="628"/>
      <c r="GCO5" s="628"/>
      <c r="GCP5" s="628"/>
      <c r="GCQ5" s="628"/>
      <c r="GCR5" s="628"/>
      <c r="GCS5" s="628"/>
      <c r="GCT5" s="628"/>
      <c r="GCU5" s="628"/>
      <c r="GCV5" s="628"/>
      <c r="GCW5" s="628"/>
      <c r="GCX5" s="628"/>
      <c r="GCY5" s="628"/>
      <c r="GCZ5" s="628"/>
      <c r="GDA5" s="628"/>
      <c r="GDB5" s="628"/>
      <c r="GDC5" s="628"/>
      <c r="GDD5" s="628"/>
      <c r="GDE5" s="628"/>
      <c r="GDF5" s="628"/>
      <c r="GDG5" s="628"/>
      <c r="GDH5" s="628"/>
      <c r="GDI5" s="628"/>
      <c r="GDJ5" s="628"/>
      <c r="GDK5" s="628"/>
      <c r="GDL5" s="628"/>
      <c r="GDM5" s="628"/>
      <c r="GDN5" s="628"/>
      <c r="GDO5" s="628"/>
      <c r="GDP5" s="628"/>
      <c r="GDQ5" s="628"/>
      <c r="GDR5" s="628"/>
      <c r="GDS5" s="628"/>
      <c r="GDT5" s="628"/>
      <c r="GDU5" s="628"/>
      <c r="GDV5" s="628"/>
      <c r="GDW5" s="628"/>
      <c r="GDX5" s="628"/>
      <c r="GDY5" s="628"/>
      <c r="GDZ5" s="628"/>
      <c r="GEA5" s="628"/>
      <c r="GEB5" s="628"/>
      <c r="GEC5" s="628"/>
      <c r="GED5" s="628"/>
      <c r="GEE5" s="628"/>
      <c r="GEF5" s="628"/>
      <c r="GEG5" s="628"/>
      <c r="GEH5" s="628"/>
      <c r="GEI5" s="628"/>
      <c r="GEJ5" s="628"/>
      <c r="GEK5" s="628"/>
      <c r="GEL5" s="628"/>
      <c r="GEM5" s="628"/>
      <c r="GEN5" s="628"/>
      <c r="GEO5" s="628"/>
      <c r="GEP5" s="628"/>
      <c r="GEQ5" s="628"/>
      <c r="GER5" s="628"/>
      <c r="GES5" s="628"/>
      <c r="GET5" s="628"/>
      <c r="GEU5" s="628"/>
      <c r="GEV5" s="628"/>
      <c r="GEW5" s="628"/>
      <c r="GEX5" s="628"/>
      <c r="GEY5" s="628"/>
      <c r="GEZ5" s="628"/>
      <c r="GFA5" s="628"/>
      <c r="GFB5" s="628"/>
      <c r="GFC5" s="628"/>
      <c r="GFD5" s="628"/>
      <c r="GFE5" s="628"/>
      <c r="GFF5" s="628"/>
      <c r="GFG5" s="628"/>
      <c r="GFH5" s="628"/>
      <c r="GFI5" s="628"/>
      <c r="GFJ5" s="628"/>
      <c r="GFK5" s="628"/>
      <c r="GFL5" s="628"/>
      <c r="GFM5" s="628"/>
      <c r="GFN5" s="628"/>
      <c r="GFO5" s="628"/>
      <c r="GFP5" s="628"/>
      <c r="GFQ5" s="628"/>
      <c r="GFR5" s="628"/>
      <c r="GFS5" s="628"/>
      <c r="GFT5" s="628"/>
      <c r="GFU5" s="628"/>
      <c r="GFV5" s="628"/>
      <c r="GFW5" s="628"/>
      <c r="GFX5" s="628"/>
      <c r="GFY5" s="628"/>
      <c r="GFZ5" s="628"/>
      <c r="GGA5" s="628"/>
      <c r="GGB5" s="628"/>
      <c r="GGC5" s="628"/>
      <c r="GGD5" s="628"/>
      <c r="GGE5" s="628"/>
      <c r="GGF5" s="628"/>
      <c r="GGG5" s="628"/>
      <c r="GGH5" s="628"/>
      <c r="GGI5" s="628"/>
      <c r="GGJ5" s="628"/>
      <c r="GGK5" s="628"/>
      <c r="GGL5" s="628"/>
      <c r="GGM5" s="628"/>
      <c r="GGN5" s="628"/>
      <c r="GGO5" s="628"/>
      <c r="GGP5" s="628"/>
      <c r="GGQ5" s="628"/>
      <c r="GGR5" s="628"/>
      <c r="GGS5" s="628"/>
      <c r="GGT5" s="628"/>
      <c r="GGU5" s="628"/>
      <c r="GGV5" s="628"/>
      <c r="GGW5" s="628"/>
      <c r="GGX5" s="628"/>
      <c r="GGY5" s="628"/>
      <c r="GGZ5" s="628"/>
      <c r="GHA5" s="628"/>
      <c r="GHB5" s="628"/>
      <c r="GHC5" s="628"/>
      <c r="GHD5" s="628"/>
      <c r="GHE5" s="628"/>
      <c r="GHF5" s="628"/>
      <c r="GHG5" s="628"/>
      <c r="GHH5" s="628"/>
      <c r="GHI5" s="628"/>
      <c r="GHJ5" s="628"/>
      <c r="GHK5" s="628"/>
      <c r="GHL5" s="628"/>
      <c r="GHM5" s="628"/>
      <c r="GHN5" s="628"/>
      <c r="GHO5" s="628"/>
      <c r="GHP5" s="628"/>
      <c r="GHQ5" s="628"/>
      <c r="GHR5" s="628"/>
      <c r="GHS5" s="628"/>
      <c r="GHT5" s="628"/>
      <c r="GHU5" s="628"/>
      <c r="GHV5" s="628"/>
      <c r="GHW5" s="628"/>
      <c r="GHX5" s="628"/>
      <c r="GHY5" s="628"/>
      <c r="GHZ5" s="628"/>
      <c r="GIA5" s="628"/>
      <c r="GIB5" s="628"/>
      <c r="GIC5" s="628"/>
      <c r="GID5" s="628"/>
      <c r="GIE5" s="628"/>
      <c r="GIF5" s="628"/>
      <c r="GIG5" s="628"/>
      <c r="GIH5" s="628"/>
      <c r="GII5" s="628"/>
      <c r="GIJ5" s="628"/>
      <c r="GIK5" s="628"/>
      <c r="GIL5" s="628"/>
      <c r="GIM5" s="628"/>
      <c r="GIN5" s="628"/>
      <c r="GIO5" s="628"/>
      <c r="GIP5" s="628"/>
      <c r="GIQ5" s="628"/>
      <c r="GIR5" s="628"/>
      <c r="GIS5" s="628"/>
      <c r="GIT5" s="628"/>
      <c r="GIU5" s="628"/>
      <c r="GIV5" s="628"/>
      <c r="GIW5" s="628"/>
      <c r="GIX5" s="628"/>
      <c r="GIY5" s="628"/>
      <c r="GIZ5" s="628"/>
      <c r="GJA5" s="628"/>
      <c r="GJB5" s="628"/>
      <c r="GJC5" s="628"/>
      <c r="GJD5" s="628"/>
      <c r="GJE5" s="628"/>
      <c r="GJF5" s="628"/>
      <c r="GJG5" s="628"/>
      <c r="GJH5" s="628"/>
      <c r="GJI5" s="628"/>
      <c r="GJJ5" s="628"/>
      <c r="GJK5" s="628"/>
      <c r="GJL5" s="628"/>
      <c r="GJM5" s="628"/>
      <c r="GJN5" s="628"/>
      <c r="GJO5" s="628"/>
      <c r="GJP5" s="628"/>
      <c r="GJQ5" s="628"/>
      <c r="GJR5" s="628"/>
      <c r="GJS5" s="628"/>
      <c r="GJT5" s="628"/>
      <c r="GJU5" s="628"/>
      <c r="GJV5" s="628"/>
      <c r="GJW5" s="628"/>
      <c r="GJX5" s="628"/>
      <c r="GJY5" s="628"/>
      <c r="GJZ5" s="628"/>
      <c r="GKA5" s="628"/>
      <c r="GKB5" s="628"/>
      <c r="GKC5" s="628"/>
      <c r="GKD5" s="628"/>
      <c r="GKE5" s="628"/>
      <c r="GKF5" s="628"/>
      <c r="GKG5" s="628"/>
      <c r="GKH5" s="628"/>
      <c r="GKI5" s="628"/>
      <c r="GKJ5" s="628"/>
      <c r="GKK5" s="628"/>
      <c r="GKL5" s="628"/>
      <c r="GKM5" s="628"/>
      <c r="GKN5" s="628"/>
      <c r="GKO5" s="628"/>
      <c r="GKP5" s="628"/>
      <c r="GKQ5" s="628"/>
      <c r="GKR5" s="628"/>
      <c r="GKS5" s="628"/>
      <c r="GKT5" s="628"/>
      <c r="GKU5" s="628"/>
      <c r="GKV5" s="628"/>
      <c r="GKW5" s="628"/>
      <c r="GKX5" s="628"/>
      <c r="GKY5" s="628"/>
      <c r="GKZ5" s="628"/>
      <c r="GLA5" s="628"/>
      <c r="GLB5" s="628"/>
      <c r="GLC5" s="628"/>
      <c r="GLD5" s="628"/>
      <c r="GLE5" s="628"/>
      <c r="GLF5" s="628"/>
      <c r="GLG5" s="628"/>
      <c r="GLH5" s="628"/>
      <c r="GLI5" s="628"/>
      <c r="GLJ5" s="628"/>
      <c r="GLK5" s="628"/>
      <c r="GLL5" s="628"/>
      <c r="GLM5" s="628"/>
      <c r="GLN5" s="628"/>
      <c r="GLO5" s="628"/>
      <c r="GLP5" s="628"/>
      <c r="GLQ5" s="628"/>
      <c r="GLR5" s="628"/>
      <c r="GLS5" s="628"/>
      <c r="GLT5" s="628"/>
      <c r="GLU5" s="628"/>
      <c r="GLV5" s="628"/>
      <c r="GLW5" s="628"/>
      <c r="GLX5" s="628"/>
      <c r="GLY5" s="628"/>
      <c r="GLZ5" s="628"/>
      <c r="GMA5" s="628"/>
      <c r="GMB5" s="628"/>
      <c r="GMC5" s="628"/>
      <c r="GMD5" s="628"/>
      <c r="GME5" s="628"/>
      <c r="GMF5" s="628"/>
      <c r="GMG5" s="628"/>
      <c r="GMH5" s="628"/>
      <c r="GMI5" s="628"/>
      <c r="GMJ5" s="628"/>
      <c r="GMK5" s="628"/>
      <c r="GML5" s="628"/>
      <c r="GMM5" s="628"/>
      <c r="GMN5" s="628"/>
      <c r="GMO5" s="628"/>
      <c r="GMP5" s="628"/>
      <c r="GMQ5" s="628"/>
      <c r="GMR5" s="628"/>
      <c r="GMS5" s="628"/>
      <c r="GMT5" s="628"/>
      <c r="GMU5" s="628"/>
      <c r="GMV5" s="628"/>
      <c r="GMW5" s="628"/>
      <c r="GMX5" s="628"/>
      <c r="GMY5" s="628"/>
      <c r="GMZ5" s="628"/>
      <c r="GNA5" s="628"/>
      <c r="GNB5" s="628"/>
      <c r="GNC5" s="628"/>
      <c r="GND5" s="628"/>
      <c r="GNE5" s="628"/>
      <c r="GNF5" s="628"/>
      <c r="GNG5" s="628"/>
      <c r="GNH5" s="628"/>
      <c r="GNI5" s="628"/>
      <c r="GNJ5" s="628"/>
      <c r="GNK5" s="628"/>
      <c r="GNL5" s="628"/>
      <c r="GNM5" s="628"/>
      <c r="GNN5" s="628"/>
      <c r="GNO5" s="628"/>
      <c r="GNP5" s="628"/>
      <c r="GNQ5" s="628"/>
      <c r="GNR5" s="628"/>
      <c r="GNS5" s="628"/>
      <c r="GNT5" s="628"/>
      <c r="GNU5" s="628"/>
      <c r="GNV5" s="628"/>
      <c r="GNW5" s="628"/>
      <c r="GNX5" s="628"/>
      <c r="GNY5" s="628"/>
      <c r="GNZ5" s="628"/>
      <c r="GOA5" s="628"/>
      <c r="GOB5" s="628"/>
      <c r="GOC5" s="628"/>
      <c r="GOD5" s="628"/>
      <c r="GOE5" s="628"/>
      <c r="GOF5" s="628"/>
      <c r="GOG5" s="628"/>
      <c r="GOH5" s="628"/>
      <c r="GOI5" s="628"/>
      <c r="GOJ5" s="628"/>
      <c r="GOK5" s="628"/>
      <c r="GOL5" s="628"/>
      <c r="GOM5" s="628"/>
      <c r="GON5" s="628"/>
      <c r="GOO5" s="628"/>
      <c r="GOP5" s="628"/>
      <c r="GOQ5" s="628"/>
      <c r="GOR5" s="628"/>
      <c r="GOS5" s="628"/>
      <c r="GOT5" s="628"/>
      <c r="GOU5" s="628"/>
      <c r="GOV5" s="628"/>
      <c r="GOW5" s="628"/>
      <c r="GOX5" s="628"/>
      <c r="GOY5" s="628"/>
      <c r="GOZ5" s="628"/>
      <c r="GPA5" s="628"/>
      <c r="GPB5" s="628"/>
      <c r="GPC5" s="628"/>
      <c r="GPD5" s="628"/>
      <c r="GPE5" s="628"/>
      <c r="GPF5" s="628"/>
      <c r="GPG5" s="628"/>
      <c r="GPH5" s="628"/>
      <c r="GPI5" s="628"/>
      <c r="GPJ5" s="628"/>
      <c r="GPK5" s="628"/>
      <c r="GPL5" s="628"/>
      <c r="GPM5" s="628"/>
      <c r="GPN5" s="628"/>
      <c r="GPO5" s="628"/>
      <c r="GPP5" s="628"/>
      <c r="GPQ5" s="628"/>
      <c r="GPR5" s="628"/>
      <c r="GPS5" s="628"/>
      <c r="GPT5" s="628"/>
      <c r="GPU5" s="628"/>
      <c r="GPV5" s="628"/>
      <c r="GPW5" s="628"/>
      <c r="GPX5" s="628"/>
      <c r="GPY5" s="628"/>
      <c r="GPZ5" s="628"/>
      <c r="GQA5" s="628"/>
      <c r="GQB5" s="628"/>
      <c r="GQC5" s="628"/>
      <c r="GQD5" s="628"/>
      <c r="GQE5" s="628"/>
      <c r="GQF5" s="628"/>
      <c r="GQG5" s="628"/>
      <c r="GQH5" s="628"/>
      <c r="GQI5" s="628"/>
      <c r="GQJ5" s="628"/>
      <c r="GQK5" s="628"/>
      <c r="GQL5" s="628"/>
      <c r="GQM5" s="628"/>
      <c r="GQN5" s="628"/>
      <c r="GQO5" s="628"/>
      <c r="GQP5" s="628"/>
      <c r="GQQ5" s="628"/>
      <c r="GQR5" s="628"/>
      <c r="GQS5" s="628"/>
      <c r="GQT5" s="628"/>
      <c r="GQU5" s="628"/>
      <c r="GQV5" s="628"/>
      <c r="GQW5" s="628"/>
      <c r="GQX5" s="628"/>
      <c r="GQY5" s="628"/>
      <c r="GQZ5" s="628"/>
      <c r="GRA5" s="628"/>
      <c r="GRB5" s="628"/>
      <c r="GRC5" s="628"/>
      <c r="GRD5" s="628"/>
      <c r="GRE5" s="628"/>
      <c r="GRF5" s="628"/>
      <c r="GRG5" s="628"/>
      <c r="GRH5" s="628"/>
      <c r="GRI5" s="628"/>
      <c r="GRJ5" s="628"/>
      <c r="GRK5" s="628"/>
      <c r="GRL5" s="628"/>
      <c r="GRM5" s="628"/>
      <c r="GRN5" s="628"/>
      <c r="GRO5" s="628"/>
      <c r="GRP5" s="628"/>
      <c r="GRQ5" s="628"/>
      <c r="GRR5" s="628"/>
      <c r="GRS5" s="628"/>
      <c r="GRT5" s="628"/>
      <c r="GRU5" s="628"/>
      <c r="GRV5" s="628"/>
      <c r="GRW5" s="628"/>
      <c r="GRX5" s="628"/>
      <c r="GRY5" s="628"/>
      <c r="GRZ5" s="628"/>
      <c r="GSA5" s="628"/>
      <c r="GSB5" s="628"/>
      <c r="GSC5" s="628"/>
      <c r="GSD5" s="628"/>
      <c r="GSE5" s="628"/>
      <c r="GSF5" s="628"/>
      <c r="GSG5" s="628"/>
      <c r="GSH5" s="628"/>
      <c r="GSI5" s="628"/>
      <c r="GSJ5" s="628"/>
      <c r="GSK5" s="628"/>
      <c r="GSL5" s="628"/>
      <c r="GSM5" s="628"/>
      <c r="GSN5" s="628"/>
      <c r="GSO5" s="628"/>
      <c r="GSP5" s="628"/>
      <c r="GSQ5" s="628"/>
      <c r="GSR5" s="628"/>
      <c r="GSS5" s="628"/>
      <c r="GST5" s="628"/>
      <c r="GSU5" s="628"/>
      <c r="GSV5" s="628"/>
      <c r="GSW5" s="628"/>
      <c r="GSX5" s="628"/>
      <c r="GSY5" s="628"/>
      <c r="GSZ5" s="628"/>
      <c r="GTA5" s="628"/>
      <c r="GTB5" s="628"/>
      <c r="GTC5" s="628"/>
      <c r="GTD5" s="628"/>
      <c r="GTE5" s="628"/>
      <c r="GTF5" s="628"/>
      <c r="GTG5" s="628"/>
      <c r="GTH5" s="628"/>
      <c r="GTI5" s="628"/>
      <c r="GTJ5" s="628"/>
      <c r="GTK5" s="628"/>
      <c r="GTL5" s="628"/>
      <c r="GTM5" s="628"/>
      <c r="GTN5" s="628"/>
      <c r="GTO5" s="628"/>
      <c r="GTP5" s="628"/>
      <c r="GTQ5" s="628"/>
      <c r="GTR5" s="628"/>
      <c r="GTS5" s="628"/>
      <c r="GTT5" s="628"/>
      <c r="GTU5" s="628"/>
      <c r="GTV5" s="628"/>
      <c r="GTW5" s="628"/>
      <c r="GTX5" s="628"/>
      <c r="GTY5" s="628"/>
      <c r="GTZ5" s="628"/>
      <c r="GUA5" s="628"/>
      <c r="GUB5" s="628"/>
      <c r="GUC5" s="628"/>
      <c r="GUD5" s="628"/>
      <c r="GUE5" s="628"/>
      <c r="GUF5" s="628"/>
      <c r="GUG5" s="628"/>
      <c r="GUH5" s="628"/>
      <c r="GUI5" s="628"/>
      <c r="GUJ5" s="628"/>
      <c r="GUK5" s="628"/>
      <c r="GUL5" s="628"/>
      <c r="GUM5" s="628"/>
      <c r="GUN5" s="628"/>
      <c r="GUO5" s="628"/>
      <c r="GUP5" s="628"/>
      <c r="GUQ5" s="628"/>
      <c r="GUR5" s="628"/>
      <c r="GUS5" s="628"/>
      <c r="GUT5" s="628"/>
      <c r="GUU5" s="628"/>
      <c r="GUV5" s="628"/>
      <c r="GUW5" s="628"/>
      <c r="GUX5" s="628"/>
      <c r="GUY5" s="628"/>
      <c r="GUZ5" s="628"/>
      <c r="GVA5" s="628"/>
      <c r="GVB5" s="628"/>
      <c r="GVC5" s="628"/>
      <c r="GVD5" s="628"/>
      <c r="GVE5" s="628"/>
      <c r="GVF5" s="628"/>
      <c r="GVG5" s="628"/>
      <c r="GVH5" s="628"/>
      <c r="GVI5" s="628"/>
      <c r="GVJ5" s="628"/>
      <c r="GVK5" s="628"/>
      <c r="GVL5" s="628"/>
      <c r="GVM5" s="628"/>
      <c r="GVN5" s="628"/>
      <c r="GVO5" s="628"/>
      <c r="GVP5" s="628"/>
      <c r="GVQ5" s="628"/>
      <c r="GVR5" s="628"/>
      <c r="GVS5" s="628"/>
      <c r="GVT5" s="628"/>
      <c r="GVU5" s="628"/>
      <c r="GVV5" s="628"/>
      <c r="GVW5" s="628"/>
      <c r="GVX5" s="628"/>
      <c r="GVY5" s="628"/>
      <c r="GVZ5" s="628"/>
      <c r="GWA5" s="628"/>
      <c r="GWB5" s="628"/>
      <c r="GWC5" s="628"/>
      <c r="GWD5" s="628"/>
      <c r="GWE5" s="628"/>
      <c r="GWF5" s="628"/>
      <c r="GWG5" s="628"/>
      <c r="GWH5" s="628"/>
      <c r="GWI5" s="628"/>
      <c r="GWJ5" s="628"/>
      <c r="GWK5" s="628"/>
      <c r="GWL5" s="628"/>
      <c r="GWM5" s="628"/>
      <c r="GWN5" s="628"/>
      <c r="GWO5" s="628"/>
      <c r="GWP5" s="628"/>
      <c r="GWQ5" s="628"/>
      <c r="GWR5" s="628"/>
      <c r="GWS5" s="628"/>
      <c r="GWT5" s="628"/>
      <c r="GWU5" s="628"/>
      <c r="GWV5" s="628"/>
      <c r="GWW5" s="628"/>
      <c r="GWX5" s="628"/>
      <c r="GWY5" s="628"/>
      <c r="GWZ5" s="628"/>
      <c r="GXA5" s="628"/>
      <c r="GXB5" s="628"/>
      <c r="GXC5" s="628"/>
      <c r="GXD5" s="628"/>
      <c r="GXE5" s="628"/>
      <c r="GXF5" s="628"/>
      <c r="GXG5" s="628"/>
      <c r="GXH5" s="628"/>
      <c r="GXI5" s="628"/>
      <c r="GXJ5" s="628"/>
      <c r="GXK5" s="628"/>
      <c r="GXL5" s="628"/>
      <c r="GXM5" s="628"/>
      <c r="GXN5" s="628"/>
      <c r="GXO5" s="628"/>
      <c r="GXP5" s="628"/>
      <c r="GXQ5" s="628"/>
      <c r="GXR5" s="628"/>
      <c r="GXS5" s="628"/>
      <c r="GXT5" s="628"/>
      <c r="GXU5" s="628"/>
      <c r="GXV5" s="628"/>
      <c r="GXW5" s="628"/>
      <c r="GXX5" s="628"/>
      <c r="GXY5" s="628"/>
      <c r="GXZ5" s="628"/>
      <c r="GYA5" s="628"/>
      <c r="GYB5" s="628"/>
      <c r="GYC5" s="628"/>
      <c r="GYD5" s="628"/>
      <c r="GYE5" s="628"/>
      <c r="GYF5" s="628"/>
      <c r="GYG5" s="628"/>
      <c r="GYH5" s="628"/>
      <c r="GYI5" s="628"/>
      <c r="GYJ5" s="628"/>
      <c r="GYK5" s="628"/>
      <c r="GYL5" s="628"/>
      <c r="GYM5" s="628"/>
      <c r="GYN5" s="628"/>
      <c r="GYO5" s="628"/>
      <c r="GYP5" s="628"/>
      <c r="GYQ5" s="628"/>
      <c r="GYR5" s="628"/>
      <c r="GYS5" s="628"/>
      <c r="GYT5" s="628"/>
      <c r="GYU5" s="628"/>
      <c r="GYV5" s="628"/>
      <c r="GYW5" s="628"/>
      <c r="GYX5" s="628"/>
      <c r="GYY5" s="628"/>
      <c r="GYZ5" s="628"/>
      <c r="GZA5" s="628"/>
      <c r="GZB5" s="628"/>
      <c r="GZC5" s="628"/>
      <c r="GZD5" s="628"/>
      <c r="GZE5" s="628"/>
      <c r="GZF5" s="628"/>
      <c r="GZG5" s="628"/>
      <c r="GZH5" s="628"/>
      <c r="GZI5" s="628"/>
      <c r="GZJ5" s="628"/>
      <c r="GZK5" s="628"/>
      <c r="GZL5" s="628"/>
      <c r="GZM5" s="628"/>
      <c r="GZN5" s="628"/>
      <c r="GZO5" s="628"/>
      <c r="GZP5" s="628"/>
      <c r="GZQ5" s="628"/>
      <c r="GZR5" s="628"/>
      <c r="GZS5" s="628"/>
      <c r="GZT5" s="628"/>
      <c r="GZU5" s="628"/>
      <c r="GZV5" s="628"/>
      <c r="GZW5" s="628"/>
      <c r="GZX5" s="628"/>
      <c r="GZY5" s="628"/>
      <c r="GZZ5" s="628"/>
      <c r="HAA5" s="628"/>
      <c r="HAB5" s="628"/>
      <c r="HAC5" s="628"/>
      <c r="HAD5" s="628"/>
      <c r="HAE5" s="628"/>
      <c r="HAF5" s="628"/>
      <c r="HAG5" s="628"/>
      <c r="HAH5" s="628"/>
      <c r="HAI5" s="628"/>
      <c r="HAJ5" s="628"/>
      <c r="HAK5" s="628"/>
      <c r="HAL5" s="628"/>
      <c r="HAM5" s="628"/>
      <c r="HAN5" s="628"/>
      <c r="HAO5" s="628"/>
      <c r="HAP5" s="628"/>
      <c r="HAQ5" s="628"/>
      <c r="HAR5" s="628"/>
      <c r="HAS5" s="628"/>
      <c r="HAT5" s="628"/>
      <c r="HAU5" s="628"/>
      <c r="HAV5" s="628"/>
      <c r="HAW5" s="628"/>
      <c r="HAX5" s="628"/>
      <c r="HAY5" s="628"/>
      <c r="HAZ5" s="628"/>
      <c r="HBA5" s="628"/>
      <c r="HBB5" s="628"/>
      <c r="HBC5" s="628"/>
      <c r="HBD5" s="628"/>
      <c r="HBE5" s="628"/>
      <c r="HBF5" s="628"/>
      <c r="HBG5" s="628"/>
      <c r="HBH5" s="628"/>
      <c r="HBI5" s="628"/>
      <c r="HBJ5" s="628"/>
      <c r="HBK5" s="628"/>
      <c r="HBL5" s="628"/>
      <c r="HBM5" s="628"/>
      <c r="HBN5" s="628"/>
      <c r="HBO5" s="628"/>
      <c r="HBP5" s="628"/>
      <c r="HBQ5" s="628"/>
      <c r="HBR5" s="628"/>
      <c r="HBS5" s="628"/>
      <c r="HBT5" s="628"/>
      <c r="HBU5" s="628"/>
      <c r="HBV5" s="628"/>
      <c r="HBW5" s="628"/>
      <c r="HBX5" s="628"/>
      <c r="HBY5" s="628"/>
      <c r="HBZ5" s="628"/>
      <c r="HCA5" s="628"/>
      <c r="HCB5" s="628"/>
      <c r="HCC5" s="628"/>
      <c r="HCD5" s="628"/>
      <c r="HCE5" s="628"/>
      <c r="HCF5" s="628"/>
      <c r="HCG5" s="628"/>
      <c r="HCH5" s="628"/>
      <c r="HCI5" s="628"/>
      <c r="HCJ5" s="628"/>
      <c r="HCK5" s="628"/>
      <c r="HCL5" s="628"/>
      <c r="HCM5" s="628"/>
      <c r="HCN5" s="628"/>
      <c r="HCO5" s="628"/>
      <c r="HCP5" s="628"/>
      <c r="HCQ5" s="628"/>
      <c r="HCR5" s="628"/>
      <c r="HCS5" s="628"/>
      <c r="HCT5" s="628"/>
      <c r="HCU5" s="628"/>
      <c r="HCV5" s="628"/>
      <c r="HCW5" s="628"/>
      <c r="HCX5" s="628"/>
      <c r="HCY5" s="628"/>
      <c r="HCZ5" s="628"/>
      <c r="HDA5" s="628"/>
      <c r="HDB5" s="628"/>
      <c r="HDC5" s="628"/>
      <c r="HDD5" s="628"/>
      <c r="HDE5" s="628"/>
      <c r="HDF5" s="628"/>
      <c r="HDG5" s="628"/>
      <c r="HDH5" s="628"/>
      <c r="HDI5" s="628"/>
      <c r="HDJ5" s="628"/>
      <c r="HDK5" s="628"/>
      <c r="HDL5" s="628"/>
      <c r="HDM5" s="628"/>
      <c r="HDN5" s="628"/>
      <c r="HDO5" s="628"/>
      <c r="HDP5" s="628"/>
      <c r="HDQ5" s="628"/>
      <c r="HDR5" s="628"/>
      <c r="HDS5" s="628"/>
      <c r="HDT5" s="628"/>
      <c r="HDU5" s="628"/>
      <c r="HDV5" s="628"/>
      <c r="HDW5" s="628"/>
      <c r="HDX5" s="628"/>
      <c r="HDY5" s="628"/>
      <c r="HDZ5" s="628"/>
      <c r="HEA5" s="628"/>
      <c r="HEB5" s="628"/>
      <c r="HEC5" s="628"/>
      <c r="HED5" s="628"/>
      <c r="HEE5" s="628"/>
      <c r="HEF5" s="628"/>
      <c r="HEG5" s="628"/>
      <c r="HEH5" s="628"/>
      <c r="HEI5" s="628"/>
      <c r="HEJ5" s="628"/>
      <c r="HEK5" s="628"/>
      <c r="HEL5" s="628"/>
      <c r="HEM5" s="628"/>
      <c r="HEN5" s="628"/>
      <c r="HEO5" s="628"/>
      <c r="HEP5" s="628"/>
      <c r="HEQ5" s="628"/>
      <c r="HER5" s="628"/>
      <c r="HES5" s="628"/>
      <c r="HET5" s="628"/>
      <c r="HEU5" s="628"/>
      <c r="HEV5" s="628"/>
      <c r="HEW5" s="628"/>
      <c r="HEX5" s="628"/>
      <c r="HEY5" s="628"/>
      <c r="HEZ5" s="628"/>
      <c r="HFA5" s="628"/>
      <c r="HFB5" s="628"/>
      <c r="HFC5" s="628"/>
      <c r="HFD5" s="628"/>
      <c r="HFE5" s="628"/>
      <c r="HFF5" s="628"/>
      <c r="HFG5" s="628"/>
      <c r="HFH5" s="628"/>
      <c r="HFI5" s="628"/>
      <c r="HFJ5" s="628"/>
      <c r="HFK5" s="628"/>
      <c r="HFL5" s="628"/>
      <c r="HFM5" s="628"/>
      <c r="HFN5" s="628"/>
      <c r="HFO5" s="628"/>
      <c r="HFP5" s="628"/>
      <c r="HFQ5" s="628"/>
      <c r="HFR5" s="628"/>
      <c r="HFS5" s="628"/>
      <c r="HFT5" s="628"/>
      <c r="HFU5" s="628"/>
      <c r="HFV5" s="628"/>
      <c r="HFW5" s="628"/>
      <c r="HFX5" s="628"/>
      <c r="HFY5" s="628"/>
      <c r="HFZ5" s="628"/>
      <c r="HGA5" s="628"/>
      <c r="HGB5" s="628"/>
      <c r="HGC5" s="628"/>
      <c r="HGD5" s="628"/>
      <c r="HGE5" s="628"/>
      <c r="HGF5" s="628"/>
      <c r="HGG5" s="628"/>
      <c r="HGH5" s="628"/>
      <c r="HGI5" s="628"/>
      <c r="HGJ5" s="628"/>
      <c r="HGK5" s="628"/>
      <c r="HGL5" s="628"/>
      <c r="HGM5" s="628"/>
      <c r="HGN5" s="628"/>
      <c r="HGO5" s="628"/>
      <c r="HGP5" s="628"/>
      <c r="HGQ5" s="628"/>
      <c r="HGR5" s="628"/>
      <c r="HGS5" s="628"/>
      <c r="HGT5" s="628"/>
      <c r="HGU5" s="628"/>
      <c r="HGV5" s="628"/>
      <c r="HGW5" s="628"/>
      <c r="HGX5" s="628"/>
      <c r="HGY5" s="628"/>
      <c r="HGZ5" s="628"/>
      <c r="HHA5" s="628"/>
      <c r="HHB5" s="628"/>
      <c r="HHC5" s="628"/>
      <c r="HHD5" s="628"/>
      <c r="HHE5" s="628"/>
      <c r="HHF5" s="628"/>
      <c r="HHG5" s="628"/>
      <c r="HHH5" s="628"/>
      <c r="HHI5" s="628"/>
      <c r="HHJ5" s="628"/>
      <c r="HHK5" s="628"/>
      <c r="HHL5" s="628"/>
      <c r="HHM5" s="628"/>
      <c r="HHN5" s="628"/>
      <c r="HHO5" s="628"/>
      <c r="HHP5" s="628"/>
      <c r="HHQ5" s="628"/>
      <c r="HHR5" s="628"/>
      <c r="HHS5" s="628"/>
      <c r="HHT5" s="628"/>
      <c r="HHU5" s="628"/>
      <c r="HHV5" s="628"/>
      <c r="HHW5" s="628"/>
      <c r="HHX5" s="628"/>
      <c r="HHY5" s="628"/>
      <c r="HHZ5" s="628"/>
      <c r="HIA5" s="628"/>
      <c r="HIB5" s="628"/>
      <c r="HIC5" s="628"/>
      <c r="HID5" s="628"/>
      <c r="HIE5" s="628"/>
      <c r="HIF5" s="628"/>
      <c r="HIG5" s="628"/>
      <c r="HIH5" s="628"/>
      <c r="HII5" s="628"/>
      <c r="HIJ5" s="628"/>
      <c r="HIK5" s="628"/>
      <c r="HIL5" s="628"/>
      <c r="HIM5" s="628"/>
      <c r="HIN5" s="628"/>
      <c r="HIO5" s="628"/>
      <c r="HIP5" s="628"/>
      <c r="HIQ5" s="628"/>
      <c r="HIR5" s="628"/>
      <c r="HIS5" s="628"/>
      <c r="HIT5" s="628"/>
      <c r="HIU5" s="628"/>
      <c r="HIV5" s="628"/>
      <c r="HIW5" s="628"/>
      <c r="HIX5" s="628"/>
      <c r="HIY5" s="628"/>
      <c r="HIZ5" s="628"/>
      <c r="HJA5" s="628"/>
      <c r="HJB5" s="628"/>
      <c r="HJC5" s="628"/>
      <c r="HJD5" s="628"/>
      <c r="HJE5" s="628"/>
      <c r="HJF5" s="628"/>
      <c r="HJG5" s="628"/>
      <c r="HJH5" s="628"/>
      <c r="HJI5" s="628"/>
      <c r="HJJ5" s="628"/>
      <c r="HJK5" s="628"/>
      <c r="HJL5" s="628"/>
      <c r="HJM5" s="628"/>
      <c r="HJN5" s="628"/>
      <c r="HJO5" s="628"/>
      <c r="HJP5" s="628"/>
      <c r="HJQ5" s="628"/>
      <c r="HJR5" s="628"/>
      <c r="HJS5" s="628"/>
      <c r="HJT5" s="628"/>
      <c r="HJU5" s="628"/>
      <c r="HJV5" s="628"/>
      <c r="HJW5" s="628"/>
      <c r="HJX5" s="628"/>
      <c r="HJY5" s="628"/>
      <c r="HJZ5" s="628"/>
      <c r="HKA5" s="628"/>
      <c r="HKB5" s="628"/>
      <c r="HKC5" s="628"/>
      <c r="HKD5" s="628"/>
      <c r="HKE5" s="628"/>
      <c r="HKF5" s="628"/>
      <c r="HKG5" s="628"/>
      <c r="HKH5" s="628"/>
      <c r="HKI5" s="628"/>
      <c r="HKJ5" s="628"/>
      <c r="HKK5" s="628"/>
      <c r="HKL5" s="628"/>
      <c r="HKM5" s="628"/>
      <c r="HKN5" s="628"/>
      <c r="HKO5" s="628"/>
      <c r="HKP5" s="628"/>
      <c r="HKQ5" s="628"/>
      <c r="HKR5" s="628"/>
      <c r="HKS5" s="628"/>
      <c r="HKT5" s="628"/>
      <c r="HKU5" s="628"/>
      <c r="HKV5" s="628"/>
      <c r="HKW5" s="628"/>
      <c r="HKX5" s="628"/>
      <c r="HKY5" s="628"/>
      <c r="HKZ5" s="628"/>
      <c r="HLA5" s="628"/>
      <c r="HLB5" s="628"/>
      <c r="HLC5" s="628"/>
      <c r="HLD5" s="628"/>
      <c r="HLE5" s="628"/>
      <c r="HLF5" s="628"/>
      <c r="HLG5" s="628"/>
      <c r="HLH5" s="628"/>
      <c r="HLI5" s="628"/>
      <c r="HLJ5" s="628"/>
      <c r="HLK5" s="628"/>
      <c r="HLL5" s="628"/>
      <c r="HLM5" s="628"/>
      <c r="HLN5" s="628"/>
      <c r="HLO5" s="628"/>
      <c r="HLP5" s="628"/>
      <c r="HLQ5" s="628"/>
      <c r="HLR5" s="628"/>
      <c r="HLS5" s="628"/>
      <c r="HLT5" s="628"/>
      <c r="HLU5" s="628"/>
      <c r="HLV5" s="628"/>
      <c r="HLW5" s="628"/>
      <c r="HLX5" s="628"/>
      <c r="HLY5" s="628"/>
      <c r="HLZ5" s="628"/>
      <c r="HMA5" s="628"/>
      <c r="HMB5" s="628"/>
      <c r="HMC5" s="628"/>
      <c r="HMD5" s="628"/>
      <c r="HME5" s="628"/>
      <c r="HMF5" s="628"/>
      <c r="HMG5" s="628"/>
      <c r="HMH5" s="628"/>
      <c r="HMI5" s="628"/>
      <c r="HMJ5" s="628"/>
      <c r="HMK5" s="628"/>
      <c r="HML5" s="628"/>
      <c r="HMM5" s="628"/>
      <c r="HMN5" s="628"/>
      <c r="HMO5" s="628"/>
      <c r="HMP5" s="628"/>
      <c r="HMQ5" s="628"/>
      <c r="HMR5" s="628"/>
      <c r="HMS5" s="628"/>
      <c r="HMT5" s="628"/>
      <c r="HMU5" s="628"/>
      <c r="HMV5" s="628"/>
      <c r="HMW5" s="628"/>
      <c r="HMX5" s="628"/>
      <c r="HMY5" s="628"/>
      <c r="HMZ5" s="628"/>
      <c r="HNA5" s="628"/>
      <c r="HNB5" s="628"/>
      <c r="HNC5" s="628"/>
      <c r="HND5" s="628"/>
      <c r="HNE5" s="628"/>
      <c r="HNF5" s="628"/>
      <c r="HNG5" s="628"/>
      <c r="HNH5" s="628"/>
      <c r="HNI5" s="628"/>
      <c r="HNJ5" s="628"/>
      <c r="HNK5" s="628"/>
      <c r="HNL5" s="628"/>
      <c r="HNM5" s="628"/>
      <c r="HNN5" s="628"/>
      <c r="HNO5" s="628"/>
      <c r="HNP5" s="628"/>
      <c r="HNQ5" s="628"/>
      <c r="HNR5" s="628"/>
      <c r="HNS5" s="628"/>
      <c r="HNT5" s="628"/>
      <c r="HNU5" s="628"/>
      <c r="HNV5" s="628"/>
      <c r="HNW5" s="628"/>
      <c r="HNX5" s="628"/>
      <c r="HNY5" s="628"/>
      <c r="HNZ5" s="628"/>
      <c r="HOA5" s="628"/>
      <c r="HOB5" s="628"/>
      <c r="HOC5" s="628"/>
      <c r="HOD5" s="628"/>
      <c r="HOE5" s="628"/>
      <c r="HOF5" s="628"/>
      <c r="HOG5" s="628"/>
      <c r="HOH5" s="628"/>
      <c r="HOI5" s="628"/>
      <c r="HOJ5" s="628"/>
      <c r="HOK5" s="628"/>
      <c r="HOL5" s="628"/>
      <c r="HOM5" s="628"/>
      <c r="HON5" s="628"/>
      <c r="HOO5" s="628"/>
      <c r="HOP5" s="628"/>
      <c r="HOQ5" s="628"/>
      <c r="HOR5" s="628"/>
      <c r="HOS5" s="628"/>
      <c r="HOT5" s="628"/>
      <c r="HOU5" s="628"/>
      <c r="HOV5" s="628"/>
      <c r="HOW5" s="628"/>
      <c r="HOX5" s="628"/>
      <c r="HOY5" s="628"/>
      <c r="HOZ5" s="628"/>
      <c r="HPA5" s="628"/>
      <c r="HPB5" s="628"/>
      <c r="HPC5" s="628"/>
      <c r="HPD5" s="628"/>
      <c r="HPE5" s="628"/>
      <c r="HPF5" s="628"/>
      <c r="HPG5" s="628"/>
      <c r="HPH5" s="628"/>
      <c r="HPI5" s="628"/>
      <c r="HPJ5" s="628"/>
      <c r="HPK5" s="628"/>
      <c r="HPL5" s="628"/>
      <c r="HPM5" s="628"/>
      <c r="HPN5" s="628"/>
      <c r="HPO5" s="628"/>
      <c r="HPP5" s="628"/>
      <c r="HPQ5" s="628"/>
      <c r="HPR5" s="628"/>
      <c r="HPS5" s="628"/>
      <c r="HPT5" s="628"/>
      <c r="HPU5" s="628"/>
      <c r="HPV5" s="628"/>
      <c r="HPW5" s="628"/>
      <c r="HPX5" s="628"/>
      <c r="HPY5" s="628"/>
      <c r="HPZ5" s="628"/>
      <c r="HQA5" s="628"/>
      <c r="HQB5" s="628"/>
      <c r="HQC5" s="628"/>
      <c r="HQD5" s="628"/>
      <c r="HQE5" s="628"/>
      <c r="HQF5" s="628"/>
      <c r="HQG5" s="628"/>
      <c r="HQH5" s="628"/>
      <c r="HQI5" s="628"/>
      <c r="HQJ5" s="628"/>
      <c r="HQK5" s="628"/>
      <c r="HQL5" s="628"/>
      <c r="HQM5" s="628"/>
      <c r="HQN5" s="628"/>
      <c r="HQO5" s="628"/>
      <c r="HQP5" s="628"/>
      <c r="HQQ5" s="628"/>
      <c r="HQR5" s="628"/>
      <c r="HQS5" s="628"/>
      <c r="HQT5" s="628"/>
      <c r="HQU5" s="628"/>
      <c r="HQV5" s="628"/>
      <c r="HQW5" s="628"/>
      <c r="HQX5" s="628"/>
      <c r="HQY5" s="628"/>
      <c r="HQZ5" s="628"/>
      <c r="HRA5" s="628"/>
      <c r="HRB5" s="628"/>
      <c r="HRC5" s="628"/>
      <c r="HRD5" s="628"/>
      <c r="HRE5" s="628"/>
      <c r="HRF5" s="628"/>
      <c r="HRG5" s="628"/>
      <c r="HRH5" s="628"/>
      <c r="HRI5" s="628"/>
      <c r="HRJ5" s="628"/>
      <c r="HRK5" s="628"/>
      <c r="HRL5" s="628"/>
      <c r="HRM5" s="628"/>
      <c r="HRN5" s="628"/>
      <c r="HRO5" s="628"/>
      <c r="HRP5" s="628"/>
      <c r="HRQ5" s="628"/>
      <c r="HRR5" s="628"/>
      <c r="HRS5" s="628"/>
      <c r="HRT5" s="628"/>
      <c r="HRU5" s="628"/>
      <c r="HRV5" s="628"/>
      <c r="HRW5" s="628"/>
      <c r="HRX5" s="628"/>
      <c r="HRY5" s="628"/>
      <c r="HRZ5" s="628"/>
      <c r="HSA5" s="628"/>
      <c r="HSB5" s="628"/>
      <c r="HSC5" s="628"/>
      <c r="HSD5" s="628"/>
      <c r="HSE5" s="628"/>
      <c r="HSF5" s="628"/>
      <c r="HSG5" s="628"/>
      <c r="HSH5" s="628"/>
      <c r="HSI5" s="628"/>
      <c r="HSJ5" s="628"/>
      <c r="HSK5" s="628"/>
      <c r="HSL5" s="628"/>
      <c r="HSM5" s="628"/>
      <c r="HSN5" s="628"/>
      <c r="HSO5" s="628"/>
      <c r="HSP5" s="628"/>
      <c r="HSQ5" s="628"/>
      <c r="HSR5" s="628"/>
      <c r="HSS5" s="628"/>
      <c r="HST5" s="628"/>
      <c r="HSU5" s="628"/>
      <c r="HSV5" s="628"/>
      <c r="HSW5" s="628"/>
      <c r="HSX5" s="628"/>
      <c r="HSY5" s="628"/>
      <c r="HSZ5" s="628"/>
      <c r="HTA5" s="628"/>
      <c r="HTB5" s="628"/>
      <c r="HTC5" s="628"/>
      <c r="HTD5" s="628"/>
      <c r="HTE5" s="628"/>
      <c r="HTF5" s="628"/>
      <c r="HTG5" s="628"/>
      <c r="HTH5" s="628"/>
      <c r="HTI5" s="628"/>
      <c r="HTJ5" s="628"/>
      <c r="HTK5" s="628"/>
      <c r="HTL5" s="628"/>
      <c r="HTM5" s="628"/>
      <c r="HTN5" s="628"/>
      <c r="HTO5" s="628"/>
      <c r="HTP5" s="628"/>
      <c r="HTQ5" s="628"/>
      <c r="HTR5" s="628"/>
      <c r="HTS5" s="628"/>
      <c r="HTT5" s="628"/>
      <c r="HTU5" s="628"/>
      <c r="HTV5" s="628"/>
      <c r="HTW5" s="628"/>
      <c r="HTX5" s="628"/>
      <c r="HTY5" s="628"/>
      <c r="HTZ5" s="628"/>
      <c r="HUA5" s="628"/>
      <c r="HUB5" s="628"/>
      <c r="HUC5" s="628"/>
      <c r="HUD5" s="628"/>
      <c r="HUE5" s="628"/>
      <c r="HUF5" s="628"/>
      <c r="HUG5" s="628"/>
      <c r="HUH5" s="628"/>
      <c r="HUI5" s="628"/>
      <c r="HUJ5" s="628"/>
      <c r="HUK5" s="628"/>
      <c r="HUL5" s="628"/>
      <c r="HUM5" s="628"/>
      <c r="HUN5" s="628"/>
      <c r="HUO5" s="628"/>
      <c r="HUP5" s="628"/>
      <c r="HUQ5" s="628"/>
      <c r="HUR5" s="628"/>
      <c r="HUS5" s="628"/>
      <c r="HUT5" s="628"/>
      <c r="HUU5" s="628"/>
      <c r="HUV5" s="628"/>
      <c r="HUW5" s="628"/>
      <c r="HUX5" s="628"/>
      <c r="HUY5" s="628"/>
      <c r="HUZ5" s="628"/>
      <c r="HVA5" s="628"/>
      <c r="HVB5" s="628"/>
      <c r="HVC5" s="628"/>
      <c r="HVD5" s="628"/>
      <c r="HVE5" s="628"/>
      <c r="HVF5" s="628"/>
      <c r="HVG5" s="628"/>
      <c r="HVH5" s="628"/>
      <c r="HVI5" s="628"/>
      <c r="HVJ5" s="628"/>
      <c r="HVK5" s="628"/>
      <c r="HVL5" s="628"/>
      <c r="HVM5" s="628"/>
      <c r="HVN5" s="628"/>
      <c r="HVO5" s="628"/>
      <c r="HVP5" s="628"/>
      <c r="HVQ5" s="628"/>
      <c r="HVR5" s="628"/>
      <c r="HVS5" s="628"/>
      <c r="HVT5" s="628"/>
      <c r="HVU5" s="628"/>
      <c r="HVV5" s="628"/>
      <c r="HVW5" s="628"/>
      <c r="HVX5" s="628"/>
      <c r="HVY5" s="628"/>
      <c r="HVZ5" s="628"/>
      <c r="HWA5" s="628"/>
      <c r="HWB5" s="628"/>
      <c r="HWC5" s="628"/>
      <c r="HWD5" s="628"/>
      <c r="HWE5" s="628"/>
      <c r="HWF5" s="628"/>
      <c r="HWG5" s="628"/>
      <c r="HWH5" s="628"/>
      <c r="HWI5" s="628"/>
      <c r="HWJ5" s="628"/>
      <c r="HWK5" s="628"/>
      <c r="HWL5" s="628"/>
      <c r="HWM5" s="628"/>
      <c r="HWN5" s="628"/>
      <c r="HWO5" s="628"/>
      <c r="HWP5" s="628"/>
      <c r="HWQ5" s="628"/>
      <c r="HWR5" s="628"/>
      <c r="HWS5" s="628"/>
      <c r="HWT5" s="628"/>
      <c r="HWU5" s="628"/>
      <c r="HWV5" s="628"/>
      <c r="HWW5" s="628"/>
      <c r="HWX5" s="628"/>
      <c r="HWY5" s="628"/>
      <c r="HWZ5" s="628"/>
      <c r="HXA5" s="628"/>
      <c r="HXB5" s="628"/>
      <c r="HXC5" s="628"/>
      <c r="HXD5" s="628"/>
      <c r="HXE5" s="628"/>
      <c r="HXF5" s="628"/>
      <c r="HXG5" s="628"/>
      <c r="HXH5" s="628"/>
      <c r="HXI5" s="628"/>
      <c r="HXJ5" s="628"/>
      <c r="HXK5" s="628"/>
      <c r="HXL5" s="628"/>
      <c r="HXM5" s="628"/>
      <c r="HXN5" s="628"/>
      <c r="HXO5" s="628"/>
      <c r="HXP5" s="628"/>
      <c r="HXQ5" s="628"/>
      <c r="HXR5" s="628"/>
      <c r="HXS5" s="628"/>
      <c r="HXT5" s="628"/>
      <c r="HXU5" s="628"/>
      <c r="HXV5" s="628"/>
      <c r="HXW5" s="628"/>
      <c r="HXX5" s="628"/>
      <c r="HXY5" s="628"/>
      <c r="HXZ5" s="628"/>
      <c r="HYA5" s="628"/>
      <c r="HYB5" s="628"/>
      <c r="HYC5" s="628"/>
      <c r="HYD5" s="628"/>
      <c r="HYE5" s="628"/>
      <c r="HYF5" s="628"/>
      <c r="HYG5" s="628"/>
      <c r="HYH5" s="628"/>
      <c r="HYI5" s="628"/>
      <c r="HYJ5" s="628"/>
      <c r="HYK5" s="628"/>
      <c r="HYL5" s="628"/>
      <c r="HYM5" s="628"/>
      <c r="HYN5" s="628"/>
      <c r="HYO5" s="628"/>
      <c r="HYP5" s="628"/>
      <c r="HYQ5" s="628"/>
      <c r="HYR5" s="628"/>
      <c r="HYS5" s="628"/>
      <c r="HYT5" s="628"/>
      <c r="HYU5" s="628"/>
      <c r="HYV5" s="628"/>
      <c r="HYW5" s="628"/>
      <c r="HYX5" s="628"/>
      <c r="HYY5" s="628"/>
      <c r="HYZ5" s="628"/>
      <c r="HZA5" s="628"/>
      <c r="HZB5" s="628"/>
      <c r="HZC5" s="628"/>
      <c r="HZD5" s="628"/>
      <c r="HZE5" s="628"/>
      <c r="HZF5" s="628"/>
      <c r="HZG5" s="628"/>
      <c r="HZH5" s="628"/>
      <c r="HZI5" s="628"/>
      <c r="HZJ5" s="628"/>
      <c r="HZK5" s="628"/>
      <c r="HZL5" s="628"/>
      <c r="HZM5" s="628"/>
      <c r="HZN5" s="628"/>
      <c r="HZO5" s="628"/>
      <c r="HZP5" s="628"/>
      <c r="HZQ5" s="628"/>
      <c r="HZR5" s="628"/>
      <c r="HZS5" s="628"/>
      <c r="HZT5" s="628"/>
      <c r="HZU5" s="628"/>
      <c r="HZV5" s="628"/>
      <c r="HZW5" s="628"/>
      <c r="HZX5" s="628"/>
      <c r="HZY5" s="628"/>
      <c r="HZZ5" s="628"/>
      <c r="IAA5" s="628"/>
      <c r="IAB5" s="628"/>
      <c r="IAC5" s="628"/>
      <c r="IAD5" s="628"/>
      <c r="IAE5" s="628"/>
      <c r="IAF5" s="628"/>
      <c r="IAG5" s="628"/>
      <c r="IAH5" s="628"/>
      <c r="IAI5" s="628"/>
      <c r="IAJ5" s="628"/>
      <c r="IAK5" s="628"/>
      <c r="IAL5" s="628"/>
      <c r="IAM5" s="628"/>
      <c r="IAN5" s="628"/>
      <c r="IAO5" s="628"/>
      <c r="IAP5" s="628"/>
      <c r="IAQ5" s="628"/>
      <c r="IAR5" s="628"/>
      <c r="IAS5" s="628"/>
      <c r="IAT5" s="628"/>
      <c r="IAU5" s="628"/>
      <c r="IAV5" s="628"/>
      <c r="IAW5" s="628"/>
      <c r="IAX5" s="628"/>
      <c r="IAY5" s="628"/>
      <c r="IAZ5" s="628"/>
      <c r="IBA5" s="628"/>
      <c r="IBB5" s="628"/>
      <c r="IBC5" s="628"/>
      <c r="IBD5" s="628"/>
      <c r="IBE5" s="628"/>
      <c r="IBF5" s="628"/>
      <c r="IBG5" s="628"/>
      <c r="IBH5" s="628"/>
      <c r="IBI5" s="628"/>
      <c r="IBJ5" s="628"/>
      <c r="IBK5" s="628"/>
      <c r="IBL5" s="628"/>
      <c r="IBM5" s="628"/>
      <c r="IBN5" s="628"/>
      <c r="IBO5" s="628"/>
      <c r="IBP5" s="628"/>
      <c r="IBQ5" s="628"/>
      <c r="IBR5" s="628"/>
      <c r="IBS5" s="628"/>
      <c r="IBT5" s="628"/>
      <c r="IBU5" s="628"/>
      <c r="IBV5" s="628"/>
      <c r="IBW5" s="628"/>
      <c r="IBX5" s="628"/>
      <c r="IBY5" s="628"/>
      <c r="IBZ5" s="628"/>
      <c r="ICA5" s="628"/>
      <c r="ICB5" s="628"/>
      <c r="ICC5" s="628"/>
      <c r="ICD5" s="628"/>
      <c r="ICE5" s="628"/>
      <c r="ICF5" s="628"/>
      <c r="ICG5" s="628"/>
      <c r="ICH5" s="628"/>
      <c r="ICI5" s="628"/>
      <c r="ICJ5" s="628"/>
      <c r="ICK5" s="628"/>
      <c r="ICL5" s="628"/>
      <c r="ICM5" s="628"/>
      <c r="ICN5" s="628"/>
      <c r="ICO5" s="628"/>
      <c r="ICP5" s="628"/>
      <c r="ICQ5" s="628"/>
      <c r="ICR5" s="628"/>
      <c r="ICS5" s="628"/>
      <c r="ICT5" s="628"/>
      <c r="ICU5" s="628"/>
      <c r="ICV5" s="628"/>
      <c r="ICW5" s="628"/>
      <c r="ICX5" s="628"/>
      <c r="ICY5" s="628"/>
      <c r="ICZ5" s="628"/>
      <c r="IDA5" s="628"/>
      <c r="IDB5" s="628"/>
      <c r="IDC5" s="628"/>
      <c r="IDD5" s="628"/>
      <c r="IDE5" s="628"/>
      <c r="IDF5" s="628"/>
      <c r="IDG5" s="628"/>
      <c r="IDH5" s="628"/>
      <c r="IDI5" s="628"/>
      <c r="IDJ5" s="628"/>
      <c r="IDK5" s="628"/>
      <c r="IDL5" s="628"/>
      <c r="IDM5" s="628"/>
      <c r="IDN5" s="628"/>
      <c r="IDO5" s="628"/>
      <c r="IDP5" s="628"/>
      <c r="IDQ5" s="628"/>
      <c r="IDR5" s="628"/>
      <c r="IDS5" s="628"/>
      <c r="IDT5" s="628"/>
      <c r="IDU5" s="628"/>
      <c r="IDV5" s="628"/>
      <c r="IDW5" s="628"/>
      <c r="IDX5" s="628"/>
      <c r="IDY5" s="628"/>
      <c r="IDZ5" s="628"/>
      <c r="IEA5" s="628"/>
      <c r="IEB5" s="628"/>
      <c r="IEC5" s="628"/>
      <c r="IED5" s="628"/>
      <c r="IEE5" s="628"/>
      <c r="IEF5" s="628"/>
      <c r="IEG5" s="628"/>
      <c r="IEH5" s="628"/>
      <c r="IEI5" s="628"/>
      <c r="IEJ5" s="628"/>
      <c r="IEK5" s="628"/>
      <c r="IEL5" s="628"/>
      <c r="IEM5" s="628"/>
      <c r="IEN5" s="628"/>
      <c r="IEO5" s="628"/>
      <c r="IEP5" s="628"/>
      <c r="IEQ5" s="628"/>
      <c r="IER5" s="628"/>
      <c r="IES5" s="628"/>
      <c r="IET5" s="628"/>
      <c r="IEU5" s="628"/>
      <c r="IEV5" s="628"/>
      <c r="IEW5" s="628"/>
      <c r="IEX5" s="628"/>
      <c r="IEY5" s="628"/>
      <c r="IEZ5" s="628"/>
      <c r="IFA5" s="628"/>
      <c r="IFB5" s="628"/>
      <c r="IFC5" s="628"/>
      <c r="IFD5" s="628"/>
      <c r="IFE5" s="628"/>
      <c r="IFF5" s="628"/>
      <c r="IFG5" s="628"/>
      <c r="IFH5" s="628"/>
      <c r="IFI5" s="628"/>
      <c r="IFJ5" s="628"/>
      <c r="IFK5" s="628"/>
      <c r="IFL5" s="628"/>
      <c r="IFM5" s="628"/>
      <c r="IFN5" s="628"/>
      <c r="IFO5" s="628"/>
      <c r="IFP5" s="628"/>
      <c r="IFQ5" s="628"/>
      <c r="IFR5" s="628"/>
      <c r="IFS5" s="628"/>
      <c r="IFT5" s="628"/>
      <c r="IFU5" s="628"/>
      <c r="IFV5" s="628"/>
      <c r="IFW5" s="628"/>
      <c r="IFX5" s="628"/>
      <c r="IFY5" s="628"/>
      <c r="IFZ5" s="628"/>
      <c r="IGA5" s="628"/>
      <c r="IGB5" s="628"/>
      <c r="IGC5" s="628"/>
      <c r="IGD5" s="628"/>
      <c r="IGE5" s="628"/>
      <c r="IGF5" s="628"/>
      <c r="IGG5" s="628"/>
      <c r="IGH5" s="628"/>
      <c r="IGI5" s="628"/>
      <c r="IGJ5" s="628"/>
      <c r="IGK5" s="628"/>
      <c r="IGL5" s="628"/>
      <c r="IGM5" s="628"/>
      <c r="IGN5" s="628"/>
      <c r="IGO5" s="628"/>
      <c r="IGP5" s="628"/>
      <c r="IGQ5" s="628"/>
      <c r="IGR5" s="628"/>
      <c r="IGS5" s="628"/>
      <c r="IGT5" s="628"/>
      <c r="IGU5" s="628"/>
      <c r="IGV5" s="628"/>
      <c r="IGW5" s="628"/>
      <c r="IGX5" s="628"/>
      <c r="IGY5" s="628"/>
      <c r="IGZ5" s="628"/>
      <c r="IHA5" s="628"/>
      <c r="IHB5" s="628"/>
      <c r="IHC5" s="628"/>
      <c r="IHD5" s="628"/>
      <c r="IHE5" s="628"/>
      <c r="IHF5" s="628"/>
      <c r="IHG5" s="628"/>
      <c r="IHH5" s="628"/>
      <c r="IHI5" s="628"/>
      <c r="IHJ5" s="628"/>
      <c r="IHK5" s="628"/>
      <c r="IHL5" s="628"/>
      <c r="IHM5" s="628"/>
      <c r="IHN5" s="628"/>
      <c r="IHO5" s="628"/>
      <c r="IHP5" s="628"/>
      <c r="IHQ5" s="628"/>
      <c r="IHR5" s="628"/>
      <c r="IHS5" s="628"/>
      <c r="IHT5" s="628"/>
      <c r="IHU5" s="628"/>
      <c r="IHV5" s="628"/>
      <c r="IHW5" s="628"/>
      <c r="IHX5" s="628"/>
      <c r="IHY5" s="628"/>
      <c r="IHZ5" s="628"/>
      <c r="IIA5" s="628"/>
      <c r="IIB5" s="628"/>
      <c r="IIC5" s="628"/>
      <c r="IID5" s="628"/>
      <c r="IIE5" s="628"/>
      <c r="IIF5" s="628"/>
      <c r="IIG5" s="628"/>
      <c r="IIH5" s="628"/>
      <c r="III5" s="628"/>
      <c r="IIJ5" s="628"/>
      <c r="IIK5" s="628"/>
      <c r="IIL5" s="628"/>
      <c r="IIM5" s="628"/>
      <c r="IIN5" s="628"/>
      <c r="IIO5" s="628"/>
      <c r="IIP5" s="628"/>
      <c r="IIQ5" s="628"/>
      <c r="IIR5" s="628"/>
      <c r="IIS5" s="628"/>
      <c r="IIT5" s="628"/>
      <c r="IIU5" s="628"/>
      <c r="IIV5" s="628"/>
      <c r="IIW5" s="628"/>
      <c r="IIX5" s="628"/>
      <c r="IIY5" s="628"/>
      <c r="IIZ5" s="628"/>
      <c r="IJA5" s="628"/>
      <c r="IJB5" s="628"/>
      <c r="IJC5" s="628"/>
      <c r="IJD5" s="628"/>
      <c r="IJE5" s="628"/>
      <c r="IJF5" s="628"/>
      <c r="IJG5" s="628"/>
      <c r="IJH5" s="628"/>
      <c r="IJI5" s="628"/>
      <c r="IJJ5" s="628"/>
      <c r="IJK5" s="628"/>
      <c r="IJL5" s="628"/>
      <c r="IJM5" s="628"/>
      <c r="IJN5" s="628"/>
      <c r="IJO5" s="628"/>
      <c r="IJP5" s="628"/>
      <c r="IJQ5" s="628"/>
      <c r="IJR5" s="628"/>
      <c r="IJS5" s="628"/>
      <c r="IJT5" s="628"/>
      <c r="IJU5" s="628"/>
      <c r="IJV5" s="628"/>
      <c r="IJW5" s="628"/>
      <c r="IJX5" s="628"/>
      <c r="IJY5" s="628"/>
      <c r="IJZ5" s="628"/>
      <c r="IKA5" s="628"/>
      <c r="IKB5" s="628"/>
      <c r="IKC5" s="628"/>
      <c r="IKD5" s="628"/>
      <c r="IKE5" s="628"/>
      <c r="IKF5" s="628"/>
      <c r="IKG5" s="628"/>
      <c r="IKH5" s="628"/>
      <c r="IKI5" s="628"/>
      <c r="IKJ5" s="628"/>
      <c r="IKK5" s="628"/>
      <c r="IKL5" s="628"/>
      <c r="IKM5" s="628"/>
      <c r="IKN5" s="628"/>
      <c r="IKO5" s="628"/>
      <c r="IKP5" s="628"/>
      <c r="IKQ5" s="628"/>
      <c r="IKR5" s="628"/>
      <c r="IKS5" s="628"/>
      <c r="IKT5" s="628"/>
      <c r="IKU5" s="628"/>
      <c r="IKV5" s="628"/>
      <c r="IKW5" s="628"/>
      <c r="IKX5" s="628"/>
      <c r="IKY5" s="628"/>
      <c r="IKZ5" s="628"/>
      <c r="ILA5" s="628"/>
      <c r="ILB5" s="628"/>
      <c r="ILC5" s="628"/>
      <c r="ILD5" s="628"/>
      <c r="ILE5" s="628"/>
      <c r="ILF5" s="628"/>
      <c r="ILG5" s="628"/>
      <c r="ILH5" s="628"/>
      <c r="ILI5" s="628"/>
      <c r="ILJ5" s="628"/>
      <c r="ILK5" s="628"/>
      <c r="ILL5" s="628"/>
      <c r="ILM5" s="628"/>
      <c r="ILN5" s="628"/>
      <c r="ILO5" s="628"/>
      <c r="ILP5" s="628"/>
      <c r="ILQ5" s="628"/>
      <c r="ILR5" s="628"/>
      <c r="ILS5" s="628"/>
      <c r="ILT5" s="628"/>
      <c r="ILU5" s="628"/>
      <c r="ILV5" s="628"/>
      <c r="ILW5" s="628"/>
      <c r="ILX5" s="628"/>
      <c r="ILY5" s="628"/>
      <c r="ILZ5" s="628"/>
      <c r="IMA5" s="628"/>
      <c r="IMB5" s="628"/>
      <c r="IMC5" s="628"/>
      <c r="IMD5" s="628"/>
      <c r="IME5" s="628"/>
      <c r="IMF5" s="628"/>
      <c r="IMG5" s="628"/>
      <c r="IMH5" s="628"/>
      <c r="IMI5" s="628"/>
      <c r="IMJ5" s="628"/>
      <c r="IMK5" s="628"/>
      <c r="IML5" s="628"/>
      <c r="IMM5" s="628"/>
      <c r="IMN5" s="628"/>
      <c r="IMO5" s="628"/>
      <c r="IMP5" s="628"/>
      <c r="IMQ5" s="628"/>
      <c r="IMR5" s="628"/>
      <c r="IMS5" s="628"/>
      <c r="IMT5" s="628"/>
      <c r="IMU5" s="628"/>
      <c r="IMV5" s="628"/>
      <c r="IMW5" s="628"/>
      <c r="IMX5" s="628"/>
      <c r="IMY5" s="628"/>
      <c r="IMZ5" s="628"/>
      <c r="INA5" s="628"/>
      <c r="INB5" s="628"/>
      <c r="INC5" s="628"/>
      <c r="IND5" s="628"/>
      <c r="INE5" s="628"/>
      <c r="INF5" s="628"/>
      <c r="ING5" s="628"/>
      <c r="INH5" s="628"/>
      <c r="INI5" s="628"/>
      <c r="INJ5" s="628"/>
      <c r="INK5" s="628"/>
      <c r="INL5" s="628"/>
      <c r="INM5" s="628"/>
      <c r="INN5" s="628"/>
      <c r="INO5" s="628"/>
      <c r="INP5" s="628"/>
      <c r="INQ5" s="628"/>
      <c r="INR5" s="628"/>
      <c r="INS5" s="628"/>
      <c r="INT5" s="628"/>
      <c r="INU5" s="628"/>
      <c r="INV5" s="628"/>
      <c r="INW5" s="628"/>
      <c r="INX5" s="628"/>
      <c r="INY5" s="628"/>
      <c r="INZ5" s="628"/>
      <c r="IOA5" s="628"/>
      <c r="IOB5" s="628"/>
      <c r="IOC5" s="628"/>
      <c r="IOD5" s="628"/>
      <c r="IOE5" s="628"/>
      <c r="IOF5" s="628"/>
      <c r="IOG5" s="628"/>
      <c r="IOH5" s="628"/>
      <c r="IOI5" s="628"/>
      <c r="IOJ5" s="628"/>
      <c r="IOK5" s="628"/>
      <c r="IOL5" s="628"/>
      <c r="IOM5" s="628"/>
      <c r="ION5" s="628"/>
      <c r="IOO5" s="628"/>
      <c r="IOP5" s="628"/>
      <c r="IOQ5" s="628"/>
      <c r="IOR5" s="628"/>
      <c r="IOS5" s="628"/>
      <c r="IOT5" s="628"/>
      <c r="IOU5" s="628"/>
      <c r="IOV5" s="628"/>
      <c r="IOW5" s="628"/>
      <c r="IOX5" s="628"/>
      <c r="IOY5" s="628"/>
      <c r="IOZ5" s="628"/>
      <c r="IPA5" s="628"/>
      <c r="IPB5" s="628"/>
      <c r="IPC5" s="628"/>
      <c r="IPD5" s="628"/>
      <c r="IPE5" s="628"/>
      <c r="IPF5" s="628"/>
      <c r="IPG5" s="628"/>
      <c r="IPH5" s="628"/>
      <c r="IPI5" s="628"/>
      <c r="IPJ5" s="628"/>
      <c r="IPK5" s="628"/>
      <c r="IPL5" s="628"/>
      <c r="IPM5" s="628"/>
      <c r="IPN5" s="628"/>
      <c r="IPO5" s="628"/>
      <c r="IPP5" s="628"/>
      <c r="IPQ5" s="628"/>
      <c r="IPR5" s="628"/>
      <c r="IPS5" s="628"/>
      <c r="IPT5" s="628"/>
      <c r="IPU5" s="628"/>
      <c r="IPV5" s="628"/>
      <c r="IPW5" s="628"/>
      <c r="IPX5" s="628"/>
      <c r="IPY5" s="628"/>
      <c r="IPZ5" s="628"/>
      <c r="IQA5" s="628"/>
      <c r="IQB5" s="628"/>
      <c r="IQC5" s="628"/>
      <c r="IQD5" s="628"/>
      <c r="IQE5" s="628"/>
      <c r="IQF5" s="628"/>
      <c r="IQG5" s="628"/>
      <c r="IQH5" s="628"/>
      <c r="IQI5" s="628"/>
      <c r="IQJ5" s="628"/>
      <c r="IQK5" s="628"/>
      <c r="IQL5" s="628"/>
      <c r="IQM5" s="628"/>
      <c r="IQN5" s="628"/>
      <c r="IQO5" s="628"/>
      <c r="IQP5" s="628"/>
      <c r="IQQ5" s="628"/>
      <c r="IQR5" s="628"/>
      <c r="IQS5" s="628"/>
      <c r="IQT5" s="628"/>
      <c r="IQU5" s="628"/>
      <c r="IQV5" s="628"/>
      <c r="IQW5" s="628"/>
      <c r="IQX5" s="628"/>
      <c r="IQY5" s="628"/>
      <c r="IQZ5" s="628"/>
      <c r="IRA5" s="628"/>
      <c r="IRB5" s="628"/>
      <c r="IRC5" s="628"/>
      <c r="IRD5" s="628"/>
      <c r="IRE5" s="628"/>
      <c r="IRF5" s="628"/>
      <c r="IRG5" s="628"/>
      <c r="IRH5" s="628"/>
      <c r="IRI5" s="628"/>
      <c r="IRJ5" s="628"/>
      <c r="IRK5" s="628"/>
      <c r="IRL5" s="628"/>
      <c r="IRM5" s="628"/>
      <c r="IRN5" s="628"/>
      <c r="IRO5" s="628"/>
      <c r="IRP5" s="628"/>
      <c r="IRQ5" s="628"/>
      <c r="IRR5" s="628"/>
      <c r="IRS5" s="628"/>
      <c r="IRT5" s="628"/>
      <c r="IRU5" s="628"/>
      <c r="IRV5" s="628"/>
      <c r="IRW5" s="628"/>
      <c r="IRX5" s="628"/>
      <c r="IRY5" s="628"/>
      <c r="IRZ5" s="628"/>
      <c r="ISA5" s="628"/>
      <c r="ISB5" s="628"/>
      <c r="ISC5" s="628"/>
      <c r="ISD5" s="628"/>
      <c r="ISE5" s="628"/>
      <c r="ISF5" s="628"/>
      <c r="ISG5" s="628"/>
      <c r="ISH5" s="628"/>
      <c r="ISI5" s="628"/>
      <c r="ISJ5" s="628"/>
      <c r="ISK5" s="628"/>
      <c r="ISL5" s="628"/>
      <c r="ISM5" s="628"/>
      <c r="ISN5" s="628"/>
      <c r="ISO5" s="628"/>
      <c r="ISP5" s="628"/>
      <c r="ISQ5" s="628"/>
      <c r="ISR5" s="628"/>
      <c r="ISS5" s="628"/>
      <c r="IST5" s="628"/>
      <c r="ISU5" s="628"/>
      <c r="ISV5" s="628"/>
      <c r="ISW5" s="628"/>
      <c r="ISX5" s="628"/>
      <c r="ISY5" s="628"/>
      <c r="ISZ5" s="628"/>
      <c r="ITA5" s="628"/>
      <c r="ITB5" s="628"/>
      <c r="ITC5" s="628"/>
      <c r="ITD5" s="628"/>
      <c r="ITE5" s="628"/>
      <c r="ITF5" s="628"/>
      <c r="ITG5" s="628"/>
      <c r="ITH5" s="628"/>
      <c r="ITI5" s="628"/>
      <c r="ITJ5" s="628"/>
      <c r="ITK5" s="628"/>
      <c r="ITL5" s="628"/>
      <c r="ITM5" s="628"/>
      <c r="ITN5" s="628"/>
      <c r="ITO5" s="628"/>
      <c r="ITP5" s="628"/>
      <c r="ITQ5" s="628"/>
      <c r="ITR5" s="628"/>
      <c r="ITS5" s="628"/>
      <c r="ITT5" s="628"/>
      <c r="ITU5" s="628"/>
      <c r="ITV5" s="628"/>
      <c r="ITW5" s="628"/>
      <c r="ITX5" s="628"/>
      <c r="ITY5" s="628"/>
      <c r="ITZ5" s="628"/>
      <c r="IUA5" s="628"/>
      <c r="IUB5" s="628"/>
      <c r="IUC5" s="628"/>
      <c r="IUD5" s="628"/>
      <c r="IUE5" s="628"/>
      <c r="IUF5" s="628"/>
      <c r="IUG5" s="628"/>
      <c r="IUH5" s="628"/>
      <c r="IUI5" s="628"/>
      <c r="IUJ5" s="628"/>
      <c r="IUK5" s="628"/>
      <c r="IUL5" s="628"/>
      <c r="IUM5" s="628"/>
      <c r="IUN5" s="628"/>
      <c r="IUO5" s="628"/>
      <c r="IUP5" s="628"/>
      <c r="IUQ5" s="628"/>
      <c r="IUR5" s="628"/>
      <c r="IUS5" s="628"/>
      <c r="IUT5" s="628"/>
      <c r="IUU5" s="628"/>
      <c r="IUV5" s="628"/>
      <c r="IUW5" s="628"/>
      <c r="IUX5" s="628"/>
      <c r="IUY5" s="628"/>
      <c r="IUZ5" s="628"/>
      <c r="IVA5" s="628"/>
      <c r="IVB5" s="628"/>
      <c r="IVC5" s="628"/>
      <c r="IVD5" s="628"/>
      <c r="IVE5" s="628"/>
      <c r="IVF5" s="628"/>
      <c r="IVG5" s="628"/>
      <c r="IVH5" s="628"/>
      <c r="IVI5" s="628"/>
      <c r="IVJ5" s="628"/>
      <c r="IVK5" s="628"/>
      <c r="IVL5" s="628"/>
      <c r="IVM5" s="628"/>
      <c r="IVN5" s="628"/>
      <c r="IVO5" s="628"/>
      <c r="IVP5" s="628"/>
      <c r="IVQ5" s="628"/>
      <c r="IVR5" s="628"/>
      <c r="IVS5" s="628"/>
      <c r="IVT5" s="628"/>
      <c r="IVU5" s="628"/>
      <c r="IVV5" s="628"/>
      <c r="IVW5" s="628"/>
      <c r="IVX5" s="628"/>
      <c r="IVY5" s="628"/>
      <c r="IVZ5" s="628"/>
      <c r="IWA5" s="628"/>
      <c r="IWB5" s="628"/>
      <c r="IWC5" s="628"/>
      <c r="IWD5" s="628"/>
      <c r="IWE5" s="628"/>
      <c r="IWF5" s="628"/>
      <c r="IWG5" s="628"/>
      <c r="IWH5" s="628"/>
      <c r="IWI5" s="628"/>
      <c r="IWJ5" s="628"/>
      <c r="IWK5" s="628"/>
      <c r="IWL5" s="628"/>
      <c r="IWM5" s="628"/>
      <c r="IWN5" s="628"/>
      <c r="IWO5" s="628"/>
      <c r="IWP5" s="628"/>
      <c r="IWQ5" s="628"/>
      <c r="IWR5" s="628"/>
      <c r="IWS5" s="628"/>
      <c r="IWT5" s="628"/>
      <c r="IWU5" s="628"/>
      <c r="IWV5" s="628"/>
      <c r="IWW5" s="628"/>
      <c r="IWX5" s="628"/>
      <c r="IWY5" s="628"/>
      <c r="IWZ5" s="628"/>
      <c r="IXA5" s="628"/>
      <c r="IXB5" s="628"/>
      <c r="IXC5" s="628"/>
      <c r="IXD5" s="628"/>
      <c r="IXE5" s="628"/>
      <c r="IXF5" s="628"/>
      <c r="IXG5" s="628"/>
      <c r="IXH5" s="628"/>
      <c r="IXI5" s="628"/>
      <c r="IXJ5" s="628"/>
      <c r="IXK5" s="628"/>
      <c r="IXL5" s="628"/>
      <c r="IXM5" s="628"/>
      <c r="IXN5" s="628"/>
      <c r="IXO5" s="628"/>
      <c r="IXP5" s="628"/>
      <c r="IXQ5" s="628"/>
      <c r="IXR5" s="628"/>
      <c r="IXS5" s="628"/>
      <c r="IXT5" s="628"/>
      <c r="IXU5" s="628"/>
      <c r="IXV5" s="628"/>
      <c r="IXW5" s="628"/>
      <c r="IXX5" s="628"/>
      <c r="IXY5" s="628"/>
      <c r="IXZ5" s="628"/>
      <c r="IYA5" s="628"/>
      <c r="IYB5" s="628"/>
      <c r="IYC5" s="628"/>
      <c r="IYD5" s="628"/>
      <c r="IYE5" s="628"/>
      <c r="IYF5" s="628"/>
      <c r="IYG5" s="628"/>
      <c r="IYH5" s="628"/>
      <c r="IYI5" s="628"/>
      <c r="IYJ5" s="628"/>
      <c r="IYK5" s="628"/>
      <c r="IYL5" s="628"/>
      <c r="IYM5" s="628"/>
      <c r="IYN5" s="628"/>
      <c r="IYO5" s="628"/>
      <c r="IYP5" s="628"/>
      <c r="IYQ5" s="628"/>
      <c r="IYR5" s="628"/>
      <c r="IYS5" s="628"/>
      <c r="IYT5" s="628"/>
      <c r="IYU5" s="628"/>
      <c r="IYV5" s="628"/>
      <c r="IYW5" s="628"/>
      <c r="IYX5" s="628"/>
      <c r="IYY5" s="628"/>
      <c r="IYZ5" s="628"/>
      <c r="IZA5" s="628"/>
      <c r="IZB5" s="628"/>
      <c r="IZC5" s="628"/>
      <c r="IZD5" s="628"/>
      <c r="IZE5" s="628"/>
      <c r="IZF5" s="628"/>
      <c r="IZG5" s="628"/>
      <c r="IZH5" s="628"/>
      <c r="IZI5" s="628"/>
      <c r="IZJ5" s="628"/>
      <c r="IZK5" s="628"/>
      <c r="IZL5" s="628"/>
      <c r="IZM5" s="628"/>
      <c r="IZN5" s="628"/>
      <c r="IZO5" s="628"/>
      <c r="IZP5" s="628"/>
      <c r="IZQ5" s="628"/>
      <c r="IZR5" s="628"/>
      <c r="IZS5" s="628"/>
      <c r="IZT5" s="628"/>
      <c r="IZU5" s="628"/>
      <c r="IZV5" s="628"/>
      <c r="IZW5" s="628"/>
      <c r="IZX5" s="628"/>
      <c r="IZY5" s="628"/>
      <c r="IZZ5" s="628"/>
      <c r="JAA5" s="628"/>
      <c r="JAB5" s="628"/>
      <c r="JAC5" s="628"/>
      <c r="JAD5" s="628"/>
      <c r="JAE5" s="628"/>
      <c r="JAF5" s="628"/>
      <c r="JAG5" s="628"/>
      <c r="JAH5" s="628"/>
      <c r="JAI5" s="628"/>
      <c r="JAJ5" s="628"/>
      <c r="JAK5" s="628"/>
      <c r="JAL5" s="628"/>
      <c r="JAM5" s="628"/>
      <c r="JAN5" s="628"/>
      <c r="JAO5" s="628"/>
      <c r="JAP5" s="628"/>
      <c r="JAQ5" s="628"/>
      <c r="JAR5" s="628"/>
      <c r="JAS5" s="628"/>
      <c r="JAT5" s="628"/>
      <c r="JAU5" s="628"/>
      <c r="JAV5" s="628"/>
      <c r="JAW5" s="628"/>
      <c r="JAX5" s="628"/>
      <c r="JAY5" s="628"/>
      <c r="JAZ5" s="628"/>
      <c r="JBA5" s="628"/>
      <c r="JBB5" s="628"/>
      <c r="JBC5" s="628"/>
      <c r="JBD5" s="628"/>
      <c r="JBE5" s="628"/>
      <c r="JBF5" s="628"/>
      <c r="JBG5" s="628"/>
      <c r="JBH5" s="628"/>
      <c r="JBI5" s="628"/>
      <c r="JBJ5" s="628"/>
      <c r="JBK5" s="628"/>
      <c r="JBL5" s="628"/>
      <c r="JBM5" s="628"/>
      <c r="JBN5" s="628"/>
      <c r="JBO5" s="628"/>
      <c r="JBP5" s="628"/>
      <c r="JBQ5" s="628"/>
      <c r="JBR5" s="628"/>
      <c r="JBS5" s="628"/>
      <c r="JBT5" s="628"/>
      <c r="JBU5" s="628"/>
      <c r="JBV5" s="628"/>
      <c r="JBW5" s="628"/>
      <c r="JBX5" s="628"/>
      <c r="JBY5" s="628"/>
      <c r="JBZ5" s="628"/>
      <c r="JCA5" s="628"/>
      <c r="JCB5" s="628"/>
      <c r="JCC5" s="628"/>
      <c r="JCD5" s="628"/>
      <c r="JCE5" s="628"/>
      <c r="JCF5" s="628"/>
      <c r="JCG5" s="628"/>
      <c r="JCH5" s="628"/>
      <c r="JCI5" s="628"/>
      <c r="JCJ5" s="628"/>
      <c r="JCK5" s="628"/>
      <c r="JCL5" s="628"/>
      <c r="JCM5" s="628"/>
      <c r="JCN5" s="628"/>
      <c r="JCO5" s="628"/>
      <c r="JCP5" s="628"/>
      <c r="JCQ5" s="628"/>
      <c r="JCR5" s="628"/>
      <c r="JCS5" s="628"/>
      <c r="JCT5" s="628"/>
      <c r="JCU5" s="628"/>
      <c r="JCV5" s="628"/>
      <c r="JCW5" s="628"/>
      <c r="JCX5" s="628"/>
      <c r="JCY5" s="628"/>
      <c r="JCZ5" s="628"/>
      <c r="JDA5" s="628"/>
      <c r="JDB5" s="628"/>
      <c r="JDC5" s="628"/>
      <c r="JDD5" s="628"/>
      <c r="JDE5" s="628"/>
      <c r="JDF5" s="628"/>
      <c r="JDG5" s="628"/>
      <c r="JDH5" s="628"/>
      <c r="JDI5" s="628"/>
      <c r="JDJ5" s="628"/>
      <c r="JDK5" s="628"/>
      <c r="JDL5" s="628"/>
      <c r="JDM5" s="628"/>
      <c r="JDN5" s="628"/>
      <c r="JDO5" s="628"/>
      <c r="JDP5" s="628"/>
      <c r="JDQ5" s="628"/>
      <c r="JDR5" s="628"/>
      <c r="JDS5" s="628"/>
      <c r="JDT5" s="628"/>
      <c r="JDU5" s="628"/>
      <c r="JDV5" s="628"/>
      <c r="JDW5" s="628"/>
      <c r="JDX5" s="628"/>
      <c r="JDY5" s="628"/>
      <c r="JDZ5" s="628"/>
      <c r="JEA5" s="628"/>
      <c r="JEB5" s="628"/>
      <c r="JEC5" s="628"/>
      <c r="JED5" s="628"/>
      <c r="JEE5" s="628"/>
      <c r="JEF5" s="628"/>
      <c r="JEG5" s="628"/>
      <c r="JEH5" s="628"/>
      <c r="JEI5" s="628"/>
      <c r="JEJ5" s="628"/>
      <c r="JEK5" s="628"/>
      <c r="JEL5" s="628"/>
      <c r="JEM5" s="628"/>
      <c r="JEN5" s="628"/>
      <c r="JEO5" s="628"/>
      <c r="JEP5" s="628"/>
      <c r="JEQ5" s="628"/>
      <c r="JER5" s="628"/>
      <c r="JES5" s="628"/>
      <c r="JET5" s="628"/>
      <c r="JEU5" s="628"/>
      <c r="JEV5" s="628"/>
      <c r="JEW5" s="628"/>
      <c r="JEX5" s="628"/>
      <c r="JEY5" s="628"/>
      <c r="JEZ5" s="628"/>
      <c r="JFA5" s="628"/>
      <c r="JFB5" s="628"/>
      <c r="JFC5" s="628"/>
      <c r="JFD5" s="628"/>
      <c r="JFE5" s="628"/>
      <c r="JFF5" s="628"/>
      <c r="JFG5" s="628"/>
      <c r="JFH5" s="628"/>
      <c r="JFI5" s="628"/>
      <c r="JFJ5" s="628"/>
      <c r="JFK5" s="628"/>
      <c r="JFL5" s="628"/>
      <c r="JFM5" s="628"/>
      <c r="JFN5" s="628"/>
      <c r="JFO5" s="628"/>
      <c r="JFP5" s="628"/>
      <c r="JFQ5" s="628"/>
      <c r="JFR5" s="628"/>
      <c r="JFS5" s="628"/>
      <c r="JFT5" s="628"/>
      <c r="JFU5" s="628"/>
      <c r="JFV5" s="628"/>
      <c r="JFW5" s="628"/>
      <c r="JFX5" s="628"/>
      <c r="JFY5" s="628"/>
      <c r="JFZ5" s="628"/>
      <c r="JGA5" s="628"/>
      <c r="JGB5" s="628"/>
      <c r="JGC5" s="628"/>
      <c r="JGD5" s="628"/>
      <c r="JGE5" s="628"/>
      <c r="JGF5" s="628"/>
      <c r="JGG5" s="628"/>
      <c r="JGH5" s="628"/>
      <c r="JGI5" s="628"/>
      <c r="JGJ5" s="628"/>
      <c r="JGK5" s="628"/>
      <c r="JGL5" s="628"/>
      <c r="JGM5" s="628"/>
      <c r="JGN5" s="628"/>
      <c r="JGO5" s="628"/>
      <c r="JGP5" s="628"/>
      <c r="JGQ5" s="628"/>
      <c r="JGR5" s="628"/>
      <c r="JGS5" s="628"/>
      <c r="JGT5" s="628"/>
      <c r="JGU5" s="628"/>
      <c r="JGV5" s="628"/>
      <c r="JGW5" s="628"/>
      <c r="JGX5" s="628"/>
      <c r="JGY5" s="628"/>
      <c r="JGZ5" s="628"/>
      <c r="JHA5" s="628"/>
      <c r="JHB5" s="628"/>
      <c r="JHC5" s="628"/>
      <c r="JHD5" s="628"/>
      <c r="JHE5" s="628"/>
      <c r="JHF5" s="628"/>
      <c r="JHG5" s="628"/>
      <c r="JHH5" s="628"/>
      <c r="JHI5" s="628"/>
      <c r="JHJ5" s="628"/>
      <c r="JHK5" s="628"/>
      <c r="JHL5" s="628"/>
      <c r="JHM5" s="628"/>
      <c r="JHN5" s="628"/>
      <c r="JHO5" s="628"/>
      <c r="JHP5" s="628"/>
      <c r="JHQ5" s="628"/>
      <c r="JHR5" s="628"/>
      <c r="JHS5" s="628"/>
      <c r="JHT5" s="628"/>
      <c r="JHU5" s="628"/>
      <c r="JHV5" s="628"/>
      <c r="JHW5" s="628"/>
      <c r="JHX5" s="628"/>
      <c r="JHY5" s="628"/>
      <c r="JHZ5" s="628"/>
      <c r="JIA5" s="628"/>
      <c r="JIB5" s="628"/>
      <c r="JIC5" s="628"/>
      <c r="JID5" s="628"/>
      <c r="JIE5" s="628"/>
      <c r="JIF5" s="628"/>
      <c r="JIG5" s="628"/>
      <c r="JIH5" s="628"/>
      <c r="JII5" s="628"/>
      <c r="JIJ5" s="628"/>
      <c r="JIK5" s="628"/>
      <c r="JIL5" s="628"/>
      <c r="JIM5" s="628"/>
      <c r="JIN5" s="628"/>
      <c r="JIO5" s="628"/>
      <c r="JIP5" s="628"/>
      <c r="JIQ5" s="628"/>
      <c r="JIR5" s="628"/>
      <c r="JIS5" s="628"/>
      <c r="JIT5" s="628"/>
      <c r="JIU5" s="628"/>
      <c r="JIV5" s="628"/>
      <c r="JIW5" s="628"/>
      <c r="JIX5" s="628"/>
      <c r="JIY5" s="628"/>
      <c r="JIZ5" s="628"/>
      <c r="JJA5" s="628"/>
      <c r="JJB5" s="628"/>
      <c r="JJC5" s="628"/>
      <c r="JJD5" s="628"/>
      <c r="JJE5" s="628"/>
      <c r="JJF5" s="628"/>
      <c r="JJG5" s="628"/>
      <c r="JJH5" s="628"/>
      <c r="JJI5" s="628"/>
      <c r="JJJ5" s="628"/>
      <c r="JJK5" s="628"/>
      <c r="JJL5" s="628"/>
      <c r="JJM5" s="628"/>
      <c r="JJN5" s="628"/>
      <c r="JJO5" s="628"/>
      <c r="JJP5" s="628"/>
      <c r="JJQ5" s="628"/>
      <c r="JJR5" s="628"/>
      <c r="JJS5" s="628"/>
      <c r="JJT5" s="628"/>
      <c r="JJU5" s="628"/>
      <c r="JJV5" s="628"/>
      <c r="JJW5" s="628"/>
      <c r="JJX5" s="628"/>
      <c r="JJY5" s="628"/>
      <c r="JJZ5" s="628"/>
      <c r="JKA5" s="628"/>
      <c r="JKB5" s="628"/>
      <c r="JKC5" s="628"/>
      <c r="JKD5" s="628"/>
      <c r="JKE5" s="628"/>
      <c r="JKF5" s="628"/>
      <c r="JKG5" s="628"/>
      <c r="JKH5" s="628"/>
      <c r="JKI5" s="628"/>
      <c r="JKJ5" s="628"/>
      <c r="JKK5" s="628"/>
      <c r="JKL5" s="628"/>
      <c r="JKM5" s="628"/>
      <c r="JKN5" s="628"/>
      <c r="JKO5" s="628"/>
      <c r="JKP5" s="628"/>
      <c r="JKQ5" s="628"/>
      <c r="JKR5" s="628"/>
      <c r="JKS5" s="628"/>
      <c r="JKT5" s="628"/>
      <c r="JKU5" s="628"/>
      <c r="JKV5" s="628"/>
      <c r="JKW5" s="628"/>
      <c r="JKX5" s="628"/>
      <c r="JKY5" s="628"/>
      <c r="JKZ5" s="628"/>
      <c r="JLA5" s="628"/>
      <c r="JLB5" s="628"/>
      <c r="JLC5" s="628"/>
      <c r="JLD5" s="628"/>
      <c r="JLE5" s="628"/>
      <c r="JLF5" s="628"/>
      <c r="JLG5" s="628"/>
      <c r="JLH5" s="628"/>
      <c r="JLI5" s="628"/>
      <c r="JLJ5" s="628"/>
      <c r="JLK5" s="628"/>
      <c r="JLL5" s="628"/>
      <c r="JLM5" s="628"/>
      <c r="JLN5" s="628"/>
      <c r="JLO5" s="628"/>
      <c r="JLP5" s="628"/>
      <c r="JLQ5" s="628"/>
      <c r="JLR5" s="628"/>
      <c r="JLS5" s="628"/>
      <c r="JLT5" s="628"/>
      <c r="JLU5" s="628"/>
      <c r="JLV5" s="628"/>
      <c r="JLW5" s="628"/>
      <c r="JLX5" s="628"/>
      <c r="JLY5" s="628"/>
      <c r="JLZ5" s="628"/>
      <c r="JMA5" s="628"/>
      <c r="JMB5" s="628"/>
      <c r="JMC5" s="628"/>
      <c r="JMD5" s="628"/>
      <c r="JME5" s="628"/>
      <c r="JMF5" s="628"/>
      <c r="JMG5" s="628"/>
      <c r="JMH5" s="628"/>
      <c r="JMI5" s="628"/>
      <c r="JMJ5" s="628"/>
      <c r="JMK5" s="628"/>
      <c r="JML5" s="628"/>
      <c r="JMM5" s="628"/>
      <c r="JMN5" s="628"/>
      <c r="JMO5" s="628"/>
      <c r="JMP5" s="628"/>
      <c r="JMQ5" s="628"/>
      <c r="JMR5" s="628"/>
      <c r="JMS5" s="628"/>
      <c r="JMT5" s="628"/>
      <c r="JMU5" s="628"/>
      <c r="JMV5" s="628"/>
      <c r="JMW5" s="628"/>
      <c r="JMX5" s="628"/>
      <c r="JMY5" s="628"/>
      <c r="JMZ5" s="628"/>
      <c r="JNA5" s="628"/>
      <c r="JNB5" s="628"/>
      <c r="JNC5" s="628"/>
      <c r="JND5" s="628"/>
      <c r="JNE5" s="628"/>
      <c r="JNF5" s="628"/>
      <c r="JNG5" s="628"/>
      <c r="JNH5" s="628"/>
      <c r="JNI5" s="628"/>
      <c r="JNJ5" s="628"/>
      <c r="JNK5" s="628"/>
      <c r="JNL5" s="628"/>
      <c r="JNM5" s="628"/>
      <c r="JNN5" s="628"/>
      <c r="JNO5" s="628"/>
      <c r="JNP5" s="628"/>
      <c r="JNQ5" s="628"/>
      <c r="JNR5" s="628"/>
      <c r="JNS5" s="628"/>
      <c r="JNT5" s="628"/>
      <c r="JNU5" s="628"/>
      <c r="JNV5" s="628"/>
      <c r="JNW5" s="628"/>
      <c r="JNX5" s="628"/>
      <c r="JNY5" s="628"/>
      <c r="JNZ5" s="628"/>
      <c r="JOA5" s="628"/>
      <c r="JOB5" s="628"/>
      <c r="JOC5" s="628"/>
      <c r="JOD5" s="628"/>
      <c r="JOE5" s="628"/>
      <c r="JOF5" s="628"/>
      <c r="JOG5" s="628"/>
      <c r="JOH5" s="628"/>
      <c r="JOI5" s="628"/>
      <c r="JOJ5" s="628"/>
      <c r="JOK5" s="628"/>
      <c r="JOL5" s="628"/>
      <c r="JOM5" s="628"/>
      <c r="JON5" s="628"/>
      <c r="JOO5" s="628"/>
      <c r="JOP5" s="628"/>
      <c r="JOQ5" s="628"/>
      <c r="JOR5" s="628"/>
      <c r="JOS5" s="628"/>
      <c r="JOT5" s="628"/>
      <c r="JOU5" s="628"/>
      <c r="JOV5" s="628"/>
      <c r="JOW5" s="628"/>
      <c r="JOX5" s="628"/>
      <c r="JOY5" s="628"/>
      <c r="JOZ5" s="628"/>
      <c r="JPA5" s="628"/>
      <c r="JPB5" s="628"/>
      <c r="JPC5" s="628"/>
      <c r="JPD5" s="628"/>
      <c r="JPE5" s="628"/>
      <c r="JPF5" s="628"/>
      <c r="JPG5" s="628"/>
      <c r="JPH5" s="628"/>
      <c r="JPI5" s="628"/>
      <c r="JPJ5" s="628"/>
      <c r="JPK5" s="628"/>
      <c r="JPL5" s="628"/>
      <c r="JPM5" s="628"/>
      <c r="JPN5" s="628"/>
      <c r="JPO5" s="628"/>
      <c r="JPP5" s="628"/>
      <c r="JPQ5" s="628"/>
      <c r="JPR5" s="628"/>
      <c r="JPS5" s="628"/>
      <c r="JPT5" s="628"/>
      <c r="JPU5" s="628"/>
      <c r="JPV5" s="628"/>
      <c r="JPW5" s="628"/>
      <c r="JPX5" s="628"/>
      <c r="JPY5" s="628"/>
      <c r="JPZ5" s="628"/>
      <c r="JQA5" s="628"/>
      <c r="JQB5" s="628"/>
      <c r="JQC5" s="628"/>
      <c r="JQD5" s="628"/>
      <c r="JQE5" s="628"/>
      <c r="JQF5" s="628"/>
      <c r="JQG5" s="628"/>
      <c r="JQH5" s="628"/>
      <c r="JQI5" s="628"/>
      <c r="JQJ5" s="628"/>
      <c r="JQK5" s="628"/>
      <c r="JQL5" s="628"/>
      <c r="JQM5" s="628"/>
      <c r="JQN5" s="628"/>
      <c r="JQO5" s="628"/>
      <c r="JQP5" s="628"/>
      <c r="JQQ5" s="628"/>
      <c r="JQR5" s="628"/>
      <c r="JQS5" s="628"/>
      <c r="JQT5" s="628"/>
      <c r="JQU5" s="628"/>
      <c r="JQV5" s="628"/>
      <c r="JQW5" s="628"/>
      <c r="JQX5" s="628"/>
      <c r="JQY5" s="628"/>
      <c r="JQZ5" s="628"/>
      <c r="JRA5" s="628"/>
      <c r="JRB5" s="628"/>
      <c r="JRC5" s="628"/>
      <c r="JRD5" s="628"/>
      <c r="JRE5" s="628"/>
      <c r="JRF5" s="628"/>
      <c r="JRG5" s="628"/>
      <c r="JRH5" s="628"/>
      <c r="JRI5" s="628"/>
      <c r="JRJ5" s="628"/>
      <c r="JRK5" s="628"/>
      <c r="JRL5" s="628"/>
      <c r="JRM5" s="628"/>
      <c r="JRN5" s="628"/>
      <c r="JRO5" s="628"/>
      <c r="JRP5" s="628"/>
      <c r="JRQ5" s="628"/>
      <c r="JRR5" s="628"/>
      <c r="JRS5" s="628"/>
      <c r="JRT5" s="628"/>
      <c r="JRU5" s="628"/>
      <c r="JRV5" s="628"/>
      <c r="JRW5" s="628"/>
      <c r="JRX5" s="628"/>
      <c r="JRY5" s="628"/>
      <c r="JRZ5" s="628"/>
      <c r="JSA5" s="628"/>
      <c r="JSB5" s="628"/>
      <c r="JSC5" s="628"/>
      <c r="JSD5" s="628"/>
      <c r="JSE5" s="628"/>
      <c r="JSF5" s="628"/>
      <c r="JSG5" s="628"/>
      <c r="JSH5" s="628"/>
      <c r="JSI5" s="628"/>
      <c r="JSJ5" s="628"/>
      <c r="JSK5" s="628"/>
      <c r="JSL5" s="628"/>
      <c r="JSM5" s="628"/>
      <c r="JSN5" s="628"/>
      <c r="JSO5" s="628"/>
      <c r="JSP5" s="628"/>
      <c r="JSQ5" s="628"/>
      <c r="JSR5" s="628"/>
      <c r="JSS5" s="628"/>
      <c r="JST5" s="628"/>
      <c r="JSU5" s="628"/>
      <c r="JSV5" s="628"/>
      <c r="JSW5" s="628"/>
      <c r="JSX5" s="628"/>
      <c r="JSY5" s="628"/>
      <c r="JSZ5" s="628"/>
      <c r="JTA5" s="628"/>
      <c r="JTB5" s="628"/>
      <c r="JTC5" s="628"/>
      <c r="JTD5" s="628"/>
      <c r="JTE5" s="628"/>
      <c r="JTF5" s="628"/>
      <c r="JTG5" s="628"/>
      <c r="JTH5" s="628"/>
      <c r="JTI5" s="628"/>
      <c r="JTJ5" s="628"/>
      <c r="JTK5" s="628"/>
      <c r="JTL5" s="628"/>
      <c r="JTM5" s="628"/>
      <c r="JTN5" s="628"/>
      <c r="JTO5" s="628"/>
      <c r="JTP5" s="628"/>
      <c r="JTQ5" s="628"/>
      <c r="JTR5" s="628"/>
      <c r="JTS5" s="628"/>
      <c r="JTT5" s="628"/>
      <c r="JTU5" s="628"/>
      <c r="JTV5" s="628"/>
      <c r="JTW5" s="628"/>
      <c r="JTX5" s="628"/>
      <c r="JTY5" s="628"/>
      <c r="JTZ5" s="628"/>
      <c r="JUA5" s="628"/>
      <c r="JUB5" s="628"/>
      <c r="JUC5" s="628"/>
      <c r="JUD5" s="628"/>
      <c r="JUE5" s="628"/>
      <c r="JUF5" s="628"/>
      <c r="JUG5" s="628"/>
      <c r="JUH5" s="628"/>
      <c r="JUI5" s="628"/>
      <c r="JUJ5" s="628"/>
      <c r="JUK5" s="628"/>
      <c r="JUL5" s="628"/>
      <c r="JUM5" s="628"/>
      <c r="JUN5" s="628"/>
      <c r="JUO5" s="628"/>
      <c r="JUP5" s="628"/>
      <c r="JUQ5" s="628"/>
      <c r="JUR5" s="628"/>
      <c r="JUS5" s="628"/>
      <c r="JUT5" s="628"/>
      <c r="JUU5" s="628"/>
      <c r="JUV5" s="628"/>
      <c r="JUW5" s="628"/>
      <c r="JUX5" s="628"/>
      <c r="JUY5" s="628"/>
      <c r="JUZ5" s="628"/>
      <c r="JVA5" s="628"/>
      <c r="JVB5" s="628"/>
      <c r="JVC5" s="628"/>
      <c r="JVD5" s="628"/>
      <c r="JVE5" s="628"/>
      <c r="JVF5" s="628"/>
      <c r="JVG5" s="628"/>
      <c r="JVH5" s="628"/>
      <c r="JVI5" s="628"/>
      <c r="JVJ5" s="628"/>
      <c r="JVK5" s="628"/>
      <c r="JVL5" s="628"/>
      <c r="JVM5" s="628"/>
      <c r="JVN5" s="628"/>
      <c r="JVO5" s="628"/>
      <c r="JVP5" s="628"/>
      <c r="JVQ5" s="628"/>
      <c r="JVR5" s="628"/>
      <c r="JVS5" s="628"/>
      <c r="JVT5" s="628"/>
      <c r="JVU5" s="628"/>
      <c r="JVV5" s="628"/>
      <c r="JVW5" s="628"/>
      <c r="JVX5" s="628"/>
      <c r="JVY5" s="628"/>
      <c r="JVZ5" s="628"/>
      <c r="JWA5" s="628"/>
      <c r="JWB5" s="628"/>
      <c r="JWC5" s="628"/>
      <c r="JWD5" s="628"/>
      <c r="JWE5" s="628"/>
      <c r="JWF5" s="628"/>
      <c r="JWG5" s="628"/>
      <c r="JWH5" s="628"/>
      <c r="JWI5" s="628"/>
      <c r="JWJ5" s="628"/>
      <c r="JWK5" s="628"/>
      <c r="JWL5" s="628"/>
      <c r="JWM5" s="628"/>
      <c r="JWN5" s="628"/>
      <c r="JWO5" s="628"/>
      <c r="JWP5" s="628"/>
      <c r="JWQ5" s="628"/>
      <c r="JWR5" s="628"/>
      <c r="JWS5" s="628"/>
      <c r="JWT5" s="628"/>
      <c r="JWU5" s="628"/>
      <c r="JWV5" s="628"/>
      <c r="JWW5" s="628"/>
      <c r="JWX5" s="628"/>
      <c r="JWY5" s="628"/>
      <c r="JWZ5" s="628"/>
      <c r="JXA5" s="628"/>
      <c r="JXB5" s="628"/>
      <c r="JXC5" s="628"/>
      <c r="JXD5" s="628"/>
      <c r="JXE5" s="628"/>
      <c r="JXF5" s="628"/>
      <c r="JXG5" s="628"/>
      <c r="JXH5" s="628"/>
      <c r="JXI5" s="628"/>
      <c r="JXJ5" s="628"/>
      <c r="JXK5" s="628"/>
      <c r="JXL5" s="628"/>
      <c r="JXM5" s="628"/>
      <c r="JXN5" s="628"/>
      <c r="JXO5" s="628"/>
      <c r="JXP5" s="628"/>
      <c r="JXQ5" s="628"/>
      <c r="JXR5" s="628"/>
      <c r="JXS5" s="628"/>
      <c r="JXT5" s="628"/>
      <c r="JXU5" s="628"/>
      <c r="JXV5" s="628"/>
      <c r="JXW5" s="628"/>
      <c r="JXX5" s="628"/>
      <c r="JXY5" s="628"/>
      <c r="JXZ5" s="628"/>
      <c r="JYA5" s="628"/>
      <c r="JYB5" s="628"/>
      <c r="JYC5" s="628"/>
      <c r="JYD5" s="628"/>
      <c r="JYE5" s="628"/>
      <c r="JYF5" s="628"/>
      <c r="JYG5" s="628"/>
      <c r="JYH5" s="628"/>
      <c r="JYI5" s="628"/>
      <c r="JYJ5" s="628"/>
      <c r="JYK5" s="628"/>
      <c r="JYL5" s="628"/>
      <c r="JYM5" s="628"/>
      <c r="JYN5" s="628"/>
      <c r="JYO5" s="628"/>
      <c r="JYP5" s="628"/>
      <c r="JYQ5" s="628"/>
      <c r="JYR5" s="628"/>
      <c r="JYS5" s="628"/>
      <c r="JYT5" s="628"/>
      <c r="JYU5" s="628"/>
      <c r="JYV5" s="628"/>
      <c r="JYW5" s="628"/>
      <c r="JYX5" s="628"/>
      <c r="JYY5" s="628"/>
      <c r="JYZ5" s="628"/>
      <c r="JZA5" s="628"/>
      <c r="JZB5" s="628"/>
      <c r="JZC5" s="628"/>
      <c r="JZD5" s="628"/>
      <c r="JZE5" s="628"/>
      <c r="JZF5" s="628"/>
      <c r="JZG5" s="628"/>
      <c r="JZH5" s="628"/>
      <c r="JZI5" s="628"/>
      <c r="JZJ5" s="628"/>
      <c r="JZK5" s="628"/>
      <c r="JZL5" s="628"/>
      <c r="JZM5" s="628"/>
      <c r="JZN5" s="628"/>
      <c r="JZO5" s="628"/>
      <c r="JZP5" s="628"/>
      <c r="JZQ5" s="628"/>
      <c r="JZR5" s="628"/>
      <c r="JZS5" s="628"/>
      <c r="JZT5" s="628"/>
      <c r="JZU5" s="628"/>
      <c r="JZV5" s="628"/>
      <c r="JZW5" s="628"/>
      <c r="JZX5" s="628"/>
      <c r="JZY5" s="628"/>
      <c r="JZZ5" s="628"/>
      <c r="KAA5" s="628"/>
      <c r="KAB5" s="628"/>
      <c r="KAC5" s="628"/>
      <c r="KAD5" s="628"/>
      <c r="KAE5" s="628"/>
      <c r="KAF5" s="628"/>
      <c r="KAG5" s="628"/>
      <c r="KAH5" s="628"/>
      <c r="KAI5" s="628"/>
      <c r="KAJ5" s="628"/>
      <c r="KAK5" s="628"/>
      <c r="KAL5" s="628"/>
      <c r="KAM5" s="628"/>
      <c r="KAN5" s="628"/>
      <c r="KAO5" s="628"/>
      <c r="KAP5" s="628"/>
      <c r="KAQ5" s="628"/>
      <c r="KAR5" s="628"/>
      <c r="KAS5" s="628"/>
      <c r="KAT5" s="628"/>
      <c r="KAU5" s="628"/>
      <c r="KAV5" s="628"/>
      <c r="KAW5" s="628"/>
      <c r="KAX5" s="628"/>
      <c r="KAY5" s="628"/>
      <c r="KAZ5" s="628"/>
      <c r="KBA5" s="628"/>
      <c r="KBB5" s="628"/>
      <c r="KBC5" s="628"/>
      <c r="KBD5" s="628"/>
      <c r="KBE5" s="628"/>
      <c r="KBF5" s="628"/>
      <c r="KBG5" s="628"/>
      <c r="KBH5" s="628"/>
      <c r="KBI5" s="628"/>
      <c r="KBJ5" s="628"/>
      <c r="KBK5" s="628"/>
      <c r="KBL5" s="628"/>
      <c r="KBM5" s="628"/>
      <c r="KBN5" s="628"/>
      <c r="KBO5" s="628"/>
      <c r="KBP5" s="628"/>
      <c r="KBQ5" s="628"/>
      <c r="KBR5" s="628"/>
      <c r="KBS5" s="628"/>
      <c r="KBT5" s="628"/>
      <c r="KBU5" s="628"/>
      <c r="KBV5" s="628"/>
      <c r="KBW5" s="628"/>
      <c r="KBX5" s="628"/>
      <c r="KBY5" s="628"/>
      <c r="KBZ5" s="628"/>
      <c r="KCA5" s="628"/>
      <c r="KCB5" s="628"/>
      <c r="KCC5" s="628"/>
      <c r="KCD5" s="628"/>
      <c r="KCE5" s="628"/>
      <c r="KCF5" s="628"/>
      <c r="KCG5" s="628"/>
      <c r="KCH5" s="628"/>
      <c r="KCI5" s="628"/>
      <c r="KCJ5" s="628"/>
      <c r="KCK5" s="628"/>
      <c r="KCL5" s="628"/>
      <c r="KCM5" s="628"/>
      <c r="KCN5" s="628"/>
      <c r="KCO5" s="628"/>
      <c r="KCP5" s="628"/>
      <c r="KCQ5" s="628"/>
      <c r="KCR5" s="628"/>
      <c r="KCS5" s="628"/>
      <c r="KCT5" s="628"/>
      <c r="KCU5" s="628"/>
      <c r="KCV5" s="628"/>
      <c r="KCW5" s="628"/>
      <c r="KCX5" s="628"/>
      <c r="KCY5" s="628"/>
      <c r="KCZ5" s="628"/>
      <c r="KDA5" s="628"/>
      <c r="KDB5" s="628"/>
      <c r="KDC5" s="628"/>
      <c r="KDD5" s="628"/>
      <c r="KDE5" s="628"/>
      <c r="KDF5" s="628"/>
      <c r="KDG5" s="628"/>
      <c r="KDH5" s="628"/>
      <c r="KDI5" s="628"/>
      <c r="KDJ5" s="628"/>
      <c r="KDK5" s="628"/>
      <c r="KDL5" s="628"/>
      <c r="KDM5" s="628"/>
      <c r="KDN5" s="628"/>
      <c r="KDO5" s="628"/>
      <c r="KDP5" s="628"/>
      <c r="KDQ5" s="628"/>
      <c r="KDR5" s="628"/>
      <c r="KDS5" s="628"/>
      <c r="KDT5" s="628"/>
      <c r="KDU5" s="628"/>
      <c r="KDV5" s="628"/>
      <c r="KDW5" s="628"/>
      <c r="KDX5" s="628"/>
      <c r="KDY5" s="628"/>
      <c r="KDZ5" s="628"/>
      <c r="KEA5" s="628"/>
      <c r="KEB5" s="628"/>
      <c r="KEC5" s="628"/>
      <c r="KED5" s="628"/>
      <c r="KEE5" s="628"/>
      <c r="KEF5" s="628"/>
      <c r="KEG5" s="628"/>
      <c r="KEH5" s="628"/>
      <c r="KEI5" s="628"/>
      <c r="KEJ5" s="628"/>
      <c r="KEK5" s="628"/>
      <c r="KEL5" s="628"/>
      <c r="KEM5" s="628"/>
      <c r="KEN5" s="628"/>
      <c r="KEO5" s="628"/>
      <c r="KEP5" s="628"/>
      <c r="KEQ5" s="628"/>
      <c r="KER5" s="628"/>
      <c r="KES5" s="628"/>
      <c r="KET5" s="628"/>
      <c r="KEU5" s="628"/>
      <c r="KEV5" s="628"/>
      <c r="KEW5" s="628"/>
      <c r="KEX5" s="628"/>
      <c r="KEY5" s="628"/>
      <c r="KEZ5" s="628"/>
      <c r="KFA5" s="628"/>
      <c r="KFB5" s="628"/>
      <c r="KFC5" s="628"/>
      <c r="KFD5" s="628"/>
      <c r="KFE5" s="628"/>
      <c r="KFF5" s="628"/>
      <c r="KFG5" s="628"/>
      <c r="KFH5" s="628"/>
      <c r="KFI5" s="628"/>
      <c r="KFJ5" s="628"/>
      <c r="KFK5" s="628"/>
      <c r="KFL5" s="628"/>
      <c r="KFM5" s="628"/>
      <c r="KFN5" s="628"/>
      <c r="KFO5" s="628"/>
      <c r="KFP5" s="628"/>
      <c r="KFQ5" s="628"/>
      <c r="KFR5" s="628"/>
      <c r="KFS5" s="628"/>
      <c r="KFT5" s="628"/>
      <c r="KFU5" s="628"/>
      <c r="KFV5" s="628"/>
      <c r="KFW5" s="628"/>
      <c r="KFX5" s="628"/>
      <c r="KFY5" s="628"/>
      <c r="KFZ5" s="628"/>
      <c r="KGA5" s="628"/>
      <c r="KGB5" s="628"/>
      <c r="KGC5" s="628"/>
      <c r="KGD5" s="628"/>
      <c r="KGE5" s="628"/>
      <c r="KGF5" s="628"/>
      <c r="KGG5" s="628"/>
      <c r="KGH5" s="628"/>
      <c r="KGI5" s="628"/>
      <c r="KGJ5" s="628"/>
      <c r="KGK5" s="628"/>
      <c r="KGL5" s="628"/>
      <c r="KGM5" s="628"/>
      <c r="KGN5" s="628"/>
      <c r="KGO5" s="628"/>
      <c r="KGP5" s="628"/>
      <c r="KGQ5" s="628"/>
      <c r="KGR5" s="628"/>
      <c r="KGS5" s="628"/>
      <c r="KGT5" s="628"/>
      <c r="KGU5" s="628"/>
      <c r="KGV5" s="628"/>
      <c r="KGW5" s="628"/>
      <c r="KGX5" s="628"/>
      <c r="KGY5" s="628"/>
      <c r="KGZ5" s="628"/>
      <c r="KHA5" s="628"/>
      <c r="KHB5" s="628"/>
      <c r="KHC5" s="628"/>
      <c r="KHD5" s="628"/>
      <c r="KHE5" s="628"/>
      <c r="KHF5" s="628"/>
      <c r="KHG5" s="628"/>
      <c r="KHH5" s="628"/>
      <c r="KHI5" s="628"/>
      <c r="KHJ5" s="628"/>
      <c r="KHK5" s="628"/>
      <c r="KHL5" s="628"/>
      <c r="KHM5" s="628"/>
      <c r="KHN5" s="628"/>
      <c r="KHO5" s="628"/>
      <c r="KHP5" s="628"/>
      <c r="KHQ5" s="628"/>
      <c r="KHR5" s="628"/>
      <c r="KHS5" s="628"/>
      <c r="KHT5" s="628"/>
      <c r="KHU5" s="628"/>
      <c r="KHV5" s="628"/>
      <c r="KHW5" s="628"/>
      <c r="KHX5" s="628"/>
      <c r="KHY5" s="628"/>
      <c r="KHZ5" s="628"/>
      <c r="KIA5" s="628"/>
      <c r="KIB5" s="628"/>
      <c r="KIC5" s="628"/>
      <c r="KID5" s="628"/>
      <c r="KIE5" s="628"/>
      <c r="KIF5" s="628"/>
      <c r="KIG5" s="628"/>
      <c r="KIH5" s="628"/>
      <c r="KII5" s="628"/>
      <c r="KIJ5" s="628"/>
      <c r="KIK5" s="628"/>
      <c r="KIL5" s="628"/>
      <c r="KIM5" s="628"/>
      <c r="KIN5" s="628"/>
      <c r="KIO5" s="628"/>
      <c r="KIP5" s="628"/>
      <c r="KIQ5" s="628"/>
      <c r="KIR5" s="628"/>
      <c r="KIS5" s="628"/>
      <c r="KIT5" s="628"/>
      <c r="KIU5" s="628"/>
      <c r="KIV5" s="628"/>
      <c r="KIW5" s="628"/>
      <c r="KIX5" s="628"/>
      <c r="KIY5" s="628"/>
      <c r="KIZ5" s="628"/>
      <c r="KJA5" s="628"/>
      <c r="KJB5" s="628"/>
      <c r="KJC5" s="628"/>
      <c r="KJD5" s="628"/>
      <c r="KJE5" s="628"/>
      <c r="KJF5" s="628"/>
      <c r="KJG5" s="628"/>
      <c r="KJH5" s="628"/>
      <c r="KJI5" s="628"/>
      <c r="KJJ5" s="628"/>
      <c r="KJK5" s="628"/>
      <c r="KJL5" s="628"/>
      <c r="KJM5" s="628"/>
      <c r="KJN5" s="628"/>
      <c r="KJO5" s="628"/>
      <c r="KJP5" s="628"/>
      <c r="KJQ5" s="628"/>
      <c r="KJR5" s="628"/>
      <c r="KJS5" s="628"/>
      <c r="KJT5" s="628"/>
      <c r="KJU5" s="628"/>
      <c r="KJV5" s="628"/>
      <c r="KJW5" s="628"/>
      <c r="KJX5" s="628"/>
      <c r="KJY5" s="628"/>
      <c r="KJZ5" s="628"/>
      <c r="KKA5" s="628"/>
      <c r="KKB5" s="628"/>
      <c r="KKC5" s="628"/>
      <c r="KKD5" s="628"/>
      <c r="KKE5" s="628"/>
      <c r="KKF5" s="628"/>
      <c r="KKG5" s="628"/>
      <c r="KKH5" s="628"/>
      <c r="KKI5" s="628"/>
      <c r="KKJ5" s="628"/>
      <c r="KKK5" s="628"/>
      <c r="KKL5" s="628"/>
      <c r="KKM5" s="628"/>
      <c r="KKN5" s="628"/>
      <c r="KKO5" s="628"/>
      <c r="KKP5" s="628"/>
      <c r="KKQ5" s="628"/>
      <c r="KKR5" s="628"/>
      <c r="KKS5" s="628"/>
      <c r="KKT5" s="628"/>
      <c r="KKU5" s="628"/>
      <c r="KKV5" s="628"/>
      <c r="KKW5" s="628"/>
      <c r="KKX5" s="628"/>
      <c r="KKY5" s="628"/>
      <c r="KKZ5" s="628"/>
      <c r="KLA5" s="628"/>
      <c r="KLB5" s="628"/>
      <c r="KLC5" s="628"/>
      <c r="KLD5" s="628"/>
      <c r="KLE5" s="628"/>
      <c r="KLF5" s="628"/>
      <c r="KLG5" s="628"/>
      <c r="KLH5" s="628"/>
      <c r="KLI5" s="628"/>
      <c r="KLJ5" s="628"/>
      <c r="KLK5" s="628"/>
      <c r="KLL5" s="628"/>
      <c r="KLM5" s="628"/>
      <c r="KLN5" s="628"/>
      <c r="KLO5" s="628"/>
      <c r="KLP5" s="628"/>
      <c r="KLQ5" s="628"/>
      <c r="KLR5" s="628"/>
      <c r="KLS5" s="628"/>
      <c r="KLT5" s="628"/>
      <c r="KLU5" s="628"/>
      <c r="KLV5" s="628"/>
      <c r="KLW5" s="628"/>
      <c r="KLX5" s="628"/>
      <c r="KLY5" s="628"/>
      <c r="KLZ5" s="628"/>
      <c r="KMA5" s="628"/>
      <c r="KMB5" s="628"/>
      <c r="KMC5" s="628"/>
      <c r="KMD5" s="628"/>
      <c r="KME5" s="628"/>
      <c r="KMF5" s="628"/>
      <c r="KMG5" s="628"/>
      <c r="KMH5" s="628"/>
      <c r="KMI5" s="628"/>
      <c r="KMJ5" s="628"/>
      <c r="KMK5" s="628"/>
      <c r="KML5" s="628"/>
      <c r="KMM5" s="628"/>
      <c r="KMN5" s="628"/>
      <c r="KMO5" s="628"/>
      <c r="KMP5" s="628"/>
      <c r="KMQ5" s="628"/>
      <c r="KMR5" s="628"/>
      <c r="KMS5" s="628"/>
      <c r="KMT5" s="628"/>
      <c r="KMU5" s="628"/>
      <c r="KMV5" s="628"/>
      <c r="KMW5" s="628"/>
      <c r="KMX5" s="628"/>
      <c r="KMY5" s="628"/>
      <c r="KMZ5" s="628"/>
      <c r="KNA5" s="628"/>
      <c r="KNB5" s="628"/>
      <c r="KNC5" s="628"/>
      <c r="KND5" s="628"/>
      <c r="KNE5" s="628"/>
      <c r="KNF5" s="628"/>
      <c r="KNG5" s="628"/>
      <c r="KNH5" s="628"/>
      <c r="KNI5" s="628"/>
      <c r="KNJ5" s="628"/>
      <c r="KNK5" s="628"/>
      <c r="KNL5" s="628"/>
      <c r="KNM5" s="628"/>
      <c r="KNN5" s="628"/>
      <c r="KNO5" s="628"/>
      <c r="KNP5" s="628"/>
      <c r="KNQ5" s="628"/>
      <c r="KNR5" s="628"/>
      <c r="KNS5" s="628"/>
      <c r="KNT5" s="628"/>
      <c r="KNU5" s="628"/>
      <c r="KNV5" s="628"/>
      <c r="KNW5" s="628"/>
      <c r="KNX5" s="628"/>
      <c r="KNY5" s="628"/>
      <c r="KNZ5" s="628"/>
      <c r="KOA5" s="628"/>
      <c r="KOB5" s="628"/>
      <c r="KOC5" s="628"/>
      <c r="KOD5" s="628"/>
      <c r="KOE5" s="628"/>
      <c r="KOF5" s="628"/>
      <c r="KOG5" s="628"/>
      <c r="KOH5" s="628"/>
      <c r="KOI5" s="628"/>
      <c r="KOJ5" s="628"/>
      <c r="KOK5" s="628"/>
      <c r="KOL5" s="628"/>
      <c r="KOM5" s="628"/>
      <c r="KON5" s="628"/>
      <c r="KOO5" s="628"/>
      <c r="KOP5" s="628"/>
      <c r="KOQ5" s="628"/>
      <c r="KOR5" s="628"/>
      <c r="KOS5" s="628"/>
      <c r="KOT5" s="628"/>
      <c r="KOU5" s="628"/>
      <c r="KOV5" s="628"/>
      <c r="KOW5" s="628"/>
      <c r="KOX5" s="628"/>
      <c r="KOY5" s="628"/>
      <c r="KOZ5" s="628"/>
      <c r="KPA5" s="628"/>
      <c r="KPB5" s="628"/>
      <c r="KPC5" s="628"/>
      <c r="KPD5" s="628"/>
      <c r="KPE5" s="628"/>
      <c r="KPF5" s="628"/>
      <c r="KPG5" s="628"/>
      <c r="KPH5" s="628"/>
      <c r="KPI5" s="628"/>
      <c r="KPJ5" s="628"/>
      <c r="KPK5" s="628"/>
      <c r="KPL5" s="628"/>
      <c r="KPM5" s="628"/>
      <c r="KPN5" s="628"/>
      <c r="KPO5" s="628"/>
      <c r="KPP5" s="628"/>
      <c r="KPQ5" s="628"/>
      <c r="KPR5" s="628"/>
      <c r="KPS5" s="628"/>
      <c r="KPT5" s="628"/>
      <c r="KPU5" s="628"/>
      <c r="KPV5" s="628"/>
      <c r="KPW5" s="628"/>
      <c r="KPX5" s="628"/>
      <c r="KPY5" s="628"/>
      <c r="KPZ5" s="628"/>
      <c r="KQA5" s="628"/>
      <c r="KQB5" s="628"/>
      <c r="KQC5" s="628"/>
      <c r="KQD5" s="628"/>
      <c r="KQE5" s="628"/>
      <c r="KQF5" s="628"/>
      <c r="KQG5" s="628"/>
      <c r="KQH5" s="628"/>
      <c r="KQI5" s="628"/>
      <c r="KQJ5" s="628"/>
      <c r="KQK5" s="628"/>
      <c r="KQL5" s="628"/>
      <c r="KQM5" s="628"/>
      <c r="KQN5" s="628"/>
      <c r="KQO5" s="628"/>
      <c r="KQP5" s="628"/>
      <c r="KQQ5" s="628"/>
      <c r="KQR5" s="628"/>
      <c r="KQS5" s="628"/>
      <c r="KQT5" s="628"/>
      <c r="KQU5" s="628"/>
      <c r="KQV5" s="628"/>
      <c r="KQW5" s="628"/>
      <c r="KQX5" s="628"/>
      <c r="KQY5" s="628"/>
      <c r="KQZ5" s="628"/>
      <c r="KRA5" s="628"/>
      <c r="KRB5" s="628"/>
      <c r="KRC5" s="628"/>
      <c r="KRD5" s="628"/>
      <c r="KRE5" s="628"/>
      <c r="KRF5" s="628"/>
      <c r="KRG5" s="628"/>
      <c r="KRH5" s="628"/>
      <c r="KRI5" s="628"/>
      <c r="KRJ5" s="628"/>
      <c r="KRK5" s="628"/>
      <c r="KRL5" s="628"/>
      <c r="KRM5" s="628"/>
      <c r="KRN5" s="628"/>
      <c r="KRO5" s="628"/>
      <c r="KRP5" s="628"/>
      <c r="KRQ5" s="628"/>
      <c r="KRR5" s="628"/>
      <c r="KRS5" s="628"/>
      <c r="KRT5" s="628"/>
      <c r="KRU5" s="628"/>
      <c r="KRV5" s="628"/>
      <c r="KRW5" s="628"/>
      <c r="KRX5" s="628"/>
      <c r="KRY5" s="628"/>
      <c r="KRZ5" s="628"/>
      <c r="KSA5" s="628"/>
      <c r="KSB5" s="628"/>
      <c r="KSC5" s="628"/>
      <c r="KSD5" s="628"/>
      <c r="KSE5" s="628"/>
      <c r="KSF5" s="628"/>
      <c r="KSG5" s="628"/>
      <c r="KSH5" s="628"/>
      <c r="KSI5" s="628"/>
      <c r="KSJ5" s="628"/>
      <c r="KSK5" s="628"/>
      <c r="KSL5" s="628"/>
      <c r="KSM5" s="628"/>
      <c r="KSN5" s="628"/>
      <c r="KSO5" s="628"/>
      <c r="KSP5" s="628"/>
      <c r="KSQ5" s="628"/>
      <c r="KSR5" s="628"/>
      <c r="KSS5" s="628"/>
      <c r="KST5" s="628"/>
      <c r="KSU5" s="628"/>
      <c r="KSV5" s="628"/>
      <c r="KSW5" s="628"/>
      <c r="KSX5" s="628"/>
      <c r="KSY5" s="628"/>
      <c r="KSZ5" s="628"/>
      <c r="KTA5" s="628"/>
      <c r="KTB5" s="628"/>
      <c r="KTC5" s="628"/>
      <c r="KTD5" s="628"/>
      <c r="KTE5" s="628"/>
      <c r="KTF5" s="628"/>
      <c r="KTG5" s="628"/>
      <c r="KTH5" s="628"/>
      <c r="KTI5" s="628"/>
      <c r="KTJ5" s="628"/>
      <c r="KTK5" s="628"/>
      <c r="KTL5" s="628"/>
      <c r="KTM5" s="628"/>
      <c r="KTN5" s="628"/>
      <c r="KTO5" s="628"/>
      <c r="KTP5" s="628"/>
      <c r="KTQ5" s="628"/>
      <c r="KTR5" s="628"/>
      <c r="KTS5" s="628"/>
      <c r="KTT5" s="628"/>
      <c r="KTU5" s="628"/>
      <c r="KTV5" s="628"/>
      <c r="KTW5" s="628"/>
      <c r="KTX5" s="628"/>
      <c r="KTY5" s="628"/>
      <c r="KTZ5" s="628"/>
      <c r="KUA5" s="628"/>
      <c r="KUB5" s="628"/>
      <c r="KUC5" s="628"/>
      <c r="KUD5" s="628"/>
      <c r="KUE5" s="628"/>
      <c r="KUF5" s="628"/>
      <c r="KUG5" s="628"/>
      <c r="KUH5" s="628"/>
      <c r="KUI5" s="628"/>
      <c r="KUJ5" s="628"/>
      <c r="KUK5" s="628"/>
      <c r="KUL5" s="628"/>
      <c r="KUM5" s="628"/>
      <c r="KUN5" s="628"/>
      <c r="KUO5" s="628"/>
      <c r="KUP5" s="628"/>
      <c r="KUQ5" s="628"/>
      <c r="KUR5" s="628"/>
      <c r="KUS5" s="628"/>
      <c r="KUT5" s="628"/>
      <c r="KUU5" s="628"/>
      <c r="KUV5" s="628"/>
      <c r="KUW5" s="628"/>
      <c r="KUX5" s="628"/>
      <c r="KUY5" s="628"/>
      <c r="KUZ5" s="628"/>
      <c r="KVA5" s="628"/>
      <c r="KVB5" s="628"/>
      <c r="KVC5" s="628"/>
      <c r="KVD5" s="628"/>
      <c r="KVE5" s="628"/>
      <c r="KVF5" s="628"/>
      <c r="KVG5" s="628"/>
      <c r="KVH5" s="628"/>
      <c r="KVI5" s="628"/>
      <c r="KVJ5" s="628"/>
      <c r="KVK5" s="628"/>
      <c r="KVL5" s="628"/>
      <c r="KVM5" s="628"/>
      <c r="KVN5" s="628"/>
      <c r="KVO5" s="628"/>
      <c r="KVP5" s="628"/>
      <c r="KVQ5" s="628"/>
      <c r="KVR5" s="628"/>
      <c r="KVS5" s="628"/>
      <c r="KVT5" s="628"/>
      <c r="KVU5" s="628"/>
      <c r="KVV5" s="628"/>
      <c r="KVW5" s="628"/>
      <c r="KVX5" s="628"/>
      <c r="KVY5" s="628"/>
      <c r="KVZ5" s="628"/>
      <c r="KWA5" s="628"/>
      <c r="KWB5" s="628"/>
      <c r="KWC5" s="628"/>
      <c r="KWD5" s="628"/>
      <c r="KWE5" s="628"/>
      <c r="KWF5" s="628"/>
      <c r="KWG5" s="628"/>
      <c r="KWH5" s="628"/>
      <c r="KWI5" s="628"/>
      <c r="KWJ5" s="628"/>
      <c r="KWK5" s="628"/>
      <c r="KWL5" s="628"/>
      <c r="KWM5" s="628"/>
      <c r="KWN5" s="628"/>
      <c r="KWO5" s="628"/>
      <c r="KWP5" s="628"/>
      <c r="KWQ5" s="628"/>
      <c r="KWR5" s="628"/>
      <c r="KWS5" s="628"/>
      <c r="KWT5" s="628"/>
      <c r="KWU5" s="628"/>
      <c r="KWV5" s="628"/>
      <c r="KWW5" s="628"/>
      <c r="KWX5" s="628"/>
      <c r="KWY5" s="628"/>
      <c r="KWZ5" s="628"/>
      <c r="KXA5" s="628"/>
      <c r="KXB5" s="628"/>
      <c r="KXC5" s="628"/>
      <c r="KXD5" s="628"/>
      <c r="KXE5" s="628"/>
      <c r="KXF5" s="628"/>
      <c r="KXG5" s="628"/>
      <c r="KXH5" s="628"/>
      <c r="KXI5" s="628"/>
      <c r="KXJ5" s="628"/>
      <c r="KXK5" s="628"/>
      <c r="KXL5" s="628"/>
      <c r="KXM5" s="628"/>
      <c r="KXN5" s="628"/>
      <c r="KXO5" s="628"/>
      <c r="KXP5" s="628"/>
      <c r="KXQ5" s="628"/>
      <c r="KXR5" s="628"/>
      <c r="KXS5" s="628"/>
      <c r="KXT5" s="628"/>
      <c r="KXU5" s="628"/>
      <c r="KXV5" s="628"/>
      <c r="KXW5" s="628"/>
      <c r="KXX5" s="628"/>
      <c r="KXY5" s="628"/>
      <c r="KXZ5" s="628"/>
      <c r="KYA5" s="628"/>
      <c r="KYB5" s="628"/>
      <c r="KYC5" s="628"/>
      <c r="KYD5" s="628"/>
      <c r="KYE5" s="628"/>
      <c r="KYF5" s="628"/>
      <c r="KYG5" s="628"/>
      <c r="KYH5" s="628"/>
      <c r="KYI5" s="628"/>
      <c r="KYJ5" s="628"/>
      <c r="KYK5" s="628"/>
      <c r="KYL5" s="628"/>
      <c r="KYM5" s="628"/>
      <c r="KYN5" s="628"/>
      <c r="KYO5" s="628"/>
      <c r="KYP5" s="628"/>
      <c r="KYQ5" s="628"/>
      <c r="KYR5" s="628"/>
      <c r="KYS5" s="628"/>
      <c r="KYT5" s="628"/>
      <c r="KYU5" s="628"/>
      <c r="KYV5" s="628"/>
      <c r="KYW5" s="628"/>
      <c r="KYX5" s="628"/>
      <c r="KYY5" s="628"/>
      <c r="KYZ5" s="628"/>
      <c r="KZA5" s="628"/>
      <c r="KZB5" s="628"/>
      <c r="KZC5" s="628"/>
      <c r="KZD5" s="628"/>
      <c r="KZE5" s="628"/>
      <c r="KZF5" s="628"/>
      <c r="KZG5" s="628"/>
      <c r="KZH5" s="628"/>
      <c r="KZI5" s="628"/>
      <c r="KZJ5" s="628"/>
      <c r="KZK5" s="628"/>
      <c r="KZL5" s="628"/>
      <c r="KZM5" s="628"/>
      <c r="KZN5" s="628"/>
      <c r="KZO5" s="628"/>
      <c r="KZP5" s="628"/>
      <c r="KZQ5" s="628"/>
      <c r="KZR5" s="628"/>
      <c r="KZS5" s="628"/>
      <c r="KZT5" s="628"/>
      <c r="KZU5" s="628"/>
      <c r="KZV5" s="628"/>
      <c r="KZW5" s="628"/>
      <c r="KZX5" s="628"/>
      <c r="KZY5" s="628"/>
      <c r="KZZ5" s="628"/>
      <c r="LAA5" s="628"/>
      <c r="LAB5" s="628"/>
      <c r="LAC5" s="628"/>
      <c r="LAD5" s="628"/>
      <c r="LAE5" s="628"/>
      <c r="LAF5" s="628"/>
      <c r="LAG5" s="628"/>
      <c r="LAH5" s="628"/>
      <c r="LAI5" s="628"/>
      <c r="LAJ5" s="628"/>
      <c r="LAK5" s="628"/>
      <c r="LAL5" s="628"/>
      <c r="LAM5" s="628"/>
      <c r="LAN5" s="628"/>
      <c r="LAO5" s="628"/>
      <c r="LAP5" s="628"/>
      <c r="LAQ5" s="628"/>
      <c r="LAR5" s="628"/>
      <c r="LAS5" s="628"/>
      <c r="LAT5" s="628"/>
      <c r="LAU5" s="628"/>
      <c r="LAV5" s="628"/>
      <c r="LAW5" s="628"/>
      <c r="LAX5" s="628"/>
      <c r="LAY5" s="628"/>
      <c r="LAZ5" s="628"/>
      <c r="LBA5" s="628"/>
      <c r="LBB5" s="628"/>
      <c r="LBC5" s="628"/>
      <c r="LBD5" s="628"/>
      <c r="LBE5" s="628"/>
      <c r="LBF5" s="628"/>
      <c r="LBG5" s="628"/>
      <c r="LBH5" s="628"/>
      <c r="LBI5" s="628"/>
      <c r="LBJ5" s="628"/>
      <c r="LBK5" s="628"/>
      <c r="LBL5" s="628"/>
      <c r="LBM5" s="628"/>
      <c r="LBN5" s="628"/>
      <c r="LBO5" s="628"/>
      <c r="LBP5" s="628"/>
      <c r="LBQ5" s="628"/>
      <c r="LBR5" s="628"/>
      <c r="LBS5" s="628"/>
      <c r="LBT5" s="628"/>
      <c r="LBU5" s="628"/>
      <c r="LBV5" s="628"/>
      <c r="LBW5" s="628"/>
      <c r="LBX5" s="628"/>
      <c r="LBY5" s="628"/>
      <c r="LBZ5" s="628"/>
      <c r="LCA5" s="628"/>
      <c r="LCB5" s="628"/>
      <c r="LCC5" s="628"/>
      <c r="LCD5" s="628"/>
      <c r="LCE5" s="628"/>
      <c r="LCF5" s="628"/>
      <c r="LCG5" s="628"/>
      <c r="LCH5" s="628"/>
      <c r="LCI5" s="628"/>
      <c r="LCJ5" s="628"/>
      <c r="LCK5" s="628"/>
      <c r="LCL5" s="628"/>
      <c r="LCM5" s="628"/>
      <c r="LCN5" s="628"/>
      <c r="LCO5" s="628"/>
      <c r="LCP5" s="628"/>
      <c r="LCQ5" s="628"/>
      <c r="LCR5" s="628"/>
      <c r="LCS5" s="628"/>
      <c r="LCT5" s="628"/>
      <c r="LCU5" s="628"/>
      <c r="LCV5" s="628"/>
      <c r="LCW5" s="628"/>
      <c r="LCX5" s="628"/>
      <c r="LCY5" s="628"/>
      <c r="LCZ5" s="628"/>
      <c r="LDA5" s="628"/>
      <c r="LDB5" s="628"/>
      <c r="LDC5" s="628"/>
      <c r="LDD5" s="628"/>
      <c r="LDE5" s="628"/>
      <c r="LDF5" s="628"/>
      <c r="LDG5" s="628"/>
      <c r="LDH5" s="628"/>
      <c r="LDI5" s="628"/>
      <c r="LDJ5" s="628"/>
      <c r="LDK5" s="628"/>
      <c r="LDL5" s="628"/>
      <c r="LDM5" s="628"/>
      <c r="LDN5" s="628"/>
      <c r="LDO5" s="628"/>
      <c r="LDP5" s="628"/>
      <c r="LDQ5" s="628"/>
      <c r="LDR5" s="628"/>
      <c r="LDS5" s="628"/>
      <c r="LDT5" s="628"/>
      <c r="LDU5" s="628"/>
      <c r="LDV5" s="628"/>
      <c r="LDW5" s="628"/>
      <c r="LDX5" s="628"/>
      <c r="LDY5" s="628"/>
      <c r="LDZ5" s="628"/>
      <c r="LEA5" s="628"/>
      <c r="LEB5" s="628"/>
      <c r="LEC5" s="628"/>
      <c r="LED5" s="628"/>
      <c r="LEE5" s="628"/>
      <c r="LEF5" s="628"/>
      <c r="LEG5" s="628"/>
      <c r="LEH5" s="628"/>
      <c r="LEI5" s="628"/>
      <c r="LEJ5" s="628"/>
      <c r="LEK5" s="628"/>
      <c r="LEL5" s="628"/>
      <c r="LEM5" s="628"/>
      <c r="LEN5" s="628"/>
      <c r="LEO5" s="628"/>
      <c r="LEP5" s="628"/>
      <c r="LEQ5" s="628"/>
      <c r="LER5" s="628"/>
      <c r="LES5" s="628"/>
      <c r="LET5" s="628"/>
      <c r="LEU5" s="628"/>
      <c r="LEV5" s="628"/>
      <c r="LEW5" s="628"/>
      <c r="LEX5" s="628"/>
      <c r="LEY5" s="628"/>
      <c r="LEZ5" s="628"/>
      <c r="LFA5" s="628"/>
      <c r="LFB5" s="628"/>
      <c r="LFC5" s="628"/>
      <c r="LFD5" s="628"/>
      <c r="LFE5" s="628"/>
      <c r="LFF5" s="628"/>
      <c r="LFG5" s="628"/>
      <c r="LFH5" s="628"/>
      <c r="LFI5" s="628"/>
      <c r="LFJ5" s="628"/>
      <c r="LFK5" s="628"/>
      <c r="LFL5" s="628"/>
      <c r="LFM5" s="628"/>
      <c r="LFN5" s="628"/>
      <c r="LFO5" s="628"/>
      <c r="LFP5" s="628"/>
      <c r="LFQ5" s="628"/>
      <c r="LFR5" s="628"/>
      <c r="LFS5" s="628"/>
      <c r="LFT5" s="628"/>
      <c r="LFU5" s="628"/>
      <c r="LFV5" s="628"/>
      <c r="LFW5" s="628"/>
      <c r="LFX5" s="628"/>
      <c r="LFY5" s="628"/>
      <c r="LFZ5" s="628"/>
      <c r="LGA5" s="628"/>
      <c r="LGB5" s="628"/>
      <c r="LGC5" s="628"/>
      <c r="LGD5" s="628"/>
      <c r="LGE5" s="628"/>
      <c r="LGF5" s="628"/>
      <c r="LGG5" s="628"/>
      <c r="LGH5" s="628"/>
      <c r="LGI5" s="628"/>
      <c r="LGJ5" s="628"/>
      <c r="LGK5" s="628"/>
      <c r="LGL5" s="628"/>
      <c r="LGM5" s="628"/>
      <c r="LGN5" s="628"/>
      <c r="LGO5" s="628"/>
      <c r="LGP5" s="628"/>
      <c r="LGQ5" s="628"/>
      <c r="LGR5" s="628"/>
      <c r="LGS5" s="628"/>
      <c r="LGT5" s="628"/>
      <c r="LGU5" s="628"/>
      <c r="LGV5" s="628"/>
      <c r="LGW5" s="628"/>
      <c r="LGX5" s="628"/>
      <c r="LGY5" s="628"/>
      <c r="LGZ5" s="628"/>
      <c r="LHA5" s="628"/>
      <c r="LHB5" s="628"/>
      <c r="LHC5" s="628"/>
      <c r="LHD5" s="628"/>
      <c r="LHE5" s="628"/>
      <c r="LHF5" s="628"/>
      <c r="LHG5" s="628"/>
      <c r="LHH5" s="628"/>
      <c r="LHI5" s="628"/>
      <c r="LHJ5" s="628"/>
      <c r="LHK5" s="628"/>
      <c r="LHL5" s="628"/>
      <c r="LHM5" s="628"/>
      <c r="LHN5" s="628"/>
      <c r="LHO5" s="628"/>
      <c r="LHP5" s="628"/>
      <c r="LHQ5" s="628"/>
      <c r="LHR5" s="628"/>
      <c r="LHS5" s="628"/>
      <c r="LHT5" s="628"/>
      <c r="LHU5" s="628"/>
      <c r="LHV5" s="628"/>
      <c r="LHW5" s="628"/>
      <c r="LHX5" s="628"/>
      <c r="LHY5" s="628"/>
      <c r="LHZ5" s="628"/>
      <c r="LIA5" s="628"/>
      <c r="LIB5" s="628"/>
      <c r="LIC5" s="628"/>
      <c r="LID5" s="628"/>
      <c r="LIE5" s="628"/>
      <c r="LIF5" s="628"/>
      <c r="LIG5" s="628"/>
      <c r="LIH5" s="628"/>
      <c r="LII5" s="628"/>
      <c r="LIJ5" s="628"/>
      <c r="LIK5" s="628"/>
      <c r="LIL5" s="628"/>
      <c r="LIM5" s="628"/>
      <c r="LIN5" s="628"/>
      <c r="LIO5" s="628"/>
      <c r="LIP5" s="628"/>
      <c r="LIQ5" s="628"/>
      <c r="LIR5" s="628"/>
      <c r="LIS5" s="628"/>
      <c r="LIT5" s="628"/>
      <c r="LIU5" s="628"/>
      <c r="LIV5" s="628"/>
      <c r="LIW5" s="628"/>
      <c r="LIX5" s="628"/>
      <c r="LIY5" s="628"/>
      <c r="LIZ5" s="628"/>
      <c r="LJA5" s="628"/>
      <c r="LJB5" s="628"/>
      <c r="LJC5" s="628"/>
      <c r="LJD5" s="628"/>
      <c r="LJE5" s="628"/>
      <c r="LJF5" s="628"/>
      <c r="LJG5" s="628"/>
      <c r="LJH5" s="628"/>
      <c r="LJI5" s="628"/>
      <c r="LJJ5" s="628"/>
      <c r="LJK5" s="628"/>
      <c r="LJL5" s="628"/>
      <c r="LJM5" s="628"/>
      <c r="LJN5" s="628"/>
      <c r="LJO5" s="628"/>
      <c r="LJP5" s="628"/>
      <c r="LJQ5" s="628"/>
      <c r="LJR5" s="628"/>
      <c r="LJS5" s="628"/>
      <c r="LJT5" s="628"/>
      <c r="LJU5" s="628"/>
      <c r="LJV5" s="628"/>
      <c r="LJW5" s="628"/>
      <c r="LJX5" s="628"/>
      <c r="LJY5" s="628"/>
      <c r="LJZ5" s="628"/>
      <c r="LKA5" s="628"/>
      <c r="LKB5" s="628"/>
      <c r="LKC5" s="628"/>
      <c r="LKD5" s="628"/>
      <c r="LKE5" s="628"/>
      <c r="LKF5" s="628"/>
      <c r="LKG5" s="628"/>
      <c r="LKH5" s="628"/>
      <c r="LKI5" s="628"/>
      <c r="LKJ5" s="628"/>
      <c r="LKK5" s="628"/>
      <c r="LKL5" s="628"/>
      <c r="LKM5" s="628"/>
      <c r="LKN5" s="628"/>
      <c r="LKO5" s="628"/>
      <c r="LKP5" s="628"/>
      <c r="LKQ5" s="628"/>
      <c r="LKR5" s="628"/>
      <c r="LKS5" s="628"/>
      <c r="LKT5" s="628"/>
      <c r="LKU5" s="628"/>
      <c r="LKV5" s="628"/>
      <c r="LKW5" s="628"/>
      <c r="LKX5" s="628"/>
      <c r="LKY5" s="628"/>
      <c r="LKZ5" s="628"/>
      <c r="LLA5" s="628"/>
      <c r="LLB5" s="628"/>
      <c r="LLC5" s="628"/>
      <c r="LLD5" s="628"/>
      <c r="LLE5" s="628"/>
      <c r="LLF5" s="628"/>
      <c r="LLG5" s="628"/>
      <c r="LLH5" s="628"/>
      <c r="LLI5" s="628"/>
      <c r="LLJ5" s="628"/>
      <c r="LLK5" s="628"/>
      <c r="LLL5" s="628"/>
      <c r="LLM5" s="628"/>
      <c r="LLN5" s="628"/>
      <c r="LLO5" s="628"/>
      <c r="LLP5" s="628"/>
      <c r="LLQ5" s="628"/>
      <c r="LLR5" s="628"/>
      <c r="LLS5" s="628"/>
      <c r="LLT5" s="628"/>
      <c r="LLU5" s="628"/>
      <c r="LLV5" s="628"/>
      <c r="LLW5" s="628"/>
      <c r="LLX5" s="628"/>
      <c r="LLY5" s="628"/>
      <c r="LLZ5" s="628"/>
      <c r="LMA5" s="628"/>
      <c r="LMB5" s="628"/>
      <c r="LMC5" s="628"/>
      <c r="LMD5" s="628"/>
      <c r="LME5" s="628"/>
      <c r="LMF5" s="628"/>
      <c r="LMG5" s="628"/>
      <c r="LMH5" s="628"/>
      <c r="LMI5" s="628"/>
      <c r="LMJ5" s="628"/>
      <c r="LMK5" s="628"/>
      <c r="LML5" s="628"/>
      <c r="LMM5" s="628"/>
      <c r="LMN5" s="628"/>
      <c r="LMO5" s="628"/>
      <c r="LMP5" s="628"/>
      <c r="LMQ5" s="628"/>
      <c r="LMR5" s="628"/>
      <c r="LMS5" s="628"/>
      <c r="LMT5" s="628"/>
      <c r="LMU5" s="628"/>
      <c r="LMV5" s="628"/>
      <c r="LMW5" s="628"/>
      <c r="LMX5" s="628"/>
      <c r="LMY5" s="628"/>
      <c r="LMZ5" s="628"/>
      <c r="LNA5" s="628"/>
      <c r="LNB5" s="628"/>
      <c r="LNC5" s="628"/>
      <c r="LND5" s="628"/>
      <c r="LNE5" s="628"/>
      <c r="LNF5" s="628"/>
      <c r="LNG5" s="628"/>
      <c r="LNH5" s="628"/>
      <c r="LNI5" s="628"/>
      <c r="LNJ5" s="628"/>
      <c r="LNK5" s="628"/>
      <c r="LNL5" s="628"/>
      <c r="LNM5" s="628"/>
      <c r="LNN5" s="628"/>
      <c r="LNO5" s="628"/>
      <c r="LNP5" s="628"/>
      <c r="LNQ5" s="628"/>
      <c r="LNR5" s="628"/>
      <c r="LNS5" s="628"/>
      <c r="LNT5" s="628"/>
      <c r="LNU5" s="628"/>
      <c r="LNV5" s="628"/>
      <c r="LNW5" s="628"/>
      <c r="LNX5" s="628"/>
      <c r="LNY5" s="628"/>
      <c r="LNZ5" s="628"/>
      <c r="LOA5" s="628"/>
      <c r="LOB5" s="628"/>
      <c r="LOC5" s="628"/>
      <c r="LOD5" s="628"/>
      <c r="LOE5" s="628"/>
      <c r="LOF5" s="628"/>
      <c r="LOG5" s="628"/>
      <c r="LOH5" s="628"/>
      <c r="LOI5" s="628"/>
      <c r="LOJ5" s="628"/>
      <c r="LOK5" s="628"/>
      <c r="LOL5" s="628"/>
      <c r="LOM5" s="628"/>
      <c r="LON5" s="628"/>
      <c r="LOO5" s="628"/>
      <c r="LOP5" s="628"/>
      <c r="LOQ5" s="628"/>
      <c r="LOR5" s="628"/>
      <c r="LOS5" s="628"/>
      <c r="LOT5" s="628"/>
      <c r="LOU5" s="628"/>
      <c r="LOV5" s="628"/>
      <c r="LOW5" s="628"/>
      <c r="LOX5" s="628"/>
      <c r="LOY5" s="628"/>
      <c r="LOZ5" s="628"/>
      <c r="LPA5" s="628"/>
      <c r="LPB5" s="628"/>
      <c r="LPC5" s="628"/>
      <c r="LPD5" s="628"/>
      <c r="LPE5" s="628"/>
      <c r="LPF5" s="628"/>
      <c r="LPG5" s="628"/>
      <c r="LPH5" s="628"/>
      <c r="LPI5" s="628"/>
      <c r="LPJ5" s="628"/>
      <c r="LPK5" s="628"/>
      <c r="LPL5" s="628"/>
      <c r="LPM5" s="628"/>
      <c r="LPN5" s="628"/>
      <c r="LPO5" s="628"/>
      <c r="LPP5" s="628"/>
      <c r="LPQ5" s="628"/>
      <c r="LPR5" s="628"/>
      <c r="LPS5" s="628"/>
      <c r="LPT5" s="628"/>
      <c r="LPU5" s="628"/>
      <c r="LPV5" s="628"/>
      <c r="LPW5" s="628"/>
      <c r="LPX5" s="628"/>
      <c r="LPY5" s="628"/>
      <c r="LPZ5" s="628"/>
      <c r="LQA5" s="628"/>
      <c r="LQB5" s="628"/>
      <c r="LQC5" s="628"/>
      <c r="LQD5" s="628"/>
      <c r="LQE5" s="628"/>
      <c r="LQF5" s="628"/>
      <c r="LQG5" s="628"/>
      <c r="LQH5" s="628"/>
      <c r="LQI5" s="628"/>
      <c r="LQJ5" s="628"/>
      <c r="LQK5" s="628"/>
      <c r="LQL5" s="628"/>
      <c r="LQM5" s="628"/>
      <c r="LQN5" s="628"/>
      <c r="LQO5" s="628"/>
      <c r="LQP5" s="628"/>
      <c r="LQQ5" s="628"/>
      <c r="LQR5" s="628"/>
      <c r="LQS5" s="628"/>
      <c r="LQT5" s="628"/>
      <c r="LQU5" s="628"/>
      <c r="LQV5" s="628"/>
      <c r="LQW5" s="628"/>
      <c r="LQX5" s="628"/>
      <c r="LQY5" s="628"/>
      <c r="LQZ5" s="628"/>
      <c r="LRA5" s="628"/>
      <c r="LRB5" s="628"/>
      <c r="LRC5" s="628"/>
      <c r="LRD5" s="628"/>
      <c r="LRE5" s="628"/>
      <c r="LRF5" s="628"/>
      <c r="LRG5" s="628"/>
      <c r="LRH5" s="628"/>
      <c r="LRI5" s="628"/>
      <c r="LRJ5" s="628"/>
      <c r="LRK5" s="628"/>
      <c r="LRL5" s="628"/>
      <c r="LRM5" s="628"/>
      <c r="LRN5" s="628"/>
      <c r="LRO5" s="628"/>
      <c r="LRP5" s="628"/>
      <c r="LRQ5" s="628"/>
      <c r="LRR5" s="628"/>
      <c r="LRS5" s="628"/>
      <c r="LRT5" s="628"/>
      <c r="LRU5" s="628"/>
      <c r="LRV5" s="628"/>
      <c r="LRW5" s="628"/>
      <c r="LRX5" s="628"/>
      <c r="LRY5" s="628"/>
      <c r="LRZ5" s="628"/>
      <c r="LSA5" s="628"/>
      <c r="LSB5" s="628"/>
      <c r="LSC5" s="628"/>
      <c r="LSD5" s="628"/>
      <c r="LSE5" s="628"/>
      <c r="LSF5" s="628"/>
      <c r="LSG5" s="628"/>
      <c r="LSH5" s="628"/>
      <c r="LSI5" s="628"/>
      <c r="LSJ5" s="628"/>
      <c r="LSK5" s="628"/>
      <c r="LSL5" s="628"/>
      <c r="LSM5" s="628"/>
      <c r="LSN5" s="628"/>
      <c r="LSO5" s="628"/>
      <c r="LSP5" s="628"/>
      <c r="LSQ5" s="628"/>
      <c r="LSR5" s="628"/>
      <c r="LSS5" s="628"/>
      <c r="LST5" s="628"/>
      <c r="LSU5" s="628"/>
      <c r="LSV5" s="628"/>
      <c r="LSW5" s="628"/>
      <c r="LSX5" s="628"/>
      <c r="LSY5" s="628"/>
      <c r="LSZ5" s="628"/>
      <c r="LTA5" s="628"/>
      <c r="LTB5" s="628"/>
      <c r="LTC5" s="628"/>
      <c r="LTD5" s="628"/>
      <c r="LTE5" s="628"/>
      <c r="LTF5" s="628"/>
      <c r="LTG5" s="628"/>
      <c r="LTH5" s="628"/>
      <c r="LTI5" s="628"/>
      <c r="LTJ5" s="628"/>
      <c r="LTK5" s="628"/>
      <c r="LTL5" s="628"/>
      <c r="LTM5" s="628"/>
      <c r="LTN5" s="628"/>
      <c r="LTO5" s="628"/>
      <c r="LTP5" s="628"/>
      <c r="LTQ5" s="628"/>
      <c r="LTR5" s="628"/>
      <c r="LTS5" s="628"/>
      <c r="LTT5" s="628"/>
      <c r="LTU5" s="628"/>
      <c r="LTV5" s="628"/>
      <c r="LTW5" s="628"/>
      <c r="LTX5" s="628"/>
      <c r="LTY5" s="628"/>
      <c r="LTZ5" s="628"/>
      <c r="LUA5" s="628"/>
      <c r="LUB5" s="628"/>
      <c r="LUC5" s="628"/>
      <c r="LUD5" s="628"/>
      <c r="LUE5" s="628"/>
      <c r="LUF5" s="628"/>
      <c r="LUG5" s="628"/>
      <c r="LUH5" s="628"/>
      <c r="LUI5" s="628"/>
      <c r="LUJ5" s="628"/>
      <c r="LUK5" s="628"/>
      <c r="LUL5" s="628"/>
      <c r="LUM5" s="628"/>
      <c r="LUN5" s="628"/>
      <c r="LUO5" s="628"/>
      <c r="LUP5" s="628"/>
      <c r="LUQ5" s="628"/>
      <c r="LUR5" s="628"/>
      <c r="LUS5" s="628"/>
      <c r="LUT5" s="628"/>
      <c r="LUU5" s="628"/>
      <c r="LUV5" s="628"/>
      <c r="LUW5" s="628"/>
      <c r="LUX5" s="628"/>
      <c r="LUY5" s="628"/>
      <c r="LUZ5" s="628"/>
      <c r="LVA5" s="628"/>
      <c r="LVB5" s="628"/>
      <c r="LVC5" s="628"/>
      <c r="LVD5" s="628"/>
      <c r="LVE5" s="628"/>
      <c r="LVF5" s="628"/>
      <c r="LVG5" s="628"/>
      <c r="LVH5" s="628"/>
      <c r="LVI5" s="628"/>
      <c r="LVJ5" s="628"/>
      <c r="LVK5" s="628"/>
      <c r="LVL5" s="628"/>
      <c r="LVM5" s="628"/>
      <c r="LVN5" s="628"/>
      <c r="LVO5" s="628"/>
      <c r="LVP5" s="628"/>
      <c r="LVQ5" s="628"/>
      <c r="LVR5" s="628"/>
      <c r="LVS5" s="628"/>
      <c r="LVT5" s="628"/>
      <c r="LVU5" s="628"/>
      <c r="LVV5" s="628"/>
      <c r="LVW5" s="628"/>
      <c r="LVX5" s="628"/>
      <c r="LVY5" s="628"/>
      <c r="LVZ5" s="628"/>
      <c r="LWA5" s="628"/>
      <c r="LWB5" s="628"/>
      <c r="LWC5" s="628"/>
      <c r="LWD5" s="628"/>
      <c r="LWE5" s="628"/>
      <c r="LWF5" s="628"/>
      <c r="LWG5" s="628"/>
      <c r="LWH5" s="628"/>
      <c r="LWI5" s="628"/>
      <c r="LWJ5" s="628"/>
      <c r="LWK5" s="628"/>
      <c r="LWL5" s="628"/>
      <c r="LWM5" s="628"/>
      <c r="LWN5" s="628"/>
      <c r="LWO5" s="628"/>
      <c r="LWP5" s="628"/>
      <c r="LWQ5" s="628"/>
      <c r="LWR5" s="628"/>
      <c r="LWS5" s="628"/>
      <c r="LWT5" s="628"/>
      <c r="LWU5" s="628"/>
      <c r="LWV5" s="628"/>
      <c r="LWW5" s="628"/>
      <c r="LWX5" s="628"/>
      <c r="LWY5" s="628"/>
      <c r="LWZ5" s="628"/>
      <c r="LXA5" s="628"/>
      <c r="LXB5" s="628"/>
      <c r="LXC5" s="628"/>
      <c r="LXD5" s="628"/>
      <c r="LXE5" s="628"/>
      <c r="LXF5" s="628"/>
      <c r="LXG5" s="628"/>
      <c r="LXH5" s="628"/>
      <c r="LXI5" s="628"/>
      <c r="LXJ5" s="628"/>
      <c r="LXK5" s="628"/>
      <c r="LXL5" s="628"/>
      <c r="LXM5" s="628"/>
      <c r="LXN5" s="628"/>
      <c r="LXO5" s="628"/>
      <c r="LXP5" s="628"/>
      <c r="LXQ5" s="628"/>
      <c r="LXR5" s="628"/>
      <c r="LXS5" s="628"/>
      <c r="LXT5" s="628"/>
      <c r="LXU5" s="628"/>
      <c r="LXV5" s="628"/>
      <c r="LXW5" s="628"/>
      <c r="LXX5" s="628"/>
      <c r="LXY5" s="628"/>
      <c r="LXZ5" s="628"/>
      <c r="LYA5" s="628"/>
      <c r="LYB5" s="628"/>
      <c r="LYC5" s="628"/>
      <c r="LYD5" s="628"/>
      <c r="LYE5" s="628"/>
      <c r="LYF5" s="628"/>
      <c r="LYG5" s="628"/>
      <c r="LYH5" s="628"/>
      <c r="LYI5" s="628"/>
      <c r="LYJ5" s="628"/>
      <c r="LYK5" s="628"/>
      <c r="LYL5" s="628"/>
      <c r="LYM5" s="628"/>
      <c r="LYN5" s="628"/>
      <c r="LYO5" s="628"/>
      <c r="LYP5" s="628"/>
      <c r="LYQ5" s="628"/>
      <c r="LYR5" s="628"/>
      <c r="LYS5" s="628"/>
      <c r="LYT5" s="628"/>
      <c r="LYU5" s="628"/>
      <c r="LYV5" s="628"/>
      <c r="LYW5" s="628"/>
      <c r="LYX5" s="628"/>
      <c r="LYY5" s="628"/>
      <c r="LYZ5" s="628"/>
      <c r="LZA5" s="628"/>
      <c r="LZB5" s="628"/>
      <c r="LZC5" s="628"/>
      <c r="LZD5" s="628"/>
      <c r="LZE5" s="628"/>
      <c r="LZF5" s="628"/>
      <c r="LZG5" s="628"/>
      <c r="LZH5" s="628"/>
      <c r="LZI5" s="628"/>
      <c r="LZJ5" s="628"/>
      <c r="LZK5" s="628"/>
      <c r="LZL5" s="628"/>
      <c r="LZM5" s="628"/>
      <c r="LZN5" s="628"/>
      <c r="LZO5" s="628"/>
      <c r="LZP5" s="628"/>
      <c r="LZQ5" s="628"/>
      <c r="LZR5" s="628"/>
      <c r="LZS5" s="628"/>
      <c r="LZT5" s="628"/>
      <c r="LZU5" s="628"/>
      <c r="LZV5" s="628"/>
      <c r="LZW5" s="628"/>
      <c r="LZX5" s="628"/>
      <c r="LZY5" s="628"/>
      <c r="LZZ5" s="628"/>
      <c r="MAA5" s="628"/>
      <c r="MAB5" s="628"/>
      <c r="MAC5" s="628"/>
      <c r="MAD5" s="628"/>
      <c r="MAE5" s="628"/>
      <c r="MAF5" s="628"/>
      <c r="MAG5" s="628"/>
      <c r="MAH5" s="628"/>
      <c r="MAI5" s="628"/>
      <c r="MAJ5" s="628"/>
      <c r="MAK5" s="628"/>
      <c r="MAL5" s="628"/>
      <c r="MAM5" s="628"/>
      <c r="MAN5" s="628"/>
      <c r="MAO5" s="628"/>
      <c r="MAP5" s="628"/>
      <c r="MAQ5" s="628"/>
      <c r="MAR5" s="628"/>
      <c r="MAS5" s="628"/>
      <c r="MAT5" s="628"/>
      <c r="MAU5" s="628"/>
      <c r="MAV5" s="628"/>
      <c r="MAW5" s="628"/>
      <c r="MAX5" s="628"/>
      <c r="MAY5" s="628"/>
      <c r="MAZ5" s="628"/>
      <c r="MBA5" s="628"/>
      <c r="MBB5" s="628"/>
      <c r="MBC5" s="628"/>
      <c r="MBD5" s="628"/>
      <c r="MBE5" s="628"/>
      <c r="MBF5" s="628"/>
      <c r="MBG5" s="628"/>
      <c r="MBH5" s="628"/>
      <c r="MBI5" s="628"/>
      <c r="MBJ5" s="628"/>
      <c r="MBK5" s="628"/>
      <c r="MBL5" s="628"/>
      <c r="MBM5" s="628"/>
      <c r="MBN5" s="628"/>
      <c r="MBO5" s="628"/>
      <c r="MBP5" s="628"/>
      <c r="MBQ5" s="628"/>
      <c r="MBR5" s="628"/>
      <c r="MBS5" s="628"/>
      <c r="MBT5" s="628"/>
      <c r="MBU5" s="628"/>
      <c r="MBV5" s="628"/>
      <c r="MBW5" s="628"/>
      <c r="MBX5" s="628"/>
      <c r="MBY5" s="628"/>
      <c r="MBZ5" s="628"/>
      <c r="MCA5" s="628"/>
      <c r="MCB5" s="628"/>
      <c r="MCC5" s="628"/>
      <c r="MCD5" s="628"/>
      <c r="MCE5" s="628"/>
      <c r="MCF5" s="628"/>
      <c r="MCG5" s="628"/>
      <c r="MCH5" s="628"/>
      <c r="MCI5" s="628"/>
      <c r="MCJ5" s="628"/>
      <c r="MCK5" s="628"/>
      <c r="MCL5" s="628"/>
      <c r="MCM5" s="628"/>
      <c r="MCN5" s="628"/>
      <c r="MCO5" s="628"/>
      <c r="MCP5" s="628"/>
      <c r="MCQ5" s="628"/>
      <c r="MCR5" s="628"/>
      <c r="MCS5" s="628"/>
      <c r="MCT5" s="628"/>
      <c r="MCU5" s="628"/>
      <c r="MCV5" s="628"/>
      <c r="MCW5" s="628"/>
      <c r="MCX5" s="628"/>
      <c r="MCY5" s="628"/>
      <c r="MCZ5" s="628"/>
      <c r="MDA5" s="628"/>
      <c r="MDB5" s="628"/>
      <c r="MDC5" s="628"/>
      <c r="MDD5" s="628"/>
      <c r="MDE5" s="628"/>
      <c r="MDF5" s="628"/>
      <c r="MDG5" s="628"/>
      <c r="MDH5" s="628"/>
      <c r="MDI5" s="628"/>
      <c r="MDJ5" s="628"/>
      <c r="MDK5" s="628"/>
      <c r="MDL5" s="628"/>
      <c r="MDM5" s="628"/>
      <c r="MDN5" s="628"/>
      <c r="MDO5" s="628"/>
      <c r="MDP5" s="628"/>
      <c r="MDQ5" s="628"/>
      <c r="MDR5" s="628"/>
      <c r="MDS5" s="628"/>
      <c r="MDT5" s="628"/>
      <c r="MDU5" s="628"/>
      <c r="MDV5" s="628"/>
      <c r="MDW5" s="628"/>
      <c r="MDX5" s="628"/>
      <c r="MDY5" s="628"/>
      <c r="MDZ5" s="628"/>
      <c r="MEA5" s="628"/>
      <c r="MEB5" s="628"/>
      <c r="MEC5" s="628"/>
      <c r="MED5" s="628"/>
      <c r="MEE5" s="628"/>
      <c r="MEF5" s="628"/>
      <c r="MEG5" s="628"/>
      <c r="MEH5" s="628"/>
      <c r="MEI5" s="628"/>
      <c r="MEJ5" s="628"/>
      <c r="MEK5" s="628"/>
      <c r="MEL5" s="628"/>
      <c r="MEM5" s="628"/>
      <c r="MEN5" s="628"/>
      <c r="MEO5" s="628"/>
      <c r="MEP5" s="628"/>
      <c r="MEQ5" s="628"/>
      <c r="MER5" s="628"/>
      <c r="MES5" s="628"/>
      <c r="MET5" s="628"/>
      <c r="MEU5" s="628"/>
      <c r="MEV5" s="628"/>
      <c r="MEW5" s="628"/>
      <c r="MEX5" s="628"/>
      <c r="MEY5" s="628"/>
      <c r="MEZ5" s="628"/>
      <c r="MFA5" s="628"/>
      <c r="MFB5" s="628"/>
      <c r="MFC5" s="628"/>
      <c r="MFD5" s="628"/>
      <c r="MFE5" s="628"/>
      <c r="MFF5" s="628"/>
      <c r="MFG5" s="628"/>
      <c r="MFH5" s="628"/>
      <c r="MFI5" s="628"/>
      <c r="MFJ5" s="628"/>
      <c r="MFK5" s="628"/>
      <c r="MFL5" s="628"/>
      <c r="MFM5" s="628"/>
      <c r="MFN5" s="628"/>
      <c r="MFO5" s="628"/>
      <c r="MFP5" s="628"/>
      <c r="MFQ5" s="628"/>
      <c r="MFR5" s="628"/>
      <c r="MFS5" s="628"/>
      <c r="MFT5" s="628"/>
      <c r="MFU5" s="628"/>
      <c r="MFV5" s="628"/>
      <c r="MFW5" s="628"/>
      <c r="MFX5" s="628"/>
      <c r="MFY5" s="628"/>
      <c r="MFZ5" s="628"/>
      <c r="MGA5" s="628"/>
      <c r="MGB5" s="628"/>
      <c r="MGC5" s="628"/>
      <c r="MGD5" s="628"/>
      <c r="MGE5" s="628"/>
      <c r="MGF5" s="628"/>
      <c r="MGG5" s="628"/>
      <c r="MGH5" s="628"/>
      <c r="MGI5" s="628"/>
      <c r="MGJ5" s="628"/>
      <c r="MGK5" s="628"/>
      <c r="MGL5" s="628"/>
      <c r="MGM5" s="628"/>
      <c r="MGN5" s="628"/>
      <c r="MGO5" s="628"/>
      <c r="MGP5" s="628"/>
      <c r="MGQ5" s="628"/>
      <c r="MGR5" s="628"/>
      <c r="MGS5" s="628"/>
      <c r="MGT5" s="628"/>
      <c r="MGU5" s="628"/>
      <c r="MGV5" s="628"/>
      <c r="MGW5" s="628"/>
      <c r="MGX5" s="628"/>
      <c r="MGY5" s="628"/>
      <c r="MGZ5" s="628"/>
      <c r="MHA5" s="628"/>
      <c r="MHB5" s="628"/>
      <c r="MHC5" s="628"/>
      <c r="MHD5" s="628"/>
      <c r="MHE5" s="628"/>
      <c r="MHF5" s="628"/>
      <c r="MHG5" s="628"/>
      <c r="MHH5" s="628"/>
      <c r="MHI5" s="628"/>
      <c r="MHJ5" s="628"/>
      <c r="MHK5" s="628"/>
      <c r="MHL5" s="628"/>
      <c r="MHM5" s="628"/>
      <c r="MHN5" s="628"/>
      <c r="MHO5" s="628"/>
      <c r="MHP5" s="628"/>
      <c r="MHQ5" s="628"/>
      <c r="MHR5" s="628"/>
      <c r="MHS5" s="628"/>
      <c r="MHT5" s="628"/>
      <c r="MHU5" s="628"/>
      <c r="MHV5" s="628"/>
      <c r="MHW5" s="628"/>
      <c r="MHX5" s="628"/>
      <c r="MHY5" s="628"/>
      <c r="MHZ5" s="628"/>
      <c r="MIA5" s="628"/>
      <c r="MIB5" s="628"/>
      <c r="MIC5" s="628"/>
      <c r="MID5" s="628"/>
      <c r="MIE5" s="628"/>
      <c r="MIF5" s="628"/>
      <c r="MIG5" s="628"/>
      <c r="MIH5" s="628"/>
      <c r="MII5" s="628"/>
      <c r="MIJ5" s="628"/>
      <c r="MIK5" s="628"/>
      <c r="MIL5" s="628"/>
      <c r="MIM5" s="628"/>
      <c r="MIN5" s="628"/>
      <c r="MIO5" s="628"/>
      <c r="MIP5" s="628"/>
      <c r="MIQ5" s="628"/>
      <c r="MIR5" s="628"/>
      <c r="MIS5" s="628"/>
      <c r="MIT5" s="628"/>
      <c r="MIU5" s="628"/>
      <c r="MIV5" s="628"/>
      <c r="MIW5" s="628"/>
      <c r="MIX5" s="628"/>
      <c r="MIY5" s="628"/>
      <c r="MIZ5" s="628"/>
      <c r="MJA5" s="628"/>
      <c r="MJB5" s="628"/>
      <c r="MJC5" s="628"/>
      <c r="MJD5" s="628"/>
      <c r="MJE5" s="628"/>
      <c r="MJF5" s="628"/>
      <c r="MJG5" s="628"/>
      <c r="MJH5" s="628"/>
      <c r="MJI5" s="628"/>
      <c r="MJJ5" s="628"/>
      <c r="MJK5" s="628"/>
      <c r="MJL5" s="628"/>
      <c r="MJM5" s="628"/>
      <c r="MJN5" s="628"/>
      <c r="MJO5" s="628"/>
      <c r="MJP5" s="628"/>
      <c r="MJQ5" s="628"/>
      <c r="MJR5" s="628"/>
      <c r="MJS5" s="628"/>
      <c r="MJT5" s="628"/>
      <c r="MJU5" s="628"/>
      <c r="MJV5" s="628"/>
      <c r="MJW5" s="628"/>
      <c r="MJX5" s="628"/>
      <c r="MJY5" s="628"/>
      <c r="MJZ5" s="628"/>
      <c r="MKA5" s="628"/>
      <c r="MKB5" s="628"/>
      <c r="MKC5" s="628"/>
      <c r="MKD5" s="628"/>
      <c r="MKE5" s="628"/>
      <c r="MKF5" s="628"/>
      <c r="MKG5" s="628"/>
      <c r="MKH5" s="628"/>
      <c r="MKI5" s="628"/>
      <c r="MKJ5" s="628"/>
      <c r="MKK5" s="628"/>
      <c r="MKL5" s="628"/>
      <c r="MKM5" s="628"/>
      <c r="MKN5" s="628"/>
      <c r="MKO5" s="628"/>
      <c r="MKP5" s="628"/>
      <c r="MKQ5" s="628"/>
      <c r="MKR5" s="628"/>
      <c r="MKS5" s="628"/>
      <c r="MKT5" s="628"/>
      <c r="MKU5" s="628"/>
      <c r="MKV5" s="628"/>
      <c r="MKW5" s="628"/>
      <c r="MKX5" s="628"/>
      <c r="MKY5" s="628"/>
      <c r="MKZ5" s="628"/>
      <c r="MLA5" s="628"/>
      <c r="MLB5" s="628"/>
      <c r="MLC5" s="628"/>
      <c r="MLD5" s="628"/>
      <c r="MLE5" s="628"/>
      <c r="MLF5" s="628"/>
      <c r="MLG5" s="628"/>
      <c r="MLH5" s="628"/>
      <c r="MLI5" s="628"/>
      <c r="MLJ5" s="628"/>
      <c r="MLK5" s="628"/>
      <c r="MLL5" s="628"/>
      <c r="MLM5" s="628"/>
      <c r="MLN5" s="628"/>
      <c r="MLO5" s="628"/>
      <c r="MLP5" s="628"/>
      <c r="MLQ5" s="628"/>
      <c r="MLR5" s="628"/>
      <c r="MLS5" s="628"/>
      <c r="MLT5" s="628"/>
      <c r="MLU5" s="628"/>
      <c r="MLV5" s="628"/>
      <c r="MLW5" s="628"/>
      <c r="MLX5" s="628"/>
      <c r="MLY5" s="628"/>
      <c r="MLZ5" s="628"/>
      <c r="MMA5" s="628"/>
      <c r="MMB5" s="628"/>
      <c r="MMC5" s="628"/>
      <c r="MMD5" s="628"/>
      <c r="MME5" s="628"/>
      <c r="MMF5" s="628"/>
      <c r="MMG5" s="628"/>
      <c r="MMH5" s="628"/>
      <c r="MMI5" s="628"/>
      <c r="MMJ5" s="628"/>
      <c r="MMK5" s="628"/>
      <c r="MML5" s="628"/>
      <c r="MMM5" s="628"/>
      <c r="MMN5" s="628"/>
      <c r="MMO5" s="628"/>
      <c r="MMP5" s="628"/>
      <c r="MMQ5" s="628"/>
      <c r="MMR5" s="628"/>
      <c r="MMS5" s="628"/>
      <c r="MMT5" s="628"/>
      <c r="MMU5" s="628"/>
      <c r="MMV5" s="628"/>
      <c r="MMW5" s="628"/>
      <c r="MMX5" s="628"/>
      <c r="MMY5" s="628"/>
      <c r="MMZ5" s="628"/>
      <c r="MNA5" s="628"/>
      <c r="MNB5" s="628"/>
      <c r="MNC5" s="628"/>
      <c r="MND5" s="628"/>
      <c r="MNE5" s="628"/>
      <c r="MNF5" s="628"/>
      <c r="MNG5" s="628"/>
      <c r="MNH5" s="628"/>
      <c r="MNI5" s="628"/>
      <c r="MNJ5" s="628"/>
      <c r="MNK5" s="628"/>
      <c r="MNL5" s="628"/>
      <c r="MNM5" s="628"/>
      <c r="MNN5" s="628"/>
      <c r="MNO5" s="628"/>
      <c r="MNP5" s="628"/>
      <c r="MNQ5" s="628"/>
      <c r="MNR5" s="628"/>
      <c r="MNS5" s="628"/>
      <c r="MNT5" s="628"/>
      <c r="MNU5" s="628"/>
      <c r="MNV5" s="628"/>
      <c r="MNW5" s="628"/>
      <c r="MNX5" s="628"/>
      <c r="MNY5" s="628"/>
      <c r="MNZ5" s="628"/>
      <c r="MOA5" s="628"/>
      <c r="MOB5" s="628"/>
      <c r="MOC5" s="628"/>
      <c r="MOD5" s="628"/>
      <c r="MOE5" s="628"/>
      <c r="MOF5" s="628"/>
      <c r="MOG5" s="628"/>
      <c r="MOH5" s="628"/>
      <c r="MOI5" s="628"/>
      <c r="MOJ5" s="628"/>
      <c r="MOK5" s="628"/>
      <c r="MOL5" s="628"/>
      <c r="MOM5" s="628"/>
      <c r="MON5" s="628"/>
      <c r="MOO5" s="628"/>
      <c r="MOP5" s="628"/>
      <c r="MOQ5" s="628"/>
      <c r="MOR5" s="628"/>
      <c r="MOS5" s="628"/>
      <c r="MOT5" s="628"/>
      <c r="MOU5" s="628"/>
      <c r="MOV5" s="628"/>
      <c r="MOW5" s="628"/>
      <c r="MOX5" s="628"/>
      <c r="MOY5" s="628"/>
      <c r="MOZ5" s="628"/>
      <c r="MPA5" s="628"/>
      <c r="MPB5" s="628"/>
      <c r="MPC5" s="628"/>
      <c r="MPD5" s="628"/>
      <c r="MPE5" s="628"/>
      <c r="MPF5" s="628"/>
      <c r="MPG5" s="628"/>
      <c r="MPH5" s="628"/>
      <c r="MPI5" s="628"/>
      <c r="MPJ5" s="628"/>
      <c r="MPK5" s="628"/>
      <c r="MPL5" s="628"/>
      <c r="MPM5" s="628"/>
      <c r="MPN5" s="628"/>
      <c r="MPO5" s="628"/>
      <c r="MPP5" s="628"/>
      <c r="MPQ5" s="628"/>
      <c r="MPR5" s="628"/>
      <c r="MPS5" s="628"/>
      <c r="MPT5" s="628"/>
      <c r="MPU5" s="628"/>
      <c r="MPV5" s="628"/>
      <c r="MPW5" s="628"/>
      <c r="MPX5" s="628"/>
      <c r="MPY5" s="628"/>
      <c r="MPZ5" s="628"/>
      <c r="MQA5" s="628"/>
      <c r="MQB5" s="628"/>
      <c r="MQC5" s="628"/>
      <c r="MQD5" s="628"/>
      <c r="MQE5" s="628"/>
      <c r="MQF5" s="628"/>
      <c r="MQG5" s="628"/>
      <c r="MQH5" s="628"/>
      <c r="MQI5" s="628"/>
      <c r="MQJ5" s="628"/>
      <c r="MQK5" s="628"/>
      <c r="MQL5" s="628"/>
      <c r="MQM5" s="628"/>
      <c r="MQN5" s="628"/>
      <c r="MQO5" s="628"/>
      <c r="MQP5" s="628"/>
      <c r="MQQ5" s="628"/>
      <c r="MQR5" s="628"/>
      <c r="MQS5" s="628"/>
      <c r="MQT5" s="628"/>
      <c r="MQU5" s="628"/>
      <c r="MQV5" s="628"/>
      <c r="MQW5" s="628"/>
      <c r="MQX5" s="628"/>
      <c r="MQY5" s="628"/>
      <c r="MQZ5" s="628"/>
      <c r="MRA5" s="628"/>
      <c r="MRB5" s="628"/>
      <c r="MRC5" s="628"/>
      <c r="MRD5" s="628"/>
      <c r="MRE5" s="628"/>
      <c r="MRF5" s="628"/>
      <c r="MRG5" s="628"/>
      <c r="MRH5" s="628"/>
      <c r="MRI5" s="628"/>
      <c r="MRJ5" s="628"/>
      <c r="MRK5" s="628"/>
      <c r="MRL5" s="628"/>
      <c r="MRM5" s="628"/>
      <c r="MRN5" s="628"/>
      <c r="MRO5" s="628"/>
      <c r="MRP5" s="628"/>
      <c r="MRQ5" s="628"/>
      <c r="MRR5" s="628"/>
      <c r="MRS5" s="628"/>
      <c r="MRT5" s="628"/>
      <c r="MRU5" s="628"/>
      <c r="MRV5" s="628"/>
      <c r="MRW5" s="628"/>
      <c r="MRX5" s="628"/>
      <c r="MRY5" s="628"/>
      <c r="MRZ5" s="628"/>
      <c r="MSA5" s="628"/>
      <c r="MSB5" s="628"/>
      <c r="MSC5" s="628"/>
      <c r="MSD5" s="628"/>
      <c r="MSE5" s="628"/>
      <c r="MSF5" s="628"/>
      <c r="MSG5" s="628"/>
      <c r="MSH5" s="628"/>
      <c r="MSI5" s="628"/>
      <c r="MSJ5" s="628"/>
      <c r="MSK5" s="628"/>
      <c r="MSL5" s="628"/>
      <c r="MSM5" s="628"/>
      <c r="MSN5" s="628"/>
      <c r="MSO5" s="628"/>
      <c r="MSP5" s="628"/>
      <c r="MSQ5" s="628"/>
      <c r="MSR5" s="628"/>
      <c r="MSS5" s="628"/>
      <c r="MST5" s="628"/>
      <c r="MSU5" s="628"/>
      <c r="MSV5" s="628"/>
      <c r="MSW5" s="628"/>
      <c r="MSX5" s="628"/>
      <c r="MSY5" s="628"/>
      <c r="MSZ5" s="628"/>
      <c r="MTA5" s="628"/>
      <c r="MTB5" s="628"/>
      <c r="MTC5" s="628"/>
      <c r="MTD5" s="628"/>
      <c r="MTE5" s="628"/>
      <c r="MTF5" s="628"/>
      <c r="MTG5" s="628"/>
      <c r="MTH5" s="628"/>
      <c r="MTI5" s="628"/>
      <c r="MTJ5" s="628"/>
      <c r="MTK5" s="628"/>
      <c r="MTL5" s="628"/>
      <c r="MTM5" s="628"/>
      <c r="MTN5" s="628"/>
      <c r="MTO5" s="628"/>
      <c r="MTP5" s="628"/>
      <c r="MTQ5" s="628"/>
      <c r="MTR5" s="628"/>
      <c r="MTS5" s="628"/>
      <c r="MTT5" s="628"/>
      <c r="MTU5" s="628"/>
      <c r="MTV5" s="628"/>
      <c r="MTW5" s="628"/>
      <c r="MTX5" s="628"/>
      <c r="MTY5" s="628"/>
      <c r="MTZ5" s="628"/>
      <c r="MUA5" s="628"/>
      <c r="MUB5" s="628"/>
      <c r="MUC5" s="628"/>
      <c r="MUD5" s="628"/>
      <c r="MUE5" s="628"/>
      <c r="MUF5" s="628"/>
      <c r="MUG5" s="628"/>
      <c r="MUH5" s="628"/>
      <c r="MUI5" s="628"/>
      <c r="MUJ5" s="628"/>
      <c r="MUK5" s="628"/>
      <c r="MUL5" s="628"/>
      <c r="MUM5" s="628"/>
      <c r="MUN5" s="628"/>
      <c r="MUO5" s="628"/>
      <c r="MUP5" s="628"/>
      <c r="MUQ5" s="628"/>
      <c r="MUR5" s="628"/>
      <c r="MUS5" s="628"/>
      <c r="MUT5" s="628"/>
      <c r="MUU5" s="628"/>
      <c r="MUV5" s="628"/>
      <c r="MUW5" s="628"/>
      <c r="MUX5" s="628"/>
      <c r="MUY5" s="628"/>
      <c r="MUZ5" s="628"/>
      <c r="MVA5" s="628"/>
      <c r="MVB5" s="628"/>
      <c r="MVC5" s="628"/>
      <c r="MVD5" s="628"/>
      <c r="MVE5" s="628"/>
      <c r="MVF5" s="628"/>
      <c r="MVG5" s="628"/>
      <c r="MVH5" s="628"/>
      <c r="MVI5" s="628"/>
      <c r="MVJ5" s="628"/>
      <c r="MVK5" s="628"/>
      <c r="MVL5" s="628"/>
      <c r="MVM5" s="628"/>
      <c r="MVN5" s="628"/>
      <c r="MVO5" s="628"/>
      <c r="MVP5" s="628"/>
      <c r="MVQ5" s="628"/>
      <c r="MVR5" s="628"/>
      <c r="MVS5" s="628"/>
      <c r="MVT5" s="628"/>
      <c r="MVU5" s="628"/>
      <c r="MVV5" s="628"/>
      <c r="MVW5" s="628"/>
      <c r="MVX5" s="628"/>
      <c r="MVY5" s="628"/>
      <c r="MVZ5" s="628"/>
      <c r="MWA5" s="628"/>
      <c r="MWB5" s="628"/>
      <c r="MWC5" s="628"/>
      <c r="MWD5" s="628"/>
      <c r="MWE5" s="628"/>
      <c r="MWF5" s="628"/>
      <c r="MWG5" s="628"/>
      <c r="MWH5" s="628"/>
      <c r="MWI5" s="628"/>
      <c r="MWJ5" s="628"/>
      <c r="MWK5" s="628"/>
      <c r="MWL5" s="628"/>
      <c r="MWM5" s="628"/>
      <c r="MWN5" s="628"/>
      <c r="MWO5" s="628"/>
      <c r="MWP5" s="628"/>
      <c r="MWQ5" s="628"/>
      <c r="MWR5" s="628"/>
      <c r="MWS5" s="628"/>
      <c r="MWT5" s="628"/>
      <c r="MWU5" s="628"/>
      <c r="MWV5" s="628"/>
      <c r="MWW5" s="628"/>
      <c r="MWX5" s="628"/>
      <c r="MWY5" s="628"/>
      <c r="MWZ5" s="628"/>
      <c r="MXA5" s="628"/>
      <c r="MXB5" s="628"/>
      <c r="MXC5" s="628"/>
      <c r="MXD5" s="628"/>
      <c r="MXE5" s="628"/>
      <c r="MXF5" s="628"/>
      <c r="MXG5" s="628"/>
      <c r="MXH5" s="628"/>
      <c r="MXI5" s="628"/>
      <c r="MXJ5" s="628"/>
      <c r="MXK5" s="628"/>
      <c r="MXL5" s="628"/>
      <c r="MXM5" s="628"/>
      <c r="MXN5" s="628"/>
      <c r="MXO5" s="628"/>
      <c r="MXP5" s="628"/>
      <c r="MXQ5" s="628"/>
      <c r="MXR5" s="628"/>
      <c r="MXS5" s="628"/>
      <c r="MXT5" s="628"/>
      <c r="MXU5" s="628"/>
      <c r="MXV5" s="628"/>
      <c r="MXW5" s="628"/>
      <c r="MXX5" s="628"/>
      <c r="MXY5" s="628"/>
      <c r="MXZ5" s="628"/>
      <c r="MYA5" s="628"/>
      <c r="MYB5" s="628"/>
      <c r="MYC5" s="628"/>
      <c r="MYD5" s="628"/>
      <c r="MYE5" s="628"/>
      <c r="MYF5" s="628"/>
      <c r="MYG5" s="628"/>
      <c r="MYH5" s="628"/>
      <c r="MYI5" s="628"/>
      <c r="MYJ5" s="628"/>
      <c r="MYK5" s="628"/>
      <c r="MYL5" s="628"/>
      <c r="MYM5" s="628"/>
      <c r="MYN5" s="628"/>
      <c r="MYO5" s="628"/>
      <c r="MYP5" s="628"/>
      <c r="MYQ5" s="628"/>
      <c r="MYR5" s="628"/>
      <c r="MYS5" s="628"/>
      <c r="MYT5" s="628"/>
      <c r="MYU5" s="628"/>
      <c r="MYV5" s="628"/>
      <c r="MYW5" s="628"/>
      <c r="MYX5" s="628"/>
      <c r="MYY5" s="628"/>
      <c r="MYZ5" s="628"/>
      <c r="MZA5" s="628"/>
      <c r="MZB5" s="628"/>
      <c r="MZC5" s="628"/>
      <c r="MZD5" s="628"/>
      <c r="MZE5" s="628"/>
      <c r="MZF5" s="628"/>
      <c r="MZG5" s="628"/>
      <c r="MZH5" s="628"/>
      <c r="MZI5" s="628"/>
      <c r="MZJ5" s="628"/>
      <c r="MZK5" s="628"/>
      <c r="MZL5" s="628"/>
      <c r="MZM5" s="628"/>
      <c r="MZN5" s="628"/>
      <c r="MZO5" s="628"/>
      <c r="MZP5" s="628"/>
      <c r="MZQ5" s="628"/>
      <c r="MZR5" s="628"/>
      <c r="MZS5" s="628"/>
      <c r="MZT5" s="628"/>
      <c r="MZU5" s="628"/>
      <c r="MZV5" s="628"/>
      <c r="MZW5" s="628"/>
      <c r="MZX5" s="628"/>
      <c r="MZY5" s="628"/>
      <c r="MZZ5" s="628"/>
      <c r="NAA5" s="628"/>
      <c r="NAB5" s="628"/>
      <c r="NAC5" s="628"/>
      <c r="NAD5" s="628"/>
      <c r="NAE5" s="628"/>
      <c r="NAF5" s="628"/>
      <c r="NAG5" s="628"/>
      <c r="NAH5" s="628"/>
      <c r="NAI5" s="628"/>
      <c r="NAJ5" s="628"/>
      <c r="NAK5" s="628"/>
      <c r="NAL5" s="628"/>
      <c r="NAM5" s="628"/>
      <c r="NAN5" s="628"/>
      <c r="NAO5" s="628"/>
      <c r="NAP5" s="628"/>
      <c r="NAQ5" s="628"/>
      <c r="NAR5" s="628"/>
      <c r="NAS5" s="628"/>
      <c r="NAT5" s="628"/>
      <c r="NAU5" s="628"/>
      <c r="NAV5" s="628"/>
      <c r="NAW5" s="628"/>
      <c r="NAX5" s="628"/>
      <c r="NAY5" s="628"/>
      <c r="NAZ5" s="628"/>
      <c r="NBA5" s="628"/>
      <c r="NBB5" s="628"/>
      <c r="NBC5" s="628"/>
      <c r="NBD5" s="628"/>
      <c r="NBE5" s="628"/>
      <c r="NBF5" s="628"/>
      <c r="NBG5" s="628"/>
      <c r="NBH5" s="628"/>
      <c r="NBI5" s="628"/>
      <c r="NBJ5" s="628"/>
      <c r="NBK5" s="628"/>
      <c r="NBL5" s="628"/>
      <c r="NBM5" s="628"/>
      <c r="NBN5" s="628"/>
      <c r="NBO5" s="628"/>
      <c r="NBP5" s="628"/>
      <c r="NBQ5" s="628"/>
      <c r="NBR5" s="628"/>
      <c r="NBS5" s="628"/>
      <c r="NBT5" s="628"/>
      <c r="NBU5" s="628"/>
      <c r="NBV5" s="628"/>
      <c r="NBW5" s="628"/>
      <c r="NBX5" s="628"/>
      <c r="NBY5" s="628"/>
      <c r="NBZ5" s="628"/>
      <c r="NCA5" s="628"/>
      <c r="NCB5" s="628"/>
      <c r="NCC5" s="628"/>
      <c r="NCD5" s="628"/>
      <c r="NCE5" s="628"/>
      <c r="NCF5" s="628"/>
      <c r="NCG5" s="628"/>
      <c r="NCH5" s="628"/>
      <c r="NCI5" s="628"/>
      <c r="NCJ5" s="628"/>
      <c r="NCK5" s="628"/>
      <c r="NCL5" s="628"/>
      <c r="NCM5" s="628"/>
      <c r="NCN5" s="628"/>
      <c r="NCO5" s="628"/>
      <c r="NCP5" s="628"/>
      <c r="NCQ5" s="628"/>
      <c r="NCR5" s="628"/>
      <c r="NCS5" s="628"/>
      <c r="NCT5" s="628"/>
      <c r="NCU5" s="628"/>
      <c r="NCV5" s="628"/>
      <c r="NCW5" s="628"/>
      <c r="NCX5" s="628"/>
      <c r="NCY5" s="628"/>
      <c r="NCZ5" s="628"/>
      <c r="NDA5" s="628"/>
      <c r="NDB5" s="628"/>
      <c r="NDC5" s="628"/>
      <c r="NDD5" s="628"/>
      <c r="NDE5" s="628"/>
      <c r="NDF5" s="628"/>
      <c r="NDG5" s="628"/>
      <c r="NDH5" s="628"/>
      <c r="NDI5" s="628"/>
      <c r="NDJ5" s="628"/>
      <c r="NDK5" s="628"/>
      <c r="NDL5" s="628"/>
      <c r="NDM5" s="628"/>
      <c r="NDN5" s="628"/>
      <c r="NDO5" s="628"/>
      <c r="NDP5" s="628"/>
      <c r="NDQ5" s="628"/>
      <c r="NDR5" s="628"/>
      <c r="NDS5" s="628"/>
      <c r="NDT5" s="628"/>
      <c r="NDU5" s="628"/>
      <c r="NDV5" s="628"/>
      <c r="NDW5" s="628"/>
      <c r="NDX5" s="628"/>
      <c r="NDY5" s="628"/>
      <c r="NDZ5" s="628"/>
      <c r="NEA5" s="628"/>
      <c r="NEB5" s="628"/>
      <c r="NEC5" s="628"/>
      <c r="NED5" s="628"/>
      <c r="NEE5" s="628"/>
      <c r="NEF5" s="628"/>
      <c r="NEG5" s="628"/>
      <c r="NEH5" s="628"/>
      <c r="NEI5" s="628"/>
      <c r="NEJ5" s="628"/>
      <c r="NEK5" s="628"/>
      <c r="NEL5" s="628"/>
      <c r="NEM5" s="628"/>
      <c r="NEN5" s="628"/>
      <c r="NEO5" s="628"/>
      <c r="NEP5" s="628"/>
      <c r="NEQ5" s="628"/>
      <c r="NER5" s="628"/>
      <c r="NES5" s="628"/>
      <c r="NET5" s="628"/>
      <c r="NEU5" s="628"/>
      <c r="NEV5" s="628"/>
      <c r="NEW5" s="628"/>
      <c r="NEX5" s="628"/>
      <c r="NEY5" s="628"/>
      <c r="NEZ5" s="628"/>
      <c r="NFA5" s="628"/>
      <c r="NFB5" s="628"/>
      <c r="NFC5" s="628"/>
      <c r="NFD5" s="628"/>
      <c r="NFE5" s="628"/>
      <c r="NFF5" s="628"/>
      <c r="NFG5" s="628"/>
      <c r="NFH5" s="628"/>
      <c r="NFI5" s="628"/>
      <c r="NFJ5" s="628"/>
      <c r="NFK5" s="628"/>
      <c r="NFL5" s="628"/>
      <c r="NFM5" s="628"/>
      <c r="NFN5" s="628"/>
      <c r="NFO5" s="628"/>
      <c r="NFP5" s="628"/>
      <c r="NFQ5" s="628"/>
      <c r="NFR5" s="628"/>
      <c r="NFS5" s="628"/>
      <c r="NFT5" s="628"/>
      <c r="NFU5" s="628"/>
      <c r="NFV5" s="628"/>
      <c r="NFW5" s="628"/>
      <c r="NFX5" s="628"/>
      <c r="NFY5" s="628"/>
      <c r="NFZ5" s="628"/>
      <c r="NGA5" s="628"/>
      <c r="NGB5" s="628"/>
      <c r="NGC5" s="628"/>
      <c r="NGD5" s="628"/>
      <c r="NGE5" s="628"/>
      <c r="NGF5" s="628"/>
      <c r="NGG5" s="628"/>
      <c r="NGH5" s="628"/>
      <c r="NGI5" s="628"/>
      <c r="NGJ5" s="628"/>
      <c r="NGK5" s="628"/>
      <c r="NGL5" s="628"/>
      <c r="NGM5" s="628"/>
      <c r="NGN5" s="628"/>
      <c r="NGO5" s="628"/>
      <c r="NGP5" s="628"/>
      <c r="NGQ5" s="628"/>
      <c r="NGR5" s="628"/>
      <c r="NGS5" s="628"/>
      <c r="NGT5" s="628"/>
      <c r="NGU5" s="628"/>
      <c r="NGV5" s="628"/>
      <c r="NGW5" s="628"/>
      <c r="NGX5" s="628"/>
      <c r="NGY5" s="628"/>
      <c r="NGZ5" s="628"/>
      <c r="NHA5" s="628"/>
      <c r="NHB5" s="628"/>
      <c r="NHC5" s="628"/>
      <c r="NHD5" s="628"/>
      <c r="NHE5" s="628"/>
      <c r="NHF5" s="628"/>
      <c r="NHG5" s="628"/>
      <c r="NHH5" s="628"/>
      <c r="NHI5" s="628"/>
      <c r="NHJ5" s="628"/>
      <c r="NHK5" s="628"/>
      <c r="NHL5" s="628"/>
      <c r="NHM5" s="628"/>
      <c r="NHN5" s="628"/>
      <c r="NHO5" s="628"/>
      <c r="NHP5" s="628"/>
      <c r="NHQ5" s="628"/>
      <c r="NHR5" s="628"/>
      <c r="NHS5" s="628"/>
      <c r="NHT5" s="628"/>
      <c r="NHU5" s="628"/>
      <c r="NHV5" s="628"/>
      <c r="NHW5" s="628"/>
      <c r="NHX5" s="628"/>
      <c r="NHY5" s="628"/>
      <c r="NHZ5" s="628"/>
      <c r="NIA5" s="628"/>
      <c r="NIB5" s="628"/>
      <c r="NIC5" s="628"/>
      <c r="NID5" s="628"/>
      <c r="NIE5" s="628"/>
      <c r="NIF5" s="628"/>
      <c r="NIG5" s="628"/>
      <c r="NIH5" s="628"/>
      <c r="NII5" s="628"/>
      <c r="NIJ5" s="628"/>
      <c r="NIK5" s="628"/>
      <c r="NIL5" s="628"/>
      <c r="NIM5" s="628"/>
      <c r="NIN5" s="628"/>
      <c r="NIO5" s="628"/>
      <c r="NIP5" s="628"/>
      <c r="NIQ5" s="628"/>
      <c r="NIR5" s="628"/>
      <c r="NIS5" s="628"/>
      <c r="NIT5" s="628"/>
      <c r="NIU5" s="628"/>
      <c r="NIV5" s="628"/>
      <c r="NIW5" s="628"/>
      <c r="NIX5" s="628"/>
      <c r="NIY5" s="628"/>
      <c r="NIZ5" s="628"/>
      <c r="NJA5" s="628"/>
      <c r="NJB5" s="628"/>
      <c r="NJC5" s="628"/>
      <c r="NJD5" s="628"/>
      <c r="NJE5" s="628"/>
      <c r="NJF5" s="628"/>
      <c r="NJG5" s="628"/>
      <c r="NJH5" s="628"/>
      <c r="NJI5" s="628"/>
      <c r="NJJ5" s="628"/>
      <c r="NJK5" s="628"/>
      <c r="NJL5" s="628"/>
      <c r="NJM5" s="628"/>
      <c r="NJN5" s="628"/>
      <c r="NJO5" s="628"/>
      <c r="NJP5" s="628"/>
      <c r="NJQ5" s="628"/>
      <c r="NJR5" s="628"/>
      <c r="NJS5" s="628"/>
      <c r="NJT5" s="628"/>
      <c r="NJU5" s="628"/>
      <c r="NJV5" s="628"/>
      <c r="NJW5" s="628"/>
      <c r="NJX5" s="628"/>
      <c r="NJY5" s="628"/>
      <c r="NJZ5" s="628"/>
      <c r="NKA5" s="628"/>
      <c r="NKB5" s="628"/>
      <c r="NKC5" s="628"/>
      <c r="NKD5" s="628"/>
      <c r="NKE5" s="628"/>
      <c r="NKF5" s="628"/>
      <c r="NKG5" s="628"/>
      <c r="NKH5" s="628"/>
      <c r="NKI5" s="628"/>
      <c r="NKJ5" s="628"/>
      <c r="NKK5" s="628"/>
      <c r="NKL5" s="628"/>
      <c r="NKM5" s="628"/>
      <c r="NKN5" s="628"/>
      <c r="NKO5" s="628"/>
      <c r="NKP5" s="628"/>
      <c r="NKQ5" s="628"/>
      <c r="NKR5" s="628"/>
      <c r="NKS5" s="628"/>
      <c r="NKT5" s="628"/>
      <c r="NKU5" s="628"/>
      <c r="NKV5" s="628"/>
      <c r="NKW5" s="628"/>
      <c r="NKX5" s="628"/>
      <c r="NKY5" s="628"/>
      <c r="NKZ5" s="628"/>
      <c r="NLA5" s="628"/>
      <c r="NLB5" s="628"/>
      <c r="NLC5" s="628"/>
      <c r="NLD5" s="628"/>
      <c r="NLE5" s="628"/>
      <c r="NLF5" s="628"/>
      <c r="NLG5" s="628"/>
      <c r="NLH5" s="628"/>
      <c r="NLI5" s="628"/>
      <c r="NLJ5" s="628"/>
      <c r="NLK5" s="628"/>
      <c r="NLL5" s="628"/>
      <c r="NLM5" s="628"/>
      <c r="NLN5" s="628"/>
      <c r="NLO5" s="628"/>
      <c r="NLP5" s="628"/>
      <c r="NLQ5" s="628"/>
      <c r="NLR5" s="628"/>
      <c r="NLS5" s="628"/>
      <c r="NLT5" s="628"/>
      <c r="NLU5" s="628"/>
      <c r="NLV5" s="628"/>
      <c r="NLW5" s="628"/>
      <c r="NLX5" s="628"/>
      <c r="NLY5" s="628"/>
      <c r="NLZ5" s="628"/>
      <c r="NMA5" s="628"/>
      <c r="NMB5" s="628"/>
      <c r="NMC5" s="628"/>
      <c r="NMD5" s="628"/>
      <c r="NME5" s="628"/>
      <c r="NMF5" s="628"/>
      <c r="NMG5" s="628"/>
      <c r="NMH5" s="628"/>
      <c r="NMI5" s="628"/>
      <c r="NMJ5" s="628"/>
      <c r="NMK5" s="628"/>
      <c r="NML5" s="628"/>
      <c r="NMM5" s="628"/>
      <c r="NMN5" s="628"/>
      <c r="NMO5" s="628"/>
      <c r="NMP5" s="628"/>
      <c r="NMQ5" s="628"/>
      <c r="NMR5" s="628"/>
      <c r="NMS5" s="628"/>
      <c r="NMT5" s="628"/>
      <c r="NMU5" s="628"/>
      <c r="NMV5" s="628"/>
      <c r="NMW5" s="628"/>
      <c r="NMX5" s="628"/>
      <c r="NMY5" s="628"/>
      <c r="NMZ5" s="628"/>
      <c r="NNA5" s="628"/>
      <c r="NNB5" s="628"/>
      <c r="NNC5" s="628"/>
      <c r="NND5" s="628"/>
      <c r="NNE5" s="628"/>
      <c r="NNF5" s="628"/>
      <c r="NNG5" s="628"/>
      <c r="NNH5" s="628"/>
      <c r="NNI5" s="628"/>
      <c r="NNJ5" s="628"/>
      <c r="NNK5" s="628"/>
      <c r="NNL5" s="628"/>
      <c r="NNM5" s="628"/>
      <c r="NNN5" s="628"/>
      <c r="NNO5" s="628"/>
      <c r="NNP5" s="628"/>
      <c r="NNQ5" s="628"/>
      <c r="NNR5" s="628"/>
      <c r="NNS5" s="628"/>
      <c r="NNT5" s="628"/>
      <c r="NNU5" s="628"/>
      <c r="NNV5" s="628"/>
      <c r="NNW5" s="628"/>
      <c r="NNX5" s="628"/>
      <c r="NNY5" s="628"/>
      <c r="NNZ5" s="628"/>
      <c r="NOA5" s="628"/>
      <c r="NOB5" s="628"/>
      <c r="NOC5" s="628"/>
      <c r="NOD5" s="628"/>
      <c r="NOE5" s="628"/>
      <c r="NOF5" s="628"/>
      <c r="NOG5" s="628"/>
      <c r="NOH5" s="628"/>
      <c r="NOI5" s="628"/>
      <c r="NOJ5" s="628"/>
      <c r="NOK5" s="628"/>
      <c r="NOL5" s="628"/>
      <c r="NOM5" s="628"/>
      <c r="NON5" s="628"/>
      <c r="NOO5" s="628"/>
      <c r="NOP5" s="628"/>
      <c r="NOQ5" s="628"/>
      <c r="NOR5" s="628"/>
      <c r="NOS5" s="628"/>
      <c r="NOT5" s="628"/>
      <c r="NOU5" s="628"/>
      <c r="NOV5" s="628"/>
      <c r="NOW5" s="628"/>
      <c r="NOX5" s="628"/>
      <c r="NOY5" s="628"/>
      <c r="NOZ5" s="628"/>
      <c r="NPA5" s="628"/>
      <c r="NPB5" s="628"/>
      <c r="NPC5" s="628"/>
      <c r="NPD5" s="628"/>
      <c r="NPE5" s="628"/>
      <c r="NPF5" s="628"/>
      <c r="NPG5" s="628"/>
      <c r="NPH5" s="628"/>
      <c r="NPI5" s="628"/>
      <c r="NPJ5" s="628"/>
      <c r="NPK5" s="628"/>
      <c r="NPL5" s="628"/>
      <c r="NPM5" s="628"/>
      <c r="NPN5" s="628"/>
      <c r="NPO5" s="628"/>
      <c r="NPP5" s="628"/>
      <c r="NPQ5" s="628"/>
      <c r="NPR5" s="628"/>
      <c r="NPS5" s="628"/>
      <c r="NPT5" s="628"/>
      <c r="NPU5" s="628"/>
      <c r="NPV5" s="628"/>
      <c r="NPW5" s="628"/>
      <c r="NPX5" s="628"/>
      <c r="NPY5" s="628"/>
      <c r="NPZ5" s="628"/>
      <c r="NQA5" s="628"/>
      <c r="NQB5" s="628"/>
      <c r="NQC5" s="628"/>
      <c r="NQD5" s="628"/>
      <c r="NQE5" s="628"/>
      <c r="NQF5" s="628"/>
      <c r="NQG5" s="628"/>
      <c r="NQH5" s="628"/>
      <c r="NQI5" s="628"/>
      <c r="NQJ5" s="628"/>
      <c r="NQK5" s="628"/>
      <c r="NQL5" s="628"/>
      <c r="NQM5" s="628"/>
      <c r="NQN5" s="628"/>
      <c r="NQO5" s="628"/>
      <c r="NQP5" s="628"/>
      <c r="NQQ5" s="628"/>
      <c r="NQR5" s="628"/>
      <c r="NQS5" s="628"/>
      <c r="NQT5" s="628"/>
      <c r="NQU5" s="628"/>
      <c r="NQV5" s="628"/>
      <c r="NQW5" s="628"/>
      <c r="NQX5" s="628"/>
      <c r="NQY5" s="628"/>
      <c r="NQZ5" s="628"/>
      <c r="NRA5" s="628"/>
      <c r="NRB5" s="628"/>
      <c r="NRC5" s="628"/>
      <c r="NRD5" s="628"/>
      <c r="NRE5" s="628"/>
      <c r="NRF5" s="628"/>
      <c r="NRG5" s="628"/>
      <c r="NRH5" s="628"/>
      <c r="NRI5" s="628"/>
      <c r="NRJ5" s="628"/>
      <c r="NRK5" s="628"/>
      <c r="NRL5" s="628"/>
      <c r="NRM5" s="628"/>
      <c r="NRN5" s="628"/>
      <c r="NRO5" s="628"/>
      <c r="NRP5" s="628"/>
      <c r="NRQ5" s="628"/>
      <c r="NRR5" s="628"/>
      <c r="NRS5" s="628"/>
      <c r="NRT5" s="628"/>
      <c r="NRU5" s="628"/>
      <c r="NRV5" s="628"/>
      <c r="NRW5" s="628"/>
      <c r="NRX5" s="628"/>
      <c r="NRY5" s="628"/>
      <c r="NRZ5" s="628"/>
      <c r="NSA5" s="628"/>
      <c r="NSB5" s="628"/>
      <c r="NSC5" s="628"/>
      <c r="NSD5" s="628"/>
      <c r="NSE5" s="628"/>
      <c r="NSF5" s="628"/>
      <c r="NSG5" s="628"/>
      <c r="NSH5" s="628"/>
      <c r="NSI5" s="628"/>
      <c r="NSJ5" s="628"/>
      <c r="NSK5" s="628"/>
      <c r="NSL5" s="628"/>
      <c r="NSM5" s="628"/>
      <c r="NSN5" s="628"/>
      <c r="NSO5" s="628"/>
      <c r="NSP5" s="628"/>
      <c r="NSQ5" s="628"/>
      <c r="NSR5" s="628"/>
      <c r="NSS5" s="628"/>
      <c r="NST5" s="628"/>
      <c r="NSU5" s="628"/>
      <c r="NSV5" s="628"/>
      <c r="NSW5" s="628"/>
      <c r="NSX5" s="628"/>
      <c r="NSY5" s="628"/>
      <c r="NSZ5" s="628"/>
      <c r="NTA5" s="628"/>
      <c r="NTB5" s="628"/>
      <c r="NTC5" s="628"/>
      <c r="NTD5" s="628"/>
      <c r="NTE5" s="628"/>
      <c r="NTF5" s="628"/>
      <c r="NTG5" s="628"/>
      <c r="NTH5" s="628"/>
      <c r="NTI5" s="628"/>
      <c r="NTJ5" s="628"/>
      <c r="NTK5" s="628"/>
      <c r="NTL5" s="628"/>
      <c r="NTM5" s="628"/>
      <c r="NTN5" s="628"/>
      <c r="NTO5" s="628"/>
      <c r="NTP5" s="628"/>
      <c r="NTQ5" s="628"/>
      <c r="NTR5" s="628"/>
      <c r="NTS5" s="628"/>
      <c r="NTT5" s="628"/>
      <c r="NTU5" s="628"/>
      <c r="NTV5" s="628"/>
      <c r="NTW5" s="628"/>
      <c r="NTX5" s="628"/>
      <c r="NTY5" s="628"/>
      <c r="NTZ5" s="628"/>
      <c r="NUA5" s="628"/>
      <c r="NUB5" s="628"/>
      <c r="NUC5" s="628"/>
      <c r="NUD5" s="628"/>
      <c r="NUE5" s="628"/>
      <c r="NUF5" s="628"/>
      <c r="NUG5" s="628"/>
      <c r="NUH5" s="628"/>
      <c r="NUI5" s="628"/>
      <c r="NUJ5" s="628"/>
      <c r="NUK5" s="628"/>
      <c r="NUL5" s="628"/>
      <c r="NUM5" s="628"/>
      <c r="NUN5" s="628"/>
      <c r="NUO5" s="628"/>
      <c r="NUP5" s="628"/>
      <c r="NUQ5" s="628"/>
      <c r="NUR5" s="628"/>
      <c r="NUS5" s="628"/>
      <c r="NUT5" s="628"/>
      <c r="NUU5" s="628"/>
      <c r="NUV5" s="628"/>
      <c r="NUW5" s="628"/>
      <c r="NUX5" s="628"/>
      <c r="NUY5" s="628"/>
      <c r="NUZ5" s="628"/>
      <c r="NVA5" s="628"/>
      <c r="NVB5" s="628"/>
      <c r="NVC5" s="628"/>
      <c r="NVD5" s="628"/>
      <c r="NVE5" s="628"/>
      <c r="NVF5" s="628"/>
      <c r="NVG5" s="628"/>
      <c r="NVH5" s="628"/>
      <c r="NVI5" s="628"/>
      <c r="NVJ5" s="628"/>
      <c r="NVK5" s="628"/>
      <c r="NVL5" s="628"/>
      <c r="NVM5" s="628"/>
      <c r="NVN5" s="628"/>
      <c r="NVO5" s="628"/>
      <c r="NVP5" s="628"/>
      <c r="NVQ5" s="628"/>
      <c r="NVR5" s="628"/>
      <c r="NVS5" s="628"/>
      <c r="NVT5" s="628"/>
      <c r="NVU5" s="628"/>
      <c r="NVV5" s="628"/>
      <c r="NVW5" s="628"/>
      <c r="NVX5" s="628"/>
      <c r="NVY5" s="628"/>
      <c r="NVZ5" s="628"/>
      <c r="NWA5" s="628"/>
      <c r="NWB5" s="628"/>
      <c r="NWC5" s="628"/>
      <c r="NWD5" s="628"/>
      <c r="NWE5" s="628"/>
      <c r="NWF5" s="628"/>
      <c r="NWG5" s="628"/>
      <c r="NWH5" s="628"/>
      <c r="NWI5" s="628"/>
      <c r="NWJ5" s="628"/>
      <c r="NWK5" s="628"/>
      <c r="NWL5" s="628"/>
      <c r="NWM5" s="628"/>
      <c r="NWN5" s="628"/>
      <c r="NWO5" s="628"/>
      <c r="NWP5" s="628"/>
      <c r="NWQ5" s="628"/>
      <c r="NWR5" s="628"/>
      <c r="NWS5" s="628"/>
      <c r="NWT5" s="628"/>
      <c r="NWU5" s="628"/>
      <c r="NWV5" s="628"/>
      <c r="NWW5" s="628"/>
      <c r="NWX5" s="628"/>
      <c r="NWY5" s="628"/>
      <c r="NWZ5" s="628"/>
      <c r="NXA5" s="628"/>
      <c r="NXB5" s="628"/>
      <c r="NXC5" s="628"/>
      <c r="NXD5" s="628"/>
      <c r="NXE5" s="628"/>
      <c r="NXF5" s="628"/>
      <c r="NXG5" s="628"/>
      <c r="NXH5" s="628"/>
      <c r="NXI5" s="628"/>
      <c r="NXJ5" s="628"/>
      <c r="NXK5" s="628"/>
      <c r="NXL5" s="628"/>
      <c r="NXM5" s="628"/>
      <c r="NXN5" s="628"/>
      <c r="NXO5" s="628"/>
      <c r="NXP5" s="628"/>
      <c r="NXQ5" s="628"/>
      <c r="NXR5" s="628"/>
      <c r="NXS5" s="628"/>
      <c r="NXT5" s="628"/>
      <c r="NXU5" s="628"/>
      <c r="NXV5" s="628"/>
      <c r="NXW5" s="628"/>
      <c r="NXX5" s="628"/>
      <c r="NXY5" s="628"/>
      <c r="NXZ5" s="628"/>
      <c r="NYA5" s="628"/>
      <c r="NYB5" s="628"/>
      <c r="NYC5" s="628"/>
      <c r="NYD5" s="628"/>
      <c r="NYE5" s="628"/>
      <c r="NYF5" s="628"/>
      <c r="NYG5" s="628"/>
      <c r="NYH5" s="628"/>
      <c r="NYI5" s="628"/>
      <c r="NYJ5" s="628"/>
      <c r="NYK5" s="628"/>
      <c r="NYL5" s="628"/>
      <c r="NYM5" s="628"/>
      <c r="NYN5" s="628"/>
      <c r="NYO5" s="628"/>
      <c r="NYP5" s="628"/>
      <c r="NYQ5" s="628"/>
      <c r="NYR5" s="628"/>
      <c r="NYS5" s="628"/>
      <c r="NYT5" s="628"/>
      <c r="NYU5" s="628"/>
      <c r="NYV5" s="628"/>
      <c r="NYW5" s="628"/>
      <c r="NYX5" s="628"/>
      <c r="NYY5" s="628"/>
      <c r="NYZ5" s="628"/>
      <c r="NZA5" s="628"/>
      <c r="NZB5" s="628"/>
      <c r="NZC5" s="628"/>
      <c r="NZD5" s="628"/>
      <c r="NZE5" s="628"/>
      <c r="NZF5" s="628"/>
      <c r="NZG5" s="628"/>
      <c r="NZH5" s="628"/>
      <c r="NZI5" s="628"/>
      <c r="NZJ5" s="628"/>
      <c r="NZK5" s="628"/>
      <c r="NZL5" s="628"/>
      <c r="NZM5" s="628"/>
      <c r="NZN5" s="628"/>
      <c r="NZO5" s="628"/>
      <c r="NZP5" s="628"/>
      <c r="NZQ5" s="628"/>
      <c r="NZR5" s="628"/>
      <c r="NZS5" s="628"/>
      <c r="NZT5" s="628"/>
      <c r="NZU5" s="628"/>
      <c r="NZV5" s="628"/>
      <c r="NZW5" s="628"/>
      <c r="NZX5" s="628"/>
      <c r="NZY5" s="628"/>
      <c r="NZZ5" s="628"/>
      <c r="OAA5" s="628"/>
      <c r="OAB5" s="628"/>
      <c r="OAC5" s="628"/>
      <c r="OAD5" s="628"/>
      <c r="OAE5" s="628"/>
      <c r="OAF5" s="628"/>
      <c r="OAG5" s="628"/>
      <c r="OAH5" s="628"/>
      <c r="OAI5" s="628"/>
      <c r="OAJ5" s="628"/>
      <c r="OAK5" s="628"/>
      <c r="OAL5" s="628"/>
      <c r="OAM5" s="628"/>
      <c r="OAN5" s="628"/>
      <c r="OAO5" s="628"/>
      <c r="OAP5" s="628"/>
      <c r="OAQ5" s="628"/>
      <c r="OAR5" s="628"/>
      <c r="OAS5" s="628"/>
      <c r="OAT5" s="628"/>
      <c r="OAU5" s="628"/>
      <c r="OAV5" s="628"/>
      <c r="OAW5" s="628"/>
      <c r="OAX5" s="628"/>
      <c r="OAY5" s="628"/>
      <c r="OAZ5" s="628"/>
      <c r="OBA5" s="628"/>
      <c r="OBB5" s="628"/>
      <c r="OBC5" s="628"/>
      <c r="OBD5" s="628"/>
      <c r="OBE5" s="628"/>
      <c r="OBF5" s="628"/>
      <c r="OBG5" s="628"/>
      <c r="OBH5" s="628"/>
      <c r="OBI5" s="628"/>
      <c r="OBJ5" s="628"/>
      <c r="OBK5" s="628"/>
      <c r="OBL5" s="628"/>
      <c r="OBM5" s="628"/>
      <c r="OBN5" s="628"/>
      <c r="OBO5" s="628"/>
      <c r="OBP5" s="628"/>
      <c r="OBQ5" s="628"/>
      <c r="OBR5" s="628"/>
      <c r="OBS5" s="628"/>
      <c r="OBT5" s="628"/>
      <c r="OBU5" s="628"/>
      <c r="OBV5" s="628"/>
      <c r="OBW5" s="628"/>
      <c r="OBX5" s="628"/>
      <c r="OBY5" s="628"/>
      <c r="OBZ5" s="628"/>
      <c r="OCA5" s="628"/>
      <c r="OCB5" s="628"/>
      <c r="OCC5" s="628"/>
      <c r="OCD5" s="628"/>
      <c r="OCE5" s="628"/>
      <c r="OCF5" s="628"/>
      <c r="OCG5" s="628"/>
      <c r="OCH5" s="628"/>
      <c r="OCI5" s="628"/>
      <c r="OCJ5" s="628"/>
      <c r="OCK5" s="628"/>
      <c r="OCL5" s="628"/>
      <c r="OCM5" s="628"/>
      <c r="OCN5" s="628"/>
      <c r="OCO5" s="628"/>
      <c r="OCP5" s="628"/>
      <c r="OCQ5" s="628"/>
      <c r="OCR5" s="628"/>
      <c r="OCS5" s="628"/>
      <c r="OCT5" s="628"/>
      <c r="OCU5" s="628"/>
      <c r="OCV5" s="628"/>
      <c r="OCW5" s="628"/>
      <c r="OCX5" s="628"/>
      <c r="OCY5" s="628"/>
      <c r="OCZ5" s="628"/>
      <c r="ODA5" s="628"/>
      <c r="ODB5" s="628"/>
      <c r="ODC5" s="628"/>
      <c r="ODD5" s="628"/>
      <c r="ODE5" s="628"/>
      <c r="ODF5" s="628"/>
      <c r="ODG5" s="628"/>
      <c r="ODH5" s="628"/>
      <c r="ODI5" s="628"/>
      <c r="ODJ5" s="628"/>
      <c r="ODK5" s="628"/>
      <c r="ODL5" s="628"/>
      <c r="ODM5" s="628"/>
      <c r="ODN5" s="628"/>
      <c r="ODO5" s="628"/>
      <c r="ODP5" s="628"/>
      <c r="ODQ5" s="628"/>
      <c r="ODR5" s="628"/>
      <c r="ODS5" s="628"/>
      <c r="ODT5" s="628"/>
      <c r="ODU5" s="628"/>
      <c r="ODV5" s="628"/>
      <c r="ODW5" s="628"/>
      <c r="ODX5" s="628"/>
      <c r="ODY5" s="628"/>
      <c r="ODZ5" s="628"/>
      <c r="OEA5" s="628"/>
      <c r="OEB5" s="628"/>
      <c r="OEC5" s="628"/>
      <c r="OED5" s="628"/>
      <c r="OEE5" s="628"/>
      <c r="OEF5" s="628"/>
      <c r="OEG5" s="628"/>
      <c r="OEH5" s="628"/>
      <c r="OEI5" s="628"/>
      <c r="OEJ5" s="628"/>
      <c r="OEK5" s="628"/>
      <c r="OEL5" s="628"/>
      <c r="OEM5" s="628"/>
      <c r="OEN5" s="628"/>
      <c r="OEO5" s="628"/>
      <c r="OEP5" s="628"/>
      <c r="OEQ5" s="628"/>
      <c r="OER5" s="628"/>
      <c r="OES5" s="628"/>
      <c r="OET5" s="628"/>
      <c r="OEU5" s="628"/>
      <c r="OEV5" s="628"/>
      <c r="OEW5" s="628"/>
      <c r="OEX5" s="628"/>
      <c r="OEY5" s="628"/>
      <c r="OEZ5" s="628"/>
      <c r="OFA5" s="628"/>
      <c r="OFB5" s="628"/>
      <c r="OFC5" s="628"/>
      <c r="OFD5" s="628"/>
      <c r="OFE5" s="628"/>
      <c r="OFF5" s="628"/>
      <c r="OFG5" s="628"/>
      <c r="OFH5" s="628"/>
      <c r="OFI5" s="628"/>
      <c r="OFJ5" s="628"/>
      <c r="OFK5" s="628"/>
      <c r="OFL5" s="628"/>
      <c r="OFM5" s="628"/>
      <c r="OFN5" s="628"/>
      <c r="OFO5" s="628"/>
      <c r="OFP5" s="628"/>
      <c r="OFQ5" s="628"/>
      <c r="OFR5" s="628"/>
      <c r="OFS5" s="628"/>
      <c r="OFT5" s="628"/>
      <c r="OFU5" s="628"/>
      <c r="OFV5" s="628"/>
      <c r="OFW5" s="628"/>
      <c r="OFX5" s="628"/>
      <c r="OFY5" s="628"/>
      <c r="OFZ5" s="628"/>
      <c r="OGA5" s="628"/>
      <c r="OGB5" s="628"/>
      <c r="OGC5" s="628"/>
      <c r="OGD5" s="628"/>
      <c r="OGE5" s="628"/>
      <c r="OGF5" s="628"/>
      <c r="OGG5" s="628"/>
      <c r="OGH5" s="628"/>
      <c r="OGI5" s="628"/>
      <c r="OGJ5" s="628"/>
      <c r="OGK5" s="628"/>
      <c r="OGL5" s="628"/>
      <c r="OGM5" s="628"/>
      <c r="OGN5" s="628"/>
      <c r="OGO5" s="628"/>
      <c r="OGP5" s="628"/>
      <c r="OGQ5" s="628"/>
      <c r="OGR5" s="628"/>
      <c r="OGS5" s="628"/>
      <c r="OGT5" s="628"/>
      <c r="OGU5" s="628"/>
      <c r="OGV5" s="628"/>
      <c r="OGW5" s="628"/>
      <c r="OGX5" s="628"/>
      <c r="OGY5" s="628"/>
      <c r="OGZ5" s="628"/>
      <c r="OHA5" s="628"/>
      <c r="OHB5" s="628"/>
      <c r="OHC5" s="628"/>
      <c r="OHD5" s="628"/>
      <c r="OHE5" s="628"/>
      <c r="OHF5" s="628"/>
      <c r="OHG5" s="628"/>
      <c r="OHH5" s="628"/>
      <c r="OHI5" s="628"/>
      <c r="OHJ5" s="628"/>
      <c r="OHK5" s="628"/>
      <c r="OHL5" s="628"/>
      <c r="OHM5" s="628"/>
      <c r="OHN5" s="628"/>
      <c r="OHO5" s="628"/>
      <c r="OHP5" s="628"/>
      <c r="OHQ5" s="628"/>
      <c r="OHR5" s="628"/>
      <c r="OHS5" s="628"/>
      <c r="OHT5" s="628"/>
      <c r="OHU5" s="628"/>
      <c r="OHV5" s="628"/>
      <c r="OHW5" s="628"/>
      <c r="OHX5" s="628"/>
      <c r="OHY5" s="628"/>
      <c r="OHZ5" s="628"/>
      <c r="OIA5" s="628"/>
      <c r="OIB5" s="628"/>
      <c r="OIC5" s="628"/>
      <c r="OID5" s="628"/>
      <c r="OIE5" s="628"/>
      <c r="OIF5" s="628"/>
      <c r="OIG5" s="628"/>
      <c r="OIH5" s="628"/>
      <c r="OII5" s="628"/>
      <c r="OIJ5" s="628"/>
      <c r="OIK5" s="628"/>
      <c r="OIL5" s="628"/>
      <c r="OIM5" s="628"/>
      <c r="OIN5" s="628"/>
      <c r="OIO5" s="628"/>
      <c r="OIP5" s="628"/>
      <c r="OIQ5" s="628"/>
      <c r="OIR5" s="628"/>
      <c r="OIS5" s="628"/>
      <c r="OIT5" s="628"/>
      <c r="OIU5" s="628"/>
      <c r="OIV5" s="628"/>
      <c r="OIW5" s="628"/>
      <c r="OIX5" s="628"/>
      <c r="OIY5" s="628"/>
      <c r="OIZ5" s="628"/>
      <c r="OJA5" s="628"/>
      <c r="OJB5" s="628"/>
      <c r="OJC5" s="628"/>
      <c r="OJD5" s="628"/>
      <c r="OJE5" s="628"/>
      <c r="OJF5" s="628"/>
      <c r="OJG5" s="628"/>
      <c r="OJH5" s="628"/>
      <c r="OJI5" s="628"/>
      <c r="OJJ5" s="628"/>
      <c r="OJK5" s="628"/>
      <c r="OJL5" s="628"/>
      <c r="OJM5" s="628"/>
      <c r="OJN5" s="628"/>
      <c r="OJO5" s="628"/>
      <c r="OJP5" s="628"/>
      <c r="OJQ5" s="628"/>
      <c r="OJR5" s="628"/>
      <c r="OJS5" s="628"/>
      <c r="OJT5" s="628"/>
      <c r="OJU5" s="628"/>
      <c r="OJV5" s="628"/>
      <c r="OJW5" s="628"/>
      <c r="OJX5" s="628"/>
      <c r="OJY5" s="628"/>
      <c r="OJZ5" s="628"/>
      <c r="OKA5" s="628"/>
      <c r="OKB5" s="628"/>
      <c r="OKC5" s="628"/>
      <c r="OKD5" s="628"/>
      <c r="OKE5" s="628"/>
      <c r="OKF5" s="628"/>
      <c r="OKG5" s="628"/>
      <c r="OKH5" s="628"/>
      <c r="OKI5" s="628"/>
      <c r="OKJ5" s="628"/>
      <c r="OKK5" s="628"/>
      <c r="OKL5" s="628"/>
      <c r="OKM5" s="628"/>
      <c r="OKN5" s="628"/>
      <c r="OKO5" s="628"/>
      <c r="OKP5" s="628"/>
      <c r="OKQ5" s="628"/>
      <c r="OKR5" s="628"/>
      <c r="OKS5" s="628"/>
      <c r="OKT5" s="628"/>
      <c r="OKU5" s="628"/>
      <c r="OKV5" s="628"/>
      <c r="OKW5" s="628"/>
      <c r="OKX5" s="628"/>
      <c r="OKY5" s="628"/>
      <c r="OKZ5" s="628"/>
      <c r="OLA5" s="628"/>
      <c r="OLB5" s="628"/>
      <c r="OLC5" s="628"/>
      <c r="OLD5" s="628"/>
      <c r="OLE5" s="628"/>
      <c r="OLF5" s="628"/>
      <c r="OLG5" s="628"/>
      <c r="OLH5" s="628"/>
      <c r="OLI5" s="628"/>
      <c r="OLJ5" s="628"/>
      <c r="OLK5" s="628"/>
      <c r="OLL5" s="628"/>
      <c r="OLM5" s="628"/>
      <c r="OLN5" s="628"/>
      <c r="OLO5" s="628"/>
      <c r="OLP5" s="628"/>
      <c r="OLQ5" s="628"/>
      <c r="OLR5" s="628"/>
      <c r="OLS5" s="628"/>
      <c r="OLT5" s="628"/>
      <c r="OLU5" s="628"/>
      <c r="OLV5" s="628"/>
      <c r="OLW5" s="628"/>
      <c r="OLX5" s="628"/>
      <c r="OLY5" s="628"/>
      <c r="OLZ5" s="628"/>
      <c r="OMA5" s="628"/>
      <c r="OMB5" s="628"/>
      <c r="OMC5" s="628"/>
      <c r="OMD5" s="628"/>
      <c r="OME5" s="628"/>
      <c r="OMF5" s="628"/>
      <c r="OMG5" s="628"/>
      <c r="OMH5" s="628"/>
      <c r="OMI5" s="628"/>
      <c r="OMJ5" s="628"/>
      <c r="OMK5" s="628"/>
      <c r="OML5" s="628"/>
      <c r="OMM5" s="628"/>
      <c r="OMN5" s="628"/>
      <c r="OMO5" s="628"/>
      <c r="OMP5" s="628"/>
      <c r="OMQ5" s="628"/>
      <c r="OMR5" s="628"/>
      <c r="OMS5" s="628"/>
      <c r="OMT5" s="628"/>
      <c r="OMU5" s="628"/>
      <c r="OMV5" s="628"/>
      <c r="OMW5" s="628"/>
      <c r="OMX5" s="628"/>
      <c r="OMY5" s="628"/>
      <c r="OMZ5" s="628"/>
      <c r="ONA5" s="628"/>
      <c r="ONB5" s="628"/>
      <c r="ONC5" s="628"/>
      <c r="OND5" s="628"/>
      <c r="ONE5" s="628"/>
      <c r="ONF5" s="628"/>
      <c r="ONG5" s="628"/>
      <c r="ONH5" s="628"/>
      <c r="ONI5" s="628"/>
      <c r="ONJ5" s="628"/>
      <c r="ONK5" s="628"/>
      <c r="ONL5" s="628"/>
      <c r="ONM5" s="628"/>
      <c r="ONN5" s="628"/>
      <c r="ONO5" s="628"/>
      <c r="ONP5" s="628"/>
      <c r="ONQ5" s="628"/>
      <c r="ONR5" s="628"/>
      <c r="ONS5" s="628"/>
      <c r="ONT5" s="628"/>
      <c r="ONU5" s="628"/>
      <c r="ONV5" s="628"/>
      <c r="ONW5" s="628"/>
      <c r="ONX5" s="628"/>
      <c r="ONY5" s="628"/>
      <c r="ONZ5" s="628"/>
      <c r="OOA5" s="628"/>
      <c r="OOB5" s="628"/>
      <c r="OOC5" s="628"/>
      <c r="OOD5" s="628"/>
      <c r="OOE5" s="628"/>
      <c r="OOF5" s="628"/>
      <c r="OOG5" s="628"/>
      <c r="OOH5" s="628"/>
      <c r="OOI5" s="628"/>
      <c r="OOJ5" s="628"/>
      <c r="OOK5" s="628"/>
      <c r="OOL5" s="628"/>
      <c r="OOM5" s="628"/>
      <c r="OON5" s="628"/>
      <c r="OOO5" s="628"/>
      <c r="OOP5" s="628"/>
      <c r="OOQ5" s="628"/>
      <c r="OOR5" s="628"/>
      <c r="OOS5" s="628"/>
      <c r="OOT5" s="628"/>
      <c r="OOU5" s="628"/>
      <c r="OOV5" s="628"/>
      <c r="OOW5" s="628"/>
      <c r="OOX5" s="628"/>
      <c r="OOY5" s="628"/>
      <c r="OOZ5" s="628"/>
      <c r="OPA5" s="628"/>
      <c r="OPB5" s="628"/>
      <c r="OPC5" s="628"/>
      <c r="OPD5" s="628"/>
      <c r="OPE5" s="628"/>
      <c r="OPF5" s="628"/>
      <c r="OPG5" s="628"/>
      <c r="OPH5" s="628"/>
      <c r="OPI5" s="628"/>
      <c r="OPJ5" s="628"/>
      <c r="OPK5" s="628"/>
      <c r="OPL5" s="628"/>
      <c r="OPM5" s="628"/>
      <c r="OPN5" s="628"/>
      <c r="OPO5" s="628"/>
      <c r="OPP5" s="628"/>
      <c r="OPQ5" s="628"/>
      <c r="OPR5" s="628"/>
      <c r="OPS5" s="628"/>
      <c r="OPT5" s="628"/>
      <c r="OPU5" s="628"/>
      <c r="OPV5" s="628"/>
      <c r="OPW5" s="628"/>
      <c r="OPX5" s="628"/>
      <c r="OPY5" s="628"/>
      <c r="OPZ5" s="628"/>
      <c r="OQA5" s="628"/>
      <c r="OQB5" s="628"/>
      <c r="OQC5" s="628"/>
      <c r="OQD5" s="628"/>
      <c r="OQE5" s="628"/>
      <c r="OQF5" s="628"/>
      <c r="OQG5" s="628"/>
      <c r="OQH5" s="628"/>
      <c r="OQI5" s="628"/>
      <c r="OQJ5" s="628"/>
      <c r="OQK5" s="628"/>
      <c r="OQL5" s="628"/>
      <c r="OQM5" s="628"/>
      <c r="OQN5" s="628"/>
      <c r="OQO5" s="628"/>
      <c r="OQP5" s="628"/>
      <c r="OQQ5" s="628"/>
      <c r="OQR5" s="628"/>
      <c r="OQS5" s="628"/>
      <c r="OQT5" s="628"/>
      <c r="OQU5" s="628"/>
      <c r="OQV5" s="628"/>
      <c r="OQW5" s="628"/>
      <c r="OQX5" s="628"/>
      <c r="OQY5" s="628"/>
      <c r="OQZ5" s="628"/>
      <c r="ORA5" s="628"/>
      <c r="ORB5" s="628"/>
      <c r="ORC5" s="628"/>
      <c r="ORD5" s="628"/>
      <c r="ORE5" s="628"/>
      <c r="ORF5" s="628"/>
      <c r="ORG5" s="628"/>
      <c r="ORH5" s="628"/>
      <c r="ORI5" s="628"/>
      <c r="ORJ5" s="628"/>
      <c r="ORK5" s="628"/>
      <c r="ORL5" s="628"/>
      <c r="ORM5" s="628"/>
      <c r="ORN5" s="628"/>
      <c r="ORO5" s="628"/>
      <c r="ORP5" s="628"/>
      <c r="ORQ5" s="628"/>
      <c r="ORR5" s="628"/>
      <c r="ORS5" s="628"/>
      <c r="ORT5" s="628"/>
      <c r="ORU5" s="628"/>
      <c r="ORV5" s="628"/>
      <c r="ORW5" s="628"/>
      <c r="ORX5" s="628"/>
      <c r="ORY5" s="628"/>
      <c r="ORZ5" s="628"/>
      <c r="OSA5" s="628"/>
      <c r="OSB5" s="628"/>
      <c r="OSC5" s="628"/>
      <c r="OSD5" s="628"/>
      <c r="OSE5" s="628"/>
      <c r="OSF5" s="628"/>
      <c r="OSG5" s="628"/>
      <c r="OSH5" s="628"/>
      <c r="OSI5" s="628"/>
      <c r="OSJ5" s="628"/>
      <c r="OSK5" s="628"/>
      <c r="OSL5" s="628"/>
      <c r="OSM5" s="628"/>
      <c r="OSN5" s="628"/>
      <c r="OSO5" s="628"/>
      <c r="OSP5" s="628"/>
      <c r="OSQ5" s="628"/>
      <c r="OSR5" s="628"/>
      <c r="OSS5" s="628"/>
      <c r="OST5" s="628"/>
      <c r="OSU5" s="628"/>
      <c r="OSV5" s="628"/>
      <c r="OSW5" s="628"/>
      <c r="OSX5" s="628"/>
      <c r="OSY5" s="628"/>
      <c r="OSZ5" s="628"/>
      <c r="OTA5" s="628"/>
      <c r="OTB5" s="628"/>
      <c r="OTC5" s="628"/>
      <c r="OTD5" s="628"/>
      <c r="OTE5" s="628"/>
      <c r="OTF5" s="628"/>
      <c r="OTG5" s="628"/>
      <c r="OTH5" s="628"/>
      <c r="OTI5" s="628"/>
      <c r="OTJ5" s="628"/>
      <c r="OTK5" s="628"/>
      <c r="OTL5" s="628"/>
      <c r="OTM5" s="628"/>
      <c r="OTN5" s="628"/>
      <c r="OTO5" s="628"/>
      <c r="OTP5" s="628"/>
      <c r="OTQ5" s="628"/>
      <c r="OTR5" s="628"/>
      <c r="OTS5" s="628"/>
      <c r="OTT5" s="628"/>
      <c r="OTU5" s="628"/>
      <c r="OTV5" s="628"/>
      <c r="OTW5" s="628"/>
      <c r="OTX5" s="628"/>
      <c r="OTY5" s="628"/>
      <c r="OTZ5" s="628"/>
      <c r="OUA5" s="628"/>
      <c r="OUB5" s="628"/>
      <c r="OUC5" s="628"/>
      <c r="OUD5" s="628"/>
      <c r="OUE5" s="628"/>
      <c r="OUF5" s="628"/>
      <c r="OUG5" s="628"/>
      <c r="OUH5" s="628"/>
      <c r="OUI5" s="628"/>
      <c r="OUJ5" s="628"/>
      <c r="OUK5" s="628"/>
      <c r="OUL5" s="628"/>
      <c r="OUM5" s="628"/>
      <c r="OUN5" s="628"/>
      <c r="OUO5" s="628"/>
      <c r="OUP5" s="628"/>
      <c r="OUQ5" s="628"/>
      <c r="OUR5" s="628"/>
      <c r="OUS5" s="628"/>
      <c r="OUT5" s="628"/>
      <c r="OUU5" s="628"/>
      <c r="OUV5" s="628"/>
      <c r="OUW5" s="628"/>
      <c r="OUX5" s="628"/>
      <c r="OUY5" s="628"/>
      <c r="OUZ5" s="628"/>
      <c r="OVA5" s="628"/>
      <c r="OVB5" s="628"/>
      <c r="OVC5" s="628"/>
      <c r="OVD5" s="628"/>
      <c r="OVE5" s="628"/>
      <c r="OVF5" s="628"/>
      <c r="OVG5" s="628"/>
      <c r="OVH5" s="628"/>
      <c r="OVI5" s="628"/>
      <c r="OVJ5" s="628"/>
      <c r="OVK5" s="628"/>
      <c r="OVL5" s="628"/>
      <c r="OVM5" s="628"/>
      <c r="OVN5" s="628"/>
      <c r="OVO5" s="628"/>
      <c r="OVP5" s="628"/>
      <c r="OVQ5" s="628"/>
      <c r="OVR5" s="628"/>
      <c r="OVS5" s="628"/>
      <c r="OVT5" s="628"/>
      <c r="OVU5" s="628"/>
      <c r="OVV5" s="628"/>
      <c r="OVW5" s="628"/>
      <c r="OVX5" s="628"/>
      <c r="OVY5" s="628"/>
      <c r="OVZ5" s="628"/>
      <c r="OWA5" s="628"/>
      <c r="OWB5" s="628"/>
      <c r="OWC5" s="628"/>
      <c r="OWD5" s="628"/>
      <c r="OWE5" s="628"/>
      <c r="OWF5" s="628"/>
      <c r="OWG5" s="628"/>
      <c r="OWH5" s="628"/>
      <c r="OWI5" s="628"/>
      <c r="OWJ5" s="628"/>
      <c r="OWK5" s="628"/>
      <c r="OWL5" s="628"/>
      <c r="OWM5" s="628"/>
      <c r="OWN5" s="628"/>
      <c r="OWO5" s="628"/>
      <c r="OWP5" s="628"/>
      <c r="OWQ5" s="628"/>
      <c r="OWR5" s="628"/>
      <c r="OWS5" s="628"/>
      <c r="OWT5" s="628"/>
      <c r="OWU5" s="628"/>
      <c r="OWV5" s="628"/>
      <c r="OWW5" s="628"/>
      <c r="OWX5" s="628"/>
      <c r="OWY5" s="628"/>
      <c r="OWZ5" s="628"/>
      <c r="OXA5" s="628"/>
      <c r="OXB5" s="628"/>
      <c r="OXC5" s="628"/>
      <c r="OXD5" s="628"/>
      <c r="OXE5" s="628"/>
      <c r="OXF5" s="628"/>
      <c r="OXG5" s="628"/>
      <c r="OXH5" s="628"/>
      <c r="OXI5" s="628"/>
      <c r="OXJ5" s="628"/>
      <c r="OXK5" s="628"/>
      <c r="OXL5" s="628"/>
      <c r="OXM5" s="628"/>
      <c r="OXN5" s="628"/>
      <c r="OXO5" s="628"/>
      <c r="OXP5" s="628"/>
      <c r="OXQ5" s="628"/>
      <c r="OXR5" s="628"/>
      <c r="OXS5" s="628"/>
      <c r="OXT5" s="628"/>
      <c r="OXU5" s="628"/>
      <c r="OXV5" s="628"/>
      <c r="OXW5" s="628"/>
      <c r="OXX5" s="628"/>
      <c r="OXY5" s="628"/>
      <c r="OXZ5" s="628"/>
      <c r="OYA5" s="628"/>
      <c r="OYB5" s="628"/>
      <c r="OYC5" s="628"/>
      <c r="OYD5" s="628"/>
      <c r="OYE5" s="628"/>
      <c r="OYF5" s="628"/>
      <c r="OYG5" s="628"/>
      <c r="OYH5" s="628"/>
      <c r="OYI5" s="628"/>
      <c r="OYJ5" s="628"/>
      <c r="OYK5" s="628"/>
      <c r="OYL5" s="628"/>
      <c r="OYM5" s="628"/>
      <c r="OYN5" s="628"/>
      <c r="OYO5" s="628"/>
      <c r="OYP5" s="628"/>
      <c r="OYQ5" s="628"/>
      <c r="OYR5" s="628"/>
      <c r="OYS5" s="628"/>
      <c r="OYT5" s="628"/>
      <c r="OYU5" s="628"/>
      <c r="OYV5" s="628"/>
      <c r="OYW5" s="628"/>
      <c r="OYX5" s="628"/>
      <c r="OYY5" s="628"/>
      <c r="OYZ5" s="628"/>
      <c r="OZA5" s="628"/>
      <c r="OZB5" s="628"/>
      <c r="OZC5" s="628"/>
      <c r="OZD5" s="628"/>
      <c r="OZE5" s="628"/>
      <c r="OZF5" s="628"/>
      <c r="OZG5" s="628"/>
      <c r="OZH5" s="628"/>
      <c r="OZI5" s="628"/>
      <c r="OZJ5" s="628"/>
      <c r="OZK5" s="628"/>
      <c r="OZL5" s="628"/>
      <c r="OZM5" s="628"/>
      <c r="OZN5" s="628"/>
      <c r="OZO5" s="628"/>
      <c r="OZP5" s="628"/>
      <c r="OZQ5" s="628"/>
      <c r="OZR5" s="628"/>
      <c r="OZS5" s="628"/>
      <c r="OZT5" s="628"/>
      <c r="OZU5" s="628"/>
      <c r="OZV5" s="628"/>
      <c r="OZW5" s="628"/>
      <c r="OZX5" s="628"/>
      <c r="OZY5" s="628"/>
      <c r="OZZ5" s="628"/>
      <c r="PAA5" s="628"/>
      <c r="PAB5" s="628"/>
      <c r="PAC5" s="628"/>
      <c r="PAD5" s="628"/>
      <c r="PAE5" s="628"/>
      <c r="PAF5" s="628"/>
      <c r="PAG5" s="628"/>
      <c r="PAH5" s="628"/>
      <c r="PAI5" s="628"/>
      <c r="PAJ5" s="628"/>
      <c r="PAK5" s="628"/>
      <c r="PAL5" s="628"/>
      <c r="PAM5" s="628"/>
      <c r="PAN5" s="628"/>
      <c r="PAO5" s="628"/>
      <c r="PAP5" s="628"/>
      <c r="PAQ5" s="628"/>
      <c r="PAR5" s="628"/>
      <c r="PAS5" s="628"/>
      <c r="PAT5" s="628"/>
      <c r="PAU5" s="628"/>
      <c r="PAV5" s="628"/>
      <c r="PAW5" s="628"/>
      <c r="PAX5" s="628"/>
      <c r="PAY5" s="628"/>
      <c r="PAZ5" s="628"/>
      <c r="PBA5" s="628"/>
      <c r="PBB5" s="628"/>
      <c r="PBC5" s="628"/>
      <c r="PBD5" s="628"/>
      <c r="PBE5" s="628"/>
      <c r="PBF5" s="628"/>
      <c r="PBG5" s="628"/>
      <c r="PBH5" s="628"/>
      <c r="PBI5" s="628"/>
      <c r="PBJ5" s="628"/>
      <c r="PBK5" s="628"/>
      <c r="PBL5" s="628"/>
      <c r="PBM5" s="628"/>
      <c r="PBN5" s="628"/>
      <c r="PBO5" s="628"/>
      <c r="PBP5" s="628"/>
      <c r="PBQ5" s="628"/>
      <c r="PBR5" s="628"/>
      <c r="PBS5" s="628"/>
      <c r="PBT5" s="628"/>
      <c r="PBU5" s="628"/>
      <c r="PBV5" s="628"/>
      <c r="PBW5" s="628"/>
      <c r="PBX5" s="628"/>
      <c r="PBY5" s="628"/>
      <c r="PBZ5" s="628"/>
      <c r="PCA5" s="628"/>
      <c r="PCB5" s="628"/>
      <c r="PCC5" s="628"/>
      <c r="PCD5" s="628"/>
      <c r="PCE5" s="628"/>
      <c r="PCF5" s="628"/>
      <c r="PCG5" s="628"/>
      <c r="PCH5" s="628"/>
      <c r="PCI5" s="628"/>
      <c r="PCJ5" s="628"/>
      <c r="PCK5" s="628"/>
      <c r="PCL5" s="628"/>
      <c r="PCM5" s="628"/>
      <c r="PCN5" s="628"/>
      <c r="PCO5" s="628"/>
      <c r="PCP5" s="628"/>
      <c r="PCQ5" s="628"/>
      <c r="PCR5" s="628"/>
      <c r="PCS5" s="628"/>
      <c r="PCT5" s="628"/>
      <c r="PCU5" s="628"/>
      <c r="PCV5" s="628"/>
      <c r="PCW5" s="628"/>
      <c r="PCX5" s="628"/>
      <c r="PCY5" s="628"/>
      <c r="PCZ5" s="628"/>
      <c r="PDA5" s="628"/>
      <c r="PDB5" s="628"/>
      <c r="PDC5" s="628"/>
      <c r="PDD5" s="628"/>
      <c r="PDE5" s="628"/>
      <c r="PDF5" s="628"/>
      <c r="PDG5" s="628"/>
      <c r="PDH5" s="628"/>
      <c r="PDI5" s="628"/>
      <c r="PDJ5" s="628"/>
      <c r="PDK5" s="628"/>
      <c r="PDL5" s="628"/>
      <c r="PDM5" s="628"/>
      <c r="PDN5" s="628"/>
      <c r="PDO5" s="628"/>
      <c r="PDP5" s="628"/>
      <c r="PDQ5" s="628"/>
      <c r="PDR5" s="628"/>
      <c r="PDS5" s="628"/>
      <c r="PDT5" s="628"/>
      <c r="PDU5" s="628"/>
      <c r="PDV5" s="628"/>
      <c r="PDW5" s="628"/>
      <c r="PDX5" s="628"/>
      <c r="PDY5" s="628"/>
      <c r="PDZ5" s="628"/>
      <c r="PEA5" s="628"/>
      <c r="PEB5" s="628"/>
      <c r="PEC5" s="628"/>
      <c r="PED5" s="628"/>
      <c r="PEE5" s="628"/>
      <c r="PEF5" s="628"/>
      <c r="PEG5" s="628"/>
      <c r="PEH5" s="628"/>
      <c r="PEI5" s="628"/>
      <c r="PEJ5" s="628"/>
      <c r="PEK5" s="628"/>
      <c r="PEL5" s="628"/>
      <c r="PEM5" s="628"/>
      <c r="PEN5" s="628"/>
      <c r="PEO5" s="628"/>
      <c r="PEP5" s="628"/>
      <c r="PEQ5" s="628"/>
      <c r="PER5" s="628"/>
      <c r="PES5" s="628"/>
      <c r="PET5" s="628"/>
      <c r="PEU5" s="628"/>
      <c r="PEV5" s="628"/>
      <c r="PEW5" s="628"/>
      <c r="PEX5" s="628"/>
      <c r="PEY5" s="628"/>
      <c r="PEZ5" s="628"/>
      <c r="PFA5" s="628"/>
      <c r="PFB5" s="628"/>
      <c r="PFC5" s="628"/>
      <c r="PFD5" s="628"/>
      <c r="PFE5" s="628"/>
      <c r="PFF5" s="628"/>
      <c r="PFG5" s="628"/>
      <c r="PFH5" s="628"/>
      <c r="PFI5" s="628"/>
      <c r="PFJ5" s="628"/>
      <c r="PFK5" s="628"/>
      <c r="PFL5" s="628"/>
      <c r="PFM5" s="628"/>
      <c r="PFN5" s="628"/>
      <c r="PFO5" s="628"/>
      <c r="PFP5" s="628"/>
      <c r="PFQ5" s="628"/>
      <c r="PFR5" s="628"/>
      <c r="PFS5" s="628"/>
      <c r="PFT5" s="628"/>
      <c r="PFU5" s="628"/>
      <c r="PFV5" s="628"/>
      <c r="PFW5" s="628"/>
      <c r="PFX5" s="628"/>
      <c r="PFY5" s="628"/>
      <c r="PFZ5" s="628"/>
      <c r="PGA5" s="628"/>
      <c r="PGB5" s="628"/>
      <c r="PGC5" s="628"/>
      <c r="PGD5" s="628"/>
      <c r="PGE5" s="628"/>
      <c r="PGF5" s="628"/>
      <c r="PGG5" s="628"/>
      <c r="PGH5" s="628"/>
      <c r="PGI5" s="628"/>
      <c r="PGJ5" s="628"/>
      <c r="PGK5" s="628"/>
      <c r="PGL5" s="628"/>
      <c r="PGM5" s="628"/>
      <c r="PGN5" s="628"/>
      <c r="PGO5" s="628"/>
      <c r="PGP5" s="628"/>
      <c r="PGQ5" s="628"/>
      <c r="PGR5" s="628"/>
      <c r="PGS5" s="628"/>
      <c r="PGT5" s="628"/>
      <c r="PGU5" s="628"/>
      <c r="PGV5" s="628"/>
      <c r="PGW5" s="628"/>
      <c r="PGX5" s="628"/>
      <c r="PGY5" s="628"/>
      <c r="PGZ5" s="628"/>
      <c r="PHA5" s="628"/>
      <c r="PHB5" s="628"/>
      <c r="PHC5" s="628"/>
      <c r="PHD5" s="628"/>
      <c r="PHE5" s="628"/>
      <c r="PHF5" s="628"/>
      <c r="PHG5" s="628"/>
      <c r="PHH5" s="628"/>
      <c r="PHI5" s="628"/>
      <c r="PHJ5" s="628"/>
      <c r="PHK5" s="628"/>
      <c r="PHL5" s="628"/>
      <c r="PHM5" s="628"/>
      <c r="PHN5" s="628"/>
      <c r="PHO5" s="628"/>
      <c r="PHP5" s="628"/>
      <c r="PHQ5" s="628"/>
      <c r="PHR5" s="628"/>
      <c r="PHS5" s="628"/>
      <c r="PHT5" s="628"/>
      <c r="PHU5" s="628"/>
      <c r="PHV5" s="628"/>
      <c r="PHW5" s="628"/>
      <c r="PHX5" s="628"/>
      <c r="PHY5" s="628"/>
      <c r="PHZ5" s="628"/>
      <c r="PIA5" s="628"/>
      <c r="PIB5" s="628"/>
      <c r="PIC5" s="628"/>
      <c r="PID5" s="628"/>
      <c r="PIE5" s="628"/>
      <c r="PIF5" s="628"/>
      <c r="PIG5" s="628"/>
      <c r="PIH5" s="628"/>
      <c r="PII5" s="628"/>
      <c r="PIJ5" s="628"/>
      <c r="PIK5" s="628"/>
      <c r="PIL5" s="628"/>
      <c r="PIM5" s="628"/>
      <c r="PIN5" s="628"/>
      <c r="PIO5" s="628"/>
      <c r="PIP5" s="628"/>
      <c r="PIQ5" s="628"/>
      <c r="PIR5" s="628"/>
      <c r="PIS5" s="628"/>
      <c r="PIT5" s="628"/>
      <c r="PIU5" s="628"/>
      <c r="PIV5" s="628"/>
      <c r="PIW5" s="628"/>
      <c r="PIX5" s="628"/>
      <c r="PIY5" s="628"/>
      <c r="PIZ5" s="628"/>
      <c r="PJA5" s="628"/>
      <c r="PJB5" s="628"/>
      <c r="PJC5" s="628"/>
      <c r="PJD5" s="628"/>
      <c r="PJE5" s="628"/>
      <c r="PJF5" s="628"/>
      <c r="PJG5" s="628"/>
      <c r="PJH5" s="628"/>
      <c r="PJI5" s="628"/>
      <c r="PJJ5" s="628"/>
      <c r="PJK5" s="628"/>
      <c r="PJL5" s="628"/>
      <c r="PJM5" s="628"/>
      <c r="PJN5" s="628"/>
      <c r="PJO5" s="628"/>
      <c r="PJP5" s="628"/>
      <c r="PJQ5" s="628"/>
      <c r="PJR5" s="628"/>
      <c r="PJS5" s="628"/>
      <c r="PJT5" s="628"/>
      <c r="PJU5" s="628"/>
      <c r="PJV5" s="628"/>
      <c r="PJW5" s="628"/>
      <c r="PJX5" s="628"/>
      <c r="PJY5" s="628"/>
      <c r="PJZ5" s="628"/>
      <c r="PKA5" s="628"/>
      <c r="PKB5" s="628"/>
      <c r="PKC5" s="628"/>
      <c r="PKD5" s="628"/>
      <c r="PKE5" s="628"/>
      <c r="PKF5" s="628"/>
      <c r="PKG5" s="628"/>
      <c r="PKH5" s="628"/>
      <c r="PKI5" s="628"/>
      <c r="PKJ5" s="628"/>
      <c r="PKK5" s="628"/>
      <c r="PKL5" s="628"/>
      <c r="PKM5" s="628"/>
      <c r="PKN5" s="628"/>
      <c r="PKO5" s="628"/>
      <c r="PKP5" s="628"/>
      <c r="PKQ5" s="628"/>
      <c r="PKR5" s="628"/>
      <c r="PKS5" s="628"/>
      <c r="PKT5" s="628"/>
      <c r="PKU5" s="628"/>
      <c r="PKV5" s="628"/>
      <c r="PKW5" s="628"/>
      <c r="PKX5" s="628"/>
      <c r="PKY5" s="628"/>
      <c r="PKZ5" s="628"/>
      <c r="PLA5" s="628"/>
      <c r="PLB5" s="628"/>
      <c r="PLC5" s="628"/>
      <c r="PLD5" s="628"/>
      <c r="PLE5" s="628"/>
      <c r="PLF5" s="628"/>
      <c r="PLG5" s="628"/>
      <c r="PLH5" s="628"/>
      <c r="PLI5" s="628"/>
      <c r="PLJ5" s="628"/>
      <c r="PLK5" s="628"/>
      <c r="PLL5" s="628"/>
      <c r="PLM5" s="628"/>
      <c r="PLN5" s="628"/>
      <c r="PLO5" s="628"/>
      <c r="PLP5" s="628"/>
      <c r="PLQ5" s="628"/>
      <c r="PLR5" s="628"/>
      <c r="PLS5" s="628"/>
      <c r="PLT5" s="628"/>
      <c r="PLU5" s="628"/>
      <c r="PLV5" s="628"/>
      <c r="PLW5" s="628"/>
      <c r="PLX5" s="628"/>
      <c r="PLY5" s="628"/>
      <c r="PLZ5" s="628"/>
      <c r="PMA5" s="628"/>
      <c r="PMB5" s="628"/>
      <c r="PMC5" s="628"/>
      <c r="PMD5" s="628"/>
      <c r="PME5" s="628"/>
      <c r="PMF5" s="628"/>
      <c r="PMG5" s="628"/>
      <c r="PMH5" s="628"/>
      <c r="PMI5" s="628"/>
      <c r="PMJ5" s="628"/>
      <c r="PMK5" s="628"/>
      <c r="PML5" s="628"/>
      <c r="PMM5" s="628"/>
      <c r="PMN5" s="628"/>
      <c r="PMO5" s="628"/>
      <c r="PMP5" s="628"/>
      <c r="PMQ5" s="628"/>
      <c r="PMR5" s="628"/>
      <c r="PMS5" s="628"/>
      <c r="PMT5" s="628"/>
      <c r="PMU5" s="628"/>
      <c r="PMV5" s="628"/>
      <c r="PMW5" s="628"/>
      <c r="PMX5" s="628"/>
      <c r="PMY5" s="628"/>
      <c r="PMZ5" s="628"/>
      <c r="PNA5" s="628"/>
      <c r="PNB5" s="628"/>
      <c r="PNC5" s="628"/>
      <c r="PND5" s="628"/>
      <c r="PNE5" s="628"/>
      <c r="PNF5" s="628"/>
      <c r="PNG5" s="628"/>
      <c r="PNH5" s="628"/>
      <c r="PNI5" s="628"/>
      <c r="PNJ5" s="628"/>
      <c r="PNK5" s="628"/>
      <c r="PNL5" s="628"/>
      <c r="PNM5" s="628"/>
      <c r="PNN5" s="628"/>
      <c r="PNO5" s="628"/>
      <c r="PNP5" s="628"/>
      <c r="PNQ5" s="628"/>
      <c r="PNR5" s="628"/>
      <c r="PNS5" s="628"/>
      <c r="PNT5" s="628"/>
      <c r="PNU5" s="628"/>
      <c r="PNV5" s="628"/>
      <c r="PNW5" s="628"/>
      <c r="PNX5" s="628"/>
      <c r="PNY5" s="628"/>
      <c r="PNZ5" s="628"/>
      <c r="POA5" s="628"/>
      <c r="POB5" s="628"/>
      <c r="POC5" s="628"/>
      <c r="POD5" s="628"/>
      <c r="POE5" s="628"/>
      <c r="POF5" s="628"/>
      <c r="POG5" s="628"/>
      <c r="POH5" s="628"/>
      <c r="POI5" s="628"/>
      <c r="POJ5" s="628"/>
      <c r="POK5" s="628"/>
      <c r="POL5" s="628"/>
      <c r="POM5" s="628"/>
      <c r="PON5" s="628"/>
      <c r="POO5" s="628"/>
      <c r="POP5" s="628"/>
      <c r="POQ5" s="628"/>
      <c r="POR5" s="628"/>
      <c r="POS5" s="628"/>
      <c r="POT5" s="628"/>
      <c r="POU5" s="628"/>
      <c r="POV5" s="628"/>
      <c r="POW5" s="628"/>
      <c r="POX5" s="628"/>
      <c r="POY5" s="628"/>
      <c r="POZ5" s="628"/>
      <c r="PPA5" s="628"/>
      <c r="PPB5" s="628"/>
      <c r="PPC5" s="628"/>
      <c r="PPD5" s="628"/>
      <c r="PPE5" s="628"/>
      <c r="PPF5" s="628"/>
      <c r="PPG5" s="628"/>
      <c r="PPH5" s="628"/>
      <c r="PPI5" s="628"/>
      <c r="PPJ5" s="628"/>
      <c r="PPK5" s="628"/>
      <c r="PPL5" s="628"/>
      <c r="PPM5" s="628"/>
      <c r="PPN5" s="628"/>
      <c r="PPO5" s="628"/>
      <c r="PPP5" s="628"/>
      <c r="PPQ5" s="628"/>
      <c r="PPR5" s="628"/>
      <c r="PPS5" s="628"/>
      <c r="PPT5" s="628"/>
      <c r="PPU5" s="628"/>
      <c r="PPV5" s="628"/>
      <c r="PPW5" s="628"/>
      <c r="PPX5" s="628"/>
      <c r="PPY5" s="628"/>
      <c r="PPZ5" s="628"/>
      <c r="PQA5" s="628"/>
      <c r="PQB5" s="628"/>
      <c r="PQC5" s="628"/>
      <c r="PQD5" s="628"/>
      <c r="PQE5" s="628"/>
      <c r="PQF5" s="628"/>
      <c r="PQG5" s="628"/>
      <c r="PQH5" s="628"/>
      <c r="PQI5" s="628"/>
      <c r="PQJ5" s="628"/>
      <c r="PQK5" s="628"/>
      <c r="PQL5" s="628"/>
      <c r="PQM5" s="628"/>
      <c r="PQN5" s="628"/>
      <c r="PQO5" s="628"/>
      <c r="PQP5" s="628"/>
      <c r="PQQ5" s="628"/>
      <c r="PQR5" s="628"/>
      <c r="PQS5" s="628"/>
      <c r="PQT5" s="628"/>
      <c r="PQU5" s="628"/>
      <c r="PQV5" s="628"/>
      <c r="PQW5" s="628"/>
      <c r="PQX5" s="628"/>
      <c r="PQY5" s="628"/>
      <c r="PQZ5" s="628"/>
      <c r="PRA5" s="628"/>
      <c r="PRB5" s="628"/>
      <c r="PRC5" s="628"/>
      <c r="PRD5" s="628"/>
      <c r="PRE5" s="628"/>
      <c r="PRF5" s="628"/>
      <c r="PRG5" s="628"/>
      <c r="PRH5" s="628"/>
      <c r="PRI5" s="628"/>
      <c r="PRJ5" s="628"/>
      <c r="PRK5" s="628"/>
      <c r="PRL5" s="628"/>
      <c r="PRM5" s="628"/>
      <c r="PRN5" s="628"/>
      <c r="PRO5" s="628"/>
      <c r="PRP5" s="628"/>
      <c r="PRQ5" s="628"/>
      <c r="PRR5" s="628"/>
      <c r="PRS5" s="628"/>
      <c r="PRT5" s="628"/>
      <c r="PRU5" s="628"/>
      <c r="PRV5" s="628"/>
      <c r="PRW5" s="628"/>
      <c r="PRX5" s="628"/>
      <c r="PRY5" s="628"/>
      <c r="PRZ5" s="628"/>
      <c r="PSA5" s="628"/>
      <c r="PSB5" s="628"/>
      <c r="PSC5" s="628"/>
      <c r="PSD5" s="628"/>
      <c r="PSE5" s="628"/>
      <c r="PSF5" s="628"/>
      <c r="PSG5" s="628"/>
      <c r="PSH5" s="628"/>
      <c r="PSI5" s="628"/>
      <c r="PSJ5" s="628"/>
      <c r="PSK5" s="628"/>
      <c r="PSL5" s="628"/>
      <c r="PSM5" s="628"/>
      <c r="PSN5" s="628"/>
      <c r="PSO5" s="628"/>
      <c r="PSP5" s="628"/>
      <c r="PSQ5" s="628"/>
      <c r="PSR5" s="628"/>
      <c r="PSS5" s="628"/>
      <c r="PST5" s="628"/>
      <c r="PSU5" s="628"/>
      <c r="PSV5" s="628"/>
      <c r="PSW5" s="628"/>
      <c r="PSX5" s="628"/>
      <c r="PSY5" s="628"/>
      <c r="PSZ5" s="628"/>
      <c r="PTA5" s="628"/>
      <c r="PTB5" s="628"/>
      <c r="PTC5" s="628"/>
      <c r="PTD5" s="628"/>
      <c r="PTE5" s="628"/>
      <c r="PTF5" s="628"/>
      <c r="PTG5" s="628"/>
      <c r="PTH5" s="628"/>
      <c r="PTI5" s="628"/>
      <c r="PTJ5" s="628"/>
      <c r="PTK5" s="628"/>
      <c r="PTL5" s="628"/>
      <c r="PTM5" s="628"/>
      <c r="PTN5" s="628"/>
      <c r="PTO5" s="628"/>
      <c r="PTP5" s="628"/>
      <c r="PTQ5" s="628"/>
      <c r="PTR5" s="628"/>
      <c r="PTS5" s="628"/>
      <c r="PTT5" s="628"/>
      <c r="PTU5" s="628"/>
      <c r="PTV5" s="628"/>
      <c r="PTW5" s="628"/>
      <c r="PTX5" s="628"/>
      <c r="PTY5" s="628"/>
      <c r="PTZ5" s="628"/>
      <c r="PUA5" s="628"/>
      <c r="PUB5" s="628"/>
      <c r="PUC5" s="628"/>
      <c r="PUD5" s="628"/>
      <c r="PUE5" s="628"/>
      <c r="PUF5" s="628"/>
      <c r="PUG5" s="628"/>
      <c r="PUH5" s="628"/>
      <c r="PUI5" s="628"/>
      <c r="PUJ5" s="628"/>
      <c r="PUK5" s="628"/>
      <c r="PUL5" s="628"/>
      <c r="PUM5" s="628"/>
      <c r="PUN5" s="628"/>
      <c r="PUO5" s="628"/>
      <c r="PUP5" s="628"/>
      <c r="PUQ5" s="628"/>
      <c r="PUR5" s="628"/>
      <c r="PUS5" s="628"/>
      <c r="PUT5" s="628"/>
      <c r="PUU5" s="628"/>
      <c r="PUV5" s="628"/>
      <c r="PUW5" s="628"/>
      <c r="PUX5" s="628"/>
      <c r="PUY5" s="628"/>
      <c r="PUZ5" s="628"/>
      <c r="PVA5" s="628"/>
      <c r="PVB5" s="628"/>
      <c r="PVC5" s="628"/>
      <c r="PVD5" s="628"/>
      <c r="PVE5" s="628"/>
      <c r="PVF5" s="628"/>
      <c r="PVG5" s="628"/>
      <c r="PVH5" s="628"/>
      <c r="PVI5" s="628"/>
      <c r="PVJ5" s="628"/>
      <c r="PVK5" s="628"/>
      <c r="PVL5" s="628"/>
      <c r="PVM5" s="628"/>
      <c r="PVN5" s="628"/>
      <c r="PVO5" s="628"/>
      <c r="PVP5" s="628"/>
      <c r="PVQ5" s="628"/>
      <c r="PVR5" s="628"/>
      <c r="PVS5" s="628"/>
      <c r="PVT5" s="628"/>
      <c r="PVU5" s="628"/>
      <c r="PVV5" s="628"/>
      <c r="PVW5" s="628"/>
      <c r="PVX5" s="628"/>
      <c r="PVY5" s="628"/>
      <c r="PVZ5" s="628"/>
      <c r="PWA5" s="628"/>
      <c r="PWB5" s="628"/>
      <c r="PWC5" s="628"/>
      <c r="PWD5" s="628"/>
      <c r="PWE5" s="628"/>
      <c r="PWF5" s="628"/>
      <c r="PWG5" s="628"/>
      <c r="PWH5" s="628"/>
      <c r="PWI5" s="628"/>
      <c r="PWJ5" s="628"/>
      <c r="PWK5" s="628"/>
      <c r="PWL5" s="628"/>
      <c r="PWM5" s="628"/>
      <c r="PWN5" s="628"/>
      <c r="PWO5" s="628"/>
      <c r="PWP5" s="628"/>
      <c r="PWQ5" s="628"/>
      <c r="PWR5" s="628"/>
      <c r="PWS5" s="628"/>
      <c r="PWT5" s="628"/>
      <c r="PWU5" s="628"/>
      <c r="PWV5" s="628"/>
      <c r="PWW5" s="628"/>
      <c r="PWX5" s="628"/>
      <c r="PWY5" s="628"/>
      <c r="PWZ5" s="628"/>
      <c r="PXA5" s="628"/>
      <c r="PXB5" s="628"/>
      <c r="PXC5" s="628"/>
      <c r="PXD5" s="628"/>
      <c r="PXE5" s="628"/>
      <c r="PXF5" s="628"/>
      <c r="PXG5" s="628"/>
      <c r="PXH5" s="628"/>
      <c r="PXI5" s="628"/>
      <c r="PXJ5" s="628"/>
      <c r="PXK5" s="628"/>
      <c r="PXL5" s="628"/>
      <c r="PXM5" s="628"/>
      <c r="PXN5" s="628"/>
      <c r="PXO5" s="628"/>
      <c r="PXP5" s="628"/>
      <c r="PXQ5" s="628"/>
      <c r="PXR5" s="628"/>
      <c r="PXS5" s="628"/>
      <c r="PXT5" s="628"/>
      <c r="PXU5" s="628"/>
      <c r="PXV5" s="628"/>
      <c r="PXW5" s="628"/>
      <c r="PXX5" s="628"/>
      <c r="PXY5" s="628"/>
      <c r="PXZ5" s="628"/>
      <c r="PYA5" s="628"/>
      <c r="PYB5" s="628"/>
      <c r="PYC5" s="628"/>
      <c r="PYD5" s="628"/>
      <c r="PYE5" s="628"/>
      <c r="PYF5" s="628"/>
      <c r="PYG5" s="628"/>
      <c r="PYH5" s="628"/>
      <c r="PYI5" s="628"/>
      <c r="PYJ5" s="628"/>
      <c r="PYK5" s="628"/>
      <c r="PYL5" s="628"/>
      <c r="PYM5" s="628"/>
      <c r="PYN5" s="628"/>
      <c r="PYO5" s="628"/>
      <c r="PYP5" s="628"/>
      <c r="PYQ5" s="628"/>
      <c r="PYR5" s="628"/>
      <c r="PYS5" s="628"/>
      <c r="PYT5" s="628"/>
      <c r="PYU5" s="628"/>
      <c r="PYV5" s="628"/>
      <c r="PYW5" s="628"/>
      <c r="PYX5" s="628"/>
      <c r="PYY5" s="628"/>
      <c r="PYZ5" s="628"/>
      <c r="PZA5" s="628"/>
      <c r="PZB5" s="628"/>
      <c r="PZC5" s="628"/>
      <c r="PZD5" s="628"/>
      <c r="PZE5" s="628"/>
      <c r="PZF5" s="628"/>
      <c r="PZG5" s="628"/>
      <c r="PZH5" s="628"/>
      <c r="PZI5" s="628"/>
      <c r="PZJ5" s="628"/>
      <c r="PZK5" s="628"/>
      <c r="PZL5" s="628"/>
      <c r="PZM5" s="628"/>
      <c r="PZN5" s="628"/>
      <c r="PZO5" s="628"/>
      <c r="PZP5" s="628"/>
      <c r="PZQ5" s="628"/>
      <c r="PZR5" s="628"/>
      <c r="PZS5" s="628"/>
      <c r="PZT5" s="628"/>
      <c r="PZU5" s="628"/>
      <c r="PZV5" s="628"/>
      <c r="PZW5" s="628"/>
      <c r="PZX5" s="628"/>
      <c r="PZY5" s="628"/>
      <c r="PZZ5" s="628"/>
      <c r="QAA5" s="628"/>
      <c r="QAB5" s="628"/>
      <c r="QAC5" s="628"/>
      <c r="QAD5" s="628"/>
      <c r="QAE5" s="628"/>
      <c r="QAF5" s="628"/>
      <c r="QAG5" s="628"/>
      <c r="QAH5" s="628"/>
      <c r="QAI5" s="628"/>
      <c r="QAJ5" s="628"/>
      <c r="QAK5" s="628"/>
      <c r="QAL5" s="628"/>
      <c r="QAM5" s="628"/>
      <c r="QAN5" s="628"/>
      <c r="QAO5" s="628"/>
      <c r="QAP5" s="628"/>
      <c r="QAQ5" s="628"/>
      <c r="QAR5" s="628"/>
      <c r="QAS5" s="628"/>
      <c r="QAT5" s="628"/>
      <c r="QAU5" s="628"/>
      <c r="QAV5" s="628"/>
      <c r="QAW5" s="628"/>
      <c r="QAX5" s="628"/>
      <c r="QAY5" s="628"/>
      <c r="QAZ5" s="628"/>
      <c r="QBA5" s="628"/>
      <c r="QBB5" s="628"/>
      <c r="QBC5" s="628"/>
      <c r="QBD5" s="628"/>
      <c r="QBE5" s="628"/>
      <c r="QBF5" s="628"/>
      <c r="QBG5" s="628"/>
      <c r="QBH5" s="628"/>
      <c r="QBI5" s="628"/>
      <c r="QBJ5" s="628"/>
      <c r="QBK5" s="628"/>
      <c r="QBL5" s="628"/>
      <c r="QBM5" s="628"/>
      <c r="QBN5" s="628"/>
      <c r="QBO5" s="628"/>
      <c r="QBP5" s="628"/>
      <c r="QBQ5" s="628"/>
      <c r="QBR5" s="628"/>
      <c r="QBS5" s="628"/>
      <c r="QBT5" s="628"/>
      <c r="QBU5" s="628"/>
      <c r="QBV5" s="628"/>
      <c r="QBW5" s="628"/>
      <c r="QBX5" s="628"/>
      <c r="QBY5" s="628"/>
      <c r="QBZ5" s="628"/>
      <c r="QCA5" s="628"/>
      <c r="QCB5" s="628"/>
      <c r="QCC5" s="628"/>
      <c r="QCD5" s="628"/>
      <c r="QCE5" s="628"/>
      <c r="QCF5" s="628"/>
      <c r="QCG5" s="628"/>
      <c r="QCH5" s="628"/>
      <c r="QCI5" s="628"/>
      <c r="QCJ5" s="628"/>
      <c r="QCK5" s="628"/>
      <c r="QCL5" s="628"/>
      <c r="QCM5" s="628"/>
      <c r="QCN5" s="628"/>
      <c r="QCO5" s="628"/>
      <c r="QCP5" s="628"/>
      <c r="QCQ5" s="628"/>
      <c r="QCR5" s="628"/>
      <c r="QCS5" s="628"/>
      <c r="QCT5" s="628"/>
      <c r="QCU5" s="628"/>
      <c r="QCV5" s="628"/>
      <c r="QCW5" s="628"/>
      <c r="QCX5" s="628"/>
      <c r="QCY5" s="628"/>
      <c r="QCZ5" s="628"/>
      <c r="QDA5" s="628"/>
      <c r="QDB5" s="628"/>
      <c r="QDC5" s="628"/>
      <c r="QDD5" s="628"/>
      <c r="QDE5" s="628"/>
      <c r="QDF5" s="628"/>
      <c r="QDG5" s="628"/>
      <c r="QDH5" s="628"/>
      <c r="QDI5" s="628"/>
      <c r="QDJ5" s="628"/>
      <c r="QDK5" s="628"/>
      <c r="QDL5" s="628"/>
      <c r="QDM5" s="628"/>
      <c r="QDN5" s="628"/>
      <c r="QDO5" s="628"/>
      <c r="QDP5" s="628"/>
      <c r="QDQ5" s="628"/>
      <c r="QDR5" s="628"/>
      <c r="QDS5" s="628"/>
      <c r="QDT5" s="628"/>
      <c r="QDU5" s="628"/>
      <c r="QDV5" s="628"/>
      <c r="QDW5" s="628"/>
      <c r="QDX5" s="628"/>
      <c r="QDY5" s="628"/>
      <c r="QDZ5" s="628"/>
      <c r="QEA5" s="628"/>
      <c r="QEB5" s="628"/>
      <c r="QEC5" s="628"/>
      <c r="QED5" s="628"/>
      <c r="QEE5" s="628"/>
      <c r="QEF5" s="628"/>
      <c r="QEG5" s="628"/>
      <c r="QEH5" s="628"/>
      <c r="QEI5" s="628"/>
      <c r="QEJ5" s="628"/>
      <c r="QEK5" s="628"/>
      <c r="QEL5" s="628"/>
      <c r="QEM5" s="628"/>
      <c r="QEN5" s="628"/>
      <c r="QEO5" s="628"/>
      <c r="QEP5" s="628"/>
      <c r="QEQ5" s="628"/>
      <c r="QER5" s="628"/>
      <c r="QES5" s="628"/>
      <c r="QET5" s="628"/>
      <c r="QEU5" s="628"/>
      <c r="QEV5" s="628"/>
      <c r="QEW5" s="628"/>
      <c r="QEX5" s="628"/>
      <c r="QEY5" s="628"/>
      <c r="QEZ5" s="628"/>
      <c r="QFA5" s="628"/>
      <c r="QFB5" s="628"/>
      <c r="QFC5" s="628"/>
      <c r="QFD5" s="628"/>
      <c r="QFE5" s="628"/>
      <c r="QFF5" s="628"/>
      <c r="QFG5" s="628"/>
      <c r="QFH5" s="628"/>
      <c r="QFI5" s="628"/>
      <c r="QFJ5" s="628"/>
      <c r="QFK5" s="628"/>
      <c r="QFL5" s="628"/>
      <c r="QFM5" s="628"/>
      <c r="QFN5" s="628"/>
      <c r="QFO5" s="628"/>
      <c r="QFP5" s="628"/>
      <c r="QFQ5" s="628"/>
      <c r="QFR5" s="628"/>
      <c r="QFS5" s="628"/>
      <c r="QFT5" s="628"/>
      <c r="QFU5" s="628"/>
      <c r="QFV5" s="628"/>
      <c r="QFW5" s="628"/>
      <c r="QFX5" s="628"/>
      <c r="QFY5" s="628"/>
      <c r="QFZ5" s="628"/>
      <c r="QGA5" s="628"/>
      <c r="QGB5" s="628"/>
      <c r="QGC5" s="628"/>
      <c r="QGD5" s="628"/>
      <c r="QGE5" s="628"/>
      <c r="QGF5" s="628"/>
      <c r="QGG5" s="628"/>
      <c r="QGH5" s="628"/>
      <c r="QGI5" s="628"/>
      <c r="QGJ5" s="628"/>
      <c r="QGK5" s="628"/>
      <c r="QGL5" s="628"/>
      <c r="QGM5" s="628"/>
      <c r="QGN5" s="628"/>
      <c r="QGO5" s="628"/>
      <c r="QGP5" s="628"/>
      <c r="QGQ5" s="628"/>
      <c r="QGR5" s="628"/>
      <c r="QGS5" s="628"/>
      <c r="QGT5" s="628"/>
      <c r="QGU5" s="628"/>
      <c r="QGV5" s="628"/>
      <c r="QGW5" s="628"/>
      <c r="QGX5" s="628"/>
      <c r="QGY5" s="628"/>
      <c r="QGZ5" s="628"/>
      <c r="QHA5" s="628"/>
      <c r="QHB5" s="628"/>
      <c r="QHC5" s="628"/>
      <c r="QHD5" s="628"/>
      <c r="QHE5" s="628"/>
      <c r="QHF5" s="628"/>
      <c r="QHG5" s="628"/>
      <c r="QHH5" s="628"/>
      <c r="QHI5" s="628"/>
      <c r="QHJ5" s="628"/>
      <c r="QHK5" s="628"/>
      <c r="QHL5" s="628"/>
      <c r="QHM5" s="628"/>
      <c r="QHN5" s="628"/>
      <c r="QHO5" s="628"/>
      <c r="QHP5" s="628"/>
      <c r="QHQ5" s="628"/>
      <c r="QHR5" s="628"/>
      <c r="QHS5" s="628"/>
      <c r="QHT5" s="628"/>
      <c r="QHU5" s="628"/>
      <c r="QHV5" s="628"/>
      <c r="QHW5" s="628"/>
      <c r="QHX5" s="628"/>
      <c r="QHY5" s="628"/>
      <c r="QHZ5" s="628"/>
      <c r="QIA5" s="628"/>
      <c r="QIB5" s="628"/>
      <c r="QIC5" s="628"/>
      <c r="QID5" s="628"/>
      <c r="QIE5" s="628"/>
      <c r="QIF5" s="628"/>
      <c r="QIG5" s="628"/>
      <c r="QIH5" s="628"/>
      <c r="QII5" s="628"/>
      <c r="QIJ5" s="628"/>
      <c r="QIK5" s="628"/>
      <c r="QIL5" s="628"/>
      <c r="QIM5" s="628"/>
      <c r="QIN5" s="628"/>
      <c r="QIO5" s="628"/>
      <c r="QIP5" s="628"/>
      <c r="QIQ5" s="628"/>
      <c r="QIR5" s="628"/>
      <c r="QIS5" s="628"/>
      <c r="QIT5" s="628"/>
      <c r="QIU5" s="628"/>
      <c r="QIV5" s="628"/>
      <c r="QIW5" s="628"/>
      <c r="QIX5" s="628"/>
      <c r="QIY5" s="628"/>
      <c r="QIZ5" s="628"/>
      <c r="QJA5" s="628"/>
      <c r="QJB5" s="628"/>
      <c r="QJC5" s="628"/>
      <c r="QJD5" s="628"/>
      <c r="QJE5" s="628"/>
      <c r="QJF5" s="628"/>
      <c r="QJG5" s="628"/>
      <c r="QJH5" s="628"/>
      <c r="QJI5" s="628"/>
      <c r="QJJ5" s="628"/>
      <c r="QJK5" s="628"/>
      <c r="QJL5" s="628"/>
      <c r="QJM5" s="628"/>
      <c r="QJN5" s="628"/>
      <c r="QJO5" s="628"/>
      <c r="QJP5" s="628"/>
      <c r="QJQ5" s="628"/>
      <c r="QJR5" s="628"/>
      <c r="QJS5" s="628"/>
      <c r="QJT5" s="628"/>
      <c r="QJU5" s="628"/>
      <c r="QJV5" s="628"/>
      <c r="QJW5" s="628"/>
      <c r="QJX5" s="628"/>
      <c r="QJY5" s="628"/>
      <c r="QJZ5" s="628"/>
      <c r="QKA5" s="628"/>
      <c r="QKB5" s="628"/>
      <c r="QKC5" s="628"/>
      <c r="QKD5" s="628"/>
      <c r="QKE5" s="628"/>
      <c r="QKF5" s="628"/>
      <c r="QKG5" s="628"/>
      <c r="QKH5" s="628"/>
      <c r="QKI5" s="628"/>
      <c r="QKJ5" s="628"/>
      <c r="QKK5" s="628"/>
      <c r="QKL5" s="628"/>
      <c r="QKM5" s="628"/>
      <c r="QKN5" s="628"/>
      <c r="QKO5" s="628"/>
      <c r="QKP5" s="628"/>
      <c r="QKQ5" s="628"/>
      <c r="QKR5" s="628"/>
      <c r="QKS5" s="628"/>
      <c r="QKT5" s="628"/>
      <c r="QKU5" s="628"/>
      <c r="QKV5" s="628"/>
      <c r="QKW5" s="628"/>
      <c r="QKX5" s="628"/>
      <c r="QKY5" s="628"/>
      <c r="QKZ5" s="628"/>
      <c r="QLA5" s="628"/>
      <c r="QLB5" s="628"/>
      <c r="QLC5" s="628"/>
      <c r="QLD5" s="628"/>
      <c r="QLE5" s="628"/>
      <c r="QLF5" s="628"/>
      <c r="QLG5" s="628"/>
      <c r="QLH5" s="628"/>
      <c r="QLI5" s="628"/>
      <c r="QLJ5" s="628"/>
      <c r="QLK5" s="628"/>
      <c r="QLL5" s="628"/>
      <c r="QLM5" s="628"/>
      <c r="QLN5" s="628"/>
      <c r="QLO5" s="628"/>
      <c r="QLP5" s="628"/>
      <c r="QLQ5" s="628"/>
      <c r="QLR5" s="628"/>
      <c r="QLS5" s="628"/>
      <c r="QLT5" s="628"/>
      <c r="QLU5" s="628"/>
      <c r="QLV5" s="628"/>
      <c r="QLW5" s="628"/>
      <c r="QLX5" s="628"/>
      <c r="QLY5" s="628"/>
      <c r="QLZ5" s="628"/>
      <c r="QMA5" s="628"/>
      <c r="QMB5" s="628"/>
      <c r="QMC5" s="628"/>
      <c r="QMD5" s="628"/>
      <c r="QME5" s="628"/>
      <c r="QMF5" s="628"/>
      <c r="QMG5" s="628"/>
      <c r="QMH5" s="628"/>
      <c r="QMI5" s="628"/>
      <c r="QMJ5" s="628"/>
      <c r="QMK5" s="628"/>
      <c r="QML5" s="628"/>
      <c r="QMM5" s="628"/>
      <c r="QMN5" s="628"/>
      <c r="QMO5" s="628"/>
      <c r="QMP5" s="628"/>
      <c r="QMQ5" s="628"/>
      <c r="QMR5" s="628"/>
      <c r="QMS5" s="628"/>
      <c r="QMT5" s="628"/>
      <c r="QMU5" s="628"/>
      <c r="QMV5" s="628"/>
      <c r="QMW5" s="628"/>
      <c r="QMX5" s="628"/>
      <c r="QMY5" s="628"/>
      <c r="QMZ5" s="628"/>
      <c r="QNA5" s="628"/>
      <c r="QNB5" s="628"/>
      <c r="QNC5" s="628"/>
      <c r="QND5" s="628"/>
      <c r="QNE5" s="628"/>
      <c r="QNF5" s="628"/>
      <c r="QNG5" s="628"/>
      <c r="QNH5" s="628"/>
      <c r="QNI5" s="628"/>
      <c r="QNJ5" s="628"/>
      <c r="QNK5" s="628"/>
      <c r="QNL5" s="628"/>
      <c r="QNM5" s="628"/>
      <c r="QNN5" s="628"/>
      <c r="QNO5" s="628"/>
      <c r="QNP5" s="628"/>
      <c r="QNQ5" s="628"/>
      <c r="QNR5" s="628"/>
      <c r="QNS5" s="628"/>
      <c r="QNT5" s="628"/>
      <c r="QNU5" s="628"/>
      <c r="QNV5" s="628"/>
      <c r="QNW5" s="628"/>
      <c r="QNX5" s="628"/>
      <c r="QNY5" s="628"/>
      <c r="QNZ5" s="628"/>
      <c r="QOA5" s="628"/>
      <c r="QOB5" s="628"/>
      <c r="QOC5" s="628"/>
      <c r="QOD5" s="628"/>
      <c r="QOE5" s="628"/>
      <c r="QOF5" s="628"/>
      <c r="QOG5" s="628"/>
      <c r="QOH5" s="628"/>
      <c r="QOI5" s="628"/>
      <c r="QOJ5" s="628"/>
      <c r="QOK5" s="628"/>
      <c r="QOL5" s="628"/>
      <c r="QOM5" s="628"/>
      <c r="QON5" s="628"/>
      <c r="QOO5" s="628"/>
      <c r="QOP5" s="628"/>
      <c r="QOQ5" s="628"/>
      <c r="QOR5" s="628"/>
      <c r="QOS5" s="628"/>
      <c r="QOT5" s="628"/>
      <c r="QOU5" s="628"/>
      <c r="QOV5" s="628"/>
      <c r="QOW5" s="628"/>
      <c r="QOX5" s="628"/>
      <c r="QOY5" s="628"/>
      <c r="QOZ5" s="628"/>
      <c r="QPA5" s="628"/>
      <c r="QPB5" s="628"/>
      <c r="QPC5" s="628"/>
      <c r="QPD5" s="628"/>
      <c r="QPE5" s="628"/>
      <c r="QPF5" s="628"/>
      <c r="QPG5" s="628"/>
      <c r="QPH5" s="628"/>
      <c r="QPI5" s="628"/>
      <c r="QPJ5" s="628"/>
      <c r="QPK5" s="628"/>
      <c r="QPL5" s="628"/>
      <c r="QPM5" s="628"/>
      <c r="QPN5" s="628"/>
      <c r="QPO5" s="628"/>
      <c r="QPP5" s="628"/>
      <c r="QPQ5" s="628"/>
      <c r="QPR5" s="628"/>
      <c r="QPS5" s="628"/>
      <c r="QPT5" s="628"/>
      <c r="QPU5" s="628"/>
      <c r="QPV5" s="628"/>
      <c r="QPW5" s="628"/>
      <c r="QPX5" s="628"/>
      <c r="QPY5" s="628"/>
      <c r="QPZ5" s="628"/>
      <c r="QQA5" s="628"/>
      <c r="QQB5" s="628"/>
      <c r="QQC5" s="628"/>
      <c r="QQD5" s="628"/>
      <c r="QQE5" s="628"/>
      <c r="QQF5" s="628"/>
      <c r="QQG5" s="628"/>
      <c r="QQH5" s="628"/>
      <c r="QQI5" s="628"/>
      <c r="QQJ5" s="628"/>
      <c r="QQK5" s="628"/>
      <c r="QQL5" s="628"/>
      <c r="QQM5" s="628"/>
      <c r="QQN5" s="628"/>
      <c r="QQO5" s="628"/>
      <c r="QQP5" s="628"/>
      <c r="QQQ5" s="628"/>
      <c r="QQR5" s="628"/>
      <c r="QQS5" s="628"/>
      <c r="QQT5" s="628"/>
      <c r="QQU5" s="628"/>
      <c r="QQV5" s="628"/>
      <c r="QQW5" s="628"/>
      <c r="QQX5" s="628"/>
      <c r="QQY5" s="628"/>
      <c r="QQZ5" s="628"/>
      <c r="QRA5" s="628"/>
      <c r="QRB5" s="628"/>
      <c r="QRC5" s="628"/>
      <c r="QRD5" s="628"/>
      <c r="QRE5" s="628"/>
      <c r="QRF5" s="628"/>
      <c r="QRG5" s="628"/>
      <c r="QRH5" s="628"/>
      <c r="QRI5" s="628"/>
      <c r="QRJ5" s="628"/>
      <c r="QRK5" s="628"/>
      <c r="QRL5" s="628"/>
      <c r="QRM5" s="628"/>
      <c r="QRN5" s="628"/>
      <c r="QRO5" s="628"/>
      <c r="QRP5" s="628"/>
      <c r="QRQ5" s="628"/>
      <c r="QRR5" s="628"/>
      <c r="QRS5" s="628"/>
      <c r="QRT5" s="628"/>
      <c r="QRU5" s="628"/>
      <c r="QRV5" s="628"/>
      <c r="QRW5" s="628"/>
      <c r="QRX5" s="628"/>
      <c r="QRY5" s="628"/>
      <c r="QRZ5" s="628"/>
      <c r="QSA5" s="628"/>
      <c r="QSB5" s="628"/>
      <c r="QSC5" s="628"/>
      <c r="QSD5" s="628"/>
      <c r="QSE5" s="628"/>
      <c r="QSF5" s="628"/>
      <c r="QSG5" s="628"/>
      <c r="QSH5" s="628"/>
      <c r="QSI5" s="628"/>
      <c r="QSJ5" s="628"/>
      <c r="QSK5" s="628"/>
      <c r="QSL5" s="628"/>
      <c r="QSM5" s="628"/>
      <c r="QSN5" s="628"/>
      <c r="QSO5" s="628"/>
      <c r="QSP5" s="628"/>
      <c r="QSQ5" s="628"/>
      <c r="QSR5" s="628"/>
      <c r="QSS5" s="628"/>
      <c r="QST5" s="628"/>
      <c r="QSU5" s="628"/>
      <c r="QSV5" s="628"/>
      <c r="QSW5" s="628"/>
      <c r="QSX5" s="628"/>
      <c r="QSY5" s="628"/>
      <c r="QSZ5" s="628"/>
      <c r="QTA5" s="628"/>
      <c r="QTB5" s="628"/>
      <c r="QTC5" s="628"/>
      <c r="QTD5" s="628"/>
      <c r="QTE5" s="628"/>
      <c r="QTF5" s="628"/>
      <c r="QTG5" s="628"/>
      <c r="QTH5" s="628"/>
      <c r="QTI5" s="628"/>
      <c r="QTJ5" s="628"/>
      <c r="QTK5" s="628"/>
      <c r="QTL5" s="628"/>
      <c r="QTM5" s="628"/>
      <c r="QTN5" s="628"/>
      <c r="QTO5" s="628"/>
      <c r="QTP5" s="628"/>
      <c r="QTQ5" s="628"/>
      <c r="QTR5" s="628"/>
      <c r="QTS5" s="628"/>
      <c r="QTT5" s="628"/>
      <c r="QTU5" s="628"/>
      <c r="QTV5" s="628"/>
      <c r="QTW5" s="628"/>
      <c r="QTX5" s="628"/>
      <c r="QTY5" s="628"/>
      <c r="QTZ5" s="628"/>
      <c r="QUA5" s="628"/>
      <c r="QUB5" s="628"/>
      <c r="QUC5" s="628"/>
      <c r="QUD5" s="628"/>
      <c r="QUE5" s="628"/>
      <c r="QUF5" s="628"/>
      <c r="QUG5" s="628"/>
      <c r="QUH5" s="628"/>
      <c r="QUI5" s="628"/>
      <c r="QUJ5" s="628"/>
      <c r="QUK5" s="628"/>
      <c r="QUL5" s="628"/>
      <c r="QUM5" s="628"/>
      <c r="QUN5" s="628"/>
      <c r="QUO5" s="628"/>
      <c r="QUP5" s="628"/>
      <c r="QUQ5" s="628"/>
      <c r="QUR5" s="628"/>
      <c r="QUS5" s="628"/>
      <c r="QUT5" s="628"/>
      <c r="QUU5" s="628"/>
      <c r="QUV5" s="628"/>
      <c r="QUW5" s="628"/>
      <c r="QUX5" s="628"/>
      <c r="QUY5" s="628"/>
      <c r="QUZ5" s="628"/>
      <c r="QVA5" s="628"/>
      <c r="QVB5" s="628"/>
      <c r="QVC5" s="628"/>
      <c r="QVD5" s="628"/>
      <c r="QVE5" s="628"/>
      <c r="QVF5" s="628"/>
      <c r="QVG5" s="628"/>
      <c r="QVH5" s="628"/>
      <c r="QVI5" s="628"/>
      <c r="QVJ5" s="628"/>
      <c r="QVK5" s="628"/>
      <c r="QVL5" s="628"/>
      <c r="QVM5" s="628"/>
      <c r="QVN5" s="628"/>
      <c r="QVO5" s="628"/>
      <c r="QVP5" s="628"/>
      <c r="QVQ5" s="628"/>
      <c r="QVR5" s="628"/>
      <c r="QVS5" s="628"/>
      <c r="QVT5" s="628"/>
      <c r="QVU5" s="628"/>
      <c r="QVV5" s="628"/>
      <c r="QVW5" s="628"/>
      <c r="QVX5" s="628"/>
      <c r="QVY5" s="628"/>
      <c r="QVZ5" s="628"/>
      <c r="QWA5" s="628"/>
      <c r="QWB5" s="628"/>
      <c r="QWC5" s="628"/>
      <c r="QWD5" s="628"/>
      <c r="QWE5" s="628"/>
      <c r="QWF5" s="628"/>
      <c r="QWG5" s="628"/>
      <c r="QWH5" s="628"/>
      <c r="QWI5" s="628"/>
      <c r="QWJ5" s="628"/>
      <c r="QWK5" s="628"/>
      <c r="QWL5" s="628"/>
      <c r="QWM5" s="628"/>
      <c r="QWN5" s="628"/>
      <c r="QWO5" s="628"/>
      <c r="QWP5" s="628"/>
      <c r="QWQ5" s="628"/>
      <c r="QWR5" s="628"/>
      <c r="QWS5" s="628"/>
      <c r="QWT5" s="628"/>
      <c r="QWU5" s="628"/>
      <c r="QWV5" s="628"/>
      <c r="QWW5" s="628"/>
      <c r="QWX5" s="628"/>
      <c r="QWY5" s="628"/>
      <c r="QWZ5" s="628"/>
      <c r="QXA5" s="628"/>
      <c r="QXB5" s="628"/>
      <c r="QXC5" s="628"/>
      <c r="QXD5" s="628"/>
      <c r="QXE5" s="628"/>
      <c r="QXF5" s="628"/>
      <c r="QXG5" s="628"/>
      <c r="QXH5" s="628"/>
      <c r="QXI5" s="628"/>
      <c r="QXJ5" s="628"/>
      <c r="QXK5" s="628"/>
      <c r="QXL5" s="628"/>
      <c r="QXM5" s="628"/>
      <c r="QXN5" s="628"/>
      <c r="QXO5" s="628"/>
      <c r="QXP5" s="628"/>
      <c r="QXQ5" s="628"/>
      <c r="QXR5" s="628"/>
      <c r="QXS5" s="628"/>
      <c r="QXT5" s="628"/>
      <c r="QXU5" s="628"/>
      <c r="QXV5" s="628"/>
      <c r="QXW5" s="628"/>
      <c r="QXX5" s="628"/>
      <c r="QXY5" s="628"/>
      <c r="QXZ5" s="628"/>
      <c r="QYA5" s="628"/>
      <c r="QYB5" s="628"/>
      <c r="QYC5" s="628"/>
      <c r="QYD5" s="628"/>
      <c r="QYE5" s="628"/>
      <c r="QYF5" s="628"/>
      <c r="QYG5" s="628"/>
      <c r="QYH5" s="628"/>
      <c r="QYI5" s="628"/>
      <c r="QYJ5" s="628"/>
      <c r="QYK5" s="628"/>
      <c r="QYL5" s="628"/>
      <c r="QYM5" s="628"/>
      <c r="QYN5" s="628"/>
      <c r="QYO5" s="628"/>
      <c r="QYP5" s="628"/>
      <c r="QYQ5" s="628"/>
      <c r="QYR5" s="628"/>
      <c r="QYS5" s="628"/>
      <c r="QYT5" s="628"/>
      <c r="QYU5" s="628"/>
      <c r="QYV5" s="628"/>
      <c r="QYW5" s="628"/>
      <c r="QYX5" s="628"/>
      <c r="QYY5" s="628"/>
      <c r="QYZ5" s="628"/>
      <c r="QZA5" s="628"/>
      <c r="QZB5" s="628"/>
      <c r="QZC5" s="628"/>
      <c r="QZD5" s="628"/>
      <c r="QZE5" s="628"/>
      <c r="QZF5" s="628"/>
      <c r="QZG5" s="628"/>
      <c r="QZH5" s="628"/>
      <c r="QZI5" s="628"/>
      <c r="QZJ5" s="628"/>
      <c r="QZK5" s="628"/>
      <c r="QZL5" s="628"/>
      <c r="QZM5" s="628"/>
      <c r="QZN5" s="628"/>
      <c r="QZO5" s="628"/>
      <c r="QZP5" s="628"/>
      <c r="QZQ5" s="628"/>
      <c r="QZR5" s="628"/>
      <c r="QZS5" s="628"/>
      <c r="QZT5" s="628"/>
      <c r="QZU5" s="628"/>
      <c r="QZV5" s="628"/>
      <c r="QZW5" s="628"/>
      <c r="QZX5" s="628"/>
      <c r="QZY5" s="628"/>
      <c r="QZZ5" s="628"/>
      <c r="RAA5" s="628"/>
      <c r="RAB5" s="628"/>
      <c r="RAC5" s="628"/>
      <c r="RAD5" s="628"/>
      <c r="RAE5" s="628"/>
      <c r="RAF5" s="628"/>
      <c r="RAG5" s="628"/>
      <c r="RAH5" s="628"/>
      <c r="RAI5" s="628"/>
      <c r="RAJ5" s="628"/>
      <c r="RAK5" s="628"/>
      <c r="RAL5" s="628"/>
      <c r="RAM5" s="628"/>
      <c r="RAN5" s="628"/>
      <c r="RAO5" s="628"/>
      <c r="RAP5" s="628"/>
      <c r="RAQ5" s="628"/>
      <c r="RAR5" s="628"/>
      <c r="RAS5" s="628"/>
      <c r="RAT5" s="628"/>
      <c r="RAU5" s="628"/>
      <c r="RAV5" s="628"/>
      <c r="RAW5" s="628"/>
      <c r="RAX5" s="628"/>
      <c r="RAY5" s="628"/>
      <c r="RAZ5" s="628"/>
      <c r="RBA5" s="628"/>
      <c r="RBB5" s="628"/>
      <c r="RBC5" s="628"/>
      <c r="RBD5" s="628"/>
      <c r="RBE5" s="628"/>
      <c r="RBF5" s="628"/>
      <c r="RBG5" s="628"/>
      <c r="RBH5" s="628"/>
      <c r="RBI5" s="628"/>
      <c r="RBJ5" s="628"/>
      <c r="RBK5" s="628"/>
      <c r="RBL5" s="628"/>
      <c r="RBM5" s="628"/>
      <c r="RBN5" s="628"/>
      <c r="RBO5" s="628"/>
      <c r="RBP5" s="628"/>
      <c r="RBQ5" s="628"/>
      <c r="RBR5" s="628"/>
      <c r="RBS5" s="628"/>
      <c r="RBT5" s="628"/>
      <c r="RBU5" s="628"/>
      <c r="RBV5" s="628"/>
      <c r="RBW5" s="628"/>
      <c r="RBX5" s="628"/>
      <c r="RBY5" s="628"/>
      <c r="RBZ5" s="628"/>
      <c r="RCA5" s="628"/>
      <c r="RCB5" s="628"/>
      <c r="RCC5" s="628"/>
      <c r="RCD5" s="628"/>
      <c r="RCE5" s="628"/>
      <c r="RCF5" s="628"/>
      <c r="RCG5" s="628"/>
      <c r="RCH5" s="628"/>
      <c r="RCI5" s="628"/>
      <c r="RCJ5" s="628"/>
      <c r="RCK5" s="628"/>
      <c r="RCL5" s="628"/>
      <c r="RCM5" s="628"/>
      <c r="RCN5" s="628"/>
      <c r="RCO5" s="628"/>
      <c r="RCP5" s="628"/>
      <c r="RCQ5" s="628"/>
      <c r="RCR5" s="628"/>
      <c r="RCS5" s="628"/>
      <c r="RCT5" s="628"/>
      <c r="RCU5" s="628"/>
      <c r="RCV5" s="628"/>
      <c r="RCW5" s="628"/>
      <c r="RCX5" s="628"/>
      <c r="RCY5" s="628"/>
      <c r="RCZ5" s="628"/>
      <c r="RDA5" s="628"/>
      <c r="RDB5" s="628"/>
      <c r="RDC5" s="628"/>
      <c r="RDD5" s="628"/>
      <c r="RDE5" s="628"/>
      <c r="RDF5" s="628"/>
      <c r="RDG5" s="628"/>
      <c r="RDH5" s="628"/>
      <c r="RDI5" s="628"/>
      <c r="RDJ5" s="628"/>
      <c r="RDK5" s="628"/>
      <c r="RDL5" s="628"/>
      <c r="RDM5" s="628"/>
      <c r="RDN5" s="628"/>
      <c r="RDO5" s="628"/>
      <c r="RDP5" s="628"/>
      <c r="RDQ5" s="628"/>
      <c r="RDR5" s="628"/>
      <c r="RDS5" s="628"/>
      <c r="RDT5" s="628"/>
      <c r="RDU5" s="628"/>
      <c r="RDV5" s="628"/>
      <c r="RDW5" s="628"/>
      <c r="RDX5" s="628"/>
      <c r="RDY5" s="628"/>
      <c r="RDZ5" s="628"/>
      <c r="REA5" s="628"/>
      <c r="REB5" s="628"/>
      <c r="REC5" s="628"/>
      <c r="RED5" s="628"/>
      <c r="REE5" s="628"/>
      <c r="REF5" s="628"/>
      <c r="REG5" s="628"/>
      <c r="REH5" s="628"/>
      <c r="REI5" s="628"/>
      <c r="REJ5" s="628"/>
      <c r="REK5" s="628"/>
      <c r="REL5" s="628"/>
      <c r="REM5" s="628"/>
      <c r="REN5" s="628"/>
      <c r="REO5" s="628"/>
      <c r="REP5" s="628"/>
      <c r="REQ5" s="628"/>
      <c r="RER5" s="628"/>
      <c r="RES5" s="628"/>
      <c r="RET5" s="628"/>
      <c r="REU5" s="628"/>
      <c r="REV5" s="628"/>
      <c r="REW5" s="628"/>
      <c r="REX5" s="628"/>
      <c r="REY5" s="628"/>
      <c r="REZ5" s="628"/>
      <c r="RFA5" s="628"/>
      <c r="RFB5" s="628"/>
      <c r="RFC5" s="628"/>
      <c r="RFD5" s="628"/>
      <c r="RFE5" s="628"/>
      <c r="RFF5" s="628"/>
      <c r="RFG5" s="628"/>
      <c r="RFH5" s="628"/>
      <c r="RFI5" s="628"/>
      <c r="RFJ5" s="628"/>
      <c r="RFK5" s="628"/>
      <c r="RFL5" s="628"/>
      <c r="RFM5" s="628"/>
      <c r="RFN5" s="628"/>
      <c r="RFO5" s="628"/>
      <c r="RFP5" s="628"/>
      <c r="RFQ5" s="628"/>
      <c r="RFR5" s="628"/>
      <c r="RFS5" s="628"/>
      <c r="RFT5" s="628"/>
      <c r="RFU5" s="628"/>
      <c r="RFV5" s="628"/>
      <c r="RFW5" s="628"/>
      <c r="RFX5" s="628"/>
      <c r="RFY5" s="628"/>
      <c r="RFZ5" s="628"/>
      <c r="RGA5" s="628"/>
      <c r="RGB5" s="628"/>
      <c r="RGC5" s="628"/>
      <c r="RGD5" s="628"/>
      <c r="RGE5" s="628"/>
      <c r="RGF5" s="628"/>
      <c r="RGG5" s="628"/>
      <c r="RGH5" s="628"/>
      <c r="RGI5" s="628"/>
      <c r="RGJ5" s="628"/>
      <c r="RGK5" s="628"/>
      <c r="RGL5" s="628"/>
      <c r="RGM5" s="628"/>
      <c r="RGN5" s="628"/>
      <c r="RGO5" s="628"/>
      <c r="RGP5" s="628"/>
      <c r="RGQ5" s="628"/>
      <c r="RGR5" s="628"/>
      <c r="RGS5" s="628"/>
      <c r="RGT5" s="628"/>
      <c r="RGU5" s="628"/>
      <c r="RGV5" s="628"/>
      <c r="RGW5" s="628"/>
      <c r="RGX5" s="628"/>
      <c r="RGY5" s="628"/>
      <c r="RGZ5" s="628"/>
      <c r="RHA5" s="628"/>
      <c r="RHB5" s="628"/>
      <c r="RHC5" s="628"/>
      <c r="RHD5" s="628"/>
      <c r="RHE5" s="628"/>
      <c r="RHF5" s="628"/>
      <c r="RHG5" s="628"/>
      <c r="RHH5" s="628"/>
      <c r="RHI5" s="628"/>
      <c r="RHJ5" s="628"/>
      <c r="RHK5" s="628"/>
      <c r="RHL5" s="628"/>
      <c r="RHM5" s="628"/>
      <c r="RHN5" s="628"/>
      <c r="RHO5" s="628"/>
      <c r="RHP5" s="628"/>
      <c r="RHQ5" s="628"/>
      <c r="RHR5" s="628"/>
      <c r="RHS5" s="628"/>
      <c r="RHT5" s="628"/>
      <c r="RHU5" s="628"/>
      <c r="RHV5" s="628"/>
      <c r="RHW5" s="628"/>
      <c r="RHX5" s="628"/>
      <c r="RHY5" s="628"/>
      <c r="RHZ5" s="628"/>
      <c r="RIA5" s="628"/>
      <c r="RIB5" s="628"/>
      <c r="RIC5" s="628"/>
      <c r="RID5" s="628"/>
      <c r="RIE5" s="628"/>
      <c r="RIF5" s="628"/>
      <c r="RIG5" s="628"/>
      <c r="RIH5" s="628"/>
      <c r="RII5" s="628"/>
      <c r="RIJ5" s="628"/>
      <c r="RIK5" s="628"/>
      <c r="RIL5" s="628"/>
      <c r="RIM5" s="628"/>
      <c r="RIN5" s="628"/>
      <c r="RIO5" s="628"/>
      <c r="RIP5" s="628"/>
      <c r="RIQ5" s="628"/>
      <c r="RIR5" s="628"/>
      <c r="RIS5" s="628"/>
      <c r="RIT5" s="628"/>
      <c r="RIU5" s="628"/>
      <c r="RIV5" s="628"/>
      <c r="RIW5" s="628"/>
      <c r="RIX5" s="628"/>
      <c r="RIY5" s="628"/>
      <c r="RIZ5" s="628"/>
      <c r="RJA5" s="628"/>
      <c r="RJB5" s="628"/>
      <c r="RJC5" s="628"/>
      <c r="RJD5" s="628"/>
      <c r="RJE5" s="628"/>
      <c r="RJF5" s="628"/>
      <c r="RJG5" s="628"/>
      <c r="RJH5" s="628"/>
      <c r="RJI5" s="628"/>
      <c r="RJJ5" s="628"/>
      <c r="RJK5" s="628"/>
      <c r="RJL5" s="628"/>
      <c r="RJM5" s="628"/>
      <c r="RJN5" s="628"/>
      <c r="RJO5" s="628"/>
      <c r="RJP5" s="628"/>
      <c r="RJQ5" s="628"/>
      <c r="RJR5" s="628"/>
      <c r="RJS5" s="628"/>
      <c r="RJT5" s="628"/>
      <c r="RJU5" s="628"/>
      <c r="RJV5" s="628"/>
      <c r="RJW5" s="628"/>
      <c r="RJX5" s="628"/>
      <c r="RJY5" s="628"/>
      <c r="RJZ5" s="628"/>
      <c r="RKA5" s="628"/>
      <c r="RKB5" s="628"/>
      <c r="RKC5" s="628"/>
      <c r="RKD5" s="628"/>
      <c r="RKE5" s="628"/>
      <c r="RKF5" s="628"/>
      <c r="RKG5" s="628"/>
      <c r="RKH5" s="628"/>
      <c r="RKI5" s="628"/>
      <c r="RKJ5" s="628"/>
      <c r="RKK5" s="628"/>
      <c r="RKL5" s="628"/>
      <c r="RKM5" s="628"/>
      <c r="RKN5" s="628"/>
      <c r="RKO5" s="628"/>
      <c r="RKP5" s="628"/>
      <c r="RKQ5" s="628"/>
      <c r="RKR5" s="628"/>
      <c r="RKS5" s="628"/>
      <c r="RKT5" s="628"/>
      <c r="RKU5" s="628"/>
      <c r="RKV5" s="628"/>
      <c r="RKW5" s="628"/>
      <c r="RKX5" s="628"/>
      <c r="RKY5" s="628"/>
      <c r="RKZ5" s="628"/>
      <c r="RLA5" s="628"/>
      <c r="RLB5" s="628"/>
      <c r="RLC5" s="628"/>
      <c r="RLD5" s="628"/>
      <c r="RLE5" s="628"/>
      <c r="RLF5" s="628"/>
      <c r="RLG5" s="628"/>
      <c r="RLH5" s="628"/>
      <c r="RLI5" s="628"/>
      <c r="RLJ5" s="628"/>
      <c r="RLK5" s="628"/>
      <c r="RLL5" s="628"/>
      <c r="RLM5" s="628"/>
      <c r="RLN5" s="628"/>
      <c r="RLO5" s="628"/>
      <c r="RLP5" s="628"/>
      <c r="RLQ5" s="628"/>
      <c r="RLR5" s="628"/>
      <c r="RLS5" s="628"/>
      <c r="RLT5" s="628"/>
      <c r="RLU5" s="628"/>
      <c r="RLV5" s="628"/>
      <c r="RLW5" s="628"/>
      <c r="RLX5" s="628"/>
      <c r="RLY5" s="628"/>
      <c r="RLZ5" s="628"/>
      <c r="RMA5" s="628"/>
      <c r="RMB5" s="628"/>
      <c r="RMC5" s="628"/>
      <c r="RMD5" s="628"/>
      <c r="RME5" s="628"/>
      <c r="RMF5" s="628"/>
      <c r="RMG5" s="628"/>
      <c r="RMH5" s="628"/>
      <c r="RMI5" s="628"/>
      <c r="RMJ5" s="628"/>
      <c r="RMK5" s="628"/>
      <c r="RML5" s="628"/>
      <c r="RMM5" s="628"/>
      <c r="RMN5" s="628"/>
      <c r="RMO5" s="628"/>
      <c r="RMP5" s="628"/>
      <c r="RMQ5" s="628"/>
      <c r="RMR5" s="628"/>
      <c r="RMS5" s="628"/>
      <c r="RMT5" s="628"/>
      <c r="RMU5" s="628"/>
      <c r="RMV5" s="628"/>
      <c r="RMW5" s="628"/>
      <c r="RMX5" s="628"/>
      <c r="RMY5" s="628"/>
      <c r="RMZ5" s="628"/>
      <c r="RNA5" s="628"/>
      <c r="RNB5" s="628"/>
      <c r="RNC5" s="628"/>
      <c r="RND5" s="628"/>
      <c r="RNE5" s="628"/>
      <c r="RNF5" s="628"/>
      <c r="RNG5" s="628"/>
      <c r="RNH5" s="628"/>
      <c r="RNI5" s="628"/>
      <c r="RNJ5" s="628"/>
      <c r="RNK5" s="628"/>
      <c r="RNL5" s="628"/>
      <c r="RNM5" s="628"/>
      <c r="RNN5" s="628"/>
      <c r="RNO5" s="628"/>
      <c r="RNP5" s="628"/>
      <c r="RNQ5" s="628"/>
      <c r="RNR5" s="628"/>
      <c r="RNS5" s="628"/>
      <c r="RNT5" s="628"/>
      <c r="RNU5" s="628"/>
      <c r="RNV5" s="628"/>
      <c r="RNW5" s="628"/>
      <c r="RNX5" s="628"/>
      <c r="RNY5" s="628"/>
      <c r="RNZ5" s="628"/>
      <c r="ROA5" s="628"/>
      <c r="ROB5" s="628"/>
      <c r="ROC5" s="628"/>
      <c r="ROD5" s="628"/>
      <c r="ROE5" s="628"/>
      <c r="ROF5" s="628"/>
      <c r="ROG5" s="628"/>
      <c r="ROH5" s="628"/>
      <c r="ROI5" s="628"/>
      <c r="ROJ5" s="628"/>
      <c r="ROK5" s="628"/>
      <c r="ROL5" s="628"/>
      <c r="ROM5" s="628"/>
      <c r="RON5" s="628"/>
      <c r="ROO5" s="628"/>
      <c r="ROP5" s="628"/>
      <c r="ROQ5" s="628"/>
      <c r="ROR5" s="628"/>
      <c r="ROS5" s="628"/>
      <c r="ROT5" s="628"/>
      <c r="ROU5" s="628"/>
      <c r="ROV5" s="628"/>
      <c r="ROW5" s="628"/>
      <c r="ROX5" s="628"/>
      <c r="ROY5" s="628"/>
      <c r="ROZ5" s="628"/>
      <c r="RPA5" s="628"/>
      <c r="RPB5" s="628"/>
      <c r="RPC5" s="628"/>
      <c r="RPD5" s="628"/>
      <c r="RPE5" s="628"/>
      <c r="RPF5" s="628"/>
      <c r="RPG5" s="628"/>
      <c r="RPH5" s="628"/>
      <c r="RPI5" s="628"/>
      <c r="RPJ5" s="628"/>
      <c r="RPK5" s="628"/>
      <c r="RPL5" s="628"/>
      <c r="RPM5" s="628"/>
      <c r="RPN5" s="628"/>
      <c r="RPO5" s="628"/>
      <c r="RPP5" s="628"/>
      <c r="RPQ5" s="628"/>
      <c r="RPR5" s="628"/>
      <c r="RPS5" s="628"/>
      <c r="RPT5" s="628"/>
      <c r="RPU5" s="628"/>
      <c r="RPV5" s="628"/>
      <c r="RPW5" s="628"/>
      <c r="RPX5" s="628"/>
      <c r="RPY5" s="628"/>
      <c r="RPZ5" s="628"/>
      <c r="RQA5" s="628"/>
      <c r="RQB5" s="628"/>
      <c r="RQC5" s="628"/>
      <c r="RQD5" s="628"/>
      <c r="RQE5" s="628"/>
      <c r="RQF5" s="628"/>
      <c r="RQG5" s="628"/>
      <c r="RQH5" s="628"/>
      <c r="RQI5" s="628"/>
      <c r="RQJ5" s="628"/>
      <c r="RQK5" s="628"/>
      <c r="RQL5" s="628"/>
      <c r="RQM5" s="628"/>
      <c r="RQN5" s="628"/>
      <c r="RQO5" s="628"/>
      <c r="RQP5" s="628"/>
      <c r="RQQ5" s="628"/>
      <c r="RQR5" s="628"/>
      <c r="RQS5" s="628"/>
      <c r="RQT5" s="628"/>
      <c r="RQU5" s="628"/>
      <c r="RQV5" s="628"/>
      <c r="RQW5" s="628"/>
      <c r="RQX5" s="628"/>
      <c r="RQY5" s="628"/>
      <c r="RQZ5" s="628"/>
      <c r="RRA5" s="628"/>
      <c r="RRB5" s="628"/>
      <c r="RRC5" s="628"/>
      <c r="RRD5" s="628"/>
      <c r="RRE5" s="628"/>
      <c r="RRF5" s="628"/>
      <c r="RRG5" s="628"/>
      <c r="RRH5" s="628"/>
      <c r="RRI5" s="628"/>
      <c r="RRJ5" s="628"/>
      <c r="RRK5" s="628"/>
      <c r="RRL5" s="628"/>
      <c r="RRM5" s="628"/>
      <c r="RRN5" s="628"/>
      <c r="RRO5" s="628"/>
      <c r="RRP5" s="628"/>
      <c r="RRQ5" s="628"/>
      <c r="RRR5" s="628"/>
      <c r="RRS5" s="628"/>
      <c r="RRT5" s="628"/>
      <c r="RRU5" s="628"/>
      <c r="RRV5" s="628"/>
      <c r="RRW5" s="628"/>
      <c r="RRX5" s="628"/>
      <c r="RRY5" s="628"/>
      <c r="RRZ5" s="628"/>
      <c r="RSA5" s="628"/>
      <c r="RSB5" s="628"/>
      <c r="RSC5" s="628"/>
      <c r="RSD5" s="628"/>
      <c r="RSE5" s="628"/>
      <c r="RSF5" s="628"/>
      <c r="RSG5" s="628"/>
      <c r="RSH5" s="628"/>
      <c r="RSI5" s="628"/>
      <c r="RSJ5" s="628"/>
      <c r="RSK5" s="628"/>
      <c r="RSL5" s="628"/>
      <c r="RSM5" s="628"/>
      <c r="RSN5" s="628"/>
      <c r="RSO5" s="628"/>
      <c r="RSP5" s="628"/>
      <c r="RSQ5" s="628"/>
      <c r="RSR5" s="628"/>
      <c r="RSS5" s="628"/>
      <c r="RST5" s="628"/>
      <c r="RSU5" s="628"/>
      <c r="RSV5" s="628"/>
      <c r="RSW5" s="628"/>
      <c r="RSX5" s="628"/>
      <c r="RSY5" s="628"/>
      <c r="RSZ5" s="628"/>
      <c r="RTA5" s="628"/>
      <c r="RTB5" s="628"/>
      <c r="RTC5" s="628"/>
      <c r="RTD5" s="628"/>
      <c r="RTE5" s="628"/>
      <c r="RTF5" s="628"/>
      <c r="RTG5" s="628"/>
      <c r="RTH5" s="628"/>
      <c r="RTI5" s="628"/>
      <c r="RTJ5" s="628"/>
      <c r="RTK5" s="628"/>
      <c r="RTL5" s="628"/>
      <c r="RTM5" s="628"/>
      <c r="RTN5" s="628"/>
      <c r="RTO5" s="628"/>
      <c r="RTP5" s="628"/>
      <c r="RTQ5" s="628"/>
      <c r="RTR5" s="628"/>
      <c r="RTS5" s="628"/>
      <c r="RTT5" s="628"/>
      <c r="RTU5" s="628"/>
      <c r="RTV5" s="628"/>
      <c r="RTW5" s="628"/>
      <c r="RTX5" s="628"/>
      <c r="RTY5" s="628"/>
      <c r="RTZ5" s="628"/>
      <c r="RUA5" s="628"/>
      <c r="RUB5" s="628"/>
      <c r="RUC5" s="628"/>
      <c r="RUD5" s="628"/>
      <c r="RUE5" s="628"/>
      <c r="RUF5" s="628"/>
      <c r="RUG5" s="628"/>
      <c r="RUH5" s="628"/>
      <c r="RUI5" s="628"/>
      <c r="RUJ5" s="628"/>
      <c r="RUK5" s="628"/>
      <c r="RUL5" s="628"/>
      <c r="RUM5" s="628"/>
      <c r="RUN5" s="628"/>
      <c r="RUO5" s="628"/>
      <c r="RUP5" s="628"/>
      <c r="RUQ5" s="628"/>
      <c r="RUR5" s="628"/>
      <c r="RUS5" s="628"/>
      <c r="RUT5" s="628"/>
      <c r="RUU5" s="628"/>
      <c r="RUV5" s="628"/>
      <c r="RUW5" s="628"/>
      <c r="RUX5" s="628"/>
      <c r="RUY5" s="628"/>
      <c r="RUZ5" s="628"/>
      <c r="RVA5" s="628"/>
      <c r="RVB5" s="628"/>
      <c r="RVC5" s="628"/>
      <c r="RVD5" s="628"/>
      <c r="RVE5" s="628"/>
      <c r="RVF5" s="628"/>
      <c r="RVG5" s="628"/>
      <c r="RVH5" s="628"/>
      <c r="RVI5" s="628"/>
      <c r="RVJ5" s="628"/>
      <c r="RVK5" s="628"/>
      <c r="RVL5" s="628"/>
      <c r="RVM5" s="628"/>
      <c r="RVN5" s="628"/>
      <c r="RVO5" s="628"/>
      <c r="RVP5" s="628"/>
      <c r="RVQ5" s="628"/>
      <c r="RVR5" s="628"/>
      <c r="RVS5" s="628"/>
      <c r="RVT5" s="628"/>
      <c r="RVU5" s="628"/>
      <c r="RVV5" s="628"/>
      <c r="RVW5" s="628"/>
      <c r="RVX5" s="628"/>
      <c r="RVY5" s="628"/>
      <c r="RVZ5" s="628"/>
      <c r="RWA5" s="628"/>
      <c r="RWB5" s="628"/>
      <c r="RWC5" s="628"/>
      <c r="RWD5" s="628"/>
      <c r="RWE5" s="628"/>
      <c r="RWF5" s="628"/>
      <c r="RWG5" s="628"/>
      <c r="RWH5" s="628"/>
      <c r="RWI5" s="628"/>
      <c r="RWJ5" s="628"/>
      <c r="RWK5" s="628"/>
      <c r="RWL5" s="628"/>
      <c r="RWM5" s="628"/>
      <c r="RWN5" s="628"/>
      <c r="RWO5" s="628"/>
      <c r="RWP5" s="628"/>
      <c r="RWQ5" s="628"/>
      <c r="RWR5" s="628"/>
      <c r="RWS5" s="628"/>
      <c r="RWT5" s="628"/>
      <c r="RWU5" s="628"/>
      <c r="RWV5" s="628"/>
      <c r="RWW5" s="628"/>
      <c r="RWX5" s="628"/>
      <c r="RWY5" s="628"/>
      <c r="RWZ5" s="628"/>
      <c r="RXA5" s="628"/>
      <c r="RXB5" s="628"/>
      <c r="RXC5" s="628"/>
      <c r="RXD5" s="628"/>
      <c r="RXE5" s="628"/>
      <c r="RXF5" s="628"/>
      <c r="RXG5" s="628"/>
      <c r="RXH5" s="628"/>
      <c r="RXI5" s="628"/>
      <c r="RXJ5" s="628"/>
      <c r="RXK5" s="628"/>
      <c r="RXL5" s="628"/>
      <c r="RXM5" s="628"/>
      <c r="RXN5" s="628"/>
      <c r="RXO5" s="628"/>
      <c r="RXP5" s="628"/>
      <c r="RXQ5" s="628"/>
      <c r="RXR5" s="628"/>
      <c r="RXS5" s="628"/>
      <c r="RXT5" s="628"/>
      <c r="RXU5" s="628"/>
      <c r="RXV5" s="628"/>
      <c r="RXW5" s="628"/>
      <c r="RXX5" s="628"/>
      <c r="RXY5" s="628"/>
      <c r="RXZ5" s="628"/>
      <c r="RYA5" s="628"/>
      <c r="RYB5" s="628"/>
      <c r="RYC5" s="628"/>
      <c r="RYD5" s="628"/>
      <c r="RYE5" s="628"/>
      <c r="RYF5" s="628"/>
      <c r="RYG5" s="628"/>
      <c r="RYH5" s="628"/>
      <c r="RYI5" s="628"/>
      <c r="RYJ5" s="628"/>
      <c r="RYK5" s="628"/>
      <c r="RYL5" s="628"/>
      <c r="RYM5" s="628"/>
      <c r="RYN5" s="628"/>
      <c r="RYO5" s="628"/>
      <c r="RYP5" s="628"/>
      <c r="RYQ5" s="628"/>
      <c r="RYR5" s="628"/>
      <c r="RYS5" s="628"/>
      <c r="RYT5" s="628"/>
      <c r="RYU5" s="628"/>
      <c r="RYV5" s="628"/>
      <c r="RYW5" s="628"/>
      <c r="RYX5" s="628"/>
      <c r="RYY5" s="628"/>
      <c r="RYZ5" s="628"/>
      <c r="RZA5" s="628"/>
      <c r="RZB5" s="628"/>
      <c r="RZC5" s="628"/>
      <c r="RZD5" s="628"/>
      <c r="RZE5" s="628"/>
      <c r="RZF5" s="628"/>
      <c r="RZG5" s="628"/>
      <c r="RZH5" s="628"/>
      <c r="RZI5" s="628"/>
      <c r="RZJ5" s="628"/>
      <c r="RZK5" s="628"/>
      <c r="RZL5" s="628"/>
      <c r="RZM5" s="628"/>
      <c r="RZN5" s="628"/>
      <c r="RZO5" s="628"/>
      <c r="RZP5" s="628"/>
      <c r="RZQ5" s="628"/>
      <c r="RZR5" s="628"/>
      <c r="RZS5" s="628"/>
      <c r="RZT5" s="628"/>
      <c r="RZU5" s="628"/>
      <c r="RZV5" s="628"/>
      <c r="RZW5" s="628"/>
      <c r="RZX5" s="628"/>
      <c r="RZY5" s="628"/>
      <c r="RZZ5" s="628"/>
      <c r="SAA5" s="628"/>
      <c r="SAB5" s="628"/>
      <c r="SAC5" s="628"/>
      <c r="SAD5" s="628"/>
      <c r="SAE5" s="628"/>
      <c r="SAF5" s="628"/>
      <c r="SAG5" s="628"/>
      <c r="SAH5" s="628"/>
      <c r="SAI5" s="628"/>
      <c r="SAJ5" s="628"/>
      <c r="SAK5" s="628"/>
      <c r="SAL5" s="628"/>
      <c r="SAM5" s="628"/>
      <c r="SAN5" s="628"/>
      <c r="SAO5" s="628"/>
      <c r="SAP5" s="628"/>
      <c r="SAQ5" s="628"/>
      <c r="SAR5" s="628"/>
      <c r="SAS5" s="628"/>
      <c r="SAT5" s="628"/>
      <c r="SAU5" s="628"/>
      <c r="SAV5" s="628"/>
      <c r="SAW5" s="628"/>
      <c r="SAX5" s="628"/>
      <c r="SAY5" s="628"/>
      <c r="SAZ5" s="628"/>
      <c r="SBA5" s="628"/>
      <c r="SBB5" s="628"/>
      <c r="SBC5" s="628"/>
      <c r="SBD5" s="628"/>
      <c r="SBE5" s="628"/>
      <c r="SBF5" s="628"/>
      <c r="SBG5" s="628"/>
      <c r="SBH5" s="628"/>
      <c r="SBI5" s="628"/>
      <c r="SBJ5" s="628"/>
      <c r="SBK5" s="628"/>
      <c r="SBL5" s="628"/>
      <c r="SBM5" s="628"/>
      <c r="SBN5" s="628"/>
      <c r="SBO5" s="628"/>
      <c r="SBP5" s="628"/>
      <c r="SBQ5" s="628"/>
      <c r="SBR5" s="628"/>
      <c r="SBS5" s="628"/>
      <c r="SBT5" s="628"/>
      <c r="SBU5" s="628"/>
      <c r="SBV5" s="628"/>
      <c r="SBW5" s="628"/>
      <c r="SBX5" s="628"/>
      <c r="SBY5" s="628"/>
      <c r="SBZ5" s="628"/>
      <c r="SCA5" s="628"/>
      <c r="SCB5" s="628"/>
      <c r="SCC5" s="628"/>
      <c r="SCD5" s="628"/>
      <c r="SCE5" s="628"/>
      <c r="SCF5" s="628"/>
      <c r="SCG5" s="628"/>
      <c r="SCH5" s="628"/>
      <c r="SCI5" s="628"/>
      <c r="SCJ5" s="628"/>
      <c r="SCK5" s="628"/>
      <c r="SCL5" s="628"/>
      <c r="SCM5" s="628"/>
      <c r="SCN5" s="628"/>
      <c r="SCO5" s="628"/>
      <c r="SCP5" s="628"/>
      <c r="SCQ5" s="628"/>
      <c r="SCR5" s="628"/>
      <c r="SCS5" s="628"/>
      <c r="SCT5" s="628"/>
      <c r="SCU5" s="628"/>
      <c r="SCV5" s="628"/>
      <c r="SCW5" s="628"/>
      <c r="SCX5" s="628"/>
      <c r="SCY5" s="628"/>
      <c r="SCZ5" s="628"/>
      <c r="SDA5" s="628"/>
      <c r="SDB5" s="628"/>
      <c r="SDC5" s="628"/>
      <c r="SDD5" s="628"/>
      <c r="SDE5" s="628"/>
      <c r="SDF5" s="628"/>
      <c r="SDG5" s="628"/>
      <c r="SDH5" s="628"/>
      <c r="SDI5" s="628"/>
      <c r="SDJ5" s="628"/>
      <c r="SDK5" s="628"/>
      <c r="SDL5" s="628"/>
      <c r="SDM5" s="628"/>
      <c r="SDN5" s="628"/>
      <c r="SDO5" s="628"/>
      <c r="SDP5" s="628"/>
      <c r="SDQ5" s="628"/>
      <c r="SDR5" s="628"/>
      <c r="SDS5" s="628"/>
      <c r="SDT5" s="628"/>
      <c r="SDU5" s="628"/>
      <c r="SDV5" s="628"/>
      <c r="SDW5" s="628"/>
      <c r="SDX5" s="628"/>
      <c r="SDY5" s="628"/>
      <c r="SDZ5" s="628"/>
      <c r="SEA5" s="628"/>
      <c r="SEB5" s="628"/>
      <c r="SEC5" s="628"/>
      <c r="SED5" s="628"/>
      <c r="SEE5" s="628"/>
      <c r="SEF5" s="628"/>
      <c r="SEG5" s="628"/>
      <c r="SEH5" s="628"/>
      <c r="SEI5" s="628"/>
      <c r="SEJ5" s="628"/>
      <c r="SEK5" s="628"/>
      <c r="SEL5" s="628"/>
      <c r="SEM5" s="628"/>
      <c r="SEN5" s="628"/>
      <c r="SEO5" s="628"/>
      <c r="SEP5" s="628"/>
      <c r="SEQ5" s="628"/>
      <c r="SER5" s="628"/>
      <c r="SES5" s="628"/>
      <c r="SET5" s="628"/>
      <c r="SEU5" s="628"/>
      <c r="SEV5" s="628"/>
      <c r="SEW5" s="628"/>
      <c r="SEX5" s="628"/>
      <c r="SEY5" s="628"/>
      <c r="SEZ5" s="628"/>
      <c r="SFA5" s="628"/>
      <c r="SFB5" s="628"/>
      <c r="SFC5" s="628"/>
      <c r="SFD5" s="628"/>
      <c r="SFE5" s="628"/>
      <c r="SFF5" s="628"/>
      <c r="SFG5" s="628"/>
      <c r="SFH5" s="628"/>
      <c r="SFI5" s="628"/>
      <c r="SFJ5" s="628"/>
      <c r="SFK5" s="628"/>
      <c r="SFL5" s="628"/>
      <c r="SFM5" s="628"/>
      <c r="SFN5" s="628"/>
      <c r="SFO5" s="628"/>
      <c r="SFP5" s="628"/>
      <c r="SFQ5" s="628"/>
      <c r="SFR5" s="628"/>
      <c r="SFS5" s="628"/>
      <c r="SFT5" s="628"/>
      <c r="SFU5" s="628"/>
      <c r="SFV5" s="628"/>
      <c r="SFW5" s="628"/>
      <c r="SFX5" s="628"/>
      <c r="SFY5" s="628"/>
      <c r="SFZ5" s="628"/>
      <c r="SGA5" s="628"/>
      <c r="SGB5" s="628"/>
      <c r="SGC5" s="628"/>
      <c r="SGD5" s="628"/>
      <c r="SGE5" s="628"/>
      <c r="SGF5" s="628"/>
      <c r="SGG5" s="628"/>
      <c r="SGH5" s="628"/>
      <c r="SGI5" s="628"/>
      <c r="SGJ5" s="628"/>
      <c r="SGK5" s="628"/>
      <c r="SGL5" s="628"/>
      <c r="SGM5" s="628"/>
      <c r="SGN5" s="628"/>
      <c r="SGO5" s="628"/>
      <c r="SGP5" s="628"/>
      <c r="SGQ5" s="628"/>
      <c r="SGR5" s="628"/>
      <c r="SGS5" s="628"/>
      <c r="SGT5" s="628"/>
      <c r="SGU5" s="628"/>
      <c r="SGV5" s="628"/>
      <c r="SGW5" s="628"/>
      <c r="SGX5" s="628"/>
      <c r="SGY5" s="628"/>
      <c r="SGZ5" s="628"/>
      <c r="SHA5" s="628"/>
      <c r="SHB5" s="628"/>
      <c r="SHC5" s="628"/>
      <c r="SHD5" s="628"/>
      <c r="SHE5" s="628"/>
      <c r="SHF5" s="628"/>
      <c r="SHG5" s="628"/>
      <c r="SHH5" s="628"/>
      <c r="SHI5" s="628"/>
      <c r="SHJ5" s="628"/>
      <c r="SHK5" s="628"/>
      <c r="SHL5" s="628"/>
      <c r="SHM5" s="628"/>
      <c r="SHN5" s="628"/>
      <c r="SHO5" s="628"/>
      <c r="SHP5" s="628"/>
      <c r="SHQ5" s="628"/>
      <c r="SHR5" s="628"/>
      <c r="SHS5" s="628"/>
      <c r="SHT5" s="628"/>
      <c r="SHU5" s="628"/>
      <c r="SHV5" s="628"/>
      <c r="SHW5" s="628"/>
      <c r="SHX5" s="628"/>
      <c r="SHY5" s="628"/>
      <c r="SHZ5" s="628"/>
      <c r="SIA5" s="628"/>
      <c r="SIB5" s="628"/>
      <c r="SIC5" s="628"/>
      <c r="SID5" s="628"/>
      <c r="SIE5" s="628"/>
      <c r="SIF5" s="628"/>
      <c r="SIG5" s="628"/>
      <c r="SIH5" s="628"/>
      <c r="SII5" s="628"/>
      <c r="SIJ5" s="628"/>
      <c r="SIK5" s="628"/>
      <c r="SIL5" s="628"/>
      <c r="SIM5" s="628"/>
      <c r="SIN5" s="628"/>
      <c r="SIO5" s="628"/>
      <c r="SIP5" s="628"/>
      <c r="SIQ5" s="628"/>
      <c r="SIR5" s="628"/>
      <c r="SIS5" s="628"/>
      <c r="SIT5" s="628"/>
      <c r="SIU5" s="628"/>
      <c r="SIV5" s="628"/>
      <c r="SIW5" s="628"/>
      <c r="SIX5" s="628"/>
      <c r="SIY5" s="628"/>
      <c r="SIZ5" s="628"/>
      <c r="SJA5" s="628"/>
      <c r="SJB5" s="628"/>
      <c r="SJC5" s="628"/>
      <c r="SJD5" s="628"/>
      <c r="SJE5" s="628"/>
      <c r="SJF5" s="628"/>
      <c r="SJG5" s="628"/>
      <c r="SJH5" s="628"/>
      <c r="SJI5" s="628"/>
      <c r="SJJ5" s="628"/>
      <c r="SJK5" s="628"/>
      <c r="SJL5" s="628"/>
      <c r="SJM5" s="628"/>
      <c r="SJN5" s="628"/>
      <c r="SJO5" s="628"/>
      <c r="SJP5" s="628"/>
      <c r="SJQ5" s="628"/>
      <c r="SJR5" s="628"/>
      <c r="SJS5" s="628"/>
      <c r="SJT5" s="628"/>
      <c r="SJU5" s="628"/>
      <c r="SJV5" s="628"/>
      <c r="SJW5" s="628"/>
      <c r="SJX5" s="628"/>
      <c r="SJY5" s="628"/>
      <c r="SJZ5" s="628"/>
      <c r="SKA5" s="628"/>
      <c r="SKB5" s="628"/>
      <c r="SKC5" s="628"/>
      <c r="SKD5" s="628"/>
      <c r="SKE5" s="628"/>
      <c r="SKF5" s="628"/>
      <c r="SKG5" s="628"/>
      <c r="SKH5" s="628"/>
      <c r="SKI5" s="628"/>
      <c r="SKJ5" s="628"/>
      <c r="SKK5" s="628"/>
      <c r="SKL5" s="628"/>
      <c r="SKM5" s="628"/>
      <c r="SKN5" s="628"/>
      <c r="SKO5" s="628"/>
      <c r="SKP5" s="628"/>
      <c r="SKQ5" s="628"/>
      <c r="SKR5" s="628"/>
      <c r="SKS5" s="628"/>
      <c r="SKT5" s="628"/>
      <c r="SKU5" s="628"/>
      <c r="SKV5" s="628"/>
      <c r="SKW5" s="628"/>
      <c r="SKX5" s="628"/>
      <c r="SKY5" s="628"/>
      <c r="SKZ5" s="628"/>
      <c r="SLA5" s="628"/>
      <c r="SLB5" s="628"/>
      <c r="SLC5" s="628"/>
      <c r="SLD5" s="628"/>
      <c r="SLE5" s="628"/>
      <c r="SLF5" s="628"/>
      <c r="SLG5" s="628"/>
      <c r="SLH5" s="628"/>
      <c r="SLI5" s="628"/>
      <c r="SLJ5" s="628"/>
      <c r="SLK5" s="628"/>
      <c r="SLL5" s="628"/>
      <c r="SLM5" s="628"/>
      <c r="SLN5" s="628"/>
      <c r="SLO5" s="628"/>
      <c r="SLP5" s="628"/>
      <c r="SLQ5" s="628"/>
      <c r="SLR5" s="628"/>
      <c r="SLS5" s="628"/>
      <c r="SLT5" s="628"/>
      <c r="SLU5" s="628"/>
      <c r="SLV5" s="628"/>
      <c r="SLW5" s="628"/>
      <c r="SLX5" s="628"/>
      <c r="SLY5" s="628"/>
      <c r="SLZ5" s="628"/>
      <c r="SMA5" s="628"/>
      <c r="SMB5" s="628"/>
      <c r="SMC5" s="628"/>
      <c r="SMD5" s="628"/>
      <c r="SME5" s="628"/>
      <c r="SMF5" s="628"/>
      <c r="SMG5" s="628"/>
      <c r="SMH5" s="628"/>
      <c r="SMI5" s="628"/>
      <c r="SMJ5" s="628"/>
      <c r="SMK5" s="628"/>
      <c r="SML5" s="628"/>
      <c r="SMM5" s="628"/>
      <c r="SMN5" s="628"/>
      <c r="SMO5" s="628"/>
      <c r="SMP5" s="628"/>
      <c r="SMQ5" s="628"/>
      <c r="SMR5" s="628"/>
      <c r="SMS5" s="628"/>
      <c r="SMT5" s="628"/>
      <c r="SMU5" s="628"/>
      <c r="SMV5" s="628"/>
      <c r="SMW5" s="628"/>
      <c r="SMX5" s="628"/>
      <c r="SMY5" s="628"/>
      <c r="SMZ5" s="628"/>
      <c r="SNA5" s="628"/>
      <c r="SNB5" s="628"/>
      <c r="SNC5" s="628"/>
      <c r="SND5" s="628"/>
      <c r="SNE5" s="628"/>
      <c r="SNF5" s="628"/>
      <c r="SNG5" s="628"/>
      <c r="SNH5" s="628"/>
      <c r="SNI5" s="628"/>
      <c r="SNJ5" s="628"/>
      <c r="SNK5" s="628"/>
      <c r="SNL5" s="628"/>
      <c r="SNM5" s="628"/>
      <c r="SNN5" s="628"/>
      <c r="SNO5" s="628"/>
      <c r="SNP5" s="628"/>
      <c r="SNQ5" s="628"/>
      <c r="SNR5" s="628"/>
      <c r="SNS5" s="628"/>
      <c r="SNT5" s="628"/>
      <c r="SNU5" s="628"/>
      <c r="SNV5" s="628"/>
      <c r="SNW5" s="628"/>
      <c r="SNX5" s="628"/>
      <c r="SNY5" s="628"/>
      <c r="SNZ5" s="628"/>
      <c r="SOA5" s="628"/>
      <c r="SOB5" s="628"/>
      <c r="SOC5" s="628"/>
      <c r="SOD5" s="628"/>
      <c r="SOE5" s="628"/>
      <c r="SOF5" s="628"/>
      <c r="SOG5" s="628"/>
      <c r="SOH5" s="628"/>
      <c r="SOI5" s="628"/>
      <c r="SOJ5" s="628"/>
      <c r="SOK5" s="628"/>
      <c r="SOL5" s="628"/>
      <c r="SOM5" s="628"/>
      <c r="SON5" s="628"/>
      <c r="SOO5" s="628"/>
      <c r="SOP5" s="628"/>
      <c r="SOQ5" s="628"/>
      <c r="SOR5" s="628"/>
      <c r="SOS5" s="628"/>
      <c r="SOT5" s="628"/>
      <c r="SOU5" s="628"/>
      <c r="SOV5" s="628"/>
      <c r="SOW5" s="628"/>
      <c r="SOX5" s="628"/>
      <c r="SOY5" s="628"/>
      <c r="SOZ5" s="628"/>
      <c r="SPA5" s="628"/>
      <c r="SPB5" s="628"/>
      <c r="SPC5" s="628"/>
      <c r="SPD5" s="628"/>
      <c r="SPE5" s="628"/>
      <c r="SPF5" s="628"/>
      <c r="SPG5" s="628"/>
      <c r="SPH5" s="628"/>
      <c r="SPI5" s="628"/>
      <c r="SPJ5" s="628"/>
      <c r="SPK5" s="628"/>
      <c r="SPL5" s="628"/>
      <c r="SPM5" s="628"/>
      <c r="SPN5" s="628"/>
      <c r="SPO5" s="628"/>
      <c r="SPP5" s="628"/>
      <c r="SPQ5" s="628"/>
      <c r="SPR5" s="628"/>
      <c r="SPS5" s="628"/>
      <c r="SPT5" s="628"/>
      <c r="SPU5" s="628"/>
      <c r="SPV5" s="628"/>
      <c r="SPW5" s="628"/>
      <c r="SPX5" s="628"/>
      <c r="SPY5" s="628"/>
      <c r="SPZ5" s="628"/>
      <c r="SQA5" s="628"/>
      <c r="SQB5" s="628"/>
      <c r="SQC5" s="628"/>
      <c r="SQD5" s="628"/>
      <c r="SQE5" s="628"/>
      <c r="SQF5" s="628"/>
      <c r="SQG5" s="628"/>
      <c r="SQH5" s="628"/>
      <c r="SQI5" s="628"/>
      <c r="SQJ5" s="628"/>
      <c r="SQK5" s="628"/>
      <c r="SQL5" s="628"/>
      <c r="SQM5" s="628"/>
      <c r="SQN5" s="628"/>
      <c r="SQO5" s="628"/>
      <c r="SQP5" s="628"/>
      <c r="SQQ5" s="628"/>
      <c r="SQR5" s="628"/>
      <c r="SQS5" s="628"/>
      <c r="SQT5" s="628"/>
      <c r="SQU5" s="628"/>
      <c r="SQV5" s="628"/>
      <c r="SQW5" s="628"/>
      <c r="SQX5" s="628"/>
      <c r="SQY5" s="628"/>
      <c r="SQZ5" s="628"/>
      <c r="SRA5" s="628"/>
      <c r="SRB5" s="628"/>
      <c r="SRC5" s="628"/>
      <c r="SRD5" s="628"/>
      <c r="SRE5" s="628"/>
      <c r="SRF5" s="628"/>
      <c r="SRG5" s="628"/>
      <c r="SRH5" s="628"/>
      <c r="SRI5" s="628"/>
      <c r="SRJ5" s="628"/>
      <c r="SRK5" s="628"/>
      <c r="SRL5" s="628"/>
      <c r="SRM5" s="628"/>
      <c r="SRN5" s="628"/>
      <c r="SRO5" s="628"/>
      <c r="SRP5" s="628"/>
      <c r="SRQ5" s="628"/>
      <c r="SRR5" s="628"/>
      <c r="SRS5" s="628"/>
      <c r="SRT5" s="628"/>
      <c r="SRU5" s="628"/>
      <c r="SRV5" s="628"/>
      <c r="SRW5" s="628"/>
      <c r="SRX5" s="628"/>
      <c r="SRY5" s="628"/>
      <c r="SRZ5" s="628"/>
      <c r="SSA5" s="628"/>
      <c r="SSB5" s="628"/>
      <c r="SSC5" s="628"/>
      <c r="SSD5" s="628"/>
      <c r="SSE5" s="628"/>
      <c r="SSF5" s="628"/>
      <c r="SSG5" s="628"/>
      <c r="SSH5" s="628"/>
      <c r="SSI5" s="628"/>
      <c r="SSJ5" s="628"/>
      <c r="SSK5" s="628"/>
      <c r="SSL5" s="628"/>
      <c r="SSM5" s="628"/>
      <c r="SSN5" s="628"/>
      <c r="SSO5" s="628"/>
      <c r="SSP5" s="628"/>
      <c r="SSQ5" s="628"/>
      <c r="SSR5" s="628"/>
      <c r="SSS5" s="628"/>
      <c r="SST5" s="628"/>
      <c r="SSU5" s="628"/>
      <c r="SSV5" s="628"/>
      <c r="SSW5" s="628"/>
      <c r="SSX5" s="628"/>
      <c r="SSY5" s="628"/>
      <c r="SSZ5" s="628"/>
      <c r="STA5" s="628"/>
      <c r="STB5" s="628"/>
      <c r="STC5" s="628"/>
      <c r="STD5" s="628"/>
      <c r="STE5" s="628"/>
      <c r="STF5" s="628"/>
      <c r="STG5" s="628"/>
      <c r="STH5" s="628"/>
      <c r="STI5" s="628"/>
      <c r="STJ5" s="628"/>
      <c r="STK5" s="628"/>
      <c r="STL5" s="628"/>
      <c r="STM5" s="628"/>
      <c r="STN5" s="628"/>
      <c r="STO5" s="628"/>
      <c r="STP5" s="628"/>
      <c r="STQ5" s="628"/>
      <c r="STR5" s="628"/>
      <c r="STS5" s="628"/>
      <c r="STT5" s="628"/>
      <c r="STU5" s="628"/>
      <c r="STV5" s="628"/>
      <c r="STW5" s="628"/>
      <c r="STX5" s="628"/>
      <c r="STY5" s="628"/>
      <c r="STZ5" s="628"/>
      <c r="SUA5" s="628"/>
      <c r="SUB5" s="628"/>
      <c r="SUC5" s="628"/>
      <c r="SUD5" s="628"/>
      <c r="SUE5" s="628"/>
      <c r="SUF5" s="628"/>
      <c r="SUG5" s="628"/>
      <c r="SUH5" s="628"/>
      <c r="SUI5" s="628"/>
      <c r="SUJ5" s="628"/>
      <c r="SUK5" s="628"/>
      <c r="SUL5" s="628"/>
      <c r="SUM5" s="628"/>
      <c r="SUN5" s="628"/>
      <c r="SUO5" s="628"/>
      <c r="SUP5" s="628"/>
      <c r="SUQ5" s="628"/>
      <c r="SUR5" s="628"/>
      <c r="SUS5" s="628"/>
      <c r="SUT5" s="628"/>
      <c r="SUU5" s="628"/>
      <c r="SUV5" s="628"/>
      <c r="SUW5" s="628"/>
      <c r="SUX5" s="628"/>
      <c r="SUY5" s="628"/>
      <c r="SUZ5" s="628"/>
      <c r="SVA5" s="628"/>
      <c r="SVB5" s="628"/>
      <c r="SVC5" s="628"/>
      <c r="SVD5" s="628"/>
      <c r="SVE5" s="628"/>
      <c r="SVF5" s="628"/>
      <c r="SVG5" s="628"/>
      <c r="SVH5" s="628"/>
      <c r="SVI5" s="628"/>
      <c r="SVJ5" s="628"/>
      <c r="SVK5" s="628"/>
      <c r="SVL5" s="628"/>
      <c r="SVM5" s="628"/>
      <c r="SVN5" s="628"/>
      <c r="SVO5" s="628"/>
      <c r="SVP5" s="628"/>
      <c r="SVQ5" s="628"/>
      <c r="SVR5" s="628"/>
      <c r="SVS5" s="628"/>
      <c r="SVT5" s="628"/>
      <c r="SVU5" s="628"/>
      <c r="SVV5" s="628"/>
      <c r="SVW5" s="628"/>
      <c r="SVX5" s="628"/>
      <c r="SVY5" s="628"/>
      <c r="SVZ5" s="628"/>
      <c r="SWA5" s="628"/>
      <c r="SWB5" s="628"/>
      <c r="SWC5" s="628"/>
      <c r="SWD5" s="628"/>
      <c r="SWE5" s="628"/>
      <c r="SWF5" s="628"/>
      <c r="SWG5" s="628"/>
      <c r="SWH5" s="628"/>
      <c r="SWI5" s="628"/>
      <c r="SWJ5" s="628"/>
      <c r="SWK5" s="628"/>
      <c r="SWL5" s="628"/>
      <c r="SWM5" s="628"/>
      <c r="SWN5" s="628"/>
      <c r="SWO5" s="628"/>
      <c r="SWP5" s="628"/>
      <c r="SWQ5" s="628"/>
      <c r="SWR5" s="628"/>
      <c r="SWS5" s="628"/>
      <c r="SWT5" s="628"/>
      <c r="SWU5" s="628"/>
      <c r="SWV5" s="628"/>
      <c r="SWW5" s="628"/>
      <c r="SWX5" s="628"/>
      <c r="SWY5" s="628"/>
      <c r="SWZ5" s="628"/>
      <c r="SXA5" s="628"/>
      <c r="SXB5" s="628"/>
      <c r="SXC5" s="628"/>
      <c r="SXD5" s="628"/>
      <c r="SXE5" s="628"/>
      <c r="SXF5" s="628"/>
      <c r="SXG5" s="628"/>
      <c r="SXH5" s="628"/>
      <c r="SXI5" s="628"/>
      <c r="SXJ5" s="628"/>
      <c r="SXK5" s="628"/>
      <c r="SXL5" s="628"/>
      <c r="SXM5" s="628"/>
      <c r="SXN5" s="628"/>
      <c r="SXO5" s="628"/>
      <c r="SXP5" s="628"/>
      <c r="SXQ5" s="628"/>
      <c r="SXR5" s="628"/>
      <c r="SXS5" s="628"/>
      <c r="SXT5" s="628"/>
      <c r="SXU5" s="628"/>
      <c r="SXV5" s="628"/>
      <c r="SXW5" s="628"/>
      <c r="SXX5" s="628"/>
      <c r="SXY5" s="628"/>
      <c r="SXZ5" s="628"/>
      <c r="SYA5" s="628"/>
      <c r="SYB5" s="628"/>
      <c r="SYC5" s="628"/>
      <c r="SYD5" s="628"/>
      <c r="SYE5" s="628"/>
      <c r="SYF5" s="628"/>
      <c r="SYG5" s="628"/>
      <c r="SYH5" s="628"/>
      <c r="SYI5" s="628"/>
      <c r="SYJ5" s="628"/>
      <c r="SYK5" s="628"/>
      <c r="SYL5" s="628"/>
      <c r="SYM5" s="628"/>
      <c r="SYN5" s="628"/>
      <c r="SYO5" s="628"/>
      <c r="SYP5" s="628"/>
      <c r="SYQ5" s="628"/>
      <c r="SYR5" s="628"/>
      <c r="SYS5" s="628"/>
      <c r="SYT5" s="628"/>
      <c r="SYU5" s="628"/>
      <c r="SYV5" s="628"/>
      <c r="SYW5" s="628"/>
      <c r="SYX5" s="628"/>
      <c r="SYY5" s="628"/>
      <c r="SYZ5" s="628"/>
      <c r="SZA5" s="628"/>
      <c r="SZB5" s="628"/>
      <c r="SZC5" s="628"/>
      <c r="SZD5" s="628"/>
      <c r="SZE5" s="628"/>
      <c r="SZF5" s="628"/>
      <c r="SZG5" s="628"/>
      <c r="SZH5" s="628"/>
      <c r="SZI5" s="628"/>
      <c r="SZJ5" s="628"/>
      <c r="SZK5" s="628"/>
      <c r="SZL5" s="628"/>
      <c r="SZM5" s="628"/>
      <c r="SZN5" s="628"/>
      <c r="SZO5" s="628"/>
      <c r="SZP5" s="628"/>
      <c r="SZQ5" s="628"/>
      <c r="SZR5" s="628"/>
      <c r="SZS5" s="628"/>
      <c r="SZT5" s="628"/>
      <c r="SZU5" s="628"/>
      <c r="SZV5" s="628"/>
      <c r="SZW5" s="628"/>
      <c r="SZX5" s="628"/>
      <c r="SZY5" s="628"/>
      <c r="SZZ5" s="628"/>
      <c r="TAA5" s="628"/>
      <c r="TAB5" s="628"/>
      <c r="TAC5" s="628"/>
      <c r="TAD5" s="628"/>
      <c r="TAE5" s="628"/>
      <c r="TAF5" s="628"/>
      <c r="TAG5" s="628"/>
      <c r="TAH5" s="628"/>
      <c r="TAI5" s="628"/>
      <c r="TAJ5" s="628"/>
      <c r="TAK5" s="628"/>
      <c r="TAL5" s="628"/>
      <c r="TAM5" s="628"/>
      <c r="TAN5" s="628"/>
      <c r="TAO5" s="628"/>
      <c r="TAP5" s="628"/>
      <c r="TAQ5" s="628"/>
      <c r="TAR5" s="628"/>
      <c r="TAS5" s="628"/>
      <c r="TAT5" s="628"/>
      <c r="TAU5" s="628"/>
      <c r="TAV5" s="628"/>
      <c r="TAW5" s="628"/>
      <c r="TAX5" s="628"/>
      <c r="TAY5" s="628"/>
      <c r="TAZ5" s="628"/>
      <c r="TBA5" s="628"/>
      <c r="TBB5" s="628"/>
      <c r="TBC5" s="628"/>
      <c r="TBD5" s="628"/>
      <c r="TBE5" s="628"/>
      <c r="TBF5" s="628"/>
      <c r="TBG5" s="628"/>
      <c r="TBH5" s="628"/>
      <c r="TBI5" s="628"/>
      <c r="TBJ5" s="628"/>
      <c r="TBK5" s="628"/>
      <c r="TBL5" s="628"/>
      <c r="TBM5" s="628"/>
      <c r="TBN5" s="628"/>
      <c r="TBO5" s="628"/>
      <c r="TBP5" s="628"/>
      <c r="TBQ5" s="628"/>
      <c r="TBR5" s="628"/>
      <c r="TBS5" s="628"/>
      <c r="TBT5" s="628"/>
      <c r="TBU5" s="628"/>
      <c r="TBV5" s="628"/>
      <c r="TBW5" s="628"/>
      <c r="TBX5" s="628"/>
      <c r="TBY5" s="628"/>
      <c r="TBZ5" s="628"/>
      <c r="TCA5" s="628"/>
      <c r="TCB5" s="628"/>
      <c r="TCC5" s="628"/>
      <c r="TCD5" s="628"/>
      <c r="TCE5" s="628"/>
      <c r="TCF5" s="628"/>
      <c r="TCG5" s="628"/>
      <c r="TCH5" s="628"/>
      <c r="TCI5" s="628"/>
      <c r="TCJ5" s="628"/>
      <c r="TCK5" s="628"/>
      <c r="TCL5" s="628"/>
      <c r="TCM5" s="628"/>
      <c r="TCN5" s="628"/>
      <c r="TCO5" s="628"/>
      <c r="TCP5" s="628"/>
      <c r="TCQ5" s="628"/>
      <c r="TCR5" s="628"/>
      <c r="TCS5" s="628"/>
      <c r="TCT5" s="628"/>
      <c r="TCU5" s="628"/>
      <c r="TCV5" s="628"/>
      <c r="TCW5" s="628"/>
      <c r="TCX5" s="628"/>
      <c r="TCY5" s="628"/>
      <c r="TCZ5" s="628"/>
      <c r="TDA5" s="628"/>
      <c r="TDB5" s="628"/>
      <c r="TDC5" s="628"/>
      <c r="TDD5" s="628"/>
      <c r="TDE5" s="628"/>
      <c r="TDF5" s="628"/>
      <c r="TDG5" s="628"/>
      <c r="TDH5" s="628"/>
      <c r="TDI5" s="628"/>
      <c r="TDJ5" s="628"/>
      <c r="TDK5" s="628"/>
      <c r="TDL5" s="628"/>
      <c r="TDM5" s="628"/>
      <c r="TDN5" s="628"/>
      <c r="TDO5" s="628"/>
      <c r="TDP5" s="628"/>
      <c r="TDQ5" s="628"/>
      <c r="TDR5" s="628"/>
      <c r="TDS5" s="628"/>
      <c r="TDT5" s="628"/>
      <c r="TDU5" s="628"/>
      <c r="TDV5" s="628"/>
      <c r="TDW5" s="628"/>
      <c r="TDX5" s="628"/>
      <c r="TDY5" s="628"/>
      <c r="TDZ5" s="628"/>
      <c r="TEA5" s="628"/>
      <c r="TEB5" s="628"/>
      <c r="TEC5" s="628"/>
      <c r="TED5" s="628"/>
      <c r="TEE5" s="628"/>
      <c r="TEF5" s="628"/>
      <c r="TEG5" s="628"/>
      <c r="TEH5" s="628"/>
      <c r="TEI5" s="628"/>
      <c r="TEJ5" s="628"/>
      <c r="TEK5" s="628"/>
      <c r="TEL5" s="628"/>
      <c r="TEM5" s="628"/>
      <c r="TEN5" s="628"/>
      <c r="TEO5" s="628"/>
      <c r="TEP5" s="628"/>
      <c r="TEQ5" s="628"/>
      <c r="TER5" s="628"/>
      <c r="TES5" s="628"/>
      <c r="TET5" s="628"/>
      <c r="TEU5" s="628"/>
      <c r="TEV5" s="628"/>
      <c r="TEW5" s="628"/>
      <c r="TEX5" s="628"/>
      <c r="TEY5" s="628"/>
      <c r="TEZ5" s="628"/>
      <c r="TFA5" s="628"/>
      <c r="TFB5" s="628"/>
      <c r="TFC5" s="628"/>
      <c r="TFD5" s="628"/>
      <c r="TFE5" s="628"/>
      <c r="TFF5" s="628"/>
      <c r="TFG5" s="628"/>
      <c r="TFH5" s="628"/>
      <c r="TFI5" s="628"/>
      <c r="TFJ5" s="628"/>
      <c r="TFK5" s="628"/>
      <c r="TFL5" s="628"/>
      <c r="TFM5" s="628"/>
      <c r="TFN5" s="628"/>
      <c r="TFO5" s="628"/>
      <c r="TFP5" s="628"/>
      <c r="TFQ5" s="628"/>
      <c r="TFR5" s="628"/>
      <c r="TFS5" s="628"/>
      <c r="TFT5" s="628"/>
      <c r="TFU5" s="628"/>
      <c r="TFV5" s="628"/>
      <c r="TFW5" s="628"/>
      <c r="TFX5" s="628"/>
      <c r="TFY5" s="628"/>
      <c r="TFZ5" s="628"/>
      <c r="TGA5" s="628"/>
      <c r="TGB5" s="628"/>
      <c r="TGC5" s="628"/>
      <c r="TGD5" s="628"/>
      <c r="TGE5" s="628"/>
      <c r="TGF5" s="628"/>
      <c r="TGG5" s="628"/>
      <c r="TGH5" s="628"/>
      <c r="TGI5" s="628"/>
      <c r="TGJ5" s="628"/>
      <c r="TGK5" s="628"/>
      <c r="TGL5" s="628"/>
      <c r="TGM5" s="628"/>
      <c r="TGN5" s="628"/>
      <c r="TGO5" s="628"/>
      <c r="TGP5" s="628"/>
      <c r="TGQ5" s="628"/>
      <c r="TGR5" s="628"/>
      <c r="TGS5" s="628"/>
      <c r="TGT5" s="628"/>
      <c r="TGU5" s="628"/>
      <c r="TGV5" s="628"/>
      <c r="TGW5" s="628"/>
      <c r="TGX5" s="628"/>
      <c r="TGY5" s="628"/>
      <c r="TGZ5" s="628"/>
      <c r="THA5" s="628"/>
      <c r="THB5" s="628"/>
      <c r="THC5" s="628"/>
      <c r="THD5" s="628"/>
      <c r="THE5" s="628"/>
      <c r="THF5" s="628"/>
      <c r="THG5" s="628"/>
      <c r="THH5" s="628"/>
      <c r="THI5" s="628"/>
      <c r="THJ5" s="628"/>
      <c r="THK5" s="628"/>
      <c r="THL5" s="628"/>
      <c r="THM5" s="628"/>
      <c r="THN5" s="628"/>
      <c r="THO5" s="628"/>
      <c r="THP5" s="628"/>
      <c r="THQ5" s="628"/>
      <c r="THR5" s="628"/>
      <c r="THS5" s="628"/>
      <c r="THT5" s="628"/>
      <c r="THU5" s="628"/>
      <c r="THV5" s="628"/>
      <c r="THW5" s="628"/>
      <c r="THX5" s="628"/>
      <c r="THY5" s="628"/>
      <c r="THZ5" s="628"/>
      <c r="TIA5" s="628"/>
      <c r="TIB5" s="628"/>
      <c r="TIC5" s="628"/>
      <c r="TID5" s="628"/>
      <c r="TIE5" s="628"/>
      <c r="TIF5" s="628"/>
      <c r="TIG5" s="628"/>
      <c r="TIH5" s="628"/>
      <c r="TII5" s="628"/>
      <c r="TIJ5" s="628"/>
      <c r="TIK5" s="628"/>
      <c r="TIL5" s="628"/>
      <c r="TIM5" s="628"/>
      <c r="TIN5" s="628"/>
      <c r="TIO5" s="628"/>
      <c r="TIP5" s="628"/>
      <c r="TIQ5" s="628"/>
      <c r="TIR5" s="628"/>
      <c r="TIS5" s="628"/>
      <c r="TIT5" s="628"/>
      <c r="TIU5" s="628"/>
      <c r="TIV5" s="628"/>
      <c r="TIW5" s="628"/>
      <c r="TIX5" s="628"/>
      <c r="TIY5" s="628"/>
      <c r="TIZ5" s="628"/>
      <c r="TJA5" s="628"/>
      <c r="TJB5" s="628"/>
      <c r="TJC5" s="628"/>
      <c r="TJD5" s="628"/>
      <c r="TJE5" s="628"/>
      <c r="TJF5" s="628"/>
      <c r="TJG5" s="628"/>
      <c r="TJH5" s="628"/>
      <c r="TJI5" s="628"/>
      <c r="TJJ5" s="628"/>
      <c r="TJK5" s="628"/>
      <c r="TJL5" s="628"/>
      <c r="TJM5" s="628"/>
      <c r="TJN5" s="628"/>
      <c r="TJO5" s="628"/>
      <c r="TJP5" s="628"/>
      <c r="TJQ5" s="628"/>
      <c r="TJR5" s="628"/>
      <c r="TJS5" s="628"/>
      <c r="TJT5" s="628"/>
      <c r="TJU5" s="628"/>
      <c r="TJV5" s="628"/>
      <c r="TJW5" s="628"/>
      <c r="TJX5" s="628"/>
      <c r="TJY5" s="628"/>
      <c r="TJZ5" s="628"/>
      <c r="TKA5" s="628"/>
      <c r="TKB5" s="628"/>
      <c r="TKC5" s="628"/>
      <c r="TKD5" s="628"/>
      <c r="TKE5" s="628"/>
      <c r="TKF5" s="628"/>
      <c r="TKG5" s="628"/>
      <c r="TKH5" s="628"/>
      <c r="TKI5" s="628"/>
      <c r="TKJ5" s="628"/>
      <c r="TKK5" s="628"/>
      <c r="TKL5" s="628"/>
      <c r="TKM5" s="628"/>
      <c r="TKN5" s="628"/>
      <c r="TKO5" s="628"/>
      <c r="TKP5" s="628"/>
      <c r="TKQ5" s="628"/>
      <c r="TKR5" s="628"/>
      <c r="TKS5" s="628"/>
      <c r="TKT5" s="628"/>
      <c r="TKU5" s="628"/>
      <c r="TKV5" s="628"/>
      <c r="TKW5" s="628"/>
      <c r="TKX5" s="628"/>
      <c r="TKY5" s="628"/>
      <c r="TKZ5" s="628"/>
      <c r="TLA5" s="628"/>
      <c r="TLB5" s="628"/>
      <c r="TLC5" s="628"/>
      <c r="TLD5" s="628"/>
      <c r="TLE5" s="628"/>
      <c r="TLF5" s="628"/>
      <c r="TLG5" s="628"/>
      <c r="TLH5" s="628"/>
      <c r="TLI5" s="628"/>
      <c r="TLJ5" s="628"/>
      <c r="TLK5" s="628"/>
      <c r="TLL5" s="628"/>
      <c r="TLM5" s="628"/>
      <c r="TLN5" s="628"/>
      <c r="TLO5" s="628"/>
      <c r="TLP5" s="628"/>
      <c r="TLQ5" s="628"/>
      <c r="TLR5" s="628"/>
      <c r="TLS5" s="628"/>
      <c r="TLT5" s="628"/>
      <c r="TLU5" s="628"/>
      <c r="TLV5" s="628"/>
      <c r="TLW5" s="628"/>
      <c r="TLX5" s="628"/>
      <c r="TLY5" s="628"/>
      <c r="TLZ5" s="628"/>
      <c r="TMA5" s="628"/>
      <c r="TMB5" s="628"/>
      <c r="TMC5" s="628"/>
      <c r="TMD5" s="628"/>
      <c r="TME5" s="628"/>
      <c r="TMF5" s="628"/>
      <c r="TMG5" s="628"/>
      <c r="TMH5" s="628"/>
      <c r="TMI5" s="628"/>
      <c r="TMJ5" s="628"/>
      <c r="TMK5" s="628"/>
      <c r="TML5" s="628"/>
      <c r="TMM5" s="628"/>
      <c r="TMN5" s="628"/>
      <c r="TMO5" s="628"/>
      <c r="TMP5" s="628"/>
      <c r="TMQ5" s="628"/>
      <c r="TMR5" s="628"/>
      <c r="TMS5" s="628"/>
      <c r="TMT5" s="628"/>
      <c r="TMU5" s="628"/>
      <c r="TMV5" s="628"/>
      <c r="TMW5" s="628"/>
      <c r="TMX5" s="628"/>
      <c r="TMY5" s="628"/>
      <c r="TMZ5" s="628"/>
      <c r="TNA5" s="628"/>
      <c r="TNB5" s="628"/>
      <c r="TNC5" s="628"/>
      <c r="TND5" s="628"/>
      <c r="TNE5" s="628"/>
      <c r="TNF5" s="628"/>
      <c r="TNG5" s="628"/>
      <c r="TNH5" s="628"/>
      <c r="TNI5" s="628"/>
      <c r="TNJ5" s="628"/>
      <c r="TNK5" s="628"/>
      <c r="TNL5" s="628"/>
      <c r="TNM5" s="628"/>
      <c r="TNN5" s="628"/>
      <c r="TNO5" s="628"/>
      <c r="TNP5" s="628"/>
      <c r="TNQ5" s="628"/>
      <c r="TNR5" s="628"/>
      <c r="TNS5" s="628"/>
      <c r="TNT5" s="628"/>
      <c r="TNU5" s="628"/>
      <c r="TNV5" s="628"/>
      <c r="TNW5" s="628"/>
      <c r="TNX5" s="628"/>
      <c r="TNY5" s="628"/>
      <c r="TNZ5" s="628"/>
      <c r="TOA5" s="628"/>
      <c r="TOB5" s="628"/>
      <c r="TOC5" s="628"/>
      <c r="TOD5" s="628"/>
      <c r="TOE5" s="628"/>
      <c r="TOF5" s="628"/>
      <c r="TOG5" s="628"/>
      <c r="TOH5" s="628"/>
      <c r="TOI5" s="628"/>
      <c r="TOJ5" s="628"/>
      <c r="TOK5" s="628"/>
      <c r="TOL5" s="628"/>
      <c r="TOM5" s="628"/>
      <c r="TON5" s="628"/>
      <c r="TOO5" s="628"/>
      <c r="TOP5" s="628"/>
      <c r="TOQ5" s="628"/>
      <c r="TOR5" s="628"/>
      <c r="TOS5" s="628"/>
      <c r="TOT5" s="628"/>
      <c r="TOU5" s="628"/>
      <c r="TOV5" s="628"/>
      <c r="TOW5" s="628"/>
      <c r="TOX5" s="628"/>
      <c r="TOY5" s="628"/>
      <c r="TOZ5" s="628"/>
      <c r="TPA5" s="628"/>
      <c r="TPB5" s="628"/>
      <c r="TPC5" s="628"/>
      <c r="TPD5" s="628"/>
      <c r="TPE5" s="628"/>
      <c r="TPF5" s="628"/>
      <c r="TPG5" s="628"/>
      <c r="TPH5" s="628"/>
      <c r="TPI5" s="628"/>
      <c r="TPJ5" s="628"/>
      <c r="TPK5" s="628"/>
      <c r="TPL5" s="628"/>
      <c r="TPM5" s="628"/>
      <c r="TPN5" s="628"/>
      <c r="TPO5" s="628"/>
      <c r="TPP5" s="628"/>
      <c r="TPQ5" s="628"/>
      <c r="TPR5" s="628"/>
      <c r="TPS5" s="628"/>
      <c r="TPT5" s="628"/>
      <c r="TPU5" s="628"/>
      <c r="TPV5" s="628"/>
      <c r="TPW5" s="628"/>
      <c r="TPX5" s="628"/>
      <c r="TPY5" s="628"/>
      <c r="TPZ5" s="628"/>
      <c r="TQA5" s="628"/>
      <c r="TQB5" s="628"/>
      <c r="TQC5" s="628"/>
      <c r="TQD5" s="628"/>
      <c r="TQE5" s="628"/>
      <c r="TQF5" s="628"/>
      <c r="TQG5" s="628"/>
      <c r="TQH5" s="628"/>
      <c r="TQI5" s="628"/>
      <c r="TQJ5" s="628"/>
      <c r="TQK5" s="628"/>
      <c r="TQL5" s="628"/>
      <c r="TQM5" s="628"/>
      <c r="TQN5" s="628"/>
      <c r="TQO5" s="628"/>
      <c r="TQP5" s="628"/>
      <c r="TQQ5" s="628"/>
      <c r="TQR5" s="628"/>
      <c r="TQS5" s="628"/>
      <c r="TQT5" s="628"/>
      <c r="TQU5" s="628"/>
      <c r="TQV5" s="628"/>
      <c r="TQW5" s="628"/>
      <c r="TQX5" s="628"/>
      <c r="TQY5" s="628"/>
      <c r="TQZ5" s="628"/>
      <c r="TRA5" s="628"/>
      <c r="TRB5" s="628"/>
      <c r="TRC5" s="628"/>
      <c r="TRD5" s="628"/>
      <c r="TRE5" s="628"/>
      <c r="TRF5" s="628"/>
      <c r="TRG5" s="628"/>
      <c r="TRH5" s="628"/>
      <c r="TRI5" s="628"/>
      <c r="TRJ5" s="628"/>
      <c r="TRK5" s="628"/>
      <c r="TRL5" s="628"/>
      <c r="TRM5" s="628"/>
      <c r="TRN5" s="628"/>
      <c r="TRO5" s="628"/>
      <c r="TRP5" s="628"/>
      <c r="TRQ5" s="628"/>
      <c r="TRR5" s="628"/>
      <c r="TRS5" s="628"/>
      <c r="TRT5" s="628"/>
      <c r="TRU5" s="628"/>
      <c r="TRV5" s="628"/>
      <c r="TRW5" s="628"/>
      <c r="TRX5" s="628"/>
      <c r="TRY5" s="628"/>
      <c r="TRZ5" s="628"/>
      <c r="TSA5" s="628"/>
      <c r="TSB5" s="628"/>
      <c r="TSC5" s="628"/>
      <c r="TSD5" s="628"/>
      <c r="TSE5" s="628"/>
      <c r="TSF5" s="628"/>
      <c r="TSG5" s="628"/>
      <c r="TSH5" s="628"/>
      <c r="TSI5" s="628"/>
      <c r="TSJ5" s="628"/>
      <c r="TSK5" s="628"/>
      <c r="TSL5" s="628"/>
      <c r="TSM5" s="628"/>
      <c r="TSN5" s="628"/>
      <c r="TSO5" s="628"/>
      <c r="TSP5" s="628"/>
      <c r="TSQ5" s="628"/>
      <c r="TSR5" s="628"/>
      <c r="TSS5" s="628"/>
      <c r="TST5" s="628"/>
      <c r="TSU5" s="628"/>
      <c r="TSV5" s="628"/>
      <c r="TSW5" s="628"/>
      <c r="TSX5" s="628"/>
      <c r="TSY5" s="628"/>
      <c r="TSZ5" s="628"/>
      <c r="TTA5" s="628"/>
      <c r="TTB5" s="628"/>
      <c r="TTC5" s="628"/>
      <c r="TTD5" s="628"/>
      <c r="TTE5" s="628"/>
      <c r="TTF5" s="628"/>
      <c r="TTG5" s="628"/>
      <c r="TTH5" s="628"/>
      <c r="TTI5" s="628"/>
      <c r="TTJ5" s="628"/>
      <c r="TTK5" s="628"/>
      <c r="TTL5" s="628"/>
      <c r="TTM5" s="628"/>
      <c r="TTN5" s="628"/>
      <c r="TTO5" s="628"/>
      <c r="TTP5" s="628"/>
      <c r="TTQ5" s="628"/>
      <c r="TTR5" s="628"/>
      <c r="TTS5" s="628"/>
      <c r="TTT5" s="628"/>
      <c r="TTU5" s="628"/>
      <c r="TTV5" s="628"/>
      <c r="TTW5" s="628"/>
      <c r="TTX5" s="628"/>
      <c r="TTY5" s="628"/>
      <c r="TTZ5" s="628"/>
      <c r="TUA5" s="628"/>
      <c r="TUB5" s="628"/>
      <c r="TUC5" s="628"/>
      <c r="TUD5" s="628"/>
      <c r="TUE5" s="628"/>
      <c r="TUF5" s="628"/>
      <c r="TUG5" s="628"/>
      <c r="TUH5" s="628"/>
      <c r="TUI5" s="628"/>
      <c r="TUJ5" s="628"/>
      <c r="TUK5" s="628"/>
      <c r="TUL5" s="628"/>
      <c r="TUM5" s="628"/>
      <c r="TUN5" s="628"/>
      <c r="TUO5" s="628"/>
      <c r="TUP5" s="628"/>
      <c r="TUQ5" s="628"/>
      <c r="TUR5" s="628"/>
      <c r="TUS5" s="628"/>
      <c r="TUT5" s="628"/>
      <c r="TUU5" s="628"/>
      <c r="TUV5" s="628"/>
      <c r="TUW5" s="628"/>
      <c r="TUX5" s="628"/>
      <c r="TUY5" s="628"/>
      <c r="TUZ5" s="628"/>
      <c r="TVA5" s="628"/>
      <c r="TVB5" s="628"/>
      <c r="TVC5" s="628"/>
      <c r="TVD5" s="628"/>
      <c r="TVE5" s="628"/>
      <c r="TVF5" s="628"/>
      <c r="TVG5" s="628"/>
      <c r="TVH5" s="628"/>
      <c r="TVI5" s="628"/>
      <c r="TVJ5" s="628"/>
      <c r="TVK5" s="628"/>
      <c r="TVL5" s="628"/>
      <c r="TVM5" s="628"/>
      <c r="TVN5" s="628"/>
      <c r="TVO5" s="628"/>
      <c r="TVP5" s="628"/>
      <c r="TVQ5" s="628"/>
      <c r="TVR5" s="628"/>
      <c r="TVS5" s="628"/>
      <c r="TVT5" s="628"/>
      <c r="TVU5" s="628"/>
      <c r="TVV5" s="628"/>
      <c r="TVW5" s="628"/>
      <c r="TVX5" s="628"/>
      <c r="TVY5" s="628"/>
      <c r="TVZ5" s="628"/>
      <c r="TWA5" s="628"/>
      <c r="TWB5" s="628"/>
      <c r="TWC5" s="628"/>
      <c r="TWD5" s="628"/>
      <c r="TWE5" s="628"/>
      <c r="TWF5" s="628"/>
      <c r="TWG5" s="628"/>
      <c r="TWH5" s="628"/>
      <c r="TWI5" s="628"/>
      <c r="TWJ5" s="628"/>
      <c r="TWK5" s="628"/>
      <c r="TWL5" s="628"/>
      <c r="TWM5" s="628"/>
      <c r="TWN5" s="628"/>
      <c r="TWO5" s="628"/>
      <c r="TWP5" s="628"/>
      <c r="TWQ5" s="628"/>
      <c r="TWR5" s="628"/>
      <c r="TWS5" s="628"/>
      <c r="TWT5" s="628"/>
      <c r="TWU5" s="628"/>
      <c r="TWV5" s="628"/>
      <c r="TWW5" s="628"/>
      <c r="TWX5" s="628"/>
      <c r="TWY5" s="628"/>
      <c r="TWZ5" s="628"/>
      <c r="TXA5" s="628"/>
      <c r="TXB5" s="628"/>
      <c r="TXC5" s="628"/>
      <c r="TXD5" s="628"/>
      <c r="TXE5" s="628"/>
      <c r="TXF5" s="628"/>
      <c r="TXG5" s="628"/>
      <c r="TXH5" s="628"/>
      <c r="TXI5" s="628"/>
      <c r="TXJ5" s="628"/>
      <c r="TXK5" s="628"/>
      <c r="TXL5" s="628"/>
      <c r="TXM5" s="628"/>
      <c r="TXN5" s="628"/>
      <c r="TXO5" s="628"/>
      <c r="TXP5" s="628"/>
      <c r="TXQ5" s="628"/>
      <c r="TXR5" s="628"/>
      <c r="TXS5" s="628"/>
      <c r="TXT5" s="628"/>
      <c r="TXU5" s="628"/>
      <c r="TXV5" s="628"/>
      <c r="TXW5" s="628"/>
      <c r="TXX5" s="628"/>
      <c r="TXY5" s="628"/>
      <c r="TXZ5" s="628"/>
      <c r="TYA5" s="628"/>
      <c r="TYB5" s="628"/>
      <c r="TYC5" s="628"/>
      <c r="TYD5" s="628"/>
      <c r="TYE5" s="628"/>
      <c r="TYF5" s="628"/>
      <c r="TYG5" s="628"/>
      <c r="TYH5" s="628"/>
      <c r="TYI5" s="628"/>
      <c r="TYJ5" s="628"/>
      <c r="TYK5" s="628"/>
      <c r="TYL5" s="628"/>
      <c r="TYM5" s="628"/>
      <c r="TYN5" s="628"/>
      <c r="TYO5" s="628"/>
      <c r="TYP5" s="628"/>
      <c r="TYQ5" s="628"/>
      <c r="TYR5" s="628"/>
      <c r="TYS5" s="628"/>
      <c r="TYT5" s="628"/>
      <c r="TYU5" s="628"/>
      <c r="TYV5" s="628"/>
      <c r="TYW5" s="628"/>
      <c r="TYX5" s="628"/>
      <c r="TYY5" s="628"/>
      <c r="TYZ5" s="628"/>
      <c r="TZA5" s="628"/>
      <c r="TZB5" s="628"/>
      <c r="TZC5" s="628"/>
      <c r="TZD5" s="628"/>
      <c r="TZE5" s="628"/>
      <c r="TZF5" s="628"/>
      <c r="TZG5" s="628"/>
      <c r="TZH5" s="628"/>
      <c r="TZI5" s="628"/>
      <c r="TZJ5" s="628"/>
      <c r="TZK5" s="628"/>
      <c r="TZL5" s="628"/>
      <c r="TZM5" s="628"/>
      <c r="TZN5" s="628"/>
      <c r="TZO5" s="628"/>
      <c r="TZP5" s="628"/>
      <c r="TZQ5" s="628"/>
      <c r="TZR5" s="628"/>
      <c r="TZS5" s="628"/>
      <c r="TZT5" s="628"/>
      <c r="TZU5" s="628"/>
      <c r="TZV5" s="628"/>
      <c r="TZW5" s="628"/>
      <c r="TZX5" s="628"/>
      <c r="TZY5" s="628"/>
      <c r="TZZ5" s="628"/>
      <c r="UAA5" s="628"/>
      <c r="UAB5" s="628"/>
      <c r="UAC5" s="628"/>
      <c r="UAD5" s="628"/>
      <c r="UAE5" s="628"/>
      <c r="UAF5" s="628"/>
      <c r="UAG5" s="628"/>
      <c r="UAH5" s="628"/>
      <c r="UAI5" s="628"/>
      <c r="UAJ5" s="628"/>
      <c r="UAK5" s="628"/>
      <c r="UAL5" s="628"/>
      <c r="UAM5" s="628"/>
      <c r="UAN5" s="628"/>
      <c r="UAO5" s="628"/>
      <c r="UAP5" s="628"/>
      <c r="UAQ5" s="628"/>
      <c r="UAR5" s="628"/>
      <c r="UAS5" s="628"/>
      <c r="UAT5" s="628"/>
      <c r="UAU5" s="628"/>
      <c r="UAV5" s="628"/>
      <c r="UAW5" s="628"/>
      <c r="UAX5" s="628"/>
      <c r="UAY5" s="628"/>
      <c r="UAZ5" s="628"/>
      <c r="UBA5" s="628"/>
      <c r="UBB5" s="628"/>
      <c r="UBC5" s="628"/>
      <c r="UBD5" s="628"/>
      <c r="UBE5" s="628"/>
      <c r="UBF5" s="628"/>
      <c r="UBG5" s="628"/>
      <c r="UBH5" s="628"/>
      <c r="UBI5" s="628"/>
      <c r="UBJ5" s="628"/>
      <c r="UBK5" s="628"/>
      <c r="UBL5" s="628"/>
      <c r="UBM5" s="628"/>
      <c r="UBN5" s="628"/>
      <c r="UBO5" s="628"/>
      <c r="UBP5" s="628"/>
      <c r="UBQ5" s="628"/>
      <c r="UBR5" s="628"/>
      <c r="UBS5" s="628"/>
      <c r="UBT5" s="628"/>
      <c r="UBU5" s="628"/>
      <c r="UBV5" s="628"/>
      <c r="UBW5" s="628"/>
      <c r="UBX5" s="628"/>
      <c r="UBY5" s="628"/>
      <c r="UBZ5" s="628"/>
      <c r="UCA5" s="628"/>
      <c r="UCB5" s="628"/>
      <c r="UCC5" s="628"/>
      <c r="UCD5" s="628"/>
      <c r="UCE5" s="628"/>
      <c r="UCF5" s="628"/>
      <c r="UCG5" s="628"/>
      <c r="UCH5" s="628"/>
      <c r="UCI5" s="628"/>
      <c r="UCJ5" s="628"/>
      <c r="UCK5" s="628"/>
      <c r="UCL5" s="628"/>
      <c r="UCM5" s="628"/>
      <c r="UCN5" s="628"/>
      <c r="UCO5" s="628"/>
      <c r="UCP5" s="628"/>
      <c r="UCQ5" s="628"/>
      <c r="UCR5" s="628"/>
      <c r="UCS5" s="628"/>
      <c r="UCT5" s="628"/>
      <c r="UCU5" s="628"/>
      <c r="UCV5" s="628"/>
      <c r="UCW5" s="628"/>
      <c r="UCX5" s="628"/>
      <c r="UCY5" s="628"/>
      <c r="UCZ5" s="628"/>
      <c r="UDA5" s="628"/>
      <c r="UDB5" s="628"/>
      <c r="UDC5" s="628"/>
      <c r="UDD5" s="628"/>
      <c r="UDE5" s="628"/>
      <c r="UDF5" s="628"/>
      <c r="UDG5" s="628"/>
      <c r="UDH5" s="628"/>
      <c r="UDI5" s="628"/>
      <c r="UDJ5" s="628"/>
      <c r="UDK5" s="628"/>
      <c r="UDL5" s="628"/>
      <c r="UDM5" s="628"/>
      <c r="UDN5" s="628"/>
      <c r="UDO5" s="628"/>
      <c r="UDP5" s="628"/>
      <c r="UDQ5" s="628"/>
      <c r="UDR5" s="628"/>
      <c r="UDS5" s="628"/>
      <c r="UDT5" s="628"/>
      <c r="UDU5" s="628"/>
      <c r="UDV5" s="628"/>
      <c r="UDW5" s="628"/>
      <c r="UDX5" s="628"/>
      <c r="UDY5" s="628"/>
      <c r="UDZ5" s="628"/>
      <c r="UEA5" s="628"/>
      <c r="UEB5" s="628"/>
      <c r="UEC5" s="628"/>
      <c r="UED5" s="628"/>
      <c r="UEE5" s="628"/>
      <c r="UEF5" s="628"/>
      <c r="UEG5" s="628"/>
      <c r="UEH5" s="628"/>
      <c r="UEI5" s="628"/>
      <c r="UEJ5" s="628"/>
      <c r="UEK5" s="628"/>
      <c r="UEL5" s="628"/>
      <c r="UEM5" s="628"/>
      <c r="UEN5" s="628"/>
      <c r="UEO5" s="628"/>
      <c r="UEP5" s="628"/>
      <c r="UEQ5" s="628"/>
      <c r="UER5" s="628"/>
      <c r="UES5" s="628"/>
      <c r="UET5" s="628"/>
      <c r="UEU5" s="628"/>
      <c r="UEV5" s="628"/>
      <c r="UEW5" s="628"/>
      <c r="UEX5" s="628"/>
      <c r="UEY5" s="628"/>
      <c r="UEZ5" s="628"/>
      <c r="UFA5" s="628"/>
      <c r="UFB5" s="628"/>
      <c r="UFC5" s="628"/>
      <c r="UFD5" s="628"/>
      <c r="UFE5" s="628"/>
      <c r="UFF5" s="628"/>
      <c r="UFG5" s="628"/>
      <c r="UFH5" s="628"/>
      <c r="UFI5" s="628"/>
      <c r="UFJ5" s="628"/>
      <c r="UFK5" s="628"/>
      <c r="UFL5" s="628"/>
      <c r="UFM5" s="628"/>
      <c r="UFN5" s="628"/>
      <c r="UFO5" s="628"/>
      <c r="UFP5" s="628"/>
      <c r="UFQ5" s="628"/>
      <c r="UFR5" s="628"/>
      <c r="UFS5" s="628"/>
      <c r="UFT5" s="628"/>
      <c r="UFU5" s="628"/>
      <c r="UFV5" s="628"/>
      <c r="UFW5" s="628"/>
      <c r="UFX5" s="628"/>
      <c r="UFY5" s="628"/>
      <c r="UFZ5" s="628"/>
      <c r="UGA5" s="628"/>
      <c r="UGB5" s="628"/>
      <c r="UGC5" s="628"/>
      <c r="UGD5" s="628"/>
      <c r="UGE5" s="628"/>
      <c r="UGF5" s="628"/>
      <c r="UGG5" s="628"/>
      <c r="UGH5" s="628"/>
      <c r="UGI5" s="628"/>
      <c r="UGJ5" s="628"/>
      <c r="UGK5" s="628"/>
      <c r="UGL5" s="628"/>
      <c r="UGM5" s="628"/>
      <c r="UGN5" s="628"/>
      <c r="UGO5" s="628"/>
      <c r="UGP5" s="628"/>
      <c r="UGQ5" s="628"/>
      <c r="UGR5" s="628"/>
      <c r="UGS5" s="628"/>
      <c r="UGT5" s="628"/>
      <c r="UGU5" s="628"/>
      <c r="UGV5" s="628"/>
      <c r="UGW5" s="628"/>
      <c r="UGX5" s="628"/>
      <c r="UGY5" s="628"/>
      <c r="UGZ5" s="628"/>
      <c r="UHA5" s="628"/>
      <c r="UHB5" s="628"/>
      <c r="UHC5" s="628"/>
      <c r="UHD5" s="628"/>
      <c r="UHE5" s="628"/>
      <c r="UHF5" s="628"/>
      <c r="UHG5" s="628"/>
      <c r="UHH5" s="628"/>
      <c r="UHI5" s="628"/>
      <c r="UHJ5" s="628"/>
      <c r="UHK5" s="628"/>
      <c r="UHL5" s="628"/>
      <c r="UHM5" s="628"/>
      <c r="UHN5" s="628"/>
      <c r="UHO5" s="628"/>
      <c r="UHP5" s="628"/>
      <c r="UHQ5" s="628"/>
      <c r="UHR5" s="628"/>
      <c r="UHS5" s="628"/>
      <c r="UHT5" s="628"/>
      <c r="UHU5" s="628"/>
      <c r="UHV5" s="628"/>
      <c r="UHW5" s="628"/>
      <c r="UHX5" s="628"/>
      <c r="UHY5" s="628"/>
      <c r="UHZ5" s="628"/>
      <c r="UIA5" s="628"/>
      <c r="UIB5" s="628"/>
      <c r="UIC5" s="628"/>
      <c r="UID5" s="628"/>
      <c r="UIE5" s="628"/>
      <c r="UIF5" s="628"/>
      <c r="UIG5" s="628"/>
      <c r="UIH5" s="628"/>
      <c r="UII5" s="628"/>
      <c r="UIJ5" s="628"/>
      <c r="UIK5" s="628"/>
      <c r="UIL5" s="628"/>
      <c r="UIM5" s="628"/>
      <c r="UIN5" s="628"/>
      <c r="UIO5" s="628"/>
      <c r="UIP5" s="628"/>
      <c r="UIQ5" s="628"/>
      <c r="UIR5" s="628"/>
      <c r="UIS5" s="628"/>
      <c r="UIT5" s="628"/>
      <c r="UIU5" s="628"/>
      <c r="UIV5" s="628"/>
      <c r="UIW5" s="628"/>
      <c r="UIX5" s="628"/>
      <c r="UIY5" s="628"/>
      <c r="UIZ5" s="628"/>
      <c r="UJA5" s="628"/>
      <c r="UJB5" s="628"/>
      <c r="UJC5" s="628"/>
      <c r="UJD5" s="628"/>
      <c r="UJE5" s="628"/>
      <c r="UJF5" s="628"/>
      <c r="UJG5" s="628"/>
      <c r="UJH5" s="628"/>
      <c r="UJI5" s="628"/>
      <c r="UJJ5" s="628"/>
      <c r="UJK5" s="628"/>
      <c r="UJL5" s="628"/>
      <c r="UJM5" s="628"/>
      <c r="UJN5" s="628"/>
      <c r="UJO5" s="628"/>
      <c r="UJP5" s="628"/>
      <c r="UJQ5" s="628"/>
      <c r="UJR5" s="628"/>
      <c r="UJS5" s="628"/>
      <c r="UJT5" s="628"/>
      <c r="UJU5" s="628"/>
      <c r="UJV5" s="628"/>
      <c r="UJW5" s="628"/>
      <c r="UJX5" s="628"/>
      <c r="UJY5" s="628"/>
      <c r="UJZ5" s="628"/>
      <c r="UKA5" s="628"/>
      <c r="UKB5" s="628"/>
      <c r="UKC5" s="628"/>
      <c r="UKD5" s="628"/>
      <c r="UKE5" s="628"/>
      <c r="UKF5" s="628"/>
      <c r="UKG5" s="628"/>
      <c r="UKH5" s="628"/>
      <c r="UKI5" s="628"/>
      <c r="UKJ5" s="628"/>
      <c r="UKK5" s="628"/>
      <c r="UKL5" s="628"/>
      <c r="UKM5" s="628"/>
      <c r="UKN5" s="628"/>
      <c r="UKO5" s="628"/>
      <c r="UKP5" s="628"/>
      <c r="UKQ5" s="628"/>
      <c r="UKR5" s="628"/>
      <c r="UKS5" s="628"/>
      <c r="UKT5" s="628"/>
      <c r="UKU5" s="628"/>
      <c r="UKV5" s="628"/>
      <c r="UKW5" s="628"/>
      <c r="UKX5" s="628"/>
      <c r="UKY5" s="628"/>
      <c r="UKZ5" s="628"/>
      <c r="ULA5" s="628"/>
      <c r="ULB5" s="628"/>
      <c r="ULC5" s="628"/>
      <c r="ULD5" s="628"/>
      <c r="ULE5" s="628"/>
      <c r="ULF5" s="628"/>
      <c r="ULG5" s="628"/>
      <c r="ULH5" s="628"/>
      <c r="ULI5" s="628"/>
      <c r="ULJ5" s="628"/>
      <c r="ULK5" s="628"/>
      <c r="ULL5" s="628"/>
      <c r="ULM5" s="628"/>
      <c r="ULN5" s="628"/>
      <c r="ULO5" s="628"/>
      <c r="ULP5" s="628"/>
      <c r="ULQ5" s="628"/>
      <c r="ULR5" s="628"/>
      <c r="ULS5" s="628"/>
      <c r="ULT5" s="628"/>
      <c r="ULU5" s="628"/>
      <c r="ULV5" s="628"/>
      <c r="ULW5" s="628"/>
      <c r="ULX5" s="628"/>
      <c r="ULY5" s="628"/>
      <c r="ULZ5" s="628"/>
      <c r="UMA5" s="628"/>
      <c r="UMB5" s="628"/>
      <c r="UMC5" s="628"/>
      <c r="UMD5" s="628"/>
      <c r="UME5" s="628"/>
      <c r="UMF5" s="628"/>
      <c r="UMG5" s="628"/>
      <c r="UMH5" s="628"/>
      <c r="UMI5" s="628"/>
      <c r="UMJ5" s="628"/>
      <c r="UMK5" s="628"/>
      <c r="UML5" s="628"/>
      <c r="UMM5" s="628"/>
      <c r="UMN5" s="628"/>
      <c r="UMO5" s="628"/>
      <c r="UMP5" s="628"/>
      <c r="UMQ5" s="628"/>
      <c r="UMR5" s="628"/>
      <c r="UMS5" s="628"/>
      <c r="UMT5" s="628"/>
      <c r="UMU5" s="628"/>
      <c r="UMV5" s="628"/>
      <c r="UMW5" s="628"/>
      <c r="UMX5" s="628"/>
      <c r="UMY5" s="628"/>
      <c r="UMZ5" s="628"/>
      <c r="UNA5" s="628"/>
      <c r="UNB5" s="628"/>
      <c r="UNC5" s="628"/>
      <c r="UND5" s="628"/>
      <c r="UNE5" s="628"/>
      <c r="UNF5" s="628"/>
      <c r="UNG5" s="628"/>
      <c r="UNH5" s="628"/>
      <c r="UNI5" s="628"/>
      <c r="UNJ5" s="628"/>
      <c r="UNK5" s="628"/>
      <c r="UNL5" s="628"/>
      <c r="UNM5" s="628"/>
      <c r="UNN5" s="628"/>
      <c r="UNO5" s="628"/>
      <c r="UNP5" s="628"/>
      <c r="UNQ5" s="628"/>
      <c r="UNR5" s="628"/>
      <c r="UNS5" s="628"/>
      <c r="UNT5" s="628"/>
      <c r="UNU5" s="628"/>
      <c r="UNV5" s="628"/>
      <c r="UNW5" s="628"/>
      <c r="UNX5" s="628"/>
      <c r="UNY5" s="628"/>
      <c r="UNZ5" s="628"/>
      <c r="UOA5" s="628"/>
      <c r="UOB5" s="628"/>
      <c r="UOC5" s="628"/>
      <c r="UOD5" s="628"/>
      <c r="UOE5" s="628"/>
      <c r="UOF5" s="628"/>
      <c r="UOG5" s="628"/>
      <c r="UOH5" s="628"/>
      <c r="UOI5" s="628"/>
      <c r="UOJ5" s="628"/>
      <c r="UOK5" s="628"/>
      <c r="UOL5" s="628"/>
      <c r="UOM5" s="628"/>
      <c r="UON5" s="628"/>
      <c r="UOO5" s="628"/>
      <c r="UOP5" s="628"/>
      <c r="UOQ5" s="628"/>
      <c r="UOR5" s="628"/>
      <c r="UOS5" s="628"/>
      <c r="UOT5" s="628"/>
      <c r="UOU5" s="628"/>
      <c r="UOV5" s="628"/>
      <c r="UOW5" s="628"/>
      <c r="UOX5" s="628"/>
      <c r="UOY5" s="628"/>
      <c r="UOZ5" s="628"/>
      <c r="UPA5" s="628"/>
      <c r="UPB5" s="628"/>
      <c r="UPC5" s="628"/>
      <c r="UPD5" s="628"/>
      <c r="UPE5" s="628"/>
      <c r="UPF5" s="628"/>
      <c r="UPG5" s="628"/>
      <c r="UPH5" s="628"/>
      <c r="UPI5" s="628"/>
      <c r="UPJ5" s="628"/>
      <c r="UPK5" s="628"/>
      <c r="UPL5" s="628"/>
      <c r="UPM5" s="628"/>
      <c r="UPN5" s="628"/>
      <c r="UPO5" s="628"/>
      <c r="UPP5" s="628"/>
      <c r="UPQ5" s="628"/>
      <c r="UPR5" s="628"/>
      <c r="UPS5" s="628"/>
      <c r="UPT5" s="628"/>
      <c r="UPU5" s="628"/>
      <c r="UPV5" s="628"/>
      <c r="UPW5" s="628"/>
      <c r="UPX5" s="628"/>
      <c r="UPY5" s="628"/>
      <c r="UPZ5" s="628"/>
      <c r="UQA5" s="628"/>
      <c r="UQB5" s="628"/>
      <c r="UQC5" s="628"/>
      <c r="UQD5" s="628"/>
      <c r="UQE5" s="628"/>
      <c r="UQF5" s="628"/>
      <c r="UQG5" s="628"/>
      <c r="UQH5" s="628"/>
      <c r="UQI5" s="628"/>
      <c r="UQJ5" s="628"/>
      <c r="UQK5" s="628"/>
      <c r="UQL5" s="628"/>
      <c r="UQM5" s="628"/>
      <c r="UQN5" s="628"/>
      <c r="UQO5" s="628"/>
      <c r="UQP5" s="628"/>
      <c r="UQQ5" s="628"/>
      <c r="UQR5" s="628"/>
      <c r="UQS5" s="628"/>
      <c r="UQT5" s="628"/>
      <c r="UQU5" s="628"/>
      <c r="UQV5" s="628"/>
      <c r="UQW5" s="628"/>
      <c r="UQX5" s="628"/>
      <c r="UQY5" s="628"/>
      <c r="UQZ5" s="628"/>
      <c r="URA5" s="628"/>
      <c r="URB5" s="628"/>
      <c r="URC5" s="628"/>
      <c r="URD5" s="628"/>
      <c r="URE5" s="628"/>
      <c r="URF5" s="628"/>
      <c r="URG5" s="628"/>
      <c r="URH5" s="628"/>
      <c r="URI5" s="628"/>
      <c r="URJ5" s="628"/>
      <c r="URK5" s="628"/>
      <c r="URL5" s="628"/>
      <c r="URM5" s="628"/>
      <c r="URN5" s="628"/>
      <c r="URO5" s="628"/>
      <c r="URP5" s="628"/>
      <c r="URQ5" s="628"/>
      <c r="URR5" s="628"/>
      <c r="URS5" s="628"/>
      <c r="URT5" s="628"/>
      <c r="URU5" s="628"/>
      <c r="URV5" s="628"/>
      <c r="URW5" s="628"/>
      <c r="URX5" s="628"/>
      <c r="URY5" s="628"/>
      <c r="URZ5" s="628"/>
      <c r="USA5" s="628"/>
      <c r="USB5" s="628"/>
      <c r="USC5" s="628"/>
      <c r="USD5" s="628"/>
      <c r="USE5" s="628"/>
      <c r="USF5" s="628"/>
      <c r="USG5" s="628"/>
      <c r="USH5" s="628"/>
      <c r="USI5" s="628"/>
      <c r="USJ5" s="628"/>
      <c r="USK5" s="628"/>
      <c r="USL5" s="628"/>
      <c r="USM5" s="628"/>
      <c r="USN5" s="628"/>
      <c r="USO5" s="628"/>
      <c r="USP5" s="628"/>
      <c r="USQ5" s="628"/>
      <c r="USR5" s="628"/>
      <c r="USS5" s="628"/>
      <c r="UST5" s="628"/>
      <c r="USU5" s="628"/>
      <c r="USV5" s="628"/>
      <c r="USW5" s="628"/>
      <c r="USX5" s="628"/>
      <c r="USY5" s="628"/>
      <c r="USZ5" s="628"/>
      <c r="UTA5" s="628"/>
      <c r="UTB5" s="628"/>
      <c r="UTC5" s="628"/>
      <c r="UTD5" s="628"/>
      <c r="UTE5" s="628"/>
      <c r="UTF5" s="628"/>
      <c r="UTG5" s="628"/>
      <c r="UTH5" s="628"/>
      <c r="UTI5" s="628"/>
      <c r="UTJ5" s="628"/>
      <c r="UTK5" s="628"/>
      <c r="UTL5" s="628"/>
      <c r="UTM5" s="628"/>
      <c r="UTN5" s="628"/>
      <c r="UTO5" s="628"/>
      <c r="UTP5" s="628"/>
      <c r="UTQ5" s="628"/>
      <c r="UTR5" s="628"/>
      <c r="UTS5" s="628"/>
      <c r="UTT5" s="628"/>
      <c r="UTU5" s="628"/>
      <c r="UTV5" s="628"/>
      <c r="UTW5" s="628"/>
      <c r="UTX5" s="628"/>
      <c r="UTY5" s="628"/>
      <c r="UTZ5" s="628"/>
      <c r="UUA5" s="628"/>
      <c r="UUB5" s="628"/>
      <c r="UUC5" s="628"/>
      <c r="UUD5" s="628"/>
      <c r="UUE5" s="628"/>
      <c r="UUF5" s="628"/>
      <c r="UUG5" s="628"/>
      <c r="UUH5" s="628"/>
      <c r="UUI5" s="628"/>
      <c r="UUJ5" s="628"/>
      <c r="UUK5" s="628"/>
      <c r="UUL5" s="628"/>
      <c r="UUM5" s="628"/>
      <c r="UUN5" s="628"/>
      <c r="UUO5" s="628"/>
      <c r="UUP5" s="628"/>
      <c r="UUQ5" s="628"/>
      <c r="UUR5" s="628"/>
      <c r="UUS5" s="628"/>
      <c r="UUT5" s="628"/>
      <c r="UUU5" s="628"/>
      <c r="UUV5" s="628"/>
      <c r="UUW5" s="628"/>
      <c r="UUX5" s="628"/>
      <c r="UUY5" s="628"/>
      <c r="UUZ5" s="628"/>
      <c r="UVA5" s="628"/>
      <c r="UVB5" s="628"/>
      <c r="UVC5" s="628"/>
      <c r="UVD5" s="628"/>
      <c r="UVE5" s="628"/>
      <c r="UVF5" s="628"/>
      <c r="UVG5" s="628"/>
      <c r="UVH5" s="628"/>
      <c r="UVI5" s="628"/>
      <c r="UVJ5" s="628"/>
      <c r="UVK5" s="628"/>
      <c r="UVL5" s="628"/>
      <c r="UVM5" s="628"/>
      <c r="UVN5" s="628"/>
      <c r="UVO5" s="628"/>
      <c r="UVP5" s="628"/>
      <c r="UVQ5" s="628"/>
      <c r="UVR5" s="628"/>
      <c r="UVS5" s="628"/>
      <c r="UVT5" s="628"/>
      <c r="UVU5" s="628"/>
      <c r="UVV5" s="628"/>
      <c r="UVW5" s="628"/>
      <c r="UVX5" s="628"/>
      <c r="UVY5" s="628"/>
      <c r="UVZ5" s="628"/>
      <c r="UWA5" s="628"/>
      <c r="UWB5" s="628"/>
      <c r="UWC5" s="628"/>
      <c r="UWD5" s="628"/>
      <c r="UWE5" s="628"/>
      <c r="UWF5" s="628"/>
      <c r="UWG5" s="628"/>
      <c r="UWH5" s="628"/>
      <c r="UWI5" s="628"/>
      <c r="UWJ5" s="628"/>
      <c r="UWK5" s="628"/>
      <c r="UWL5" s="628"/>
      <c r="UWM5" s="628"/>
      <c r="UWN5" s="628"/>
      <c r="UWO5" s="628"/>
      <c r="UWP5" s="628"/>
      <c r="UWQ5" s="628"/>
      <c r="UWR5" s="628"/>
      <c r="UWS5" s="628"/>
      <c r="UWT5" s="628"/>
      <c r="UWU5" s="628"/>
      <c r="UWV5" s="628"/>
      <c r="UWW5" s="628"/>
      <c r="UWX5" s="628"/>
      <c r="UWY5" s="628"/>
      <c r="UWZ5" s="628"/>
      <c r="UXA5" s="628"/>
      <c r="UXB5" s="628"/>
      <c r="UXC5" s="628"/>
      <c r="UXD5" s="628"/>
      <c r="UXE5" s="628"/>
      <c r="UXF5" s="628"/>
      <c r="UXG5" s="628"/>
      <c r="UXH5" s="628"/>
      <c r="UXI5" s="628"/>
      <c r="UXJ5" s="628"/>
      <c r="UXK5" s="628"/>
      <c r="UXL5" s="628"/>
      <c r="UXM5" s="628"/>
      <c r="UXN5" s="628"/>
      <c r="UXO5" s="628"/>
      <c r="UXP5" s="628"/>
      <c r="UXQ5" s="628"/>
      <c r="UXR5" s="628"/>
      <c r="UXS5" s="628"/>
      <c r="UXT5" s="628"/>
      <c r="UXU5" s="628"/>
      <c r="UXV5" s="628"/>
      <c r="UXW5" s="628"/>
      <c r="UXX5" s="628"/>
      <c r="UXY5" s="628"/>
      <c r="UXZ5" s="628"/>
      <c r="UYA5" s="628"/>
      <c r="UYB5" s="628"/>
      <c r="UYC5" s="628"/>
      <c r="UYD5" s="628"/>
      <c r="UYE5" s="628"/>
      <c r="UYF5" s="628"/>
      <c r="UYG5" s="628"/>
      <c r="UYH5" s="628"/>
      <c r="UYI5" s="628"/>
      <c r="UYJ5" s="628"/>
      <c r="UYK5" s="628"/>
      <c r="UYL5" s="628"/>
      <c r="UYM5" s="628"/>
      <c r="UYN5" s="628"/>
      <c r="UYO5" s="628"/>
      <c r="UYP5" s="628"/>
      <c r="UYQ5" s="628"/>
      <c r="UYR5" s="628"/>
      <c r="UYS5" s="628"/>
      <c r="UYT5" s="628"/>
      <c r="UYU5" s="628"/>
      <c r="UYV5" s="628"/>
      <c r="UYW5" s="628"/>
      <c r="UYX5" s="628"/>
      <c r="UYY5" s="628"/>
      <c r="UYZ5" s="628"/>
      <c r="UZA5" s="628"/>
      <c r="UZB5" s="628"/>
      <c r="UZC5" s="628"/>
      <c r="UZD5" s="628"/>
      <c r="UZE5" s="628"/>
      <c r="UZF5" s="628"/>
      <c r="UZG5" s="628"/>
      <c r="UZH5" s="628"/>
      <c r="UZI5" s="628"/>
      <c r="UZJ5" s="628"/>
      <c r="UZK5" s="628"/>
      <c r="UZL5" s="628"/>
      <c r="UZM5" s="628"/>
      <c r="UZN5" s="628"/>
      <c r="UZO5" s="628"/>
      <c r="UZP5" s="628"/>
      <c r="UZQ5" s="628"/>
      <c r="UZR5" s="628"/>
      <c r="UZS5" s="628"/>
      <c r="UZT5" s="628"/>
      <c r="UZU5" s="628"/>
      <c r="UZV5" s="628"/>
      <c r="UZW5" s="628"/>
      <c r="UZX5" s="628"/>
      <c r="UZY5" s="628"/>
      <c r="UZZ5" s="628"/>
      <c r="VAA5" s="628"/>
      <c r="VAB5" s="628"/>
      <c r="VAC5" s="628"/>
      <c r="VAD5" s="628"/>
      <c r="VAE5" s="628"/>
      <c r="VAF5" s="628"/>
      <c r="VAG5" s="628"/>
      <c r="VAH5" s="628"/>
      <c r="VAI5" s="628"/>
      <c r="VAJ5" s="628"/>
      <c r="VAK5" s="628"/>
      <c r="VAL5" s="628"/>
      <c r="VAM5" s="628"/>
      <c r="VAN5" s="628"/>
      <c r="VAO5" s="628"/>
      <c r="VAP5" s="628"/>
      <c r="VAQ5" s="628"/>
      <c r="VAR5" s="628"/>
      <c r="VAS5" s="628"/>
      <c r="VAT5" s="628"/>
      <c r="VAU5" s="628"/>
      <c r="VAV5" s="628"/>
      <c r="VAW5" s="628"/>
      <c r="VAX5" s="628"/>
      <c r="VAY5" s="628"/>
      <c r="VAZ5" s="628"/>
      <c r="VBA5" s="628"/>
      <c r="VBB5" s="628"/>
      <c r="VBC5" s="628"/>
      <c r="VBD5" s="628"/>
      <c r="VBE5" s="628"/>
      <c r="VBF5" s="628"/>
      <c r="VBG5" s="628"/>
      <c r="VBH5" s="628"/>
      <c r="VBI5" s="628"/>
      <c r="VBJ5" s="628"/>
      <c r="VBK5" s="628"/>
      <c r="VBL5" s="628"/>
      <c r="VBM5" s="628"/>
      <c r="VBN5" s="628"/>
      <c r="VBO5" s="628"/>
      <c r="VBP5" s="628"/>
      <c r="VBQ5" s="628"/>
      <c r="VBR5" s="628"/>
      <c r="VBS5" s="628"/>
      <c r="VBT5" s="628"/>
      <c r="VBU5" s="628"/>
      <c r="VBV5" s="628"/>
      <c r="VBW5" s="628"/>
      <c r="VBX5" s="628"/>
      <c r="VBY5" s="628"/>
      <c r="VBZ5" s="628"/>
      <c r="VCA5" s="628"/>
      <c r="VCB5" s="628"/>
      <c r="VCC5" s="628"/>
      <c r="VCD5" s="628"/>
      <c r="VCE5" s="628"/>
      <c r="VCF5" s="628"/>
      <c r="VCG5" s="628"/>
      <c r="VCH5" s="628"/>
      <c r="VCI5" s="628"/>
      <c r="VCJ5" s="628"/>
      <c r="VCK5" s="628"/>
      <c r="VCL5" s="628"/>
      <c r="VCM5" s="628"/>
      <c r="VCN5" s="628"/>
      <c r="VCO5" s="628"/>
      <c r="VCP5" s="628"/>
      <c r="VCQ5" s="628"/>
      <c r="VCR5" s="628"/>
      <c r="VCS5" s="628"/>
      <c r="VCT5" s="628"/>
      <c r="VCU5" s="628"/>
      <c r="VCV5" s="628"/>
      <c r="VCW5" s="628"/>
      <c r="VCX5" s="628"/>
      <c r="VCY5" s="628"/>
      <c r="VCZ5" s="628"/>
      <c r="VDA5" s="628"/>
      <c r="VDB5" s="628"/>
      <c r="VDC5" s="628"/>
      <c r="VDD5" s="628"/>
      <c r="VDE5" s="628"/>
      <c r="VDF5" s="628"/>
      <c r="VDG5" s="628"/>
      <c r="VDH5" s="628"/>
      <c r="VDI5" s="628"/>
      <c r="VDJ5" s="628"/>
      <c r="VDK5" s="628"/>
      <c r="VDL5" s="628"/>
      <c r="VDM5" s="628"/>
      <c r="VDN5" s="628"/>
      <c r="VDO5" s="628"/>
      <c r="VDP5" s="628"/>
      <c r="VDQ5" s="628"/>
      <c r="VDR5" s="628"/>
      <c r="VDS5" s="628"/>
      <c r="VDT5" s="628"/>
      <c r="VDU5" s="628"/>
      <c r="VDV5" s="628"/>
      <c r="VDW5" s="628"/>
      <c r="VDX5" s="628"/>
      <c r="VDY5" s="628"/>
      <c r="VDZ5" s="628"/>
      <c r="VEA5" s="628"/>
      <c r="VEB5" s="628"/>
      <c r="VEC5" s="628"/>
      <c r="VED5" s="628"/>
      <c r="VEE5" s="628"/>
      <c r="VEF5" s="628"/>
      <c r="VEG5" s="628"/>
      <c r="VEH5" s="628"/>
      <c r="VEI5" s="628"/>
      <c r="VEJ5" s="628"/>
      <c r="VEK5" s="628"/>
      <c r="VEL5" s="628"/>
      <c r="VEM5" s="628"/>
      <c r="VEN5" s="628"/>
      <c r="VEO5" s="628"/>
      <c r="VEP5" s="628"/>
      <c r="VEQ5" s="628"/>
      <c r="VER5" s="628"/>
      <c r="VES5" s="628"/>
      <c r="VET5" s="628"/>
      <c r="VEU5" s="628"/>
      <c r="VEV5" s="628"/>
      <c r="VEW5" s="628"/>
      <c r="VEX5" s="628"/>
      <c r="VEY5" s="628"/>
      <c r="VEZ5" s="628"/>
      <c r="VFA5" s="628"/>
      <c r="VFB5" s="628"/>
      <c r="VFC5" s="628"/>
      <c r="VFD5" s="628"/>
      <c r="VFE5" s="628"/>
      <c r="VFF5" s="628"/>
      <c r="VFG5" s="628"/>
      <c r="VFH5" s="628"/>
      <c r="VFI5" s="628"/>
      <c r="VFJ5" s="628"/>
      <c r="VFK5" s="628"/>
      <c r="VFL5" s="628"/>
      <c r="VFM5" s="628"/>
      <c r="VFN5" s="628"/>
      <c r="VFO5" s="628"/>
      <c r="VFP5" s="628"/>
      <c r="VFQ5" s="628"/>
      <c r="VFR5" s="628"/>
      <c r="VFS5" s="628"/>
      <c r="VFT5" s="628"/>
      <c r="VFU5" s="628"/>
      <c r="VFV5" s="628"/>
      <c r="VFW5" s="628"/>
      <c r="VFX5" s="628"/>
      <c r="VFY5" s="628"/>
      <c r="VFZ5" s="628"/>
      <c r="VGA5" s="628"/>
      <c r="VGB5" s="628"/>
      <c r="VGC5" s="628"/>
      <c r="VGD5" s="628"/>
      <c r="VGE5" s="628"/>
      <c r="VGF5" s="628"/>
      <c r="VGG5" s="628"/>
      <c r="VGH5" s="628"/>
      <c r="VGI5" s="628"/>
      <c r="VGJ5" s="628"/>
      <c r="VGK5" s="628"/>
      <c r="VGL5" s="628"/>
      <c r="VGM5" s="628"/>
      <c r="VGN5" s="628"/>
      <c r="VGO5" s="628"/>
      <c r="VGP5" s="628"/>
      <c r="VGQ5" s="628"/>
      <c r="VGR5" s="628"/>
      <c r="VGS5" s="628"/>
      <c r="VGT5" s="628"/>
      <c r="VGU5" s="628"/>
      <c r="VGV5" s="628"/>
      <c r="VGW5" s="628"/>
      <c r="VGX5" s="628"/>
      <c r="VGY5" s="628"/>
      <c r="VGZ5" s="628"/>
      <c r="VHA5" s="628"/>
      <c r="VHB5" s="628"/>
      <c r="VHC5" s="628"/>
      <c r="VHD5" s="628"/>
      <c r="VHE5" s="628"/>
      <c r="VHF5" s="628"/>
      <c r="VHG5" s="628"/>
      <c r="VHH5" s="628"/>
      <c r="VHI5" s="628"/>
      <c r="VHJ5" s="628"/>
      <c r="VHK5" s="628"/>
      <c r="VHL5" s="628"/>
      <c r="VHM5" s="628"/>
      <c r="VHN5" s="628"/>
      <c r="VHO5" s="628"/>
      <c r="VHP5" s="628"/>
      <c r="VHQ5" s="628"/>
      <c r="VHR5" s="628"/>
      <c r="VHS5" s="628"/>
      <c r="VHT5" s="628"/>
      <c r="VHU5" s="628"/>
      <c r="VHV5" s="628"/>
      <c r="VHW5" s="628"/>
      <c r="VHX5" s="628"/>
      <c r="VHY5" s="628"/>
      <c r="VHZ5" s="628"/>
      <c r="VIA5" s="628"/>
      <c r="VIB5" s="628"/>
      <c r="VIC5" s="628"/>
      <c r="VID5" s="628"/>
      <c r="VIE5" s="628"/>
      <c r="VIF5" s="628"/>
      <c r="VIG5" s="628"/>
      <c r="VIH5" s="628"/>
      <c r="VII5" s="628"/>
      <c r="VIJ5" s="628"/>
      <c r="VIK5" s="628"/>
      <c r="VIL5" s="628"/>
      <c r="VIM5" s="628"/>
      <c r="VIN5" s="628"/>
      <c r="VIO5" s="628"/>
      <c r="VIP5" s="628"/>
      <c r="VIQ5" s="628"/>
      <c r="VIR5" s="628"/>
      <c r="VIS5" s="628"/>
      <c r="VIT5" s="628"/>
      <c r="VIU5" s="628"/>
      <c r="VIV5" s="628"/>
      <c r="VIW5" s="628"/>
      <c r="VIX5" s="628"/>
      <c r="VIY5" s="628"/>
      <c r="VIZ5" s="628"/>
      <c r="VJA5" s="628"/>
      <c r="VJB5" s="628"/>
      <c r="VJC5" s="628"/>
      <c r="VJD5" s="628"/>
      <c r="VJE5" s="628"/>
      <c r="VJF5" s="628"/>
      <c r="VJG5" s="628"/>
      <c r="VJH5" s="628"/>
      <c r="VJI5" s="628"/>
      <c r="VJJ5" s="628"/>
      <c r="VJK5" s="628"/>
      <c r="VJL5" s="628"/>
      <c r="VJM5" s="628"/>
      <c r="VJN5" s="628"/>
      <c r="VJO5" s="628"/>
      <c r="VJP5" s="628"/>
      <c r="VJQ5" s="628"/>
      <c r="VJR5" s="628"/>
      <c r="VJS5" s="628"/>
      <c r="VJT5" s="628"/>
      <c r="VJU5" s="628"/>
      <c r="VJV5" s="628"/>
      <c r="VJW5" s="628"/>
      <c r="VJX5" s="628"/>
      <c r="VJY5" s="628"/>
      <c r="VJZ5" s="628"/>
      <c r="VKA5" s="628"/>
      <c r="VKB5" s="628"/>
      <c r="VKC5" s="628"/>
      <c r="VKD5" s="628"/>
      <c r="VKE5" s="628"/>
      <c r="VKF5" s="628"/>
      <c r="VKG5" s="628"/>
      <c r="VKH5" s="628"/>
      <c r="VKI5" s="628"/>
      <c r="VKJ5" s="628"/>
      <c r="VKK5" s="628"/>
      <c r="VKL5" s="628"/>
      <c r="VKM5" s="628"/>
      <c r="VKN5" s="628"/>
      <c r="VKO5" s="628"/>
      <c r="VKP5" s="628"/>
      <c r="VKQ5" s="628"/>
      <c r="VKR5" s="628"/>
      <c r="VKS5" s="628"/>
      <c r="VKT5" s="628"/>
      <c r="VKU5" s="628"/>
      <c r="VKV5" s="628"/>
      <c r="VKW5" s="628"/>
      <c r="VKX5" s="628"/>
      <c r="VKY5" s="628"/>
      <c r="VKZ5" s="628"/>
      <c r="VLA5" s="628"/>
      <c r="VLB5" s="628"/>
      <c r="VLC5" s="628"/>
      <c r="VLD5" s="628"/>
      <c r="VLE5" s="628"/>
      <c r="VLF5" s="628"/>
      <c r="VLG5" s="628"/>
      <c r="VLH5" s="628"/>
      <c r="VLI5" s="628"/>
      <c r="VLJ5" s="628"/>
      <c r="VLK5" s="628"/>
      <c r="VLL5" s="628"/>
      <c r="VLM5" s="628"/>
      <c r="VLN5" s="628"/>
      <c r="VLO5" s="628"/>
      <c r="VLP5" s="628"/>
      <c r="VLQ5" s="628"/>
      <c r="VLR5" s="628"/>
      <c r="VLS5" s="628"/>
      <c r="VLT5" s="628"/>
      <c r="VLU5" s="628"/>
      <c r="VLV5" s="628"/>
      <c r="VLW5" s="628"/>
      <c r="VLX5" s="628"/>
      <c r="VLY5" s="628"/>
      <c r="VLZ5" s="628"/>
      <c r="VMA5" s="628"/>
      <c r="VMB5" s="628"/>
      <c r="VMC5" s="628"/>
      <c r="VMD5" s="628"/>
      <c r="VME5" s="628"/>
      <c r="VMF5" s="628"/>
      <c r="VMG5" s="628"/>
      <c r="VMH5" s="628"/>
      <c r="VMI5" s="628"/>
      <c r="VMJ5" s="628"/>
      <c r="VMK5" s="628"/>
      <c r="VML5" s="628"/>
      <c r="VMM5" s="628"/>
      <c r="VMN5" s="628"/>
      <c r="VMO5" s="628"/>
      <c r="VMP5" s="628"/>
      <c r="VMQ5" s="628"/>
      <c r="VMR5" s="628"/>
      <c r="VMS5" s="628"/>
      <c r="VMT5" s="628"/>
      <c r="VMU5" s="628"/>
      <c r="VMV5" s="628"/>
      <c r="VMW5" s="628"/>
      <c r="VMX5" s="628"/>
      <c r="VMY5" s="628"/>
      <c r="VMZ5" s="628"/>
      <c r="VNA5" s="628"/>
      <c r="VNB5" s="628"/>
      <c r="VNC5" s="628"/>
      <c r="VND5" s="628"/>
      <c r="VNE5" s="628"/>
      <c r="VNF5" s="628"/>
      <c r="VNG5" s="628"/>
      <c r="VNH5" s="628"/>
      <c r="VNI5" s="628"/>
      <c r="VNJ5" s="628"/>
      <c r="VNK5" s="628"/>
      <c r="VNL5" s="628"/>
      <c r="VNM5" s="628"/>
      <c r="VNN5" s="628"/>
      <c r="VNO5" s="628"/>
      <c r="VNP5" s="628"/>
      <c r="VNQ5" s="628"/>
      <c r="VNR5" s="628"/>
      <c r="VNS5" s="628"/>
      <c r="VNT5" s="628"/>
      <c r="VNU5" s="628"/>
      <c r="VNV5" s="628"/>
      <c r="VNW5" s="628"/>
      <c r="VNX5" s="628"/>
      <c r="VNY5" s="628"/>
      <c r="VNZ5" s="628"/>
      <c r="VOA5" s="628"/>
      <c r="VOB5" s="628"/>
      <c r="VOC5" s="628"/>
      <c r="VOD5" s="628"/>
      <c r="VOE5" s="628"/>
      <c r="VOF5" s="628"/>
      <c r="VOG5" s="628"/>
      <c r="VOH5" s="628"/>
      <c r="VOI5" s="628"/>
      <c r="VOJ5" s="628"/>
      <c r="VOK5" s="628"/>
      <c r="VOL5" s="628"/>
      <c r="VOM5" s="628"/>
      <c r="VON5" s="628"/>
      <c r="VOO5" s="628"/>
      <c r="VOP5" s="628"/>
      <c r="VOQ5" s="628"/>
      <c r="VOR5" s="628"/>
      <c r="VOS5" s="628"/>
      <c r="VOT5" s="628"/>
      <c r="VOU5" s="628"/>
      <c r="VOV5" s="628"/>
      <c r="VOW5" s="628"/>
      <c r="VOX5" s="628"/>
      <c r="VOY5" s="628"/>
      <c r="VOZ5" s="628"/>
      <c r="VPA5" s="628"/>
      <c r="VPB5" s="628"/>
      <c r="VPC5" s="628"/>
      <c r="VPD5" s="628"/>
      <c r="VPE5" s="628"/>
      <c r="VPF5" s="628"/>
      <c r="VPG5" s="628"/>
      <c r="VPH5" s="628"/>
      <c r="VPI5" s="628"/>
      <c r="VPJ5" s="628"/>
      <c r="VPK5" s="628"/>
      <c r="VPL5" s="628"/>
      <c r="VPM5" s="628"/>
      <c r="VPN5" s="628"/>
      <c r="VPO5" s="628"/>
      <c r="VPP5" s="628"/>
      <c r="VPQ5" s="628"/>
      <c r="VPR5" s="628"/>
      <c r="VPS5" s="628"/>
      <c r="VPT5" s="628"/>
      <c r="VPU5" s="628"/>
      <c r="VPV5" s="628"/>
      <c r="VPW5" s="628"/>
      <c r="VPX5" s="628"/>
      <c r="VPY5" s="628"/>
      <c r="VPZ5" s="628"/>
      <c r="VQA5" s="628"/>
      <c r="VQB5" s="628"/>
      <c r="VQC5" s="628"/>
      <c r="VQD5" s="628"/>
      <c r="VQE5" s="628"/>
      <c r="VQF5" s="628"/>
      <c r="VQG5" s="628"/>
      <c r="VQH5" s="628"/>
      <c r="VQI5" s="628"/>
      <c r="VQJ5" s="628"/>
      <c r="VQK5" s="628"/>
      <c r="VQL5" s="628"/>
      <c r="VQM5" s="628"/>
      <c r="VQN5" s="628"/>
      <c r="VQO5" s="628"/>
      <c r="VQP5" s="628"/>
      <c r="VQQ5" s="628"/>
      <c r="VQR5" s="628"/>
      <c r="VQS5" s="628"/>
      <c r="VQT5" s="628"/>
      <c r="VQU5" s="628"/>
      <c r="VQV5" s="628"/>
      <c r="VQW5" s="628"/>
      <c r="VQX5" s="628"/>
      <c r="VQY5" s="628"/>
      <c r="VQZ5" s="628"/>
      <c r="VRA5" s="628"/>
      <c r="VRB5" s="628"/>
      <c r="VRC5" s="628"/>
      <c r="VRD5" s="628"/>
      <c r="VRE5" s="628"/>
      <c r="VRF5" s="628"/>
      <c r="VRG5" s="628"/>
      <c r="VRH5" s="628"/>
      <c r="VRI5" s="628"/>
      <c r="VRJ5" s="628"/>
      <c r="VRK5" s="628"/>
      <c r="VRL5" s="628"/>
      <c r="VRM5" s="628"/>
      <c r="VRN5" s="628"/>
      <c r="VRO5" s="628"/>
      <c r="VRP5" s="628"/>
      <c r="VRQ5" s="628"/>
      <c r="VRR5" s="628"/>
      <c r="VRS5" s="628"/>
      <c r="VRT5" s="628"/>
      <c r="VRU5" s="628"/>
      <c r="VRV5" s="628"/>
      <c r="VRW5" s="628"/>
      <c r="VRX5" s="628"/>
      <c r="VRY5" s="628"/>
      <c r="VRZ5" s="628"/>
      <c r="VSA5" s="628"/>
      <c r="VSB5" s="628"/>
      <c r="VSC5" s="628"/>
      <c r="VSD5" s="628"/>
      <c r="VSE5" s="628"/>
      <c r="VSF5" s="628"/>
      <c r="VSG5" s="628"/>
      <c r="VSH5" s="628"/>
      <c r="VSI5" s="628"/>
      <c r="VSJ5" s="628"/>
      <c r="VSK5" s="628"/>
      <c r="VSL5" s="628"/>
      <c r="VSM5" s="628"/>
      <c r="VSN5" s="628"/>
      <c r="VSO5" s="628"/>
      <c r="VSP5" s="628"/>
      <c r="VSQ5" s="628"/>
      <c r="VSR5" s="628"/>
      <c r="VSS5" s="628"/>
      <c r="VST5" s="628"/>
      <c r="VSU5" s="628"/>
      <c r="VSV5" s="628"/>
      <c r="VSW5" s="628"/>
      <c r="VSX5" s="628"/>
      <c r="VSY5" s="628"/>
      <c r="VSZ5" s="628"/>
      <c r="VTA5" s="628"/>
      <c r="VTB5" s="628"/>
      <c r="VTC5" s="628"/>
      <c r="VTD5" s="628"/>
      <c r="VTE5" s="628"/>
      <c r="VTF5" s="628"/>
      <c r="VTG5" s="628"/>
      <c r="VTH5" s="628"/>
      <c r="VTI5" s="628"/>
      <c r="VTJ5" s="628"/>
      <c r="VTK5" s="628"/>
      <c r="VTL5" s="628"/>
      <c r="VTM5" s="628"/>
      <c r="VTN5" s="628"/>
      <c r="VTO5" s="628"/>
      <c r="VTP5" s="628"/>
      <c r="VTQ5" s="628"/>
      <c r="VTR5" s="628"/>
      <c r="VTS5" s="628"/>
      <c r="VTT5" s="628"/>
      <c r="VTU5" s="628"/>
      <c r="VTV5" s="628"/>
      <c r="VTW5" s="628"/>
      <c r="VTX5" s="628"/>
      <c r="VTY5" s="628"/>
      <c r="VTZ5" s="628"/>
      <c r="VUA5" s="628"/>
      <c r="VUB5" s="628"/>
      <c r="VUC5" s="628"/>
      <c r="VUD5" s="628"/>
      <c r="VUE5" s="628"/>
      <c r="VUF5" s="628"/>
      <c r="VUG5" s="628"/>
      <c r="VUH5" s="628"/>
      <c r="VUI5" s="628"/>
      <c r="VUJ5" s="628"/>
      <c r="VUK5" s="628"/>
      <c r="VUL5" s="628"/>
      <c r="VUM5" s="628"/>
      <c r="VUN5" s="628"/>
      <c r="VUO5" s="628"/>
      <c r="VUP5" s="628"/>
      <c r="VUQ5" s="628"/>
      <c r="VUR5" s="628"/>
      <c r="VUS5" s="628"/>
      <c r="VUT5" s="628"/>
      <c r="VUU5" s="628"/>
      <c r="VUV5" s="628"/>
      <c r="VUW5" s="628"/>
      <c r="VUX5" s="628"/>
      <c r="VUY5" s="628"/>
      <c r="VUZ5" s="628"/>
      <c r="VVA5" s="628"/>
      <c r="VVB5" s="628"/>
      <c r="VVC5" s="628"/>
      <c r="VVD5" s="628"/>
      <c r="VVE5" s="628"/>
      <c r="VVF5" s="628"/>
      <c r="VVG5" s="628"/>
      <c r="VVH5" s="628"/>
      <c r="VVI5" s="628"/>
      <c r="VVJ5" s="628"/>
      <c r="VVK5" s="628"/>
      <c r="VVL5" s="628"/>
      <c r="VVM5" s="628"/>
      <c r="VVN5" s="628"/>
      <c r="VVO5" s="628"/>
      <c r="VVP5" s="628"/>
      <c r="VVQ5" s="628"/>
      <c r="VVR5" s="628"/>
      <c r="VVS5" s="628"/>
      <c r="VVT5" s="628"/>
      <c r="VVU5" s="628"/>
      <c r="VVV5" s="628"/>
      <c r="VVW5" s="628"/>
      <c r="VVX5" s="628"/>
      <c r="VVY5" s="628"/>
      <c r="VVZ5" s="628"/>
      <c r="VWA5" s="628"/>
      <c r="VWB5" s="628"/>
      <c r="VWC5" s="628"/>
      <c r="VWD5" s="628"/>
      <c r="VWE5" s="628"/>
      <c r="VWF5" s="628"/>
      <c r="VWG5" s="628"/>
      <c r="VWH5" s="628"/>
      <c r="VWI5" s="628"/>
      <c r="VWJ5" s="628"/>
      <c r="VWK5" s="628"/>
      <c r="VWL5" s="628"/>
      <c r="VWM5" s="628"/>
      <c r="VWN5" s="628"/>
      <c r="VWO5" s="628"/>
      <c r="VWP5" s="628"/>
      <c r="VWQ5" s="628"/>
      <c r="VWR5" s="628"/>
      <c r="VWS5" s="628"/>
      <c r="VWT5" s="628"/>
      <c r="VWU5" s="628"/>
      <c r="VWV5" s="628"/>
      <c r="VWW5" s="628"/>
      <c r="VWX5" s="628"/>
      <c r="VWY5" s="628"/>
      <c r="VWZ5" s="628"/>
      <c r="VXA5" s="628"/>
      <c r="VXB5" s="628"/>
      <c r="VXC5" s="628"/>
      <c r="VXD5" s="628"/>
      <c r="VXE5" s="628"/>
      <c r="VXF5" s="628"/>
      <c r="VXG5" s="628"/>
      <c r="VXH5" s="628"/>
      <c r="VXI5" s="628"/>
      <c r="VXJ5" s="628"/>
      <c r="VXK5" s="628"/>
      <c r="VXL5" s="628"/>
      <c r="VXM5" s="628"/>
      <c r="VXN5" s="628"/>
      <c r="VXO5" s="628"/>
      <c r="VXP5" s="628"/>
      <c r="VXQ5" s="628"/>
      <c r="VXR5" s="628"/>
      <c r="VXS5" s="628"/>
      <c r="VXT5" s="628"/>
      <c r="VXU5" s="628"/>
      <c r="VXV5" s="628"/>
      <c r="VXW5" s="628"/>
      <c r="VXX5" s="628"/>
      <c r="VXY5" s="628"/>
      <c r="VXZ5" s="628"/>
      <c r="VYA5" s="628"/>
      <c r="VYB5" s="628"/>
      <c r="VYC5" s="628"/>
      <c r="VYD5" s="628"/>
      <c r="VYE5" s="628"/>
      <c r="VYF5" s="628"/>
      <c r="VYG5" s="628"/>
      <c r="VYH5" s="628"/>
      <c r="VYI5" s="628"/>
      <c r="VYJ5" s="628"/>
      <c r="VYK5" s="628"/>
      <c r="VYL5" s="628"/>
      <c r="VYM5" s="628"/>
      <c r="VYN5" s="628"/>
      <c r="VYO5" s="628"/>
      <c r="VYP5" s="628"/>
      <c r="VYQ5" s="628"/>
      <c r="VYR5" s="628"/>
      <c r="VYS5" s="628"/>
      <c r="VYT5" s="628"/>
      <c r="VYU5" s="628"/>
      <c r="VYV5" s="628"/>
      <c r="VYW5" s="628"/>
      <c r="VYX5" s="628"/>
      <c r="VYY5" s="628"/>
      <c r="VYZ5" s="628"/>
      <c r="VZA5" s="628"/>
      <c r="VZB5" s="628"/>
      <c r="VZC5" s="628"/>
      <c r="VZD5" s="628"/>
      <c r="VZE5" s="628"/>
      <c r="VZF5" s="628"/>
      <c r="VZG5" s="628"/>
      <c r="VZH5" s="628"/>
      <c r="VZI5" s="628"/>
      <c r="VZJ5" s="628"/>
      <c r="VZK5" s="628"/>
      <c r="VZL5" s="628"/>
      <c r="VZM5" s="628"/>
      <c r="VZN5" s="628"/>
      <c r="VZO5" s="628"/>
      <c r="VZP5" s="628"/>
      <c r="VZQ5" s="628"/>
      <c r="VZR5" s="628"/>
      <c r="VZS5" s="628"/>
      <c r="VZT5" s="628"/>
      <c r="VZU5" s="628"/>
      <c r="VZV5" s="628"/>
      <c r="VZW5" s="628"/>
      <c r="VZX5" s="628"/>
      <c r="VZY5" s="628"/>
      <c r="VZZ5" s="628"/>
      <c r="WAA5" s="628"/>
      <c r="WAB5" s="628"/>
      <c r="WAC5" s="628"/>
      <c r="WAD5" s="628"/>
      <c r="WAE5" s="628"/>
      <c r="WAF5" s="628"/>
      <c r="WAG5" s="628"/>
      <c r="WAH5" s="628"/>
      <c r="WAI5" s="628"/>
      <c r="WAJ5" s="628"/>
      <c r="WAK5" s="628"/>
      <c r="WAL5" s="628"/>
      <c r="WAM5" s="628"/>
      <c r="WAN5" s="628"/>
      <c r="WAO5" s="628"/>
      <c r="WAP5" s="628"/>
      <c r="WAQ5" s="628"/>
      <c r="WAR5" s="628"/>
      <c r="WAS5" s="628"/>
      <c r="WAT5" s="628"/>
      <c r="WAU5" s="628"/>
      <c r="WAV5" s="628"/>
      <c r="WAW5" s="628"/>
      <c r="WAX5" s="628"/>
      <c r="WAY5" s="628"/>
      <c r="WAZ5" s="628"/>
      <c r="WBA5" s="628"/>
      <c r="WBB5" s="628"/>
      <c r="WBC5" s="628"/>
      <c r="WBD5" s="628"/>
      <c r="WBE5" s="628"/>
      <c r="WBF5" s="628"/>
      <c r="WBG5" s="628"/>
      <c r="WBH5" s="628"/>
      <c r="WBI5" s="628"/>
      <c r="WBJ5" s="628"/>
      <c r="WBK5" s="628"/>
      <c r="WBL5" s="628"/>
      <c r="WBM5" s="628"/>
      <c r="WBN5" s="628"/>
      <c r="WBO5" s="628"/>
      <c r="WBP5" s="628"/>
      <c r="WBQ5" s="628"/>
      <c r="WBR5" s="628"/>
      <c r="WBS5" s="628"/>
      <c r="WBT5" s="628"/>
      <c r="WBU5" s="628"/>
      <c r="WBV5" s="628"/>
      <c r="WBW5" s="628"/>
      <c r="WBX5" s="628"/>
      <c r="WBY5" s="628"/>
      <c r="WBZ5" s="628"/>
      <c r="WCA5" s="628"/>
      <c r="WCB5" s="628"/>
      <c r="WCC5" s="628"/>
      <c r="WCD5" s="628"/>
      <c r="WCE5" s="628"/>
      <c r="WCF5" s="628"/>
      <c r="WCG5" s="628"/>
      <c r="WCH5" s="628"/>
      <c r="WCI5" s="628"/>
      <c r="WCJ5" s="628"/>
      <c r="WCK5" s="628"/>
      <c r="WCL5" s="628"/>
      <c r="WCM5" s="628"/>
      <c r="WCN5" s="628"/>
      <c r="WCO5" s="628"/>
      <c r="WCP5" s="628"/>
      <c r="WCQ5" s="628"/>
      <c r="WCR5" s="628"/>
      <c r="WCS5" s="628"/>
      <c r="WCT5" s="628"/>
      <c r="WCU5" s="628"/>
      <c r="WCV5" s="628"/>
      <c r="WCW5" s="628"/>
      <c r="WCX5" s="628"/>
      <c r="WCY5" s="628"/>
      <c r="WCZ5" s="628"/>
      <c r="WDA5" s="628"/>
      <c r="WDB5" s="628"/>
      <c r="WDC5" s="628"/>
      <c r="WDD5" s="628"/>
      <c r="WDE5" s="628"/>
      <c r="WDF5" s="628"/>
      <c r="WDG5" s="628"/>
      <c r="WDH5" s="628"/>
      <c r="WDI5" s="628"/>
      <c r="WDJ5" s="628"/>
      <c r="WDK5" s="628"/>
      <c r="WDL5" s="628"/>
      <c r="WDM5" s="628"/>
      <c r="WDN5" s="628"/>
      <c r="WDO5" s="628"/>
      <c r="WDP5" s="628"/>
      <c r="WDQ5" s="628"/>
      <c r="WDR5" s="628"/>
      <c r="WDS5" s="628"/>
      <c r="WDT5" s="628"/>
      <c r="WDU5" s="628"/>
      <c r="WDV5" s="628"/>
      <c r="WDW5" s="628"/>
      <c r="WDX5" s="628"/>
      <c r="WDY5" s="628"/>
      <c r="WDZ5" s="628"/>
      <c r="WEA5" s="628"/>
      <c r="WEB5" s="628"/>
      <c r="WEC5" s="628"/>
      <c r="WED5" s="628"/>
      <c r="WEE5" s="628"/>
      <c r="WEF5" s="628"/>
      <c r="WEG5" s="628"/>
      <c r="WEH5" s="628"/>
      <c r="WEI5" s="628"/>
      <c r="WEJ5" s="628"/>
      <c r="WEK5" s="628"/>
      <c r="WEL5" s="628"/>
      <c r="WEM5" s="628"/>
      <c r="WEN5" s="628"/>
      <c r="WEO5" s="628"/>
      <c r="WEP5" s="628"/>
      <c r="WEQ5" s="628"/>
      <c r="WER5" s="628"/>
      <c r="WES5" s="628"/>
      <c r="WET5" s="628"/>
      <c r="WEU5" s="628"/>
      <c r="WEV5" s="628"/>
      <c r="WEW5" s="628"/>
      <c r="WEX5" s="628"/>
      <c r="WEY5" s="628"/>
      <c r="WEZ5" s="628"/>
      <c r="WFA5" s="628"/>
      <c r="WFB5" s="628"/>
      <c r="WFC5" s="628"/>
      <c r="WFD5" s="628"/>
      <c r="WFE5" s="628"/>
      <c r="WFF5" s="628"/>
      <c r="WFG5" s="628"/>
      <c r="WFH5" s="628"/>
      <c r="WFI5" s="628"/>
      <c r="WFJ5" s="628"/>
      <c r="WFK5" s="628"/>
      <c r="WFL5" s="628"/>
      <c r="WFM5" s="628"/>
      <c r="WFN5" s="628"/>
      <c r="WFO5" s="628"/>
      <c r="WFP5" s="628"/>
      <c r="WFQ5" s="628"/>
      <c r="WFR5" s="628"/>
      <c r="WFS5" s="628"/>
      <c r="WFT5" s="628"/>
      <c r="WFU5" s="628"/>
      <c r="WFV5" s="628"/>
      <c r="WFW5" s="628"/>
      <c r="WFX5" s="628"/>
      <c r="WFY5" s="628"/>
      <c r="WFZ5" s="628"/>
      <c r="WGA5" s="628"/>
      <c r="WGB5" s="628"/>
      <c r="WGC5" s="628"/>
      <c r="WGD5" s="628"/>
      <c r="WGE5" s="628"/>
      <c r="WGF5" s="628"/>
      <c r="WGG5" s="628"/>
      <c r="WGH5" s="628"/>
      <c r="WGI5" s="628"/>
      <c r="WGJ5" s="628"/>
      <c r="WGK5" s="628"/>
      <c r="WGL5" s="628"/>
      <c r="WGM5" s="628"/>
      <c r="WGN5" s="628"/>
      <c r="WGO5" s="628"/>
      <c r="WGP5" s="628"/>
      <c r="WGQ5" s="628"/>
      <c r="WGR5" s="628"/>
      <c r="WGS5" s="628"/>
      <c r="WGT5" s="628"/>
      <c r="WGU5" s="628"/>
      <c r="WGV5" s="628"/>
      <c r="WGW5" s="628"/>
      <c r="WGX5" s="628"/>
      <c r="WGY5" s="628"/>
      <c r="WGZ5" s="628"/>
      <c r="WHA5" s="628"/>
      <c r="WHB5" s="628"/>
      <c r="WHC5" s="628"/>
      <c r="WHD5" s="628"/>
      <c r="WHE5" s="628"/>
      <c r="WHF5" s="628"/>
      <c r="WHG5" s="628"/>
      <c r="WHH5" s="628"/>
      <c r="WHI5" s="628"/>
      <c r="WHJ5" s="628"/>
      <c r="WHK5" s="628"/>
      <c r="WHL5" s="628"/>
      <c r="WHM5" s="628"/>
      <c r="WHN5" s="628"/>
      <c r="WHO5" s="628"/>
      <c r="WHP5" s="628"/>
      <c r="WHQ5" s="628"/>
      <c r="WHR5" s="628"/>
      <c r="WHS5" s="628"/>
      <c r="WHT5" s="628"/>
      <c r="WHU5" s="628"/>
      <c r="WHV5" s="628"/>
      <c r="WHW5" s="628"/>
      <c r="WHX5" s="628"/>
      <c r="WHY5" s="628"/>
      <c r="WHZ5" s="628"/>
      <c r="WIA5" s="628"/>
      <c r="WIB5" s="628"/>
      <c r="WIC5" s="628"/>
      <c r="WID5" s="628"/>
      <c r="WIE5" s="628"/>
      <c r="WIF5" s="628"/>
      <c r="WIG5" s="628"/>
      <c r="WIH5" s="628"/>
      <c r="WII5" s="628"/>
      <c r="WIJ5" s="628"/>
      <c r="WIK5" s="628"/>
      <c r="WIL5" s="628"/>
      <c r="WIM5" s="628"/>
      <c r="WIN5" s="628"/>
      <c r="WIO5" s="628"/>
      <c r="WIP5" s="628"/>
      <c r="WIQ5" s="628"/>
      <c r="WIR5" s="628"/>
      <c r="WIS5" s="628"/>
      <c r="WIT5" s="628"/>
      <c r="WIU5" s="628"/>
      <c r="WIV5" s="628"/>
      <c r="WIW5" s="628"/>
      <c r="WIX5" s="628"/>
      <c r="WIY5" s="628"/>
      <c r="WIZ5" s="628"/>
      <c r="WJA5" s="628"/>
      <c r="WJB5" s="628"/>
      <c r="WJC5" s="628"/>
      <c r="WJD5" s="628"/>
      <c r="WJE5" s="628"/>
      <c r="WJF5" s="628"/>
      <c r="WJG5" s="628"/>
      <c r="WJH5" s="628"/>
      <c r="WJI5" s="628"/>
      <c r="WJJ5" s="628"/>
      <c r="WJK5" s="628"/>
      <c r="WJL5" s="628"/>
      <c r="WJM5" s="628"/>
      <c r="WJN5" s="628"/>
      <c r="WJO5" s="628"/>
      <c r="WJP5" s="628"/>
      <c r="WJQ5" s="628"/>
      <c r="WJR5" s="628"/>
      <c r="WJS5" s="628"/>
      <c r="WJT5" s="628"/>
      <c r="WJU5" s="628"/>
      <c r="WJV5" s="628"/>
      <c r="WJW5" s="628"/>
      <c r="WJX5" s="628"/>
      <c r="WJY5" s="628"/>
      <c r="WJZ5" s="628"/>
      <c r="WKA5" s="628"/>
      <c r="WKB5" s="628"/>
      <c r="WKC5" s="628"/>
      <c r="WKD5" s="628"/>
      <c r="WKE5" s="628"/>
      <c r="WKF5" s="628"/>
      <c r="WKG5" s="628"/>
      <c r="WKH5" s="628"/>
      <c r="WKI5" s="628"/>
      <c r="WKJ5" s="628"/>
      <c r="WKK5" s="628"/>
      <c r="WKL5" s="628"/>
      <c r="WKM5" s="628"/>
      <c r="WKN5" s="628"/>
      <c r="WKO5" s="628"/>
      <c r="WKP5" s="628"/>
      <c r="WKQ5" s="628"/>
      <c r="WKR5" s="628"/>
      <c r="WKS5" s="628"/>
      <c r="WKT5" s="628"/>
      <c r="WKU5" s="628"/>
      <c r="WKV5" s="628"/>
      <c r="WKW5" s="628"/>
      <c r="WKX5" s="628"/>
      <c r="WKY5" s="628"/>
      <c r="WKZ5" s="628"/>
      <c r="WLA5" s="628"/>
      <c r="WLB5" s="628"/>
      <c r="WLC5" s="628"/>
      <c r="WLD5" s="628"/>
      <c r="WLE5" s="628"/>
      <c r="WLF5" s="628"/>
      <c r="WLG5" s="628"/>
      <c r="WLH5" s="628"/>
      <c r="WLI5" s="628"/>
      <c r="WLJ5" s="628"/>
      <c r="WLK5" s="628"/>
      <c r="WLL5" s="628"/>
      <c r="WLM5" s="628"/>
      <c r="WLN5" s="628"/>
      <c r="WLO5" s="628"/>
      <c r="WLP5" s="628"/>
      <c r="WLQ5" s="628"/>
      <c r="WLR5" s="628"/>
      <c r="WLS5" s="628"/>
      <c r="WLT5" s="628"/>
      <c r="WLU5" s="628"/>
      <c r="WLV5" s="628"/>
      <c r="WLW5" s="628"/>
      <c r="WLX5" s="628"/>
      <c r="WLY5" s="628"/>
      <c r="WLZ5" s="628"/>
      <c r="WMA5" s="628"/>
      <c r="WMB5" s="628"/>
      <c r="WMC5" s="628"/>
      <c r="WMD5" s="628"/>
      <c r="WME5" s="628"/>
      <c r="WMF5" s="628"/>
      <c r="WMG5" s="628"/>
      <c r="WMH5" s="628"/>
      <c r="WMI5" s="628"/>
      <c r="WMJ5" s="628"/>
      <c r="WMK5" s="628"/>
      <c r="WML5" s="628"/>
      <c r="WMM5" s="628"/>
      <c r="WMN5" s="628"/>
      <c r="WMO5" s="628"/>
      <c r="WMP5" s="628"/>
      <c r="WMQ5" s="628"/>
      <c r="WMR5" s="628"/>
      <c r="WMS5" s="628"/>
      <c r="WMT5" s="628"/>
      <c r="WMU5" s="628"/>
      <c r="WMV5" s="628"/>
      <c r="WMW5" s="628"/>
      <c r="WMX5" s="628"/>
      <c r="WMY5" s="628"/>
      <c r="WMZ5" s="628"/>
      <c r="WNA5" s="628"/>
      <c r="WNB5" s="628"/>
      <c r="WNC5" s="628"/>
      <c r="WND5" s="628"/>
      <c r="WNE5" s="628"/>
      <c r="WNF5" s="628"/>
      <c r="WNG5" s="628"/>
      <c r="WNH5" s="628"/>
      <c r="WNI5" s="628"/>
      <c r="WNJ5" s="628"/>
      <c r="WNK5" s="628"/>
      <c r="WNL5" s="628"/>
      <c r="WNM5" s="628"/>
      <c r="WNN5" s="628"/>
      <c r="WNO5" s="628"/>
      <c r="WNP5" s="628"/>
      <c r="WNQ5" s="628"/>
      <c r="WNR5" s="628"/>
      <c r="WNS5" s="628"/>
      <c r="WNT5" s="628"/>
      <c r="WNU5" s="628"/>
      <c r="WNV5" s="628"/>
      <c r="WNW5" s="628"/>
      <c r="WNX5" s="628"/>
      <c r="WNY5" s="628"/>
      <c r="WNZ5" s="628"/>
      <c r="WOA5" s="628"/>
      <c r="WOB5" s="628"/>
      <c r="WOC5" s="628"/>
      <c r="WOD5" s="628"/>
      <c r="WOE5" s="628"/>
      <c r="WOF5" s="628"/>
      <c r="WOG5" s="628"/>
      <c r="WOH5" s="628"/>
      <c r="WOI5" s="628"/>
      <c r="WOJ5" s="628"/>
      <c r="WOK5" s="628"/>
      <c r="WOL5" s="628"/>
      <c r="WOM5" s="628"/>
      <c r="WON5" s="628"/>
      <c r="WOO5" s="628"/>
      <c r="WOP5" s="628"/>
      <c r="WOQ5" s="628"/>
      <c r="WOR5" s="628"/>
      <c r="WOS5" s="628"/>
      <c r="WOT5" s="628"/>
      <c r="WOU5" s="628"/>
      <c r="WOV5" s="628"/>
      <c r="WOW5" s="628"/>
      <c r="WOX5" s="628"/>
      <c r="WOY5" s="628"/>
      <c r="WOZ5" s="628"/>
      <c r="WPA5" s="628"/>
      <c r="WPB5" s="628"/>
      <c r="WPC5" s="628"/>
      <c r="WPD5" s="628"/>
      <c r="WPE5" s="628"/>
      <c r="WPF5" s="628"/>
      <c r="WPG5" s="628"/>
      <c r="WPH5" s="628"/>
      <c r="WPI5" s="628"/>
      <c r="WPJ5" s="628"/>
      <c r="WPK5" s="628"/>
      <c r="WPL5" s="628"/>
      <c r="WPM5" s="628"/>
      <c r="WPN5" s="628"/>
      <c r="WPO5" s="628"/>
      <c r="WPP5" s="628"/>
      <c r="WPQ5" s="628"/>
      <c r="WPR5" s="628"/>
      <c r="WPS5" s="628"/>
      <c r="WPT5" s="628"/>
      <c r="WPU5" s="628"/>
      <c r="WPV5" s="628"/>
      <c r="WPW5" s="628"/>
      <c r="WPX5" s="628"/>
      <c r="WPY5" s="628"/>
      <c r="WPZ5" s="628"/>
      <c r="WQA5" s="628"/>
      <c r="WQB5" s="628"/>
      <c r="WQC5" s="628"/>
      <c r="WQD5" s="628"/>
      <c r="WQE5" s="628"/>
      <c r="WQF5" s="628"/>
      <c r="WQG5" s="628"/>
      <c r="WQH5" s="628"/>
      <c r="WQI5" s="628"/>
      <c r="WQJ5" s="628"/>
      <c r="WQK5" s="628"/>
      <c r="WQL5" s="628"/>
      <c r="WQM5" s="628"/>
      <c r="WQN5" s="628"/>
      <c r="WQO5" s="628"/>
      <c r="WQP5" s="628"/>
      <c r="WQQ5" s="628"/>
      <c r="WQR5" s="628"/>
      <c r="WQS5" s="628"/>
      <c r="WQT5" s="628"/>
      <c r="WQU5" s="628"/>
      <c r="WQV5" s="628"/>
      <c r="WQW5" s="628"/>
      <c r="WQX5" s="628"/>
      <c r="WQY5" s="628"/>
      <c r="WQZ5" s="628"/>
      <c r="WRA5" s="628"/>
      <c r="WRB5" s="628"/>
      <c r="WRC5" s="628"/>
      <c r="WRD5" s="628"/>
      <c r="WRE5" s="628"/>
      <c r="WRF5" s="628"/>
      <c r="WRG5" s="628"/>
      <c r="WRH5" s="628"/>
      <c r="WRI5" s="628"/>
      <c r="WRJ5" s="628"/>
      <c r="WRK5" s="628"/>
      <c r="WRL5" s="628"/>
      <c r="WRM5" s="628"/>
      <c r="WRN5" s="628"/>
      <c r="WRO5" s="628"/>
      <c r="WRP5" s="628"/>
      <c r="WRQ5" s="628"/>
      <c r="WRR5" s="628"/>
      <c r="WRS5" s="628"/>
      <c r="WRT5" s="628"/>
      <c r="WRU5" s="628"/>
      <c r="WRV5" s="628"/>
      <c r="WRW5" s="628"/>
      <c r="WRX5" s="628"/>
      <c r="WRY5" s="628"/>
      <c r="WRZ5" s="628"/>
      <c r="WSA5" s="628"/>
      <c r="WSB5" s="628"/>
      <c r="WSC5" s="628"/>
      <c r="WSD5" s="628"/>
      <c r="WSE5" s="628"/>
      <c r="WSF5" s="628"/>
      <c r="WSG5" s="628"/>
      <c r="WSH5" s="628"/>
      <c r="WSI5" s="628"/>
      <c r="WSJ5" s="628"/>
      <c r="WSK5" s="628"/>
      <c r="WSL5" s="628"/>
      <c r="WSM5" s="628"/>
      <c r="WSN5" s="628"/>
      <c r="WSO5" s="628"/>
      <c r="WSP5" s="628"/>
      <c r="WSQ5" s="628"/>
      <c r="WSR5" s="628"/>
      <c r="WSS5" s="628"/>
      <c r="WST5" s="628"/>
      <c r="WSU5" s="628"/>
      <c r="WSV5" s="628"/>
      <c r="WSW5" s="628"/>
      <c r="WSX5" s="628"/>
      <c r="WSY5" s="628"/>
      <c r="WSZ5" s="628"/>
      <c r="WTA5" s="628"/>
      <c r="WTB5" s="628"/>
      <c r="WTC5" s="628"/>
      <c r="WTD5" s="628"/>
      <c r="WTE5" s="628"/>
      <c r="WTF5" s="628"/>
      <c r="WTG5" s="628"/>
      <c r="WTH5" s="628"/>
      <c r="WTI5" s="628"/>
      <c r="WTJ5" s="628"/>
      <c r="WTK5" s="628"/>
      <c r="WTL5" s="628"/>
      <c r="WTM5" s="628"/>
      <c r="WTN5" s="628"/>
      <c r="WTO5" s="628"/>
      <c r="WTP5" s="628"/>
      <c r="WTQ5" s="628"/>
      <c r="WTR5" s="628"/>
      <c r="WTS5" s="628"/>
      <c r="WTT5" s="628"/>
      <c r="WTU5" s="628"/>
      <c r="WTV5" s="628"/>
      <c r="WTW5" s="628"/>
      <c r="WTX5" s="628"/>
      <c r="WTY5" s="628"/>
      <c r="WTZ5" s="628"/>
      <c r="WUA5" s="628"/>
      <c r="WUB5" s="628"/>
      <c r="WUC5" s="628"/>
      <c r="WUD5" s="628"/>
      <c r="WUE5" s="628"/>
      <c r="WUF5" s="628"/>
      <c r="WUG5" s="628"/>
      <c r="WUH5" s="628"/>
      <c r="WUI5" s="628"/>
      <c r="WUJ5" s="628"/>
      <c r="WUK5" s="628"/>
      <c r="WUL5" s="628"/>
      <c r="WUM5" s="628"/>
      <c r="WUN5" s="628"/>
      <c r="WUO5" s="628"/>
      <c r="WUP5" s="628"/>
      <c r="WUQ5" s="628"/>
      <c r="WUR5" s="628"/>
      <c r="WUS5" s="628"/>
      <c r="WUT5" s="628"/>
      <c r="WUU5" s="628"/>
      <c r="WUV5" s="628"/>
      <c r="WUW5" s="628"/>
      <c r="WUX5" s="628"/>
      <c r="WUY5" s="628"/>
      <c r="WUZ5" s="628"/>
      <c r="WVA5" s="628"/>
      <c r="WVB5" s="628"/>
      <c r="WVC5" s="628"/>
      <c r="WVD5" s="628"/>
      <c r="WVE5" s="628"/>
      <c r="WVF5" s="628"/>
      <c r="WVG5" s="628"/>
      <c r="WVH5" s="628"/>
      <c r="WVI5" s="628"/>
      <c r="WVJ5" s="628"/>
      <c r="WVK5" s="628"/>
      <c r="WVL5" s="628"/>
      <c r="WVM5" s="628"/>
      <c r="WVN5" s="628"/>
      <c r="WVO5" s="628"/>
      <c r="WVP5" s="628"/>
      <c r="WVQ5" s="628"/>
      <c r="WVR5" s="628"/>
      <c r="WVS5" s="628"/>
      <c r="WVT5" s="628"/>
      <c r="WVU5" s="628"/>
      <c r="WVV5" s="628"/>
      <c r="WVW5" s="628"/>
      <c r="WVX5" s="628"/>
      <c r="WVY5" s="628"/>
      <c r="WVZ5" s="628"/>
      <c r="WWA5" s="628"/>
      <c r="WWB5" s="628"/>
      <c r="WWC5" s="628"/>
      <c r="WWD5" s="628"/>
      <c r="WWE5" s="628"/>
      <c r="WWF5" s="628"/>
      <c r="WWG5" s="628"/>
      <c r="WWH5" s="628"/>
      <c r="WWI5" s="628"/>
      <c r="WWJ5" s="628"/>
      <c r="WWK5" s="628"/>
      <c r="WWL5" s="628"/>
      <c r="WWM5" s="628"/>
      <c r="WWN5" s="628"/>
      <c r="WWO5" s="628"/>
      <c r="WWP5" s="628"/>
      <c r="WWQ5" s="628"/>
      <c r="WWR5" s="628"/>
      <c r="WWS5" s="628"/>
      <c r="WWT5" s="628"/>
      <c r="WWU5" s="628"/>
      <c r="WWV5" s="628"/>
      <c r="WWW5" s="628"/>
      <c r="WWX5" s="628"/>
      <c r="WWY5" s="628"/>
      <c r="WWZ5" s="628"/>
      <c r="WXA5" s="628"/>
      <c r="WXB5" s="628"/>
      <c r="WXC5" s="628"/>
      <c r="WXD5" s="628"/>
      <c r="WXE5" s="628"/>
      <c r="WXF5" s="628"/>
      <c r="WXG5" s="628"/>
      <c r="WXH5" s="628"/>
      <c r="WXI5" s="628"/>
      <c r="WXJ5" s="628"/>
      <c r="WXK5" s="628"/>
      <c r="WXL5" s="628"/>
      <c r="WXM5" s="628"/>
      <c r="WXN5" s="628"/>
      <c r="WXO5" s="628"/>
      <c r="WXP5" s="628"/>
      <c r="WXQ5" s="628"/>
      <c r="WXR5" s="628"/>
      <c r="WXS5" s="628"/>
      <c r="WXT5" s="628"/>
      <c r="WXU5" s="628"/>
      <c r="WXV5" s="628"/>
      <c r="WXW5" s="628"/>
      <c r="WXX5" s="628"/>
      <c r="WXY5" s="628"/>
      <c r="WXZ5" s="628"/>
      <c r="WYA5" s="628"/>
      <c r="WYB5" s="628"/>
      <c r="WYC5" s="628"/>
      <c r="WYD5" s="628"/>
      <c r="WYE5" s="628"/>
      <c r="WYF5" s="628"/>
      <c r="WYG5" s="628"/>
      <c r="WYH5" s="628"/>
      <c r="WYI5" s="628"/>
      <c r="WYJ5" s="628"/>
      <c r="WYK5" s="628"/>
      <c r="WYL5" s="628"/>
      <c r="WYM5" s="628"/>
      <c r="WYN5" s="628"/>
      <c r="WYO5" s="628"/>
      <c r="WYP5" s="628"/>
      <c r="WYQ5" s="628"/>
      <c r="WYR5" s="628"/>
      <c r="WYS5" s="628"/>
      <c r="WYT5" s="628"/>
      <c r="WYU5" s="628"/>
      <c r="WYV5" s="628"/>
      <c r="WYW5" s="628"/>
      <c r="WYX5" s="628"/>
      <c r="WYY5" s="628"/>
      <c r="WYZ5" s="628"/>
      <c r="WZA5" s="628"/>
      <c r="WZB5" s="628"/>
      <c r="WZC5" s="628"/>
      <c r="WZD5" s="628"/>
      <c r="WZE5" s="628"/>
      <c r="WZF5" s="628"/>
      <c r="WZG5" s="628"/>
      <c r="WZH5" s="628"/>
      <c r="WZI5" s="628"/>
      <c r="WZJ5" s="628"/>
      <c r="WZK5" s="628"/>
      <c r="WZL5" s="628"/>
      <c r="WZM5" s="628"/>
      <c r="WZN5" s="628"/>
      <c r="WZO5" s="628"/>
      <c r="WZP5" s="628"/>
      <c r="WZQ5" s="628"/>
      <c r="WZR5" s="628"/>
      <c r="WZS5" s="628"/>
      <c r="WZT5" s="628"/>
      <c r="WZU5" s="628"/>
      <c r="WZV5" s="628"/>
      <c r="WZW5" s="628"/>
      <c r="WZX5" s="628"/>
      <c r="WZY5" s="628"/>
      <c r="WZZ5" s="628"/>
      <c r="XAA5" s="628"/>
      <c r="XAB5" s="628"/>
      <c r="XAC5" s="628"/>
      <c r="XAD5" s="628"/>
      <c r="XAE5" s="628"/>
      <c r="XAF5" s="628"/>
      <c r="XAG5" s="628"/>
      <c r="XAH5" s="628"/>
      <c r="XAI5" s="628"/>
      <c r="XAJ5" s="628"/>
      <c r="XAK5" s="628"/>
      <c r="XAL5" s="628"/>
      <c r="XAM5" s="628"/>
      <c r="XAN5" s="628"/>
      <c r="XAO5" s="628"/>
      <c r="XAP5" s="628"/>
      <c r="XAQ5" s="628"/>
      <c r="XAR5" s="628"/>
      <c r="XAS5" s="628"/>
      <c r="XAT5" s="628"/>
      <c r="XAU5" s="628"/>
      <c r="XAV5" s="628"/>
      <c r="XAW5" s="628"/>
      <c r="XAX5" s="628"/>
      <c r="XAY5" s="628"/>
      <c r="XAZ5" s="628"/>
      <c r="XBA5" s="628"/>
      <c r="XBB5" s="628"/>
      <c r="XBC5" s="628"/>
      <c r="XBD5" s="628"/>
      <c r="XBE5" s="628"/>
      <c r="XBF5" s="628"/>
      <c r="XBG5" s="628"/>
      <c r="XBH5" s="628"/>
      <c r="XBI5" s="628"/>
      <c r="XBJ5" s="628"/>
      <c r="XBK5" s="628"/>
      <c r="XBL5" s="628"/>
      <c r="XBM5" s="628"/>
      <c r="XBN5" s="628"/>
      <c r="XBO5" s="628"/>
      <c r="XBP5" s="628"/>
      <c r="XBQ5" s="628"/>
      <c r="XBR5" s="628"/>
      <c r="XBS5" s="628"/>
      <c r="XBT5" s="628"/>
      <c r="XBU5" s="628"/>
      <c r="XBV5" s="628"/>
      <c r="XBW5" s="628"/>
      <c r="XBX5" s="628"/>
      <c r="XBY5" s="628"/>
      <c r="XBZ5" s="628"/>
      <c r="XCA5" s="628"/>
      <c r="XCB5" s="628"/>
      <c r="XCC5" s="628"/>
      <c r="XCD5" s="628"/>
      <c r="XCE5" s="628"/>
      <c r="XCF5" s="628"/>
      <c r="XCG5" s="628"/>
      <c r="XCH5" s="628"/>
      <c r="XCI5" s="628"/>
      <c r="XCJ5" s="628"/>
      <c r="XCK5" s="628"/>
      <c r="XCL5" s="628"/>
      <c r="XCM5" s="628"/>
      <c r="XCN5" s="628"/>
      <c r="XCO5" s="628"/>
      <c r="XCP5" s="628"/>
      <c r="XCQ5" s="628"/>
      <c r="XCR5" s="628"/>
      <c r="XCS5" s="628"/>
      <c r="XCT5" s="628"/>
      <c r="XCU5" s="628"/>
      <c r="XCV5" s="628"/>
      <c r="XCW5" s="628"/>
      <c r="XCX5" s="628"/>
      <c r="XCY5" s="628"/>
      <c r="XCZ5" s="628"/>
      <c r="XDA5" s="628"/>
      <c r="XDB5" s="628"/>
      <c r="XDC5" s="628"/>
      <c r="XDD5" s="628"/>
      <c r="XDE5" s="628"/>
      <c r="XDF5" s="628"/>
      <c r="XDG5" s="628"/>
      <c r="XDH5" s="628"/>
      <c r="XDI5" s="628"/>
      <c r="XDJ5" s="628"/>
      <c r="XDK5" s="628"/>
      <c r="XDL5" s="628"/>
      <c r="XDM5" s="628"/>
      <c r="XDN5" s="628"/>
      <c r="XDO5" s="628"/>
      <c r="XDP5" s="628"/>
      <c r="XDQ5" s="628"/>
      <c r="XDR5" s="628"/>
      <c r="XDS5" s="628"/>
      <c r="XDT5" s="628"/>
      <c r="XDU5" s="628"/>
      <c r="XDV5" s="628"/>
      <c r="XDW5" s="628"/>
      <c r="XDX5" s="628"/>
      <c r="XDY5" s="628"/>
      <c r="XDZ5" s="628"/>
      <c r="XEA5" s="628"/>
      <c r="XEB5" s="628"/>
      <c r="XEC5" s="628"/>
      <c r="XED5" s="628"/>
      <c r="XEE5" s="628"/>
      <c r="XEF5" s="628"/>
      <c r="XEG5" s="628"/>
      <c r="XEH5" s="628"/>
      <c r="XEI5" s="628"/>
    </row>
    <row r="6" spans="1:16363" s="280" customFormat="1" ht="15.6" hidden="1" customHeight="1" x14ac:dyDescent="0.2">
      <c r="A6" s="406"/>
      <c r="B6" s="406"/>
      <c r="C6" s="406"/>
      <c r="D6" s="406"/>
      <c r="E6" s="406"/>
      <c r="F6" s="406"/>
      <c r="G6" s="406"/>
      <c r="H6" s="406"/>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6"/>
      <c r="BK6" s="406"/>
      <c r="BL6" s="406"/>
      <c r="BM6" s="406"/>
      <c r="BN6" s="406"/>
      <c r="BO6" s="406"/>
      <c r="BP6" s="406"/>
      <c r="BQ6" s="406"/>
      <c r="BR6" s="406"/>
      <c r="BS6" s="406"/>
      <c r="BT6" s="406"/>
      <c r="BU6" s="406"/>
      <c r="BV6" s="406"/>
      <c r="BW6" s="406"/>
      <c r="BX6" s="406"/>
      <c r="BY6" s="406"/>
      <c r="BZ6" s="406"/>
      <c r="CA6" s="406"/>
      <c r="CB6" s="406"/>
      <c r="CC6" s="406"/>
      <c r="CD6" s="406"/>
      <c r="CE6" s="406"/>
      <c r="CF6" s="406"/>
      <c r="CG6" s="406"/>
      <c r="CH6" s="406"/>
      <c r="CI6" s="406"/>
      <c r="CJ6" s="406"/>
      <c r="CK6" s="406"/>
      <c r="CL6" s="406"/>
      <c r="CM6" s="406"/>
      <c r="CN6" s="406"/>
      <c r="CO6" s="406"/>
      <c r="CP6" s="406"/>
      <c r="CQ6" s="406"/>
      <c r="CR6" s="406"/>
      <c r="CS6" s="406"/>
      <c r="CT6" s="406"/>
      <c r="CU6" s="406"/>
      <c r="CV6" s="406"/>
      <c r="CW6" s="406"/>
      <c r="CX6" s="406"/>
      <c r="CY6" s="406"/>
      <c r="CZ6" s="406"/>
      <c r="DA6" s="406"/>
      <c r="DB6" s="406"/>
      <c r="DC6" s="406"/>
      <c r="DD6" s="406"/>
      <c r="DE6" s="406"/>
      <c r="DF6" s="406"/>
      <c r="DG6" s="406"/>
      <c r="DH6" s="406"/>
      <c r="DI6" s="406"/>
      <c r="DJ6" s="406"/>
      <c r="DK6" s="406"/>
      <c r="DL6" s="406"/>
      <c r="DM6" s="406"/>
      <c r="DN6" s="406"/>
      <c r="DO6" s="406"/>
      <c r="DP6" s="406"/>
      <c r="DQ6" s="406"/>
      <c r="DR6" s="406"/>
      <c r="DS6" s="406"/>
      <c r="DT6" s="406"/>
      <c r="DU6" s="406"/>
      <c r="DV6" s="406"/>
      <c r="DW6" s="406"/>
      <c r="DX6" s="406"/>
      <c r="DY6" s="406"/>
      <c r="DZ6" s="406"/>
      <c r="EA6" s="406"/>
      <c r="EB6" s="406"/>
      <c r="EC6" s="406"/>
      <c r="ED6" s="406"/>
      <c r="EE6" s="406"/>
      <c r="EF6" s="406"/>
      <c r="EG6" s="406"/>
      <c r="EH6" s="406"/>
      <c r="EI6" s="406"/>
      <c r="EJ6" s="406"/>
      <c r="EK6" s="406"/>
      <c r="EL6" s="406"/>
      <c r="EM6" s="406"/>
      <c r="EN6" s="406"/>
      <c r="EO6" s="406"/>
      <c r="EP6" s="406"/>
      <c r="EQ6" s="406"/>
      <c r="ER6" s="406"/>
      <c r="ES6" s="406"/>
      <c r="ET6" s="406"/>
      <c r="EU6" s="406"/>
      <c r="EV6" s="406"/>
      <c r="EW6" s="406"/>
      <c r="EX6" s="406"/>
      <c r="EY6" s="406"/>
      <c r="EZ6" s="406"/>
      <c r="FA6" s="406"/>
      <c r="FB6" s="406"/>
      <c r="FC6" s="406"/>
      <c r="FD6" s="406"/>
      <c r="FE6" s="406"/>
      <c r="FF6" s="406"/>
      <c r="FG6" s="406"/>
      <c r="FH6" s="406"/>
      <c r="FI6" s="406"/>
      <c r="FJ6" s="406"/>
      <c r="FK6" s="406"/>
      <c r="FL6" s="406"/>
      <c r="FM6" s="406"/>
      <c r="FN6" s="406"/>
      <c r="FO6" s="406"/>
      <c r="FP6" s="406"/>
      <c r="FQ6" s="406"/>
      <c r="FR6" s="406"/>
      <c r="FS6" s="406"/>
      <c r="FT6" s="406"/>
      <c r="FU6" s="406"/>
      <c r="FV6" s="406"/>
      <c r="FW6" s="406"/>
      <c r="FX6" s="406"/>
      <c r="FY6" s="406"/>
      <c r="FZ6" s="406"/>
      <c r="GA6" s="406"/>
      <c r="GB6" s="406"/>
      <c r="GC6" s="406"/>
      <c r="GD6" s="406"/>
      <c r="GE6" s="406"/>
      <c r="GF6" s="406"/>
      <c r="GG6" s="406"/>
      <c r="GH6" s="406"/>
      <c r="GI6" s="406"/>
      <c r="GJ6" s="406"/>
      <c r="GK6" s="406"/>
      <c r="GL6" s="406"/>
      <c r="GM6" s="406"/>
      <c r="GN6" s="406"/>
      <c r="GO6" s="406"/>
      <c r="GP6" s="406"/>
      <c r="GQ6" s="406"/>
      <c r="GR6" s="406"/>
      <c r="GS6" s="406"/>
      <c r="GT6" s="406"/>
      <c r="GU6" s="406"/>
      <c r="GV6" s="406"/>
      <c r="GW6" s="406"/>
      <c r="GX6" s="406"/>
      <c r="GY6" s="406"/>
      <c r="GZ6" s="406"/>
      <c r="HA6" s="406"/>
      <c r="HB6" s="406"/>
      <c r="HC6" s="406"/>
      <c r="HD6" s="406"/>
      <c r="HE6" s="406"/>
      <c r="HF6" s="406"/>
      <c r="HG6" s="406"/>
      <c r="HH6" s="406"/>
      <c r="HI6" s="406"/>
      <c r="HJ6" s="406"/>
      <c r="HK6" s="406"/>
      <c r="HL6" s="406"/>
      <c r="HM6" s="406"/>
      <c r="HN6" s="406"/>
      <c r="HO6" s="406"/>
      <c r="HP6" s="406"/>
      <c r="HQ6" s="406"/>
      <c r="HR6" s="406"/>
      <c r="HS6" s="406"/>
      <c r="HT6" s="406"/>
      <c r="HU6" s="406"/>
      <c r="HV6" s="406"/>
      <c r="HW6" s="406"/>
      <c r="HX6" s="406"/>
      <c r="HY6" s="406"/>
      <c r="HZ6" s="406"/>
      <c r="IA6" s="406"/>
      <c r="IB6" s="406"/>
      <c r="IC6" s="406"/>
      <c r="ID6" s="406"/>
      <c r="IE6" s="406"/>
      <c r="IF6" s="406"/>
      <c r="IG6" s="406"/>
      <c r="IH6" s="406"/>
      <c r="II6" s="406"/>
      <c r="IJ6" s="406"/>
      <c r="IK6" s="406"/>
      <c r="IL6" s="406"/>
      <c r="IM6" s="406"/>
      <c r="IN6" s="406"/>
      <c r="IO6" s="406"/>
      <c r="IP6" s="406"/>
      <c r="IQ6" s="406"/>
      <c r="IR6" s="406"/>
      <c r="IS6" s="406"/>
      <c r="IT6" s="406"/>
      <c r="IU6" s="406"/>
      <c r="IV6" s="406"/>
      <c r="IW6" s="406"/>
      <c r="IX6" s="406"/>
      <c r="IY6" s="406"/>
      <c r="IZ6" s="406"/>
      <c r="JA6" s="406"/>
      <c r="JB6" s="406"/>
      <c r="JC6" s="406"/>
      <c r="JD6" s="406"/>
      <c r="JE6" s="406"/>
      <c r="JF6" s="406"/>
      <c r="JG6" s="406"/>
      <c r="JH6" s="406"/>
      <c r="JI6" s="406"/>
      <c r="JJ6" s="406"/>
      <c r="JK6" s="406"/>
      <c r="JL6" s="406"/>
      <c r="JM6" s="406"/>
      <c r="JN6" s="406"/>
      <c r="JO6" s="406"/>
      <c r="JP6" s="406"/>
      <c r="JQ6" s="406"/>
      <c r="JR6" s="406"/>
      <c r="JS6" s="406"/>
      <c r="JT6" s="406"/>
      <c r="JU6" s="406"/>
      <c r="JV6" s="406"/>
      <c r="JW6" s="406"/>
      <c r="JX6" s="406"/>
      <c r="JY6" s="406"/>
      <c r="JZ6" s="406"/>
      <c r="KA6" s="406"/>
      <c r="KB6" s="406"/>
      <c r="KC6" s="406"/>
      <c r="KD6" s="406"/>
      <c r="KE6" s="406"/>
      <c r="KF6" s="406"/>
      <c r="KG6" s="406"/>
      <c r="KH6" s="406"/>
      <c r="KI6" s="406"/>
      <c r="KJ6" s="406"/>
      <c r="KK6" s="406"/>
      <c r="KL6" s="406"/>
      <c r="KM6" s="406"/>
      <c r="KN6" s="406"/>
      <c r="KO6" s="406"/>
      <c r="KP6" s="406"/>
      <c r="KQ6" s="406"/>
      <c r="KR6" s="406"/>
      <c r="KS6" s="406"/>
      <c r="KT6" s="406"/>
      <c r="KU6" s="406"/>
      <c r="KV6" s="406"/>
      <c r="KW6" s="406"/>
      <c r="KX6" s="406"/>
      <c r="KY6" s="406"/>
      <c r="KZ6" s="406"/>
      <c r="LA6" s="406"/>
      <c r="LB6" s="406"/>
      <c r="LC6" s="406"/>
      <c r="LD6" s="406"/>
      <c r="LE6" s="406"/>
      <c r="LF6" s="406"/>
      <c r="LG6" s="406"/>
      <c r="LH6" s="406"/>
      <c r="LI6" s="406"/>
      <c r="LJ6" s="406"/>
      <c r="LK6" s="406"/>
      <c r="LL6" s="406"/>
      <c r="LM6" s="406"/>
      <c r="LN6" s="406"/>
      <c r="LO6" s="406"/>
      <c r="LP6" s="406"/>
      <c r="LQ6" s="406"/>
      <c r="LR6" s="406"/>
      <c r="LS6" s="406"/>
      <c r="LT6" s="406"/>
      <c r="LU6" s="406"/>
      <c r="LV6" s="406"/>
      <c r="LW6" s="406"/>
      <c r="LX6" s="406"/>
      <c r="LY6" s="406"/>
      <c r="LZ6" s="406"/>
      <c r="MA6" s="406"/>
      <c r="MB6" s="406"/>
      <c r="MC6" s="406"/>
      <c r="MD6" s="406"/>
      <c r="ME6" s="406"/>
      <c r="MF6" s="406"/>
      <c r="MG6" s="406"/>
      <c r="MH6" s="406"/>
      <c r="MI6" s="406"/>
      <c r="MJ6" s="406"/>
      <c r="MK6" s="406"/>
      <c r="ML6" s="406"/>
      <c r="MM6" s="406"/>
      <c r="MN6" s="406"/>
      <c r="MO6" s="406"/>
      <c r="MP6" s="406"/>
      <c r="MQ6" s="406"/>
      <c r="MR6" s="406"/>
      <c r="MS6" s="406"/>
      <c r="MT6" s="406"/>
      <c r="MU6" s="406"/>
      <c r="MV6" s="406"/>
      <c r="MW6" s="406"/>
      <c r="MX6" s="406"/>
      <c r="MY6" s="406"/>
      <c r="MZ6" s="406"/>
      <c r="NA6" s="406"/>
      <c r="NB6" s="406"/>
      <c r="NC6" s="406"/>
      <c r="ND6" s="406"/>
      <c r="NE6" s="406"/>
      <c r="NF6" s="406"/>
      <c r="NG6" s="406"/>
      <c r="NH6" s="406"/>
      <c r="NI6" s="406"/>
      <c r="NJ6" s="406"/>
      <c r="NK6" s="406"/>
      <c r="NL6" s="406"/>
      <c r="NM6" s="406"/>
      <c r="NN6" s="406"/>
      <c r="NO6" s="406"/>
      <c r="NP6" s="406"/>
      <c r="NQ6" s="406"/>
      <c r="NR6" s="406"/>
      <c r="NS6" s="406"/>
      <c r="NT6" s="406"/>
      <c r="NU6" s="406"/>
      <c r="NV6" s="406"/>
      <c r="NW6" s="406"/>
      <c r="NX6" s="406"/>
      <c r="NY6" s="406"/>
      <c r="NZ6" s="406"/>
      <c r="OA6" s="406"/>
      <c r="OB6" s="406"/>
      <c r="OC6" s="406"/>
      <c r="OD6" s="406"/>
      <c r="OE6" s="406"/>
      <c r="OF6" s="406"/>
      <c r="OG6" s="406"/>
      <c r="OH6" s="406"/>
      <c r="OI6" s="406"/>
      <c r="OJ6" s="406"/>
      <c r="OK6" s="406"/>
      <c r="OL6" s="406"/>
      <c r="OM6" s="406"/>
      <c r="ON6" s="406"/>
      <c r="OO6" s="406"/>
      <c r="OP6" s="406"/>
      <c r="OQ6" s="406"/>
      <c r="OR6" s="406"/>
      <c r="OS6" s="406"/>
      <c r="OT6" s="406"/>
      <c r="OU6" s="406"/>
      <c r="OV6" s="406"/>
      <c r="OW6" s="406"/>
      <c r="OX6" s="406"/>
      <c r="OY6" s="406"/>
      <c r="OZ6" s="406"/>
      <c r="PA6" s="406"/>
      <c r="PB6" s="406"/>
      <c r="PC6" s="406"/>
      <c r="PD6" s="406"/>
      <c r="PE6" s="406"/>
      <c r="PF6" s="406"/>
      <c r="PG6" s="406"/>
      <c r="PH6" s="406"/>
      <c r="PI6" s="406"/>
      <c r="PJ6" s="406"/>
      <c r="PK6" s="406"/>
      <c r="PL6" s="406"/>
      <c r="PM6" s="406"/>
      <c r="PN6" s="406"/>
      <c r="PO6" s="406"/>
      <c r="PP6" s="406"/>
      <c r="PQ6" s="406"/>
      <c r="PR6" s="406"/>
      <c r="PS6" s="406"/>
      <c r="PT6" s="406"/>
      <c r="PU6" s="406"/>
      <c r="PV6" s="406"/>
      <c r="PW6" s="406"/>
      <c r="PX6" s="406"/>
      <c r="PY6" s="406"/>
      <c r="PZ6" s="406"/>
      <c r="QA6" s="406"/>
      <c r="QB6" s="406"/>
      <c r="QC6" s="406"/>
      <c r="QD6" s="406"/>
      <c r="QE6" s="406"/>
      <c r="QF6" s="406"/>
      <c r="QG6" s="406"/>
      <c r="QH6" s="406"/>
      <c r="QI6" s="406"/>
      <c r="QJ6" s="406"/>
      <c r="QK6" s="406"/>
      <c r="QL6" s="406"/>
      <c r="QM6" s="406"/>
      <c r="QN6" s="406"/>
      <c r="QO6" s="406"/>
      <c r="QP6" s="406"/>
      <c r="QQ6" s="406"/>
      <c r="QR6" s="406"/>
      <c r="QS6" s="406"/>
      <c r="QT6" s="406"/>
      <c r="QU6" s="406"/>
      <c r="QV6" s="406"/>
      <c r="QW6" s="406"/>
      <c r="QX6" s="406"/>
      <c r="QY6" s="406"/>
      <c r="QZ6" s="406"/>
      <c r="RA6" s="406"/>
      <c r="RB6" s="406"/>
      <c r="RC6" s="406"/>
      <c r="RD6" s="406"/>
      <c r="RE6" s="406"/>
      <c r="RF6" s="406"/>
      <c r="RG6" s="406"/>
      <c r="RH6" s="406"/>
      <c r="RI6" s="406"/>
      <c r="RJ6" s="406"/>
      <c r="RK6" s="406"/>
      <c r="RL6" s="406"/>
      <c r="RM6" s="406"/>
      <c r="RN6" s="406"/>
      <c r="RO6" s="406"/>
      <c r="RP6" s="406"/>
      <c r="RQ6" s="406"/>
      <c r="RR6" s="406"/>
      <c r="RS6" s="406"/>
      <c r="RT6" s="406"/>
      <c r="RU6" s="406"/>
      <c r="RV6" s="406"/>
      <c r="RW6" s="406"/>
      <c r="RX6" s="406"/>
      <c r="RY6" s="406"/>
      <c r="RZ6" s="406"/>
      <c r="SA6" s="406"/>
      <c r="SB6" s="406"/>
      <c r="SC6" s="406"/>
      <c r="SD6" s="406"/>
      <c r="SE6" s="406"/>
      <c r="SF6" s="406"/>
      <c r="SG6" s="406"/>
      <c r="SH6" s="406"/>
      <c r="SI6" s="406"/>
      <c r="SJ6" s="406"/>
      <c r="SK6" s="406"/>
      <c r="SL6" s="406"/>
      <c r="SM6" s="406"/>
      <c r="SN6" s="406"/>
      <c r="SO6" s="406"/>
      <c r="SP6" s="406"/>
      <c r="SQ6" s="406"/>
      <c r="SR6" s="406"/>
      <c r="SS6" s="406"/>
      <c r="ST6" s="406"/>
      <c r="SU6" s="406"/>
      <c r="SV6" s="406"/>
      <c r="SW6" s="406"/>
      <c r="SX6" s="406"/>
      <c r="SY6" s="406"/>
      <c r="SZ6" s="406"/>
      <c r="TA6" s="406"/>
      <c r="TB6" s="406"/>
      <c r="TC6" s="406"/>
      <c r="TD6" s="406"/>
      <c r="TE6" s="406"/>
      <c r="TF6" s="406"/>
      <c r="TG6" s="406"/>
      <c r="TH6" s="406"/>
      <c r="TI6" s="406"/>
      <c r="TJ6" s="406"/>
      <c r="TK6" s="406"/>
      <c r="TL6" s="406"/>
      <c r="TM6" s="406"/>
      <c r="TN6" s="406"/>
      <c r="TO6" s="406"/>
      <c r="TP6" s="406"/>
      <c r="TQ6" s="406"/>
      <c r="TR6" s="406"/>
      <c r="TS6" s="406"/>
      <c r="TT6" s="406"/>
      <c r="TU6" s="406"/>
      <c r="TV6" s="406"/>
      <c r="TW6" s="406"/>
      <c r="TX6" s="406"/>
      <c r="TY6" s="406"/>
      <c r="TZ6" s="406"/>
      <c r="UA6" s="406"/>
      <c r="UB6" s="406"/>
      <c r="UC6" s="406"/>
      <c r="UD6" s="406"/>
      <c r="UE6" s="406"/>
      <c r="UF6" s="406"/>
      <c r="UG6" s="406"/>
      <c r="UH6" s="406"/>
      <c r="UI6" s="406"/>
      <c r="UJ6" s="406"/>
      <c r="UK6" s="406"/>
      <c r="UL6" s="406"/>
      <c r="UM6" s="406"/>
      <c r="UN6" s="406"/>
      <c r="UO6" s="406"/>
      <c r="UP6" s="406"/>
      <c r="UQ6" s="406"/>
      <c r="UR6" s="406"/>
      <c r="US6" s="406"/>
      <c r="UT6" s="406"/>
      <c r="UU6" s="406"/>
      <c r="UV6" s="406"/>
      <c r="UW6" s="406"/>
      <c r="UX6" s="406"/>
      <c r="UY6" s="406"/>
      <c r="UZ6" s="406"/>
      <c r="VA6" s="406"/>
      <c r="VB6" s="406"/>
      <c r="VC6" s="406"/>
      <c r="VD6" s="406"/>
      <c r="VE6" s="406"/>
      <c r="VF6" s="406"/>
      <c r="VG6" s="406"/>
      <c r="VH6" s="406"/>
      <c r="VI6" s="406"/>
      <c r="VJ6" s="406"/>
      <c r="VK6" s="406"/>
      <c r="VL6" s="406"/>
      <c r="VM6" s="406"/>
      <c r="VN6" s="406"/>
      <c r="VO6" s="406"/>
      <c r="VP6" s="406"/>
      <c r="VQ6" s="406"/>
      <c r="VR6" s="406"/>
      <c r="VS6" s="406"/>
      <c r="VT6" s="406"/>
      <c r="VU6" s="406"/>
      <c r="VV6" s="406"/>
      <c r="VW6" s="406"/>
      <c r="VX6" s="406"/>
      <c r="VY6" s="406"/>
      <c r="VZ6" s="406"/>
      <c r="WA6" s="406"/>
      <c r="WB6" s="406"/>
      <c r="WC6" s="406"/>
      <c r="WD6" s="406"/>
      <c r="WE6" s="406"/>
      <c r="WF6" s="406"/>
      <c r="WG6" s="406"/>
      <c r="WH6" s="406"/>
      <c r="WI6" s="406"/>
      <c r="WJ6" s="406"/>
      <c r="WK6" s="406"/>
      <c r="WL6" s="406"/>
      <c r="WM6" s="406"/>
      <c r="WN6" s="406"/>
      <c r="WO6" s="406"/>
      <c r="WP6" s="406"/>
      <c r="WQ6" s="406"/>
      <c r="WR6" s="406"/>
      <c r="WS6" s="406"/>
      <c r="WT6" s="406"/>
      <c r="WU6" s="406"/>
      <c r="WV6" s="406"/>
      <c r="WW6" s="406"/>
      <c r="WX6" s="406"/>
      <c r="WY6" s="406"/>
      <c r="WZ6" s="406"/>
      <c r="XA6" s="406"/>
      <c r="XB6" s="406"/>
      <c r="XC6" s="406"/>
      <c r="XD6" s="406"/>
      <c r="XE6" s="406"/>
      <c r="XF6" s="406"/>
      <c r="XG6" s="406"/>
      <c r="XH6" s="406"/>
      <c r="XI6" s="406"/>
      <c r="XJ6" s="406"/>
      <c r="XK6" s="406"/>
      <c r="XL6" s="406"/>
      <c r="XM6" s="406"/>
      <c r="XN6" s="406"/>
      <c r="XO6" s="406"/>
      <c r="XP6" s="406"/>
      <c r="XQ6" s="406"/>
      <c r="XR6" s="406"/>
      <c r="XS6" s="406"/>
      <c r="XT6" s="406"/>
      <c r="XU6" s="406"/>
      <c r="XV6" s="406"/>
      <c r="XW6" s="406"/>
      <c r="XX6" s="406"/>
      <c r="XY6" s="406"/>
      <c r="XZ6" s="406"/>
      <c r="YA6" s="406"/>
      <c r="YB6" s="406"/>
      <c r="YC6" s="406"/>
      <c r="YD6" s="406"/>
      <c r="YE6" s="406"/>
      <c r="YF6" s="406"/>
      <c r="YG6" s="406"/>
      <c r="YH6" s="406"/>
      <c r="YI6" s="406"/>
      <c r="YJ6" s="406"/>
      <c r="YK6" s="406"/>
      <c r="YL6" s="406"/>
      <c r="YM6" s="406"/>
      <c r="YN6" s="406"/>
      <c r="YO6" s="406"/>
      <c r="YP6" s="406"/>
      <c r="YQ6" s="406"/>
      <c r="YR6" s="406"/>
      <c r="YS6" s="406"/>
      <c r="YT6" s="406"/>
      <c r="YU6" s="406"/>
      <c r="YV6" s="406"/>
      <c r="YW6" s="406"/>
      <c r="YX6" s="406"/>
      <c r="YY6" s="406"/>
      <c r="YZ6" s="406"/>
      <c r="ZA6" s="406"/>
      <c r="ZB6" s="406"/>
      <c r="ZC6" s="406"/>
      <c r="ZD6" s="406"/>
      <c r="ZE6" s="406"/>
      <c r="ZF6" s="406"/>
      <c r="ZG6" s="406"/>
      <c r="ZH6" s="406"/>
      <c r="ZI6" s="406"/>
      <c r="ZJ6" s="406"/>
      <c r="ZK6" s="406"/>
      <c r="ZL6" s="406"/>
      <c r="ZM6" s="406"/>
      <c r="ZN6" s="406"/>
      <c r="ZO6" s="406"/>
      <c r="ZP6" s="406"/>
      <c r="ZQ6" s="406"/>
      <c r="ZR6" s="406"/>
      <c r="ZS6" s="406"/>
      <c r="ZT6" s="406"/>
      <c r="ZU6" s="406"/>
      <c r="ZV6" s="406"/>
      <c r="ZW6" s="406"/>
      <c r="ZX6" s="406"/>
      <c r="ZY6" s="406"/>
      <c r="ZZ6" s="406"/>
      <c r="AAA6" s="406"/>
      <c r="AAB6" s="406"/>
      <c r="AAC6" s="406"/>
      <c r="AAD6" s="406"/>
      <c r="AAE6" s="406"/>
      <c r="AAF6" s="406"/>
      <c r="AAG6" s="406"/>
      <c r="AAH6" s="406"/>
      <c r="AAI6" s="406"/>
      <c r="AAJ6" s="406"/>
      <c r="AAK6" s="406"/>
      <c r="AAL6" s="406"/>
      <c r="AAM6" s="406"/>
      <c r="AAN6" s="406"/>
      <c r="AAO6" s="406"/>
      <c r="AAP6" s="406"/>
      <c r="AAQ6" s="406"/>
      <c r="AAR6" s="406"/>
      <c r="AAS6" s="406"/>
      <c r="AAT6" s="406"/>
      <c r="AAU6" s="406"/>
      <c r="AAV6" s="406"/>
      <c r="AAW6" s="406"/>
      <c r="AAX6" s="406"/>
      <c r="AAY6" s="406"/>
      <c r="AAZ6" s="406"/>
      <c r="ABA6" s="406"/>
      <c r="ABB6" s="406"/>
      <c r="ABC6" s="406"/>
      <c r="ABD6" s="406"/>
      <c r="ABE6" s="406"/>
      <c r="ABF6" s="406"/>
      <c r="ABG6" s="406"/>
      <c r="ABH6" s="406"/>
      <c r="ABI6" s="406"/>
      <c r="ABJ6" s="406"/>
      <c r="ABK6" s="406"/>
      <c r="ABL6" s="406"/>
      <c r="ABM6" s="406"/>
      <c r="ABN6" s="406"/>
      <c r="ABO6" s="406"/>
      <c r="ABP6" s="406"/>
      <c r="ABQ6" s="406"/>
      <c r="ABR6" s="406"/>
      <c r="ABS6" s="406"/>
      <c r="ABT6" s="406"/>
      <c r="ABU6" s="406"/>
      <c r="ABV6" s="406"/>
      <c r="ABW6" s="406"/>
      <c r="ABX6" s="406"/>
      <c r="ABY6" s="406"/>
      <c r="ABZ6" s="406"/>
      <c r="ACA6" s="406"/>
      <c r="ACB6" s="406"/>
      <c r="ACC6" s="406"/>
      <c r="ACD6" s="406"/>
      <c r="ACE6" s="406"/>
      <c r="ACF6" s="406"/>
      <c r="ACG6" s="406"/>
      <c r="ACH6" s="406"/>
      <c r="ACI6" s="406"/>
      <c r="ACJ6" s="406"/>
      <c r="ACK6" s="406"/>
      <c r="ACL6" s="406"/>
      <c r="ACM6" s="406"/>
      <c r="ACN6" s="406"/>
      <c r="ACO6" s="406"/>
      <c r="ACP6" s="406"/>
      <c r="ACQ6" s="406"/>
      <c r="ACR6" s="406"/>
      <c r="ACS6" s="406"/>
      <c r="ACT6" s="406"/>
      <c r="ACU6" s="406"/>
      <c r="ACV6" s="406"/>
      <c r="ACW6" s="406"/>
      <c r="ACX6" s="406"/>
      <c r="ACY6" s="406"/>
      <c r="ACZ6" s="406"/>
      <c r="ADA6" s="406"/>
      <c r="ADB6" s="406"/>
      <c r="ADC6" s="406"/>
      <c r="ADD6" s="406"/>
      <c r="ADE6" s="406"/>
      <c r="ADF6" s="406"/>
      <c r="ADG6" s="406"/>
      <c r="ADH6" s="406"/>
      <c r="ADI6" s="406"/>
      <c r="ADJ6" s="406"/>
      <c r="ADK6" s="406"/>
      <c r="ADL6" s="406"/>
      <c r="ADM6" s="406"/>
      <c r="ADN6" s="406"/>
      <c r="ADO6" s="406"/>
      <c r="ADP6" s="406"/>
      <c r="ADQ6" s="406"/>
      <c r="ADR6" s="406"/>
      <c r="ADS6" s="406"/>
      <c r="ADT6" s="406"/>
      <c r="ADU6" s="406"/>
      <c r="ADV6" s="406"/>
      <c r="ADW6" s="406"/>
      <c r="ADX6" s="406"/>
      <c r="ADY6" s="406"/>
      <c r="ADZ6" s="406"/>
      <c r="AEA6" s="406"/>
      <c r="AEB6" s="406"/>
      <c r="AEC6" s="406"/>
      <c r="AED6" s="406"/>
      <c r="AEE6" s="406"/>
      <c r="AEF6" s="406"/>
      <c r="AEG6" s="406"/>
      <c r="AEH6" s="406"/>
      <c r="AEI6" s="406"/>
      <c r="AEJ6" s="406"/>
      <c r="AEK6" s="406"/>
      <c r="AEL6" s="406"/>
      <c r="AEM6" s="406"/>
      <c r="AEN6" s="406"/>
      <c r="AEO6" s="406"/>
      <c r="AEP6" s="406"/>
      <c r="AEQ6" s="406"/>
      <c r="AER6" s="406"/>
      <c r="AES6" s="406"/>
      <c r="AET6" s="406"/>
      <c r="AEU6" s="406"/>
      <c r="AEV6" s="406"/>
      <c r="AEW6" s="406"/>
      <c r="AEX6" s="406"/>
      <c r="AEY6" s="406"/>
      <c r="AEZ6" s="406"/>
      <c r="AFA6" s="406"/>
      <c r="AFB6" s="406"/>
      <c r="AFC6" s="406"/>
      <c r="AFD6" s="406"/>
      <c r="AFE6" s="406"/>
      <c r="AFF6" s="406"/>
      <c r="AFG6" s="406"/>
      <c r="AFH6" s="406"/>
      <c r="AFI6" s="406"/>
      <c r="AFJ6" s="406"/>
      <c r="AFK6" s="406"/>
      <c r="AFL6" s="406"/>
      <c r="AFM6" s="406"/>
      <c r="AFN6" s="406"/>
      <c r="AFO6" s="406"/>
      <c r="AFP6" s="406"/>
      <c r="AFQ6" s="406"/>
      <c r="AFR6" s="406"/>
      <c r="AFS6" s="406"/>
      <c r="AFT6" s="406"/>
      <c r="AFU6" s="406"/>
      <c r="AFV6" s="406"/>
      <c r="AFW6" s="406"/>
      <c r="AFX6" s="406"/>
      <c r="AFY6" s="406"/>
      <c r="AFZ6" s="406"/>
      <c r="AGA6" s="406"/>
      <c r="AGB6" s="406"/>
      <c r="AGC6" s="406"/>
      <c r="AGD6" s="406"/>
      <c r="AGE6" s="406"/>
      <c r="AGF6" s="406"/>
      <c r="AGG6" s="406"/>
      <c r="AGH6" s="406"/>
      <c r="AGI6" s="406"/>
      <c r="AGJ6" s="406"/>
      <c r="AGK6" s="406"/>
      <c r="AGL6" s="406"/>
      <c r="AGM6" s="406"/>
      <c r="AGN6" s="406"/>
      <c r="AGO6" s="406"/>
      <c r="AGP6" s="406"/>
      <c r="AGQ6" s="406"/>
      <c r="AGR6" s="406"/>
      <c r="AGS6" s="406"/>
      <c r="AGT6" s="406"/>
      <c r="AGU6" s="406"/>
      <c r="AGV6" s="406"/>
      <c r="AGW6" s="406"/>
      <c r="AGX6" s="406"/>
      <c r="AGY6" s="406"/>
      <c r="AGZ6" s="406"/>
      <c r="AHA6" s="406"/>
      <c r="AHB6" s="406"/>
      <c r="AHC6" s="406"/>
      <c r="AHD6" s="406"/>
      <c r="AHE6" s="406"/>
      <c r="AHF6" s="406"/>
      <c r="AHG6" s="406"/>
      <c r="AHH6" s="406"/>
      <c r="AHI6" s="406"/>
      <c r="AHJ6" s="406"/>
      <c r="AHK6" s="406"/>
      <c r="AHL6" s="406"/>
      <c r="AHM6" s="406"/>
      <c r="AHN6" s="406"/>
      <c r="AHO6" s="406"/>
      <c r="AHP6" s="406"/>
      <c r="AHQ6" s="406"/>
      <c r="AHR6" s="406"/>
      <c r="AHS6" s="406"/>
      <c r="AHT6" s="406"/>
      <c r="AHU6" s="406"/>
      <c r="AHV6" s="406"/>
      <c r="AHW6" s="406"/>
      <c r="AHX6" s="406"/>
      <c r="AHY6" s="406"/>
      <c r="AHZ6" s="406"/>
      <c r="AIA6" s="406"/>
      <c r="AIB6" s="406"/>
      <c r="AIC6" s="406"/>
      <c r="AID6" s="406"/>
      <c r="AIE6" s="406"/>
      <c r="AIF6" s="406"/>
      <c r="AIG6" s="406"/>
      <c r="AIH6" s="406"/>
      <c r="AII6" s="406"/>
      <c r="AIJ6" s="406"/>
      <c r="AIK6" s="406"/>
      <c r="AIL6" s="406"/>
      <c r="AIM6" s="406"/>
      <c r="AIN6" s="406"/>
      <c r="AIO6" s="406"/>
      <c r="AIP6" s="406"/>
      <c r="AIQ6" s="406"/>
      <c r="AIR6" s="406"/>
      <c r="AIS6" s="406"/>
      <c r="AIT6" s="406"/>
      <c r="AIU6" s="406"/>
      <c r="AIV6" s="406"/>
      <c r="AIW6" s="406"/>
      <c r="AIX6" s="406"/>
      <c r="AIY6" s="406"/>
      <c r="AIZ6" s="406"/>
      <c r="AJA6" s="406"/>
      <c r="AJB6" s="406"/>
      <c r="AJC6" s="406"/>
      <c r="AJD6" s="406"/>
      <c r="AJE6" s="406"/>
      <c r="AJF6" s="406"/>
      <c r="AJG6" s="406"/>
      <c r="AJH6" s="406"/>
      <c r="AJI6" s="406"/>
      <c r="AJJ6" s="406"/>
      <c r="AJK6" s="406"/>
      <c r="AJL6" s="406"/>
      <c r="AJM6" s="406"/>
      <c r="AJN6" s="406"/>
      <c r="AJO6" s="406"/>
      <c r="AJP6" s="406"/>
      <c r="AJQ6" s="406"/>
      <c r="AJR6" s="406"/>
      <c r="AJS6" s="406"/>
      <c r="AJT6" s="406"/>
      <c r="AJU6" s="406"/>
      <c r="AJV6" s="406"/>
      <c r="AJW6" s="406"/>
      <c r="AJX6" s="406"/>
      <c r="AJY6" s="406"/>
      <c r="AJZ6" s="406"/>
      <c r="AKA6" s="406"/>
      <c r="AKB6" s="406"/>
      <c r="AKC6" s="406"/>
      <c r="AKD6" s="406"/>
      <c r="AKE6" s="406"/>
      <c r="AKF6" s="406"/>
      <c r="AKG6" s="406"/>
      <c r="AKH6" s="406"/>
      <c r="AKI6" s="406"/>
      <c r="AKJ6" s="406"/>
      <c r="AKK6" s="406"/>
      <c r="AKL6" s="406"/>
      <c r="AKM6" s="406"/>
      <c r="AKN6" s="406"/>
      <c r="AKO6" s="406"/>
      <c r="AKP6" s="406"/>
      <c r="AKQ6" s="406"/>
      <c r="AKR6" s="406"/>
      <c r="AKS6" s="406"/>
      <c r="AKT6" s="406"/>
      <c r="AKU6" s="406"/>
      <c r="AKV6" s="406"/>
      <c r="AKW6" s="406"/>
      <c r="AKX6" s="406"/>
      <c r="AKY6" s="406"/>
      <c r="AKZ6" s="406"/>
      <c r="ALA6" s="406"/>
      <c r="ALB6" s="406"/>
      <c r="ALC6" s="406"/>
      <c r="ALD6" s="406"/>
      <c r="ALE6" s="406"/>
      <c r="ALF6" s="406"/>
      <c r="ALG6" s="406"/>
      <c r="ALH6" s="406"/>
      <c r="ALI6" s="406"/>
      <c r="ALJ6" s="406"/>
      <c r="ALK6" s="406"/>
      <c r="ALL6" s="406"/>
      <c r="ALM6" s="406"/>
      <c r="ALN6" s="406"/>
      <c r="ALO6" s="406"/>
      <c r="ALP6" s="406"/>
      <c r="ALQ6" s="406"/>
      <c r="ALR6" s="406"/>
      <c r="ALS6" s="406"/>
      <c r="ALT6" s="406"/>
      <c r="ALU6" s="406"/>
      <c r="ALV6" s="406"/>
      <c r="ALW6" s="406"/>
      <c r="ALX6" s="406"/>
      <c r="ALY6" s="406"/>
      <c r="ALZ6" s="406"/>
      <c r="AMA6" s="406"/>
      <c r="AMB6" s="406"/>
      <c r="AMC6" s="406"/>
      <c r="AMD6" s="406"/>
      <c r="AME6" s="406"/>
      <c r="AMF6" s="406"/>
      <c r="AMG6" s="406"/>
      <c r="AMH6" s="406"/>
      <c r="AMI6" s="406"/>
      <c r="AMJ6" s="406"/>
      <c r="AMK6" s="406"/>
      <c r="AML6" s="406"/>
      <c r="AMM6" s="406"/>
      <c r="AMN6" s="406"/>
      <c r="AMO6" s="406"/>
      <c r="AMP6" s="406"/>
      <c r="AMQ6" s="406"/>
      <c r="AMR6" s="406"/>
      <c r="AMS6" s="406"/>
      <c r="AMT6" s="406"/>
      <c r="AMU6" s="406"/>
      <c r="AMV6" s="406"/>
      <c r="AMW6" s="406"/>
      <c r="AMX6" s="406"/>
      <c r="AMY6" s="406"/>
      <c r="AMZ6" s="406"/>
      <c r="ANA6" s="406"/>
      <c r="ANB6" s="406"/>
      <c r="ANC6" s="406"/>
      <c r="AND6" s="406"/>
      <c r="ANE6" s="406"/>
      <c r="ANF6" s="406"/>
      <c r="ANG6" s="406"/>
      <c r="ANH6" s="406"/>
      <c r="ANI6" s="406"/>
      <c r="ANJ6" s="406"/>
      <c r="ANK6" s="406"/>
      <c r="ANL6" s="406"/>
      <c r="ANM6" s="406"/>
      <c r="ANN6" s="406"/>
      <c r="ANO6" s="406"/>
      <c r="ANP6" s="406"/>
      <c r="ANQ6" s="406"/>
      <c r="ANR6" s="406"/>
      <c r="ANS6" s="406"/>
      <c r="ANT6" s="406"/>
      <c r="ANU6" s="406"/>
      <c r="ANV6" s="406"/>
      <c r="ANW6" s="406"/>
      <c r="ANX6" s="406"/>
      <c r="ANY6" s="406"/>
      <c r="ANZ6" s="406"/>
      <c r="AOA6" s="406"/>
      <c r="AOB6" s="406"/>
      <c r="AOC6" s="406"/>
      <c r="AOD6" s="406"/>
      <c r="AOE6" s="406"/>
      <c r="AOF6" s="406"/>
      <c r="AOG6" s="406"/>
      <c r="AOH6" s="406"/>
      <c r="AOI6" s="406"/>
      <c r="AOJ6" s="406"/>
      <c r="AOK6" s="406"/>
      <c r="AOL6" s="406"/>
      <c r="AOM6" s="406"/>
      <c r="AON6" s="406"/>
      <c r="AOO6" s="406"/>
      <c r="AOP6" s="406"/>
      <c r="AOQ6" s="406"/>
      <c r="AOR6" s="406"/>
      <c r="AOS6" s="406"/>
      <c r="AOT6" s="406"/>
      <c r="AOU6" s="406"/>
      <c r="AOV6" s="406"/>
      <c r="AOW6" s="406"/>
      <c r="AOX6" s="406"/>
      <c r="AOY6" s="406"/>
      <c r="AOZ6" s="406"/>
      <c r="APA6" s="406"/>
      <c r="APB6" s="406"/>
      <c r="APC6" s="406"/>
      <c r="APD6" s="406"/>
      <c r="APE6" s="406"/>
      <c r="APF6" s="406"/>
      <c r="APG6" s="406"/>
      <c r="APH6" s="406"/>
      <c r="API6" s="406"/>
      <c r="APJ6" s="406"/>
      <c r="APK6" s="406"/>
      <c r="APL6" s="406"/>
      <c r="APM6" s="406"/>
      <c r="APN6" s="406"/>
      <c r="APO6" s="406"/>
      <c r="APP6" s="406"/>
      <c r="APQ6" s="406"/>
      <c r="APR6" s="406"/>
      <c r="APS6" s="406"/>
      <c r="APT6" s="406"/>
      <c r="APU6" s="406"/>
      <c r="APV6" s="406"/>
      <c r="APW6" s="406"/>
      <c r="APX6" s="406"/>
      <c r="APY6" s="406"/>
      <c r="APZ6" s="406"/>
      <c r="AQA6" s="406"/>
      <c r="AQB6" s="406"/>
      <c r="AQC6" s="406"/>
      <c r="AQD6" s="406"/>
      <c r="AQE6" s="406"/>
      <c r="AQF6" s="406"/>
      <c r="AQG6" s="406"/>
      <c r="AQH6" s="406"/>
      <c r="AQI6" s="406"/>
      <c r="AQJ6" s="406"/>
      <c r="AQK6" s="406"/>
      <c r="AQL6" s="406"/>
      <c r="AQM6" s="406"/>
      <c r="AQN6" s="406"/>
      <c r="AQO6" s="406"/>
      <c r="AQP6" s="406"/>
      <c r="AQQ6" s="406"/>
      <c r="AQR6" s="406"/>
      <c r="AQS6" s="406"/>
      <c r="AQT6" s="406"/>
      <c r="AQU6" s="406"/>
      <c r="AQV6" s="406"/>
      <c r="AQW6" s="406"/>
      <c r="AQX6" s="406"/>
      <c r="AQY6" s="406"/>
      <c r="AQZ6" s="406"/>
      <c r="ARA6" s="406"/>
      <c r="ARB6" s="406"/>
      <c r="ARC6" s="406"/>
      <c r="ARD6" s="406"/>
      <c r="ARE6" s="406"/>
      <c r="ARF6" s="406"/>
      <c r="ARG6" s="406"/>
      <c r="ARH6" s="406"/>
      <c r="ARI6" s="406"/>
      <c r="ARJ6" s="406"/>
      <c r="ARK6" s="406"/>
      <c r="ARL6" s="406"/>
      <c r="ARM6" s="406"/>
      <c r="ARN6" s="406"/>
      <c r="ARO6" s="406"/>
      <c r="ARP6" s="406"/>
      <c r="ARQ6" s="406"/>
      <c r="ARR6" s="406"/>
      <c r="ARS6" s="406"/>
      <c r="ART6" s="406"/>
      <c r="ARU6" s="406"/>
      <c r="ARV6" s="406"/>
      <c r="ARW6" s="406"/>
      <c r="ARX6" s="406"/>
      <c r="ARY6" s="406"/>
      <c r="ARZ6" s="406"/>
      <c r="ASA6" s="406"/>
      <c r="ASB6" s="406"/>
      <c r="ASC6" s="406"/>
      <c r="ASD6" s="406"/>
      <c r="ASE6" s="406"/>
      <c r="ASF6" s="406"/>
      <c r="ASG6" s="406"/>
      <c r="ASH6" s="406"/>
      <c r="ASI6" s="406"/>
      <c r="ASJ6" s="406"/>
      <c r="ASK6" s="406"/>
      <c r="ASL6" s="406"/>
      <c r="ASM6" s="406"/>
      <c r="ASN6" s="406"/>
      <c r="ASO6" s="406"/>
      <c r="ASP6" s="406"/>
      <c r="ASQ6" s="406"/>
      <c r="ASR6" s="406"/>
      <c r="ASS6" s="406"/>
      <c r="AST6" s="406"/>
      <c r="ASU6" s="406"/>
      <c r="ASV6" s="406"/>
      <c r="ASW6" s="406"/>
      <c r="ASX6" s="406"/>
      <c r="ASY6" s="406"/>
      <c r="ASZ6" s="406"/>
      <c r="ATA6" s="406"/>
      <c r="ATB6" s="406"/>
      <c r="ATC6" s="406"/>
      <c r="ATD6" s="406"/>
      <c r="ATE6" s="406"/>
      <c r="ATF6" s="406"/>
      <c r="ATG6" s="406"/>
      <c r="ATH6" s="406"/>
      <c r="ATI6" s="406"/>
      <c r="ATJ6" s="406"/>
      <c r="ATK6" s="406"/>
      <c r="ATL6" s="406"/>
      <c r="ATM6" s="406"/>
      <c r="ATN6" s="406"/>
      <c r="ATO6" s="406"/>
      <c r="ATP6" s="406"/>
      <c r="ATQ6" s="406"/>
      <c r="ATR6" s="406"/>
      <c r="ATS6" s="406"/>
      <c r="ATT6" s="406"/>
      <c r="ATU6" s="406"/>
      <c r="ATV6" s="406"/>
      <c r="ATW6" s="406"/>
      <c r="ATX6" s="406"/>
      <c r="ATY6" s="406"/>
      <c r="ATZ6" s="406"/>
      <c r="AUA6" s="406"/>
      <c r="AUB6" s="406"/>
      <c r="AUC6" s="406"/>
      <c r="AUD6" s="406"/>
      <c r="AUE6" s="406"/>
      <c r="AUF6" s="406"/>
      <c r="AUG6" s="406"/>
      <c r="AUH6" s="406"/>
      <c r="AUI6" s="406"/>
      <c r="AUJ6" s="406"/>
      <c r="AUK6" s="406"/>
      <c r="AUL6" s="406"/>
      <c r="AUM6" s="406"/>
      <c r="AUN6" s="406"/>
      <c r="AUO6" s="406"/>
      <c r="AUP6" s="406"/>
      <c r="AUQ6" s="406"/>
      <c r="AUR6" s="406"/>
      <c r="AUS6" s="406"/>
      <c r="AUT6" s="406"/>
      <c r="AUU6" s="406"/>
      <c r="AUV6" s="406"/>
      <c r="AUW6" s="406"/>
      <c r="AUX6" s="406"/>
      <c r="AUY6" s="406"/>
      <c r="AUZ6" s="406"/>
      <c r="AVA6" s="406"/>
      <c r="AVB6" s="406"/>
      <c r="AVC6" s="406"/>
      <c r="AVD6" s="406"/>
      <c r="AVE6" s="406"/>
      <c r="AVF6" s="406"/>
      <c r="AVG6" s="406"/>
      <c r="AVH6" s="406"/>
      <c r="AVI6" s="406"/>
      <c r="AVJ6" s="406"/>
      <c r="AVK6" s="406"/>
      <c r="AVL6" s="406"/>
      <c r="AVM6" s="406"/>
      <c r="AVN6" s="406"/>
      <c r="AVO6" s="406"/>
      <c r="AVP6" s="406"/>
      <c r="AVQ6" s="406"/>
      <c r="AVR6" s="406"/>
      <c r="AVS6" s="406"/>
      <c r="AVT6" s="406"/>
      <c r="AVU6" s="406"/>
      <c r="AVV6" s="406"/>
      <c r="AVW6" s="406"/>
      <c r="AVX6" s="406"/>
      <c r="AVY6" s="406"/>
      <c r="AVZ6" s="406"/>
      <c r="AWA6" s="406"/>
      <c r="AWB6" s="406"/>
      <c r="AWC6" s="406"/>
      <c r="AWD6" s="406"/>
      <c r="AWE6" s="406"/>
      <c r="AWF6" s="406"/>
      <c r="AWG6" s="406"/>
      <c r="AWH6" s="406"/>
      <c r="AWI6" s="406"/>
      <c r="AWJ6" s="406"/>
      <c r="AWK6" s="406"/>
      <c r="AWL6" s="406"/>
      <c r="AWM6" s="406"/>
      <c r="AWN6" s="406"/>
      <c r="AWO6" s="406"/>
      <c r="AWP6" s="406"/>
      <c r="AWQ6" s="406"/>
      <c r="AWR6" s="406"/>
      <c r="AWS6" s="406"/>
      <c r="AWT6" s="406"/>
      <c r="AWU6" s="406"/>
      <c r="AWV6" s="406"/>
      <c r="AWW6" s="406"/>
      <c r="AWX6" s="406"/>
      <c r="AWY6" s="406"/>
      <c r="AWZ6" s="406"/>
      <c r="AXA6" s="406"/>
      <c r="AXB6" s="406"/>
      <c r="AXC6" s="406"/>
      <c r="AXD6" s="406"/>
      <c r="AXE6" s="406"/>
      <c r="AXF6" s="406"/>
      <c r="AXG6" s="406"/>
      <c r="AXH6" s="406"/>
      <c r="AXI6" s="406"/>
      <c r="AXJ6" s="406"/>
      <c r="AXK6" s="406"/>
      <c r="AXL6" s="406"/>
      <c r="AXM6" s="406"/>
      <c r="AXN6" s="406"/>
      <c r="AXO6" s="406"/>
      <c r="AXP6" s="406"/>
      <c r="AXQ6" s="406"/>
      <c r="AXR6" s="406"/>
      <c r="AXS6" s="406"/>
      <c r="AXT6" s="406"/>
      <c r="AXU6" s="406"/>
      <c r="AXV6" s="406"/>
      <c r="AXW6" s="406"/>
      <c r="AXX6" s="406"/>
      <c r="AXY6" s="406"/>
      <c r="AXZ6" s="406"/>
      <c r="AYA6" s="406"/>
      <c r="AYB6" s="406"/>
      <c r="AYC6" s="406"/>
      <c r="AYD6" s="406"/>
      <c r="AYE6" s="406"/>
      <c r="AYF6" s="406"/>
      <c r="AYG6" s="406"/>
      <c r="AYH6" s="406"/>
      <c r="AYI6" s="406"/>
      <c r="AYJ6" s="406"/>
      <c r="AYK6" s="406"/>
      <c r="AYL6" s="406"/>
      <c r="AYM6" s="406"/>
      <c r="AYN6" s="406"/>
      <c r="AYO6" s="406"/>
      <c r="AYP6" s="406"/>
      <c r="AYQ6" s="406"/>
      <c r="AYR6" s="406"/>
      <c r="AYS6" s="406"/>
      <c r="AYT6" s="406"/>
      <c r="AYU6" s="406"/>
      <c r="AYV6" s="406"/>
      <c r="AYW6" s="406"/>
      <c r="AYX6" s="406"/>
      <c r="AYY6" s="406"/>
      <c r="AYZ6" s="406"/>
      <c r="AZA6" s="406"/>
      <c r="AZB6" s="406"/>
      <c r="AZC6" s="406"/>
      <c r="AZD6" s="406"/>
      <c r="AZE6" s="406"/>
      <c r="AZF6" s="406"/>
      <c r="AZG6" s="406"/>
      <c r="AZH6" s="406"/>
      <c r="AZI6" s="406"/>
      <c r="AZJ6" s="406"/>
      <c r="AZK6" s="406"/>
      <c r="AZL6" s="406"/>
      <c r="AZM6" s="406"/>
      <c r="AZN6" s="406"/>
      <c r="AZO6" s="406"/>
      <c r="AZP6" s="406"/>
      <c r="AZQ6" s="406"/>
      <c r="AZR6" s="406"/>
      <c r="AZS6" s="406"/>
      <c r="AZT6" s="406"/>
      <c r="AZU6" s="406"/>
      <c r="AZV6" s="406"/>
      <c r="AZW6" s="406"/>
      <c r="AZX6" s="406"/>
      <c r="AZY6" s="406"/>
      <c r="AZZ6" s="406"/>
      <c r="BAA6" s="406"/>
      <c r="BAB6" s="406"/>
      <c r="BAC6" s="406"/>
      <c r="BAD6" s="406"/>
      <c r="BAE6" s="406"/>
      <c r="BAF6" s="406"/>
      <c r="BAG6" s="406"/>
      <c r="BAH6" s="406"/>
      <c r="BAI6" s="406"/>
      <c r="BAJ6" s="406"/>
      <c r="BAK6" s="406"/>
      <c r="BAL6" s="406"/>
      <c r="BAM6" s="406"/>
      <c r="BAN6" s="406"/>
      <c r="BAO6" s="406"/>
      <c r="BAP6" s="406"/>
      <c r="BAQ6" s="406"/>
      <c r="BAR6" s="406"/>
      <c r="BAS6" s="406"/>
      <c r="BAT6" s="406"/>
      <c r="BAU6" s="406"/>
      <c r="BAV6" s="406"/>
      <c r="BAW6" s="406"/>
      <c r="BAX6" s="406"/>
      <c r="BAY6" s="406"/>
      <c r="BAZ6" s="406"/>
      <c r="BBA6" s="406"/>
      <c r="BBB6" s="406"/>
      <c r="BBC6" s="406"/>
      <c r="BBD6" s="406"/>
      <c r="BBE6" s="406"/>
      <c r="BBF6" s="406"/>
      <c r="BBG6" s="406"/>
      <c r="BBH6" s="406"/>
      <c r="BBI6" s="406"/>
      <c r="BBJ6" s="406"/>
      <c r="BBK6" s="406"/>
      <c r="BBL6" s="406"/>
      <c r="BBM6" s="406"/>
      <c r="BBN6" s="406"/>
      <c r="BBO6" s="406"/>
      <c r="BBP6" s="406"/>
      <c r="BBQ6" s="406"/>
      <c r="BBR6" s="406"/>
      <c r="BBS6" s="406"/>
      <c r="BBT6" s="406"/>
      <c r="BBU6" s="406"/>
      <c r="BBV6" s="406"/>
      <c r="BBW6" s="406"/>
      <c r="BBX6" s="406"/>
      <c r="BBY6" s="406"/>
      <c r="BBZ6" s="406"/>
      <c r="BCA6" s="406"/>
      <c r="BCB6" s="406"/>
      <c r="BCC6" s="406"/>
      <c r="BCD6" s="406"/>
      <c r="BCE6" s="406"/>
      <c r="BCF6" s="406"/>
      <c r="BCG6" s="406"/>
      <c r="BCH6" s="406"/>
      <c r="BCI6" s="406"/>
      <c r="BCJ6" s="406"/>
      <c r="BCK6" s="406"/>
      <c r="BCL6" s="406"/>
      <c r="BCM6" s="406"/>
      <c r="BCN6" s="406"/>
      <c r="BCO6" s="406"/>
      <c r="BCP6" s="406"/>
      <c r="BCQ6" s="406"/>
      <c r="BCR6" s="406"/>
      <c r="BCS6" s="406"/>
      <c r="BCT6" s="406"/>
      <c r="BCU6" s="406"/>
      <c r="BCV6" s="406"/>
      <c r="BCW6" s="406"/>
      <c r="BCX6" s="406"/>
      <c r="BCY6" s="406"/>
      <c r="BCZ6" s="406"/>
      <c r="BDA6" s="406"/>
      <c r="BDB6" s="406"/>
      <c r="BDC6" s="406"/>
      <c r="BDD6" s="406"/>
      <c r="BDE6" s="406"/>
      <c r="BDF6" s="406"/>
      <c r="BDG6" s="406"/>
      <c r="BDH6" s="406"/>
      <c r="BDI6" s="406"/>
      <c r="BDJ6" s="406"/>
      <c r="BDK6" s="406"/>
      <c r="BDL6" s="406"/>
      <c r="BDM6" s="406"/>
      <c r="BDN6" s="406"/>
      <c r="BDO6" s="406"/>
      <c r="BDP6" s="406"/>
      <c r="BDQ6" s="406"/>
      <c r="BDR6" s="406"/>
      <c r="BDS6" s="406"/>
      <c r="BDT6" s="406"/>
      <c r="BDU6" s="406"/>
      <c r="BDV6" s="406"/>
      <c r="BDW6" s="406"/>
      <c r="BDX6" s="406"/>
      <c r="BDY6" s="406"/>
      <c r="BDZ6" s="406"/>
      <c r="BEA6" s="406"/>
      <c r="BEB6" s="406"/>
      <c r="BEC6" s="406"/>
      <c r="BED6" s="406"/>
      <c r="BEE6" s="406"/>
      <c r="BEF6" s="406"/>
      <c r="BEG6" s="406"/>
      <c r="BEH6" s="406"/>
      <c r="BEI6" s="406"/>
      <c r="BEJ6" s="406"/>
      <c r="BEK6" s="406"/>
      <c r="BEL6" s="406"/>
      <c r="BEM6" s="406"/>
      <c r="BEN6" s="406"/>
      <c r="BEO6" s="406"/>
      <c r="BEP6" s="406"/>
      <c r="BEQ6" s="406"/>
      <c r="BER6" s="406"/>
      <c r="BES6" s="406"/>
      <c r="BET6" s="406"/>
      <c r="BEU6" s="406"/>
      <c r="BEV6" s="406"/>
      <c r="BEW6" s="406"/>
      <c r="BEX6" s="406"/>
      <c r="BEY6" s="406"/>
      <c r="BEZ6" s="406"/>
      <c r="BFA6" s="406"/>
      <c r="BFB6" s="406"/>
      <c r="BFC6" s="406"/>
      <c r="BFD6" s="406"/>
      <c r="BFE6" s="406"/>
      <c r="BFF6" s="406"/>
      <c r="BFG6" s="406"/>
      <c r="BFH6" s="406"/>
      <c r="BFI6" s="406"/>
      <c r="BFJ6" s="406"/>
      <c r="BFK6" s="406"/>
      <c r="BFL6" s="406"/>
      <c r="BFM6" s="406"/>
      <c r="BFN6" s="406"/>
      <c r="BFO6" s="406"/>
      <c r="BFP6" s="406"/>
      <c r="BFQ6" s="406"/>
      <c r="BFR6" s="406"/>
      <c r="BFS6" s="406"/>
      <c r="BFT6" s="406"/>
      <c r="BFU6" s="406"/>
      <c r="BFV6" s="406"/>
      <c r="BFW6" s="406"/>
      <c r="BFX6" s="406"/>
      <c r="BFY6" s="406"/>
      <c r="BFZ6" s="406"/>
      <c r="BGA6" s="406"/>
      <c r="BGB6" s="406"/>
      <c r="BGC6" s="406"/>
      <c r="BGD6" s="406"/>
      <c r="BGE6" s="406"/>
      <c r="BGF6" s="406"/>
      <c r="BGG6" s="406"/>
      <c r="BGH6" s="406"/>
      <c r="BGI6" s="406"/>
      <c r="BGJ6" s="406"/>
      <c r="BGK6" s="406"/>
      <c r="BGL6" s="406"/>
      <c r="BGM6" s="406"/>
      <c r="BGN6" s="406"/>
      <c r="BGO6" s="406"/>
      <c r="BGP6" s="406"/>
      <c r="BGQ6" s="406"/>
      <c r="BGR6" s="406"/>
      <c r="BGS6" s="406"/>
      <c r="BGT6" s="406"/>
      <c r="BGU6" s="406"/>
      <c r="BGV6" s="406"/>
      <c r="BGW6" s="406"/>
      <c r="BGX6" s="406"/>
      <c r="BGY6" s="406"/>
      <c r="BGZ6" s="406"/>
      <c r="BHA6" s="406"/>
      <c r="BHB6" s="406"/>
      <c r="BHC6" s="406"/>
      <c r="BHD6" s="406"/>
      <c r="BHE6" s="406"/>
      <c r="BHF6" s="406"/>
      <c r="BHG6" s="406"/>
      <c r="BHH6" s="406"/>
      <c r="BHI6" s="406"/>
      <c r="BHJ6" s="406"/>
      <c r="BHK6" s="406"/>
      <c r="BHL6" s="406"/>
      <c r="BHM6" s="406"/>
      <c r="BHN6" s="406"/>
      <c r="BHO6" s="406"/>
      <c r="BHP6" s="406"/>
      <c r="BHQ6" s="406"/>
      <c r="BHR6" s="406"/>
      <c r="BHS6" s="406"/>
      <c r="BHT6" s="406"/>
      <c r="BHU6" s="406"/>
      <c r="BHV6" s="406"/>
      <c r="BHW6" s="406"/>
      <c r="BHX6" s="406"/>
      <c r="BHY6" s="406"/>
      <c r="BHZ6" s="406"/>
      <c r="BIA6" s="406"/>
      <c r="BIB6" s="406"/>
      <c r="BIC6" s="406"/>
      <c r="BID6" s="406"/>
      <c r="BIE6" s="406"/>
      <c r="BIF6" s="406"/>
      <c r="BIG6" s="406"/>
      <c r="BIH6" s="406"/>
      <c r="BII6" s="406"/>
      <c r="BIJ6" s="406"/>
      <c r="BIK6" s="406"/>
      <c r="BIL6" s="406"/>
      <c r="BIM6" s="406"/>
      <c r="BIN6" s="406"/>
      <c r="BIO6" s="406"/>
      <c r="BIP6" s="406"/>
      <c r="BIQ6" s="406"/>
      <c r="BIR6" s="406"/>
      <c r="BIS6" s="406"/>
      <c r="BIT6" s="406"/>
      <c r="BIU6" s="406"/>
      <c r="BIV6" s="406"/>
      <c r="BIW6" s="406"/>
      <c r="BIX6" s="406"/>
      <c r="BIY6" s="406"/>
      <c r="BIZ6" s="406"/>
      <c r="BJA6" s="406"/>
      <c r="BJB6" s="406"/>
      <c r="BJC6" s="406"/>
      <c r="BJD6" s="406"/>
      <c r="BJE6" s="406"/>
      <c r="BJF6" s="406"/>
      <c r="BJG6" s="406"/>
      <c r="BJH6" s="406"/>
      <c r="BJI6" s="406"/>
      <c r="BJJ6" s="406"/>
      <c r="BJK6" s="406"/>
      <c r="BJL6" s="406"/>
      <c r="BJM6" s="406"/>
      <c r="BJN6" s="406"/>
      <c r="BJO6" s="406"/>
      <c r="BJP6" s="406"/>
      <c r="BJQ6" s="406"/>
      <c r="BJR6" s="406"/>
      <c r="BJS6" s="406"/>
      <c r="BJT6" s="406"/>
      <c r="BJU6" s="406"/>
      <c r="BJV6" s="406"/>
      <c r="BJW6" s="406"/>
      <c r="BJX6" s="406"/>
      <c r="BJY6" s="406"/>
      <c r="BJZ6" s="406"/>
      <c r="BKA6" s="406"/>
      <c r="BKB6" s="406"/>
      <c r="BKC6" s="406"/>
      <c r="BKD6" s="406"/>
      <c r="BKE6" s="406"/>
      <c r="BKF6" s="406"/>
      <c r="BKG6" s="406"/>
      <c r="BKH6" s="406"/>
      <c r="BKI6" s="406"/>
      <c r="BKJ6" s="406"/>
      <c r="BKK6" s="406"/>
      <c r="BKL6" s="406"/>
      <c r="BKM6" s="406"/>
      <c r="BKN6" s="406"/>
      <c r="BKO6" s="406"/>
      <c r="BKP6" s="406"/>
      <c r="BKQ6" s="406"/>
      <c r="BKR6" s="406"/>
      <c r="BKS6" s="406"/>
      <c r="BKT6" s="406"/>
      <c r="BKU6" s="406"/>
      <c r="BKV6" s="406"/>
      <c r="BKW6" s="406"/>
      <c r="BKX6" s="406"/>
      <c r="BKY6" s="406"/>
      <c r="BKZ6" s="406"/>
      <c r="BLA6" s="406"/>
      <c r="BLB6" s="406"/>
      <c r="BLC6" s="406"/>
      <c r="BLD6" s="406"/>
      <c r="BLE6" s="406"/>
      <c r="BLF6" s="406"/>
      <c r="BLG6" s="406"/>
      <c r="BLH6" s="406"/>
      <c r="BLI6" s="406"/>
      <c r="BLJ6" s="406"/>
      <c r="BLK6" s="406"/>
      <c r="BLL6" s="406"/>
      <c r="BLM6" s="406"/>
      <c r="BLN6" s="406"/>
      <c r="BLO6" s="406"/>
      <c r="BLP6" s="406"/>
      <c r="BLQ6" s="406"/>
      <c r="BLR6" s="406"/>
      <c r="BLS6" s="406"/>
      <c r="BLT6" s="406"/>
      <c r="BLU6" s="406"/>
      <c r="BLV6" s="406"/>
      <c r="BLW6" s="406"/>
      <c r="BLX6" s="406"/>
      <c r="BLY6" s="406"/>
      <c r="BLZ6" s="406"/>
      <c r="BMA6" s="406"/>
      <c r="BMB6" s="406"/>
      <c r="BMC6" s="406"/>
      <c r="BMD6" s="406"/>
      <c r="BME6" s="406"/>
      <c r="BMF6" s="406"/>
      <c r="BMG6" s="406"/>
      <c r="BMH6" s="406"/>
      <c r="BMI6" s="406"/>
      <c r="BMJ6" s="406"/>
      <c r="BMK6" s="406"/>
      <c r="BML6" s="406"/>
      <c r="BMM6" s="406"/>
      <c r="BMN6" s="406"/>
      <c r="BMO6" s="406"/>
      <c r="BMP6" s="406"/>
      <c r="BMQ6" s="406"/>
      <c r="BMR6" s="406"/>
      <c r="BMS6" s="406"/>
      <c r="BMT6" s="406"/>
      <c r="BMU6" s="406"/>
      <c r="BMV6" s="406"/>
      <c r="BMW6" s="406"/>
      <c r="BMX6" s="406"/>
      <c r="BMY6" s="406"/>
      <c r="BMZ6" s="406"/>
      <c r="BNA6" s="406"/>
      <c r="BNB6" s="406"/>
      <c r="BNC6" s="406"/>
      <c r="BND6" s="406"/>
      <c r="BNE6" s="406"/>
      <c r="BNF6" s="406"/>
      <c r="BNG6" s="406"/>
      <c r="BNH6" s="406"/>
      <c r="BNI6" s="406"/>
      <c r="BNJ6" s="406"/>
      <c r="BNK6" s="406"/>
      <c r="BNL6" s="406"/>
      <c r="BNM6" s="406"/>
      <c r="BNN6" s="406"/>
      <c r="BNO6" s="406"/>
      <c r="BNP6" s="406"/>
      <c r="BNQ6" s="406"/>
      <c r="BNR6" s="406"/>
      <c r="BNS6" s="406"/>
      <c r="BNT6" s="406"/>
      <c r="BNU6" s="406"/>
      <c r="BNV6" s="406"/>
      <c r="BNW6" s="406"/>
      <c r="BNX6" s="406"/>
      <c r="BNY6" s="406"/>
      <c r="BNZ6" s="406"/>
      <c r="BOA6" s="406"/>
      <c r="BOB6" s="406"/>
      <c r="BOC6" s="406"/>
      <c r="BOD6" s="406"/>
      <c r="BOE6" s="406"/>
      <c r="BOF6" s="406"/>
      <c r="BOG6" s="406"/>
      <c r="BOH6" s="406"/>
      <c r="BOI6" s="406"/>
      <c r="BOJ6" s="406"/>
      <c r="BOK6" s="406"/>
      <c r="BOL6" s="406"/>
      <c r="BOM6" s="406"/>
      <c r="BON6" s="406"/>
      <c r="BOO6" s="406"/>
      <c r="BOP6" s="406"/>
      <c r="BOQ6" s="406"/>
      <c r="BOR6" s="406"/>
      <c r="BOS6" s="406"/>
      <c r="BOT6" s="406"/>
      <c r="BOU6" s="406"/>
      <c r="BOV6" s="406"/>
      <c r="BOW6" s="406"/>
      <c r="BOX6" s="406"/>
      <c r="BOY6" s="406"/>
      <c r="BOZ6" s="406"/>
      <c r="BPA6" s="406"/>
      <c r="BPB6" s="406"/>
      <c r="BPC6" s="406"/>
      <c r="BPD6" s="406"/>
      <c r="BPE6" s="406"/>
      <c r="BPF6" s="406"/>
      <c r="BPG6" s="406"/>
      <c r="BPH6" s="406"/>
      <c r="BPI6" s="406"/>
      <c r="BPJ6" s="406"/>
      <c r="BPK6" s="406"/>
      <c r="BPL6" s="406"/>
      <c r="BPM6" s="406"/>
      <c r="BPN6" s="406"/>
      <c r="BPO6" s="406"/>
      <c r="BPP6" s="406"/>
      <c r="BPQ6" s="406"/>
      <c r="BPR6" s="406"/>
      <c r="BPS6" s="406"/>
      <c r="BPT6" s="406"/>
      <c r="BPU6" s="406"/>
      <c r="BPV6" s="406"/>
      <c r="BPW6" s="406"/>
      <c r="BPX6" s="406"/>
      <c r="BPY6" s="406"/>
      <c r="BPZ6" s="406"/>
      <c r="BQA6" s="406"/>
      <c r="BQB6" s="406"/>
      <c r="BQC6" s="406"/>
      <c r="BQD6" s="406"/>
      <c r="BQE6" s="406"/>
      <c r="BQF6" s="406"/>
      <c r="BQG6" s="406"/>
      <c r="BQH6" s="406"/>
      <c r="BQI6" s="406"/>
      <c r="BQJ6" s="406"/>
      <c r="BQK6" s="406"/>
      <c r="BQL6" s="406"/>
      <c r="BQM6" s="406"/>
      <c r="BQN6" s="406"/>
      <c r="BQO6" s="406"/>
      <c r="BQP6" s="406"/>
      <c r="BQQ6" s="406"/>
      <c r="BQR6" s="406"/>
      <c r="BQS6" s="406"/>
      <c r="BQT6" s="406"/>
      <c r="BQU6" s="406"/>
      <c r="BQV6" s="406"/>
      <c r="BQW6" s="406"/>
      <c r="BQX6" s="406"/>
      <c r="BQY6" s="406"/>
      <c r="BQZ6" s="406"/>
      <c r="BRA6" s="406"/>
      <c r="BRB6" s="406"/>
      <c r="BRC6" s="406"/>
      <c r="BRD6" s="406"/>
      <c r="BRE6" s="406"/>
      <c r="BRF6" s="406"/>
      <c r="BRG6" s="406"/>
      <c r="BRH6" s="406"/>
      <c r="BRI6" s="406"/>
      <c r="BRJ6" s="406"/>
      <c r="BRK6" s="406"/>
      <c r="BRL6" s="406"/>
      <c r="BRM6" s="406"/>
      <c r="BRN6" s="406"/>
      <c r="BRO6" s="406"/>
      <c r="BRP6" s="406"/>
      <c r="BRQ6" s="406"/>
      <c r="BRR6" s="406"/>
      <c r="BRS6" s="406"/>
      <c r="BRT6" s="406"/>
      <c r="BRU6" s="406"/>
      <c r="BRV6" s="406"/>
      <c r="BRW6" s="406"/>
      <c r="BRX6" s="406"/>
      <c r="BRY6" s="406"/>
      <c r="BRZ6" s="406"/>
      <c r="BSA6" s="406"/>
      <c r="BSB6" s="406"/>
      <c r="BSC6" s="406"/>
      <c r="BSD6" s="406"/>
      <c r="BSE6" s="406"/>
      <c r="BSF6" s="406"/>
      <c r="BSG6" s="406"/>
      <c r="BSH6" s="406"/>
      <c r="BSI6" s="406"/>
      <c r="BSJ6" s="406"/>
      <c r="BSK6" s="406"/>
      <c r="BSL6" s="406"/>
      <c r="BSM6" s="406"/>
      <c r="BSN6" s="406"/>
      <c r="BSO6" s="406"/>
      <c r="BSP6" s="406"/>
      <c r="BSQ6" s="406"/>
      <c r="BSR6" s="406"/>
      <c r="BSS6" s="406"/>
      <c r="BST6" s="406"/>
      <c r="BSU6" s="406"/>
      <c r="BSV6" s="406"/>
      <c r="BSW6" s="406"/>
      <c r="BSX6" s="406"/>
      <c r="BSY6" s="406"/>
      <c r="BSZ6" s="406"/>
      <c r="BTA6" s="406"/>
      <c r="BTB6" s="406"/>
      <c r="BTC6" s="406"/>
      <c r="BTD6" s="406"/>
      <c r="BTE6" s="406"/>
      <c r="BTF6" s="406"/>
      <c r="BTG6" s="406"/>
      <c r="BTH6" s="406"/>
      <c r="BTI6" s="406"/>
      <c r="BTJ6" s="406"/>
      <c r="BTK6" s="406"/>
      <c r="BTL6" s="406"/>
      <c r="BTM6" s="406"/>
      <c r="BTN6" s="406"/>
      <c r="BTO6" s="406"/>
      <c r="BTP6" s="406"/>
      <c r="BTQ6" s="406"/>
      <c r="BTR6" s="406"/>
      <c r="BTS6" s="406"/>
      <c r="BTT6" s="406"/>
      <c r="BTU6" s="406"/>
      <c r="BTV6" s="406"/>
      <c r="BTW6" s="406"/>
      <c r="BTX6" s="406"/>
      <c r="BTY6" s="406"/>
      <c r="BTZ6" s="406"/>
      <c r="BUA6" s="406"/>
      <c r="BUB6" s="406"/>
      <c r="BUC6" s="406"/>
      <c r="BUD6" s="406"/>
      <c r="BUE6" s="406"/>
      <c r="BUF6" s="406"/>
      <c r="BUG6" s="406"/>
      <c r="BUH6" s="406"/>
      <c r="BUI6" s="406"/>
      <c r="BUJ6" s="406"/>
      <c r="BUK6" s="406"/>
      <c r="BUL6" s="406"/>
      <c r="BUM6" s="406"/>
      <c r="BUN6" s="406"/>
      <c r="BUO6" s="406"/>
      <c r="BUP6" s="406"/>
      <c r="BUQ6" s="406"/>
      <c r="BUR6" s="406"/>
      <c r="BUS6" s="406"/>
      <c r="BUT6" s="406"/>
      <c r="BUU6" s="406"/>
      <c r="BUV6" s="406"/>
      <c r="BUW6" s="406"/>
      <c r="BUX6" s="406"/>
      <c r="BUY6" s="406"/>
      <c r="BUZ6" s="406"/>
      <c r="BVA6" s="406"/>
      <c r="BVB6" s="406"/>
      <c r="BVC6" s="406"/>
      <c r="BVD6" s="406"/>
      <c r="BVE6" s="406"/>
      <c r="BVF6" s="406"/>
      <c r="BVG6" s="406"/>
      <c r="BVH6" s="406"/>
      <c r="BVI6" s="406"/>
      <c r="BVJ6" s="406"/>
      <c r="BVK6" s="406"/>
      <c r="BVL6" s="406"/>
      <c r="BVM6" s="406"/>
      <c r="BVN6" s="406"/>
      <c r="BVO6" s="406"/>
      <c r="BVP6" s="406"/>
      <c r="BVQ6" s="406"/>
      <c r="BVR6" s="406"/>
      <c r="BVS6" s="406"/>
      <c r="BVT6" s="406"/>
      <c r="BVU6" s="406"/>
      <c r="BVV6" s="406"/>
      <c r="BVW6" s="406"/>
      <c r="BVX6" s="406"/>
      <c r="BVY6" s="406"/>
      <c r="BVZ6" s="406"/>
      <c r="BWA6" s="406"/>
      <c r="BWB6" s="406"/>
      <c r="BWC6" s="406"/>
      <c r="BWD6" s="406"/>
      <c r="BWE6" s="406"/>
      <c r="BWF6" s="406"/>
      <c r="BWG6" s="406"/>
      <c r="BWH6" s="406"/>
      <c r="BWI6" s="406"/>
      <c r="BWJ6" s="406"/>
      <c r="BWK6" s="406"/>
      <c r="BWL6" s="406"/>
      <c r="BWM6" s="406"/>
      <c r="BWN6" s="406"/>
      <c r="BWO6" s="406"/>
      <c r="BWP6" s="406"/>
      <c r="BWQ6" s="406"/>
      <c r="BWR6" s="406"/>
      <c r="BWS6" s="406"/>
      <c r="BWT6" s="406"/>
      <c r="BWU6" s="406"/>
      <c r="BWV6" s="406"/>
      <c r="BWW6" s="406"/>
      <c r="BWX6" s="406"/>
      <c r="BWY6" s="406"/>
      <c r="BWZ6" s="406"/>
      <c r="BXA6" s="406"/>
      <c r="BXB6" s="406"/>
      <c r="BXC6" s="406"/>
      <c r="BXD6" s="406"/>
      <c r="BXE6" s="406"/>
      <c r="BXF6" s="406"/>
      <c r="BXG6" s="406"/>
      <c r="BXH6" s="406"/>
      <c r="BXI6" s="406"/>
      <c r="BXJ6" s="406"/>
      <c r="BXK6" s="406"/>
      <c r="BXL6" s="406"/>
      <c r="BXM6" s="406"/>
      <c r="BXN6" s="406"/>
      <c r="BXO6" s="406"/>
      <c r="BXP6" s="406"/>
      <c r="BXQ6" s="406"/>
      <c r="BXR6" s="406"/>
      <c r="BXS6" s="406"/>
      <c r="BXT6" s="406"/>
      <c r="BXU6" s="406"/>
      <c r="BXV6" s="406"/>
      <c r="BXW6" s="406"/>
      <c r="BXX6" s="406"/>
      <c r="BXY6" s="406"/>
      <c r="BXZ6" s="406"/>
      <c r="BYA6" s="406"/>
      <c r="BYB6" s="406"/>
      <c r="BYC6" s="406"/>
      <c r="BYD6" s="406"/>
      <c r="BYE6" s="406"/>
      <c r="BYF6" s="406"/>
      <c r="BYG6" s="406"/>
      <c r="BYH6" s="406"/>
      <c r="BYI6" s="406"/>
      <c r="BYJ6" s="406"/>
      <c r="BYK6" s="406"/>
      <c r="BYL6" s="406"/>
      <c r="BYM6" s="406"/>
      <c r="BYN6" s="406"/>
      <c r="BYO6" s="406"/>
      <c r="BYP6" s="406"/>
      <c r="BYQ6" s="406"/>
      <c r="BYR6" s="406"/>
      <c r="BYS6" s="406"/>
      <c r="BYT6" s="406"/>
      <c r="BYU6" s="406"/>
      <c r="BYV6" s="406"/>
      <c r="BYW6" s="406"/>
      <c r="BYX6" s="406"/>
      <c r="BYY6" s="406"/>
      <c r="BYZ6" s="406"/>
      <c r="BZA6" s="406"/>
      <c r="BZB6" s="406"/>
      <c r="BZC6" s="406"/>
      <c r="BZD6" s="406"/>
      <c r="BZE6" s="406"/>
      <c r="BZF6" s="406"/>
      <c r="BZG6" s="406"/>
      <c r="BZH6" s="406"/>
      <c r="BZI6" s="406"/>
      <c r="BZJ6" s="406"/>
      <c r="BZK6" s="406"/>
      <c r="BZL6" s="406"/>
      <c r="BZM6" s="406"/>
      <c r="BZN6" s="406"/>
      <c r="BZO6" s="406"/>
      <c r="BZP6" s="406"/>
      <c r="BZQ6" s="406"/>
      <c r="BZR6" s="406"/>
      <c r="BZS6" s="406"/>
      <c r="BZT6" s="406"/>
      <c r="BZU6" s="406"/>
      <c r="BZV6" s="406"/>
      <c r="BZW6" s="406"/>
      <c r="BZX6" s="406"/>
      <c r="BZY6" s="406"/>
      <c r="BZZ6" s="406"/>
      <c r="CAA6" s="406"/>
      <c r="CAB6" s="406"/>
      <c r="CAC6" s="406"/>
      <c r="CAD6" s="406"/>
      <c r="CAE6" s="406"/>
      <c r="CAF6" s="406"/>
      <c r="CAG6" s="406"/>
      <c r="CAH6" s="406"/>
      <c r="CAI6" s="406"/>
      <c r="CAJ6" s="406"/>
      <c r="CAK6" s="406"/>
      <c r="CAL6" s="406"/>
      <c r="CAM6" s="406"/>
      <c r="CAN6" s="406"/>
      <c r="CAO6" s="406"/>
      <c r="CAP6" s="406"/>
      <c r="CAQ6" s="406"/>
      <c r="CAR6" s="406"/>
      <c r="CAS6" s="406"/>
      <c r="CAT6" s="406"/>
      <c r="CAU6" s="406"/>
      <c r="CAV6" s="406"/>
      <c r="CAW6" s="406"/>
      <c r="CAX6" s="406"/>
      <c r="CAY6" s="406"/>
      <c r="CAZ6" s="406"/>
      <c r="CBA6" s="406"/>
      <c r="CBB6" s="406"/>
      <c r="CBC6" s="406"/>
      <c r="CBD6" s="406"/>
      <c r="CBE6" s="406"/>
      <c r="CBF6" s="406"/>
      <c r="CBG6" s="406"/>
      <c r="CBH6" s="406"/>
      <c r="CBI6" s="406"/>
      <c r="CBJ6" s="406"/>
      <c r="CBK6" s="406"/>
      <c r="CBL6" s="406"/>
      <c r="CBM6" s="406"/>
      <c r="CBN6" s="406"/>
      <c r="CBO6" s="406"/>
      <c r="CBP6" s="406"/>
      <c r="CBQ6" s="406"/>
      <c r="CBR6" s="406"/>
      <c r="CBS6" s="406"/>
      <c r="CBT6" s="406"/>
      <c r="CBU6" s="406"/>
      <c r="CBV6" s="406"/>
      <c r="CBW6" s="406"/>
      <c r="CBX6" s="406"/>
      <c r="CBY6" s="406"/>
      <c r="CBZ6" s="406"/>
      <c r="CCA6" s="406"/>
      <c r="CCB6" s="406"/>
      <c r="CCC6" s="406"/>
      <c r="CCD6" s="406"/>
      <c r="CCE6" s="406"/>
      <c r="CCF6" s="406"/>
      <c r="CCG6" s="406"/>
      <c r="CCH6" s="406"/>
      <c r="CCI6" s="406"/>
      <c r="CCJ6" s="406"/>
      <c r="CCK6" s="406"/>
      <c r="CCL6" s="406"/>
      <c r="CCM6" s="406"/>
      <c r="CCN6" s="406"/>
      <c r="CCO6" s="406"/>
      <c r="CCP6" s="406"/>
      <c r="CCQ6" s="406"/>
      <c r="CCR6" s="406"/>
      <c r="CCS6" s="406"/>
      <c r="CCT6" s="406"/>
      <c r="CCU6" s="406"/>
      <c r="CCV6" s="406"/>
      <c r="CCW6" s="406"/>
      <c r="CCX6" s="406"/>
      <c r="CCY6" s="406"/>
      <c r="CCZ6" s="406"/>
      <c r="CDA6" s="406"/>
      <c r="CDB6" s="406"/>
      <c r="CDC6" s="406"/>
      <c r="CDD6" s="406"/>
      <c r="CDE6" s="406"/>
      <c r="CDF6" s="406"/>
      <c r="CDG6" s="406"/>
      <c r="CDH6" s="406"/>
      <c r="CDI6" s="406"/>
      <c r="CDJ6" s="406"/>
      <c r="CDK6" s="406"/>
      <c r="CDL6" s="406"/>
      <c r="CDM6" s="406"/>
      <c r="CDN6" s="406"/>
      <c r="CDO6" s="406"/>
      <c r="CDP6" s="406"/>
      <c r="CDQ6" s="406"/>
      <c r="CDR6" s="406"/>
      <c r="CDS6" s="406"/>
      <c r="CDT6" s="406"/>
      <c r="CDU6" s="406"/>
      <c r="CDV6" s="406"/>
      <c r="CDW6" s="406"/>
      <c r="CDX6" s="406"/>
      <c r="CDY6" s="406"/>
      <c r="CDZ6" s="406"/>
      <c r="CEA6" s="406"/>
      <c r="CEB6" s="406"/>
      <c r="CEC6" s="406"/>
      <c r="CED6" s="406"/>
      <c r="CEE6" s="406"/>
      <c r="CEF6" s="406"/>
      <c r="CEG6" s="406"/>
      <c r="CEH6" s="406"/>
      <c r="CEI6" s="406"/>
      <c r="CEJ6" s="406"/>
      <c r="CEK6" s="406"/>
      <c r="CEL6" s="406"/>
      <c r="CEM6" s="406"/>
      <c r="CEN6" s="406"/>
      <c r="CEO6" s="406"/>
      <c r="CEP6" s="406"/>
      <c r="CEQ6" s="406"/>
      <c r="CER6" s="406"/>
      <c r="CES6" s="406"/>
      <c r="CET6" s="406"/>
      <c r="CEU6" s="406"/>
      <c r="CEV6" s="406"/>
      <c r="CEW6" s="406"/>
      <c r="CEX6" s="406"/>
      <c r="CEY6" s="406"/>
      <c r="CEZ6" s="406"/>
      <c r="CFA6" s="406"/>
      <c r="CFB6" s="406"/>
      <c r="CFC6" s="406"/>
      <c r="CFD6" s="406"/>
      <c r="CFE6" s="406"/>
      <c r="CFF6" s="406"/>
      <c r="CFG6" s="406"/>
      <c r="CFH6" s="406"/>
      <c r="CFI6" s="406"/>
      <c r="CFJ6" s="406"/>
      <c r="CFK6" s="406"/>
      <c r="CFL6" s="406"/>
      <c r="CFM6" s="406"/>
      <c r="CFN6" s="406"/>
      <c r="CFO6" s="406"/>
      <c r="CFP6" s="406"/>
      <c r="CFQ6" s="406"/>
      <c r="CFR6" s="406"/>
      <c r="CFS6" s="406"/>
      <c r="CFT6" s="406"/>
      <c r="CFU6" s="406"/>
      <c r="CFV6" s="406"/>
      <c r="CFW6" s="406"/>
      <c r="CFX6" s="406"/>
      <c r="CFY6" s="406"/>
      <c r="CFZ6" s="406"/>
      <c r="CGA6" s="406"/>
      <c r="CGB6" s="406"/>
      <c r="CGC6" s="406"/>
      <c r="CGD6" s="406"/>
      <c r="CGE6" s="406"/>
      <c r="CGF6" s="406"/>
      <c r="CGG6" s="406"/>
      <c r="CGH6" s="406"/>
      <c r="CGI6" s="406"/>
      <c r="CGJ6" s="406"/>
      <c r="CGK6" s="406"/>
      <c r="CGL6" s="406"/>
      <c r="CGM6" s="406"/>
      <c r="CGN6" s="406"/>
      <c r="CGO6" s="406"/>
      <c r="CGP6" s="406"/>
      <c r="CGQ6" s="406"/>
      <c r="CGR6" s="406"/>
      <c r="CGS6" s="406"/>
      <c r="CGT6" s="406"/>
      <c r="CGU6" s="406"/>
      <c r="CGV6" s="406"/>
      <c r="CGW6" s="406"/>
      <c r="CGX6" s="406"/>
      <c r="CGY6" s="406"/>
      <c r="CGZ6" s="406"/>
      <c r="CHA6" s="406"/>
      <c r="CHB6" s="406"/>
      <c r="CHC6" s="406"/>
      <c r="CHD6" s="406"/>
      <c r="CHE6" s="406"/>
      <c r="CHF6" s="406"/>
      <c r="CHG6" s="406"/>
      <c r="CHH6" s="406"/>
      <c r="CHI6" s="406"/>
      <c r="CHJ6" s="406"/>
      <c r="CHK6" s="406"/>
      <c r="CHL6" s="406"/>
      <c r="CHM6" s="406"/>
      <c r="CHN6" s="406"/>
      <c r="CHO6" s="406"/>
      <c r="CHP6" s="406"/>
      <c r="CHQ6" s="406"/>
      <c r="CHR6" s="406"/>
      <c r="CHS6" s="406"/>
      <c r="CHT6" s="406"/>
      <c r="CHU6" s="406"/>
      <c r="CHV6" s="406"/>
      <c r="CHW6" s="406"/>
      <c r="CHX6" s="406"/>
      <c r="CHY6" s="406"/>
      <c r="CHZ6" s="406"/>
      <c r="CIA6" s="406"/>
      <c r="CIB6" s="406"/>
      <c r="CIC6" s="406"/>
      <c r="CID6" s="406"/>
      <c r="CIE6" s="406"/>
      <c r="CIF6" s="406"/>
      <c r="CIG6" s="406"/>
      <c r="CIH6" s="406"/>
      <c r="CII6" s="406"/>
      <c r="CIJ6" s="406"/>
      <c r="CIK6" s="406"/>
      <c r="CIL6" s="406"/>
      <c r="CIM6" s="406"/>
      <c r="CIN6" s="406"/>
      <c r="CIO6" s="406"/>
      <c r="CIP6" s="406"/>
      <c r="CIQ6" s="406"/>
      <c r="CIR6" s="406"/>
      <c r="CIS6" s="406"/>
      <c r="CIT6" s="406"/>
      <c r="CIU6" s="406"/>
      <c r="CIV6" s="406"/>
      <c r="CIW6" s="406"/>
      <c r="CIX6" s="406"/>
      <c r="CIY6" s="406"/>
      <c r="CIZ6" s="406"/>
      <c r="CJA6" s="406"/>
      <c r="CJB6" s="406"/>
      <c r="CJC6" s="406"/>
      <c r="CJD6" s="406"/>
      <c r="CJE6" s="406"/>
      <c r="CJF6" s="406"/>
      <c r="CJG6" s="406"/>
      <c r="CJH6" s="406"/>
      <c r="CJI6" s="406"/>
      <c r="CJJ6" s="406"/>
      <c r="CJK6" s="406"/>
      <c r="CJL6" s="406"/>
      <c r="CJM6" s="406"/>
      <c r="CJN6" s="406"/>
      <c r="CJO6" s="406"/>
      <c r="CJP6" s="406"/>
      <c r="CJQ6" s="406"/>
      <c r="CJR6" s="406"/>
      <c r="CJS6" s="406"/>
      <c r="CJT6" s="406"/>
      <c r="CJU6" s="406"/>
      <c r="CJV6" s="406"/>
      <c r="CJW6" s="406"/>
      <c r="CJX6" s="406"/>
      <c r="CJY6" s="406"/>
      <c r="CJZ6" s="406"/>
      <c r="CKA6" s="406"/>
      <c r="CKB6" s="406"/>
      <c r="CKC6" s="406"/>
      <c r="CKD6" s="406"/>
      <c r="CKE6" s="406"/>
      <c r="CKF6" s="406"/>
      <c r="CKG6" s="406"/>
      <c r="CKH6" s="406"/>
      <c r="CKI6" s="406"/>
      <c r="CKJ6" s="406"/>
      <c r="CKK6" s="406"/>
      <c r="CKL6" s="406"/>
      <c r="CKM6" s="406"/>
      <c r="CKN6" s="406"/>
      <c r="CKO6" s="406"/>
      <c r="CKP6" s="406"/>
      <c r="CKQ6" s="406"/>
      <c r="CKR6" s="406"/>
      <c r="CKS6" s="406"/>
      <c r="CKT6" s="406"/>
      <c r="CKU6" s="406"/>
      <c r="CKV6" s="406"/>
      <c r="CKW6" s="406"/>
      <c r="CKX6" s="406"/>
      <c r="CKY6" s="406"/>
      <c r="CKZ6" s="406"/>
      <c r="CLA6" s="406"/>
      <c r="CLB6" s="406"/>
      <c r="CLC6" s="406"/>
      <c r="CLD6" s="406"/>
      <c r="CLE6" s="406"/>
      <c r="CLF6" s="406"/>
      <c r="CLG6" s="406"/>
      <c r="CLH6" s="406"/>
      <c r="CLI6" s="406"/>
      <c r="CLJ6" s="406"/>
      <c r="CLK6" s="406"/>
      <c r="CLL6" s="406"/>
      <c r="CLM6" s="406"/>
      <c r="CLN6" s="406"/>
      <c r="CLO6" s="406"/>
      <c r="CLP6" s="406"/>
      <c r="CLQ6" s="406"/>
      <c r="CLR6" s="406"/>
      <c r="CLS6" s="406"/>
      <c r="CLT6" s="406"/>
      <c r="CLU6" s="406"/>
      <c r="CLV6" s="406"/>
      <c r="CLW6" s="406"/>
      <c r="CLX6" s="406"/>
      <c r="CLY6" s="406"/>
      <c r="CLZ6" s="406"/>
      <c r="CMA6" s="406"/>
      <c r="CMB6" s="406"/>
      <c r="CMC6" s="406"/>
      <c r="CMD6" s="406"/>
      <c r="CME6" s="406"/>
      <c r="CMF6" s="406"/>
      <c r="CMG6" s="406"/>
      <c r="CMH6" s="406"/>
      <c r="CMI6" s="406"/>
      <c r="CMJ6" s="406"/>
      <c r="CMK6" s="406"/>
      <c r="CML6" s="406"/>
      <c r="CMM6" s="406"/>
      <c r="CMN6" s="406"/>
      <c r="CMO6" s="406"/>
      <c r="CMP6" s="406"/>
      <c r="CMQ6" s="406"/>
      <c r="CMR6" s="406"/>
      <c r="CMS6" s="406"/>
      <c r="CMT6" s="406"/>
      <c r="CMU6" s="406"/>
      <c r="CMV6" s="406"/>
      <c r="CMW6" s="406"/>
      <c r="CMX6" s="406"/>
      <c r="CMY6" s="406"/>
      <c r="CMZ6" s="406"/>
      <c r="CNA6" s="406"/>
      <c r="CNB6" s="406"/>
      <c r="CNC6" s="406"/>
      <c r="CND6" s="406"/>
      <c r="CNE6" s="406"/>
      <c r="CNF6" s="406"/>
      <c r="CNG6" s="406"/>
      <c r="CNH6" s="406"/>
      <c r="CNI6" s="406"/>
      <c r="CNJ6" s="406"/>
      <c r="CNK6" s="406"/>
      <c r="CNL6" s="406"/>
      <c r="CNM6" s="406"/>
      <c r="CNN6" s="406"/>
      <c r="CNO6" s="406"/>
      <c r="CNP6" s="406"/>
      <c r="CNQ6" s="406"/>
      <c r="CNR6" s="406"/>
      <c r="CNS6" s="406"/>
      <c r="CNT6" s="406"/>
      <c r="CNU6" s="406"/>
      <c r="CNV6" s="406"/>
      <c r="CNW6" s="406"/>
      <c r="CNX6" s="406"/>
      <c r="CNY6" s="406"/>
      <c r="CNZ6" s="406"/>
      <c r="COA6" s="406"/>
      <c r="COB6" s="406"/>
      <c r="COC6" s="406"/>
      <c r="COD6" s="406"/>
      <c r="COE6" s="406"/>
      <c r="COF6" s="406"/>
      <c r="COG6" s="406"/>
      <c r="COH6" s="406"/>
      <c r="COI6" s="406"/>
      <c r="COJ6" s="406"/>
      <c r="COK6" s="406"/>
      <c r="COL6" s="406"/>
      <c r="COM6" s="406"/>
      <c r="CON6" s="406"/>
      <c r="COO6" s="406"/>
      <c r="COP6" s="406"/>
      <c r="COQ6" s="406"/>
      <c r="COR6" s="406"/>
      <c r="COS6" s="406"/>
      <c r="COT6" s="406"/>
      <c r="COU6" s="406"/>
      <c r="COV6" s="406"/>
      <c r="COW6" s="406"/>
      <c r="COX6" s="406"/>
      <c r="COY6" s="406"/>
      <c r="COZ6" s="406"/>
      <c r="CPA6" s="406"/>
      <c r="CPB6" s="406"/>
      <c r="CPC6" s="406"/>
      <c r="CPD6" s="406"/>
      <c r="CPE6" s="406"/>
      <c r="CPF6" s="406"/>
      <c r="CPG6" s="406"/>
      <c r="CPH6" s="406"/>
      <c r="CPI6" s="406"/>
      <c r="CPJ6" s="406"/>
      <c r="CPK6" s="406"/>
      <c r="CPL6" s="406"/>
      <c r="CPM6" s="406"/>
      <c r="CPN6" s="406"/>
      <c r="CPO6" s="406"/>
      <c r="CPP6" s="406"/>
      <c r="CPQ6" s="406"/>
      <c r="CPR6" s="406"/>
      <c r="CPS6" s="406"/>
      <c r="CPT6" s="406"/>
      <c r="CPU6" s="406"/>
      <c r="CPV6" s="406"/>
      <c r="CPW6" s="406"/>
      <c r="CPX6" s="406"/>
      <c r="CPY6" s="406"/>
      <c r="CPZ6" s="406"/>
      <c r="CQA6" s="406"/>
      <c r="CQB6" s="406"/>
      <c r="CQC6" s="406"/>
      <c r="CQD6" s="406"/>
      <c r="CQE6" s="406"/>
      <c r="CQF6" s="406"/>
      <c r="CQG6" s="406"/>
      <c r="CQH6" s="406"/>
      <c r="CQI6" s="406"/>
      <c r="CQJ6" s="406"/>
      <c r="CQK6" s="406"/>
      <c r="CQL6" s="406"/>
      <c r="CQM6" s="406"/>
      <c r="CQN6" s="406"/>
      <c r="CQO6" s="406"/>
      <c r="CQP6" s="406"/>
      <c r="CQQ6" s="406"/>
      <c r="CQR6" s="406"/>
      <c r="CQS6" s="406"/>
      <c r="CQT6" s="406"/>
      <c r="CQU6" s="406"/>
      <c r="CQV6" s="406"/>
      <c r="CQW6" s="406"/>
      <c r="CQX6" s="406"/>
      <c r="CQY6" s="406"/>
      <c r="CQZ6" s="406"/>
      <c r="CRA6" s="406"/>
      <c r="CRB6" s="406"/>
      <c r="CRC6" s="406"/>
      <c r="CRD6" s="406"/>
      <c r="CRE6" s="406"/>
      <c r="CRF6" s="406"/>
      <c r="CRG6" s="406"/>
      <c r="CRH6" s="406"/>
      <c r="CRI6" s="406"/>
      <c r="CRJ6" s="406"/>
      <c r="CRK6" s="406"/>
      <c r="CRL6" s="406"/>
      <c r="CRM6" s="406"/>
      <c r="CRN6" s="406"/>
      <c r="CRO6" s="406"/>
      <c r="CRP6" s="406"/>
      <c r="CRQ6" s="406"/>
      <c r="CRR6" s="406"/>
      <c r="CRS6" s="406"/>
      <c r="CRT6" s="406"/>
      <c r="CRU6" s="406"/>
      <c r="CRV6" s="406"/>
      <c r="CRW6" s="406"/>
      <c r="CRX6" s="406"/>
      <c r="CRY6" s="406"/>
      <c r="CRZ6" s="406"/>
      <c r="CSA6" s="406"/>
      <c r="CSB6" s="406"/>
      <c r="CSC6" s="406"/>
      <c r="CSD6" s="406"/>
      <c r="CSE6" s="406"/>
      <c r="CSF6" s="406"/>
      <c r="CSG6" s="406"/>
      <c r="CSH6" s="406"/>
      <c r="CSI6" s="406"/>
      <c r="CSJ6" s="406"/>
      <c r="CSK6" s="406"/>
      <c r="CSL6" s="406"/>
      <c r="CSM6" s="406"/>
      <c r="CSN6" s="406"/>
      <c r="CSO6" s="406"/>
      <c r="CSP6" s="406"/>
      <c r="CSQ6" s="406"/>
      <c r="CSR6" s="406"/>
      <c r="CSS6" s="406"/>
      <c r="CST6" s="406"/>
      <c r="CSU6" s="406"/>
      <c r="CSV6" s="406"/>
      <c r="CSW6" s="406"/>
      <c r="CSX6" s="406"/>
      <c r="CSY6" s="406"/>
      <c r="CSZ6" s="406"/>
      <c r="CTA6" s="406"/>
      <c r="CTB6" s="406"/>
      <c r="CTC6" s="406"/>
      <c r="CTD6" s="406"/>
      <c r="CTE6" s="406"/>
      <c r="CTF6" s="406"/>
      <c r="CTG6" s="406"/>
      <c r="CTH6" s="406"/>
      <c r="CTI6" s="406"/>
      <c r="CTJ6" s="406"/>
      <c r="CTK6" s="406"/>
      <c r="CTL6" s="406"/>
      <c r="CTM6" s="406"/>
      <c r="CTN6" s="406"/>
      <c r="CTO6" s="406"/>
      <c r="CTP6" s="406"/>
      <c r="CTQ6" s="406"/>
      <c r="CTR6" s="406"/>
      <c r="CTS6" s="406"/>
      <c r="CTT6" s="406"/>
      <c r="CTU6" s="406"/>
      <c r="CTV6" s="406"/>
      <c r="CTW6" s="406"/>
      <c r="CTX6" s="406"/>
      <c r="CTY6" s="406"/>
      <c r="CTZ6" s="406"/>
      <c r="CUA6" s="406"/>
      <c r="CUB6" s="406"/>
      <c r="CUC6" s="406"/>
      <c r="CUD6" s="406"/>
      <c r="CUE6" s="406"/>
      <c r="CUF6" s="406"/>
      <c r="CUG6" s="406"/>
      <c r="CUH6" s="406"/>
      <c r="CUI6" s="406"/>
      <c r="CUJ6" s="406"/>
      <c r="CUK6" s="406"/>
      <c r="CUL6" s="406"/>
      <c r="CUM6" s="406"/>
      <c r="CUN6" s="406"/>
      <c r="CUO6" s="406"/>
      <c r="CUP6" s="406"/>
      <c r="CUQ6" s="406"/>
      <c r="CUR6" s="406"/>
      <c r="CUS6" s="406"/>
      <c r="CUT6" s="406"/>
      <c r="CUU6" s="406"/>
      <c r="CUV6" s="406"/>
      <c r="CUW6" s="406"/>
      <c r="CUX6" s="406"/>
      <c r="CUY6" s="406"/>
      <c r="CUZ6" s="406"/>
      <c r="CVA6" s="406"/>
      <c r="CVB6" s="406"/>
      <c r="CVC6" s="406"/>
      <c r="CVD6" s="406"/>
      <c r="CVE6" s="406"/>
      <c r="CVF6" s="406"/>
      <c r="CVG6" s="406"/>
      <c r="CVH6" s="406"/>
      <c r="CVI6" s="406"/>
      <c r="CVJ6" s="406"/>
      <c r="CVK6" s="406"/>
      <c r="CVL6" s="406"/>
      <c r="CVM6" s="406"/>
      <c r="CVN6" s="406"/>
      <c r="CVO6" s="406"/>
      <c r="CVP6" s="406"/>
      <c r="CVQ6" s="406"/>
      <c r="CVR6" s="406"/>
      <c r="CVS6" s="406"/>
      <c r="CVT6" s="406"/>
      <c r="CVU6" s="406"/>
      <c r="CVV6" s="406"/>
      <c r="CVW6" s="406"/>
      <c r="CVX6" s="406"/>
      <c r="CVY6" s="406"/>
      <c r="CVZ6" s="406"/>
      <c r="CWA6" s="406"/>
      <c r="CWB6" s="406"/>
      <c r="CWC6" s="406"/>
      <c r="CWD6" s="406"/>
      <c r="CWE6" s="406"/>
      <c r="CWF6" s="406"/>
      <c r="CWG6" s="406"/>
      <c r="CWH6" s="406"/>
      <c r="CWI6" s="406"/>
      <c r="CWJ6" s="406"/>
      <c r="CWK6" s="406"/>
      <c r="CWL6" s="406"/>
      <c r="CWM6" s="406"/>
      <c r="CWN6" s="406"/>
      <c r="CWO6" s="406"/>
      <c r="CWP6" s="406"/>
      <c r="CWQ6" s="406"/>
      <c r="CWR6" s="406"/>
      <c r="CWS6" s="406"/>
      <c r="CWT6" s="406"/>
      <c r="CWU6" s="406"/>
      <c r="CWV6" s="406"/>
      <c r="CWW6" s="406"/>
      <c r="CWX6" s="406"/>
      <c r="CWY6" s="406"/>
      <c r="CWZ6" s="406"/>
      <c r="CXA6" s="406"/>
      <c r="CXB6" s="406"/>
      <c r="CXC6" s="406"/>
      <c r="CXD6" s="406"/>
      <c r="CXE6" s="406"/>
      <c r="CXF6" s="406"/>
      <c r="CXG6" s="406"/>
      <c r="CXH6" s="406"/>
      <c r="CXI6" s="406"/>
      <c r="CXJ6" s="406"/>
      <c r="CXK6" s="406"/>
      <c r="CXL6" s="406"/>
      <c r="CXM6" s="406"/>
      <c r="CXN6" s="406"/>
      <c r="CXO6" s="406"/>
      <c r="CXP6" s="406"/>
      <c r="CXQ6" s="406"/>
      <c r="CXR6" s="406"/>
      <c r="CXS6" s="406"/>
      <c r="CXT6" s="406"/>
      <c r="CXU6" s="406"/>
      <c r="CXV6" s="406"/>
      <c r="CXW6" s="406"/>
      <c r="CXX6" s="406"/>
      <c r="CXY6" s="406"/>
      <c r="CXZ6" s="406"/>
      <c r="CYA6" s="406"/>
      <c r="CYB6" s="406"/>
      <c r="CYC6" s="406"/>
      <c r="CYD6" s="406"/>
      <c r="CYE6" s="406"/>
      <c r="CYF6" s="406"/>
      <c r="CYG6" s="406"/>
      <c r="CYH6" s="406"/>
      <c r="CYI6" s="406"/>
      <c r="CYJ6" s="406"/>
      <c r="CYK6" s="406"/>
      <c r="CYL6" s="406"/>
      <c r="CYM6" s="406"/>
      <c r="CYN6" s="406"/>
      <c r="CYO6" s="406"/>
      <c r="CYP6" s="406"/>
      <c r="CYQ6" s="406"/>
      <c r="CYR6" s="406"/>
      <c r="CYS6" s="406"/>
      <c r="CYT6" s="406"/>
      <c r="CYU6" s="406"/>
      <c r="CYV6" s="406"/>
      <c r="CYW6" s="406"/>
      <c r="CYX6" s="406"/>
      <c r="CYY6" s="406"/>
      <c r="CYZ6" s="406"/>
      <c r="CZA6" s="406"/>
      <c r="CZB6" s="406"/>
      <c r="CZC6" s="406"/>
      <c r="CZD6" s="406"/>
      <c r="CZE6" s="406"/>
      <c r="CZF6" s="406"/>
      <c r="CZG6" s="406"/>
      <c r="CZH6" s="406"/>
      <c r="CZI6" s="406"/>
      <c r="CZJ6" s="406"/>
      <c r="CZK6" s="406"/>
      <c r="CZL6" s="406"/>
      <c r="CZM6" s="406"/>
      <c r="CZN6" s="406"/>
      <c r="CZO6" s="406"/>
      <c r="CZP6" s="406"/>
      <c r="CZQ6" s="406"/>
      <c r="CZR6" s="406"/>
      <c r="CZS6" s="406"/>
      <c r="CZT6" s="406"/>
      <c r="CZU6" s="406"/>
      <c r="CZV6" s="406"/>
      <c r="CZW6" s="406"/>
      <c r="CZX6" s="406"/>
      <c r="CZY6" s="406"/>
      <c r="CZZ6" s="406"/>
      <c r="DAA6" s="406"/>
      <c r="DAB6" s="406"/>
      <c r="DAC6" s="406"/>
      <c r="DAD6" s="406"/>
      <c r="DAE6" s="406"/>
      <c r="DAF6" s="406"/>
      <c r="DAG6" s="406"/>
      <c r="DAH6" s="406"/>
      <c r="DAI6" s="406"/>
      <c r="DAJ6" s="406"/>
      <c r="DAK6" s="406"/>
      <c r="DAL6" s="406"/>
      <c r="DAM6" s="406"/>
      <c r="DAN6" s="406"/>
      <c r="DAO6" s="406"/>
      <c r="DAP6" s="406"/>
      <c r="DAQ6" s="406"/>
      <c r="DAR6" s="406"/>
      <c r="DAS6" s="406"/>
      <c r="DAT6" s="406"/>
      <c r="DAU6" s="406"/>
      <c r="DAV6" s="406"/>
      <c r="DAW6" s="406"/>
      <c r="DAX6" s="406"/>
      <c r="DAY6" s="406"/>
      <c r="DAZ6" s="406"/>
      <c r="DBA6" s="406"/>
      <c r="DBB6" s="406"/>
      <c r="DBC6" s="406"/>
      <c r="DBD6" s="406"/>
      <c r="DBE6" s="406"/>
      <c r="DBF6" s="406"/>
      <c r="DBG6" s="406"/>
      <c r="DBH6" s="406"/>
      <c r="DBI6" s="406"/>
      <c r="DBJ6" s="406"/>
      <c r="DBK6" s="406"/>
      <c r="DBL6" s="406"/>
      <c r="DBM6" s="406"/>
      <c r="DBN6" s="406"/>
      <c r="DBO6" s="406"/>
      <c r="DBP6" s="406"/>
      <c r="DBQ6" s="406"/>
      <c r="DBR6" s="406"/>
      <c r="DBS6" s="406"/>
      <c r="DBT6" s="406"/>
      <c r="DBU6" s="406"/>
      <c r="DBV6" s="406"/>
      <c r="DBW6" s="406"/>
      <c r="DBX6" s="406"/>
      <c r="DBY6" s="406"/>
      <c r="DBZ6" s="406"/>
      <c r="DCA6" s="406"/>
      <c r="DCB6" s="406"/>
      <c r="DCC6" s="406"/>
      <c r="DCD6" s="406"/>
      <c r="DCE6" s="406"/>
      <c r="DCF6" s="406"/>
      <c r="DCG6" s="406"/>
      <c r="DCH6" s="406"/>
      <c r="DCI6" s="406"/>
      <c r="DCJ6" s="406"/>
      <c r="DCK6" s="406"/>
      <c r="DCL6" s="406"/>
      <c r="DCM6" s="406"/>
      <c r="DCN6" s="406"/>
      <c r="DCO6" s="406"/>
      <c r="DCP6" s="406"/>
      <c r="DCQ6" s="406"/>
      <c r="DCR6" s="406"/>
      <c r="DCS6" s="406"/>
      <c r="DCT6" s="406"/>
      <c r="DCU6" s="406"/>
      <c r="DCV6" s="406"/>
      <c r="DCW6" s="406"/>
      <c r="DCX6" s="406"/>
      <c r="DCY6" s="406"/>
      <c r="DCZ6" s="406"/>
      <c r="DDA6" s="406"/>
      <c r="DDB6" s="406"/>
      <c r="DDC6" s="406"/>
      <c r="DDD6" s="406"/>
      <c r="DDE6" s="406"/>
      <c r="DDF6" s="406"/>
      <c r="DDG6" s="406"/>
      <c r="DDH6" s="406"/>
      <c r="DDI6" s="406"/>
      <c r="DDJ6" s="406"/>
      <c r="DDK6" s="406"/>
      <c r="DDL6" s="406"/>
      <c r="DDM6" s="406"/>
      <c r="DDN6" s="406"/>
      <c r="DDO6" s="406"/>
      <c r="DDP6" s="406"/>
      <c r="DDQ6" s="406"/>
      <c r="DDR6" s="406"/>
      <c r="DDS6" s="406"/>
      <c r="DDT6" s="406"/>
      <c r="DDU6" s="406"/>
      <c r="DDV6" s="406"/>
      <c r="DDW6" s="406"/>
      <c r="DDX6" s="406"/>
      <c r="DDY6" s="406"/>
      <c r="DDZ6" s="406"/>
      <c r="DEA6" s="406"/>
      <c r="DEB6" s="406"/>
      <c r="DEC6" s="406"/>
      <c r="DED6" s="406"/>
      <c r="DEE6" s="406"/>
      <c r="DEF6" s="406"/>
      <c r="DEG6" s="406"/>
      <c r="DEH6" s="406"/>
      <c r="DEI6" s="406"/>
      <c r="DEJ6" s="406"/>
      <c r="DEK6" s="406"/>
      <c r="DEL6" s="406"/>
      <c r="DEM6" s="406"/>
      <c r="DEN6" s="406"/>
      <c r="DEO6" s="406"/>
      <c r="DEP6" s="406"/>
      <c r="DEQ6" s="406"/>
      <c r="DER6" s="406"/>
      <c r="DES6" s="406"/>
      <c r="DET6" s="406"/>
      <c r="DEU6" s="406"/>
      <c r="DEV6" s="406"/>
      <c r="DEW6" s="406"/>
      <c r="DEX6" s="406"/>
      <c r="DEY6" s="406"/>
      <c r="DEZ6" s="406"/>
      <c r="DFA6" s="406"/>
      <c r="DFB6" s="406"/>
      <c r="DFC6" s="406"/>
      <c r="DFD6" s="406"/>
      <c r="DFE6" s="406"/>
      <c r="DFF6" s="406"/>
      <c r="DFG6" s="406"/>
      <c r="DFH6" s="406"/>
      <c r="DFI6" s="406"/>
      <c r="DFJ6" s="406"/>
      <c r="DFK6" s="406"/>
      <c r="DFL6" s="406"/>
      <c r="DFM6" s="406"/>
      <c r="DFN6" s="406"/>
      <c r="DFO6" s="406"/>
      <c r="DFP6" s="406"/>
      <c r="DFQ6" s="406"/>
      <c r="DFR6" s="406"/>
      <c r="DFS6" s="406"/>
      <c r="DFT6" s="406"/>
      <c r="DFU6" s="406"/>
      <c r="DFV6" s="406"/>
      <c r="DFW6" s="406"/>
      <c r="DFX6" s="406"/>
      <c r="DFY6" s="406"/>
      <c r="DFZ6" s="406"/>
      <c r="DGA6" s="406"/>
      <c r="DGB6" s="406"/>
      <c r="DGC6" s="406"/>
      <c r="DGD6" s="406"/>
      <c r="DGE6" s="406"/>
      <c r="DGF6" s="406"/>
      <c r="DGG6" s="406"/>
      <c r="DGH6" s="406"/>
      <c r="DGI6" s="406"/>
      <c r="DGJ6" s="406"/>
      <c r="DGK6" s="406"/>
      <c r="DGL6" s="406"/>
      <c r="DGM6" s="406"/>
      <c r="DGN6" s="406"/>
      <c r="DGO6" s="406"/>
      <c r="DGP6" s="406"/>
      <c r="DGQ6" s="406"/>
      <c r="DGR6" s="406"/>
      <c r="DGS6" s="406"/>
      <c r="DGT6" s="406"/>
      <c r="DGU6" s="406"/>
      <c r="DGV6" s="406"/>
      <c r="DGW6" s="406"/>
      <c r="DGX6" s="406"/>
      <c r="DGY6" s="406"/>
      <c r="DGZ6" s="406"/>
      <c r="DHA6" s="406"/>
      <c r="DHB6" s="406"/>
      <c r="DHC6" s="406"/>
      <c r="DHD6" s="406"/>
      <c r="DHE6" s="406"/>
      <c r="DHF6" s="406"/>
      <c r="DHG6" s="406"/>
      <c r="DHH6" s="406"/>
      <c r="DHI6" s="406"/>
      <c r="DHJ6" s="406"/>
      <c r="DHK6" s="406"/>
      <c r="DHL6" s="406"/>
      <c r="DHM6" s="406"/>
      <c r="DHN6" s="406"/>
      <c r="DHO6" s="406"/>
      <c r="DHP6" s="406"/>
      <c r="DHQ6" s="406"/>
      <c r="DHR6" s="406"/>
      <c r="DHS6" s="406"/>
      <c r="DHT6" s="406"/>
      <c r="DHU6" s="406"/>
      <c r="DHV6" s="406"/>
      <c r="DHW6" s="406"/>
      <c r="DHX6" s="406"/>
      <c r="DHY6" s="406"/>
      <c r="DHZ6" s="406"/>
      <c r="DIA6" s="406"/>
      <c r="DIB6" s="406"/>
      <c r="DIC6" s="406"/>
      <c r="DID6" s="406"/>
      <c r="DIE6" s="406"/>
      <c r="DIF6" s="406"/>
      <c r="DIG6" s="406"/>
      <c r="DIH6" s="406"/>
      <c r="DII6" s="406"/>
      <c r="DIJ6" s="406"/>
      <c r="DIK6" s="406"/>
      <c r="DIL6" s="406"/>
      <c r="DIM6" s="406"/>
      <c r="DIN6" s="406"/>
      <c r="DIO6" s="406"/>
      <c r="DIP6" s="406"/>
      <c r="DIQ6" s="406"/>
      <c r="DIR6" s="406"/>
      <c r="DIS6" s="406"/>
      <c r="DIT6" s="406"/>
      <c r="DIU6" s="406"/>
      <c r="DIV6" s="406"/>
      <c r="DIW6" s="406"/>
      <c r="DIX6" s="406"/>
      <c r="DIY6" s="406"/>
      <c r="DIZ6" s="406"/>
      <c r="DJA6" s="406"/>
      <c r="DJB6" s="406"/>
      <c r="DJC6" s="406"/>
      <c r="DJD6" s="406"/>
      <c r="DJE6" s="406"/>
      <c r="DJF6" s="406"/>
      <c r="DJG6" s="406"/>
      <c r="DJH6" s="406"/>
      <c r="DJI6" s="406"/>
      <c r="DJJ6" s="406"/>
      <c r="DJK6" s="406"/>
      <c r="DJL6" s="406"/>
      <c r="DJM6" s="406"/>
      <c r="DJN6" s="406"/>
      <c r="DJO6" s="406"/>
      <c r="DJP6" s="406"/>
      <c r="DJQ6" s="406"/>
      <c r="DJR6" s="406"/>
      <c r="DJS6" s="406"/>
      <c r="DJT6" s="406"/>
      <c r="DJU6" s="406"/>
      <c r="DJV6" s="406"/>
      <c r="DJW6" s="406"/>
      <c r="DJX6" s="406"/>
      <c r="DJY6" s="406"/>
      <c r="DJZ6" s="406"/>
      <c r="DKA6" s="406"/>
      <c r="DKB6" s="406"/>
      <c r="DKC6" s="406"/>
      <c r="DKD6" s="406"/>
      <c r="DKE6" s="406"/>
      <c r="DKF6" s="406"/>
      <c r="DKG6" s="406"/>
      <c r="DKH6" s="406"/>
      <c r="DKI6" s="406"/>
      <c r="DKJ6" s="406"/>
      <c r="DKK6" s="406"/>
      <c r="DKL6" s="406"/>
      <c r="DKM6" s="406"/>
      <c r="DKN6" s="406"/>
      <c r="DKO6" s="406"/>
      <c r="DKP6" s="406"/>
      <c r="DKQ6" s="406"/>
      <c r="DKR6" s="406"/>
      <c r="DKS6" s="406"/>
      <c r="DKT6" s="406"/>
      <c r="DKU6" s="406"/>
      <c r="DKV6" s="406"/>
      <c r="DKW6" s="406"/>
      <c r="DKX6" s="406"/>
      <c r="DKY6" s="406"/>
      <c r="DKZ6" s="406"/>
      <c r="DLA6" s="406"/>
      <c r="DLB6" s="406"/>
      <c r="DLC6" s="406"/>
      <c r="DLD6" s="406"/>
      <c r="DLE6" s="406"/>
      <c r="DLF6" s="406"/>
      <c r="DLG6" s="406"/>
      <c r="DLH6" s="406"/>
      <c r="DLI6" s="406"/>
      <c r="DLJ6" s="406"/>
      <c r="DLK6" s="406"/>
      <c r="DLL6" s="406"/>
      <c r="DLM6" s="406"/>
      <c r="DLN6" s="406"/>
      <c r="DLO6" s="406"/>
      <c r="DLP6" s="406"/>
      <c r="DLQ6" s="406"/>
      <c r="DLR6" s="406"/>
      <c r="DLS6" s="406"/>
      <c r="DLT6" s="406"/>
      <c r="DLU6" s="406"/>
      <c r="DLV6" s="406"/>
      <c r="DLW6" s="406"/>
      <c r="DLX6" s="406"/>
      <c r="DLY6" s="406"/>
      <c r="DLZ6" s="406"/>
      <c r="DMA6" s="406"/>
      <c r="DMB6" s="406"/>
      <c r="DMC6" s="406"/>
      <c r="DMD6" s="406"/>
      <c r="DME6" s="406"/>
      <c r="DMF6" s="406"/>
      <c r="DMG6" s="406"/>
      <c r="DMH6" s="406"/>
      <c r="DMI6" s="406"/>
      <c r="DMJ6" s="406"/>
      <c r="DMK6" s="406"/>
      <c r="DML6" s="406"/>
      <c r="DMM6" s="406"/>
      <c r="DMN6" s="406"/>
      <c r="DMO6" s="406"/>
      <c r="DMP6" s="406"/>
      <c r="DMQ6" s="406"/>
      <c r="DMR6" s="406"/>
      <c r="DMS6" s="406"/>
      <c r="DMT6" s="406"/>
      <c r="DMU6" s="406"/>
      <c r="DMV6" s="406"/>
      <c r="DMW6" s="406"/>
      <c r="DMX6" s="406"/>
      <c r="DMY6" s="406"/>
      <c r="DMZ6" s="406"/>
      <c r="DNA6" s="406"/>
      <c r="DNB6" s="406"/>
      <c r="DNC6" s="406"/>
      <c r="DND6" s="406"/>
      <c r="DNE6" s="406"/>
      <c r="DNF6" s="406"/>
      <c r="DNG6" s="406"/>
      <c r="DNH6" s="406"/>
      <c r="DNI6" s="406"/>
      <c r="DNJ6" s="406"/>
      <c r="DNK6" s="406"/>
      <c r="DNL6" s="406"/>
      <c r="DNM6" s="406"/>
      <c r="DNN6" s="406"/>
      <c r="DNO6" s="406"/>
      <c r="DNP6" s="406"/>
      <c r="DNQ6" s="406"/>
      <c r="DNR6" s="406"/>
      <c r="DNS6" s="406"/>
      <c r="DNT6" s="406"/>
      <c r="DNU6" s="406"/>
      <c r="DNV6" s="406"/>
      <c r="DNW6" s="406"/>
      <c r="DNX6" s="406"/>
      <c r="DNY6" s="406"/>
      <c r="DNZ6" s="406"/>
      <c r="DOA6" s="406"/>
      <c r="DOB6" s="406"/>
      <c r="DOC6" s="406"/>
      <c r="DOD6" s="406"/>
      <c r="DOE6" s="406"/>
      <c r="DOF6" s="406"/>
      <c r="DOG6" s="406"/>
      <c r="DOH6" s="406"/>
      <c r="DOI6" s="406"/>
      <c r="DOJ6" s="406"/>
      <c r="DOK6" s="406"/>
      <c r="DOL6" s="406"/>
      <c r="DOM6" s="406"/>
      <c r="DON6" s="406"/>
      <c r="DOO6" s="406"/>
      <c r="DOP6" s="406"/>
      <c r="DOQ6" s="406"/>
      <c r="DOR6" s="406"/>
      <c r="DOS6" s="406"/>
      <c r="DOT6" s="406"/>
      <c r="DOU6" s="406"/>
      <c r="DOV6" s="406"/>
      <c r="DOW6" s="406"/>
      <c r="DOX6" s="406"/>
      <c r="DOY6" s="406"/>
      <c r="DOZ6" s="406"/>
      <c r="DPA6" s="406"/>
      <c r="DPB6" s="406"/>
      <c r="DPC6" s="406"/>
      <c r="DPD6" s="406"/>
      <c r="DPE6" s="406"/>
      <c r="DPF6" s="406"/>
      <c r="DPG6" s="406"/>
      <c r="DPH6" s="406"/>
      <c r="DPI6" s="406"/>
      <c r="DPJ6" s="406"/>
      <c r="DPK6" s="406"/>
      <c r="DPL6" s="406"/>
      <c r="DPM6" s="406"/>
      <c r="DPN6" s="406"/>
      <c r="DPO6" s="406"/>
      <c r="DPP6" s="406"/>
      <c r="DPQ6" s="406"/>
      <c r="DPR6" s="406"/>
      <c r="DPS6" s="406"/>
      <c r="DPT6" s="406"/>
      <c r="DPU6" s="406"/>
      <c r="DPV6" s="406"/>
      <c r="DPW6" s="406"/>
      <c r="DPX6" s="406"/>
      <c r="DPY6" s="406"/>
      <c r="DPZ6" s="406"/>
      <c r="DQA6" s="406"/>
      <c r="DQB6" s="406"/>
      <c r="DQC6" s="406"/>
      <c r="DQD6" s="406"/>
      <c r="DQE6" s="406"/>
      <c r="DQF6" s="406"/>
      <c r="DQG6" s="406"/>
      <c r="DQH6" s="406"/>
      <c r="DQI6" s="406"/>
      <c r="DQJ6" s="406"/>
      <c r="DQK6" s="406"/>
      <c r="DQL6" s="406"/>
      <c r="DQM6" s="406"/>
      <c r="DQN6" s="406"/>
      <c r="DQO6" s="406"/>
      <c r="DQP6" s="406"/>
      <c r="DQQ6" s="406"/>
      <c r="DQR6" s="406"/>
      <c r="DQS6" s="406"/>
      <c r="DQT6" s="406"/>
      <c r="DQU6" s="406"/>
      <c r="DQV6" s="406"/>
      <c r="DQW6" s="406"/>
      <c r="DQX6" s="406"/>
      <c r="DQY6" s="406"/>
      <c r="DQZ6" s="406"/>
      <c r="DRA6" s="406"/>
      <c r="DRB6" s="406"/>
      <c r="DRC6" s="406"/>
      <c r="DRD6" s="406"/>
      <c r="DRE6" s="406"/>
      <c r="DRF6" s="406"/>
      <c r="DRG6" s="406"/>
      <c r="DRH6" s="406"/>
      <c r="DRI6" s="406"/>
      <c r="DRJ6" s="406"/>
      <c r="DRK6" s="406"/>
      <c r="DRL6" s="406"/>
      <c r="DRM6" s="406"/>
      <c r="DRN6" s="406"/>
      <c r="DRO6" s="406"/>
      <c r="DRP6" s="406"/>
      <c r="DRQ6" s="406"/>
      <c r="DRR6" s="406"/>
      <c r="DRS6" s="406"/>
      <c r="DRT6" s="406"/>
      <c r="DRU6" s="406"/>
      <c r="DRV6" s="406"/>
      <c r="DRW6" s="406"/>
      <c r="DRX6" s="406"/>
      <c r="DRY6" s="406"/>
      <c r="DRZ6" s="406"/>
      <c r="DSA6" s="406"/>
      <c r="DSB6" s="406"/>
      <c r="DSC6" s="406"/>
      <c r="DSD6" s="406"/>
      <c r="DSE6" s="406"/>
      <c r="DSF6" s="406"/>
      <c r="DSG6" s="406"/>
      <c r="DSH6" s="406"/>
      <c r="DSI6" s="406"/>
      <c r="DSJ6" s="406"/>
      <c r="DSK6" s="406"/>
      <c r="DSL6" s="406"/>
      <c r="DSM6" s="406"/>
      <c r="DSN6" s="406"/>
      <c r="DSO6" s="406"/>
      <c r="DSP6" s="406"/>
      <c r="DSQ6" s="406"/>
      <c r="DSR6" s="406"/>
      <c r="DSS6" s="406"/>
      <c r="DST6" s="406"/>
      <c r="DSU6" s="406"/>
      <c r="DSV6" s="406"/>
      <c r="DSW6" s="406"/>
      <c r="DSX6" s="406"/>
      <c r="DSY6" s="406"/>
      <c r="DSZ6" s="406"/>
      <c r="DTA6" s="406"/>
      <c r="DTB6" s="406"/>
      <c r="DTC6" s="406"/>
      <c r="DTD6" s="406"/>
      <c r="DTE6" s="406"/>
      <c r="DTF6" s="406"/>
      <c r="DTG6" s="406"/>
      <c r="DTH6" s="406"/>
      <c r="DTI6" s="406"/>
      <c r="DTJ6" s="406"/>
      <c r="DTK6" s="406"/>
      <c r="DTL6" s="406"/>
      <c r="DTM6" s="406"/>
      <c r="DTN6" s="406"/>
      <c r="DTO6" s="406"/>
      <c r="DTP6" s="406"/>
      <c r="DTQ6" s="406"/>
      <c r="DTR6" s="406"/>
      <c r="DTS6" s="406"/>
      <c r="DTT6" s="406"/>
      <c r="DTU6" s="406"/>
      <c r="DTV6" s="406"/>
      <c r="DTW6" s="406"/>
      <c r="DTX6" s="406"/>
      <c r="DTY6" s="406"/>
      <c r="DTZ6" s="406"/>
      <c r="DUA6" s="406"/>
      <c r="DUB6" s="406"/>
      <c r="DUC6" s="406"/>
      <c r="DUD6" s="406"/>
      <c r="DUE6" s="406"/>
      <c r="DUF6" s="406"/>
      <c r="DUG6" s="406"/>
      <c r="DUH6" s="406"/>
      <c r="DUI6" s="406"/>
      <c r="DUJ6" s="406"/>
      <c r="DUK6" s="406"/>
      <c r="DUL6" s="406"/>
      <c r="DUM6" s="406"/>
      <c r="DUN6" s="406"/>
      <c r="DUO6" s="406"/>
      <c r="DUP6" s="406"/>
      <c r="DUQ6" s="406"/>
      <c r="DUR6" s="406"/>
      <c r="DUS6" s="406"/>
      <c r="DUT6" s="406"/>
      <c r="DUU6" s="406"/>
      <c r="DUV6" s="406"/>
      <c r="DUW6" s="406"/>
      <c r="DUX6" s="406"/>
      <c r="DUY6" s="406"/>
      <c r="DUZ6" s="406"/>
      <c r="DVA6" s="406"/>
      <c r="DVB6" s="406"/>
      <c r="DVC6" s="406"/>
      <c r="DVD6" s="406"/>
      <c r="DVE6" s="406"/>
      <c r="DVF6" s="406"/>
      <c r="DVG6" s="406"/>
      <c r="DVH6" s="406"/>
      <c r="DVI6" s="406"/>
      <c r="DVJ6" s="406"/>
      <c r="DVK6" s="406"/>
      <c r="DVL6" s="406"/>
      <c r="DVM6" s="406"/>
      <c r="DVN6" s="406"/>
      <c r="DVO6" s="406"/>
      <c r="DVP6" s="406"/>
      <c r="DVQ6" s="406"/>
      <c r="DVR6" s="406"/>
      <c r="DVS6" s="406"/>
      <c r="DVT6" s="406"/>
      <c r="DVU6" s="406"/>
      <c r="DVV6" s="406"/>
      <c r="DVW6" s="406"/>
      <c r="DVX6" s="406"/>
      <c r="DVY6" s="406"/>
      <c r="DVZ6" s="406"/>
      <c r="DWA6" s="406"/>
      <c r="DWB6" s="406"/>
      <c r="DWC6" s="406"/>
      <c r="DWD6" s="406"/>
      <c r="DWE6" s="406"/>
      <c r="DWF6" s="406"/>
      <c r="DWG6" s="406"/>
      <c r="DWH6" s="406"/>
      <c r="DWI6" s="406"/>
      <c r="DWJ6" s="406"/>
      <c r="DWK6" s="406"/>
      <c r="DWL6" s="406"/>
      <c r="DWM6" s="406"/>
      <c r="DWN6" s="406"/>
      <c r="DWO6" s="406"/>
      <c r="DWP6" s="406"/>
      <c r="DWQ6" s="406"/>
      <c r="DWR6" s="406"/>
      <c r="DWS6" s="406"/>
      <c r="DWT6" s="406"/>
      <c r="DWU6" s="406"/>
      <c r="DWV6" s="406"/>
      <c r="DWW6" s="406"/>
      <c r="DWX6" s="406"/>
      <c r="DWY6" s="406"/>
      <c r="DWZ6" s="406"/>
      <c r="DXA6" s="406"/>
      <c r="DXB6" s="406"/>
      <c r="DXC6" s="406"/>
      <c r="DXD6" s="406"/>
      <c r="DXE6" s="406"/>
      <c r="DXF6" s="406"/>
      <c r="DXG6" s="406"/>
      <c r="DXH6" s="406"/>
      <c r="DXI6" s="406"/>
      <c r="DXJ6" s="406"/>
      <c r="DXK6" s="406"/>
      <c r="DXL6" s="406"/>
      <c r="DXM6" s="406"/>
      <c r="DXN6" s="406"/>
      <c r="DXO6" s="406"/>
      <c r="DXP6" s="406"/>
      <c r="DXQ6" s="406"/>
      <c r="DXR6" s="406"/>
      <c r="DXS6" s="406"/>
      <c r="DXT6" s="406"/>
      <c r="DXU6" s="406"/>
      <c r="DXV6" s="406"/>
      <c r="DXW6" s="406"/>
      <c r="DXX6" s="406"/>
      <c r="DXY6" s="406"/>
      <c r="DXZ6" s="406"/>
      <c r="DYA6" s="406"/>
      <c r="DYB6" s="406"/>
      <c r="DYC6" s="406"/>
      <c r="DYD6" s="406"/>
      <c r="DYE6" s="406"/>
      <c r="DYF6" s="406"/>
      <c r="DYG6" s="406"/>
      <c r="DYH6" s="406"/>
      <c r="DYI6" s="406"/>
      <c r="DYJ6" s="406"/>
      <c r="DYK6" s="406"/>
      <c r="DYL6" s="406"/>
      <c r="DYM6" s="406"/>
      <c r="DYN6" s="406"/>
      <c r="DYO6" s="406"/>
      <c r="DYP6" s="406"/>
      <c r="DYQ6" s="406"/>
      <c r="DYR6" s="406"/>
      <c r="DYS6" s="406"/>
      <c r="DYT6" s="406"/>
      <c r="DYU6" s="406"/>
      <c r="DYV6" s="406"/>
      <c r="DYW6" s="406"/>
      <c r="DYX6" s="406"/>
      <c r="DYY6" s="406"/>
      <c r="DYZ6" s="406"/>
      <c r="DZA6" s="406"/>
      <c r="DZB6" s="406"/>
      <c r="DZC6" s="406"/>
      <c r="DZD6" s="406"/>
      <c r="DZE6" s="406"/>
      <c r="DZF6" s="406"/>
      <c r="DZG6" s="406"/>
      <c r="DZH6" s="406"/>
      <c r="DZI6" s="406"/>
      <c r="DZJ6" s="406"/>
      <c r="DZK6" s="406"/>
      <c r="DZL6" s="406"/>
      <c r="DZM6" s="406"/>
      <c r="DZN6" s="406"/>
      <c r="DZO6" s="406"/>
      <c r="DZP6" s="406"/>
      <c r="DZQ6" s="406"/>
      <c r="DZR6" s="406"/>
      <c r="DZS6" s="406"/>
      <c r="DZT6" s="406"/>
      <c r="DZU6" s="406"/>
      <c r="DZV6" s="406"/>
      <c r="DZW6" s="406"/>
      <c r="DZX6" s="406"/>
      <c r="DZY6" s="406"/>
      <c r="DZZ6" s="406"/>
      <c r="EAA6" s="406"/>
      <c r="EAB6" s="406"/>
      <c r="EAC6" s="406"/>
      <c r="EAD6" s="406"/>
      <c r="EAE6" s="406"/>
      <c r="EAF6" s="406"/>
      <c r="EAG6" s="406"/>
      <c r="EAH6" s="406"/>
      <c r="EAI6" s="406"/>
      <c r="EAJ6" s="406"/>
      <c r="EAK6" s="406"/>
      <c r="EAL6" s="406"/>
      <c r="EAM6" s="406"/>
      <c r="EAN6" s="406"/>
      <c r="EAO6" s="406"/>
      <c r="EAP6" s="406"/>
      <c r="EAQ6" s="406"/>
      <c r="EAR6" s="406"/>
      <c r="EAS6" s="406"/>
      <c r="EAT6" s="406"/>
      <c r="EAU6" s="406"/>
      <c r="EAV6" s="406"/>
      <c r="EAW6" s="406"/>
      <c r="EAX6" s="406"/>
      <c r="EAY6" s="406"/>
      <c r="EAZ6" s="406"/>
      <c r="EBA6" s="406"/>
      <c r="EBB6" s="406"/>
      <c r="EBC6" s="406"/>
      <c r="EBD6" s="406"/>
      <c r="EBE6" s="406"/>
      <c r="EBF6" s="406"/>
      <c r="EBG6" s="406"/>
      <c r="EBH6" s="406"/>
      <c r="EBI6" s="406"/>
      <c r="EBJ6" s="406"/>
      <c r="EBK6" s="406"/>
      <c r="EBL6" s="406"/>
      <c r="EBM6" s="406"/>
      <c r="EBN6" s="406"/>
      <c r="EBO6" s="406"/>
      <c r="EBP6" s="406"/>
      <c r="EBQ6" s="406"/>
      <c r="EBR6" s="406"/>
      <c r="EBS6" s="406"/>
      <c r="EBT6" s="406"/>
      <c r="EBU6" s="406"/>
      <c r="EBV6" s="406"/>
      <c r="EBW6" s="406"/>
      <c r="EBX6" s="406"/>
      <c r="EBY6" s="406"/>
      <c r="EBZ6" s="406"/>
      <c r="ECA6" s="406"/>
      <c r="ECB6" s="406"/>
      <c r="ECC6" s="406"/>
      <c r="ECD6" s="406"/>
      <c r="ECE6" s="406"/>
      <c r="ECF6" s="406"/>
      <c r="ECG6" s="406"/>
      <c r="ECH6" s="406"/>
      <c r="ECI6" s="406"/>
      <c r="ECJ6" s="406"/>
      <c r="ECK6" s="406"/>
      <c r="ECL6" s="406"/>
      <c r="ECM6" s="406"/>
      <c r="ECN6" s="406"/>
      <c r="ECO6" s="406"/>
      <c r="ECP6" s="406"/>
      <c r="ECQ6" s="406"/>
      <c r="ECR6" s="406"/>
      <c r="ECS6" s="406"/>
      <c r="ECT6" s="406"/>
      <c r="ECU6" s="406"/>
      <c r="ECV6" s="406"/>
      <c r="ECW6" s="406"/>
      <c r="ECX6" s="406"/>
      <c r="ECY6" s="406"/>
      <c r="ECZ6" s="406"/>
      <c r="EDA6" s="406"/>
      <c r="EDB6" s="406"/>
      <c r="EDC6" s="406"/>
      <c r="EDD6" s="406"/>
      <c r="EDE6" s="406"/>
      <c r="EDF6" s="406"/>
      <c r="EDG6" s="406"/>
      <c r="EDH6" s="406"/>
      <c r="EDI6" s="406"/>
      <c r="EDJ6" s="406"/>
      <c r="EDK6" s="406"/>
      <c r="EDL6" s="406"/>
      <c r="EDM6" s="406"/>
      <c r="EDN6" s="406"/>
      <c r="EDO6" s="406"/>
      <c r="EDP6" s="406"/>
      <c r="EDQ6" s="406"/>
      <c r="EDR6" s="406"/>
      <c r="EDS6" s="406"/>
      <c r="EDT6" s="406"/>
      <c r="EDU6" s="406"/>
      <c r="EDV6" s="406"/>
      <c r="EDW6" s="406"/>
      <c r="EDX6" s="406"/>
      <c r="EDY6" s="406"/>
      <c r="EDZ6" s="406"/>
      <c r="EEA6" s="406"/>
      <c r="EEB6" s="406"/>
      <c r="EEC6" s="406"/>
      <c r="EED6" s="406"/>
      <c r="EEE6" s="406"/>
      <c r="EEF6" s="406"/>
      <c r="EEG6" s="406"/>
      <c r="EEH6" s="406"/>
      <c r="EEI6" s="406"/>
      <c r="EEJ6" s="406"/>
      <c r="EEK6" s="406"/>
      <c r="EEL6" s="406"/>
      <c r="EEM6" s="406"/>
      <c r="EEN6" s="406"/>
      <c r="EEO6" s="406"/>
      <c r="EEP6" s="406"/>
      <c r="EEQ6" s="406"/>
      <c r="EER6" s="406"/>
      <c r="EES6" s="406"/>
      <c r="EET6" s="406"/>
      <c r="EEU6" s="406"/>
      <c r="EEV6" s="406"/>
      <c r="EEW6" s="406"/>
      <c r="EEX6" s="406"/>
      <c r="EEY6" s="406"/>
      <c r="EEZ6" s="406"/>
      <c r="EFA6" s="406"/>
      <c r="EFB6" s="406"/>
      <c r="EFC6" s="406"/>
      <c r="EFD6" s="406"/>
      <c r="EFE6" s="406"/>
      <c r="EFF6" s="406"/>
      <c r="EFG6" s="406"/>
      <c r="EFH6" s="406"/>
      <c r="EFI6" s="406"/>
      <c r="EFJ6" s="406"/>
      <c r="EFK6" s="406"/>
      <c r="EFL6" s="406"/>
      <c r="EFM6" s="406"/>
      <c r="EFN6" s="406"/>
      <c r="EFO6" s="406"/>
      <c r="EFP6" s="406"/>
      <c r="EFQ6" s="406"/>
      <c r="EFR6" s="406"/>
      <c r="EFS6" s="406"/>
      <c r="EFT6" s="406"/>
      <c r="EFU6" s="406"/>
      <c r="EFV6" s="406"/>
      <c r="EFW6" s="406"/>
      <c r="EFX6" s="406"/>
      <c r="EFY6" s="406"/>
      <c r="EFZ6" s="406"/>
      <c r="EGA6" s="406"/>
      <c r="EGB6" s="406"/>
      <c r="EGC6" s="406"/>
      <c r="EGD6" s="406"/>
      <c r="EGE6" s="406"/>
      <c r="EGF6" s="406"/>
      <c r="EGG6" s="406"/>
      <c r="EGH6" s="406"/>
      <c r="EGI6" s="406"/>
      <c r="EGJ6" s="406"/>
      <c r="EGK6" s="406"/>
      <c r="EGL6" s="406"/>
      <c r="EGM6" s="406"/>
      <c r="EGN6" s="406"/>
      <c r="EGO6" s="406"/>
      <c r="EGP6" s="406"/>
      <c r="EGQ6" s="406"/>
      <c r="EGR6" s="406"/>
      <c r="EGS6" s="406"/>
      <c r="EGT6" s="406"/>
      <c r="EGU6" s="406"/>
      <c r="EGV6" s="406"/>
      <c r="EGW6" s="406"/>
      <c r="EGX6" s="406"/>
      <c r="EGY6" s="406"/>
      <c r="EGZ6" s="406"/>
      <c r="EHA6" s="406"/>
      <c r="EHB6" s="406"/>
      <c r="EHC6" s="406"/>
      <c r="EHD6" s="406"/>
      <c r="EHE6" s="406"/>
      <c r="EHF6" s="406"/>
      <c r="EHG6" s="406"/>
      <c r="EHH6" s="406"/>
      <c r="EHI6" s="406"/>
      <c r="EHJ6" s="406"/>
      <c r="EHK6" s="406"/>
      <c r="EHL6" s="406"/>
      <c r="EHM6" s="406"/>
      <c r="EHN6" s="406"/>
      <c r="EHO6" s="406"/>
      <c r="EHP6" s="406"/>
      <c r="EHQ6" s="406"/>
      <c r="EHR6" s="406"/>
      <c r="EHS6" s="406"/>
      <c r="EHT6" s="406"/>
      <c r="EHU6" s="406"/>
      <c r="EHV6" s="406"/>
      <c r="EHW6" s="406"/>
      <c r="EHX6" s="406"/>
      <c r="EHY6" s="406"/>
      <c r="EHZ6" s="406"/>
      <c r="EIA6" s="406"/>
      <c r="EIB6" s="406"/>
      <c r="EIC6" s="406"/>
      <c r="EID6" s="406"/>
      <c r="EIE6" s="406"/>
      <c r="EIF6" s="406"/>
      <c r="EIG6" s="406"/>
      <c r="EIH6" s="406"/>
      <c r="EII6" s="406"/>
      <c r="EIJ6" s="406"/>
      <c r="EIK6" s="406"/>
      <c r="EIL6" s="406"/>
      <c r="EIM6" s="406"/>
      <c r="EIN6" s="406"/>
      <c r="EIO6" s="406"/>
      <c r="EIP6" s="406"/>
      <c r="EIQ6" s="406"/>
      <c r="EIR6" s="406"/>
      <c r="EIS6" s="406"/>
      <c r="EIT6" s="406"/>
      <c r="EIU6" s="406"/>
      <c r="EIV6" s="406"/>
      <c r="EIW6" s="406"/>
      <c r="EIX6" s="406"/>
      <c r="EIY6" s="406"/>
      <c r="EIZ6" s="406"/>
      <c r="EJA6" s="406"/>
      <c r="EJB6" s="406"/>
      <c r="EJC6" s="406"/>
      <c r="EJD6" s="406"/>
      <c r="EJE6" s="406"/>
      <c r="EJF6" s="406"/>
      <c r="EJG6" s="406"/>
      <c r="EJH6" s="406"/>
      <c r="EJI6" s="406"/>
      <c r="EJJ6" s="406"/>
      <c r="EJK6" s="406"/>
      <c r="EJL6" s="406"/>
      <c r="EJM6" s="406"/>
      <c r="EJN6" s="406"/>
      <c r="EJO6" s="406"/>
      <c r="EJP6" s="406"/>
      <c r="EJQ6" s="406"/>
      <c r="EJR6" s="406"/>
      <c r="EJS6" s="406"/>
      <c r="EJT6" s="406"/>
      <c r="EJU6" s="406"/>
      <c r="EJV6" s="406"/>
      <c r="EJW6" s="406"/>
      <c r="EJX6" s="406"/>
      <c r="EJY6" s="406"/>
      <c r="EJZ6" s="406"/>
      <c r="EKA6" s="406"/>
      <c r="EKB6" s="406"/>
      <c r="EKC6" s="406"/>
      <c r="EKD6" s="406"/>
      <c r="EKE6" s="406"/>
      <c r="EKF6" s="406"/>
      <c r="EKG6" s="406"/>
      <c r="EKH6" s="406"/>
      <c r="EKI6" s="406"/>
      <c r="EKJ6" s="406"/>
      <c r="EKK6" s="406"/>
      <c r="EKL6" s="406"/>
      <c r="EKM6" s="406"/>
      <c r="EKN6" s="406"/>
      <c r="EKO6" s="406"/>
      <c r="EKP6" s="406"/>
      <c r="EKQ6" s="406"/>
      <c r="EKR6" s="406"/>
      <c r="EKS6" s="406"/>
      <c r="EKT6" s="406"/>
      <c r="EKU6" s="406"/>
      <c r="EKV6" s="406"/>
      <c r="EKW6" s="406"/>
      <c r="EKX6" s="406"/>
      <c r="EKY6" s="406"/>
      <c r="EKZ6" s="406"/>
      <c r="ELA6" s="406"/>
      <c r="ELB6" s="406"/>
      <c r="ELC6" s="406"/>
      <c r="ELD6" s="406"/>
      <c r="ELE6" s="406"/>
      <c r="ELF6" s="406"/>
      <c r="ELG6" s="406"/>
      <c r="ELH6" s="406"/>
      <c r="ELI6" s="406"/>
      <c r="ELJ6" s="406"/>
      <c r="ELK6" s="406"/>
      <c r="ELL6" s="406"/>
      <c r="ELM6" s="406"/>
      <c r="ELN6" s="406"/>
      <c r="ELO6" s="406"/>
      <c r="ELP6" s="406"/>
      <c r="ELQ6" s="406"/>
      <c r="ELR6" s="406"/>
      <c r="ELS6" s="406"/>
      <c r="ELT6" s="406"/>
      <c r="ELU6" s="406"/>
      <c r="ELV6" s="406"/>
      <c r="ELW6" s="406"/>
      <c r="ELX6" s="406"/>
      <c r="ELY6" s="406"/>
      <c r="ELZ6" s="406"/>
      <c r="EMA6" s="406"/>
      <c r="EMB6" s="406"/>
      <c r="EMC6" s="406"/>
      <c r="EMD6" s="406"/>
      <c r="EME6" s="406"/>
      <c r="EMF6" s="406"/>
      <c r="EMG6" s="406"/>
      <c r="EMH6" s="406"/>
      <c r="EMI6" s="406"/>
      <c r="EMJ6" s="406"/>
      <c r="EMK6" s="406"/>
      <c r="EML6" s="406"/>
      <c r="EMM6" s="406"/>
      <c r="EMN6" s="406"/>
      <c r="EMO6" s="406"/>
      <c r="EMP6" s="406"/>
      <c r="EMQ6" s="406"/>
      <c r="EMR6" s="406"/>
      <c r="EMS6" s="406"/>
      <c r="EMT6" s="406"/>
      <c r="EMU6" s="406"/>
      <c r="EMV6" s="406"/>
      <c r="EMW6" s="406"/>
      <c r="EMX6" s="406"/>
      <c r="EMY6" s="406"/>
      <c r="EMZ6" s="406"/>
      <c r="ENA6" s="406"/>
      <c r="ENB6" s="406"/>
      <c r="ENC6" s="406"/>
      <c r="END6" s="406"/>
      <c r="ENE6" s="406"/>
      <c r="ENF6" s="406"/>
      <c r="ENG6" s="406"/>
      <c r="ENH6" s="406"/>
      <c r="ENI6" s="406"/>
      <c r="ENJ6" s="406"/>
      <c r="ENK6" s="406"/>
      <c r="ENL6" s="406"/>
      <c r="ENM6" s="406"/>
      <c r="ENN6" s="406"/>
      <c r="ENO6" s="406"/>
      <c r="ENP6" s="406"/>
      <c r="ENQ6" s="406"/>
      <c r="ENR6" s="406"/>
      <c r="ENS6" s="406"/>
      <c r="ENT6" s="406"/>
      <c r="ENU6" s="406"/>
      <c r="ENV6" s="406"/>
      <c r="ENW6" s="406"/>
      <c r="ENX6" s="406"/>
      <c r="ENY6" s="406"/>
      <c r="ENZ6" s="406"/>
      <c r="EOA6" s="406"/>
      <c r="EOB6" s="406"/>
      <c r="EOC6" s="406"/>
      <c r="EOD6" s="406"/>
      <c r="EOE6" s="406"/>
      <c r="EOF6" s="406"/>
      <c r="EOG6" s="406"/>
      <c r="EOH6" s="406"/>
      <c r="EOI6" s="406"/>
      <c r="EOJ6" s="406"/>
      <c r="EOK6" s="406"/>
      <c r="EOL6" s="406"/>
      <c r="EOM6" s="406"/>
      <c r="EON6" s="406"/>
      <c r="EOO6" s="406"/>
      <c r="EOP6" s="406"/>
      <c r="EOQ6" s="406"/>
      <c r="EOR6" s="406"/>
      <c r="EOS6" s="406"/>
      <c r="EOT6" s="406"/>
      <c r="EOU6" s="406"/>
      <c r="EOV6" s="406"/>
      <c r="EOW6" s="406"/>
      <c r="EOX6" s="406"/>
      <c r="EOY6" s="406"/>
      <c r="EOZ6" s="406"/>
      <c r="EPA6" s="406"/>
      <c r="EPB6" s="406"/>
      <c r="EPC6" s="406"/>
      <c r="EPD6" s="406"/>
      <c r="EPE6" s="406"/>
      <c r="EPF6" s="406"/>
      <c r="EPG6" s="406"/>
      <c r="EPH6" s="406"/>
      <c r="EPI6" s="406"/>
      <c r="EPJ6" s="406"/>
      <c r="EPK6" s="406"/>
      <c r="EPL6" s="406"/>
      <c r="EPM6" s="406"/>
      <c r="EPN6" s="406"/>
      <c r="EPO6" s="406"/>
      <c r="EPP6" s="406"/>
      <c r="EPQ6" s="406"/>
      <c r="EPR6" s="406"/>
      <c r="EPS6" s="406"/>
      <c r="EPT6" s="406"/>
      <c r="EPU6" s="406"/>
      <c r="EPV6" s="406"/>
      <c r="EPW6" s="406"/>
      <c r="EPX6" s="406"/>
      <c r="EPY6" s="406"/>
      <c r="EPZ6" s="406"/>
      <c r="EQA6" s="406"/>
      <c r="EQB6" s="406"/>
      <c r="EQC6" s="406"/>
      <c r="EQD6" s="406"/>
      <c r="EQE6" s="406"/>
      <c r="EQF6" s="406"/>
      <c r="EQG6" s="406"/>
      <c r="EQH6" s="406"/>
      <c r="EQI6" s="406"/>
      <c r="EQJ6" s="406"/>
      <c r="EQK6" s="406"/>
      <c r="EQL6" s="406"/>
      <c r="EQM6" s="406"/>
      <c r="EQN6" s="406"/>
      <c r="EQO6" s="406"/>
      <c r="EQP6" s="406"/>
      <c r="EQQ6" s="406"/>
      <c r="EQR6" s="406"/>
      <c r="EQS6" s="406"/>
      <c r="EQT6" s="406"/>
      <c r="EQU6" s="406"/>
      <c r="EQV6" s="406"/>
      <c r="EQW6" s="406"/>
      <c r="EQX6" s="406"/>
      <c r="EQY6" s="406"/>
      <c r="EQZ6" s="406"/>
      <c r="ERA6" s="406"/>
      <c r="ERB6" s="406"/>
      <c r="ERC6" s="406"/>
      <c r="ERD6" s="406"/>
      <c r="ERE6" s="406"/>
      <c r="ERF6" s="406"/>
      <c r="ERG6" s="406"/>
      <c r="ERH6" s="406"/>
      <c r="ERI6" s="406"/>
      <c r="ERJ6" s="406"/>
      <c r="ERK6" s="406"/>
      <c r="ERL6" s="406"/>
      <c r="ERM6" s="406"/>
      <c r="ERN6" s="406"/>
      <c r="ERO6" s="406"/>
      <c r="ERP6" s="406"/>
      <c r="ERQ6" s="406"/>
      <c r="ERR6" s="406"/>
      <c r="ERS6" s="406"/>
      <c r="ERT6" s="406"/>
      <c r="ERU6" s="406"/>
      <c r="ERV6" s="406"/>
      <c r="ERW6" s="406"/>
      <c r="ERX6" s="406"/>
      <c r="ERY6" s="406"/>
      <c r="ERZ6" s="406"/>
      <c r="ESA6" s="406"/>
      <c r="ESB6" s="406"/>
      <c r="ESC6" s="406"/>
      <c r="ESD6" s="406"/>
      <c r="ESE6" s="406"/>
      <c r="ESF6" s="406"/>
      <c r="ESG6" s="406"/>
      <c r="ESH6" s="406"/>
      <c r="ESI6" s="406"/>
      <c r="ESJ6" s="406"/>
      <c r="ESK6" s="406"/>
      <c r="ESL6" s="406"/>
      <c r="ESM6" s="406"/>
      <c r="ESN6" s="406"/>
      <c r="ESO6" s="406"/>
      <c r="ESP6" s="406"/>
      <c r="ESQ6" s="406"/>
      <c r="ESR6" s="406"/>
      <c r="ESS6" s="406"/>
      <c r="EST6" s="406"/>
      <c r="ESU6" s="406"/>
      <c r="ESV6" s="406"/>
      <c r="ESW6" s="406"/>
      <c r="ESX6" s="406"/>
      <c r="ESY6" s="406"/>
      <c r="ESZ6" s="406"/>
      <c r="ETA6" s="406"/>
      <c r="ETB6" s="406"/>
      <c r="ETC6" s="406"/>
      <c r="ETD6" s="406"/>
      <c r="ETE6" s="406"/>
      <c r="ETF6" s="406"/>
      <c r="ETG6" s="406"/>
      <c r="ETH6" s="406"/>
      <c r="ETI6" s="406"/>
      <c r="ETJ6" s="406"/>
      <c r="ETK6" s="406"/>
      <c r="ETL6" s="406"/>
      <c r="ETM6" s="406"/>
      <c r="ETN6" s="406"/>
      <c r="ETO6" s="406"/>
      <c r="ETP6" s="406"/>
      <c r="ETQ6" s="406"/>
      <c r="ETR6" s="406"/>
      <c r="ETS6" s="406"/>
      <c r="ETT6" s="406"/>
      <c r="ETU6" s="406"/>
      <c r="ETV6" s="406"/>
      <c r="ETW6" s="406"/>
      <c r="ETX6" s="406"/>
      <c r="ETY6" s="406"/>
      <c r="ETZ6" s="406"/>
      <c r="EUA6" s="406"/>
      <c r="EUB6" s="406"/>
      <c r="EUC6" s="406"/>
      <c r="EUD6" s="406"/>
      <c r="EUE6" s="406"/>
      <c r="EUF6" s="406"/>
      <c r="EUG6" s="406"/>
      <c r="EUH6" s="406"/>
      <c r="EUI6" s="406"/>
      <c r="EUJ6" s="406"/>
      <c r="EUK6" s="406"/>
      <c r="EUL6" s="406"/>
      <c r="EUM6" s="406"/>
      <c r="EUN6" s="406"/>
      <c r="EUO6" s="406"/>
      <c r="EUP6" s="406"/>
      <c r="EUQ6" s="406"/>
      <c r="EUR6" s="406"/>
      <c r="EUS6" s="406"/>
      <c r="EUT6" s="406"/>
      <c r="EUU6" s="406"/>
      <c r="EUV6" s="406"/>
      <c r="EUW6" s="406"/>
      <c r="EUX6" s="406"/>
      <c r="EUY6" s="406"/>
      <c r="EUZ6" s="406"/>
      <c r="EVA6" s="406"/>
      <c r="EVB6" s="406"/>
      <c r="EVC6" s="406"/>
      <c r="EVD6" s="406"/>
      <c r="EVE6" s="406"/>
      <c r="EVF6" s="406"/>
      <c r="EVG6" s="406"/>
      <c r="EVH6" s="406"/>
      <c r="EVI6" s="406"/>
      <c r="EVJ6" s="406"/>
      <c r="EVK6" s="406"/>
      <c r="EVL6" s="406"/>
      <c r="EVM6" s="406"/>
      <c r="EVN6" s="406"/>
      <c r="EVO6" s="406"/>
      <c r="EVP6" s="406"/>
      <c r="EVQ6" s="406"/>
      <c r="EVR6" s="406"/>
      <c r="EVS6" s="406"/>
      <c r="EVT6" s="406"/>
      <c r="EVU6" s="406"/>
      <c r="EVV6" s="406"/>
      <c r="EVW6" s="406"/>
      <c r="EVX6" s="406"/>
      <c r="EVY6" s="406"/>
      <c r="EVZ6" s="406"/>
      <c r="EWA6" s="406"/>
      <c r="EWB6" s="406"/>
      <c r="EWC6" s="406"/>
      <c r="EWD6" s="406"/>
      <c r="EWE6" s="406"/>
      <c r="EWF6" s="406"/>
      <c r="EWG6" s="406"/>
      <c r="EWH6" s="406"/>
      <c r="EWI6" s="406"/>
      <c r="EWJ6" s="406"/>
      <c r="EWK6" s="406"/>
      <c r="EWL6" s="406"/>
      <c r="EWM6" s="406"/>
      <c r="EWN6" s="406"/>
      <c r="EWO6" s="406"/>
      <c r="EWP6" s="406"/>
      <c r="EWQ6" s="406"/>
      <c r="EWR6" s="406"/>
      <c r="EWS6" s="406"/>
      <c r="EWT6" s="406"/>
      <c r="EWU6" s="406"/>
      <c r="EWV6" s="406"/>
      <c r="EWW6" s="406"/>
      <c r="EWX6" s="406"/>
      <c r="EWY6" s="406"/>
      <c r="EWZ6" s="406"/>
      <c r="EXA6" s="406"/>
      <c r="EXB6" s="406"/>
      <c r="EXC6" s="406"/>
      <c r="EXD6" s="406"/>
      <c r="EXE6" s="406"/>
      <c r="EXF6" s="406"/>
      <c r="EXG6" s="406"/>
      <c r="EXH6" s="406"/>
      <c r="EXI6" s="406"/>
      <c r="EXJ6" s="406"/>
      <c r="EXK6" s="406"/>
      <c r="EXL6" s="406"/>
      <c r="EXM6" s="406"/>
      <c r="EXN6" s="406"/>
      <c r="EXO6" s="406"/>
      <c r="EXP6" s="406"/>
      <c r="EXQ6" s="406"/>
      <c r="EXR6" s="406"/>
      <c r="EXS6" s="406"/>
      <c r="EXT6" s="406"/>
      <c r="EXU6" s="406"/>
      <c r="EXV6" s="406"/>
      <c r="EXW6" s="406"/>
      <c r="EXX6" s="406"/>
      <c r="EXY6" s="406"/>
      <c r="EXZ6" s="406"/>
      <c r="EYA6" s="406"/>
      <c r="EYB6" s="406"/>
      <c r="EYC6" s="406"/>
      <c r="EYD6" s="406"/>
      <c r="EYE6" s="406"/>
      <c r="EYF6" s="406"/>
      <c r="EYG6" s="406"/>
      <c r="EYH6" s="406"/>
      <c r="EYI6" s="406"/>
      <c r="EYJ6" s="406"/>
      <c r="EYK6" s="406"/>
      <c r="EYL6" s="406"/>
      <c r="EYM6" s="406"/>
      <c r="EYN6" s="406"/>
      <c r="EYO6" s="406"/>
      <c r="EYP6" s="406"/>
      <c r="EYQ6" s="406"/>
      <c r="EYR6" s="406"/>
      <c r="EYS6" s="406"/>
      <c r="EYT6" s="406"/>
      <c r="EYU6" s="406"/>
      <c r="EYV6" s="406"/>
      <c r="EYW6" s="406"/>
      <c r="EYX6" s="406"/>
      <c r="EYY6" s="406"/>
      <c r="EYZ6" s="406"/>
      <c r="EZA6" s="406"/>
      <c r="EZB6" s="406"/>
      <c r="EZC6" s="406"/>
      <c r="EZD6" s="406"/>
      <c r="EZE6" s="406"/>
      <c r="EZF6" s="406"/>
      <c r="EZG6" s="406"/>
      <c r="EZH6" s="406"/>
      <c r="EZI6" s="406"/>
      <c r="EZJ6" s="406"/>
      <c r="EZK6" s="406"/>
      <c r="EZL6" s="406"/>
      <c r="EZM6" s="406"/>
      <c r="EZN6" s="406"/>
      <c r="EZO6" s="406"/>
      <c r="EZP6" s="406"/>
      <c r="EZQ6" s="406"/>
      <c r="EZR6" s="406"/>
      <c r="EZS6" s="406"/>
      <c r="EZT6" s="406"/>
      <c r="EZU6" s="406"/>
      <c r="EZV6" s="406"/>
      <c r="EZW6" s="406"/>
      <c r="EZX6" s="406"/>
      <c r="EZY6" s="406"/>
      <c r="EZZ6" s="406"/>
      <c r="FAA6" s="406"/>
      <c r="FAB6" s="406"/>
      <c r="FAC6" s="406"/>
      <c r="FAD6" s="406"/>
      <c r="FAE6" s="406"/>
      <c r="FAF6" s="406"/>
      <c r="FAG6" s="406"/>
      <c r="FAH6" s="406"/>
      <c r="FAI6" s="406"/>
      <c r="FAJ6" s="406"/>
      <c r="FAK6" s="406"/>
      <c r="FAL6" s="406"/>
      <c r="FAM6" s="406"/>
      <c r="FAN6" s="406"/>
      <c r="FAO6" s="406"/>
      <c r="FAP6" s="406"/>
      <c r="FAQ6" s="406"/>
      <c r="FAR6" s="406"/>
      <c r="FAS6" s="406"/>
      <c r="FAT6" s="406"/>
      <c r="FAU6" s="406"/>
      <c r="FAV6" s="406"/>
      <c r="FAW6" s="406"/>
      <c r="FAX6" s="406"/>
      <c r="FAY6" s="406"/>
      <c r="FAZ6" s="406"/>
      <c r="FBA6" s="406"/>
      <c r="FBB6" s="406"/>
      <c r="FBC6" s="406"/>
      <c r="FBD6" s="406"/>
      <c r="FBE6" s="406"/>
      <c r="FBF6" s="406"/>
      <c r="FBG6" s="406"/>
      <c r="FBH6" s="406"/>
      <c r="FBI6" s="406"/>
      <c r="FBJ6" s="406"/>
      <c r="FBK6" s="406"/>
      <c r="FBL6" s="406"/>
      <c r="FBM6" s="406"/>
      <c r="FBN6" s="406"/>
      <c r="FBO6" s="406"/>
      <c r="FBP6" s="406"/>
      <c r="FBQ6" s="406"/>
      <c r="FBR6" s="406"/>
      <c r="FBS6" s="406"/>
      <c r="FBT6" s="406"/>
      <c r="FBU6" s="406"/>
      <c r="FBV6" s="406"/>
      <c r="FBW6" s="406"/>
      <c r="FBX6" s="406"/>
      <c r="FBY6" s="406"/>
      <c r="FBZ6" s="406"/>
      <c r="FCA6" s="406"/>
      <c r="FCB6" s="406"/>
      <c r="FCC6" s="406"/>
      <c r="FCD6" s="406"/>
      <c r="FCE6" s="406"/>
      <c r="FCF6" s="406"/>
      <c r="FCG6" s="406"/>
      <c r="FCH6" s="406"/>
      <c r="FCI6" s="406"/>
      <c r="FCJ6" s="406"/>
      <c r="FCK6" s="406"/>
      <c r="FCL6" s="406"/>
      <c r="FCM6" s="406"/>
      <c r="FCN6" s="406"/>
      <c r="FCO6" s="406"/>
      <c r="FCP6" s="406"/>
      <c r="FCQ6" s="406"/>
      <c r="FCR6" s="406"/>
      <c r="FCS6" s="406"/>
      <c r="FCT6" s="406"/>
      <c r="FCU6" s="406"/>
      <c r="FCV6" s="406"/>
      <c r="FCW6" s="406"/>
      <c r="FCX6" s="406"/>
      <c r="FCY6" s="406"/>
      <c r="FCZ6" s="406"/>
      <c r="FDA6" s="406"/>
      <c r="FDB6" s="406"/>
      <c r="FDC6" s="406"/>
      <c r="FDD6" s="406"/>
      <c r="FDE6" s="406"/>
      <c r="FDF6" s="406"/>
      <c r="FDG6" s="406"/>
      <c r="FDH6" s="406"/>
      <c r="FDI6" s="406"/>
      <c r="FDJ6" s="406"/>
      <c r="FDK6" s="406"/>
      <c r="FDL6" s="406"/>
      <c r="FDM6" s="406"/>
      <c r="FDN6" s="406"/>
      <c r="FDO6" s="406"/>
      <c r="FDP6" s="406"/>
      <c r="FDQ6" s="406"/>
      <c r="FDR6" s="406"/>
      <c r="FDS6" s="406"/>
      <c r="FDT6" s="406"/>
      <c r="FDU6" s="406"/>
      <c r="FDV6" s="406"/>
      <c r="FDW6" s="406"/>
      <c r="FDX6" s="406"/>
      <c r="FDY6" s="406"/>
      <c r="FDZ6" s="406"/>
      <c r="FEA6" s="406"/>
      <c r="FEB6" s="406"/>
      <c r="FEC6" s="406"/>
      <c r="FED6" s="406"/>
      <c r="FEE6" s="406"/>
      <c r="FEF6" s="406"/>
      <c r="FEG6" s="406"/>
      <c r="FEH6" s="406"/>
      <c r="FEI6" s="406"/>
      <c r="FEJ6" s="406"/>
      <c r="FEK6" s="406"/>
      <c r="FEL6" s="406"/>
      <c r="FEM6" s="406"/>
      <c r="FEN6" s="406"/>
      <c r="FEO6" s="406"/>
      <c r="FEP6" s="406"/>
      <c r="FEQ6" s="406"/>
      <c r="FER6" s="406"/>
      <c r="FES6" s="406"/>
      <c r="FET6" s="406"/>
      <c r="FEU6" s="406"/>
      <c r="FEV6" s="406"/>
      <c r="FEW6" s="406"/>
      <c r="FEX6" s="406"/>
      <c r="FEY6" s="406"/>
      <c r="FEZ6" s="406"/>
      <c r="FFA6" s="406"/>
      <c r="FFB6" s="406"/>
      <c r="FFC6" s="406"/>
      <c r="FFD6" s="406"/>
      <c r="FFE6" s="406"/>
      <c r="FFF6" s="406"/>
      <c r="FFG6" s="406"/>
      <c r="FFH6" s="406"/>
      <c r="FFI6" s="406"/>
      <c r="FFJ6" s="406"/>
      <c r="FFK6" s="406"/>
      <c r="FFL6" s="406"/>
      <c r="FFM6" s="406"/>
      <c r="FFN6" s="406"/>
      <c r="FFO6" s="406"/>
      <c r="FFP6" s="406"/>
      <c r="FFQ6" s="406"/>
      <c r="FFR6" s="406"/>
      <c r="FFS6" s="406"/>
      <c r="FFT6" s="406"/>
      <c r="FFU6" s="406"/>
      <c r="FFV6" s="406"/>
      <c r="FFW6" s="406"/>
      <c r="FFX6" s="406"/>
      <c r="FFY6" s="406"/>
      <c r="FFZ6" s="406"/>
      <c r="FGA6" s="406"/>
      <c r="FGB6" s="406"/>
      <c r="FGC6" s="406"/>
      <c r="FGD6" s="406"/>
      <c r="FGE6" s="406"/>
      <c r="FGF6" s="406"/>
      <c r="FGG6" s="406"/>
      <c r="FGH6" s="406"/>
      <c r="FGI6" s="406"/>
      <c r="FGJ6" s="406"/>
      <c r="FGK6" s="406"/>
      <c r="FGL6" s="406"/>
      <c r="FGM6" s="406"/>
      <c r="FGN6" s="406"/>
      <c r="FGO6" s="406"/>
      <c r="FGP6" s="406"/>
      <c r="FGQ6" s="406"/>
      <c r="FGR6" s="406"/>
      <c r="FGS6" s="406"/>
      <c r="FGT6" s="406"/>
      <c r="FGU6" s="406"/>
      <c r="FGV6" s="406"/>
      <c r="FGW6" s="406"/>
      <c r="FGX6" s="406"/>
      <c r="FGY6" s="406"/>
      <c r="FGZ6" s="406"/>
      <c r="FHA6" s="406"/>
      <c r="FHB6" s="406"/>
      <c r="FHC6" s="406"/>
      <c r="FHD6" s="406"/>
      <c r="FHE6" s="406"/>
      <c r="FHF6" s="406"/>
      <c r="FHG6" s="406"/>
      <c r="FHH6" s="406"/>
      <c r="FHI6" s="406"/>
      <c r="FHJ6" s="406"/>
      <c r="FHK6" s="406"/>
      <c r="FHL6" s="406"/>
      <c r="FHM6" s="406"/>
      <c r="FHN6" s="406"/>
      <c r="FHO6" s="406"/>
      <c r="FHP6" s="406"/>
      <c r="FHQ6" s="406"/>
      <c r="FHR6" s="406"/>
      <c r="FHS6" s="406"/>
      <c r="FHT6" s="406"/>
      <c r="FHU6" s="406"/>
      <c r="FHV6" s="406"/>
      <c r="FHW6" s="406"/>
      <c r="FHX6" s="406"/>
      <c r="FHY6" s="406"/>
      <c r="FHZ6" s="406"/>
      <c r="FIA6" s="406"/>
      <c r="FIB6" s="406"/>
      <c r="FIC6" s="406"/>
      <c r="FID6" s="406"/>
      <c r="FIE6" s="406"/>
      <c r="FIF6" s="406"/>
      <c r="FIG6" s="406"/>
      <c r="FIH6" s="406"/>
      <c r="FII6" s="406"/>
      <c r="FIJ6" s="406"/>
      <c r="FIK6" s="406"/>
      <c r="FIL6" s="406"/>
      <c r="FIM6" s="406"/>
      <c r="FIN6" s="406"/>
      <c r="FIO6" s="406"/>
      <c r="FIP6" s="406"/>
      <c r="FIQ6" s="406"/>
      <c r="FIR6" s="406"/>
      <c r="FIS6" s="406"/>
      <c r="FIT6" s="406"/>
      <c r="FIU6" s="406"/>
      <c r="FIV6" s="406"/>
      <c r="FIW6" s="406"/>
      <c r="FIX6" s="406"/>
      <c r="FIY6" s="406"/>
      <c r="FIZ6" s="406"/>
      <c r="FJA6" s="406"/>
      <c r="FJB6" s="406"/>
      <c r="FJC6" s="406"/>
      <c r="FJD6" s="406"/>
      <c r="FJE6" s="406"/>
      <c r="FJF6" s="406"/>
      <c r="FJG6" s="406"/>
      <c r="FJH6" s="406"/>
      <c r="FJI6" s="406"/>
      <c r="FJJ6" s="406"/>
      <c r="FJK6" s="406"/>
      <c r="FJL6" s="406"/>
      <c r="FJM6" s="406"/>
      <c r="FJN6" s="406"/>
      <c r="FJO6" s="406"/>
      <c r="FJP6" s="406"/>
      <c r="FJQ6" s="406"/>
      <c r="FJR6" s="406"/>
      <c r="FJS6" s="406"/>
      <c r="FJT6" s="406"/>
      <c r="FJU6" s="406"/>
      <c r="FJV6" s="406"/>
      <c r="FJW6" s="406"/>
      <c r="FJX6" s="406"/>
      <c r="FJY6" s="406"/>
      <c r="FJZ6" s="406"/>
      <c r="FKA6" s="406"/>
      <c r="FKB6" s="406"/>
      <c r="FKC6" s="406"/>
      <c r="FKD6" s="406"/>
      <c r="FKE6" s="406"/>
      <c r="FKF6" s="406"/>
      <c r="FKG6" s="406"/>
      <c r="FKH6" s="406"/>
      <c r="FKI6" s="406"/>
      <c r="FKJ6" s="406"/>
      <c r="FKK6" s="406"/>
      <c r="FKL6" s="406"/>
      <c r="FKM6" s="406"/>
      <c r="FKN6" s="406"/>
      <c r="FKO6" s="406"/>
      <c r="FKP6" s="406"/>
      <c r="FKQ6" s="406"/>
      <c r="FKR6" s="406"/>
      <c r="FKS6" s="406"/>
      <c r="FKT6" s="406"/>
      <c r="FKU6" s="406"/>
      <c r="FKV6" s="406"/>
      <c r="FKW6" s="406"/>
      <c r="FKX6" s="406"/>
      <c r="FKY6" s="406"/>
      <c r="FKZ6" s="406"/>
      <c r="FLA6" s="406"/>
      <c r="FLB6" s="406"/>
      <c r="FLC6" s="406"/>
      <c r="FLD6" s="406"/>
      <c r="FLE6" s="406"/>
      <c r="FLF6" s="406"/>
      <c r="FLG6" s="406"/>
      <c r="FLH6" s="406"/>
      <c r="FLI6" s="406"/>
      <c r="FLJ6" s="406"/>
      <c r="FLK6" s="406"/>
      <c r="FLL6" s="406"/>
      <c r="FLM6" s="406"/>
      <c r="FLN6" s="406"/>
      <c r="FLO6" s="406"/>
      <c r="FLP6" s="406"/>
      <c r="FLQ6" s="406"/>
      <c r="FLR6" s="406"/>
      <c r="FLS6" s="406"/>
      <c r="FLT6" s="406"/>
      <c r="FLU6" s="406"/>
      <c r="FLV6" s="406"/>
      <c r="FLW6" s="406"/>
      <c r="FLX6" s="406"/>
      <c r="FLY6" s="406"/>
      <c r="FLZ6" s="406"/>
      <c r="FMA6" s="406"/>
      <c r="FMB6" s="406"/>
      <c r="FMC6" s="406"/>
      <c r="FMD6" s="406"/>
      <c r="FME6" s="406"/>
      <c r="FMF6" s="406"/>
      <c r="FMG6" s="406"/>
      <c r="FMH6" s="406"/>
      <c r="FMI6" s="406"/>
      <c r="FMJ6" s="406"/>
      <c r="FMK6" s="406"/>
      <c r="FML6" s="406"/>
      <c r="FMM6" s="406"/>
      <c r="FMN6" s="406"/>
      <c r="FMO6" s="406"/>
      <c r="FMP6" s="406"/>
      <c r="FMQ6" s="406"/>
      <c r="FMR6" s="406"/>
      <c r="FMS6" s="406"/>
      <c r="FMT6" s="406"/>
      <c r="FMU6" s="406"/>
      <c r="FMV6" s="406"/>
      <c r="FMW6" s="406"/>
      <c r="FMX6" s="406"/>
      <c r="FMY6" s="406"/>
      <c r="FMZ6" s="406"/>
      <c r="FNA6" s="406"/>
      <c r="FNB6" s="406"/>
      <c r="FNC6" s="406"/>
      <c r="FND6" s="406"/>
      <c r="FNE6" s="406"/>
      <c r="FNF6" s="406"/>
      <c r="FNG6" s="406"/>
      <c r="FNH6" s="406"/>
      <c r="FNI6" s="406"/>
      <c r="FNJ6" s="406"/>
      <c r="FNK6" s="406"/>
      <c r="FNL6" s="406"/>
      <c r="FNM6" s="406"/>
      <c r="FNN6" s="406"/>
      <c r="FNO6" s="406"/>
      <c r="FNP6" s="406"/>
      <c r="FNQ6" s="406"/>
      <c r="FNR6" s="406"/>
      <c r="FNS6" s="406"/>
      <c r="FNT6" s="406"/>
      <c r="FNU6" s="406"/>
      <c r="FNV6" s="406"/>
      <c r="FNW6" s="406"/>
      <c r="FNX6" s="406"/>
      <c r="FNY6" s="406"/>
      <c r="FNZ6" s="406"/>
      <c r="FOA6" s="406"/>
      <c r="FOB6" s="406"/>
      <c r="FOC6" s="406"/>
      <c r="FOD6" s="406"/>
      <c r="FOE6" s="406"/>
      <c r="FOF6" s="406"/>
      <c r="FOG6" s="406"/>
      <c r="FOH6" s="406"/>
      <c r="FOI6" s="406"/>
      <c r="FOJ6" s="406"/>
      <c r="FOK6" s="406"/>
      <c r="FOL6" s="406"/>
      <c r="FOM6" s="406"/>
      <c r="FON6" s="406"/>
      <c r="FOO6" s="406"/>
      <c r="FOP6" s="406"/>
      <c r="FOQ6" s="406"/>
      <c r="FOR6" s="406"/>
      <c r="FOS6" s="406"/>
      <c r="FOT6" s="406"/>
      <c r="FOU6" s="406"/>
      <c r="FOV6" s="406"/>
      <c r="FOW6" s="406"/>
      <c r="FOX6" s="406"/>
      <c r="FOY6" s="406"/>
      <c r="FOZ6" s="406"/>
      <c r="FPA6" s="406"/>
      <c r="FPB6" s="406"/>
      <c r="FPC6" s="406"/>
      <c r="FPD6" s="406"/>
      <c r="FPE6" s="406"/>
      <c r="FPF6" s="406"/>
      <c r="FPG6" s="406"/>
      <c r="FPH6" s="406"/>
      <c r="FPI6" s="406"/>
      <c r="FPJ6" s="406"/>
      <c r="FPK6" s="406"/>
      <c r="FPL6" s="406"/>
      <c r="FPM6" s="406"/>
      <c r="FPN6" s="406"/>
      <c r="FPO6" s="406"/>
      <c r="FPP6" s="406"/>
      <c r="FPQ6" s="406"/>
      <c r="FPR6" s="406"/>
      <c r="FPS6" s="406"/>
      <c r="FPT6" s="406"/>
      <c r="FPU6" s="406"/>
      <c r="FPV6" s="406"/>
      <c r="FPW6" s="406"/>
      <c r="FPX6" s="406"/>
      <c r="FPY6" s="406"/>
      <c r="FPZ6" s="406"/>
      <c r="FQA6" s="406"/>
      <c r="FQB6" s="406"/>
      <c r="FQC6" s="406"/>
      <c r="FQD6" s="406"/>
      <c r="FQE6" s="406"/>
      <c r="FQF6" s="406"/>
      <c r="FQG6" s="406"/>
      <c r="FQH6" s="406"/>
      <c r="FQI6" s="406"/>
      <c r="FQJ6" s="406"/>
      <c r="FQK6" s="406"/>
      <c r="FQL6" s="406"/>
      <c r="FQM6" s="406"/>
      <c r="FQN6" s="406"/>
      <c r="FQO6" s="406"/>
      <c r="FQP6" s="406"/>
      <c r="FQQ6" s="406"/>
      <c r="FQR6" s="406"/>
      <c r="FQS6" s="406"/>
      <c r="FQT6" s="406"/>
      <c r="FQU6" s="406"/>
      <c r="FQV6" s="406"/>
      <c r="FQW6" s="406"/>
      <c r="FQX6" s="406"/>
      <c r="FQY6" s="406"/>
      <c r="FQZ6" s="406"/>
      <c r="FRA6" s="406"/>
      <c r="FRB6" s="406"/>
      <c r="FRC6" s="406"/>
      <c r="FRD6" s="406"/>
      <c r="FRE6" s="406"/>
      <c r="FRF6" s="406"/>
      <c r="FRG6" s="406"/>
      <c r="FRH6" s="406"/>
      <c r="FRI6" s="406"/>
      <c r="FRJ6" s="406"/>
      <c r="FRK6" s="406"/>
      <c r="FRL6" s="406"/>
      <c r="FRM6" s="406"/>
      <c r="FRN6" s="406"/>
      <c r="FRO6" s="406"/>
      <c r="FRP6" s="406"/>
      <c r="FRQ6" s="406"/>
      <c r="FRR6" s="406"/>
      <c r="FRS6" s="406"/>
      <c r="FRT6" s="406"/>
      <c r="FRU6" s="406"/>
      <c r="FRV6" s="406"/>
      <c r="FRW6" s="406"/>
      <c r="FRX6" s="406"/>
      <c r="FRY6" s="406"/>
      <c r="FRZ6" s="406"/>
      <c r="FSA6" s="406"/>
      <c r="FSB6" s="406"/>
      <c r="FSC6" s="406"/>
      <c r="FSD6" s="406"/>
      <c r="FSE6" s="406"/>
      <c r="FSF6" s="406"/>
      <c r="FSG6" s="406"/>
      <c r="FSH6" s="406"/>
      <c r="FSI6" s="406"/>
      <c r="FSJ6" s="406"/>
      <c r="FSK6" s="406"/>
      <c r="FSL6" s="406"/>
      <c r="FSM6" s="406"/>
      <c r="FSN6" s="406"/>
      <c r="FSO6" s="406"/>
      <c r="FSP6" s="406"/>
      <c r="FSQ6" s="406"/>
      <c r="FSR6" s="406"/>
      <c r="FSS6" s="406"/>
      <c r="FST6" s="406"/>
      <c r="FSU6" s="406"/>
      <c r="FSV6" s="406"/>
      <c r="FSW6" s="406"/>
      <c r="FSX6" s="406"/>
      <c r="FSY6" s="406"/>
      <c r="FSZ6" s="406"/>
      <c r="FTA6" s="406"/>
      <c r="FTB6" s="406"/>
      <c r="FTC6" s="406"/>
      <c r="FTD6" s="406"/>
      <c r="FTE6" s="406"/>
      <c r="FTF6" s="406"/>
      <c r="FTG6" s="406"/>
      <c r="FTH6" s="406"/>
      <c r="FTI6" s="406"/>
      <c r="FTJ6" s="406"/>
      <c r="FTK6" s="406"/>
      <c r="FTL6" s="406"/>
      <c r="FTM6" s="406"/>
      <c r="FTN6" s="406"/>
      <c r="FTO6" s="406"/>
      <c r="FTP6" s="406"/>
      <c r="FTQ6" s="406"/>
      <c r="FTR6" s="406"/>
      <c r="FTS6" s="406"/>
      <c r="FTT6" s="406"/>
      <c r="FTU6" s="406"/>
      <c r="FTV6" s="406"/>
      <c r="FTW6" s="406"/>
      <c r="FTX6" s="406"/>
      <c r="FTY6" s="406"/>
      <c r="FTZ6" s="406"/>
      <c r="FUA6" s="406"/>
      <c r="FUB6" s="406"/>
      <c r="FUC6" s="406"/>
      <c r="FUD6" s="406"/>
      <c r="FUE6" s="406"/>
      <c r="FUF6" s="406"/>
      <c r="FUG6" s="406"/>
      <c r="FUH6" s="406"/>
      <c r="FUI6" s="406"/>
      <c r="FUJ6" s="406"/>
      <c r="FUK6" s="406"/>
      <c r="FUL6" s="406"/>
      <c r="FUM6" s="406"/>
      <c r="FUN6" s="406"/>
      <c r="FUO6" s="406"/>
      <c r="FUP6" s="406"/>
      <c r="FUQ6" s="406"/>
      <c r="FUR6" s="406"/>
      <c r="FUS6" s="406"/>
      <c r="FUT6" s="406"/>
      <c r="FUU6" s="406"/>
      <c r="FUV6" s="406"/>
      <c r="FUW6" s="406"/>
      <c r="FUX6" s="406"/>
      <c r="FUY6" s="406"/>
      <c r="FUZ6" s="406"/>
      <c r="FVA6" s="406"/>
      <c r="FVB6" s="406"/>
      <c r="FVC6" s="406"/>
      <c r="FVD6" s="406"/>
      <c r="FVE6" s="406"/>
      <c r="FVF6" s="406"/>
      <c r="FVG6" s="406"/>
      <c r="FVH6" s="406"/>
      <c r="FVI6" s="406"/>
      <c r="FVJ6" s="406"/>
      <c r="FVK6" s="406"/>
      <c r="FVL6" s="406"/>
      <c r="FVM6" s="406"/>
      <c r="FVN6" s="406"/>
      <c r="FVO6" s="406"/>
      <c r="FVP6" s="406"/>
      <c r="FVQ6" s="406"/>
      <c r="FVR6" s="406"/>
      <c r="FVS6" s="406"/>
      <c r="FVT6" s="406"/>
      <c r="FVU6" s="406"/>
      <c r="FVV6" s="406"/>
      <c r="FVW6" s="406"/>
      <c r="FVX6" s="406"/>
      <c r="FVY6" s="406"/>
      <c r="FVZ6" s="406"/>
      <c r="FWA6" s="406"/>
      <c r="FWB6" s="406"/>
      <c r="FWC6" s="406"/>
      <c r="FWD6" s="406"/>
      <c r="FWE6" s="406"/>
      <c r="FWF6" s="406"/>
      <c r="FWG6" s="406"/>
      <c r="FWH6" s="406"/>
      <c r="FWI6" s="406"/>
      <c r="FWJ6" s="406"/>
      <c r="FWK6" s="406"/>
      <c r="FWL6" s="406"/>
      <c r="FWM6" s="406"/>
      <c r="FWN6" s="406"/>
      <c r="FWO6" s="406"/>
      <c r="FWP6" s="406"/>
      <c r="FWQ6" s="406"/>
      <c r="FWR6" s="406"/>
      <c r="FWS6" s="406"/>
      <c r="FWT6" s="406"/>
      <c r="FWU6" s="406"/>
      <c r="FWV6" s="406"/>
      <c r="FWW6" s="406"/>
      <c r="FWX6" s="406"/>
      <c r="FWY6" s="406"/>
      <c r="FWZ6" s="406"/>
      <c r="FXA6" s="406"/>
      <c r="FXB6" s="406"/>
      <c r="FXC6" s="406"/>
      <c r="FXD6" s="406"/>
      <c r="FXE6" s="406"/>
      <c r="FXF6" s="406"/>
      <c r="FXG6" s="406"/>
      <c r="FXH6" s="406"/>
      <c r="FXI6" s="406"/>
      <c r="FXJ6" s="406"/>
      <c r="FXK6" s="406"/>
      <c r="FXL6" s="406"/>
      <c r="FXM6" s="406"/>
      <c r="FXN6" s="406"/>
      <c r="FXO6" s="406"/>
      <c r="FXP6" s="406"/>
      <c r="FXQ6" s="406"/>
      <c r="FXR6" s="406"/>
      <c r="FXS6" s="406"/>
      <c r="FXT6" s="406"/>
      <c r="FXU6" s="406"/>
      <c r="FXV6" s="406"/>
      <c r="FXW6" s="406"/>
      <c r="FXX6" s="406"/>
      <c r="FXY6" s="406"/>
      <c r="FXZ6" s="406"/>
      <c r="FYA6" s="406"/>
      <c r="FYB6" s="406"/>
      <c r="FYC6" s="406"/>
      <c r="FYD6" s="406"/>
      <c r="FYE6" s="406"/>
      <c r="FYF6" s="406"/>
      <c r="FYG6" s="406"/>
      <c r="FYH6" s="406"/>
      <c r="FYI6" s="406"/>
      <c r="FYJ6" s="406"/>
      <c r="FYK6" s="406"/>
      <c r="FYL6" s="406"/>
      <c r="FYM6" s="406"/>
      <c r="FYN6" s="406"/>
      <c r="FYO6" s="406"/>
      <c r="FYP6" s="406"/>
      <c r="FYQ6" s="406"/>
      <c r="FYR6" s="406"/>
      <c r="FYS6" s="406"/>
      <c r="FYT6" s="406"/>
      <c r="FYU6" s="406"/>
      <c r="FYV6" s="406"/>
      <c r="FYW6" s="406"/>
      <c r="FYX6" s="406"/>
      <c r="FYY6" s="406"/>
      <c r="FYZ6" s="406"/>
      <c r="FZA6" s="406"/>
      <c r="FZB6" s="406"/>
      <c r="FZC6" s="406"/>
      <c r="FZD6" s="406"/>
      <c r="FZE6" s="406"/>
      <c r="FZF6" s="406"/>
      <c r="FZG6" s="406"/>
      <c r="FZH6" s="406"/>
      <c r="FZI6" s="406"/>
      <c r="FZJ6" s="406"/>
      <c r="FZK6" s="406"/>
      <c r="FZL6" s="406"/>
      <c r="FZM6" s="406"/>
      <c r="FZN6" s="406"/>
      <c r="FZO6" s="406"/>
      <c r="FZP6" s="406"/>
      <c r="FZQ6" s="406"/>
      <c r="FZR6" s="406"/>
      <c r="FZS6" s="406"/>
      <c r="FZT6" s="406"/>
      <c r="FZU6" s="406"/>
      <c r="FZV6" s="406"/>
      <c r="FZW6" s="406"/>
      <c r="FZX6" s="406"/>
      <c r="FZY6" s="406"/>
      <c r="FZZ6" s="406"/>
      <c r="GAA6" s="406"/>
      <c r="GAB6" s="406"/>
      <c r="GAC6" s="406"/>
      <c r="GAD6" s="406"/>
      <c r="GAE6" s="406"/>
      <c r="GAF6" s="406"/>
      <c r="GAG6" s="406"/>
      <c r="GAH6" s="406"/>
      <c r="GAI6" s="406"/>
      <c r="GAJ6" s="406"/>
      <c r="GAK6" s="406"/>
      <c r="GAL6" s="406"/>
      <c r="GAM6" s="406"/>
      <c r="GAN6" s="406"/>
      <c r="GAO6" s="406"/>
      <c r="GAP6" s="406"/>
      <c r="GAQ6" s="406"/>
      <c r="GAR6" s="406"/>
      <c r="GAS6" s="406"/>
      <c r="GAT6" s="406"/>
      <c r="GAU6" s="406"/>
      <c r="GAV6" s="406"/>
      <c r="GAW6" s="406"/>
      <c r="GAX6" s="406"/>
      <c r="GAY6" s="406"/>
      <c r="GAZ6" s="406"/>
      <c r="GBA6" s="406"/>
      <c r="GBB6" s="406"/>
      <c r="GBC6" s="406"/>
      <c r="GBD6" s="406"/>
      <c r="GBE6" s="406"/>
      <c r="GBF6" s="406"/>
      <c r="GBG6" s="406"/>
      <c r="GBH6" s="406"/>
      <c r="GBI6" s="406"/>
      <c r="GBJ6" s="406"/>
      <c r="GBK6" s="406"/>
      <c r="GBL6" s="406"/>
      <c r="GBM6" s="406"/>
      <c r="GBN6" s="406"/>
      <c r="GBO6" s="406"/>
      <c r="GBP6" s="406"/>
      <c r="GBQ6" s="406"/>
      <c r="GBR6" s="406"/>
      <c r="GBS6" s="406"/>
      <c r="GBT6" s="406"/>
      <c r="GBU6" s="406"/>
      <c r="GBV6" s="406"/>
      <c r="GBW6" s="406"/>
      <c r="GBX6" s="406"/>
      <c r="GBY6" s="406"/>
      <c r="GBZ6" s="406"/>
      <c r="GCA6" s="406"/>
      <c r="GCB6" s="406"/>
      <c r="GCC6" s="406"/>
      <c r="GCD6" s="406"/>
      <c r="GCE6" s="406"/>
      <c r="GCF6" s="406"/>
      <c r="GCG6" s="406"/>
      <c r="GCH6" s="406"/>
      <c r="GCI6" s="406"/>
      <c r="GCJ6" s="406"/>
      <c r="GCK6" s="406"/>
      <c r="GCL6" s="406"/>
      <c r="GCM6" s="406"/>
      <c r="GCN6" s="406"/>
      <c r="GCO6" s="406"/>
      <c r="GCP6" s="406"/>
      <c r="GCQ6" s="406"/>
      <c r="GCR6" s="406"/>
      <c r="GCS6" s="406"/>
      <c r="GCT6" s="406"/>
      <c r="GCU6" s="406"/>
      <c r="GCV6" s="406"/>
      <c r="GCW6" s="406"/>
      <c r="GCX6" s="406"/>
      <c r="GCY6" s="406"/>
      <c r="GCZ6" s="406"/>
      <c r="GDA6" s="406"/>
      <c r="GDB6" s="406"/>
      <c r="GDC6" s="406"/>
      <c r="GDD6" s="406"/>
      <c r="GDE6" s="406"/>
      <c r="GDF6" s="406"/>
      <c r="GDG6" s="406"/>
      <c r="GDH6" s="406"/>
      <c r="GDI6" s="406"/>
      <c r="GDJ6" s="406"/>
      <c r="GDK6" s="406"/>
      <c r="GDL6" s="406"/>
      <c r="GDM6" s="406"/>
      <c r="GDN6" s="406"/>
      <c r="GDO6" s="406"/>
      <c r="GDP6" s="406"/>
      <c r="GDQ6" s="406"/>
      <c r="GDR6" s="406"/>
      <c r="GDS6" s="406"/>
      <c r="GDT6" s="406"/>
      <c r="GDU6" s="406"/>
      <c r="GDV6" s="406"/>
      <c r="GDW6" s="406"/>
      <c r="GDX6" s="406"/>
      <c r="GDY6" s="406"/>
      <c r="GDZ6" s="406"/>
      <c r="GEA6" s="406"/>
      <c r="GEB6" s="406"/>
      <c r="GEC6" s="406"/>
      <c r="GED6" s="406"/>
      <c r="GEE6" s="406"/>
      <c r="GEF6" s="406"/>
      <c r="GEG6" s="406"/>
      <c r="GEH6" s="406"/>
      <c r="GEI6" s="406"/>
      <c r="GEJ6" s="406"/>
      <c r="GEK6" s="406"/>
      <c r="GEL6" s="406"/>
      <c r="GEM6" s="406"/>
      <c r="GEN6" s="406"/>
      <c r="GEO6" s="406"/>
      <c r="GEP6" s="406"/>
      <c r="GEQ6" s="406"/>
      <c r="GER6" s="406"/>
      <c r="GES6" s="406"/>
      <c r="GET6" s="406"/>
      <c r="GEU6" s="406"/>
      <c r="GEV6" s="406"/>
      <c r="GEW6" s="406"/>
      <c r="GEX6" s="406"/>
      <c r="GEY6" s="406"/>
      <c r="GEZ6" s="406"/>
      <c r="GFA6" s="406"/>
      <c r="GFB6" s="406"/>
      <c r="GFC6" s="406"/>
      <c r="GFD6" s="406"/>
      <c r="GFE6" s="406"/>
      <c r="GFF6" s="406"/>
      <c r="GFG6" s="406"/>
      <c r="GFH6" s="406"/>
      <c r="GFI6" s="406"/>
      <c r="GFJ6" s="406"/>
      <c r="GFK6" s="406"/>
      <c r="GFL6" s="406"/>
      <c r="GFM6" s="406"/>
      <c r="GFN6" s="406"/>
      <c r="GFO6" s="406"/>
      <c r="GFP6" s="406"/>
      <c r="GFQ6" s="406"/>
      <c r="GFR6" s="406"/>
      <c r="GFS6" s="406"/>
      <c r="GFT6" s="406"/>
      <c r="GFU6" s="406"/>
      <c r="GFV6" s="406"/>
      <c r="GFW6" s="406"/>
      <c r="GFX6" s="406"/>
      <c r="GFY6" s="406"/>
      <c r="GFZ6" s="406"/>
      <c r="GGA6" s="406"/>
      <c r="GGB6" s="406"/>
      <c r="GGC6" s="406"/>
      <c r="GGD6" s="406"/>
      <c r="GGE6" s="406"/>
      <c r="GGF6" s="406"/>
      <c r="GGG6" s="406"/>
      <c r="GGH6" s="406"/>
      <c r="GGI6" s="406"/>
      <c r="GGJ6" s="406"/>
      <c r="GGK6" s="406"/>
      <c r="GGL6" s="406"/>
      <c r="GGM6" s="406"/>
      <c r="GGN6" s="406"/>
      <c r="GGO6" s="406"/>
      <c r="GGP6" s="406"/>
      <c r="GGQ6" s="406"/>
      <c r="GGR6" s="406"/>
      <c r="GGS6" s="406"/>
      <c r="GGT6" s="406"/>
      <c r="GGU6" s="406"/>
      <c r="GGV6" s="406"/>
      <c r="GGW6" s="406"/>
      <c r="GGX6" s="406"/>
      <c r="GGY6" s="406"/>
      <c r="GGZ6" s="406"/>
      <c r="GHA6" s="406"/>
      <c r="GHB6" s="406"/>
      <c r="GHC6" s="406"/>
      <c r="GHD6" s="406"/>
      <c r="GHE6" s="406"/>
      <c r="GHF6" s="406"/>
      <c r="GHG6" s="406"/>
      <c r="GHH6" s="406"/>
      <c r="GHI6" s="406"/>
      <c r="GHJ6" s="406"/>
      <c r="GHK6" s="406"/>
      <c r="GHL6" s="406"/>
      <c r="GHM6" s="406"/>
      <c r="GHN6" s="406"/>
      <c r="GHO6" s="406"/>
      <c r="GHP6" s="406"/>
      <c r="GHQ6" s="406"/>
      <c r="GHR6" s="406"/>
      <c r="GHS6" s="406"/>
      <c r="GHT6" s="406"/>
      <c r="GHU6" s="406"/>
      <c r="GHV6" s="406"/>
      <c r="GHW6" s="406"/>
      <c r="GHX6" s="406"/>
      <c r="GHY6" s="406"/>
      <c r="GHZ6" s="406"/>
      <c r="GIA6" s="406"/>
      <c r="GIB6" s="406"/>
      <c r="GIC6" s="406"/>
      <c r="GID6" s="406"/>
      <c r="GIE6" s="406"/>
      <c r="GIF6" s="406"/>
      <c r="GIG6" s="406"/>
      <c r="GIH6" s="406"/>
      <c r="GII6" s="406"/>
      <c r="GIJ6" s="406"/>
      <c r="GIK6" s="406"/>
      <c r="GIL6" s="406"/>
      <c r="GIM6" s="406"/>
      <c r="GIN6" s="406"/>
      <c r="GIO6" s="406"/>
      <c r="GIP6" s="406"/>
      <c r="GIQ6" s="406"/>
      <c r="GIR6" s="406"/>
      <c r="GIS6" s="406"/>
      <c r="GIT6" s="406"/>
      <c r="GIU6" s="406"/>
      <c r="GIV6" s="406"/>
      <c r="GIW6" s="406"/>
      <c r="GIX6" s="406"/>
      <c r="GIY6" s="406"/>
      <c r="GIZ6" s="406"/>
      <c r="GJA6" s="406"/>
      <c r="GJB6" s="406"/>
      <c r="GJC6" s="406"/>
      <c r="GJD6" s="406"/>
      <c r="GJE6" s="406"/>
      <c r="GJF6" s="406"/>
      <c r="GJG6" s="406"/>
      <c r="GJH6" s="406"/>
      <c r="GJI6" s="406"/>
      <c r="GJJ6" s="406"/>
      <c r="GJK6" s="406"/>
      <c r="GJL6" s="406"/>
      <c r="GJM6" s="406"/>
      <c r="GJN6" s="406"/>
      <c r="GJO6" s="406"/>
      <c r="GJP6" s="406"/>
      <c r="GJQ6" s="406"/>
      <c r="GJR6" s="406"/>
      <c r="GJS6" s="406"/>
      <c r="GJT6" s="406"/>
      <c r="GJU6" s="406"/>
      <c r="GJV6" s="406"/>
      <c r="GJW6" s="406"/>
      <c r="GJX6" s="406"/>
      <c r="GJY6" s="406"/>
      <c r="GJZ6" s="406"/>
      <c r="GKA6" s="406"/>
      <c r="GKB6" s="406"/>
      <c r="GKC6" s="406"/>
      <c r="GKD6" s="406"/>
      <c r="GKE6" s="406"/>
      <c r="GKF6" s="406"/>
      <c r="GKG6" s="406"/>
      <c r="GKH6" s="406"/>
      <c r="GKI6" s="406"/>
      <c r="GKJ6" s="406"/>
      <c r="GKK6" s="406"/>
      <c r="GKL6" s="406"/>
      <c r="GKM6" s="406"/>
      <c r="GKN6" s="406"/>
      <c r="GKO6" s="406"/>
      <c r="GKP6" s="406"/>
      <c r="GKQ6" s="406"/>
      <c r="GKR6" s="406"/>
      <c r="GKS6" s="406"/>
      <c r="GKT6" s="406"/>
      <c r="GKU6" s="406"/>
      <c r="GKV6" s="406"/>
      <c r="GKW6" s="406"/>
      <c r="GKX6" s="406"/>
      <c r="GKY6" s="406"/>
      <c r="GKZ6" s="406"/>
      <c r="GLA6" s="406"/>
      <c r="GLB6" s="406"/>
      <c r="GLC6" s="406"/>
      <c r="GLD6" s="406"/>
      <c r="GLE6" s="406"/>
      <c r="GLF6" s="406"/>
      <c r="GLG6" s="406"/>
      <c r="GLH6" s="406"/>
      <c r="GLI6" s="406"/>
      <c r="GLJ6" s="406"/>
      <c r="GLK6" s="406"/>
      <c r="GLL6" s="406"/>
      <c r="GLM6" s="406"/>
      <c r="GLN6" s="406"/>
      <c r="GLO6" s="406"/>
      <c r="GLP6" s="406"/>
      <c r="GLQ6" s="406"/>
      <c r="GLR6" s="406"/>
      <c r="GLS6" s="406"/>
      <c r="GLT6" s="406"/>
      <c r="GLU6" s="406"/>
      <c r="GLV6" s="406"/>
      <c r="GLW6" s="406"/>
      <c r="GLX6" s="406"/>
      <c r="GLY6" s="406"/>
      <c r="GLZ6" s="406"/>
      <c r="GMA6" s="406"/>
      <c r="GMB6" s="406"/>
      <c r="GMC6" s="406"/>
      <c r="GMD6" s="406"/>
      <c r="GME6" s="406"/>
      <c r="GMF6" s="406"/>
      <c r="GMG6" s="406"/>
      <c r="GMH6" s="406"/>
      <c r="GMI6" s="406"/>
      <c r="GMJ6" s="406"/>
      <c r="GMK6" s="406"/>
      <c r="GML6" s="406"/>
      <c r="GMM6" s="406"/>
      <c r="GMN6" s="406"/>
      <c r="GMO6" s="406"/>
      <c r="GMP6" s="406"/>
      <c r="GMQ6" s="406"/>
      <c r="GMR6" s="406"/>
      <c r="GMS6" s="406"/>
      <c r="GMT6" s="406"/>
      <c r="GMU6" s="406"/>
      <c r="GMV6" s="406"/>
      <c r="GMW6" s="406"/>
      <c r="GMX6" s="406"/>
      <c r="GMY6" s="406"/>
      <c r="GMZ6" s="406"/>
      <c r="GNA6" s="406"/>
      <c r="GNB6" s="406"/>
      <c r="GNC6" s="406"/>
      <c r="GND6" s="406"/>
      <c r="GNE6" s="406"/>
      <c r="GNF6" s="406"/>
      <c r="GNG6" s="406"/>
      <c r="GNH6" s="406"/>
      <c r="GNI6" s="406"/>
      <c r="GNJ6" s="406"/>
      <c r="GNK6" s="406"/>
      <c r="GNL6" s="406"/>
      <c r="GNM6" s="406"/>
      <c r="GNN6" s="406"/>
      <c r="GNO6" s="406"/>
      <c r="GNP6" s="406"/>
      <c r="GNQ6" s="406"/>
      <c r="GNR6" s="406"/>
      <c r="GNS6" s="406"/>
      <c r="GNT6" s="406"/>
      <c r="GNU6" s="406"/>
      <c r="GNV6" s="406"/>
      <c r="GNW6" s="406"/>
      <c r="GNX6" s="406"/>
      <c r="GNY6" s="406"/>
      <c r="GNZ6" s="406"/>
      <c r="GOA6" s="406"/>
      <c r="GOB6" s="406"/>
      <c r="GOC6" s="406"/>
      <c r="GOD6" s="406"/>
      <c r="GOE6" s="406"/>
      <c r="GOF6" s="406"/>
      <c r="GOG6" s="406"/>
      <c r="GOH6" s="406"/>
      <c r="GOI6" s="406"/>
      <c r="GOJ6" s="406"/>
      <c r="GOK6" s="406"/>
      <c r="GOL6" s="406"/>
      <c r="GOM6" s="406"/>
      <c r="GON6" s="406"/>
      <c r="GOO6" s="406"/>
      <c r="GOP6" s="406"/>
      <c r="GOQ6" s="406"/>
      <c r="GOR6" s="406"/>
      <c r="GOS6" s="406"/>
      <c r="GOT6" s="406"/>
      <c r="GOU6" s="406"/>
      <c r="GOV6" s="406"/>
      <c r="GOW6" s="406"/>
      <c r="GOX6" s="406"/>
      <c r="GOY6" s="406"/>
      <c r="GOZ6" s="406"/>
      <c r="GPA6" s="406"/>
      <c r="GPB6" s="406"/>
      <c r="GPC6" s="406"/>
      <c r="GPD6" s="406"/>
      <c r="GPE6" s="406"/>
      <c r="GPF6" s="406"/>
      <c r="GPG6" s="406"/>
      <c r="GPH6" s="406"/>
      <c r="GPI6" s="406"/>
      <c r="GPJ6" s="406"/>
      <c r="GPK6" s="406"/>
      <c r="GPL6" s="406"/>
      <c r="GPM6" s="406"/>
      <c r="GPN6" s="406"/>
      <c r="GPO6" s="406"/>
      <c r="GPP6" s="406"/>
      <c r="GPQ6" s="406"/>
      <c r="GPR6" s="406"/>
      <c r="GPS6" s="406"/>
      <c r="GPT6" s="406"/>
      <c r="GPU6" s="406"/>
      <c r="GPV6" s="406"/>
      <c r="GPW6" s="406"/>
      <c r="GPX6" s="406"/>
      <c r="GPY6" s="406"/>
      <c r="GPZ6" s="406"/>
      <c r="GQA6" s="406"/>
      <c r="GQB6" s="406"/>
      <c r="GQC6" s="406"/>
      <c r="GQD6" s="406"/>
      <c r="GQE6" s="406"/>
      <c r="GQF6" s="406"/>
      <c r="GQG6" s="406"/>
      <c r="GQH6" s="406"/>
      <c r="GQI6" s="406"/>
      <c r="GQJ6" s="406"/>
      <c r="GQK6" s="406"/>
      <c r="GQL6" s="406"/>
      <c r="GQM6" s="406"/>
      <c r="GQN6" s="406"/>
      <c r="GQO6" s="406"/>
      <c r="GQP6" s="406"/>
      <c r="GQQ6" s="406"/>
      <c r="GQR6" s="406"/>
      <c r="GQS6" s="406"/>
      <c r="GQT6" s="406"/>
      <c r="GQU6" s="406"/>
      <c r="GQV6" s="406"/>
      <c r="GQW6" s="406"/>
      <c r="GQX6" s="406"/>
      <c r="GQY6" s="406"/>
      <c r="GQZ6" s="406"/>
      <c r="GRA6" s="406"/>
      <c r="GRB6" s="406"/>
      <c r="GRC6" s="406"/>
      <c r="GRD6" s="406"/>
      <c r="GRE6" s="406"/>
      <c r="GRF6" s="406"/>
      <c r="GRG6" s="406"/>
      <c r="GRH6" s="406"/>
      <c r="GRI6" s="406"/>
      <c r="GRJ6" s="406"/>
      <c r="GRK6" s="406"/>
      <c r="GRL6" s="406"/>
      <c r="GRM6" s="406"/>
      <c r="GRN6" s="406"/>
      <c r="GRO6" s="406"/>
      <c r="GRP6" s="406"/>
      <c r="GRQ6" s="406"/>
      <c r="GRR6" s="406"/>
      <c r="GRS6" s="406"/>
      <c r="GRT6" s="406"/>
      <c r="GRU6" s="406"/>
      <c r="GRV6" s="406"/>
      <c r="GRW6" s="406"/>
      <c r="GRX6" s="406"/>
      <c r="GRY6" s="406"/>
      <c r="GRZ6" s="406"/>
      <c r="GSA6" s="406"/>
      <c r="GSB6" s="406"/>
      <c r="GSC6" s="406"/>
      <c r="GSD6" s="406"/>
      <c r="GSE6" s="406"/>
      <c r="GSF6" s="406"/>
      <c r="GSG6" s="406"/>
      <c r="GSH6" s="406"/>
      <c r="GSI6" s="406"/>
      <c r="GSJ6" s="406"/>
      <c r="GSK6" s="406"/>
      <c r="GSL6" s="406"/>
      <c r="GSM6" s="406"/>
      <c r="GSN6" s="406"/>
      <c r="GSO6" s="406"/>
      <c r="GSP6" s="406"/>
      <c r="GSQ6" s="406"/>
      <c r="GSR6" s="406"/>
      <c r="GSS6" s="406"/>
      <c r="GST6" s="406"/>
      <c r="GSU6" s="406"/>
      <c r="GSV6" s="406"/>
      <c r="GSW6" s="406"/>
      <c r="GSX6" s="406"/>
      <c r="GSY6" s="406"/>
      <c r="GSZ6" s="406"/>
      <c r="GTA6" s="406"/>
      <c r="GTB6" s="406"/>
      <c r="GTC6" s="406"/>
      <c r="GTD6" s="406"/>
      <c r="GTE6" s="406"/>
      <c r="GTF6" s="406"/>
      <c r="GTG6" s="406"/>
      <c r="GTH6" s="406"/>
      <c r="GTI6" s="406"/>
      <c r="GTJ6" s="406"/>
      <c r="GTK6" s="406"/>
      <c r="GTL6" s="406"/>
      <c r="GTM6" s="406"/>
      <c r="GTN6" s="406"/>
      <c r="GTO6" s="406"/>
      <c r="GTP6" s="406"/>
      <c r="GTQ6" s="406"/>
      <c r="GTR6" s="406"/>
      <c r="GTS6" s="406"/>
      <c r="GTT6" s="406"/>
      <c r="GTU6" s="406"/>
      <c r="GTV6" s="406"/>
      <c r="GTW6" s="406"/>
      <c r="GTX6" s="406"/>
      <c r="GTY6" s="406"/>
      <c r="GTZ6" s="406"/>
      <c r="GUA6" s="406"/>
      <c r="GUB6" s="406"/>
      <c r="GUC6" s="406"/>
      <c r="GUD6" s="406"/>
      <c r="GUE6" s="406"/>
      <c r="GUF6" s="406"/>
      <c r="GUG6" s="406"/>
      <c r="GUH6" s="406"/>
      <c r="GUI6" s="406"/>
      <c r="GUJ6" s="406"/>
      <c r="GUK6" s="406"/>
      <c r="GUL6" s="406"/>
      <c r="GUM6" s="406"/>
      <c r="GUN6" s="406"/>
      <c r="GUO6" s="406"/>
      <c r="GUP6" s="406"/>
      <c r="GUQ6" s="406"/>
      <c r="GUR6" s="406"/>
      <c r="GUS6" s="406"/>
      <c r="GUT6" s="406"/>
      <c r="GUU6" s="406"/>
      <c r="GUV6" s="406"/>
      <c r="GUW6" s="406"/>
      <c r="GUX6" s="406"/>
      <c r="GUY6" s="406"/>
      <c r="GUZ6" s="406"/>
      <c r="GVA6" s="406"/>
      <c r="GVB6" s="406"/>
      <c r="GVC6" s="406"/>
      <c r="GVD6" s="406"/>
      <c r="GVE6" s="406"/>
      <c r="GVF6" s="406"/>
      <c r="GVG6" s="406"/>
      <c r="GVH6" s="406"/>
      <c r="GVI6" s="406"/>
      <c r="GVJ6" s="406"/>
      <c r="GVK6" s="406"/>
      <c r="GVL6" s="406"/>
      <c r="GVM6" s="406"/>
      <c r="GVN6" s="406"/>
      <c r="GVO6" s="406"/>
      <c r="GVP6" s="406"/>
      <c r="GVQ6" s="406"/>
      <c r="GVR6" s="406"/>
      <c r="GVS6" s="406"/>
      <c r="GVT6" s="406"/>
      <c r="GVU6" s="406"/>
      <c r="GVV6" s="406"/>
      <c r="GVW6" s="406"/>
      <c r="GVX6" s="406"/>
      <c r="GVY6" s="406"/>
      <c r="GVZ6" s="406"/>
      <c r="GWA6" s="406"/>
      <c r="GWB6" s="406"/>
      <c r="GWC6" s="406"/>
      <c r="GWD6" s="406"/>
      <c r="GWE6" s="406"/>
      <c r="GWF6" s="406"/>
      <c r="GWG6" s="406"/>
      <c r="GWH6" s="406"/>
      <c r="GWI6" s="406"/>
      <c r="GWJ6" s="406"/>
      <c r="GWK6" s="406"/>
      <c r="GWL6" s="406"/>
      <c r="GWM6" s="406"/>
      <c r="GWN6" s="406"/>
      <c r="GWO6" s="406"/>
      <c r="GWP6" s="406"/>
      <c r="GWQ6" s="406"/>
      <c r="GWR6" s="406"/>
      <c r="GWS6" s="406"/>
      <c r="GWT6" s="406"/>
      <c r="GWU6" s="406"/>
      <c r="GWV6" s="406"/>
      <c r="GWW6" s="406"/>
      <c r="GWX6" s="406"/>
      <c r="GWY6" s="406"/>
      <c r="GWZ6" s="406"/>
      <c r="GXA6" s="406"/>
      <c r="GXB6" s="406"/>
      <c r="GXC6" s="406"/>
      <c r="GXD6" s="406"/>
      <c r="GXE6" s="406"/>
      <c r="GXF6" s="406"/>
      <c r="GXG6" s="406"/>
      <c r="GXH6" s="406"/>
      <c r="GXI6" s="406"/>
      <c r="GXJ6" s="406"/>
      <c r="GXK6" s="406"/>
      <c r="GXL6" s="406"/>
      <c r="GXM6" s="406"/>
      <c r="GXN6" s="406"/>
      <c r="GXO6" s="406"/>
      <c r="GXP6" s="406"/>
      <c r="GXQ6" s="406"/>
      <c r="GXR6" s="406"/>
      <c r="GXS6" s="406"/>
      <c r="GXT6" s="406"/>
      <c r="GXU6" s="406"/>
      <c r="GXV6" s="406"/>
      <c r="GXW6" s="406"/>
      <c r="GXX6" s="406"/>
      <c r="GXY6" s="406"/>
      <c r="GXZ6" s="406"/>
      <c r="GYA6" s="406"/>
      <c r="GYB6" s="406"/>
      <c r="GYC6" s="406"/>
      <c r="GYD6" s="406"/>
      <c r="GYE6" s="406"/>
      <c r="GYF6" s="406"/>
      <c r="GYG6" s="406"/>
      <c r="GYH6" s="406"/>
      <c r="GYI6" s="406"/>
      <c r="GYJ6" s="406"/>
      <c r="GYK6" s="406"/>
      <c r="GYL6" s="406"/>
      <c r="GYM6" s="406"/>
      <c r="GYN6" s="406"/>
      <c r="GYO6" s="406"/>
      <c r="GYP6" s="406"/>
      <c r="GYQ6" s="406"/>
      <c r="GYR6" s="406"/>
      <c r="GYS6" s="406"/>
      <c r="GYT6" s="406"/>
      <c r="GYU6" s="406"/>
      <c r="GYV6" s="406"/>
      <c r="GYW6" s="406"/>
      <c r="GYX6" s="406"/>
      <c r="GYY6" s="406"/>
      <c r="GYZ6" s="406"/>
      <c r="GZA6" s="406"/>
      <c r="GZB6" s="406"/>
      <c r="GZC6" s="406"/>
      <c r="GZD6" s="406"/>
      <c r="GZE6" s="406"/>
      <c r="GZF6" s="406"/>
      <c r="GZG6" s="406"/>
      <c r="GZH6" s="406"/>
      <c r="GZI6" s="406"/>
      <c r="GZJ6" s="406"/>
      <c r="GZK6" s="406"/>
      <c r="GZL6" s="406"/>
      <c r="GZM6" s="406"/>
      <c r="GZN6" s="406"/>
      <c r="GZO6" s="406"/>
      <c r="GZP6" s="406"/>
      <c r="GZQ6" s="406"/>
      <c r="GZR6" s="406"/>
      <c r="GZS6" s="406"/>
      <c r="GZT6" s="406"/>
      <c r="GZU6" s="406"/>
      <c r="GZV6" s="406"/>
      <c r="GZW6" s="406"/>
      <c r="GZX6" s="406"/>
      <c r="GZY6" s="406"/>
      <c r="GZZ6" s="406"/>
      <c r="HAA6" s="406"/>
      <c r="HAB6" s="406"/>
      <c r="HAC6" s="406"/>
      <c r="HAD6" s="406"/>
      <c r="HAE6" s="406"/>
      <c r="HAF6" s="406"/>
      <c r="HAG6" s="406"/>
      <c r="HAH6" s="406"/>
      <c r="HAI6" s="406"/>
      <c r="HAJ6" s="406"/>
      <c r="HAK6" s="406"/>
      <c r="HAL6" s="406"/>
      <c r="HAM6" s="406"/>
      <c r="HAN6" s="406"/>
      <c r="HAO6" s="406"/>
      <c r="HAP6" s="406"/>
      <c r="HAQ6" s="406"/>
      <c r="HAR6" s="406"/>
      <c r="HAS6" s="406"/>
      <c r="HAT6" s="406"/>
      <c r="HAU6" s="406"/>
      <c r="HAV6" s="406"/>
      <c r="HAW6" s="406"/>
      <c r="HAX6" s="406"/>
      <c r="HAY6" s="406"/>
      <c r="HAZ6" s="406"/>
      <c r="HBA6" s="406"/>
      <c r="HBB6" s="406"/>
      <c r="HBC6" s="406"/>
      <c r="HBD6" s="406"/>
      <c r="HBE6" s="406"/>
      <c r="HBF6" s="406"/>
      <c r="HBG6" s="406"/>
      <c r="HBH6" s="406"/>
      <c r="HBI6" s="406"/>
      <c r="HBJ6" s="406"/>
      <c r="HBK6" s="406"/>
      <c r="HBL6" s="406"/>
      <c r="HBM6" s="406"/>
      <c r="HBN6" s="406"/>
      <c r="HBO6" s="406"/>
      <c r="HBP6" s="406"/>
      <c r="HBQ6" s="406"/>
      <c r="HBR6" s="406"/>
      <c r="HBS6" s="406"/>
      <c r="HBT6" s="406"/>
      <c r="HBU6" s="406"/>
      <c r="HBV6" s="406"/>
      <c r="HBW6" s="406"/>
      <c r="HBX6" s="406"/>
      <c r="HBY6" s="406"/>
      <c r="HBZ6" s="406"/>
      <c r="HCA6" s="406"/>
      <c r="HCB6" s="406"/>
      <c r="HCC6" s="406"/>
      <c r="HCD6" s="406"/>
      <c r="HCE6" s="406"/>
      <c r="HCF6" s="406"/>
      <c r="HCG6" s="406"/>
      <c r="HCH6" s="406"/>
      <c r="HCI6" s="406"/>
      <c r="HCJ6" s="406"/>
      <c r="HCK6" s="406"/>
      <c r="HCL6" s="406"/>
      <c r="HCM6" s="406"/>
      <c r="HCN6" s="406"/>
      <c r="HCO6" s="406"/>
      <c r="HCP6" s="406"/>
      <c r="HCQ6" s="406"/>
      <c r="HCR6" s="406"/>
      <c r="HCS6" s="406"/>
      <c r="HCT6" s="406"/>
      <c r="HCU6" s="406"/>
      <c r="HCV6" s="406"/>
      <c r="HCW6" s="406"/>
      <c r="HCX6" s="406"/>
      <c r="HCY6" s="406"/>
      <c r="HCZ6" s="406"/>
      <c r="HDA6" s="406"/>
      <c r="HDB6" s="406"/>
      <c r="HDC6" s="406"/>
      <c r="HDD6" s="406"/>
      <c r="HDE6" s="406"/>
      <c r="HDF6" s="406"/>
      <c r="HDG6" s="406"/>
      <c r="HDH6" s="406"/>
      <c r="HDI6" s="406"/>
      <c r="HDJ6" s="406"/>
      <c r="HDK6" s="406"/>
      <c r="HDL6" s="406"/>
      <c r="HDM6" s="406"/>
      <c r="HDN6" s="406"/>
      <c r="HDO6" s="406"/>
      <c r="HDP6" s="406"/>
      <c r="HDQ6" s="406"/>
      <c r="HDR6" s="406"/>
      <c r="HDS6" s="406"/>
      <c r="HDT6" s="406"/>
      <c r="HDU6" s="406"/>
      <c r="HDV6" s="406"/>
      <c r="HDW6" s="406"/>
      <c r="HDX6" s="406"/>
      <c r="HDY6" s="406"/>
      <c r="HDZ6" s="406"/>
      <c r="HEA6" s="406"/>
      <c r="HEB6" s="406"/>
      <c r="HEC6" s="406"/>
      <c r="HED6" s="406"/>
      <c r="HEE6" s="406"/>
      <c r="HEF6" s="406"/>
      <c r="HEG6" s="406"/>
      <c r="HEH6" s="406"/>
      <c r="HEI6" s="406"/>
      <c r="HEJ6" s="406"/>
      <c r="HEK6" s="406"/>
      <c r="HEL6" s="406"/>
      <c r="HEM6" s="406"/>
      <c r="HEN6" s="406"/>
      <c r="HEO6" s="406"/>
      <c r="HEP6" s="406"/>
      <c r="HEQ6" s="406"/>
      <c r="HER6" s="406"/>
      <c r="HES6" s="406"/>
      <c r="HET6" s="406"/>
      <c r="HEU6" s="406"/>
      <c r="HEV6" s="406"/>
      <c r="HEW6" s="406"/>
      <c r="HEX6" s="406"/>
      <c r="HEY6" s="406"/>
      <c r="HEZ6" s="406"/>
      <c r="HFA6" s="406"/>
      <c r="HFB6" s="406"/>
      <c r="HFC6" s="406"/>
      <c r="HFD6" s="406"/>
      <c r="HFE6" s="406"/>
      <c r="HFF6" s="406"/>
      <c r="HFG6" s="406"/>
      <c r="HFH6" s="406"/>
      <c r="HFI6" s="406"/>
      <c r="HFJ6" s="406"/>
      <c r="HFK6" s="406"/>
      <c r="HFL6" s="406"/>
      <c r="HFM6" s="406"/>
      <c r="HFN6" s="406"/>
      <c r="HFO6" s="406"/>
      <c r="HFP6" s="406"/>
      <c r="HFQ6" s="406"/>
      <c r="HFR6" s="406"/>
      <c r="HFS6" s="406"/>
      <c r="HFT6" s="406"/>
      <c r="HFU6" s="406"/>
      <c r="HFV6" s="406"/>
      <c r="HFW6" s="406"/>
      <c r="HFX6" s="406"/>
      <c r="HFY6" s="406"/>
      <c r="HFZ6" s="406"/>
      <c r="HGA6" s="406"/>
      <c r="HGB6" s="406"/>
      <c r="HGC6" s="406"/>
      <c r="HGD6" s="406"/>
      <c r="HGE6" s="406"/>
      <c r="HGF6" s="406"/>
      <c r="HGG6" s="406"/>
      <c r="HGH6" s="406"/>
      <c r="HGI6" s="406"/>
      <c r="HGJ6" s="406"/>
      <c r="HGK6" s="406"/>
      <c r="HGL6" s="406"/>
      <c r="HGM6" s="406"/>
      <c r="HGN6" s="406"/>
      <c r="HGO6" s="406"/>
      <c r="HGP6" s="406"/>
      <c r="HGQ6" s="406"/>
      <c r="HGR6" s="406"/>
      <c r="HGS6" s="406"/>
      <c r="HGT6" s="406"/>
      <c r="HGU6" s="406"/>
      <c r="HGV6" s="406"/>
      <c r="HGW6" s="406"/>
      <c r="HGX6" s="406"/>
      <c r="HGY6" s="406"/>
      <c r="HGZ6" s="406"/>
      <c r="HHA6" s="406"/>
      <c r="HHB6" s="406"/>
      <c r="HHC6" s="406"/>
      <c r="HHD6" s="406"/>
      <c r="HHE6" s="406"/>
      <c r="HHF6" s="406"/>
      <c r="HHG6" s="406"/>
      <c r="HHH6" s="406"/>
      <c r="HHI6" s="406"/>
      <c r="HHJ6" s="406"/>
      <c r="HHK6" s="406"/>
      <c r="HHL6" s="406"/>
      <c r="HHM6" s="406"/>
      <c r="HHN6" s="406"/>
      <c r="HHO6" s="406"/>
      <c r="HHP6" s="406"/>
      <c r="HHQ6" s="406"/>
      <c r="HHR6" s="406"/>
      <c r="HHS6" s="406"/>
      <c r="HHT6" s="406"/>
      <c r="HHU6" s="406"/>
      <c r="HHV6" s="406"/>
      <c r="HHW6" s="406"/>
      <c r="HHX6" s="406"/>
      <c r="HHY6" s="406"/>
      <c r="HHZ6" s="406"/>
      <c r="HIA6" s="406"/>
      <c r="HIB6" s="406"/>
      <c r="HIC6" s="406"/>
      <c r="HID6" s="406"/>
      <c r="HIE6" s="406"/>
      <c r="HIF6" s="406"/>
      <c r="HIG6" s="406"/>
      <c r="HIH6" s="406"/>
      <c r="HII6" s="406"/>
      <c r="HIJ6" s="406"/>
      <c r="HIK6" s="406"/>
      <c r="HIL6" s="406"/>
      <c r="HIM6" s="406"/>
      <c r="HIN6" s="406"/>
      <c r="HIO6" s="406"/>
      <c r="HIP6" s="406"/>
      <c r="HIQ6" s="406"/>
      <c r="HIR6" s="406"/>
      <c r="HIS6" s="406"/>
      <c r="HIT6" s="406"/>
      <c r="HIU6" s="406"/>
      <c r="HIV6" s="406"/>
      <c r="HIW6" s="406"/>
      <c r="HIX6" s="406"/>
      <c r="HIY6" s="406"/>
      <c r="HIZ6" s="406"/>
      <c r="HJA6" s="406"/>
      <c r="HJB6" s="406"/>
      <c r="HJC6" s="406"/>
      <c r="HJD6" s="406"/>
      <c r="HJE6" s="406"/>
      <c r="HJF6" s="406"/>
      <c r="HJG6" s="406"/>
      <c r="HJH6" s="406"/>
      <c r="HJI6" s="406"/>
      <c r="HJJ6" s="406"/>
      <c r="HJK6" s="406"/>
      <c r="HJL6" s="406"/>
      <c r="HJM6" s="406"/>
      <c r="HJN6" s="406"/>
      <c r="HJO6" s="406"/>
      <c r="HJP6" s="406"/>
      <c r="HJQ6" s="406"/>
      <c r="HJR6" s="406"/>
      <c r="HJS6" s="406"/>
      <c r="HJT6" s="406"/>
      <c r="HJU6" s="406"/>
      <c r="HJV6" s="406"/>
      <c r="HJW6" s="406"/>
      <c r="HJX6" s="406"/>
      <c r="HJY6" s="406"/>
      <c r="HJZ6" s="406"/>
      <c r="HKA6" s="406"/>
      <c r="HKB6" s="406"/>
      <c r="HKC6" s="406"/>
      <c r="HKD6" s="406"/>
      <c r="HKE6" s="406"/>
      <c r="HKF6" s="406"/>
      <c r="HKG6" s="406"/>
      <c r="HKH6" s="406"/>
      <c r="HKI6" s="406"/>
      <c r="HKJ6" s="406"/>
      <c r="HKK6" s="406"/>
      <c r="HKL6" s="406"/>
      <c r="HKM6" s="406"/>
      <c r="HKN6" s="406"/>
      <c r="HKO6" s="406"/>
      <c r="HKP6" s="406"/>
      <c r="HKQ6" s="406"/>
      <c r="HKR6" s="406"/>
      <c r="HKS6" s="406"/>
      <c r="HKT6" s="406"/>
      <c r="HKU6" s="406"/>
      <c r="HKV6" s="406"/>
      <c r="HKW6" s="406"/>
      <c r="HKX6" s="406"/>
      <c r="HKY6" s="406"/>
      <c r="HKZ6" s="406"/>
      <c r="HLA6" s="406"/>
      <c r="HLB6" s="406"/>
      <c r="HLC6" s="406"/>
      <c r="HLD6" s="406"/>
      <c r="HLE6" s="406"/>
      <c r="HLF6" s="406"/>
      <c r="HLG6" s="406"/>
      <c r="HLH6" s="406"/>
      <c r="HLI6" s="406"/>
      <c r="HLJ6" s="406"/>
      <c r="HLK6" s="406"/>
      <c r="HLL6" s="406"/>
      <c r="HLM6" s="406"/>
      <c r="HLN6" s="406"/>
      <c r="HLO6" s="406"/>
      <c r="HLP6" s="406"/>
      <c r="HLQ6" s="406"/>
      <c r="HLR6" s="406"/>
      <c r="HLS6" s="406"/>
      <c r="HLT6" s="406"/>
      <c r="HLU6" s="406"/>
      <c r="HLV6" s="406"/>
      <c r="HLW6" s="406"/>
      <c r="HLX6" s="406"/>
      <c r="HLY6" s="406"/>
      <c r="HLZ6" s="406"/>
      <c r="HMA6" s="406"/>
      <c r="HMB6" s="406"/>
      <c r="HMC6" s="406"/>
      <c r="HMD6" s="406"/>
      <c r="HME6" s="406"/>
      <c r="HMF6" s="406"/>
      <c r="HMG6" s="406"/>
      <c r="HMH6" s="406"/>
      <c r="HMI6" s="406"/>
      <c r="HMJ6" s="406"/>
      <c r="HMK6" s="406"/>
      <c r="HML6" s="406"/>
      <c r="HMM6" s="406"/>
      <c r="HMN6" s="406"/>
      <c r="HMO6" s="406"/>
      <c r="HMP6" s="406"/>
      <c r="HMQ6" s="406"/>
      <c r="HMR6" s="406"/>
      <c r="HMS6" s="406"/>
      <c r="HMT6" s="406"/>
      <c r="HMU6" s="406"/>
      <c r="HMV6" s="406"/>
      <c r="HMW6" s="406"/>
      <c r="HMX6" s="406"/>
      <c r="HMY6" s="406"/>
      <c r="HMZ6" s="406"/>
      <c r="HNA6" s="406"/>
      <c r="HNB6" s="406"/>
      <c r="HNC6" s="406"/>
      <c r="HND6" s="406"/>
      <c r="HNE6" s="406"/>
      <c r="HNF6" s="406"/>
      <c r="HNG6" s="406"/>
      <c r="HNH6" s="406"/>
      <c r="HNI6" s="406"/>
      <c r="HNJ6" s="406"/>
      <c r="HNK6" s="406"/>
      <c r="HNL6" s="406"/>
      <c r="HNM6" s="406"/>
      <c r="HNN6" s="406"/>
      <c r="HNO6" s="406"/>
      <c r="HNP6" s="406"/>
      <c r="HNQ6" s="406"/>
      <c r="HNR6" s="406"/>
      <c r="HNS6" s="406"/>
      <c r="HNT6" s="406"/>
      <c r="HNU6" s="406"/>
      <c r="HNV6" s="406"/>
      <c r="HNW6" s="406"/>
      <c r="HNX6" s="406"/>
      <c r="HNY6" s="406"/>
      <c r="HNZ6" s="406"/>
      <c r="HOA6" s="406"/>
      <c r="HOB6" s="406"/>
      <c r="HOC6" s="406"/>
      <c r="HOD6" s="406"/>
      <c r="HOE6" s="406"/>
      <c r="HOF6" s="406"/>
      <c r="HOG6" s="406"/>
      <c r="HOH6" s="406"/>
      <c r="HOI6" s="406"/>
      <c r="HOJ6" s="406"/>
      <c r="HOK6" s="406"/>
      <c r="HOL6" s="406"/>
      <c r="HOM6" s="406"/>
      <c r="HON6" s="406"/>
      <c r="HOO6" s="406"/>
      <c r="HOP6" s="406"/>
      <c r="HOQ6" s="406"/>
      <c r="HOR6" s="406"/>
      <c r="HOS6" s="406"/>
      <c r="HOT6" s="406"/>
      <c r="HOU6" s="406"/>
      <c r="HOV6" s="406"/>
      <c r="HOW6" s="406"/>
      <c r="HOX6" s="406"/>
      <c r="HOY6" s="406"/>
      <c r="HOZ6" s="406"/>
      <c r="HPA6" s="406"/>
      <c r="HPB6" s="406"/>
      <c r="HPC6" s="406"/>
      <c r="HPD6" s="406"/>
      <c r="HPE6" s="406"/>
      <c r="HPF6" s="406"/>
      <c r="HPG6" s="406"/>
      <c r="HPH6" s="406"/>
      <c r="HPI6" s="406"/>
      <c r="HPJ6" s="406"/>
      <c r="HPK6" s="406"/>
      <c r="HPL6" s="406"/>
      <c r="HPM6" s="406"/>
      <c r="HPN6" s="406"/>
      <c r="HPO6" s="406"/>
      <c r="HPP6" s="406"/>
      <c r="HPQ6" s="406"/>
      <c r="HPR6" s="406"/>
      <c r="HPS6" s="406"/>
      <c r="HPT6" s="406"/>
      <c r="HPU6" s="406"/>
      <c r="HPV6" s="406"/>
      <c r="HPW6" s="406"/>
      <c r="HPX6" s="406"/>
      <c r="HPY6" s="406"/>
      <c r="HPZ6" s="406"/>
      <c r="HQA6" s="406"/>
      <c r="HQB6" s="406"/>
      <c r="HQC6" s="406"/>
      <c r="HQD6" s="406"/>
      <c r="HQE6" s="406"/>
      <c r="HQF6" s="406"/>
      <c r="HQG6" s="406"/>
      <c r="HQH6" s="406"/>
      <c r="HQI6" s="406"/>
      <c r="HQJ6" s="406"/>
      <c r="HQK6" s="406"/>
      <c r="HQL6" s="406"/>
      <c r="HQM6" s="406"/>
      <c r="HQN6" s="406"/>
      <c r="HQO6" s="406"/>
      <c r="HQP6" s="406"/>
      <c r="HQQ6" s="406"/>
      <c r="HQR6" s="406"/>
      <c r="HQS6" s="406"/>
      <c r="HQT6" s="406"/>
      <c r="HQU6" s="406"/>
      <c r="HQV6" s="406"/>
      <c r="HQW6" s="406"/>
      <c r="HQX6" s="406"/>
      <c r="HQY6" s="406"/>
      <c r="HQZ6" s="406"/>
      <c r="HRA6" s="406"/>
      <c r="HRB6" s="406"/>
      <c r="HRC6" s="406"/>
      <c r="HRD6" s="406"/>
      <c r="HRE6" s="406"/>
      <c r="HRF6" s="406"/>
      <c r="HRG6" s="406"/>
      <c r="HRH6" s="406"/>
      <c r="HRI6" s="406"/>
      <c r="HRJ6" s="406"/>
      <c r="HRK6" s="406"/>
      <c r="HRL6" s="406"/>
      <c r="HRM6" s="406"/>
      <c r="HRN6" s="406"/>
      <c r="HRO6" s="406"/>
      <c r="HRP6" s="406"/>
      <c r="HRQ6" s="406"/>
      <c r="HRR6" s="406"/>
      <c r="HRS6" s="406"/>
      <c r="HRT6" s="406"/>
      <c r="HRU6" s="406"/>
      <c r="HRV6" s="406"/>
      <c r="HRW6" s="406"/>
      <c r="HRX6" s="406"/>
      <c r="HRY6" s="406"/>
      <c r="HRZ6" s="406"/>
      <c r="HSA6" s="406"/>
      <c r="HSB6" s="406"/>
      <c r="HSC6" s="406"/>
      <c r="HSD6" s="406"/>
      <c r="HSE6" s="406"/>
      <c r="HSF6" s="406"/>
      <c r="HSG6" s="406"/>
      <c r="HSH6" s="406"/>
      <c r="HSI6" s="406"/>
      <c r="HSJ6" s="406"/>
      <c r="HSK6" s="406"/>
      <c r="HSL6" s="406"/>
      <c r="HSM6" s="406"/>
      <c r="HSN6" s="406"/>
      <c r="HSO6" s="406"/>
      <c r="HSP6" s="406"/>
      <c r="HSQ6" s="406"/>
      <c r="HSR6" s="406"/>
      <c r="HSS6" s="406"/>
      <c r="HST6" s="406"/>
      <c r="HSU6" s="406"/>
      <c r="HSV6" s="406"/>
      <c r="HSW6" s="406"/>
      <c r="HSX6" s="406"/>
      <c r="HSY6" s="406"/>
      <c r="HSZ6" s="406"/>
      <c r="HTA6" s="406"/>
      <c r="HTB6" s="406"/>
      <c r="HTC6" s="406"/>
      <c r="HTD6" s="406"/>
      <c r="HTE6" s="406"/>
      <c r="HTF6" s="406"/>
      <c r="HTG6" s="406"/>
      <c r="HTH6" s="406"/>
      <c r="HTI6" s="406"/>
      <c r="HTJ6" s="406"/>
      <c r="HTK6" s="406"/>
      <c r="HTL6" s="406"/>
      <c r="HTM6" s="406"/>
      <c r="HTN6" s="406"/>
      <c r="HTO6" s="406"/>
      <c r="HTP6" s="406"/>
      <c r="HTQ6" s="406"/>
      <c r="HTR6" s="406"/>
      <c r="HTS6" s="406"/>
      <c r="HTT6" s="406"/>
      <c r="HTU6" s="406"/>
      <c r="HTV6" s="406"/>
      <c r="HTW6" s="406"/>
      <c r="HTX6" s="406"/>
      <c r="HTY6" s="406"/>
      <c r="HTZ6" s="406"/>
      <c r="HUA6" s="406"/>
      <c r="HUB6" s="406"/>
      <c r="HUC6" s="406"/>
      <c r="HUD6" s="406"/>
      <c r="HUE6" s="406"/>
      <c r="HUF6" s="406"/>
      <c r="HUG6" s="406"/>
      <c r="HUH6" s="406"/>
      <c r="HUI6" s="406"/>
      <c r="HUJ6" s="406"/>
      <c r="HUK6" s="406"/>
      <c r="HUL6" s="406"/>
      <c r="HUM6" s="406"/>
      <c r="HUN6" s="406"/>
      <c r="HUO6" s="406"/>
      <c r="HUP6" s="406"/>
      <c r="HUQ6" s="406"/>
      <c r="HUR6" s="406"/>
      <c r="HUS6" s="406"/>
      <c r="HUT6" s="406"/>
      <c r="HUU6" s="406"/>
      <c r="HUV6" s="406"/>
      <c r="HUW6" s="406"/>
      <c r="HUX6" s="406"/>
      <c r="HUY6" s="406"/>
      <c r="HUZ6" s="406"/>
      <c r="HVA6" s="406"/>
      <c r="HVB6" s="406"/>
      <c r="HVC6" s="406"/>
      <c r="HVD6" s="406"/>
      <c r="HVE6" s="406"/>
      <c r="HVF6" s="406"/>
      <c r="HVG6" s="406"/>
      <c r="HVH6" s="406"/>
      <c r="HVI6" s="406"/>
      <c r="HVJ6" s="406"/>
      <c r="HVK6" s="406"/>
      <c r="HVL6" s="406"/>
      <c r="HVM6" s="406"/>
      <c r="HVN6" s="406"/>
      <c r="HVO6" s="406"/>
      <c r="HVP6" s="406"/>
      <c r="HVQ6" s="406"/>
      <c r="HVR6" s="406"/>
      <c r="HVS6" s="406"/>
      <c r="HVT6" s="406"/>
      <c r="HVU6" s="406"/>
      <c r="HVV6" s="406"/>
      <c r="HVW6" s="406"/>
      <c r="HVX6" s="406"/>
      <c r="HVY6" s="406"/>
      <c r="HVZ6" s="406"/>
      <c r="HWA6" s="406"/>
      <c r="HWB6" s="406"/>
      <c r="HWC6" s="406"/>
      <c r="HWD6" s="406"/>
      <c r="HWE6" s="406"/>
      <c r="HWF6" s="406"/>
      <c r="HWG6" s="406"/>
      <c r="HWH6" s="406"/>
      <c r="HWI6" s="406"/>
      <c r="HWJ6" s="406"/>
      <c r="HWK6" s="406"/>
      <c r="HWL6" s="406"/>
      <c r="HWM6" s="406"/>
      <c r="HWN6" s="406"/>
      <c r="HWO6" s="406"/>
      <c r="HWP6" s="406"/>
      <c r="HWQ6" s="406"/>
      <c r="HWR6" s="406"/>
      <c r="HWS6" s="406"/>
      <c r="HWT6" s="406"/>
      <c r="HWU6" s="406"/>
      <c r="HWV6" s="406"/>
      <c r="HWW6" s="406"/>
      <c r="HWX6" s="406"/>
      <c r="HWY6" s="406"/>
      <c r="HWZ6" s="406"/>
      <c r="HXA6" s="406"/>
      <c r="HXB6" s="406"/>
      <c r="HXC6" s="406"/>
      <c r="HXD6" s="406"/>
      <c r="HXE6" s="406"/>
      <c r="HXF6" s="406"/>
      <c r="HXG6" s="406"/>
      <c r="HXH6" s="406"/>
      <c r="HXI6" s="406"/>
      <c r="HXJ6" s="406"/>
      <c r="HXK6" s="406"/>
      <c r="HXL6" s="406"/>
      <c r="HXM6" s="406"/>
      <c r="HXN6" s="406"/>
      <c r="HXO6" s="406"/>
      <c r="HXP6" s="406"/>
      <c r="HXQ6" s="406"/>
      <c r="HXR6" s="406"/>
      <c r="HXS6" s="406"/>
      <c r="HXT6" s="406"/>
      <c r="HXU6" s="406"/>
      <c r="HXV6" s="406"/>
      <c r="HXW6" s="406"/>
      <c r="HXX6" s="406"/>
      <c r="HXY6" s="406"/>
      <c r="HXZ6" s="406"/>
      <c r="HYA6" s="406"/>
      <c r="HYB6" s="406"/>
      <c r="HYC6" s="406"/>
      <c r="HYD6" s="406"/>
      <c r="HYE6" s="406"/>
      <c r="HYF6" s="406"/>
      <c r="HYG6" s="406"/>
      <c r="HYH6" s="406"/>
      <c r="HYI6" s="406"/>
      <c r="HYJ6" s="406"/>
      <c r="HYK6" s="406"/>
      <c r="HYL6" s="406"/>
      <c r="HYM6" s="406"/>
      <c r="HYN6" s="406"/>
      <c r="HYO6" s="406"/>
      <c r="HYP6" s="406"/>
      <c r="HYQ6" s="406"/>
      <c r="HYR6" s="406"/>
      <c r="HYS6" s="406"/>
      <c r="HYT6" s="406"/>
      <c r="HYU6" s="406"/>
      <c r="HYV6" s="406"/>
      <c r="HYW6" s="406"/>
      <c r="HYX6" s="406"/>
      <c r="HYY6" s="406"/>
      <c r="HYZ6" s="406"/>
      <c r="HZA6" s="406"/>
      <c r="HZB6" s="406"/>
      <c r="HZC6" s="406"/>
      <c r="HZD6" s="406"/>
      <c r="HZE6" s="406"/>
      <c r="HZF6" s="406"/>
      <c r="HZG6" s="406"/>
      <c r="HZH6" s="406"/>
      <c r="HZI6" s="406"/>
      <c r="HZJ6" s="406"/>
      <c r="HZK6" s="406"/>
      <c r="HZL6" s="406"/>
      <c r="HZM6" s="406"/>
      <c r="HZN6" s="406"/>
      <c r="HZO6" s="406"/>
      <c r="HZP6" s="406"/>
      <c r="HZQ6" s="406"/>
      <c r="HZR6" s="406"/>
      <c r="HZS6" s="406"/>
      <c r="HZT6" s="406"/>
      <c r="HZU6" s="406"/>
      <c r="HZV6" s="406"/>
      <c r="HZW6" s="406"/>
      <c r="HZX6" s="406"/>
      <c r="HZY6" s="406"/>
      <c r="HZZ6" s="406"/>
      <c r="IAA6" s="406"/>
      <c r="IAB6" s="406"/>
      <c r="IAC6" s="406"/>
      <c r="IAD6" s="406"/>
      <c r="IAE6" s="406"/>
      <c r="IAF6" s="406"/>
      <c r="IAG6" s="406"/>
      <c r="IAH6" s="406"/>
      <c r="IAI6" s="406"/>
      <c r="IAJ6" s="406"/>
      <c r="IAK6" s="406"/>
      <c r="IAL6" s="406"/>
      <c r="IAM6" s="406"/>
      <c r="IAN6" s="406"/>
      <c r="IAO6" s="406"/>
      <c r="IAP6" s="406"/>
      <c r="IAQ6" s="406"/>
      <c r="IAR6" s="406"/>
      <c r="IAS6" s="406"/>
      <c r="IAT6" s="406"/>
      <c r="IAU6" s="406"/>
      <c r="IAV6" s="406"/>
      <c r="IAW6" s="406"/>
      <c r="IAX6" s="406"/>
      <c r="IAY6" s="406"/>
      <c r="IAZ6" s="406"/>
      <c r="IBA6" s="406"/>
      <c r="IBB6" s="406"/>
      <c r="IBC6" s="406"/>
      <c r="IBD6" s="406"/>
      <c r="IBE6" s="406"/>
      <c r="IBF6" s="406"/>
      <c r="IBG6" s="406"/>
      <c r="IBH6" s="406"/>
      <c r="IBI6" s="406"/>
      <c r="IBJ6" s="406"/>
      <c r="IBK6" s="406"/>
      <c r="IBL6" s="406"/>
      <c r="IBM6" s="406"/>
      <c r="IBN6" s="406"/>
      <c r="IBO6" s="406"/>
      <c r="IBP6" s="406"/>
      <c r="IBQ6" s="406"/>
      <c r="IBR6" s="406"/>
      <c r="IBS6" s="406"/>
      <c r="IBT6" s="406"/>
      <c r="IBU6" s="406"/>
      <c r="IBV6" s="406"/>
      <c r="IBW6" s="406"/>
      <c r="IBX6" s="406"/>
      <c r="IBY6" s="406"/>
      <c r="IBZ6" s="406"/>
      <c r="ICA6" s="406"/>
      <c r="ICB6" s="406"/>
      <c r="ICC6" s="406"/>
      <c r="ICD6" s="406"/>
      <c r="ICE6" s="406"/>
      <c r="ICF6" s="406"/>
      <c r="ICG6" s="406"/>
      <c r="ICH6" s="406"/>
      <c r="ICI6" s="406"/>
      <c r="ICJ6" s="406"/>
      <c r="ICK6" s="406"/>
      <c r="ICL6" s="406"/>
      <c r="ICM6" s="406"/>
      <c r="ICN6" s="406"/>
      <c r="ICO6" s="406"/>
      <c r="ICP6" s="406"/>
      <c r="ICQ6" s="406"/>
      <c r="ICR6" s="406"/>
      <c r="ICS6" s="406"/>
      <c r="ICT6" s="406"/>
      <c r="ICU6" s="406"/>
      <c r="ICV6" s="406"/>
      <c r="ICW6" s="406"/>
      <c r="ICX6" s="406"/>
      <c r="ICY6" s="406"/>
      <c r="ICZ6" s="406"/>
      <c r="IDA6" s="406"/>
      <c r="IDB6" s="406"/>
      <c r="IDC6" s="406"/>
      <c r="IDD6" s="406"/>
      <c r="IDE6" s="406"/>
      <c r="IDF6" s="406"/>
      <c r="IDG6" s="406"/>
      <c r="IDH6" s="406"/>
      <c r="IDI6" s="406"/>
      <c r="IDJ6" s="406"/>
      <c r="IDK6" s="406"/>
      <c r="IDL6" s="406"/>
      <c r="IDM6" s="406"/>
      <c r="IDN6" s="406"/>
      <c r="IDO6" s="406"/>
      <c r="IDP6" s="406"/>
      <c r="IDQ6" s="406"/>
      <c r="IDR6" s="406"/>
      <c r="IDS6" s="406"/>
      <c r="IDT6" s="406"/>
      <c r="IDU6" s="406"/>
      <c r="IDV6" s="406"/>
      <c r="IDW6" s="406"/>
      <c r="IDX6" s="406"/>
      <c r="IDY6" s="406"/>
      <c r="IDZ6" s="406"/>
      <c r="IEA6" s="406"/>
      <c r="IEB6" s="406"/>
      <c r="IEC6" s="406"/>
      <c r="IED6" s="406"/>
      <c r="IEE6" s="406"/>
      <c r="IEF6" s="406"/>
      <c r="IEG6" s="406"/>
      <c r="IEH6" s="406"/>
      <c r="IEI6" s="406"/>
      <c r="IEJ6" s="406"/>
      <c r="IEK6" s="406"/>
      <c r="IEL6" s="406"/>
      <c r="IEM6" s="406"/>
      <c r="IEN6" s="406"/>
      <c r="IEO6" s="406"/>
      <c r="IEP6" s="406"/>
      <c r="IEQ6" s="406"/>
      <c r="IER6" s="406"/>
      <c r="IES6" s="406"/>
      <c r="IET6" s="406"/>
      <c r="IEU6" s="406"/>
      <c r="IEV6" s="406"/>
      <c r="IEW6" s="406"/>
      <c r="IEX6" s="406"/>
      <c r="IEY6" s="406"/>
      <c r="IEZ6" s="406"/>
      <c r="IFA6" s="406"/>
      <c r="IFB6" s="406"/>
      <c r="IFC6" s="406"/>
      <c r="IFD6" s="406"/>
      <c r="IFE6" s="406"/>
      <c r="IFF6" s="406"/>
      <c r="IFG6" s="406"/>
      <c r="IFH6" s="406"/>
      <c r="IFI6" s="406"/>
      <c r="IFJ6" s="406"/>
      <c r="IFK6" s="406"/>
      <c r="IFL6" s="406"/>
      <c r="IFM6" s="406"/>
      <c r="IFN6" s="406"/>
      <c r="IFO6" s="406"/>
      <c r="IFP6" s="406"/>
      <c r="IFQ6" s="406"/>
      <c r="IFR6" s="406"/>
      <c r="IFS6" s="406"/>
      <c r="IFT6" s="406"/>
      <c r="IFU6" s="406"/>
      <c r="IFV6" s="406"/>
      <c r="IFW6" s="406"/>
      <c r="IFX6" s="406"/>
      <c r="IFY6" s="406"/>
      <c r="IFZ6" s="406"/>
      <c r="IGA6" s="406"/>
      <c r="IGB6" s="406"/>
      <c r="IGC6" s="406"/>
      <c r="IGD6" s="406"/>
      <c r="IGE6" s="406"/>
      <c r="IGF6" s="406"/>
      <c r="IGG6" s="406"/>
      <c r="IGH6" s="406"/>
      <c r="IGI6" s="406"/>
      <c r="IGJ6" s="406"/>
      <c r="IGK6" s="406"/>
      <c r="IGL6" s="406"/>
      <c r="IGM6" s="406"/>
      <c r="IGN6" s="406"/>
      <c r="IGO6" s="406"/>
      <c r="IGP6" s="406"/>
      <c r="IGQ6" s="406"/>
      <c r="IGR6" s="406"/>
      <c r="IGS6" s="406"/>
      <c r="IGT6" s="406"/>
      <c r="IGU6" s="406"/>
      <c r="IGV6" s="406"/>
      <c r="IGW6" s="406"/>
      <c r="IGX6" s="406"/>
      <c r="IGY6" s="406"/>
      <c r="IGZ6" s="406"/>
      <c r="IHA6" s="406"/>
      <c r="IHB6" s="406"/>
      <c r="IHC6" s="406"/>
      <c r="IHD6" s="406"/>
      <c r="IHE6" s="406"/>
      <c r="IHF6" s="406"/>
      <c r="IHG6" s="406"/>
      <c r="IHH6" s="406"/>
      <c r="IHI6" s="406"/>
      <c r="IHJ6" s="406"/>
      <c r="IHK6" s="406"/>
      <c r="IHL6" s="406"/>
      <c r="IHM6" s="406"/>
      <c r="IHN6" s="406"/>
      <c r="IHO6" s="406"/>
      <c r="IHP6" s="406"/>
      <c r="IHQ6" s="406"/>
      <c r="IHR6" s="406"/>
      <c r="IHS6" s="406"/>
      <c r="IHT6" s="406"/>
      <c r="IHU6" s="406"/>
      <c r="IHV6" s="406"/>
      <c r="IHW6" s="406"/>
      <c r="IHX6" s="406"/>
      <c r="IHY6" s="406"/>
      <c r="IHZ6" s="406"/>
      <c r="IIA6" s="406"/>
      <c r="IIB6" s="406"/>
      <c r="IIC6" s="406"/>
      <c r="IID6" s="406"/>
      <c r="IIE6" s="406"/>
      <c r="IIF6" s="406"/>
      <c r="IIG6" s="406"/>
      <c r="IIH6" s="406"/>
      <c r="III6" s="406"/>
      <c r="IIJ6" s="406"/>
      <c r="IIK6" s="406"/>
      <c r="IIL6" s="406"/>
      <c r="IIM6" s="406"/>
      <c r="IIN6" s="406"/>
      <c r="IIO6" s="406"/>
      <c r="IIP6" s="406"/>
      <c r="IIQ6" s="406"/>
      <c r="IIR6" s="406"/>
      <c r="IIS6" s="406"/>
      <c r="IIT6" s="406"/>
      <c r="IIU6" s="406"/>
      <c r="IIV6" s="406"/>
      <c r="IIW6" s="406"/>
      <c r="IIX6" s="406"/>
      <c r="IIY6" s="406"/>
      <c r="IIZ6" s="406"/>
      <c r="IJA6" s="406"/>
      <c r="IJB6" s="406"/>
      <c r="IJC6" s="406"/>
      <c r="IJD6" s="406"/>
      <c r="IJE6" s="406"/>
      <c r="IJF6" s="406"/>
      <c r="IJG6" s="406"/>
      <c r="IJH6" s="406"/>
      <c r="IJI6" s="406"/>
      <c r="IJJ6" s="406"/>
      <c r="IJK6" s="406"/>
      <c r="IJL6" s="406"/>
      <c r="IJM6" s="406"/>
      <c r="IJN6" s="406"/>
      <c r="IJO6" s="406"/>
      <c r="IJP6" s="406"/>
      <c r="IJQ6" s="406"/>
      <c r="IJR6" s="406"/>
      <c r="IJS6" s="406"/>
      <c r="IJT6" s="406"/>
      <c r="IJU6" s="406"/>
      <c r="IJV6" s="406"/>
      <c r="IJW6" s="406"/>
      <c r="IJX6" s="406"/>
      <c r="IJY6" s="406"/>
      <c r="IJZ6" s="406"/>
      <c r="IKA6" s="406"/>
      <c r="IKB6" s="406"/>
      <c r="IKC6" s="406"/>
      <c r="IKD6" s="406"/>
      <c r="IKE6" s="406"/>
      <c r="IKF6" s="406"/>
      <c r="IKG6" s="406"/>
      <c r="IKH6" s="406"/>
      <c r="IKI6" s="406"/>
      <c r="IKJ6" s="406"/>
      <c r="IKK6" s="406"/>
      <c r="IKL6" s="406"/>
      <c r="IKM6" s="406"/>
      <c r="IKN6" s="406"/>
      <c r="IKO6" s="406"/>
      <c r="IKP6" s="406"/>
      <c r="IKQ6" s="406"/>
      <c r="IKR6" s="406"/>
      <c r="IKS6" s="406"/>
      <c r="IKT6" s="406"/>
      <c r="IKU6" s="406"/>
      <c r="IKV6" s="406"/>
      <c r="IKW6" s="406"/>
      <c r="IKX6" s="406"/>
      <c r="IKY6" s="406"/>
      <c r="IKZ6" s="406"/>
      <c r="ILA6" s="406"/>
      <c r="ILB6" s="406"/>
      <c r="ILC6" s="406"/>
      <c r="ILD6" s="406"/>
      <c r="ILE6" s="406"/>
      <c r="ILF6" s="406"/>
      <c r="ILG6" s="406"/>
      <c r="ILH6" s="406"/>
      <c r="ILI6" s="406"/>
      <c r="ILJ6" s="406"/>
      <c r="ILK6" s="406"/>
      <c r="ILL6" s="406"/>
      <c r="ILM6" s="406"/>
      <c r="ILN6" s="406"/>
      <c r="ILO6" s="406"/>
      <c r="ILP6" s="406"/>
      <c r="ILQ6" s="406"/>
      <c r="ILR6" s="406"/>
      <c r="ILS6" s="406"/>
      <c r="ILT6" s="406"/>
      <c r="ILU6" s="406"/>
      <c r="ILV6" s="406"/>
      <c r="ILW6" s="406"/>
      <c r="ILX6" s="406"/>
      <c r="ILY6" s="406"/>
      <c r="ILZ6" s="406"/>
      <c r="IMA6" s="406"/>
      <c r="IMB6" s="406"/>
      <c r="IMC6" s="406"/>
      <c r="IMD6" s="406"/>
      <c r="IME6" s="406"/>
      <c r="IMF6" s="406"/>
      <c r="IMG6" s="406"/>
      <c r="IMH6" s="406"/>
      <c r="IMI6" s="406"/>
      <c r="IMJ6" s="406"/>
      <c r="IMK6" s="406"/>
      <c r="IML6" s="406"/>
      <c r="IMM6" s="406"/>
      <c r="IMN6" s="406"/>
      <c r="IMO6" s="406"/>
      <c r="IMP6" s="406"/>
      <c r="IMQ6" s="406"/>
      <c r="IMR6" s="406"/>
      <c r="IMS6" s="406"/>
      <c r="IMT6" s="406"/>
      <c r="IMU6" s="406"/>
      <c r="IMV6" s="406"/>
      <c r="IMW6" s="406"/>
      <c r="IMX6" s="406"/>
      <c r="IMY6" s="406"/>
      <c r="IMZ6" s="406"/>
      <c r="INA6" s="406"/>
      <c r="INB6" s="406"/>
      <c r="INC6" s="406"/>
      <c r="IND6" s="406"/>
      <c r="INE6" s="406"/>
      <c r="INF6" s="406"/>
      <c r="ING6" s="406"/>
      <c r="INH6" s="406"/>
      <c r="INI6" s="406"/>
      <c r="INJ6" s="406"/>
      <c r="INK6" s="406"/>
      <c r="INL6" s="406"/>
      <c r="INM6" s="406"/>
      <c r="INN6" s="406"/>
      <c r="INO6" s="406"/>
      <c r="INP6" s="406"/>
      <c r="INQ6" s="406"/>
      <c r="INR6" s="406"/>
      <c r="INS6" s="406"/>
      <c r="INT6" s="406"/>
      <c r="INU6" s="406"/>
      <c r="INV6" s="406"/>
      <c r="INW6" s="406"/>
      <c r="INX6" s="406"/>
      <c r="INY6" s="406"/>
      <c r="INZ6" s="406"/>
      <c r="IOA6" s="406"/>
      <c r="IOB6" s="406"/>
      <c r="IOC6" s="406"/>
      <c r="IOD6" s="406"/>
      <c r="IOE6" s="406"/>
      <c r="IOF6" s="406"/>
      <c r="IOG6" s="406"/>
      <c r="IOH6" s="406"/>
      <c r="IOI6" s="406"/>
      <c r="IOJ6" s="406"/>
      <c r="IOK6" s="406"/>
      <c r="IOL6" s="406"/>
      <c r="IOM6" s="406"/>
      <c r="ION6" s="406"/>
      <c r="IOO6" s="406"/>
      <c r="IOP6" s="406"/>
      <c r="IOQ6" s="406"/>
      <c r="IOR6" s="406"/>
      <c r="IOS6" s="406"/>
      <c r="IOT6" s="406"/>
      <c r="IOU6" s="406"/>
      <c r="IOV6" s="406"/>
      <c r="IOW6" s="406"/>
      <c r="IOX6" s="406"/>
      <c r="IOY6" s="406"/>
      <c r="IOZ6" s="406"/>
      <c r="IPA6" s="406"/>
      <c r="IPB6" s="406"/>
      <c r="IPC6" s="406"/>
      <c r="IPD6" s="406"/>
      <c r="IPE6" s="406"/>
      <c r="IPF6" s="406"/>
      <c r="IPG6" s="406"/>
      <c r="IPH6" s="406"/>
      <c r="IPI6" s="406"/>
      <c r="IPJ6" s="406"/>
      <c r="IPK6" s="406"/>
      <c r="IPL6" s="406"/>
      <c r="IPM6" s="406"/>
      <c r="IPN6" s="406"/>
      <c r="IPO6" s="406"/>
      <c r="IPP6" s="406"/>
      <c r="IPQ6" s="406"/>
      <c r="IPR6" s="406"/>
      <c r="IPS6" s="406"/>
      <c r="IPT6" s="406"/>
      <c r="IPU6" s="406"/>
      <c r="IPV6" s="406"/>
      <c r="IPW6" s="406"/>
      <c r="IPX6" s="406"/>
      <c r="IPY6" s="406"/>
      <c r="IPZ6" s="406"/>
      <c r="IQA6" s="406"/>
      <c r="IQB6" s="406"/>
      <c r="IQC6" s="406"/>
      <c r="IQD6" s="406"/>
      <c r="IQE6" s="406"/>
      <c r="IQF6" s="406"/>
      <c r="IQG6" s="406"/>
      <c r="IQH6" s="406"/>
      <c r="IQI6" s="406"/>
      <c r="IQJ6" s="406"/>
      <c r="IQK6" s="406"/>
      <c r="IQL6" s="406"/>
      <c r="IQM6" s="406"/>
      <c r="IQN6" s="406"/>
      <c r="IQO6" s="406"/>
      <c r="IQP6" s="406"/>
      <c r="IQQ6" s="406"/>
      <c r="IQR6" s="406"/>
      <c r="IQS6" s="406"/>
      <c r="IQT6" s="406"/>
      <c r="IQU6" s="406"/>
      <c r="IQV6" s="406"/>
      <c r="IQW6" s="406"/>
      <c r="IQX6" s="406"/>
      <c r="IQY6" s="406"/>
      <c r="IQZ6" s="406"/>
      <c r="IRA6" s="406"/>
      <c r="IRB6" s="406"/>
      <c r="IRC6" s="406"/>
      <c r="IRD6" s="406"/>
      <c r="IRE6" s="406"/>
      <c r="IRF6" s="406"/>
      <c r="IRG6" s="406"/>
      <c r="IRH6" s="406"/>
      <c r="IRI6" s="406"/>
      <c r="IRJ6" s="406"/>
      <c r="IRK6" s="406"/>
      <c r="IRL6" s="406"/>
      <c r="IRM6" s="406"/>
      <c r="IRN6" s="406"/>
      <c r="IRO6" s="406"/>
      <c r="IRP6" s="406"/>
      <c r="IRQ6" s="406"/>
      <c r="IRR6" s="406"/>
      <c r="IRS6" s="406"/>
      <c r="IRT6" s="406"/>
      <c r="IRU6" s="406"/>
      <c r="IRV6" s="406"/>
      <c r="IRW6" s="406"/>
      <c r="IRX6" s="406"/>
      <c r="IRY6" s="406"/>
      <c r="IRZ6" s="406"/>
      <c r="ISA6" s="406"/>
      <c r="ISB6" s="406"/>
      <c r="ISC6" s="406"/>
      <c r="ISD6" s="406"/>
      <c r="ISE6" s="406"/>
      <c r="ISF6" s="406"/>
      <c r="ISG6" s="406"/>
      <c r="ISH6" s="406"/>
      <c r="ISI6" s="406"/>
      <c r="ISJ6" s="406"/>
      <c r="ISK6" s="406"/>
      <c r="ISL6" s="406"/>
      <c r="ISM6" s="406"/>
      <c r="ISN6" s="406"/>
      <c r="ISO6" s="406"/>
      <c r="ISP6" s="406"/>
      <c r="ISQ6" s="406"/>
      <c r="ISR6" s="406"/>
      <c r="ISS6" s="406"/>
      <c r="IST6" s="406"/>
      <c r="ISU6" s="406"/>
      <c r="ISV6" s="406"/>
      <c r="ISW6" s="406"/>
      <c r="ISX6" s="406"/>
      <c r="ISY6" s="406"/>
      <c r="ISZ6" s="406"/>
      <c r="ITA6" s="406"/>
      <c r="ITB6" s="406"/>
      <c r="ITC6" s="406"/>
      <c r="ITD6" s="406"/>
      <c r="ITE6" s="406"/>
      <c r="ITF6" s="406"/>
      <c r="ITG6" s="406"/>
      <c r="ITH6" s="406"/>
      <c r="ITI6" s="406"/>
      <c r="ITJ6" s="406"/>
      <c r="ITK6" s="406"/>
      <c r="ITL6" s="406"/>
      <c r="ITM6" s="406"/>
      <c r="ITN6" s="406"/>
      <c r="ITO6" s="406"/>
      <c r="ITP6" s="406"/>
      <c r="ITQ6" s="406"/>
      <c r="ITR6" s="406"/>
      <c r="ITS6" s="406"/>
      <c r="ITT6" s="406"/>
      <c r="ITU6" s="406"/>
      <c r="ITV6" s="406"/>
      <c r="ITW6" s="406"/>
      <c r="ITX6" s="406"/>
      <c r="ITY6" s="406"/>
      <c r="ITZ6" s="406"/>
      <c r="IUA6" s="406"/>
      <c r="IUB6" s="406"/>
      <c r="IUC6" s="406"/>
      <c r="IUD6" s="406"/>
      <c r="IUE6" s="406"/>
      <c r="IUF6" s="406"/>
      <c r="IUG6" s="406"/>
      <c r="IUH6" s="406"/>
      <c r="IUI6" s="406"/>
      <c r="IUJ6" s="406"/>
      <c r="IUK6" s="406"/>
      <c r="IUL6" s="406"/>
      <c r="IUM6" s="406"/>
      <c r="IUN6" s="406"/>
      <c r="IUO6" s="406"/>
      <c r="IUP6" s="406"/>
      <c r="IUQ6" s="406"/>
      <c r="IUR6" s="406"/>
      <c r="IUS6" s="406"/>
      <c r="IUT6" s="406"/>
      <c r="IUU6" s="406"/>
      <c r="IUV6" s="406"/>
      <c r="IUW6" s="406"/>
      <c r="IUX6" s="406"/>
      <c r="IUY6" s="406"/>
      <c r="IUZ6" s="406"/>
      <c r="IVA6" s="406"/>
      <c r="IVB6" s="406"/>
      <c r="IVC6" s="406"/>
      <c r="IVD6" s="406"/>
      <c r="IVE6" s="406"/>
      <c r="IVF6" s="406"/>
      <c r="IVG6" s="406"/>
      <c r="IVH6" s="406"/>
      <c r="IVI6" s="406"/>
      <c r="IVJ6" s="406"/>
      <c r="IVK6" s="406"/>
      <c r="IVL6" s="406"/>
      <c r="IVM6" s="406"/>
      <c r="IVN6" s="406"/>
      <c r="IVO6" s="406"/>
      <c r="IVP6" s="406"/>
      <c r="IVQ6" s="406"/>
      <c r="IVR6" s="406"/>
      <c r="IVS6" s="406"/>
      <c r="IVT6" s="406"/>
      <c r="IVU6" s="406"/>
      <c r="IVV6" s="406"/>
      <c r="IVW6" s="406"/>
      <c r="IVX6" s="406"/>
      <c r="IVY6" s="406"/>
      <c r="IVZ6" s="406"/>
      <c r="IWA6" s="406"/>
      <c r="IWB6" s="406"/>
      <c r="IWC6" s="406"/>
      <c r="IWD6" s="406"/>
      <c r="IWE6" s="406"/>
      <c r="IWF6" s="406"/>
      <c r="IWG6" s="406"/>
      <c r="IWH6" s="406"/>
      <c r="IWI6" s="406"/>
      <c r="IWJ6" s="406"/>
      <c r="IWK6" s="406"/>
      <c r="IWL6" s="406"/>
      <c r="IWM6" s="406"/>
      <c r="IWN6" s="406"/>
      <c r="IWO6" s="406"/>
      <c r="IWP6" s="406"/>
      <c r="IWQ6" s="406"/>
      <c r="IWR6" s="406"/>
      <c r="IWS6" s="406"/>
      <c r="IWT6" s="406"/>
      <c r="IWU6" s="406"/>
      <c r="IWV6" s="406"/>
      <c r="IWW6" s="406"/>
      <c r="IWX6" s="406"/>
      <c r="IWY6" s="406"/>
      <c r="IWZ6" s="406"/>
      <c r="IXA6" s="406"/>
      <c r="IXB6" s="406"/>
      <c r="IXC6" s="406"/>
      <c r="IXD6" s="406"/>
      <c r="IXE6" s="406"/>
      <c r="IXF6" s="406"/>
      <c r="IXG6" s="406"/>
      <c r="IXH6" s="406"/>
      <c r="IXI6" s="406"/>
      <c r="IXJ6" s="406"/>
      <c r="IXK6" s="406"/>
      <c r="IXL6" s="406"/>
      <c r="IXM6" s="406"/>
      <c r="IXN6" s="406"/>
      <c r="IXO6" s="406"/>
      <c r="IXP6" s="406"/>
      <c r="IXQ6" s="406"/>
      <c r="IXR6" s="406"/>
      <c r="IXS6" s="406"/>
      <c r="IXT6" s="406"/>
      <c r="IXU6" s="406"/>
      <c r="IXV6" s="406"/>
      <c r="IXW6" s="406"/>
      <c r="IXX6" s="406"/>
      <c r="IXY6" s="406"/>
      <c r="IXZ6" s="406"/>
      <c r="IYA6" s="406"/>
      <c r="IYB6" s="406"/>
      <c r="IYC6" s="406"/>
      <c r="IYD6" s="406"/>
      <c r="IYE6" s="406"/>
      <c r="IYF6" s="406"/>
      <c r="IYG6" s="406"/>
      <c r="IYH6" s="406"/>
      <c r="IYI6" s="406"/>
      <c r="IYJ6" s="406"/>
      <c r="IYK6" s="406"/>
      <c r="IYL6" s="406"/>
      <c r="IYM6" s="406"/>
      <c r="IYN6" s="406"/>
      <c r="IYO6" s="406"/>
      <c r="IYP6" s="406"/>
      <c r="IYQ6" s="406"/>
      <c r="IYR6" s="406"/>
      <c r="IYS6" s="406"/>
      <c r="IYT6" s="406"/>
      <c r="IYU6" s="406"/>
      <c r="IYV6" s="406"/>
      <c r="IYW6" s="406"/>
      <c r="IYX6" s="406"/>
      <c r="IYY6" s="406"/>
      <c r="IYZ6" s="406"/>
      <c r="IZA6" s="406"/>
      <c r="IZB6" s="406"/>
      <c r="IZC6" s="406"/>
      <c r="IZD6" s="406"/>
      <c r="IZE6" s="406"/>
      <c r="IZF6" s="406"/>
      <c r="IZG6" s="406"/>
      <c r="IZH6" s="406"/>
      <c r="IZI6" s="406"/>
      <c r="IZJ6" s="406"/>
      <c r="IZK6" s="406"/>
      <c r="IZL6" s="406"/>
      <c r="IZM6" s="406"/>
      <c r="IZN6" s="406"/>
      <c r="IZO6" s="406"/>
      <c r="IZP6" s="406"/>
      <c r="IZQ6" s="406"/>
      <c r="IZR6" s="406"/>
      <c r="IZS6" s="406"/>
      <c r="IZT6" s="406"/>
      <c r="IZU6" s="406"/>
      <c r="IZV6" s="406"/>
      <c r="IZW6" s="406"/>
      <c r="IZX6" s="406"/>
      <c r="IZY6" s="406"/>
      <c r="IZZ6" s="406"/>
      <c r="JAA6" s="406"/>
      <c r="JAB6" s="406"/>
      <c r="JAC6" s="406"/>
      <c r="JAD6" s="406"/>
      <c r="JAE6" s="406"/>
      <c r="JAF6" s="406"/>
      <c r="JAG6" s="406"/>
      <c r="JAH6" s="406"/>
      <c r="JAI6" s="406"/>
      <c r="JAJ6" s="406"/>
      <c r="JAK6" s="406"/>
      <c r="JAL6" s="406"/>
      <c r="JAM6" s="406"/>
      <c r="JAN6" s="406"/>
      <c r="JAO6" s="406"/>
      <c r="JAP6" s="406"/>
      <c r="JAQ6" s="406"/>
      <c r="JAR6" s="406"/>
      <c r="JAS6" s="406"/>
      <c r="JAT6" s="406"/>
      <c r="JAU6" s="406"/>
      <c r="JAV6" s="406"/>
      <c r="JAW6" s="406"/>
      <c r="JAX6" s="406"/>
      <c r="JAY6" s="406"/>
      <c r="JAZ6" s="406"/>
      <c r="JBA6" s="406"/>
      <c r="JBB6" s="406"/>
      <c r="JBC6" s="406"/>
      <c r="JBD6" s="406"/>
      <c r="JBE6" s="406"/>
      <c r="JBF6" s="406"/>
      <c r="JBG6" s="406"/>
      <c r="JBH6" s="406"/>
      <c r="JBI6" s="406"/>
      <c r="JBJ6" s="406"/>
      <c r="JBK6" s="406"/>
      <c r="JBL6" s="406"/>
      <c r="JBM6" s="406"/>
      <c r="JBN6" s="406"/>
      <c r="JBO6" s="406"/>
      <c r="JBP6" s="406"/>
      <c r="JBQ6" s="406"/>
      <c r="JBR6" s="406"/>
      <c r="JBS6" s="406"/>
      <c r="JBT6" s="406"/>
      <c r="JBU6" s="406"/>
      <c r="JBV6" s="406"/>
      <c r="JBW6" s="406"/>
      <c r="JBX6" s="406"/>
      <c r="JBY6" s="406"/>
      <c r="JBZ6" s="406"/>
      <c r="JCA6" s="406"/>
      <c r="JCB6" s="406"/>
      <c r="JCC6" s="406"/>
      <c r="JCD6" s="406"/>
      <c r="JCE6" s="406"/>
      <c r="JCF6" s="406"/>
      <c r="JCG6" s="406"/>
      <c r="JCH6" s="406"/>
      <c r="JCI6" s="406"/>
      <c r="JCJ6" s="406"/>
      <c r="JCK6" s="406"/>
      <c r="JCL6" s="406"/>
      <c r="JCM6" s="406"/>
      <c r="JCN6" s="406"/>
      <c r="JCO6" s="406"/>
      <c r="JCP6" s="406"/>
      <c r="JCQ6" s="406"/>
      <c r="JCR6" s="406"/>
      <c r="JCS6" s="406"/>
      <c r="JCT6" s="406"/>
      <c r="JCU6" s="406"/>
      <c r="JCV6" s="406"/>
      <c r="JCW6" s="406"/>
      <c r="JCX6" s="406"/>
      <c r="JCY6" s="406"/>
      <c r="JCZ6" s="406"/>
      <c r="JDA6" s="406"/>
      <c r="JDB6" s="406"/>
      <c r="JDC6" s="406"/>
      <c r="JDD6" s="406"/>
      <c r="JDE6" s="406"/>
      <c r="JDF6" s="406"/>
      <c r="JDG6" s="406"/>
      <c r="JDH6" s="406"/>
      <c r="JDI6" s="406"/>
      <c r="JDJ6" s="406"/>
      <c r="JDK6" s="406"/>
      <c r="JDL6" s="406"/>
      <c r="JDM6" s="406"/>
      <c r="JDN6" s="406"/>
      <c r="JDO6" s="406"/>
      <c r="JDP6" s="406"/>
      <c r="JDQ6" s="406"/>
      <c r="JDR6" s="406"/>
      <c r="JDS6" s="406"/>
      <c r="JDT6" s="406"/>
      <c r="JDU6" s="406"/>
      <c r="JDV6" s="406"/>
      <c r="JDW6" s="406"/>
      <c r="JDX6" s="406"/>
      <c r="JDY6" s="406"/>
      <c r="JDZ6" s="406"/>
      <c r="JEA6" s="406"/>
      <c r="JEB6" s="406"/>
      <c r="JEC6" s="406"/>
      <c r="JED6" s="406"/>
      <c r="JEE6" s="406"/>
      <c r="JEF6" s="406"/>
      <c r="JEG6" s="406"/>
      <c r="JEH6" s="406"/>
      <c r="JEI6" s="406"/>
      <c r="JEJ6" s="406"/>
      <c r="JEK6" s="406"/>
      <c r="JEL6" s="406"/>
      <c r="JEM6" s="406"/>
      <c r="JEN6" s="406"/>
      <c r="JEO6" s="406"/>
      <c r="JEP6" s="406"/>
      <c r="JEQ6" s="406"/>
      <c r="JER6" s="406"/>
      <c r="JES6" s="406"/>
      <c r="JET6" s="406"/>
      <c r="JEU6" s="406"/>
      <c r="JEV6" s="406"/>
      <c r="JEW6" s="406"/>
      <c r="JEX6" s="406"/>
      <c r="JEY6" s="406"/>
      <c r="JEZ6" s="406"/>
      <c r="JFA6" s="406"/>
      <c r="JFB6" s="406"/>
      <c r="JFC6" s="406"/>
      <c r="JFD6" s="406"/>
      <c r="JFE6" s="406"/>
      <c r="JFF6" s="406"/>
      <c r="JFG6" s="406"/>
      <c r="JFH6" s="406"/>
      <c r="JFI6" s="406"/>
      <c r="JFJ6" s="406"/>
      <c r="JFK6" s="406"/>
      <c r="JFL6" s="406"/>
      <c r="JFM6" s="406"/>
      <c r="JFN6" s="406"/>
      <c r="JFO6" s="406"/>
      <c r="JFP6" s="406"/>
      <c r="JFQ6" s="406"/>
      <c r="JFR6" s="406"/>
      <c r="JFS6" s="406"/>
      <c r="JFT6" s="406"/>
      <c r="JFU6" s="406"/>
      <c r="JFV6" s="406"/>
      <c r="JFW6" s="406"/>
      <c r="JFX6" s="406"/>
      <c r="JFY6" s="406"/>
      <c r="JFZ6" s="406"/>
      <c r="JGA6" s="406"/>
      <c r="JGB6" s="406"/>
      <c r="JGC6" s="406"/>
      <c r="JGD6" s="406"/>
      <c r="JGE6" s="406"/>
      <c r="JGF6" s="406"/>
      <c r="JGG6" s="406"/>
      <c r="JGH6" s="406"/>
      <c r="JGI6" s="406"/>
      <c r="JGJ6" s="406"/>
      <c r="JGK6" s="406"/>
      <c r="JGL6" s="406"/>
      <c r="JGM6" s="406"/>
      <c r="JGN6" s="406"/>
      <c r="JGO6" s="406"/>
      <c r="JGP6" s="406"/>
      <c r="JGQ6" s="406"/>
      <c r="JGR6" s="406"/>
      <c r="JGS6" s="406"/>
      <c r="JGT6" s="406"/>
      <c r="JGU6" s="406"/>
      <c r="JGV6" s="406"/>
      <c r="JGW6" s="406"/>
      <c r="JGX6" s="406"/>
      <c r="JGY6" s="406"/>
      <c r="JGZ6" s="406"/>
      <c r="JHA6" s="406"/>
      <c r="JHB6" s="406"/>
      <c r="JHC6" s="406"/>
      <c r="JHD6" s="406"/>
      <c r="JHE6" s="406"/>
      <c r="JHF6" s="406"/>
      <c r="JHG6" s="406"/>
      <c r="JHH6" s="406"/>
      <c r="JHI6" s="406"/>
      <c r="JHJ6" s="406"/>
      <c r="JHK6" s="406"/>
      <c r="JHL6" s="406"/>
      <c r="JHM6" s="406"/>
      <c r="JHN6" s="406"/>
      <c r="JHO6" s="406"/>
      <c r="JHP6" s="406"/>
      <c r="JHQ6" s="406"/>
      <c r="JHR6" s="406"/>
      <c r="JHS6" s="406"/>
      <c r="JHT6" s="406"/>
      <c r="JHU6" s="406"/>
      <c r="JHV6" s="406"/>
      <c r="JHW6" s="406"/>
      <c r="JHX6" s="406"/>
      <c r="JHY6" s="406"/>
      <c r="JHZ6" s="406"/>
      <c r="JIA6" s="406"/>
      <c r="JIB6" s="406"/>
      <c r="JIC6" s="406"/>
      <c r="JID6" s="406"/>
      <c r="JIE6" s="406"/>
      <c r="JIF6" s="406"/>
      <c r="JIG6" s="406"/>
      <c r="JIH6" s="406"/>
      <c r="JII6" s="406"/>
      <c r="JIJ6" s="406"/>
      <c r="JIK6" s="406"/>
      <c r="JIL6" s="406"/>
      <c r="JIM6" s="406"/>
      <c r="JIN6" s="406"/>
      <c r="JIO6" s="406"/>
      <c r="JIP6" s="406"/>
      <c r="JIQ6" s="406"/>
      <c r="JIR6" s="406"/>
      <c r="JIS6" s="406"/>
      <c r="JIT6" s="406"/>
      <c r="JIU6" s="406"/>
      <c r="JIV6" s="406"/>
      <c r="JIW6" s="406"/>
      <c r="JIX6" s="406"/>
      <c r="JIY6" s="406"/>
      <c r="JIZ6" s="406"/>
      <c r="JJA6" s="406"/>
      <c r="JJB6" s="406"/>
      <c r="JJC6" s="406"/>
      <c r="JJD6" s="406"/>
      <c r="JJE6" s="406"/>
      <c r="JJF6" s="406"/>
      <c r="JJG6" s="406"/>
      <c r="JJH6" s="406"/>
      <c r="JJI6" s="406"/>
      <c r="JJJ6" s="406"/>
      <c r="JJK6" s="406"/>
      <c r="JJL6" s="406"/>
      <c r="JJM6" s="406"/>
      <c r="JJN6" s="406"/>
      <c r="JJO6" s="406"/>
      <c r="JJP6" s="406"/>
      <c r="JJQ6" s="406"/>
      <c r="JJR6" s="406"/>
      <c r="JJS6" s="406"/>
      <c r="JJT6" s="406"/>
      <c r="JJU6" s="406"/>
      <c r="JJV6" s="406"/>
      <c r="JJW6" s="406"/>
      <c r="JJX6" s="406"/>
      <c r="JJY6" s="406"/>
      <c r="JJZ6" s="406"/>
      <c r="JKA6" s="406"/>
      <c r="JKB6" s="406"/>
      <c r="JKC6" s="406"/>
      <c r="JKD6" s="406"/>
      <c r="JKE6" s="406"/>
      <c r="JKF6" s="406"/>
      <c r="JKG6" s="406"/>
      <c r="JKH6" s="406"/>
      <c r="JKI6" s="406"/>
      <c r="JKJ6" s="406"/>
      <c r="JKK6" s="406"/>
      <c r="JKL6" s="406"/>
      <c r="JKM6" s="406"/>
      <c r="JKN6" s="406"/>
      <c r="JKO6" s="406"/>
      <c r="JKP6" s="406"/>
      <c r="JKQ6" s="406"/>
      <c r="JKR6" s="406"/>
      <c r="JKS6" s="406"/>
      <c r="JKT6" s="406"/>
      <c r="JKU6" s="406"/>
      <c r="JKV6" s="406"/>
      <c r="JKW6" s="406"/>
      <c r="JKX6" s="406"/>
      <c r="JKY6" s="406"/>
      <c r="JKZ6" s="406"/>
      <c r="JLA6" s="406"/>
      <c r="JLB6" s="406"/>
      <c r="JLC6" s="406"/>
      <c r="JLD6" s="406"/>
      <c r="JLE6" s="406"/>
      <c r="JLF6" s="406"/>
      <c r="JLG6" s="406"/>
      <c r="JLH6" s="406"/>
      <c r="JLI6" s="406"/>
      <c r="JLJ6" s="406"/>
      <c r="JLK6" s="406"/>
      <c r="JLL6" s="406"/>
      <c r="JLM6" s="406"/>
      <c r="JLN6" s="406"/>
      <c r="JLO6" s="406"/>
      <c r="JLP6" s="406"/>
      <c r="JLQ6" s="406"/>
      <c r="JLR6" s="406"/>
      <c r="JLS6" s="406"/>
      <c r="JLT6" s="406"/>
      <c r="JLU6" s="406"/>
      <c r="JLV6" s="406"/>
      <c r="JLW6" s="406"/>
      <c r="JLX6" s="406"/>
      <c r="JLY6" s="406"/>
      <c r="JLZ6" s="406"/>
      <c r="JMA6" s="406"/>
      <c r="JMB6" s="406"/>
      <c r="JMC6" s="406"/>
      <c r="JMD6" s="406"/>
      <c r="JME6" s="406"/>
      <c r="JMF6" s="406"/>
      <c r="JMG6" s="406"/>
      <c r="JMH6" s="406"/>
      <c r="JMI6" s="406"/>
      <c r="JMJ6" s="406"/>
      <c r="JMK6" s="406"/>
      <c r="JML6" s="406"/>
      <c r="JMM6" s="406"/>
      <c r="JMN6" s="406"/>
      <c r="JMO6" s="406"/>
      <c r="JMP6" s="406"/>
      <c r="JMQ6" s="406"/>
      <c r="JMR6" s="406"/>
      <c r="JMS6" s="406"/>
      <c r="JMT6" s="406"/>
      <c r="JMU6" s="406"/>
      <c r="JMV6" s="406"/>
      <c r="JMW6" s="406"/>
      <c r="JMX6" s="406"/>
      <c r="JMY6" s="406"/>
      <c r="JMZ6" s="406"/>
      <c r="JNA6" s="406"/>
      <c r="JNB6" s="406"/>
      <c r="JNC6" s="406"/>
      <c r="JND6" s="406"/>
      <c r="JNE6" s="406"/>
      <c r="JNF6" s="406"/>
      <c r="JNG6" s="406"/>
      <c r="JNH6" s="406"/>
      <c r="JNI6" s="406"/>
      <c r="JNJ6" s="406"/>
      <c r="JNK6" s="406"/>
      <c r="JNL6" s="406"/>
      <c r="JNM6" s="406"/>
      <c r="JNN6" s="406"/>
      <c r="JNO6" s="406"/>
      <c r="JNP6" s="406"/>
      <c r="JNQ6" s="406"/>
      <c r="JNR6" s="406"/>
      <c r="JNS6" s="406"/>
      <c r="JNT6" s="406"/>
      <c r="JNU6" s="406"/>
      <c r="JNV6" s="406"/>
      <c r="JNW6" s="406"/>
      <c r="JNX6" s="406"/>
      <c r="JNY6" s="406"/>
      <c r="JNZ6" s="406"/>
      <c r="JOA6" s="406"/>
      <c r="JOB6" s="406"/>
      <c r="JOC6" s="406"/>
      <c r="JOD6" s="406"/>
      <c r="JOE6" s="406"/>
      <c r="JOF6" s="406"/>
      <c r="JOG6" s="406"/>
      <c r="JOH6" s="406"/>
      <c r="JOI6" s="406"/>
      <c r="JOJ6" s="406"/>
      <c r="JOK6" s="406"/>
      <c r="JOL6" s="406"/>
      <c r="JOM6" s="406"/>
      <c r="JON6" s="406"/>
      <c r="JOO6" s="406"/>
      <c r="JOP6" s="406"/>
      <c r="JOQ6" s="406"/>
      <c r="JOR6" s="406"/>
      <c r="JOS6" s="406"/>
      <c r="JOT6" s="406"/>
      <c r="JOU6" s="406"/>
      <c r="JOV6" s="406"/>
      <c r="JOW6" s="406"/>
      <c r="JOX6" s="406"/>
      <c r="JOY6" s="406"/>
      <c r="JOZ6" s="406"/>
      <c r="JPA6" s="406"/>
      <c r="JPB6" s="406"/>
      <c r="JPC6" s="406"/>
      <c r="JPD6" s="406"/>
      <c r="JPE6" s="406"/>
      <c r="JPF6" s="406"/>
      <c r="JPG6" s="406"/>
      <c r="JPH6" s="406"/>
      <c r="JPI6" s="406"/>
      <c r="JPJ6" s="406"/>
      <c r="JPK6" s="406"/>
      <c r="JPL6" s="406"/>
      <c r="JPM6" s="406"/>
      <c r="JPN6" s="406"/>
      <c r="JPO6" s="406"/>
      <c r="JPP6" s="406"/>
      <c r="JPQ6" s="406"/>
      <c r="JPR6" s="406"/>
      <c r="JPS6" s="406"/>
      <c r="JPT6" s="406"/>
      <c r="JPU6" s="406"/>
      <c r="JPV6" s="406"/>
      <c r="JPW6" s="406"/>
      <c r="JPX6" s="406"/>
      <c r="JPY6" s="406"/>
      <c r="JPZ6" s="406"/>
      <c r="JQA6" s="406"/>
      <c r="JQB6" s="406"/>
      <c r="JQC6" s="406"/>
      <c r="JQD6" s="406"/>
      <c r="JQE6" s="406"/>
      <c r="JQF6" s="406"/>
      <c r="JQG6" s="406"/>
      <c r="JQH6" s="406"/>
      <c r="JQI6" s="406"/>
      <c r="JQJ6" s="406"/>
      <c r="JQK6" s="406"/>
      <c r="JQL6" s="406"/>
      <c r="JQM6" s="406"/>
      <c r="JQN6" s="406"/>
      <c r="JQO6" s="406"/>
      <c r="JQP6" s="406"/>
      <c r="JQQ6" s="406"/>
      <c r="JQR6" s="406"/>
      <c r="JQS6" s="406"/>
      <c r="JQT6" s="406"/>
      <c r="JQU6" s="406"/>
      <c r="JQV6" s="406"/>
      <c r="JQW6" s="406"/>
      <c r="JQX6" s="406"/>
      <c r="JQY6" s="406"/>
      <c r="JQZ6" s="406"/>
      <c r="JRA6" s="406"/>
      <c r="JRB6" s="406"/>
      <c r="JRC6" s="406"/>
      <c r="JRD6" s="406"/>
      <c r="JRE6" s="406"/>
      <c r="JRF6" s="406"/>
      <c r="JRG6" s="406"/>
      <c r="JRH6" s="406"/>
      <c r="JRI6" s="406"/>
      <c r="JRJ6" s="406"/>
      <c r="JRK6" s="406"/>
      <c r="JRL6" s="406"/>
      <c r="JRM6" s="406"/>
      <c r="JRN6" s="406"/>
      <c r="JRO6" s="406"/>
      <c r="JRP6" s="406"/>
      <c r="JRQ6" s="406"/>
      <c r="JRR6" s="406"/>
      <c r="JRS6" s="406"/>
      <c r="JRT6" s="406"/>
      <c r="JRU6" s="406"/>
      <c r="JRV6" s="406"/>
      <c r="JRW6" s="406"/>
      <c r="JRX6" s="406"/>
      <c r="JRY6" s="406"/>
      <c r="JRZ6" s="406"/>
      <c r="JSA6" s="406"/>
      <c r="JSB6" s="406"/>
      <c r="JSC6" s="406"/>
      <c r="JSD6" s="406"/>
      <c r="JSE6" s="406"/>
      <c r="JSF6" s="406"/>
      <c r="JSG6" s="406"/>
      <c r="JSH6" s="406"/>
      <c r="JSI6" s="406"/>
      <c r="JSJ6" s="406"/>
      <c r="JSK6" s="406"/>
      <c r="JSL6" s="406"/>
      <c r="JSM6" s="406"/>
      <c r="JSN6" s="406"/>
      <c r="JSO6" s="406"/>
      <c r="JSP6" s="406"/>
      <c r="JSQ6" s="406"/>
      <c r="JSR6" s="406"/>
      <c r="JSS6" s="406"/>
      <c r="JST6" s="406"/>
      <c r="JSU6" s="406"/>
      <c r="JSV6" s="406"/>
      <c r="JSW6" s="406"/>
      <c r="JSX6" s="406"/>
      <c r="JSY6" s="406"/>
      <c r="JSZ6" s="406"/>
      <c r="JTA6" s="406"/>
      <c r="JTB6" s="406"/>
      <c r="JTC6" s="406"/>
      <c r="JTD6" s="406"/>
      <c r="JTE6" s="406"/>
      <c r="JTF6" s="406"/>
      <c r="JTG6" s="406"/>
      <c r="JTH6" s="406"/>
      <c r="JTI6" s="406"/>
      <c r="JTJ6" s="406"/>
      <c r="JTK6" s="406"/>
      <c r="JTL6" s="406"/>
      <c r="JTM6" s="406"/>
      <c r="JTN6" s="406"/>
      <c r="JTO6" s="406"/>
      <c r="JTP6" s="406"/>
      <c r="JTQ6" s="406"/>
      <c r="JTR6" s="406"/>
      <c r="JTS6" s="406"/>
      <c r="JTT6" s="406"/>
      <c r="JTU6" s="406"/>
      <c r="JTV6" s="406"/>
      <c r="JTW6" s="406"/>
      <c r="JTX6" s="406"/>
      <c r="JTY6" s="406"/>
      <c r="JTZ6" s="406"/>
      <c r="JUA6" s="406"/>
      <c r="JUB6" s="406"/>
      <c r="JUC6" s="406"/>
      <c r="JUD6" s="406"/>
      <c r="JUE6" s="406"/>
      <c r="JUF6" s="406"/>
      <c r="JUG6" s="406"/>
      <c r="JUH6" s="406"/>
      <c r="JUI6" s="406"/>
      <c r="JUJ6" s="406"/>
      <c r="JUK6" s="406"/>
      <c r="JUL6" s="406"/>
      <c r="JUM6" s="406"/>
      <c r="JUN6" s="406"/>
      <c r="JUO6" s="406"/>
      <c r="JUP6" s="406"/>
      <c r="JUQ6" s="406"/>
      <c r="JUR6" s="406"/>
      <c r="JUS6" s="406"/>
      <c r="JUT6" s="406"/>
      <c r="JUU6" s="406"/>
      <c r="JUV6" s="406"/>
      <c r="JUW6" s="406"/>
      <c r="JUX6" s="406"/>
      <c r="JUY6" s="406"/>
      <c r="JUZ6" s="406"/>
      <c r="JVA6" s="406"/>
      <c r="JVB6" s="406"/>
      <c r="JVC6" s="406"/>
      <c r="JVD6" s="406"/>
      <c r="JVE6" s="406"/>
      <c r="JVF6" s="406"/>
      <c r="JVG6" s="406"/>
      <c r="JVH6" s="406"/>
      <c r="JVI6" s="406"/>
      <c r="JVJ6" s="406"/>
      <c r="JVK6" s="406"/>
      <c r="JVL6" s="406"/>
      <c r="JVM6" s="406"/>
      <c r="JVN6" s="406"/>
      <c r="JVO6" s="406"/>
      <c r="JVP6" s="406"/>
      <c r="JVQ6" s="406"/>
      <c r="JVR6" s="406"/>
      <c r="JVS6" s="406"/>
      <c r="JVT6" s="406"/>
      <c r="JVU6" s="406"/>
      <c r="JVV6" s="406"/>
      <c r="JVW6" s="406"/>
      <c r="JVX6" s="406"/>
      <c r="JVY6" s="406"/>
      <c r="JVZ6" s="406"/>
      <c r="JWA6" s="406"/>
      <c r="JWB6" s="406"/>
      <c r="JWC6" s="406"/>
      <c r="JWD6" s="406"/>
      <c r="JWE6" s="406"/>
      <c r="JWF6" s="406"/>
      <c r="JWG6" s="406"/>
      <c r="JWH6" s="406"/>
      <c r="JWI6" s="406"/>
      <c r="JWJ6" s="406"/>
      <c r="JWK6" s="406"/>
      <c r="JWL6" s="406"/>
      <c r="JWM6" s="406"/>
      <c r="JWN6" s="406"/>
      <c r="JWO6" s="406"/>
      <c r="JWP6" s="406"/>
      <c r="JWQ6" s="406"/>
      <c r="JWR6" s="406"/>
      <c r="JWS6" s="406"/>
      <c r="JWT6" s="406"/>
      <c r="JWU6" s="406"/>
      <c r="JWV6" s="406"/>
      <c r="JWW6" s="406"/>
      <c r="JWX6" s="406"/>
      <c r="JWY6" s="406"/>
      <c r="JWZ6" s="406"/>
      <c r="JXA6" s="406"/>
      <c r="JXB6" s="406"/>
      <c r="JXC6" s="406"/>
      <c r="JXD6" s="406"/>
      <c r="JXE6" s="406"/>
      <c r="JXF6" s="406"/>
      <c r="JXG6" s="406"/>
      <c r="JXH6" s="406"/>
      <c r="JXI6" s="406"/>
      <c r="JXJ6" s="406"/>
      <c r="JXK6" s="406"/>
      <c r="JXL6" s="406"/>
      <c r="JXM6" s="406"/>
      <c r="JXN6" s="406"/>
      <c r="JXO6" s="406"/>
      <c r="JXP6" s="406"/>
      <c r="JXQ6" s="406"/>
      <c r="JXR6" s="406"/>
      <c r="JXS6" s="406"/>
      <c r="JXT6" s="406"/>
      <c r="JXU6" s="406"/>
      <c r="JXV6" s="406"/>
      <c r="JXW6" s="406"/>
      <c r="JXX6" s="406"/>
      <c r="JXY6" s="406"/>
      <c r="JXZ6" s="406"/>
      <c r="JYA6" s="406"/>
      <c r="JYB6" s="406"/>
      <c r="JYC6" s="406"/>
      <c r="JYD6" s="406"/>
      <c r="JYE6" s="406"/>
      <c r="JYF6" s="406"/>
      <c r="JYG6" s="406"/>
      <c r="JYH6" s="406"/>
      <c r="JYI6" s="406"/>
      <c r="JYJ6" s="406"/>
      <c r="JYK6" s="406"/>
      <c r="JYL6" s="406"/>
      <c r="JYM6" s="406"/>
      <c r="JYN6" s="406"/>
      <c r="JYO6" s="406"/>
      <c r="JYP6" s="406"/>
      <c r="JYQ6" s="406"/>
      <c r="JYR6" s="406"/>
      <c r="JYS6" s="406"/>
      <c r="JYT6" s="406"/>
      <c r="JYU6" s="406"/>
      <c r="JYV6" s="406"/>
      <c r="JYW6" s="406"/>
      <c r="JYX6" s="406"/>
      <c r="JYY6" s="406"/>
      <c r="JYZ6" s="406"/>
      <c r="JZA6" s="406"/>
      <c r="JZB6" s="406"/>
      <c r="JZC6" s="406"/>
      <c r="JZD6" s="406"/>
      <c r="JZE6" s="406"/>
      <c r="JZF6" s="406"/>
      <c r="JZG6" s="406"/>
      <c r="JZH6" s="406"/>
      <c r="JZI6" s="406"/>
      <c r="JZJ6" s="406"/>
      <c r="JZK6" s="406"/>
      <c r="JZL6" s="406"/>
      <c r="JZM6" s="406"/>
      <c r="JZN6" s="406"/>
      <c r="JZO6" s="406"/>
      <c r="JZP6" s="406"/>
      <c r="JZQ6" s="406"/>
      <c r="JZR6" s="406"/>
      <c r="JZS6" s="406"/>
      <c r="JZT6" s="406"/>
      <c r="JZU6" s="406"/>
      <c r="JZV6" s="406"/>
      <c r="JZW6" s="406"/>
      <c r="JZX6" s="406"/>
      <c r="JZY6" s="406"/>
      <c r="JZZ6" s="406"/>
      <c r="KAA6" s="406"/>
      <c r="KAB6" s="406"/>
      <c r="KAC6" s="406"/>
      <c r="KAD6" s="406"/>
      <c r="KAE6" s="406"/>
      <c r="KAF6" s="406"/>
      <c r="KAG6" s="406"/>
      <c r="KAH6" s="406"/>
      <c r="KAI6" s="406"/>
      <c r="KAJ6" s="406"/>
      <c r="KAK6" s="406"/>
      <c r="KAL6" s="406"/>
      <c r="KAM6" s="406"/>
      <c r="KAN6" s="406"/>
      <c r="KAO6" s="406"/>
      <c r="KAP6" s="406"/>
      <c r="KAQ6" s="406"/>
      <c r="KAR6" s="406"/>
      <c r="KAS6" s="406"/>
      <c r="KAT6" s="406"/>
      <c r="KAU6" s="406"/>
      <c r="KAV6" s="406"/>
      <c r="KAW6" s="406"/>
      <c r="KAX6" s="406"/>
      <c r="KAY6" s="406"/>
      <c r="KAZ6" s="406"/>
      <c r="KBA6" s="406"/>
      <c r="KBB6" s="406"/>
      <c r="KBC6" s="406"/>
      <c r="KBD6" s="406"/>
      <c r="KBE6" s="406"/>
      <c r="KBF6" s="406"/>
      <c r="KBG6" s="406"/>
      <c r="KBH6" s="406"/>
      <c r="KBI6" s="406"/>
      <c r="KBJ6" s="406"/>
      <c r="KBK6" s="406"/>
      <c r="KBL6" s="406"/>
      <c r="KBM6" s="406"/>
      <c r="KBN6" s="406"/>
      <c r="KBO6" s="406"/>
      <c r="KBP6" s="406"/>
      <c r="KBQ6" s="406"/>
      <c r="KBR6" s="406"/>
      <c r="KBS6" s="406"/>
      <c r="KBT6" s="406"/>
      <c r="KBU6" s="406"/>
      <c r="KBV6" s="406"/>
      <c r="KBW6" s="406"/>
      <c r="KBX6" s="406"/>
      <c r="KBY6" s="406"/>
      <c r="KBZ6" s="406"/>
      <c r="KCA6" s="406"/>
      <c r="KCB6" s="406"/>
      <c r="KCC6" s="406"/>
      <c r="KCD6" s="406"/>
      <c r="KCE6" s="406"/>
      <c r="KCF6" s="406"/>
      <c r="KCG6" s="406"/>
      <c r="KCH6" s="406"/>
      <c r="KCI6" s="406"/>
      <c r="KCJ6" s="406"/>
      <c r="KCK6" s="406"/>
      <c r="KCL6" s="406"/>
      <c r="KCM6" s="406"/>
      <c r="KCN6" s="406"/>
      <c r="KCO6" s="406"/>
      <c r="KCP6" s="406"/>
      <c r="KCQ6" s="406"/>
      <c r="KCR6" s="406"/>
      <c r="KCS6" s="406"/>
      <c r="KCT6" s="406"/>
      <c r="KCU6" s="406"/>
      <c r="KCV6" s="406"/>
      <c r="KCW6" s="406"/>
      <c r="KCX6" s="406"/>
      <c r="KCY6" s="406"/>
      <c r="KCZ6" s="406"/>
      <c r="KDA6" s="406"/>
      <c r="KDB6" s="406"/>
      <c r="KDC6" s="406"/>
      <c r="KDD6" s="406"/>
      <c r="KDE6" s="406"/>
      <c r="KDF6" s="406"/>
      <c r="KDG6" s="406"/>
      <c r="KDH6" s="406"/>
      <c r="KDI6" s="406"/>
      <c r="KDJ6" s="406"/>
      <c r="KDK6" s="406"/>
      <c r="KDL6" s="406"/>
      <c r="KDM6" s="406"/>
      <c r="KDN6" s="406"/>
      <c r="KDO6" s="406"/>
      <c r="KDP6" s="406"/>
      <c r="KDQ6" s="406"/>
      <c r="KDR6" s="406"/>
      <c r="KDS6" s="406"/>
      <c r="KDT6" s="406"/>
      <c r="KDU6" s="406"/>
      <c r="KDV6" s="406"/>
      <c r="KDW6" s="406"/>
      <c r="KDX6" s="406"/>
      <c r="KDY6" s="406"/>
      <c r="KDZ6" s="406"/>
      <c r="KEA6" s="406"/>
      <c r="KEB6" s="406"/>
      <c r="KEC6" s="406"/>
      <c r="KED6" s="406"/>
      <c r="KEE6" s="406"/>
      <c r="KEF6" s="406"/>
      <c r="KEG6" s="406"/>
      <c r="KEH6" s="406"/>
      <c r="KEI6" s="406"/>
      <c r="KEJ6" s="406"/>
      <c r="KEK6" s="406"/>
      <c r="KEL6" s="406"/>
      <c r="KEM6" s="406"/>
      <c r="KEN6" s="406"/>
      <c r="KEO6" s="406"/>
      <c r="KEP6" s="406"/>
      <c r="KEQ6" s="406"/>
      <c r="KER6" s="406"/>
      <c r="KES6" s="406"/>
      <c r="KET6" s="406"/>
      <c r="KEU6" s="406"/>
      <c r="KEV6" s="406"/>
      <c r="KEW6" s="406"/>
      <c r="KEX6" s="406"/>
      <c r="KEY6" s="406"/>
      <c r="KEZ6" s="406"/>
      <c r="KFA6" s="406"/>
      <c r="KFB6" s="406"/>
      <c r="KFC6" s="406"/>
      <c r="KFD6" s="406"/>
      <c r="KFE6" s="406"/>
      <c r="KFF6" s="406"/>
      <c r="KFG6" s="406"/>
      <c r="KFH6" s="406"/>
      <c r="KFI6" s="406"/>
      <c r="KFJ6" s="406"/>
      <c r="KFK6" s="406"/>
      <c r="KFL6" s="406"/>
      <c r="KFM6" s="406"/>
      <c r="KFN6" s="406"/>
      <c r="KFO6" s="406"/>
      <c r="KFP6" s="406"/>
      <c r="KFQ6" s="406"/>
      <c r="KFR6" s="406"/>
      <c r="KFS6" s="406"/>
      <c r="KFT6" s="406"/>
      <c r="KFU6" s="406"/>
      <c r="KFV6" s="406"/>
      <c r="KFW6" s="406"/>
      <c r="KFX6" s="406"/>
      <c r="KFY6" s="406"/>
      <c r="KFZ6" s="406"/>
      <c r="KGA6" s="406"/>
      <c r="KGB6" s="406"/>
      <c r="KGC6" s="406"/>
      <c r="KGD6" s="406"/>
      <c r="KGE6" s="406"/>
      <c r="KGF6" s="406"/>
      <c r="KGG6" s="406"/>
      <c r="KGH6" s="406"/>
      <c r="KGI6" s="406"/>
      <c r="KGJ6" s="406"/>
      <c r="KGK6" s="406"/>
      <c r="KGL6" s="406"/>
      <c r="KGM6" s="406"/>
      <c r="KGN6" s="406"/>
      <c r="KGO6" s="406"/>
      <c r="KGP6" s="406"/>
      <c r="KGQ6" s="406"/>
      <c r="KGR6" s="406"/>
      <c r="KGS6" s="406"/>
      <c r="KGT6" s="406"/>
      <c r="KGU6" s="406"/>
      <c r="KGV6" s="406"/>
      <c r="KGW6" s="406"/>
      <c r="KGX6" s="406"/>
      <c r="KGY6" s="406"/>
      <c r="KGZ6" s="406"/>
      <c r="KHA6" s="406"/>
      <c r="KHB6" s="406"/>
      <c r="KHC6" s="406"/>
      <c r="KHD6" s="406"/>
      <c r="KHE6" s="406"/>
      <c r="KHF6" s="406"/>
      <c r="KHG6" s="406"/>
      <c r="KHH6" s="406"/>
      <c r="KHI6" s="406"/>
      <c r="KHJ6" s="406"/>
      <c r="KHK6" s="406"/>
      <c r="KHL6" s="406"/>
      <c r="KHM6" s="406"/>
      <c r="KHN6" s="406"/>
      <c r="KHO6" s="406"/>
      <c r="KHP6" s="406"/>
      <c r="KHQ6" s="406"/>
      <c r="KHR6" s="406"/>
      <c r="KHS6" s="406"/>
      <c r="KHT6" s="406"/>
      <c r="KHU6" s="406"/>
      <c r="KHV6" s="406"/>
      <c r="KHW6" s="406"/>
      <c r="KHX6" s="406"/>
      <c r="KHY6" s="406"/>
      <c r="KHZ6" s="406"/>
      <c r="KIA6" s="406"/>
      <c r="KIB6" s="406"/>
      <c r="KIC6" s="406"/>
      <c r="KID6" s="406"/>
      <c r="KIE6" s="406"/>
      <c r="KIF6" s="406"/>
      <c r="KIG6" s="406"/>
      <c r="KIH6" s="406"/>
      <c r="KII6" s="406"/>
      <c r="KIJ6" s="406"/>
      <c r="KIK6" s="406"/>
      <c r="KIL6" s="406"/>
      <c r="KIM6" s="406"/>
      <c r="KIN6" s="406"/>
      <c r="KIO6" s="406"/>
      <c r="KIP6" s="406"/>
      <c r="KIQ6" s="406"/>
      <c r="KIR6" s="406"/>
      <c r="KIS6" s="406"/>
      <c r="KIT6" s="406"/>
      <c r="KIU6" s="406"/>
      <c r="KIV6" s="406"/>
      <c r="KIW6" s="406"/>
      <c r="KIX6" s="406"/>
      <c r="KIY6" s="406"/>
      <c r="KIZ6" s="406"/>
      <c r="KJA6" s="406"/>
      <c r="KJB6" s="406"/>
      <c r="KJC6" s="406"/>
      <c r="KJD6" s="406"/>
      <c r="KJE6" s="406"/>
      <c r="KJF6" s="406"/>
      <c r="KJG6" s="406"/>
      <c r="KJH6" s="406"/>
      <c r="KJI6" s="406"/>
      <c r="KJJ6" s="406"/>
      <c r="KJK6" s="406"/>
      <c r="KJL6" s="406"/>
      <c r="KJM6" s="406"/>
      <c r="KJN6" s="406"/>
      <c r="KJO6" s="406"/>
      <c r="KJP6" s="406"/>
      <c r="KJQ6" s="406"/>
      <c r="KJR6" s="406"/>
      <c r="KJS6" s="406"/>
      <c r="KJT6" s="406"/>
      <c r="KJU6" s="406"/>
      <c r="KJV6" s="406"/>
      <c r="KJW6" s="406"/>
      <c r="KJX6" s="406"/>
      <c r="KJY6" s="406"/>
      <c r="KJZ6" s="406"/>
      <c r="KKA6" s="406"/>
      <c r="KKB6" s="406"/>
      <c r="KKC6" s="406"/>
      <c r="KKD6" s="406"/>
      <c r="KKE6" s="406"/>
      <c r="KKF6" s="406"/>
      <c r="KKG6" s="406"/>
      <c r="KKH6" s="406"/>
      <c r="KKI6" s="406"/>
      <c r="KKJ6" s="406"/>
      <c r="KKK6" s="406"/>
      <c r="KKL6" s="406"/>
      <c r="KKM6" s="406"/>
      <c r="KKN6" s="406"/>
      <c r="KKO6" s="406"/>
      <c r="KKP6" s="406"/>
      <c r="KKQ6" s="406"/>
      <c r="KKR6" s="406"/>
      <c r="KKS6" s="406"/>
      <c r="KKT6" s="406"/>
      <c r="KKU6" s="406"/>
      <c r="KKV6" s="406"/>
      <c r="KKW6" s="406"/>
      <c r="KKX6" s="406"/>
      <c r="KKY6" s="406"/>
      <c r="KKZ6" s="406"/>
      <c r="KLA6" s="406"/>
      <c r="KLB6" s="406"/>
      <c r="KLC6" s="406"/>
      <c r="KLD6" s="406"/>
      <c r="KLE6" s="406"/>
      <c r="KLF6" s="406"/>
      <c r="KLG6" s="406"/>
      <c r="KLH6" s="406"/>
      <c r="KLI6" s="406"/>
      <c r="KLJ6" s="406"/>
      <c r="KLK6" s="406"/>
      <c r="KLL6" s="406"/>
      <c r="KLM6" s="406"/>
      <c r="KLN6" s="406"/>
      <c r="KLO6" s="406"/>
      <c r="KLP6" s="406"/>
      <c r="KLQ6" s="406"/>
      <c r="KLR6" s="406"/>
      <c r="KLS6" s="406"/>
      <c r="KLT6" s="406"/>
      <c r="KLU6" s="406"/>
      <c r="KLV6" s="406"/>
      <c r="KLW6" s="406"/>
      <c r="KLX6" s="406"/>
      <c r="KLY6" s="406"/>
      <c r="KLZ6" s="406"/>
      <c r="KMA6" s="406"/>
      <c r="KMB6" s="406"/>
      <c r="KMC6" s="406"/>
      <c r="KMD6" s="406"/>
      <c r="KME6" s="406"/>
      <c r="KMF6" s="406"/>
      <c r="KMG6" s="406"/>
      <c r="KMH6" s="406"/>
      <c r="KMI6" s="406"/>
      <c r="KMJ6" s="406"/>
      <c r="KMK6" s="406"/>
      <c r="KML6" s="406"/>
      <c r="KMM6" s="406"/>
      <c r="KMN6" s="406"/>
      <c r="KMO6" s="406"/>
      <c r="KMP6" s="406"/>
      <c r="KMQ6" s="406"/>
      <c r="KMR6" s="406"/>
      <c r="KMS6" s="406"/>
      <c r="KMT6" s="406"/>
      <c r="KMU6" s="406"/>
      <c r="KMV6" s="406"/>
      <c r="KMW6" s="406"/>
      <c r="KMX6" s="406"/>
      <c r="KMY6" s="406"/>
      <c r="KMZ6" s="406"/>
      <c r="KNA6" s="406"/>
      <c r="KNB6" s="406"/>
      <c r="KNC6" s="406"/>
      <c r="KND6" s="406"/>
      <c r="KNE6" s="406"/>
      <c r="KNF6" s="406"/>
      <c r="KNG6" s="406"/>
      <c r="KNH6" s="406"/>
      <c r="KNI6" s="406"/>
      <c r="KNJ6" s="406"/>
      <c r="KNK6" s="406"/>
      <c r="KNL6" s="406"/>
      <c r="KNM6" s="406"/>
      <c r="KNN6" s="406"/>
      <c r="KNO6" s="406"/>
      <c r="KNP6" s="406"/>
      <c r="KNQ6" s="406"/>
      <c r="KNR6" s="406"/>
      <c r="KNS6" s="406"/>
      <c r="KNT6" s="406"/>
      <c r="KNU6" s="406"/>
      <c r="KNV6" s="406"/>
      <c r="KNW6" s="406"/>
      <c r="KNX6" s="406"/>
      <c r="KNY6" s="406"/>
      <c r="KNZ6" s="406"/>
      <c r="KOA6" s="406"/>
      <c r="KOB6" s="406"/>
      <c r="KOC6" s="406"/>
      <c r="KOD6" s="406"/>
      <c r="KOE6" s="406"/>
      <c r="KOF6" s="406"/>
      <c r="KOG6" s="406"/>
      <c r="KOH6" s="406"/>
      <c r="KOI6" s="406"/>
      <c r="KOJ6" s="406"/>
      <c r="KOK6" s="406"/>
      <c r="KOL6" s="406"/>
      <c r="KOM6" s="406"/>
      <c r="KON6" s="406"/>
      <c r="KOO6" s="406"/>
      <c r="KOP6" s="406"/>
      <c r="KOQ6" s="406"/>
      <c r="KOR6" s="406"/>
      <c r="KOS6" s="406"/>
      <c r="KOT6" s="406"/>
      <c r="KOU6" s="406"/>
      <c r="KOV6" s="406"/>
      <c r="KOW6" s="406"/>
      <c r="KOX6" s="406"/>
      <c r="KOY6" s="406"/>
      <c r="KOZ6" s="406"/>
      <c r="KPA6" s="406"/>
      <c r="KPB6" s="406"/>
      <c r="KPC6" s="406"/>
      <c r="KPD6" s="406"/>
      <c r="KPE6" s="406"/>
      <c r="KPF6" s="406"/>
      <c r="KPG6" s="406"/>
      <c r="KPH6" s="406"/>
      <c r="KPI6" s="406"/>
      <c r="KPJ6" s="406"/>
      <c r="KPK6" s="406"/>
      <c r="KPL6" s="406"/>
      <c r="KPM6" s="406"/>
      <c r="KPN6" s="406"/>
      <c r="KPO6" s="406"/>
      <c r="KPP6" s="406"/>
      <c r="KPQ6" s="406"/>
      <c r="KPR6" s="406"/>
      <c r="KPS6" s="406"/>
      <c r="KPT6" s="406"/>
      <c r="KPU6" s="406"/>
      <c r="KPV6" s="406"/>
      <c r="KPW6" s="406"/>
      <c r="KPX6" s="406"/>
      <c r="KPY6" s="406"/>
      <c r="KPZ6" s="406"/>
      <c r="KQA6" s="406"/>
      <c r="KQB6" s="406"/>
      <c r="KQC6" s="406"/>
      <c r="KQD6" s="406"/>
      <c r="KQE6" s="406"/>
      <c r="KQF6" s="406"/>
      <c r="KQG6" s="406"/>
      <c r="KQH6" s="406"/>
      <c r="KQI6" s="406"/>
      <c r="KQJ6" s="406"/>
      <c r="KQK6" s="406"/>
      <c r="KQL6" s="406"/>
      <c r="KQM6" s="406"/>
      <c r="KQN6" s="406"/>
      <c r="KQO6" s="406"/>
      <c r="KQP6" s="406"/>
      <c r="KQQ6" s="406"/>
      <c r="KQR6" s="406"/>
      <c r="KQS6" s="406"/>
      <c r="KQT6" s="406"/>
      <c r="KQU6" s="406"/>
      <c r="KQV6" s="406"/>
      <c r="KQW6" s="406"/>
      <c r="KQX6" s="406"/>
      <c r="KQY6" s="406"/>
      <c r="KQZ6" s="406"/>
      <c r="KRA6" s="406"/>
      <c r="KRB6" s="406"/>
      <c r="KRC6" s="406"/>
      <c r="KRD6" s="406"/>
      <c r="KRE6" s="406"/>
      <c r="KRF6" s="406"/>
      <c r="KRG6" s="406"/>
      <c r="KRH6" s="406"/>
      <c r="KRI6" s="406"/>
      <c r="KRJ6" s="406"/>
      <c r="KRK6" s="406"/>
      <c r="KRL6" s="406"/>
      <c r="KRM6" s="406"/>
      <c r="KRN6" s="406"/>
      <c r="KRO6" s="406"/>
      <c r="KRP6" s="406"/>
      <c r="KRQ6" s="406"/>
      <c r="KRR6" s="406"/>
      <c r="KRS6" s="406"/>
      <c r="KRT6" s="406"/>
      <c r="KRU6" s="406"/>
      <c r="KRV6" s="406"/>
      <c r="KRW6" s="406"/>
      <c r="KRX6" s="406"/>
      <c r="KRY6" s="406"/>
      <c r="KRZ6" s="406"/>
      <c r="KSA6" s="406"/>
      <c r="KSB6" s="406"/>
      <c r="KSC6" s="406"/>
      <c r="KSD6" s="406"/>
      <c r="KSE6" s="406"/>
      <c r="KSF6" s="406"/>
      <c r="KSG6" s="406"/>
      <c r="KSH6" s="406"/>
      <c r="KSI6" s="406"/>
      <c r="KSJ6" s="406"/>
      <c r="KSK6" s="406"/>
      <c r="KSL6" s="406"/>
      <c r="KSM6" s="406"/>
      <c r="KSN6" s="406"/>
      <c r="KSO6" s="406"/>
      <c r="KSP6" s="406"/>
      <c r="KSQ6" s="406"/>
      <c r="KSR6" s="406"/>
      <c r="KSS6" s="406"/>
      <c r="KST6" s="406"/>
      <c r="KSU6" s="406"/>
      <c r="KSV6" s="406"/>
      <c r="KSW6" s="406"/>
      <c r="KSX6" s="406"/>
      <c r="KSY6" s="406"/>
      <c r="KSZ6" s="406"/>
      <c r="KTA6" s="406"/>
      <c r="KTB6" s="406"/>
      <c r="KTC6" s="406"/>
      <c r="KTD6" s="406"/>
      <c r="KTE6" s="406"/>
      <c r="KTF6" s="406"/>
      <c r="KTG6" s="406"/>
      <c r="KTH6" s="406"/>
      <c r="KTI6" s="406"/>
      <c r="KTJ6" s="406"/>
      <c r="KTK6" s="406"/>
      <c r="KTL6" s="406"/>
      <c r="KTM6" s="406"/>
      <c r="KTN6" s="406"/>
      <c r="KTO6" s="406"/>
      <c r="KTP6" s="406"/>
      <c r="KTQ6" s="406"/>
      <c r="KTR6" s="406"/>
      <c r="KTS6" s="406"/>
      <c r="KTT6" s="406"/>
      <c r="KTU6" s="406"/>
      <c r="KTV6" s="406"/>
      <c r="KTW6" s="406"/>
      <c r="KTX6" s="406"/>
      <c r="KTY6" s="406"/>
      <c r="KTZ6" s="406"/>
      <c r="KUA6" s="406"/>
      <c r="KUB6" s="406"/>
      <c r="KUC6" s="406"/>
      <c r="KUD6" s="406"/>
      <c r="KUE6" s="406"/>
      <c r="KUF6" s="406"/>
      <c r="KUG6" s="406"/>
      <c r="KUH6" s="406"/>
      <c r="KUI6" s="406"/>
      <c r="KUJ6" s="406"/>
      <c r="KUK6" s="406"/>
      <c r="KUL6" s="406"/>
      <c r="KUM6" s="406"/>
      <c r="KUN6" s="406"/>
      <c r="KUO6" s="406"/>
      <c r="KUP6" s="406"/>
      <c r="KUQ6" s="406"/>
      <c r="KUR6" s="406"/>
      <c r="KUS6" s="406"/>
      <c r="KUT6" s="406"/>
      <c r="KUU6" s="406"/>
      <c r="KUV6" s="406"/>
      <c r="KUW6" s="406"/>
      <c r="KUX6" s="406"/>
      <c r="KUY6" s="406"/>
      <c r="KUZ6" s="406"/>
      <c r="KVA6" s="406"/>
      <c r="KVB6" s="406"/>
      <c r="KVC6" s="406"/>
      <c r="KVD6" s="406"/>
      <c r="KVE6" s="406"/>
      <c r="KVF6" s="406"/>
      <c r="KVG6" s="406"/>
      <c r="KVH6" s="406"/>
      <c r="KVI6" s="406"/>
      <c r="KVJ6" s="406"/>
      <c r="KVK6" s="406"/>
      <c r="KVL6" s="406"/>
      <c r="KVM6" s="406"/>
      <c r="KVN6" s="406"/>
      <c r="KVO6" s="406"/>
      <c r="KVP6" s="406"/>
      <c r="KVQ6" s="406"/>
      <c r="KVR6" s="406"/>
      <c r="KVS6" s="406"/>
      <c r="KVT6" s="406"/>
      <c r="KVU6" s="406"/>
      <c r="KVV6" s="406"/>
      <c r="KVW6" s="406"/>
      <c r="KVX6" s="406"/>
      <c r="KVY6" s="406"/>
      <c r="KVZ6" s="406"/>
      <c r="KWA6" s="406"/>
      <c r="KWB6" s="406"/>
      <c r="KWC6" s="406"/>
      <c r="KWD6" s="406"/>
      <c r="KWE6" s="406"/>
      <c r="KWF6" s="406"/>
      <c r="KWG6" s="406"/>
      <c r="KWH6" s="406"/>
      <c r="KWI6" s="406"/>
      <c r="KWJ6" s="406"/>
      <c r="KWK6" s="406"/>
      <c r="KWL6" s="406"/>
      <c r="KWM6" s="406"/>
      <c r="KWN6" s="406"/>
      <c r="KWO6" s="406"/>
      <c r="KWP6" s="406"/>
      <c r="KWQ6" s="406"/>
      <c r="KWR6" s="406"/>
      <c r="KWS6" s="406"/>
      <c r="KWT6" s="406"/>
      <c r="KWU6" s="406"/>
      <c r="KWV6" s="406"/>
      <c r="KWW6" s="406"/>
      <c r="KWX6" s="406"/>
      <c r="KWY6" s="406"/>
      <c r="KWZ6" s="406"/>
      <c r="KXA6" s="406"/>
      <c r="KXB6" s="406"/>
      <c r="KXC6" s="406"/>
      <c r="KXD6" s="406"/>
      <c r="KXE6" s="406"/>
      <c r="KXF6" s="406"/>
      <c r="KXG6" s="406"/>
      <c r="KXH6" s="406"/>
      <c r="KXI6" s="406"/>
      <c r="KXJ6" s="406"/>
      <c r="KXK6" s="406"/>
      <c r="KXL6" s="406"/>
      <c r="KXM6" s="406"/>
      <c r="KXN6" s="406"/>
      <c r="KXO6" s="406"/>
      <c r="KXP6" s="406"/>
      <c r="KXQ6" s="406"/>
      <c r="KXR6" s="406"/>
      <c r="KXS6" s="406"/>
      <c r="KXT6" s="406"/>
      <c r="KXU6" s="406"/>
      <c r="KXV6" s="406"/>
      <c r="KXW6" s="406"/>
      <c r="KXX6" s="406"/>
      <c r="KXY6" s="406"/>
      <c r="KXZ6" s="406"/>
      <c r="KYA6" s="406"/>
      <c r="KYB6" s="406"/>
      <c r="KYC6" s="406"/>
      <c r="KYD6" s="406"/>
      <c r="KYE6" s="406"/>
      <c r="KYF6" s="406"/>
      <c r="KYG6" s="406"/>
      <c r="KYH6" s="406"/>
      <c r="KYI6" s="406"/>
      <c r="KYJ6" s="406"/>
      <c r="KYK6" s="406"/>
      <c r="KYL6" s="406"/>
      <c r="KYM6" s="406"/>
      <c r="KYN6" s="406"/>
      <c r="KYO6" s="406"/>
      <c r="KYP6" s="406"/>
      <c r="KYQ6" s="406"/>
      <c r="KYR6" s="406"/>
      <c r="KYS6" s="406"/>
      <c r="KYT6" s="406"/>
      <c r="KYU6" s="406"/>
      <c r="KYV6" s="406"/>
      <c r="KYW6" s="406"/>
      <c r="KYX6" s="406"/>
      <c r="KYY6" s="406"/>
      <c r="KYZ6" s="406"/>
      <c r="KZA6" s="406"/>
      <c r="KZB6" s="406"/>
      <c r="KZC6" s="406"/>
      <c r="KZD6" s="406"/>
      <c r="KZE6" s="406"/>
      <c r="KZF6" s="406"/>
      <c r="KZG6" s="406"/>
      <c r="KZH6" s="406"/>
      <c r="KZI6" s="406"/>
      <c r="KZJ6" s="406"/>
      <c r="KZK6" s="406"/>
      <c r="KZL6" s="406"/>
      <c r="KZM6" s="406"/>
      <c r="KZN6" s="406"/>
      <c r="KZO6" s="406"/>
      <c r="KZP6" s="406"/>
      <c r="KZQ6" s="406"/>
      <c r="KZR6" s="406"/>
      <c r="KZS6" s="406"/>
      <c r="KZT6" s="406"/>
      <c r="KZU6" s="406"/>
      <c r="KZV6" s="406"/>
      <c r="KZW6" s="406"/>
      <c r="KZX6" s="406"/>
      <c r="KZY6" s="406"/>
      <c r="KZZ6" s="406"/>
      <c r="LAA6" s="406"/>
      <c r="LAB6" s="406"/>
      <c r="LAC6" s="406"/>
      <c r="LAD6" s="406"/>
      <c r="LAE6" s="406"/>
      <c r="LAF6" s="406"/>
      <c r="LAG6" s="406"/>
      <c r="LAH6" s="406"/>
      <c r="LAI6" s="406"/>
      <c r="LAJ6" s="406"/>
      <c r="LAK6" s="406"/>
      <c r="LAL6" s="406"/>
      <c r="LAM6" s="406"/>
      <c r="LAN6" s="406"/>
      <c r="LAO6" s="406"/>
      <c r="LAP6" s="406"/>
      <c r="LAQ6" s="406"/>
      <c r="LAR6" s="406"/>
      <c r="LAS6" s="406"/>
      <c r="LAT6" s="406"/>
      <c r="LAU6" s="406"/>
      <c r="LAV6" s="406"/>
      <c r="LAW6" s="406"/>
      <c r="LAX6" s="406"/>
      <c r="LAY6" s="406"/>
      <c r="LAZ6" s="406"/>
      <c r="LBA6" s="406"/>
      <c r="LBB6" s="406"/>
      <c r="LBC6" s="406"/>
      <c r="LBD6" s="406"/>
      <c r="LBE6" s="406"/>
      <c r="LBF6" s="406"/>
      <c r="LBG6" s="406"/>
      <c r="LBH6" s="406"/>
      <c r="LBI6" s="406"/>
      <c r="LBJ6" s="406"/>
      <c r="LBK6" s="406"/>
      <c r="LBL6" s="406"/>
      <c r="LBM6" s="406"/>
      <c r="LBN6" s="406"/>
      <c r="LBO6" s="406"/>
      <c r="LBP6" s="406"/>
      <c r="LBQ6" s="406"/>
      <c r="LBR6" s="406"/>
      <c r="LBS6" s="406"/>
      <c r="LBT6" s="406"/>
      <c r="LBU6" s="406"/>
      <c r="LBV6" s="406"/>
      <c r="LBW6" s="406"/>
      <c r="LBX6" s="406"/>
      <c r="LBY6" s="406"/>
      <c r="LBZ6" s="406"/>
      <c r="LCA6" s="406"/>
      <c r="LCB6" s="406"/>
      <c r="LCC6" s="406"/>
      <c r="LCD6" s="406"/>
      <c r="LCE6" s="406"/>
      <c r="LCF6" s="406"/>
      <c r="LCG6" s="406"/>
      <c r="LCH6" s="406"/>
      <c r="LCI6" s="406"/>
      <c r="LCJ6" s="406"/>
      <c r="LCK6" s="406"/>
      <c r="LCL6" s="406"/>
      <c r="LCM6" s="406"/>
      <c r="LCN6" s="406"/>
      <c r="LCO6" s="406"/>
      <c r="LCP6" s="406"/>
      <c r="LCQ6" s="406"/>
      <c r="LCR6" s="406"/>
      <c r="LCS6" s="406"/>
      <c r="LCT6" s="406"/>
      <c r="LCU6" s="406"/>
      <c r="LCV6" s="406"/>
      <c r="LCW6" s="406"/>
      <c r="LCX6" s="406"/>
      <c r="LCY6" s="406"/>
      <c r="LCZ6" s="406"/>
      <c r="LDA6" s="406"/>
      <c r="LDB6" s="406"/>
      <c r="LDC6" s="406"/>
      <c r="LDD6" s="406"/>
      <c r="LDE6" s="406"/>
      <c r="LDF6" s="406"/>
      <c r="LDG6" s="406"/>
      <c r="LDH6" s="406"/>
      <c r="LDI6" s="406"/>
      <c r="LDJ6" s="406"/>
      <c r="LDK6" s="406"/>
      <c r="LDL6" s="406"/>
      <c r="LDM6" s="406"/>
      <c r="LDN6" s="406"/>
      <c r="LDO6" s="406"/>
      <c r="LDP6" s="406"/>
      <c r="LDQ6" s="406"/>
      <c r="LDR6" s="406"/>
      <c r="LDS6" s="406"/>
      <c r="LDT6" s="406"/>
      <c r="LDU6" s="406"/>
      <c r="LDV6" s="406"/>
      <c r="LDW6" s="406"/>
      <c r="LDX6" s="406"/>
      <c r="LDY6" s="406"/>
      <c r="LDZ6" s="406"/>
      <c r="LEA6" s="406"/>
      <c r="LEB6" s="406"/>
      <c r="LEC6" s="406"/>
      <c r="LED6" s="406"/>
      <c r="LEE6" s="406"/>
      <c r="LEF6" s="406"/>
      <c r="LEG6" s="406"/>
      <c r="LEH6" s="406"/>
      <c r="LEI6" s="406"/>
      <c r="LEJ6" s="406"/>
      <c r="LEK6" s="406"/>
      <c r="LEL6" s="406"/>
      <c r="LEM6" s="406"/>
      <c r="LEN6" s="406"/>
      <c r="LEO6" s="406"/>
      <c r="LEP6" s="406"/>
      <c r="LEQ6" s="406"/>
      <c r="LER6" s="406"/>
      <c r="LES6" s="406"/>
      <c r="LET6" s="406"/>
      <c r="LEU6" s="406"/>
      <c r="LEV6" s="406"/>
      <c r="LEW6" s="406"/>
      <c r="LEX6" s="406"/>
      <c r="LEY6" s="406"/>
      <c r="LEZ6" s="406"/>
      <c r="LFA6" s="406"/>
      <c r="LFB6" s="406"/>
      <c r="LFC6" s="406"/>
      <c r="LFD6" s="406"/>
      <c r="LFE6" s="406"/>
      <c r="LFF6" s="406"/>
      <c r="LFG6" s="406"/>
      <c r="LFH6" s="406"/>
      <c r="LFI6" s="406"/>
      <c r="LFJ6" s="406"/>
      <c r="LFK6" s="406"/>
      <c r="LFL6" s="406"/>
      <c r="LFM6" s="406"/>
      <c r="LFN6" s="406"/>
      <c r="LFO6" s="406"/>
      <c r="LFP6" s="406"/>
      <c r="LFQ6" s="406"/>
      <c r="LFR6" s="406"/>
      <c r="LFS6" s="406"/>
      <c r="LFT6" s="406"/>
      <c r="LFU6" s="406"/>
      <c r="LFV6" s="406"/>
      <c r="LFW6" s="406"/>
      <c r="LFX6" s="406"/>
      <c r="LFY6" s="406"/>
      <c r="LFZ6" s="406"/>
      <c r="LGA6" s="406"/>
      <c r="LGB6" s="406"/>
      <c r="LGC6" s="406"/>
      <c r="LGD6" s="406"/>
      <c r="LGE6" s="406"/>
      <c r="LGF6" s="406"/>
      <c r="LGG6" s="406"/>
      <c r="LGH6" s="406"/>
      <c r="LGI6" s="406"/>
      <c r="LGJ6" s="406"/>
      <c r="LGK6" s="406"/>
      <c r="LGL6" s="406"/>
      <c r="LGM6" s="406"/>
      <c r="LGN6" s="406"/>
      <c r="LGO6" s="406"/>
      <c r="LGP6" s="406"/>
      <c r="LGQ6" s="406"/>
      <c r="LGR6" s="406"/>
      <c r="LGS6" s="406"/>
      <c r="LGT6" s="406"/>
      <c r="LGU6" s="406"/>
      <c r="LGV6" s="406"/>
      <c r="LGW6" s="406"/>
      <c r="LGX6" s="406"/>
      <c r="LGY6" s="406"/>
      <c r="LGZ6" s="406"/>
      <c r="LHA6" s="406"/>
      <c r="LHB6" s="406"/>
      <c r="LHC6" s="406"/>
      <c r="LHD6" s="406"/>
      <c r="LHE6" s="406"/>
      <c r="LHF6" s="406"/>
      <c r="LHG6" s="406"/>
      <c r="LHH6" s="406"/>
      <c r="LHI6" s="406"/>
      <c r="LHJ6" s="406"/>
      <c r="LHK6" s="406"/>
      <c r="LHL6" s="406"/>
      <c r="LHM6" s="406"/>
      <c r="LHN6" s="406"/>
      <c r="LHO6" s="406"/>
      <c r="LHP6" s="406"/>
      <c r="LHQ6" s="406"/>
      <c r="LHR6" s="406"/>
      <c r="LHS6" s="406"/>
      <c r="LHT6" s="406"/>
      <c r="LHU6" s="406"/>
      <c r="LHV6" s="406"/>
      <c r="LHW6" s="406"/>
      <c r="LHX6" s="406"/>
      <c r="LHY6" s="406"/>
      <c r="LHZ6" s="406"/>
      <c r="LIA6" s="406"/>
      <c r="LIB6" s="406"/>
      <c r="LIC6" s="406"/>
      <c r="LID6" s="406"/>
      <c r="LIE6" s="406"/>
      <c r="LIF6" s="406"/>
      <c r="LIG6" s="406"/>
      <c r="LIH6" s="406"/>
      <c r="LII6" s="406"/>
      <c r="LIJ6" s="406"/>
      <c r="LIK6" s="406"/>
      <c r="LIL6" s="406"/>
      <c r="LIM6" s="406"/>
      <c r="LIN6" s="406"/>
      <c r="LIO6" s="406"/>
      <c r="LIP6" s="406"/>
      <c r="LIQ6" s="406"/>
      <c r="LIR6" s="406"/>
      <c r="LIS6" s="406"/>
      <c r="LIT6" s="406"/>
      <c r="LIU6" s="406"/>
      <c r="LIV6" s="406"/>
      <c r="LIW6" s="406"/>
      <c r="LIX6" s="406"/>
      <c r="LIY6" s="406"/>
      <c r="LIZ6" s="406"/>
      <c r="LJA6" s="406"/>
      <c r="LJB6" s="406"/>
      <c r="LJC6" s="406"/>
      <c r="LJD6" s="406"/>
      <c r="LJE6" s="406"/>
      <c r="LJF6" s="406"/>
      <c r="LJG6" s="406"/>
      <c r="LJH6" s="406"/>
      <c r="LJI6" s="406"/>
      <c r="LJJ6" s="406"/>
      <c r="LJK6" s="406"/>
      <c r="LJL6" s="406"/>
      <c r="LJM6" s="406"/>
      <c r="LJN6" s="406"/>
      <c r="LJO6" s="406"/>
      <c r="LJP6" s="406"/>
      <c r="LJQ6" s="406"/>
      <c r="LJR6" s="406"/>
      <c r="LJS6" s="406"/>
      <c r="LJT6" s="406"/>
      <c r="LJU6" s="406"/>
      <c r="LJV6" s="406"/>
      <c r="LJW6" s="406"/>
      <c r="LJX6" s="406"/>
      <c r="LJY6" s="406"/>
      <c r="LJZ6" s="406"/>
      <c r="LKA6" s="406"/>
      <c r="LKB6" s="406"/>
      <c r="LKC6" s="406"/>
      <c r="LKD6" s="406"/>
      <c r="LKE6" s="406"/>
      <c r="LKF6" s="406"/>
      <c r="LKG6" s="406"/>
      <c r="LKH6" s="406"/>
      <c r="LKI6" s="406"/>
      <c r="LKJ6" s="406"/>
      <c r="LKK6" s="406"/>
      <c r="LKL6" s="406"/>
      <c r="LKM6" s="406"/>
      <c r="LKN6" s="406"/>
      <c r="LKO6" s="406"/>
      <c r="LKP6" s="406"/>
      <c r="LKQ6" s="406"/>
      <c r="LKR6" s="406"/>
      <c r="LKS6" s="406"/>
      <c r="LKT6" s="406"/>
      <c r="LKU6" s="406"/>
      <c r="LKV6" s="406"/>
      <c r="LKW6" s="406"/>
      <c r="LKX6" s="406"/>
      <c r="LKY6" s="406"/>
      <c r="LKZ6" s="406"/>
      <c r="LLA6" s="406"/>
      <c r="LLB6" s="406"/>
      <c r="LLC6" s="406"/>
      <c r="LLD6" s="406"/>
      <c r="LLE6" s="406"/>
      <c r="LLF6" s="406"/>
      <c r="LLG6" s="406"/>
      <c r="LLH6" s="406"/>
      <c r="LLI6" s="406"/>
      <c r="LLJ6" s="406"/>
      <c r="LLK6" s="406"/>
      <c r="LLL6" s="406"/>
      <c r="LLM6" s="406"/>
      <c r="LLN6" s="406"/>
      <c r="LLO6" s="406"/>
      <c r="LLP6" s="406"/>
      <c r="LLQ6" s="406"/>
      <c r="LLR6" s="406"/>
      <c r="LLS6" s="406"/>
      <c r="LLT6" s="406"/>
      <c r="LLU6" s="406"/>
      <c r="LLV6" s="406"/>
      <c r="LLW6" s="406"/>
      <c r="LLX6" s="406"/>
      <c r="LLY6" s="406"/>
      <c r="LLZ6" s="406"/>
      <c r="LMA6" s="406"/>
      <c r="LMB6" s="406"/>
      <c r="LMC6" s="406"/>
      <c r="LMD6" s="406"/>
      <c r="LME6" s="406"/>
      <c r="LMF6" s="406"/>
      <c r="LMG6" s="406"/>
      <c r="LMH6" s="406"/>
      <c r="LMI6" s="406"/>
      <c r="LMJ6" s="406"/>
      <c r="LMK6" s="406"/>
      <c r="LML6" s="406"/>
      <c r="LMM6" s="406"/>
      <c r="LMN6" s="406"/>
      <c r="LMO6" s="406"/>
      <c r="LMP6" s="406"/>
      <c r="LMQ6" s="406"/>
      <c r="LMR6" s="406"/>
      <c r="LMS6" s="406"/>
      <c r="LMT6" s="406"/>
      <c r="LMU6" s="406"/>
      <c r="LMV6" s="406"/>
      <c r="LMW6" s="406"/>
      <c r="LMX6" s="406"/>
      <c r="LMY6" s="406"/>
      <c r="LMZ6" s="406"/>
      <c r="LNA6" s="406"/>
      <c r="LNB6" s="406"/>
      <c r="LNC6" s="406"/>
      <c r="LND6" s="406"/>
      <c r="LNE6" s="406"/>
      <c r="LNF6" s="406"/>
      <c r="LNG6" s="406"/>
      <c r="LNH6" s="406"/>
      <c r="LNI6" s="406"/>
      <c r="LNJ6" s="406"/>
      <c r="LNK6" s="406"/>
      <c r="LNL6" s="406"/>
      <c r="LNM6" s="406"/>
      <c r="LNN6" s="406"/>
      <c r="LNO6" s="406"/>
      <c r="LNP6" s="406"/>
      <c r="LNQ6" s="406"/>
      <c r="LNR6" s="406"/>
      <c r="LNS6" s="406"/>
      <c r="LNT6" s="406"/>
      <c r="LNU6" s="406"/>
      <c r="LNV6" s="406"/>
      <c r="LNW6" s="406"/>
      <c r="LNX6" s="406"/>
      <c r="LNY6" s="406"/>
      <c r="LNZ6" s="406"/>
      <c r="LOA6" s="406"/>
      <c r="LOB6" s="406"/>
      <c r="LOC6" s="406"/>
      <c r="LOD6" s="406"/>
      <c r="LOE6" s="406"/>
      <c r="LOF6" s="406"/>
      <c r="LOG6" s="406"/>
      <c r="LOH6" s="406"/>
      <c r="LOI6" s="406"/>
      <c r="LOJ6" s="406"/>
      <c r="LOK6" s="406"/>
      <c r="LOL6" s="406"/>
      <c r="LOM6" s="406"/>
      <c r="LON6" s="406"/>
      <c r="LOO6" s="406"/>
      <c r="LOP6" s="406"/>
      <c r="LOQ6" s="406"/>
      <c r="LOR6" s="406"/>
      <c r="LOS6" s="406"/>
      <c r="LOT6" s="406"/>
      <c r="LOU6" s="406"/>
      <c r="LOV6" s="406"/>
      <c r="LOW6" s="406"/>
      <c r="LOX6" s="406"/>
      <c r="LOY6" s="406"/>
      <c r="LOZ6" s="406"/>
      <c r="LPA6" s="406"/>
      <c r="LPB6" s="406"/>
      <c r="LPC6" s="406"/>
      <c r="LPD6" s="406"/>
      <c r="LPE6" s="406"/>
      <c r="LPF6" s="406"/>
      <c r="LPG6" s="406"/>
      <c r="LPH6" s="406"/>
      <c r="LPI6" s="406"/>
      <c r="LPJ6" s="406"/>
      <c r="LPK6" s="406"/>
      <c r="LPL6" s="406"/>
      <c r="LPM6" s="406"/>
      <c r="LPN6" s="406"/>
      <c r="LPO6" s="406"/>
      <c r="LPP6" s="406"/>
      <c r="LPQ6" s="406"/>
      <c r="LPR6" s="406"/>
      <c r="LPS6" s="406"/>
      <c r="LPT6" s="406"/>
      <c r="LPU6" s="406"/>
      <c r="LPV6" s="406"/>
      <c r="LPW6" s="406"/>
      <c r="LPX6" s="406"/>
      <c r="LPY6" s="406"/>
      <c r="LPZ6" s="406"/>
      <c r="LQA6" s="406"/>
      <c r="LQB6" s="406"/>
      <c r="LQC6" s="406"/>
      <c r="LQD6" s="406"/>
      <c r="LQE6" s="406"/>
      <c r="LQF6" s="406"/>
      <c r="LQG6" s="406"/>
      <c r="LQH6" s="406"/>
      <c r="LQI6" s="406"/>
      <c r="LQJ6" s="406"/>
      <c r="LQK6" s="406"/>
      <c r="LQL6" s="406"/>
      <c r="LQM6" s="406"/>
      <c r="LQN6" s="406"/>
      <c r="LQO6" s="406"/>
      <c r="LQP6" s="406"/>
      <c r="LQQ6" s="406"/>
      <c r="LQR6" s="406"/>
      <c r="LQS6" s="406"/>
      <c r="LQT6" s="406"/>
      <c r="LQU6" s="406"/>
      <c r="LQV6" s="406"/>
      <c r="LQW6" s="406"/>
      <c r="LQX6" s="406"/>
      <c r="LQY6" s="406"/>
      <c r="LQZ6" s="406"/>
      <c r="LRA6" s="406"/>
      <c r="LRB6" s="406"/>
      <c r="LRC6" s="406"/>
      <c r="LRD6" s="406"/>
      <c r="LRE6" s="406"/>
      <c r="LRF6" s="406"/>
      <c r="LRG6" s="406"/>
      <c r="LRH6" s="406"/>
      <c r="LRI6" s="406"/>
      <c r="LRJ6" s="406"/>
      <c r="LRK6" s="406"/>
      <c r="LRL6" s="406"/>
      <c r="LRM6" s="406"/>
      <c r="LRN6" s="406"/>
      <c r="LRO6" s="406"/>
      <c r="LRP6" s="406"/>
      <c r="LRQ6" s="406"/>
      <c r="LRR6" s="406"/>
      <c r="LRS6" s="406"/>
      <c r="LRT6" s="406"/>
      <c r="LRU6" s="406"/>
      <c r="LRV6" s="406"/>
      <c r="LRW6" s="406"/>
      <c r="LRX6" s="406"/>
      <c r="LRY6" s="406"/>
      <c r="LRZ6" s="406"/>
      <c r="LSA6" s="406"/>
      <c r="LSB6" s="406"/>
      <c r="LSC6" s="406"/>
      <c r="LSD6" s="406"/>
      <c r="LSE6" s="406"/>
      <c r="LSF6" s="406"/>
      <c r="LSG6" s="406"/>
      <c r="LSH6" s="406"/>
      <c r="LSI6" s="406"/>
      <c r="LSJ6" s="406"/>
      <c r="LSK6" s="406"/>
      <c r="LSL6" s="406"/>
      <c r="LSM6" s="406"/>
      <c r="LSN6" s="406"/>
      <c r="LSO6" s="406"/>
      <c r="LSP6" s="406"/>
      <c r="LSQ6" s="406"/>
      <c r="LSR6" s="406"/>
      <c r="LSS6" s="406"/>
      <c r="LST6" s="406"/>
      <c r="LSU6" s="406"/>
      <c r="LSV6" s="406"/>
      <c r="LSW6" s="406"/>
      <c r="LSX6" s="406"/>
      <c r="LSY6" s="406"/>
      <c r="LSZ6" s="406"/>
      <c r="LTA6" s="406"/>
      <c r="LTB6" s="406"/>
      <c r="LTC6" s="406"/>
      <c r="LTD6" s="406"/>
      <c r="LTE6" s="406"/>
      <c r="LTF6" s="406"/>
      <c r="LTG6" s="406"/>
      <c r="LTH6" s="406"/>
      <c r="LTI6" s="406"/>
      <c r="LTJ6" s="406"/>
      <c r="LTK6" s="406"/>
      <c r="LTL6" s="406"/>
      <c r="LTM6" s="406"/>
      <c r="LTN6" s="406"/>
      <c r="LTO6" s="406"/>
      <c r="LTP6" s="406"/>
      <c r="LTQ6" s="406"/>
      <c r="LTR6" s="406"/>
      <c r="LTS6" s="406"/>
      <c r="LTT6" s="406"/>
      <c r="LTU6" s="406"/>
      <c r="LTV6" s="406"/>
      <c r="LTW6" s="406"/>
      <c r="LTX6" s="406"/>
      <c r="LTY6" s="406"/>
      <c r="LTZ6" s="406"/>
      <c r="LUA6" s="406"/>
      <c r="LUB6" s="406"/>
      <c r="LUC6" s="406"/>
      <c r="LUD6" s="406"/>
      <c r="LUE6" s="406"/>
      <c r="LUF6" s="406"/>
      <c r="LUG6" s="406"/>
      <c r="LUH6" s="406"/>
      <c r="LUI6" s="406"/>
      <c r="LUJ6" s="406"/>
      <c r="LUK6" s="406"/>
      <c r="LUL6" s="406"/>
      <c r="LUM6" s="406"/>
      <c r="LUN6" s="406"/>
      <c r="LUO6" s="406"/>
      <c r="LUP6" s="406"/>
      <c r="LUQ6" s="406"/>
      <c r="LUR6" s="406"/>
      <c r="LUS6" s="406"/>
      <c r="LUT6" s="406"/>
      <c r="LUU6" s="406"/>
      <c r="LUV6" s="406"/>
      <c r="LUW6" s="406"/>
      <c r="LUX6" s="406"/>
      <c r="LUY6" s="406"/>
      <c r="LUZ6" s="406"/>
      <c r="LVA6" s="406"/>
      <c r="LVB6" s="406"/>
      <c r="LVC6" s="406"/>
      <c r="LVD6" s="406"/>
      <c r="LVE6" s="406"/>
      <c r="LVF6" s="406"/>
      <c r="LVG6" s="406"/>
      <c r="LVH6" s="406"/>
      <c r="LVI6" s="406"/>
      <c r="LVJ6" s="406"/>
      <c r="LVK6" s="406"/>
      <c r="LVL6" s="406"/>
      <c r="LVM6" s="406"/>
      <c r="LVN6" s="406"/>
      <c r="LVO6" s="406"/>
      <c r="LVP6" s="406"/>
      <c r="LVQ6" s="406"/>
      <c r="LVR6" s="406"/>
      <c r="LVS6" s="406"/>
      <c r="LVT6" s="406"/>
      <c r="LVU6" s="406"/>
      <c r="LVV6" s="406"/>
      <c r="LVW6" s="406"/>
      <c r="LVX6" s="406"/>
      <c r="LVY6" s="406"/>
      <c r="LVZ6" s="406"/>
      <c r="LWA6" s="406"/>
      <c r="LWB6" s="406"/>
      <c r="LWC6" s="406"/>
      <c r="LWD6" s="406"/>
      <c r="LWE6" s="406"/>
      <c r="LWF6" s="406"/>
      <c r="LWG6" s="406"/>
      <c r="LWH6" s="406"/>
      <c r="LWI6" s="406"/>
      <c r="LWJ6" s="406"/>
      <c r="LWK6" s="406"/>
      <c r="LWL6" s="406"/>
      <c r="LWM6" s="406"/>
      <c r="LWN6" s="406"/>
      <c r="LWO6" s="406"/>
      <c r="LWP6" s="406"/>
      <c r="LWQ6" s="406"/>
      <c r="LWR6" s="406"/>
      <c r="LWS6" s="406"/>
      <c r="LWT6" s="406"/>
      <c r="LWU6" s="406"/>
      <c r="LWV6" s="406"/>
      <c r="LWW6" s="406"/>
      <c r="LWX6" s="406"/>
      <c r="LWY6" s="406"/>
      <c r="LWZ6" s="406"/>
      <c r="LXA6" s="406"/>
      <c r="LXB6" s="406"/>
      <c r="LXC6" s="406"/>
      <c r="LXD6" s="406"/>
      <c r="LXE6" s="406"/>
      <c r="LXF6" s="406"/>
      <c r="LXG6" s="406"/>
      <c r="LXH6" s="406"/>
      <c r="LXI6" s="406"/>
      <c r="LXJ6" s="406"/>
      <c r="LXK6" s="406"/>
      <c r="LXL6" s="406"/>
      <c r="LXM6" s="406"/>
      <c r="LXN6" s="406"/>
      <c r="LXO6" s="406"/>
      <c r="LXP6" s="406"/>
      <c r="LXQ6" s="406"/>
      <c r="LXR6" s="406"/>
      <c r="LXS6" s="406"/>
      <c r="LXT6" s="406"/>
      <c r="LXU6" s="406"/>
      <c r="LXV6" s="406"/>
      <c r="LXW6" s="406"/>
      <c r="LXX6" s="406"/>
      <c r="LXY6" s="406"/>
      <c r="LXZ6" s="406"/>
      <c r="LYA6" s="406"/>
      <c r="LYB6" s="406"/>
      <c r="LYC6" s="406"/>
      <c r="LYD6" s="406"/>
      <c r="LYE6" s="406"/>
      <c r="LYF6" s="406"/>
      <c r="LYG6" s="406"/>
      <c r="LYH6" s="406"/>
      <c r="LYI6" s="406"/>
      <c r="LYJ6" s="406"/>
      <c r="LYK6" s="406"/>
      <c r="LYL6" s="406"/>
      <c r="LYM6" s="406"/>
      <c r="LYN6" s="406"/>
      <c r="LYO6" s="406"/>
      <c r="LYP6" s="406"/>
      <c r="LYQ6" s="406"/>
      <c r="LYR6" s="406"/>
      <c r="LYS6" s="406"/>
      <c r="LYT6" s="406"/>
      <c r="LYU6" s="406"/>
      <c r="LYV6" s="406"/>
      <c r="LYW6" s="406"/>
      <c r="LYX6" s="406"/>
      <c r="LYY6" s="406"/>
      <c r="LYZ6" s="406"/>
      <c r="LZA6" s="406"/>
      <c r="LZB6" s="406"/>
      <c r="LZC6" s="406"/>
      <c r="LZD6" s="406"/>
      <c r="LZE6" s="406"/>
      <c r="LZF6" s="406"/>
      <c r="LZG6" s="406"/>
      <c r="LZH6" s="406"/>
      <c r="LZI6" s="406"/>
      <c r="LZJ6" s="406"/>
      <c r="LZK6" s="406"/>
      <c r="LZL6" s="406"/>
      <c r="LZM6" s="406"/>
      <c r="LZN6" s="406"/>
      <c r="LZO6" s="406"/>
      <c r="LZP6" s="406"/>
      <c r="LZQ6" s="406"/>
      <c r="LZR6" s="406"/>
      <c r="LZS6" s="406"/>
      <c r="LZT6" s="406"/>
      <c r="LZU6" s="406"/>
      <c r="LZV6" s="406"/>
      <c r="LZW6" s="406"/>
      <c r="LZX6" s="406"/>
      <c r="LZY6" s="406"/>
      <c r="LZZ6" s="406"/>
      <c r="MAA6" s="406"/>
      <c r="MAB6" s="406"/>
      <c r="MAC6" s="406"/>
      <c r="MAD6" s="406"/>
      <c r="MAE6" s="406"/>
      <c r="MAF6" s="406"/>
      <c r="MAG6" s="406"/>
      <c r="MAH6" s="406"/>
      <c r="MAI6" s="406"/>
      <c r="MAJ6" s="406"/>
      <c r="MAK6" s="406"/>
      <c r="MAL6" s="406"/>
      <c r="MAM6" s="406"/>
      <c r="MAN6" s="406"/>
      <c r="MAO6" s="406"/>
      <c r="MAP6" s="406"/>
      <c r="MAQ6" s="406"/>
      <c r="MAR6" s="406"/>
      <c r="MAS6" s="406"/>
      <c r="MAT6" s="406"/>
      <c r="MAU6" s="406"/>
      <c r="MAV6" s="406"/>
      <c r="MAW6" s="406"/>
      <c r="MAX6" s="406"/>
      <c r="MAY6" s="406"/>
      <c r="MAZ6" s="406"/>
      <c r="MBA6" s="406"/>
      <c r="MBB6" s="406"/>
      <c r="MBC6" s="406"/>
      <c r="MBD6" s="406"/>
      <c r="MBE6" s="406"/>
      <c r="MBF6" s="406"/>
      <c r="MBG6" s="406"/>
      <c r="MBH6" s="406"/>
      <c r="MBI6" s="406"/>
      <c r="MBJ6" s="406"/>
      <c r="MBK6" s="406"/>
      <c r="MBL6" s="406"/>
      <c r="MBM6" s="406"/>
      <c r="MBN6" s="406"/>
      <c r="MBO6" s="406"/>
      <c r="MBP6" s="406"/>
      <c r="MBQ6" s="406"/>
      <c r="MBR6" s="406"/>
      <c r="MBS6" s="406"/>
      <c r="MBT6" s="406"/>
      <c r="MBU6" s="406"/>
      <c r="MBV6" s="406"/>
      <c r="MBW6" s="406"/>
      <c r="MBX6" s="406"/>
      <c r="MBY6" s="406"/>
      <c r="MBZ6" s="406"/>
      <c r="MCA6" s="406"/>
      <c r="MCB6" s="406"/>
      <c r="MCC6" s="406"/>
      <c r="MCD6" s="406"/>
      <c r="MCE6" s="406"/>
      <c r="MCF6" s="406"/>
      <c r="MCG6" s="406"/>
      <c r="MCH6" s="406"/>
      <c r="MCI6" s="406"/>
      <c r="MCJ6" s="406"/>
      <c r="MCK6" s="406"/>
      <c r="MCL6" s="406"/>
      <c r="MCM6" s="406"/>
      <c r="MCN6" s="406"/>
      <c r="MCO6" s="406"/>
      <c r="MCP6" s="406"/>
      <c r="MCQ6" s="406"/>
      <c r="MCR6" s="406"/>
      <c r="MCS6" s="406"/>
      <c r="MCT6" s="406"/>
      <c r="MCU6" s="406"/>
      <c r="MCV6" s="406"/>
      <c r="MCW6" s="406"/>
      <c r="MCX6" s="406"/>
      <c r="MCY6" s="406"/>
      <c r="MCZ6" s="406"/>
      <c r="MDA6" s="406"/>
      <c r="MDB6" s="406"/>
      <c r="MDC6" s="406"/>
      <c r="MDD6" s="406"/>
      <c r="MDE6" s="406"/>
      <c r="MDF6" s="406"/>
      <c r="MDG6" s="406"/>
      <c r="MDH6" s="406"/>
      <c r="MDI6" s="406"/>
      <c r="MDJ6" s="406"/>
      <c r="MDK6" s="406"/>
      <c r="MDL6" s="406"/>
      <c r="MDM6" s="406"/>
      <c r="MDN6" s="406"/>
      <c r="MDO6" s="406"/>
      <c r="MDP6" s="406"/>
      <c r="MDQ6" s="406"/>
      <c r="MDR6" s="406"/>
      <c r="MDS6" s="406"/>
      <c r="MDT6" s="406"/>
      <c r="MDU6" s="406"/>
      <c r="MDV6" s="406"/>
      <c r="MDW6" s="406"/>
      <c r="MDX6" s="406"/>
      <c r="MDY6" s="406"/>
      <c r="MDZ6" s="406"/>
      <c r="MEA6" s="406"/>
      <c r="MEB6" s="406"/>
      <c r="MEC6" s="406"/>
      <c r="MED6" s="406"/>
      <c r="MEE6" s="406"/>
      <c r="MEF6" s="406"/>
      <c r="MEG6" s="406"/>
      <c r="MEH6" s="406"/>
      <c r="MEI6" s="406"/>
      <c r="MEJ6" s="406"/>
      <c r="MEK6" s="406"/>
      <c r="MEL6" s="406"/>
      <c r="MEM6" s="406"/>
      <c r="MEN6" s="406"/>
      <c r="MEO6" s="406"/>
      <c r="MEP6" s="406"/>
      <c r="MEQ6" s="406"/>
      <c r="MER6" s="406"/>
      <c r="MES6" s="406"/>
      <c r="MET6" s="406"/>
      <c r="MEU6" s="406"/>
      <c r="MEV6" s="406"/>
      <c r="MEW6" s="406"/>
      <c r="MEX6" s="406"/>
      <c r="MEY6" s="406"/>
      <c r="MEZ6" s="406"/>
      <c r="MFA6" s="406"/>
      <c r="MFB6" s="406"/>
      <c r="MFC6" s="406"/>
      <c r="MFD6" s="406"/>
      <c r="MFE6" s="406"/>
      <c r="MFF6" s="406"/>
      <c r="MFG6" s="406"/>
      <c r="MFH6" s="406"/>
      <c r="MFI6" s="406"/>
      <c r="MFJ6" s="406"/>
      <c r="MFK6" s="406"/>
      <c r="MFL6" s="406"/>
      <c r="MFM6" s="406"/>
      <c r="MFN6" s="406"/>
      <c r="MFO6" s="406"/>
      <c r="MFP6" s="406"/>
      <c r="MFQ6" s="406"/>
      <c r="MFR6" s="406"/>
      <c r="MFS6" s="406"/>
      <c r="MFT6" s="406"/>
      <c r="MFU6" s="406"/>
      <c r="MFV6" s="406"/>
      <c r="MFW6" s="406"/>
      <c r="MFX6" s="406"/>
      <c r="MFY6" s="406"/>
      <c r="MFZ6" s="406"/>
      <c r="MGA6" s="406"/>
      <c r="MGB6" s="406"/>
      <c r="MGC6" s="406"/>
      <c r="MGD6" s="406"/>
      <c r="MGE6" s="406"/>
      <c r="MGF6" s="406"/>
      <c r="MGG6" s="406"/>
      <c r="MGH6" s="406"/>
      <c r="MGI6" s="406"/>
      <c r="MGJ6" s="406"/>
      <c r="MGK6" s="406"/>
      <c r="MGL6" s="406"/>
      <c r="MGM6" s="406"/>
      <c r="MGN6" s="406"/>
      <c r="MGO6" s="406"/>
      <c r="MGP6" s="406"/>
      <c r="MGQ6" s="406"/>
      <c r="MGR6" s="406"/>
      <c r="MGS6" s="406"/>
      <c r="MGT6" s="406"/>
      <c r="MGU6" s="406"/>
      <c r="MGV6" s="406"/>
      <c r="MGW6" s="406"/>
      <c r="MGX6" s="406"/>
      <c r="MGY6" s="406"/>
      <c r="MGZ6" s="406"/>
      <c r="MHA6" s="406"/>
      <c r="MHB6" s="406"/>
      <c r="MHC6" s="406"/>
      <c r="MHD6" s="406"/>
      <c r="MHE6" s="406"/>
      <c r="MHF6" s="406"/>
      <c r="MHG6" s="406"/>
      <c r="MHH6" s="406"/>
      <c r="MHI6" s="406"/>
      <c r="MHJ6" s="406"/>
      <c r="MHK6" s="406"/>
      <c r="MHL6" s="406"/>
      <c r="MHM6" s="406"/>
      <c r="MHN6" s="406"/>
      <c r="MHO6" s="406"/>
      <c r="MHP6" s="406"/>
      <c r="MHQ6" s="406"/>
      <c r="MHR6" s="406"/>
      <c r="MHS6" s="406"/>
      <c r="MHT6" s="406"/>
      <c r="MHU6" s="406"/>
      <c r="MHV6" s="406"/>
      <c r="MHW6" s="406"/>
      <c r="MHX6" s="406"/>
      <c r="MHY6" s="406"/>
      <c r="MHZ6" s="406"/>
      <c r="MIA6" s="406"/>
      <c r="MIB6" s="406"/>
      <c r="MIC6" s="406"/>
      <c r="MID6" s="406"/>
      <c r="MIE6" s="406"/>
      <c r="MIF6" s="406"/>
      <c r="MIG6" s="406"/>
      <c r="MIH6" s="406"/>
      <c r="MII6" s="406"/>
      <c r="MIJ6" s="406"/>
      <c r="MIK6" s="406"/>
      <c r="MIL6" s="406"/>
      <c r="MIM6" s="406"/>
      <c r="MIN6" s="406"/>
      <c r="MIO6" s="406"/>
      <c r="MIP6" s="406"/>
      <c r="MIQ6" s="406"/>
      <c r="MIR6" s="406"/>
      <c r="MIS6" s="406"/>
      <c r="MIT6" s="406"/>
      <c r="MIU6" s="406"/>
      <c r="MIV6" s="406"/>
      <c r="MIW6" s="406"/>
      <c r="MIX6" s="406"/>
      <c r="MIY6" s="406"/>
      <c r="MIZ6" s="406"/>
      <c r="MJA6" s="406"/>
      <c r="MJB6" s="406"/>
      <c r="MJC6" s="406"/>
      <c r="MJD6" s="406"/>
      <c r="MJE6" s="406"/>
      <c r="MJF6" s="406"/>
      <c r="MJG6" s="406"/>
      <c r="MJH6" s="406"/>
      <c r="MJI6" s="406"/>
      <c r="MJJ6" s="406"/>
      <c r="MJK6" s="406"/>
      <c r="MJL6" s="406"/>
      <c r="MJM6" s="406"/>
      <c r="MJN6" s="406"/>
      <c r="MJO6" s="406"/>
      <c r="MJP6" s="406"/>
      <c r="MJQ6" s="406"/>
      <c r="MJR6" s="406"/>
      <c r="MJS6" s="406"/>
      <c r="MJT6" s="406"/>
      <c r="MJU6" s="406"/>
      <c r="MJV6" s="406"/>
      <c r="MJW6" s="406"/>
      <c r="MJX6" s="406"/>
      <c r="MJY6" s="406"/>
      <c r="MJZ6" s="406"/>
      <c r="MKA6" s="406"/>
      <c r="MKB6" s="406"/>
      <c r="MKC6" s="406"/>
      <c r="MKD6" s="406"/>
      <c r="MKE6" s="406"/>
      <c r="MKF6" s="406"/>
      <c r="MKG6" s="406"/>
      <c r="MKH6" s="406"/>
      <c r="MKI6" s="406"/>
      <c r="MKJ6" s="406"/>
      <c r="MKK6" s="406"/>
      <c r="MKL6" s="406"/>
      <c r="MKM6" s="406"/>
      <c r="MKN6" s="406"/>
      <c r="MKO6" s="406"/>
      <c r="MKP6" s="406"/>
      <c r="MKQ6" s="406"/>
      <c r="MKR6" s="406"/>
      <c r="MKS6" s="406"/>
      <c r="MKT6" s="406"/>
      <c r="MKU6" s="406"/>
      <c r="MKV6" s="406"/>
      <c r="MKW6" s="406"/>
      <c r="MKX6" s="406"/>
      <c r="MKY6" s="406"/>
      <c r="MKZ6" s="406"/>
      <c r="MLA6" s="406"/>
      <c r="MLB6" s="406"/>
      <c r="MLC6" s="406"/>
      <c r="MLD6" s="406"/>
      <c r="MLE6" s="406"/>
      <c r="MLF6" s="406"/>
      <c r="MLG6" s="406"/>
      <c r="MLH6" s="406"/>
      <c r="MLI6" s="406"/>
      <c r="MLJ6" s="406"/>
      <c r="MLK6" s="406"/>
      <c r="MLL6" s="406"/>
      <c r="MLM6" s="406"/>
      <c r="MLN6" s="406"/>
      <c r="MLO6" s="406"/>
      <c r="MLP6" s="406"/>
      <c r="MLQ6" s="406"/>
      <c r="MLR6" s="406"/>
      <c r="MLS6" s="406"/>
      <c r="MLT6" s="406"/>
      <c r="MLU6" s="406"/>
      <c r="MLV6" s="406"/>
      <c r="MLW6" s="406"/>
      <c r="MLX6" s="406"/>
      <c r="MLY6" s="406"/>
      <c r="MLZ6" s="406"/>
      <c r="MMA6" s="406"/>
      <c r="MMB6" s="406"/>
      <c r="MMC6" s="406"/>
      <c r="MMD6" s="406"/>
      <c r="MME6" s="406"/>
      <c r="MMF6" s="406"/>
      <c r="MMG6" s="406"/>
      <c r="MMH6" s="406"/>
      <c r="MMI6" s="406"/>
      <c r="MMJ6" s="406"/>
      <c r="MMK6" s="406"/>
      <c r="MML6" s="406"/>
      <c r="MMM6" s="406"/>
      <c r="MMN6" s="406"/>
      <c r="MMO6" s="406"/>
      <c r="MMP6" s="406"/>
      <c r="MMQ6" s="406"/>
      <c r="MMR6" s="406"/>
      <c r="MMS6" s="406"/>
      <c r="MMT6" s="406"/>
      <c r="MMU6" s="406"/>
      <c r="MMV6" s="406"/>
      <c r="MMW6" s="406"/>
      <c r="MMX6" s="406"/>
      <c r="MMY6" s="406"/>
      <c r="MMZ6" s="406"/>
      <c r="MNA6" s="406"/>
      <c r="MNB6" s="406"/>
      <c r="MNC6" s="406"/>
      <c r="MND6" s="406"/>
      <c r="MNE6" s="406"/>
      <c r="MNF6" s="406"/>
      <c r="MNG6" s="406"/>
      <c r="MNH6" s="406"/>
      <c r="MNI6" s="406"/>
      <c r="MNJ6" s="406"/>
      <c r="MNK6" s="406"/>
      <c r="MNL6" s="406"/>
      <c r="MNM6" s="406"/>
      <c r="MNN6" s="406"/>
      <c r="MNO6" s="406"/>
      <c r="MNP6" s="406"/>
      <c r="MNQ6" s="406"/>
      <c r="MNR6" s="406"/>
      <c r="MNS6" s="406"/>
      <c r="MNT6" s="406"/>
      <c r="MNU6" s="406"/>
      <c r="MNV6" s="406"/>
      <c r="MNW6" s="406"/>
      <c r="MNX6" s="406"/>
      <c r="MNY6" s="406"/>
      <c r="MNZ6" s="406"/>
      <c r="MOA6" s="406"/>
      <c r="MOB6" s="406"/>
      <c r="MOC6" s="406"/>
      <c r="MOD6" s="406"/>
      <c r="MOE6" s="406"/>
      <c r="MOF6" s="406"/>
      <c r="MOG6" s="406"/>
      <c r="MOH6" s="406"/>
      <c r="MOI6" s="406"/>
      <c r="MOJ6" s="406"/>
      <c r="MOK6" s="406"/>
      <c r="MOL6" s="406"/>
      <c r="MOM6" s="406"/>
      <c r="MON6" s="406"/>
      <c r="MOO6" s="406"/>
      <c r="MOP6" s="406"/>
      <c r="MOQ6" s="406"/>
      <c r="MOR6" s="406"/>
      <c r="MOS6" s="406"/>
      <c r="MOT6" s="406"/>
      <c r="MOU6" s="406"/>
      <c r="MOV6" s="406"/>
      <c r="MOW6" s="406"/>
      <c r="MOX6" s="406"/>
      <c r="MOY6" s="406"/>
      <c r="MOZ6" s="406"/>
      <c r="MPA6" s="406"/>
      <c r="MPB6" s="406"/>
      <c r="MPC6" s="406"/>
      <c r="MPD6" s="406"/>
      <c r="MPE6" s="406"/>
      <c r="MPF6" s="406"/>
      <c r="MPG6" s="406"/>
      <c r="MPH6" s="406"/>
      <c r="MPI6" s="406"/>
      <c r="MPJ6" s="406"/>
      <c r="MPK6" s="406"/>
      <c r="MPL6" s="406"/>
      <c r="MPM6" s="406"/>
      <c r="MPN6" s="406"/>
      <c r="MPO6" s="406"/>
      <c r="MPP6" s="406"/>
      <c r="MPQ6" s="406"/>
      <c r="MPR6" s="406"/>
      <c r="MPS6" s="406"/>
      <c r="MPT6" s="406"/>
      <c r="MPU6" s="406"/>
      <c r="MPV6" s="406"/>
      <c r="MPW6" s="406"/>
      <c r="MPX6" s="406"/>
      <c r="MPY6" s="406"/>
      <c r="MPZ6" s="406"/>
      <c r="MQA6" s="406"/>
      <c r="MQB6" s="406"/>
      <c r="MQC6" s="406"/>
      <c r="MQD6" s="406"/>
      <c r="MQE6" s="406"/>
      <c r="MQF6" s="406"/>
      <c r="MQG6" s="406"/>
      <c r="MQH6" s="406"/>
      <c r="MQI6" s="406"/>
      <c r="MQJ6" s="406"/>
      <c r="MQK6" s="406"/>
      <c r="MQL6" s="406"/>
      <c r="MQM6" s="406"/>
      <c r="MQN6" s="406"/>
      <c r="MQO6" s="406"/>
      <c r="MQP6" s="406"/>
      <c r="MQQ6" s="406"/>
      <c r="MQR6" s="406"/>
      <c r="MQS6" s="406"/>
      <c r="MQT6" s="406"/>
      <c r="MQU6" s="406"/>
      <c r="MQV6" s="406"/>
      <c r="MQW6" s="406"/>
      <c r="MQX6" s="406"/>
      <c r="MQY6" s="406"/>
      <c r="MQZ6" s="406"/>
      <c r="MRA6" s="406"/>
      <c r="MRB6" s="406"/>
      <c r="MRC6" s="406"/>
      <c r="MRD6" s="406"/>
      <c r="MRE6" s="406"/>
      <c r="MRF6" s="406"/>
      <c r="MRG6" s="406"/>
      <c r="MRH6" s="406"/>
      <c r="MRI6" s="406"/>
      <c r="MRJ6" s="406"/>
      <c r="MRK6" s="406"/>
      <c r="MRL6" s="406"/>
      <c r="MRM6" s="406"/>
      <c r="MRN6" s="406"/>
      <c r="MRO6" s="406"/>
      <c r="MRP6" s="406"/>
      <c r="MRQ6" s="406"/>
      <c r="MRR6" s="406"/>
      <c r="MRS6" s="406"/>
      <c r="MRT6" s="406"/>
      <c r="MRU6" s="406"/>
      <c r="MRV6" s="406"/>
      <c r="MRW6" s="406"/>
      <c r="MRX6" s="406"/>
      <c r="MRY6" s="406"/>
      <c r="MRZ6" s="406"/>
      <c r="MSA6" s="406"/>
      <c r="MSB6" s="406"/>
      <c r="MSC6" s="406"/>
      <c r="MSD6" s="406"/>
      <c r="MSE6" s="406"/>
      <c r="MSF6" s="406"/>
      <c r="MSG6" s="406"/>
      <c r="MSH6" s="406"/>
      <c r="MSI6" s="406"/>
      <c r="MSJ6" s="406"/>
      <c r="MSK6" s="406"/>
      <c r="MSL6" s="406"/>
      <c r="MSM6" s="406"/>
      <c r="MSN6" s="406"/>
      <c r="MSO6" s="406"/>
      <c r="MSP6" s="406"/>
      <c r="MSQ6" s="406"/>
      <c r="MSR6" s="406"/>
      <c r="MSS6" s="406"/>
      <c r="MST6" s="406"/>
      <c r="MSU6" s="406"/>
      <c r="MSV6" s="406"/>
      <c r="MSW6" s="406"/>
      <c r="MSX6" s="406"/>
      <c r="MSY6" s="406"/>
      <c r="MSZ6" s="406"/>
      <c r="MTA6" s="406"/>
      <c r="MTB6" s="406"/>
      <c r="MTC6" s="406"/>
      <c r="MTD6" s="406"/>
      <c r="MTE6" s="406"/>
      <c r="MTF6" s="406"/>
      <c r="MTG6" s="406"/>
      <c r="MTH6" s="406"/>
      <c r="MTI6" s="406"/>
      <c r="MTJ6" s="406"/>
      <c r="MTK6" s="406"/>
      <c r="MTL6" s="406"/>
      <c r="MTM6" s="406"/>
      <c r="MTN6" s="406"/>
      <c r="MTO6" s="406"/>
      <c r="MTP6" s="406"/>
      <c r="MTQ6" s="406"/>
      <c r="MTR6" s="406"/>
      <c r="MTS6" s="406"/>
      <c r="MTT6" s="406"/>
      <c r="MTU6" s="406"/>
      <c r="MTV6" s="406"/>
      <c r="MTW6" s="406"/>
      <c r="MTX6" s="406"/>
      <c r="MTY6" s="406"/>
      <c r="MTZ6" s="406"/>
      <c r="MUA6" s="406"/>
      <c r="MUB6" s="406"/>
      <c r="MUC6" s="406"/>
      <c r="MUD6" s="406"/>
      <c r="MUE6" s="406"/>
      <c r="MUF6" s="406"/>
      <c r="MUG6" s="406"/>
      <c r="MUH6" s="406"/>
      <c r="MUI6" s="406"/>
      <c r="MUJ6" s="406"/>
      <c r="MUK6" s="406"/>
      <c r="MUL6" s="406"/>
      <c r="MUM6" s="406"/>
      <c r="MUN6" s="406"/>
      <c r="MUO6" s="406"/>
      <c r="MUP6" s="406"/>
      <c r="MUQ6" s="406"/>
      <c r="MUR6" s="406"/>
      <c r="MUS6" s="406"/>
      <c r="MUT6" s="406"/>
      <c r="MUU6" s="406"/>
      <c r="MUV6" s="406"/>
      <c r="MUW6" s="406"/>
      <c r="MUX6" s="406"/>
      <c r="MUY6" s="406"/>
      <c r="MUZ6" s="406"/>
      <c r="MVA6" s="406"/>
      <c r="MVB6" s="406"/>
      <c r="MVC6" s="406"/>
      <c r="MVD6" s="406"/>
      <c r="MVE6" s="406"/>
      <c r="MVF6" s="406"/>
      <c r="MVG6" s="406"/>
      <c r="MVH6" s="406"/>
      <c r="MVI6" s="406"/>
      <c r="MVJ6" s="406"/>
      <c r="MVK6" s="406"/>
      <c r="MVL6" s="406"/>
      <c r="MVM6" s="406"/>
      <c r="MVN6" s="406"/>
      <c r="MVO6" s="406"/>
      <c r="MVP6" s="406"/>
      <c r="MVQ6" s="406"/>
      <c r="MVR6" s="406"/>
      <c r="MVS6" s="406"/>
      <c r="MVT6" s="406"/>
      <c r="MVU6" s="406"/>
      <c r="MVV6" s="406"/>
      <c r="MVW6" s="406"/>
      <c r="MVX6" s="406"/>
      <c r="MVY6" s="406"/>
      <c r="MVZ6" s="406"/>
      <c r="MWA6" s="406"/>
      <c r="MWB6" s="406"/>
      <c r="MWC6" s="406"/>
      <c r="MWD6" s="406"/>
      <c r="MWE6" s="406"/>
      <c r="MWF6" s="406"/>
      <c r="MWG6" s="406"/>
      <c r="MWH6" s="406"/>
      <c r="MWI6" s="406"/>
      <c r="MWJ6" s="406"/>
      <c r="MWK6" s="406"/>
      <c r="MWL6" s="406"/>
      <c r="MWM6" s="406"/>
      <c r="MWN6" s="406"/>
      <c r="MWO6" s="406"/>
      <c r="MWP6" s="406"/>
      <c r="MWQ6" s="406"/>
      <c r="MWR6" s="406"/>
      <c r="MWS6" s="406"/>
      <c r="MWT6" s="406"/>
      <c r="MWU6" s="406"/>
      <c r="MWV6" s="406"/>
      <c r="MWW6" s="406"/>
      <c r="MWX6" s="406"/>
      <c r="MWY6" s="406"/>
      <c r="MWZ6" s="406"/>
      <c r="MXA6" s="406"/>
      <c r="MXB6" s="406"/>
      <c r="MXC6" s="406"/>
      <c r="MXD6" s="406"/>
      <c r="MXE6" s="406"/>
      <c r="MXF6" s="406"/>
      <c r="MXG6" s="406"/>
      <c r="MXH6" s="406"/>
      <c r="MXI6" s="406"/>
      <c r="MXJ6" s="406"/>
      <c r="MXK6" s="406"/>
      <c r="MXL6" s="406"/>
      <c r="MXM6" s="406"/>
      <c r="MXN6" s="406"/>
      <c r="MXO6" s="406"/>
      <c r="MXP6" s="406"/>
      <c r="MXQ6" s="406"/>
      <c r="MXR6" s="406"/>
      <c r="MXS6" s="406"/>
      <c r="MXT6" s="406"/>
      <c r="MXU6" s="406"/>
      <c r="MXV6" s="406"/>
      <c r="MXW6" s="406"/>
      <c r="MXX6" s="406"/>
      <c r="MXY6" s="406"/>
      <c r="MXZ6" s="406"/>
      <c r="MYA6" s="406"/>
      <c r="MYB6" s="406"/>
      <c r="MYC6" s="406"/>
      <c r="MYD6" s="406"/>
      <c r="MYE6" s="406"/>
      <c r="MYF6" s="406"/>
      <c r="MYG6" s="406"/>
      <c r="MYH6" s="406"/>
      <c r="MYI6" s="406"/>
      <c r="MYJ6" s="406"/>
      <c r="MYK6" s="406"/>
      <c r="MYL6" s="406"/>
      <c r="MYM6" s="406"/>
      <c r="MYN6" s="406"/>
      <c r="MYO6" s="406"/>
      <c r="MYP6" s="406"/>
      <c r="MYQ6" s="406"/>
      <c r="MYR6" s="406"/>
      <c r="MYS6" s="406"/>
      <c r="MYT6" s="406"/>
      <c r="MYU6" s="406"/>
      <c r="MYV6" s="406"/>
      <c r="MYW6" s="406"/>
      <c r="MYX6" s="406"/>
      <c r="MYY6" s="406"/>
      <c r="MYZ6" s="406"/>
      <c r="MZA6" s="406"/>
      <c r="MZB6" s="406"/>
      <c r="MZC6" s="406"/>
      <c r="MZD6" s="406"/>
      <c r="MZE6" s="406"/>
      <c r="MZF6" s="406"/>
      <c r="MZG6" s="406"/>
      <c r="MZH6" s="406"/>
      <c r="MZI6" s="406"/>
      <c r="MZJ6" s="406"/>
      <c r="MZK6" s="406"/>
      <c r="MZL6" s="406"/>
      <c r="MZM6" s="406"/>
      <c r="MZN6" s="406"/>
      <c r="MZO6" s="406"/>
      <c r="MZP6" s="406"/>
      <c r="MZQ6" s="406"/>
      <c r="MZR6" s="406"/>
      <c r="MZS6" s="406"/>
      <c r="MZT6" s="406"/>
      <c r="MZU6" s="406"/>
      <c r="MZV6" s="406"/>
      <c r="MZW6" s="406"/>
      <c r="MZX6" s="406"/>
      <c r="MZY6" s="406"/>
      <c r="MZZ6" s="406"/>
      <c r="NAA6" s="406"/>
      <c r="NAB6" s="406"/>
      <c r="NAC6" s="406"/>
      <c r="NAD6" s="406"/>
      <c r="NAE6" s="406"/>
      <c r="NAF6" s="406"/>
      <c r="NAG6" s="406"/>
      <c r="NAH6" s="406"/>
      <c r="NAI6" s="406"/>
      <c r="NAJ6" s="406"/>
      <c r="NAK6" s="406"/>
      <c r="NAL6" s="406"/>
      <c r="NAM6" s="406"/>
      <c r="NAN6" s="406"/>
      <c r="NAO6" s="406"/>
      <c r="NAP6" s="406"/>
      <c r="NAQ6" s="406"/>
      <c r="NAR6" s="406"/>
      <c r="NAS6" s="406"/>
      <c r="NAT6" s="406"/>
      <c r="NAU6" s="406"/>
      <c r="NAV6" s="406"/>
      <c r="NAW6" s="406"/>
      <c r="NAX6" s="406"/>
      <c r="NAY6" s="406"/>
      <c r="NAZ6" s="406"/>
      <c r="NBA6" s="406"/>
      <c r="NBB6" s="406"/>
      <c r="NBC6" s="406"/>
      <c r="NBD6" s="406"/>
      <c r="NBE6" s="406"/>
      <c r="NBF6" s="406"/>
      <c r="NBG6" s="406"/>
      <c r="NBH6" s="406"/>
      <c r="NBI6" s="406"/>
      <c r="NBJ6" s="406"/>
      <c r="NBK6" s="406"/>
      <c r="NBL6" s="406"/>
      <c r="NBM6" s="406"/>
      <c r="NBN6" s="406"/>
      <c r="NBO6" s="406"/>
      <c r="NBP6" s="406"/>
      <c r="NBQ6" s="406"/>
      <c r="NBR6" s="406"/>
      <c r="NBS6" s="406"/>
      <c r="NBT6" s="406"/>
      <c r="NBU6" s="406"/>
      <c r="NBV6" s="406"/>
      <c r="NBW6" s="406"/>
      <c r="NBX6" s="406"/>
      <c r="NBY6" s="406"/>
      <c r="NBZ6" s="406"/>
      <c r="NCA6" s="406"/>
      <c r="NCB6" s="406"/>
      <c r="NCC6" s="406"/>
      <c r="NCD6" s="406"/>
      <c r="NCE6" s="406"/>
      <c r="NCF6" s="406"/>
      <c r="NCG6" s="406"/>
      <c r="NCH6" s="406"/>
      <c r="NCI6" s="406"/>
      <c r="NCJ6" s="406"/>
      <c r="NCK6" s="406"/>
      <c r="NCL6" s="406"/>
      <c r="NCM6" s="406"/>
      <c r="NCN6" s="406"/>
      <c r="NCO6" s="406"/>
      <c r="NCP6" s="406"/>
      <c r="NCQ6" s="406"/>
      <c r="NCR6" s="406"/>
      <c r="NCS6" s="406"/>
      <c r="NCT6" s="406"/>
      <c r="NCU6" s="406"/>
      <c r="NCV6" s="406"/>
      <c r="NCW6" s="406"/>
      <c r="NCX6" s="406"/>
      <c r="NCY6" s="406"/>
      <c r="NCZ6" s="406"/>
      <c r="NDA6" s="406"/>
      <c r="NDB6" s="406"/>
      <c r="NDC6" s="406"/>
      <c r="NDD6" s="406"/>
      <c r="NDE6" s="406"/>
      <c r="NDF6" s="406"/>
      <c r="NDG6" s="406"/>
      <c r="NDH6" s="406"/>
      <c r="NDI6" s="406"/>
      <c r="NDJ6" s="406"/>
      <c r="NDK6" s="406"/>
      <c r="NDL6" s="406"/>
      <c r="NDM6" s="406"/>
      <c r="NDN6" s="406"/>
      <c r="NDO6" s="406"/>
      <c r="NDP6" s="406"/>
      <c r="NDQ6" s="406"/>
      <c r="NDR6" s="406"/>
      <c r="NDS6" s="406"/>
      <c r="NDT6" s="406"/>
      <c r="NDU6" s="406"/>
      <c r="NDV6" s="406"/>
      <c r="NDW6" s="406"/>
      <c r="NDX6" s="406"/>
      <c r="NDY6" s="406"/>
      <c r="NDZ6" s="406"/>
      <c r="NEA6" s="406"/>
      <c r="NEB6" s="406"/>
      <c r="NEC6" s="406"/>
      <c r="NED6" s="406"/>
      <c r="NEE6" s="406"/>
      <c r="NEF6" s="406"/>
      <c r="NEG6" s="406"/>
      <c r="NEH6" s="406"/>
      <c r="NEI6" s="406"/>
      <c r="NEJ6" s="406"/>
      <c r="NEK6" s="406"/>
      <c r="NEL6" s="406"/>
      <c r="NEM6" s="406"/>
      <c r="NEN6" s="406"/>
      <c r="NEO6" s="406"/>
      <c r="NEP6" s="406"/>
      <c r="NEQ6" s="406"/>
      <c r="NER6" s="406"/>
      <c r="NES6" s="406"/>
      <c r="NET6" s="406"/>
      <c r="NEU6" s="406"/>
      <c r="NEV6" s="406"/>
      <c r="NEW6" s="406"/>
      <c r="NEX6" s="406"/>
      <c r="NEY6" s="406"/>
      <c r="NEZ6" s="406"/>
      <c r="NFA6" s="406"/>
      <c r="NFB6" s="406"/>
      <c r="NFC6" s="406"/>
      <c r="NFD6" s="406"/>
      <c r="NFE6" s="406"/>
      <c r="NFF6" s="406"/>
      <c r="NFG6" s="406"/>
      <c r="NFH6" s="406"/>
      <c r="NFI6" s="406"/>
      <c r="NFJ6" s="406"/>
      <c r="NFK6" s="406"/>
      <c r="NFL6" s="406"/>
      <c r="NFM6" s="406"/>
      <c r="NFN6" s="406"/>
      <c r="NFO6" s="406"/>
      <c r="NFP6" s="406"/>
      <c r="NFQ6" s="406"/>
      <c r="NFR6" s="406"/>
      <c r="NFS6" s="406"/>
      <c r="NFT6" s="406"/>
      <c r="NFU6" s="406"/>
      <c r="NFV6" s="406"/>
      <c r="NFW6" s="406"/>
      <c r="NFX6" s="406"/>
      <c r="NFY6" s="406"/>
      <c r="NFZ6" s="406"/>
      <c r="NGA6" s="406"/>
      <c r="NGB6" s="406"/>
      <c r="NGC6" s="406"/>
      <c r="NGD6" s="406"/>
      <c r="NGE6" s="406"/>
      <c r="NGF6" s="406"/>
      <c r="NGG6" s="406"/>
      <c r="NGH6" s="406"/>
      <c r="NGI6" s="406"/>
      <c r="NGJ6" s="406"/>
      <c r="NGK6" s="406"/>
      <c r="NGL6" s="406"/>
      <c r="NGM6" s="406"/>
      <c r="NGN6" s="406"/>
      <c r="NGO6" s="406"/>
      <c r="NGP6" s="406"/>
      <c r="NGQ6" s="406"/>
      <c r="NGR6" s="406"/>
      <c r="NGS6" s="406"/>
      <c r="NGT6" s="406"/>
      <c r="NGU6" s="406"/>
      <c r="NGV6" s="406"/>
      <c r="NGW6" s="406"/>
      <c r="NGX6" s="406"/>
      <c r="NGY6" s="406"/>
      <c r="NGZ6" s="406"/>
      <c r="NHA6" s="406"/>
      <c r="NHB6" s="406"/>
      <c r="NHC6" s="406"/>
      <c r="NHD6" s="406"/>
      <c r="NHE6" s="406"/>
      <c r="NHF6" s="406"/>
      <c r="NHG6" s="406"/>
      <c r="NHH6" s="406"/>
      <c r="NHI6" s="406"/>
      <c r="NHJ6" s="406"/>
      <c r="NHK6" s="406"/>
      <c r="NHL6" s="406"/>
      <c r="NHM6" s="406"/>
      <c r="NHN6" s="406"/>
      <c r="NHO6" s="406"/>
      <c r="NHP6" s="406"/>
      <c r="NHQ6" s="406"/>
      <c r="NHR6" s="406"/>
      <c r="NHS6" s="406"/>
      <c r="NHT6" s="406"/>
      <c r="NHU6" s="406"/>
      <c r="NHV6" s="406"/>
      <c r="NHW6" s="406"/>
      <c r="NHX6" s="406"/>
      <c r="NHY6" s="406"/>
      <c r="NHZ6" s="406"/>
      <c r="NIA6" s="406"/>
      <c r="NIB6" s="406"/>
      <c r="NIC6" s="406"/>
      <c r="NID6" s="406"/>
      <c r="NIE6" s="406"/>
      <c r="NIF6" s="406"/>
      <c r="NIG6" s="406"/>
      <c r="NIH6" s="406"/>
      <c r="NII6" s="406"/>
      <c r="NIJ6" s="406"/>
      <c r="NIK6" s="406"/>
      <c r="NIL6" s="406"/>
      <c r="NIM6" s="406"/>
      <c r="NIN6" s="406"/>
      <c r="NIO6" s="406"/>
      <c r="NIP6" s="406"/>
      <c r="NIQ6" s="406"/>
      <c r="NIR6" s="406"/>
      <c r="NIS6" s="406"/>
      <c r="NIT6" s="406"/>
      <c r="NIU6" s="406"/>
      <c r="NIV6" s="406"/>
      <c r="NIW6" s="406"/>
      <c r="NIX6" s="406"/>
      <c r="NIY6" s="406"/>
      <c r="NIZ6" s="406"/>
      <c r="NJA6" s="406"/>
      <c r="NJB6" s="406"/>
      <c r="NJC6" s="406"/>
      <c r="NJD6" s="406"/>
      <c r="NJE6" s="406"/>
      <c r="NJF6" s="406"/>
      <c r="NJG6" s="406"/>
      <c r="NJH6" s="406"/>
      <c r="NJI6" s="406"/>
      <c r="NJJ6" s="406"/>
      <c r="NJK6" s="406"/>
      <c r="NJL6" s="406"/>
      <c r="NJM6" s="406"/>
      <c r="NJN6" s="406"/>
      <c r="NJO6" s="406"/>
      <c r="NJP6" s="406"/>
      <c r="NJQ6" s="406"/>
      <c r="NJR6" s="406"/>
      <c r="NJS6" s="406"/>
      <c r="NJT6" s="406"/>
      <c r="NJU6" s="406"/>
      <c r="NJV6" s="406"/>
      <c r="NJW6" s="406"/>
      <c r="NJX6" s="406"/>
      <c r="NJY6" s="406"/>
      <c r="NJZ6" s="406"/>
      <c r="NKA6" s="406"/>
      <c r="NKB6" s="406"/>
      <c r="NKC6" s="406"/>
      <c r="NKD6" s="406"/>
      <c r="NKE6" s="406"/>
      <c r="NKF6" s="406"/>
      <c r="NKG6" s="406"/>
      <c r="NKH6" s="406"/>
      <c r="NKI6" s="406"/>
      <c r="NKJ6" s="406"/>
      <c r="NKK6" s="406"/>
      <c r="NKL6" s="406"/>
      <c r="NKM6" s="406"/>
      <c r="NKN6" s="406"/>
      <c r="NKO6" s="406"/>
      <c r="NKP6" s="406"/>
      <c r="NKQ6" s="406"/>
      <c r="NKR6" s="406"/>
      <c r="NKS6" s="406"/>
      <c r="NKT6" s="406"/>
      <c r="NKU6" s="406"/>
      <c r="NKV6" s="406"/>
      <c r="NKW6" s="406"/>
      <c r="NKX6" s="406"/>
      <c r="NKY6" s="406"/>
      <c r="NKZ6" s="406"/>
      <c r="NLA6" s="406"/>
      <c r="NLB6" s="406"/>
      <c r="NLC6" s="406"/>
      <c r="NLD6" s="406"/>
      <c r="NLE6" s="406"/>
      <c r="NLF6" s="406"/>
      <c r="NLG6" s="406"/>
      <c r="NLH6" s="406"/>
      <c r="NLI6" s="406"/>
      <c r="NLJ6" s="406"/>
      <c r="NLK6" s="406"/>
      <c r="NLL6" s="406"/>
      <c r="NLM6" s="406"/>
      <c r="NLN6" s="406"/>
      <c r="NLO6" s="406"/>
      <c r="NLP6" s="406"/>
      <c r="NLQ6" s="406"/>
      <c r="NLR6" s="406"/>
      <c r="NLS6" s="406"/>
      <c r="NLT6" s="406"/>
      <c r="NLU6" s="406"/>
      <c r="NLV6" s="406"/>
      <c r="NLW6" s="406"/>
      <c r="NLX6" s="406"/>
      <c r="NLY6" s="406"/>
      <c r="NLZ6" s="406"/>
      <c r="NMA6" s="406"/>
      <c r="NMB6" s="406"/>
      <c r="NMC6" s="406"/>
      <c r="NMD6" s="406"/>
      <c r="NME6" s="406"/>
      <c r="NMF6" s="406"/>
      <c r="NMG6" s="406"/>
      <c r="NMH6" s="406"/>
      <c r="NMI6" s="406"/>
      <c r="NMJ6" s="406"/>
      <c r="NMK6" s="406"/>
      <c r="NML6" s="406"/>
      <c r="NMM6" s="406"/>
      <c r="NMN6" s="406"/>
      <c r="NMO6" s="406"/>
      <c r="NMP6" s="406"/>
      <c r="NMQ6" s="406"/>
      <c r="NMR6" s="406"/>
      <c r="NMS6" s="406"/>
      <c r="NMT6" s="406"/>
      <c r="NMU6" s="406"/>
      <c r="NMV6" s="406"/>
      <c r="NMW6" s="406"/>
      <c r="NMX6" s="406"/>
      <c r="NMY6" s="406"/>
      <c r="NMZ6" s="406"/>
      <c r="NNA6" s="406"/>
      <c r="NNB6" s="406"/>
      <c r="NNC6" s="406"/>
      <c r="NND6" s="406"/>
      <c r="NNE6" s="406"/>
      <c r="NNF6" s="406"/>
      <c r="NNG6" s="406"/>
      <c r="NNH6" s="406"/>
      <c r="NNI6" s="406"/>
      <c r="NNJ6" s="406"/>
      <c r="NNK6" s="406"/>
      <c r="NNL6" s="406"/>
      <c r="NNM6" s="406"/>
      <c r="NNN6" s="406"/>
      <c r="NNO6" s="406"/>
      <c r="NNP6" s="406"/>
      <c r="NNQ6" s="406"/>
      <c r="NNR6" s="406"/>
      <c r="NNS6" s="406"/>
      <c r="NNT6" s="406"/>
      <c r="NNU6" s="406"/>
      <c r="NNV6" s="406"/>
      <c r="NNW6" s="406"/>
      <c r="NNX6" s="406"/>
      <c r="NNY6" s="406"/>
      <c r="NNZ6" s="406"/>
      <c r="NOA6" s="406"/>
      <c r="NOB6" s="406"/>
      <c r="NOC6" s="406"/>
      <c r="NOD6" s="406"/>
      <c r="NOE6" s="406"/>
      <c r="NOF6" s="406"/>
      <c r="NOG6" s="406"/>
      <c r="NOH6" s="406"/>
      <c r="NOI6" s="406"/>
      <c r="NOJ6" s="406"/>
      <c r="NOK6" s="406"/>
      <c r="NOL6" s="406"/>
      <c r="NOM6" s="406"/>
      <c r="NON6" s="406"/>
      <c r="NOO6" s="406"/>
      <c r="NOP6" s="406"/>
      <c r="NOQ6" s="406"/>
      <c r="NOR6" s="406"/>
      <c r="NOS6" s="406"/>
      <c r="NOT6" s="406"/>
      <c r="NOU6" s="406"/>
      <c r="NOV6" s="406"/>
      <c r="NOW6" s="406"/>
      <c r="NOX6" s="406"/>
      <c r="NOY6" s="406"/>
      <c r="NOZ6" s="406"/>
      <c r="NPA6" s="406"/>
      <c r="NPB6" s="406"/>
      <c r="NPC6" s="406"/>
      <c r="NPD6" s="406"/>
      <c r="NPE6" s="406"/>
      <c r="NPF6" s="406"/>
      <c r="NPG6" s="406"/>
      <c r="NPH6" s="406"/>
      <c r="NPI6" s="406"/>
      <c r="NPJ6" s="406"/>
      <c r="NPK6" s="406"/>
      <c r="NPL6" s="406"/>
      <c r="NPM6" s="406"/>
      <c r="NPN6" s="406"/>
      <c r="NPO6" s="406"/>
      <c r="NPP6" s="406"/>
      <c r="NPQ6" s="406"/>
      <c r="NPR6" s="406"/>
      <c r="NPS6" s="406"/>
      <c r="NPT6" s="406"/>
      <c r="NPU6" s="406"/>
      <c r="NPV6" s="406"/>
      <c r="NPW6" s="406"/>
      <c r="NPX6" s="406"/>
      <c r="NPY6" s="406"/>
      <c r="NPZ6" s="406"/>
      <c r="NQA6" s="406"/>
      <c r="NQB6" s="406"/>
      <c r="NQC6" s="406"/>
      <c r="NQD6" s="406"/>
      <c r="NQE6" s="406"/>
      <c r="NQF6" s="406"/>
      <c r="NQG6" s="406"/>
      <c r="NQH6" s="406"/>
      <c r="NQI6" s="406"/>
      <c r="NQJ6" s="406"/>
      <c r="NQK6" s="406"/>
      <c r="NQL6" s="406"/>
      <c r="NQM6" s="406"/>
      <c r="NQN6" s="406"/>
      <c r="NQO6" s="406"/>
      <c r="NQP6" s="406"/>
      <c r="NQQ6" s="406"/>
      <c r="NQR6" s="406"/>
      <c r="NQS6" s="406"/>
      <c r="NQT6" s="406"/>
      <c r="NQU6" s="406"/>
      <c r="NQV6" s="406"/>
      <c r="NQW6" s="406"/>
      <c r="NQX6" s="406"/>
      <c r="NQY6" s="406"/>
      <c r="NQZ6" s="406"/>
      <c r="NRA6" s="406"/>
      <c r="NRB6" s="406"/>
      <c r="NRC6" s="406"/>
      <c r="NRD6" s="406"/>
      <c r="NRE6" s="406"/>
      <c r="NRF6" s="406"/>
      <c r="NRG6" s="406"/>
      <c r="NRH6" s="406"/>
      <c r="NRI6" s="406"/>
      <c r="NRJ6" s="406"/>
      <c r="NRK6" s="406"/>
      <c r="NRL6" s="406"/>
      <c r="NRM6" s="406"/>
      <c r="NRN6" s="406"/>
      <c r="NRO6" s="406"/>
      <c r="NRP6" s="406"/>
      <c r="NRQ6" s="406"/>
      <c r="NRR6" s="406"/>
      <c r="NRS6" s="406"/>
      <c r="NRT6" s="406"/>
      <c r="NRU6" s="406"/>
      <c r="NRV6" s="406"/>
      <c r="NRW6" s="406"/>
      <c r="NRX6" s="406"/>
      <c r="NRY6" s="406"/>
      <c r="NRZ6" s="406"/>
      <c r="NSA6" s="406"/>
      <c r="NSB6" s="406"/>
      <c r="NSC6" s="406"/>
      <c r="NSD6" s="406"/>
      <c r="NSE6" s="406"/>
      <c r="NSF6" s="406"/>
      <c r="NSG6" s="406"/>
      <c r="NSH6" s="406"/>
      <c r="NSI6" s="406"/>
      <c r="NSJ6" s="406"/>
      <c r="NSK6" s="406"/>
      <c r="NSL6" s="406"/>
      <c r="NSM6" s="406"/>
      <c r="NSN6" s="406"/>
      <c r="NSO6" s="406"/>
      <c r="NSP6" s="406"/>
      <c r="NSQ6" s="406"/>
      <c r="NSR6" s="406"/>
      <c r="NSS6" s="406"/>
      <c r="NST6" s="406"/>
      <c r="NSU6" s="406"/>
      <c r="NSV6" s="406"/>
      <c r="NSW6" s="406"/>
      <c r="NSX6" s="406"/>
      <c r="NSY6" s="406"/>
      <c r="NSZ6" s="406"/>
      <c r="NTA6" s="406"/>
      <c r="NTB6" s="406"/>
      <c r="NTC6" s="406"/>
      <c r="NTD6" s="406"/>
      <c r="NTE6" s="406"/>
      <c r="NTF6" s="406"/>
      <c r="NTG6" s="406"/>
      <c r="NTH6" s="406"/>
      <c r="NTI6" s="406"/>
      <c r="NTJ6" s="406"/>
      <c r="NTK6" s="406"/>
      <c r="NTL6" s="406"/>
      <c r="NTM6" s="406"/>
      <c r="NTN6" s="406"/>
      <c r="NTO6" s="406"/>
      <c r="NTP6" s="406"/>
      <c r="NTQ6" s="406"/>
      <c r="NTR6" s="406"/>
      <c r="NTS6" s="406"/>
      <c r="NTT6" s="406"/>
      <c r="NTU6" s="406"/>
      <c r="NTV6" s="406"/>
      <c r="NTW6" s="406"/>
      <c r="NTX6" s="406"/>
      <c r="NTY6" s="406"/>
      <c r="NTZ6" s="406"/>
      <c r="NUA6" s="406"/>
      <c r="NUB6" s="406"/>
      <c r="NUC6" s="406"/>
      <c r="NUD6" s="406"/>
      <c r="NUE6" s="406"/>
      <c r="NUF6" s="406"/>
      <c r="NUG6" s="406"/>
      <c r="NUH6" s="406"/>
      <c r="NUI6" s="406"/>
      <c r="NUJ6" s="406"/>
      <c r="NUK6" s="406"/>
      <c r="NUL6" s="406"/>
      <c r="NUM6" s="406"/>
      <c r="NUN6" s="406"/>
      <c r="NUO6" s="406"/>
      <c r="NUP6" s="406"/>
      <c r="NUQ6" s="406"/>
      <c r="NUR6" s="406"/>
      <c r="NUS6" s="406"/>
      <c r="NUT6" s="406"/>
      <c r="NUU6" s="406"/>
      <c r="NUV6" s="406"/>
      <c r="NUW6" s="406"/>
      <c r="NUX6" s="406"/>
      <c r="NUY6" s="406"/>
      <c r="NUZ6" s="406"/>
      <c r="NVA6" s="406"/>
      <c r="NVB6" s="406"/>
      <c r="NVC6" s="406"/>
      <c r="NVD6" s="406"/>
      <c r="NVE6" s="406"/>
      <c r="NVF6" s="406"/>
      <c r="NVG6" s="406"/>
      <c r="NVH6" s="406"/>
      <c r="NVI6" s="406"/>
      <c r="NVJ6" s="406"/>
      <c r="NVK6" s="406"/>
      <c r="NVL6" s="406"/>
      <c r="NVM6" s="406"/>
      <c r="NVN6" s="406"/>
      <c r="NVO6" s="406"/>
      <c r="NVP6" s="406"/>
      <c r="NVQ6" s="406"/>
      <c r="NVR6" s="406"/>
      <c r="NVS6" s="406"/>
      <c r="NVT6" s="406"/>
      <c r="NVU6" s="406"/>
      <c r="NVV6" s="406"/>
      <c r="NVW6" s="406"/>
      <c r="NVX6" s="406"/>
      <c r="NVY6" s="406"/>
      <c r="NVZ6" s="406"/>
      <c r="NWA6" s="406"/>
      <c r="NWB6" s="406"/>
      <c r="NWC6" s="406"/>
      <c r="NWD6" s="406"/>
      <c r="NWE6" s="406"/>
      <c r="NWF6" s="406"/>
      <c r="NWG6" s="406"/>
      <c r="NWH6" s="406"/>
      <c r="NWI6" s="406"/>
      <c r="NWJ6" s="406"/>
      <c r="NWK6" s="406"/>
      <c r="NWL6" s="406"/>
      <c r="NWM6" s="406"/>
      <c r="NWN6" s="406"/>
      <c r="NWO6" s="406"/>
      <c r="NWP6" s="406"/>
      <c r="NWQ6" s="406"/>
      <c r="NWR6" s="406"/>
      <c r="NWS6" s="406"/>
      <c r="NWT6" s="406"/>
      <c r="NWU6" s="406"/>
      <c r="NWV6" s="406"/>
      <c r="NWW6" s="406"/>
      <c r="NWX6" s="406"/>
      <c r="NWY6" s="406"/>
      <c r="NWZ6" s="406"/>
      <c r="NXA6" s="406"/>
      <c r="NXB6" s="406"/>
      <c r="NXC6" s="406"/>
      <c r="NXD6" s="406"/>
      <c r="NXE6" s="406"/>
      <c r="NXF6" s="406"/>
      <c r="NXG6" s="406"/>
      <c r="NXH6" s="406"/>
      <c r="NXI6" s="406"/>
      <c r="NXJ6" s="406"/>
      <c r="NXK6" s="406"/>
      <c r="NXL6" s="406"/>
      <c r="NXM6" s="406"/>
      <c r="NXN6" s="406"/>
      <c r="NXO6" s="406"/>
      <c r="NXP6" s="406"/>
      <c r="NXQ6" s="406"/>
      <c r="NXR6" s="406"/>
      <c r="NXS6" s="406"/>
      <c r="NXT6" s="406"/>
      <c r="NXU6" s="406"/>
      <c r="NXV6" s="406"/>
      <c r="NXW6" s="406"/>
      <c r="NXX6" s="406"/>
      <c r="NXY6" s="406"/>
      <c r="NXZ6" s="406"/>
      <c r="NYA6" s="406"/>
      <c r="NYB6" s="406"/>
      <c r="NYC6" s="406"/>
      <c r="NYD6" s="406"/>
      <c r="NYE6" s="406"/>
      <c r="NYF6" s="406"/>
      <c r="NYG6" s="406"/>
      <c r="NYH6" s="406"/>
      <c r="NYI6" s="406"/>
      <c r="NYJ6" s="406"/>
      <c r="NYK6" s="406"/>
      <c r="NYL6" s="406"/>
      <c r="NYM6" s="406"/>
      <c r="NYN6" s="406"/>
      <c r="NYO6" s="406"/>
      <c r="NYP6" s="406"/>
      <c r="NYQ6" s="406"/>
      <c r="NYR6" s="406"/>
      <c r="NYS6" s="406"/>
      <c r="NYT6" s="406"/>
      <c r="NYU6" s="406"/>
      <c r="NYV6" s="406"/>
      <c r="NYW6" s="406"/>
      <c r="NYX6" s="406"/>
      <c r="NYY6" s="406"/>
      <c r="NYZ6" s="406"/>
      <c r="NZA6" s="406"/>
      <c r="NZB6" s="406"/>
      <c r="NZC6" s="406"/>
      <c r="NZD6" s="406"/>
      <c r="NZE6" s="406"/>
      <c r="NZF6" s="406"/>
      <c r="NZG6" s="406"/>
      <c r="NZH6" s="406"/>
      <c r="NZI6" s="406"/>
      <c r="NZJ6" s="406"/>
      <c r="NZK6" s="406"/>
      <c r="NZL6" s="406"/>
      <c r="NZM6" s="406"/>
      <c r="NZN6" s="406"/>
      <c r="NZO6" s="406"/>
      <c r="NZP6" s="406"/>
      <c r="NZQ6" s="406"/>
      <c r="NZR6" s="406"/>
      <c r="NZS6" s="406"/>
      <c r="NZT6" s="406"/>
      <c r="NZU6" s="406"/>
      <c r="NZV6" s="406"/>
      <c r="NZW6" s="406"/>
      <c r="NZX6" s="406"/>
      <c r="NZY6" s="406"/>
      <c r="NZZ6" s="406"/>
      <c r="OAA6" s="406"/>
      <c r="OAB6" s="406"/>
      <c r="OAC6" s="406"/>
      <c r="OAD6" s="406"/>
      <c r="OAE6" s="406"/>
      <c r="OAF6" s="406"/>
      <c r="OAG6" s="406"/>
      <c r="OAH6" s="406"/>
      <c r="OAI6" s="406"/>
      <c r="OAJ6" s="406"/>
      <c r="OAK6" s="406"/>
      <c r="OAL6" s="406"/>
      <c r="OAM6" s="406"/>
      <c r="OAN6" s="406"/>
      <c r="OAO6" s="406"/>
      <c r="OAP6" s="406"/>
      <c r="OAQ6" s="406"/>
      <c r="OAR6" s="406"/>
      <c r="OAS6" s="406"/>
      <c r="OAT6" s="406"/>
      <c r="OAU6" s="406"/>
      <c r="OAV6" s="406"/>
      <c r="OAW6" s="406"/>
      <c r="OAX6" s="406"/>
      <c r="OAY6" s="406"/>
      <c r="OAZ6" s="406"/>
      <c r="OBA6" s="406"/>
      <c r="OBB6" s="406"/>
      <c r="OBC6" s="406"/>
      <c r="OBD6" s="406"/>
      <c r="OBE6" s="406"/>
      <c r="OBF6" s="406"/>
      <c r="OBG6" s="406"/>
      <c r="OBH6" s="406"/>
      <c r="OBI6" s="406"/>
      <c r="OBJ6" s="406"/>
      <c r="OBK6" s="406"/>
      <c r="OBL6" s="406"/>
      <c r="OBM6" s="406"/>
      <c r="OBN6" s="406"/>
      <c r="OBO6" s="406"/>
      <c r="OBP6" s="406"/>
      <c r="OBQ6" s="406"/>
      <c r="OBR6" s="406"/>
      <c r="OBS6" s="406"/>
      <c r="OBT6" s="406"/>
      <c r="OBU6" s="406"/>
      <c r="OBV6" s="406"/>
      <c r="OBW6" s="406"/>
      <c r="OBX6" s="406"/>
      <c r="OBY6" s="406"/>
      <c r="OBZ6" s="406"/>
      <c r="OCA6" s="406"/>
      <c r="OCB6" s="406"/>
      <c r="OCC6" s="406"/>
      <c r="OCD6" s="406"/>
      <c r="OCE6" s="406"/>
      <c r="OCF6" s="406"/>
      <c r="OCG6" s="406"/>
      <c r="OCH6" s="406"/>
      <c r="OCI6" s="406"/>
      <c r="OCJ6" s="406"/>
      <c r="OCK6" s="406"/>
      <c r="OCL6" s="406"/>
      <c r="OCM6" s="406"/>
      <c r="OCN6" s="406"/>
      <c r="OCO6" s="406"/>
      <c r="OCP6" s="406"/>
      <c r="OCQ6" s="406"/>
      <c r="OCR6" s="406"/>
      <c r="OCS6" s="406"/>
      <c r="OCT6" s="406"/>
      <c r="OCU6" s="406"/>
      <c r="OCV6" s="406"/>
      <c r="OCW6" s="406"/>
      <c r="OCX6" s="406"/>
      <c r="OCY6" s="406"/>
      <c r="OCZ6" s="406"/>
      <c r="ODA6" s="406"/>
      <c r="ODB6" s="406"/>
      <c r="ODC6" s="406"/>
      <c r="ODD6" s="406"/>
      <c r="ODE6" s="406"/>
      <c r="ODF6" s="406"/>
      <c r="ODG6" s="406"/>
      <c r="ODH6" s="406"/>
      <c r="ODI6" s="406"/>
      <c r="ODJ6" s="406"/>
      <c r="ODK6" s="406"/>
      <c r="ODL6" s="406"/>
      <c r="ODM6" s="406"/>
      <c r="ODN6" s="406"/>
      <c r="ODO6" s="406"/>
      <c r="ODP6" s="406"/>
      <c r="ODQ6" s="406"/>
      <c r="ODR6" s="406"/>
      <c r="ODS6" s="406"/>
      <c r="ODT6" s="406"/>
      <c r="ODU6" s="406"/>
      <c r="ODV6" s="406"/>
      <c r="ODW6" s="406"/>
      <c r="ODX6" s="406"/>
      <c r="ODY6" s="406"/>
      <c r="ODZ6" s="406"/>
      <c r="OEA6" s="406"/>
      <c r="OEB6" s="406"/>
      <c r="OEC6" s="406"/>
      <c r="OED6" s="406"/>
      <c r="OEE6" s="406"/>
      <c r="OEF6" s="406"/>
      <c r="OEG6" s="406"/>
      <c r="OEH6" s="406"/>
      <c r="OEI6" s="406"/>
      <c r="OEJ6" s="406"/>
      <c r="OEK6" s="406"/>
      <c r="OEL6" s="406"/>
      <c r="OEM6" s="406"/>
      <c r="OEN6" s="406"/>
      <c r="OEO6" s="406"/>
      <c r="OEP6" s="406"/>
      <c r="OEQ6" s="406"/>
      <c r="OER6" s="406"/>
      <c r="OES6" s="406"/>
      <c r="OET6" s="406"/>
      <c r="OEU6" s="406"/>
      <c r="OEV6" s="406"/>
      <c r="OEW6" s="406"/>
      <c r="OEX6" s="406"/>
      <c r="OEY6" s="406"/>
      <c r="OEZ6" s="406"/>
      <c r="OFA6" s="406"/>
      <c r="OFB6" s="406"/>
      <c r="OFC6" s="406"/>
      <c r="OFD6" s="406"/>
      <c r="OFE6" s="406"/>
      <c r="OFF6" s="406"/>
      <c r="OFG6" s="406"/>
      <c r="OFH6" s="406"/>
      <c r="OFI6" s="406"/>
      <c r="OFJ6" s="406"/>
      <c r="OFK6" s="406"/>
      <c r="OFL6" s="406"/>
      <c r="OFM6" s="406"/>
      <c r="OFN6" s="406"/>
      <c r="OFO6" s="406"/>
      <c r="OFP6" s="406"/>
      <c r="OFQ6" s="406"/>
      <c r="OFR6" s="406"/>
      <c r="OFS6" s="406"/>
      <c r="OFT6" s="406"/>
      <c r="OFU6" s="406"/>
      <c r="OFV6" s="406"/>
      <c r="OFW6" s="406"/>
      <c r="OFX6" s="406"/>
      <c r="OFY6" s="406"/>
      <c r="OFZ6" s="406"/>
      <c r="OGA6" s="406"/>
      <c r="OGB6" s="406"/>
      <c r="OGC6" s="406"/>
      <c r="OGD6" s="406"/>
      <c r="OGE6" s="406"/>
      <c r="OGF6" s="406"/>
      <c r="OGG6" s="406"/>
      <c r="OGH6" s="406"/>
      <c r="OGI6" s="406"/>
      <c r="OGJ6" s="406"/>
      <c r="OGK6" s="406"/>
      <c r="OGL6" s="406"/>
      <c r="OGM6" s="406"/>
      <c r="OGN6" s="406"/>
      <c r="OGO6" s="406"/>
      <c r="OGP6" s="406"/>
      <c r="OGQ6" s="406"/>
      <c r="OGR6" s="406"/>
      <c r="OGS6" s="406"/>
      <c r="OGT6" s="406"/>
      <c r="OGU6" s="406"/>
      <c r="OGV6" s="406"/>
      <c r="OGW6" s="406"/>
      <c r="OGX6" s="406"/>
      <c r="OGY6" s="406"/>
      <c r="OGZ6" s="406"/>
      <c r="OHA6" s="406"/>
      <c r="OHB6" s="406"/>
      <c r="OHC6" s="406"/>
      <c r="OHD6" s="406"/>
      <c r="OHE6" s="406"/>
      <c r="OHF6" s="406"/>
      <c r="OHG6" s="406"/>
      <c r="OHH6" s="406"/>
      <c r="OHI6" s="406"/>
      <c r="OHJ6" s="406"/>
      <c r="OHK6" s="406"/>
      <c r="OHL6" s="406"/>
      <c r="OHM6" s="406"/>
      <c r="OHN6" s="406"/>
      <c r="OHO6" s="406"/>
      <c r="OHP6" s="406"/>
      <c r="OHQ6" s="406"/>
      <c r="OHR6" s="406"/>
      <c r="OHS6" s="406"/>
      <c r="OHT6" s="406"/>
      <c r="OHU6" s="406"/>
      <c r="OHV6" s="406"/>
      <c r="OHW6" s="406"/>
      <c r="OHX6" s="406"/>
      <c r="OHY6" s="406"/>
      <c r="OHZ6" s="406"/>
      <c r="OIA6" s="406"/>
      <c r="OIB6" s="406"/>
      <c r="OIC6" s="406"/>
      <c r="OID6" s="406"/>
      <c r="OIE6" s="406"/>
      <c r="OIF6" s="406"/>
      <c r="OIG6" s="406"/>
      <c r="OIH6" s="406"/>
      <c r="OII6" s="406"/>
      <c r="OIJ6" s="406"/>
      <c r="OIK6" s="406"/>
      <c r="OIL6" s="406"/>
      <c r="OIM6" s="406"/>
      <c r="OIN6" s="406"/>
      <c r="OIO6" s="406"/>
      <c r="OIP6" s="406"/>
      <c r="OIQ6" s="406"/>
      <c r="OIR6" s="406"/>
      <c r="OIS6" s="406"/>
      <c r="OIT6" s="406"/>
      <c r="OIU6" s="406"/>
      <c r="OIV6" s="406"/>
      <c r="OIW6" s="406"/>
      <c r="OIX6" s="406"/>
      <c r="OIY6" s="406"/>
      <c r="OIZ6" s="406"/>
      <c r="OJA6" s="406"/>
      <c r="OJB6" s="406"/>
      <c r="OJC6" s="406"/>
      <c r="OJD6" s="406"/>
      <c r="OJE6" s="406"/>
      <c r="OJF6" s="406"/>
      <c r="OJG6" s="406"/>
      <c r="OJH6" s="406"/>
      <c r="OJI6" s="406"/>
      <c r="OJJ6" s="406"/>
      <c r="OJK6" s="406"/>
      <c r="OJL6" s="406"/>
      <c r="OJM6" s="406"/>
      <c r="OJN6" s="406"/>
      <c r="OJO6" s="406"/>
      <c r="OJP6" s="406"/>
      <c r="OJQ6" s="406"/>
      <c r="OJR6" s="406"/>
      <c r="OJS6" s="406"/>
      <c r="OJT6" s="406"/>
      <c r="OJU6" s="406"/>
      <c r="OJV6" s="406"/>
      <c r="OJW6" s="406"/>
      <c r="OJX6" s="406"/>
      <c r="OJY6" s="406"/>
      <c r="OJZ6" s="406"/>
      <c r="OKA6" s="406"/>
      <c r="OKB6" s="406"/>
      <c r="OKC6" s="406"/>
      <c r="OKD6" s="406"/>
      <c r="OKE6" s="406"/>
      <c r="OKF6" s="406"/>
      <c r="OKG6" s="406"/>
      <c r="OKH6" s="406"/>
      <c r="OKI6" s="406"/>
      <c r="OKJ6" s="406"/>
      <c r="OKK6" s="406"/>
      <c r="OKL6" s="406"/>
      <c r="OKM6" s="406"/>
      <c r="OKN6" s="406"/>
      <c r="OKO6" s="406"/>
      <c r="OKP6" s="406"/>
      <c r="OKQ6" s="406"/>
      <c r="OKR6" s="406"/>
      <c r="OKS6" s="406"/>
      <c r="OKT6" s="406"/>
      <c r="OKU6" s="406"/>
      <c r="OKV6" s="406"/>
      <c r="OKW6" s="406"/>
      <c r="OKX6" s="406"/>
      <c r="OKY6" s="406"/>
      <c r="OKZ6" s="406"/>
      <c r="OLA6" s="406"/>
      <c r="OLB6" s="406"/>
      <c r="OLC6" s="406"/>
      <c r="OLD6" s="406"/>
      <c r="OLE6" s="406"/>
      <c r="OLF6" s="406"/>
      <c r="OLG6" s="406"/>
      <c r="OLH6" s="406"/>
      <c r="OLI6" s="406"/>
      <c r="OLJ6" s="406"/>
      <c r="OLK6" s="406"/>
      <c r="OLL6" s="406"/>
      <c r="OLM6" s="406"/>
      <c r="OLN6" s="406"/>
      <c r="OLO6" s="406"/>
      <c r="OLP6" s="406"/>
      <c r="OLQ6" s="406"/>
      <c r="OLR6" s="406"/>
      <c r="OLS6" s="406"/>
      <c r="OLT6" s="406"/>
      <c r="OLU6" s="406"/>
      <c r="OLV6" s="406"/>
      <c r="OLW6" s="406"/>
      <c r="OLX6" s="406"/>
      <c r="OLY6" s="406"/>
      <c r="OLZ6" s="406"/>
      <c r="OMA6" s="406"/>
      <c r="OMB6" s="406"/>
      <c r="OMC6" s="406"/>
      <c r="OMD6" s="406"/>
      <c r="OME6" s="406"/>
      <c r="OMF6" s="406"/>
      <c r="OMG6" s="406"/>
      <c r="OMH6" s="406"/>
      <c r="OMI6" s="406"/>
      <c r="OMJ6" s="406"/>
      <c r="OMK6" s="406"/>
      <c r="OML6" s="406"/>
      <c r="OMM6" s="406"/>
      <c r="OMN6" s="406"/>
      <c r="OMO6" s="406"/>
      <c r="OMP6" s="406"/>
      <c r="OMQ6" s="406"/>
      <c r="OMR6" s="406"/>
      <c r="OMS6" s="406"/>
      <c r="OMT6" s="406"/>
      <c r="OMU6" s="406"/>
      <c r="OMV6" s="406"/>
      <c r="OMW6" s="406"/>
      <c r="OMX6" s="406"/>
      <c r="OMY6" s="406"/>
      <c r="OMZ6" s="406"/>
      <c r="ONA6" s="406"/>
      <c r="ONB6" s="406"/>
      <c r="ONC6" s="406"/>
      <c r="OND6" s="406"/>
      <c r="ONE6" s="406"/>
      <c r="ONF6" s="406"/>
      <c r="ONG6" s="406"/>
      <c r="ONH6" s="406"/>
      <c r="ONI6" s="406"/>
      <c r="ONJ6" s="406"/>
      <c r="ONK6" s="406"/>
      <c r="ONL6" s="406"/>
      <c r="ONM6" s="406"/>
      <c r="ONN6" s="406"/>
      <c r="ONO6" s="406"/>
      <c r="ONP6" s="406"/>
      <c r="ONQ6" s="406"/>
      <c r="ONR6" s="406"/>
      <c r="ONS6" s="406"/>
      <c r="ONT6" s="406"/>
      <c r="ONU6" s="406"/>
      <c r="ONV6" s="406"/>
      <c r="ONW6" s="406"/>
      <c r="ONX6" s="406"/>
      <c r="ONY6" s="406"/>
      <c r="ONZ6" s="406"/>
      <c r="OOA6" s="406"/>
      <c r="OOB6" s="406"/>
      <c r="OOC6" s="406"/>
      <c r="OOD6" s="406"/>
      <c r="OOE6" s="406"/>
      <c r="OOF6" s="406"/>
      <c r="OOG6" s="406"/>
      <c r="OOH6" s="406"/>
      <c r="OOI6" s="406"/>
      <c r="OOJ6" s="406"/>
      <c r="OOK6" s="406"/>
      <c r="OOL6" s="406"/>
      <c r="OOM6" s="406"/>
      <c r="OON6" s="406"/>
      <c r="OOO6" s="406"/>
      <c r="OOP6" s="406"/>
      <c r="OOQ6" s="406"/>
      <c r="OOR6" s="406"/>
      <c r="OOS6" s="406"/>
      <c r="OOT6" s="406"/>
      <c r="OOU6" s="406"/>
      <c r="OOV6" s="406"/>
      <c r="OOW6" s="406"/>
      <c r="OOX6" s="406"/>
      <c r="OOY6" s="406"/>
      <c r="OOZ6" s="406"/>
      <c r="OPA6" s="406"/>
      <c r="OPB6" s="406"/>
      <c r="OPC6" s="406"/>
      <c r="OPD6" s="406"/>
      <c r="OPE6" s="406"/>
      <c r="OPF6" s="406"/>
      <c r="OPG6" s="406"/>
      <c r="OPH6" s="406"/>
      <c r="OPI6" s="406"/>
      <c r="OPJ6" s="406"/>
      <c r="OPK6" s="406"/>
      <c r="OPL6" s="406"/>
      <c r="OPM6" s="406"/>
      <c r="OPN6" s="406"/>
      <c r="OPO6" s="406"/>
      <c r="OPP6" s="406"/>
      <c r="OPQ6" s="406"/>
      <c r="OPR6" s="406"/>
      <c r="OPS6" s="406"/>
      <c r="OPT6" s="406"/>
      <c r="OPU6" s="406"/>
      <c r="OPV6" s="406"/>
      <c r="OPW6" s="406"/>
      <c r="OPX6" s="406"/>
      <c r="OPY6" s="406"/>
      <c r="OPZ6" s="406"/>
      <c r="OQA6" s="406"/>
      <c r="OQB6" s="406"/>
      <c r="OQC6" s="406"/>
      <c r="OQD6" s="406"/>
      <c r="OQE6" s="406"/>
      <c r="OQF6" s="406"/>
      <c r="OQG6" s="406"/>
      <c r="OQH6" s="406"/>
      <c r="OQI6" s="406"/>
      <c r="OQJ6" s="406"/>
      <c r="OQK6" s="406"/>
      <c r="OQL6" s="406"/>
      <c r="OQM6" s="406"/>
      <c r="OQN6" s="406"/>
      <c r="OQO6" s="406"/>
      <c r="OQP6" s="406"/>
      <c r="OQQ6" s="406"/>
      <c r="OQR6" s="406"/>
      <c r="OQS6" s="406"/>
      <c r="OQT6" s="406"/>
      <c r="OQU6" s="406"/>
      <c r="OQV6" s="406"/>
      <c r="OQW6" s="406"/>
      <c r="OQX6" s="406"/>
      <c r="OQY6" s="406"/>
      <c r="OQZ6" s="406"/>
      <c r="ORA6" s="406"/>
      <c r="ORB6" s="406"/>
      <c r="ORC6" s="406"/>
      <c r="ORD6" s="406"/>
      <c r="ORE6" s="406"/>
      <c r="ORF6" s="406"/>
      <c r="ORG6" s="406"/>
      <c r="ORH6" s="406"/>
      <c r="ORI6" s="406"/>
      <c r="ORJ6" s="406"/>
      <c r="ORK6" s="406"/>
      <c r="ORL6" s="406"/>
      <c r="ORM6" s="406"/>
      <c r="ORN6" s="406"/>
      <c r="ORO6" s="406"/>
      <c r="ORP6" s="406"/>
      <c r="ORQ6" s="406"/>
      <c r="ORR6" s="406"/>
      <c r="ORS6" s="406"/>
      <c r="ORT6" s="406"/>
      <c r="ORU6" s="406"/>
      <c r="ORV6" s="406"/>
      <c r="ORW6" s="406"/>
      <c r="ORX6" s="406"/>
      <c r="ORY6" s="406"/>
      <c r="ORZ6" s="406"/>
      <c r="OSA6" s="406"/>
      <c r="OSB6" s="406"/>
      <c r="OSC6" s="406"/>
      <c r="OSD6" s="406"/>
      <c r="OSE6" s="406"/>
      <c r="OSF6" s="406"/>
      <c r="OSG6" s="406"/>
      <c r="OSH6" s="406"/>
      <c r="OSI6" s="406"/>
      <c r="OSJ6" s="406"/>
      <c r="OSK6" s="406"/>
      <c r="OSL6" s="406"/>
      <c r="OSM6" s="406"/>
      <c r="OSN6" s="406"/>
      <c r="OSO6" s="406"/>
      <c r="OSP6" s="406"/>
      <c r="OSQ6" s="406"/>
      <c r="OSR6" s="406"/>
      <c r="OSS6" s="406"/>
      <c r="OST6" s="406"/>
      <c r="OSU6" s="406"/>
      <c r="OSV6" s="406"/>
      <c r="OSW6" s="406"/>
      <c r="OSX6" s="406"/>
      <c r="OSY6" s="406"/>
      <c r="OSZ6" s="406"/>
      <c r="OTA6" s="406"/>
      <c r="OTB6" s="406"/>
      <c r="OTC6" s="406"/>
      <c r="OTD6" s="406"/>
      <c r="OTE6" s="406"/>
      <c r="OTF6" s="406"/>
      <c r="OTG6" s="406"/>
      <c r="OTH6" s="406"/>
      <c r="OTI6" s="406"/>
      <c r="OTJ6" s="406"/>
      <c r="OTK6" s="406"/>
      <c r="OTL6" s="406"/>
      <c r="OTM6" s="406"/>
      <c r="OTN6" s="406"/>
      <c r="OTO6" s="406"/>
      <c r="OTP6" s="406"/>
      <c r="OTQ6" s="406"/>
      <c r="OTR6" s="406"/>
      <c r="OTS6" s="406"/>
      <c r="OTT6" s="406"/>
      <c r="OTU6" s="406"/>
      <c r="OTV6" s="406"/>
      <c r="OTW6" s="406"/>
      <c r="OTX6" s="406"/>
      <c r="OTY6" s="406"/>
      <c r="OTZ6" s="406"/>
      <c r="OUA6" s="406"/>
      <c r="OUB6" s="406"/>
      <c r="OUC6" s="406"/>
      <c r="OUD6" s="406"/>
      <c r="OUE6" s="406"/>
      <c r="OUF6" s="406"/>
      <c r="OUG6" s="406"/>
      <c r="OUH6" s="406"/>
      <c r="OUI6" s="406"/>
      <c r="OUJ6" s="406"/>
      <c r="OUK6" s="406"/>
      <c r="OUL6" s="406"/>
      <c r="OUM6" s="406"/>
      <c r="OUN6" s="406"/>
      <c r="OUO6" s="406"/>
      <c r="OUP6" s="406"/>
      <c r="OUQ6" s="406"/>
      <c r="OUR6" s="406"/>
      <c r="OUS6" s="406"/>
      <c r="OUT6" s="406"/>
      <c r="OUU6" s="406"/>
      <c r="OUV6" s="406"/>
      <c r="OUW6" s="406"/>
      <c r="OUX6" s="406"/>
      <c r="OUY6" s="406"/>
      <c r="OUZ6" s="406"/>
      <c r="OVA6" s="406"/>
      <c r="OVB6" s="406"/>
      <c r="OVC6" s="406"/>
      <c r="OVD6" s="406"/>
      <c r="OVE6" s="406"/>
      <c r="OVF6" s="406"/>
      <c r="OVG6" s="406"/>
      <c r="OVH6" s="406"/>
      <c r="OVI6" s="406"/>
      <c r="OVJ6" s="406"/>
      <c r="OVK6" s="406"/>
      <c r="OVL6" s="406"/>
      <c r="OVM6" s="406"/>
      <c r="OVN6" s="406"/>
      <c r="OVO6" s="406"/>
      <c r="OVP6" s="406"/>
      <c r="OVQ6" s="406"/>
      <c r="OVR6" s="406"/>
      <c r="OVS6" s="406"/>
      <c r="OVT6" s="406"/>
      <c r="OVU6" s="406"/>
      <c r="OVV6" s="406"/>
      <c r="OVW6" s="406"/>
      <c r="OVX6" s="406"/>
      <c r="OVY6" s="406"/>
      <c r="OVZ6" s="406"/>
      <c r="OWA6" s="406"/>
      <c r="OWB6" s="406"/>
      <c r="OWC6" s="406"/>
      <c r="OWD6" s="406"/>
      <c r="OWE6" s="406"/>
      <c r="OWF6" s="406"/>
      <c r="OWG6" s="406"/>
      <c r="OWH6" s="406"/>
      <c r="OWI6" s="406"/>
      <c r="OWJ6" s="406"/>
      <c r="OWK6" s="406"/>
      <c r="OWL6" s="406"/>
      <c r="OWM6" s="406"/>
      <c r="OWN6" s="406"/>
      <c r="OWO6" s="406"/>
      <c r="OWP6" s="406"/>
      <c r="OWQ6" s="406"/>
      <c r="OWR6" s="406"/>
      <c r="OWS6" s="406"/>
      <c r="OWT6" s="406"/>
      <c r="OWU6" s="406"/>
      <c r="OWV6" s="406"/>
      <c r="OWW6" s="406"/>
      <c r="OWX6" s="406"/>
      <c r="OWY6" s="406"/>
      <c r="OWZ6" s="406"/>
      <c r="OXA6" s="406"/>
      <c r="OXB6" s="406"/>
      <c r="OXC6" s="406"/>
      <c r="OXD6" s="406"/>
      <c r="OXE6" s="406"/>
      <c r="OXF6" s="406"/>
      <c r="OXG6" s="406"/>
      <c r="OXH6" s="406"/>
      <c r="OXI6" s="406"/>
      <c r="OXJ6" s="406"/>
      <c r="OXK6" s="406"/>
      <c r="OXL6" s="406"/>
      <c r="OXM6" s="406"/>
      <c r="OXN6" s="406"/>
      <c r="OXO6" s="406"/>
      <c r="OXP6" s="406"/>
      <c r="OXQ6" s="406"/>
      <c r="OXR6" s="406"/>
      <c r="OXS6" s="406"/>
      <c r="OXT6" s="406"/>
      <c r="OXU6" s="406"/>
      <c r="OXV6" s="406"/>
      <c r="OXW6" s="406"/>
      <c r="OXX6" s="406"/>
      <c r="OXY6" s="406"/>
      <c r="OXZ6" s="406"/>
      <c r="OYA6" s="406"/>
      <c r="OYB6" s="406"/>
      <c r="OYC6" s="406"/>
      <c r="OYD6" s="406"/>
      <c r="OYE6" s="406"/>
      <c r="OYF6" s="406"/>
      <c r="OYG6" s="406"/>
      <c r="OYH6" s="406"/>
      <c r="OYI6" s="406"/>
      <c r="OYJ6" s="406"/>
      <c r="OYK6" s="406"/>
      <c r="OYL6" s="406"/>
      <c r="OYM6" s="406"/>
      <c r="OYN6" s="406"/>
      <c r="OYO6" s="406"/>
      <c r="OYP6" s="406"/>
      <c r="OYQ6" s="406"/>
      <c r="OYR6" s="406"/>
      <c r="OYS6" s="406"/>
      <c r="OYT6" s="406"/>
      <c r="OYU6" s="406"/>
      <c r="OYV6" s="406"/>
      <c r="OYW6" s="406"/>
      <c r="OYX6" s="406"/>
      <c r="OYY6" s="406"/>
      <c r="OYZ6" s="406"/>
      <c r="OZA6" s="406"/>
      <c r="OZB6" s="406"/>
      <c r="OZC6" s="406"/>
      <c r="OZD6" s="406"/>
      <c r="OZE6" s="406"/>
      <c r="OZF6" s="406"/>
      <c r="OZG6" s="406"/>
      <c r="OZH6" s="406"/>
      <c r="OZI6" s="406"/>
      <c r="OZJ6" s="406"/>
      <c r="OZK6" s="406"/>
      <c r="OZL6" s="406"/>
      <c r="OZM6" s="406"/>
      <c r="OZN6" s="406"/>
      <c r="OZO6" s="406"/>
      <c r="OZP6" s="406"/>
      <c r="OZQ6" s="406"/>
      <c r="OZR6" s="406"/>
      <c r="OZS6" s="406"/>
      <c r="OZT6" s="406"/>
      <c r="OZU6" s="406"/>
      <c r="OZV6" s="406"/>
      <c r="OZW6" s="406"/>
      <c r="OZX6" s="406"/>
      <c r="OZY6" s="406"/>
      <c r="OZZ6" s="406"/>
      <c r="PAA6" s="406"/>
      <c r="PAB6" s="406"/>
      <c r="PAC6" s="406"/>
      <c r="PAD6" s="406"/>
      <c r="PAE6" s="406"/>
      <c r="PAF6" s="406"/>
      <c r="PAG6" s="406"/>
      <c r="PAH6" s="406"/>
      <c r="PAI6" s="406"/>
      <c r="PAJ6" s="406"/>
      <c r="PAK6" s="406"/>
      <c r="PAL6" s="406"/>
      <c r="PAM6" s="406"/>
      <c r="PAN6" s="406"/>
      <c r="PAO6" s="406"/>
      <c r="PAP6" s="406"/>
      <c r="PAQ6" s="406"/>
      <c r="PAR6" s="406"/>
      <c r="PAS6" s="406"/>
      <c r="PAT6" s="406"/>
      <c r="PAU6" s="406"/>
      <c r="PAV6" s="406"/>
      <c r="PAW6" s="406"/>
      <c r="PAX6" s="406"/>
      <c r="PAY6" s="406"/>
      <c r="PAZ6" s="406"/>
      <c r="PBA6" s="406"/>
      <c r="PBB6" s="406"/>
      <c r="PBC6" s="406"/>
      <c r="PBD6" s="406"/>
      <c r="PBE6" s="406"/>
      <c r="PBF6" s="406"/>
      <c r="PBG6" s="406"/>
      <c r="PBH6" s="406"/>
      <c r="PBI6" s="406"/>
      <c r="PBJ6" s="406"/>
      <c r="PBK6" s="406"/>
      <c r="PBL6" s="406"/>
      <c r="PBM6" s="406"/>
      <c r="PBN6" s="406"/>
      <c r="PBO6" s="406"/>
      <c r="PBP6" s="406"/>
      <c r="PBQ6" s="406"/>
      <c r="PBR6" s="406"/>
      <c r="PBS6" s="406"/>
      <c r="PBT6" s="406"/>
      <c r="PBU6" s="406"/>
      <c r="PBV6" s="406"/>
      <c r="PBW6" s="406"/>
      <c r="PBX6" s="406"/>
      <c r="PBY6" s="406"/>
      <c r="PBZ6" s="406"/>
      <c r="PCA6" s="406"/>
      <c r="PCB6" s="406"/>
      <c r="PCC6" s="406"/>
      <c r="PCD6" s="406"/>
      <c r="PCE6" s="406"/>
      <c r="PCF6" s="406"/>
      <c r="PCG6" s="406"/>
      <c r="PCH6" s="406"/>
      <c r="PCI6" s="406"/>
      <c r="PCJ6" s="406"/>
      <c r="PCK6" s="406"/>
      <c r="PCL6" s="406"/>
      <c r="PCM6" s="406"/>
      <c r="PCN6" s="406"/>
      <c r="PCO6" s="406"/>
      <c r="PCP6" s="406"/>
      <c r="PCQ6" s="406"/>
      <c r="PCR6" s="406"/>
      <c r="PCS6" s="406"/>
      <c r="PCT6" s="406"/>
      <c r="PCU6" s="406"/>
      <c r="PCV6" s="406"/>
      <c r="PCW6" s="406"/>
      <c r="PCX6" s="406"/>
      <c r="PCY6" s="406"/>
      <c r="PCZ6" s="406"/>
      <c r="PDA6" s="406"/>
      <c r="PDB6" s="406"/>
      <c r="PDC6" s="406"/>
      <c r="PDD6" s="406"/>
      <c r="PDE6" s="406"/>
      <c r="PDF6" s="406"/>
      <c r="PDG6" s="406"/>
      <c r="PDH6" s="406"/>
      <c r="PDI6" s="406"/>
      <c r="PDJ6" s="406"/>
      <c r="PDK6" s="406"/>
      <c r="PDL6" s="406"/>
      <c r="PDM6" s="406"/>
      <c r="PDN6" s="406"/>
      <c r="PDO6" s="406"/>
      <c r="PDP6" s="406"/>
      <c r="PDQ6" s="406"/>
      <c r="PDR6" s="406"/>
      <c r="PDS6" s="406"/>
      <c r="PDT6" s="406"/>
      <c r="PDU6" s="406"/>
      <c r="PDV6" s="406"/>
      <c r="PDW6" s="406"/>
      <c r="PDX6" s="406"/>
      <c r="PDY6" s="406"/>
      <c r="PDZ6" s="406"/>
      <c r="PEA6" s="406"/>
      <c r="PEB6" s="406"/>
      <c r="PEC6" s="406"/>
      <c r="PED6" s="406"/>
      <c r="PEE6" s="406"/>
      <c r="PEF6" s="406"/>
      <c r="PEG6" s="406"/>
      <c r="PEH6" s="406"/>
      <c r="PEI6" s="406"/>
      <c r="PEJ6" s="406"/>
      <c r="PEK6" s="406"/>
      <c r="PEL6" s="406"/>
      <c r="PEM6" s="406"/>
      <c r="PEN6" s="406"/>
      <c r="PEO6" s="406"/>
      <c r="PEP6" s="406"/>
      <c r="PEQ6" s="406"/>
      <c r="PER6" s="406"/>
      <c r="PES6" s="406"/>
      <c r="PET6" s="406"/>
      <c r="PEU6" s="406"/>
      <c r="PEV6" s="406"/>
      <c r="PEW6" s="406"/>
      <c r="PEX6" s="406"/>
      <c r="PEY6" s="406"/>
      <c r="PEZ6" s="406"/>
      <c r="PFA6" s="406"/>
      <c r="PFB6" s="406"/>
      <c r="PFC6" s="406"/>
      <c r="PFD6" s="406"/>
      <c r="PFE6" s="406"/>
      <c r="PFF6" s="406"/>
      <c r="PFG6" s="406"/>
      <c r="PFH6" s="406"/>
      <c r="PFI6" s="406"/>
      <c r="PFJ6" s="406"/>
      <c r="PFK6" s="406"/>
      <c r="PFL6" s="406"/>
      <c r="PFM6" s="406"/>
      <c r="PFN6" s="406"/>
      <c r="PFO6" s="406"/>
      <c r="PFP6" s="406"/>
      <c r="PFQ6" s="406"/>
      <c r="PFR6" s="406"/>
      <c r="PFS6" s="406"/>
      <c r="PFT6" s="406"/>
      <c r="PFU6" s="406"/>
      <c r="PFV6" s="406"/>
      <c r="PFW6" s="406"/>
      <c r="PFX6" s="406"/>
      <c r="PFY6" s="406"/>
      <c r="PFZ6" s="406"/>
      <c r="PGA6" s="406"/>
      <c r="PGB6" s="406"/>
      <c r="PGC6" s="406"/>
      <c r="PGD6" s="406"/>
      <c r="PGE6" s="406"/>
      <c r="PGF6" s="406"/>
      <c r="PGG6" s="406"/>
      <c r="PGH6" s="406"/>
      <c r="PGI6" s="406"/>
      <c r="PGJ6" s="406"/>
      <c r="PGK6" s="406"/>
      <c r="PGL6" s="406"/>
      <c r="PGM6" s="406"/>
      <c r="PGN6" s="406"/>
      <c r="PGO6" s="406"/>
      <c r="PGP6" s="406"/>
      <c r="PGQ6" s="406"/>
      <c r="PGR6" s="406"/>
      <c r="PGS6" s="406"/>
      <c r="PGT6" s="406"/>
      <c r="PGU6" s="406"/>
      <c r="PGV6" s="406"/>
      <c r="PGW6" s="406"/>
      <c r="PGX6" s="406"/>
      <c r="PGY6" s="406"/>
      <c r="PGZ6" s="406"/>
      <c r="PHA6" s="406"/>
      <c r="PHB6" s="406"/>
      <c r="PHC6" s="406"/>
      <c r="PHD6" s="406"/>
      <c r="PHE6" s="406"/>
      <c r="PHF6" s="406"/>
      <c r="PHG6" s="406"/>
      <c r="PHH6" s="406"/>
      <c r="PHI6" s="406"/>
      <c r="PHJ6" s="406"/>
      <c r="PHK6" s="406"/>
      <c r="PHL6" s="406"/>
      <c r="PHM6" s="406"/>
      <c r="PHN6" s="406"/>
      <c r="PHO6" s="406"/>
      <c r="PHP6" s="406"/>
      <c r="PHQ6" s="406"/>
      <c r="PHR6" s="406"/>
      <c r="PHS6" s="406"/>
      <c r="PHT6" s="406"/>
      <c r="PHU6" s="406"/>
      <c r="PHV6" s="406"/>
      <c r="PHW6" s="406"/>
      <c r="PHX6" s="406"/>
      <c r="PHY6" s="406"/>
      <c r="PHZ6" s="406"/>
      <c r="PIA6" s="406"/>
      <c r="PIB6" s="406"/>
      <c r="PIC6" s="406"/>
      <c r="PID6" s="406"/>
      <c r="PIE6" s="406"/>
      <c r="PIF6" s="406"/>
      <c r="PIG6" s="406"/>
      <c r="PIH6" s="406"/>
      <c r="PII6" s="406"/>
      <c r="PIJ6" s="406"/>
      <c r="PIK6" s="406"/>
      <c r="PIL6" s="406"/>
      <c r="PIM6" s="406"/>
      <c r="PIN6" s="406"/>
      <c r="PIO6" s="406"/>
      <c r="PIP6" s="406"/>
      <c r="PIQ6" s="406"/>
      <c r="PIR6" s="406"/>
      <c r="PIS6" s="406"/>
      <c r="PIT6" s="406"/>
      <c r="PIU6" s="406"/>
      <c r="PIV6" s="406"/>
      <c r="PIW6" s="406"/>
      <c r="PIX6" s="406"/>
      <c r="PIY6" s="406"/>
      <c r="PIZ6" s="406"/>
      <c r="PJA6" s="406"/>
      <c r="PJB6" s="406"/>
      <c r="PJC6" s="406"/>
      <c r="PJD6" s="406"/>
      <c r="PJE6" s="406"/>
      <c r="PJF6" s="406"/>
      <c r="PJG6" s="406"/>
      <c r="PJH6" s="406"/>
      <c r="PJI6" s="406"/>
      <c r="PJJ6" s="406"/>
      <c r="PJK6" s="406"/>
      <c r="PJL6" s="406"/>
      <c r="PJM6" s="406"/>
      <c r="PJN6" s="406"/>
      <c r="PJO6" s="406"/>
      <c r="PJP6" s="406"/>
      <c r="PJQ6" s="406"/>
      <c r="PJR6" s="406"/>
      <c r="PJS6" s="406"/>
      <c r="PJT6" s="406"/>
      <c r="PJU6" s="406"/>
      <c r="PJV6" s="406"/>
      <c r="PJW6" s="406"/>
      <c r="PJX6" s="406"/>
      <c r="PJY6" s="406"/>
      <c r="PJZ6" s="406"/>
      <c r="PKA6" s="406"/>
      <c r="PKB6" s="406"/>
      <c r="PKC6" s="406"/>
      <c r="PKD6" s="406"/>
      <c r="PKE6" s="406"/>
      <c r="PKF6" s="406"/>
      <c r="PKG6" s="406"/>
      <c r="PKH6" s="406"/>
      <c r="PKI6" s="406"/>
      <c r="PKJ6" s="406"/>
      <c r="PKK6" s="406"/>
      <c r="PKL6" s="406"/>
      <c r="PKM6" s="406"/>
      <c r="PKN6" s="406"/>
      <c r="PKO6" s="406"/>
      <c r="PKP6" s="406"/>
      <c r="PKQ6" s="406"/>
      <c r="PKR6" s="406"/>
      <c r="PKS6" s="406"/>
      <c r="PKT6" s="406"/>
      <c r="PKU6" s="406"/>
      <c r="PKV6" s="406"/>
      <c r="PKW6" s="406"/>
      <c r="PKX6" s="406"/>
      <c r="PKY6" s="406"/>
      <c r="PKZ6" s="406"/>
      <c r="PLA6" s="406"/>
      <c r="PLB6" s="406"/>
      <c r="PLC6" s="406"/>
      <c r="PLD6" s="406"/>
      <c r="PLE6" s="406"/>
      <c r="PLF6" s="406"/>
      <c r="PLG6" s="406"/>
      <c r="PLH6" s="406"/>
      <c r="PLI6" s="406"/>
      <c r="PLJ6" s="406"/>
      <c r="PLK6" s="406"/>
      <c r="PLL6" s="406"/>
      <c r="PLM6" s="406"/>
      <c r="PLN6" s="406"/>
      <c r="PLO6" s="406"/>
      <c r="PLP6" s="406"/>
      <c r="PLQ6" s="406"/>
      <c r="PLR6" s="406"/>
      <c r="PLS6" s="406"/>
      <c r="PLT6" s="406"/>
      <c r="PLU6" s="406"/>
      <c r="PLV6" s="406"/>
      <c r="PLW6" s="406"/>
      <c r="PLX6" s="406"/>
      <c r="PLY6" s="406"/>
      <c r="PLZ6" s="406"/>
      <c r="PMA6" s="406"/>
      <c r="PMB6" s="406"/>
      <c r="PMC6" s="406"/>
      <c r="PMD6" s="406"/>
      <c r="PME6" s="406"/>
      <c r="PMF6" s="406"/>
      <c r="PMG6" s="406"/>
      <c r="PMH6" s="406"/>
      <c r="PMI6" s="406"/>
      <c r="PMJ6" s="406"/>
      <c r="PMK6" s="406"/>
      <c r="PML6" s="406"/>
      <c r="PMM6" s="406"/>
      <c r="PMN6" s="406"/>
      <c r="PMO6" s="406"/>
      <c r="PMP6" s="406"/>
      <c r="PMQ6" s="406"/>
      <c r="PMR6" s="406"/>
      <c r="PMS6" s="406"/>
      <c r="PMT6" s="406"/>
      <c r="PMU6" s="406"/>
      <c r="PMV6" s="406"/>
      <c r="PMW6" s="406"/>
      <c r="PMX6" s="406"/>
      <c r="PMY6" s="406"/>
      <c r="PMZ6" s="406"/>
      <c r="PNA6" s="406"/>
      <c r="PNB6" s="406"/>
      <c r="PNC6" s="406"/>
      <c r="PND6" s="406"/>
      <c r="PNE6" s="406"/>
      <c r="PNF6" s="406"/>
      <c r="PNG6" s="406"/>
      <c r="PNH6" s="406"/>
      <c r="PNI6" s="406"/>
      <c r="PNJ6" s="406"/>
      <c r="PNK6" s="406"/>
      <c r="PNL6" s="406"/>
      <c r="PNM6" s="406"/>
      <c r="PNN6" s="406"/>
      <c r="PNO6" s="406"/>
      <c r="PNP6" s="406"/>
      <c r="PNQ6" s="406"/>
      <c r="PNR6" s="406"/>
      <c r="PNS6" s="406"/>
      <c r="PNT6" s="406"/>
      <c r="PNU6" s="406"/>
      <c r="PNV6" s="406"/>
      <c r="PNW6" s="406"/>
      <c r="PNX6" s="406"/>
      <c r="PNY6" s="406"/>
      <c r="PNZ6" s="406"/>
      <c r="POA6" s="406"/>
      <c r="POB6" s="406"/>
      <c r="POC6" s="406"/>
      <c r="POD6" s="406"/>
      <c r="POE6" s="406"/>
      <c r="POF6" s="406"/>
      <c r="POG6" s="406"/>
      <c r="POH6" s="406"/>
      <c r="POI6" s="406"/>
      <c r="POJ6" s="406"/>
      <c r="POK6" s="406"/>
      <c r="POL6" s="406"/>
      <c r="POM6" s="406"/>
      <c r="PON6" s="406"/>
      <c r="POO6" s="406"/>
      <c r="POP6" s="406"/>
      <c r="POQ6" s="406"/>
      <c r="POR6" s="406"/>
      <c r="POS6" s="406"/>
      <c r="POT6" s="406"/>
      <c r="POU6" s="406"/>
      <c r="POV6" s="406"/>
      <c r="POW6" s="406"/>
      <c r="POX6" s="406"/>
      <c r="POY6" s="406"/>
      <c r="POZ6" s="406"/>
      <c r="PPA6" s="406"/>
      <c r="PPB6" s="406"/>
      <c r="PPC6" s="406"/>
      <c r="PPD6" s="406"/>
      <c r="PPE6" s="406"/>
      <c r="PPF6" s="406"/>
      <c r="PPG6" s="406"/>
      <c r="PPH6" s="406"/>
      <c r="PPI6" s="406"/>
      <c r="PPJ6" s="406"/>
      <c r="PPK6" s="406"/>
      <c r="PPL6" s="406"/>
      <c r="PPM6" s="406"/>
      <c r="PPN6" s="406"/>
      <c r="PPO6" s="406"/>
      <c r="PPP6" s="406"/>
      <c r="PPQ6" s="406"/>
      <c r="PPR6" s="406"/>
      <c r="PPS6" s="406"/>
      <c r="PPT6" s="406"/>
      <c r="PPU6" s="406"/>
      <c r="PPV6" s="406"/>
      <c r="PPW6" s="406"/>
      <c r="PPX6" s="406"/>
      <c r="PPY6" s="406"/>
      <c r="PPZ6" s="406"/>
      <c r="PQA6" s="406"/>
      <c r="PQB6" s="406"/>
      <c r="PQC6" s="406"/>
      <c r="PQD6" s="406"/>
      <c r="PQE6" s="406"/>
      <c r="PQF6" s="406"/>
      <c r="PQG6" s="406"/>
      <c r="PQH6" s="406"/>
      <c r="PQI6" s="406"/>
      <c r="PQJ6" s="406"/>
      <c r="PQK6" s="406"/>
      <c r="PQL6" s="406"/>
      <c r="PQM6" s="406"/>
      <c r="PQN6" s="406"/>
      <c r="PQO6" s="406"/>
      <c r="PQP6" s="406"/>
      <c r="PQQ6" s="406"/>
      <c r="PQR6" s="406"/>
      <c r="PQS6" s="406"/>
      <c r="PQT6" s="406"/>
      <c r="PQU6" s="406"/>
      <c r="PQV6" s="406"/>
      <c r="PQW6" s="406"/>
      <c r="PQX6" s="406"/>
      <c r="PQY6" s="406"/>
      <c r="PQZ6" s="406"/>
      <c r="PRA6" s="406"/>
      <c r="PRB6" s="406"/>
      <c r="PRC6" s="406"/>
      <c r="PRD6" s="406"/>
      <c r="PRE6" s="406"/>
      <c r="PRF6" s="406"/>
      <c r="PRG6" s="406"/>
      <c r="PRH6" s="406"/>
      <c r="PRI6" s="406"/>
      <c r="PRJ6" s="406"/>
      <c r="PRK6" s="406"/>
      <c r="PRL6" s="406"/>
      <c r="PRM6" s="406"/>
      <c r="PRN6" s="406"/>
      <c r="PRO6" s="406"/>
      <c r="PRP6" s="406"/>
      <c r="PRQ6" s="406"/>
      <c r="PRR6" s="406"/>
      <c r="PRS6" s="406"/>
      <c r="PRT6" s="406"/>
      <c r="PRU6" s="406"/>
      <c r="PRV6" s="406"/>
      <c r="PRW6" s="406"/>
      <c r="PRX6" s="406"/>
      <c r="PRY6" s="406"/>
      <c r="PRZ6" s="406"/>
      <c r="PSA6" s="406"/>
      <c r="PSB6" s="406"/>
      <c r="PSC6" s="406"/>
      <c r="PSD6" s="406"/>
      <c r="PSE6" s="406"/>
      <c r="PSF6" s="406"/>
      <c r="PSG6" s="406"/>
      <c r="PSH6" s="406"/>
      <c r="PSI6" s="406"/>
      <c r="PSJ6" s="406"/>
      <c r="PSK6" s="406"/>
      <c r="PSL6" s="406"/>
      <c r="PSM6" s="406"/>
      <c r="PSN6" s="406"/>
      <c r="PSO6" s="406"/>
      <c r="PSP6" s="406"/>
      <c r="PSQ6" s="406"/>
      <c r="PSR6" s="406"/>
      <c r="PSS6" s="406"/>
      <c r="PST6" s="406"/>
      <c r="PSU6" s="406"/>
      <c r="PSV6" s="406"/>
      <c r="PSW6" s="406"/>
      <c r="PSX6" s="406"/>
      <c r="PSY6" s="406"/>
      <c r="PSZ6" s="406"/>
      <c r="PTA6" s="406"/>
      <c r="PTB6" s="406"/>
      <c r="PTC6" s="406"/>
      <c r="PTD6" s="406"/>
      <c r="PTE6" s="406"/>
      <c r="PTF6" s="406"/>
      <c r="PTG6" s="406"/>
      <c r="PTH6" s="406"/>
      <c r="PTI6" s="406"/>
      <c r="PTJ6" s="406"/>
      <c r="PTK6" s="406"/>
      <c r="PTL6" s="406"/>
      <c r="PTM6" s="406"/>
      <c r="PTN6" s="406"/>
      <c r="PTO6" s="406"/>
      <c r="PTP6" s="406"/>
      <c r="PTQ6" s="406"/>
      <c r="PTR6" s="406"/>
      <c r="PTS6" s="406"/>
      <c r="PTT6" s="406"/>
      <c r="PTU6" s="406"/>
      <c r="PTV6" s="406"/>
      <c r="PTW6" s="406"/>
      <c r="PTX6" s="406"/>
      <c r="PTY6" s="406"/>
      <c r="PTZ6" s="406"/>
      <c r="PUA6" s="406"/>
      <c r="PUB6" s="406"/>
      <c r="PUC6" s="406"/>
      <c r="PUD6" s="406"/>
      <c r="PUE6" s="406"/>
      <c r="PUF6" s="406"/>
      <c r="PUG6" s="406"/>
      <c r="PUH6" s="406"/>
      <c r="PUI6" s="406"/>
      <c r="PUJ6" s="406"/>
      <c r="PUK6" s="406"/>
      <c r="PUL6" s="406"/>
      <c r="PUM6" s="406"/>
      <c r="PUN6" s="406"/>
      <c r="PUO6" s="406"/>
      <c r="PUP6" s="406"/>
      <c r="PUQ6" s="406"/>
      <c r="PUR6" s="406"/>
      <c r="PUS6" s="406"/>
      <c r="PUT6" s="406"/>
      <c r="PUU6" s="406"/>
      <c r="PUV6" s="406"/>
      <c r="PUW6" s="406"/>
      <c r="PUX6" s="406"/>
      <c r="PUY6" s="406"/>
      <c r="PUZ6" s="406"/>
      <c r="PVA6" s="406"/>
      <c r="PVB6" s="406"/>
      <c r="PVC6" s="406"/>
      <c r="PVD6" s="406"/>
      <c r="PVE6" s="406"/>
      <c r="PVF6" s="406"/>
      <c r="PVG6" s="406"/>
      <c r="PVH6" s="406"/>
      <c r="PVI6" s="406"/>
      <c r="PVJ6" s="406"/>
      <c r="PVK6" s="406"/>
      <c r="PVL6" s="406"/>
      <c r="PVM6" s="406"/>
      <c r="PVN6" s="406"/>
      <c r="PVO6" s="406"/>
      <c r="PVP6" s="406"/>
      <c r="PVQ6" s="406"/>
      <c r="PVR6" s="406"/>
      <c r="PVS6" s="406"/>
      <c r="PVT6" s="406"/>
      <c r="PVU6" s="406"/>
      <c r="PVV6" s="406"/>
      <c r="PVW6" s="406"/>
      <c r="PVX6" s="406"/>
      <c r="PVY6" s="406"/>
      <c r="PVZ6" s="406"/>
      <c r="PWA6" s="406"/>
      <c r="PWB6" s="406"/>
      <c r="PWC6" s="406"/>
      <c r="PWD6" s="406"/>
      <c r="PWE6" s="406"/>
      <c r="PWF6" s="406"/>
      <c r="PWG6" s="406"/>
      <c r="PWH6" s="406"/>
      <c r="PWI6" s="406"/>
      <c r="PWJ6" s="406"/>
      <c r="PWK6" s="406"/>
      <c r="PWL6" s="406"/>
      <c r="PWM6" s="406"/>
      <c r="PWN6" s="406"/>
      <c r="PWO6" s="406"/>
      <c r="PWP6" s="406"/>
      <c r="PWQ6" s="406"/>
      <c r="PWR6" s="406"/>
      <c r="PWS6" s="406"/>
      <c r="PWT6" s="406"/>
      <c r="PWU6" s="406"/>
      <c r="PWV6" s="406"/>
      <c r="PWW6" s="406"/>
      <c r="PWX6" s="406"/>
      <c r="PWY6" s="406"/>
      <c r="PWZ6" s="406"/>
      <c r="PXA6" s="406"/>
      <c r="PXB6" s="406"/>
      <c r="PXC6" s="406"/>
      <c r="PXD6" s="406"/>
      <c r="PXE6" s="406"/>
      <c r="PXF6" s="406"/>
      <c r="PXG6" s="406"/>
      <c r="PXH6" s="406"/>
      <c r="PXI6" s="406"/>
      <c r="PXJ6" s="406"/>
      <c r="PXK6" s="406"/>
      <c r="PXL6" s="406"/>
      <c r="PXM6" s="406"/>
      <c r="PXN6" s="406"/>
      <c r="PXO6" s="406"/>
      <c r="PXP6" s="406"/>
      <c r="PXQ6" s="406"/>
      <c r="PXR6" s="406"/>
      <c r="PXS6" s="406"/>
      <c r="PXT6" s="406"/>
      <c r="PXU6" s="406"/>
      <c r="PXV6" s="406"/>
      <c r="PXW6" s="406"/>
      <c r="PXX6" s="406"/>
      <c r="PXY6" s="406"/>
      <c r="PXZ6" s="406"/>
      <c r="PYA6" s="406"/>
      <c r="PYB6" s="406"/>
      <c r="PYC6" s="406"/>
      <c r="PYD6" s="406"/>
      <c r="PYE6" s="406"/>
      <c r="PYF6" s="406"/>
      <c r="PYG6" s="406"/>
      <c r="PYH6" s="406"/>
      <c r="PYI6" s="406"/>
      <c r="PYJ6" s="406"/>
      <c r="PYK6" s="406"/>
      <c r="PYL6" s="406"/>
      <c r="PYM6" s="406"/>
      <c r="PYN6" s="406"/>
      <c r="PYO6" s="406"/>
      <c r="PYP6" s="406"/>
      <c r="PYQ6" s="406"/>
      <c r="PYR6" s="406"/>
      <c r="PYS6" s="406"/>
      <c r="PYT6" s="406"/>
      <c r="PYU6" s="406"/>
      <c r="PYV6" s="406"/>
      <c r="PYW6" s="406"/>
      <c r="PYX6" s="406"/>
      <c r="PYY6" s="406"/>
      <c r="PYZ6" s="406"/>
      <c r="PZA6" s="406"/>
      <c r="PZB6" s="406"/>
      <c r="PZC6" s="406"/>
      <c r="PZD6" s="406"/>
      <c r="PZE6" s="406"/>
      <c r="PZF6" s="406"/>
      <c r="PZG6" s="406"/>
      <c r="PZH6" s="406"/>
      <c r="PZI6" s="406"/>
      <c r="PZJ6" s="406"/>
      <c r="PZK6" s="406"/>
      <c r="PZL6" s="406"/>
      <c r="PZM6" s="406"/>
      <c r="PZN6" s="406"/>
      <c r="PZO6" s="406"/>
      <c r="PZP6" s="406"/>
      <c r="PZQ6" s="406"/>
      <c r="PZR6" s="406"/>
      <c r="PZS6" s="406"/>
      <c r="PZT6" s="406"/>
      <c r="PZU6" s="406"/>
      <c r="PZV6" s="406"/>
      <c r="PZW6" s="406"/>
      <c r="PZX6" s="406"/>
      <c r="PZY6" s="406"/>
      <c r="PZZ6" s="406"/>
      <c r="QAA6" s="406"/>
      <c r="QAB6" s="406"/>
      <c r="QAC6" s="406"/>
      <c r="QAD6" s="406"/>
      <c r="QAE6" s="406"/>
      <c r="QAF6" s="406"/>
      <c r="QAG6" s="406"/>
      <c r="QAH6" s="406"/>
      <c r="QAI6" s="406"/>
      <c r="QAJ6" s="406"/>
      <c r="QAK6" s="406"/>
      <c r="QAL6" s="406"/>
      <c r="QAM6" s="406"/>
      <c r="QAN6" s="406"/>
      <c r="QAO6" s="406"/>
      <c r="QAP6" s="406"/>
      <c r="QAQ6" s="406"/>
      <c r="QAR6" s="406"/>
      <c r="QAS6" s="406"/>
      <c r="QAT6" s="406"/>
      <c r="QAU6" s="406"/>
      <c r="QAV6" s="406"/>
      <c r="QAW6" s="406"/>
      <c r="QAX6" s="406"/>
      <c r="QAY6" s="406"/>
      <c r="QAZ6" s="406"/>
      <c r="QBA6" s="406"/>
      <c r="QBB6" s="406"/>
      <c r="QBC6" s="406"/>
      <c r="QBD6" s="406"/>
      <c r="QBE6" s="406"/>
      <c r="QBF6" s="406"/>
      <c r="QBG6" s="406"/>
      <c r="QBH6" s="406"/>
      <c r="QBI6" s="406"/>
      <c r="QBJ6" s="406"/>
      <c r="QBK6" s="406"/>
      <c r="QBL6" s="406"/>
      <c r="QBM6" s="406"/>
      <c r="QBN6" s="406"/>
      <c r="QBO6" s="406"/>
      <c r="QBP6" s="406"/>
      <c r="QBQ6" s="406"/>
      <c r="QBR6" s="406"/>
      <c r="QBS6" s="406"/>
      <c r="QBT6" s="406"/>
      <c r="QBU6" s="406"/>
      <c r="QBV6" s="406"/>
      <c r="QBW6" s="406"/>
      <c r="QBX6" s="406"/>
      <c r="QBY6" s="406"/>
      <c r="QBZ6" s="406"/>
      <c r="QCA6" s="406"/>
      <c r="QCB6" s="406"/>
      <c r="QCC6" s="406"/>
      <c r="QCD6" s="406"/>
      <c r="QCE6" s="406"/>
      <c r="QCF6" s="406"/>
      <c r="QCG6" s="406"/>
      <c r="QCH6" s="406"/>
      <c r="QCI6" s="406"/>
      <c r="QCJ6" s="406"/>
      <c r="QCK6" s="406"/>
      <c r="QCL6" s="406"/>
      <c r="QCM6" s="406"/>
      <c r="QCN6" s="406"/>
      <c r="QCO6" s="406"/>
      <c r="QCP6" s="406"/>
      <c r="QCQ6" s="406"/>
      <c r="QCR6" s="406"/>
      <c r="QCS6" s="406"/>
      <c r="QCT6" s="406"/>
      <c r="QCU6" s="406"/>
      <c r="QCV6" s="406"/>
      <c r="QCW6" s="406"/>
      <c r="QCX6" s="406"/>
      <c r="QCY6" s="406"/>
      <c r="QCZ6" s="406"/>
      <c r="QDA6" s="406"/>
      <c r="QDB6" s="406"/>
      <c r="QDC6" s="406"/>
      <c r="QDD6" s="406"/>
      <c r="QDE6" s="406"/>
      <c r="QDF6" s="406"/>
      <c r="QDG6" s="406"/>
      <c r="QDH6" s="406"/>
      <c r="QDI6" s="406"/>
      <c r="QDJ6" s="406"/>
      <c r="QDK6" s="406"/>
      <c r="QDL6" s="406"/>
      <c r="QDM6" s="406"/>
      <c r="QDN6" s="406"/>
      <c r="QDO6" s="406"/>
      <c r="QDP6" s="406"/>
      <c r="QDQ6" s="406"/>
      <c r="QDR6" s="406"/>
      <c r="QDS6" s="406"/>
      <c r="QDT6" s="406"/>
      <c r="QDU6" s="406"/>
      <c r="QDV6" s="406"/>
      <c r="QDW6" s="406"/>
      <c r="QDX6" s="406"/>
      <c r="QDY6" s="406"/>
      <c r="QDZ6" s="406"/>
      <c r="QEA6" s="406"/>
      <c r="QEB6" s="406"/>
      <c r="QEC6" s="406"/>
      <c r="QED6" s="406"/>
      <c r="QEE6" s="406"/>
      <c r="QEF6" s="406"/>
      <c r="QEG6" s="406"/>
      <c r="QEH6" s="406"/>
      <c r="QEI6" s="406"/>
      <c r="QEJ6" s="406"/>
      <c r="QEK6" s="406"/>
      <c r="QEL6" s="406"/>
      <c r="QEM6" s="406"/>
      <c r="QEN6" s="406"/>
      <c r="QEO6" s="406"/>
      <c r="QEP6" s="406"/>
      <c r="QEQ6" s="406"/>
      <c r="QER6" s="406"/>
      <c r="QES6" s="406"/>
      <c r="QET6" s="406"/>
      <c r="QEU6" s="406"/>
      <c r="QEV6" s="406"/>
      <c r="QEW6" s="406"/>
      <c r="QEX6" s="406"/>
      <c r="QEY6" s="406"/>
      <c r="QEZ6" s="406"/>
      <c r="QFA6" s="406"/>
      <c r="QFB6" s="406"/>
      <c r="QFC6" s="406"/>
      <c r="QFD6" s="406"/>
      <c r="QFE6" s="406"/>
      <c r="QFF6" s="406"/>
      <c r="QFG6" s="406"/>
      <c r="QFH6" s="406"/>
      <c r="QFI6" s="406"/>
      <c r="QFJ6" s="406"/>
      <c r="QFK6" s="406"/>
      <c r="QFL6" s="406"/>
      <c r="QFM6" s="406"/>
      <c r="QFN6" s="406"/>
      <c r="QFO6" s="406"/>
      <c r="QFP6" s="406"/>
      <c r="QFQ6" s="406"/>
      <c r="QFR6" s="406"/>
      <c r="QFS6" s="406"/>
      <c r="QFT6" s="406"/>
      <c r="QFU6" s="406"/>
      <c r="QFV6" s="406"/>
      <c r="QFW6" s="406"/>
      <c r="QFX6" s="406"/>
      <c r="QFY6" s="406"/>
      <c r="QFZ6" s="406"/>
      <c r="QGA6" s="406"/>
      <c r="QGB6" s="406"/>
      <c r="QGC6" s="406"/>
      <c r="QGD6" s="406"/>
      <c r="QGE6" s="406"/>
      <c r="QGF6" s="406"/>
      <c r="QGG6" s="406"/>
      <c r="QGH6" s="406"/>
      <c r="QGI6" s="406"/>
      <c r="QGJ6" s="406"/>
      <c r="QGK6" s="406"/>
      <c r="QGL6" s="406"/>
      <c r="QGM6" s="406"/>
      <c r="QGN6" s="406"/>
      <c r="QGO6" s="406"/>
      <c r="QGP6" s="406"/>
      <c r="QGQ6" s="406"/>
      <c r="QGR6" s="406"/>
      <c r="QGS6" s="406"/>
      <c r="QGT6" s="406"/>
      <c r="QGU6" s="406"/>
      <c r="QGV6" s="406"/>
      <c r="QGW6" s="406"/>
      <c r="QGX6" s="406"/>
      <c r="QGY6" s="406"/>
      <c r="QGZ6" s="406"/>
      <c r="QHA6" s="406"/>
      <c r="QHB6" s="406"/>
      <c r="QHC6" s="406"/>
      <c r="QHD6" s="406"/>
      <c r="QHE6" s="406"/>
      <c r="QHF6" s="406"/>
      <c r="QHG6" s="406"/>
      <c r="QHH6" s="406"/>
      <c r="QHI6" s="406"/>
      <c r="QHJ6" s="406"/>
      <c r="QHK6" s="406"/>
      <c r="QHL6" s="406"/>
      <c r="QHM6" s="406"/>
      <c r="QHN6" s="406"/>
      <c r="QHO6" s="406"/>
      <c r="QHP6" s="406"/>
      <c r="QHQ6" s="406"/>
      <c r="QHR6" s="406"/>
      <c r="QHS6" s="406"/>
      <c r="QHT6" s="406"/>
      <c r="QHU6" s="406"/>
      <c r="QHV6" s="406"/>
      <c r="QHW6" s="406"/>
      <c r="QHX6" s="406"/>
      <c r="QHY6" s="406"/>
      <c r="QHZ6" s="406"/>
      <c r="QIA6" s="406"/>
      <c r="QIB6" s="406"/>
      <c r="QIC6" s="406"/>
      <c r="QID6" s="406"/>
      <c r="QIE6" s="406"/>
      <c r="QIF6" s="406"/>
      <c r="QIG6" s="406"/>
      <c r="QIH6" s="406"/>
      <c r="QII6" s="406"/>
      <c r="QIJ6" s="406"/>
      <c r="QIK6" s="406"/>
      <c r="QIL6" s="406"/>
      <c r="QIM6" s="406"/>
      <c r="QIN6" s="406"/>
      <c r="QIO6" s="406"/>
      <c r="QIP6" s="406"/>
      <c r="QIQ6" s="406"/>
      <c r="QIR6" s="406"/>
      <c r="QIS6" s="406"/>
      <c r="QIT6" s="406"/>
      <c r="QIU6" s="406"/>
      <c r="QIV6" s="406"/>
      <c r="QIW6" s="406"/>
      <c r="QIX6" s="406"/>
      <c r="QIY6" s="406"/>
      <c r="QIZ6" s="406"/>
      <c r="QJA6" s="406"/>
      <c r="QJB6" s="406"/>
      <c r="QJC6" s="406"/>
      <c r="QJD6" s="406"/>
      <c r="QJE6" s="406"/>
      <c r="QJF6" s="406"/>
      <c r="QJG6" s="406"/>
      <c r="QJH6" s="406"/>
      <c r="QJI6" s="406"/>
      <c r="QJJ6" s="406"/>
      <c r="QJK6" s="406"/>
      <c r="QJL6" s="406"/>
      <c r="QJM6" s="406"/>
      <c r="QJN6" s="406"/>
      <c r="QJO6" s="406"/>
      <c r="QJP6" s="406"/>
      <c r="QJQ6" s="406"/>
      <c r="QJR6" s="406"/>
      <c r="QJS6" s="406"/>
      <c r="QJT6" s="406"/>
      <c r="QJU6" s="406"/>
      <c r="QJV6" s="406"/>
      <c r="QJW6" s="406"/>
      <c r="QJX6" s="406"/>
      <c r="QJY6" s="406"/>
      <c r="QJZ6" s="406"/>
      <c r="QKA6" s="406"/>
      <c r="QKB6" s="406"/>
      <c r="QKC6" s="406"/>
      <c r="QKD6" s="406"/>
      <c r="QKE6" s="406"/>
      <c r="QKF6" s="406"/>
      <c r="QKG6" s="406"/>
      <c r="QKH6" s="406"/>
      <c r="QKI6" s="406"/>
      <c r="QKJ6" s="406"/>
      <c r="QKK6" s="406"/>
      <c r="QKL6" s="406"/>
      <c r="QKM6" s="406"/>
      <c r="QKN6" s="406"/>
      <c r="QKO6" s="406"/>
      <c r="QKP6" s="406"/>
      <c r="QKQ6" s="406"/>
      <c r="QKR6" s="406"/>
      <c r="QKS6" s="406"/>
      <c r="QKT6" s="406"/>
      <c r="QKU6" s="406"/>
      <c r="QKV6" s="406"/>
      <c r="QKW6" s="406"/>
      <c r="QKX6" s="406"/>
      <c r="QKY6" s="406"/>
      <c r="QKZ6" s="406"/>
      <c r="QLA6" s="406"/>
      <c r="QLB6" s="406"/>
      <c r="QLC6" s="406"/>
      <c r="QLD6" s="406"/>
      <c r="QLE6" s="406"/>
      <c r="QLF6" s="406"/>
      <c r="QLG6" s="406"/>
      <c r="QLH6" s="406"/>
      <c r="QLI6" s="406"/>
      <c r="QLJ6" s="406"/>
      <c r="QLK6" s="406"/>
      <c r="QLL6" s="406"/>
      <c r="QLM6" s="406"/>
      <c r="QLN6" s="406"/>
      <c r="QLO6" s="406"/>
      <c r="QLP6" s="406"/>
      <c r="QLQ6" s="406"/>
      <c r="QLR6" s="406"/>
      <c r="QLS6" s="406"/>
      <c r="QLT6" s="406"/>
      <c r="QLU6" s="406"/>
      <c r="QLV6" s="406"/>
      <c r="QLW6" s="406"/>
      <c r="QLX6" s="406"/>
      <c r="QLY6" s="406"/>
      <c r="QLZ6" s="406"/>
      <c r="QMA6" s="406"/>
      <c r="QMB6" s="406"/>
      <c r="QMC6" s="406"/>
      <c r="QMD6" s="406"/>
      <c r="QME6" s="406"/>
      <c r="QMF6" s="406"/>
      <c r="QMG6" s="406"/>
      <c r="QMH6" s="406"/>
      <c r="QMI6" s="406"/>
      <c r="QMJ6" s="406"/>
      <c r="QMK6" s="406"/>
      <c r="QML6" s="406"/>
      <c r="QMM6" s="406"/>
      <c r="QMN6" s="406"/>
      <c r="QMO6" s="406"/>
      <c r="QMP6" s="406"/>
      <c r="QMQ6" s="406"/>
      <c r="QMR6" s="406"/>
      <c r="QMS6" s="406"/>
      <c r="QMT6" s="406"/>
      <c r="QMU6" s="406"/>
      <c r="QMV6" s="406"/>
      <c r="QMW6" s="406"/>
      <c r="QMX6" s="406"/>
      <c r="QMY6" s="406"/>
      <c r="QMZ6" s="406"/>
      <c r="QNA6" s="406"/>
      <c r="QNB6" s="406"/>
      <c r="QNC6" s="406"/>
      <c r="QND6" s="406"/>
      <c r="QNE6" s="406"/>
      <c r="QNF6" s="406"/>
      <c r="QNG6" s="406"/>
      <c r="QNH6" s="406"/>
      <c r="QNI6" s="406"/>
      <c r="QNJ6" s="406"/>
      <c r="QNK6" s="406"/>
      <c r="QNL6" s="406"/>
      <c r="QNM6" s="406"/>
      <c r="QNN6" s="406"/>
      <c r="QNO6" s="406"/>
      <c r="QNP6" s="406"/>
      <c r="QNQ6" s="406"/>
      <c r="QNR6" s="406"/>
      <c r="QNS6" s="406"/>
      <c r="QNT6" s="406"/>
      <c r="QNU6" s="406"/>
      <c r="QNV6" s="406"/>
      <c r="QNW6" s="406"/>
      <c r="QNX6" s="406"/>
      <c r="QNY6" s="406"/>
      <c r="QNZ6" s="406"/>
      <c r="QOA6" s="406"/>
      <c r="QOB6" s="406"/>
      <c r="QOC6" s="406"/>
      <c r="QOD6" s="406"/>
      <c r="QOE6" s="406"/>
      <c r="QOF6" s="406"/>
      <c r="QOG6" s="406"/>
      <c r="QOH6" s="406"/>
      <c r="QOI6" s="406"/>
      <c r="QOJ6" s="406"/>
      <c r="QOK6" s="406"/>
      <c r="QOL6" s="406"/>
      <c r="QOM6" s="406"/>
      <c r="QON6" s="406"/>
      <c r="QOO6" s="406"/>
      <c r="QOP6" s="406"/>
      <c r="QOQ6" s="406"/>
      <c r="QOR6" s="406"/>
      <c r="QOS6" s="406"/>
      <c r="QOT6" s="406"/>
      <c r="QOU6" s="406"/>
      <c r="QOV6" s="406"/>
      <c r="QOW6" s="406"/>
      <c r="QOX6" s="406"/>
      <c r="QOY6" s="406"/>
      <c r="QOZ6" s="406"/>
      <c r="QPA6" s="406"/>
      <c r="QPB6" s="406"/>
      <c r="QPC6" s="406"/>
      <c r="QPD6" s="406"/>
      <c r="QPE6" s="406"/>
      <c r="QPF6" s="406"/>
      <c r="QPG6" s="406"/>
      <c r="QPH6" s="406"/>
      <c r="QPI6" s="406"/>
      <c r="QPJ6" s="406"/>
      <c r="QPK6" s="406"/>
      <c r="QPL6" s="406"/>
      <c r="QPM6" s="406"/>
      <c r="QPN6" s="406"/>
      <c r="QPO6" s="406"/>
      <c r="QPP6" s="406"/>
      <c r="QPQ6" s="406"/>
      <c r="QPR6" s="406"/>
      <c r="QPS6" s="406"/>
      <c r="QPT6" s="406"/>
      <c r="QPU6" s="406"/>
      <c r="QPV6" s="406"/>
      <c r="QPW6" s="406"/>
      <c r="QPX6" s="406"/>
      <c r="QPY6" s="406"/>
      <c r="QPZ6" s="406"/>
      <c r="QQA6" s="406"/>
      <c r="QQB6" s="406"/>
      <c r="QQC6" s="406"/>
      <c r="QQD6" s="406"/>
      <c r="QQE6" s="406"/>
      <c r="QQF6" s="406"/>
      <c r="QQG6" s="406"/>
      <c r="QQH6" s="406"/>
      <c r="QQI6" s="406"/>
      <c r="QQJ6" s="406"/>
      <c r="QQK6" s="406"/>
      <c r="QQL6" s="406"/>
      <c r="QQM6" s="406"/>
      <c r="QQN6" s="406"/>
      <c r="QQO6" s="406"/>
      <c r="QQP6" s="406"/>
      <c r="QQQ6" s="406"/>
      <c r="QQR6" s="406"/>
      <c r="QQS6" s="406"/>
      <c r="QQT6" s="406"/>
      <c r="QQU6" s="406"/>
      <c r="QQV6" s="406"/>
      <c r="QQW6" s="406"/>
      <c r="QQX6" s="406"/>
      <c r="QQY6" s="406"/>
      <c r="QQZ6" s="406"/>
      <c r="QRA6" s="406"/>
      <c r="QRB6" s="406"/>
      <c r="QRC6" s="406"/>
      <c r="QRD6" s="406"/>
      <c r="QRE6" s="406"/>
      <c r="QRF6" s="406"/>
      <c r="QRG6" s="406"/>
      <c r="QRH6" s="406"/>
      <c r="QRI6" s="406"/>
      <c r="QRJ6" s="406"/>
      <c r="QRK6" s="406"/>
      <c r="QRL6" s="406"/>
      <c r="QRM6" s="406"/>
      <c r="QRN6" s="406"/>
      <c r="QRO6" s="406"/>
      <c r="QRP6" s="406"/>
      <c r="QRQ6" s="406"/>
      <c r="QRR6" s="406"/>
      <c r="QRS6" s="406"/>
      <c r="QRT6" s="406"/>
      <c r="QRU6" s="406"/>
      <c r="QRV6" s="406"/>
      <c r="QRW6" s="406"/>
      <c r="QRX6" s="406"/>
      <c r="QRY6" s="406"/>
      <c r="QRZ6" s="406"/>
      <c r="QSA6" s="406"/>
      <c r="QSB6" s="406"/>
      <c r="QSC6" s="406"/>
      <c r="QSD6" s="406"/>
      <c r="QSE6" s="406"/>
      <c r="QSF6" s="406"/>
      <c r="QSG6" s="406"/>
      <c r="QSH6" s="406"/>
      <c r="QSI6" s="406"/>
      <c r="QSJ6" s="406"/>
      <c r="QSK6" s="406"/>
      <c r="QSL6" s="406"/>
      <c r="QSM6" s="406"/>
      <c r="QSN6" s="406"/>
      <c r="QSO6" s="406"/>
      <c r="QSP6" s="406"/>
      <c r="QSQ6" s="406"/>
      <c r="QSR6" s="406"/>
      <c r="QSS6" s="406"/>
      <c r="QST6" s="406"/>
      <c r="QSU6" s="406"/>
      <c r="QSV6" s="406"/>
      <c r="QSW6" s="406"/>
      <c r="QSX6" s="406"/>
      <c r="QSY6" s="406"/>
      <c r="QSZ6" s="406"/>
      <c r="QTA6" s="406"/>
      <c r="QTB6" s="406"/>
      <c r="QTC6" s="406"/>
      <c r="QTD6" s="406"/>
      <c r="QTE6" s="406"/>
      <c r="QTF6" s="406"/>
      <c r="QTG6" s="406"/>
      <c r="QTH6" s="406"/>
      <c r="QTI6" s="406"/>
      <c r="QTJ6" s="406"/>
      <c r="QTK6" s="406"/>
      <c r="QTL6" s="406"/>
      <c r="QTM6" s="406"/>
      <c r="QTN6" s="406"/>
      <c r="QTO6" s="406"/>
      <c r="QTP6" s="406"/>
      <c r="QTQ6" s="406"/>
      <c r="QTR6" s="406"/>
      <c r="QTS6" s="406"/>
      <c r="QTT6" s="406"/>
      <c r="QTU6" s="406"/>
      <c r="QTV6" s="406"/>
      <c r="QTW6" s="406"/>
      <c r="QTX6" s="406"/>
      <c r="QTY6" s="406"/>
      <c r="QTZ6" s="406"/>
      <c r="QUA6" s="406"/>
      <c r="QUB6" s="406"/>
      <c r="QUC6" s="406"/>
      <c r="QUD6" s="406"/>
      <c r="QUE6" s="406"/>
      <c r="QUF6" s="406"/>
      <c r="QUG6" s="406"/>
      <c r="QUH6" s="406"/>
      <c r="QUI6" s="406"/>
      <c r="QUJ6" s="406"/>
      <c r="QUK6" s="406"/>
      <c r="QUL6" s="406"/>
      <c r="QUM6" s="406"/>
      <c r="QUN6" s="406"/>
      <c r="QUO6" s="406"/>
      <c r="QUP6" s="406"/>
      <c r="QUQ6" s="406"/>
      <c r="QUR6" s="406"/>
      <c r="QUS6" s="406"/>
      <c r="QUT6" s="406"/>
      <c r="QUU6" s="406"/>
      <c r="QUV6" s="406"/>
      <c r="QUW6" s="406"/>
      <c r="QUX6" s="406"/>
      <c r="QUY6" s="406"/>
      <c r="QUZ6" s="406"/>
      <c r="QVA6" s="406"/>
      <c r="QVB6" s="406"/>
      <c r="QVC6" s="406"/>
      <c r="QVD6" s="406"/>
      <c r="QVE6" s="406"/>
      <c r="QVF6" s="406"/>
      <c r="QVG6" s="406"/>
      <c r="QVH6" s="406"/>
      <c r="QVI6" s="406"/>
      <c r="QVJ6" s="406"/>
      <c r="QVK6" s="406"/>
      <c r="QVL6" s="406"/>
      <c r="QVM6" s="406"/>
      <c r="QVN6" s="406"/>
      <c r="QVO6" s="406"/>
      <c r="QVP6" s="406"/>
      <c r="QVQ6" s="406"/>
      <c r="QVR6" s="406"/>
      <c r="QVS6" s="406"/>
      <c r="QVT6" s="406"/>
      <c r="QVU6" s="406"/>
      <c r="QVV6" s="406"/>
      <c r="QVW6" s="406"/>
      <c r="QVX6" s="406"/>
      <c r="QVY6" s="406"/>
      <c r="QVZ6" s="406"/>
      <c r="QWA6" s="406"/>
      <c r="QWB6" s="406"/>
      <c r="QWC6" s="406"/>
      <c r="QWD6" s="406"/>
      <c r="QWE6" s="406"/>
      <c r="QWF6" s="406"/>
      <c r="QWG6" s="406"/>
      <c r="QWH6" s="406"/>
      <c r="QWI6" s="406"/>
      <c r="QWJ6" s="406"/>
      <c r="QWK6" s="406"/>
      <c r="QWL6" s="406"/>
      <c r="QWM6" s="406"/>
      <c r="QWN6" s="406"/>
      <c r="QWO6" s="406"/>
      <c r="QWP6" s="406"/>
      <c r="QWQ6" s="406"/>
      <c r="QWR6" s="406"/>
      <c r="QWS6" s="406"/>
      <c r="QWT6" s="406"/>
      <c r="QWU6" s="406"/>
      <c r="QWV6" s="406"/>
      <c r="QWW6" s="406"/>
      <c r="QWX6" s="406"/>
      <c r="QWY6" s="406"/>
      <c r="QWZ6" s="406"/>
      <c r="QXA6" s="406"/>
      <c r="QXB6" s="406"/>
      <c r="QXC6" s="406"/>
      <c r="QXD6" s="406"/>
      <c r="QXE6" s="406"/>
      <c r="QXF6" s="406"/>
      <c r="QXG6" s="406"/>
      <c r="QXH6" s="406"/>
      <c r="QXI6" s="406"/>
      <c r="QXJ6" s="406"/>
      <c r="QXK6" s="406"/>
      <c r="QXL6" s="406"/>
      <c r="QXM6" s="406"/>
      <c r="QXN6" s="406"/>
      <c r="QXO6" s="406"/>
      <c r="QXP6" s="406"/>
      <c r="QXQ6" s="406"/>
      <c r="QXR6" s="406"/>
      <c r="QXS6" s="406"/>
      <c r="QXT6" s="406"/>
      <c r="QXU6" s="406"/>
      <c r="QXV6" s="406"/>
      <c r="QXW6" s="406"/>
      <c r="QXX6" s="406"/>
      <c r="QXY6" s="406"/>
      <c r="QXZ6" s="406"/>
      <c r="QYA6" s="406"/>
      <c r="QYB6" s="406"/>
      <c r="QYC6" s="406"/>
      <c r="QYD6" s="406"/>
      <c r="QYE6" s="406"/>
      <c r="QYF6" s="406"/>
      <c r="QYG6" s="406"/>
      <c r="QYH6" s="406"/>
      <c r="QYI6" s="406"/>
      <c r="QYJ6" s="406"/>
      <c r="QYK6" s="406"/>
      <c r="QYL6" s="406"/>
      <c r="QYM6" s="406"/>
      <c r="QYN6" s="406"/>
      <c r="QYO6" s="406"/>
      <c r="QYP6" s="406"/>
      <c r="QYQ6" s="406"/>
      <c r="QYR6" s="406"/>
      <c r="QYS6" s="406"/>
      <c r="QYT6" s="406"/>
      <c r="QYU6" s="406"/>
      <c r="QYV6" s="406"/>
      <c r="QYW6" s="406"/>
      <c r="QYX6" s="406"/>
      <c r="QYY6" s="406"/>
      <c r="QYZ6" s="406"/>
      <c r="QZA6" s="406"/>
      <c r="QZB6" s="406"/>
      <c r="QZC6" s="406"/>
      <c r="QZD6" s="406"/>
      <c r="QZE6" s="406"/>
      <c r="QZF6" s="406"/>
      <c r="QZG6" s="406"/>
      <c r="QZH6" s="406"/>
      <c r="QZI6" s="406"/>
      <c r="QZJ6" s="406"/>
      <c r="QZK6" s="406"/>
      <c r="QZL6" s="406"/>
      <c r="QZM6" s="406"/>
      <c r="QZN6" s="406"/>
      <c r="QZO6" s="406"/>
      <c r="QZP6" s="406"/>
      <c r="QZQ6" s="406"/>
      <c r="QZR6" s="406"/>
      <c r="QZS6" s="406"/>
      <c r="QZT6" s="406"/>
      <c r="QZU6" s="406"/>
      <c r="QZV6" s="406"/>
      <c r="QZW6" s="406"/>
      <c r="QZX6" s="406"/>
      <c r="QZY6" s="406"/>
      <c r="QZZ6" s="406"/>
      <c r="RAA6" s="406"/>
      <c r="RAB6" s="406"/>
      <c r="RAC6" s="406"/>
      <c r="RAD6" s="406"/>
      <c r="RAE6" s="406"/>
      <c r="RAF6" s="406"/>
      <c r="RAG6" s="406"/>
      <c r="RAH6" s="406"/>
      <c r="RAI6" s="406"/>
      <c r="RAJ6" s="406"/>
      <c r="RAK6" s="406"/>
      <c r="RAL6" s="406"/>
      <c r="RAM6" s="406"/>
      <c r="RAN6" s="406"/>
      <c r="RAO6" s="406"/>
      <c r="RAP6" s="406"/>
      <c r="RAQ6" s="406"/>
      <c r="RAR6" s="406"/>
      <c r="RAS6" s="406"/>
      <c r="RAT6" s="406"/>
      <c r="RAU6" s="406"/>
      <c r="RAV6" s="406"/>
      <c r="RAW6" s="406"/>
      <c r="RAX6" s="406"/>
      <c r="RAY6" s="406"/>
      <c r="RAZ6" s="406"/>
      <c r="RBA6" s="406"/>
      <c r="RBB6" s="406"/>
      <c r="RBC6" s="406"/>
      <c r="RBD6" s="406"/>
      <c r="RBE6" s="406"/>
      <c r="RBF6" s="406"/>
      <c r="RBG6" s="406"/>
      <c r="RBH6" s="406"/>
      <c r="RBI6" s="406"/>
      <c r="RBJ6" s="406"/>
      <c r="RBK6" s="406"/>
      <c r="RBL6" s="406"/>
      <c r="RBM6" s="406"/>
      <c r="RBN6" s="406"/>
      <c r="RBO6" s="406"/>
      <c r="RBP6" s="406"/>
      <c r="RBQ6" s="406"/>
      <c r="RBR6" s="406"/>
      <c r="RBS6" s="406"/>
      <c r="RBT6" s="406"/>
      <c r="RBU6" s="406"/>
      <c r="RBV6" s="406"/>
      <c r="RBW6" s="406"/>
      <c r="RBX6" s="406"/>
      <c r="RBY6" s="406"/>
      <c r="RBZ6" s="406"/>
      <c r="RCA6" s="406"/>
      <c r="RCB6" s="406"/>
      <c r="RCC6" s="406"/>
      <c r="RCD6" s="406"/>
      <c r="RCE6" s="406"/>
      <c r="RCF6" s="406"/>
      <c r="RCG6" s="406"/>
      <c r="RCH6" s="406"/>
      <c r="RCI6" s="406"/>
      <c r="RCJ6" s="406"/>
      <c r="RCK6" s="406"/>
      <c r="RCL6" s="406"/>
      <c r="RCM6" s="406"/>
      <c r="RCN6" s="406"/>
      <c r="RCO6" s="406"/>
      <c r="RCP6" s="406"/>
      <c r="RCQ6" s="406"/>
      <c r="RCR6" s="406"/>
      <c r="RCS6" s="406"/>
      <c r="RCT6" s="406"/>
      <c r="RCU6" s="406"/>
      <c r="RCV6" s="406"/>
      <c r="RCW6" s="406"/>
      <c r="RCX6" s="406"/>
      <c r="RCY6" s="406"/>
      <c r="RCZ6" s="406"/>
      <c r="RDA6" s="406"/>
      <c r="RDB6" s="406"/>
      <c r="RDC6" s="406"/>
      <c r="RDD6" s="406"/>
      <c r="RDE6" s="406"/>
      <c r="RDF6" s="406"/>
      <c r="RDG6" s="406"/>
      <c r="RDH6" s="406"/>
      <c r="RDI6" s="406"/>
      <c r="RDJ6" s="406"/>
      <c r="RDK6" s="406"/>
      <c r="RDL6" s="406"/>
      <c r="RDM6" s="406"/>
      <c r="RDN6" s="406"/>
      <c r="RDO6" s="406"/>
      <c r="RDP6" s="406"/>
      <c r="RDQ6" s="406"/>
      <c r="RDR6" s="406"/>
      <c r="RDS6" s="406"/>
      <c r="RDT6" s="406"/>
      <c r="RDU6" s="406"/>
      <c r="RDV6" s="406"/>
      <c r="RDW6" s="406"/>
      <c r="RDX6" s="406"/>
      <c r="RDY6" s="406"/>
      <c r="RDZ6" s="406"/>
      <c r="REA6" s="406"/>
      <c r="REB6" s="406"/>
      <c r="REC6" s="406"/>
      <c r="RED6" s="406"/>
      <c r="REE6" s="406"/>
      <c r="REF6" s="406"/>
      <c r="REG6" s="406"/>
      <c r="REH6" s="406"/>
      <c r="REI6" s="406"/>
      <c r="REJ6" s="406"/>
      <c r="REK6" s="406"/>
      <c r="REL6" s="406"/>
      <c r="REM6" s="406"/>
      <c r="REN6" s="406"/>
      <c r="REO6" s="406"/>
      <c r="REP6" s="406"/>
      <c r="REQ6" s="406"/>
      <c r="RER6" s="406"/>
      <c r="RES6" s="406"/>
      <c r="RET6" s="406"/>
      <c r="REU6" s="406"/>
      <c r="REV6" s="406"/>
      <c r="REW6" s="406"/>
      <c r="REX6" s="406"/>
      <c r="REY6" s="406"/>
      <c r="REZ6" s="406"/>
      <c r="RFA6" s="406"/>
      <c r="RFB6" s="406"/>
      <c r="RFC6" s="406"/>
      <c r="RFD6" s="406"/>
      <c r="RFE6" s="406"/>
      <c r="RFF6" s="406"/>
      <c r="RFG6" s="406"/>
      <c r="RFH6" s="406"/>
      <c r="RFI6" s="406"/>
      <c r="RFJ6" s="406"/>
      <c r="RFK6" s="406"/>
      <c r="RFL6" s="406"/>
      <c r="RFM6" s="406"/>
      <c r="RFN6" s="406"/>
      <c r="RFO6" s="406"/>
      <c r="RFP6" s="406"/>
      <c r="RFQ6" s="406"/>
      <c r="RFR6" s="406"/>
      <c r="RFS6" s="406"/>
      <c r="RFT6" s="406"/>
      <c r="RFU6" s="406"/>
      <c r="RFV6" s="406"/>
      <c r="RFW6" s="406"/>
      <c r="RFX6" s="406"/>
      <c r="RFY6" s="406"/>
      <c r="RFZ6" s="406"/>
      <c r="RGA6" s="406"/>
      <c r="RGB6" s="406"/>
      <c r="RGC6" s="406"/>
      <c r="RGD6" s="406"/>
      <c r="RGE6" s="406"/>
      <c r="RGF6" s="406"/>
      <c r="RGG6" s="406"/>
      <c r="RGH6" s="406"/>
      <c r="RGI6" s="406"/>
      <c r="RGJ6" s="406"/>
      <c r="RGK6" s="406"/>
      <c r="RGL6" s="406"/>
      <c r="RGM6" s="406"/>
      <c r="RGN6" s="406"/>
      <c r="RGO6" s="406"/>
      <c r="RGP6" s="406"/>
      <c r="RGQ6" s="406"/>
      <c r="RGR6" s="406"/>
      <c r="RGS6" s="406"/>
      <c r="RGT6" s="406"/>
      <c r="RGU6" s="406"/>
      <c r="RGV6" s="406"/>
      <c r="RGW6" s="406"/>
      <c r="RGX6" s="406"/>
      <c r="RGY6" s="406"/>
      <c r="RGZ6" s="406"/>
      <c r="RHA6" s="406"/>
      <c r="RHB6" s="406"/>
      <c r="RHC6" s="406"/>
      <c r="RHD6" s="406"/>
      <c r="RHE6" s="406"/>
      <c r="RHF6" s="406"/>
      <c r="RHG6" s="406"/>
      <c r="RHH6" s="406"/>
      <c r="RHI6" s="406"/>
      <c r="RHJ6" s="406"/>
      <c r="RHK6" s="406"/>
      <c r="RHL6" s="406"/>
      <c r="RHM6" s="406"/>
      <c r="RHN6" s="406"/>
      <c r="RHO6" s="406"/>
      <c r="RHP6" s="406"/>
      <c r="RHQ6" s="406"/>
      <c r="RHR6" s="406"/>
      <c r="RHS6" s="406"/>
      <c r="RHT6" s="406"/>
      <c r="RHU6" s="406"/>
      <c r="RHV6" s="406"/>
      <c r="RHW6" s="406"/>
      <c r="RHX6" s="406"/>
      <c r="RHY6" s="406"/>
      <c r="RHZ6" s="406"/>
      <c r="RIA6" s="406"/>
      <c r="RIB6" s="406"/>
      <c r="RIC6" s="406"/>
      <c r="RID6" s="406"/>
      <c r="RIE6" s="406"/>
      <c r="RIF6" s="406"/>
      <c r="RIG6" s="406"/>
      <c r="RIH6" s="406"/>
      <c r="RII6" s="406"/>
      <c r="RIJ6" s="406"/>
      <c r="RIK6" s="406"/>
      <c r="RIL6" s="406"/>
      <c r="RIM6" s="406"/>
      <c r="RIN6" s="406"/>
      <c r="RIO6" s="406"/>
      <c r="RIP6" s="406"/>
      <c r="RIQ6" s="406"/>
      <c r="RIR6" s="406"/>
      <c r="RIS6" s="406"/>
      <c r="RIT6" s="406"/>
      <c r="RIU6" s="406"/>
      <c r="RIV6" s="406"/>
      <c r="RIW6" s="406"/>
      <c r="RIX6" s="406"/>
      <c r="RIY6" s="406"/>
      <c r="RIZ6" s="406"/>
      <c r="RJA6" s="406"/>
      <c r="RJB6" s="406"/>
      <c r="RJC6" s="406"/>
      <c r="RJD6" s="406"/>
      <c r="RJE6" s="406"/>
      <c r="RJF6" s="406"/>
      <c r="RJG6" s="406"/>
      <c r="RJH6" s="406"/>
      <c r="RJI6" s="406"/>
      <c r="RJJ6" s="406"/>
      <c r="RJK6" s="406"/>
      <c r="RJL6" s="406"/>
      <c r="RJM6" s="406"/>
      <c r="RJN6" s="406"/>
      <c r="RJO6" s="406"/>
      <c r="RJP6" s="406"/>
      <c r="RJQ6" s="406"/>
      <c r="RJR6" s="406"/>
      <c r="RJS6" s="406"/>
      <c r="RJT6" s="406"/>
      <c r="RJU6" s="406"/>
      <c r="RJV6" s="406"/>
      <c r="RJW6" s="406"/>
      <c r="RJX6" s="406"/>
      <c r="RJY6" s="406"/>
      <c r="RJZ6" s="406"/>
      <c r="RKA6" s="406"/>
      <c r="RKB6" s="406"/>
      <c r="RKC6" s="406"/>
      <c r="RKD6" s="406"/>
      <c r="RKE6" s="406"/>
      <c r="RKF6" s="406"/>
      <c r="RKG6" s="406"/>
      <c r="RKH6" s="406"/>
      <c r="RKI6" s="406"/>
      <c r="RKJ6" s="406"/>
      <c r="RKK6" s="406"/>
      <c r="RKL6" s="406"/>
      <c r="RKM6" s="406"/>
      <c r="RKN6" s="406"/>
      <c r="RKO6" s="406"/>
      <c r="RKP6" s="406"/>
      <c r="RKQ6" s="406"/>
      <c r="RKR6" s="406"/>
      <c r="RKS6" s="406"/>
      <c r="RKT6" s="406"/>
      <c r="RKU6" s="406"/>
      <c r="RKV6" s="406"/>
      <c r="RKW6" s="406"/>
      <c r="RKX6" s="406"/>
      <c r="RKY6" s="406"/>
      <c r="RKZ6" s="406"/>
      <c r="RLA6" s="406"/>
      <c r="RLB6" s="406"/>
      <c r="RLC6" s="406"/>
      <c r="RLD6" s="406"/>
      <c r="RLE6" s="406"/>
      <c r="RLF6" s="406"/>
      <c r="RLG6" s="406"/>
      <c r="RLH6" s="406"/>
      <c r="RLI6" s="406"/>
      <c r="RLJ6" s="406"/>
      <c r="RLK6" s="406"/>
      <c r="RLL6" s="406"/>
      <c r="RLM6" s="406"/>
      <c r="RLN6" s="406"/>
      <c r="RLO6" s="406"/>
      <c r="RLP6" s="406"/>
      <c r="RLQ6" s="406"/>
      <c r="RLR6" s="406"/>
      <c r="RLS6" s="406"/>
      <c r="RLT6" s="406"/>
      <c r="RLU6" s="406"/>
      <c r="RLV6" s="406"/>
      <c r="RLW6" s="406"/>
      <c r="RLX6" s="406"/>
      <c r="RLY6" s="406"/>
      <c r="RLZ6" s="406"/>
      <c r="RMA6" s="406"/>
      <c r="RMB6" s="406"/>
      <c r="RMC6" s="406"/>
      <c r="RMD6" s="406"/>
      <c r="RME6" s="406"/>
      <c r="RMF6" s="406"/>
      <c r="RMG6" s="406"/>
      <c r="RMH6" s="406"/>
      <c r="RMI6" s="406"/>
      <c r="RMJ6" s="406"/>
      <c r="RMK6" s="406"/>
      <c r="RML6" s="406"/>
      <c r="RMM6" s="406"/>
      <c r="RMN6" s="406"/>
      <c r="RMO6" s="406"/>
      <c r="RMP6" s="406"/>
      <c r="RMQ6" s="406"/>
      <c r="RMR6" s="406"/>
      <c r="RMS6" s="406"/>
      <c r="RMT6" s="406"/>
      <c r="RMU6" s="406"/>
      <c r="RMV6" s="406"/>
      <c r="RMW6" s="406"/>
      <c r="RMX6" s="406"/>
      <c r="RMY6" s="406"/>
      <c r="RMZ6" s="406"/>
      <c r="RNA6" s="406"/>
      <c r="RNB6" s="406"/>
      <c r="RNC6" s="406"/>
      <c r="RND6" s="406"/>
      <c r="RNE6" s="406"/>
      <c r="RNF6" s="406"/>
      <c r="RNG6" s="406"/>
      <c r="RNH6" s="406"/>
      <c r="RNI6" s="406"/>
      <c r="RNJ6" s="406"/>
      <c r="RNK6" s="406"/>
      <c r="RNL6" s="406"/>
      <c r="RNM6" s="406"/>
      <c r="RNN6" s="406"/>
      <c r="RNO6" s="406"/>
      <c r="RNP6" s="406"/>
      <c r="RNQ6" s="406"/>
      <c r="RNR6" s="406"/>
      <c r="RNS6" s="406"/>
      <c r="RNT6" s="406"/>
      <c r="RNU6" s="406"/>
      <c r="RNV6" s="406"/>
      <c r="RNW6" s="406"/>
      <c r="RNX6" s="406"/>
      <c r="RNY6" s="406"/>
      <c r="RNZ6" s="406"/>
      <c r="ROA6" s="406"/>
      <c r="ROB6" s="406"/>
      <c r="ROC6" s="406"/>
      <c r="ROD6" s="406"/>
      <c r="ROE6" s="406"/>
      <c r="ROF6" s="406"/>
      <c r="ROG6" s="406"/>
      <c r="ROH6" s="406"/>
      <c r="ROI6" s="406"/>
      <c r="ROJ6" s="406"/>
      <c r="ROK6" s="406"/>
      <c r="ROL6" s="406"/>
      <c r="ROM6" s="406"/>
      <c r="RON6" s="406"/>
      <c r="ROO6" s="406"/>
      <c r="ROP6" s="406"/>
      <c r="ROQ6" s="406"/>
      <c r="ROR6" s="406"/>
      <c r="ROS6" s="406"/>
      <c r="ROT6" s="406"/>
      <c r="ROU6" s="406"/>
      <c r="ROV6" s="406"/>
      <c r="ROW6" s="406"/>
      <c r="ROX6" s="406"/>
      <c r="ROY6" s="406"/>
      <c r="ROZ6" s="406"/>
      <c r="RPA6" s="406"/>
      <c r="RPB6" s="406"/>
      <c r="RPC6" s="406"/>
      <c r="RPD6" s="406"/>
      <c r="RPE6" s="406"/>
      <c r="RPF6" s="406"/>
      <c r="RPG6" s="406"/>
      <c r="RPH6" s="406"/>
      <c r="RPI6" s="406"/>
      <c r="RPJ6" s="406"/>
      <c r="RPK6" s="406"/>
      <c r="RPL6" s="406"/>
      <c r="RPM6" s="406"/>
      <c r="RPN6" s="406"/>
      <c r="RPO6" s="406"/>
      <c r="RPP6" s="406"/>
      <c r="RPQ6" s="406"/>
      <c r="RPR6" s="406"/>
      <c r="RPS6" s="406"/>
      <c r="RPT6" s="406"/>
      <c r="RPU6" s="406"/>
      <c r="RPV6" s="406"/>
      <c r="RPW6" s="406"/>
      <c r="RPX6" s="406"/>
      <c r="RPY6" s="406"/>
      <c r="RPZ6" s="406"/>
      <c r="RQA6" s="406"/>
      <c r="RQB6" s="406"/>
      <c r="RQC6" s="406"/>
      <c r="RQD6" s="406"/>
      <c r="RQE6" s="406"/>
      <c r="RQF6" s="406"/>
      <c r="RQG6" s="406"/>
      <c r="RQH6" s="406"/>
      <c r="RQI6" s="406"/>
      <c r="RQJ6" s="406"/>
      <c r="RQK6" s="406"/>
      <c r="RQL6" s="406"/>
      <c r="RQM6" s="406"/>
      <c r="RQN6" s="406"/>
      <c r="RQO6" s="406"/>
      <c r="RQP6" s="406"/>
      <c r="RQQ6" s="406"/>
      <c r="RQR6" s="406"/>
      <c r="RQS6" s="406"/>
      <c r="RQT6" s="406"/>
      <c r="RQU6" s="406"/>
      <c r="RQV6" s="406"/>
      <c r="RQW6" s="406"/>
      <c r="RQX6" s="406"/>
      <c r="RQY6" s="406"/>
      <c r="RQZ6" s="406"/>
      <c r="RRA6" s="406"/>
      <c r="RRB6" s="406"/>
      <c r="RRC6" s="406"/>
      <c r="RRD6" s="406"/>
      <c r="RRE6" s="406"/>
      <c r="RRF6" s="406"/>
      <c r="RRG6" s="406"/>
      <c r="RRH6" s="406"/>
      <c r="RRI6" s="406"/>
      <c r="RRJ6" s="406"/>
      <c r="RRK6" s="406"/>
      <c r="RRL6" s="406"/>
      <c r="RRM6" s="406"/>
      <c r="RRN6" s="406"/>
      <c r="RRO6" s="406"/>
      <c r="RRP6" s="406"/>
      <c r="RRQ6" s="406"/>
      <c r="RRR6" s="406"/>
      <c r="RRS6" s="406"/>
      <c r="RRT6" s="406"/>
      <c r="RRU6" s="406"/>
      <c r="RRV6" s="406"/>
      <c r="RRW6" s="406"/>
      <c r="RRX6" s="406"/>
      <c r="RRY6" s="406"/>
      <c r="RRZ6" s="406"/>
      <c r="RSA6" s="406"/>
      <c r="RSB6" s="406"/>
      <c r="RSC6" s="406"/>
      <c r="RSD6" s="406"/>
      <c r="RSE6" s="406"/>
      <c r="RSF6" s="406"/>
      <c r="RSG6" s="406"/>
      <c r="RSH6" s="406"/>
      <c r="RSI6" s="406"/>
      <c r="RSJ6" s="406"/>
      <c r="RSK6" s="406"/>
      <c r="RSL6" s="406"/>
      <c r="RSM6" s="406"/>
      <c r="RSN6" s="406"/>
      <c r="RSO6" s="406"/>
      <c r="RSP6" s="406"/>
      <c r="RSQ6" s="406"/>
      <c r="RSR6" s="406"/>
      <c r="RSS6" s="406"/>
      <c r="RST6" s="406"/>
      <c r="RSU6" s="406"/>
      <c r="RSV6" s="406"/>
      <c r="RSW6" s="406"/>
      <c r="RSX6" s="406"/>
      <c r="RSY6" s="406"/>
      <c r="RSZ6" s="406"/>
      <c r="RTA6" s="406"/>
      <c r="RTB6" s="406"/>
      <c r="RTC6" s="406"/>
      <c r="RTD6" s="406"/>
      <c r="RTE6" s="406"/>
      <c r="RTF6" s="406"/>
      <c r="RTG6" s="406"/>
      <c r="RTH6" s="406"/>
      <c r="RTI6" s="406"/>
      <c r="RTJ6" s="406"/>
      <c r="RTK6" s="406"/>
      <c r="RTL6" s="406"/>
      <c r="RTM6" s="406"/>
      <c r="RTN6" s="406"/>
      <c r="RTO6" s="406"/>
      <c r="RTP6" s="406"/>
      <c r="RTQ6" s="406"/>
      <c r="RTR6" s="406"/>
      <c r="RTS6" s="406"/>
      <c r="RTT6" s="406"/>
      <c r="RTU6" s="406"/>
      <c r="RTV6" s="406"/>
      <c r="RTW6" s="406"/>
      <c r="RTX6" s="406"/>
      <c r="RTY6" s="406"/>
      <c r="RTZ6" s="406"/>
      <c r="RUA6" s="406"/>
      <c r="RUB6" s="406"/>
      <c r="RUC6" s="406"/>
      <c r="RUD6" s="406"/>
      <c r="RUE6" s="406"/>
      <c r="RUF6" s="406"/>
      <c r="RUG6" s="406"/>
      <c r="RUH6" s="406"/>
      <c r="RUI6" s="406"/>
      <c r="RUJ6" s="406"/>
      <c r="RUK6" s="406"/>
      <c r="RUL6" s="406"/>
      <c r="RUM6" s="406"/>
      <c r="RUN6" s="406"/>
      <c r="RUO6" s="406"/>
      <c r="RUP6" s="406"/>
      <c r="RUQ6" s="406"/>
      <c r="RUR6" s="406"/>
      <c r="RUS6" s="406"/>
      <c r="RUT6" s="406"/>
      <c r="RUU6" s="406"/>
      <c r="RUV6" s="406"/>
      <c r="RUW6" s="406"/>
      <c r="RUX6" s="406"/>
      <c r="RUY6" s="406"/>
      <c r="RUZ6" s="406"/>
      <c r="RVA6" s="406"/>
      <c r="RVB6" s="406"/>
      <c r="RVC6" s="406"/>
      <c r="RVD6" s="406"/>
      <c r="RVE6" s="406"/>
      <c r="RVF6" s="406"/>
      <c r="RVG6" s="406"/>
      <c r="RVH6" s="406"/>
      <c r="RVI6" s="406"/>
      <c r="RVJ6" s="406"/>
      <c r="RVK6" s="406"/>
      <c r="RVL6" s="406"/>
      <c r="RVM6" s="406"/>
      <c r="RVN6" s="406"/>
      <c r="RVO6" s="406"/>
      <c r="RVP6" s="406"/>
      <c r="RVQ6" s="406"/>
      <c r="RVR6" s="406"/>
      <c r="RVS6" s="406"/>
      <c r="RVT6" s="406"/>
      <c r="RVU6" s="406"/>
      <c r="RVV6" s="406"/>
      <c r="RVW6" s="406"/>
      <c r="RVX6" s="406"/>
      <c r="RVY6" s="406"/>
      <c r="RVZ6" s="406"/>
      <c r="RWA6" s="406"/>
      <c r="RWB6" s="406"/>
      <c r="RWC6" s="406"/>
      <c r="RWD6" s="406"/>
      <c r="RWE6" s="406"/>
      <c r="RWF6" s="406"/>
      <c r="RWG6" s="406"/>
      <c r="RWH6" s="406"/>
      <c r="RWI6" s="406"/>
      <c r="RWJ6" s="406"/>
      <c r="RWK6" s="406"/>
      <c r="RWL6" s="406"/>
      <c r="RWM6" s="406"/>
      <c r="RWN6" s="406"/>
      <c r="RWO6" s="406"/>
      <c r="RWP6" s="406"/>
      <c r="RWQ6" s="406"/>
      <c r="RWR6" s="406"/>
      <c r="RWS6" s="406"/>
      <c r="RWT6" s="406"/>
      <c r="RWU6" s="406"/>
      <c r="RWV6" s="406"/>
      <c r="RWW6" s="406"/>
      <c r="RWX6" s="406"/>
      <c r="RWY6" s="406"/>
      <c r="RWZ6" s="406"/>
      <c r="RXA6" s="406"/>
      <c r="RXB6" s="406"/>
      <c r="RXC6" s="406"/>
      <c r="RXD6" s="406"/>
      <c r="RXE6" s="406"/>
      <c r="RXF6" s="406"/>
      <c r="RXG6" s="406"/>
      <c r="RXH6" s="406"/>
      <c r="RXI6" s="406"/>
      <c r="RXJ6" s="406"/>
      <c r="RXK6" s="406"/>
      <c r="RXL6" s="406"/>
      <c r="RXM6" s="406"/>
      <c r="RXN6" s="406"/>
      <c r="RXO6" s="406"/>
      <c r="RXP6" s="406"/>
      <c r="RXQ6" s="406"/>
      <c r="RXR6" s="406"/>
      <c r="RXS6" s="406"/>
      <c r="RXT6" s="406"/>
      <c r="RXU6" s="406"/>
      <c r="RXV6" s="406"/>
      <c r="RXW6" s="406"/>
      <c r="RXX6" s="406"/>
      <c r="RXY6" s="406"/>
      <c r="RXZ6" s="406"/>
      <c r="RYA6" s="406"/>
      <c r="RYB6" s="406"/>
      <c r="RYC6" s="406"/>
      <c r="RYD6" s="406"/>
      <c r="RYE6" s="406"/>
      <c r="RYF6" s="406"/>
      <c r="RYG6" s="406"/>
      <c r="RYH6" s="406"/>
      <c r="RYI6" s="406"/>
      <c r="RYJ6" s="406"/>
      <c r="RYK6" s="406"/>
      <c r="RYL6" s="406"/>
      <c r="RYM6" s="406"/>
      <c r="RYN6" s="406"/>
      <c r="RYO6" s="406"/>
      <c r="RYP6" s="406"/>
      <c r="RYQ6" s="406"/>
      <c r="RYR6" s="406"/>
      <c r="RYS6" s="406"/>
      <c r="RYT6" s="406"/>
      <c r="RYU6" s="406"/>
      <c r="RYV6" s="406"/>
      <c r="RYW6" s="406"/>
      <c r="RYX6" s="406"/>
      <c r="RYY6" s="406"/>
      <c r="RYZ6" s="406"/>
      <c r="RZA6" s="406"/>
      <c r="RZB6" s="406"/>
      <c r="RZC6" s="406"/>
      <c r="RZD6" s="406"/>
      <c r="RZE6" s="406"/>
      <c r="RZF6" s="406"/>
      <c r="RZG6" s="406"/>
      <c r="RZH6" s="406"/>
      <c r="RZI6" s="406"/>
      <c r="RZJ6" s="406"/>
      <c r="RZK6" s="406"/>
      <c r="RZL6" s="406"/>
      <c r="RZM6" s="406"/>
      <c r="RZN6" s="406"/>
      <c r="RZO6" s="406"/>
      <c r="RZP6" s="406"/>
      <c r="RZQ6" s="406"/>
      <c r="RZR6" s="406"/>
      <c r="RZS6" s="406"/>
      <c r="RZT6" s="406"/>
      <c r="RZU6" s="406"/>
      <c r="RZV6" s="406"/>
      <c r="RZW6" s="406"/>
      <c r="RZX6" s="406"/>
      <c r="RZY6" s="406"/>
      <c r="RZZ6" s="406"/>
      <c r="SAA6" s="406"/>
      <c r="SAB6" s="406"/>
      <c r="SAC6" s="406"/>
      <c r="SAD6" s="406"/>
      <c r="SAE6" s="406"/>
      <c r="SAF6" s="406"/>
      <c r="SAG6" s="406"/>
      <c r="SAH6" s="406"/>
      <c r="SAI6" s="406"/>
      <c r="SAJ6" s="406"/>
      <c r="SAK6" s="406"/>
      <c r="SAL6" s="406"/>
      <c r="SAM6" s="406"/>
      <c r="SAN6" s="406"/>
      <c r="SAO6" s="406"/>
      <c r="SAP6" s="406"/>
      <c r="SAQ6" s="406"/>
      <c r="SAR6" s="406"/>
      <c r="SAS6" s="406"/>
      <c r="SAT6" s="406"/>
      <c r="SAU6" s="406"/>
      <c r="SAV6" s="406"/>
      <c r="SAW6" s="406"/>
      <c r="SAX6" s="406"/>
      <c r="SAY6" s="406"/>
      <c r="SAZ6" s="406"/>
      <c r="SBA6" s="406"/>
      <c r="SBB6" s="406"/>
      <c r="SBC6" s="406"/>
      <c r="SBD6" s="406"/>
      <c r="SBE6" s="406"/>
      <c r="SBF6" s="406"/>
      <c r="SBG6" s="406"/>
      <c r="SBH6" s="406"/>
      <c r="SBI6" s="406"/>
      <c r="SBJ6" s="406"/>
      <c r="SBK6" s="406"/>
      <c r="SBL6" s="406"/>
      <c r="SBM6" s="406"/>
      <c r="SBN6" s="406"/>
      <c r="SBO6" s="406"/>
      <c r="SBP6" s="406"/>
      <c r="SBQ6" s="406"/>
      <c r="SBR6" s="406"/>
      <c r="SBS6" s="406"/>
      <c r="SBT6" s="406"/>
      <c r="SBU6" s="406"/>
      <c r="SBV6" s="406"/>
      <c r="SBW6" s="406"/>
      <c r="SBX6" s="406"/>
      <c r="SBY6" s="406"/>
      <c r="SBZ6" s="406"/>
      <c r="SCA6" s="406"/>
      <c r="SCB6" s="406"/>
      <c r="SCC6" s="406"/>
      <c r="SCD6" s="406"/>
      <c r="SCE6" s="406"/>
      <c r="SCF6" s="406"/>
      <c r="SCG6" s="406"/>
      <c r="SCH6" s="406"/>
      <c r="SCI6" s="406"/>
      <c r="SCJ6" s="406"/>
      <c r="SCK6" s="406"/>
      <c r="SCL6" s="406"/>
      <c r="SCM6" s="406"/>
      <c r="SCN6" s="406"/>
      <c r="SCO6" s="406"/>
      <c r="SCP6" s="406"/>
      <c r="SCQ6" s="406"/>
      <c r="SCR6" s="406"/>
      <c r="SCS6" s="406"/>
      <c r="SCT6" s="406"/>
      <c r="SCU6" s="406"/>
      <c r="SCV6" s="406"/>
      <c r="SCW6" s="406"/>
      <c r="SCX6" s="406"/>
      <c r="SCY6" s="406"/>
      <c r="SCZ6" s="406"/>
      <c r="SDA6" s="406"/>
      <c r="SDB6" s="406"/>
      <c r="SDC6" s="406"/>
      <c r="SDD6" s="406"/>
      <c r="SDE6" s="406"/>
      <c r="SDF6" s="406"/>
      <c r="SDG6" s="406"/>
      <c r="SDH6" s="406"/>
      <c r="SDI6" s="406"/>
      <c r="SDJ6" s="406"/>
      <c r="SDK6" s="406"/>
      <c r="SDL6" s="406"/>
      <c r="SDM6" s="406"/>
      <c r="SDN6" s="406"/>
      <c r="SDO6" s="406"/>
      <c r="SDP6" s="406"/>
      <c r="SDQ6" s="406"/>
      <c r="SDR6" s="406"/>
      <c r="SDS6" s="406"/>
      <c r="SDT6" s="406"/>
      <c r="SDU6" s="406"/>
      <c r="SDV6" s="406"/>
      <c r="SDW6" s="406"/>
      <c r="SDX6" s="406"/>
      <c r="SDY6" s="406"/>
      <c r="SDZ6" s="406"/>
      <c r="SEA6" s="406"/>
      <c r="SEB6" s="406"/>
      <c r="SEC6" s="406"/>
      <c r="SED6" s="406"/>
      <c r="SEE6" s="406"/>
      <c r="SEF6" s="406"/>
      <c r="SEG6" s="406"/>
      <c r="SEH6" s="406"/>
      <c r="SEI6" s="406"/>
      <c r="SEJ6" s="406"/>
      <c r="SEK6" s="406"/>
      <c r="SEL6" s="406"/>
      <c r="SEM6" s="406"/>
      <c r="SEN6" s="406"/>
      <c r="SEO6" s="406"/>
      <c r="SEP6" s="406"/>
      <c r="SEQ6" s="406"/>
      <c r="SER6" s="406"/>
      <c r="SES6" s="406"/>
      <c r="SET6" s="406"/>
      <c r="SEU6" s="406"/>
      <c r="SEV6" s="406"/>
      <c r="SEW6" s="406"/>
      <c r="SEX6" s="406"/>
      <c r="SEY6" s="406"/>
      <c r="SEZ6" s="406"/>
      <c r="SFA6" s="406"/>
      <c r="SFB6" s="406"/>
      <c r="SFC6" s="406"/>
      <c r="SFD6" s="406"/>
      <c r="SFE6" s="406"/>
      <c r="SFF6" s="406"/>
      <c r="SFG6" s="406"/>
      <c r="SFH6" s="406"/>
      <c r="SFI6" s="406"/>
      <c r="SFJ6" s="406"/>
      <c r="SFK6" s="406"/>
      <c r="SFL6" s="406"/>
      <c r="SFM6" s="406"/>
      <c r="SFN6" s="406"/>
      <c r="SFO6" s="406"/>
      <c r="SFP6" s="406"/>
      <c r="SFQ6" s="406"/>
      <c r="SFR6" s="406"/>
      <c r="SFS6" s="406"/>
      <c r="SFT6" s="406"/>
      <c r="SFU6" s="406"/>
      <c r="SFV6" s="406"/>
      <c r="SFW6" s="406"/>
      <c r="SFX6" s="406"/>
      <c r="SFY6" s="406"/>
      <c r="SFZ6" s="406"/>
      <c r="SGA6" s="406"/>
      <c r="SGB6" s="406"/>
      <c r="SGC6" s="406"/>
      <c r="SGD6" s="406"/>
      <c r="SGE6" s="406"/>
      <c r="SGF6" s="406"/>
      <c r="SGG6" s="406"/>
      <c r="SGH6" s="406"/>
      <c r="SGI6" s="406"/>
      <c r="SGJ6" s="406"/>
      <c r="SGK6" s="406"/>
      <c r="SGL6" s="406"/>
      <c r="SGM6" s="406"/>
      <c r="SGN6" s="406"/>
      <c r="SGO6" s="406"/>
      <c r="SGP6" s="406"/>
      <c r="SGQ6" s="406"/>
      <c r="SGR6" s="406"/>
      <c r="SGS6" s="406"/>
      <c r="SGT6" s="406"/>
      <c r="SGU6" s="406"/>
      <c r="SGV6" s="406"/>
      <c r="SGW6" s="406"/>
      <c r="SGX6" s="406"/>
      <c r="SGY6" s="406"/>
      <c r="SGZ6" s="406"/>
      <c r="SHA6" s="406"/>
      <c r="SHB6" s="406"/>
      <c r="SHC6" s="406"/>
      <c r="SHD6" s="406"/>
      <c r="SHE6" s="406"/>
      <c r="SHF6" s="406"/>
      <c r="SHG6" s="406"/>
      <c r="SHH6" s="406"/>
      <c r="SHI6" s="406"/>
      <c r="SHJ6" s="406"/>
      <c r="SHK6" s="406"/>
      <c r="SHL6" s="406"/>
      <c r="SHM6" s="406"/>
      <c r="SHN6" s="406"/>
      <c r="SHO6" s="406"/>
      <c r="SHP6" s="406"/>
      <c r="SHQ6" s="406"/>
      <c r="SHR6" s="406"/>
      <c r="SHS6" s="406"/>
      <c r="SHT6" s="406"/>
      <c r="SHU6" s="406"/>
      <c r="SHV6" s="406"/>
      <c r="SHW6" s="406"/>
      <c r="SHX6" s="406"/>
      <c r="SHY6" s="406"/>
      <c r="SHZ6" s="406"/>
      <c r="SIA6" s="406"/>
      <c r="SIB6" s="406"/>
      <c r="SIC6" s="406"/>
      <c r="SID6" s="406"/>
      <c r="SIE6" s="406"/>
      <c r="SIF6" s="406"/>
      <c r="SIG6" s="406"/>
      <c r="SIH6" s="406"/>
      <c r="SII6" s="406"/>
      <c r="SIJ6" s="406"/>
      <c r="SIK6" s="406"/>
      <c r="SIL6" s="406"/>
      <c r="SIM6" s="406"/>
      <c r="SIN6" s="406"/>
      <c r="SIO6" s="406"/>
      <c r="SIP6" s="406"/>
      <c r="SIQ6" s="406"/>
      <c r="SIR6" s="406"/>
      <c r="SIS6" s="406"/>
      <c r="SIT6" s="406"/>
      <c r="SIU6" s="406"/>
      <c r="SIV6" s="406"/>
      <c r="SIW6" s="406"/>
      <c r="SIX6" s="406"/>
      <c r="SIY6" s="406"/>
      <c r="SIZ6" s="406"/>
      <c r="SJA6" s="406"/>
      <c r="SJB6" s="406"/>
      <c r="SJC6" s="406"/>
      <c r="SJD6" s="406"/>
      <c r="SJE6" s="406"/>
      <c r="SJF6" s="406"/>
      <c r="SJG6" s="406"/>
      <c r="SJH6" s="406"/>
      <c r="SJI6" s="406"/>
      <c r="SJJ6" s="406"/>
      <c r="SJK6" s="406"/>
      <c r="SJL6" s="406"/>
      <c r="SJM6" s="406"/>
      <c r="SJN6" s="406"/>
      <c r="SJO6" s="406"/>
      <c r="SJP6" s="406"/>
      <c r="SJQ6" s="406"/>
      <c r="SJR6" s="406"/>
      <c r="SJS6" s="406"/>
      <c r="SJT6" s="406"/>
      <c r="SJU6" s="406"/>
      <c r="SJV6" s="406"/>
      <c r="SJW6" s="406"/>
      <c r="SJX6" s="406"/>
      <c r="SJY6" s="406"/>
      <c r="SJZ6" s="406"/>
      <c r="SKA6" s="406"/>
      <c r="SKB6" s="406"/>
      <c r="SKC6" s="406"/>
      <c r="SKD6" s="406"/>
      <c r="SKE6" s="406"/>
      <c r="SKF6" s="406"/>
      <c r="SKG6" s="406"/>
      <c r="SKH6" s="406"/>
      <c r="SKI6" s="406"/>
      <c r="SKJ6" s="406"/>
      <c r="SKK6" s="406"/>
      <c r="SKL6" s="406"/>
      <c r="SKM6" s="406"/>
      <c r="SKN6" s="406"/>
      <c r="SKO6" s="406"/>
      <c r="SKP6" s="406"/>
      <c r="SKQ6" s="406"/>
      <c r="SKR6" s="406"/>
      <c r="SKS6" s="406"/>
      <c r="SKT6" s="406"/>
      <c r="SKU6" s="406"/>
      <c r="SKV6" s="406"/>
      <c r="SKW6" s="406"/>
      <c r="SKX6" s="406"/>
      <c r="SKY6" s="406"/>
      <c r="SKZ6" s="406"/>
      <c r="SLA6" s="406"/>
      <c r="SLB6" s="406"/>
      <c r="SLC6" s="406"/>
      <c r="SLD6" s="406"/>
      <c r="SLE6" s="406"/>
      <c r="SLF6" s="406"/>
      <c r="SLG6" s="406"/>
      <c r="SLH6" s="406"/>
      <c r="SLI6" s="406"/>
      <c r="SLJ6" s="406"/>
      <c r="SLK6" s="406"/>
      <c r="SLL6" s="406"/>
      <c r="SLM6" s="406"/>
      <c r="SLN6" s="406"/>
      <c r="SLO6" s="406"/>
      <c r="SLP6" s="406"/>
      <c r="SLQ6" s="406"/>
      <c r="SLR6" s="406"/>
      <c r="SLS6" s="406"/>
      <c r="SLT6" s="406"/>
      <c r="SLU6" s="406"/>
      <c r="SLV6" s="406"/>
      <c r="SLW6" s="406"/>
      <c r="SLX6" s="406"/>
      <c r="SLY6" s="406"/>
      <c r="SLZ6" s="406"/>
      <c r="SMA6" s="406"/>
      <c r="SMB6" s="406"/>
      <c r="SMC6" s="406"/>
      <c r="SMD6" s="406"/>
      <c r="SME6" s="406"/>
      <c r="SMF6" s="406"/>
      <c r="SMG6" s="406"/>
      <c r="SMH6" s="406"/>
      <c r="SMI6" s="406"/>
      <c r="SMJ6" s="406"/>
      <c r="SMK6" s="406"/>
      <c r="SML6" s="406"/>
      <c r="SMM6" s="406"/>
      <c r="SMN6" s="406"/>
      <c r="SMO6" s="406"/>
      <c r="SMP6" s="406"/>
      <c r="SMQ6" s="406"/>
      <c r="SMR6" s="406"/>
      <c r="SMS6" s="406"/>
      <c r="SMT6" s="406"/>
      <c r="SMU6" s="406"/>
      <c r="SMV6" s="406"/>
      <c r="SMW6" s="406"/>
      <c r="SMX6" s="406"/>
      <c r="SMY6" s="406"/>
      <c r="SMZ6" s="406"/>
      <c r="SNA6" s="406"/>
      <c r="SNB6" s="406"/>
      <c r="SNC6" s="406"/>
      <c r="SND6" s="406"/>
      <c r="SNE6" s="406"/>
      <c r="SNF6" s="406"/>
      <c r="SNG6" s="406"/>
      <c r="SNH6" s="406"/>
      <c r="SNI6" s="406"/>
      <c r="SNJ6" s="406"/>
      <c r="SNK6" s="406"/>
      <c r="SNL6" s="406"/>
      <c r="SNM6" s="406"/>
      <c r="SNN6" s="406"/>
      <c r="SNO6" s="406"/>
      <c r="SNP6" s="406"/>
      <c r="SNQ6" s="406"/>
      <c r="SNR6" s="406"/>
      <c r="SNS6" s="406"/>
      <c r="SNT6" s="406"/>
      <c r="SNU6" s="406"/>
      <c r="SNV6" s="406"/>
      <c r="SNW6" s="406"/>
      <c r="SNX6" s="406"/>
      <c r="SNY6" s="406"/>
      <c r="SNZ6" s="406"/>
      <c r="SOA6" s="406"/>
      <c r="SOB6" s="406"/>
      <c r="SOC6" s="406"/>
      <c r="SOD6" s="406"/>
      <c r="SOE6" s="406"/>
      <c r="SOF6" s="406"/>
      <c r="SOG6" s="406"/>
      <c r="SOH6" s="406"/>
      <c r="SOI6" s="406"/>
      <c r="SOJ6" s="406"/>
      <c r="SOK6" s="406"/>
      <c r="SOL6" s="406"/>
      <c r="SOM6" s="406"/>
      <c r="SON6" s="406"/>
      <c r="SOO6" s="406"/>
      <c r="SOP6" s="406"/>
      <c r="SOQ6" s="406"/>
      <c r="SOR6" s="406"/>
      <c r="SOS6" s="406"/>
      <c r="SOT6" s="406"/>
      <c r="SOU6" s="406"/>
      <c r="SOV6" s="406"/>
      <c r="SOW6" s="406"/>
      <c r="SOX6" s="406"/>
      <c r="SOY6" s="406"/>
      <c r="SOZ6" s="406"/>
      <c r="SPA6" s="406"/>
      <c r="SPB6" s="406"/>
      <c r="SPC6" s="406"/>
      <c r="SPD6" s="406"/>
      <c r="SPE6" s="406"/>
      <c r="SPF6" s="406"/>
      <c r="SPG6" s="406"/>
      <c r="SPH6" s="406"/>
      <c r="SPI6" s="406"/>
      <c r="SPJ6" s="406"/>
      <c r="SPK6" s="406"/>
      <c r="SPL6" s="406"/>
      <c r="SPM6" s="406"/>
      <c r="SPN6" s="406"/>
      <c r="SPO6" s="406"/>
      <c r="SPP6" s="406"/>
      <c r="SPQ6" s="406"/>
      <c r="SPR6" s="406"/>
      <c r="SPS6" s="406"/>
      <c r="SPT6" s="406"/>
      <c r="SPU6" s="406"/>
      <c r="SPV6" s="406"/>
      <c r="SPW6" s="406"/>
      <c r="SPX6" s="406"/>
      <c r="SPY6" s="406"/>
      <c r="SPZ6" s="406"/>
      <c r="SQA6" s="406"/>
      <c r="SQB6" s="406"/>
      <c r="SQC6" s="406"/>
      <c r="SQD6" s="406"/>
      <c r="SQE6" s="406"/>
      <c r="SQF6" s="406"/>
      <c r="SQG6" s="406"/>
      <c r="SQH6" s="406"/>
      <c r="SQI6" s="406"/>
      <c r="SQJ6" s="406"/>
      <c r="SQK6" s="406"/>
      <c r="SQL6" s="406"/>
      <c r="SQM6" s="406"/>
      <c r="SQN6" s="406"/>
      <c r="SQO6" s="406"/>
      <c r="SQP6" s="406"/>
      <c r="SQQ6" s="406"/>
      <c r="SQR6" s="406"/>
      <c r="SQS6" s="406"/>
      <c r="SQT6" s="406"/>
      <c r="SQU6" s="406"/>
      <c r="SQV6" s="406"/>
      <c r="SQW6" s="406"/>
      <c r="SQX6" s="406"/>
      <c r="SQY6" s="406"/>
      <c r="SQZ6" s="406"/>
      <c r="SRA6" s="406"/>
      <c r="SRB6" s="406"/>
      <c r="SRC6" s="406"/>
      <c r="SRD6" s="406"/>
      <c r="SRE6" s="406"/>
      <c r="SRF6" s="406"/>
      <c r="SRG6" s="406"/>
      <c r="SRH6" s="406"/>
      <c r="SRI6" s="406"/>
      <c r="SRJ6" s="406"/>
      <c r="SRK6" s="406"/>
      <c r="SRL6" s="406"/>
      <c r="SRM6" s="406"/>
      <c r="SRN6" s="406"/>
      <c r="SRO6" s="406"/>
      <c r="SRP6" s="406"/>
      <c r="SRQ6" s="406"/>
      <c r="SRR6" s="406"/>
      <c r="SRS6" s="406"/>
      <c r="SRT6" s="406"/>
      <c r="SRU6" s="406"/>
      <c r="SRV6" s="406"/>
      <c r="SRW6" s="406"/>
      <c r="SRX6" s="406"/>
      <c r="SRY6" s="406"/>
      <c r="SRZ6" s="406"/>
      <c r="SSA6" s="406"/>
      <c r="SSB6" s="406"/>
      <c r="SSC6" s="406"/>
      <c r="SSD6" s="406"/>
      <c r="SSE6" s="406"/>
      <c r="SSF6" s="406"/>
      <c r="SSG6" s="406"/>
      <c r="SSH6" s="406"/>
      <c r="SSI6" s="406"/>
      <c r="SSJ6" s="406"/>
      <c r="SSK6" s="406"/>
      <c r="SSL6" s="406"/>
      <c r="SSM6" s="406"/>
      <c r="SSN6" s="406"/>
      <c r="SSO6" s="406"/>
      <c r="SSP6" s="406"/>
      <c r="SSQ6" s="406"/>
      <c r="SSR6" s="406"/>
      <c r="SSS6" s="406"/>
      <c r="SST6" s="406"/>
      <c r="SSU6" s="406"/>
      <c r="SSV6" s="406"/>
      <c r="SSW6" s="406"/>
      <c r="SSX6" s="406"/>
      <c r="SSY6" s="406"/>
      <c r="SSZ6" s="406"/>
      <c r="STA6" s="406"/>
      <c r="STB6" s="406"/>
      <c r="STC6" s="406"/>
      <c r="STD6" s="406"/>
      <c r="STE6" s="406"/>
      <c r="STF6" s="406"/>
      <c r="STG6" s="406"/>
      <c r="STH6" s="406"/>
      <c r="STI6" s="406"/>
      <c r="STJ6" s="406"/>
      <c r="STK6" s="406"/>
      <c r="STL6" s="406"/>
      <c r="STM6" s="406"/>
      <c r="STN6" s="406"/>
      <c r="STO6" s="406"/>
      <c r="STP6" s="406"/>
      <c r="STQ6" s="406"/>
      <c r="STR6" s="406"/>
      <c r="STS6" s="406"/>
      <c r="STT6" s="406"/>
      <c r="STU6" s="406"/>
      <c r="STV6" s="406"/>
      <c r="STW6" s="406"/>
      <c r="STX6" s="406"/>
      <c r="STY6" s="406"/>
      <c r="STZ6" s="406"/>
      <c r="SUA6" s="406"/>
      <c r="SUB6" s="406"/>
      <c r="SUC6" s="406"/>
      <c r="SUD6" s="406"/>
      <c r="SUE6" s="406"/>
      <c r="SUF6" s="406"/>
      <c r="SUG6" s="406"/>
      <c r="SUH6" s="406"/>
      <c r="SUI6" s="406"/>
      <c r="SUJ6" s="406"/>
      <c r="SUK6" s="406"/>
      <c r="SUL6" s="406"/>
      <c r="SUM6" s="406"/>
      <c r="SUN6" s="406"/>
      <c r="SUO6" s="406"/>
      <c r="SUP6" s="406"/>
      <c r="SUQ6" s="406"/>
      <c r="SUR6" s="406"/>
      <c r="SUS6" s="406"/>
      <c r="SUT6" s="406"/>
      <c r="SUU6" s="406"/>
      <c r="SUV6" s="406"/>
      <c r="SUW6" s="406"/>
      <c r="SUX6" s="406"/>
      <c r="SUY6" s="406"/>
      <c r="SUZ6" s="406"/>
      <c r="SVA6" s="406"/>
      <c r="SVB6" s="406"/>
      <c r="SVC6" s="406"/>
      <c r="SVD6" s="406"/>
      <c r="SVE6" s="406"/>
      <c r="SVF6" s="406"/>
      <c r="SVG6" s="406"/>
      <c r="SVH6" s="406"/>
      <c r="SVI6" s="406"/>
      <c r="SVJ6" s="406"/>
      <c r="SVK6" s="406"/>
      <c r="SVL6" s="406"/>
      <c r="SVM6" s="406"/>
      <c r="SVN6" s="406"/>
      <c r="SVO6" s="406"/>
      <c r="SVP6" s="406"/>
      <c r="SVQ6" s="406"/>
      <c r="SVR6" s="406"/>
      <c r="SVS6" s="406"/>
      <c r="SVT6" s="406"/>
      <c r="SVU6" s="406"/>
      <c r="SVV6" s="406"/>
      <c r="SVW6" s="406"/>
      <c r="SVX6" s="406"/>
      <c r="SVY6" s="406"/>
      <c r="SVZ6" s="406"/>
      <c r="SWA6" s="406"/>
      <c r="SWB6" s="406"/>
      <c r="SWC6" s="406"/>
      <c r="SWD6" s="406"/>
      <c r="SWE6" s="406"/>
      <c r="SWF6" s="406"/>
      <c r="SWG6" s="406"/>
      <c r="SWH6" s="406"/>
      <c r="SWI6" s="406"/>
      <c r="SWJ6" s="406"/>
      <c r="SWK6" s="406"/>
      <c r="SWL6" s="406"/>
      <c r="SWM6" s="406"/>
      <c r="SWN6" s="406"/>
      <c r="SWO6" s="406"/>
      <c r="SWP6" s="406"/>
      <c r="SWQ6" s="406"/>
      <c r="SWR6" s="406"/>
      <c r="SWS6" s="406"/>
      <c r="SWT6" s="406"/>
      <c r="SWU6" s="406"/>
      <c r="SWV6" s="406"/>
      <c r="SWW6" s="406"/>
      <c r="SWX6" s="406"/>
      <c r="SWY6" s="406"/>
      <c r="SWZ6" s="406"/>
      <c r="SXA6" s="406"/>
      <c r="SXB6" s="406"/>
      <c r="SXC6" s="406"/>
      <c r="SXD6" s="406"/>
      <c r="SXE6" s="406"/>
      <c r="SXF6" s="406"/>
      <c r="SXG6" s="406"/>
      <c r="SXH6" s="406"/>
      <c r="SXI6" s="406"/>
      <c r="SXJ6" s="406"/>
      <c r="SXK6" s="406"/>
      <c r="SXL6" s="406"/>
      <c r="SXM6" s="406"/>
      <c r="SXN6" s="406"/>
      <c r="SXO6" s="406"/>
      <c r="SXP6" s="406"/>
      <c r="SXQ6" s="406"/>
      <c r="SXR6" s="406"/>
      <c r="SXS6" s="406"/>
      <c r="SXT6" s="406"/>
      <c r="SXU6" s="406"/>
      <c r="SXV6" s="406"/>
      <c r="SXW6" s="406"/>
      <c r="SXX6" s="406"/>
      <c r="SXY6" s="406"/>
      <c r="SXZ6" s="406"/>
      <c r="SYA6" s="406"/>
      <c r="SYB6" s="406"/>
      <c r="SYC6" s="406"/>
      <c r="SYD6" s="406"/>
      <c r="SYE6" s="406"/>
      <c r="SYF6" s="406"/>
      <c r="SYG6" s="406"/>
      <c r="SYH6" s="406"/>
      <c r="SYI6" s="406"/>
      <c r="SYJ6" s="406"/>
      <c r="SYK6" s="406"/>
      <c r="SYL6" s="406"/>
      <c r="SYM6" s="406"/>
      <c r="SYN6" s="406"/>
      <c r="SYO6" s="406"/>
      <c r="SYP6" s="406"/>
      <c r="SYQ6" s="406"/>
      <c r="SYR6" s="406"/>
      <c r="SYS6" s="406"/>
      <c r="SYT6" s="406"/>
      <c r="SYU6" s="406"/>
      <c r="SYV6" s="406"/>
      <c r="SYW6" s="406"/>
      <c r="SYX6" s="406"/>
      <c r="SYY6" s="406"/>
      <c r="SYZ6" s="406"/>
      <c r="SZA6" s="406"/>
      <c r="SZB6" s="406"/>
      <c r="SZC6" s="406"/>
      <c r="SZD6" s="406"/>
      <c r="SZE6" s="406"/>
      <c r="SZF6" s="406"/>
      <c r="SZG6" s="406"/>
      <c r="SZH6" s="406"/>
      <c r="SZI6" s="406"/>
      <c r="SZJ6" s="406"/>
      <c r="SZK6" s="406"/>
      <c r="SZL6" s="406"/>
      <c r="SZM6" s="406"/>
      <c r="SZN6" s="406"/>
      <c r="SZO6" s="406"/>
      <c r="SZP6" s="406"/>
      <c r="SZQ6" s="406"/>
      <c r="SZR6" s="406"/>
      <c r="SZS6" s="406"/>
      <c r="SZT6" s="406"/>
      <c r="SZU6" s="406"/>
      <c r="SZV6" s="406"/>
      <c r="SZW6" s="406"/>
      <c r="SZX6" s="406"/>
      <c r="SZY6" s="406"/>
      <c r="SZZ6" s="406"/>
      <c r="TAA6" s="406"/>
      <c r="TAB6" s="406"/>
      <c r="TAC6" s="406"/>
      <c r="TAD6" s="406"/>
      <c r="TAE6" s="406"/>
      <c r="TAF6" s="406"/>
      <c r="TAG6" s="406"/>
      <c r="TAH6" s="406"/>
      <c r="TAI6" s="406"/>
      <c r="TAJ6" s="406"/>
      <c r="TAK6" s="406"/>
      <c r="TAL6" s="406"/>
      <c r="TAM6" s="406"/>
      <c r="TAN6" s="406"/>
      <c r="TAO6" s="406"/>
      <c r="TAP6" s="406"/>
      <c r="TAQ6" s="406"/>
      <c r="TAR6" s="406"/>
      <c r="TAS6" s="406"/>
      <c r="TAT6" s="406"/>
      <c r="TAU6" s="406"/>
      <c r="TAV6" s="406"/>
      <c r="TAW6" s="406"/>
      <c r="TAX6" s="406"/>
      <c r="TAY6" s="406"/>
      <c r="TAZ6" s="406"/>
      <c r="TBA6" s="406"/>
      <c r="TBB6" s="406"/>
      <c r="TBC6" s="406"/>
      <c r="TBD6" s="406"/>
      <c r="TBE6" s="406"/>
      <c r="TBF6" s="406"/>
      <c r="TBG6" s="406"/>
      <c r="TBH6" s="406"/>
      <c r="TBI6" s="406"/>
      <c r="TBJ6" s="406"/>
      <c r="TBK6" s="406"/>
      <c r="TBL6" s="406"/>
      <c r="TBM6" s="406"/>
      <c r="TBN6" s="406"/>
      <c r="TBO6" s="406"/>
      <c r="TBP6" s="406"/>
      <c r="TBQ6" s="406"/>
      <c r="TBR6" s="406"/>
      <c r="TBS6" s="406"/>
      <c r="TBT6" s="406"/>
      <c r="TBU6" s="406"/>
      <c r="TBV6" s="406"/>
      <c r="TBW6" s="406"/>
      <c r="TBX6" s="406"/>
      <c r="TBY6" s="406"/>
      <c r="TBZ6" s="406"/>
      <c r="TCA6" s="406"/>
      <c r="TCB6" s="406"/>
      <c r="TCC6" s="406"/>
      <c r="TCD6" s="406"/>
      <c r="TCE6" s="406"/>
      <c r="TCF6" s="406"/>
      <c r="TCG6" s="406"/>
      <c r="TCH6" s="406"/>
      <c r="TCI6" s="406"/>
      <c r="TCJ6" s="406"/>
      <c r="TCK6" s="406"/>
      <c r="TCL6" s="406"/>
      <c r="TCM6" s="406"/>
      <c r="TCN6" s="406"/>
      <c r="TCO6" s="406"/>
      <c r="TCP6" s="406"/>
      <c r="TCQ6" s="406"/>
      <c r="TCR6" s="406"/>
      <c r="TCS6" s="406"/>
      <c r="TCT6" s="406"/>
      <c r="TCU6" s="406"/>
      <c r="TCV6" s="406"/>
      <c r="TCW6" s="406"/>
      <c r="TCX6" s="406"/>
      <c r="TCY6" s="406"/>
      <c r="TCZ6" s="406"/>
      <c r="TDA6" s="406"/>
      <c r="TDB6" s="406"/>
      <c r="TDC6" s="406"/>
      <c r="TDD6" s="406"/>
      <c r="TDE6" s="406"/>
      <c r="TDF6" s="406"/>
      <c r="TDG6" s="406"/>
      <c r="TDH6" s="406"/>
      <c r="TDI6" s="406"/>
      <c r="TDJ6" s="406"/>
      <c r="TDK6" s="406"/>
      <c r="TDL6" s="406"/>
      <c r="TDM6" s="406"/>
      <c r="TDN6" s="406"/>
      <c r="TDO6" s="406"/>
      <c r="TDP6" s="406"/>
      <c r="TDQ6" s="406"/>
      <c r="TDR6" s="406"/>
      <c r="TDS6" s="406"/>
      <c r="TDT6" s="406"/>
      <c r="TDU6" s="406"/>
      <c r="TDV6" s="406"/>
      <c r="TDW6" s="406"/>
      <c r="TDX6" s="406"/>
      <c r="TDY6" s="406"/>
      <c r="TDZ6" s="406"/>
      <c r="TEA6" s="406"/>
      <c r="TEB6" s="406"/>
      <c r="TEC6" s="406"/>
      <c r="TED6" s="406"/>
      <c r="TEE6" s="406"/>
      <c r="TEF6" s="406"/>
      <c r="TEG6" s="406"/>
      <c r="TEH6" s="406"/>
      <c r="TEI6" s="406"/>
      <c r="TEJ6" s="406"/>
      <c r="TEK6" s="406"/>
      <c r="TEL6" s="406"/>
      <c r="TEM6" s="406"/>
      <c r="TEN6" s="406"/>
      <c r="TEO6" s="406"/>
      <c r="TEP6" s="406"/>
      <c r="TEQ6" s="406"/>
      <c r="TER6" s="406"/>
      <c r="TES6" s="406"/>
      <c r="TET6" s="406"/>
      <c r="TEU6" s="406"/>
      <c r="TEV6" s="406"/>
      <c r="TEW6" s="406"/>
      <c r="TEX6" s="406"/>
      <c r="TEY6" s="406"/>
      <c r="TEZ6" s="406"/>
      <c r="TFA6" s="406"/>
      <c r="TFB6" s="406"/>
      <c r="TFC6" s="406"/>
      <c r="TFD6" s="406"/>
      <c r="TFE6" s="406"/>
      <c r="TFF6" s="406"/>
      <c r="TFG6" s="406"/>
      <c r="TFH6" s="406"/>
      <c r="TFI6" s="406"/>
      <c r="TFJ6" s="406"/>
      <c r="TFK6" s="406"/>
      <c r="TFL6" s="406"/>
      <c r="TFM6" s="406"/>
      <c r="TFN6" s="406"/>
      <c r="TFO6" s="406"/>
      <c r="TFP6" s="406"/>
      <c r="TFQ6" s="406"/>
      <c r="TFR6" s="406"/>
      <c r="TFS6" s="406"/>
      <c r="TFT6" s="406"/>
      <c r="TFU6" s="406"/>
      <c r="TFV6" s="406"/>
      <c r="TFW6" s="406"/>
      <c r="TFX6" s="406"/>
      <c r="TFY6" s="406"/>
      <c r="TFZ6" s="406"/>
      <c r="TGA6" s="406"/>
      <c r="TGB6" s="406"/>
      <c r="TGC6" s="406"/>
      <c r="TGD6" s="406"/>
      <c r="TGE6" s="406"/>
      <c r="TGF6" s="406"/>
      <c r="TGG6" s="406"/>
      <c r="TGH6" s="406"/>
      <c r="TGI6" s="406"/>
      <c r="TGJ6" s="406"/>
      <c r="TGK6" s="406"/>
      <c r="TGL6" s="406"/>
      <c r="TGM6" s="406"/>
      <c r="TGN6" s="406"/>
      <c r="TGO6" s="406"/>
      <c r="TGP6" s="406"/>
      <c r="TGQ6" s="406"/>
      <c r="TGR6" s="406"/>
      <c r="TGS6" s="406"/>
      <c r="TGT6" s="406"/>
      <c r="TGU6" s="406"/>
      <c r="TGV6" s="406"/>
      <c r="TGW6" s="406"/>
      <c r="TGX6" s="406"/>
      <c r="TGY6" s="406"/>
      <c r="TGZ6" s="406"/>
      <c r="THA6" s="406"/>
      <c r="THB6" s="406"/>
      <c r="THC6" s="406"/>
      <c r="THD6" s="406"/>
      <c r="THE6" s="406"/>
      <c r="THF6" s="406"/>
      <c r="THG6" s="406"/>
      <c r="THH6" s="406"/>
      <c r="THI6" s="406"/>
      <c r="THJ6" s="406"/>
      <c r="THK6" s="406"/>
      <c r="THL6" s="406"/>
      <c r="THM6" s="406"/>
      <c r="THN6" s="406"/>
      <c r="THO6" s="406"/>
      <c r="THP6" s="406"/>
      <c r="THQ6" s="406"/>
      <c r="THR6" s="406"/>
      <c r="THS6" s="406"/>
      <c r="THT6" s="406"/>
      <c r="THU6" s="406"/>
      <c r="THV6" s="406"/>
      <c r="THW6" s="406"/>
      <c r="THX6" s="406"/>
      <c r="THY6" s="406"/>
      <c r="THZ6" s="406"/>
      <c r="TIA6" s="406"/>
      <c r="TIB6" s="406"/>
      <c r="TIC6" s="406"/>
      <c r="TID6" s="406"/>
      <c r="TIE6" s="406"/>
      <c r="TIF6" s="406"/>
      <c r="TIG6" s="406"/>
      <c r="TIH6" s="406"/>
      <c r="TII6" s="406"/>
      <c r="TIJ6" s="406"/>
      <c r="TIK6" s="406"/>
      <c r="TIL6" s="406"/>
      <c r="TIM6" s="406"/>
      <c r="TIN6" s="406"/>
      <c r="TIO6" s="406"/>
      <c r="TIP6" s="406"/>
      <c r="TIQ6" s="406"/>
      <c r="TIR6" s="406"/>
      <c r="TIS6" s="406"/>
      <c r="TIT6" s="406"/>
      <c r="TIU6" s="406"/>
      <c r="TIV6" s="406"/>
      <c r="TIW6" s="406"/>
      <c r="TIX6" s="406"/>
      <c r="TIY6" s="406"/>
      <c r="TIZ6" s="406"/>
      <c r="TJA6" s="406"/>
      <c r="TJB6" s="406"/>
      <c r="TJC6" s="406"/>
      <c r="TJD6" s="406"/>
      <c r="TJE6" s="406"/>
      <c r="TJF6" s="406"/>
      <c r="TJG6" s="406"/>
      <c r="TJH6" s="406"/>
      <c r="TJI6" s="406"/>
      <c r="TJJ6" s="406"/>
      <c r="TJK6" s="406"/>
      <c r="TJL6" s="406"/>
      <c r="TJM6" s="406"/>
      <c r="TJN6" s="406"/>
      <c r="TJO6" s="406"/>
      <c r="TJP6" s="406"/>
      <c r="TJQ6" s="406"/>
      <c r="TJR6" s="406"/>
      <c r="TJS6" s="406"/>
      <c r="TJT6" s="406"/>
      <c r="TJU6" s="406"/>
      <c r="TJV6" s="406"/>
      <c r="TJW6" s="406"/>
      <c r="TJX6" s="406"/>
      <c r="TJY6" s="406"/>
      <c r="TJZ6" s="406"/>
      <c r="TKA6" s="406"/>
      <c r="TKB6" s="406"/>
      <c r="TKC6" s="406"/>
      <c r="TKD6" s="406"/>
      <c r="TKE6" s="406"/>
      <c r="TKF6" s="406"/>
      <c r="TKG6" s="406"/>
      <c r="TKH6" s="406"/>
      <c r="TKI6" s="406"/>
      <c r="TKJ6" s="406"/>
      <c r="TKK6" s="406"/>
      <c r="TKL6" s="406"/>
      <c r="TKM6" s="406"/>
      <c r="TKN6" s="406"/>
      <c r="TKO6" s="406"/>
      <c r="TKP6" s="406"/>
      <c r="TKQ6" s="406"/>
      <c r="TKR6" s="406"/>
      <c r="TKS6" s="406"/>
      <c r="TKT6" s="406"/>
      <c r="TKU6" s="406"/>
      <c r="TKV6" s="406"/>
      <c r="TKW6" s="406"/>
      <c r="TKX6" s="406"/>
      <c r="TKY6" s="406"/>
      <c r="TKZ6" s="406"/>
      <c r="TLA6" s="406"/>
      <c r="TLB6" s="406"/>
      <c r="TLC6" s="406"/>
      <c r="TLD6" s="406"/>
      <c r="TLE6" s="406"/>
      <c r="TLF6" s="406"/>
      <c r="TLG6" s="406"/>
      <c r="TLH6" s="406"/>
      <c r="TLI6" s="406"/>
      <c r="TLJ6" s="406"/>
      <c r="TLK6" s="406"/>
      <c r="TLL6" s="406"/>
      <c r="TLM6" s="406"/>
      <c r="TLN6" s="406"/>
      <c r="TLO6" s="406"/>
      <c r="TLP6" s="406"/>
      <c r="TLQ6" s="406"/>
      <c r="TLR6" s="406"/>
      <c r="TLS6" s="406"/>
      <c r="TLT6" s="406"/>
      <c r="TLU6" s="406"/>
      <c r="TLV6" s="406"/>
      <c r="TLW6" s="406"/>
      <c r="TLX6" s="406"/>
      <c r="TLY6" s="406"/>
      <c r="TLZ6" s="406"/>
      <c r="TMA6" s="406"/>
      <c r="TMB6" s="406"/>
      <c r="TMC6" s="406"/>
      <c r="TMD6" s="406"/>
      <c r="TME6" s="406"/>
      <c r="TMF6" s="406"/>
      <c r="TMG6" s="406"/>
      <c r="TMH6" s="406"/>
      <c r="TMI6" s="406"/>
      <c r="TMJ6" s="406"/>
      <c r="TMK6" s="406"/>
      <c r="TML6" s="406"/>
      <c r="TMM6" s="406"/>
      <c r="TMN6" s="406"/>
      <c r="TMO6" s="406"/>
      <c r="TMP6" s="406"/>
      <c r="TMQ6" s="406"/>
      <c r="TMR6" s="406"/>
      <c r="TMS6" s="406"/>
      <c r="TMT6" s="406"/>
      <c r="TMU6" s="406"/>
      <c r="TMV6" s="406"/>
      <c r="TMW6" s="406"/>
      <c r="TMX6" s="406"/>
      <c r="TMY6" s="406"/>
      <c r="TMZ6" s="406"/>
      <c r="TNA6" s="406"/>
      <c r="TNB6" s="406"/>
      <c r="TNC6" s="406"/>
      <c r="TND6" s="406"/>
      <c r="TNE6" s="406"/>
      <c r="TNF6" s="406"/>
      <c r="TNG6" s="406"/>
      <c r="TNH6" s="406"/>
      <c r="TNI6" s="406"/>
      <c r="TNJ6" s="406"/>
      <c r="TNK6" s="406"/>
      <c r="TNL6" s="406"/>
      <c r="TNM6" s="406"/>
      <c r="TNN6" s="406"/>
      <c r="TNO6" s="406"/>
      <c r="TNP6" s="406"/>
      <c r="TNQ6" s="406"/>
      <c r="TNR6" s="406"/>
      <c r="TNS6" s="406"/>
      <c r="TNT6" s="406"/>
      <c r="TNU6" s="406"/>
      <c r="TNV6" s="406"/>
      <c r="TNW6" s="406"/>
      <c r="TNX6" s="406"/>
      <c r="TNY6" s="406"/>
      <c r="TNZ6" s="406"/>
      <c r="TOA6" s="406"/>
      <c r="TOB6" s="406"/>
      <c r="TOC6" s="406"/>
      <c r="TOD6" s="406"/>
      <c r="TOE6" s="406"/>
      <c r="TOF6" s="406"/>
      <c r="TOG6" s="406"/>
      <c r="TOH6" s="406"/>
      <c r="TOI6" s="406"/>
      <c r="TOJ6" s="406"/>
      <c r="TOK6" s="406"/>
      <c r="TOL6" s="406"/>
      <c r="TOM6" s="406"/>
      <c r="TON6" s="406"/>
      <c r="TOO6" s="406"/>
      <c r="TOP6" s="406"/>
      <c r="TOQ6" s="406"/>
      <c r="TOR6" s="406"/>
      <c r="TOS6" s="406"/>
      <c r="TOT6" s="406"/>
      <c r="TOU6" s="406"/>
      <c r="TOV6" s="406"/>
      <c r="TOW6" s="406"/>
      <c r="TOX6" s="406"/>
      <c r="TOY6" s="406"/>
      <c r="TOZ6" s="406"/>
      <c r="TPA6" s="406"/>
      <c r="TPB6" s="406"/>
      <c r="TPC6" s="406"/>
      <c r="TPD6" s="406"/>
      <c r="TPE6" s="406"/>
      <c r="TPF6" s="406"/>
      <c r="TPG6" s="406"/>
      <c r="TPH6" s="406"/>
      <c r="TPI6" s="406"/>
      <c r="TPJ6" s="406"/>
      <c r="TPK6" s="406"/>
      <c r="TPL6" s="406"/>
      <c r="TPM6" s="406"/>
      <c r="TPN6" s="406"/>
      <c r="TPO6" s="406"/>
      <c r="TPP6" s="406"/>
      <c r="TPQ6" s="406"/>
      <c r="TPR6" s="406"/>
      <c r="TPS6" s="406"/>
      <c r="TPT6" s="406"/>
      <c r="TPU6" s="406"/>
      <c r="TPV6" s="406"/>
      <c r="TPW6" s="406"/>
      <c r="TPX6" s="406"/>
      <c r="TPY6" s="406"/>
      <c r="TPZ6" s="406"/>
      <c r="TQA6" s="406"/>
      <c r="TQB6" s="406"/>
      <c r="TQC6" s="406"/>
      <c r="TQD6" s="406"/>
      <c r="TQE6" s="406"/>
      <c r="TQF6" s="406"/>
      <c r="TQG6" s="406"/>
      <c r="TQH6" s="406"/>
      <c r="TQI6" s="406"/>
      <c r="TQJ6" s="406"/>
      <c r="TQK6" s="406"/>
      <c r="TQL6" s="406"/>
      <c r="TQM6" s="406"/>
      <c r="TQN6" s="406"/>
      <c r="TQO6" s="406"/>
      <c r="TQP6" s="406"/>
      <c r="TQQ6" s="406"/>
      <c r="TQR6" s="406"/>
      <c r="TQS6" s="406"/>
      <c r="TQT6" s="406"/>
      <c r="TQU6" s="406"/>
      <c r="TQV6" s="406"/>
      <c r="TQW6" s="406"/>
      <c r="TQX6" s="406"/>
      <c r="TQY6" s="406"/>
      <c r="TQZ6" s="406"/>
      <c r="TRA6" s="406"/>
      <c r="TRB6" s="406"/>
      <c r="TRC6" s="406"/>
      <c r="TRD6" s="406"/>
      <c r="TRE6" s="406"/>
      <c r="TRF6" s="406"/>
      <c r="TRG6" s="406"/>
      <c r="TRH6" s="406"/>
      <c r="TRI6" s="406"/>
      <c r="TRJ6" s="406"/>
      <c r="TRK6" s="406"/>
      <c r="TRL6" s="406"/>
      <c r="TRM6" s="406"/>
      <c r="TRN6" s="406"/>
      <c r="TRO6" s="406"/>
      <c r="TRP6" s="406"/>
      <c r="TRQ6" s="406"/>
      <c r="TRR6" s="406"/>
      <c r="TRS6" s="406"/>
      <c r="TRT6" s="406"/>
      <c r="TRU6" s="406"/>
      <c r="TRV6" s="406"/>
      <c r="TRW6" s="406"/>
      <c r="TRX6" s="406"/>
      <c r="TRY6" s="406"/>
      <c r="TRZ6" s="406"/>
      <c r="TSA6" s="406"/>
      <c r="TSB6" s="406"/>
      <c r="TSC6" s="406"/>
      <c r="TSD6" s="406"/>
      <c r="TSE6" s="406"/>
      <c r="TSF6" s="406"/>
      <c r="TSG6" s="406"/>
      <c r="TSH6" s="406"/>
      <c r="TSI6" s="406"/>
      <c r="TSJ6" s="406"/>
      <c r="TSK6" s="406"/>
      <c r="TSL6" s="406"/>
      <c r="TSM6" s="406"/>
      <c r="TSN6" s="406"/>
      <c r="TSO6" s="406"/>
      <c r="TSP6" s="406"/>
      <c r="TSQ6" s="406"/>
      <c r="TSR6" s="406"/>
      <c r="TSS6" s="406"/>
      <c r="TST6" s="406"/>
      <c r="TSU6" s="406"/>
      <c r="TSV6" s="406"/>
      <c r="TSW6" s="406"/>
      <c r="TSX6" s="406"/>
      <c r="TSY6" s="406"/>
      <c r="TSZ6" s="406"/>
      <c r="TTA6" s="406"/>
      <c r="TTB6" s="406"/>
      <c r="TTC6" s="406"/>
      <c r="TTD6" s="406"/>
      <c r="TTE6" s="406"/>
      <c r="TTF6" s="406"/>
      <c r="TTG6" s="406"/>
      <c r="TTH6" s="406"/>
      <c r="TTI6" s="406"/>
      <c r="TTJ6" s="406"/>
      <c r="TTK6" s="406"/>
      <c r="TTL6" s="406"/>
      <c r="TTM6" s="406"/>
      <c r="TTN6" s="406"/>
      <c r="TTO6" s="406"/>
      <c r="TTP6" s="406"/>
      <c r="TTQ6" s="406"/>
      <c r="TTR6" s="406"/>
      <c r="TTS6" s="406"/>
      <c r="TTT6" s="406"/>
      <c r="TTU6" s="406"/>
      <c r="TTV6" s="406"/>
      <c r="TTW6" s="406"/>
      <c r="TTX6" s="406"/>
      <c r="TTY6" s="406"/>
      <c r="TTZ6" s="406"/>
      <c r="TUA6" s="406"/>
      <c r="TUB6" s="406"/>
      <c r="TUC6" s="406"/>
      <c r="TUD6" s="406"/>
      <c r="TUE6" s="406"/>
      <c r="TUF6" s="406"/>
      <c r="TUG6" s="406"/>
      <c r="TUH6" s="406"/>
      <c r="TUI6" s="406"/>
      <c r="TUJ6" s="406"/>
      <c r="TUK6" s="406"/>
      <c r="TUL6" s="406"/>
      <c r="TUM6" s="406"/>
      <c r="TUN6" s="406"/>
      <c r="TUO6" s="406"/>
      <c r="TUP6" s="406"/>
      <c r="TUQ6" s="406"/>
      <c r="TUR6" s="406"/>
      <c r="TUS6" s="406"/>
      <c r="TUT6" s="406"/>
      <c r="TUU6" s="406"/>
      <c r="TUV6" s="406"/>
      <c r="TUW6" s="406"/>
      <c r="TUX6" s="406"/>
      <c r="TUY6" s="406"/>
      <c r="TUZ6" s="406"/>
      <c r="TVA6" s="406"/>
      <c r="TVB6" s="406"/>
      <c r="TVC6" s="406"/>
      <c r="TVD6" s="406"/>
      <c r="TVE6" s="406"/>
      <c r="TVF6" s="406"/>
      <c r="TVG6" s="406"/>
      <c r="TVH6" s="406"/>
      <c r="TVI6" s="406"/>
      <c r="TVJ6" s="406"/>
      <c r="TVK6" s="406"/>
      <c r="TVL6" s="406"/>
      <c r="TVM6" s="406"/>
      <c r="TVN6" s="406"/>
      <c r="TVO6" s="406"/>
      <c r="TVP6" s="406"/>
      <c r="TVQ6" s="406"/>
      <c r="TVR6" s="406"/>
      <c r="TVS6" s="406"/>
      <c r="TVT6" s="406"/>
      <c r="TVU6" s="406"/>
      <c r="TVV6" s="406"/>
      <c r="TVW6" s="406"/>
      <c r="TVX6" s="406"/>
      <c r="TVY6" s="406"/>
      <c r="TVZ6" s="406"/>
      <c r="TWA6" s="406"/>
      <c r="TWB6" s="406"/>
      <c r="TWC6" s="406"/>
      <c r="TWD6" s="406"/>
      <c r="TWE6" s="406"/>
      <c r="TWF6" s="406"/>
      <c r="TWG6" s="406"/>
      <c r="TWH6" s="406"/>
      <c r="TWI6" s="406"/>
      <c r="TWJ6" s="406"/>
      <c r="TWK6" s="406"/>
      <c r="TWL6" s="406"/>
      <c r="TWM6" s="406"/>
      <c r="TWN6" s="406"/>
      <c r="TWO6" s="406"/>
      <c r="TWP6" s="406"/>
      <c r="TWQ6" s="406"/>
      <c r="TWR6" s="406"/>
      <c r="TWS6" s="406"/>
      <c r="TWT6" s="406"/>
      <c r="TWU6" s="406"/>
      <c r="TWV6" s="406"/>
      <c r="TWW6" s="406"/>
      <c r="TWX6" s="406"/>
      <c r="TWY6" s="406"/>
      <c r="TWZ6" s="406"/>
      <c r="TXA6" s="406"/>
      <c r="TXB6" s="406"/>
      <c r="TXC6" s="406"/>
      <c r="TXD6" s="406"/>
      <c r="TXE6" s="406"/>
      <c r="TXF6" s="406"/>
      <c r="TXG6" s="406"/>
      <c r="TXH6" s="406"/>
      <c r="TXI6" s="406"/>
      <c r="TXJ6" s="406"/>
      <c r="TXK6" s="406"/>
      <c r="TXL6" s="406"/>
      <c r="TXM6" s="406"/>
      <c r="TXN6" s="406"/>
      <c r="TXO6" s="406"/>
      <c r="TXP6" s="406"/>
      <c r="TXQ6" s="406"/>
      <c r="TXR6" s="406"/>
      <c r="TXS6" s="406"/>
      <c r="TXT6" s="406"/>
      <c r="TXU6" s="406"/>
      <c r="TXV6" s="406"/>
      <c r="TXW6" s="406"/>
      <c r="TXX6" s="406"/>
      <c r="TXY6" s="406"/>
      <c r="TXZ6" s="406"/>
      <c r="TYA6" s="406"/>
      <c r="TYB6" s="406"/>
      <c r="TYC6" s="406"/>
      <c r="TYD6" s="406"/>
      <c r="TYE6" s="406"/>
      <c r="TYF6" s="406"/>
      <c r="TYG6" s="406"/>
      <c r="TYH6" s="406"/>
      <c r="TYI6" s="406"/>
      <c r="TYJ6" s="406"/>
      <c r="TYK6" s="406"/>
      <c r="TYL6" s="406"/>
      <c r="TYM6" s="406"/>
      <c r="TYN6" s="406"/>
      <c r="TYO6" s="406"/>
      <c r="TYP6" s="406"/>
      <c r="TYQ6" s="406"/>
      <c r="TYR6" s="406"/>
      <c r="TYS6" s="406"/>
      <c r="TYT6" s="406"/>
      <c r="TYU6" s="406"/>
      <c r="TYV6" s="406"/>
      <c r="TYW6" s="406"/>
      <c r="TYX6" s="406"/>
      <c r="TYY6" s="406"/>
      <c r="TYZ6" s="406"/>
      <c r="TZA6" s="406"/>
      <c r="TZB6" s="406"/>
      <c r="TZC6" s="406"/>
      <c r="TZD6" s="406"/>
      <c r="TZE6" s="406"/>
      <c r="TZF6" s="406"/>
      <c r="TZG6" s="406"/>
      <c r="TZH6" s="406"/>
      <c r="TZI6" s="406"/>
      <c r="TZJ6" s="406"/>
      <c r="TZK6" s="406"/>
      <c r="TZL6" s="406"/>
      <c r="TZM6" s="406"/>
      <c r="TZN6" s="406"/>
      <c r="TZO6" s="406"/>
      <c r="TZP6" s="406"/>
      <c r="TZQ6" s="406"/>
      <c r="TZR6" s="406"/>
      <c r="TZS6" s="406"/>
      <c r="TZT6" s="406"/>
      <c r="TZU6" s="406"/>
      <c r="TZV6" s="406"/>
      <c r="TZW6" s="406"/>
      <c r="TZX6" s="406"/>
      <c r="TZY6" s="406"/>
      <c r="TZZ6" s="406"/>
      <c r="UAA6" s="406"/>
      <c r="UAB6" s="406"/>
      <c r="UAC6" s="406"/>
      <c r="UAD6" s="406"/>
      <c r="UAE6" s="406"/>
      <c r="UAF6" s="406"/>
      <c r="UAG6" s="406"/>
      <c r="UAH6" s="406"/>
      <c r="UAI6" s="406"/>
      <c r="UAJ6" s="406"/>
      <c r="UAK6" s="406"/>
      <c r="UAL6" s="406"/>
      <c r="UAM6" s="406"/>
      <c r="UAN6" s="406"/>
      <c r="UAO6" s="406"/>
      <c r="UAP6" s="406"/>
      <c r="UAQ6" s="406"/>
      <c r="UAR6" s="406"/>
      <c r="UAS6" s="406"/>
      <c r="UAT6" s="406"/>
      <c r="UAU6" s="406"/>
      <c r="UAV6" s="406"/>
      <c r="UAW6" s="406"/>
      <c r="UAX6" s="406"/>
      <c r="UAY6" s="406"/>
      <c r="UAZ6" s="406"/>
      <c r="UBA6" s="406"/>
      <c r="UBB6" s="406"/>
      <c r="UBC6" s="406"/>
      <c r="UBD6" s="406"/>
      <c r="UBE6" s="406"/>
      <c r="UBF6" s="406"/>
      <c r="UBG6" s="406"/>
      <c r="UBH6" s="406"/>
      <c r="UBI6" s="406"/>
      <c r="UBJ6" s="406"/>
      <c r="UBK6" s="406"/>
      <c r="UBL6" s="406"/>
      <c r="UBM6" s="406"/>
      <c r="UBN6" s="406"/>
      <c r="UBO6" s="406"/>
      <c r="UBP6" s="406"/>
      <c r="UBQ6" s="406"/>
      <c r="UBR6" s="406"/>
      <c r="UBS6" s="406"/>
      <c r="UBT6" s="406"/>
      <c r="UBU6" s="406"/>
      <c r="UBV6" s="406"/>
      <c r="UBW6" s="406"/>
      <c r="UBX6" s="406"/>
      <c r="UBY6" s="406"/>
      <c r="UBZ6" s="406"/>
      <c r="UCA6" s="406"/>
      <c r="UCB6" s="406"/>
      <c r="UCC6" s="406"/>
      <c r="UCD6" s="406"/>
      <c r="UCE6" s="406"/>
      <c r="UCF6" s="406"/>
      <c r="UCG6" s="406"/>
      <c r="UCH6" s="406"/>
      <c r="UCI6" s="406"/>
      <c r="UCJ6" s="406"/>
      <c r="UCK6" s="406"/>
      <c r="UCL6" s="406"/>
      <c r="UCM6" s="406"/>
      <c r="UCN6" s="406"/>
      <c r="UCO6" s="406"/>
      <c r="UCP6" s="406"/>
      <c r="UCQ6" s="406"/>
      <c r="UCR6" s="406"/>
      <c r="UCS6" s="406"/>
      <c r="UCT6" s="406"/>
      <c r="UCU6" s="406"/>
      <c r="UCV6" s="406"/>
      <c r="UCW6" s="406"/>
      <c r="UCX6" s="406"/>
      <c r="UCY6" s="406"/>
      <c r="UCZ6" s="406"/>
      <c r="UDA6" s="406"/>
      <c r="UDB6" s="406"/>
      <c r="UDC6" s="406"/>
      <c r="UDD6" s="406"/>
      <c r="UDE6" s="406"/>
      <c r="UDF6" s="406"/>
      <c r="UDG6" s="406"/>
      <c r="UDH6" s="406"/>
      <c r="UDI6" s="406"/>
      <c r="UDJ6" s="406"/>
      <c r="UDK6" s="406"/>
      <c r="UDL6" s="406"/>
      <c r="UDM6" s="406"/>
      <c r="UDN6" s="406"/>
      <c r="UDO6" s="406"/>
      <c r="UDP6" s="406"/>
      <c r="UDQ6" s="406"/>
      <c r="UDR6" s="406"/>
      <c r="UDS6" s="406"/>
      <c r="UDT6" s="406"/>
      <c r="UDU6" s="406"/>
      <c r="UDV6" s="406"/>
      <c r="UDW6" s="406"/>
      <c r="UDX6" s="406"/>
      <c r="UDY6" s="406"/>
      <c r="UDZ6" s="406"/>
      <c r="UEA6" s="406"/>
      <c r="UEB6" s="406"/>
      <c r="UEC6" s="406"/>
      <c r="UED6" s="406"/>
      <c r="UEE6" s="406"/>
      <c r="UEF6" s="406"/>
      <c r="UEG6" s="406"/>
      <c r="UEH6" s="406"/>
      <c r="UEI6" s="406"/>
      <c r="UEJ6" s="406"/>
      <c r="UEK6" s="406"/>
      <c r="UEL6" s="406"/>
      <c r="UEM6" s="406"/>
      <c r="UEN6" s="406"/>
      <c r="UEO6" s="406"/>
      <c r="UEP6" s="406"/>
      <c r="UEQ6" s="406"/>
      <c r="UER6" s="406"/>
      <c r="UES6" s="406"/>
      <c r="UET6" s="406"/>
      <c r="UEU6" s="406"/>
      <c r="UEV6" s="406"/>
      <c r="UEW6" s="406"/>
      <c r="UEX6" s="406"/>
      <c r="UEY6" s="406"/>
      <c r="UEZ6" s="406"/>
      <c r="UFA6" s="406"/>
      <c r="UFB6" s="406"/>
      <c r="UFC6" s="406"/>
      <c r="UFD6" s="406"/>
      <c r="UFE6" s="406"/>
      <c r="UFF6" s="406"/>
      <c r="UFG6" s="406"/>
      <c r="UFH6" s="406"/>
      <c r="UFI6" s="406"/>
      <c r="UFJ6" s="406"/>
      <c r="UFK6" s="406"/>
      <c r="UFL6" s="406"/>
      <c r="UFM6" s="406"/>
      <c r="UFN6" s="406"/>
      <c r="UFO6" s="406"/>
      <c r="UFP6" s="406"/>
      <c r="UFQ6" s="406"/>
      <c r="UFR6" s="406"/>
      <c r="UFS6" s="406"/>
      <c r="UFT6" s="406"/>
      <c r="UFU6" s="406"/>
      <c r="UFV6" s="406"/>
      <c r="UFW6" s="406"/>
      <c r="UFX6" s="406"/>
      <c r="UFY6" s="406"/>
      <c r="UFZ6" s="406"/>
      <c r="UGA6" s="406"/>
      <c r="UGB6" s="406"/>
      <c r="UGC6" s="406"/>
      <c r="UGD6" s="406"/>
      <c r="UGE6" s="406"/>
      <c r="UGF6" s="406"/>
      <c r="UGG6" s="406"/>
      <c r="UGH6" s="406"/>
      <c r="UGI6" s="406"/>
      <c r="UGJ6" s="406"/>
      <c r="UGK6" s="406"/>
      <c r="UGL6" s="406"/>
      <c r="UGM6" s="406"/>
      <c r="UGN6" s="406"/>
      <c r="UGO6" s="406"/>
      <c r="UGP6" s="406"/>
      <c r="UGQ6" s="406"/>
      <c r="UGR6" s="406"/>
      <c r="UGS6" s="406"/>
      <c r="UGT6" s="406"/>
      <c r="UGU6" s="406"/>
      <c r="UGV6" s="406"/>
      <c r="UGW6" s="406"/>
      <c r="UGX6" s="406"/>
      <c r="UGY6" s="406"/>
      <c r="UGZ6" s="406"/>
      <c r="UHA6" s="406"/>
      <c r="UHB6" s="406"/>
      <c r="UHC6" s="406"/>
      <c r="UHD6" s="406"/>
      <c r="UHE6" s="406"/>
      <c r="UHF6" s="406"/>
      <c r="UHG6" s="406"/>
      <c r="UHH6" s="406"/>
      <c r="UHI6" s="406"/>
      <c r="UHJ6" s="406"/>
      <c r="UHK6" s="406"/>
      <c r="UHL6" s="406"/>
      <c r="UHM6" s="406"/>
      <c r="UHN6" s="406"/>
      <c r="UHO6" s="406"/>
      <c r="UHP6" s="406"/>
      <c r="UHQ6" s="406"/>
      <c r="UHR6" s="406"/>
      <c r="UHS6" s="406"/>
      <c r="UHT6" s="406"/>
      <c r="UHU6" s="406"/>
      <c r="UHV6" s="406"/>
      <c r="UHW6" s="406"/>
      <c r="UHX6" s="406"/>
      <c r="UHY6" s="406"/>
      <c r="UHZ6" s="406"/>
      <c r="UIA6" s="406"/>
      <c r="UIB6" s="406"/>
      <c r="UIC6" s="406"/>
      <c r="UID6" s="406"/>
      <c r="UIE6" s="406"/>
      <c r="UIF6" s="406"/>
      <c r="UIG6" s="406"/>
      <c r="UIH6" s="406"/>
      <c r="UII6" s="406"/>
      <c r="UIJ6" s="406"/>
      <c r="UIK6" s="406"/>
      <c r="UIL6" s="406"/>
      <c r="UIM6" s="406"/>
      <c r="UIN6" s="406"/>
      <c r="UIO6" s="406"/>
      <c r="UIP6" s="406"/>
      <c r="UIQ6" s="406"/>
      <c r="UIR6" s="406"/>
      <c r="UIS6" s="406"/>
      <c r="UIT6" s="406"/>
      <c r="UIU6" s="406"/>
      <c r="UIV6" s="406"/>
      <c r="UIW6" s="406"/>
      <c r="UIX6" s="406"/>
      <c r="UIY6" s="406"/>
      <c r="UIZ6" s="406"/>
      <c r="UJA6" s="406"/>
      <c r="UJB6" s="406"/>
      <c r="UJC6" s="406"/>
      <c r="UJD6" s="406"/>
      <c r="UJE6" s="406"/>
      <c r="UJF6" s="406"/>
      <c r="UJG6" s="406"/>
      <c r="UJH6" s="406"/>
      <c r="UJI6" s="406"/>
      <c r="UJJ6" s="406"/>
      <c r="UJK6" s="406"/>
      <c r="UJL6" s="406"/>
      <c r="UJM6" s="406"/>
      <c r="UJN6" s="406"/>
      <c r="UJO6" s="406"/>
      <c r="UJP6" s="406"/>
      <c r="UJQ6" s="406"/>
      <c r="UJR6" s="406"/>
      <c r="UJS6" s="406"/>
      <c r="UJT6" s="406"/>
      <c r="UJU6" s="406"/>
      <c r="UJV6" s="406"/>
      <c r="UJW6" s="406"/>
      <c r="UJX6" s="406"/>
      <c r="UJY6" s="406"/>
      <c r="UJZ6" s="406"/>
      <c r="UKA6" s="406"/>
      <c r="UKB6" s="406"/>
      <c r="UKC6" s="406"/>
      <c r="UKD6" s="406"/>
      <c r="UKE6" s="406"/>
      <c r="UKF6" s="406"/>
      <c r="UKG6" s="406"/>
      <c r="UKH6" s="406"/>
      <c r="UKI6" s="406"/>
      <c r="UKJ6" s="406"/>
      <c r="UKK6" s="406"/>
      <c r="UKL6" s="406"/>
      <c r="UKM6" s="406"/>
      <c r="UKN6" s="406"/>
      <c r="UKO6" s="406"/>
      <c r="UKP6" s="406"/>
      <c r="UKQ6" s="406"/>
      <c r="UKR6" s="406"/>
      <c r="UKS6" s="406"/>
      <c r="UKT6" s="406"/>
      <c r="UKU6" s="406"/>
      <c r="UKV6" s="406"/>
      <c r="UKW6" s="406"/>
      <c r="UKX6" s="406"/>
      <c r="UKY6" s="406"/>
      <c r="UKZ6" s="406"/>
      <c r="ULA6" s="406"/>
      <c r="ULB6" s="406"/>
      <c r="ULC6" s="406"/>
      <c r="ULD6" s="406"/>
      <c r="ULE6" s="406"/>
      <c r="ULF6" s="406"/>
      <c r="ULG6" s="406"/>
      <c r="ULH6" s="406"/>
      <c r="ULI6" s="406"/>
      <c r="ULJ6" s="406"/>
      <c r="ULK6" s="406"/>
      <c r="ULL6" s="406"/>
      <c r="ULM6" s="406"/>
      <c r="ULN6" s="406"/>
      <c r="ULO6" s="406"/>
      <c r="ULP6" s="406"/>
      <c r="ULQ6" s="406"/>
      <c r="ULR6" s="406"/>
      <c r="ULS6" s="406"/>
      <c r="ULT6" s="406"/>
      <c r="ULU6" s="406"/>
      <c r="ULV6" s="406"/>
      <c r="ULW6" s="406"/>
      <c r="ULX6" s="406"/>
      <c r="ULY6" s="406"/>
      <c r="ULZ6" s="406"/>
      <c r="UMA6" s="406"/>
      <c r="UMB6" s="406"/>
      <c r="UMC6" s="406"/>
      <c r="UMD6" s="406"/>
      <c r="UME6" s="406"/>
      <c r="UMF6" s="406"/>
      <c r="UMG6" s="406"/>
      <c r="UMH6" s="406"/>
      <c r="UMI6" s="406"/>
      <c r="UMJ6" s="406"/>
      <c r="UMK6" s="406"/>
      <c r="UML6" s="406"/>
      <c r="UMM6" s="406"/>
      <c r="UMN6" s="406"/>
      <c r="UMO6" s="406"/>
      <c r="UMP6" s="406"/>
      <c r="UMQ6" s="406"/>
      <c r="UMR6" s="406"/>
      <c r="UMS6" s="406"/>
      <c r="UMT6" s="406"/>
      <c r="UMU6" s="406"/>
      <c r="UMV6" s="406"/>
      <c r="UMW6" s="406"/>
      <c r="UMX6" s="406"/>
      <c r="UMY6" s="406"/>
      <c r="UMZ6" s="406"/>
      <c r="UNA6" s="406"/>
      <c r="UNB6" s="406"/>
      <c r="UNC6" s="406"/>
      <c r="UND6" s="406"/>
      <c r="UNE6" s="406"/>
      <c r="UNF6" s="406"/>
      <c r="UNG6" s="406"/>
      <c r="UNH6" s="406"/>
      <c r="UNI6" s="406"/>
      <c r="UNJ6" s="406"/>
      <c r="UNK6" s="406"/>
      <c r="UNL6" s="406"/>
      <c r="UNM6" s="406"/>
      <c r="UNN6" s="406"/>
      <c r="UNO6" s="406"/>
      <c r="UNP6" s="406"/>
      <c r="UNQ6" s="406"/>
      <c r="UNR6" s="406"/>
      <c r="UNS6" s="406"/>
      <c r="UNT6" s="406"/>
      <c r="UNU6" s="406"/>
      <c r="UNV6" s="406"/>
      <c r="UNW6" s="406"/>
      <c r="UNX6" s="406"/>
      <c r="UNY6" s="406"/>
      <c r="UNZ6" s="406"/>
      <c r="UOA6" s="406"/>
      <c r="UOB6" s="406"/>
      <c r="UOC6" s="406"/>
      <c r="UOD6" s="406"/>
      <c r="UOE6" s="406"/>
      <c r="UOF6" s="406"/>
      <c r="UOG6" s="406"/>
      <c r="UOH6" s="406"/>
      <c r="UOI6" s="406"/>
      <c r="UOJ6" s="406"/>
      <c r="UOK6" s="406"/>
      <c r="UOL6" s="406"/>
      <c r="UOM6" s="406"/>
      <c r="UON6" s="406"/>
      <c r="UOO6" s="406"/>
      <c r="UOP6" s="406"/>
      <c r="UOQ6" s="406"/>
      <c r="UOR6" s="406"/>
      <c r="UOS6" s="406"/>
      <c r="UOT6" s="406"/>
      <c r="UOU6" s="406"/>
      <c r="UOV6" s="406"/>
      <c r="UOW6" s="406"/>
      <c r="UOX6" s="406"/>
      <c r="UOY6" s="406"/>
      <c r="UOZ6" s="406"/>
      <c r="UPA6" s="406"/>
      <c r="UPB6" s="406"/>
      <c r="UPC6" s="406"/>
      <c r="UPD6" s="406"/>
      <c r="UPE6" s="406"/>
      <c r="UPF6" s="406"/>
      <c r="UPG6" s="406"/>
      <c r="UPH6" s="406"/>
      <c r="UPI6" s="406"/>
      <c r="UPJ6" s="406"/>
      <c r="UPK6" s="406"/>
      <c r="UPL6" s="406"/>
      <c r="UPM6" s="406"/>
      <c r="UPN6" s="406"/>
      <c r="UPO6" s="406"/>
      <c r="UPP6" s="406"/>
      <c r="UPQ6" s="406"/>
      <c r="UPR6" s="406"/>
      <c r="UPS6" s="406"/>
      <c r="UPT6" s="406"/>
      <c r="UPU6" s="406"/>
      <c r="UPV6" s="406"/>
      <c r="UPW6" s="406"/>
      <c r="UPX6" s="406"/>
      <c r="UPY6" s="406"/>
      <c r="UPZ6" s="406"/>
      <c r="UQA6" s="406"/>
      <c r="UQB6" s="406"/>
      <c r="UQC6" s="406"/>
      <c r="UQD6" s="406"/>
      <c r="UQE6" s="406"/>
      <c r="UQF6" s="406"/>
      <c r="UQG6" s="406"/>
      <c r="UQH6" s="406"/>
      <c r="UQI6" s="406"/>
      <c r="UQJ6" s="406"/>
      <c r="UQK6" s="406"/>
      <c r="UQL6" s="406"/>
      <c r="UQM6" s="406"/>
      <c r="UQN6" s="406"/>
      <c r="UQO6" s="406"/>
      <c r="UQP6" s="406"/>
      <c r="UQQ6" s="406"/>
      <c r="UQR6" s="406"/>
      <c r="UQS6" s="406"/>
      <c r="UQT6" s="406"/>
      <c r="UQU6" s="406"/>
      <c r="UQV6" s="406"/>
      <c r="UQW6" s="406"/>
      <c r="UQX6" s="406"/>
      <c r="UQY6" s="406"/>
      <c r="UQZ6" s="406"/>
      <c r="URA6" s="406"/>
      <c r="URB6" s="406"/>
      <c r="URC6" s="406"/>
      <c r="URD6" s="406"/>
      <c r="URE6" s="406"/>
      <c r="URF6" s="406"/>
      <c r="URG6" s="406"/>
      <c r="URH6" s="406"/>
      <c r="URI6" s="406"/>
      <c r="URJ6" s="406"/>
      <c r="URK6" s="406"/>
      <c r="URL6" s="406"/>
      <c r="URM6" s="406"/>
      <c r="URN6" s="406"/>
      <c r="URO6" s="406"/>
      <c r="URP6" s="406"/>
      <c r="URQ6" s="406"/>
      <c r="URR6" s="406"/>
      <c r="URS6" s="406"/>
      <c r="URT6" s="406"/>
      <c r="URU6" s="406"/>
      <c r="URV6" s="406"/>
      <c r="URW6" s="406"/>
      <c r="URX6" s="406"/>
      <c r="URY6" s="406"/>
      <c r="URZ6" s="406"/>
      <c r="USA6" s="406"/>
      <c r="USB6" s="406"/>
      <c r="USC6" s="406"/>
      <c r="USD6" s="406"/>
      <c r="USE6" s="406"/>
      <c r="USF6" s="406"/>
      <c r="USG6" s="406"/>
      <c r="USH6" s="406"/>
      <c r="USI6" s="406"/>
      <c r="USJ6" s="406"/>
      <c r="USK6" s="406"/>
      <c r="USL6" s="406"/>
      <c r="USM6" s="406"/>
      <c r="USN6" s="406"/>
      <c r="USO6" s="406"/>
      <c r="USP6" s="406"/>
      <c r="USQ6" s="406"/>
      <c r="USR6" s="406"/>
      <c r="USS6" s="406"/>
      <c r="UST6" s="406"/>
      <c r="USU6" s="406"/>
      <c r="USV6" s="406"/>
      <c r="USW6" s="406"/>
      <c r="USX6" s="406"/>
      <c r="USY6" s="406"/>
      <c r="USZ6" s="406"/>
      <c r="UTA6" s="406"/>
      <c r="UTB6" s="406"/>
      <c r="UTC6" s="406"/>
      <c r="UTD6" s="406"/>
      <c r="UTE6" s="406"/>
      <c r="UTF6" s="406"/>
      <c r="UTG6" s="406"/>
      <c r="UTH6" s="406"/>
      <c r="UTI6" s="406"/>
      <c r="UTJ6" s="406"/>
      <c r="UTK6" s="406"/>
      <c r="UTL6" s="406"/>
      <c r="UTM6" s="406"/>
      <c r="UTN6" s="406"/>
      <c r="UTO6" s="406"/>
      <c r="UTP6" s="406"/>
      <c r="UTQ6" s="406"/>
      <c r="UTR6" s="406"/>
      <c r="UTS6" s="406"/>
      <c r="UTT6" s="406"/>
      <c r="UTU6" s="406"/>
      <c r="UTV6" s="406"/>
      <c r="UTW6" s="406"/>
      <c r="UTX6" s="406"/>
      <c r="UTY6" s="406"/>
      <c r="UTZ6" s="406"/>
      <c r="UUA6" s="406"/>
      <c r="UUB6" s="406"/>
      <c r="UUC6" s="406"/>
      <c r="UUD6" s="406"/>
      <c r="UUE6" s="406"/>
      <c r="UUF6" s="406"/>
      <c r="UUG6" s="406"/>
      <c r="UUH6" s="406"/>
      <c r="UUI6" s="406"/>
      <c r="UUJ6" s="406"/>
      <c r="UUK6" s="406"/>
      <c r="UUL6" s="406"/>
      <c r="UUM6" s="406"/>
      <c r="UUN6" s="406"/>
      <c r="UUO6" s="406"/>
      <c r="UUP6" s="406"/>
      <c r="UUQ6" s="406"/>
      <c r="UUR6" s="406"/>
      <c r="UUS6" s="406"/>
      <c r="UUT6" s="406"/>
      <c r="UUU6" s="406"/>
      <c r="UUV6" s="406"/>
      <c r="UUW6" s="406"/>
      <c r="UUX6" s="406"/>
      <c r="UUY6" s="406"/>
      <c r="UUZ6" s="406"/>
      <c r="UVA6" s="406"/>
      <c r="UVB6" s="406"/>
      <c r="UVC6" s="406"/>
      <c r="UVD6" s="406"/>
      <c r="UVE6" s="406"/>
      <c r="UVF6" s="406"/>
      <c r="UVG6" s="406"/>
      <c r="UVH6" s="406"/>
      <c r="UVI6" s="406"/>
      <c r="UVJ6" s="406"/>
      <c r="UVK6" s="406"/>
      <c r="UVL6" s="406"/>
      <c r="UVM6" s="406"/>
      <c r="UVN6" s="406"/>
      <c r="UVO6" s="406"/>
      <c r="UVP6" s="406"/>
      <c r="UVQ6" s="406"/>
      <c r="UVR6" s="406"/>
      <c r="UVS6" s="406"/>
      <c r="UVT6" s="406"/>
      <c r="UVU6" s="406"/>
      <c r="UVV6" s="406"/>
      <c r="UVW6" s="406"/>
      <c r="UVX6" s="406"/>
      <c r="UVY6" s="406"/>
      <c r="UVZ6" s="406"/>
      <c r="UWA6" s="406"/>
      <c r="UWB6" s="406"/>
      <c r="UWC6" s="406"/>
      <c r="UWD6" s="406"/>
      <c r="UWE6" s="406"/>
      <c r="UWF6" s="406"/>
      <c r="UWG6" s="406"/>
      <c r="UWH6" s="406"/>
      <c r="UWI6" s="406"/>
      <c r="UWJ6" s="406"/>
      <c r="UWK6" s="406"/>
      <c r="UWL6" s="406"/>
      <c r="UWM6" s="406"/>
      <c r="UWN6" s="406"/>
      <c r="UWO6" s="406"/>
      <c r="UWP6" s="406"/>
      <c r="UWQ6" s="406"/>
      <c r="UWR6" s="406"/>
      <c r="UWS6" s="406"/>
      <c r="UWT6" s="406"/>
      <c r="UWU6" s="406"/>
      <c r="UWV6" s="406"/>
      <c r="UWW6" s="406"/>
      <c r="UWX6" s="406"/>
      <c r="UWY6" s="406"/>
      <c r="UWZ6" s="406"/>
      <c r="UXA6" s="406"/>
      <c r="UXB6" s="406"/>
      <c r="UXC6" s="406"/>
      <c r="UXD6" s="406"/>
      <c r="UXE6" s="406"/>
      <c r="UXF6" s="406"/>
      <c r="UXG6" s="406"/>
      <c r="UXH6" s="406"/>
      <c r="UXI6" s="406"/>
      <c r="UXJ6" s="406"/>
      <c r="UXK6" s="406"/>
      <c r="UXL6" s="406"/>
      <c r="UXM6" s="406"/>
      <c r="UXN6" s="406"/>
      <c r="UXO6" s="406"/>
      <c r="UXP6" s="406"/>
      <c r="UXQ6" s="406"/>
      <c r="UXR6" s="406"/>
      <c r="UXS6" s="406"/>
      <c r="UXT6" s="406"/>
      <c r="UXU6" s="406"/>
      <c r="UXV6" s="406"/>
      <c r="UXW6" s="406"/>
      <c r="UXX6" s="406"/>
      <c r="UXY6" s="406"/>
      <c r="UXZ6" s="406"/>
      <c r="UYA6" s="406"/>
      <c r="UYB6" s="406"/>
      <c r="UYC6" s="406"/>
      <c r="UYD6" s="406"/>
      <c r="UYE6" s="406"/>
      <c r="UYF6" s="406"/>
      <c r="UYG6" s="406"/>
      <c r="UYH6" s="406"/>
      <c r="UYI6" s="406"/>
      <c r="UYJ6" s="406"/>
      <c r="UYK6" s="406"/>
      <c r="UYL6" s="406"/>
      <c r="UYM6" s="406"/>
      <c r="UYN6" s="406"/>
      <c r="UYO6" s="406"/>
      <c r="UYP6" s="406"/>
      <c r="UYQ6" s="406"/>
      <c r="UYR6" s="406"/>
      <c r="UYS6" s="406"/>
      <c r="UYT6" s="406"/>
      <c r="UYU6" s="406"/>
      <c r="UYV6" s="406"/>
      <c r="UYW6" s="406"/>
      <c r="UYX6" s="406"/>
      <c r="UYY6" s="406"/>
      <c r="UYZ6" s="406"/>
      <c r="UZA6" s="406"/>
      <c r="UZB6" s="406"/>
      <c r="UZC6" s="406"/>
      <c r="UZD6" s="406"/>
      <c r="UZE6" s="406"/>
      <c r="UZF6" s="406"/>
      <c r="UZG6" s="406"/>
      <c r="UZH6" s="406"/>
      <c r="UZI6" s="406"/>
      <c r="UZJ6" s="406"/>
      <c r="UZK6" s="406"/>
      <c r="UZL6" s="406"/>
      <c r="UZM6" s="406"/>
      <c r="UZN6" s="406"/>
      <c r="UZO6" s="406"/>
      <c r="UZP6" s="406"/>
      <c r="UZQ6" s="406"/>
      <c r="UZR6" s="406"/>
      <c r="UZS6" s="406"/>
      <c r="UZT6" s="406"/>
      <c r="UZU6" s="406"/>
      <c r="UZV6" s="406"/>
      <c r="UZW6" s="406"/>
      <c r="UZX6" s="406"/>
      <c r="UZY6" s="406"/>
      <c r="UZZ6" s="406"/>
      <c r="VAA6" s="406"/>
      <c r="VAB6" s="406"/>
      <c r="VAC6" s="406"/>
      <c r="VAD6" s="406"/>
      <c r="VAE6" s="406"/>
      <c r="VAF6" s="406"/>
      <c r="VAG6" s="406"/>
      <c r="VAH6" s="406"/>
      <c r="VAI6" s="406"/>
      <c r="VAJ6" s="406"/>
      <c r="VAK6" s="406"/>
      <c r="VAL6" s="406"/>
      <c r="VAM6" s="406"/>
      <c r="VAN6" s="406"/>
      <c r="VAO6" s="406"/>
      <c r="VAP6" s="406"/>
      <c r="VAQ6" s="406"/>
      <c r="VAR6" s="406"/>
      <c r="VAS6" s="406"/>
      <c r="VAT6" s="406"/>
      <c r="VAU6" s="406"/>
      <c r="VAV6" s="406"/>
      <c r="VAW6" s="406"/>
      <c r="VAX6" s="406"/>
      <c r="VAY6" s="406"/>
      <c r="VAZ6" s="406"/>
      <c r="VBA6" s="406"/>
      <c r="VBB6" s="406"/>
      <c r="VBC6" s="406"/>
      <c r="VBD6" s="406"/>
      <c r="VBE6" s="406"/>
      <c r="VBF6" s="406"/>
      <c r="VBG6" s="406"/>
      <c r="VBH6" s="406"/>
      <c r="VBI6" s="406"/>
      <c r="VBJ6" s="406"/>
      <c r="VBK6" s="406"/>
      <c r="VBL6" s="406"/>
      <c r="VBM6" s="406"/>
      <c r="VBN6" s="406"/>
      <c r="VBO6" s="406"/>
      <c r="VBP6" s="406"/>
      <c r="VBQ6" s="406"/>
      <c r="VBR6" s="406"/>
      <c r="VBS6" s="406"/>
      <c r="VBT6" s="406"/>
      <c r="VBU6" s="406"/>
      <c r="VBV6" s="406"/>
      <c r="VBW6" s="406"/>
      <c r="VBX6" s="406"/>
      <c r="VBY6" s="406"/>
      <c r="VBZ6" s="406"/>
      <c r="VCA6" s="406"/>
      <c r="VCB6" s="406"/>
      <c r="VCC6" s="406"/>
      <c r="VCD6" s="406"/>
      <c r="VCE6" s="406"/>
      <c r="VCF6" s="406"/>
      <c r="VCG6" s="406"/>
      <c r="VCH6" s="406"/>
      <c r="VCI6" s="406"/>
      <c r="VCJ6" s="406"/>
      <c r="VCK6" s="406"/>
      <c r="VCL6" s="406"/>
      <c r="VCM6" s="406"/>
      <c r="VCN6" s="406"/>
      <c r="VCO6" s="406"/>
      <c r="VCP6" s="406"/>
      <c r="VCQ6" s="406"/>
      <c r="VCR6" s="406"/>
      <c r="VCS6" s="406"/>
      <c r="VCT6" s="406"/>
      <c r="VCU6" s="406"/>
      <c r="VCV6" s="406"/>
      <c r="VCW6" s="406"/>
      <c r="VCX6" s="406"/>
      <c r="VCY6" s="406"/>
      <c r="VCZ6" s="406"/>
      <c r="VDA6" s="406"/>
      <c r="VDB6" s="406"/>
      <c r="VDC6" s="406"/>
      <c r="VDD6" s="406"/>
      <c r="VDE6" s="406"/>
      <c r="VDF6" s="406"/>
      <c r="VDG6" s="406"/>
      <c r="VDH6" s="406"/>
      <c r="VDI6" s="406"/>
      <c r="VDJ6" s="406"/>
      <c r="VDK6" s="406"/>
      <c r="VDL6" s="406"/>
      <c r="VDM6" s="406"/>
      <c r="VDN6" s="406"/>
      <c r="VDO6" s="406"/>
      <c r="VDP6" s="406"/>
      <c r="VDQ6" s="406"/>
      <c r="VDR6" s="406"/>
      <c r="VDS6" s="406"/>
      <c r="VDT6" s="406"/>
      <c r="VDU6" s="406"/>
      <c r="VDV6" s="406"/>
      <c r="VDW6" s="406"/>
      <c r="VDX6" s="406"/>
      <c r="VDY6" s="406"/>
      <c r="VDZ6" s="406"/>
      <c r="VEA6" s="406"/>
      <c r="VEB6" s="406"/>
      <c r="VEC6" s="406"/>
      <c r="VED6" s="406"/>
      <c r="VEE6" s="406"/>
      <c r="VEF6" s="406"/>
      <c r="VEG6" s="406"/>
      <c r="VEH6" s="406"/>
      <c r="VEI6" s="406"/>
      <c r="VEJ6" s="406"/>
      <c r="VEK6" s="406"/>
      <c r="VEL6" s="406"/>
      <c r="VEM6" s="406"/>
      <c r="VEN6" s="406"/>
      <c r="VEO6" s="406"/>
      <c r="VEP6" s="406"/>
      <c r="VEQ6" s="406"/>
      <c r="VER6" s="406"/>
      <c r="VES6" s="406"/>
      <c r="VET6" s="406"/>
      <c r="VEU6" s="406"/>
      <c r="VEV6" s="406"/>
      <c r="VEW6" s="406"/>
      <c r="VEX6" s="406"/>
      <c r="VEY6" s="406"/>
      <c r="VEZ6" s="406"/>
      <c r="VFA6" s="406"/>
      <c r="VFB6" s="406"/>
      <c r="VFC6" s="406"/>
      <c r="VFD6" s="406"/>
      <c r="VFE6" s="406"/>
      <c r="VFF6" s="406"/>
      <c r="VFG6" s="406"/>
      <c r="VFH6" s="406"/>
      <c r="VFI6" s="406"/>
      <c r="VFJ6" s="406"/>
      <c r="VFK6" s="406"/>
      <c r="VFL6" s="406"/>
      <c r="VFM6" s="406"/>
      <c r="VFN6" s="406"/>
      <c r="VFO6" s="406"/>
      <c r="VFP6" s="406"/>
      <c r="VFQ6" s="406"/>
      <c r="VFR6" s="406"/>
      <c r="VFS6" s="406"/>
      <c r="VFT6" s="406"/>
      <c r="VFU6" s="406"/>
      <c r="VFV6" s="406"/>
      <c r="VFW6" s="406"/>
      <c r="VFX6" s="406"/>
      <c r="VFY6" s="406"/>
      <c r="VFZ6" s="406"/>
      <c r="VGA6" s="406"/>
      <c r="VGB6" s="406"/>
      <c r="VGC6" s="406"/>
      <c r="VGD6" s="406"/>
      <c r="VGE6" s="406"/>
      <c r="VGF6" s="406"/>
      <c r="VGG6" s="406"/>
      <c r="VGH6" s="406"/>
      <c r="VGI6" s="406"/>
      <c r="VGJ6" s="406"/>
      <c r="VGK6" s="406"/>
      <c r="VGL6" s="406"/>
      <c r="VGM6" s="406"/>
      <c r="VGN6" s="406"/>
      <c r="VGO6" s="406"/>
      <c r="VGP6" s="406"/>
      <c r="VGQ6" s="406"/>
      <c r="VGR6" s="406"/>
      <c r="VGS6" s="406"/>
      <c r="VGT6" s="406"/>
      <c r="VGU6" s="406"/>
      <c r="VGV6" s="406"/>
      <c r="VGW6" s="406"/>
      <c r="VGX6" s="406"/>
      <c r="VGY6" s="406"/>
      <c r="VGZ6" s="406"/>
      <c r="VHA6" s="406"/>
      <c r="VHB6" s="406"/>
      <c r="VHC6" s="406"/>
      <c r="VHD6" s="406"/>
      <c r="VHE6" s="406"/>
      <c r="VHF6" s="406"/>
      <c r="VHG6" s="406"/>
      <c r="VHH6" s="406"/>
      <c r="VHI6" s="406"/>
      <c r="VHJ6" s="406"/>
      <c r="VHK6" s="406"/>
      <c r="VHL6" s="406"/>
      <c r="VHM6" s="406"/>
      <c r="VHN6" s="406"/>
      <c r="VHO6" s="406"/>
      <c r="VHP6" s="406"/>
      <c r="VHQ6" s="406"/>
      <c r="VHR6" s="406"/>
      <c r="VHS6" s="406"/>
      <c r="VHT6" s="406"/>
      <c r="VHU6" s="406"/>
      <c r="VHV6" s="406"/>
      <c r="VHW6" s="406"/>
      <c r="VHX6" s="406"/>
      <c r="VHY6" s="406"/>
      <c r="VHZ6" s="406"/>
      <c r="VIA6" s="406"/>
      <c r="VIB6" s="406"/>
      <c r="VIC6" s="406"/>
      <c r="VID6" s="406"/>
      <c r="VIE6" s="406"/>
      <c r="VIF6" s="406"/>
      <c r="VIG6" s="406"/>
      <c r="VIH6" s="406"/>
      <c r="VII6" s="406"/>
      <c r="VIJ6" s="406"/>
      <c r="VIK6" s="406"/>
      <c r="VIL6" s="406"/>
      <c r="VIM6" s="406"/>
      <c r="VIN6" s="406"/>
      <c r="VIO6" s="406"/>
      <c r="VIP6" s="406"/>
      <c r="VIQ6" s="406"/>
      <c r="VIR6" s="406"/>
      <c r="VIS6" s="406"/>
      <c r="VIT6" s="406"/>
      <c r="VIU6" s="406"/>
      <c r="VIV6" s="406"/>
      <c r="VIW6" s="406"/>
      <c r="VIX6" s="406"/>
      <c r="VIY6" s="406"/>
      <c r="VIZ6" s="406"/>
      <c r="VJA6" s="406"/>
      <c r="VJB6" s="406"/>
      <c r="VJC6" s="406"/>
      <c r="VJD6" s="406"/>
      <c r="VJE6" s="406"/>
      <c r="VJF6" s="406"/>
      <c r="VJG6" s="406"/>
      <c r="VJH6" s="406"/>
      <c r="VJI6" s="406"/>
      <c r="VJJ6" s="406"/>
      <c r="VJK6" s="406"/>
      <c r="VJL6" s="406"/>
      <c r="VJM6" s="406"/>
      <c r="VJN6" s="406"/>
      <c r="VJO6" s="406"/>
      <c r="VJP6" s="406"/>
      <c r="VJQ6" s="406"/>
      <c r="VJR6" s="406"/>
      <c r="VJS6" s="406"/>
      <c r="VJT6" s="406"/>
      <c r="VJU6" s="406"/>
      <c r="VJV6" s="406"/>
      <c r="VJW6" s="406"/>
      <c r="VJX6" s="406"/>
      <c r="VJY6" s="406"/>
      <c r="VJZ6" s="406"/>
      <c r="VKA6" s="406"/>
      <c r="VKB6" s="406"/>
      <c r="VKC6" s="406"/>
      <c r="VKD6" s="406"/>
      <c r="VKE6" s="406"/>
      <c r="VKF6" s="406"/>
      <c r="VKG6" s="406"/>
      <c r="VKH6" s="406"/>
      <c r="VKI6" s="406"/>
      <c r="VKJ6" s="406"/>
      <c r="VKK6" s="406"/>
      <c r="VKL6" s="406"/>
      <c r="VKM6" s="406"/>
      <c r="VKN6" s="406"/>
      <c r="VKO6" s="406"/>
      <c r="VKP6" s="406"/>
      <c r="VKQ6" s="406"/>
      <c r="VKR6" s="406"/>
      <c r="VKS6" s="406"/>
      <c r="VKT6" s="406"/>
      <c r="VKU6" s="406"/>
      <c r="VKV6" s="406"/>
      <c r="VKW6" s="406"/>
      <c r="VKX6" s="406"/>
      <c r="VKY6" s="406"/>
      <c r="VKZ6" s="406"/>
      <c r="VLA6" s="406"/>
      <c r="VLB6" s="406"/>
      <c r="VLC6" s="406"/>
      <c r="VLD6" s="406"/>
      <c r="VLE6" s="406"/>
      <c r="VLF6" s="406"/>
      <c r="VLG6" s="406"/>
      <c r="VLH6" s="406"/>
      <c r="VLI6" s="406"/>
      <c r="VLJ6" s="406"/>
      <c r="VLK6" s="406"/>
      <c r="VLL6" s="406"/>
      <c r="VLM6" s="406"/>
      <c r="VLN6" s="406"/>
      <c r="VLO6" s="406"/>
      <c r="VLP6" s="406"/>
      <c r="VLQ6" s="406"/>
      <c r="VLR6" s="406"/>
      <c r="VLS6" s="406"/>
      <c r="VLT6" s="406"/>
      <c r="VLU6" s="406"/>
      <c r="VLV6" s="406"/>
      <c r="VLW6" s="406"/>
      <c r="VLX6" s="406"/>
      <c r="VLY6" s="406"/>
      <c r="VLZ6" s="406"/>
      <c r="VMA6" s="406"/>
      <c r="VMB6" s="406"/>
      <c r="VMC6" s="406"/>
      <c r="VMD6" s="406"/>
      <c r="VME6" s="406"/>
      <c r="VMF6" s="406"/>
      <c r="VMG6" s="406"/>
      <c r="VMH6" s="406"/>
      <c r="VMI6" s="406"/>
      <c r="VMJ6" s="406"/>
      <c r="VMK6" s="406"/>
      <c r="VML6" s="406"/>
      <c r="VMM6" s="406"/>
      <c r="VMN6" s="406"/>
      <c r="VMO6" s="406"/>
      <c r="VMP6" s="406"/>
      <c r="VMQ6" s="406"/>
      <c r="VMR6" s="406"/>
      <c r="VMS6" s="406"/>
      <c r="VMT6" s="406"/>
      <c r="VMU6" s="406"/>
      <c r="VMV6" s="406"/>
      <c r="VMW6" s="406"/>
      <c r="VMX6" s="406"/>
      <c r="VMY6" s="406"/>
      <c r="VMZ6" s="406"/>
      <c r="VNA6" s="406"/>
      <c r="VNB6" s="406"/>
      <c r="VNC6" s="406"/>
      <c r="VND6" s="406"/>
      <c r="VNE6" s="406"/>
      <c r="VNF6" s="406"/>
      <c r="VNG6" s="406"/>
      <c r="VNH6" s="406"/>
      <c r="VNI6" s="406"/>
      <c r="VNJ6" s="406"/>
      <c r="VNK6" s="406"/>
      <c r="VNL6" s="406"/>
      <c r="VNM6" s="406"/>
      <c r="VNN6" s="406"/>
      <c r="VNO6" s="406"/>
      <c r="VNP6" s="406"/>
      <c r="VNQ6" s="406"/>
      <c r="VNR6" s="406"/>
      <c r="VNS6" s="406"/>
      <c r="VNT6" s="406"/>
      <c r="VNU6" s="406"/>
      <c r="VNV6" s="406"/>
      <c r="VNW6" s="406"/>
      <c r="VNX6" s="406"/>
      <c r="VNY6" s="406"/>
      <c r="VNZ6" s="406"/>
      <c r="VOA6" s="406"/>
      <c r="VOB6" s="406"/>
      <c r="VOC6" s="406"/>
      <c r="VOD6" s="406"/>
      <c r="VOE6" s="406"/>
      <c r="VOF6" s="406"/>
      <c r="VOG6" s="406"/>
      <c r="VOH6" s="406"/>
      <c r="VOI6" s="406"/>
      <c r="VOJ6" s="406"/>
      <c r="VOK6" s="406"/>
      <c r="VOL6" s="406"/>
      <c r="VOM6" s="406"/>
      <c r="VON6" s="406"/>
      <c r="VOO6" s="406"/>
      <c r="VOP6" s="406"/>
      <c r="VOQ6" s="406"/>
      <c r="VOR6" s="406"/>
      <c r="VOS6" s="406"/>
      <c r="VOT6" s="406"/>
      <c r="VOU6" s="406"/>
      <c r="VOV6" s="406"/>
      <c r="VOW6" s="406"/>
      <c r="VOX6" s="406"/>
      <c r="VOY6" s="406"/>
      <c r="VOZ6" s="406"/>
      <c r="VPA6" s="406"/>
      <c r="VPB6" s="406"/>
      <c r="VPC6" s="406"/>
      <c r="VPD6" s="406"/>
      <c r="VPE6" s="406"/>
      <c r="VPF6" s="406"/>
      <c r="VPG6" s="406"/>
      <c r="VPH6" s="406"/>
      <c r="VPI6" s="406"/>
      <c r="VPJ6" s="406"/>
      <c r="VPK6" s="406"/>
      <c r="VPL6" s="406"/>
      <c r="VPM6" s="406"/>
      <c r="VPN6" s="406"/>
      <c r="VPO6" s="406"/>
      <c r="VPP6" s="406"/>
      <c r="VPQ6" s="406"/>
      <c r="VPR6" s="406"/>
      <c r="VPS6" s="406"/>
      <c r="VPT6" s="406"/>
      <c r="VPU6" s="406"/>
      <c r="VPV6" s="406"/>
      <c r="VPW6" s="406"/>
      <c r="VPX6" s="406"/>
      <c r="VPY6" s="406"/>
      <c r="VPZ6" s="406"/>
      <c r="VQA6" s="406"/>
      <c r="VQB6" s="406"/>
      <c r="VQC6" s="406"/>
      <c r="VQD6" s="406"/>
      <c r="VQE6" s="406"/>
      <c r="VQF6" s="406"/>
      <c r="VQG6" s="406"/>
      <c r="VQH6" s="406"/>
      <c r="VQI6" s="406"/>
      <c r="VQJ6" s="406"/>
      <c r="VQK6" s="406"/>
      <c r="VQL6" s="406"/>
      <c r="VQM6" s="406"/>
      <c r="VQN6" s="406"/>
      <c r="VQO6" s="406"/>
      <c r="VQP6" s="406"/>
      <c r="VQQ6" s="406"/>
      <c r="VQR6" s="406"/>
      <c r="VQS6" s="406"/>
      <c r="VQT6" s="406"/>
      <c r="VQU6" s="406"/>
      <c r="VQV6" s="406"/>
      <c r="VQW6" s="406"/>
      <c r="VQX6" s="406"/>
      <c r="VQY6" s="406"/>
      <c r="VQZ6" s="406"/>
      <c r="VRA6" s="406"/>
      <c r="VRB6" s="406"/>
      <c r="VRC6" s="406"/>
      <c r="VRD6" s="406"/>
      <c r="VRE6" s="406"/>
      <c r="VRF6" s="406"/>
      <c r="VRG6" s="406"/>
      <c r="VRH6" s="406"/>
      <c r="VRI6" s="406"/>
      <c r="VRJ6" s="406"/>
      <c r="VRK6" s="406"/>
      <c r="VRL6" s="406"/>
      <c r="VRM6" s="406"/>
      <c r="VRN6" s="406"/>
      <c r="VRO6" s="406"/>
      <c r="VRP6" s="406"/>
      <c r="VRQ6" s="406"/>
      <c r="VRR6" s="406"/>
      <c r="VRS6" s="406"/>
      <c r="VRT6" s="406"/>
      <c r="VRU6" s="406"/>
      <c r="VRV6" s="406"/>
      <c r="VRW6" s="406"/>
      <c r="VRX6" s="406"/>
      <c r="VRY6" s="406"/>
      <c r="VRZ6" s="406"/>
      <c r="VSA6" s="406"/>
      <c r="VSB6" s="406"/>
      <c r="VSC6" s="406"/>
      <c r="VSD6" s="406"/>
      <c r="VSE6" s="406"/>
      <c r="VSF6" s="406"/>
      <c r="VSG6" s="406"/>
      <c r="VSH6" s="406"/>
      <c r="VSI6" s="406"/>
      <c r="VSJ6" s="406"/>
      <c r="VSK6" s="406"/>
      <c r="VSL6" s="406"/>
      <c r="VSM6" s="406"/>
      <c r="VSN6" s="406"/>
      <c r="VSO6" s="406"/>
      <c r="VSP6" s="406"/>
      <c r="VSQ6" s="406"/>
      <c r="VSR6" s="406"/>
      <c r="VSS6" s="406"/>
      <c r="VST6" s="406"/>
      <c r="VSU6" s="406"/>
      <c r="VSV6" s="406"/>
      <c r="VSW6" s="406"/>
      <c r="VSX6" s="406"/>
      <c r="VSY6" s="406"/>
      <c r="VSZ6" s="406"/>
      <c r="VTA6" s="406"/>
      <c r="VTB6" s="406"/>
      <c r="VTC6" s="406"/>
      <c r="VTD6" s="406"/>
      <c r="VTE6" s="406"/>
      <c r="VTF6" s="406"/>
      <c r="VTG6" s="406"/>
      <c r="VTH6" s="406"/>
      <c r="VTI6" s="406"/>
      <c r="VTJ6" s="406"/>
      <c r="VTK6" s="406"/>
      <c r="VTL6" s="406"/>
      <c r="VTM6" s="406"/>
      <c r="VTN6" s="406"/>
      <c r="VTO6" s="406"/>
      <c r="VTP6" s="406"/>
      <c r="VTQ6" s="406"/>
      <c r="VTR6" s="406"/>
      <c r="VTS6" s="406"/>
      <c r="VTT6" s="406"/>
      <c r="VTU6" s="406"/>
      <c r="VTV6" s="406"/>
      <c r="VTW6" s="406"/>
      <c r="VTX6" s="406"/>
      <c r="VTY6" s="406"/>
      <c r="VTZ6" s="406"/>
      <c r="VUA6" s="406"/>
      <c r="VUB6" s="406"/>
      <c r="VUC6" s="406"/>
      <c r="VUD6" s="406"/>
      <c r="VUE6" s="406"/>
      <c r="VUF6" s="406"/>
      <c r="VUG6" s="406"/>
      <c r="VUH6" s="406"/>
      <c r="VUI6" s="406"/>
      <c r="VUJ6" s="406"/>
      <c r="VUK6" s="406"/>
      <c r="VUL6" s="406"/>
      <c r="VUM6" s="406"/>
      <c r="VUN6" s="406"/>
      <c r="VUO6" s="406"/>
      <c r="VUP6" s="406"/>
      <c r="VUQ6" s="406"/>
      <c r="VUR6" s="406"/>
      <c r="VUS6" s="406"/>
      <c r="VUT6" s="406"/>
      <c r="VUU6" s="406"/>
      <c r="VUV6" s="406"/>
      <c r="VUW6" s="406"/>
      <c r="VUX6" s="406"/>
      <c r="VUY6" s="406"/>
      <c r="VUZ6" s="406"/>
      <c r="VVA6" s="406"/>
      <c r="VVB6" s="406"/>
      <c r="VVC6" s="406"/>
      <c r="VVD6" s="406"/>
      <c r="VVE6" s="406"/>
      <c r="VVF6" s="406"/>
      <c r="VVG6" s="406"/>
      <c r="VVH6" s="406"/>
      <c r="VVI6" s="406"/>
      <c r="VVJ6" s="406"/>
      <c r="VVK6" s="406"/>
      <c r="VVL6" s="406"/>
      <c r="VVM6" s="406"/>
      <c r="VVN6" s="406"/>
      <c r="VVO6" s="406"/>
      <c r="VVP6" s="406"/>
      <c r="VVQ6" s="406"/>
      <c r="VVR6" s="406"/>
      <c r="VVS6" s="406"/>
      <c r="VVT6" s="406"/>
      <c r="VVU6" s="406"/>
      <c r="VVV6" s="406"/>
      <c r="VVW6" s="406"/>
      <c r="VVX6" s="406"/>
      <c r="VVY6" s="406"/>
      <c r="VVZ6" s="406"/>
      <c r="VWA6" s="406"/>
      <c r="VWB6" s="406"/>
      <c r="VWC6" s="406"/>
      <c r="VWD6" s="406"/>
      <c r="VWE6" s="406"/>
      <c r="VWF6" s="406"/>
      <c r="VWG6" s="406"/>
      <c r="VWH6" s="406"/>
      <c r="VWI6" s="406"/>
      <c r="VWJ6" s="406"/>
      <c r="VWK6" s="406"/>
      <c r="VWL6" s="406"/>
      <c r="VWM6" s="406"/>
      <c r="VWN6" s="406"/>
      <c r="VWO6" s="406"/>
      <c r="VWP6" s="406"/>
      <c r="VWQ6" s="406"/>
      <c r="VWR6" s="406"/>
      <c r="VWS6" s="406"/>
      <c r="VWT6" s="406"/>
      <c r="VWU6" s="406"/>
      <c r="VWV6" s="406"/>
      <c r="VWW6" s="406"/>
      <c r="VWX6" s="406"/>
      <c r="VWY6" s="406"/>
      <c r="VWZ6" s="406"/>
      <c r="VXA6" s="406"/>
      <c r="VXB6" s="406"/>
      <c r="VXC6" s="406"/>
      <c r="VXD6" s="406"/>
      <c r="VXE6" s="406"/>
      <c r="VXF6" s="406"/>
      <c r="VXG6" s="406"/>
      <c r="VXH6" s="406"/>
      <c r="VXI6" s="406"/>
      <c r="VXJ6" s="406"/>
      <c r="VXK6" s="406"/>
      <c r="VXL6" s="406"/>
      <c r="VXM6" s="406"/>
      <c r="VXN6" s="406"/>
      <c r="VXO6" s="406"/>
      <c r="VXP6" s="406"/>
      <c r="VXQ6" s="406"/>
      <c r="VXR6" s="406"/>
      <c r="VXS6" s="406"/>
      <c r="VXT6" s="406"/>
      <c r="VXU6" s="406"/>
      <c r="VXV6" s="406"/>
      <c r="VXW6" s="406"/>
      <c r="VXX6" s="406"/>
      <c r="VXY6" s="406"/>
      <c r="VXZ6" s="406"/>
      <c r="VYA6" s="406"/>
      <c r="VYB6" s="406"/>
      <c r="VYC6" s="406"/>
      <c r="VYD6" s="406"/>
      <c r="VYE6" s="406"/>
      <c r="VYF6" s="406"/>
      <c r="VYG6" s="406"/>
      <c r="VYH6" s="406"/>
      <c r="VYI6" s="406"/>
      <c r="VYJ6" s="406"/>
      <c r="VYK6" s="406"/>
      <c r="VYL6" s="406"/>
      <c r="VYM6" s="406"/>
      <c r="VYN6" s="406"/>
      <c r="VYO6" s="406"/>
      <c r="VYP6" s="406"/>
      <c r="VYQ6" s="406"/>
      <c r="VYR6" s="406"/>
      <c r="VYS6" s="406"/>
      <c r="VYT6" s="406"/>
      <c r="VYU6" s="406"/>
      <c r="VYV6" s="406"/>
      <c r="VYW6" s="406"/>
      <c r="VYX6" s="406"/>
      <c r="VYY6" s="406"/>
      <c r="VYZ6" s="406"/>
      <c r="VZA6" s="406"/>
      <c r="VZB6" s="406"/>
      <c r="VZC6" s="406"/>
      <c r="VZD6" s="406"/>
      <c r="VZE6" s="406"/>
      <c r="VZF6" s="406"/>
      <c r="VZG6" s="406"/>
      <c r="VZH6" s="406"/>
      <c r="VZI6" s="406"/>
      <c r="VZJ6" s="406"/>
      <c r="VZK6" s="406"/>
      <c r="VZL6" s="406"/>
      <c r="VZM6" s="406"/>
      <c r="VZN6" s="406"/>
      <c r="VZO6" s="406"/>
      <c r="VZP6" s="406"/>
      <c r="VZQ6" s="406"/>
      <c r="VZR6" s="406"/>
      <c r="VZS6" s="406"/>
      <c r="VZT6" s="406"/>
      <c r="VZU6" s="406"/>
      <c r="VZV6" s="406"/>
      <c r="VZW6" s="406"/>
      <c r="VZX6" s="406"/>
      <c r="VZY6" s="406"/>
      <c r="VZZ6" s="406"/>
      <c r="WAA6" s="406"/>
      <c r="WAB6" s="406"/>
      <c r="WAC6" s="406"/>
      <c r="WAD6" s="406"/>
      <c r="WAE6" s="406"/>
      <c r="WAF6" s="406"/>
      <c r="WAG6" s="406"/>
      <c r="WAH6" s="406"/>
      <c r="WAI6" s="406"/>
      <c r="WAJ6" s="406"/>
      <c r="WAK6" s="406"/>
      <c r="WAL6" s="406"/>
      <c r="WAM6" s="406"/>
      <c r="WAN6" s="406"/>
      <c r="WAO6" s="406"/>
      <c r="WAP6" s="406"/>
      <c r="WAQ6" s="406"/>
      <c r="WAR6" s="406"/>
      <c r="WAS6" s="406"/>
      <c r="WAT6" s="406"/>
      <c r="WAU6" s="406"/>
      <c r="WAV6" s="406"/>
      <c r="WAW6" s="406"/>
      <c r="WAX6" s="406"/>
      <c r="WAY6" s="406"/>
      <c r="WAZ6" s="406"/>
      <c r="WBA6" s="406"/>
      <c r="WBB6" s="406"/>
      <c r="WBC6" s="406"/>
      <c r="WBD6" s="406"/>
      <c r="WBE6" s="406"/>
      <c r="WBF6" s="406"/>
      <c r="WBG6" s="406"/>
      <c r="WBH6" s="406"/>
      <c r="WBI6" s="406"/>
      <c r="WBJ6" s="406"/>
      <c r="WBK6" s="406"/>
      <c r="WBL6" s="406"/>
      <c r="WBM6" s="406"/>
      <c r="WBN6" s="406"/>
      <c r="WBO6" s="406"/>
      <c r="WBP6" s="406"/>
      <c r="WBQ6" s="406"/>
      <c r="WBR6" s="406"/>
      <c r="WBS6" s="406"/>
      <c r="WBT6" s="406"/>
      <c r="WBU6" s="406"/>
      <c r="WBV6" s="406"/>
      <c r="WBW6" s="406"/>
      <c r="WBX6" s="406"/>
      <c r="WBY6" s="406"/>
      <c r="WBZ6" s="406"/>
      <c r="WCA6" s="406"/>
      <c r="WCB6" s="406"/>
      <c r="WCC6" s="406"/>
      <c r="WCD6" s="406"/>
      <c r="WCE6" s="406"/>
      <c r="WCF6" s="406"/>
      <c r="WCG6" s="406"/>
      <c r="WCH6" s="406"/>
      <c r="WCI6" s="406"/>
      <c r="WCJ6" s="406"/>
      <c r="WCK6" s="406"/>
      <c r="WCL6" s="406"/>
      <c r="WCM6" s="406"/>
      <c r="WCN6" s="406"/>
      <c r="WCO6" s="406"/>
      <c r="WCP6" s="406"/>
      <c r="WCQ6" s="406"/>
      <c r="WCR6" s="406"/>
      <c r="WCS6" s="406"/>
      <c r="WCT6" s="406"/>
      <c r="WCU6" s="406"/>
      <c r="WCV6" s="406"/>
      <c r="WCW6" s="406"/>
      <c r="WCX6" s="406"/>
      <c r="WCY6" s="406"/>
      <c r="WCZ6" s="406"/>
      <c r="WDA6" s="406"/>
      <c r="WDB6" s="406"/>
      <c r="WDC6" s="406"/>
      <c r="WDD6" s="406"/>
      <c r="WDE6" s="406"/>
      <c r="WDF6" s="406"/>
      <c r="WDG6" s="406"/>
      <c r="WDH6" s="406"/>
      <c r="WDI6" s="406"/>
      <c r="WDJ6" s="406"/>
      <c r="WDK6" s="406"/>
      <c r="WDL6" s="406"/>
      <c r="WDM6" s="406"/>
      <c r="WDN6" s="406"/>
      <c r="WDO6" s="406"/>
      <c r="WDP6" s="406"/>
      <c r="WDQ6" s="406"/>
      <c r="WDR6" s="406"/>
      <c r="WDS6" s="406"/>
      <c r="WDT6" s="406"/>
      <c r="WDU6" s="406"/>
      <c r="WDV6" s="406"/>
      <c r="WDW6" s="406"/>
      <c r="WDX6" s="406"/>
      <c r="WDY6" s="406"/>
      <c r="WDZ6" s="406"/>
      <c r="WEA6" s="406"/>
      <c r="WEB6" s="406"/>
      <c r="WEC6" s="406"/>
      <c r="WED6" s="406"/>
      <c r="WEE6" s="406"/>
      <c r="WEF6" s="406"/>
      <c r="WEG6" s="406"/>
      <c r="WEH6" s="406"/>
      <c r="WEI6" s="406"/>
      <c r="WEJ6" s="406"/>
      <c r="WEK6" s="406"/>
      <c r="WEL6" s="406"/>
      <c r="WEM6" s="406"/>
      <c r="WEN6" s="406"/>
      <c r="WEO6" s="406"/>
      <c r="WEP6" s="406"/>
      <c r="WEQ6" s="406"/>
      <c r="WER6" s="406"/>
      <c r="WES6" s="406"/>
      <c r="WET6" s="406"/>
      <c r="WEU6" s="406"/>
      <c r="WEV6" s="406"/>
      <c r="WEW6" s="406"/>
      <c r="WEX6" s="406"/>
      <c r="WEY6" s="406"/>
      <c r="WEZ6" s="406"/>
      <c r="WFA6" s="406"/>
      <c r="WFB6" s="406"/>
      <c r="WFC6" s="406"/>
      <c r="WFD6" s="406"/>
      <c r="WFE6" s="406"/>
      <c r="WFF6" s="406"/>
      <c r="WFG6" s="406"/>
      <c r="WFH6" s="406"/>
      <c r="WFI6" s="406"/>
      <c r="WFJ6" s="406"/>
      <c r="WFK6" s="406"/>
      <c r="WFL6" s="406"/>
      <c r="WFM6" s="406"/>
      <c r="WFN6" s="406"/>
      <c r="WFO6" s="406"/>
      <c r="WFP6" s="406"/>
      <c r="WFQ6" s="406"/>
      <c r="WFR6" s="406"/>
      <c r="WFS6" s="406"/>
      <c r="WFT6" s="406"/>
      <c r="WFU6" s="406"/>
      <c r="WFV6" s="406"/>
      <c r="WFW6" s="406"/>
      <c r="WFX6" s="406"/>
      <c r="WFY6" s="406"/>
      <c r="WFZ6" s="406"/>
      <c r="WGA6" s="406"/>
      <c r="WGB6" s="406"/>
      <c r="WGC6" s="406"/>
      <c r="WGD6" s="406"/>
      <c r="WGE6" s="406"/>
      <c r="WGF6" s="406"/>
      <c r="WGG6" s="406"/>
      <c r="WGH6" s="406"/>
      <c r="WGI6" s="406"/>
      <c r="WGJ6" s="406"/>
      <c r="WGK6" s="406"/>
      <c r="WGL6" s="406"/>
      <c r="WGM6" s="406"/>
      <c r="WGN6" s="406"/>
      <c r="WGO6" s="406"/>
      <c r="WGP6" s="406"/>
      <c r="WGQ6" s="406"/>
      <c r="WGR6" s="406"/>
      <c r="WGS6" s="406"/>
      <c r="WGT6" s="406"/>
      <c r="WGU6" s="406"/>
      <c r="WGV6" s="406"/>
      <c r="WGW6" s="406"/>
      <c r="WGX6" s="406"/>
      <c r="WGY6" s="406"/>
      <c r="WGZ6" s="406"/>
      <c r="WHA6" s="406"/>
      <c r="WHB6" s="406"/>
      <c r="WHC6" s="406"/>
      <c r="WHD6" s="406"/>
      <c r="WHE6" s="406"/>
      <c r="WHF6" s="406"/>
      <c r="WHG6" s="406"/>
      <c r="WHH6" s="406"/>
      <c r="WHI6" s="406"/>
      <c r="WHJ6" s="406"/>
      <c r="WHK6" s="406"/>
      <c r="WHL6" s="406"/>
      <c r="WHM6" s="406"/>
      <c r="WHN6" s="406"/>
      <c r="WHO6" s="406"/>
      <c r="WHP6" s="406"/>
      <c r="WHQ6" s="406"/>
      <c r="WHR6" s="406"/>
      <c r="WHS6" s="406"/>
      <c r="WHT6" s="406"/>
      <c r="WHU6" s="406"/>
      <c r="WHV6" s="406"/>
      <c r="WHW6" s="406"/>
      <c r="WHX6" s="406"/>
      <c r="WHY6" s="406"/>
      <c r="WHZ6" s="406"/>
      <c r="WIA6" s="406"/>
      <c r="WIB6" s="406"/>
      <c r="WIC6" s="406"/>
      <c r="WID6" s="406"/>
      <c r="WIE6" s="406"/>
      <c r="WIF6" s="406"/>
      <c r="WIG6" s="406"/>
      <c r="WIH6" s="406"/>
      <c r="WII6" s="406"/>
      <c r="WIJ6" s="406"/>
      <c r="WIK6" s="406"/>
      <c r="WIL6" s="406"/>
      <c r="WIM6" s="406"/>
      <c r="WIN6" s="406"/>
      <c r="WIO6" s="406"/>
      <c r="WIP6" s="406"/>
      <c r="WIQ6" s="406"/>
      <c r="WIR6" s="406"/>
      <c r="WIS6" s="406"/>
      <c r="WIT6" s="406"/>
      <c r="WIU6" s="406"/>
      <c r="WIV6" s="406"/>
      <c r="WIW6" s="406"/>
      <c r="WIX6" s="406"/>
      <c r="WIY6" s="406"/>
      <c r="WIZ6" s="406"/>
      <c r="WJA6" s="406"/>
      <c r="WJB6" s="406"/>
      <c r="WJC6" s="406"/>
      <c r="WJD6" s="406"/>
      <c r="WJE6" s="406"/>
      <c r="WJF6" s="406"/>
      <c r="WJG6" s="406"/>
      <c r="WJH6" s="406"/>
      <c r="WJI6" s="406"/>
      <c r="WJJ6" s="406"/>
      <c r="WJK6" s="406"/>
      <c r="WJL6" s="406"/>
      <c r="WJM6" s="406"/>
      <c r="WJN6" s="406"/>
      <c r="WJO6" s="406"/>
      <c r="WJP6" s="406"/>
      <c r="WJQ6" s="406"/>
      <c r="WJR6" s="406"/>
      <c r="WJS6" s="406"/>
      <c r="WJT6" s="406"/>
      <c r="WJU6" s="406"/>
      <c r="WJV6" s="406"/>
      <c r="WJW6" s="406"/>
      <c r="WJX6" s="406"/>
      <c r="WJY6" s="406"/>
      <c r="WJZ6" s="406"/>
      <c r="WKA6" s="406"/>
      <c r="WKB6" s="406"/>
      <c r="WKC6" s="406"/>
      <c r="WKD6" s="406"/>
      <c r="WKE6" s="406"/>
      <c r="WKF6" s="406"/>
      <c r="WKG6" s="406"/>
      <c r="WKH6" s="406"/>
      <c r="WKI6" s="406"/>
      <c r="WKJ6" s="406"/>
      <c r="WKK6" s="406"/>
      <c r="WKL6" s="406"/>
      <c r="WKM6" s="406"/>
      <c r="WKN6" s="406"/>
      <c r="WKO6" s="406"/>
      <c r="WKP6" s="406"/>
      <c r="WKQ6" s="406"/>
      <c r="WKR6" s="406"/>
      <c r="WKS6" s="406"/>
      <c r="WKT6" s="406"/>
      <c r="WKU6" s="406"/>
      <c r="WKV6" s="406"/>
      <c r="WKW6" s="406"/>
      <c r="WKX6" s="406"/>
      <c r="WKY6" s="406"/>
      <c r="WKZ6" s="406"/>
      <c r="WLA6" s="406"/>
      <c r="WLB6" s="406"/>
      <c r="WLC6" s="406"/>
      <c r="WLD6" s="406"/>
      <c r="WLE6" s="406"/>
      <c r="WLF6" s="406"/>
      <c r="WLG6" s="406"/>
      <c r="WLH6" s="406"/>
      <c r="WLI6" s="406"/>
      <c r="WLJ6" s="406"/>
      <c r="WLK6" s="406"/>
      <c r="WLL6" s="406"/>
      <c r="WLM6" s="406"/>
      <c r="WLN6" s="406"/>
      <c r="WLO6" s="406"/>
      <c r="WLP6" s="406"/>
      <c r="WLQ6" s="406"/>
      <c r="WLR6" s="406"/>
      <c r="WLS6" s="406"/>
      <c r="WLT6" s="406"/>
      <c r="WLU6" s="406"/>
      <c r="WLV6" s="406"/>
      <c r="WLW6" s="406"/>
      <c r="WLX6" s="406"/>
      <c r="WLY6" s="406"/>
      <c r="WLZ6" s="406"/>
      <c r="WMA6" s="406"/>
      <c r="WMB6" s="406"/>
      <c r="WMC6" s="406"/>
      <c r="WMD6" s="406"/>
      <c r="WME6" s="406"/>
      <c r="WMF6" s="406"/>
      <c r="WMG6" s="406"/>
      <c r="WMH6" s="406"/>
      <c r="WMI6" s="406"/>
      <c r="WMJ6" s="406"/>
      <c r="WMK6" s="406"/>
      <c r="WML6" s="406"/>
      <c r="WMM6" s="406"/>
      <c r="WMN6" s="406"/>
      <c r="WMO6" s="406"/>
      <c r="WMP6" s="406"/>
      <c r="WMQ6" s="406"/>
      <c r="WMR6" s="406"/>
      <c r="WMS6" s="406"/>
      <c r="WMT6" s="406"/>
      <c r="WMU6" s="406"/>
      <c r="WMV6" s="406"/>
      <c r="WMW6" s="406"/>
      <c r="WMX6" s="406"/>
      <c r="WMY6" s="406"/>
      <c r="WMZ6" s="406"/>
      <c r="WNA6" s="406"/>
      <c r="WNB6" s="406"/>
      <c r="WNC6" s="406"/>
      <c r="WND6" s="406"/>
      <c r="WNE6" s="406"/>
      <c r="WNF6" s="406"/>
      <c r="WNG6" s="406"/>
      <c r="WNH6" s="406"/>
      <c r="WNI6" s="406"/>
      <c r="WNJ6" s="406"/>
      <c r="WNK6" s="406"/>
      <c r="WNL6" s="406"/>
      <c r="WNM6" s="406"/>
      <c r="WNN6" s="406"/>
      <c r="WNO6" s="406"/>
      <c r="WNP6" s="406"/>
      <c r="WNQ6" s="406"/>
      <c r="WNR6" s="406"/>
      <c r="WNS6" s="406"/>
      <c r="WNT6" s="406"/>
      <c r="WNU6" s="406"/>
      <c r="WNV6" s="406"/>
      <c r="WNW6" s="406"/>
      <c r="WNX6" s="406"/>
      <c r="WNY6" s="406"/>
      <c r="WNZ6" s="406"/>
      <c r="WOA6" s="406"/>
      <c r="WOB6" s="406"/>
      <c r="WOC6" s="406"/>
      <c r="WOD6" s="406"/>
      <c r="WOE6" s="406"/>
      <c r="WOF6" s="406"/>
      <c r="WOG6" s="406"/>
      <c r="WOH6" s="406"/>
      <c r="WOI6" s="406"/>
      <c r="WOJ6" s="406"/>
      <c r="WOK6" s="406"/>
      <c r="WOL6" s="406"/>
      <c r="WOM6" s="406"/>
      <c r="WON6" s="406"/>
      <c r="WOO6" s="406"/>
      <c r="WOP6" s="406"/>
      <c r="WOQ6" s="406"/>
      <c r="WOR6" s="406"/>
      <c r="WOS6" s="406"/>
      <c r="WOT6" s="406"/>
      <c r="WOU6" s="406"/>
      <c r="WOV6" s="406"/>
      <c r="WOW6" s="406"/>
      <c r="WOX6" s="406"/>
      <c r="WOY6" s="406"/>
      <c r="WOZ6" s="406"/>
      <c r="WPA6" s="406"/>
      <c r="WPB6" s="406"/>
      <c r="WPC6" s="406"/>
      <c r="WPD6" s="406"/>
      <c r="WPE6" s="406"/>
      <c r="WPF6" s="406"/>
      <c r="WPG6" s="406"/>
      <c r="WPH6" s="406"/>
      <c r="WPI6" s="406"/>
      <c r="WPJ6" s="406"/>
      <c r="WPK6" s="406"/>
      <c r="WPL6" s="406"/>
      <c r="WPM6" s="406"/>
      <c r="WPN6" s="406"/>
      <c r="WPO6" s="406"/>
      <c r="WPP6" s="406"/>
      <c r="WPQ6" s="406"/>
      <c r="WPR6" s="406"/>
      <c r="WPS6" s="406"/>
      <c r="WPT6" s="406"/>
      <c r="WPU6" s="406"/>
      <c r="WPV6" s="406"/>
      <c r="WPW6" s="406"/>
      <c r="WPX6" s="406"/>
      <c r="WPY6" s="406"/>
      <c r="WPZ6" s="406"/>
      <c r="WQA6" s="406"/>
      <c r="WQB6" s="406"/>
      <c r="WQC6" s="406"/>
      <c r="WQD6" s="406"/>
      <c r="WQE6" s="406"/>
      <c r="WQF6" s="406"/>
      <c r="WQG6" s="406"/>
      <c r="WQH6" s="406"/>
      <c r="WQI6" s="406"/>
      <c r="WQJ6" s="406"/>
      <c r="WQK6" s="406"/>
      <c r="WQL6" s="406"/>
      <c r="WQM6" s="406"/>
      <c r="WQN6" s="406"/>
      <c r="WQO6" s="406"/>
      <c r="WQP6" s="406"/>
      <c r="WQQ6" s="406"/>
      <c r="WQR6" s="406"/>
      <c r="WQS6" s="406"/>
      <c r="WQT6" s="406"/>
      <c r="WQU6" s="406"/>
      <c r="WQV6" s="406"/>
      <c r="WQW6" s="406"/>
      <c r="WQX6" s="406"/>
      <c r="WQY6" s="406"/>
      <c r="WQZ6" s="406"/>
      <c r="WRA6" s="406"/>
      <c r="WRB6" s="406"/>
      <c r="WRC6" s="406"/>
      <c r="WRD6" s="406"/>
      <c r="WRE6" s="406"/>
      <c r="WRF6" s="406"/>
      <c r="WRG6" s="406"/>
      <c r="WRH6" s="406"/>
      <c r="WRI6" s="406"/>
      <c r="WRJ6" s="406"/>
      <c r="WRK6" s="406"/>
      <c r="WRL6" s="406"/>
      <c r="WRM6" s="406"/>
      <c r="WRN6" s="406"/>
      <c r="WRO6" s="406"/>
      <c r="WRP6" s="406"/>
      <c r="WRQ6" s="406"/>
      <c r="WRR6" s="406"/>
      <c r="WRS6" s="406"/>
      <c r="WRT6" s="406"/>
      <c r="WRU6" s="406"/>
      <c r="WRV6" s="406"/>
      <c r="WRW6" s="406"/>
      <c r="WRX6" s="406"/>
      <c r="WRY6" s="406"/>
      <c r="WRZ6" s="406"/>
      <c r="WSA6" s="406"/>
      <c r="WSB6" s="406"/>
      <c r="WSC6" s="406"/>
      <c r="WSD6" s="406"/>
      <c r="WSE6" s="406"/>
      <c r="WSF6" s="406"/>
      <c r="WSG6" s="406"/>
      <c r="WSH6" s="406"/>
      <c r="WSI6" s="406"/>
      <c r="WSJ6" s="406"/>
      <c r="WSK6" s="406"/>
      <c r="WSL6" s="406"/>
      <c r="WSM6" s="406"/>
      <c r="WSN6" s="406"/>
      <c r="WSO6" s="406"/>
      <c r="WSP6" s="406"/>
      <c r="WSQ6" s="406"/>
      <c r="WSR6" s="406"/>
      <c r="WSS6" s="406"/>
      <c r="WST6" s="406"/>
      <c r="WSU6" s="406"/>
      <c r="WSV6" s="406"/>
      <c r="WSW6" s="406"/>
      <c r="WSX6" s="406"/>
      <c r="WSY6" s="406"/>
      <c r="WSZ6" s="406"/>
      <c r="WTA6" s="406"/>
      <c r="WTB6" s="406"/>
      <c r="WTC6" s="406"/>
      <c r="WTD6" s="406"/>
      <c r="WTE6" s="406"/>
      <c r="WTF6" s="406"/>
      <c r="WTG6" s="406"/>
      <c r="WTH6" s="406"/>
      <c r="WTI6" s="406"/>
      <c r="WTJ6" s="406"/>
      <c r="WTK6" s="406"/>
      <c r="WTL6" s="406"/>
      <c r="WTM6" s="406"/>
      <c r="WTN6" s="406"/>
      <c r="WTO6" s="406"/>
      <c r="WTP6" s="406"/>
      <c r="WTQ6" s="406"/>
      <c r="WTR6" s="406"/>
      <c r="WTS6" s="406"/>
      <c r="WTT6" s="406"/>
      <c r="WTU6" s="406"/>
      <c r="WTV6" s="406"/>
      <c r="WTW6" s="406"/>
      <c r="WTX6" s="406"/>
      <c r="WTY6" s="406"/>
      <c r="WTZ6" s="406"/>
      <c r="WUA6" s="406"/>
      <c r="WUB6" s="406"/>
      <c r="WUC6" s="406"/>
      <c r="WUD6" s="406"/>
      <c r="WUE6" s="406"/>
      <c r="WUF6" s="406"/>
      <c r="WUG6" s="406"/>
      <c r="WUH6" s="406"/>
      <c r="WUI6" s="406"/>
      <c r="WUJ6" s="406"/>
      <c r="WUK6" s="406"/>
      <c r="WUL6" s="406"/>
      <c r="WUM6" s="406"/>
      <c r="WUN6" s="406"/>
      <c r="WUO6" s="406"/>
      <c r="WUP6" s="406"/>
      <c r="WUQ6" s="406"/>
      <c r="WUR6" s="406"/>
      <c r="WUS6" s="406"/>
      <c r="WUT6" s="406"/>
      <c r="WUU6" s="406"/>
      <c r="WUV6" s="406"/>
      <c r="WUW6" s="406"/>
      <c r="WUX6" s="406"/>
      <c r="WUY6" s="406"/>
      <c r="WUZ6" s="406"/>
      <c r="WVA6" s="406"/>
      <c r="WVB6" s="406"/>
      <c r="WVC6" s="406"/>
      <c r="WVD6" s="406"/>
      <c r="WVE6" s="406"/>
      <c r="WVF6" s="406"/>
      <c r="WVG6" s="406"/>
      <c r="WVH6" s="406"/>
      <c r="WVI6" s="406"/>
      <c r="WVJ6" s="406"/>
      <c r="WVK6" s="406"/>
      <c r="WVL6" s="406"/>
      <c r="WVM6" s="406"/>
      <c r="WVN6" s="406"/>
      <c r="WVO6" s="406"/>
      <c r="WVP6" s="406"/>
      <c r="WVQ6" s="406"/>
      <c r="WVR6" s="406"/>
      <c r="WVS6" s="406"/>
      <c r="WVT6" s="406"/>
      <c r="WVU6" s="406"/>
      <c r="WVV6" s="406"/>
      <c r="WVW6" s="406"/>
      <c r="WVX6" s="406"/>
      <c r="WVY6" s="406"/>
      <c r="WVZ6" s="406"/>
      <c r="WWA6" s="406"/>
      <c r="WWB6" s="406"/>
      <c r="WWC6" s="406"/>
      <c r="WWD6" s="406"/>
      <c r="WWE6" s="406"/>
      <c r="WWF6" s="406"/>
      <c r="WWG6" s="406"/>
      <c r="WWH6" s="406"/>
      <c r="WWI6" s="406"/>
      <c r="WWJ6" s="406"/>
      <c r="WWK6" s="406"/>
      <c r="WWL6" s="406"/>
      <c r="WWM6" s="406"/>
      <c r="WWN6" s="406"/>
      <c r="WWO6" s="406"/>
      <c r="WWP6" s="406"/>
      <c r="WWQ6" s="406"/>
      <c r="WWR6" s="406"/>
      <c r="WWS6" s="406"/>
      <c r="WWT6" s="406"/>
      <c r="WWU6" s="406"/>
      <c r="WWV6" s="406"/>
      <c r="WWW6" s="406"/>
      <c r="WWX6" s="406"/>
      <c r="WWY6" s="406"/>
      <c r="WWZ6" s="406"/>
      <c r="WXA6" s="406"/>
      <c r="WXB6" s="406"/>
      <c r="WXC6" s="406"/>
      <c r="WXD6" s="406"/>
      <c r="WXE6" s="406"/>
      <c r="WXF6" s="406"/>
      <c r="WXG6" s="406"/>
      <c r="WXH6" s="406"/>
      <c r="WXI6" s="406"/>
      <c r="WXJ6" s="406"/>
      <c r="WXK6" s="406"/>
      <c r="WXL6" s="406"/>
      <c r="WXM6" s="406"/>
      <c r="WXN6" s="406"/>
      <c r="WXO6" s="406"/>
      <c r="WXP6" s="406"/>
      <c r="WXQ6" s="406"/>
      <c r="WXR6" s="406"/>
      <c r="WXS6" s="406"/>
      <c r="WXT6" s="406"/>
      <c r="WXU6" s="406"/>
      <c r="WXV6" s="406"/>
      <c r="WXW6" s="406"/>
      <c r="WXX6" s="406"/>
      <c r="WXY6" s="406"/>
      <c r="WXZ6" s="406"/>
      <c r="WYA6" s="406"/>
      <c r="WYB6" s="406"/>
      <c r="WYC6" s="406"/>
      <c r="WYD6" s="406"/>
      <c r="WYE6" s="406"/>
      <c r="WYF6" s="406"/>
      <c r="WYG6" s="406"/>
      <c r="WYH6" s="406"/>
      <c r="WYI6" s="406"/>
      <c r="WYJ6" s="406"/>
      <c r="WYK6" s="406"/>
      <c r="WYL6" s="406"/>
      <c r="WYM6" s="406"/>
      <c r="WYN6" s="406"/>
      <c r="WYO6" s="406"/>
      <c r="WYP6" s="406"/>
      <c r="WYQ6" s="406"/>
      <c r="WYR6" s="406"/>
      <c r="WYS6" s="406"/>
      <c r="WYT6" s="406"/>
      <c r="WYU6" s="406"/>
      <c r="WYV6" s="406"/>
      <c r="WYW6" s="406"/>
      <c r="WYX6" s="406"/>
      <c r="WYY6" s="406"/>
      <c r="WYZ6" s="406"/>
      <c r="WZA6" s="406"/>
      <c r="WZB6" s="406"/>
      <c r="WZC6" s="406"/>
      <c r="WZD6" s="406"/>
      <c r="WZE6" s="406"/>
      <c r="WZF6" s="406"/>
      <c r="WZG6" s="406"/>
      <c r="WZH6" s="406"/>
      <c r="WZI6" s="406"/>
      <c r="WZJ6" s="406"/>
      <c r="WZK6" s="406"/>
      <c r="WZL6" s="406"/>
      <c r="WZM6" s="406"/>
      <c r="WZN6" s="406"/>
      <c r="WZO6" s="406"/>
      <c r="WZP6" s="406"/>
      <c r="WZQ6" s="406"/>
      <c r="WZR6" s="406"/>
      <c r="WZS6" s="406"/>
      <c r="WZT6" s="406"/>
      <c r="WZU6" s="406"/>
      <c r="WZV6" s="406"/>
      <c r="WZW6" s="406"/>
      <c r="WZX6" s="406"/>
      <c r="WZY6" s="406"/>
      <c r="WZZ6" s="406"/>
      <c r="XAA6" s="406"/>
      <c r="XAB6" s="406"/>
      <c r="XAC6" s="406"/>
      <c r="XAD6" s="406"/>
      <c r="XAE6" s="406"/>
      <c r="XAF6" s="406"/>
      <c r="XAG6" s="406"/>
      <c r="XAH6" s="406"/>
      <c r="XAI6" s="406"/>
      <c r="XAJ6" s="406"/>
      <c r="XAK6" s="406"/>
      <c r="XAL6" s="406"/>
      <c r="XAM6" s="406"/>
      <c r="XAN6" s="406"/>
      <c r="XAO6" s="406"/>
      <c r="XAP6" s="406"/>
      <c r="XAQ6" s="406"/>
      <c r="XAR6" s="406"/>
      <c r="XAS6" s="406"/>
      <c r="XAT6" s="406"/>
      <c r="XAU6" s="406"/>
      <c r="XAV6" s="406"/>
      <c r="XAW6" s="406"/>
      <c r="XAX6" s="406"/>
      <c r="XAY6" s="406"/>
      <c r="XAZ6" s="406"/>
      <c r="XBA6" s="406"/>
      <c r="XBB6" s="406"/>
      <c r="XBC6" s="406"/>
      <c r="XBD6" s="406"/>
      <c r="XBE6" s="406"/>
      <c r="XBF6" s="406"/>
      <c r="XBG6" s="406"/>
      <c r="XBH6" s="406"/>
      <c r="XBI6" s="406"/>
      <c r="XBJ6" s="406"/>
      <c r="XBK6" s="406"/>
      <c r="XBL6" s="406"/>
      <c r="XBM6" s="406"/>
      <c r="XBN6" s="406"/>
      <c r="XBO6" s="406"/>
      <c r="XBP6" s="406"/>
      <c r="XBQ6" s="406"/>
      <c r="XBR6" s="406"/>
      <c r="XBS6" s="406"/>
      <c r="XBT6" s="406"/>
      <c r="XBU6" s="406"/>
      <c r="XBV6" s="406"/>
      <c r="XBW6" s="406"/>
      <c r="XBX6" s="406"/>
      <c r="XBY6" s="406"/>
      <c r="XBZ6" s="406"/>
      <c r="XCA6" s="406"/>
      <c r="XCB6" s="406"/>
      <c r="XCC6" s="406"/>
      <c r="XCD6" s="406"/>
      <c r="XCE6" s="406"/>
      <c r="XCF6" s="406"/>
      <c r="XCG6" s="406"/>
      <c r="XCH6" s="406"/>
      <c r="XCI6" s="406"/>
      <c r="XCJ6" s="406"/>
      <c r="XCK6" s="406"/>
      <c r="XCL6" s="406"/>
      <c r="XCM6" s="406"/>
      <c r="XCN6" s="406"/>
      <c r="XCO6" s="406"/>
      <c r="XCP6" s="406"/>
      <c r="XCQ6" s="406"/>
      <c r="XCR6" s="406"/>
      <c r="XCS6" s="406"/>
      <c r="XCT6" s="406"/>
      <c r="XCU6" s="406"/>
      <c r="XCV6" s="406"/>
      <c r="XCW6" s="406"/>
      <c r="XCX6" s="406"/>
      <c r="XCY6" s="406"/>
      <c r="XCZ6" s="406"/>
      <c r="XDA6" s="406"/>
      <c r="XDB6" s="406"/>
      <c r="XDC6" s="406"/>
      <c r="XDD6" s="406"/>
      <c r="XDE6" s="406"/>
      <c r="XDF6" s="406"/>
      <c r="XDG6" s="406"/>
      <c r="XDH6" s="406"/>
      <c r="XDI6" s="406"/>
      <c r="XDJ6" s="406"/>
      <c r="XDK6" s="406"/>
      <c r="XDL6" s="406"/>
      <c r="XDM6" s="406"/>
      <c r="XDN6" s="406"/>
      <c r="XDO6" s="406"/>
      <c r="XDP6" s="406"/>
      <c r="XDQ6" s="406"/>
      <c r="XDR6" s="406"/>
      <c r="XDS6" s="406"/>
      <c r="XDT6" s="406"/>
      <c r="XDU6" s="406"/>
      <c r="XDV6" s="406"/>
      <c r="XDW6" s="406"/>
      <c r="XDX6" s="406"/>
      <c r="XDY6" s="406"/>
      <c r="XDZ6" s="406"/>
      <c r="XEA6" s="406"/>
      <c r="XEB6" s="406"/>
      <c r="XEC6" s="406"/>
      <c r="XED6" s="406"/>
      <c r="XEE6" s="406"/>
      <c r="XEF6" s="406"/>
      <c r="XEG6" s="406"/>
      <c r="XEH6" s="406"/>
      <c r="XEI6" s="406"/>
    </row>
    <row r="7" spans="1:16363" s="280" customFormat="1" ht="18.75" x14ac:dyDescent="0.2">
      <c r="A7" s="406"/>
      <c r="B7" s="406"/>
      <c r="C7" s="406"/>
      <c r="D7" s="406"/>
      <c r="E7" s="406"/>
      <c r="F7" s="406"/>
      <c r="G7" s="406"/>
      <c r="H7" s="406"/>
      <c r="I7" s="406"/>
      <c r="J7" s="406"/>
      <c r="K7" s="406"/>
      <c r="L7" s="406"/>
      <c r="M7" s="406"/>
      <c r="N7" s="406"/>
      <c r="O7" s="406"/>
      <c r="P7" s="406"/>
      <c r="Q7" s="406"/>
      <c r="R7" s="406"/>
      <c r="S7" s="406"/>
      <c r="T7" s="406"/>
      <c r="U7" s="406"/>
      <c r="V7" s="406"/>
      <c r="W7" s="406"/>
      <c r="X7" s="406"/>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6"/>
      <c r="CH7" s="406"/>
      <c r="CI7" s="406"/>
      <c r="CJ7" s="406"/>
      <c r="CK7" s="406"/>
      <c r="CL7" s="406"/>
      <c r="CM7" s="406"/>
      <c r="CN7" s="406"/>
      <c r="CO7" s="406"/>
      <c r="CP7" s="406"/>
      <c r="CQ7" s="406"/>
      <c r="CR7" s="406"/>
      <c r="CS7" s="406"/>
      <c r="CT7" s="406"/>
      <c r="CU7" s="406"/>
      <c r="CV7" s="406"/>
      <c r="CW7" s="406"/>
      <c r="CX7" s="406"/>
      <c r="CY7" s="406"/>
      <c r="CZ7" s="406"/>
      <c r="DA7" s="406"/>
      <c r="DB7" s="406"/>
      <c r="DC7" s="406"/>
      <c r="DD7" s="406"/>
      <c r="DE7" s="406"/>
      <c r="DF7" s="406"/>
      <c r="DG7" s="406"/>
      <c r="DH7" s="406"/>
      <c r="DI7" s="406"/>
      <c r="DJ7" s="406"/>
      <c r="DK7" s="406"/>
      <c r="DL7" s="406"/>
      <c r="DM7" s="406"/>
      <c r="DN7" s="406"/>
      <c r="DO7" s="406"/>
      <c r="DP7" s="406"/>
      <c r="DQ7" s="406"/>
      <c r="DR7" s="406"/>
      <c r="DS7" s="406"/>
      <c r="DT7" s="406"/>
      <c r="DU7" s="406"/>
      <c r="DV7" s="406"/>
      <c r="DW7" s="406"/>
      <c r="DX7" s="406"/>
      <c r="DY7" s="406"/>
      <c r="DZ7" s="406"/>
      <c r="EA7" s="406"/>
      <c r="EB7" s="406"/>
      <c r="EC7" s="406"/>
      <c r="ED7" s="406"/>
      <c r="EE7" s="406"/>
      <c r="EF7" s="406"/>
      <c r="EG7" s="406"/>
      <c r="EH7" s="406"/>
      <c r="EI7" s="406"/>
      <c r="EJ7" s="406"/>
      <c r="EK7" s="406"/>
      <c r="EL7" s="406"/>
      <c r="EM7" s="406"/>
      <c r="EN7" s="406"/>
      <c r="EO7" s="406"/>
      <c r="EP7" s="406"/>
      <c r="EQ7" s="406"/>
      <c r="ER7" s="406"/>
      <c r="ES7" s="406"/>
      <c r="ET7" s="406"/>
      <c r="EU7" s="406"/>
      <c r="EV7" s="406"/>
      <c r="EW7" s="406"/>
      <c r="EX7" s="406"/>
      <c r="EY7" s="406"/>
      <c r="EZ7" s="406"/>
      <c r="FA7" s="406"/>
      <c r="FB7" s="406"/>
      <c r="FC7" s="406"/>
      <c r="FD7" s="406"/>
      <c r="FE7" s="406"/>
      <c r="FF7" s="406"/>
      <c r="FG7" s="406"/>
      <c r="FH7" s="406"/>
      <c r="FI7" s="406"/>
      <c r="FJ7" s="406"/>
      <c r="FK7" s="406"/>
      <c r="FL7" s="406"/>
      <c r="FM7" s="406"/>
      <c r="FN7" s="406"/>
      <c r="FO7" s="406"/>
      <c r="FP7" s="406"/>
      <c r="FQ7" s="406"/>
      <c r="FR7" s="406"/>
      <c r="FS7" s="406"/>
      <c r="FT7" s="406"/>
      <c r="FU7" s="406"/>
      <c r="FV7" s="406"/>
      <c r="FW7" s="406"/>
      <c r="FX7" s="406"/>
      <c r="FY7" s="406"/>
      <c r="FZ7" s="406"/>
      <c r="GA7" s="406"/>
      <c r="GB7" s="406"/>
      <c r="GC7" s="406"/>
      <c r="GD7" s="406"/>
      <c r="GE7" s="406"/>
      <c r="GF7" s="406"/>
      <c r="GG7" s="406"/>
      <c r="GH7" s="406"/>
      <c r="GI7" s="406"/>
      <c r="GJ7" s="406"/>
      <c r="GK7" s="406"/>
      <c r="GL7" s="406"/>
      <c r="GM7" s="406"/>
      <c r="GN7" s="406"/>
      <c r="GO7" s="406"/>
      <c r="GP7" s="406"/>
      <c r="GQ7" s="406"/>
      <c r="GR7" s="406"/>
      <c r="GS7" s="406"/>
      <c r="GT7" s="406"/>
      <c r="GU7" s="406"/>
      <c r="GV7" s="406"/>
      <c r="GW7" s="406"/>
      <c r="GX7" s="406"/>
      <c r="GY7" s="406"/>
      <c r="GZ7" s="406"/>
      <c r="HA7" s="406"/>
      <c r="HB7" s="406"/>
      <c r="HC7" s="406"/>
      <c r="HD7" s="406"/>
      <c r="HE7" s="406"/>
      <c r="HF7" s="406"/>
      <c r="HG7" s="406"/>
      <c r="HH7" s="406"/>
      <c r="HI7" s="406"/>
      <c r="HJ7" s="406"/>
      <c r="HK7" s="406"/>
      <c r="HL7" s="406"/>
      <c r="HM7" s="406"/>
      <c r="HN7" s="406"/>
      <c r="HO7" s="406"/>
      <c r="HP7" s="406"/>
      <c r="HQ7" s="406"/>
      <c r="HR7" s="406"/>
      <c r="HS7" s="406"/>
      <c r="HT7" s="406"/>
      <c r="HU7" s="406"/>
      <c r="HV7" s="406"/>
      <c r="HW7" s="406"/>
      <c r="HX7" s="406"/>
      <c r="HY7" s="406"/>
      <c r="HZ7" s="406"/>
      <c r="IA7" s="406"/>
      <c r="IB7" s="406"/>
      <c r="IC7" s="406"/>
      <c r="ID7" s="406"/>
      <c r="IE7" s="406"/>
      <c r="IF7" s="406"/>
      <c r="IG7" s="406"/>
      <c r="IH7" s="406"/>
      <c r="II7" s="406"/>
      <c r="IJ7" s="406"/>
      <c r="IK7" s="406"/>
      <c r="IL7" s="406"/>
      <c r="IM7" s="406"/>
      <c r="IN7" s="406"/>
      <c r="IO7" s="406"/>
      <c r="IP7" s="406"/>
      <c r="IQ7" s="406"/>
      <c r="IR7" s="406"/>
      <c r="IS7" s="406"/>
      <c r="IT7" s="406"/>
      <c r="IU7" s="406"/>
      <c r="IV7" s="406"/>
      <c r="IW7" s="406"/>
      <c r="IX7" s="406"/>
      <c r="IY7" s="406"/>
      <c r="IZ7" s="406"/>
      <c r="JA7" s="406"/>
      <c r="JB7" s="406"/>
      <c r="JC7" s="406"/>
      <c r="JD7" s="406"/>
      <c r="JE7" s="406"/>
      <c r="JF7" s="406"/>
      <c r="JG7" s="406"/>
      <c r="JH7" s="406"/>
      <c r="JI7" s="406"/>
      <c r="JJ7" s="406"/>
      <c r="JK7" s="406"/>
      <c r="JL7" s="406"/>
      <c r="JM7" s="406"/>
      <c r="JN7" s="406"/>
      <c r="JO7" s="406"/>
      <c r="JP7" s="406"/>
      <c r="JQ7" s="406"/>
      <c r="JR7" s="406"/>
      <c r="JS7" s="406"/>
      <c r="JT7" s="406"/>
      <c r="JU7" s="406"/>
      <c r="JV7" s="406"/>
      <c r="JW7" s="406"/>
      <c r="JX7" s="406"/>
      <c r="JY7" s="406"/>
      <c r="JZ7" s="406"/>
      <c r="KA7" s="406"/>
      <c r="KB7" s="406"/>
      <c r="KC7" s="406"/>
      <c r="KD7" s="406"/>
      <c r="KE7" s="406"/>
      <c r="KF7" s="406"/>
      <c r="KG7" s="406"/>
      <c r="KH7" s="406"/>
      <c r="KI7" s="406"/>
      <c r="KJ7" s="406"/>
      <c r="KK7" s="406"/>
      <c r="KL7" s="406"/>
      <c r="KM7" s="406"/>
      <c r="KN7" s="406"/>
      <c r="KO7" s="406"/>
      <c r="KP7" s="406"/>
      <c r="KQ7" s="406"/>
      <c r="KR7" s="406"/>
      <c r="KS7" s="406"/>
      <c r="KT7" s="406"/>
      <c r="KU7" s="406"/>
      <c r="KV7" s="406"/>
      <c r="KW7" s="406"/>
      <c r="KX7" s="406"/>
      <c r="KY7" s="406"/>
      <c r="KZ7" s="406"/>
      <c r="LA7" s="406"/>
      <c r="LB7" s="406"/>
      <c r="LC7" s="406"/>
      <c r="LD7" s="406"/>
      <c r="LE7" s="406"/>
      <c r="LF7" s="406"/>
      <c r="LG7" s="406"/>
      <c r="LH7" s="406"/>
      <c r="LI7" s="406"/>
      <c r="LJ7" s="406"/>
      <c r="LK7" s="406"/>
      <c r="LL7" s="406"/>
      <c r="LM7" s="406"/>
      <c r="LN7" s="406"/>
      <c r="LO7" s="406"/>
      <c r="LP7" s="406"/>
      <c r="LQ7" s="406"/>
      <c r="LR7" s="406"/>
      <c r="LS7" s="406"/>
      <c r="LT7" s="406"/>
      <c r="LU7" s="406"/>
      <c r="LV7" s="406"/>
      <c r="LW7" s="406"/>
      <c r="LX7" s="406"/>
      <c r="LY7" s="406"/>
      <c r="LZ7" s="406"/>
      <c r="MA7" s="406"/>
      <c r="MB7" s="406"/>
      <c r="MC7" s="406"/>
      <c r="MD7" s="406"/>
      <c r="ME7" s="406"/>
      <c r="MF7" s="406"/>
      <c r="MG7" s="406"/>
      <c r="MH7" s="406"/>
      <c r="MI7" s="406"/>
      <c r="MJ7" s="406"/>
      <c r="MK7" s="406"/>
      <c r="ML7" s="406"/>
      <c r="MM7" s="406"/>
      <c r="MN7" s="406"/>
      <c r="MO7" s="406"/>
      <c r="MP7" s="406"/>
      <c r="MQ7" s="406"/>
      <c r="MR7" s="406"/>
      <c r="MS7" s="406"/>
      <c r="MT7" s="406"/>
      <c r="MU7" s="406"/>
      <c r="MV7" s="406"/>
      <c r="MW7" s="406"/>
      <c r="MX7" s="406"/>
      <c r="MY7" s="406"/>
      <c r="MZ7" s="406"/>
      <c r="NA7" s="406"/>
      <c r="NB7" s="406"/>
      <c r="NC7" s="406"/>
      <c r="ND7" s="406"/>
      <c r="NE7" s="406"/>
      <c r="NF7" s="406"/>
      <c r="NG7" s="406"/>
      <c r="NH7" s="406"/>
      <c r="NI7" s="406"/>
      <c r="NJ7" s="406"/>
      <c r="NK7" s="406"/>
      <c r="NL7" s="406"/>
      <c r="NM7" s="406"/>
      <c r="NN7" s="406"/>
      <c r="NO7" s="406"/>
      <c r="NP7" s="406"/>
      <c r="NQ7" s="406"/>
      <c r="NR7" s="406"/>
      <c r="NS7" s="406"/>
      <c r="NT7" s="406"/>
      <c r="NU7" s="406"/>
      <c r="NV7" s="406"/>
      <c r="NW7" s="406"/>
      <c r="NX7" s="406"/>
      <c r="NY7" s="406"/>
      <c r="NZ7" s="406"/>
      <c r="OA7" s="406"/>
      <c r="OB7" s="406"/>
      <c r="OC7" s="406"/>
      <c r="OD7" s="406"/>
      <c r="OE7" s="406"/>
      <c r="OF7" s="406"/>
      <c r="OG7" s="406"/>
      <c r="OH7" s="406"/>
      <c r="OI7" s="406"/>
      <c r="OJ7" s="406"/>
      <c r="OK7" s="406"/>
      <c r="OL7" s="406"/>
      <c r="OM7" s="406"/>
      <c r="ON7" s="406"/>
      <c r="OO7" s="406"/>
      <c r="OP7" s="406"/>
      <c r="OQ7" s="406"/>
      <c r="OR7" s="406"/>
      <c r="OS7" s="406"/>
      <c r="OT7" s="406"/>
      <c r="OU7" s="406"/>
      <c r="OV7" s="406"/>
      <c r="OW7" s="406"/>
      <c r="OX7" s="406"/>
      <c r="OY7" s="406"/>
      <c r="OZ7" s="406"/>
      <c r="PA7" s="406"/>
      <c r="PB7" s="406"/>
      <c r="PC7" s="406"/>
      <c r="PD7" s="406"/>
      <c r="PE7" s="406"/>
      <c r="PF7" s="406"/>
      <c r="PG7" s="406"/>
      <c r="PH7" s="406"/>
      <c r="PI7" s="406"/>
      <c r="PJ7" s="406"/>
      <c r="PK7" s="406"/>
      <c r="PL7" s="406"/>
      <c r="PM7" s="406"/>
      <c r="PN7" s="406"/>
      <c r="PO7" s="406"/>
      <c r="PP7" s="406"/>
      <c r="PQ7" s="406"/>
      <c r="PR7" s="406"/>
      <c r="PS7" s="406"/>
      <c r="PT7" s="406"/>
      <c r="PU7" s="406"/>
      <c r="PV7" s="406"/>
      <c r="PW7" s="406"/>
      <c r="PX7" s="406"/>
      <c r="PY7" s="406"/>
      <c r="PZ7" s="406"/>
      <c r="QA7" s="406"/>
      <c r="QB7" s="406"/>
      <c r="QC7" s="406"/>
      <c r="QD7" s="406"/>
      <c r="QE7" s="406"/>
      <c r="QF7" s="406"/>
      <c r="QG7" s="406"/>
      <c r="QH7" s="406"/>
      <c r="QI7" s="406"/>
      <c r="QJ7" s="406"/>
      <c r="QK7" s="406"/>
      <c r="QL7" s="406"/>
      <c r="QM7" s="406"/>
      <c r="QN7" s="406"/>
      <c r="QO7" s="406"/>
      <c r="QP7" s="406"/>
      <c r="QQ7" s="406"/>
      <c r="QR7" s="406"/>
      <c r="QS7" s="406"/>
      <c r="QT7" s="406"/>
      <c r="QU7" s="406"/>
      <c r="QV7" s="406"/>
      <c r="QW7" s="406"/>
      <c r="QX7" s="406"/>
      <c r="QY7" s="406"/>
      <c r="QZ7" s="406"/>
      <c r="RA7" s="406"/>
      <c r="RB7" s="406"/>
      <c r="RC7" s="406"/>
      <c r="RD7" s="406"/>
      <c r="RE7" s="406"/>
      <c r="RF7" s="406"/>
      <c r="RG7" s="406"/>
      <c r="RH7" s="406"/>
      <c r="RI7" s="406"/>
      <c r="RJ7" s="406"/>
      <c r="RK7" s="406"/>
      <c r="RL7" s="406"/>
      <c r="RM7" s="406"/>
      <c r="RN7" s="406"/>
      <c r="RO7" s="406"/>
      <c r="RP7" s="406"/>
      <c r="RQ7" s="406"/>
      <c r="RR7" s="406"/>
      <c r="RS7" s="406"/>
      <c r="RT7" s="406"/>
      <c r="RU7" s="406"/>
      <c r="RV7" s="406"/>
      <c r="RW7" s="406"/>
      <c r="RX7" s="406"/>
      <c r="RY7" s="406"/>
      <c r="RZ7" s="406"/>
      <c r="SA7" s="406"/>
      <c r="SB7" s="406"/>
      <c r="SC7" s="406"/>
      <c r="SD7" s="406"/>
      <c r="SE7" s="406"/>
      <c r="SF7" s="406"/>
      <c r="SG7" s="406"/>
      <c r="SH7" s="406"/>
      <c r="SI7" s="406"/>
      <c r="SJ7" s="406"/>
      <c r="SK7" s="406"/>
      <c r="SL7" s="406"/>
      <c r="SM7" s="406"/>
      <c r="SN7" s="406"/>
      <c r="SO7" s="406"/>
      <c r="SP7" s="406"/>
      <c r="SQ7" s="406"/>
      <c r="SR7" s="406"/>
      <c r="SS7" s="406"/>
      <c r="ST7" s="406"/>
      <c r="SU7" s="406"/>
      <c r="SV7" s="406"/>
      <c r="SW7" s="406"/>
      <c r="SX7" s="406"/>
      <c r="SY7" s="406"/>
      <c r="SZ7" s="406"/>
      <c r="TA7" s="406"/>
      <c r="TB7" s="406"/>
      <c r="TC7" s="406"/>
      <c r="TD7" s="406"/>
      <c r="TE7" s="406"/>
      <c r="TF7" s="406"/>
      <c r="TG7" s="406"/>
      <c r="TH7" s="406"/>
      <c r="TI7" s="406"/>
      <c r="TJ7" s="406"/>
      <c r="TK7" s="406"/>
      <c r="TL7" s="406"/>
      <c r="TM7" s="406"/>
      <c r="TN7" s="406"/>
      <c r="TO7" s="406"/>
      <c r="TP7" s="406"/>
      <c r="TQ7" s="406"/>
      <c r="TR7" s="406"/>
      <c r="TS7" s="406"/>
      <c r="TT7" s="406"/>
      <c r="TU7" s="406"/>
      <c r="TV7" s="406"/>
      <c r="TW7" s="406"/>
      <c r="TX7" s="406"/>
      <c r="TY7" s="406"/>
      <c r="TZ7" s="406"/>
      <c r="UA7" s="406"/>
      <c r="UB7" s="406"/>
      <c r="UC7" s="406"/>
      <c r="UD7" s="406"/>
      <c r="UE7" s="406"/>
      <c r="UF7" s="406"/>
      <c r="UG7" s="406"/>
      <c r="UH7" s="406"/>
      <c r="UI7" s="406"/>
      <c r="UJ7" s="406"/>
      <c r="UK7" s="406"/>
      <c r="UL7" s="406"/>
      <c r="UM7" s="406"/>
      <c r="UN7" s="406"/>
      <c r="UO7" s="406"/>
      <c r="UP7" s="406"/>
      <c r="UQ7" s="406"/>
      <c r="UR7" s="406"/>
      <c r="US7" s="406"/>
      <c r="UT7" s="406"/>
      <c r="UU7" s="406"/>
      <c r="UV7" s="406"/>
      <c r="UW7" s="406"/>
      <c r="UX7" s="406"/>
      <c r="UY7" s="406"/>
      <c r="UZ7" s="406"/>
      <c r="VA7" s="406"/>
      <c r="VB7" s="406"/>
      <c r="VC7" s="406"/>
      <c r="VD7" s="406"/>
      <c r="VE7" s="406"/>
      <c r="VF7" s="406"/>
      <c r="VG7" s="406"/>
      <c r="VH7" s="406"/>
      <c r="VI7" s="406"/>
      <c r="VJ7" s="406"/>
      <c r="VK7" s="406"/>
      <c r="VL7" s="406"/>
      <c r="VM7" s="406"/>
      <c r="VN7" s="406"/>
      <c r="VO7" s="406"/>
      <c r="VP7" s="406"/>
      <c r="VQ7" s="406"/>
      <c r="VR7" s="406"/>
      <c r="VS7" s="406"/>
      <c r="VT7" s="406"/>
      <c r="VU7" s="406"/>
      <c r="VV7" s="406"/>
      <c r="VW7" s="406"/>
      <c r="VX7" s="406"/>
      <c r="VY7" s="406"/>
      <c r="VZ7" s="406"/>
      <c r="WA7" s="406"/>
      <c r="WB7" s="406"/>
      <c r="WC7" s="406"/>
      <c r="WD7" s="406"/>
      <c r="WE7" s="406"/>
      <c r="WF7" s="406"/>
      <c r="WG7" s="406"/>
      <c r="WH7" s="406"/>
      <c r="WI7" s="406"/>
      <c r="WJ7" s="406"/>
      <c r="WK7" s="406"/>
      <c r="WL7" s="406"/>
      <c r="WM7" s="406"/>
      <c r="WN7" s="406"/>
      <c r="WO7" s="406"/>
      <c r="WP7" s="406"/>
      <c r="WQ7" s="406"/>
      <c r="WR7" s="406"/>
      <c r="WS7" s="406"/>
      <c r="WT7" s="406"/>
      <c r="WU7" s="406"/>
      <c r="WV7" s="406"/>
      <c r="WW7" s="406"/>
      <c r="WX7" s="406"/>
      <c r="WY7" s="406"/>
      <c r="WZ7" s="406"/>
      <c r="XA7" s="406"/>
      <c r="XB7" s="406"/>
      <c r="XC7" s="406"/>
      <c r="XD7" s="406"/>
      <c r="XE7" s="406"/>
      <c r="XF7" s="406"/>
      <c r="XG7" s="406"/>
      <c r="XH7" s="406"/>
      <c r="XI7" s="406"/>
      <c r="XJ7" s="406"/>
      <c r="XK7" s="406"/>
      <c r="XL7" s="406"/>
      <c r="XM7" s="406"/>
      <c r="XN7" s="406"/>
      <c r="XO7" s="406"/>
      <c r="XP7" s="406"/>
      <c r="XQ7" s="406"/>
      <c r="XR7" s="406"/>
      <c r="XS7" s="406"/>
      <c r="XT7" s="406"/>
      <c r="XU7" s="406"/>
      <c r="XV7" s="406"/>
      <c r="XW7" s="406"/>
      <c r="XX7" s="406"/>
      <c r="XY7" s="406"/>
      <c r="XZ7" s="406"/>
      <c r="YA7" s="406"/>
      <c r="YB7" s="406"/>
      <c r="YC7" s="406"/>
      <c r="YD7" s="406"/>
      <c r="YE7" s="406"/>
      <c r="YF7" s="406"/>
      <c r="YG7" s="406"/>
      <c r="YH7" s="406"/>
      <c r="YI7" s="406"/>
      <c r="YJ7" s="406"/>
      <c r="YK7" s="406"/>
      <c r="YL7" s="406"/>
      <c r="YM7" s="406"/>
      <c r="YN7" s="406"/>
      <c r="YO7" s="406"/>
      <c r="YP7" s="406"/>
      <c r="YQ7" s="406"/>
      <c r="YR7" s="406"/>
      <c r="YS7" s="406"/>
      <c r="YT7" s="406"/>
      <c r="YU7" s="406"/>
      <c r="YV7" s="406"/>
      <c r="YW7" s="406"/>
      <c r="YX7" s="406"/>
      <c r="YY7" s="406"/>
      <c r="YZ7" s="406"/>
      <c r="ZA7" s="406"/>
      <c r="ZB7" s="406"/>
      <c r="ZC7" s="406"/>
      <c r="ZD7" s="406"/>
      <c r="ZE7" s="406"/>
      <c r="ZF7" s="406"/>
      <c r="ZG7" s="406"/>
      <c r="ZH7" s="406"/>
      <c r="ZI7" s="406"/>
      <c r="ZJ7" s="406"/>
      <c r="ZK7" s="406"/>
      <c r="ZL7" s="406"/>
      <c r="ZM7" s="406"/>
      <c r="ZN7" s="406"/>
      <c r="ZO7" s="406"/>
      <c r="ZP7" s="406"/>
      <c r="ZQ7" s="406"/>
      <c r="ZR7" s="406"/>
      <c r="ZS7" s="406"/>
      <c r="ZT7" s="406"/>
      <c r="ZU7" s="406"/>
      <c r="ZV7" s="406"/>
      <c r="ZW7" s="406"/>
      <c r="ZX7" s="406"/>
      <c r="ZY7" s="406"/>
      <c r="ZZ7" s="406"/>
      <c r="AAA7" s="406"/>
      <c r="AAB7" s="406"/>
      <c r="AAC7" s="406"/>
      <c r="AAD7" s="406"/>
      <c r="AAE7" s="406"/>
      <c r="AAF7" s="406"/>
      <c r="AAG7" s="406"/>
      <c r="AAH7" s="406"/>
      <c r="AAI7" s="406"/>
      <c r="AAJ7" s="406"/>
      <c r="AAK7" s="406"/>
      <c r="AAL7" s="406"/>
      <c r="AAM7" s="406"/>
      <c r="AAN7" s="406"/>
      <c r="AAO7" s="406"/>
      <c r="AAP7" s="406"/>
      <c r="AAQ7" s="406"/>
      <c r="AAR7" s="406"/>
      <c r="AAS7" s="406"/>
      <c r="AAT7" s="406"/>
      <c r="AAU7" s="406"/>
      <c r="AAV7" s="406"/>
      <c r="AAW7" s="406"/>
      <c r="AAX7" s="406"/>
      <c r="AAY7" s="406"/>
      <c r="AAZ7" s="406"/>
      <c r="ABA7" s="406"/>
      <c r="ABB7" s="406"/>
      <c r="ABC7" s="406"/>
      <c r="ABD7" s="406"/>
      <c r="ABE7" s="406"/>
      <c r="ABF7" s="406"/>
      <c r="ABG7" s="406"/>
      <c r="ABH7" s="406"/>
      <c r="ABI7" s="406"/>
      <c r="ABJ7" s="406"/>
      <c r="ABK7" s="406"/>
      <c r="ABL7" s="406"/>
      <c r="ABM7" s="406"/>
      <c r="ABN7" s="406"/>
      <c r="ABO7" s="406"/>
      <c r="ABP7" s="406"/>
      <c r="ABQ7" s="406"/>
      <c r="ABR7" s="406"/>
      <c r="ABS7" s="406"/>
      <c r="ABT7" s="406"/>
      <c r="ABU7" s="406"/>
      <c r="ABV7" s="406"/>
      <c r="ABW7" s="406"/>
      <c r="ABX7" s="406"/>
      <c r="ABY7" s="406"/>
      <c r="ABZ7" s="406"/>
      <c r="ACA7" s="406"/>
      <c r="ACB7" s="406"/>
      <c r="ACC7" s="406"/>
      <c r="ACD7" s="406"/>
      <c r="ACE7" s="406"/>
      <c r="ACF7" s="406"/>
      <c r="ACG7" s="406"/>
      <c r="ACH7" s="406"/>
      <c r="ACI7" s="406"/>
      <c r="ACJ7" s="406"/>
      <c r="ACK7" s="406"/>
      <c r="ACL7" s="406"/>
      <c r="ACM7" s="406"/>
      <c r="ACN7" s="406"/>
      <c r="ACO7" s="406"/>
      <c r="ACP7" s="406"/>
      <c r="ACQ7" s="406"/>
      <c r="ACR7" s="406"/>
      <c r="ACS7" s="406"/>
      <c r="ACT7" s="406"/>
      <c r="ACU7" s="406"/>
      <c r="ACV7" s="406"/>
      <c r="ACW7" s="406"/>
      <c r="ACX7" s="406"/>
      <c r="ACY7" s="406"/>
      <c r="ACZ7" s="406"/>
      <c r="ADA7" s="406"/>
      <c r="ADB7" s="406"/>
      <c r="ADC7" s="406"/>
      <c r="ADD7" s="406"/>
      <c r="ADE7" s="406"/>
      <c r="ADF7" s="406"/>
      <c r="ADG7" s="406"/>
      <c r="ADH7" s="406"/>
      <c r="ADI7" s="406"/>
      <c r="ADJ7" s="406"/>
      <c r="ADK7" s="406"/>
      <c r="ADL7" s="406"/>
      <c r="ADM7" s="406"/>
      <c r="ADN7" s="406"/>
      <c r="ADO7" s="406"/>
      <c r="ADP7" s="406"/>
      <c r="ADQ7" s="406"/>
      <c r="ADR7" s="406"/>
      <c r="ADS7" s="406"/>
      <c r="ADT7" s="406"/>
      <c r="ADU7" s="406"/>
      <c r="ADV7" s="406"/>
      <c r="ADW7" s="406"/>
      <c r="ADX7" s="406"/>
      <c r="ADY7" s="406"/>
      <c r="ADZ7" s="406"/>
      <c r="AEA7" s="406"/>
      <c r="AEB7" s="406"/>
      <c r="AEC7" s="406"/>
      <c r="AED7" s="406"/>
      <c r="AEE7" s="406"/>
      <c r="AEF7" s="406"/>
      <c r="AEG7" s="406"/>
      <c r="AEH7" s="406"/>
      <c r="AEI7" s="406"/>
      <c r="AEJ7" s="406"/>
      <c r="AEK7" s="406"/>
      <c r="AEL7" s="406"/>
      <c r="AEM7" s="406"/>
      <c r="AEN7" s="406"/>
      <c r="AEO7" s="406"/>
      <c r="AEP7" s="406"/>
      <c r="AEQ7" s="406"/>
      <c r="AER7" s="406"/>
      <c r="AES7" s="406"/>
      <c r="AET7" s="406"/>
      <c r="AEU7" s="406"/>
      <c r="AEV7" s="406"/>
      <c r="AEW7" s="406"/>
      <c r="AEX7" s="406"/>
      <c r="AEY7" s="406"/>
      <c r="AEZ7" s="406"/>
      <c r="AFA7" s="406"/>
      <c r="AFB7" s="406"/>
      <c r="AFC7" s="406"/>
      <c r="AFD7" s="406"/>
      <c r="AFE7" s="406"/>
      <c r="AFF7" s="406"/>
      <c r="AFG7" s="406"/>
      <c r="AFH7" s="406"/>
      <c r="AFI7" s="406"/>
      <c r="AFJ7" s="406"/>
      <c r="AFK7" s="406"/>
      <c r="AFL7" s="406"/>
      <c r="AFM7" s="406"/>
      <c r="AFN7" s="406"/>
      <c r="AFO7" s="406"/>
      <c r="AFP7" s="406"/>
      <c r="AFQ7" s="406"/>
      <c r="AFR7" s="406"/>
      <c r="AFS7" s="406"/>
      <c r="AFT7" s="406"/>
      <c r="AFU7" s="406"/>
      <c r="AFV7" s="406"/>
      <c r="AFW7" s="406"/>
      <c r="AFX7" s="406"/>
      <c r="AFY7" s="406"/>
      <c r="AFZ7" s="406"/>
      <c r="AGA7" s="406"/>
      <c r="AGB7" s="406"/>
      <c r="AGC7" s="406"/>
      <c r="AGD7" s="406"/>
      <c r="AGE7" s="406"/>
      <c r="AGF7" s="406"/>
      <c r="AGG7" s="406"/>
      <c r="AGH7" s="406"/>
      <c r="AGI7" s="406"/>
      <c r="AGJ7" s="406"/>
      <c r="AGK7" s="406"/>
      <c r="AGL7" s="406"/>
      <c r="AGM7" s="406"/>
      <c r="AGN7" s="406"/>
      <c r="AGO7" s="406"/>
      <c r="AGP7" s="406"/>
      <c r="AGQ7" s="406"/>
      <c r="AGR7" s="406"/>
      <c r="AGS7" s="406"/>
      <c r="AGT7" s="406"/>
      <c r="AGU7" s="406"/>
      <c r="AGV7" s="406"/>
      <c r="AGW7" s="406"/>
      <c r="AGX7" s="406"/>
      <c r="AGY7" s="406"/>
      <c r="AGZ7" s="406"/>
      <c r="AHA7" s="406"/>
      <c r="AHB7" s="406"/>
      <c r="AHC7" s="406"/>
      <c r="AHD7" s="406"/>
      <c r="AHE7" s="406"/>
      <c r="AHF7" s="406"/>
      <c r="AHG7" s="406"/>
      <c r="AHH7" s="406"/>
      <c r="AHI7" s="406"/>
      <c r="AHJ7" s="406"/>
      <c r="AHK7" s="406"/>
      <c r="AHL7" s="406"/>
      <c r="AHM7" s="406"/>
      <c r="AHN7" s="406"/>
      <c r="AHO7" s="406"/>
      <c r="AHP7" s="406"/>
      <c r="AHQ7" s="406"/>
      <c r="AHR7" s="406"/>
      <c r="AHS7" s="406"/>
      <c r="AHT7" s="406"/>
      <c r="AHU7" s="406"/>
      <c r="AHV7" s="406"/>
      <c r="AHW7" s="406"/>
      <c r="AHX7" s="406"/>
      <c r="AHY7" s="406"/>
      <c r="AHZ7" s="406"/>
      <c r="AIA7" s="406"/>
      <c r="AIB7" s="406"/>
      <c r="AIC7" s="406"/>
      <c r="AID7" s="406"/>
      <c r="AIE7" s="406"/>
      <c r="AIF7" s="406"/>
      <c r="AIG7" s="406"/>
      <c r="AIH7" s="406"/>
      <c r="AII7" s="406"/>
      <c r="AIJ7" s="406"/>
      <c r="AIK7" s="406"/>
      <c r="AIL7" s="406"/>
      <c r="AIM7" s="406"/>
      <c r="AIN7" s="406"/>
      <c r="AIO7" s="406"/>
      <c r="AIP7" s="406"/>
      <c r="AIQ7" s="406"/>
      <c r="AIR7" s="406"/>
      <c r="AIS7" s="406"/>
      <c r="AIT7" s="406"/>
      <c r="AIU7" s="406"/>
      <c r="AIV7" s="406"/>
      <c r="AIW7" s="406"/>
      <c r="AIX7" s="406"/>
      <c r="AIY7" s="406"/>
      <c r="AIZ7" s="406"/>
      <c r="AJA7" s="406"/>
      <c r="AJB7" s="406"/>
      <c r="AJC7" s="406"/>
      <c r="AJD7" s="406"/>
      <c r="AJE7" s="406"/>
      <c r="AJF7" s="406"/>
      <c r="AJG7" s="406"/>
      <c r="AJH7" s="406"/>
      <c r="AJI7" s="406"/>
      <c r="AJJ7" s="406"/>
      <c r="AJK7" s="406"/>
      <c r="AJL7" s="406"/>
      <c r="AJM7" s="406"/>
      <c r="AJN7" s="406"/>
      <c r="AJO7" s="406"/>
      <c r="AJP7" s="406"/>
      <c r="AJQ7" s="406"/>
      <c r="AJR7" s="406"/>
      <c r="AJS7" s="406"/>
      <c r="AJT7" s="406"/>
      <c r="AJU7" s="406"/>
      <c r="AJV7" s="406"/>
      <c r="AJW7" s="406"/>
      <c r="AJX7" s="406"/>
      <c r="AJY7" s="406"/>
      <c r="AJZ7" s="406"/>
      <c r="AKA7" s="406"/>
      <c r="AKB7" s="406"/>
      <c r="AKC7" s="406"/>
      <c r="AKD7" s="406"/>
      <c r="AKE7" s="406"/>
      <c r="AKF7" s="406"/>
      <c r="AKG7" s="406"/>
      <c r="AKH7" s="406"/>
      <c r="AKI7" s="406"/>
      <c r="AKJ7" s="406"/>
      <c r="AKK7" s="406"/>
      <c r="AKL7" s="406"/>
      <c r="AKM7" s="406"/>
      <c r="AKN7" s="406"/>
      <c r="AKO7" s="406"/>
      <c r="AKP7" s="406"/>
      <c r="AKQ7" s="406"/>
      <c r="AKR7" s="406"/>
      <c r="AKS7" s="406"/>
      <c r="AKT7" s="406"/>
      <c r="AKU7" s="406"/>
      <c r="AKV7" s="406"/>
      <c r="AKW7" s="406"/>
      <c r="AKX7" s="406"/>
      <c r="AKY7" s="406"/>
      <c r="AKZ7" s="406"/>
      <c r="ALA7" s="406"/>
      <c r="ALB7" s="406"/>
      <c r="ALC7" s="406"/>
      <c r="ALD7" s="406"/>
      <c r="ALE7" s="406"/>
      <c r="ALF7" s="406"/>
      <c r="ALG7" s="406"/>
      <c r="ALH7" s="406"/>
      <c r="ALI7" s="406"/>
      <c r="ALJ7" s="406"/>
      <c r="ALK7" s="406"/>
      <c r="ALL7" s="406"/>
      <c r="ALM7" s="406"/>
      <c r="ALN7" s="406"/>
      <c r="ALO7" s="406"/>
      <c r="ALP7" s="406"/>
      <c r="ALQ7" s="406"/>
      <c r="ALR7" s="406"/>
      <c r="ALS7" s="406"/>
      <c r="ALT7" s="406"/>
      <c r="ALU7" s="406"/>
      <c r="ALV7" s="406"/>
      <c r="ALW7" s="406"/>
      <c r="ALX7" s="406"/>
      <c r="ALY7" s="406"/>
      <c r="ALZ7" s="406"/>
      <c r="AMA7" s="406"/>
      <c r="AMB7" s="406"/>
      <c r="AMC7" s="406"/>
      <c r="AMD7" s="406"/>
      <c r="AME7" s="406"/>
      <c r="AMF7" s="406"/>
      <c r="AMG7" s="406"/>
      <c r="AMH7" s="406"/>
      <c r="AMI7" s="406"/>
      <c r="AMJ7" s="406"/>
      <c r="AMK7" s="406"/>
      <c r="AML7" s="406"/>
      <c r="AMM7" s="406"/>
      <c r="AMN7" s="406"/>
      <c r="AMO7" s="406"/>
      <c r="AMP7" s="406"/>
      <c r="AMQ7" s="406"/>
      <c r="AMR7" s="406"/>
      <c r="AMS7" s="406"/>
      <c r="AMT7" s="406"/>
      <c r="AMU7" s="406"/>
      <c r="AMV7" s="406"/>
      <c r="AMW7" s="406"/>
      <c r="AMX7" s="406"/>
      <c r="AMY7" s="406"/>
      <c r="AMZ7" s="406"/>
      <c r="ANA7" s="406"/>
      <c r="ANB7" s="406"/>
      <c r="ANC7" s="406"/>
      <c r="AND7" s="406"/>
      <c r="ANE7" s="406"/>
      <c r="ANF7" s="406"/>
      <c r="ANG7" s="406"/>
      <c r="ANH7" s="406"/>
      <c r="ANI7" s="406"/>
      <c r="ANJ7" s="406"/>
      <c r="ANK7" s="406"/>
      <c r="ANL7" s="406"/>
      <c r="ANM7" s="406"/>
      <c r="ANN7" s="406"/>
      <c r="ANO7" s="406"/>
      <c r="ANP7" s="406"/>
      <c r="ANQ7" s="406"/>
      <c r="ANR7" s="406"/>
      <c r="ANS7" s="406"/>
      <c r="ANT7" s="406"/>
      <c r="ANU7" s="406"/>
      <c r="ANV7" s="406"/>
      <c r="ANW7" s="406"/>
      <c r="ANX7" s="406"/>
      <c r="ANY7" s="406"/>
      <c r="ANZ7" s="406"/>
      <c r="AOA7" s="406"/>
      <c r="AOB7" s="406"/>
      <c r="AOC7" s="406"/>
      <c r="AOD7" s="406"/>
      <c r="AOE7" s="406"/>
      <c r="AOF7" s="406"/>
      <c r="AOG7" s="406"/>
      <c r="AOH7" s="406"/>
      <c r="AOI7" s="406"/>
      <c r="AOJ7" s="406"/>
      <c r="AOK7" s="406"/>
      <c r="AOL7" s="406"/>
      <c r="AOM7" s="406"/>
      <c r="AON7" s="406"/>
      <c r="AOO7" s="406"/>
      <c r="AOP7" s="406"/>
      <c r="AOQ7" s="406"/>
      <c r="AOR7" s="406"/>
      <c r="AOS7" s="406"/>
      <c r="AOT7" s="406"/>
      <c r="AOU7" s="406"/>
      <c r="AOV7" s="406"/>
      <c r="AOW7" s="406"/>
      <c r="AOX7" s="406"/>
      <c r="AOY7" s="406"/>
      <c r="AOZ7" s="406"/>
      <c r="APA7" s="406"/>
      <c r="APB7" s="406"/>
      <c r="APC7" s="406"/>
      <c r="APD7" s="406"/>
      <c r="APE7" s="406"/>
      <c r="APF7" s="406"/>
      <c r="APG7" s="406"/>
      <c r="APH7" s="406"/>
      <c r="API7" s="406"/>
      <c r="APJ7" s="406"/>
      <c r="APK7" s="406"/>
      <c r="APL7" s="406"/>
      <c r="APM7" s="406"/>
      <c r="APN7" s="406"/>
      <c r="APO7" s="406"/>
      <c r="APP7" s="406"/>
      <c r="APQ7" s="406"/>
      <c r="APR7" s="406"/>
      <c r="APS7" s="406"/>
      <c r="APT7" s="406"/>
      <c r="APU7" s="406"/>
      <c r="APV7" s="406"/>
      <c r="APW7" s="406"/>
      <c r="APX7" s="406"/>
      <c r="APY7" s="406"/>
      <c r="APZ7" s="406"/>
      <c r="AQA7" s="406"/>
      <c r="AQB7" s="406"/>
      <c r="AQC7" s="406"/>
      <c r="AQD7" s="406"/>
      <c r="AQE7" s="406"/>
      <c r="AQF7" s="406"/>
      <c r="AQG7" s="406"/>
      <c r="AQH7" s="406"/>
      <c r="AQI7" s="406"/>
      <c r="AQJ7" s="406"/>
      <c r="AQK7" s="406"/>
      <c r="AQL7" s="406"/>
      <c r="AQM7" s="406"/>
      <c r="AQN7" s="406"/>
      <c r="AQO7" s="406"/>
      <c r="AQP7" s="406"/>
      <c r="AQQ7" s="406"/>
      <c r="AQR7" s="406"/>
      <c r="AQS7" s="406"/>
      <c r="AQT7" s="406"/>
      <c r="AQU7" s="406"/>
      <c r="AQV7" s="406"/>
      <c r="AQW7" s="406"/>
      <c r="AQX7" s="406"/>
      <c r="AQY7" s="406"/>
      <c r="AQZ7" s="406"/>
      <c r="ARA7" s="406"/>
      <c r="ARB7" s="406"/>
      <c r="ARC7" s="406"/>
      <c r="ARD7" s="406"/>
      <c r="ARE7" s="406"/>
      <c r="ARF7" s="406"/>
      <c r="ARG7" s="406"/>
      <c r="ARH7" s="406"/>
      <c r="ARI7" s="406"/>
      <c r="ARJ7" s="406"/>
      <c r="ARK7" s="406"/>
      <c r="ARL7" s="406"/>
      <c r="ARM7" s="406"/>
      <c r="ARN7" s="406"/>
      <c r="ARO7" s="406"/>
      <c r="ARP7" s="406"/>
      <c r="ARQ7" s="406"/>
      <c r="ARR7" s="406"/>
      <c r="ARS7" s="406"/>
      <c r="ART7" s="406"/>
      <c r="ARU7" s="406"/>
      <c r="ARV7" s="406"/>
      <c r="ARW7" s="406"/>
      <c r="ARX7" s="406"/>
      <c r="ARY7" s="406"/>
      <c r="ARZ7" s="406"/>
      <c r="ASA7" s="406"/>
      <c r="ASB7" s="406"/>
      <c r="ASC7" s="406"/>
      <c r="ASD7" s="406"/>
      <c r="ASE7" s="406"/>
      <c r="ASF7" s="406"/>
      <c r="ASG7" s="406"/>
      <c r="ASH7" s="406"/>
      <c r="ASI7" s="406"/>
      <c r="ASJ7" s="406"/>
      <c r="ASK7" s="406"/>
      <c r="ASL7" s="406"/>
      <c r="ASM7" s="406"/>
      <c r="ASN7" s="406"/>
      <c r="ASO7" s="406"/>
      <c r="ASP7" s="406"/>
      <c r="ASQ7" s="406"/>
      <c r="ASR7" s="406"/>
      <c r="ASS7" s="406"/>
      <c r="AST7" s="406"/>
      <c r="ASU7" s="406"/>
      <c r="ASV7" s="406"/>
      <c r="ASW7" s="406"/>
      <c r="ASX7" s="406"/>
      <c r="ASY7" s="406"/>
      <c r="ASZ7" s="406"/>
      <c r="ATA7" s="406"/>
      <c r="ATB7" s="406"/>
      <c r="ATC7" s="406"/>
      <c r="ATD7" s="406"/>
      <c r="ATE7" s="406"/>
      <c r="ATF7" s="406"/>
      <c r="ATG7" s="406"/>
      <c r="ATH7" s="406"/>
      <c r="ATI7" s="406"/>
      <c r="ATJ7" s="406"/>
      <c r="ATK7" s="406"/>
      <c r="ATL7" s="406"/>
      <c r="ATM7" s="406"/>
      <c r="ATN7" s="406"/>
      <c r="ATO7" s="406"/>
      <c r="ATP7" s="406"/>
      <c r="ATQ7" s="406"/>
      <c r="ATR7" s="406"/>
      <c r="ATS7" s="406"/>
      <c r="ATT7" s="406"/>
      <c r="ATU7" s="406"/>
      <c r="ATV7" s="406"/>
      <c r="ATW7" s="406"/>
      <c r="ATX7" s="406"/>
      <c r="ATY7" s="406"/>
      <c r="ATZ7" s="406"/>
      <c r="AUA7" s="406"/>
      <c r="AUB7" s="406"/>
      <c r="AUC7" s="406"/>
      <c r="AUD7" s="406"/>
      <c r="AUE7" s="406"/>
      <c r="AUF7" s="406"/>
      <c r="AUG7" s="406"/>
      <c r="AUH7" s="406"/>
      <c r="AUI7" s="406"/>
      <c r="AUJ7" s="406"/>
      <c r="AUK7" s="406"/>
      <c r="AUL7" s="406"/>
      <c r="AUM7" s="406"/>
      <c r="AUN7" s="406"/>
      <c r="AUO7" s="406"/>
      <c r="AUP7" s="406"/>
      <c r="AUQ7" s="406"/>
      <c r="AUR7" s="406"/>
      <c r="AUS7" s="406"/>
      <c r="AUT7" s="406"/>
      <c r="AUU7" s="406"/>
      <c r="AUV7" s="406"/>
      <c r="AUW7" s="406"/>
      <c r="AUX7" s="406"/>
      <c r="AUY7" s="406"/>
      <c r="AUZ7" s="406"/>
      <c r="AVA7" s="406"/>
      <c r="AVB7" s="406"/>
      <c r="AVC7" s="406"/>
      <c r="AVD7" s="406"/>
      <c r="AVE7" s="406"/>
      <c r="AVF7" s="406"/>
      <c r="AVG7" s="406"/>
      <c r="AVH7" s="406"/>
      <c r="AVI7" s="406"/>
      <c r="AVJ7" s="406"/>
      <c r="AVK7" s="406"/>
      <c r="AVL7" s="406"/>
      <c r="AVM7" s="406"/>
      <c r="AVN7" s="406"/>
      <c r="AVO7" s="406"/>
      <c r="AVP7" s="406"/>
      <c r="AVQ7" s="406"/>
      <c r="AVR7" s="406"/>
      <c r="AVS7" s="406"/>
      <c r="AVT7" s="406"/>
      <c r="AVU7" s="406"/>
      <c r="AVV7" s="406"/>
      <c r="AVW7" s="406"/>
      <c r="AVX7" s="406"/>
      <c r="AVY7" s="406"/>
      <c r="AVZ7" s="406"/>
      <c r="AWA7" s="406"/>
      <c r="AWB7" s="406"/>
      <c r="AWC7" s="406"/>
      <c r="AWD7" s="406"/>
      <c r="AWE7" s="406"/>
      <c r="AWF7" s="406"/>
      <c r="AWG7" s="406"/>
      <c r="AWH7" s="406"/>
      <c r="AWI7" s="406"/>
      <c r="AWJ7" s="406"/>
      <c r="AWK7" s="406"/>
      <c r="AWL7" s="406"/>
      <c r="AWM7" s="406"/>
      <c r="AWN7" s="406"/>
      <c r="AWO7" s="406"/>
      <c r="AWP7" s="406"/>
      <c r="AWQ7" s="406"/>
      <c r="AWR7" s="406"/>
      <c r="AWS7" s="406"/>
      <c r="AWT7" s="406"/>
      <c r="AWU7" s="406"/>
      <c r="AWV7" s="406"/>
      <c r="AWW7" s="406"/>
      <c r="AWX7" s="406"/>
      <c r="AWY7" s="406"/>
      <c r="AWZ7" s="406"/>
      <c r="AXA7" s="406"/>
      <c r="AXB7" s="406"/>
      <c r="AXC7" s="406"/>
      <c r="AXD7" s="406"/>
      <c r="AXE7" s="406"/>
      <c r="AXF7" s="406"/>
      <c r="AXG7" s="406"/>
      <c r="AXH7" s="406"/>
      <c r="AXI7" s="406"/>
      <c r="AXJ7" s="406"/>
      <c r="AXK7" s="406"/>
      <c r="AXL7" s="406"/>
      <c r="AXM7" s="406"/>
      <c r="AXN7" s="406"/>
      <c r="AXO7" s="406"/>
      <c r="AXP7" s="406"/>
      <c r="AXQ7" s="406"/>
      <c r="AXR7" s="406"/>
      <c r="AXS7" s="406"/>
      <c r="AXT7" s="406"/>
      <c r="AXU7" s="406"/>
      <c r="AXV7" s="406"/>
      <c r="AXW7" s="406"/>
      <c r="AXX7" s="406"/>
      <c r="AXY7" s="406"/>
      <c r="AXZ7" s="406"/>
      <c r="AYA7" s="406"/>
      <c r="AYB7" s="406"/>
      <c r="AYC7" s="406"/>
      <c r="AYD7" s="406"/>
      <c r="AYE7" s="406"/>
      <c r="AYF7" s="406"/>
      <c r="AYG7" s="406"/>
      <c r="AYH7" s="406"/>
      <c r="AYI7" s="406"/>
      <c r="AYJ7" s="406"/>
      <c r="AYK7" s="406"/>
      <c r="AYL7" s="406"/>
      <c r="AYM7" s="406"/>
      <c r="AYN7" s="406"/>
      <c r="AYO7" s="406"/>
      <c r="AYP7" s="406"/>
      <c r="AYQ7" s="406"/>
      <c r="AYR7" s="406"/>
      <c r="AYS7" s="406"/>
      <c r="AYT7" s="406"/>
      <c r="AYU7" s="406"/>
      <c r="AYV7" s="406"/>
      <c r="AYW7" s="406"/>
      <c r="AYX7" s="406"/>
      <c r="AYY7" s="406"/>
      <c r="AYZ7" s="406"/>
      <c r="AZA7" s="406"/>
      <c r="AZB7" s="406"/>
      <c r="AZC7" s="406"/>
      <c r="AZD7" s="406"/>
      <c r="AZE7" s="406"/>
      <c r="AZF7" s="406"/>
      <c r="AZG7" s="406"/>
      <c r="AZH7" s="406"/>
      <c r="AZI7" s="406"/>
      <c r="AZJ7" s="406"/>
      <c r="AZK7" s="406"/>
      <c r="AZL7" s="406"/>
      <c r="AZM7" s="406"/>
      <c r="AZN7" s="406"/>
      <c r="AZO7" s="406"/>
      <c r="AZP7" s="406"/>
      <c r="AZQ7" s="406"/>
      <c r="AZR7" s="406"/>
      <c r="AZS7" s="406"/>
      <c r="AZT7" s="406"/>
      <c r="AZU7" s="406"/>
      <c r="AZV7" s="406"/>
      <c r="AZW7" s="406"/>
      <c r="AZX7" s="406"/>
      <c r="AZY7" s="406"/>
      <c r="AZZ7" s="406"/>
      <c r="BAA7" s="406"/>
      <c r="BAB7" s="406"/>
      <c r="BAC7" s="406"/>
      <c r="BAD7" s="406"/>
      <c r="BAE7" s="406"/>
      <c r="BAF7" s="406"/>
      <c r="BAG7" s="406"/>
      <c r="BAH7" s="406"/>
      <c r="BAI7" s="406"/>
      <c r="BAJ7" s="406"/>
      <c r="BAK7" s="406"/>
      <c r="BAL7" s="406"/>
      <c r="BAM7" s="406"/>
      <c r="BAN7" s="406"/>
      <c r="BAO7" s="406"/>
      <c r="BAP7" s="406"/>
      <c r="BAQ7" s="406"/>
      <c r="BAR7" s="406"/>
      <c r="BAS7" s="406"/>
      <c r="BAT7" s="406"/>
      <c r="BAU7" s="406"/>
      <c r="BAV7" s="406"/>
      <c r="BAW7" s="406"/>
      <c r="BAX7" s="406"/>
      <c r="BAY7" s="406"/>
      <c r="BAZ7" s="406"/>
      <c r="BBA7" s="406"/>
      <c r="BBB7" s="406"/>
      <c r="BBC7" s="406"/>
      <c r="BBD7" s="406"/>
      <c r="BBE7" s="406"/>
      <c r="BBF7" s="406"/>
      <c r="BBG7" s="406"/>
      <c r="BBH7" s="406"/>
      <c r="BBI7" s="406"/>
      <c r="BBJ7" s="406"/>
      <c r="BBK7" s="406"/>
      <c r="BBL7" s="406"/>
      <c r="BBM7" s="406"/>
      <c r="BBN7" s="406"/>
      <c r="BBO7" s="406"/>
      <c r="BBP7" s="406"/>
      <c r="BBQ7" s="406"/>
      <c r="BBR7" s="406"/>
      <c r="BBS7" s="406"/>
      <c r="BBT7" s="406"/>
      <c r="BBU7" s="406"/>
      <c r="BBV7" s="406"/>
      <c r="BBW7" s="406"/>
      <c r="BBX7" s="406"/>
      <c r="BBY7" s="406"/>
      <c r="BBZ7" s="406"/>
      <c r="BCA7" s="406"/>
      <c r="BCB7" s="406"/>
      <c r="BCC7" s="406"/>
      <c r="BCD7" s="406"/>
      <c r="BCE7" s="406"/>
      <c r="BCF7" s="406"/>
      <c r="BCG7" s="406"/>
      <c r="BCH7" s="406"/>
      <c r="BCI7" s="406"/>
      <c r="BCJ7" s="406"/>
      <c r="BCK7" s="406"/>
      <c r="BCL7" s="406"/>
      <c r="BCM7" s="406"/>
      <c r="BCN7" s="406"/>
      <c r="BCO7" s="406"/>
      <c r="BCP7" s="406"/>
      <c r="BCQ7" s="406"/>
      <c r="BCR7" s="406"/>
      <c r="BCS7" s="406"/>
      <c r="BCT7" s="406"/>
      <c r="BCU7" s="406"/>
      <c r="BCV7" s="406"/>
      <c r="BCW7" s="406"/>
      <c r="BCX7" s="406"/>
      <c r="BCY7" s="406"/>
      <c r="BCZ7" s="406"/>
      <c r="BDA7" s="406"/>
      <c r="BDB7" s="406"/>
      <c r="BDC7" s="406"/>
      <c r="BDD7" s="406"/>
      <c r="BDE7" s="406"/>
      <c r="BDF7" s="406"/>
      <c r="BDG7" s="406"/>
      <c r="BDH7" s="406"/>
      <c r="BDI7" s="406"/>
      <c r="BDJ7" s="406"/>
      <c r="BDK7" s="406"/>
      <c r="BDL7" s="406"/>
      <c r="BDM7" s="406"/>
      <c r="BDN7" s="406"/>
      <c r="BDO7" s="406"/>
      <c r="BDP7" s="406"/>
      <c r="BDQ7" s="406"/>
      <c r="BDR7" s="406"/>
      <c r="BDS7" s="406"/>
      <c r="BDT7" s="406"/>
      <c r="BDU7" s="406"/>
      <c r="BDV7" s="406"/>
      <c r="BDW7" s="406"/>
      <c r="BDX7" s="406"/>
      <c r="BDY7" s="406"/>
      <c r="BDZ7" s="406"/>
      <c r="BEA7" s="406"/>
      <c r="BEB7" s="406"/>
      <c r="BEC7" s="406"/>
      <c r="BED7" s="406"/>
      <c r="BEE7" s="406"/>
      <c r="BEF7" s="406"/>
      <c r="BEG7" s="406"/>
      <c r="BEH7" s="406"/>
      <c r="BEI7" s="406"/>
      <c r="BEJ7" s="406"/>
      <c r="BEK7" s="406"/>
      <c r="BEL7" s="406"/>
      <c r="BEM7" s="406"/>
      <c r="BEN7" s="406"/>
      <c r="BEO7" s="406"/>
      <c r="BEP7" s="406"/>
      <c r="BEQ7" s="406"/>
      <c r="BER7" s="406"/>
      <c r="BES7" s="406"/>
      <c r="BET7" s="406"/>
      <c r="BEU7" s="406"/>
      <c r="BEV7" s="406"/>
      <c r="BEW7" s="406"/>
      <c r="BEX7" s="406"/>
      <c r="BEY7" s="406"/>
      <c r="BEZ7" s="406"/>
      <c r="BFA7" s="406"/>
      <c r="BFB7" s="406"/>
      <c r="BFC7" s="406"/>
      <c r="BFD7" s="406"/>
      <c r="BFE7" s="406"/>
      <c r="BFF7" s="406"/>
      <c r="BFG7" s="406"/>
      <c r="BFH7" s="406"/>
      <c r="BFI7" s="406"/>
      <c r="BFJ7" s="406"/>
      <c r="BFK7" s="406"/>
      <c r="BFL7" s="406"/>
      <c r="BFM7" s="406"/>
      <c r="BFN7" s="406"/>
      <c r="BFO7" s="406"/>
      <c r="BFP7" s="406"/>
      <c r="BFQ7" s="406"/>
      <c r="BFR7" s="406"/>
      <c r="BFS7" s="406"/>
      <c r="BFT7" s="406"/>
      <c r="BFU7" s="406"/>
      <c r="BFV7" s="406"/>
      <c r="BFW7" s="406"/>
      <c r="BFX7" s="406"/>
      <c r="BFY7" s="406"/>
      <c r="BFZ7" s="406"/>
      <c r="BGA7" s="406"/>
      <c r="BGB7" s="406"/>
      <c r="BGC7" s="406"/>
      <c r="BGD7" s="406"/>
      <c r="BGE7" s="406"/>
      <c r="BGF7" s="406"/>
      <c r="BGG7" s="406"/>
      <c r="BGH7" s="406"/>
      <c r="BGI7" s="406"/>
      <c r="BGJ7" s="406"/>
      <c r="BGK7" s="406"/>
      <c r="BGL7" s="406"/>
      <c r="BGM7" s="406"/>
      <c r="BGN7" s="406"/>
      <c r="BGO7" s="406"/>
      <c r="BGP7" s="406"/>
      <c r="BGQ7" s="406"/>
      <c r="BGR7" s="406"/>
      <c r="BGS7" s="406"/>
      <c r="BGT7" s="406"/>
      <c r="BGU7" s="406"/>
      <c r="BGV7" s="406"/>
      <c r="BGW7" s="406"/>
      <c r="BGX7" s="406"/>
      <c r="BGY7" s="406"/>
      <c r="BGZ7" s="406"/>
      <c r="BHA7" s="406"/>
      <c r="BHB7" s="406"/>
      <c r="BHC7" s="406"/>
      <c r="BHD7" s="406"/>
      <c r="BHE7" s="406"/>
      <c r="BHF7" s="406"/>
      <c r="BHG7" s="406"/>
      <c r="BHH7" s="406"/>
      <c r="BHI7" s="406"/>
      <c r="BHJ7" s="406"/>
      <c r="BHK7" s="406"/>
      <c r="BHL7" s="406"/>
      <c r="BHM7" s="406"/>
      <c r="BHN7" s="406"/>
      <c r="BHO7" s="406"/>
      <c r="BHP7" s="406"/>
      <c r="BHQ7" s="406"/>
      <c r="BHR7" s="406"/>
      <c r="BHS7" s="406"/>
      <c r="BHT7" s="406"/>
      <c r="BHU7" s="406"/>
      <c r="BHV7" s="406"/>
      <c r="BHW7" s="406"/>
      <c r="BHX7" s="406"/>
      <c r="BHY7" s="406"/>
      <c r="BHZ7" s="406"/>
      <c r="BIA7" s="406"/>
      <c r="BIB7" s="406"/>
      <c r="BIC7" s="406"/>
      <c r="BID7" s="406"/>
      <c r="BIE7" s="406"/>
      <c r="BIF7" s="406"/>
      <c r="BIG7" s="406"/>
      <c r="BIH7" s="406"/>
      <c r="BII7" s="406"/>
      <c r="BIJ7" s="406"/>
      <c r="BIK7" s="406"/>
      <c r="BIL7" s="406"/>
      <c r="BIM7" s="406"/>
      <c r="BIN7" s="406"/>
      <c r="BIO7" s="406"/>
      <c r="BIP7" s="406"/>
      <c r="BIQ7" s="406"/>
      <c r="BIR7" s="406"/>
      <c r="BIS7" s="406"/>
      <c r="BIT7" s="406"/>
      <c r="BIU7" s="406"/>
      <c r="BIV7" s="406"/>
      <c r="BIW7" s="406"/>
      <c r="BIX7" s="406"/>
      <c r="BIY7" s="406"/>
      <c r="BIZ7" s="406"/>
      <c r="BJA7" s="406"/>
      <c r="BJB7" s="406"/>
      <c r="BJC7" s="406"/>
      <c r="BJD7" s="406"/>
      <c r="BJE7" s="406"/>
      <c r="BJF7" s="406"/>
      <c r="BJG7" s="406"/>
      <c r="BJH7" s="406"/>
      <c r="BJI7" s="406"/>
      <c r="BJJ7" s="406"/>
      <c r="BJK7" s="406"/>
      <c r="BJL7" s="406"/>
      <c r="BJM7" s="406"/>
      <c r="BJN7" s="406"/>
      <c r="BJO7" s="406"/>
      <c r="BJP7" s="406"/>
      <c r="BJQ7" s="406"/>
      <c r="BJR7" s="406"/>
      <c r="BJS7" s="406"/>
      <c r="BJT7" s="406"/>
      <c r="BJU7" s="406"/>
      <c r="BJV7" s="406"/>
      <c r="BJW7" s="406"/>
      <c r="BJX7" s="406"/>
      <c r="BJY7" s="406"/>
      <c r="BJZ7" s="406"/>
      <c r="BKA7" s="406"/>
      <c r="BKB7" s="406"/>
      <c r="BKC7" s="406"/>
      <c r="BKD7" s="406"/>
      <c r="BKE7" s="406"/>
      <c r="BKF7" s="406"/>
      <c r="BKG7" s="406"/>
      <c r="BKH7" s="406"/>
      <c r="BKI7" s="406"/>
      <c r="BKJ7" s="406"/>
      <c r="BKK7" s="406"/>
      <c r="BKL7" s="406"/>
      <c r="BKM7" s="406"/>
      <c r="BKN7" s="406"/>
      <c r="BKO7" s="406"/>
      <c r="BKP7" s="406"/>
      <c r="BKQ7" s="406"/>
      <c r="BKR7" s="406"/>
      <c r="BKS7" s="406"/>
      <c r="BKT7" s="406"/>
      <c r="BKU7" s="406"/>
      <c r="BKV7" s="406"/>
      <c r="BKW7" s="406"/>
      <c r="BKX7" s="406"/>
      <c r="BKY7" s="406"/>
      <c r="BKZ7" s="406"/>
      <c r="BLA7" s="406"/>
      <c r="BLB7" s="406"/>
      <c r="BLC7" s="406"/>
      <c r="BLD7" s="406"/>
      <c r="BLE7" s="406"/>
      <c r="BLF7" s="406"/>
      <c r="BLG7" s="406"/>
      <c r="BLH7" s="406"/>
      <c r="BLI7" s="406"/>
      <c r="BLJ7" s="406"/>
      <c r="BLK7" s="406"/>
      <c r="BLL7" s="406"/>
      <c r="BLM7" s="406"/>
      <c r="BLN7" s="406"/>
      <c r="BLO7" s="406"/>
      <c r="BLP7" s="406"/>
      <c r="BLQ7" s="406"/>
      <c r="BLR7" s="406"/>
      <c r="BLS7" s="406"/>
      <c r="BLT7" s="406"/>
      <c r="BLU7" s="406"/>
      <c r="BLV7" s="406"/>
      <c r="BLW7" s="406"/>
      <c r="BLX7" s="406"/>
      <c r="BLY7" s="406"/>
      <c r="BLZ7" s="406"/>
      <c r="BMA7" s="406"/>
      <c r="BMB7" s="406"/>
      <c r="BMC7" s="406"/>
      <c r="BMD7" s="406"/>
      <c r="BME7" s="406"/>
      <c r="BMF7" s="406"/>
      <c r="BMG7" s="406"/>
      <c r="BMH7" s="406"/>
      <c r="BMI7" s="406"/>
      <c r="BMJ7" s="406"/>
      <c r="BMK7" s="406"/>
      <c r="BML7" s="406"/>
      <c r="BMM7" s="406"/>
      <c r="BMN7" s="406"/>
      <c r="BMO7" s="406"/>
      <c r="BMP7" s="406"/>
      <c r="BMQ7" s="406"/>
      <c r="BMR7" s="406"/>
      <c r="BMS7" s="406"/>
      <c r="BMT7" s="406"/>
      <c r="BMU7" s="406"/>
      <c r="BMV7" s="406"/>
      <c r="BMW7" s="406"/>
      <c r="BMX7" s="406"/>
      <c r="BMY7" s="406"/>
      <c r="BMZ7" s="406"/>
      <c r="BNA7" s="406"/>
      <c r="BNB7" s="406"/>
      <c r="BNC7" s="406"/>
      <c r="BND7" s="406"/>
      <c r="BNE7" s="406"/>
      <c r="BNF7" s="406"/>
      <c r="BNG7" s="406"/>
      <c r="BNH7" s="406"/>
      <c r="BNI7" s="406"/>
      <c r="BNJ7" s="406"/>
      <c r="BNK7" s="406"/>
      <c r="BNL7" s="406"/>
      <c r="BNM7" s="406"/>
      <c r="BNN7" s="406"/>
      <c r="BNO7" s="406"/>
      <c r="BNP7" s="406"/>
      <c r="BNQ7" s="406"/>
      <c r="BNR7" s="406"/>
      <c r="BNS7" s="406"/>
      <c r="BNT7" s="406"/>
      <c r="BNU7" s="406"/>
      <c r="BNV7" s="406"/>
      <c r="BNW7" s="406"/>
      <c r="BNX7" s="406"/>
      <c r="BNY7" s="406"/>
      <c r="BNZ7" s="406"/>
      <c r="BOA7" s="406"/>
      <c r="BOB7" s="406"/>
      <c r="BOC7" s="406"/>
      <c r="BOD7" s="406"/>
      <c r="BOE7" s="406"/>
      <c r="BOF7" s="406"/>
      <c r="BOG7" s="406"/>
      <c r="BOH7" s="406"/>
      <c r="BOI7" s="406"/>
      <c r="BOJ7" s="406"/>
      <c r="BOK7" s="406"/>
      <c r="BOL7" s="406"/>
      <c r="BOM7" s="406"/>
      <c r="BON7" s="406"/>
      <c r="BOO7" s="406"/>
      <c r="BOP7" s="406"/>
      <c r="BOQ7" s="406"/>
      <c r="BOR7" s="406"/>
      <c r="BOS7" s="406"/>
      <c r="BOT7" s="406"/>
      <c r="BOU7" s="406"/>
      <c r="BOV7" s="406"/>
      <c r="BOW7" s="406"/>
      <c r="BOX7" s="406"/>
      <c r="BOY7" s="406"/>
      <c r="BOZ7" s="406"/>
      <c r="BPA7" s="406"/>
      <c r="BPB7" s="406"/>
      <c r="BPC7" s="406"/>
      <c r="BPD7" s="406"/>
      <c r="BPE7" s="406"/>
      <c r="BPF7" s="406"/>
      <c r="BPG7" s="406"/>
      <c r="BPH7" s="406"/>
      <c r="BPI7" s="406"/>
      <c r="BPJ7" s="406"/>
      <c r="BPK7" s="406"/>
      <c r="BPL7" s="406"/>
      <c r="BPM7" s="406"/>
      <c r="BPN7" s="406"/>
      <c r="BPO7" s="406"/>
      <c r="BPP7" s="406"/>
      <c r="BPQ7" s="406"/>
      <c r="BPR7" s="406"/>
      <c r="BPS7" s="406"/>
      <c r="BPT7" s="406"/>
      <c r="BPU7" s="406"/>
      <c r="BPV7" s="406"/>
      <c r="BPW7" s="406"/>
      <c r="BPX7" s="406"/>
      <c r="BPY7" s="406"/>
      <c r="BPZ7" s="406"/>
      <c r="BQA7" s="406"/>
      <c r="BQB7" s="406"/>
      <c r="BQC7" s="406"/>
      <c r="BQD7" s="406"/>
      <c r="BQE7" s="406"/>
      <c r="BQF7" s="406"/>
      <c r="BQG7" s="406"/>
      <c r="BQH7" s="406"/>
      <c r="BQI7" s="406"/>
      <c r="BQJ7" s="406"/>
      <c r="BQK7" s="406"/>
      <c r="BQL7" s="406"/>
      <c r="BQM7" s="406"/>
      <c r="BQN7" s="406"/>
      <c r="BQO7" s="406"/>
      <c r="BQP7" s="406"/>
      <c r="BQQ7" s="406"/>
      <c r="BQR7" s="406"/>
      <c r="BQS7" s="406"/>
      <c r="BQT7" s="406"/>
      <c r="BQU7" s="406"/>
      <c r="BQV7" s="406"/>
      <c r="BQW7" s="406"/>
      <c r="BQX7" s="406"/>
      <c r="BQY7" s="406"/>
      <c r="BQZ7" s="406"/>
      <c r="BRA7" s="406"/>
      <c r="BRB7" s="406"/>
      <c r="BRC7" s="406"/>
      <c r="BRD7" s="406"/>
      <c r="BRE7" s="406"/>
      <c r="BRF7" s="406"/>
      <c r="BRG7" s="406"/>
      <c r="BRH7" s="406"/>
      <c r="BRI7" s="406"/>
      <c r="BRJ7" s="406"/>
      <c r="BRK7" s="406"/>
      <c r="BRL7" s="406"/>
      <c r="BRM7" s="406"/>
      <c r="BRN7" s="406"/>
      <c r="BRO7" s="406"/>
      <c r="BRP7" s="406"/>
      <c r="BRQ7" s="406"/>
      <c r="BRR7" s="406"/>
      <c r="BRS7" s="406"/>
      <c r="BRT7" s="406"/>
      <c r="BRU7" s="406"/>
      <c r="BRV7" s="406"/>
      <c r="BRW7" s="406"/>
      <c r="BRX7" s="406"/>
      <c r="BRY7" s="406"/>
      <c r="BRZ7" s="406"/>
      <c r="BSA7" s="406"/>
      <c r="BSB7" s="406"/>
      <c r="BSC7" s="406"/>
      <c r="BSD7" s="406"/>
      <c r="BSE7" s="406"/>
      <c r="BSF7" s="406"/>
      <c r="BSG7" s="406"/>
      <c r="BSH7" s="406"/>
      <c r="BSI7" s="406"/>
      <c r="BSJ7" s="406"/>
      <c r="BSK7" s="406"/>
      <c r="BSL7" s="406"/>
      <c r="BSM7" s="406"/>
      <c r="BSN7" s="406"/>
      <c r="BSO7" s="406"/>
      <c r="BSP7" s="406"/>
      <c r="BSQ7" s="406"/>
      <c r="BSR7" s="406"/>
      <c r="BSS7" s="406"/>
      <c r="BST7" s="406"/>
      <c r="BSU7" s="406"/>
      <c r="BSV7" s="406"/>
      <c r="BSW7" s="406"/>
      <c r="BSX7" s="406"/>
      <c r="BSY7" s="406"/>
      <c r="BSZ7" s="406"/>
      <c r="BTA7" s="406"/>
      <c r="BTB7" s="406"/>
      <c r="BTC7" s="406"/>
      <c r="BTD7" s="406"/>
      <c r="BTE7" s="406"/>
      <c r="BTF7" s="406"/>
      <c r="BTG7" s="406"/>
      <c r="BTH7" s="406"/>
      <c r="BTI7" s="406"/>
      <c r="BTJ7" s="406"/>
      <c r="BTK7" s="406"/>
      <c r="BTL7" s="406"/>
      <c r="BTM7" s="406"/>
      <c r="BTN7" s="406"/>
      <c r="BTO7" s="406"/>
      <c r="BTP7" s="406"/>
      <c r="BTQ7" s="406"/>
      <c r="BTR7" s="406"/>
      <c r="BTS7" s="406"/>
      <c r="BTT7" s="406"/>
      <c r="BTU7" s="406"/>
      <c r="BTV7" s="406"/>
      <c r="BTW7" s="406"/>
      <c r="BTX7" s="406"/>
      <c r="BTY7" s="406"/>
      <c r="BTZ7" s="406"/>
      <c r="BUA7" s="406"/>
      <c r="BUB7" s="406"/>
      <c r="BUC7" s="406"/>
      <c r="BUD7" s="406"/>
      <c r="BUE7" s="406"/>
      <c r="BUF7" s="406"/>
      <c r="BUG7" s="406"/>
      <c r="BUH7" s="406"/>
      <c r="BUI7" s="406"/>
      <c r="BUJ7" s="406"/>
      <c r="BUK7" s="406"/>
      <c r="BUL7" s="406"/>
      <c r="BUM7" s="406"/>
      <c r="BUN7" s="406"/>
      <c r="BUO7" s="406"/>
      <c r="BUP7" s="406"/>
      <c r="BUQ7" s="406"/>
      <c r="BUR7" s="406"/>
      <c r="BUS7" s="406"/>
      <c r="BUT7" s="406"/>
      <c r="BUU7" s="406"/>
      <c r="BUV7" s="406"/>
      <c r="BUW7" s="406"/>
      <c r="BUX7" s="406"/>
      <c r="BUY7" s="406"/>
      <c r="BUZ7" s="406"/>
      <c r="BVA7" s="406"/>
      <c r="BVB7" s="406"/>
      <c r="BVC7" s="406"/>
      <c r="BVD7" s="406"/>
      <c r="BVE7" s="406"/>
      <c r="BVF7" s="406"/>
      <c r="BVG7" s="406"/>
      <c r="BVH7" s="406"/>
      <c r="BVI7" s="406"/>
      <c r="BVJ7" s="406"/>
      <c r="BVK7" s="406"/>
      <c r="BVL7" s="406"/>
      <c r="BVM7" s="406"/>
      <c r="BVN7" s="406"/>
      <c r="BVO7" s="406"/>
      <c r="BVP7" s="406"/>
      <c r="BVQ7" s="406"/>
      <c r="BVR7" s="406"/>
      <c r="BVS7" s="406"/>
      <c r="BVT7" s="406"/>
      <c r="BVU7" s="406"/>
      <c r="BVV7" s="406"/>
      <c r="BVW7" s="406"/>
      <c r="BVX7" s="406"/>
      <c r="BVY7" s="406"/>
      <c r="BVZ7" s="406"/>
      <c r="BWA7" s="406"/>
      <c r="BWB7" s="406"/>
      <c r="BWC7" s="406"/>
      <c r="BWD7" s="406"/>
      <c r="BWE7" s="406"/>
      <c r="BWF7" s="406"/>
      <c r="BWG7" s="406"/>
      <c r="BWH7" s="406"/>
      <c r="BWI7" s="406"/>
      <c r="BWJ7" s="406"/>
      <c r="BWK7" s="406"/>
      <c r="BWL7" s="406"/>
      <c r="BWM7" s="406"/>
      <c r="BWN7" s="406"/>
      <c r="BWO7" s="406"/>
      <c r="BWP7" s="406"/>
      <c r="BWQ7" s="406"/>
      <c r="BWR7" s="406"/>
      <c r="BWS7" s="406"/>
      <c r="BWT7" s="406"/>
      <c r="BWU7" s="406"/>
      <c r="BWV7" s="406"/>
      <c r="BWW7" s="406"/>
      <c r="BWX7" s="406"/>
      <c r="BWY7" s="406"/>
      <c r="BWZ7" s="406"/>
      <c r="BXA7" s="406"/>
      <c r="BXB7" s="406"/>
      <c r="BXC7" s="406"/>
      <c r="BXD7" s="406"/>
      <c r="BXE7" s="406"/>
      <c r="BXF7" s="406"/>
      <c r="BXG7" s="406"/>
      <c r="BXH7" s="406"/>
      <c r="BXI7" s="406"/>
      <c r="BXJ7" s="406"/>
      <c r="BXK7" s="406"/>
      <c r="BXL7" s="406"/>
      <c r="BXM7" s="406"/>
      <c r="BXN7" s="406"/>
      <c r="BXO7" s="406"/>
      <c r="BXP7" s="406"/>
      <c r="BXQ7" s="406"/>
      <c r="BXR7" s="406"/>
      <c r="BXS7" s="406"/>
      <c r="BXT7" s="406"/>
      <c r="BXU7" s="406"/>
      <c r="BXV7" s="406"/>
      <c r="BXW7" s="406"/>
      <c r="BXX7" s="406"/>
      <c r="BXY7" s="406"/>
      <c r="BXZ7" s="406"/>
      <c r="BYA7" s="406"/>
      <c r="BYB7" s="406"/>
      <c r="BYC7" s="406"/>
      <c r="BYD7" s="406"/>
      <c r="BYE7" s="406"/>
      <c r="BYF7" s="406"/>
      <c r="BYG7" s="406"/>
      <c r="BYH7" s="406"/>
      <c r="BYI7" s="406"/>
      <c r="BYJ7" s="406"/>
      <c r="BYK7" s="406"/>
      <c r="BYL7" s="406"/>
      <c r="BYM7" s="406"/>
      <c r="BYN7" s="406"/>
      <c r="BYO7" s="406"/>
      <c r="BYP7" s="406"/>
      <c r="BYQ7" s="406"/>
      <c r="BYR7" s="406"/>
      <c r="BYS7" s="406"/>
      <c r="BYT7" s="406"/>
      <c r="BYU7" s="406"/>
      <c r="BYV7" s="406"/>
      <c r="BYW7" s="406"/>
      <c r="BYX7" s="406"/>
      <c r="BYY7" s="406"/>
      <c r="BYZ7" s="406"/>
      <c r="BZA7" s="406"/>
      <c r="BZB7" s="406"/>
      <c r="BZC7" s="406"/>
      <c r="BZD7" s="406"/>
      <c r="BZE7" s="406"/>
      <c r="BZF7" s="406"/>
      <c r="BZG7" s="406"/>
      <c r="BZH7" s="406"/>
      <c r="BZI7" s="406"/>
      <c r="BZJ7" s="406"/>
      <c r="BZK7" s="406"/>
      <c r="BZL7" s="406"/>
      <c r="BZM7" s="406"/>
      <c r="BZN7" s="406"/>
      <c r="BZO7" s="406"/>
      <c r="BZP7" s="406"/>
      <c r="BZQ7" s="406"/>
      <c r="BZR7" s="406"/>
      <c r="BZS7" s="406"/>
      <c r="BZT7" s="406"/>
      <c r="BZU7" s="406"/>
      <c r="BZV7" s="406"/>
      <c r="BZW7" s="406"/>
      <c r="BZX7" s="406"/>
      <c r="BZY7" s="406"/>
      <c r="BZZ7" s="406"/>
      <c r="CAA7" s="406"/>
      <c r="CAB7" s="406"/>
      <c r="CAC7" s="406"/>
      <c r="CAD7" s="406"/>
      <c r="CAE7" s="406"/>
      <c r="CAF7" s="406"/>
      <c r="CAG7" s="406"/>
      <c r="CAH7" s="406"/>
      <c r="CAI7" s="406"/>
      <c r="CAJ7" s="406"/>
      <c r="CAK7" s="406"/>
      <c r="CAL7" s="406"/>
      <c r="CAM7" s="406"/>
      <c r="CAN7" s="406"/>
      <c r="CAO7" s="406"/>
      <c r="CAP7" s="406"/>
      <c r="CAQ7" s="406"/>
      <c r="CAR7" s="406"/>
      <c r="CAS7" s="406"/>
      <c r="CAT7" s="406"/>
      <c r="CAU7" s="406"/>
      <c r="CAV7" s="406"/>
      <c r="CAW7" s="406"/>
      <c r="CAX7" s="406"/>
      <c r="CAY7" s="406"/>
      <c r="CAZ7" s="406"/>
      <c r="CBA7" s="406"/>
      <c r="CBB7" s="406"/>
      <c r="CBC7" s="406"/>
      <c r="CBD7" s="406"/>
      <c r="CBE7" s="406"/>
      <c r="CBF7" s="406"/>
      <c r="CBG7" s="406"/>
      <c r="CBH7" s="406"/>
      <c r="CBI7" s="406"/>
      <c r="CBJ7" s="406"/>
      <c r="CBK7" s="406"/>
      <c r="CBL7" s="406"/>
      <c r="CBM7" s="406"/>
      <c r="CBN7" s="406"/>
      <c r="CBO7" s="406"/>
      <c r="CBP7" s="406"/>
      <c r="CBQ7" s="406"/>
      <c r="CBR7" s="406"/>
      <c r="CBS7" s="406"/>
      <c r="CBT7" s="406"/>
      <c r="CBU7" s="406"/>
      <c r="CBV7" s="406"/>
      <c r="CBW7" s="406"/>
      <c r="CBX7" s="406"/>
      <c r="CBY7" s="406"/>
      <c r="CBZ7" s="406"/>
      <c r="CCA7" s="406"/>
      <c r="CCB7" s="406"/>
      <c r="CCC7" s="406"/>
      <c r="CCD7" s="406"/>
      <c r="CCE7" s="406"/>
      <c r="CCF7" s="406"/>
      <c r="CCG7" s="406"/>
      <c r="CCH7" s="406"/>
      <c r="CCI7" s="406"/>
      <c r="CCJ7" s="406"/>
      <c r="CCK7" s="406"/>
      <c r="CCL7" s="406"/>
      <c r="CCM7" s="406"/>
      <c r="CCN7" s="406"/>
      <c r="CCO7" s="406"/>
      <c r="CCP7" s="406"/>
      <c r="CCQ7" s="406"/>
      <c r="CCR7" s="406"/>
      <c r="CCS7" s="406"/>
      <c r="CCT7" s="406"/>
      <c r="CCU7" s="406"/>
      <c r="CCV7" s="406"/>
      <c r="CCW7" s="406"/>
      <c r="CCX7" s="406"/>
      <c r="CCY7" s="406"/>
      <c r="CCZ7" s="406"/>
      <c r="CDA7" s="406"/>
      <c r="CDB7" s="406"/>
      <c r="CDC7" s="406"/>
      <c r="CDD7" s="406"/>
      <c r="CDE7" s="406"/>
      <c r="CDF7" s="406"/>
      <c r="CDG7" s="406"/>
      <c r="CDH7" s="406"/>
      <c r="CDI7" s="406"/>
      <c r="CDJ7" s="406"/>
      <c r="CDK7" s="406"/>
      <c r="CDL7" s="406"/>
      <c r="CDM7" s="406"/>
      <c r="CDN7" s="406"/>
      <c r="CDO7" s="406"/>
      <c r="CDP7" s="406"/>
      <c r="CDQ7" s="406"/>
      <c r="CDR7" s="406"/>
      <c r="CDS7" s="406"/>
      <c r="CDT7" s="406"/>
      <c r="CDU7" s="406"/>
      <c r="CDV7" s="406"/>
      <c r="CDW7" s="406"/>
      <c r="CDX7" s="406"/>
      <c r="CDY7" s="406"/>
      <c r="CDZ7" s="406"/>
      <c r="CEA7" s="406"/>
      <c r="CEB7" s="406"/>
      <c r="CEC7" s="406"/>
      <c r="CED7" s="406"/>
      <c r="CEE7" s="406"/>
      <c r="CEF7" s="406"/>
      <c r="CEG7" s="406"/>
      <c r="CEH7" s="406"/>
      <c r="CEI7" s="406"/>
      <c r="CEJ7" s="406"/>
      <c r="CEK7" s="406"/>
      <c r="CEL7" s="406"/>
      <c r="CEM7" s="406"/>
      <c r="CEN7" s="406"/>
      <c r="CEO7" s="406"/>
      <c r="CEP7" s="406"/>
      <c r="CEQ7" s="406"/>
      <c r="CER7" s="406"/>
      <c r="CES7" s="406"/>
      <c r="CET7" s="406"/>
      <c r="CEU7" s="406"/>
      <c r="CEV7" s="406"/>
      <c r="CEW7" s="406"/>
      <c r="CEX7" s="406"/>
      <c r="CEY7" s="406"/>
      <c r="CEZ7" s="406"/>
      <c r="CFA7" s="406"/>
      <c r="CFB7" s="406"/>
      <c r="CFC7" s="406"/>
      <c r="CFD7" s="406"/>
      <c r="CFE7" s="406"/>
      <c r="CFF7" s="406"/>
      <c r="CFG7" s="406"/>
      <c r="CFH7" s="406"/>
      <c r="CFI7" s="406"/>
      <c r="CFJ7" s="406"/>
      <c r="CFK7" s="406"/>
      <c r="CFL7" s="406"/>
      <c r="CFM7" s="406"/>
      <c r="CFN7" s="406"/>
      <c r="CFO7" s="406"/>
      <c r="CFP7" s="406"/>
      <c r="CFQ7" s="406"/>
      <c r="CFR7" s="406"/>
      <c r="CFS7" s="406"/>
      <c r="CFT7" s="406"/>
      <c r="CFU7" s="406"/>
      <c r="CFV7" s="406"/>
      <c r="CFW7" s="406"/>
      <c r="CFX7" s="406"/>
      <c r="CFY7" s="406"/>
      <c r="CFZ7" s="406"/>
      <c r="CGA7" s="406"/>
      <c r="CGB7" s="406"/>
      <c r="CGC7" s="406"/>
      <c r="CGD7" s="406"/>
      <c r="CGE7" s="406"/>
      <c r="CGF7" s="406"/>
      <c r="CGG7" s="406"/>
      <c r="CGH7" s="406"/>
      <c r="CGI7" s="406"/>
      <c r="CGJ7" s="406"/>
      <c r="CGK7" s="406"/>
      <c r="CGL7" s="406"/>
      <c r="CGM7" s="406"/>
      <c r="CGN7" s="406"/>
      <c r="CGO7" s="406"/>
      <c r="CGP7" s="406"/>
      <c r="CGQ7" s="406"/>
      <c r="CGR7" s="406"/>
      <c r="CGS7" s="406"/>
      <c r="CGT7" s="406"/>
      <c r="CGU7" s="406"/>
      <c r="CGV7" s="406"/>
      <c r="CGW7" s="406"/>
      <c r="CGX7" s="406"/>
      <c r="CGY7" s="406"/>
      <c r="CGZ7" s="406"/>
      <c r="CHA7" s="406"/>
      <c r="CHB7" s="406"/>
      <c r="CHC7" s="406"/>
      <c r="CHD7" s="406"/>
      <c r="CHE7" s="406"/>
      <c r="CHF7" s="406"/>
      <c r="CHG7" s="406"/>
      <c r="CHH7" s="406"/>
      <c r="CHI7" s="406"/>
      <c r="CHJ7" s="406"/>
      <c r="CHK7" s="406"/>
      <c r="CHL7" s="406"/>
      <c r="CHM7" s="406"/>
      <c r="CHN7" s="406"/>
      <c r="CHO7" s="406"/>
      <c r="CHP7" s="406"/>
      <c r="CHQ7" s="406"/>
      <c r="CHR7" s="406"/>
      <c r="CHS7" s="406"/>
      <c r="CHT7" s="406"/>
      <c r="CHU7" s="406"/>
      <c r="CHV7" s="406"/>
      <c r="CHW7" s="406"/>
      <c r="CHX7" s="406"/>
      <c r="CHY7" s="406"/>
      <c r="CHZ7" s="406"/>
      <c r="CIA7" s="406"/>
      <c r="CIB7" s="406"/>
      <c r="CIC7" s="406"/>
      <c r="CID7" s="406"/>
      <c r="CIE7" s="406"/>
      <c r="CIF7" s="406"/>
      <c r="CIG7" s="406"/>
      <c r="CIH7" s="406"/>
      <c r="CII7" s="406"/>
      <c r="CIJ7" s="406"/>
      <c r="CIK7" s="406"/>
      <c r="CIL7" s="406"/>
      <c r="CIM7" s="406"/>
      <c r="CIN7" s="406"/>
      <c r="CIO7" s="406"/>
      <c r="CIP7" s="406"/>
      <c r="CIQ7" s="406"/>
      <c r="CIR7" s="406"/>
      <c r="CIS7" s="406"/>
      <c r="CIT7" s="406"/>
      <c r="CIU7" s="406"/>
      <c r="CIV7" s="406"/>
      <c r="CIW7" s="406"/>
      <c r="CIX7" s="406"/>
      <c r="CIY7" s="406"/>
      <c r="CIZ7" s="406"/>
      <c r="CJA7" s="406"/>
      <c r="CJB7" s="406"/>
      <c r="CJC7" s="406"/>
      <c r="CJD7" s="406"/>
      <c r="CJE7" s="406"/>
      <c r="CJF7" s="406"/>
      <c r="CJG7" s="406"/>
      <c r="CJH7" s="406"/>
      <c r="CJI7" s="406"/>
      <c r="CJJ7" s="406"/>
      <c r="CJK7" s="406"/>
      <c r="CJL7" s="406"/>
      <c r="CJM7" s="406"/>
      <c r="CJN7" s="406"/>
      <c r="CJO7" s="406"/>
      <c r="CJP7" s="406"/>
      <c r="CJQ7" s="406"/>
      <c r="CJR7" s="406"/>
      <c r="CJS7" s="406"/>
      <c r="CJT7" s="406"/>
      <c r="CJU7" s="406"/>
      <c r="CJV7" s="406"/>
      <c r="CJW7" s="406"/>
      <c r="CJX7" s="406"/>
      <c r="CJY7" s="406"/>
      <c r="CJZ7" s="406"/>
      <c r="CKA7" s="406"/>
      <c r="CKB7" s="406"/>
      <c r="CKC7" s="406"/>
      <c r="CKD7" s="406"/>
      <c r="CKE7" s="406"/>
      <c r="CKF7" s="406"/>
      <c r="CKG7" s="406"/>
      <c r="CKH7" s="406"/>
      <c r="CKI7" s="406"/>
      <c r="CKJ7" s="406"/>
      <c r="CKK7" s="406"/>
      <c r="CKL7" s="406"/>
      <c r="CKM7" s="406"/>
      <c r="CKN7" s="406"/>
      <c r="CKO7" s="406"/>
      <c r="CKP7" s="406"/>
      <c r="CKQ7" s="406"/>
      <c r="CKR7" s="406"/>
      <c r="CKS7" s="406"/>
      <c r="CKT7" s="406"/>
      <c r="CKU7" s="406"/>
      <c r="CKV7" s="406"/>
      <c r="CKW7" s="406"/>
      <c r="CKX7" s="406"/>
      <c r="CKY7" s="406"/>
      <c r="CKZ7" s="406"/>
      <c r="CLA7" s="406"/>
      <c r="CLB7" s="406"/>
      <c r="CLC7" s="406"/>
      <c r="CLD7" s="406"/>
      <c r="CLE7" s="406"/>
      <c r="CLF7" s="406"/>
      <c r="CLG7" s="406"/>
      <c r="CLH7" s="406"/>
      <c r="CLI7" s="406"/>
      <c r="CLJ7" s="406"/>
      <c r="CLK7" s="406"/>
      <c r="CLL7" s="406"/>
      <c r="CLM7" s="406"/>
      <c r="CLN7" s="406"/>
      <c r="CLO7" s="406"/>
      <c r="CLP7" s="406"/>
      <c r="CLQ7" s="406"/>
      <c r="CLR7" s="406"/>
      <c r="CLS7" s="406"/>
      <c r="CLT7" s="406"/>
      <c r="CLU7" s="406"/>
      <c r="CLV7" s="406"/>
      <c r="CLW7" s="406"/>
      <c r="CLX7" s="406"/>
      <c r="CLY7" s="406"/>
      <c r="CLZ7" s="406"/>
      <c r="CMA7" s="406"/>
      <c r="CMB7" s="406"/>
      <c r="CMC7" s="406"/>
      <c r="CMD7" s="406"/>
      <c r="CME7" s="406"/>
      <c r="CMF7" s="406"/>
      <c r="CMG7" s="406"/>
      <c r="CMH7" s="406"/>
      <c r="CMI7" s="406"/>
      <c r="CMJ7" s="406"/>
      <c r="CMK7" s="406"/>
      <c r="CML7" s="406"/>
      <c r="CMM7" s="406"/>
      <c r="CMN7" s="406"/>
      <c r="CMO7" s="406"/>
      <c r="CMP7" s="406"/>
      <c r="CMQ7" s="406"/>
      <c r="CMR7" s="406"/>
      <c r="CMS7" s="406"/>
      <c r="CMT7" s="406"/>
      <c r="CMU7" s="406"/>
      <c r="CMV7" s="406"/>
      <c r="CMW7" s="406"/>
      <c r="CMX7" s="406"/>
      <c r="CMY7" s="406"/>
      <c r="CMZ7" s="406"/>
      <c r="CNA7" s="406"/>
      <c r="CNB7" s="406"/>
      <c r="CNC7" s="406"/>
      <c r="CND7" s="406"/>
      <c r="CNE7" s="406"/>
      <c r="CNF7" s="406"/>
      <c r="CNG7" s="406"/>
      <c r="CNH7" s="406"/>
      <c r="CNI7" s="406"/>
      <c r="CNJ7" s="406"/>
      <c r="CNK7" s="406"/>
      <c r="CNL7" s="406"/>
      <c r="CNM7" s="406"/>
      <c r="CNN7" s="406"/>
      <c r="CNO7" s="406"/>
      <c r="CNP7" s="406"/>
      <c r="CNQ7" s="406"/>
      <c r="CNR7" s="406"/>
      <c r="CNS7" s="406"/>
      <c r="CNT7" s="406"/>
      <c r="CNU7" s="406"/>
      <c r="CNV7" s="406"/>
      <c r="CNW7" s="406"/>
      <c r="CNX7" s="406"/>
      <c r="CNY7" s="406"/>
      <c r="CNZ7" s="406"/>
      <c r="COA7" s="406"/>
      <c r="COB7" s="406"/>
      <c r="COC7" s="406"/>
      <c r="COD7" s="406"/>
      <c r="COE7" s="406"/>
      <c r="COF7" s="406"/>
      <c r="COG7" s="406"/>
      <c r="COH7" s="406"/>
      <c r="COI7" s="406"/>
      <c r="COJ7" s="406"/>
      <c r="COK7" s="406"/>
      <c r="COL7" s="406"/>
      <c r="COM7" s="406"/>
      <c r="CON7" s="406"/>
      <c r="COO7" s="406"/>
      <c r="COP7" s="406"/>
      <c r="COQ7" s="406"/>
      <c r="COR7" s="406"/>
      <c r="COS7" s="406"/>
      <c r="COT7" s="406"/>
      <c r="COU7" s="406"/>
      <c r="COV7" s="406"/>
      <c r="COW7" s="406"/>
      <c r="COX7" s="406"/>
      <c r="COY7" s="406"/>
      <c r="COZ7" s="406"/>
      <c r="CPA7" s="406"/>
      <c r="CPB7" s="406"/>
      <c r="CPC7" s="406"/>
      <c r="CPD7" s="406"/>
      <c r="CPE7" s="406"/>
      <c r="CPF7" s="406"/>
      <c r="CPG7" s="406"/>
      <c r="CPH7" s="406"/>
      <c r="CPI7" s="406"/>
      <c r="CPJ7" s="406"/>
      <c r="CPK7" s="406"/>
      <c r="CPL7" s="406"/>
      <c r="CPM7" s="406"/>
      <c r="CPN7" s="406"/>
      <c r="CPO7" s="406"/>
      <c r="CPP7" s="406"/>
      <c r="CPQ7" s="406"/>
      <c r="CPR7" s="406"/>
      <c r="CPS7" s="406"/>
      <c r="CPT7" s="406"/>
      <c r="CPU7" s="406"/>
      <c r="CPV7" s="406"/>
      <c r="CPW7" s="406"/>
      <c r="CPX7" s="406"/>
      <c r="CPY7" s="406"/>
      <c r="CPZ7" s="406"/>
      <c r="CQA7" s="406"/>
      <c r="CQB7" s="406"/>
      <c r="CQC7" s="406"/>
      <c r="CQD7" s="406"/>
      <c r="CQE7" s="406"/>
      <c r="CQF7" s="406"/>
      <c r="CQG7" s="406"/>
      <c r="CQH7" s="406"/>
      <c r="CQI7" s="406"/>
      <c r="CQJ7" s="406"/>
      <c r="CQK7" s="406"/>
      <c r="CQL7" s="406"/>
      <c r="CQM7" s="406"/>
      <c r="CQN7" s="406"/>
      <c r="CQO7" s="406"/>
      <c r="CQP7" s="406"/>
      <c r="CQQ7" s="406"/>
      <c r="CQR7" s="406"/>
      <c r="CQS7" s="406"/>
      <c r="CQT7" s="406"/>
      <c r="CQU7" s="406"/>
      <c r="CQV7" s="406"/>
      <c r="CQW7" s="406"/>
      <c r="CQX7" s="406"/>
      <c r="CQY7" s="406"/>
      <c r="CQZ7" s="406"/>
      <c r="CRA7" s="406"/>
      <c r="CRB7" s="406"/>
      <c r="CRC7" s="406"/>
      <c r="CRD7" s="406"/>
      <c r="CRE7" s="406"/>
      <c r="CRF7" s="406"/>
      <c r="CRG7" s="406"/>
      <c r="CRH7" s="406"/>
      <c r="CRI7" s="406"/>
      <c r="CRJ7" s="406"/>
      <c r="CRK7" s="406"/>
      <c r="CRL7" s="406"/>
      <c r="CRM7" s="406"/>
      <c r="CRN7" s="406"/>
      <c r="CRO7" s="406"/>
      <c r="CRP7" s="406"/>
      <c r="CRQ7" s="406"/>
      <c r="CRR7" s="406"/>
      <c r="CRS7" s="406"/>
      <c r="CRT7" s="406"/>
      <c r="CRU7" s="406"/>
      <c r="CRV7" s="406"/>
      <c r="CRW7" s="406"/>
      <c r="CRX7" s="406"/>
      <c r="CRY7" s="406"/>
      <c r="CRZ7" s="406"/>
      <c r="CSA7" s="406"/>
      <c r="CSB7" s="406"/>
      <c r="CSC7" s="406"/>
      <c r="CSD7" s="406"/>
      <c r="CSE7" s="406"/>
      <c r="CSF7" s="406"/>
      <c r="CSG7" s="406"/>
      <c r="CSH7" s="406"/>
      <c r="CSI7" s="406"/>
      <c r="CSJ7" s="406"/>
      <c r="CSK7" s="406"/>
      <c r="CSL7" s="406"/>
      <c r="CSM7" s="406"/>
      <c r="CSN7" s="406"/>
      <c r="CSO7" s="406"/>
      <c r="CSP7" s="406"/>
      <c r="CSQ7" s="406"/>
      <c r="CSR7" s="406"/>
      <c r="CSS7" s="406"/>
      <c r="CST7" s="406"/>
      <c r="CSU7" s="406"/>
      <c r="CSV7" s="406"/>
      <c r="CSW7" s="406"/>
      <c r="CSX7" s="406"/>
      <c r="CSY7" s="406"/>
      <c r="CSZ7" s="406"/>
      <c r="CTA7" s="406"/>
      <c r="CTB7" s="406"/>
      <c r="CTC7" s="406"/>
      <c r="CTD7" s="406"/>
      <c r="CTE7" s="406"/>
      <c r="CTF7" s="406"/>
      <c r="CTG7" s="406"/>
      <c r="CTH7" s="406"/>
      <c r="CTI7" s="406"/>
      <c r="CTJ7" s="406"/>
      <c r="CTK7" s="406"/>
      <c r="CTL7" s="406"/>
      <c r="CTM7" s="406"/>
      <c r="CTN7" s="406"/>
      <c r="CTO7" s="406"/>
      <c r="CTP7" s="406"/>
      <c r="CTQ7" s="406"/>
      <c r="CTR7" s="406"/>
      <c r="CTS7" s="406"/>
      <c r="CTT7" s="406"/>
      <c r="CTU7" s="406"/>
      <c r="CTV7" s="406"/>
      <c r="CTW7" s="406"/>
      <c r="CTX7" s="406"/>
      <c r="CTY7" s="406"/>
      <c r="CTZ7" s="406"/>
      <c r="CUA7" s="406"/>
      <c r="CUB7" s="406"/>
      <c r="CUC7" s="406"/>
      <c r="CUD7" s="406"/>
      <c r="CUE7" s="406"/>
      <c r="CUF7" s="406"/>
      <c r="CUG7" s="406"/>
      <c r="CUH7" s="406"/>
      <c r="CUI7" s="406"/>
      <c r="CUJ7" s="406"/>
      <c r="CUK7" s="406"/>
      <c r="CUL7" s="406"/>
      <c r="CUM7" s="406"/>
      <c r="CUN7" s="406"/>
      <c r="CUO7" s="406"/>
      <c r="CUP7" s="406"/>
      <c r="CUQ7" s="406"/>
      <c r="CUR7" s="406"/>
      <c r="CUS7" s="406"/>
      <c r="CUT7" s="406"/>
      <c r="CUU7" s="406"/>
      <c r="CUV7" s="406"/>
      <c r="CUW7" s="406"/>
      <c r="CUX7" s="406"/>
      <c r="CUY7" s="406"/>
      <c r="CUZ7" s="406"/>
      <c r="CVA7" s="406"/>
      <c r="CVB7" s="406"/>
      <c r="CVC7" s="406"/>
      <c r="CVD7" s="406"/>
      <c r="CVE7" s="406"/>
      <c r="CVF7" s="406"/>
      <c r="CVG7" s="406"/>
      <c r="CVH7" s="406"/>
      <c r="CVI7" s="406"/>
      <c r="CVJ7" s="406"/>
      <c r="CVK7" s="406"/>
      <c r="CVL7" s="406"/>
      <c r="CVM7" s="406"/>
      <c r="CVN7" s="406"/>
      <c r="CVO7" s="406"/>
      <c r="CVP7" s="406"/>
      <c r="CVQ7" s="406"/>
      <c r="CVR7" s="406"/>
      <c r="CVS7" s="406"/>
      <c r="CVT7" s="406"/>
      <c r="CVU7" s="406"/>
      <c r="CVV7" s="406"/>
      <c r="CVW7" s="406"/>
      <c r="CVX7" s="406"/>
      <c r="CVY7" s="406"/>
      <c r="CVZ7" s="406"/>
      <c r="CWA7" s="406"/>
      <c r="CWB7" s="406"/>
      <c r="CWC7" s="406"/>
      <c r="CWD7" s="406"/>
      <c r="CWE7" s="406"/>
      <c r="CWF7" s="406"/>
      <c r="CWG7" s="406"/>
      <c r="CWH7" s="406"/>
      <c r="CWI7" s="406"/>
      <c r="CWJ7" s="406"/>
      <c r="CWK7" s="406"/>
      <c r="CWL7" s="406"/>
      <c r="CWM7" s="406"/>
      <c r="CWN7" s="406"/>
      <c r="CWO7" s="406"/>
      <c r="CWP7" s="406"/>
      <c r="CWQ7" s="406"/>
      <c r="CWR7" s="406"/>
      <c r="CWS7" s="406"/>
      <c r="CWT7" s="406"/>
      <c r="CWU7" s="406"/>
      <c r="CWV7" s="406"/>
      <c r="CWW7" s="406"/>
      <c r="CWX7" s="406"/>
      <c r="CWY7" s="406"/>
      <c r="CWZ7" s="406"/>
      <c r="CXA7" s="406"/>
      <c r="CXB7" s="406"/>
      <c r="CXC7" s="406"/>
      <c r="CXD7" s="406"/>
      <c r="CXE7" s="406"/>
      <c r="CXF7" s="406"/>
      <c r="CXG7" s="406"/>
      <c r="CXH7" s="406"/>
      <c r="CXI7" s="406"/>
      <c r="CXJ7" s="406"/>
      <c r="CXK7" s="406"/>
      <c r="CXL7" s="406"/>
      <c r="CXM7" s="406"/>
      <c r="CXN7" s="406"/>
      <c r="CXO7" s="406"/>
      <c r="CXP7" s="406"/>
      <c r="CXQ7" s="406"/>
      <c r="CXR7" s="406"/>
      <c r="CXS7" s="406"/>
      <c r="CXT7" s="406"/>
      <c r="CXU7" s="406"/>
      <c r="CXV7" s="406"/>
      <c r="CXW7" s="406"/>
      <c r="CXX7" s="406"/>
      <c r="CXY7" s="406"/>
      <c r="CXZ7" s="406"/>
      <c r="CYA7" s="406"/>
      <c r="CYB7" s="406"/>
      <c r="CYC7" s="406"/>
      <c r="CYD7" s="406"/>
      <c r="CYE7" s="406"/>
      <c r="CYF7" s="406"/>
      <c r="CYG7" s="406"/>
      <c r="CYH7" s="406"/>
      <c r="CYI7" s="406"/>
      <c r="CYJ7" s="406"/>
      <c r="CYK7" s="406"/>
      <c r="CYL7" s="406"/>
      <c r="CYM7" s="406"/>
      <c r="CYN7" s="406"/>
      <c r="CYO7" s="406"/>
      <c r="CYP7" s="406"/>
      <c r="CYQ7" s="406"/>
      <c r="CYR7" s="406"/>
      <c r="CYS7" s="406"/>
      <c r="CYT7" s="406"/>
      <c r="CYU7" s="406"/>
      <c r="CYV7" s="406"/>
      <c r="CYW7" s="406"/>
      <c r="CYX7" s="406"/>
      <c r="CYY7" s="406"/>
      <c r="CYZ7" s="406"/>
      <c r="CZA7" s="406"/>
      <c r="CZB7" s="406"/>
      <c r="CZC7" s="406"/>
      <c r="CZD7" s="406"/>
      <c r="CZE7" s="406"/>
      <c r="CZF7" s="406"/>
      <c r="CZG7" s="406"/>
      <c r="CZH7" s="406"/>
      <c r="CZI7" s="406"/>
      <c r="CZJ7" s="406"/>
      <c r="CZK7" s="406"/>
      <c r="CZL7" s="406"/>
      <c r="CZM7" s="406"/>
      <c r="CZN7" s="406"/>
      <c r="CZO7" s="406"/>
      <c r="CZP7" s="406"/>
      <c r="CZQ7" s="406"/>
      <c r="CZR7" s="406"/>
      <c r="CZS7" s="406"/>
      <c r="CZT7" s="406"/>
      <c r="CZU7" s="406"/>
      <c r="CZV7" s="406"/>
      <c r="CZW7" s="406"/>
      <c r="CZX7" s="406"/>
      <c r="CZY7" s="406"/>
      <c r="CZZ7" s="406"/>
      <c r="DAA7" s="406"/>
      <c r="DAB7" s="406"/>
      <c r="DAC7" s="406"/>
      <c r="DAD7" s="406"/>
      <c r="DAE7" s="406"/>
      <c r="DAF7" s="406"/>
      <c r="DAG7" s="406"/>
      <c r="DAH7" s="406"/>
      <c r="DAI7" s="406"/>
      <c r="DAJ7" s="406"/>
      <c r="DAK7" s="406"/>
      <c r="DAL7" s="406"/>
      <c r="DAM7" s="406"/>
      <c r="DAN7" s="406"/>
      <c r="DAO7" s="406"/>
      <c r="DAP7" s="406"/>
      <c r="DAQ7" s="406"/>
      <c r="DAR7" s="406"/>
      <c r="DAS7" s="406"/>
      <c r="DAT7" s="406"/>
      <c r="DAU7" s="406"/>
      <c r="DAV7" s="406"/>
      <c r="DAW7" s="406"/>
      <c r="DAX7" s="406"/>
      <c r="DAY7" s="406"/>
      <c r="DAZ7" s="406"/>
      <c r="DBA7" s="406"/>
      <c r="DBB7" s="406"/>
      <c r="DBC7" s="406"/>
      <c r="DBD7" s="406"/>
      <c r="DBE7" s="406"/>
      <c r="DBF7" s="406"/>
      <c r="DBG7" s="406"/>
      <c r="DBH7" s="406"/>
      <c r="DBI7" s="406"/>
      <c r="DBJ7" s="406"/>
      <c r="DBK7" s="406"/>
      <c r="DBL7" s="406"/>
      <c r="DBM7" s="406"/>
      <c r="DBN7" s="406"/>
      <c r="DBO7" s="406"/>
      <c r="DBP7" s="406"/>
      <c r="DBQ7" s="406"/>
      <c r="DBR7" s="406"/>
      <c r="DBS7" s="406"/>
      <c r="DBT7" s="406"/>
      <c r="DBU7" s="406"/>
      <c r="DBV7" s="406"/>
      <c r="DBW7" s="406"/>
      <c r="DBX7" s="406"/>
      <c r="DBY7" s="406"/>
      <c r="DBZ7" s="406"/>
      <c r="DCA7" s="406"/>
      <c r="DCB7" s="406"/>
      <c r="DCC7" s="406"/>
      <c r="DCD7" s="406"/>
      <c r="DCE7" s="406"/>
      <c r="DCF7" s="406"/>
      <c r="DCG7" s="406"/>
      <c r="DCH7" s="406"/>
      <c r="DCI7" s="406"/>
      <c r="DCJ7" s="406"/>
      <c r="DCK7" s="406"/>
      <c r="DCL7" s="406"/>
      <c r="DCM7" s="406"/>
      <c r="DCN7" s="406"/>
      <c r="DCO7" s="406"/>
      <c r="DCP7" s="406"/>
      <c r="DCQ7" s="406"/>
      <c r="DCR7" s="406"/>
      <c r="DCS7" s="406"/>
      <c r="DCT7" s="406"/>
      <c r="DCU7" s="406"/>
      <c r="DCV7" s="406"/>
      <c r="DCW7" s="406"/>
      <c r="DCX7" s="406"/>
      <c r="DCY7" s="406"/>
      <c r="DCZ7" s="406"/>
      <c r="DDA7" s="406"/>
      <c r="DDB7" s="406"/>
      <c r="DDC7" s="406"/>
      <c r="DDD7" s="406"/>
      <c r="DDE7" s="406"/>
      <c r="DDF7" s="406"/>
      <c r="DDG7" s="406"/>
      <c r="DDH7" s="406"/>
      <c r="DDI7" s="406"/>
      <c r="DDJ7" s="406"/>
      <c r="DDK7" s="406"/>
      <c r="DDL7" s="406"/>
      <c r="DDM7" s="406"/>
      <c r="DDN7" s="406"/>
      <c r="DDO7" s="406"/>
      <c r="DDP7" s="406"/>
      <c r="DDQ7" s="406"/>
      <c r="DDR7" s="406"/>
      <c r="DDS7" s="406"/>
      <c r="DDT7" s="406"/>
      <c r="DDU7" s="406"/>
      <c r="DDV7" s="406"/>
      <c r="DDW7" s="406"/>
      <c r="DDX7" s="406"/>
      <c r="DDY7" s="406"/>
      <c r="DDZ7" s="406"/>
      <c r="DEA7" s="406"/>
      <c r="DEB7" s="406"/>
      <c r="DEC7" s="406"/>
      <c r="DED7" s="406"/>
      <c r="DEE7" s="406"/>
      <c r="DEF7" s="406"/>
      <c r="DEG7" s="406"/>
      <c r="DEH7" s="406"/>
      <c r="DEI7" s="406"/>
      <c r="DEJ7" s="406"/>
      <c r="DEK7" s="406"/>
      <c r="DEL7" s="406"/>
      <c r="DEM7" s="406"/>
      <c r="DEN7" s="406"/>
      <c r="DEO7" s="406"/>
      <c r="DEP7" s="406"/>
      <c r="DEQ7" s="406"/>
      <c r="DER7" s="406"/>
      <c r="DES7" s="406"/>
      <c r="DET7" s="406"/>
      <c r="DEU7" s="406"/>
      <c r="DEV7" s="406"/>
      <c r="DEW7" s="406"/>
      <c r="DEX7" s="406"/>
      <c r="DEY7" s="406"/>
      <c r="DEZ7" s="406"/>
      <c r="DFA7" s="406"/>
      <c r="DFB7" s="406"/>
      <c r="DFC7" s="406"/>
      <c r="DFD7" s="406"/>
      <c r="DFE7" s="406"/>
      <c r="DFF7" s="406"/>
      <c r="DFG7" s="406"/>
      <c r="DFH7" s="406"/>
      <c r="DFI7" s="406"/>
      <c r="DFJ7" s="406"/>
      <c r="DFK7" s="406"/>
      <c r="DFL7" s="406"/>
      <c r="DFM7" s="406"/>
      <c r="DFN7" s="406"/>
      <c r="DFO7" s="406"/>
      <c r="DFP7" s="406"/>
      <c r="DFQ7" s="406"/>
      <c r="DFR7" s="406"/>
      <c r="DFS7" s="406"/>
      <c r="DFT7" s="406"/>
      <c r="DFU7" s="406"/>
      <c r="DFV7" s="406"/>
      <c r="DFW7" s="406"/>
      <c r="DFX7" s="406"/>
      <c r="DFY7" s="406"/>
      <c r="DFZ7" s="406"/>
      <c r="DGA7" s="406"/>
      <c r="DGB7" s="406"/>
      <c r="DGC7" s="406"/>
      <c r="DGD7" s="406"/>
      <c r="DGE7" s="406"/>
      <c r="DGF7" s="406"/>
      <c r="DGG7" s="406"/>
      <c r="DGH7" s="406"/>
      <c r="DGI7" s="406"/>
      <c r="DGJ7" s="406"/>
      <c r="DGK7" s="406"/>
      <c r="DGL7" s="406"/>
      <c r="DGM7" s="406"/>
      <c r="DGN7" s="406"/>
      <c r="DGO7" s="406"/>
      <c r="DGP7" s="406"/>
      <c r="DGQ7" s="406"/>
      <c r="DGR7" s="406"/>
      <c r="DGS7" s="406"/>
      <c r="DGT7" s="406"/>
      <c r="DGU7" s="406"/>
      <c r="DGV7" s="406"/>
      <c r="DGW7" s="406"/>
      <c r="DGX7" s="406"/>
      <c r="DGY7" s="406"/>
      <c r="DGZ7" s="406"/>
      <c r="DHA7" s="406"/>
      <c r="DHB7" s="406"/>
      <c r="DHC7" s="406"/>
      <c r="DHD7" s="406"/>
      <c r="DHE7" s="406"/>
      <c r="DHF7" s="406"/>
      <c r="DHG7" s="406"/>
      <c r="DHH7" s="406"/>
      <c r="DHI7" s="406"/>
      <c r="DHJ7" s="406"/>
      <c r="DHK7" s="406"/>
      <c r="DHL7" s="406"/>
      <c r="DHM7" s="406"/>
      <c r="DHN7" s="406"/>
      <c r="DHO7" s="406"/>
      <c r="DHP7" s="406"/>
      <c r="DHQ7" s="406"/>
      <c r="DHR7" s="406"/>
      <c r="DHS7" s="406"/>
      <c r="DHT7" s="406"/>
      <c r="DHU7" s="406"/>
      <c r="DHV7" s="406"/>
      <c r="DHW7" s="406"/>
      <c r="DHX7" s="406"/>
      <c r="DHY7" s="406"/>
      <c r="DHZ7" s="406"/>
      <c r="DIA7" s="406"/>
      <c r="DIB7" s="406"/>
      <c r="DIC7" s="406"/>
      <c r="DID7" s="406"/>
      <c r="DIE7" s="406"/>
      <c r="DIF7" s="406"/>
      <c r="DIG7" s="406"/>
      <c r="DIH7" s="406"/>
      <c r="DII7" s="406"/>
      <c r="DIJ7" s="406"/>
      <c r="DIK7" s="406"/>
      <c r="DIL7" s="406"/>
      <c r="DIM7" s="406"/>
      <c r="DIN7" s="406"/>
      <c r="DIO7" s="406"/>
      <c r="DIP7" s="406"/>
      <c r="DIQ7" s="406"/>
      <c r="DIR7" s="406"/>
      <c r="DIS7" s="406"/>
      <c r="DIT7" s="406"/>
      <c r="DIU7" s="406"/>
      <c r="DIV7" s="406"/>
      <c r="DIW7" s="406"/>
      <c r="DIX7" s="406"/>
      <c r="DIY7" s="406"/>
      <c r="DIZ7" s="406"/>
      <c r="DJA7" s="406"/>
      <c r="DJB7" s="406"/>
      <c r="DJC7" s="406"/>
      <c r="DJD7" s="406"/>
      <c r="DJE7" s="406"/>
      <c r="DJF7" s="406"/>
      <c r="DJG7" s="406"/>
      <c r="DJH7" s="406"/>
      <c r="DJI7" s="406"/>
      <c r="DJJ7" s="406"/>
      <c r="DJK7" s="406"/>
      <c r="DJL7" s="406"/>
      <c r="DJM7" s="406"/>
      <c r="DJN7" s="406"/>
      <c r="DJO7" s="406"/>
      <c r="DJP7" s="406"/>
      <c r="DJQ7" s="406"/>
      <c r="DJR7" s="406"/>
      <c r="DJS7" s="406"/>
      <c r="DJT7" s="406"/>
      <c r="DJU7" s="406"/>
      <c r="DJV7" s="406"/>
      <c r="DJW7" s="406"/>
      <c r="DJX7" s="406"/>
      <c r="DJY7" s="406"/>
      <c r="DJZ7" s="406"/>
      <c r="DKA7" s="406"/>
      <c r="DKB7" s="406"/>
      <c r="DKC7" s="406"/>
      <c r="DKD7" s="406"/>
      <c r="DKE7" s="406"/>
      <c r="DKF7" s="406"/>
      <c r="DKG7" s="406"/>
      <c r="DKH7" s="406"/>
      <c r="DKI7" s="406"/>
      <c r="DKJ7" s="406"/>
      <c r="DKK7" s="406"/>
      <c r="DKL7" s="406"/>
      <c r="DKM7" s="406"/>
      <c r="DKN7" s="406"/>
      <c r="DKO7" s="406"/>
      <c r="DKP7" s="406"/>
      <c r="DKQ7" s="406"/>
      <c r="DKR7" s="406"/>
      <c r="DKS7" s="406"/>
      <c r="DKT7" s="406"/>
      <c r="DKU7" s="406"/>
      <c r="DKV7" s="406"/>
      <c r="DKW7" s="406"/>
      <c r="DKX7" s="406"/>
      <c r="DKY7" s="406"/>
      <c r="DKZ7" s="406"/>
      <c r="DLA7" s="406"/>
      <c r="DLB7" s="406"/>
      <c r="DLC7" s="406"/>
      <c r="DLD7" s="406"/>
      <c r="DLE7" s="406"/>
      <c r="DLF7" s="406"/>
      <c r="DLG7" s="406"/>
      <c r="DLH7" s="406"/>
      <c r="DLI7" s="406"/>
      <c r="DLJ7" s="406"/>
      <c r="DLK7" s="406"/>
      <c r="DLL7" s="406"/>
      <c r="DLM7" s="406"/>
      <c r="DLN7" s="406"/>
      <c r="DLO7" s="406"/>
      <c r="DLP7" s="406"/>
      <c r="DLQ7" s="406"/>
      <c r="DLR7" s="406"/>
      <c r="DLS7" s="406"/>
      <c r="DLT7" s="406"/>
      <c r="DLU7" s="406"/>
      <c r="DLV7" s="406"/>
      <c r="DLW7" s="406"/>
      <c r="DLX7" s="406"/>
      <c r="DLY7" s="406"/>
      <c r="DLZ7" s="406"/>
      <c r="DMA7" s="406"/>
      <c r="DMB7" s="406"/>
      <c r="DMC7" s="406"/>
      <c r="DMD7" s="406"/>
      <c r="DME7" s="406"/>
      <c r="DMF7" s="406"/>
      <c r="DMG7" s="406"/>
      <c r="DMH7" s="406"/>
      <c r="DMI7" s="406"/>
      <c r="DMJ7" s="406"/>
      <c r="DMK7" s="406"/>
      <c r="DML7" s="406"/>
      <c r="DMM7" s="406"/>
      <c r="DMN7" s="406"/>
      <c r="DMO7" s="406"/>
      <c r="DMP7" s="406"/>
      <c r="DMQ7" s="406"/>
      <c r="DMR7" s="406"/>
      <c r="DMS7" s="406"/>
      <c r="DMT7" s="406"/>
      <c r="DMU7" s="406"/>
      <c r="DMV7" s="406"/>
      <c r="DMW7" s="406"/>
      <c r="DMX7" s="406"/>
      <c r="DMY7" s="406"/>
      <c r="DMZ7" s="406"/>
      <c r="DNA7" s="406"/>
      <c r="DNB7" s="406"/>
      <c r="DNC7" s="406"/>
      <c r="DND7" s="406"/>
      <c r="DNE7" s="406"/>
      <c r="DNF7" s="406"/>
      <c r="DNG7" s="406"/>
      <c r="DNH7" s="406"/>
      <c r="DNI7" s="406"/>
      <c r="DNJ7" s="406"/>
      <c r="DNK7" s="406"/>
      <c r="DNL7" s="406"/>
      <c r="DNM7" s="406"/>
      <c r="DNN7" s="406"/>
      <c r="DNO7" s="406"/>
      <c r="DNP7" s="406"/>
      <c r="DNQ7" s="406"/>
      <c r="DNR7" s="406"/>
      <c r="DNS7" s="406"/>
      <c r="DNT7" s="406"/>
      <c r="DNU7" s="406"/>
      <c r="DNV7" s="406"/>
      <c r="DNW7" s="406"/>
      <c r="DNX7" s="406"/>
      <c r="DNY7" s="406"/>
      <c r="DNZ7" s="406"/>
      <c r="DOA7" s="406"/>
      <c r="DOB7" s="406"/>
      <c r="DOC7" s="406"/>
      <c r="DOD7" s="406"/>
      <c r="DOE7" s="406"/>
      <c r="DOF7" s="406"/>
      <c r="DOG7" s="406"/>
      <c r="DOH7" s="406"/>
      <c r="DOI7" s="406"/>
      <c r="DOJ7" s="406"/>
      <c r="DOK7" s="406"/>
      <c r="DOL7" s="406"/>
      <c r="DOM7" s="406"/>
      <c r="DON7" s="406"/>
      <c r="DOO7" s="406"/>
      <c r="DOP7" s="406"/>
      <c r="DOQ7" s="406"/>
      <c r="DOR7" s="406"/>
      <c r="DOS7" s="406"/>
      <c r="DOT7" s="406"/>
      <c r="DOU7" s="406"/>
      <c r="DOV7" s="406"/>
      <c r="DOW7" s="406"/>
      <c r="DOX7" s="406"/>
      <c r="DOY7" s="406"/>
      <c r="DOZ7" s="406"/>
      <c r="DPA7" s="406"/>
      <c r="DPB7" s="406"/>
      <c r="DPC7" s="406"/>
      <c r="DPD7" s="406"/>
      <c r="DPE7" s="406"/>
      <c r="DPF7" s="406"/>
      <c r="DPG7" s="406"/>
      <c r="DPH7" s="406"/>
      <c r="DPI7" s="406"/>
      <c r="DPJ7" s="406"/>
      <c r="DPK7" s="406"/>
      <c r="DPL7" s="406"/>
      <c r="DPM7" s="406"/>
      <c r="DPN7" s="406"/>
      <c r="DPO7" s="406"/>
      <c r="DPP7" s="406"/>
      <c r="DPQ7" s="406"/>
      <c r="DPR7" s="406"/>
      <c r="DPS7" s="406"/>
      <c r="DPT7" s="406"/>
      <c r="DPU7" s="406"/>
      <c r="DPV7" s="406"/>
      <c r="DPW7" s="406"/>
      <c r="DPX7" s="406"/>
      <c r="DPY7" s="406"/>
      <c r="DPZ7" s="406"/>
      <c r="DQA7" s="406"/>
      <c r="DQB7" s="406"/>
      <c r="DQC7" s="406"/>
      <c r="DQD7" s="406"/>
      <c r="DQE7" s="406"/>
      <c r="DQF7" s="406"/>
      <c r="DQG7" s="406"/>
      <c r="DQH7" s="406"/>
      <c r="DQI7" s="406"/>
      <c r="DQJ7" s="406"/>
      <c r="DQK7" s="406"/>
      <c r="DQL7" s="406"/>
      <c r="DQM7" s="406"/>
      <c r="DQN7" s="406"/>
      <c r="DQO7" s="406"/>
      <c r="DQP7" s="406"/>
      <c r="DQQ7" s="406"/>
      <c r="DQR7" s="406"/>
      <c r="DQS7" s="406"/>
      <c r="DQT7" s="406"/>
      <c r="DQU7" s="406"/>
      <c r="DQV7" s="406"/>
      <c r="DQW7" s="406"/>
      <c r="DQX7" s="406"/>
      <c r="DQY7" s="406"/>
      <c r="DQZ7" s="406"/>
      <c r="DRA7" s="406"/>
      <c r="DRB7" s="406"/>
      <c r="DRC7" s="406"/>
      <c r="DRD7" s="406"/>
      <c r="DRE7" s="406"/>
      <c r="DRF7" s="406"/>
      <c r="DRG7" s="406"/>
      <c r="DRH7" s="406"/>
      <c r="DRI7" s="406"/>
      <c r="DRJ7" s="406"/>
      <c r="DRK7" s="406"/>
      <c r="DRL7" s="406"/>
      <c r="DRM7" s="406"/>
      <c r="DRN7" s="406"/>
      <c r="DRO7" s="406"/>
      <c r="DRP7" s="406"/>
      <c r="DRQ7" s="406"/>
      <c r="DRR7" s="406"/>
      <c r="DRS7" s="406"/>
      <c r="DRT7" s="406"/>
      <c r="DRU7" s="406"/>
      <c r="DRV7" s="406"/>
      <c r="DRW7" s="406"/>
      <c r="DRX7" s="406"/>
      <c r="DRY7" s="406"/>
      <c r="DRZ7" s="406"/>
      <c r="DSA7" s="406"/>
      <c r="DSB7" s="406"/>
      <c r="DSC7" s="406"/>
      <c r="DSD7" s="406"/>
      <c r="DSE7" s="406"/>
      <c r="DSF7" s="406"/>
      <c r="DSG7" s="406"/>
      <c r="DSH7" s="406"/>
      <c r="DSI7" s="406"/>
      <c r="DSJ7" s="406"/>
      <c r="DSK7" s="406"/>
      <c r="DSL7" s="406"/>
      <c r="DSM7" s="406"/>
      <c r="DSN7" s="406"/>
      <c r="DSO7" s="406"/>
      <c r="DSP7" s="406"/>
      <c r="DSQ7" s="406"/>
      <c r="DSR7" s="406"/>
      <c r="DSS7" s="406"/>
      <c r="DST7" s="406"/>
      <c r="DSU7" s="406"/>
      <c r="DSV7" s="406"/>
      <c r="DSW7" s="406"/>
      <c r="DSX7" s="406"/>
      <c r="DSY7" s="406"/>
      <c r="DSZ7" s="406"/>
      <c r="DTA7" s="406"/>
      <c r="DTB7" s="406"/>
      <c r="DTC7" s="406"/>
      <c r="DTD7" s="406"/>
      <c r="DTE7" s="406"/>
      <c r="DTF7" s="406"/>
      <c r="DTG7" s="406"/>
      <c r="DTH7" s="406"/>
      <c r="DTI7" s="406"/>
      <c r="DTJ7" s="406"/>
      <c r="DTK7" s="406"/>
      <c r="DTL7" s="406"/>
      <c r="DTM7" s="406"/>
      <c r="DTN7" s="406"/>
      <c r="DTO7" s="406"/>
      <c r="DTP7" s="406"/>
      <c r="DTQ7" s="406"/>
      <c r="DTR7" s="406"/>
      <c r="DTS7" s="406"/>
      <c r="DTT7" s="406"/>
      <c r="DTU7" s="406"/>
      <c r="DTV7" s="406"/>
      <c r="DTW7" s="406"/>
      <c r="DTX7" s="406"/>
      <c r="DTY7" s="406"/>
      <c r="DTZ7" s="406"/>
      <c r="DUA7" s="406"/>
      <c r="DUB7" s="406"/>
      <c r="DUC7" s="406"/>
      <c r="DUD7" s="406"/>
      <c r="DUE7" s="406"/>
      <c r="DUF7" s="406"/>
      <c r="DUG7" s="406"/>
      <c r="DUH7" s="406"/>
      <c r="DUI7" s="406"/>
      <c r="DUJ7" s="406"/>
      <c r="DUK7" s="406"/>
      <c r="DUL7" s="406"/>
      <c r="DUM7" s="406"/>
      <c r="DUN7" s="406"/>
      <c r="DUO7" s="406"/>
      <c r="DUP7" s="406"/>
      <c r="DUQ7" s="406"/>
      <c r="DUR7" s="406"/>
      <c r="DUS7" s="406"/>
      <c r="DUT7" s="406"/>
      <c r="DUU7" s="406"/>
      <c r="DUV7" s="406"/>
      <c r="DUW7" s="406"/>
      <c r="DUX7" s="406"/>
      <c r="DUY7" s="406"/>
      <c r="DUZ7" s="406"/>
      <c r="DVA7" s="406"/>
      <c r="DVB7" s="406"/>
      <c r="DVC7" s="406"/>
      <c r="DVD7" s="406"/>
      <c r="DVE7" s="406"/>
      <c r="DVF7" s="406"/>
      <c r="DVG7" s="406"/>
      <c r="DVH7" s="406"/>
      <c r="DVI7" s="406"/>
      <c r="DVJ7" s="406"/>
      <c r="DVK7" s="406"/>
      <c r="DVL7" s="406"/>
      <c r="DVM7" s="406"/>
      <c r="DVN7" s="406"/>
      <c r="DVO7" s="406"/>
      <c r="DVP7" s="406"/>
      <c r="DVQ7" s="406"/>
      <c r="DVR7" s="406"/>
      <c r="DVS7" s="406"/>
      <c r="DVT7" s="406"/>
      <c r="DVU7" s="406"/>
      <c r="DVV7" s="406"/>
      <c r="DVW7" s="406"/>
      <c r="DVX7" s="406"/>
      <c r="DVY7" s="406"/>
      <c r="DVZ7" s="406"/>
      <c r="DWA7" s="406"/>
      <c r="DWB7" s="406"/>
      <c r="DWC7" s="406"/>
      <c r="DWD7" s="406"/>
      <c r="DWE7" s="406"/>
      <c r="DWF7" s="406"/>
      <c r="DWG7" s="406"/>
      <c r="DWH7" s="406"/>
      <c r="DWI7" s="406"/>
      <c r="DWJ7" s="406"/>
      <c r="DWK7" s="406"/>
      <c r="DWL7" s="406"/>
      <c r="DWM7" s="406"/>
      <c r="DWN7" s="406"/>
      <c r="DWO7" s="406"/>
      <c r="DWP7" s="406"/>
      <c r="DWQ7" s="406"/>
      <c r="DWR7" s="406"/>
      <c r="DWS7" s="406"/>
      <c r="DWT7" s="406"/>
      <c r="DWU7" s="406"/>
      <c r="DWV7" s="406"/>
      <c r="DWW7" s="406"/>
      <c r="DWX7" s="406"/>
      <c r="DWY7" s="406"/>
      <c r="DWZ7" s="406"/>
      <c r="DXA7" s="406"/>
      <c r="DXB7" s="406"/>
      <c r="DXC7" s="406"/>
      <c r="DXD7" s="406"/>
      <c r="DXE7" s="406"/>
      <c r="DXF7" s="406"/>
      <c r="DXG7" s="406"/>
      <c r="DXH7" s="406"/>
      <c r="DXI7" s="406"/>
      <c r="DXJ7" s="406"/>
      <c r="DXK7" s="406"/>
      <c r="DXL7" s="406"/>
      <c r="DXM7" s="406"/>
      <c r="DXN7" s="406"/>
      <c r="DXO7" s="406"/>
      <c r="DXP7" s="406"/>
      <c r="DXQ7" s="406"/>
      <c r="DXR7" s="406"/>
      <c r="DXS7" s="406"/>
      <c r="DXT7" s="406"/>
      <c r="DXU7" s="406"/>
      <c r="DXV7" s="406"/>
      <c r="DXW7" s="406"/>
      <c r="DXX7" s="406"/>
      <c r="DXY7" s="406"/>
      <c r="DXZ7" s="406"/>
      <c r="DYA7" s="406"/>
      <c r="DYB7" s="406"/>
      <c r="DYC7" s="406"/>
      <c r="DYD7" s="406"/>
      <c r="DYE7" s="406"/>
      <c r="DYF7" s="406"/>
      <c r="DYG7" s="406"/>
      <c r="DYH7" s="406"/>
      <c r="DYI7" s="406"/>
      <c r="DYJ7" s="406"/>
      <c r="DYK7" s="406"/>
      <c r="DYL7" s="406"/>
      <c r="DYM7" s="406"/>
      <c r="DYN7" s="406"/>
      <c r="DYO7" s="406"/>
      <c r="DYP7" s="406"/>
      <c r="DYQ7" s="406"/>
      <c r="DYR7" s="406"/>
      <c r="DYS7" s="406"/>
      <c r="DYT7" s="406"/>
      <c r="DYU7" s="406"/>
      <c r="DYV7" s="406"/>
      <c r="DYW7" s="406"/>
      <c r="DYX7" s="406"/>
      <c r="DYY7" s="406"/>
      <c r="DYZ7" s="406"/>
      <c r="DZA7" s="406"/>
      <c r="DZB7" s="406"/>
      <c r="DZC7" s="406"/>
      <c r="DZD7" s="406"/>
      <c r="DZE7" s="406"/>
      <c r="DZF7" s="406"/>
      <c r="DZG7" s="406"/>
      <c r="DZH7" s="406"/>
      <c r="DZI7" s="406"/>
      <c r="DZJ7" s="406"/>
      <c r="DZK7" s="406"/>
      <c r="DZL7" s="406"/>
      <c r="DZM7" s="406"/>
      <c r="DZN7" s="406"/>
      <c r="DZO7" s="406"/>
      <c r="DZP7" s="406"/>
      <c r="DZQ7" s="406"/>
      <c r="DZR7" s="406"/>
      <c r="DZS7" s="406"/>
      <c r="DZT7" s="406"/>
      <c r="DZU7" s="406"/>
      <c r="DZV7" s="406"/>
      <c r="DZW7" s="406"/>
      <c r="DZX7" s="406"/>
      <c r="DZY7" s="406"/>
      <c r="DZZ7" s="406"/>
      <c r="EAA7" s="406"/>
      <c r="EAB7" s="406"/>
      <c r="EAC7" s="406"/>
      <c r="EAD7" s="406"/>
      <c r="EAE7" s="406"/>
      <c r="EAF7" s="406"/>
      <c r="EAG7" s="406"/>
      <c r="EAH7" s="406"/>
      <c r="EAI7" s="406"/>
      <c r="EAJ7" s="406"/>
      <c r="EAK7" s="406"/>
      <c r="EAL7" s="406"/>
      <c r="EAM7" s="406"/>
      <c r="EAN7" s="406"/>
      <c r="EAO7" s="406"/>
      <c r="EAP7" s="406"/>
      <c r="EAQ7" s="406"/>
      <c r="EAR7" s="406"/>
      <c r="EAS7" s="406"/>
      <c r="EAT7" s="406"/>
      <c r="EAU7" s="406"/>
      <c r="EAV7" s="406"/>
      <c r="EAW7" s="406"/>
      <c r="EAX7" s="406"/>
      <c r="EAY7" s="406"/>
      <c r="EAZ7" s="406"/>
      <c r="EBA7" s="406"/>
      <c r="EBB7" s="406"/>
      <c r="EBC7" s="406"/>
      <c r="EBD7" s="406"/>
      <c r="EBE7" s="406"/>
      <c r="EBF7" s="406"/>
      <c r="EBG7" s="406"/>
      <c r="EBH7" s="406"/>
      <c r="EBI7" s="406"/>
      <c r="EBJ7" s="406"/>
      <c r="EBK7" s="406"/>
      <c r="EBL7" s="406"/>
      <c r="EBM7" s="406"/>
      <c r="EBN7" s="406"/>
      <c r="EBO7" s="406"/>
      <c r="EBP7" s="406"/>
      <c r="EBQ7" s="406"/>
      <c r="EBR7" s="406"/>
      <c r="EBS7" s="406"/>
      <c r="EBT7" s="406"/>
      <c r="EBU7" s="406"/>
      <c r="EBV7" s="406"/>
      <c r="EBW7" s="406"/>
      <c r="EBX7" s="406"/>
      <c r="EBY7" s="406"/>
      <c r="EBZ7" s="406"/>
      <c r="ECA7" s="406"/>
      <c r="ECB7" s="406"/>
      <c r="ECC7" s="406"/>
      <c r="ECD7" s="406"/>
      <c r="ECE7" s="406"/>
      <c r="ECF7" s="406"/>
      <c r="ECG7" s="406"/>
      <c r="ECH7" s="406"/>
      <c r="ECI7" s="406"/>
      <c r="ECJ7" s="406"/>
      <c r="ECK7" s="406"/>
      <c r="ECL7" s="406"/>
      <c r="ECM7" s="406"/>
      <c r="ECN7" s="406"/>
      <c r="ECO7" s="406"/>
      <c r="ECP7" s="406"/>
      <c r="ECQ7" s="406"/>
      <c r="ECR7" s="406"/>
      <c r="ECS7" s="406"/>
      <c r="ECT7" s="406"/>
      <c r="ECU7" s="406"/>
      <c r="ECV7" s="406"/>
      <c r="ECW7" s="406"/>
      <c r="ECX7" s="406"/>
      <c r="ECY7" s="406"/>
      <c r="ECZ7" s="406"/>
      <c r="EDA7" s="406"/>
      <c r="EDB7" s="406"/>
      <c r="EDC7" s="406"/>
      <c r="EDD7" s="406"/>
      <c r="EDE7" s="406"/>
      <c r="EDF7" s="406"/>
      <c r="EDG7" s="406"/>
      <c r="EDH7" s="406"/>
      <c r="EDI7" s="406"/>
      <c r="EDJ7" s="406"/>
      <c r="EDK7" s="406"/>
      <c r="EDL7" s="406"/>
      <c r="EDM7" s="406"/>
      <c r="EDN7" s="406"/>
      <c r="EDO7" s="406"/>
      <c r="EDP7" s="406"/>
      <c r="EDQ7" s="406"/>
      <c r="EDR7" s="406"/>
      <c r="EDS7" s="406"/>
      <c r="EDT7" s="406"/>
      <c r="EDU7" s="406"/>
      <c r="EDV7" s="406"/>
      <c r="EDW7" s="406"/>
      <c r="EDX7" s="406"/>
      <c r="EDY7" s="406"/>
      <c r="EDZ7" s="406"/>
      <c r="EEA7" s="406"/>
      <c r="EEB7" s="406"/>
      <c r="EEC7" s="406"/>
      <c r="EED7" s="406"/>
      <c r="EEE7" s="406"/>
      <c r="EEF7" s="406"/>
      <c r="EEG7" s="406"/>
      <c r="EEH7" s="406"/>
      <c r="EEI7" s="406"/>
      <c r="EEJ7" s="406"/>
      <c r="EEK7" s="406"/>
      <c r="EEL7" s="406"/>
      <c r="EEM7" s="406"/>
      <c r="EEN7" s="406"/>
      <c r="EEO7" s="406"/>
      <c r="EEP7" s="406"/>
      <c r="EEQ7" s="406"/>
      <c r="EER7" s="406"/>
      <c r="EES7" s="406"/>
      <c r="EET7" s="406"/>
      <c r="EEU7" s="406"/>
      <c r="EEV7" s="406"/>
      <c r="EEW7" s="406"/>
      <c r="EEX7" s="406"/>
      <c r="EEY7" s="406"/>
      <c r="EEZ7" s="406"/>
      <c r="EFA7" s="406"/>
      <c r="EFB7" s="406"/>
      <c r="EFC7" s="406"/>
      <c r="EFD7" s="406"/>
      <c r="EFE7" s="406"/>
      <c r="EFF7" s="406"/>
      <c r="EFG7" s="406"/>
      <c r="EFH7" s="406"/>
      <c r="EFI7" s="406"/>
      <c r="EFJ7" s="406"/>
      <c r="EFK7" s="406"/>
      <c r="EFL7" s="406"/>
      <c r="EFM7" s="406"/>
      <c r="EFN7" s="406"/>
      <c r="EFO7" s="406"/>
      <c r="EFP7" s="406"/>
      <c r="EFQ7" s="406"/>
      <c r="EFR7" s="406"/>
      <c r="EFS7" s="406"/>
      <c r="EFT7" s="406"/>
      <c r="EFU7" s="406"/>
      <c r="EFV7" s="406"/>
      <c r="EFW7" s="406"/>
      <c r="EFX7" s="406"/>
      <c r="EFY7" s="406"/>
      <c r="EFZ7" s="406"/>
      <c r="EGA7" s="406"/>
      <c r="EGB7" s="406"/>
      <c r="EGC7" s="406"/>
      <c r="EGD7" s="406"/>
      <c r="EGE7" s="406"/>
      <c r="EGF7" s="406"/>
      <c r="EGG7" s="406"/>
      <c r="EGH7" s="406"/>
      <c r="EGI7" s="406"/>
      <c r="EGJ7" s="406"/>
      <c r="EGK7" s="406"/>
      <c r="EGL7" s="406"/>
      <c r="EGM7" s="406"/>
      <c r="EGN7" s="406"/>
      <c r="EGO7" s="406"/>
      <c r="EGP7" s="406"/>
      <c r="EGQ7" s="406"/>
      <c r="EGR7" s="406"/>
      <c r="EGS7" s="406"/>
      <c r="EGT7" s="406"/>
      <c r="EGU7" s="406"/>
      <c r="EGV7" s="406"/>
      <c r="EGW7" s="406"/>
      <c r="EGX7" s="406"/>
      <c r="EGY7" s="406"/>
      <c r="EGZ7" s="406"/>
      <c r="EHA7" s="406"/>
      <c r="EHB7" s="406"/>
      <c r="EHC7" s="406"/>
      <c r="EHD7" s="406"/>
      <c r="EHE7" s="406"/>
      <c r="EHF7" s="406"/>
      <c r="EHG7" s="406"/>
      <c r="EHH7" s="406"/>
      <c r="EHI7" s="406"/>
      <c r="EHJ7" s="406"/>
      <c r="EHK7" s="406"/>
      <c r="EHL7" s="406"/>
      <c r="EHM7" s="406"/>
      <c r="EHN7" s="406"/>
      <c r="EHO7" s="406"/>
      <c r="EHP7" s="406"/>
      <c r="EHQ7" s="406"/>
      <c r="EHR7" s="406"/>
      <c r="EHS7" s="406"/>
      <c r="EHT7" s="406"/>
      <c r="EHU7" s="406"/>
      <c r="EHV7" s="406"/>
      <c r="EHW7" s="406"/>
      <c r="EHX7" s="406"/>
      <c r="EHY7" s="406"/>
      <c r="EHZ7" s="406"/>
      <c r="EIA7" s="406"/>
      <c r="EIB7" s="406"/>
      <c r="EIC7" s="406"/>
      <c r="EID7" s="406"/>
      <c r="EIE7" s="406"/>
      <c r="EIF7" s="406"/>
      <c r="EIG7" s="406"/>
      <c r="EIH7" s="406"/>
      <c r="EII7" s="406"/>
      <c r="EIJ7" s="406"/>
      <c r="EIK7" s="406"/>
      <c r="EIL7" s="406"/>
      <c r="EIM7" s="406"/>
      <c r="EIN7" s="406"/>
      <c r="EIO7" s="406"/>
      <c r="EIP7" s="406"/>
      <c r="EIQ7" s="406"/>
      <c r="EIR7" s="406"/>
      <c r="EIS7" s="406"/>
      <c r="EIT7" s="406"/>
      <c r="EIU7" s="406"/>
      <c r="EIV7" s="406"/>
      <c r="EIW7" s="406"/>
      <c r="EIX7" s="406"/>
      <c r="EIY7" s="406"/>
      <c r="EIZ7" s="406"/>
      <c r="EJA7" s="406"/>
      <c r="EJB7" s="406"/>
      <c r="EJC7" s="406"/>
      <c r="EJD7" s="406"/>
      <c r="EJE7" s="406"/>
      <c r="EJF7" s="406"/>
      <c r="EJG7" s="406"/>
      <c r="EJH7" s="406"/>
      <c r="EJI7" s="406"/>
      <c r="EJJ7" s="406"/>
      <c r="EJK7" s="406"/>
      <c r="EJL7" s="406"/>
      <c r="EJM7" s="406"/>
      <c r="EJN7" s="406"/>
      <c r="EJO7" s="406"/>
      <c r="EJP7" s="406"/>
      <c r="EJQ7" s="406"/>
      <c r="EJR7" s="406"/>
      <c r="EJS7" s="406"/>
      <c r="EJT7" s="406"/>
      <c r="EJU7" s="406"/>
      <c r="EJV7" s="406"/>
      <c r="EJW7" s="406"/>
      <c r="EJX7" s="406"/>
      <c r="EJY7" s="406"/>
      <c r="EJZ7" s="406"/>
      <c r="EKA7" s="406"/>
      <c r="EKB7" s="406"/>
      <c r="EKC7" s="406"/>
      <c r="EKD7" s="406"/>
      <c r="EKE7" s="406"/>
      <c r="EKF7" s="406"/>
      <c r="EKG7" s="406"/>
      <c r="EKH7" s="406"/>
      <c r="EKI7" s="406"/>
      <c r="EKJ7" s="406"/>
      <c r="EKK7" s="406"/>
      <c r="EKL7" s="406"/>
      <c r="EKM7" s="406"/>
      <c r="EKN7" s="406"/>
      <c r="EKO7" s="406"/>
      <c r="EKP7" s="406"/>
      <c r="EKQ7" s="406"/>
      <c r="EKR7" s="406"/>
      <c r="EKS7" s="406"/>
      <c r="EKT7" s="406"/>
      <c r="EKU7" s="406"/>
      <c r="EKV7" s="406"/>
      <c r="EKW7" s="406"/>
      <c r="EKX7" s="406"/>
      <c r="EKY7" s="406"/>
      <c r="EKZ7" s="406"/>
      <c r="ELA7" s="406"/>
      <c r="ELB7" s="406"/>
      <c r="ELC7" s="406"/>
      <c r="ELD7" s="406"/>
      <c r="ELE7" s="406"/>
      <c r="ELF7" s="406"/>
      <c r="ELG7" s="406"/>
      <c r="ELH7" s="406"/>
      <c r="ELI7" s="406"/>
      <c r="ELJ7" s="406"/>
      <c r="ELK7" s="406"/>
      <c r="ELL7" s="406"/>
      <c r="ELM7" s="406"/>
      <c r="ELN7" s="406"/>
      <c r="ELO7" s="406"/>
      <c r="ELP7" s="406"/>
      <c r="ELQ7" s="406"/>
      <c r="ELR7" s="406"/>
      <c r="ELS7" s="406"/>
      <c r="ELT7" s="406"/>
      <c r="ELU7" s="406"/>
      <c r="ELV7" s="406"/>
      <c r="ELW7" s="406"/>
      <c r="ELX7" s="406"/>
      <c r="ELY7" s="406"/>
      <c r="ELZ7" s="406"/>
      <c r="EMA7" s="406"/>
      <c r="EMB7" s="406"/>
      <c r="EMC7" s="406"/>
      <c r="EMD7" s="406"/>
      <c r="EME7" s="406"/>
      <c r="EMF7" s="406"/>
      <c r="EMG7" s="406"/>
      <c r="EMH7" s="406"/>
      <c r="EMI7" s="406"/>
      <c r="EMJ7" s="406"/>
      <c r="EMK7" s="406"/>
      <c r="EML7" s="406"/>
      <c r="EMM7" s="406"/>
      <c r="EMN7" s="406"/>
      <c r="EMO7" s="406"/>
      <c r="EMP7" s="406"/>
      <c r="EMQ7" s="406"/>
      <c r="EMR7" s="406"/>
      <c r="EMS7" s="406"/>
      <c r="EMT7" s="406"/>
      <c r="EMU7" s="406"/>
      <c r="EMV7" s="406"/>
      <c r="EMW7" s="406"/>
      <c r="EMX7" s="406"/>
      <c r="EMY7" s="406"/>
      <c r="EMZ7" s="406"/>
      <c r="ENA7" s="406"/>
      <c r="ENB7" s="406"/>
      <c r="ENC7" s="406"/>
      <c r="END7" s="406"/>
      <c r="ENE7" s="406"/>
      <c r="ENF7" s="406"/>
      <c r="ENG7" s="406"/>
      <c r="ENH7" s="406"/>
      <c r="ENI7" s="406"/>
      <c r="ENJ7" s="406"/>
      <c r="ENK7" s="406"/>
      <c r="ENL7" s="406"/>
      <c r="ENM7" s="406"/>
      <c r="ENN7" s="406"/>
      <c r="ENO7" s="406"/>
      <c r="ENP7" s="406"/>
      <c r="ENQ7" s="406"/>
      <c r="ENR7" s="406"/>
      <c r="ENS7" s="406"/>
      <c r="ENT7" s="406"/>
      <c r="ENU7" s="406"/>
      <c r="ENV7" s="406"/>
      <c r="ENW7" s="406"/>
      <c r="ENX7" s="406"/>
      <c r="ENY7" s="406"/>
      <c r="ENZ7" s="406"/>
      <c r="EOA7" s="406"/>
      <c r="EOB7" s="406"/>
      <c r="EOC7" s="406"/>
      <c r="EOD7" s="406"/>
      <c r="EOE7" s="406"/>
      <c r="EOF7" s="406"/>
      <c r="EOG7" s="406"/>
      <c r="EOH7" s="406"/>
      <c r="EOI7" s="406"/>
      <c r="EOJ7" s="406"/>
      <c r="EOK7" s="406"/>
      <c r="EOL7" s="406"/>
      <c r="EOM7" s="406"/>
      <c r="EON7" s="406"/>
      <c r="EOO7" s="406"/>
      <c r="EOP7" s="406"/>
      <c r="EOQ7" s="406"/>
      <c r="EOR7" s="406"/>
      <c r="EOS7" s="406"/>
      <c r="EOT7" s="406"/>
      <c r="EOU7" s="406"/>
      <c r="EOV7" s="406"/>
      <c r="EOW7" s="406"/>
      <c r="EOX7" s="406"/>
      <c r="EOY7" s="406"/>
      <c r="EOZ7" s="406"/>
      <c r="EPA7" s="406"/>
      <c r="EPB7" s="406"/>
      <c r="EPC7" s="406"/>
      <c r="EPD7" s="406"/>
      <c r="EPE7" s="406"/>
      <c r="EPF7" s="406"/>
      <c r="EPG7" s="406"/>
      <c r="EPH7" s="406"/>
      <c r="EPI7" s="406"/>
      <c r="EPJ7" s="406"/>
      <c r="EPK7" s="406"/>
      <c r="EPL7" s="406"/>
      <c r="EPM7" s="406"/>
      <c r="EPN7" s="406"/>
      <c r="EPO7" s="406"/>
      <c r="EPP7" s="406"/>
      <c r="EPQ7" s="406"/>
      <c r="EPR7" s="406"/>
      <c r="EPS7" s="406"/>
      <c r="EPT7" s="406"/>
      <c r="EPU7" s="406"/>
      <c r="EPV7" s="406"/>
      <c r="EPW7" s="406"/>
      <c r="EPX7" s="406"/>
      <c r="EPY7" s="406"/>
      <c r="EPZ7" s="406"/>
      <c r="EQA7" s="406"/>
      <c r="EQB7" s="406"/>
      <c r="EQC7" s="406"/>
      <c r="EQD7" s="406"/>
      <c r="EQE7" s="406"/>
      <c r="EQF7" s="406"/>
      <c r="EQG7" s="406"/>
      <c r="EQH7" s="406"/>
      <c r="EQI7" s="406"/>
      <c r="EQJ7" s="406"/>
      <c r="EQK7" s="406"/>
      <c r="EQL7" s="406"/>
      <c r="EQM7" s="406"/>
      <c r="EQN7" s="406"/>
      <c r="EQO7" s="406"/>
      <c r="EQP7" s="406"/>
      <c r="EQQ7" s="406"/>
      <c r="EQR7" s="406"/>
      <c r="EQS7" s="406"/>
      <c r="EQT7" s="406"/>
      <c r="EQU7" s="406"/>
      <c r="EQV7" s="406"/>
      <c r="EQW7" s="406"/>
      <c r="EQX7" s="406"/>
      <c r="EQY7" s="406"/>
      <c r="EQZ7" s="406"/>
      <c r="ERA7" s="406"/>
      <c r="ERB7" s="406"/>
      <c r="ERC7" s="406"/>
      <c r="ERD7" s="406"/>
      <c r="ERE7" s="406"/>
      <c r="ERF7" s="406"/>
      <c r="ERG7" s="406"/>
      <c r="ERH7" s="406"/>
      <c r="ERI7" s="406"/>
      <c r="ERJ7" s="406"/>
      <c r="ERK7" s="406"/>
      <c r="ERL7" s="406"/>
      <c r="ERM7" s="406"/>
      <c r="ERN7" s="406"/>
      <c r="ERO7" s="406"/>
      <c r="ERP7" s="406"/>
      <c r="ERQ7" s="406"/>
      <c r="ERR7" s="406"/>
      <c r="ERS7" s="406"/>
      <c r="ERT7" s="406"/>
      <c r="ERU7" s="406"/>
      <c r="ERV7" s="406"/>
      <c r="ERW7" s="406"/>
      <c r="ERX7" s="406"/>
      <c r="ERY7" s="406"/>
      <c r="ERZ7" s="406"/>
      <c r="ESA7" s="406"/>
      <c r="ESB7" s="406"/>
      <c r="ESC7" s="406"/>
      <c r="ESD7" s="406"/>
      <c r="ESE7" s="406"/>
      <c r="ESF7" s="406"/>
      <c r="ESG7" s="406"/>
      <c r="ESH7" s="406"/>
      <c r="ESI7" s="406"/>
      <c r="ESJ7" s="406"/>
      <c r="ESK7" s="406"/>
      <c r="ESL7" s="406"/>
      <c r="ESM7" s="406"/>
      <c r="ESN7" s="406"/>
      <c r="ESO7" s="406"/>
      <c r="ESP7" s="406"/>
      <c r="ESQ7" s="406"/>
      <c r="ESR7" s="406"/>
      <c r="ESS7" s="406"/>
      <c r="EST7" s="406"/>
      <c r="ESU7" s="406"/>
      <c r="ESV7" s="406"/>
      <c r="ESW7" s="406"/>
      <c r="ESX7" s="406"/>
      <c r="ESY7" s="406"/>
      <c r="ESZ7" s="406"/>
      <c r="ETA7" s="406"/>
      <c r="ETB7" s="406"/>
      <c r="ETC7" s="406"/>
      <c r="ETD7" s="406"/>
      <c r="ETE7" s="406"/>
      <c r="ETF7" s="406"/>
      <c r="ETG7" s="406"/>
      <c r="ETH7" s="406"/>
      <c r="ETI7" s="406"/>
      <c r="ETJ7" s="406"/>
      <c r="ETK7" s="406"/>
      <c r="ETL7" s="406"/>
      <c r="ETM7" s="406"/>
      <c r="ETN7" s="406"/>
      <c r="ETO7" s="406"/>
      <c r="ETP7" s="406"/>
      <c r="ETQ7" s="406"/>
      <c r="ETR7" s="406"/>
      <c r="ETS7" s="406"/>
      <c r="ETT7" s="406"/>
      <c r="ETU7" s="406"/>
      <c r="ETV7" s="406"/>
      <c r="ETW7" s="406"/>
      <c r="ETX7" s="406"/>
      <c r="ETY7" s="406"/>
      <c r="ETZ7" s="406"/>
      <c r="EUA7" s="406"/>
      <c r="EUB7" s="406"/>
      <c r="EUC7" s="406"/>
      <c r="EUD7" s="406"/>
      <c r="EUE7" s="406"/>
      <c r="EUF7" s="406"/>
      <c r="EUG7" s="406"/>
      <c r="EUH7" s="406"/>
      <c r="EUI7" s="406"/>
      <c r="EUJ7" s="406"/>
      <c r="EUK7" s="406"/>
      <c r="EUL7" s="406"/>
      <c r="EUM7" s="406"/>
      <c r="EUN7" s="406"/>
      <c r="EUO7" s="406"/>
      <c r="EUP7" s="406"/>
      <c r="EUQ7" s="406"/>
      <c r="EUR7" s="406"/>
      <c r="EUS7" s="406"/>
      <c r="EUT7" s="406"/>
      <c r="EUU7" s="406"/>
      <c r="EUV7" s="406"/>
      <c r="EUW7" s="406"/>
      <c r="EUX7" s="406"/>
      <c r="EUY7" s="406"/>
      <c r="EUZ7" s="406"/>
      <c r="EVA7" s="406"/>
      <c r="EVB7" s="406"/>
      <c r="EVC7" s="406"/>
      <c r="EVD7" s="406"/>
      <c r="EVE7" s="406"/>
      <c r="EVF7" s="406"/>
      <c r="EVG7" s="406"/>
      <c r="EVH7" s="406"/>
      <c r="EVI7" s="406"/>
      <c r="EVJ7" s="406"/>
      <c r="EVK7" s="406"/>
      <c r="EVL7" s="406"/>
      <c r="EVM7" s="406"/>
      <c r="EVN7" s="406"/>
      <c r="EVO7" s="406"/>
      <c r="EVP7" s="406"/>
      <c r="EVQ7" s="406"/>
      <c r="EVR7" s="406"/>
      <c r="EVS7" s="406"/>
      <c r="EVT7" s="406"/>
      <c r="EVU7" s="406"/>
      <c r="EVV7" s="406"/>
      <c r="EVW7" s="406"/>
      <c r="EVX7" s="406"/>
      <c r="EVY7" s="406"/>
      <c r="EVZ7" s="406"/>
      <c r="EWA7" s="406"/>
      <c r="EWB7" s="406"/>
      <c r="EWC7" s="406"/>
      <c r="EWD7" s="406"/>
      <c r="EWE7" s="406"/>
      <c r="EWF7" s="406"/>
      <c r="EWG7" s="406"/>
      <c r="EWH7" s="406"/>
      <c r="EWI7" s="406"/>
      <c r="EWJ7" s="406"/>
      <c r="EWK7" s="406"/>
      <c r="EWL7" s="406"/>
      <c r="EWM7" s="406"/>
      <c r="EWN7" s="406"/>
      <c r="EWO7" s="406"/>
      <c r="EWP7" s="406"/>
      <c r="EWQ7" s="406"/>
      <c r="EWR7" s="406"/>
      <c r="EWS7" s="406"/>
      <c r="EWT7" s="406"/>
      <c r="EWU7" s="406"/>
      <c r="EWV7" s="406"/>
      <c r="EWW7" s="406"/>
      <c r="EWX7" s="406"/>
      <c r="EWY7" s="406"/>
      <c r="EWZ7" s="406"/>
      <c r="EXA7" s="406"/>
      <c r="EXB7" s="406"/>
      <c r="EXC7" s="406"/>
      <c r="EXD7" s="406"/>
      <c r="EXE7" s="406"/>
      <c r="EXF7" s="406"/>
      <c r="EXG7" s="406"/>
      <c r="EXH7" s="406"/>
      <c r="EXI7" s="406"/>
      <c r="EXJ7" s="406"/>
      <c r="EXK7" s="406"/>
      <c r="EXL7" s="406"/>
      <c r="EXM7" s="406"/>
      <c r="EXN7" s="406"/>
      <c r="EXO7" s="406"/>
      <c r="EXP7" s="406"/>
      <c r="EXQ7" s="406"/>
      <c r="EXR7" s="406"/>
      <c r="EXS7" s="406"/>
      <c r="EXT7" s="406"/>
      <c r="EXU7" s="406"/>
      <c r="EXV7" s="406"/>
      <c r="EXW7" s="406"/>
      <c r="EXX7" s="406"/>
      <c r="EXY7" s="406"/>
      <c r="EXZ7" s="406"/>
      <c r="EYA7" s="406"/>
      <c r="EYB7" s="406"/>
      <c r="EYC7" s="406"/>
      <c r="EYD7" s="406"/>
      <c r="EYE7" s="406"/>
      <c r="EYF7" s="406"/>
      <c r="EYG7" s="406"/>
      <c r="EYH7" s="406"/>
      <c r="EYI7" s="406"/>
      <c r="EYJ7" s="406"/>
      <c r="EYK7" s="406"/>
      <c r="EYL7" s="406"/>
      <c r="EYM7" s="406"/>
      <c r="EYN7" s="406"/>
      <c r="EYO7" s="406"/>
      <c r="EYP7" s="406"/>
      <c r="EYQ7" s="406"/>
      <c r="EYR7" s="406"/>
      <c r="EYS7" s="406"/>
      <c r="EYT7" s="406"/>
      <c r="EYU7" s="406"/>
      <c r="EYV7" s="406"/>
      <c r="EYW7" s="406"/>
      <c r="EYX7" s="406"/>
      <c r="EYY7" s="406"/>
      <c r="EYZ7" s="406"/>
      <c r="EZA7" s="406"/>
      <c r="EZB7" s="406"/>
      <c r="EZC7" s="406"/>
      <c r="EZD7" s="406"/>
      <c r="EZE7" s="406"/>
      <c r="EZF7" s="406"/>
      <c r="EZG7" s="406"/>
      <c r="EZH7" s="406"/>
      <c r="EZI7" s="406"/>
      <c r="EZJ7" s="406"/>
      <c r="EZK7" s="406"/>
      <c r="EZL7" s="406"/>
      <c r="EZM7" s="406"/>
      <c r="EZN7" s="406"/>
      <c r="EZO7" s="406"/>
      <c r="EZP7" s="406"/>
      <c r="EZQ7" s="406"/>
      <c r="EZR7" s="406"/>
      <c r="EZS7" s="406"/>
      <c r="EZT7" s="406"/>
      <c r="EZU7" s="406"/>
      <c r="EZV7" s="406"/>
      <c r="EZW7" s="406"/>
      <c r="EZX7" s="406"/>
      <c r="EZY7" s="406"/>
      <c r="EZZ7" s="406"/>
      <c r="FAA7" s="406"/>
      <c r="FAB7" s="406"/>
      <c r="FAC7" s="406"/>
      <c r="FAD7" s="406"/>
      <c r="FAE7" s="406"/>
      <c r="FAF7" s="406"/>
      <c r="FAG7" s="406"/>
      <c r="FAH7" s="406"/>
      <c r="FAI7" s="406"/>
      <c r="FAJ7" s="406"/>
      <c r="FAK7" s="406"/>
      <c r="FAL7" s="406"/>
      <c r="FAM7" s="406"/>
      <c r="FAN7" s="406"/>
      <c r="FAO7" s="406"/>
      <c r="FAP7" s="406"/>
      <c r="FAQ7" s="406"/>
      <c r="FAR7" s="406"/>
      <c r="FAS7" s="406"/>
      <c r="FAT7" s="406"/>
      <c r="FAU7" s="406"/>
      <c r="FAV7" s="406"/>
      <c r="FAW7" s="406"/>
      <c r="FAX7" s="406"/>
      <c r="FAY7" s="406"/>
      <c r="FAZ7" s="406"/>
      <c r="FBA7" s="406"/>
      <c r="FBB7" s="406"/>
      <c r="FBC7" s="406"/>
      <c r="FBD7" s="406"/>
      <c r="FBE7" s="406"/>
      <c r="FBF7" s="406"/>
      <c r="FBG7" s="406"/>
      <c r="FBH7" s="406"/>
      <c r="FBI7" s="406"/>
      <c r="FBJ7" s="406"/>
      <c r="FBK7" s="406"/>
      <c r="FBL7" s="406"/>
      <c r="FBM7" s="406"/>
      <c r="FBN7" s="406"/>
      <c r="FBO7" s="406"/>
      <c r="FBP7" s="406"/>
      <c r="FBQ7" s="406"/>
      <c r="FBR7" s="406"/>
      <c r="FBS7" s="406"/>
      <c r="FBT7" s="406"/>
      <c r="FBU7" s="406"/>
      <c r="FBV7" s="406"/>
      <c r="FBW7" s="406"/>
      <c r="FBX7" s="406"/>
      <c r="FBY7" s="406"/>
      <c r="FBZ7" s="406"/>
      <c r="FCA7" s="406"/>
      <c r="FCB7" s="406"/>
      <c r="FCC7" s="406"/>
      <c r="FCD7" s="406"/>
      <c r="FCE7" s="406"/>
      <c r="FCF7" s="406"/>
      <c r="FCG7" s="406"/>
      <c r="FCH7" s="406"/>
      <c r="FCI7" s="406"/>
      <c r="FCJ7" s="406"/>
      <c r="FCK7" s="406"/>
      <c r="FCL7" s="406"/>
      <c r="FCM7" s="406"/>
      <c r="FCN7" s="406"/>
      <c r="FCO7" s="406"/>
      <c r="FCP7" s="406"/>
      <c r="FCQ7" s="406"/>
      <c r="FCR7" s="406"/>
      <c r="FCS7" s="406"/>
      <c r="FCT7" s="406"/>
      <c r="FCU7" s="406"/>
      <c r="FCV7" s="406"/>
      <c r="FCW7" s="406"/>
      <c r="FCX7" s="406"/>
      <c r="FCY7" s="406"/>
      <c r="FCZ7" s="406"/>
      <c r="FDA7" s="406"/>
      <c r="FDB7" s="406"/>
      <c r="FDC7" s="406"/>
      <c r="FDD7" s="406"/>
      <c r="FDE7" s="406"/>
      <c r="FDF7" s="406"/>
      <c r="FDG7" s="406"/>
      <c r="FDH7" s="406"/>
      <c r="FDI7" s="406"/>
      <c r="FDJ7" s="406"/>
      <c r="FDK7" s="406"/>
      <c r="FDL7" s="406"/>
      <c r="FDM7" s="406"/>
      <c r="FDN7" s="406"/>
      <c r="FDO7" s="406"/>
      <c r="FDP7" s="406"/>
      <c r="FDQ7" s="406"/>
      <c r="FDR7" s="406"/>
      <c r="FDS7" s="406"/>
      <c r="FDT7" s="406"/>
      <c r="FDU7" s="406"/>
      <c r="FDV7" s="406"/>
      <c r="FDW7" s="406"/>
      <c r="FDX7" s="406"/>
      <c r="FDY7" s="406"/>
      <c r="FDZ7" s="406"/>
      <c r="FEA7" s="406"/>
      <c r="FEB7" s="406"/>
      <c r="FEC7" s="406"/>
      <c r="FED7" s="406"/>
      <c r="FEE7" s="406"/>
      <c r="FEF7" s="406"/>
      <c r="FEG7" s="406"/>
      <c r="FEH7" s="406"/>
      <c r="FEI7" s="406"/>
      <c r="FEJ7" s="406"/>
      <c r="FEK7" s="406"/>
      <c r="FEL7" s="406"/>
      <c r="FEM7" s="406"/>
      <c r="FEN7" s="406"/>
      <c r="FEO7" s="406"/>
      <c r="FEP7" s="406"/>
      <c r="FEQ7" s="406"/>
      <c r="FER7" s="406"/>
      <c r="FES7" s="406"/>
      <c r="FET7" s="406"/>
      <c r="FEU7" s="406"/>
      <c r="FEV7" s="406"/>
      <c r="FEW7" s="406"/>
      <c r="FEX7" s="406"/>
      <c r="FEY7" s="406"/>
      <c r="FEZ7" s="406"/>
      <c r="FFA7" s="406"/>
      <c r="FFB7" s="406"/>
      <c r="FFC7" s="406"/>
      <c r="FFD7" s="406"/>
      <c r="FFE7" s="406"/>
      <c r="FFF7" s="406"/>
      <c r="FFG7" s="406"/>
      <c r="FFH7" s="406"/>
      <c r="FFI7" s="406"/>
      <c r="FFJ7" s="406"/>
      <c r="FFK7" s="406"/>
      <c r="FFL7" s="406"/>
      <c r="FFM7" s="406"/>
      <c r="FFN7" s="406"/>
      <c r="FFO7" s="406"/>
      <c r="FFP7" s="406"/>
      <c r="FFQ7" s="406"/>
      <c r="FFR7" s="406"/>
      <c r="FFS7" s="406"/>
      <c r="FFT7" s="406"/>
      <c r="FFU7" s="406"/>
      <c r="FFV7" s="406"/>
      <c r="FFW7" s="406"/>
      <c r="FFX7" s="406"/>
      <c r="FFY7" s="406"/>
      <c r="FFZ7" s="406"/>
      <c r="FGA7" s="406"/>
      <c r="FGB7" s="406"/>
      <c r="FGC7" s="406"/>
      <c r="FGD7" s="406"/>
      <c r="FGE7" s="406"/>
      <c r="FGF7" s="406"/>
      <c r="FGG7" s="406"/>
      <c r="FGH7" s="406"/>
      <c r="FGI7" s="406"/>
      <c r="FGJ7" s="406"/>
      <c r="FGK7" s="406"/>
      <c r="FGL7" s="406"/>
      <c r="FGM7" s="406"/>
      <c r="FGN7" s="406"/>
      <c r="FGO7" s="406"/>
      <c r="FGP7" s="406"/>
      <c r="FGQ7" s="406"/>
      <c r="FGR7" s="406"/>
      <c r="FGS7" s="406"/>
      <c r="FGT7" s="406"/>
      <c r="FGU7" s="406"/>
      <c r="FGV7" s="406"/>
      <c r="FGW7" s="406"/>
      <c r="FGX7" s="406"/>
      <c r="FGY7" s="406"/>
      <c r="FGZ7" s="406"/>
      <c r="FHA7" s="406"/>
      <c r="FHB7" s="406"/>
      <c r="FHC7" s="406"/>
      <c r="FHD7" s="406"/>
      <c r="FHE7" s="406"/>
      <c r="FHF7" s="406"/>
      <c r="FHG7" s="406"/>
      <c r="FHH7" s="406"/>
      <c r="FHI7" s="406"/>
      <c r="FHJ7" s="406"/>
      <c r="FHK7" s="406"/>
      <c r="FHL7" s="406"/>
      <c r="FHM7" s="406"/>
      <c r="FHN7" s="406"/>
      <c r="FHO7" s="406"/>
      <c r="FHP7" s="406"/>
      <c r="FHQ7" s="406"/>
      <c r="FHR7" s="406"/>
      <c r="FHS7" s="406"/>
      <c r="FHT7" s="406"/>
      <c r="FHU7" s="406"/>
      <c r="FHV7" s="406"/>
      <c r="FHW7" s="406"/>
      <c r="FHX7" s="406"/>
      <c r="FHY7" s="406"/>
      <c r="FHZ7" s="406"/>
      <c r="FIA7" s="406"/>
      <c r="FIB7" s="406"/>
      <c r="FIC7" s="406"/>
      <c r="FID7" s="406"/>
      <c r="FIE7" s="406"/>
      <c r="FIF7" s="406"/>
      <c r="FIG7" s="406"/>
      <c r="FIH7" s="406"/>
      <c r="FII7" s="406"/>
      <c r="FIJ7" s="406"/>
      <c r="FIK7" s="406"/>
      <c r="FIL7" s="406"/>
      <c r="FIM7" s="406"/>
      <c r="FIN7" s="406"/>
      <c r="FIO7" s="406"/>
      <c r="FIP7" s="406"/>
      <c r="FIQ7" s="406"/>
      <c r="FIR7" s="406"/>
      <c r="FIS7" s="406"/>
      <c r="FIT7" s="406"/>
      <c r="FIU7" s="406"/>
      <c r="FIV7" s="406"/>
      <c r="FIW7" s="406"/>
      <c r="FIX7" s="406"/>
      <c r="FIY7" s="406"/>
      <c r="FIZ7" s="406"/>
      <c r="FJA7" s="406"/>
      <c r="FJB7" s="406"/>
      <c r="FJC7" s="406"/>
      <c r="FJD7" s="406"/>
      <c r="FJE7" s="406"/>
      <c r="FJF7" s="406"/>
      <c r="FJG7" s="406"/>
      <c r="FJH7" s="406"/>
      <c r="FJI7" s="406"/>
      <c r="FJJ7" s="406"/>
      <c r="FJK7" s="406"/>
      <c r="FJL7" s="406"/>
      <c r="FJM7" s="406"/>
      <c r="FJN7" s="406"/>
      <c r="FJO7" s="406"/>
      <c r="FJP7" s="406"/>
      <c r="FJQ7" s="406"/>
      <c r="FJR7" s="406"/>
      <c r="FJS7" s="406"/>
      <c r="FJT7" s="406"/>
      <c r="FJU7" s="406"/>
      <c r="FJV7" s="406"/>
      <c r="FJW7" s="406"/>
      <c r="FJX7" s="406"/>
      <c r="FJY7" s="406"/>
      <c r="FJZ7" s="406"/>
      <c r="FKA7" s="406"/>
      <c r="FKB7" s="406"/>
      <c r="FKC7" s="406"/>
      <c r="FKD7" s="406"/>
      <c r="FKE7" s="406"/>
      <c r="FKF7" s="406"/>
      <c r="FKG7" s="406"/>
      <c r="FKH7" s="406"/>
      <c r="FKI7" s="406"/>
      <c r="FKJ7" s="406"/>
      <c r="FKK7" s="406"/>
      <c r="FKL7" s="406"/>
      <c r="FKM7" s="406"/>
      <c r="FKN7" s="406"/>
      <c r="FKO7" s="406"/>
      <c r="FKP7" s="406"/>
      <c r="FKQ7" s="406"/>
      <c r="FKR7" s="406"/>
      <c r="FKS7" s="406"/>
      <c r="FKT7" s="406"/>
      <c r="FKU7" s="406"/>
      <c r="FKV7" s="406"/>
      <c r="FKW7" s="406"/>
      <c r="FKX7" s="406"/>
      <c r="FKY7" s="406"/>
      <c r="FKZ7" s="406"/>
      <c r="FLA7" s="406"/>
      <c r="FLB7" s="406"/>
      <c r="FLC7" s="406"/>
      <c r="FLD7" s="406"/>
      <c r="FLE7" s="406"/>
      <c r="FLF7" s="406"/>
      <c r="FLG7" s="406"/>
      <c r="FLH7" s="406"/>
      <c r="FLI7" s="406"/>
      <c r="FLJ7" s="406"/>
      <c r="FLK7" s="406"/>
      <c r="FLL7" s="406"/>
      <c r="FLM7" s="406"/>
      <c r="FLN7" s="406"/>
      <c r="FLO7" s="406"/>
      <c r="FLP7" s="406"/>
      <c r="FLQ7" s="406"/>
      <c r="FLR7" s="406"/>
      <c r="FLS7" s="406"/>
      <c r="FLT7" s="406"/>
      <c r="FLU7" s="406"/>
      <c r="FLV7" s="406"/>
      <c r="FLW7" s="406"/>
      <c r="FLX7" s="406"/>
      <c r="FLY7" s="406"/>
      <c r="FLZ7" s="406"/>
      <c r="FMA7" s="406"/>
      <c r="FMB7" s="406"/>
      <c r="FMC7" s="406"/>
      <c r="FMD7" s="406"/>
      <c r="FME7" s="406"/>
      <c r="FMF7" s="406"/>
      <c r="FMG7" s="406"/>
      <c r="FMH7" s="406"/>
      <c r="FMI7" s="406"/>
      <c r="FMJ7" s="406"/>
      <c r="FMK7" s="406"/>
      <c r="FML7" s="406"/>
      <c r="FMM7" s="406"/>
      <c r="FMN7" s="406"/>
      <c r="FMO7" s="406"/>
      <c r="FMP7" s="406"/>
      <c r="FMQ7" s="406"/>
      <c r="FMR7" s="406"/>
      <c r="FMS7" s="406"/>
      <c r="FMT7" s="406"/>
      <c r="FMU7" s="406"/>
      <c r="FMV7" s="406"/>
      <c r="FMW7" s="406"/>
      <c r="FMX7" s="406"/>
      <c r="FMY7" s="406"/>
      <c r="FMZ7" s="406"/>
      <c r="FNA7" s="406"/>
      <c r="FNB7" s="406"/>
      <c r="FNC7" s="406"/>
      <c r="FND7" s="406"/>
      <c r="FNE7" s="406"/>
      <c r="FNF7" s="406"/>
      <c r="FNG7" s="406"/>
      <c r="FNH7" s="406"/>
      <c r="FNI7" s="406"/>
      <c r="FNJ7" s="406"/>
      <c r="FNK7" s="406"/>
      <c r="FNL7" s="406"/>
      <c r="FNM7" s="406"/>
      <c r="FNN7" s="406"/>
      <c r="FNO7" s="406"/>
      <c r="FNP7" s="406"/>
      <c r="FNQ7" s="406"/>
      <c r="FNR7" s="406"/>
      <c r="FNS7" s="406"/>
      <c r="FNT7" s="406"/>
      <c r="FNU7" s="406"/>
      <c r="FNV7" s="406"/>
      <c r="FNW7" s="406"/>
      <c r="FNX7" s="406"/>
      <c r="FNY7" s="406"/>
      <c r="FNZ7" s="406"/>
      <c r="FOA7" s="406"/>
      <c r="FOB7" s="406"/>
      <c r="FOC7" s="406"/>
      <c r="FOD7" s="406"/>
      <c r="FOE7" s="406"/>
      <c r="FOF7" s="406"/>
      <c r="FOG7" s="406"/>
      <c r="FOH7" s="406"/>
      <c r="FOI7" s="406"/>
      <c r="FOJ7" s="406"/>
      <c r="FOK7" s="406"/>
      <c r="FOL7" s="406"/>
      <c r="FOM7" s="406"/>
      <c r="FON7" s="406"/>
      <c r="FOO7" s="406"/>
      <c r="FOP7" s="406"/>
      <c r="FOQ7" s="406"/>
      <c r="FOR7" s="406"/>
      <c r="FOS7" s="406"/>
      <c r="FOT7" s="406"/>
      <c r="FOU7" s="406"/>
      <c r="FOV7" s="406"/>
      <c r="FOW7" s="406"/>
      <c r="FOX7" s="406"/>
      <c r="FOY7" s="406"/>
      <c r="FOZ7" s="406"/>
      <c r="FPA7" s="406"/>
      <c r="FPB7" s="406"/>
      <c r="FPC7" s="406"/>
      <c r="FPD7" s="406"/>
      <c r="FPE7" s="406"/>
      <c r="FPF7" s="406"/>
      <c r="FPG7" s="406"/>
      <c r="FPH7" s="406"/>
      <c r="FPI7" s="406"/>
      <c r="FPJ7" s="406"/>
      <c r="FPK7" s="406"/>
      <c r="FPL7" s="406"/>
      <c r="FPM7" s="406"/>
      <c r="FPN7" s="406"/>
      <c r="FPO7" s="406"/>
      <c r="FPP7" s="406"/>
      <c r="FPQ7" s="406"/>
      <c r="FPR7" s="406"/>
      <c r="FPS7" s="406"/>
      <c r="FPT7" s="406"/>
      <c r="FPU7" s="406"/>
      <c r="FPV7" s="406"/>
      <c r="FPW7" s="406"/>
      <c r="FPX7" s="406"/>
      <c r="FPY7" s="406"/>
      <c r="FPZ7" s="406"/>
      <c r="FQA7" s="406"/>
      <c r="FQB7" s="406"/>
      <c r="FQC7" s="406"/>
      <c r="FQD7" s="406"/>
      <c r="FQE7" s="406"/>
      <c r="FQF7" s="406"/>
      <c r="FQG7" s="406"/>
      <c r="FQH7" s="406"/>
      <c r="FQI7" s="406"/>
      <c r="FQJ7" s="406"/>
      <c r="FQK7" s="406"/>
      <c r="FQL7" s="406"/>
      <c r="FQM7" s="406"/>
      <c r="FQN7" s="406"/>
      <c r="FQO7" s="406"/>
      <c r="FQP7" s="406"/>
      <c r="FQQ7" s="406"/>
      <c r="FQR7" s="406"/>
      <c r="FQS7" s="406"/>
      <c r="FQT7" s="406"/>
      <c r="FQU7" s="406"/>
      <c r="FQV7" s="406"/>
      <c r="FQW7" s="406"/>
      <c r="FQX7" s="406"/>
      <c r="FQY7" s="406"/>
      <c r="FQZ7" s="406"/>
      <c r="FRA7" s="406"/>
      <c r="FRB7" s="406"/>
      <c r="FRC7" s="406"/>
      <c r="FRD7" s="406"/>
      <c r="FRE7" s="406"/>
      <c r="FRF7" s="406"/>
      <c r="FRG7" s="406"/>
      <c r="FRH7" s="406"/>
      <c r="FRI7" s="406"/>
      <c r="FRJ7" s="406"/>
      <c r="FRK7" s="406"/>
      <c r="FRL7" s="406"/>
      <c r="FRM7" s="406"/>
      <c r="FRN7" s="406"/>
      <c r="FRO7" s="406"/>
      <c r="FRP7" s="406"/>
      <c r="FRQ7" s="406"/>
      <c r="FRR7" s="406"/>
      <c r="FRS7" s="406"/>
      <c r="FRT7" s="406"/>
      <c r="FRU7" s="406"/>
      <c r="FRV7" s="406"/>
      <c r="FRW7" s="406"/>
      <c r="FRX7" s="406"/>
      <c r="FRY7" s="406"/>
      <c r="FRZ7" s="406"/>
      <c r="FSA7" s="406"/>
      <c r="FSB7" s="406"/>
      <c r="FSC7" s="406"/>
      <c r="FSD7" s="406"/>
      <c r="FSE7" s="406"/>
      <c r="FSF7" s="406"/>
      <c r="FSG7" s="406"/>
      <c r="FSH7" s="406"/>
      <c r="FSI7" s="406"/>
      <c r="FSJ7" s="406"/>
      <c r="FSK7" s="406"/>
      <c r="FSL7" s="406"/>
      <c r="FSM7" s="406"/>
      <c r="FSN7" s="406"/>
      <c r="FSO7" s="406"/>
      <c r="FSP7" s="406"/>
      <c r="FSQ7" s="406"/>
      <c r="FSR7" s="406"/>
      <c r="FSS7" s="406"/>
      <c r="FST7" s="406"/>
      <c r="FSU7" s="406"/>
      <c r="FSV7" s="406"/>
      <c r="FSW7" s="406"/>
      <c r="FSX7" s="406"/>
      <c r="FSY7" s="406"/>
      <c r="FSZ7" s="406"/>
      <c r="FTA7" s="406"/>
      <c r="FTB7" s="406"/>
      <c r="FTC7" s="406"/>
      <c r="FTD7" s="406"/>
      <c r="FTE7" s="406"/>
      <c r="FTF7" s="406"/>
      <c r="FTG7" s="406"/>
      <c r="FTH7" s="406"/>
      <c r="FTI7" s="406"/>
      <c r="FTJ7" s="406"/>
      <c r="FTK7" s="406"/>
      <c r="FTL7" s="406"/>
      <c r="FTM7" s="406"/>
      <c r="FTN7" s="406"/>
      <c r="FTO7" s="406"/>
      <c r="FTP7" s="406"/>
      <c r="FTQ7" s="406"/>
      <c r="FTR7" s="406"/>
      <c r="FTS7" s="406"/>
      <c r="FTT7" s="406"/>
      <c r="FTU7" s="406"/>
      <c r="FTV7" s="406"/>
      <c r="FTW7" s="406"/>
      <c r="FTX7" s="406"/>
      <c r="FTY7" s="406"/>
      <c r="FTZ7" s="406"/>
      <c r="FUA7" s="406"/>
      <c r="FUB7" s="406"/>
      <c r="FUC7" s="406"/>
      <c r="FUD7" s="406"/>
      <c r="FUE7" s="406"/>
      <c r="FUF7" s="406"/>
      <c r="FUG7" s="406"/>
      <c r="FUH7" s="406"/>
      <c r="FUI7" s="406"/>
      <c r="FUJ7" s="406"/>
      <c r="FUK7" s="406"/>
      <c r="FUL7" s="406"/>
      <c r="FUM7" s="406"/>
      <c r="FUN7" s="406"/>
      <c r="FUO7" s="406"/>
      <c r="FUP7" s="406"/>
      <c r="FUQ7" s="406"/>
      <c r="FUR7" s="406"/>
      <c r="FUS7" s="406"/>
      <c r="FUT7" s="406"/>
      <c r="FUU7" s="406"/>
      <c r="FUV7" s="406"/>
      <c r="FUW7" s="406"/>
      <c r="FUX7" s="406"/>
      <c r="FUY7" s="406"/>
      <c r="FUZ7" s="406"/>
      <c r="FVA7" s="406"/>
      <c r="FVB7" s="406"/>
      <c r="FVC7" s="406"/>
      <c r="FVD7" s="406"/>
      <c r="FVE7" s="406"/>
      <c r="FVF7" s="406"/>
      <c r="FVG7" s="406"/>
      <c r="FVH7" s="406"/>
      <c r="FVI7" s="406"/>
      <c r="FVJ7" s="406"/>
      <c r="FVK7" s="406"/>
      <c r="FVL7" s="406"/>
      <c r="FVM7" s="406"/>
      <c r="FVN7" s="406"/>
      <c r="FVO7" s="406"/>
      <c r="FVP7" s="406"/>
      <c r="FVQ7" s="406"/>
      <c r="FVR7" s="406"/>
      <c r="FVS7" s="406"/>
      <c r="FVT7" s="406"/>
      <c r="FVU7" s="406"/>
      <c r="FVV7" s="406"/>
      <c r="FVW7" s="406"/>
      <c r="FVX7" s="406"/>
      <c r="FVY7" s="406"/>
      <c r="FVZ7" s="406"/>
      <c r="FWA7" s="406"/>
      <c r="FWB7" s="406"/>
      <c r="FWC7" s="406"/>
      <c r="FWD7" s="406"/>
      <c r="FWE7" s="406"/>
      <c r="FWF7" s="406"/>
      <c r="FWG7" s="406"/>
      <c r="FWH7" s="406"/>
      <c r="FWI7" s="406"/>
      <c r="FWJ7" s="406"/>
      <c r="FWK7" s="406"/>
      <c r="FWL7" s="406"/>
      <c r="FWM7" s="406"/>
      <c r="FWN7" s="406"/>
      <c r="FWO7" s="406"/>
      <c r="FWP7" s="406"/>
      <c r="FWQ7" s="406"/>
      <c r="FWR7" s="406"/>
      <c r="FWS7" s="406"/>
      <c r="FWT7" s="406"/>
      <c r="FWU7" s="406"/>
      <c r="FWV7" s="406"/>
      <c r="FWW7" s="406"/>
      <c r="FWX7" s="406"/>
      <c r="FWY7" s="406"/>
      <c r="FWZ7" s="406"/>
      <c r="FXA7" s="406"/>
      <c r="FXB7" s="406"/>
      <c r="FXC7" s="406"/>
      <c r="FXD7" s="406"/>
      <c r="FXE7" s="406"/>
      <c r="FXF7" s="406"/>
      <c r="FXG7" s="406"/>
      <c r="FXH7" s="406"/>
      <c r="FXI7" s="406"/>
      <c r="FXJ7" s="406"/>
      <c r="FXK7" s="406"/>
      <c r="FXL7" s="406"/>
      <c r="FXM7" s="406"/>
      <c r="FXN7" s="406"/>
      <c r="FXO7" s="406"/>
      <c r="FXP7" s="406"/>
      <c r="FXQ7" s="406"/>
      <c r="FXR7" s="406"/>
      <c r="FXS7" s="406"/>
      <c r="FXT7" s="406"/>
      <c r="FXU7" s="406"/>
      <c r="FXV7" s="406"/>
      <c r="FXW7" s="406"/>
      <c r="FXX7" s="406"/>
      <c r="FXY7" s="406"/>
      <c r="FXZ7" s="406"/>
      <c r="FYA7" s="406"/>
      <c r="FYB7" s="406"/>
      <c r="FYC7" s="406"/>
      <c r="FYD7" s="406"/>
      <c r="FYE7" s="406"/>
      <c r="FYF7" s="406"/>
      <c r="FYG7" s="406"/>
      <c r="FYH7" s="406"/>
      <c r="FYI7" s="406"/>
      <c r="FYJ7" s="406"/>
      <c r="FYK7" s="406"/>
      <c r="FYL7" s="406"/>
      <c r="FYM7" s="406"/>
      <c r="FYN7" s="406"/>
      <c r="FYO7" s="406"/>
      <c r="FYP7" s="406"/>
      <c r="FYQ7" s="406"/>
      <c r="FYR7" s="406"/>
      <c r="FYS7" s="406"/>
      <c r="FYT7" s="406"/>
      <c r="FYU7" s="406"/>
      <c r="FYV7" s="406"/>
      <c r="FYW7" s="406"/>
      <c r="FYX7" s="406"/>
      <c r="FYY7" s="406"/>
      <c r="FYZ7" s="406"/>
      <c r="FZA7" s="406"/>
      <c r="FZB7" s="406"/>
      <c r="FZC7" s="406"/>
      <c r="FZD7" s="406"/>
      <c r="FZE7" s="406"/>
      <c r="FZF7" s="406"/>
      <c r="FZG7" s="406"/>
      <c r="FZH7" s="406"/>
      <c r="FZI7" s="406"/>
      <c r="FZJ7" s="406"/>
      <c r="FZK7" s="406"/>
      <c r="FZL7" s="406"/>
      <c r="FZM7" s="406"/>
      <c r="FZN7" s="406"/>
      <c r="FZO7" s="406"/>
      <c r="FZP7" s="406"/>
      <c r="FZQ7" s="406"/>
      <c r="FZR7" s="406"/>
      <c r="FZS7" s="406"/>
      <c r="FZT7" s="406"/>
      <c r="FZU7" s="406"/>
      <c r="FZV7" s="406"/>
      <c r="FZW7" s="406"/>
      <c r="FZX7" s="406"/>
      <c r="FZY7" s="406"/>
      <c r="FZZ7" s="406"/>
      <c r="GAA7" s="406"/>
      <c r="GAB7" s="406"/>
      <c r="GAC7" s="406"/>
      <c r="GAD7" s="406"/>
      <c r="GAE7" s="406"/>
      <c r="GAF7" s="406"/>
      <c r="GAG7" s="406"/>
      <c r="GAH7" s="406"/>
      <c r="GAI7" s="406"/>
      <c r="GAJ7" s="406"/>
      <c r="GAK7" s="406"/>
      <c r="GAL7" s="406"/>
      <c r="GAM7" s="406"/>
      <c r="GAN7" s="406"/>
      <c r="GAO7" s="406"/>
      <c r="GAP7" s="406"/>
      <c r="GAQ7" s="406"/>
      <c r="GAR7" s="406"/>
      <c r="GAS7" s="406"/>
      <c r="GAT7" s="406"/>
      <c r="GAU7" s="406"/>
      <c r="GAV7" s="406"/>
      <c r="GAW7" s="406"/>
      <c r="GAX7" s="406"/>
      <c r="GAY7" s="406"/>
      <c r="GAZ7" s="406"/>
      <c r="GBA7" s="406"/>
      <c r="GBB7" s="406"/>
      <c r="GBC7" s="406"/>
      <c r="GBD7" s="406"/>
      <c r="GBE7" s="406"/>
      <c r="GBF7" s="406"/>
      <c r="GBG7" s="406"/>
      <c r="GBH7" s="406"/>
      <c r="GBI7" s="406"/>
      <c r="GBJ7" s="406"/>
      <c r="GBK7" s="406"/>
      <c r="GBL7" s="406"/>
      <c r="GBM7" s="406"/>
      <c r="GBN7" s="406"/>
      <c r="GBO7" s="406"/>
      <c r="GBP7" s="406"/>
      <c r="GBQ7" s="406"/>
      <c r="GBR7" s="406"/>
      <c r="GBS7" s="406"/>
      <c r="GBT7" s="406"/>
      <c r="GBU7" s="406"/>
      <c r="GBV7" s="406"/>
      <c r="GBW7" s="406"/>
      <c r="GBX7" s="406"/>
      <c r="GBY7" s="406"/>
      <c r="GBZ7" s="406"/>
      <c r="GCA7" s="406"/>
      <c r="GCB7" s="406"/>
      <c r="GCC7" s="406"/>
      <c r="GCD7" s="406"/>
      <c r="GCE7" s="406"/>
      <c r="GCF7" s="406"/>
      <c r="GCG7" s="406"/>
      <c r="GCH7" s="406"/>
      <c r="GCI7" s="406"/>
      <c r="GCJ7" s="406"/>
      <c r="GCK7" s="406"/>
      <c r="GCL7" s="406"/>
      <c r="GCM7" s="406"/>
      <c r="GCN7" s="406"/>
      <c r="GCO7" s="406"/>
      <c r="GCP7" s="406"/>
      <c r="GCQ7" s="406"/>
      <c r="GCR7" s="406"/>
      <c r="GCS7" s="406"/>
      <c r="GCT7" s="406"/>
      <c r="GCU7" s="406"/>
      <c r="GCV7" s="406"/>
      <c r="GCW7" s="406"/>
      <c r="GCX7" s="406"/>
      <c r="GCY7" s="406"/>
      <c r="GCZ7" s="406"/>
      <c r="GDA7" s="406"/>
      <c r="GDB7" s="406"/>
      <c r="GDC7" s="406"/>
      <c r="GDD7" s="406"/>
      <c r="GDE7" s="406"/>
      <c r="GDF7" s="406"/>
      <c r="GDG7" s="406"/>
      <c r="GDH7" s="406"/>
      <c r="GDI7" s="406"/>
      <c r="GDJ7" s="406"/>
      <c r="GDK7" s="406"/>
      <c r="GDL7" s="406"/>
      <c r="GDM7" s="406"/>
      <c r="GDN7" s="406"/>
      <c r="GDO7" s="406"/>
      <c r="GDP7" s="406"/>
      <c r="GDQ7" s="406"/>
      <c r="GDR7" s="406"/>
      <c r="GDS7" s="406"/>
      <c r="GDT7" s="406"/>
      <c r="GDU7" s="406"/>
      <c r="GDV7" s="406"/>
      <c r="GDW7" s="406"/>
      <c r="GDX7" s="406"/>
      <c r="GDY7" s="406"/>
      <c r="GDZ7" s="406"/>
      <c r="GEA7" s="406"/>
      <c r="GEB7" s="406"/>
      <c r="GEC7" s="406"/>
      <c r="GED7" s="406"/>
      <c r="GEE7" s="406"/>
      <c r="GEF7" s="406"/>
      <c r="GEG7" s="406"/>
      <c r="GEH7" s="406"/>
      <c r="GEI7" s="406"/>
      <c r="GEJ7" s="406"/>
      <c r="GEK7" s="406"/>
      <c r="GEL7" s="406"/>
      <c r="GEM7" s="406"/>
      <c r="GEN7" s="406"/>
      <c r="GEO7" s="406"/>
      <c r="GEP7" s="406"/>
      <c r="GEQ7" s="406"/>
      <c r="GER7" s="406"/>
      <c r="GES7" s="406"/>
      <c r="GET7" s="406"/>
      <c r="GEU7" s="406"/>
      <c r="GEV7" s="406"/>
      <c r="GEW7" s="406"/>
      <c r="GEX7" s="406"/>
      <c r="GEY7" s="406"/>
      <c r="GEZ7" s="406"/>
      <c r="GFA7" s="406"/>
      <c r="GFB7" s="406"/>
      <c r="GFC7" s="406"/>
      <c r="GFD7" s="406"/>
      <c r="GFE7" s="406"/>
      <c r="GFF7" s="406"/>
      <c r="GFG7" s="406"/>
      <c r="GFH7" s="406"/>
      <c r="GFI7" s="406"/>
      <c r="GFJ7" s="406"/>
      <c r="GFK7" s="406"/>
      <c r="GFL7" s="406"/>
      <c r="GFM7" s="406"/>
      <c r="GFN7" s="406"/>
      <c r="GFO7" s="406"/>
      <c r="GFP7" s="406"/>
      <c r="GFQ7" s="406"/>
      <c r="GFR7" s="406"/>
      <c r="GFS7" s="406"/>
      <c r="GFT7" s="406"/>
      <c r="GFU7" s="406"/>
      <c r="GFV7" s="406"/>
      <c r="GFW7" s="406"/>
      <c r="GFX7" s="406"/>
      <c r="GFY7" s="406"/>
      <c r="GFZ7" s="406"/>
      <c r="GGA7" s="406"/>
      <c r="GGB7" s="406"/>
      <c r="GGC7" s="406"/>
      <c r="GGD7" s="406"/>
      <c r="GGE7" s="406"/>
      <c r="GGF7" s="406"/>
      <c r="GGG7" s="406"/>
      <c r="GGH7" s="406"/>
      <c r="GGI7" s="406"/>
      <c r="GGJ7" s="406"/>
      <c r="GGK7" s="406"/>
      <c r="GGL7" s="406"/>
      <c r="GGM7" s="406"/>
      <c r="GGN7" s="406"/>
      <c r="GGO7" s="406"/>
      <c r="GGP7" s="406"/>
      <c r="GGQ7" s="406"/>
      <c r="GGR7" s="406"/>
      <c r="GGS7" s="406"/>
      <c r="GGT7" s="406"/>
      <c r="GGU7" s="406"/>
      <c r="GGV7" s="406"/>
      <c r="GGW7" s="406"/>
      <c r="GGX7" s="406"/>
      <c r="GGY7" s="406"/>
      <c r="GGZ7" s="406"/>
      <c r="GHA7" s="406"/>
      <c r="GHB7" s="406"/>
      <c r="GHC7" s="406"/>
      <c r="GHD7" s="406"/>
      <c r="GHE7" s="406"/>
      <c r="GHF7" s="406"/>
      <c r="GHG7" s="406"/>
      <c r="GHH7" s="406"/>
      <c r="GHI7" s="406"/>
      <c r="GHJ7" s="406"/>
      <c r="GHK7" s="406"/>
      <c r="GHL7" s="406"/>
      <c r="GHM7" s="406"/>
      <c r="GHN7" s="406"/>
      <c r="GHO7" s="406"/>
      <c r="GHP7" s="406"/>
      <c r="GHQ7" s="406"/>
      <c r="GHR7" s="406"/>
      <c r="GHS7" s="406"/>
      <c r="GHT7" s="406"/>
      <c r="GHU7" s="406"/>
      <c r="GHV7" s="406"/>
      <c r="GHW7" s="406"/>
      <c r="GHX7" s="406"/>
      <c r="GHY7" s="406"/>
      <c r="GHZ7" s="406"/>
      <c r="GIA7" s="406"/>
      <c r="GIB7" s="406"/>
      <c r="GIC7" s="406"/>
      <c r="GID7" s="406"/>
      <c r="GIE7" s="406"/>
      <c r="GIF7" s="406"/>
      <c r="GIG7" s="406"/>
      <c r="GIH7" s="406"/>
      <c r="GII7" s="406"/>
      <c r="GIJ7" s="406"/>
      <c r="GIK7" s="406"/>
      <c r="GIL7" s="406"/>
      <c r="GIM7" s="406"/>
      <c r="GIN7" s="406"/>
      <c r="GIO7" s="406"/>
      <c r="GIP7" s="406"/>
      <c r="GIQ7" s="406"/>
      <c r="GIR7" s="406"/>
      <c r="GIS7" s="406"/>
      <c r="GIT7" s="406"/>
      <c r="GIU7" s="406"/>
      <c r="GIV7" s="406"/>
      <c r="GIW7" s="406"/>
      <c r="GIX7" s="406"/>
      <c r="GIY7" s="406"/>
      <c r="GIZ7" s="406"/>
      <c r="GJA7" s="406"/>
      <c r="GJB7" s="406"/>
      <c r="GJC7" s="406"/>
      <c r="GJD7" s="406"/>
      <c r="GJE7" s="406"/>
      <c r="GJF7" s="406"/>
      <c r="GJG7" s="406"/>
      <c r="GJH7" s="406"/>
      <c r="GJI7" s="406"/>
      <c r="GJJ7" s="406"/>
      <c r="GJK7" s="406"/>
      <c r="GJL7" s="406"/>
      <c r="GJM7" s="406"/>
      <c r="GJN7" s="406"/>
      <c r="GJO7" s="406"/>
      <c r="GJP7" s="406"/>
      <c r="GJQ7" s="406"/>
      <c r="GJR7" s="406"/>
      <c r="GJS7" s="406"/>
      <c r="GJT7" s="406"/>
      <c r="GJU7" s="406"/>
      <c r="GJV7" s="406"/>
      <c r="GJW7" s="406"/>
      <c r="GJX7" s="406"/>
      <c r="GJY7" s="406"/>
      <c r="GJZ7" s="406"/>
      <c r="GKA7" s="406"/>
      <c r="GKB7" s="406"/>
      <c r="GKC7" s="406"/>
      <c r="GKD7" s="406"/>
      <c r="GKE7" s="406"/>
      <c r="GKF7" s="406"/>
      <c r="GKG7" s="406"/>
      <c r="GKH7" s="406"/>
      <c r="GKI7" s="406"/>
      <c r="GKJ7" s="406"/>
      <c r="GKK7" s="406"/>
      <c r="GKL7" s="406"/>
      <c r="GKM7" s="406"/>
      <c r="GKN7" s="406"/>
      <c r="GKO7" s="406"/>
      <c r="GKP7" s="406"/>
      <c r="GKQ7" s="406"/>
      <c r="GKR7" s="406"/>
      <c r="GKS7" s="406"/>
      <c r="GKT7" s="406"/>
      <c r="GKU7" s="406"/>
      <c r="GKV7" s="406"/>
      <c r="GKW7" s="406"/>
      <c r="GKX7" s="406"/>
      <c r="GKY7" s="406"/>
      <c r="GKZ7" s="406"/>
      <c r="GLA7" s="406"/>
      <c r="GLB7" s="406"/>
      <c r="GLC7" s="406"/>
      <c r="GLD7" s="406"/>
      <c r="GLE7" s="406"/>
      <c r="GLF7" s="406"/>
      <c r="GLG7" s="406"/>
      <c r="GLH7" s="406"/>
      <c r="GLI7" s="406"/>
      <c r="GLJ7" s="406"/>
      <c r="GLK7" s="406"/>
      <c r="GLL7" s="406"/>
      <c r="GLM7" s="406"/>
      <c r="GLN7" s="406"/>
      <c r="GLO7" s="406"/>
      <c r="GLP7" s="406"/>
      <c r="GLQ7" s="406"/>
      <c r="GLR7" s="406"/>
      <c r="GLS7" s="406"/>
      <c r="GLT7" s="406"/>
      <c r="GLU7" s="406"/>
      <c r="GLV7" s="406"/>
      <c r="GLW7" s="406"/>
      <c r="GLX7" s="406"/>
      <c r="GLY7" s="406"/>
      <c r="GLZ7" s="406"/>
      <c r="GMA7" s="406"/>
      <c r="GMB7" s="406"/>
      <c r="GMC7" s="406"/>
      <c r="GMD7" s="406"/>
      <c r="GME7" s="406"/>
      <c r="GMF7" s="406"/>
      <c r="GMG7" s="406"/>
      <c r="GMH7" s="406"/>
      <c r="GMI7" s="406"/>
      <c r="GMJ7" s="406"/>
      <c r="GMK7" s="406"/>
      <c r="GML7" s="406"/>
      <c r="GMM7" s="406"/>
      <c r="GMN7" s="406"/>
      <c r="GMO7" s="406"/>
      <c r="GMP7" s="406"/>
      <c r="GMQ7" s="406"/>
      <c r="GMR7" s="406"/>
      <c r="GMS7" s="406"/>
      <c r="GMT7" s="406"/>
      <c r="GMU7" s="406"/>
      <c r="GMV7" s="406"/>
      <c r="GMW7" s="406"/>
      <c r="GMX7" s="406"/>
      <c r="GMY7" s="406"/>
      <c r="GMZ7" s="406"/>
      <c r="GNA7" s="406"/>
      <c r="GNB7" s="406"/>
      <c r="GNC7" s="406"/>
      <c r="GND7" s="406"/>
      <c r="GNE7" s="406"/>
      <c r="GNF7" s="406"/>
      <c r="GNG7" s="406"/>
      <c r="GNH7" s="406"/>
      <c r="GNI7" s="406"/>
      <c r="GNJ7" s="406"/>
      <c r="GNK7" s="406"/>
      <c r="GNL7" s="406"/>
      <c r="GNM7" s="406"/>
      <c r="GNN7" s="406"/>
      <c r="GNO7" s="406"/>
      <c r="GNP7" s="406"/>
      <c r="GNQ7" s="406"/>
      <c r="GNR7" s="406"/>
      <c r="GNS7" s="406"/>
      <c r="GNT7" s="406"/>
      <c r="GNU7" s="406"/>
      <c r="GNV7" s="406"/>
      <c r="GNW7" s="406"/>
      <c r="GNX7" s="406"/>
      <c r="GNY7" s="406"/>
      <c r="GNZ7" s="406"/>
      <c r="GOA7" s="406"/>
      <c r="GOB7" s="406"/>
      <c r="GOC7" s="406"/>
      <c r="GOD7" s="406"/>
      <c r="GOE7" s="406"/>
      <c r="GOF7" s="406"/>
      <c r="GOG7" s="406"/>
      <c r="GOH7" s="406"/>
      <c r="GOI7" s="406"/>
      <c r="GOJ7" s="406"/>
      <c r="GOK7" s="406"/>
      <c r="GOL7" s="406"/>
      <c r="GOM7" s="406"/>
      <c r="GON7" s="406"/>
      <c r="GOO7" s="406"/>
      <c r="GOP7" s="406"/>
      <c r="GOQ7" s="406"/>
      <c r="GOR7" s="406"/>
      <c r="GOS7" s="406"/>
      <c r="GOT7" s="406"/>
      <c r="GOU7" s="406"/>
      <c r="GOV7" s="406"/>
      <c r="GOW7" s="406"/>
      <c r="GOX7" s="406"/>
      <c r="GOY7" s="406"/>
      <c r="GOZ7" s="406"/>
      <c r="GPA7" s="406"/>
      <c r="GPB7" s="406"/>
      <c r="GPC7" s="406"/>
      <c r="GPD7" s="406"/>
      <c r="GPE7" s="406"/>
      <c r="GPF7" s="406"/>
      <c r="GPG7" s="406"/>
      <c r="GPH7" s="406"/>
      <c r="GPI7" s="406"/>
      <c r="GPJ7" s="406"/>
      <c r="GPK7" s="406"/>
      <c r="GPL7" s="406"/>
      <c r="GPM7" s="406"/>
      <c r="GPN7" s="406"/>
      <c r="GPO7" s="406"/>
      <c r="GPP7" s="406"/>
      <c r="GPQ7" s="406"/>
      <c r="GPR7" s="406"/>
      <c r="GPS7" s="406"/>
      <c r="GPT7" s="406"/>
      <c r="GPU7" s="406"/>
      <c r="GPV7" s="406"/>
      <c r="GPW7" s="406"/>
      <c r="GPX7" s="406"/>
      <c r="GPY7" s="406"/>
      <c r="GPZ7" s="406"/>
      <c r="GQA7" s="406"/>
      <c r="GQB7" s="406"/>
      <c r="GQC7" s="406"/>
      <c r="GQD7" s="406"/>
      <c r="GQE7" s="406"/>
      <c r="GQF7" s="406"/>
      <c r="GQG7" s="406"/>
      <c r="GQH7" s="406"/>
      <c r="GQI7" s="406"/>
      <c r="GQJ7" s="406"/>
      <c r="GQK7" s="406"/>
      <c r="GQL7" s="406"/>
      <c r="GQM7" s="406"/>
      <c r="GQN7" s="406"/>
      <c r="GQO7" s="406"/>
      <c r="GQP7" s="406"/>
      <c r="GQQ7" s="406"/>
      <c r="GQR7" s="406"/>
      <c r="GQS7" s="406"/>
      <c r="GQT7" s="406"/>
      <c r="GQU7" s="406"/>
      <c r="GQV7" s="406"/>
      <c r="GQW7" s="406"/>
      <c r="GQX7" s="406"/>
      <c r="GQY7" s="406"/>
      <c r="GQZ7" s="406"/>
      <c r="GRA7" s="406"/>
      <c r="GRB7" s="406"/>
      <c r="GRC7" s="406"/>
      <c r="GRD7" s="406"/>
      <c r="GRE7" s="406"/>
      <c r="GRF7" s="406"/>
      <c r="GRG7" s="406"/>
      <c r="GRH7" s="406"/>
      <c r="GRI7" s="406"/>
      <c r="GRJ7" s="406"/>
      <c r="GRK7" s="406"/>
      <c r="GRL7" s="406"/>
      <c r="GRM7" s="406"/>
      <c r="GRN7" s="406"/>
      <c r="GRO7" s="406"/>
      <c r="GRP7" s="406"/>
      <c r="GRQ7" s="406"/>
      <c r="GRR7" s="406"/>
      <c r="GRS7" s="406"/>
      <c r="GRT7" s="406"/>
      <c r="GRU7" s="406"/>
      <c r="GRV7" s="406"/>
      <c r="GRW7" s="406"/>
      <c r="GRX7" s="406"/>
      <c r="GRY7" s="406"/>
      <c r="GRZ7" s="406"/>
      <c r="GSA7" s="406"/>
      <c r="GSB7" s="406"/>
      <c r="GSC7" s="406"/>
      <c r="GSD7" s="406"/>
      <c r="GSE7" s="406"/>
      <c r="GSF7" s="406"/>
      <c r="GSG7" s="406"/>
      <c r="GSH7" s="406"/>
      <c r="GSI7" s="406"/>
      <c r="GSJ7" s="406"/>
      <c r="GSK7" s="406"/>
      <c r="GSL7" s="406"/>
      <c r="GSM7" s="406"/>
      <c r="GSN7" s="406"/>
      <c r="GSO7" s="406"/>
      <c r="GSP7" s="406"/>
      <c r="GSQ7" s="406"/>
      <c r="GSR7" s="406"/>
      <c r="GSS7" s="406"/>
      <c r="GST7" s="406"/>
      <c r="GSU7" s="406"/>
      <c r="GSV7" s="406"/>
      <c r="GSW7" s="406"/>
      <c r="GSX7" s="406"/>
      <c r="GSY7" s="406"/>
      <c r="GSZ7" s="406"/>
      <c r="GTA7" s="406"/>
      <c r="GTB7" s="406"/>
      <c r="GTC7" s="406"/>
      <c r="GTD7" s="406"/>
      <c r="GTE7" s="406"/>
      <c r="GTF7" s="406"/>
      <c r="GTG7" s="406"/>
      <c r="GTH7" s="406"/>
      <c r="GTI7" s="406"/>
      <c r="GTJ7" s="406"/>
      <c r="GTK7" s="406"/>
      <c r="GTL7" s="406"/>
      <c r="GTM7" s="406"/>
      <c r="GTN7" s="406"/>
      <c r="GTO7" s="406"/>
      <c r="GTP7" s="406"/>
      <c r="GTQ7" s="406"/>
      <c r="GTR7" s="406"/>
      <c r="GTS7" s="406"/>
      <c r="GTT7" s="406"/>
      <c r="GTU7" s="406"/>
      <c r="GTV7" s="406"/>
      <c r="GTW7" s="406"/>
      <c r="GTX7" s="406"/>
      <c r="GTY7" s="406"/>
      <c r="GTZ7" s="406"/>
      <c r="GUA7" s="406"/>
      <c r="GUB7" s="406"/>
      <c r="GUC7" s="406"/>
      <c r="GUD7" s="406"/>
      <c r="GUE7" s="406"/>
      <c r="GUF7" s="406"/>
      <c r="GUG7" s="406"/>
      <c r="GUH7" s="406"/>
      <c r="GUI7" s="406"/>
      <c r="GUJ7" s="406"/>
      <c r="GUK7" s="406"/>
      <c r="GUL7" s="406"/>
      <c r="GUM7" s="406"/>
      <c r="GUN7" s="406"/>
      <c r="GUO7" s="406"/>
      <c r="GUP7" s="406"/>
      <c r="GUQ7" s="406"/>
      <c r="GUR7" s="406"/>
      <c r="GUS7" s="406"/>
      <c r="GUT7" s="406"/>
      <c r="GUU7" s="406"/>
      <c r="GUV7" s="406"/>
      <c r="GUW7" s="406"/>
      <c r="GUX7" s="406"/>
      <c r="GUY7" s="406"/>
      <c r="GUZ7" s="406"/>
      <c r="GVA7" s="406"/>
      <c r="GVB7" s="406"/>
      <c r="GVC7" s="406"/>
      <c r="GVD7" s="406"/>
      <c r="GVE7" s="406"/>
      <c r="GVF7" s="406"/>
      <c r="GVG7" s="406"/>
      <c r="GVH7" s="406"/>
      <c r="GVI7" s="406"/>
      <c r="GVJ7" s="406"/>
      <c r="GVK7" s="406"/>
      <c r="GVL7" s="406"/>
      <c r="GVM7" s="406"/>
      <c r="GVN7" s="406"/>
      <c r="GVO7" s="406"/>
      <c r="GVP7" s="406"/>
      <c r="GVQ7" s="406"/>
      <c r="GVR7" s="406"/>
      <c r="GVS7" s="406"/>
      <c r="GVT7" s="406"/>
      <c r="GVU7" s="406"/>
      <c r="GVV7" s="406"/>
      <c r="GVW7" s="406"/>
      <c r="GVX7" s="406"/>
      <c r="GVY7" s="406"/>
      <c r="GVZ7" s="406"/>
      <c r="GWA7" s="406"/>
      <c r="GWB7" s="406"/>
      <c r="GWC7" s="406"/>
      <c r="GWD7" s="406"/>
      <c r="GWE7" s="406"/>
      <c r="GWF7" s="406"/>
      <c r="GWG7" s="406"/>
      <c r="GWH7" s="406"/>
      <c r="GWI7" s="406"/>
      <c r="GWJ7" s="406"/>
      <c r="GWK7" s="406"/>
      <c r="GWL7" s="406"/>
      <c r="GWM7" s="406"/>
      <c r="GWN7" s="406"/>
      <c r="GWO7" s="406"/>
      <c r="GWP7" s="406"/>
      <c r="GWQ7" s="406"/>
      <c r="GWR7" s="406"/>
      <c r="GWS7" s="406"/>
      <c r="GWT7" s="406"/>
      <c r="GWU7" s="406"/>
      <c r="GWV7" s="406"/>
      <c r="GWW7" s="406"/>
      <c r="GWX7" s="406"/>
      <c r="GWY7" s="406"/>
      <c r="GWZ7" s="406"/>
      <c r="GXA7" s="406"/>
      <c r="GXB7" s="406"/>
      <c r="GXC7" s="406"/>
      <c r="GXD7" s="406"/>
      <c r="GXE7" s="406"/>
      <c r="GXF7" s="406"/>
      <c r="GXG7" s="406"/>
      <c r="GXH7" s="406"/>
      <c r="GXI7" s="406"/>
      <c r="GXJ7" s="406"/>
      <c r="GXK7" s="406"/>
      <c r="GXL7" s="406"/>
      <c r="GXM7" s="406"/>
      <c r="GXN7" s="406"/>
      <c r="GXO7" s="406"/>
      <c r="GXP7" s="406"/>
      <c r="GXQ7" s="406"/>
      <c r="GXR7" s="406"/>
      <c r="GXS7" s="406"/>
      <c r="GXT7" s="406"/>
      <c r="GXU7" s="406"/>
      <c r="GXV7" s="406"/>
      <c r="GXW7" s="406"/>
      <c r="GXX7" s="406"/>
      <c r="GXY7" s="406"/>
      <c r="GXZ7" s="406"/>
      <c r="GYA7" s="406"/>
      <c r="GYB7" s="406"/>
      <c r="GYC7" s="406"/>
      <c r="GYD7" s="406"/>
      <c r="GYE7" s="406"/>
      <c r="GYF7" s="406"/>
      <c r="GYG7" s="406"/>
      <c r="GYH7" s="406"/>
      <c r="GYI7" s="406"/>
      <c r="GYJ7" s="406"/>
      <c r="GYK7" s="406"/>
      <c r="GYL7" s="406"/>
      <c r="GYM7" s="406"/>
      <c r="GYN7" s="406"/>
      <c r="GYO7" s="406"/>
      <c r="GYP7" s="406"/>
      <c r="GYQ7" s="406"/>
      <c r="GYR7" s="406"/>
      <c r="GYS7" s="406"/>
      <c r="GYT7" s="406"/>
      <c r="GYU7" s="406"/>
      <c r="GYV7" s="406"/>
      <c r="GYW7" s="406"/>
      <c r="GYX7" s="406"/>
      <c r="GYY7" s="406"/>
      <c r="GYZ7" s="406"/>
      <c r="GZA7" s="406"/>
      <c r="GZB7" s="406"/>
      <c r="GZC7" s="406"/>
      <c r="GZD7" s="406"/>
      <c r="GZE7" s="406"/>
      <c r="GZF7" s="406"/>
      <c r="GZG7" s="406"/>
      <c r="GZH7" s="406"/>
      <c r="GZI7" s="406"/>
      <c r="GZJ7" s="406"/>
      <c r="GZK7" s="406"/>
      <c r="GZL7" s="406"/>
      <c r="GZM7" s="406"/>
      <c r="GZN7" s="406"/>
      <c r="GZO7" s="406"/>
      <c r="GZP7" s="406"/>
      <c r="GZQ7" s="406"/>
      <c r="GZR7" s="406"/>
      <c r="GZS7" s="406"/>
      <c r="GZT7" s="406"/>
      <c r="GZU7" s="406"/>
      <c r="GZV7" s="406"/>
      <c r="GZW7" s="406"/>
      <c r="GZX7" s="406"/>
      <c r="GZY7" s="406"/>
      <c r="GZZ7" s="406"/>
      <c r="HAA7" s="406"/>
      <c r="HAB7" s="406"/>
      <c r="HAC7" s="406"/>
      <c r="HAD7" s="406"/>
      <c r="HAE7" s="406"/>
      <c r="HAF7" s="406"/>
      <c r="HAG7" s="406"/>
      <c r="HAH7" s="406"/>
      <c r="HAI7" s="406"/>
      <c r="HAJ7" s="406"/>
      <c r="HAK7" s="406"/>
      <c r="HAL7" s="406"/>
      <c r="HAM7" s="406"/>
      <c r="HAN7" s="406"/>
      <c r="HAO7" s="406"/>
      <c r="HAP7" s="406"/>
      <c r="HAQ7" s="406"/>
      <c r="HAR7" s="406"/>
      <c r="HAS7" s="406"/>
      <c r="HAT7" s="406"/>
      <c r="HAU7" s="406"/>
      <c r="HAV7" s="406"/>
      <c r="HAW7" s="406"/>
      <c r="HAX7" s="406"/>
      <c r="HAY7" s="406"/>
      <c r="HAZ7" s="406"/>
      <c r="HBA7" s="406"/>
      <c r="HBB7" s="406"/>
      <c r="HBC7" s="406"/>
      <c r="HBD7" s="406"/>
      <c r="HBE7" s="406"/>
      <c r="HBF7" s="406"/>
      <c r="HBG7" s="406"/>
      <c r="HBH7" s="406"/>
      <c r="HBI7" s="406"/>
      <c r="HBJ7" s="406"/>
      <c r="HBK7" s="406"/>
      <c r="HBL7" s="406"/>
      <c r="HBM7" s="406"/>
      <c r="HBN7" s="406"/>
      <c r="HBO7" s="406"/>
      <c r="HBP7" s="406"/>
      <c r="HBQ7" s="406"/>
      <c r="HBR7" s="406"/>
      <c r="HBS7" s="406"/>
      <c r="HBT7" s="406"/>
      <c r="HBU7" s="406"/>
      <c r="HBV7" s="406"/>
      <c r="HBW7" s="406"/>
      <c r="HBX7" s="406"/>
      <c r="HBY7" s="406"/>
      <c r="HBZ7" s="406"/>
      <c r="HCA7" s="406"/>
      <c r="HCB7" s="406"/>
      <c r="HCC7" s="406"/>
      <c r="HCD7" s="406"/>
      <c r="HCE7" s="406"/>
      <c r="HCF7" s="406"/>
      <c r="HCG7" s="406"/>
      <c r="HCH7" s="406"/>
      <c r="HCI7" s="406"/>
      <c r="HCJ7" s="406"/>
      <c r="HCK7" s="406"/>
      <c r="HCL7" s="406"/>
      <c r="HCM7" s="406"/>
      <c r="HCN7" s="406"/>
      <c r="HCO7" s="406"/>
      <c r="HCP7" s="406"/>
      <c r="HCQ7" s="406"/>
      <c r="HCR7" s="406"/>
      <c r="HCS7" s="406"/>
      <c r="HCT7" s="406"/>
      <c r="HCU7" s="406"/>
      <c r="HCV7" s="406"/>
      <c r="HCW7" s="406"/>
      <c r="HCX7" s="406"/>
      <c r="HCY7" s="406"/>
      <c r="HCZ7" s="406"/>
      <c r="HDA7" s="406"/>
      <c r="HDB7" s="406"/>
      <c r="HDC7" s="406"/>
      <c r="HDD7" s="406"/>
      <c r="HDE7" s="406"/>
      <c r="HDF7" s="406"/>
      <c r="HDG7" s="406"/>
      <c r="HDH7" s="406"/>
      <c r="HDI7" s="406"/>
      <c r="HDJ7" s="406"/>
      <c r="HDK7" s="406"/>
      <c r="HDL7" s="406"/>
      <c r="HDM7" s="406"/>
      <c r="HDN7" s="406"/>
      <c r="HDO7" s="406"/>
      <c r="HDP7" s="406"/>
      <c r="HDQ7" s="406"/>
      <c r="HDR7" s="406"/>
      <c r="HDS7" s="406"/>
      <c r="HDT7" s="406"/>
      <c r="HDU7" s="406"/>
      <c r="HDV7" s="406"/>
      <c r="HDW7" s="406"/>
      <c r="HDX7" s="406"/>
      <c r="HDY7" s="406"/>
      <c r="HDZ7" s="406"/>
      <c r="HEA7" s="406"/>
      <c r="HEB7" s="406"/>
      <c r="HEC7" s="406"/>
      <c r="HED7" s="406"/>
      <c r="HEE7" s="406"/>
      <c r="HEF7" s="406"/>
      <c r="HEG7" s="406"/>
      <c r="HEH7" s="406"/>
      <c r="HEI7" s="406"/>
      <c r="HEJ7" s="406"/>
      <c r="HEK7" s="406"/>
      <c r="HEL7" s="406"/>
      <c r="HEM7" s="406"/>
      <c r="HEN7" s="406"/>
      <c r="HEO7" s="406"/>
      <c r="HEP7" s="406"/>
      <c r="HEQ7" s="406"/>
      <c r="HER7" s="406"/>
      <c r="HES7" s="406"/>
      <c r="HET7" s="406"/>
      <c r="HEU7" s="406"/>
      <c r="HEV7" s="406"/>
      <c r="HEW7" s="406"/>
      <c r="HEX7" s="406"/>
      <c r="HEY7" s="406"/>
      <c r="HEZ7" s="406"/>
      <c r="HFA7" s="406"/>
      <c r="HFB7" s="406"/>
      <c r="HFC7" s="406"/>
      <c r="HFD7" s="406"/>
      <c r="HFE7" s="406"/>
      <c r="HFF7" s="406"/>
      <c r="HFG7" s="406"/>
      <c r="HFH7" s="406"/>
      <c r="HFI7" s="406"/>
      <c r="HFJ7" s="406"/>
      <c r="HFK7" s="406"/>
      <c r="HFL7" s="406"/>
      <c r="HFM7" s="406"/>
      <c r="HFN7" s="406"/>
      <c r="HFO7" s="406"/>
      <c r="HFP7" s="406"/>
      <c r="HFQ7" s="406"/>
      <c r="HFR7" s="406"/>
      <c r="HFS7" s="406"/>
      <c r="HFT7" s="406"/>
      <c r="HFU7" s="406"/>
      <c r="HFV7" s="406"/>
      <c r="HFW7" s="406"/>
      <c r="HFX7" s="406"/>
      <c r="HFY7" s="406"/>
      <c r="HFZ7" s="406"/>
      <c r="HGA7" s="406"/>
      <c r="HGB7" s="406"/>
      <c r="HGC7" s="406"/>
      <c r="HGD7" s="406"/>
      <c r="HGE7" s="406"/>
      <c r="HGF7" s="406"/>
      <c r="HGG7" s="406"/>
      <c r="HGH7" s="406"/>
      <c r="HGI7" s="406"/>
      <c r="HGJ7" s="406"/>
      <c r="HGK7" s="406"/>
      <c r="HGL7" s="406"/>
      <c r="HGM7" s="406"/>
      <c r="HGN7" s="406"/>
      <c r="HGO7" s="406"/>
      <c r="HGP7" s="406"/>
      <c r="HGQ7" s="406"/>
      <c r="HGR7" s="406"/>
      <c r="HGS7" s="406"/>
      <c r="HGT7" s="406"/>
      <c r="HGU7" s="406"/>
      <c r="HGV7" s="406"/>
      <c r="HGW7" s="406"/>
      <c r="HGX7" s="406"/>
      <c r="HGY7" s="406"/>
      <c r="HGZ7" s="406"/>
      <c r="HHA7" s="406"/>
      <c r="HHB7" s="406"/>
      <c r="HHC7" s="406"/>
      <c r="HHD7" s="406"/>
      <c r="HHE7" s="406"/>
      <c r="HHF7" s="406"/>
      <c r="HHG7" s="406"/>
      <c r="HHH7" s="406"/>
      <c r="HHI7" s="406"/>
      <c r="HHJ7" s="406"/>
      <c r="HHK7" s="406"/>
      <c r="HHL7" s="406"/>
      <c r="HHM7" s="406"/>
      <c r="HHN7" s="406"/>
      <c r="HHO7" s="406"/>
      <c r="HHP7" s="406"/>
      <c r="HHQ7" s="406"/>
      <c r="HHR7" s="406"/>
      <c r="HHS7" s="406"/>
      <c r="HHT7" s="406"/>
      <c r="HHU7" s="406"/>
      <c r="HHV7" s="406"/>
      <c r="HHW7" s="406"/>
      <c r="HHX7" s="406"/>
      <c r="HHY7" s="406"/>
      <c r="HHZ7" s="406"/>
      <c r="HIA7" s="406"/>
      <c r="HIB7" s="406"/>
      <c r="HIC7" s="406"/>
      <c r="HID7" s="406"/>
      <c r="HIE7" s="406"/>
      <c r="HIF7" s="406"/>
      <c r="HIG7" s="406"/>
      <c r="HIH7" s="406"/>
      <c r="HII7" s="406"/>
      <c r="HIJ7" s="406"/>
      <c r="HIK7" s="406"/>
      <c r="HIL7" s="406"/>
      <c r="HIM7" s="406"/>
      <c r="HIN7" s="406"/>
      <c r="HIO7" s="406"/>
      <c r="HIP7" s="406"/>
      <c r="HIQ7" s="406"/>
      <c r="HIR7" s="406"/>
      <c r="HIS7" s="406"/>
      <c r="HIT7" s="406"/>
      <c r="HIU7" s="406"/>
      <c r="HIV7" s="406"/>
      <c r="HIW7" s="406"/>
      <c r="HIX7" s="406"/>
      <c r="HIY7" s="406"/>
      <c r="HIZ7" s="406"/>
      <c r="HJA7" s="406"/>
      <c r="HJB7" s="406"/>
      <c r="HJC7" s="406"/>
      <c r="HJD7" s="406"/>
      <c r="HJE7" s="406"/>
      <c r="HJF7" s="406"/>
      <c r="HJG7" s="406"/>
      <c r="HJH7" s="406"/>
      <c r="HJI7" s="406"/>
      <c r="HJJ7" s="406"/>
      <c r="HJK7" s="406"/>
      <c r="HJL7" s="406"/>
      <c r="HJM7" s="406"/>
      <c r="HJN7" s="406"/>
      <c r="HJO7" s="406"/>
      <c r="HJP7" s="406"/>
      <c r="HJQ7" s="406"/>
      <c r="HJR7" s="406"/>
      <c r="HJS7" s="406"/>
      <c r="HJT7" s="406"/>
      <c r="HJU7" s="406"/>
      <c r="HJV7" s="406"/>
      <c r="HJW7" s="406"/>
      <c r="HJX7" s="406"/>
      <c r="HJY7" s="406"/>
      <c r="HJZ7" s="406"/>
      <c r="HKA7" s="406"/>
      <c r="HKB7" s="406"/>
      <c r="HKC7" s="406"/>
      <c r="HKD7" s="406"/>
      <c r="HKE7" s="406"/>
      <c r="HKF7" s="406"/>
      <c r="HKG7" s="406"/>
      <c r="HKH7" s="406"/>
      <c r="HKI7" s="406"/>
      <c r="HKJ7" s="406"/>
      <c r="HKK7" s="406"/>
      <c r="HKL7" s="406"/>
      <c r="HKM7" s="406"/>
      <c r="HKN7" s="406"/>
      <c r="HKO7" s="406"/>
      <c r="HKP7" s="406"/>
      <c r="HKQ7" s="406"/>
      <c r="HKR7" s="406"/>
      <c r="HKS7" s="406"/>
      <c r="HKT7" s="406"/>
      <c r="HKU7" s="406"/>
      <c r="HKV7" s="406"/>
      <c r="HKW7" s="406"/>
      <c r="HKX7" s="406"/>
      <c r="HKY7" s="406"/>
      <c r="HKZ7" s="406"/>
      <c r="HLA7" s="406"/>
      <c r="HLB7" s="406"/>
      <c r="HLC7" s="406"/>
      <c r="HLD7" s="406"/>
      <c r="HLE7" s="406"/>
      <c r="HLF7" s="406"/>
      <c r="HLG7" s="406"/>
      <c r="HLH7" s="406"/>
      <c r="HLI7" s="406"/>
      <c r="HLJ7" s="406"/>
      <c r="HLK7" s="406"/>
      <c r="HLL7" s="406"/>
      <c r="HLM7" s="406"/>
      <c r="HLN7" s="406"/>
      <c r="HLO7" s="406"/>
      <c r="HLP7" s="406"/>
      <c r="HLQ7" s="406"/>
      <c r="HLR7" s="406"/>
      <c r="HLS7" s="406"/>
      <c r="HLT7" s="406"/>
      <c r="HLU7" s="406"/>
      <c r="HLV7" s="406"/>
      <c r="HLW7" s="406"/>
      <c r="HLX7" s="406"/>
      <c r="HLY7" s="406"/>
      <c r="HLZ7" s="406"/>
      <c r="HMA7" s="406"/>
      <c r="HMB7" s="406"/>
      <c r="HMC7" s="406"/>
      <c r="HMD7" s="406"/>
      <c r="HME7" s="406"/>
      <c r="HMF7" s="406"/>
      <c r="HMG7" s="406"/>
      <c r="HMH7" s="406"/>
      <c r="HMI7" s="406"/>
      <c r="HMJ7" s="406"/>
      <c r="HMK7" s="406"/>
      <c r="HML7" s="406"/>
      <c r="HMM7" s="406"/>
      <c r="HMN7" s="406"/>
      <c r="HMO7" s="406"/>
      <c r="HMP7" s="406"/>
      <c r="HMQ7" s="406"/>
      <c r="HMR7" s="406"/>
      <c r="HMS7" s="406"/>
      <c r="HMT7" s="406"/>
      <c r="HMU7" s="406"/>
      <c r="HMV7" s="406"/>
      <c r="HMW7" s="406"/>
      <c r="HMX7" s="406"/>
      <c r="HMY7" s="406"/>
      <c r="HMZ7" s="406"/>
      <c r="HNA7" s="406"/>
      <c r="HNB7" s="406"/>
      <c r="HNC7" s="406"/>
      <c r="HND7" s="406"/>
      <c r="HNE7" s="406"/>
      <c r="HNF7" s="406"/>
      <c r="HNG7" s="406"/>
      <c r="HNH7" s="406"/>
      <c r="HNI7" s="406"/>
      <c r="HNJ7" s="406"/>
      <c r="HNK7" s="406"/>
      <c r="HNL7" s="406"/>
      <c r="HNM7" s="406"/>
      <c r="HNN7" s="406"/>
      <c r="HNO7" s="406"/>
      <c r="HNP7" s="406"/>
      <c r="HNQ7" s="406"/>
      <c r="HNR7" s="406"/>
      <c r="HNS7" s="406"/>
      <c r="HNT7" s="406"/>
      <c r="HNU7" s="406"/>
      <c r="HNV7" s="406"/>
      <c r="HNW7" s="406"/>
      <c r="HNX7" s="406"/>
      <c r="HNY7" s="406"/>
      <c r="HNZ7" s="406"/>
      <c r="HOA7" s="406"/>
      <c r="HOB7" s="406"/>
      <c r="HOC7" s="406"/>
      <c r="HOD7" s="406"/>
      <c r="HOE7" s="406"/>
      <c r="HOF7" s="406"/>
      <c r="HOG7" s="406"/>
      <c r="HOH7" s="406"/>
      <c r="HOI7" s="406"/>
      <c r="HOJ7" s="406"/>
      <c r="HOK7" s="406"/>
      <c r="HOL7" s="406"/>
      <c r="HOM7" s="406"/>
      <c r="HON7" s="406"/>
      <c r="HOO7" s="406"/>
      <c r="HOP7" s="406"/>
      <c r="HOQ7" s="406"/>
      <c r="HOR7" s="406"/>
      <c r="HOS7" s="406"/>
      <c r="HOT7" s="406"/>
      <c r="HOU7" s="406"/>
      <c r="HOV7" s="406"/>
      <c r="HOW7" s="406"/>
      <c r="HOX7" s="406"/>
      <c r="HOY7" s="406"/>
      <c r="HOZ7" s="406"/>
      <c r="HPA7" s="406"/>
      <c r="HPB7" s="406"/>
      <c r="HPC7" s="406"/>
      <c r="HPD7" s="406"/>
      <c r="HPE7" s="406"/>
      <c r="HPF7" s="406"/>
      <c r="HPG7" s="406"/>
      <c r="HPH7" s="406"/>
      <c r="HPI7" s="406"/>
      <c r="HPJ7" s="406"/>
      <c r="HPK7" s="406"/>
      <c r="HPL7" s="406"/>
      <c r="HPM7" s="406"/>
      <c r="HPN7" s="406"/>
      <c r="HPO7" s="406"/>
      <c r="HPP7" s="406"/>
      <c r="HPQ7" s="406"/>
      <c r="HPR7" s="406"/>
      <c r="HPS7" s="406"/>
      <c r="HPT7" s="406"/>
      <c r="HPU7" s="406"/>
      <c r="HPV7" s="406"/>
      <c r="HPW7" s="406"/>
      <c r="HPX7" s="406"/>
      <c r="HPY7" s="406"/>
      <c r="HPZ7" s="406"/>
      <c r="HQA7" s="406"/>
      <c r="HQB7" s="406"/>
      <c r="HQC7" s="406"/>
      <c r="HQD7" s="406"/>
      <c r="HQE7" s="406"/>
      <c r="HQF7" s="406"/>
      <c r="HQG7" s="406"/>
      <c r="HQH7" s="406"/>
      <c r="HQI7" s="406"/>
      <c r="HQJ7" s="406"/>
      <c r="HQK7" s="406"/>
      <c r="HQL7" s="406"/>
      <c r="HQM7" s="406"/>
      <c r="HQN7" s="406"/>
      <c r="HQO7" s="406"/>
      <c r="HQP7" s="406"/>
      <c r="HQQ7" s="406"/>
      <c r="HQR7" s="406"/>
      <c r="HQS7" s="406"/>
      <c r="HQT7" s="406"/>
      <c r="HQU7" s="406"/>
      <c r="HQV7" s="406"/>
      <c r="HQW7" s="406"/>
      <c r="HQX7" s="406"/>
      <c r="HQY7" s="406"/>
      <c r="HQZ7" s="406"/>
      <c r="HRA7" s="406"/>
      <c r="HRB7" s="406"/>
      <c r="HRC7" s="406"/>
      <c r="HRD7" s="406"/>
      <c r="HRE7" s="406"/>
      <c r="HRF7" s="406"/>
      <c r="HRG7" s="406"/>
      <c r="HRH7" s="406"/>
      <c r="HRI7" s="406"/>
      <c r="HRJ7" s="406"/>
      <c r="HRK7" s="406"/>
      <c r="HRL7" s="406"/>
      <c r="HRM7" s="406"/>
      <c r="HRN7" s="406"/>
      <c r="HRO7" s="406"/>
      <c r="HRP7" s="406"/>
      <c r="HRQ7" s="406"/>
      <c r="HRR7" s="406"/>
      <c r="HRS7" s="406"/>
      <c r="HRT7" s="406"/>
      <c r="HRU7" s="406"/>
      <c r="HRV7" s="406"/>
      <c r="HRW7" s="406"/>
      <c r="HRX7" s="406"/>
      <c r="HRY7" s="406"/>
      <c r="HRZ7" s="406"/>
      <c r="HSA7" s="406"/>
      <c r="HSB7" s="406"/>
      <c r="HSC7" s="406"/>
      <c r="HSD7" s="406"/>
      <c r="HSE7" s="406"/>
      <c r="HSF7" s="406"/>
      <c r="HSG7" s="406"/>
      <c r="HSH7" s="406"/>
      <c r="HSI7" s="406"/>
      <c r="HSJ7" s="406"/>
      <c r="HSK7" s="406"/>
      <c r="HSL7" s="406"/>
      <c r="HSM7" s="406"/>
      <c r="HSN7" s="406"/>
      <c r="HSO7" s="406"/>
      <c r="HSP7" s="406"/>
      <c r="HSQ7" s="406"/>
      <c r="HSR7" s="406"/>
      <c r="HSS7" s="406"/>
      <c r="HST7" s="406"/>
      <c r="HSU7" s="406"/>
      <c r="HSV7" s="406"/>
      <c r="HSW7" s="406"/>
      <c r="HSX7" s="406"/>
      <c r="HSY7" s="406"/>
      <c r="HSZ7" s="406"/>
      <c r="HTA7" s="406"/>
      <c r="HTB7" s="406"/>
      <c r="HTC7" s="406"/>
      <c r="HTD7" s="406"/>
      <c r="HTE7" s="406"/>
      <c r="HTF7" s="406"/>
      <c r="HTG7" s="406"/>
      <c r="HTH7" s="406"/>
      <c r="HTI7" s="406"/>
      <c r="HTJ7" s="406"/>
      <c r="HTK7" s="406"/>
      <c r="HTL7" s="406"/>
      <c r="HTM7" s="406"/>
      <c r="HTN7" s="406"/>
      <c r="HTO7" s="406"/>
      <c r="HTP7" s="406"/>
      <c r="HTQ7" s="406"/>
      <c r="HTR7" s="406"/>
      <c r="HTS7" s="406"/>
      <c r="HTT7" s="406"/>
      <c r="HTU7" s="406"/>
      <c r="HTV7" s="406"/>
      <c r="HTW7" s="406"/>
      <c r="HTX7" s="406"/>
      <c r="HTY7" s="406"/>
      <c r="HTZ7" s="406"/>
      <c r="HUA7" s="406"/>
      <c r="HUB7" s="406"/>
      <c r="HUC7" s="406"/>
      <c r="HUD7" s="406"/>
      <c r="HUE7" s="406"/>
      <c r="HUF7" s="406"/>
      <c r="HUG7" s="406"/>
      <c r="HUH7" s="406"/>
      <c r="HUI7" s="406"/>
      <c r="HUJ7" s="406"/>
      <c r="HUK7" s="406"/>
      <c r="HUL7" s="406"/>
      <c r="HUM7" s="406"/>
      <c r="HUN7" s="406"/>
      <c r="HUO7" s="406"/>
      <c r="HUP7" s="406"/>
      <c r="HUQ7" s="406"/>
      <c r="HUR7" s="406"/>
      <c r="HUS7" s="406"/>
      <c r="HUT7" s="406"/>
      <c r="HUU7" s="406"/>
      <c r="HUV7" s="406"/>
      <c r="HUW7" s="406"/>
      <c r="HUX7" s="406"/>
      <c r="HUY7" s="406"/>
      <c r="HUZ7" s="406"/>
      <c r="HVA7" s="406"/>
      <c r="HVB7" s="406"/>
      <c r="HVC7" s="406"/>
      <c r="HVD7" s="406"/>
      <c r="HVE7" s="406"/>
      <c r="HVF7" s="406"/>
      <c r="HVG7" s="406"/>
      <c r="HVH7" s="406"/>
      <c r="HVI7" s="406"/>
      <c r="HVJ7" s="406"/>
      <c r="HVK7" s="406"/>
      <c r="HVL7" s="406"/>
      <c r="HVM7" s="406"/>
      <c r="HVN7" s="406"/>
      <c r="HVO7" s="406"/>
      <c r="HVP7" s="406"/>
      <c r="HVQ7" s="406"/>
      <c r="HVR7" s="406"/>
      <c r="HVS7" s="406"/>
      <c r="HVT7" s="406"/>
      <c r="HVU7" s="406"/>
      <c r="HVV7" s="406"/>
      <c r="HVW7" s="406"/>
      <c r="HVX7" s="406"/>
      <c r="HVY7" s="406"/>
      <c r="HVZ7" s="406"/>
      <c r="HWA7" s="406"/>
      <c r="HWB7" s="406"/>
      <c r="HWC7" s="406"/>
      <c r="HWD7" s="406"/>
      <c r="HWE7" s="406"/>
      <c r="HWF7" s="406"/>
      <c r="HWG7" s="406"/>
      <c r="HWH7" s="406"/>
      <c r="HWI7" s="406"/>
      <c r="HWJ7" s="406"/>
      <c r="HWK7" s="406"/>
      <c r="HWL7" s="406"/>
      <c r="HWM7" s="406"/>
      <c r="HWN7" s="406"/>
      <c r="HWO7" s="406"/>
      <c r="HWP7" s="406"/>
      <c r="HWQ7" s="406"/>
      <c r="HWR7" s="406"/>
      <c r="HWS7" s="406"/>
      <c r="HWT7" s="406"/>
      <c r="HWU7" s="406"/>
      <c r="HWV7" s="406"/>
      <c r="HWW7" s="406"/>
      <c r="HWX7" s="406"/>
      <c r="HWY7" s="406"/>
      <c r="HWZ7" s="406"/>
      <c r="HXA7" s="406"/>
      <c r="HXB7" s="406"/>
      <c r="HXC7" s="406"/>
      <c r="HXD7" s="406"/>
      <c r="HXE7" s="406"/>
      <c r="HXF7" s="406"/>
      <c r="HXG7" s="406"/>
      <c r="HXH7" s="406"/>
      <c r="HXI7" s="406"/>
      <c r="HXJ7" s="406"/>
      <c r="HXK7" s="406"/>
      <c r="HXL7" s="406"/>
      <c r="HXM7" s="406"/>
      <c r="HXN7" s="406"/>
      <c r="HXO7" s="406"/>
      <c r="HXP7" s="406"/>
      <c r="HXQ7" s="406"/>
      <c r="HXR7" s="406"/>
      <c r="HXS7" s="406"/>
      <c r="HXT7" s="406"/>
      <c r="HXU7" s="406"/>
      <c r="HXV7" s="406"/>
      <c r="HXW7" s="406"/>
      <c r="HXX7" s="406"/>
      <c r="HXY7" s="406"/>
      <c r="HXZ7" s="406"/>
      <c r="HYA7" s="406"/>
      <c r="HYB7" s="406"/>
      <c r="HYC7" s="406"/>
      <c r="HYD7" s="406"/>
      <c r="HYE7" s="406"/>
      <c r="HYF7" s="406"/>
      <c r="HYG7" s="406"/>
      <c r="HYH7" s="406"/>
      <c r="HYI7" s="406"/>
      <c r="HYJ7" s="406"/>
      <c r="HYK7" s="406"/>
      <c r="HYL7" s="406"/>
      <c r="HYM7" s="406"/>
      <c r="HYN7" s="406"/>
      <c r="HYO7" s="406"/>
      <c r="HYP7" s="406"/>
      <c r="HYQ7" s="406"/>
      <c r="HYR7" s="406"/>
      <c r="HYS7" s="406"/>
      <c r="HYT7" s="406"/>
      <c r="HYU7" s="406"/>
      <c r="HYV7" s="406"/>
      <c r="HYW7" s="406"/>
      <c r="HYX7" s="406"/>
      <c r="HYY7" s="406"/>
      <c r="HYZ7" s="406"/>
      <c r="HZA7" s="406"/>
      <c r="HZB7" s="406"/>
      <c r="HZC7" s="406"/>
      <c r="HZD7" s="406"/>
      <c r="HZE7" s="406"/>
      <c r="HZF7" s="406"/>
      <c r="HZG7" s="406"/>
      <c r="HZH7" s="406"/>
      <c r="HZI7" s="406"/>
      <c r="HZJ7" s="406"/>
      <c r="HZK7" s="406"/>
      <c r="HZL7" s="406"/>
      <c r="HZM7" s="406"/>
      <c r="HZN7" s="406"/>
      <c r="HZO7" s="406"/>
      <c r="HZP7" s="406"/>
      <c r="HZQ7" s="406"/>
      <c r="HZR7" s="406"/>
      <c r="HZS7" s="406"/>
      <c r="HZT7" s="406"/>
      <c r="HZU7" s="406"/>
      <c r="HZV7" s="406"/>
      <c r="HZW7" s="406"/>
      <c r="HZX7" s="406"/>
      <c r="HZY7" s="406"/>
      <c r="HZZ7" s="406"/>
      <c r="IAA7" s="406"/>
      <c r="IAB7" s="406"/>
      <c r="IAC7" s="406"/>
      <c r="IAD7" s="406"/>
      <c r="IAE7" s="406"/>
      <c r="IAF7" s="406"/>
      <c r="IAG7" s="406"/>
      <c r="IAH7" s="406"/>
      <c r="IAI7" s="406"/>
      <c r="IAJ7" s="406"/>
      <c r="IAK7" s="406"/>
      <c r="IAL7" s="406"/>
      <c r="IAM7" s="406"/>
      <c r="IAN7" s="406"/>
      <c r="IAO7" s="406"/>
      <c r="IAP7" s="406"/>
      <c r="IAQ7" s="406"/>
      <c r="IAR7" s="406"/>
      <c r="IAS7" s="406"/>
      <c r="IAT7" s="406"/>
      <c r="IAU7" s="406"/>
      <c r="IAV7" s="406"/>
      <c r="IAW7" s="406"/>
      <c r="IAX7" s="406"/>
      <c r="IAY7" s="406"/>
      <c r="IAZ7" s="406"/>
      <c r="IBA7" s="406"/>
      <c r="IBB7" s="406"/>
      <c r="IBC7" s="406"/>
      <c r="IBD7" s="406"/>
      <c r="IBE7" s="406"/>
      <c r="IBF7" s="406"/>
      <c r="IBG7" s="406"/>
      <c r="IBH7" s="406"/>
      <c r="IBI7" s="406"/>
      <c r="IBJ7" s="406"/>
      <c r="IBK7" s="406"/>
      <c r="IBL7" s="406"/>
      <c r="IBM7" s="406"/>
      <c r="IBN7" s="406"/>
      <c r="IBO7" s="406"/>
      <c r="IBP7" s="406"/>
      <c r="IBQ7" s="406"/>
      <c r="IBR7" s="406"/>
      <c r="IBS7" s="406"/>
      <c r="IBT7" s="406"/>
      <c r="IBU7" s="406"/>
      <c r="IBV7" s="406"/>
      <c r="IBW7" s="406"/>
      <c r="IBX7" s="406"/>
      <c r="IBY7" s="406"/>
      <c r="IBZ7" s="406"/>
      <c r="ICA7" s="406"/>
      <c r="ICB7" s="406"/>
      <c r="ICC7" s="406"/>
      <c r="ICD7" s="406"/>
      <c r="ICE7" s="406"/>
      <c r="ICF7" s="406"/>
      <c r="ICG7" s="406"/>
      <c r="ICH7" s="406"/>
      <c r="ICI7" s="406"/>
      <c r="ICJ7" s="406"/>
      <c r="ICK7" s="406"/>
      <c r="ICL7" s="406"/>
      <c r="ICM7" s="406"/>
      <c r="ICN7" s="406"/>
      <c r="ICO7" s="406"/>
      <c r="ICP7" s="406"/>
      <c r="ICQ7" s="406"/>
      <c r="ICR7" s="406"/>
      <c r="ICS7" s="406"/>
      <c r="ICT7" s="406"/>
      <c r="ICU7" s="406"/>
      <c r="ICV7" s="406"/>
      <c r="ICW7" s="406"/>
      <c r="ICX7" s="406"/>
      <c r="ICY7" s="406"/>
      <c r="ICZ7" s="406"/>
      <c r="IDA7" s="406"/>
      <c r="IDB7" s="406"/>
      <c r="IDC7" s="406"/>
      <c r="IDD7" s="406"/>
      <c r="IDE7" s="406"/>
      <c r="IDF7" s="406"/>
      <c r="IDG7" s="406"/>
      <c r="IDH7" s="406"/>
      <c r="IDI7" s="406"/>
      <c r="IDJ7" s="406"/>
      <c r="IDK7" s="406"/>
      <c r="IDL7" s="406"/>
      <c r="IDM7" s="406"/>
      <c r="IDN7" s="406"/>
      <c r="IDO7" s="406"/>
      <c r="IDP7" s="406"/>
      <c r="IDQ7" s="406"/>
      <c r="IDR7" s="406"/>
      <c r="IDS7" s="406"/>
      <c r="IDT7" s="406"/>
      <c r="IDU7" s="406"/>
      <c r="IDV7" s="406"/>
      <c r="IDW7" s="406"/>
      <c r="IDX7" s="406"/>
      <c r="IDY7" s="406"/>
      <c r="IDZ7" s="406"/>
      <c r="IEA7" s="406"/>
      <c r="IEB7" s="406"/>
      <c r="IEC7" s="406"/>
      <c r="IED7" s="406"/>
      <c r="IEE7" s="406"/>
      <c r="IEF7" s="406"/>
      <c r="IEG7" s="406"/>
      <c r="IEH7" s="406"/>
      <c r="IEI7" s="406"/>
      <c r="IEJ7" s="406"/>
      <c r="IEK7" s="406"/>
      <c r="IEL7" s="406"/>
      <c r="IEM7" s="406"/>
      <c r="IEN7" s="406"/>
      <c r="IEO7" s="406"/>
      <c r="IEP7" s="406"/>
      <c r="IEQ7" s="406"/>
      <c r="IER7" s="406"/>
      <c r="IES7" s="406"/>
      <c r="IET7" s="406"/>
      <c r="IEU7" s="406"/>
      <c r="IEV7" s="406"/>
      <c r="IEW7" s="406"/>
      <c r="IEX7" s="406"/>
      <c r="IEY7" s="406"/>
      <c r="IEZ7" s="406"/>
      <c r="IFA7" s="406"/>
      <c r="IFB7" s="406"/>
      <c r="IFC7" s="406"/>
      <c r="IFD7" s="406"/>
      <c r="IFE7" s="406"/>
      <c r="IFF7" s="406"/>
      <c r="IFG7" s="406"/>
      <c r="IFH7" s="406"/>
      <c r="IFI7" s="406"/>
      <c r="IFJ7" s="406"/>
      <c r="IFK7" s="406"/>
      <c r="IFL7" s="406"/>
      <c r="IFM7" s="406"/>
      <c r="IFN7" s="406"/>
      <c r="IFO7" s="406"/>
      <c r="IFP7" s="406"/>
      <c r="IFQ7" s="406"/>
      <c r="IFR7" s="406"/>
      <c r="IFS7" s="406"/>
      <c r="IFT7" s="406"/>
      <c r="IFU7" s="406"/>
      <c r="IFV7" s="406"/>
      <c r="IFW7" s="406"/>
      <c r="IFX7" s="406"/>
      <c r="IFY7" s="406"/>
      <c r="IFZ7" s="406"/>
      <c r="IGA7" s="406"/>
      <c r="IGB7" s="406"/>
      <c r="IGC7" s="406"/>
      <c r="IGD7" s="406"/>
      <c r="IGE7" s="406"/>
      <c r="IGF7" s="406"/>
      <c r="IGG7" s="406"/>
      <c r="IGH7" s="406"/>
      <c r="IGI7" s="406"/>
      <c r="IGJ7" s="406"/>
      <c r="IGK7" s="406"/>
      <c r="IGL7" s="406"/>
      <c r="IGM7" s="406"/>
      <c r="IGN7" s="406"/>
      <c r="IGO7" s="406"/>
      <c r="IGP7" s="406"/>
      <c r="IGQ7" s="406"/>
      <c r="IGR7" s="406"/>
      <c r="IGS7" s="406"/>
      <c r="IGT7" s="406"/>
      <c r="IGU7" s="406"/>
      <c r="IGV7" s="406"/>
      <c r="IGW7" s="406"/>
      <c r="IGX7" s="406"/>
      <c r="IGY7" s="406"/>
      <c r="IGZ7" s="406"/>
      <c r="IHA7" s="406"/>
      <c r="IHB7" s="406"/>
      <c r="IHC7" s="406"/>
      <c r="IHD7" s="406"/>
      <c r="IHE7" s="406"/>
      <c r="IHF7" s="406"/>
      <c r="IHG7" s="406"/>
      <c r="IHH7" s="406"/>
      <c r="IHI7" s="406"/>
      <c r="IHJ7" s="406"/>
      <c r="IHK7" s="406"/>
      <c r="IHL7" s="406"/>
      <c r="IHM7" s="406"/>
      <c r="IHN7" s="406"/>
      <c r="IHO7" s="406"/>
      <c r="IHP7" s="406"/>
      <c r="IHQ7" s="406"/>
      <c r="IHR7" s="406"/>
      <c r="IHS7" s="406"/>
      <c r="IHT7" s="406"/>
      <c r="IHU7" s="406"/>
      <c r="IHV7" s="406"/>
      <c r="IHW7" s="406"/>
      <c r="IHX7" s="406"/>
      <c r="IHY7" s="406"/>
      <c r="IHZ7" s="406"/>
      <c r="IIA7" s="406"/>
      <c r="IIB7" s="406"/>
      <c r="IIC7" s="406"/>
      <c r="IID7" s="406"/>
      <c r="IIE7" s="406"/>
      <c r="IIF7" s="406"/>
      <c r="IIG7" s="406"/>
      <c r="IIH7" s="406"/>
      <c r="III7" s="406"/>
      <c r="IIJ7" s="406"/>
      <c r="IIK7" s="406"/>
      <c r="IIL7" s="406"/>
      <c r="IIM7" s="406"/>
      <c r="IIN7" s="406"/>
      <c r="IIO7" s="406"/>
      <c r="IIP7" s="406"/>
      <c r="IIQ7" s="406"/>
      <c r="IIR7" s="406"/>
      <c r="IIS7" s="406"/>
      <c r="IIT7" s="406"/>
      <c r="IIU7" s="406"/>
      <c r="IIV7" s="406"/>
      <c r="IIW7" s="406"/>
      <c r="IIX7" s="406"/>
      <c r="IIY7" s="406"/>
      <c r="IIZ7" s="406"/>
      <c r="IJA7" s="406"/>
      <c r="IJB7" s="406"/>
      <c r="IJC7" s="406"/>
      <c r="IJD7" s="406"/>
      <c r="IJE7" s="406"/>
      <c r="IJF7" s="406"/>
      <c r="IJG7" s="406"/>
      <c r="IJH7" s="406"/>
      <c r="IJI7" s="406"/>
      <c r="IJJ7" s="406"/>
      <c r="IJK7" s="406"/>
      <c r="IJL7" s="406"/>
      <c r="IJM7" s="406"/>
      <c r="IJN7" s="406"/>
      <c r="IJO7" s="406"/>
      <c r="IJP7" s="406"/>
      <c r="IJQ7" s="406"/>
      <c r="IJR7" s="406"/>
      <c r="IJS7" s="406"/>
      <c r="IJT7" s="406"/>
      <c r="IJU7" s="406"/>
      <c r="IJV7" s="406"/>
      <c r="IJW7" s="406"/>
      <c r="IJX7" s="406"/>
      <c r="IJY7" s="406"/>
      <c r="IJZ7" s="406"/>
      <c r="IKA7" s="406"/>
      <c r="IKB7" s="406"/>
      <c r="IKC7" s="406"/>
      <c r="IKD7" s="406"/>
      <c r="IKE7" s="406"/>
      <c r="IKF7" s="406"/>
      <c r="IKG7" s="406"/>
      <c r="IKH7" s="406"/>
      <c r="IKI7" s="406"/>
      <c r="IKJ7" s="406"/>
      <c r="IKK7" s="406"/>
      <c r="IKL7" s="406"/>
      <c r="IKM7" s="406"/>
      <c r="IKN7" s="406"/>
      <c r="IKO7" s="406"/>
      <c r="IKP7" s="406"/>
      <c r="IKQ7" s="406"/>
      <c r="IKR7" s="406"/>
      <c r="IKS7" s="406"/>
      <c r="IKT7" s="406"/>
      <c r="IKU7" s="406"/>
      <c r="IKV7" s="406"/>
      <c r="IKW7" s="406"/>
      <c r="IKX7" s="406"/>
      <c r="IKY7" s="406"/>
      <c r="IKZ7" s="406"/>
      <c r="ILA7" s="406"/>
      <c r="ILB7" s="406"/>
      <c r="ILC7" s="406"/>
      <c r="ILD7" s="406"/>
      <c r="ILE7" s="406"/>
      <c r="ILF7" s="406"/>
      <c r="ILG7" s="406"/>
      <c r="ILH7" s="406"/>
      <c r="ILI7" s="406"/>
      <c r="ILJ7" s="406"/>
      <c r="ILK7" s="406"/>
      <c r="ILL7" s="406"/>
      <c r="ILM7" s="406"/>
      <c r="ILN7" s="406"/>
      <c r="ILO7" s="406"/>
      <c r="ILP7" s="406"/>
      <c r="ILQ7" s="406"/>
      <c r="ILR7" s="406"/>
      <c r="ILS7" s="406"/>
      <c r="ILT7" s="406"/>
      <c r="ILU7" s="406"/>
      <c r="ILV7" s="406"/>
      <c r="ILW7" s="406"/>
      <c r="ILX7" s="406"/>
      <c r="ILY7" s="406"/>
      <c r="ILZ7" s="406"/>
      <c r="IMA7" s="406"/>
      <c r="IMB7" s="406"/>
      <c r="IMC7" s="406"/>
      <c r="IMD7" s="406"/>
      <c r="IME7" s="406"/>
      <c r="IMF7" s="406"/>
      <c r="IMG7" s="406"/>
      <c r="IMH7" s="406"/>
      <c r="IMI7" s="406"/>
      <c r="IMJ7" s="406"/>
      <c r="IMK7" s="406"/>
      <c r="IML7" s="406"/>
      <c r="IMM7" s="406"/>
      <c r="IMN7" s="406"/>
      <c r="IMO7" s="406"/>
      <c r="IMP7" s="406"/>
      <c r="IMQ7" s="406"/>
      <c r="IMR7" s="406"/>
      <c r="IMS7" s="406"/>
      <c r="IMT7" s="406"/>
      <c r="IMU7" s="406"/>
      <c r="IMV7" s="406"/>
      <c r="IMW7" s="406"/>
      <c r="IMX7" s="406"/>
      <c r="IMY7" s="406"/>
      <c r="IMZ7" s="406"/>
      <c r="INA7" s="406"/>
      <c r="INB7" s="406"/>
      <c r="INC7" s="406"/>
      <c r="IND7" s="406"/>
      <c r="INE7" s="406"/>
      <c r="INF7" s="406"/>
      <c r="ING7" s="406"/>
      <c r="INH7" s="406"/>
      <c r="INI7" s="406"/>
      <c r="INJ7" s="406"/>
      <c r="INK7" s="406"/>
      <c r="INL7" s="406"/>
      <c r="INM7" s="406"/>
      <c r="INN7" s="406"/>
      <c r="INO7" s="406"/>
      <c r="INP7" s="406"/>
      <c r="INQ7" s="406"/>
      <c r="INR7" s="406"/>
      <c r="INS7" s="406"/>
      <c r="INT7" s="406"/>
      <c r="INU7" s="406"/>
      <c r="INV7" s="406"/>
      <c r="INW7" s="406"/>
      <c r="INX7" s="406"/>
      <c r="INY7" s="406"/>
      <c r="INZ7" s="406"/>
      <c r="IOA7" s="406"/>
      <c r="IOB7" s="406"/>
      <c r="IOC7" s="406"/>
      <c r="IOD7" s="406"/>
      <c r="IOE7" s="406"/>
      <c r="IOF7" s="406"/>
      <c r="IOG7" s="406"/>
      <c r="IOH7" s="406"/>
      <c r="IOI7" s="406"/>
      <c r="IOJ7" s="406"/>
      <c r="IOK7" s="406"/>
      <c r="IOL7" s="406"/>
      <c r="IOM7" s="406"/>
      <c r="ION7" s="406"/>
      <c r="IOO7" s="406"/>
      <c r="IOP7" s="406"/>
      <c r="IOQ7" s="406"/>
      <c r="IOR7" s="406"/>
      <c r="IOS7" s="406"/>
      <c r="IOT7" s="406"/>
      <c r="IOU7" s="406"/>
      <c r="IOV7" s="406"/>
      <c r="IOW7" s="406"/>
      <c r="IOX7" s="406"/>
      <c r="IOY7" s="406"/>
      <c r="IOZ7" s="406"/>
      <c r="IPA7" s="406"/>
      <c r="IPB7" s="406"/>
      <c r="IPC7" s="406"/>
      <c r="IPD7" s="406"/>
      <c r="IPE7" s="406"/>
      <c r="IPF7" s="406"/>
      <c r="IPG7" s="406"/>
      <c r="IPH7" s="406"/>
      <c r="IPI7" s="406"/>
      <c r="IPJ7" s="406"/>
      <c r="IPK7" s="406"/>
      <c r="IPL7" s="406"/>
      <c r="IPM7" s="406"/>
      <c r="IPN7" s="406"/>
      <c r="IPO7" s="406"/>
      <c r="IPP7" s="406"/>
      <c r="IPQ7" s="406"/>
      <c r="IPR7" s="406"/>
      <c r="IPS7" s="406"/>
      <c r="IPT7" s="406"/>
      <c r="IPU7" s="406"/>
      <c r="IPV7" s="406"/>
      <c r="IPW7" s="406"/>
      <c r="IPX7" s="406"/>
      <c r="IPY7" s="406"/>
      <c r="IPZ7" s="406"/>
      <c r="IQA7" s="406"/>
      <c r="IQB7" s="406"/>
      <c r="IQC7" s="406"/>
      <c r="IQD7" s="406"/>
      <c r="IQE7" s="406"/>
      <c r="IQF7" s="406"/>
      <c r="IQG7" s="406"/>
      <c r="IQH7" s="406"/>
      <c r="IQI7" s="406"/>
      <c r="IQJ7" s="406"/>
      <c r="IQK7" s="406"/>
      <c r="IQL7" s="406"/>
      <c r="IQM7" s="406"/>
      <c r="IQN7" s="406"/>
      <c r="IQO7" s="406"/>
      <c r="IQP7" s="406"/>
      <c r="IQQ7" s="406"/>
      <c r="IQR7" s="406"/>
      <c r="IQS7" s="406"/>
      <c r="IQT7" s="406"/>
      <c r="IQU7" s="406"/>
      <c r="IQV7" s="406"/>
      <c r="IQW7" s="406"/>
      <c r="IQX7" s="406"/>
      <c r="IQY7" s="406"/>
      <c r="IQZ7" s="406"/>
      <c r="IRA7" s="406"/>
      <c r="IRB7" s="406"/>
      <c r="IRC7" s="406"/>
      <c r="IRD7" s="406"/>
      <c r="IRE7" s="406"/>
      <c r="IRF7" s="406"/>
      <c r="IRG7" s="406"/>
      <c r="IRH7" s="406"/>
      <c r="IRI7" s="406"/>
      <c r="IRJ7" s="406"/>
      <c r="IRK7" s="406"/>
      <c r="IRL7" s="406"/>
      <c r="IRM7" s="406"/>
      <c r="IRN7" s="406"/>
      <c r="IRO7" s="406"/>
      <c r="IRP7" s="406"/>
      <c r="IRQ7" s="406"/>
      <c r="IRR7" s="406"/>
      <c r="IRS7" s="406"/>
      <c r="IRT7" s="406"/>
      <c r="IRU7" s="406"/>
      <c r="IRV7" s="406"/>
      <c r="IRW7" s="406"/>
      <c r="IRX7" s="406"/>
      <c r="IRY7" s="406"/>
      <c r="IRZ7" s="406"/>
      <c r="ISA7" s="406"/>
      <c r="ISB7" s="406"/>
      <c r="ISC7" s="406"/>
      <c r="ISD7" s="406"/>
      <c r="ISE7" s="406"/>
      <c r="ISF7" s="406"/>
      <c r="ISG7" s="406"/>
      <c r="ISH7" s="406"/>
      <c r="ISI7" s="406"/>
      <c r="ISJ7" s="406"/>
      <c r="ISK7" s="406"/>
      <c r="ISL7" s="406"/>
      <c r="ISM7" s="406"/>
      <c r="ISN7" s="406"/>
      <c r="ISO7" s="406"/>
      <c r="ISP7" s="406"/>
      <c r="ISQ7" s="406"/>
      <c r="ISR7" s="406"/>
      <c r="ISS7" s="406"/>
      <c r="IST7" s="406"/>
      <c r="ISU7" s="406"/>
      <c r="ISV7" s="406"/>
      <c r="ISW7" s="406"/>
      <c r="ISX7" s="406"/>
      <c r="ISY7" s="406"/>
      <c r="ISZ7" s="406"/>
      <c r="ITA7" s="406"/>
      <c r="ITB7" s="406"/>
      <c r="ITC7" s="406"/>
      <c r="ITD7" s="406"/>
      <c r="ITE7" s="406"/>
      <c r="ITF7" s="406"/>
      <c r="ITG7" s="406"/>
      <c r="ITH7" s="406"/>
      <c r="ITI7" s="406"/>
      <c r="ITJ7" s="406"/>
      <c r="ITK7" s="406"/>
      <c r="ITL7" s="406"/>
      <c r="ITM7" s="406"/>
      <c r="ITN7" s="406"/>
      <c r="ITO7" s="406"/>
      <c r="ITP7" s="406"/>
      <c r="ITQ7" s="406"/>
      <c r="ITR7" s="406"/>
      <c r="ITS7" s="406"/>
      <c r="ITT7" s="406"/>
      <c r="ITU7" s="406"/>
      <c r="ITV7" s="406"/>
      <c r="ITW7" s="406"/>
      <c r="ITX7" s="406"/>
      <c r="ITY7" s="406"/>
      <c r="ITZ7" s="406"/>
      <c r="IUA7" s="406"/>
      <c r="IUB7" s="406"/>
      <c r="IUC7" s="406"/>
      <c r="IUD7" s="406"/>
      <c r="IUE7" s="406"/>
      <c r="IUF7" s="406"/>
      <c r="IUG7" s="406"/>
      <c r="IUH7" s="406"/>
      <c r="IUI7" s="406"/>
      <c r="IUJ7" s="406"/>
      <c r="IUK7" s="406"/>
      <c r="IUL7" s="406"/>
      <c r="IUM7" s="406"/>
      <c r="IUN7" s="406"/>
      <c r="IUO7" s="406"/>
      <c r="IUP7" s="406"/>
      <c r="IUQ7" s="406"/>
      <c r="IUR7" s="406"/>
      <c r="IUS7" s="406"/>
      <c r="IUT7" s="406"/>
      <c r="IUU7" s="406"/>
      <c r="IUV7" s="406"/>
      <c r="IUW7" s="406"/>
      <c r="IUX7" s="406"/>
      <c r="IUY7" s="406"/>
      <c r="IUZ7" s="406"/>
      <c r="IVA7" s="406"/>
      <c r="IVB7" s="406"/>
      <c r="IVC7" s="406"/>
      <c r="IVD7" s="406"/>
      <c r="IVE7" s="406"/>
      <c r="IVF7" s="406"/>
      <c r="IVG7" s="406"/>
      <c r="IVH7" s="406"/>
      <c r="IVI7" s="406"/>
      <c r="IVJ7" s="406"/>
      <c r="IVK7" s="406"/>
      <c r="IVL7" s="406"/>
      <c r="IVM7" s="406"/>
      <c r="IVN7" s="406"/>
      <c r="IVO7" s="406"/>
      <c r="IVP7" s="406"/>
      <c r="IVQ7" s="406"/>
      <c r="IVR7" s="406"/>
      <c r="IVS7" s="406"/>
      <c r="IVT7" s="406"/>
      <c r="IVU7" s="406"/>
      <c r="IVV7" s="406"/>
      <c r="IVW7" s="406"/>
      <c r="IVX7" s="406"/>
      <c r="IVY7" s="406"/>
      <c r="IVZ7" s="406"/>
      <c r="IWA7" s="406"/>
      <c r="IWB7" s="406"/>
      <c r="IWC7" s="406"/>
      <c r="IWD7" s="406"/>
      <c r="IWE7" s="406"/>
      <c r="IWF7" s="406"/>
      <c r="IWG7" s="406"/>
      <c r="IWH7" s="406"/>
      <c r="IWI7" s="406"/>
      <c r="IWJ7" s="406"/>
      <c r="IWK7" s="406"/>
      <c r="IWL7" s="406"/>
      <c r="IWM7" s="406"/>
      <c r="IWN7" s="406"/>
      <c r="IWO7" s="406"/>
      <c r="IWP7" s="406"/>
      <c r="IWQ7" s="406"/>
      <c r="IWR7" s="406"/>
      <c r="IWS7" s="406"/>
      <c r="IWT7" s="406"/>
      <c r="IWU7" s="406"/>
      <c r="IWV7" s="406"/>
      <c r="IWW7" s="406"/>
      <c r="IWX7" s="406"/>
      <c r="IWY7" s="406"/>
      <c r="IWZ7" s="406"/>
      <c r="IXA7" s="406"/>
      <c r="IXB7" s="406"/>
      <c r="IXC7" s="406"/>
      <c r="IXD7" s="406"/>
      <c r="IXE7" s="406"/>
      <c r="IXF7" s="406"/>
      <c r="IXG7" s="406"/>
      <c r="IXH7" s="406"/>
      <c r="IXI7" s="406"/>
      <c r="IXJ7" s="406"/>
      <c r="IXK7" s="406"/>
      <c r="IXL7" s="406"/>
      <c r="IXM7" s="406"/>
      <c r="IXN7" s="406"/>
      <c r="IXO7" s="406"/>
      <c r="IXP7" s="406"/>
      <c r="IXQ7" s="406"/>
      <c r="IXR7" s="406"/>
      <c r="IXS7" s="406"/>
      <c r="IXT7" s="406"/>
      <c r="IXU7" s="406"/>
      <c r="IXV7" s="406"/>
      <c r="IXW7" s="406"/>
      <c r="IXX7" s="406"/>
      <c r="IXY7" s="406"/>
      <c r="IXZ7" s="406"/>
      <c r="IYA7" s="406"/>
      <c r="IYB7" s="406"/>
      <c r="IYC7" s="406"/>
      <c r="IYD7" s="406"/>
      <c r="IYE7" s="406"/>
      <c r="IYF7" s="406"/>
      <c r="IYG7" s="406"/>
      <c r="IYH7" s="406"/>
      <c r="IYI7" s="406"/>
      <c r="IYJ7" s="406"/>
      <c r="IYK7" s="406"/>
      <c r="IYL7" s="406"/>
      <c r="IYM7" s="406"/>
      <c r="IYN7" s="406"/>
      <c r="IYO7" s="406"/>
      <c r="IYP7" s="406"/>
      <c r="IYQ7" s="406"/>
      <c r="IYR7" s="406"/>
      <c r="IYS7" s="406"/>
      <c r="IYT7" s="406"/>
      <c r="IYU7" s="406"/>
      <c r="IYV7" s="406"/>
      <c r="IYW7" s="406"/>
      <c r="IYX7" s="406"/>
      <c r="IYY7" s="406"/>
      <c r="IYZ7" s="406"/>
      <c r="IZA7" s="406"/>
      <c r="IZB7" s="406"/>
      <c r="IZC7" s="406"/>
      <c r="IZD7" s="406"/>
      <c r="IZE7" s="406"/>
      <c r="IZF7" s="406"/>
      <c r="IZG7" s="406"/>
      <c r="IZH7" s="406"/>
      <c r="IZI7" s="406"/>
      <c r="IZJ7" s="406"/>
      <c r="IZK7" s="406"/>
      <c r="IZL7" s="406"/>
      <c r="IZM7" s="406"/>
      <c r="IZN7" s="406"/>
      <c r="IZO7" s="406"/>
      <c r="IZP7" s="406"/>
      <c r="IZQ7" s="406"/>
      <c r="IZR7" s="406"/>
      <c r="IZS7" s="406"/>
      <c r="IZT7" s="406"/>
      <c r="IZU7" s="406"/>
      <c r="IZV7" s="406"/>
      <c r="IZW7" s="406"/>
      <c r="IZX7" s="406"/>
      <c r="IZY7" s="406"/>
      <c r="IZZ7" s="406"/>
      <c r="JAA7" s="406"/>
      <c r="JAB7" s="406"/>
      <c r="JAC7" s="406"/>
      <c r="JAD7" s="406"/>
      <c r="JAE7" s="406"/>
      <c r="JAF7" s="406"/>
      <c r="JAG7" s="406"/>
      <c r="JAH7" s="406"/>
      <c r="JAI7" s="406"/>
      <c r="JAJ7" s="406"/>
      <c r="JAK7" s="406"/>
      <c r="JAL7" s="406"/>
      <c r="JAM7" s="406"/>
      <c r="JAN7" s="406"/>
      <c r="JAO7" s="406"/>
      <c r="JAP7" s="406"/>
      <c r="JAQ7" s="406"/>
      <c r="JAR7" s="406"/>
      <c r="JAS7" s="406"/>
      <c r="JAT7" s="406"/>
      <c r="JAU7" s="406"/>
      <c r="JAV7" s="406"/>
      <c r="JAW7" s="406"/>
      <c r="JAX7" s="406"/>
      <c r="JAY7" s="406"/>
      <c r="JAZ7" s="406"/>
      <c r="JBA7" s="406"/>
      <c r="JBB7" s="406"/>
      <c r="JBC7" s="406"/>
      <c r="JBD7" s="406"/>
      <c r="JBE7" s="406"/>
      <c r="JBF7" s="406"/>
      <c r="JBG7" s="406"/>
      <c r="JBH7" s="406"/>
      <c r="JBI7" s="406"/>
      <c r="JBJ7" s="406"/>
      <c r="JBK7" s="406"/>
      <c r="JBL7" s="406"/>
      <c r="JBM7" s="406"/>
      <c r="JBN7" s="406"/>
      <c r="JBO7" s="406"/>
      <c r="JBP7" s="406"/>
      <c r="JBQ7" s="406"/>
      <c r="JBR7" s="406"/>
      <c r="JBS7" s="406"/>
      <c r="JBT7" s="406"/>
      <c r="JBU7" s="406"/>
      <c r="JBV7" s="406"/>
      <c r="JBW7" s="406"/>
      <c r="JBX7" s="406"/>
      <c r="JBY7" s="406"/>
      <c r="JBZ7" s="406"/>
      <c r="JCA7" s="406"/>
      <c r="JCB7" s="406"/>
      <c r="JCC7" s="406"/>
      <c r="JCD7" s="406"/>
      <c r="JCE7" s="406"/>
      <c r="JCF7" s="406"/>
      <c r="JCG7" s="406"/>
      <c r="JCH7" s="406"/>
      <c r="JCI7" s="406"/>
      <c r="JCJ7" s="406"/>
      <c r="JCK7" s="406"/>
      <c r="JCL7" s="406"/>
      <c r="JCM7" s="406"/>
      <c r="JCN7" s="406"/>
      <c r="JCO7" s="406"/>
      <c r="JCP7" s="406"/>
      <c r="JCQ7" s="406"/>
      <c r="JCR7" s="406"/>
      <c r="JCS7" s="406"/>
      <c r="JCT7" s="406"/>
      <c r="JCU7" s="406"/>
      <c r="JCV7" s="406"/>
      <c r="JCW7" s="406"/>
      <c r="JCX7" s="406"/>
      <c r="JCY7" s="406"/>
      <c r="JCZ7" s="406"/>
      <c r="JDA7" s="406"/>
      <c r="JDB7" s="406"/>
      <c r="JDC7" s="406"/>
      <c r="JDD7" s="406"/>
      <c r="JDE7" s="406"/>
      <c r="JDF7" s="406"/>
      <c r="JDG7" s="406"/>
      <c r="JDH7" s="406"/>
      <c r="JDI7" s="406"/>
      <c r="JDJ7" s="406"/>
      <c r="JDK7" s="406"/>
      <c r="JDL7" s="406"/>
      <c r="JDM7" s="406"/>
      <c r="JDN7" s="406"/>
      <c r="JDO7" s="406"/>
      <c r="JDP7" s="406"/>
      <c r="JDQ7" s="406"/>
      <c r="JDR7" s="406"/>
      <c r="JDS7" s="406"/>
      <c r="JDT7" s="406"/>
      <c r="JDU7" s="406"/>
      <c r="JDV7" s="406"/>
      <c r="JDW7" s="406"/>
      <c r="JDX7" s="406"/>
      <c r="JDY7" s="406"/>
      <c r="JDZ7" s="406"/>
      <c r="JEA7" s="406"/>
      <c r="JEB7" s="406"/>
      <c r="JEC7" s="406"/>
      <c r="JED7" s="406"/>
      <c r="JEE7" s="406"/>
      <c r="JEF7" s="406"/>
      <c r="JEG7" s="406"/>
      <c r="JEH7" s="406"/>
      <c r="JEI7" s="406"/>
      <c r="JEJ7" s="406"/>
      <c r="JEK7" s="406"/>
      <c r="JEL7" s="406"/>
      <c r="JEM7" s="406"/>
      <c r="JEN7" s="406"/>
      <c r="JEO7" s="406"/>
      <c r="JEP7" s="406"/>
      <c r="JEQ7" s="406"/>
      <c r="JER7" s="406"/>
      <c r="JES7" s="406"/>
      <c r="JET7" s="406"/>
      <c r="JEU7" s="406"/>
      <c r="JEV7" s="406"/>
      <c r="JEW7" s="406"/>
      <c r="JEX7" s="406"/>
      <c r="JEY7" s="406"/>
      <c r="JEZ7" s="406"/>
      <c r="JFA7" s="406"/>
      <c r="JFB7" s="406"/>
      <c r="JFC7" s="406"/>
      <c r="JFD7" s="406"/>
      <c r="JFE7" s="406"/>
      <c r="JFF7" s="406"/>
      <c r="JFG7" s="406"/>
      <c r="JFH7" s="406"/>
      <c r="JFI7" s="406"/>
      <c r="JFJ7" s="406"/>
      <c r="JFK7" s="406"/>
      <c r="JFL7" s="406"/>
      <c r="JFM7" s="406"/>
      <c r="JFN7" s="406"/>
      <c r="JFO7" s="406"/>
      <c r="JFP7" s="406"/>
      <c r="JFQ7" s="406"/>
      <c r="JFR7" s="406"/>
      <c r="JFS7" s="406"/>
      <c r="JFT7" s="406"/>
      <c r="JFU7" s="406"/>
      <c r="JFV7" s="406"/>
      <c r="JFW7" s="406"/>
      <c r="JFX7" s="406"/>
      <c r="JFY7" s="406"/>
      <c r="JFZ7" s="406"/>
      <c r="JGA7" s="406"/>
      <c r="JGB7" s="406"/>
      <c r="JGC7" s="406"/>
      <c r="JGD7" s="406"/>
      <c r="JGE7" s="406"/>
      <c r="JGF7" s="406"/>
      <c r="JGG7" s="406"/>
      <c r="JGH7" s="406"/>
      <c r="JGI7" s="406"/>
      <c r="JGJ7" s="406"/>
      <c r="JGK7" s="406"/>
      <c r="JGL7" s="406"/>
      <c r="JGM7" s="406"/>
      <c r="JGN7" s="406"/>
      <c r="JGO7" s="406"/>
      <c r="JGP7" s="406"/>
      <c r="JGQ7" s="406"/>
      <c r="JGR7" s="406"/>
      <c r="JGS7" s="406"/>
      <c r="JGT7" s="406"/>
      <c r="JGU7" s="406"/>
      <c r="JGV7" s="406"/>
      <c r="JGW7" s="406"/>
      <c r="JGX7" s="406"/>
      <c r="JGY7" s="406"/>
      <c r="JGZ7" s="406"/>
      <c r="JHA7" s="406"/>
      <c r="JHB7" s="406"/>
      <c r="JHC7" s="406"/>
      <c r="JHD7" s="406"/>
      <c r="JHE7" s="406"/>
      <c r="JHF7" s="406"/>
      <c r="JHG7" s="406"/>
      <c r="JHH7" s="406"/>
      <c r="JHI7" s="406"/>
      <c r="JHJ7" s="406"/>
      <c r="JHK7" s="406"/>
      <c r="JHL7" s="406"/>
      <c r="JHM7" s="406"/>
      <c r="JHN7" s="406"/>
      <c r="JHO7" s="406"/>
      <c r="JHP7" s="406"/>
      <c r="JHQ7" s="406"/>
      <c r="JHR7" s="406"/>
      <c r="JHS7" s="406"/>
      <c r="JHT7" s="406"/>
      <c r="JHU7" s="406"/>
      <c r="JHV7" s="406"/>
      <c r="JHW7" s="406"/>
      <c r="JHX7" s="406"/>
      <c r="JHY7" s="406"/>
      <c r="JHZ7" s="406"/>
      <c r="JIA7" s="406"/>
      <c r="JIB7" s="406"/>
      <c r="JIC7" s="406"/>
      <c r="JID7" s="406"/>
      <c r="JIE7" s="406"/>
      <c r="JIF7" s="406"/>
      <c r="JIG7" s="406"/>
      <c r="JIH7" s="406"/>
      <c r="JII7" s="406"/>
      <c r="JIJ7" s="406"/>
      <c r="JIK7" s="406"/>
      <c r="JIL7" s="406"/>
      <c r="JIM7" s="406"/>
      <c r="JIN7" s="406"/>
      <c r="JIO7" s="406"/>
      <c r="JIP7" s="406"/>
      <c r="JIQ7" s="406"/>
      <c r="JIR7" s="406"/>
      <c r="JIS7" s="406"/>
      <c r="JIT7" s="406"/>
      <c r="JIU7" s="406"/>
      <c r="JIV7" s="406"/>
      <c r="JIW7" s="406"/>
      <c r="JIX7" s="406"/>
      <c r="JIY7" s="406"/>
      <c r="JIZ7" s="406"/>
      <c r="JJA7" s="406"/>
      <c r="JJB7" s="406"/>
      <c r="JJC7" s="406"/>
      <c r="JJD7" s="406"/>
      <c r="JJE7" s="406"/>
      <c r="JJF7" s="406"/>
      <c r="JJG7" s="406"/>
      <c r="JJH7" s="406"/>
      <c r="JJI7" s="406"/>
      <c r="JJJ7" s="406"/>
      <c r="JJK7" s="406"/>
      <c r="JJL7" s="406"/>
      <c r="JJM7" s="406"/>
      <c r="JJN7" s="406"/>
      <c r="JJO7" s="406"/>
      <c r="JJP7" s="406"/>
      <c r="JJQ7" s="406"/>
      <c r="JJR7" s="406"/>
      <c r="JJS7" s="406"/>
      <c r="JJT7" s="406"/>
      <c r="JJU7" s="406"/>
      <c r="JJV7" s="406"/>
      <c r="JJW7" s="406"/>
      <c r="JJX7" s="406"/>
      <c r="JJY7" s="406"/>
      <c r="JJZ7" s="406"/>
      <c r="JKA7" s="406"/>
      <c r="JKB7" s="406"/>
      <c r="JKC7" s="406"/>
      <c r="JKD7" s="406"/>
      <c r="JKE7" s="406"/>
      <c r="JKF7" s="406"/>
      <c r="JKG7" s="406"/>
      <c r="JKH7" s="406"/>
      <c r="JKI7" s="406"/>
      <c r="JKJ7" s="406"/>
      <c r="JKK7" s="406"/>
      <c r="JKL7" s="406"/>
      <c r="JKM7" s="406"/>
      <c r="JKN7" s="406"/>
      <c r="JKO7" s="406"/>
      <c r="JKP7" s="406"/>
      <c r="JKQ7" s="406"/>
      <c r="JKR7" s="406"/>
      <c r="JKS7" s="406"/>
      <c r="JKT7" s="406"/>
      <c r="JKU7" s="406"/>
      <c r="JKV7" s="406"/>
      <c r="JKW7" s="406"/>
      <c r="JKX7" s="406"/>
      <c r="JKY7" s="406"/>
      <c r="JKZ7" s="406"/>
      <c r="JLA7" s="406"/>
      <c r="JLB7" s="406"/>
      <c r="JLC7" s="406"/>
      <c r="JLD7" s="406"/>
      <c r="JLE7" s="406"/>
      <c r="JLF7" s="406"/>
      <c r="JLG7" s="406"/>
      <c r="JLH7" s="406"/>
      <c r="JLI7" s="406"/>
      <c r="JLJ7" s="406"/>
      <c r="JLK7" s="406"/>
      <c r="JLL7" s="406"/>
      <c r="JLM7" s="406"/>
      <c r="JLN7" s="406"/>
      <c r="JLO7" s="406"/>
      <c r="JLP7" s="406"/>
      <c r="JLQ7" s="406"/>
      <c r="JLR7" s="406"/>
      <c r="JLS7" s="406"/>
      <c r="JLT7" s="406"/>
      <c r="JLU7" s="406"/>
      <c r="JLV7" s="406"/>
      <c r="JLW7" s="406"/>
      <c r="JLX7" s="406"/>
      <c r="JLY7" s="406"/>
      <c r="JLZ7" s="406"/>
      <c r="JMA7" s="406"/>
      <c r="JMB7" s="406"/>
      <c r="JMC7" s="406"/>
      <c r="JMD7" s="406"/>
      <c r="JME7" s="406"/>
      <c r="JMF7" s="406"/>
      <c r="JMG7" s="406"/>
      <c r="JMH7" s="406"/>
      <c r="JMI7" s="406"/>
      <c r="JMJ7" s="406"/>
      <c r="JMK7" s="406"/>
      <c r="JML7" s="406"/>
      <c r="JMM7" s="406"/>
      <c r="JMN7" s="406"/>
      <c r="JMO7" s="406"/>
      <c r="JMP7" s="406"/>
      <c r="JMQ7" s="406"/>
      <c r="JMR7" s="406"/>
      <c r="JMS7" s="406"/>
      <c r="JMT7" s="406"/>
      <c r="JMU7" s="406"/>
      <c r="JMV7" s="406"/>
      <c r="JMW7" s="406"/>
      <c r="JMX7" s="406"/>
      <c r="JMY7" s="406"/>
      <c r="JMZ7" s="406"/>
      <c r="JNA7" s="406"/>
      <c r="JNB7" s="406"/>
      <c r="JNC7" s="406"/>
      <c r="JND7" s="406"/>
      <c r="JNE7" s="406"/>
      <c r="JNF7" s="406"/>
      <c r="JNG7" s="406"/>
      <c r="JNH7" s="406"/>
      <c r="JNI7" s="406"/>
      <c r="JNJ7" s="406"/>
      <c r="JNK7" s="406"/>
      <c r="JNL7" s="406"/>
      <c r="JNM7" s="406"/>
      <c r="JNN7" s="406"/>
      <c r="JNO7" s="406"/>
      <c r="JNP7" s="406"/>
      <c r="JNQ7" s="406"/>
      <c r="JNR7" s="406"/>
      <c r="JNS7" s="406"/>
      <c r="JNT7" s="406"/>
      <c r="JNU7" s="406"/>
      <c r="JNV7" s="406"/>
      <c r="JNW7" s="406"/>
      <c r="JNX7" s="406"/>
      <c r="JNY7" s="406"/>
      <c r="JNZ7" s="406"/>
      <c r="JOA7" s="406"/>
      <c r="JOB7" s="406"/>
      <c r="JOC7" s="406"/>
      <c r="JOD7" s="406"/>
      <c r="JOE7" s="406"/>
      <c r="JOF7" s="406"/>
      <c r="JOG7" s="406"/>
      <c r="JOH7" s="406"/>
      <c r="JOI7" s="406"/>
      <c r="JOJ7" s="406"/>
      <c r="JOK7" s="406"/>
      <c r="JOL7" s="406"/>
      <c r="JOM7" s="406"/>
      <c r="JON7" s="406"/>
      <c r="JOO7" s="406"/>
      <c r="JOP7" s="406"/>
      <c r="JOQ7" s="406"/>
      <c r="JOR7" s="406"/>
      <c r="JOS7" s="406"/>
      <c r="JOT7" s="406"/>
      <c r="JOU7" s="406"/>
      <c r="JOV7" s="406"/>
      <c r="JOW7" s="406"/>
      <c r="JOX7" s="406"/>
      <c r="JOY7" s="406"/>
      <c r="JOZ7" s="406"/>
      <c r="JPA7" s="406"/>
      <c r="JPB7" s="406"/>
      <c r="JPC7" s="406"/>
      <c r="JPD7" s="406"/>
      <c r="JPE7" s="406"/>
      <c r="JPF7" s="406"/>
      <c r="JPG7" s="406"/>
      <c r="JPH7" s="406"/>
      <c r="JPI7" s="406"/>
      <c r="JPJ7" s="406"/>
      <c r="JPK7" s="406"/>
      <c r="JPL7" s="406"/>
      <c r="JPM7" s="406"/>
      <c r="JPN7" s="406"/>
      <c r="JPO7" s="406"/>
      <c r="JPP7" s="406"/>
      <c r="JPQ7" s="406"/>
      <c r="JPR7" s="406"/>
      <c r="JPS7" s="406"/>
      <c r="JPT7" s="406"/>
      <c r="JPU7" s="406"/>
      <c r="JPV7" s="406"/>
      <c r="JPW7" s="406"/>
      <c r="JPX7" s="406"/>
      <c r="JPY7" s="406"/>
      <c r="JPZ7" s="406"/>
      <c r="JQA7" s="406"/>
      <c r="JQB7" s="406"/>
      <c r="JQC7" s="406"/>
      <c r="JQD7" s="406"/>
      <c r="JQE7" s="406"/>
      <c r="JQF7" s="406"/>
      <c r="JQG7" s="406"/>
      <c r="JQH7" s="406"/>
      <c r="JQI7" s="406"/>
      <c r="JQJ7" s="406"/>
      <c r="JQK7" s="406"/>
      <c r="JQL7" s="406"/>
      <c r="JQM7" s="406"/>
      <c r="JQN7" s="406"/>
      <c r="JQO7" s="406"/>
      <c r="JQP7" s="406"/>
      <c r="JQQ7" s="406"/>
      <c r="JQR7" s="406"/>
      <c r="JQS7" s="406"/>
      <c r="JQT7" s="406"/>
      <c r="JQU7" s="406"/>
      <c r="JQV7" s="406"/>
      <c r="JQW7" s="406"/>
      <c r="JQX7" s="406"/>
      <c r="JQY7" s="406"/>
      <c r="JQZ7" s="406"/>
      <c r="JRA7" s="406"/>
      <c r="JRB7" s="406"/>
      <c r="JRC7" s="406"/>
      <c r="JRD7" s="406"/>
      <c r="JRE7" s="406"/>
      <c r="JRF7" s="406"/>
      <c r="JRG7" s="406"/>
      <c r="JRH7" s="406"/>
      <c r="JRI7" s="406"/>
      <c r="JRJ7" s="406"/>
      <c r="JRK7" s="406"/>
      <c r="JRL7" s="406"/>
      <c r="JRM7" s="406"/>
      <c r="JRN7" s="406"/>
      <c r="JRO7" s="406"/>
      <c r="JRP7" s="406"/>
      <c r="JRQ7" s="406"/>
      <c r="JRR7" s="406"/>
      <c r="JRS7" s="406"/>
      <c r="JRT7" s="406"/>
      <c r="JRU7" s="406"/>
      <c r="JRV7" s="406"/>
      <c r="JRW7" s="406"/>
      <c r="JRX7" s="406"/>
      <c r="JRY7" s="406"/>
      <c r="JRZ7" s="406"/>
      <c r="JSA7" s="406"/>
      <c r="JSB7" s="406"/>
      <c r="JSC7" s="406"/>
      <c r="JSD7" s="406"/>
      <c r="JSE7" s="406"/>
      <c r="JSF7" s="406"/>
      <c r="JSG7" s="406"/>
      <c r="JSH7" s="406"/>
      <c r="JSI7" s="406"/>
      <c r="JSJ7" s="406"/>
      <c r="JSK7" s="406"/>
      <c r="JSL7" s="406"/>
      <c r="JSM7" s="406"/>
      <c r="JSN7" s="406"/>
      <c r="JSO7" s="406"/>
      <c r="JSP7" s="406"/>
      <c r="JSQ7" s="406"/>
      <c r="JSR7" s="406"/>
      <c r="JSS7" s="406"/>
      <c r="JST7" s="406"/>
      <c r="JSU7" s="406"/>
      <c r="JSV7" s="406"/>
      <c r="JSW7" s="406"/>
      <c r="JSX7" s="406"/>
      <c r="JSY7" s="406"/>
      <c r="JSZ7" s="406"/>
      <c r="JTA7" s="406"/>
      <c r="JTB7" s="406"/>
      <c r="JTC7" s="406"/>
      <c r="JTD7" s="406"/>
      <c r="JTE7" s="406"/>
      <c r="JTF7" s="406"/>
      <c r="JTG7" s="406"/>
      <c r="JTH7" s="406"/>
      <c r="JTI7" s="406"/>
      <c r="JTJ7" s="406"/>
      <c r="JTK7" s="406"/>
      <c r="JTL7" s="406"/>
      <c r="JTM7" s="406"/>
      <c r="JTN7" s="406"/>
      <c r="JTO7" s="406"/>
      <c r="JTP7" s="406"/>
      <c r="JTQ7" s="406"/>
      <c r="JTR7" s="406"/>
      <c r="JTS7" s="406"/>
      <c r="JTT7" s="406"/>
      <c r="JTU7" s="406"/>
      <c r="JTV7" s="406"/>
      <c r="JTW7" s="406"/>
      <c r="JTX7" s="406"/>
      <c r="JTY7" s="406"/>
      <c r="JTZ7" s="406"/>
      <c r="JUA7" s="406"/>
      <c r="JUB7" s="406"/>
      <c r="JUC7" s="406"/>
      <c r="JUD7" s="406"/>
      <c r="JUE7" s="406"/>
      <c r="JUF7" s="406"/>
      <c r="JUG7" s="406"/>
      <c r="JUH7" s="406"/>
      <c r="JUI7" s="406"/>
      <c r="JUJ7" s="406"/>
      <c r="JUK7" s="406"/>
      <c r="JUL7" s="406"/>
      <c r="JUM7" s="406"/>
      <c r="JUN7" s="406"/>
      <c r="JUO7" s="406"/>
      <c r="JUP7" s="406"/>
      <c r="JUQ7" s="406"/>
      <c r="JUR7" s="406"/>
      <c r="JUS7" s="406"/>
      <c r="JUT7" s="406"/>
      <c r="JUU7" s="406"/>
      <c r="JUV7" s="406"/>
      <c r="JUW7" s="406"/>
      <c r="JUX7" s="406"/>
      <c r="JUY7" s="406"/>
      <c r="JUZ7" s="406"/>
      <c r="JVA7" s="406"/>
      <c r="JVB7" s="406"/>
      <c r="JVC7" s="406"/>
      <c r="JVD7" s="406"/>
      <c r="JVE7" s="406"/>
      <c r="JVF7" s="406"/>
      <c r="JVG7" s="406"/>
      <c r="JVH7" s="406"/>
      <c r="JVI7" s="406"/>
      <c r="JVJ7" s="406"/>
      <c r="JVK7" s="406"/>
      <c r="JVL7" s="406"/>
      <c r="JVM7" s="406"/>
      <c r="JVN7" s="406"/>
      <c r="JVO7" s="406"/>
      <c r="JVP7" s="406"/>
      <c r="JVQ7" s="406"/>
      <c r="JVR7" s="406"/>
      <c r="JVS7" s="406"/>
      <c r="JVT7" s="406"/>
      <c r="JVU7" s="406"/>
      <c r="JVV7" s="406"/>
      <c r="JVW7" s="406"/>
      <c r="JVX7" s="406"/>
      <c r="JVY7" s="406"/>
      <c r="JVZ7" s="406"/>
      <c r="JWA7" s="406"/>
      <c r="JWB7" s="406"/>
      <c r="JWC7" s="406"/>
      <c r="JWD7" s="406"/>
      <c r="JWE7" s="406"/>
      <c r="JWF7" s="406"/>
      <c r="JWG7" s="406"/>
      <c r="JWH7" s="406"/>
      <c r="JWI7" s="406"/>
      <c r="JWJ7" s="406"/>
      <c r="JWK7" s="406"/>
      <c r="JWL7" s="406"/>
      <c r="JWM7" s="406"/>
      <c r="JWN7" s="406"/>
      <c r="JWO7" s="406"/>
      <c r="JWP7" s="406"/>
      <c r="JWQ7" s="406"/>
      <c r="JWR7" s="406"/>
      <c r="JWS7" s="406"/>
      <c r="JWT7" s="406"/>
      <c r="JWU7" s="406"/>
      <c r="JWV7" s="406"/>
      <c r="JWW7" s="406"/>
      <c r="JWX7" s="406"/>
      <c r="JWY7" s="406"/>
      <c r="JWZ7" s="406"/>
      <c r="JXA7" s="406"/>
      <c r="JXB7" s="406"/>
      <c r="JXC7" s="406"/>
      <c r="JXD7" s="406"/>
      <c r="JXE7" s="406"/>
      <c r="JXF7" s="406"/>
      <c r="JXG7" s="406"/>
      <c r="JXH7" s="406"/>
      <c r="JXI7" s="406"/>
      <c r="JXJ7" s="406"/>
      <c r="JXK7" s="406"/>
      <c r="JXL7" s="406"/>
      <c r="JXM7" s="406"/>
      <c r="JXN7" s="406"/>
      <c r="JXO7" s="406"/>
      <c r="JXP7" s="406"/>
      <c r="JXQ7" s="406"/>
      <c r="JXR7" s="406"/>
      <c r="JXS7" s="406"/>
      <c r="JXT7" s="406"/>
      <c r="JXU7" s="406"/>
      <c r="JXV7" s="406"/>
      <c r="JXW7" s="406"/>
      <c r="JXX7" s="406"/>
      <c r="JXY7" s="406"/>
      <c r="JXZ7" s="406"/>
      <c r="JYA7" s="406"/>
      <c r="JYB7" s="406"/>
      <c r="JYC7" s="406"/>
      <c r="JYD7" s="406"/>
      <c r="JYE7" s="406"/>
      <c r="JYF7" s="406"/>
      <c r="JYG7" s="406"/>
      <c r="JYH7" s="406"/>
      <c r="JYI7" s="406"/>
      <c r="JYJ7" s="406"/>
      <c r="JYK7" s="406"/>
      <c r="JYL7" s="406"/>
      <c r="JYM7" s="406"/>
      <c r="JYN7" s="406"/>
      <c r="JYO7" s="406"/>
      <c r="JYP7" s="406"/>
      <c r="JYQ7" s="406"/>
      <c r="JYR7" s="406"/>
      <c r="JYS7" s="406"/>
      <c r="JYT7" s="406"/>
      <c r="JYU7" s="406"/>
      <c r="JYV7" s="406"/>
      <c r="JYW7" s="406"/>
      <c r="JYX7" s="406"/>
      <c r="JYY7" s="406"/>
      <c r="JYZ7" s="406"/>
      <c r="JZA7" s="406"/>
      <c r="JZB7" s="406"/>
      <c r="JZC7" s="406"/>
      <c r="JZD7" s="406"/>
      <c r="JZE7" s="406"/>
      <c r="JZF7" s="406"/>
      <c r="JZG7" s="406"/>
      <c r="JZH7" s="406"/>
      <c r="JZI7" s="406"/>
      <c r="JZJ7" s="406"/>
      <c r="JZK7" s="406"/>
      <c r="JZL7" s="406"/>
      <c r="JZM7" s="406"/>
      <c r="JZN7" s="406"/>
      <c r="JZO7" s="406"/>
      <c r="JZP7" s="406"/>
      <c r="JZQ7" s="406"/>
      <c r="JZR7" s="406"/>
      <c r="JZS7" s="406"/>
      <c r="JZT7" s="406"/>
      <c r="JZU7" s="406"/>
      <c r="JZV7" s="406"/>
      <c r="JZW7" s="406"/>
      <c r="JZX7" s="406"/>
      <c r="JZY7" s="406"/>
      <c r="JZZ7" s="406"/>
      <c r="KAA7" s="406"/>
      <c r="KAB7" s="406"/>
      <c r="KAC7" s="406"/>
      <c r="KAD7" s="406"/>
      <c r="KAE7" s="406"/>
      <c r="KAF7" s="406"/>
      <c r="KAG7" s="406"/>
      <c r="KAH7" s="406"/>
      <c r="KAI7" s="406"/>
      <c r="KAJ7" s="406"/>
      <c r="KAK7" s="406"/>
      <c r="KAL7" s="406"/>
      <c r="KAM7" s="406"/>
      <c r="KAN7" s="406"/>
      <c r="KAO7" s="406"/>
      <c r="KAP7" s="406"/>
      <c r="KAQ7" s="406"/>
      <c r="KAR7" s="406"/>
      <c r="KAS7" s="406"/>
      <c r="KAT7" s="406"/>
      <c r="KAU7" s="406"/>
      <c r="KAV7" s="406"/>
      <c r="KAW7" s="406"/>
      <c r="KAX7" s="406"/>
      <c r="KAY7" s="406"/>
      <c r="KAZ7" s="406"/>
      <c r="KBA7" s="406"/>
      <c r="KBB7" s="406"/>
      <c r="KBC7" s="406"/>
      <c r="KBD7" s="406"/>
      <c r="KBE7" s="406"/>
      <c r="KBF7" s="406"/>
      <c r="KBG7" s="406"/>
      <c r="KBH7" s="406"/>
      <c r="KBI7" s="406"/>
      <c r="KBJ7" s="406"/>
      <c r="KBK7" s="406"/>
      <c r="KBL7" s="406"/>
      <c r="KBM7" s="406"/>
      <c r="KBN7" s="406"/>
      <c r="KBO7" s="406"/>
      <c r="KBP7" s="406"/>
      <c r="KBQ7" s="406"/>
      <c r="KBR7" s="406"/>
      <c r="KBS7" s="406"/>
      <c r="KBT7" s="406"/>
      <c r="KBU7" s="406"/>
      <c r="KBV7" s="406"/>
      <c r="KBW7" s="406"/>
      <c r="KBX7" s="406"/>
      <c r="KBY7" s="406"/>
      <c r="KBZ7" s="406"/>
      <c r="KCA7" s="406"/>
      <c r="KCB7" s="406"/>
      <c r="KCC7" s="406"/>
      <c r="KCD7" s="406"/>
      <c r="KCE7" s="406"/>
      <c r="KCF7" s="406"/>
      <c r="KCG7" s="406"/>
      <c r="KCH7" s="406"/>
      <c r="KCI7" s="406"/>
      <c r="KCJ7" s="406"/>
      <c r="KCK7" s="406"/>
      <c r="KCL7" s="406"/>
      <c r="KCM7" s="406"/>
      <c r="KCN7" s="406"/>
      <c r="KCO7" s="406"/>
      <c r="KCP7" s="406"/>
      <c r="KCQ7" s="406"/>
      <c r="KCR7" s="406"/>
      <c r="KCS7" s="406"/>
      <c r="KCT7" s="406"/>
      <c r="KCU7" s="406"/>
      <c r="KCV7" s="406"/>
      <c r="KCW7" s="406"/>
      <c r="KCX7" s="406"/>
      <c r="KCY7" s="406"/>
      <c r="KCZ7" s="406"/>
      <c r="KDA7" s="406"/>
      <c r="KDB7" s="406"/>
      <c r="KDC7" s="406"/>
      <c r="KDD7" s="406"/>
      <c r="KDE7" s="406"/>
      <c r="KDF7" s="406"/>
      <c r="KDG7" s="406"/>
      <c r="KDH7" s="406"/>
      <c r="KDI7" s="406"/>
      <c r="KDJ7" s="406"/>
      <c r="KDK7" s="406"/>
      <c r="KDL7" s="406"/>
      <c r="KDM7" s="406"/>
      <c r="KDN7" s="406"/>
      <c r="KDO7" s="406"/>
      <c r="KDP7" s="406"/>
      <c r="KDQ7" s="406"/>
      <c r="KDR7" s="406"/>
      <c r="KDS7" s="406"/>
      <c r="KDT7" s="406"/>
      <c r="KDU7" s="406"/>
      <c r="KDV7" s="406"/>
      <c r="KDW7" s="406"/>
      <c r="KDX7" s="406"/>
      <c r="KDY7" s="406"/>
      <c r="KDZ7" s="406"/>
      <c r="KEA7" s="406"/>
      <c r="KEB7" s="406"/>
      <c r="KEC7" s="406"/>
      <c r="KED7" s="406"/>
      <c r="KEE7" s="406"/>
      <c r="KEF7" s="406"/>
      <c r="KEG7" s="406"/>
      <c r="KEH7" s="406"/>
      <c r="KEI7" s="406"/>
      <c r="KEJ7" s="406"/>
      <c r="KEK7" s="406"/>
      <c r="KEL7" s="406"/>
      <c r="KEM7" s="406"/>
      <c r="KEN7" s="406"/>
      <c r="KEO7" s="406"/>
      <c r="KEP7" s="406"/>
      <c r="KEQ7" s="406"/>
      <c r="KER7" s="406"/>
      <c r="KES7" s="406"/>
      <c r="KET7" s="406"/>
      <c r="KEU7" s="406"/>
      <c r="KEV7" s="406"/>
      <c r="KEW7" s="406"/>
      <c r="KEX7" s="406"/>
      <c r="KEY7" s="406"/>
      <c r="KEZ7" s="406"/>
      <c r="KFA7" s="406"/>
      <c r="KFB7" s="406"/>
      <c r="KFC7" s="406"/>
      <c r="KFD7" s="406"/>
      <c r="KFE7" s="406"/>
      <c r="KFF7" s="406"/>
      <c r="KFG7" s="406"/>
      <c r="KFH7" s="406"/>
      <c r="KFI7" s="406"/>
      <c r="KFJ7" s="406"/>
      <c r="KFK7" s="406"/>
      <c r="KFL7" s="406"/>
      <c r="KFM7" s="406"/>
      <c r="KFN7" s="406"/>
      <c r="KFO7" s="406"/>
      <c r="KFP7" s="406"/>
      <c r="KFQ7" s="406"/>
      <c r="KFR7" s="406"/>
      <c r="KFS7" s="406"/>
      <c r="KFT7" s="406"/>
      <c r="KFU7" s="406"/>
      <c r="KFV7" s="406"/>
      <c r="KFW7" s="406"/>
      <c r="KFX7" s="406"/>
      <c r="KFY7" s="406"/>
      <c r="KFZ7" s="406"/>
      <c r="KGA7" s="406"/>
      <c r="KGB7" s="406"/>
      <c r="KGC7" s="406"/>
      <c r="KGD7" s="406"/>
      <c r="KGE7" s="406"/>
      <c r="KGF7" s="406"/>
      <c r="KGG7" s="406"/>
      <c r="KGH7" s="406"/>
      <c r="KGI7" s="406"/>
      <c r="KGJ7" s="406"/>
      <c r="KGK7" s="406"/>
      <c r="KGL7" s="406"/>
      <c r="KGM7" s="406"/>
      <c r="KGN7" s="406"/>
      <c r="KGO7" s="406"/>
      <c r="KGP7" s="406"/>
      <c r="KGQ7" s="406"/>
      <c r="KGR7" s="406"/>
      <c r="KGS7" s="406"/>
      <c r="KGT7" s="406"/>
      <c r="KGU7" s="406"/>
      <c r="KGV7" s="406"/>
      <c r="KGW7" s="406"/>
      <c r="KGX7" s="406"/>
      <c r="KGY7" s="406"/>
      <c r="KGZ7" s="406"/>
      <c r="KHA7" s="406"/>
      <c r="KHB7" s="406"/>
      <c r="KHC7" s="406"/>
      <c r="KHD7" s="406"/>
      <c r="KHE7" s="406"/>
      <c r="KHF7" s="406"/>
      <c r="KHG7" s="406"/>
      <c r="KHH7" s="406"/>
      <c r="KHI7" s="406"/>
      <c r="KHJ7" s="406"/>
      <c r="KHK7" s="406"/>
      <c r="KHL7" s="406"/>
      <c r="KHM7" s="406"/>
      <c r="KHN7" s="406"/>
      <c r="KHO7" s="406"/>
      <c r="KHP7" s="406"/>
      <c r="KHQ7" s="406"/>
      <c r="KHR7" s="406"/>
      <c r="KHS7" s="406"/>
      <c r="KHT7" s="406"/>
      <c r="KHU7" s="406"/>
      <c r="KHV7" s="406"/>
      <c r="KHW7" s="406"/>
      <c r="KHX7" s="406"/>
      <c r="KHY7" s="406"/>
      <c r="KHZ7" s="406"/>
      <c r="KIA7" s="406"/>
      <c r="KIB7" s="406"/>
      <c r="KIC7" s="406"/>
      <c r="KID7" s="406"/>
      <c r="KIE7" s="406"/>
      <c r="KIF7" s="406"/>
      <c r="KIG7" s="406"/>
      <c r="KIH7" s="406"/>
      <c r="KII7" s="406"/>
      <c r="KIJ7" s="406"/>
      <c r="KIK7" s="406"/>
      <c r="KIL7" s="406"/>
      <c r="KIM7" s="406"/>
      <c r="KIN7" s="406"/>
      <c r="KIO7" s="406"/>
      <c r="KIP7" s="406"/>
      <c r="KIQ7" s="406"/>
      <c r="KIR7" s="406"/>
      <c r="KIS7" s="406"/>
      <c r="KIT7" s="406"/>
      <c r="KIU7" s="406"/>
      <c r="KIV7" s="406"/>
      <c r="KIW7" s="406"/>
      <c r="KIX7" s="406"/>
      <c r="KIY7" s="406"/>
      <c r="KIZ7" s="406"/>
      <c r="KJA7" s="406"/>
      <c r="KJB7" s="406"/>
      <c r="KJC7" s="406"/>
      <c r="KJD7" s="406"/>
      <c r="KJE7" s="406"/>
      <c r="KJF7" s="406"/>
      <c r="KJG7" s="406"/>
      <c r="KJH7" s="406"/>
      <c r="KJI7" s="406"/>
      <c r="KJJ7" s="406"/>
      <c r="KJK7" s="406"/>
      <c r="KJL7" s="406"/>
      <c r="KJM7" s="406"/>
      <c r="KJN7" s="406"/>
      <c r="KJO7" s="406"/>
      <c r="KJP7" s="406"/>
      <c r="KJQ7" s="406"/>
      <c r="KJR7" s="406"/>
      <c r="KJS7" s="406"/>
      <c r="KJT7" s="406"/>
      <c r="KJU7" s="406"/>
      <c r="KJV7" s="406"/>
      <c r="KJW7" s="406"/>
      <c r="KJX7" s="406"/>
      <c r="KJY7" s="406"/>
      <c r="KJZ7" s="406"/>
      <c r="KKA7" s="406"/>
      <c r="KKB7" s="406"/>
      <c r="KKC7" s="406"/>
      <c r="KKD7" s="406"/>
      <c r="KKE7" s="406"/>
      <c r="KKF7" s="406"/>
      <c r="KKG7" s="406"/>
      <c r="KKH7" s="406"/>
      <c r="KKI7" s="406"/>
      <c r="KKJ7" s="406"/>
      <c r="KKK7" s="406"/>
      <c r="KKL7" s="406"/>
      <c r="KKM7" s="406"/>
      <c r="KKN7" s="406"/>
      <c r="KKO7" s="406"/>
      <c r="KKP7" s="406"/>
      <c r="KKQ7" s="406"/>
      <c r="KKR7" s="406"/>
      <c r="KKS7" s="406"/>
      <c r="KKT7" s="406"/>
      <c r="KKU7" s="406"/>
      <c r="KKV7" s="406"/>
      <c r="KKW7" s="406"/>
      <c r="KKX7" s="406"/>
      <c r="KKY7" s="406"/>
      <c r="KKZ7" s="406"/>
      <c r="KLA7" s="406"/>
      <c r="KLB7" s="406"/>
      <c r="KLC7" s="406"/>
      <c r="KLD7" s="406"/>
      <c r="KLE7" s="406"/>
      <c r="KLF7" s="406"/>
      <c r="KLG7" s="406"/>
      <c r="KLH7" s="406"/>
      <c r="KLI7" s="406"/>
      <c r="KLJ7" s="406"/>
      <c r="KLK7" s="406"/>
      <c r="KLL7" s="406"/>
      <c r="KLM7" s="406"/>
      <c r="KLN7" s="406"/>
      <c r="KLO7" s="406"/>
      <c r="KLP7" s="406"/>
      <c r="KLQ7" s="406"/>
      <c r="KLR7" s="406"/>
      <c r="KLS7" s="406"/>
      <c r="KLT7" s="406"/>
      <c r="KLU7" s="406"/>
      <c r="KLV7" s="406"/>
      <c r="KLW7" s="406"/>
      <c r="KLX7" s="406"/>
      <c r="KLY7" s="406"/>
      <c r="KLZ7" s="406"/>
      <c r="KMA7" s="406"/>
      <c r="KMB7" s="406"/>
      <c r="KMC7" s="406"/>
      <c r="KMD7" s="406"/>
      <c r="KME7" s="406"/>
      <c r="KMF7" s="406"/>
      <c r="KMG7" s="406"/>
      <c r="KMH7" s="406"/>
      <c r="KMI7" s="406"/>
      <c r="KMJ7" s="406"/>
      <c r="KMK7" s="406"/>
      <c r="KML7" s="406"/>
      <c r="KMM7" s="406"/>
      <c r="KMN7" s="406"/>
      <c r="KMO7" s="406"/>
      <c r="KMP7" s="406"/>
      <c r="KMQ7" s="406"/>
      <c r="KMR7" s="406"/>
      <c r="KMS7" s="406"/>
      <c r="KMT7" s="406"/>
      <c r="KMU7" s="406"/>
      <c r="KMV7" s="406"/>
      <c r="KMW7" s="406"/>
      <c r="KMX7" s="406"/>
      <c r="KMY7" s="406"/>
      <c r="KMZ7" s="406"/>
      <c r="KNA7" s="406"/>
      <c r="KNB7" s="406"/>
      <c r="KNC7" s="406"/>
      <c r="KND7" s="406"/>
      <c r="KNE7" s="406"/>
      <c r="KNF7" s="406"/>
      <c r="KNG7" s="406"/>
      <c r="KNH7" s="406"/>
      <c r="KNI7" s="406"/>
      <c r="KNJ7" s="406"/>
      <c r="KNK7" s="406"/>
      <c r="KNL7" s="406"/>
      <c r="KNM7" s="406"/>
      <c r="KNN7" s="406"/>
      <c r="KNO7" s="406"/>
      <c r="KNP7" s="406"/>
      <c r="KNQ7" s="406"/>
      <c r="KNR7" s="406"/>
      <c r="KNS7" s="406"/>
      <c r="KNT7" s="406"/>
      <c r="KNU7" s="406"/>
      <c r="KNV7" s="406"/>
      <c r="KNW7" s="406"/>
      <c r="KNX7" s="406"/>
      <c r="KNY7" s="406"/>
      <c r="KNZ7" s="406"/>
      <c r="KOA7" s="406"/>
      <c r="KOB7" s="406"/>
      <c r="KOC7" s="406"/>
      <c r="KOD7" s="406"/>
      <c r="KOE7" s="406"/>
      <c r="KOF7" s="406"/>
      <c r="KOG7" s="406"/>
      <c r="KOH7" s="406"/>
      <c r="KOI7" s="406"/>
      <c r="KOJ7" s="406"/>
      <c r="KOK7" s="406"/>
      <c r="KOL7" s="406"/>
      <c r="KOM7" s="406"/>
      <c r="KON7" s="406"/>
      <c r="KOO7" s="406"/>
      <c r="KOP7" s="406"/>
      <c r="KOQ7" s="406"/>
      <c r="KOR7" s="406"/>
      <c r="KOS7" s="406"/>
      <c r="KOT7" s="406"/>
      <c r="KOU7" s="406"/>
      <c r="KOV7" s="406"/>
      <c r="KOW7" s="406"/>
      <c r="KOX7" s="406"/>
      <c r="KOY7" s="406"/>
      <c r="KOZ7" s="406"/>
      <c r="KPA7" s="406"/>
      <c r="KPB7" s="406"/>
      <c r="KPC7" s="406"/>
      <c r="KPD7" s="406"/>
      <c r="KPE7" s="406"/>
      <c r="KPF7" s="406"/>
      <c r="KPG7" s="406"/>
      <c r="KPH7" s="406"/>
      <c r="KPI7" s="406"/>
      <c r="KPJ7" s="406"/>
      <c r="KPK7" s="406"/>
      <c r="KPL7" s="406"/>
      <c r="KPM7" s="406"/>
      <c r="KPN7" s="406"/>
      <c r="KPO7" s="406"/>
      <c r="KPP7" s="406"/>
      <c r="KPQ7" s="406"/>
      <c r="KPR7" s="406"/>
      <c r="KPS7" s="406"/>
      <c r="KPT7" s="406"/>
      <c r="KPU7" s="406"/>
      <c r="KPV7" s="406"/>
      <c r="KPW7" s="406"/>
      <c r="KPX7" s="406"/>
      <c r="KPY7" s="406"/>
      <c r="KPZ7" s="406"/>
      <c r="KQA7" s="406"/>
      <c r="KQB7" s="406"/>
      <c r="KQC7" s="406"/>
      <c r="KQD7" s="406"/>
      <c r="KQE7" s="406"/>
      <c r="KQF7" s="406"/>
      <c r="KQG7" s="406"/>
      <c r="KQH7" s="406"/>
      <c r="KQI7" s="406"/>
      <c r="KQJ7" s="406"/>
      <c r="KQK7" s="406"/>
      <c r="KQL7" s="406"/>
      <c r="KQM7" s="406"/>
      <c r="KQN7" s="406"/>
      <c r="KQO7" s="406"/>
      <c r="KQP7" s="406"/>
      <c r="KQQ7" s="406"/>
      <c r="KQR7" s="406"/>
      <c r="KQS7" s="406"/>
      <c r="KQT7" s="406"/>
      <c r="KQU7" s="406"/>
      <c r="KQV7" s="406"/>
      <c r="KQW7" s="406"/>
      <c r="KQX7" s="406"/>
      <c r="KQY7" s="406"/>
      <c r="KQZ7" s="406"/>
      <c r="KRA7" s="406"/>
      <c r="KRB7" s="406"/>
      <c r="KRC7" s="406"/>
      <c r="KRD7" s="406"/>
      <c r="KRE7" s="406"/>
      <c r="KRF7" s="406"/>
      <c r="KRG7" s="406"/>
      <c r="KRH7" s="406"/>
      <c r="KRI7" s="406"/>
      <c r="KRJ7" s="406"/>
      <c r="KRK7" s="406"/>
      <c r="KRL7" s="406"/>
      <c r="KRM7" s="406"/>
      <c r="KRN7" s="406"/>
      <c r="KRO7" s="406"/>
      <c r="KRP7" s="406"/>
      <c r="KRQ7" s="406"/>
      <c r="KRR7" s="406"/>
      <c r="KRS7" s="406"/>
      <c r="KRT7" s="406"/>
      <c r="KRU7" s="406"/>
      <c r="KRV7" s="406"/>
      <c r="KRW7" s="406"/>
      <c r="KRX7" s="406"/>
      <c r="KRY7" s="406"/>
      <c r="KRZ7" s="406"/>
      <c r="KSA7" s="406"/>
      <c r="KSB7" s="406"/>
      <c r="KSC7" s="406"/>
      <c r="KSD7" s="406"/>
      <c r="KSE7" s="406"/>
      <c r="KSF7" s="406"/>
      <c r="KSG7" s="406"/>
      <c r="KSH7" s="406"/>
      <c r="KSI7" s="406"/>
      <c r="KSJ7" s="406"/>
      <c r="KSK7" s="406"/>
      <c r="KSL7" s="406"/>
      <c r="KSM7" s="406"/>
      <c r="KSN7" s="406"/>
      <c r="KSO7" s="406"/>
      <c r="KSP7" s="406"/>
      <c r="KSQ7" s="406"/>
      <c r="KSR7" s="406"/>
      <c r="KSS7" s="406"/>
      <c r="KST7" s="406"/>
      <c r="KSU7" s="406"/>
      <c r="KSV7" s="406"/>
      <c r="KSW7" s="406"/>
      <c r="KSX7" s="406"/>
      <c r="KSY7" s="406"/>
      <c r="KSZ7" s="406"/>
      <c r="KTA7" s="406"/>
      <c r="KTB7" s="406"/>
      <c r="KTC7" s="406"/>
      <c r="KTD7" s="406"/>
      <c r="KTE7" s="406"/>
      <c r="KTF7" s="406"/>
      <c r="KTG7" s="406"/>
      <c r="KTH7" s="406"/>
      <c r="KTI7" s="406"/>
      <c r="KTJ7" s="406"/>
      <c r="KTK7" s="406"/>
      <c r="KTL7" s="406"/>
      <c r="KTM7" s="406"/>
      <c r="KTN7" s="406"/>
      <c r="KTO7" s="406"/>
      <c r="KTP7" s="406"/>
      <c r="KTQ7" s="406"/>
      <c r="KTR7" s="406"/>
      <c r="KTS7" s="406"/>
      <c r="KTT7" s="406"/>
      <c r="KTU7" s="406"/>
      <c r="KTV7" s="406"/>
      <c r="KTW7" s="406"/>
      <c r="KTX7" s="406"/>
      <c r="KTY7" s="406"/>
      <c r="KTZ7" s="406"/>
      <c r="KUA7" s="406"/>
      <c r="KUB7" s="406"/>
      <c r="KUC7" s="406"/>
      <c r="KUD7" s="406"/>
      <c r="KUE7" s="406"/>
      <c r="KUF7" s="406"/>
      <c r="KUG7" s="406"/>
      <c r="KUH7" s="406"/>
      <c r="KUI7" s="406"/>
      <c r="KUJ7" s="406"/>
      <c r="KUK7" s="406"/>
      <c r="KUL7" s="406"/>
      <c r="KUM7" s="406"/>
      <c r="KUN7" s="406"/>
      <c r="KUO7" s="406"/>
      <c r="KUP7" s="406"/>
      <c r="KUQ7" s="406"/>
      <c r="KUR7" s="406"/>
      <c r="KUS7" s="406"/>
      <c r="KUT7" s="406"/>
      <c r="KUU7" s="406"/>
      <c r="KUV7" s="406"/>
      <c r="KUW7" s="406"/>
      <c r="KUX7" s="406"/>
      <c r="KUY7" s="406"/>
      <c r="KUZ7" s="406"/>
      <c r="KVA7" s="406"/>
      <c r="KVB7" s="406"/>
      <c r="KVC7" s="406"/>
      <c r="KVD7" s="406"/>
      <c r="KVE7" s="406"/>
      <c r="KVF7" s="406"/>
      <c r="KVG7" s="406"/>
      <c r="KVH7" s="406"/>
      <c r="KVI7" s="406"/>
      <c r="KVJ7" s="406"/>
      <c r="KVK7" s="406"/>
      <c r="KVL7" s="406"/>
      <c r="KVM7" s="406"/>
      <c r="KVN7" s="406"/>
      <c r="KVO7" s="406"/>
      <c r="KVP7" s="406"/>
      <c r="KVQ7" s="406"/>
      <c r="KVR7" s="406"/>
      <c r="KVS7" s="406"/>
      <c r="KVT7" s="406"/>
      <c r="KVU7" s="406"/>
      <c r="KVV7" s="406"/>
      <c r="KVW7" s="406"/>
      <c r="KVX7" s="406"/>
      <c r="KVY7" s="406"/>
      <c r="KVZ7" s="406"/>
      <c r="KWA7" s="406"/>
      <c r="KWB7" s="406"/>
      <c r="KWC7" s="406"/>
      <c r="KWD7" s="406"/>
      <c r="KWE7" s="406"/>
      <c r="KWF7" s="406"/>
      <c r="KWG7" s="406"/>
      <c r="KWH7" s="406"/>
      <c r="KWI7" s="406"/>
      <c r="KWJ7" s="406"/>
      <c r="KWK7" s="406"/>
      <c r="KWL7" s="406"/>
      <c r="KWM7" s="406"/>
      <c r="KWN7" s="406"/>
      <c r="KWO7" s="406"/>
      <c r="KWP7" s="406"/>
      <c r="KWQ7" s="406"/>
      <c r="KWR7" s="406"/>
      <c r="KWS7" s="406"/>
      <c r="KWT7" s="406"/>
      <c r="KWU7" s="406"/>
      <c r="KWV7" s="406"/>
      <c r="KWW7" s="406"/>
      <c r="KWX7" s="406"/>
      <c r="KWY7" s="406"/>
      <c r="KWZ7" s="406"/>
      <c r="KXA7" s="406"/>
      <c r="KXB7" s="406"/>
      <c r="KXC7" s="406"/>
      <c r="KXD7" s="406"/>
      <c r="KXE7" s="406"/>
      <c r="KXF7" s="406"/>
      <c r="KXG7" s="406"/>
      <c r="KXH7" s="406"/>
      <c r="KXI7" s="406"/>
      <c r="KXJ7" s="406"/>
      <c r="KXK7" s="406"/>
      <c r="KXL7" s="406"/>
      <c r="KXM7" s="406"/>
      <c r="KXN7" s="406"/>
      <c r="KXO7" s="406"/>
      <c r="KXP7" s="406"/>
      <c r="KXQ7" s="406"/>
      <c r="KXR7" s="406"/>
      <c r="KXS7" s="406"/>
      <c r="KXT7" s="406"/>
      <c r="KXU7" s="406"/>
      <c r="KXV7" s="406"/>
      <c r="KXW7" s="406"/>
      <c r="KXX7" s="406"/>
      <c r="KXY7" s="406"/>
      <c r="KXZ7" s="406"/>
      <c r="KYA7" s="406"/>
      <c r="KYB7" s="406"/>
      <c r="KYC7" s="406"/>
      <c r="KYD7" s="406"/>
      <c r="KYE7" s="406"/>
      <c r="KYF7" s="406"/>
      <c r="KYG7" s="406"/>
      <c r="KYH7" s="406"/>
      <c r="KYI7" s="406"/>
      <c r="KYJ7" s="406"/>
      <c r="KYK7" s="406"/>
      <c r="KYL7" s="406"/>
      <c r="KYM7" s="406"/>
      <c r="KYN7" s="406"/>
      <c r="KYO7" s="406"/>
      <c r="KYP7" s="406"/>
      <c r="KYQ7" s="406"/>
      <c r="KYR7" s="406"/>
      <c r="KYS7" s="406"/>
      <c r="KYT7" s="406"/>
      <c r="KYU7" s="406"/>
      <c r="KYV7" s="406"/>
      <c r="KYW7" s="406"/>
      <c r="KYX7" s="406"/>
      <c r="KYY7" s="406"/>
      <c r="KYZ7" s="406"/>
      <c r="KZA7" s="406"/>
      <c r="KZB7" s="406"/>
      <c r="KZC7" s="406"/>
      <c r="KZD7" s="406"/>
      <c r="KZE7" s="406"/>
      <c r="KZF7" s="406"/>
      <c r="KZG7" s="406"/>
      <c r="KZH7" s="406"/>
      <c r="KZI7" s="406"/>
      <c r="KZJ7" s="406"/>
      <c r="KZK7" s="406"/>
      <c r="KZL7" s="406"/>
      <c r="KZM7" s="406"/>
      <c r="KZN7" s="406"/>
      <c r="KZO7" s="406"/>
      <c r="KZP7" s="406"/>
      <c r="KZQ7" s="406"/>
      <c r="KZR7" s="406"/>
      <c r="KZS7" s="406"/>
      <c r="KZT7" s="406"/>
      <c r="KZU7" s="406"/>
      <c r="KZV7" s="406"/>
      <c r="KZW7" s="406"/>
      <c r="KZX7" s="406"/>
      <c r="KZY7" s="406"/>
      <c r="KZZ7" s="406"/>
      <c r="LAA7" s="406"/>
      <c r="LAB7" s="406"/>
      <c r="LAC7" s="406"/>
      <c r="LAD7" s="406"/>
      <c r="LAE7" s="406"/>
      <c r="LAF7" s="406"/>
      <c r="LAG7" s="406"/>
      <c r="LAH7" s="406"/>
      <c r="LAI7" s="406"/>
      <c r="LAJ7" s="406"/>
      <c r="LAK7" s="406"/>
      <c r="LAL7" s="406"/>
      <c r="LAM7" s="406"/>
      <c r="LAN7" s="406"/>
      <c r="LAO7" s="406"/>
      <c r="LAP7" s="406"/>
      <c r="LAQ7" s="406"/>
      <c r="LAR7" s="406"/>
      <c r="LAS7" s="406"/>
      <c r="LAT7" s="406"/>
      <c r="LAU7" s="406"/>
      <c r="LAV7" s="406"/>
      <c r="LAW7" s="406"/>
      <c r="LAX7" s="406"/>
      <c r="LAY7" s="406"/>
      <c r="LAZ7" s="406"/>
      <c r="LBA7" s="406"/>
      <c r="LBB7" s="406"/>
      <c r="LBC7" s="406"/>
      <c r="LBD7" s="406"/>
      <c r="LBE7" s="406"/>
      <c r="LBF7" s="406"/>
      <c r="LBG7" s="406"/>
      <c r="LBH7" s="406"/>
      <c r="LBI7" s="406"/>
      <c r="LBJ7" s="406"/>
      <c r="LBK7" s="406"/>
      <c r="LBL7" s="406"/>
      <c r="LBM7" s="406"/>
      <c r="LBN7" s="406"/>
      <c r="LBO7" s="406"/>
      <c r="LBP7" s="406"/>
      <c r="LBQ7" s="406"/>
      <c r="LBR7" s="406"/>
      <c r="LBS7" s="406"/>
      <c r="LBT7" s="406"/>
      <c r="LBU7" s="406"/>
      <c r="LBV7" s="406"/>
      <c r="LBW7" s="406"/>
      <c r="LBX7" s="406"/>
      <c r="LBY7" s="406"/>
      <c r="LBZ7" s="406"/>
      <c r="LCA7" s="406"/>
      <c r="LCB7" s="406"/>
      <c r="LCC7" s="406"/>
      <c r="LCD7" s="406"/>
      <c r="LCE7" s="406"/>
      <c r="LCF7" s="406"/>
      <c r="LCG7" s="406"/>
      <c r="LCH7" s="406"/>
      <c r="LCI7" s="406"/>
      <c r="LCJ7" s="406"/>
      <c r="LCK7" s="406"/>
      <c r="LCL7" s="406"/>
      <c r="LCM7" s="406"/>
      <c r="LCN7" s="406"/>
      <c r="LCO7" s="406"/>
      <c r="LCP7" s="406"/>
      <c r="LCQ7" s="406"/>
      <c r="LCR7" s="406"/>
      <c r="LCS7" s="406"/>
      <c r="LCT7" s="406"/>
      <c r="LCU7" s="406"/>
      <c r="LCV7" s="406"/>
      <c r="LCW7" s="406"/>
      <c r="LCX7" s="406"/>
      <c r="LCY7" s="406"/>
      <c r="LCZ7" s="406"/>
      <c r="LDA7" s="406"/>
      <c r="LDB7" s="406"/>
      <c r="LDC7" s="406"/>
      <c r="LDD7" s="406"/>
      <c r="LDE7" s="406"/>
      <c r="LDF7" s="406"/>
      <c r="LDG7" s="406"/>
      <c r="LDH7" s="406"/>
      <c r="LDI7" s="406"/>
      <c r="LDJ7" s="406"/>
      <c r="LDK7" s="406"/>
      <c r="LDL7" s="406"/>
      <c r="LDM7" s="406"/>
      <c r="LDN7" s="406"/>
      <c r="LDO7" s="406"/>
      <c r="LDP7" s="406"/>
      <c r="LDQ7" s="406"/>
      <c r="LDR7" s="406"/>
      <c r="LDS7" s="406"/>
      <c r="LDT7" s="406"/>
      <c r="LDU7" s="406"/>
      <c r="LDV7" s="406"/>
      <c r="LDW7" s="406"/>
      <c r="LDX7" s="406"/>
      <c r="LDY7" s="406"/>
      <c r="LDZ7" s="406"/>
      <c r="LEA7" s="406"/>
      <c r="LEB7" s="406"/>
      <c r="LEC7" s="406"/>
      <c r="LED7" s="406"/>
      <c r="LEE7" s="406"/>
      <c r="LEF7" s="406"/>
      <c r="LEG7" s="406"/>
      <c r="LEH7" s="406"/>
      <c r="LEI7" s="406"/>
      <c r="LEJ7" s="406"/>
      <c r="LEK7" s="406"/>
      <c r="LEL7" s="406"/>
      <c r="LEM7" s="406"/>
      <c r="LEN7" s="406"/>
      <c r="LEO7" s="406"/>
      <c r="LEP7" s="406"/>
      <c r="LEQ7" s="406"/>
      <c r="LER7" s="406"/>
      <c r="LES7" s="406"/>
      <c r="LET7" s="406"/>
      <c r="LEU7" s="406"/>
      <c r="LEV7" s="406"/>
      <c r="LEW7" s="406"/>
      <c r="LEX7" s="406"/>
      <c r="LEY7" s="406"/>
      <c r="LEZ7" s="406"/>
      <c r="LFA7" s="406"/>
      <c r="LFB7" s="406"/>
      <c r="LFC7" s="406"/>
      <c r="LFD7" s="406"/>
      <c r="LFE7" s="406"/>
      <c r="LFF7" s="406"/>
      <c r="LFG7" s="406"/>
      <c r="LFH7" s="406"/>
      <c r="LFI7" s="406"/>
      <c r="LFJ7" s="406"/>
      <c r="LFK7" s="406"/>
      <c r="LFL7" s="406"/>
      <c r="LFM7" s="406"/>
      <c r="LFN7" s="406"/>
      <c r="LFO7" s="406"/>
      <c r="LFP7" s="406"/>
      <c r="LFQ7" s="406"/>
      <c r="LFR7" s="406"/>
      <c r="LFS7" s="406"/>
      <c r="LFT7" s="406"/>
      <c r="LFU7" s="406"/>
      <c r="LFV7" s="406"/>
      <c r="LFW7" s="406"/>
      <c r="LFX7" s="406"/>
      <c r="LFY7" s="406"/>
      <c r="LFZ7" s="406"/>
      <c r="LGA7" s="406"/>
      <c r="LGB7" s="406"/>
      <c r="LGC7" s="406"/>
      <c r="LGD7" s="406"/>
      <c r="LGE7" s="406"/>
      <c r="LGF7" s="406"/>
      <c r="LGG7" s="406"/>
      <c r="LGH7" s="406"/>
      <c r="LGI7" s="406"/>
      <c r="LGJ7" s="406"/>
      <c r="LGK7" s="406"/>
      <c r="LGL7" s="406"/>
      <c r="LGM7" s="406"/>
      <c r="LGN7" s="406"/>
      <c r="LGO7" s="406"/>
      <c r="LGP7" s="406"/>
      <c r="LGQ7" s="406"/>
      <c r="LGR7" s="406"/>
      <c r="LGS7" s="406"/>
      <c r="LGT7" s="406"/>
      <c r="LGU7" s="406"/>
      <c r="LGV7" s="406"/>
      <c r="LGW7" s="406"/>
      <c r="LGX7" s="406"/>
      <c r="LGY7" s="406"/>
      <c r="LGZ7" s="406"/>
      <c r="LHA7" s="406"/>
      <c r="LHB7" s="406"/>
      <c r="LHC7" s="406"/>
      <c r="LHD7" s="406"/>
      <c r="LHE7" s="406"/>
      <c r="LHF7" s="406"/>
      <c r="LHG7" s="406"/>
      <c r="LHH7" s="406"/>
      <c r="LHI7" s="406"/>
      <c r="LHJ7" s="406"/>
      <c r="LHK7" s="406"/>
      <c r="LHL7" s="406"/>
      <c r="LHM7" s="406"/>
      <c r="LHN7" s="406"/>
      <c r="LHO7" s="406"/>
      <c r="LHP7" s="406"/>
      <c r="LHQ7" s="406"/>
      <c r="LHR7" s="406"/>
      <c r="LHS7" s="406"/>
      <c r="LHT7" s="406"/>
      <c r="LHU7" s="406"/>
      <c r="LHV7" s="406"/>
      <c r="LHW7" s="406"/>
      <c r="LHX7" s="406"/>
      <c r="LHY7" s="406"/>
      <c r="LHZ7" s="406"/>
      <c r="LIA7" s="406"/>
      <c r="LIB7" s="406"/>
      <c r="LIC7" s="406"/>
      <c r="LID7" s="406"/>
      <c r="LIE7" s="406"/>
      <c r="LIF7" s="406"/>
      <c r="LIG7" s="406"/>
      <c r="LIH7" s="406"/>
      <c r="LII7" s="406"/>
      <c r="LIJ7" s="406"/>
      <c r="LIK7" s="406"/>
      <c r="LIL7" s="406"/>
      <c r="LIM7" s="406"/>
      <c r="LIN7" s="406"/>
      <c r="LIO7" s="406"/>
      <c r="LIP7" s="406"/>
      <c r="LIQ7" s="406"/>
      <c r="LIR7" s="406"/>
      <c r="LIS7" s="406"/>
      <c r="LIT7" s="406"/>
      <c r="LIU7" s="406"/>
      <c r="LIV7" s="406"/>
      <c r="LIW7" s="406"/>
      <c r="LIX7" s="406"/>
      <c r="LIY7" s="406"/>
      <c r="LIZ7" s="406"/>
      <c r="LJA7" s="406"/>
      <c r="LJB7" s="406"/>
      <c r="LJC7" s="406"/>
      <c r="LJD7" s="406"/>
      <c r="LJE7" s="406"/>
      <c r="LJF7" s="406"/>
      <c r="LJG7" s="406"/>
      <c r="LJH7" s="406"/>
      <c r="LJI7" s="406"/>
      <c r="LJJ7" s="406"/>
      <c r="LJK7" s="406"/>
      <c r="LJL7" s="406"/>
      <c r="LJM7" s="406"/>
      <c r="LJN7" s="406"/>
      <c r="LJO7" s="406"/>
      <c r="LJP7" s="406"/>
      <c r="LJQ7" s="406"/>
      <c r="LJR7" s="406"/>
      <c r="LJS7" s="406"/>
      <c r="LJT7" s="406"/>
      <c r="LJU7" s="406"/>
      <c r="LJV7" s="406"/>
      <c r="LJW7" s="406"/>
      <c r="LJX7" s="406"/>
      <c r="LJY7" s="406"/>
      <c r="LJZ7" s="406"/>
      <c r="LKA7" s="406"/>
      <c r="LKB7" s="406"/>
      <c r="LKC7" s="406"/>
      <c r="LKD7" s="406"/>
      <c r="LKE7" s="406"/>
      <c r="LKF7" s="406"/>
      <c r="LKG7" s="406"/>
      <c r="LKH7" s="406"/>
      <c r="LKI7" s="406"/>
      <c r="LKJ7" s="406"/>
      <c r="LKK7" s="406"/>
      <c r="LKL7" s="406"/>
      <c r="LKM7" s="406"/>
      <c r="LKN7" s="406"/>
      <c r="LKO7" s="406"/>
      <c r="LKP7" s="406"/>
      <c r="LKQ7" s="406"/>
      <c r="LKR7" s="406"/>
      <c r="LKS7" s="406"/>
      <c r="LKT7" s="406"/>
      <c r="LKU7" s="406"/>
      <c r="LKV7" s="406"/>
      <c r="LKW7" s="406"/>
      <c r="LKX7" s="406"/>
      <c r="LKY7" s="406"/>
      <c r="LKZ7" s="406"/>
      <c r="LLA7" s="406"/>
      <c r="LLB7" s="406"/>
      <c r="LLC7" s="406"/>
      <c r="LLD7" s="406"/>
      <c r="LLE7" s="406"/>
      <c r="LLF7" s="406"/>
      <c r="LLG7" s="406"/>
      <c r="LLH7" s="406"/>
      <c r="LLI7" s="406"/>
      <c r="LLJ7" s="406"/>
      <c r="LLK7" s="406"/>
      <c r="LLL7" s="406"/>
      <c r="LLM7" s="406"/>
      <c r="LLN7" s="406"/>
      <c r="LLO7" s="406"/>
      <c r="LLP7" s="406"/>
      <c r="LLQ7" s="406"/>
      <c r="LLR7" s="406"/>
      <c r="LLS7" s="406"/>
      <c r="LLT7" s="406"/>
      <c r="LLU7" s="406"/>
      <c r="LLV7" s="406"/>
      <c r="LLW7" s="406"/>
      <c r="LLX7" s="406"/>
      <c r="LLY7" s="406"/>
      <c r="LLZ7" s="406"/>
      <c r="LMA7" s="406"/>
      <c r="LMB7" s="406"/>
      <c r="LMC7" s="406"/>
      <c r="LMD7" s="406"/>
      <c r="LME7" s="406"/>
      <c r="LMF7" s="406"/>
      <c r="LMG7" s="406"/>
      <c r="LMH7" s="406"/>
      <c r="LMI7" s="406"/>
      <c r="LMJ7" s="406"/>
      <c r="LMK7" s="406"/>
      <c r="LML7" s="406"/>
      <c r="LMM7" s="406"/>
      <c r="LMN7" s="406"/>
      <c r="LMO7" s="406"/>
      <c r="LMP7" s="406"/>
      <c r="LMQ7" s="406"/>
      <c r="LMR7" s="406"/>
      <c r="LMS7" s="406"/>
      <c r="LMT7" s="406"/>
      <c r="LMU7" s="406"/>
      <c r="LMV7" s="406"/>
      <c r="LMW7" s="406"/>
      <c r="LMX7" s="406"/>
      <c r="LMY7" s="406"/>
      <c r="LMZ7" s="406"/>
      <c r="LNA7" s="406"/>
      <c r="LNB7" s="406"/>
      <c r="LNC7" s="406"/>
      <c r="LND7" s="406"/>
      <c r="LNE7" s="406"/>
      <c r="LNF7" s="406"/>
      <c r="LNG7" s="406"/>
      <c r="LNH7" s="406"/>
      <c r="LNI7" s="406"/>
      <c r="LNJ7" s="406"/>
      <c r="LNK7" s="406"/>
      <c r="LNL7" s="406"/>
      <c r="LNM7" s="406"/>
      <c r="LNN7" s="406"/>
      <c r="LNO7" s="406"/>
      <c r="LNP7" s="406"/>
      <c r="LNQ7" s="406"/>
      <c r="LNR7" s="406"/>
      <c r="LNS7" s="406"/>
      <c r="LNT7" s="406"/>
      <c r="LNU7" s="406"/>
      <c r="LNV7" s="406"/>
      <c r="LNW7" s="406"/>
      <c r="LNX7" s="406"/>
      <c r="LNY7" s="406"/>
      <c r="LNZ7" s="406"/>
      <c r="LOA7" s="406"/>
      <c r="LOB7" s="406"/>
      <c r="LOC7" s="406"/>
      <c r="LOD7" s="406"/>
      <c r="LOE7" s="406"/>
      <c r="LOF7" s="406"/>
      <c r="LOG7" s="406"/>
      <c r="LOH7" s="406"/>
      <c r="LOI7" s="406"/>
      <c r="LOJ7" s="406"/>
      <c r="LOK7" s="406"/>
      <c r="LOL7" s="406"/>
      <c r="LOM7" s="406"/>
      <c r="LON7" s="406"/>
      <c r="LOO7" s="406"/>
      <c r="LOP7" s="406"/>
      <c r="LOQ7" s="406"/>
      <c r="LOR7" s="406"/>
      <c r="LOS7" s="406"/>
      <c r="LOT7" s="406"/>
      <c r="LOU7" s="406"/>
      <c r="LOV7" s="406"/>
      <c r="LOW7" s="406"/>
      <c r="LOX7" s="406"/>
      <c r="LOY7" s="406"/>
      <c r="LOZ7" s="406"/>
      <c r="LPA7" s="406"/>
      <c r="LPB7" s="406"/>
      <c r="LPC7" s="406"/>
      <c r="LPD7" s="406"/>
      <c r="LPE7" s="406"/>
      <c r="LPF7" s="406"/>
      <c r="LPG7" s="406"/>
      <c r="LPH7" s="406"/>
      <c r="LPI7" s="406"/>
      <c r="LPJ7" s="406"/>
      <c r="LPK7" s="406"/>
      <c r="LPL7" s="406"/>
      <c r="LPM7" s="406"/>
      <c r="LPN7" s="406"/>
      <c r="LPO7" s="406"/>
      <c r="LPP7" s="406"/>
      <c r="LPQ7" s="406"/>
      <c r="LPR7" s="406"/>
      <c r="LPS7" s="406"/>
      <c r="LPT7" s="406"/>
      <c r="LPU7" s="406"/>
      <c r="LPV7" s="406"/>
      <c r="LPW7" s="406"/>
      <c r="LPX7" s="406"/>
      <c r="LPY7" s="406"/>
      <c r="LPZ7" s="406"/>
      <c r="LQA7" s="406"/>
      <c r="LQB7" s="406"/>
      <c r="LQC7" s="406"/>
      <c r="LQD7" s="406"/>
      <c r="LQE7" s="406"/>
      <c r="LQF7" s="406"/>
      <c r="LQG7" s="406"/>
      <c r="LQH7" s="406"/>
      <c r="LQI7" s="406"/>
      <c r="LQJ7" s="406"/>
      <c r="LQK7" s="406"/>
      <c r="LQL7" s="406"/>
      <c r="LQM7" s="406"/>
      <c r="LQN7" s="406"/>
      <c r="LQO7" s="406"/>
      <c r="LQP7" s="406"/>
      <c r="LQQ7" s="406"/>
      <c r="LQR7" s="406"/>
      <c r="LQS7" s="406"/>
      <c r="LQT7" s="406"/>
      <c r="LQU7" s="406"/>
      <c r="LQV7" s="406"/>
      <c r="LQW7" s="406"/>
      <c r="LQX7" s="406"/>
      <c r="LQY7" s="406"/>
      <c r="LQZ7" s="406"/>
      <c r="LRA7" s="406"/>
      <c r="LRB7" s="406"/>
      <c r="LRC7" s="406"/>
      <c r="LRD7" s="406"/>
      <c r="LRE7" s="406"/>
      <c r="LRF7" s="406"/>
      <c r="LRG7" s="406"/>
      <c r="LRH7" s="406"/>
      <c r="LRI7" s="406"/>
      <c r="LRJ7" s="406"/>
      <c r="LRK7" s="406"/>
      <c r="LRL7" s="406"/>
      <c r="LRM7" s="406"/>
      <c r="LRN7" s="406"/>
      <c r="LRO7" s="406"/>
      <c r="LRP7" s="406"/>
      <c r="LRQ7" s="406"/>
      <c r="LRR7" s="406"/>
      <c r="LRS7" s="406"/>
      <c r="LRT7" s="406"/>
      <c r="LRU7" s="406"/>
      <c r="LRV7" s="406"/>
      <c r="LRW7" s="406"/>
      <c r="LRX7" s="406"/>
      <c r="LRY7" s="406"/>
      <c r="LRZ7" s="406"/>
      <c r="LSA7" s="406"/>
      <c r="LSB7" s="406"/>
      <c r="LSC7" s="406"/>
      <c r="LSD7" s="406"/>
      <c r="LSE7" s="406"/>
      <c r="LSF7" s="406"/>
      <c r="LSG7" s="406"/>
      <c r="LSH7" s="406"/>
      <c r="LSI7" s="406"/>
      <c r="LSJ7" s="406"/>
      <c r="LSK7" s="406"/>
      <c r="LSL7" s="406"/>
      <c r="LSM7" s="406"/>
      <c r="LSN7" s="406"/>
      <c r="LSO7" s="406"/>
      <c r="LSP7" s="406"/>
      <c r="LSQ7" s="406"/>
      <c r="LSR7" s="406"/>
      <c r="LSS7" s="406"/>
      <c r="LST7" s="406"/>
      <c r="LSU7" s="406"/>
      <c r="LSV7" s="406"/>
      <c r="LSW7" s="406"/>
      <c r="LSX7" s="406"/>
      <c r="LSY7" s="406"/>
      <c r="LSZ7" s="406"/>
      <c r="LTA7" s="406"/>
      <c r="LTB7" s="406"/>
      <c r="LTC7" s="406"/>
      <c r="LTD7" s="406"/>
      <c r="LTE7" s="406"/>
      <c r="LTF7" s="406"/>
      <c r="LTG7" s="406"/>
      <c r="LTH7" s="406"/>
      <c r="LTI7" s="406"/>
      <c r="LTJ7" s="406"/>
      <c r="LTK7" s="406"/>
      <c r="LTL7" s="406"/>
      <c r="LTM7" s="406"/>
      <c r="LTN7" s="406"/>
      <c r="LTO7" s="406"/>
      <c r="LTP7" s="406"/>
      <c r="LTQ7" s="406"/>
      <c r="LTR7" s="406"/>
      <c r="LTS7" s="406"/>
      <c r="LTT7" s="406"/>
      <c r="LTU7" s="406"/>
      <c r="LTV7" s="406"/>
      <c r="LTW7" s="406"/>
      <c r="LTX7" s="406"/>
      <c r="LTY7" s="406"/>
      <c r="LTZ7" s="406"/>
      <c r="LUA7" s="406"/>
      <c r="LUB7" s="406"/>
      <c r="LUC7" s="406"/>
      <c r="LUD7" s="406"/>
      <c r="LUE7" s="406"/>
      <c r="LUF7" s="406"/>
      <c r="LUG7" s="406"/>
      <c r="LUH7" s="406"/>
      <c r="LUI7" s="406"/>
      <c r="LUJ7" s="406"/>
      <c r="LUK7" s="406"/>
      <c r="LUL7" s="406"/>
      <c r="LUM7" s="406"/>
      <c r="LUN7" s="406"/>
      <c r="LUO7" s="406"/>
      <c r="LUP7" s="406"/>
      <c r="LUQ7" s="406"/>
      <c r="LUR7" s="406"/>
      <c r="LUS7" s="406"/>
      <c r="LUT7" s="406"/>
      <c r="LUU7" s="406"/>
      <c r="LUV7" s="406"/>
      <c r="LUW7" s="406"/>
      <c r="LUX7" s="406"/>
      <c r="LUY7" s="406"/>
      <c r="LUZ7" s="406"/>
      <c r="LVA7" s="406"/>
      <c r="LVB7" s="406"/>
      <c r="LVC7" s="406"/>
      <c r="LVD7" s="406"/>
      <c r="LVE7" s="406"/>
      <c r="LVF7" s="406"/>
      <c r="LVG7" s="406"/>
      <c r="LVH7" s="406"/>
      <c r="LVI7" s="406"/>
      <c r="LVJ7" s="406"/>
      <c r="LVK7" s="406"/>
      <c r="LVL7" s="406"/>
      <c r="LVM7" s="406"/>
      <c r="LVN7" s="406"/>
      <c r="LVO7" s="406"/>
      <c r="LVP7" s="406"/>
      <c r="LVQ7" s="406"/>
      <c r="LVR7" s="406"/>
      <c r="LVS7" s="406"/>
      <c r="LVT7" s="406"/>
      <c r="LVU7" s="406"/>
      <c r="LVV7" s="406"/>
      <c r="LVW7" s="406"/>
      <c r="LVX7" s="406"/>
      <c r="LVY7" s="406"/>
      <c r="LVZ7" s="406"/>
      <c r="LWA7" s="406"/>
      <c r="LWB7" s="406"/>
      <c r="LWC7" s="406"/>
      <c r="LWD7" s="406"/>
      <c r="LWE7" s="406"/>
      <c r="LWF7" s="406"/>
      <c r="LWG7" s="406"/>
      <c r="LWH7" s="406"/>
      <c r="LWI7" s="406"/>
      <c r="LWJ7" s="406"/>
      <c r="LWK7" s="406"/>
      <c r="LWL7" s="406"/>
      <c r="LWM7" s="406"/>
      <c r="LWN7" s="406"/>
      <c r="LWO7" s="406"/>
      <c r="LWP7" s="406"/>
      <c r="LWQ7" s="406"/>
      <c r="LWR7" s="406"/>
      <c r="LWS7" s="406"/>
      <c r="LWT7" s="406"/>
      <c r="LWU7" s="406"/>
      <c r="LWV7" s="406"/>
      <c r="LWW7" s="406"/>
      <c r="LWX7" s="406"/>
      <c r="LWY7" s="406"/>
      <c r="LWZ7" s="406"/>
      <c r="LXA7" s="406"/>
      <c r="LXB7" s="406"/>
      <c r="LXC7" s="406"/>
      <c r="LXD7" s="406"/>
      <c r="LXE7" s="406"/>
      <c r="LXF7" s="406"/>
      <c r="LXG7" s="406"/>
      <c r="LXH7" s="406"/>
      <c r="LXI7" s="406"/>
      <c r="LXJ7" s="406"/>
      <c r="LXK7" s="406"/>
      <c r="LXL7" s="406"/>
      <c r="LXM7" s="406"/>
      <c r="LXN7" s="406"/>
      <c r="LXO7" s="406"/>
      <c r="LXP7" s="406"/>
      <c r="LXQ7" s="406"/>
      <c r="LXR7" s="406"/>
      <c r="LXS7" s="406"/>
      <c r="LXT7" s="406"/>
      <c r="LXU7" s="406"/>
      <c r="LXV7" s="406"/>
      <c r="LXW7" s="406"/>
      <c r="LXX7" s="406"/>
      <c r="LXY7" s="406"/>
      <c r="LXZ7" s="406"/>
      <c r="LYA7" s="406"/>
      <c r="LYB7" s="406"/>
      <c r="LYC7" s="406"/>
      <c r="LYD7" s="406"/>
      <c r="LYE7" s="406"/>
      <c r="LYF7" s="406"/>
      <c r="LYG7" s="406"/>
      <c r="LYH7" s="406"/>
      <c r="LYI7" s="406"/>
      <c r="LYJ7" s="406"/>
      <c r="LYK7" s="406"/>
      <c r="LYL7" s="406"/>
      <c r="LYM7" s="406"/>
      <c r="LYN7" s="406"/>
      <c r="LYO7" s="406"/>
      <c r="LYP7" s="406"/>
      <c r="LYQ7" s="406"/>
      <c r="LYR7" s="406"/>
      <c r="LYS7" s="406"/>
      <c r="LYT7" s="406"/>
      <c r="LYU7" s="406"/>
      <c r="LYV7" s="406"/>
      <c r="LYW7" s="406"/>
      <c r="LYX7" s="406"/>
      <c r="LYY7" s="406"/>
      <c r="LYZ7" s="406"/>
      <c r="LZA7" s="406"/>
      <c r="LZB7" s="406"/>
      <c r="LZC7" s="406"/>
      <c r="LZD7" s="406"/>
      <c r="LZE7" s="406"/>
      <c r="LZF7" s="406"/>
      <c r="LZG7" s="406"/>
      <c r="LZH7" s="406"/>
      <c r="LZI7" s="406"/>
      <c r="LZJ7" s="406"/>
      <c r="LZK7" s="406"/>
      <c r="LZL7" s="406"/>
      <c r="LZM7" s="406"/>
      <c r="LZN7" s="406"/>
      <c r="LZO7" s="406"/>
      <c r="LZP7" s="406"/>
      <c r="LZQ7" s="406"/>
      <c r="LZR7" s="406"/>
      <c r="LZS7" s="406"/>
      <c r="LZT7" s="406"/>
      <c r="LZU7" s="406"/>
      <c r="LZV7" s="406"/>
      <c r="LZW7" s="406"/>
      <c r="LZX7" s="406"/>
      <c r="LZY7" s="406"/>
      <c r="LZZ7" s="406"/>
      <c r="MAA7" s="406"/>
      <c r="MAB7" s="406"/>
      <c r="MAC7" s="406"/>
      <c r="MAD7" s="406"/>
      <c r="MAE7" s="406"/>
      <c r="MAF7" s="406"/>
      <c r="MAG7" s="406"/>
      <c r="MAH7" s="406"/>
      <c r="MAI7" s="406"/>
      <c r="MAJ7" s="406"/>
      <c r="MAK7" s="406"/>
      <c r="MAL7" s="406"/>
      <c r="MAM7" s="406"/>
      <c r="MAN7" s="406"/>
      <c r="MAO7" s="406"/>
      <c r="MAP7" s="406"/>
      <c r="MAQ7" s="406"/>
      <c r="MAR7" s="406"/>
      <c r="MAS7" s="406"/>
      <c r="MAT7" s="406"/>
      <c r="MAU7" s="406"/>
      <c r="MAV7" s="406"/>
      <c r="MAW7" s="406"/>
      <c r="MAX7" s="406"/>
      <c r="MAY7" s="406"/>
      <c r="MAZ7" s="406"/>
      <c r="MBA7" s="406"/>
      <c r="MBB7" s="406"/>
      <c r="MBC7" s="406"/>
      <c r="MBD7" s="406"/>
      <c r="MBE7" s="406"/>
      <c r="MBF7" s="406"/>
      <c r="MBG7" s="406"/>
      <c r="MBH7" s="406"/>
      <c r="MBI7" s="406"/>
      <c r="MBJ7" s="406"/>
      <c r="MBK7" s="406"/>
      <c r="MBL7" s="406"/>
      <c r="MBM7" s="406"/>
      <c r="MBN7" s="406"/>
      <c r="MBO7" s="406"/>
      <c r="MBP7" s="406"/>
      <c r="MBQ7" s="406"/>
      <c r="MBR7" s="406"/>
      <c r="MBS7" s="406"/>
      <c r="MBT7" s="406"/>
      <c r="MBU7" s="406"/>
      <c r="MBV7" s="406"/>
      <c r="MBW7" s="406"/>
      <c r="MBX7" s="406"/>
      <c r="MBY7" s="406"/>
      <c r="MBZ7" s="406"/>
      <c r="MCA7" s="406"/>
      <c r="MCB7" s="406"/>
      <c r="MCC7" s="406"/>
      <c r="MCD7" s="406"/>
      <c r="MCE7" s="406"/>
      <c r="MCF7" s="406"/>
      <c r="MCG7" s="406"/>
      <c r="MCH7" s="406"/>
      <c r="MCI7" s="406"/>
      <c r="MCJ7" s="406"/>
      <c r="MCK7" s="406"/>
      <c r="MCL7" s="406"/>
      <c r="MCM7" s="406"/>
      <c r="MCN7" s="406"/>
      <c r="MCO7" s="406"/>
      <c r="MCP7" s="406"/>
      <c r="MCQ7" s="406"/>
      <c r="MCR7" s="406"/>
      <c r="MCS7" s="406"/>
      <c r="MCT7" s="406"/>
      <c r="MCU7" s="406"/>
      <c r="MCV7" s="406"/>
      <c r="MCW7" s="406"/>
      <c r="MCX7" s="406"/>
      <c r="MCY7" s="406"/>
      <c r="MCZ7" s="406"/>
      <c r="MDA7" s="406"/>
      <c r="MDB7" s="406"/>
      <c r="MDC7" s="406"/>
      <c r="MDD7" s="406"/>
      <c r="MDE7" s="406"/>
      <c r="MDF7" s="406"/>
      <c r="MDG7" s="406"/>
      <c r="MDH7" s="406"/>
      <c r="MDI7" s="406"/>
      <c r="MDJ7" s="406"/>
      <c r="MDK7" s="406"/>
      <c r="MDL7" s="406"/>
      <c r="MDM7" s="406"/>
      <c r="MDN7" s="406"/>
      <c r="MDO7" s="406"/>
      <c r="MDP7" s="406"/>
      <c r="MDQ7" s="406"/>
      <c r="MDR7" s="406"/>
      <c r="MDS7" s="406"/>
      <c r="MDT7" s="406"/>
      <c r="MDU7" s="406"/>
      <c r="MDV7" s="406"/>
      <c r="MDW7" s="406"/>
      <c r="MDX7" s="406"/>
      <c r="MDY7" s="406"/>
      <c r="MDZ7" s="406"/>
      <c r="MEA7" s="406"/>
      <c r="MEB7" s="406"/>
      <c r="MEC7" s="406"/>
      <c r="MED7" s="406"/>
      <c r="MEE7" s="406"/>
      <c r="MEF7" s="406"/>
      <c r="MEG7" s="406"/>
      <c r="MEH7" s="406"/>
      <c r="MEI7" s="406"/>
      <c r="MEJ7" s="406"/>
      <c r="MEK7" s="406"/>
      <c r="MEL7" s="406"/>
      <c r="MEM7" s="406"/>
      <c r="MEN7" s="406"/>
      <c r="MEO7" s="406"/>
      <c r="MEP7" s="406"/>
      <c r="MEQ7" s="406"/>
      <c r="MER7" s="406"/>
      <c r="MES7" s="406"/>
      <c r="MET7" s="406"/>
      <c r="MEU7" s="406"/>
      <c r="MEV7" s="406"/>
      <c r="MEW7" s="406"/>
      <c r="MEX7" s="406"/>
      <c r="MEY7" s="406"/>
      <c r="MEZ7" s="406"/>
      <c r="MFA7" s="406"/>
      <c r="MFB7" s="406"/>
      <c r="MFC7" s="406"/>
      <c r="MFD7" s="406"/>
      <c r="MFE7" s="406"/>
      <c r="MFF7" s="406"/>
      <c r="MFG7" s="406"/>
      <c r="MFH7" s="406"/>
      <c r="MFI7" s="406"/>
      <c r="MFJ7" s="406"/>
      <c r="MFK7" s="406"/>
      <c r="MFL7" s="406"/>
      <c r="MFM7" s="406"/>
      <c r="MFN7" s="406"/>
      <c r="MFO7" s="406"/>
      <c r="MFP7" s="406"/>
      <c r="MFQ7" s="406"/>
      <c r="MFR7" s="406"/>
      <c r="MFS7" s="406"/>
      <c r="MFT7" s="406"/>
      <c r="MFU7" s="406"/>
      <c r="MFV7" s="406"/>
      <c r="MFW7" s="406"/>
      <c r="MFX7" s="406"/>
      <c r="MFY7" s="406"/>
      <c r="MFZ7" s="406"/>
      <c r="MGA7" s="406"/>
      <c r="MGB7" s="406"/>
      <c r="MGC7" s="406"/>
      <c r="MGD7" s="406"/>
      <c r="MGE7" s="406"/>
      <c r="MGF7" s="406"/>
      <c r="MGG7" s="406"/>
      <c r="MGH7" s="406"/>
      <c r="MGI7" s="406"/>
      <c r="MGJ7" s="406"/>
      <c r="MGK7" s="406"/>
      <c r="MGL7" s="406"/>
      <c r="MGM7" s="406"/>
      <c r="MGN7" s="406"/>
      <c r="MGO7" s="406"/>
      <c r="MGP7" s="406"/>
      <c r="MGQ7" s="406"/>
      <c r="MGR7" s="406"/>
      <c r="MGS7" s="406"/>
      <c r="MGT7" s="406"/>
      <c r="MGU7" s="406"/>
      <c r="MGV7" s="406"/>
      <c r="MGW7" s="406"/>
      <c r="MGX7" s="406"/>
      <c r="MGY7" s="406"/>
      <c r="MGZ7" s="406"/>
      <c r="MHA7" s="406"/>
      <c r="MHB7" s="406"/>
      <c r="MHC7" s="406"/>
      <c r="MHD7" s="406"/>
      <c r="MHE7" s="406"/>
      <c r="MHF7" s="406"/>
      <c r="MHG7" s="406"/>
      <c r="MHH7" s="406"/>
      <c r="MHI7" s="406"/>
      <c r="MHJ7" s="406"/>
      <c r="MHK7" s="406"/>
      <c r="MHL7" s="406"/>
      <c r="MHM7" s="406"/>
      <c r="MHN7" s="406"/>
      <c r="MHO7" s="406"/>
      <c r="MHP7" s="406"/>
      <c r="MHQ7" s="406"/>
      <c r="MHR7" s="406"/>
      <c r="MHS7" s="406"/>
      <c r="MHT7" s="406"/>
      <c r="MHU7" s="406"/>
      <c r="MHV7" s="406"/>
      <c r="MHW7" s="406"/>
      <c r="MHX7" s="406"/>
      <c r="MHY7" s="406"/>
      <c r="MHZ7" s="406"/>
      <c r="MIA7" s="406"/>
      <c r="MIB7" s="406"/>
      <c r="MIC7" s="406"/>
      <c r="MID7" s="406"/>
      <c r="MIE7" s="406"/>
      <c r="MIF7" s="406"/>
      <c r="MIG7" s="406"/>
      <c r="MIH7" s="406"/>
      <c r="MII7" s="406"/>
      <c r="MIJ7" s="406"/>
      <c r="MIK7" s="406"/>
      <c r="MIL7" s="406"/>
      <c r="MIM7" s="406"/>
      <c r="MIN7" s="406"/>
      <c r="MIO7" s="406"/>
      <c r="MIP7" s="406"/>
      <c r="MIQ7" s="406"/>
      <c r="MIR7" s="406"/>
      <c r="MIS7" s="406"/>
      <c r="MIT7" s="406"/>
      <c r="MIU7" s="406"/>
      <c r="MIV7" s="406"/>
      <c r="MIW7" s="406"/>
      <c r="MIX7" s="406"/>
      <c r="MIY7" s="406"/>
      <c r="MIZ7" s="406"/>
      <c r="MJA7" s="406"/>
      <c r="MJB7" s="406"/>
      <c r="MJC7" s="406"/>
      <c r="MJD7" s="406"/>
      <c r="MJE7" s="406"/>
      <c r="MJF7" s="406"/>
      <c r="MJG7" s="406"/>
      <c r="MJH7" s="406"/>
      <c r="MJI7" s="406"/>
      <c r="MJJ7" s="406"/>
      <c r="MJK7" s="406"/>
      <c r="MJL7" s="406"/>
      <c r="MJM7" s="406"/>
      <c r="MJN7" s="406"/>
      <c r="MJO7" s="406"/>
      <c r="MJP7" s="406"/>
      <c r="MJQ7" s="406"/>
      <c r="MJR7" s="406"/>
      <c r="MJS7" s="406"/>
      <c r="MJT7" s="406"/>
      <c r="MJU7" s="406"/>
      <c r="MJV7" s="406"/>
      <c r="MJW7" s="406"/>
      <c r="MJX7" s="406"/>
      <c r="MJY7" s="406"/>
      <c r="MJZ7" s="406"/>
      <c r="MKA7" s="406"/>
      <c r="MKB7" s="406"/>
      <c r="MKC7" s="406"/>
      <c r="MKD7" s="406"/>
      <c r="MKE7" s="406"/>
      <c r="MKF7" s="406"/>
      <c r="MKG7" s="406"/>
      <c r="MKH7" s="406"/>
      <c r="MKI7" s="406"/>
      <c r="MKJ7" s="406"/>
      <c r="MKK7" s="406"/>
      <c r="MKL7" s="406"/>
      <c r="MKM7" s="406"/>
      <c r="MKN7" s="406"/>
      <c r="MKO7" s="406"/>
      <c r="MKP7" s="406"/>
      <c r="MKQ7" s="406"/>
      <c r="MKR7" s="406"/>
      <c r="MKS7" s="406"/>
      <c r="MKT7" s="406"/>
      <c r="MKU7" s="406"/>
      <c r="MKV7" s="406"/>
      <c r="MKW7" s="406"/>
      <c r="MKX7" s="406"/>
      <c r="MKY7" s="406"/>
      <c r="MKZ7" s="406"/>
      <c r="MLA7" s="406"/>
      <c r="MLB7" s="406"/>
      <c r="MLC7" s="406"/>
      <c r="MLD7" s="406"/>
      <c r="MLE7" s="406"/>
      <c r="MLF7" s="406"/>
      <c r="MLG7" s="406"/>
      <c r="MLH7" s="406"/>
      <c r="MLI7" s="406"/>
      <c r="MLJ7" s="406"/>
      <c r="MLK7" s="406"/>
      <c r="MLL7" s="406"/>
      <c r="MLM7" s="406"/>
      <c r="MLN7" s="406"/>
      <c r="MLO7" s="406"/>
      <c r="MLP7" s="406"/>
      <c r="MLQ7" s="406"/>
      <c r="MLR7" s="406"/>
      <c r="MLS7" s="406"/>
      <c r="MLT7" s="406"/>
      <c r="MLU7" s="406"/>
      <c r="MLV7" s="406"/>
      <c r="MLW7" s="406"/>
      <c r="MLX7" s="406"/>
      <c r="MLY7" s="406"/>
      <c r="MLZ7" s="406"/>
      <c r="MMA7" s="406"/>
      <c r="MMB7" s="406"/>
      <c r="MMC7" s="406"/>
      <c r="MMD7" s="406"/>
      <c r="MME7" s="406"/>
      <c r="MMF7" s="406"/>
      <c r="MMG7" s="406"/>
      <c r="MMH7" s="406"/>
      <c r="MMI7" s="406"/>
      <c r="MMJ7" s="406"/>
      <c r="MMK7" s="406"/>
      <c r="MML7" s="406"/>
      <c r="MMM7" s="406"/>
      <c r="MMN7" s="406"/>
      <c r="MMO7" s="406"/>
      <c r="MMP7" s="406"/>
      <c r="MMQ7" s="406"/>
      <c r="MMR7" s="406"/>
      <c r="MMS7" s="406"/>
      <c r="MMT7" s="406"/>
      <c r="MMU7" s="406"/>
      <c r="MMV7" s="406"/>
      <c r="MMW7" s="406"/>
      <c r="MMX7" s="406"/>
      <c r="MMY7" s="406"/>
      <c r="MMZ7" s="406"/>
      <c r="MNA7" s="406"/>
      <c r="MNB7" s="406"/>
      <c r="MNC7" s="406"/>
      <c r="MND7" s="406"/>
      <c r="MNE7" s="406"/>
      <c r="MNF7" s="406"/>
      <c r="MNG7" s="406"/>
      <c r="MNH7" s="406"/>
      <c r="MNI7" s="406"/>
      <c r="MNJ7" s="406"/>
      <c r="MNK7" s="406"/>
      <c r="MNL7" s="406"/>
      <c r="MNM7" s="406"/>
      <c r="MNN7" s="406"/>
      <c r="MNO7" s="406"/>
      <c r="MNP7" s="406"/>
      <c r="MNQ7" s="406"/>
      <c r="MNR7" s="406"/>
      <c r="MNS7" s="406"/>
      <c r="MNT7" s="406"/>
      <c r="MNU7" s="406"/>
      <c r="MNV7" s="406"/>
      <c r="MNW7" s="406"/>
      <c r="MNX7" s="406"/>
      <c r="MNY7" s="406"/>
      <c r="MNZ7" s="406"/>
      <c r="MOA7" s="406"/>
      <c r="MOB7" s="406"/>
      <c r="MOC7" s="406"/>
      <c r="MOD7" s="406"/>
      <c r="MOE7" s="406"/>
      <c r="MOF7" s="406"/>
      <c r="MOG7" s="406"/>
      <c r="MOH7" s="406"/>
      <c r="MOI7" s="406"/>
      <c r="MOJ7" s="406"/>
      <c r="MOK7" s="406"/>
      <c r="MOL7" s="406"/>
      <c r="MOM7" s="406"/>
      <c r="MON7" s="406"/>
      <c r="MOO7" s="406"/>
      <c r="MOP7" s="406"/>
      <c r="MOQ7" s="406"/>
      <c r="MOR7" s="406"/>
      <c r="MOS7" s="406"/>
      <c r="MOT7" s="406"/>
      <c r="MOU7" s="406"/>
      <c r="MOV7" s="406"/>
      <c r="MOW7" s="406"/>
      <c r="MOX7" s="406"/>
      <c r="MOY7" s="406"/>
      <c r="MOZ7" s="406"/>
      <c r="MPA7" s="406"/>
      <c r="MPB7" s="406"/>
      <c r="MPC7" s="406"/>
      <c r="MPD7" s="406"/>
      <c r="MPE7" s="406"/>
      <c r="MPF7" s="406"/>
      <c r="MPG7" s="406"/>
      <c r="MPH7" s="406"/>
      <c r="MPI7" s="406"/>
      <c r="MPJ7" s="406"/>
      <c r="MPK7" s="406"/>
      <c r="MPL7" s="406"/>
      <c r="MPM7" s="406"/>
      <c r="MPN7" s="406"/>
      <c r="MPO7" s="406"/>
      <c r="MPP7" s="406"/>
      <c r="MPQ7" s="406"/>
      <c r="MPR7" s="406"/>
      <c r="MPS7" s="406"/>
      <c r="MPT7" s="406"/>
      <c r="MPU7" s="406"/>
      <c r="MPV7" s="406"/>
      <c r="MPW7" s="406"/>
      <c r="MPX7" s="406"/>
      <c r="MPY7" s="406"/>
      <c r="MPZ7" s="406"/>
      <c r="MQA7" s="406"/>
      <c r="MQB7" s="406"/>
      <c r="MQC7" s="406"/>
      <c r="MQD7" s="406"/>
      <c r="MQE7" s="406"/>
      <c r="MQF7" s="406"/>
      <c r="MQG7" s="406"/>
      <c r="MQH7" s="406"/>
      <c r="MQI7" s="406"/>
      <c r="MQJ7" s="406"/>
      <c r="MQK7" s="406"/>
      <c r="MQL7" s="406"/>
      <c r="MQM7" s="406"/>
      <c r="MQN7" s="406"/>
      <c r="MQO7" s="406"/>
      <c r="MQP7" s="406"/>
      <c r="MQQ7" s="406"/>
      <c r="MQR7" s="406"/>
      <c r="MQS7" s="406"/>
      <c r="MQT7" s="406"/>
      <c r="MQU7" s="406"/>
      <c r="MQV7" s="406"/>
      <c r="MQW7" s="406"/>
      <c r="MQX7" s="406"/>
      <c r="MQY7" s="406"/>
      <c r="MQZ7" s="406"/>
      <c r="MRA7" s="406"/>
      <c r="MRB7" s="406"/>
      <c r="MRC7" s="406"/>
      <c r="MRD7" s="406"/>
      <c r="MRE7" s="406"/>
      <c r="MRF7" s="406"/>
      <c r="MRG7" s="406"/>
      <c r="MRH7" s="406"/>
      <c r="MRI7" s="406"/>
      <c r="MRJ7" s="406"/>
      <c r="MRK7" s="406"/>
      <c r="MRL7" s="406"/>
      <c r="MRM7" s="406"/>
      <c r="MRN7" s="406"/>
      <c r="MRO7" s="406"/>
      <c r="MRP7" s="406"/>
      <c r="MRQ7" s="406"/>
      <c r="MRR7" s="406"/>
      <c r="MRS7" s="406"/>
      <c r="MRT7" s="406"/>
      <c r="MRU7" s="406"/>
      <c r="MRV7" s="406"/>
      <c r="MRW7" s="406"/>
      <c r="MRX7" s="406"/>
      <c r="MRY7" s="406"/>
      <c r="MRZ7" s="406"/>
      <c r="MSA7" s="406"/>
      <c r="MSB7" s="406"/>
      <c r="MSC7" s="406"/>
      <c r="MSD7" s="406"/>
      <c r="MSE7" s="406"/>
      <c r="MSF7" s="406"/>
      <c r="MSG7" s="406"/>
      <c r="MSH7" s="406"/>
      <c r="MSI7" s="406"/>
      <c r="MSJ7" s="406"/>
      <c r="MSK7" s="406"/>
      <c r="MSL7" s="406"/>
      <c r="MSM7" s="406"/>
      <c r="MSN7" s="406"/>
      <c r="MSO7" s="406"/>
      <c r="MSP7" s="406"/>
      <c r="MSQ7" s="406"/>
      <c r="MSR7" s="406"/>
      <c r="MSS7" s="406"/>
      <c r="MST7" s="406"/>
      <c r="MSU7" s="406"/>
      <c r="MSV7" s="406"/>
      <c r="MSW7" s="406"/>
      <c r="MSX7" s="406"/>
      <c r="MSY7" s="406"/>
      <c r="MSZ7" s="406"/>
      <c r="MTA7" s="406"/>
      <c r="MTB7" s="406"/>
      <c r="MTC7" s="406"/>
      <c r="MTD7" s="406"/>
      <c r="MTE7" s="406"/>
      <c r="MTF7" s="406"/>
      <c r="MTG7" s="406"/>
      <c r="MTH7" s="406"/>
      <c r="MTI7" s="406"/>
      <c r="MTJ7" s="406"/>
      <c r="MTK7" s="406"/>
      <c r="MTL7" s="406"/>
      <c r="MTM7" s="406"/>
      <c r="MTN7" s="406"/>
      <c r="MTO7" s="406"/>
      <c r="MTP7" s="406"/>
      <c r="MTQ7" s="406"/>
      <c r="MTR7" s="406"/>
      <c r="MTS7" s="406"/>
      <c r="MTT7" s="406"/>
      <c r="MTU7" s="406"/>
      <c r="MTV7" s="406"/>
      <c r="MTW7" s="406"/>
      <c r="MTX7" s="406"/>
      <c r="MTY7" s="406"/>
      <c r="MTZ7" s="406"/>
      <c r="MUA7" s="406"/>
      <c r="MUB7" s="406"/>
      <c r="MUC7" s="406"/>
      <c r="MUD7" s="406"/>
      <c r="MUE7" s="406"/>
      <c r="MUF7" s="406"/>
      <c r="MUG7" s="406"/>
      <c r="MUH7" s="406"/>
      <c r="MUI7" s="406"/>
      <c r="MUJ7" s="406"/>
      <c r="MUK7" s="406"/>
      <c r="MUL7" s="406"/>
      <c r="MUM7" s="406"/>
      <c r="MUN7" s="406"/>
      <c r="MUO7" s="406"/>
      <c r="MUP7" s="406"/>
      <c r="MUQ7" s="406"/>
      <c r="MUR7" s="406"/>
      <c r="MUS7" s="406"/>
      <c r="MUT7" s="406"/>
      <c r="MUU7" s="406"/>
      <c r="MUV7" s="406"/>
      <c r="MUW7" s="406"/>
      <c r="MUX7" s="406"/>
      <c r="MUY7" s="406"/>
      <c r="MUZ7" s="406"/>
      <c r="MVA7" s="406"/>
      <c r="MVB7" s="406"/>
      <c r="MVC7" s="406"/>
      <c r="MVD7" s="406"/>
      <c r="MVE7" s="406"/>
      <c r="MVF7" s="406"/>
      <c r="MVG7" s="406"/>
      <c r="MVH7" s="406"/>
      <c r="MVI7" s="406"/>
      <c r="MVJ7" s="406"/>
      <c r="MVK7" s="406"/>
      <c r="MVL7" s="406"/>
      <c r="MVM7" s="406"/>
      <c r="MVN7" s="406"/>
      <c r="MVO7" s="406"/>
      <c r="MVP7" s="406"/>
      <c r="MVQ7" s="406"/>
      <c r="MVR7" s="406"/>
      <c r="MVS7" s="406"/>
      <c r="MVT7" s="406"/>
      <c r="MVU7" s="406"/>
      <c r="MVV7" s="406"/>
      <c r="MVW7" s="406"/>
      <c r="MVX7" s="406"/>
      <c r="MVY7" s="406"/>
      <c r="MVZ7" s="406"/>
      <c r="MWA7" s="406"/>
      <c r="MWB7" s="406"/>
      <c r="MWC7" s="406"/>
      <c r="MWD7" s="406"/>
      <c r="MWE7" s="406"/>
      <c r="MWF7" s="406"/>
      <c r="MWG7" s="406"/>
      <c r="MWH7" s="406"/>
      <c r="MWI7" s="406"/>
      <c r="MWJ7" s="406"/>
      <c r="MWK7" s="406"/>
      <c r="MWL7" s="406"/>
      <c r="MWM7" s="406"/>
      <c r="MWN7" s="406"/>
      <c r="MWO7" s="406"/>
      <c r="MWP7" s="406"/>
      <c r="MWQ7" s="406"/>
      <c r="MWR7" s="406"/>
      <c r="MWS7" s="406"/>
      <c r="MWT7" s="406"/>
      <c r="MWU7" s="406"/>
      <c r="MWV7" s="406"/>
      <c r="MWW7" s="406"/>
      <c r="MWX7" s="406"/>
      <c r="MWY7" s="406"/>
      <c r="MWZ7" s="406"/>
      <c r="MXA7" s="406"/>
      <c r="MXB7" s="406"/>
      <c r="MXC7" s="406"/>
      <c r="MXD7" s="406"/>
      <c r="MXE7" s="406"/>
      <c r="MXF7" s="406"/>
      <c r="MXG7" s="406"/>
      <c r="MXH7" s="406"/>
      <c r="MXI7" s="406"/>
      <c r="MXJ7" s="406"/>
      <c r="MXK7" s="406"/>
      <c r="MXL7" s="406"/>
      <c r="MXM7" s="406"/>
      <c r="MXN7" s="406"/>
      <c r="MXO7" s="406"/>
      <c r="MXP7" s="406"/>
      <c r="MXQ7" s="406"/>
      <c r="MXR7" s="406"/>
      <c r="MXS7" s="406"/>
      <c r="MXT7" s="406"/>
      <c r="MXU7" s="406"/>
      <c r="MXV7" s="406"/>
      <c r="MXW7" s="406"/>
      <c r="MXX7" s="406"/>
      <c r="MXY7" s="406"/>
      <c r="MXZ7" s="406"/>
      <c r="MYA7" s="406"/>
      <c r="MYB7" s="406"/>
      <c r="MYC7" s="406"/>
      <c r="MYD7" s="406"/>
      <c r="MYE7" s="406"/>
      <c r="MYF7" s="406"/>
      <c r="MYG7" s="406"/>
      <c r="MYH7" s="406"/>
      <c r="MYI7" s="406"/>
      <c r="MYJ7" s="406"/>
      <c r="MYK7" s="406"/>
      <c r="MYL7" s="406"/>
      <c r="MYM7" s="406"/>
      <c r="MYN7" s="406"/>
      <c r="MYO7" s="406"/>
      <c r="MYP7" s="406"/>
      <c r="MYQ7" s="406"/>
      <c r="MYR7" s="406"/>
      <c r="MYS7" s="406"/>
      <c r="MYT7" s="406"/>
      <c r="MYU7" s="406"/>
      <c r="MYV7" s="406"/>
      <c r="MYW7" s="406"/>
      <c r="MYX7" s="406"/>
      <c r="MYY7" s="406"/>
      <c r="MYZ7" s="406"/>
      <c r="MZA7" s="406"/>
      <c r="MZB7" s="406"/>
      <c r="MZC7" s="406"/>
      <c r="MZD7" s="406"/>
      <c r="MZE7" s="406"/>
      <c r="MZF7" s="406"/>
      <c r="MZG7" s="406"/>
      <c r="MZH7" s="406"/>
      <c r="MZI7" s="406"/>
      <c r="MZJ7" s="406"/>
      <c r="MZK7" s="406"/>
      <c r="MZL7" s="406"/>
      <c r="MZM7" s="406"/>
      <c r="MZN7" s="406"/>
      <c r="MZO7" s="406"/>
      <c r="MZP7" s="406"/>
      <c r="MZQ7" s="406"/>
      <c r="MZR7" s="406"/>
      <c r="MZS7" s="406"/>
      <c r="MZT7" s="406"/>
      <c r="MZU7" s="406"/>
      <c r="MZV7" s="406"/>
      <c r="MZW7" s="406"/>
      <c r="MZX7" s="406"/>
      <c r="MZY7" s="406"/>
      <c r="MZZ7" s="406"/>
      <c r="NAA7" s="406"/>
      <c r="NAB7" s="406"/>
      <c r="NAC7" s="406"/>
      <c r="NAD7" s="406"/>
      <c r="NAE7" s="406"/>
      <c r="NAF7" s="406"/>
      <c r="NAG7" s="406"/>
      <c r="NAH7" s="406"/>
      <c r="NAI7" s="406"/>
      <c r="NAJ7" s="406"/>
      <c r="NAK7" s="406"/>
      <c r="NAL7" s="406"/>
      <c r="NAM7" s="406"/>
      <c r="NAN7" s="406"/>
      <c r="NAO7" s="406"/>
      <c r="NAP7" s="406"/>
      <c r="NAQ7" s="406"/>
      <c r="NAR7" s="406"/>
      <c r="NAS7" s="406"/>
      <c r="NAT7" s="406"/>
      <c r="NAU7" s="406"/>
      <c r="NAV7" s="406"/>
      <c r="NAW7" s="406"/>
      <c r="NAX7" s="406"/>
      <c r="NAY7" s="406"/>
      <c r="NAZ7" s="406"/>
      <c r="NBA7" s="406"/>
      <c r="NBB7" s="406"/>
      <c r="NBC7" s="406"/>
      <c r="NBD7" s="406"/>
      <c r="NBE7" s="406"/>
      <c r="NBF7" s="406"/>
      <c r="NBG7" s="406"/>
      <c r="NBH7" s="406"/>
      <c r="NBI7" s="406"/>
      <c r="NBJ7" s="406"/>
      <c r="NBK7" s="406"/>
      <c r="NBL7" s="406"/>
      <c r="NBM7" s="406"/>
      <c r="NBN7" s="406"/>
      <c r="NBO7" s="406"/>
      <c r="NBP7" s="406"/>
      <c r="NBQ7" s="406"/>
      <c r="NBR7" s="406"/>
      <c r="NBS7" s="406"/>
      <c r="NBT7" s="406"/>
      <c r="NBU7" s="406"/>
      <c r="NBV7" s="406"/>
      <c r="NBW7" s="406"/>
      <c r="NBX7" s="406"/>
      <c r="NBY7" s="406"/>
      <c r="NBZ7" s="406"/>
      <c r="NCA7" s="406"/>
      <c r="NCB7" s="406"/>
      <c r="NCC7" s="406"/>
      <c r="NCD7" s="406"/>
      <c r="NCE7" s="406"/>
      <c r="NCF7" s="406"/>
      <c r="NCG7" s="406"/>
      <c r="NCH7" s="406"/>
      <c r="NCI7" s="406"/>
      <c r="NCJ7" s="406"/>
      <c r="NCK7" s="406"/>
      <c r="NCL7" s="406"/>
      <c r="NCM7" s="406"/>
      <c r="NCN7" s="406"/>
      <c r="NCO7" s="406"/>
      <c r="NCP7" s="406"/>
      <c r="NCQ7" s="406"/>
      <c r="NCR7" s="406"/>
      <c r="NCS7" s="406"/>
      <c r="NCT7" s="406"/>
      <c r="NCU7" s="406"/>
      <c r="NCV7" s="406"/>
      <c r="NCW7" s="406"/>
      <c r="NCX7" s="406"/>
      <c r="NCY7" s="406"/>
      <c r="NCZ7" s="406"/>
      <c r="NDA7" s="406"/>
      <c r="NDB7" s="406"/>
      <c r="NDC7" s="406"/>
      <c r="NDD7" s="406"/>
      <c r="NDE7" s="406"/>
      <c r="NDF7" s="406"/>
      <c r="NDG7" s="406"/>
      <c r="NDH7" s="406"/>
      <c r="NDI7" s="406"/>
      <c r="NDJ7" s="406"/>
      <c r="NDK7" s="406"/>
      <c r="NDL7" s="406"/>
      <c r="NDM7" s="406"/>
      <c r="NDN7" s="406"/>
      <c r="NDO7" s="406"/>
      <c r="NDP7" s="406"/>
      <c r="NDQ7" s="406"/>
      <c r="NDR7" s="406"/>
      <c r="NDS7" s="406"/>
      <c r="NDT7" s="406"/>
      <c r="NDU7" s="406"/>
      <c r="NDV7" s="406"/>
      <c r="NDW7" s="406"/>
      <c r="NDX7" s="406"/>
      <c r="NDY7" s="406"/>
      <c r="NDZ7" s="406"/>
      <c r="NEA7" s="406"/>
      <c r="NEB7" s="406"/>
      <c r="NEC7" s="406"/>
      <c r="NED7" s="406"/>
      <c r="NEE7" s="406"/>
      <c r="NEF7" s="406"/>
      <c r="NEG7" s="406"/>
      <c r="NEH7" s="406"/>
      <c r="NEI7" s="406"/>
      <c r="NEJ7" s="406"/>
      <c r="NEK7" s="406"/>
      <c r="NEL7" s="406"/>
      <c r="NEM7" s="406"/>
      <c r="NEN7" s="406"/>
      <c r="NEO7" s="406"/>
      <c r="NEP7" s="406"/>
      <c r="NEQ7" s="406"/>
      <c r="NER7" s="406"/>
      <c r="NES7" s="406"/>
      <c r="NET7" s="406"/>
      <c r="NEU7" s="406"/>
      <c r="NEV7" s="406"/>
      <c r="NEW7" s="406"/>
      <c r="NEX7" s="406"/>
      <c r="NEY7" s="406"/>
      <c r="NEZ7" s="406"/>
      <c r="NFA7" s="406"/>
      <c r="NFB7" s="406"/>
      <c r="NFC7" s="406"/>
      <c r="NFD7" s="406"/>
      <c r="NFE7" s="406"/>
      <c r="NFF7" s="406"/>
      <c r="NFG7" s="406"/>
      <c r="NFH7" s="406"/>
      <c r="NFI7" s="406"/>
      <c r="NFJ7" s="406"/>
      <c r="NFK7" s="406"/>
      <c r="NFL7" s="406"/>
      <c r="NFM7" s="406"/>
      <c r="NFN7" s="406"/>
      <c r="NFO7" s="406"/>
      <c r="NFP7" s="406"/>
      <c r="NFQ7" s="406"/>
      <c r="NFR7" s="406"/>
      <c r="NFS7" s="406"/>
      <c r="NFT7" s="406"/>
      <c r="NFU7" s="406"/>
      <c r="NFV7" s="406"/>
      <c r="NFW7" s="406"/>
      <c r="NFX7" s="406"/>
      <c r="NFY7" s="406"/>
      <c r="NFZ7" s="406"/>
      <c r="NGA7" s="406"/>
      <c r="NGB7" s="406"/>
      <c r="NGC7" s="406"/>
      <c r="NGD7" s="406"/>
      <c r="NGE7" s="406"/>
      <c r="NGF7" s="406"/>
      <c r="NGG7" s="406"/>
      <c r="NGH7" s="406"/>
      <c r="NGI7" s="406"/>
      <c r="NGJ7" s="406"/>
      <c r="NGK7" s="406"/>
      <c r="NGL7" s="406"/>
      <c r="NGM7" s="406"/>
      <c r="NGN7" s="406"/>
      <c r="NGO7" s="406"/>
      <c r="NGP7" s="406"/>
      <c r="NGQ7" s="406"/>
      <c r="NGR7" s="406"/>
      <c r="NGS7" s="406"/>
      <c r="NGT7" s="406"/>
      <c r="NGU7" s="406"/>
      <c r="NGV7" s="406"/>
      <c r="NGW7" s="406"/>
      <c r="NGX7" s="406"/>
      <c r="NGY7" s="406"/>
      <c r="NGZ7" s="406"/>
      <c r="NHA7" s="406"/>
      <c r="NHB7" s="406"/>
      <c r="NHC7" s="406"/>
      <c r="NHD7" s="406"/>
      <c r="NHE7" s="406"/>
      <c r="NHF7" s="406"/>
      <c r="NHG7" s="406"/>
      <c r="NHH7" s="406"/>
      <c r="NHI7" s="406"/>
      <c r="NHJ7" s="406"/>
      <c r="NHK7" s="406"/>
      <c r="NHL7" s="406"/>
      <c r="NHM7" s="406"/>
      <c r="NHN7" s="406"/>
      <c r="NHO7" s="406"/>
      <c r="NHP7" s="406"/>
      <c r="NHQ7" s="406"/>
      <c r="NHR7" s="406"/>
      <c r="NHS7" s="406"/>
      <c r="NHT7" s="406"/>
      <c r="NHU7" s="406"/>
      <c r="NHV7" s="406"/>
      <c r="NHW7" s="406"/>
      <c r="NHX7" s="406"/>
      <c r="NHY7" s="406"/>
      <c r="NHZ7" s="406"/>
      <c r="NIA7" s="406"/>
      <c r="NIB7" s="406"/>
      <c r="NIC7" s="406"/>
      <c r="NID7" s="406"/>
      <c r="NIE7" s="406"/>
      <c r="NIF7" s="406"/>
      <c r="NIG7" s="406"/>
      <c r="NIH7" s="406"/>
      <c r="NII7" s="406"/>
      <c r="NIJ7" s="406"/>
      <c r="NIK7" s="406"/>
      <c r="NIL7" s="406"/>
      <c r="NIM7" s="406"/>
      <c r="NIN7" s="406"/>
      <c r="NIO7" s="406"/>
      <c r="NIP7" s="406"/>
      <c r="NIQ7" s="406"/>
      <c r="NIR7" s="406"/>
      <c r="NIS7" s="406"/>
      <c r="NIT7" s="406"/>
      <c r="NIU7" s="406"/>
      <c r="NIV7" s="406"/>
      <c r="NIW7" s="406"/>
      <c r="NIX7" s="406"/>
      <c r="NIY7" s="406"/>
      <c r="NIZ7" s="406"/>
      <c r="NJA7" s="406"/>
      <c r="NJB7" s="406"/>
      <c r="NJC7" s="406"/>
      <c r="NJD7" s="406"/>
      <c r="NJE7" s="406"/>
      <c r="NJF7" s="406"/>
      <c r="NJG7" s="406"/>
      <c r="NJH7" s="406"/>
      <c r="NJI7" s="406"/>
      <c r="NJJ7" s="406"/>
      <c r="NJK7" s="406"/>
      <c r="NJL7" s="406"/>
      <c r="NJM7" s="406"/>
      <c r="NJN7" s="406"/>
      <c r="NJO7" s="406"/>
      <c r="NJP7" s="406"/>
      <c r="NJQ7" s="406"/>
      <c r="NJR7" s="406"/>
      <c r="NJS7" s="406"/>
      <c r="NJT7" s="406"/>
      <c r="NJU7" s="406"/>
      <c r="NJV7" s="406"/>
      <c r="NJW7" s="406"/>
      <c r="NJX7" s="406"/>
      <c r="NJY7" s="406"/>
      <c r="NJZ7" s="406"/>
      <c r="NKA7" s="406"/>
      <c r="NKB7" s="406"/>
      <c r="NKC7" s="406"/>
      <c r="NKD7" s="406"/>
      <c r="NKE7" s="406"/>
      <c r="NKF7" s="406"/>
      <c r="NKG7" s="406"/>
      <c r="NKH7" s="406"/>
      <c r="NKI7" s="406"/>
      <c r="NKJ7" s="406"/>
      <c r="NKK7" s="406"/>
      <c r="NKL7" s="406"/>
      <c r="NKM7" s="406"/>
      <c r="NKN7" s="406"/>
      <c r="NKO7" s="406"/>
      <c r="NKP7" s="406"/>
      <c r="NKQ7" s="406"/>
      <c r="NKR7" s="406"/>
      <c r="NKS7" s="406"/>
      <c r="NKT7" s="406"/>
      <c r="NKU7" s="406"/>
      <c r="NKV7" s="406"/>
      <c r="NKW7" s="406"/>
      <c r="NKX7" s="406"/>
      <c r="NKY7" s="406"/>
      <c r="NKZ7" s="406"/>
      <c r="NLA7" s="406"/>
      <c r="NLB7" s="406"/>
      <c r="NLC7" s="406"/>
      <c r="NLD7" s="406"/>
      <c r="NLE7" s="406"/>
      <c r="NLF7" s="406"/>
      <c r="NLG7" s="406"/>
      <c r="NLH7" s="406"/>
      <c r="NLI7" s="406"/>
      <c r="NLJ7" s="406"/>
      <c r="NLK7" s="406"/>
      <c r="NLL7" s="406"/>
      <c r="NLM7" s="406"/>
      <c r="NLN7" s="406"/>
      <c r="NLO7" s="406"/>
      <c r="NLP7" s="406"/>
      <c r="NLQ7" s="406"/>
      <c r="NLR7" s="406"/>
      <c r="NLS7" s="406"/>
      <c r="NLT7" s="406"/>
      <c r="NLU7" s="406"/>
      <c r="NLV7" s="406"/>
      <c r="NLW7" s="406"/>
      <c r="NLX7" s="406"/>
      <c r="NLY7" s="406"/>
      <c r="NLZ7" s="406"/>
      <c r="NMA7" s="406"/>
      <c r="NMB7" s="406"/>
      <c r="NMC7" s="406"/>
      <c r="NMD7" s="406"/>
      <c r="NME7" s="406"/>
      <c r="NMF7" s="406"/>
      <c r="NMG7" s="406"/>
      <c r="NMH7" s="406"/>
      <c r="NMI7" s="406"/>
      <c r="NMJ7" s="406"/>
      <c r="NMK7" s="406"/>
      <c r="NML7" s="406"/>
      <c r="NMM7" s="406"/>
      <c r="NMN7" s="406"/>
      <c r="NMO7" s="406"/>
      <c r="NMP7" s="406"/>
      <c r="NMQ7" s="406"/>
      <c r="NMR7" s="406"/>
      <c r="NMS7" s="406"/>
      <c r="NMT7" s="406"/>
      <c r="NMU7" s="406"/>
      <c r="NMV7" s="406"/>
      <c r="NMW7" s="406"/>
      <c r="NMX7" s="406"/>
      <c r="NMY7" s="406"/>
      <c r="NMZ7" s="406"/>
      <c r="NNA7" s="406"/>
      <c r="NNB7" s="406"/>
      <c r="NNC7" s="406"/>
      <c r="NND7" s="406"/>
      <c r="NNE7" s="406"/>
      <c r="NNF7" s="406"/>
      <c r="NNG7" s="406"/>
      <c r="NNH7" s="406"/>
      <c r="NNI7" s="406"/>
      <c r="NNJ7" s="406"/>
      <c r="NNK7" s="406"/>
      <c r="NNL7" s="406"/>
      <c r="NNM7" s="406"/>
      <c r="NNN7" s="406"/>
      <c r="NNO7" s="406"/>
      <c r="NNP7" s="406"/>
      <c r="NNQ7" s="406"/>
      <c r="NNR7" s="406"/>
      <c r="NNS7" s="406"/>
      <c r="NNT7" s="406"/>
      <c r="NNU7" s="406"/>
      <c r="NNV7" s="406"/>
      <c r="NNW7" s="406"/>
      <c r="NNX7" s="406"/>
      <c r="NNY7" s="406"/>
      <c r="NNZ7" s="406"/>
      <c r="NOA7" s="406"/>
      <c r="NOB7" s="406"/>
      <c r="NOC7" s="406"/>
      <c r="NOD7" s="406"/>
      <c r="NOE7" s="406"/>
      <c r="NOF7" s="406"/>
      <c r="NOG7" s="406"/>
      <c r="NOH7" s="406"/>
      <c r="NOI7" s="406"/>
      <c r="NOJ7" s="406"/>
      <c r="NOK7" s="406"/>
      <c r="NOL7" s="406"/>
      <c r="NOM7" s="406"/>
      <c r="NON7" s="406"/>
      <c r="NOO7" s="406"/>
      <c r="NOP7" s="406"/>
      <c r="NOQ7" s="406"/>
      <c r="NOR7" s="406"/>
      <c r="NOS7" s="406"/>
      <c r="NOT7" s="406"/>
      <c r="NOU7" s="406"/>
      <c r="NOV7" s="406"/>
      <c r="NOW7" s="406"/>
      <c r="NOX7" s="406"/>
      <c r="NOY7" s="406"/>
      <c r="NOZ7" s="406"/>
      <c r="NPA7" s="406"/>
      <c r="NPB7" s="406"/>
      <c r="NPC7" s="406"/>
      <c r="NPD7" s="406"/>
      <c r="NPE7" s="406"/>
      <c r="NPF7" s="406"/>
      <c r="NPG7" s="406"/>
      <c r="NPH7" s="406"/>
      <c r="NPI7" s="406"/>
      <c r="NPJ7" s="406"/>
      <c r="NPK7" s="406"/>
      <c r="NPL7" s="406"/>
      <c r="NPM7" s="406"/>
      <c r="NPN7" s="406"/>
      <c r="NPO7" s="406"/>
      <c r="NPP7" s="406"/>
      <c r="NPQ7" s="406"/>
      <c r="NPR7" s="406"/>
      <c r="NPS7" s="406"/>
      <c r="NPT7" s="406"/>
      <c r="NPU7" s="406"/>
      <c r="NPV7" s="406"/>
      <c r="NPW7" s="406"/>
      <c r="NPX7" s="406"/>
      <c r="NPY7" s="406"/>
      <c r="NPZ7" s="406"/>
      <c r="NQA7" s="406"/>
      <c r="NQB7" s="406"/>
      <c r="NQC7" s="406"/>
      <c r="NQD7" s="406"/>
      <c r="NQE7" s="406"/>
      <c r="NQF7" s="406"/>
      <c r="NQG7" s="406"/>
      <c r="NQH7" s="406"/>
      <c r="NQI7" s="406"/>
      <c r="NQJ7" s="406"/>
      <c r="NQK7" s="406"/>
      <c r="NQL7" s="406"/>
      <c r="NQM7" s="406"/>
      <c r="NQN7" s="406"/>
      <c r="NQO7" s="406"/>
      <c r="NQP7" s="406"/>
      <c r="NQQ7" s="406"/>
      <c r="NQR7" s="406"/>
      <c r="NQS7" s="406"/>
      <c r="NQT7" s="406"/>
      <c r="NQU7" s="406"/>
      <c r="NQV7" s="406"/>
      <c r="NQW7" s="406"/>
      <c r="NQX7" s="406"/>
      <c r="NQY7" s="406"/>
      <c r="NQZ7" s="406"/>
      <c r="NRA7" s="406"/>
      <c r="NRB7" s="406"/>
      <c r="NRC7" s="406"/>
      <c r="NRD7" s="406"/>
      <c r="NRE7" s="406"/>
      <c r="NRF7" s="406"/>
      <c r="NRG7" s="406"/>
      <c r="NRH7" s="406"/>
      <c r="NRI7" s="406"/>
      <c r="NRJ7" s="406"/>
      <c r="NRK7" s="406"/>
      <c r="NRL7" s="406"/>
      <c r="NRM7" s="406"/>
      <c r="NRN7" s="406"/>
      <c r="NRO7" s="406"/>
      <c r="NRP7" s="406"/>
      <c r="NRQ7" s="406"/>
      <c r="NRR7" s="406"/>
      <c r="NRS7" s="406"/>
      <c r="NRT7" s="406"/>
      <c r="NRU7" s="406"/>
      <c r="NRV7" s="406"/>
      <c r="NRW7" s="406"/>
      <c r="NRX7" s="406"/>
      <c r="NRY7" s="406"/>
      <c r="NRZ7" s="406"/>
      <c r="NSA7" s="406"/>
      <c r="NSB7" s="406"/>
      <c r="NSC7" s="406"/>
      <c r="NSD7" s="406"/>
      <c r="NSE7" s="406"/>
      <c r="NSF7" s="406"/>
      <c r="NSG7" s="406"/>
      <c r="NSH7" s="406"/>
      <c r="NSI7" s="406"/>
      <c r="NSJ7" s="406"/>
      <c r="NSK7" s="406"/>
      <c r="NSL7" s="406"/>
      <c r="NSM7" s="406"/>
      <c r="NSN7" s="406"/>
      <c r="NSO7" s="406"/>
      <c r="NSP7" s="406"/>
      <c r="NSQ7" s="406"/>
      <c r="NSR7" s="406"/>
      <c r="NSS7" s="406"/>
      <c r="NST7" s="406"/>
      <c r="NSU7" s="406"/>
      <c r="NSV7" s="406"/>
      <c r="NSW7" s="406"/>
      <c r="NSX7" s="406"/>
      <c r="NSY7" s="406"/>
      <c r="NSZ7" s="406"/>
      <c r="NTA7" s="406"/>
      <c r="NTB7" s="406"/>
      <c r="NTC7" s="406"/>
      <c r="NTD7" s="406"/>
      <c r="NTE7" s="406"/>
      <c r="NTF7" s="406"/>
      <c r="NTG7" s="406"/>
      <c r="NTH7" s="406"/>
      <c r="NTI7" s="406"/>
      <c r="NTJ7" s="406"/>
      <c r="NTK7" s="406"/>
      <c r="NTL7" s="406"/>
      <c r="NTM7" s="406"/>
      <c r="NTN7" s="406"/>
      <c r="NTO7" s="406"/>
      <c r="NTP7" s="406"/>
      <c r="NTQ7" s="406"/>
      <c r="NTR7" s="406"/>
      <c r="NTS7" s="406"/>
      <c r="NTT7" s="406"/>
      <c r="NTU7" s="406"/>
      <c r="NTV7" s="406"/>
      <c r="NTW7" s="406"/>
      <c r="NTX7" s="406"/>
      <c r="NTY7" s="406"/>
      <c r="NTZ7" s="406"/>
      <c r="NUA7" s="406"/>
      <c r="NUB7" s="406"/>
      <c r="NUC7" s="406"/>
      <c r="NUD7" s="406"/>
      <c r="NUE7" s="406"/>
      <c r="NUF7" s="406"/>
      <c r="NUG7" s="406"/>
      <c r="NUH7" s="406"/>
      <c r="NUI7" s="406"/>
      <c r="NUJ7" s="406"/>
      <c r="NUK7" s="406"/>
      <c r="NUL7" s="406"/>
      <c r="NUM7" s="406"/>
      <c r="NUN7" s="406"/>
      <c r="NUO7" s="406"/>
      <c r="NUP7" s="406"/>
      <c r="NUQ7" s="406"/>
      <c r="NUR7" s="406"/>
      <c r="NUS7" s="406"/>
      <c r="NUT7" s="406"/>
      <c r="NUU7" s="406"/>
      <c r="NUV7" s="406"/>
      <c r="NUW7" s="406"/>
      <c r="NUX7" s="406"/>
      <c r="NUY7" s="406"/>
      <c r="NUZ7" s="406"/>
      <c r="NVA7" s="406"/>
      <c r="NVB7" s="406"/>
      <c r="NVC7" s="406"/>
      <c r="NVD7" s="406"/>
      <c r="NVE7" s="406"/>
      <c r="NVF7" s="406"/>
      <c r="NVG7" s="406"/>
      <c r="NVH7" s="406"/>
      <c r="NVI7" s="406"/>
      <c r="NVJ7" s="406"/>
      <c r="NVK7" s="406"/>
      <c r="NVL7" s="406"/>
      <c r="NVM7" s="406"/>
      <c r="NVN7" s="406"/>
      <c r="NVO7" s="406"/>
      <c r="NVP7" s="406"/>
      <c r="NVQ7" s="406"/>
      <c r="NVR7" s="406"/>
      <c r="NVS7" s="406"/>
      <c r="NVT7" s="406"/>
      <c r="NVU7" s="406"/>
      <c r="NVV7" s="406"/>
      <c r="NVW7" s="406"/>
      <c r="NVX7" s="406"/>
      <c r="NVY7" s="406"/>
      <c r="NVZ7" s="406"/>
      <c r="NWA7" s="406"/>
      <c r="NWB7" s="406"/>
      <c r="NWC7" s="406"/>
      <c r="NWD7" s="406"/>
      <c r="NWE7" s="406"/>
      <c r="NWF7" s="406"/>
      <c r="NWG7" s="406"/>
      <c r="NWH7" s="406"/>
      <c r="NWI7" s="406"/>
      <c r="NWJ7" s="406"/>
      <c r="NWK7" s="406"/>
      <c r="NWL7" s="406"/>
      <c r="NWM7" s="406"/>
      <c r="NWN7" s="406"/>
      <c r="NWO7" s="406"/>
      <c r="NWP7" s="406"/>
      <c r="NWQ7" s="406"/>
      <c r="NWR7" s="406"/>
      <c r="NWS7" s="406"/>
      <c r="NWT7" s="406"/>
      <c r="NWU7" s="406"/>
      <c r="NWV7" s="406"/>
      <c r="NWW7" s="406"/>
      <c r="NWX7" s="406"/>
      <c r="NWY7" s="406"/>
      <c r="NWZ7" s="406"/>
      <c r="NXA7" s="406"/>
      <c r="NXB7" s="406"/>
      <c r="NXC7" s="406"/>
      <c r="NXD7" s="406"/>
      <c r="NXE7" s="406"/>
      <c r="NXF7" s="406"/>
      <c r="NXG7" s="406"/>
      <c r="NXH7" s="406"/>
      <c r="NXI7" s="406"/>
      <c r="NXJ7" s="406"/>
      <c r="NXK7" s="406"/>
      <c r="NXL7" s="406"/>
      <c r="NXM7" s="406"/>
      <c r="NXN7" s="406"/>
      <c r="NXO7" s="406"/>
      <c r="NXP7" s="406"/>
      <c r="NXQ7" s="406"/>
      <c r="NXR7" s="406"/>
      <c r="NXS7" s="406"/>
      <c r="NXT7" s="406"/>
      <c r="NXU7" s="406"/>
      <c r="NXV7" s="406"/>
      <c r="NXW7" s="406"/>
      <c r="NXX7" s="406"/>
      <c r="NXY7" s="406"/>
      <c r="NXZ7" s="406"/>
      <c r="NYA7" s="406"/>
      <c r="NYB7" s="406"/>
      <c r="NYC7" s="406"/>
      <c r="NYD7" s="406"/>
      <c r="NYE7" s="406"/>
      <c r="NYF7" s="406"/>
      <c r="NYG7" s="406"/>
      <c r="NYH7" s="406"/>
      <c r="NYI7" s="406"/>
      <c r="NYJ7" s="406"/>
      <c r="NYK7" s="406"/>
      <c r="NYL7" s="406"/>
      <c r="NYM7" s="406"/>
      <c r="NYN7" s="406"/>
      <c r="NYO7" s="406"/>
      <c r="NYP7" s="406"/>
      <c r="NYQ7" s="406"/>
      <c r="NYR7" s="406"/>
      <c r="NYS7" s="406"/>
      <c r="NYT7" s="406"/>
      <c r="NYU7" s="406"/>
      <c r="NYV7" s="406"/>
      <c r="NYW7" s="406"/>
      <c r="NYX7" s="406"/>
      <c r="NYY7" s="406"/>
      <c r="NYZ7" s="406"/>
      <c r="NZA7" s="406"/>
      <c r="NZB7" s="406"/>
      <c r="NZC7" s="406"/>
      <c r="NZD7" s="406"/>
      <c r="NZE7" s="406"/>
      <c r="NZF7" s="406"/>
      <c r="NZG7" s="406"/>
      <c r="NZH7" s="406"/>
      <c r="NZI7" s="406"/>
      <c r="NZJ7" s="406"/>
      <c r="NZK7" s="406"/>
      <c r="NZL7" s="406"/>
      <c r="NZM7" s="406"/>
      <c r="NZN7" s="406"/>
      <c r="NZO7" s="406"/>
      <c r="NZP7" s="406"/>
      <c r="NZQ7" s="406"/>
      <c r="NZR7" s="406"/>
      <c r="NZS7" s="406"/>
      <c r="NZT7" s="406"/>
      <c r="NZU7" s="406"/>
      <c r="NZV7" s="406"/>
      <c r="NZW7" s="406"/>
      <c r="NZX7" s="406"/>
      <c r="NZY7" s="406"/>
      <c r="NZZ7" s="406"/>
      <c r="OAA7" s="406"/>
      <c r="OAB7" s="406"/>
      <c r="OAC7" s="406"/>
      <c r="OAD7" s="406"/>
      <c r="OAE7" s="406"/>
      <c r="OAF7" s="406"/>
      <c r="OAG7" s="406"/>
      <c r="OAH7" s="406"/>
      <c r="OAI7" s="406"/>
      <c r="OAJ7" s="406"/>
      <c r="OAK7" s="406"/>
      <c r="OAL7" s="406"/>
      <c r="OAM7" s="406"/>
      <c r="OAN7" s="406"/>
      <c r="OAO7" s="406"/>
      <c r="OAP7" s="406"/>
      <c r="OAQ7" s="406"/>
      <c r="OAR7" s="406"/>
      <c r="OAS7" s="406"/>
      <c r="OAT7" s="406"/>
      <c r="OAU7" s="406"/>
      <c r="OAV7" s="406"/>
      <c r="OAW7" s="406"/>
      <c r="OAX7" s="406"/>
      <c r="OAY7" s="406"/>
      <c r="OAZ7" s="406"/>
      <c r="OBA7" s="406"/>
      <c r="OBB7" s="406"/>
      <c r="OBC7" s="406"/>
      <c r="OBD7" s="406"/>
      <c r="OBE7" s="406"/>
      <c r="OBF7" s="406"/>
      <c r="OBG7" s="406"/>
      <c r="OBH7" s="406"/>
      <c r="OBI7" s="406"/>
      <c r="OBJ7" s="406"/>
      <c r="OBK7" s="406"/>
      <c r="OBL7" s="406"/>
      <c r="OBM7" s="406"/>
      <c r="OBN7" s="406"/>
      <c r="OBO7" s="406"/>
      <c r="OBP7" s="406"/>
      <c r="OBQ7" s="406"/>
      <c r="OBR7" s="406"/>
      <c r="OBS7" s="406"/>
      <c r="OBT7" s="406"/>
      <c r="OBU7" s="406"/>
      <c r="OBV7" s="406"/>
      <c r="OBW7" s="406"/>
      <c r="OBX7" s="406"/>
      <c r="OBY7" s="406"/>
      <c r="OBZ7" s="406"/>
      <c r="OCA7" s="406"/>
      <c r="OCB7" s="406"/>
      <c r="OCC7" s="406"/>
      <c r="OCD7" s="406"/>
      <c r="OCE7" s="406"/>
      <c r="OCF7" s="406"/>
      <c r="OCG7" s="406"/>
      <c r="OCH7" s="406"/>
      <c r="OCI7" s="406"/>
      <c r="OCJ7" s="406"/>
      <c r="OCK7" s="406"/>
      <c r="OCL7" s="406"/>
      <c r="OCM7" s="406"/>
      <c r="OCN7" s="406"/>
      <c r="OCO7" s="406"/>
      <c r="OCP7" s="406"/>
      <c r="OCQ7" s="406"/>
      <c r="OCR7" s="406"/>
      <c r="OCS7" s="406"/>
      <c r="OCT7" s="406"/>
      <c r="OCU7" s="406"/>
      <c r="OCV7" s="406"/>
      <c r="OCW7" s="406"/>
      <c r="OCX7" s="406"/>
      <c r="OCY7" s="406"/>
      <c r="OCZ7" s="406"/>
      <c r="ODA7" s="406"/>
      <c r="ODB7" s="406"/>
      <c r="ODC7" s="406"/>
      <c r="ODD7" s="406"/>
      <c r="ODE7" s="406"/>
      <c r="ODF7" s="406"/>
      <c r="ODG7" s="406"/>
      <c r="ODH7" s="406"/>
      <c r="ODI7" s="406"/>
      <c r="ODJ7" s="406"/>
      <c r="ODK7" s="406"/>
      <c r="ODL7" s="406"/>
      <c r="ODM7" s="406"/>
      <c r="ODN7" s="406"/>
      <c r="ODO7" s="406"/>
      <c r="ODP7" s="406"/>
      <c r="ODQ7" s="406"/>
      <c r="ODR7" s="406"/>
      <c r="ODS7" s="406"/>
      <c r="ODT7" s="406"/>
      <c r="ODU7" s="406"/>
      <c r="ODV7" s="406"/>
      <c r="ODW7" s="406"/>
      <c r="ODX7" s="406"/>
      <c r="ODY7" s="406"/>
      <c r="ODZ7" s="406"/>
      <c r="OEA7" s="406"/>
      <c r="OEB7" s="406"/>
      <c r="OEC7" s="406"/>
      <c r="OED7" s="406"/>
      <c r="OEE7" s="406"/>
      <c r="OEF7" s="406"/>
      <c r="OEG7" s="406"/>
      <c r="OEH7" s="406"/>
      <c r="OEI7" s="406"/>
      <c r="OEJ7" s="406"/>
      <c r="OEK7" s="406"/>
      <c r="OEL7" s="406"/>
      <c r="OEM7" s="406"/>
      <c r="OEN7" s="406"/>
      <c r="OEO7" s="406"/>
      <c r="OEP7" s="406"/>
      <c r="OEQ7" s="406"/>
      <c r="OER7" s="406"/>
      <c r="OES7" s="406"/>
      <c r="OET7" s="406"/>
      <c r="OEU7" s="406"/>
      <c r="OEV7" s="406"/>
      <c r="OEW7" s="406"/>
      <c r="OEX7" s="406"/>
      <c r="OEY7" s="406"/>
      <c r="OEZ7" s="406"/>
      <c r="OFA7" s="406"/>
      <c r="OFB7" s="406"/>
      <c r="OFC7" s="406"/>
      <c r="OFD7" s="406"/>
      <c r="OFE7" s="406"/>
      <c r="OFF7" s="406"/>
      <c r="OFG7" s="406"/>
      <c r="OFH7" s="406"/>
      <c r="OFI7" s="406"/>
      <c r="OFJ7" s="406"/>
      <c r="OFK7" s="406"/>
      <c r="OFL7" s="406"/>
      <c r="OFM7" s="406"/>
      <c r="OFN7" s="406"/>
      <c r="OFO7" s="406"/>
      <c r="OFP7" s="406"/>
      <c r="OFQ7" s="406"/>
      <c r="OFR7" s="406"/>
      <c r="OFS7" s="406"/>
      <c r="OFT7" s="406"/>
      <c r="OFU7" s="406"/>
      <c r="OFV7" s="406"/>
      <c r="OFW7" s="406"/>
      <c r="OFX7" s="406"/>
      <c r="OFY7" s="406"/>
      <c r="OFZ7" s="406"/>
      <c r="OGA7" s="406"/>
      <c r="OGB7" s="406"/>
      <c r="OGC7" s="406"/>
      <c r="OGD7" s="406"/>
      <c r="OGE7" s="406"/>
      <c r="OGF7" s="406"/>
      <c r="OGG7" s="406"/>
      <c r="OGH7" s="406"/>
      <c r="OGI7" s="406"/>
      <c r="OGJ7" s="406"/>
      <c r="OGK7" s="406"/>
      <c r="OGL7" s="406"/>
      <c r="OGM7" s="406"/>
      <c r="OGN7" s="406"/>
      <c r="OGO7" s="406"/>
      <c r="OGP7" s="406"/>
      <c r="OGQ7" s="406"/>
      <c r="OGR7" s="406"/>
      <c r="OGS7" s="406"/>
      <c r="OGT7" s="406"/>
      <c r="OGU7" s="406"/>
      <c r="OGV7" s="406"/>
      <c r="OGW7" s="406"/>
      <c r="OGX7" s="406"/>
      <c r="OGY7" s="406"/>
      <c r="OGZ7" s="406"/>
      <c r="OHA7" s="406"/>
      <c r="OHB7" s="406"/>
      <c r="OHC7" s="406"/>
      <c r="OHD7" s="406"/>
      <c r="OHE7" s="406"/>
      <c r="OHF7" s="406"/>
      <c r="OHG7" s="406"/>
      <c r="OHH7" s="406"/>
      <c r="OHI7" s="406"/>
      <c r="OHJ7" s="406"/>
      <c r="OHK7" s="406"/>
      <c r="OHL7" s="406"/>
      <c r="OHM7" s="406"/>
      <c r="OHN7" s="406"/>
      <c r="OHO7" s="406"/>
      <c r="OHP7" s="406"/>
      <c r="OHQ7" s="406"/>
      <c r="OHR7" s="406"/>
      <c r="OHS7" s="406"/>
      <c r="OHT7" s="406"/>
      <c r="OHU7" s="406"/>
      <c r="OHV7" s="406"/>
      <c r="OHW7" s="406"/>
      <c r="OHX7" s="406"/>
      <c r="OHY7" s="406"/>
      <c r="OHZ7" s="406"/>
      <c r="OIA7" s="406"/>
      <c r="OIB7" s="406"/>
      <c r="OIC7" s="406"/>
      <c r="OID7" s="406"/>
      <c r="OIE7" s="406"/>
      <c r="OIF7" s="406"/>
      <c r="OIG7" s="406"/>
      <c r="OIH7" s="406"/>
      <c r="OII7" s="406"/>
      <c r="OIJ7" s="406"/>
      <c r="OIK7" s="406"/>
      <c r="OIL7" s="406"/>
      <c r="OIM7" s="406"/>
      <c r="OIN7" s="406"/>
      <c r="OIO7" s="406"/>
      <c r="OIP7" s="406"/>
      <c r="OIQ7" s="406"/>
      <c r="OIR7" s="406"/>
      <c r="OIS7" s="406"/>
      <c r="OIT7" s="406"/>
      <c r="OIU7" s="406"/>
      <c r="OIV7" s="406"/>
      <c r="OIW7" s="406"/>
      <c r="OIX7" s="406"/>
      <c r="OIY7" s="406"/>
      <c r="OIZ7" s="406"/>
      <c r="OJA7" s="406"/>
      <c r="OJB7" s="406"/>
      <c r="OJC7" s="406"/>
      <c r="OJD7" s="406"/>
      <c r="OJE7" s="406"/>
      <c r="OJF7" s="406"/>
      <c r="OJG7" s="406"/>
      <c r="OJH7" s="406"/>
      <c r="OJI7" s="406"/>
      <c r="OJJ7" s="406"/>
      <c r="OJK7" s="406"/>
      <c r="OJL7" s="406"/>
      <c r="OJM7" s="406"/>
      <c r="OJN7" s="406"/>
      <c r="OJO7" s="406"/>
      <c r="OJP7" s="406"/>
      <c r="OJQ7" s="406"/>
      <c r="OJR7" s="406"/>
      <c r="OJS7" s="406"/>
      <c r="OJT7" s="406"/>
      <c r="OJU7" s="406"/>
      <c r="OJV7" s="406"/>
      <c r="OJW7" s="406"/>
      <c r="OJX7" s="406"/>
      <c r="OJY7" s="406"/>
      <c r="OJZ7" s="406"/>
      <c r="OKA7" s="406"/>
      <c r="OKB7" s="406"/>
      <c r="OKC7" s="406"/>
      <c r="OKD7" s="406"/>
      <c r="OKE7" s="406"/>
      <c r="OKF7" s="406"/>
      <c r="OKG7" s="406"/>
      <c r="OKH7" s="406"/>
      <c r="OKI7" s="406"/>
      <c r="OKJ7" s="406"/>
      <c r="OKK7" s="406"/>
      <c r="OKL7" s="406"/>
      <c r="OKM7" s="406"/>
      <c r="OKN7" s="406"/>
      <c r="OKO7" s="406"/>
      <c r="OKP7" s="406"/>
      <c r="OKQ7" s="406"/>
      <c r="OKR7" s="406"/>
      <c r="OKS7" s="406"/>
      <c r="OKT7" s="406"/>
      <c r="OKU7" s="406"/>
      <c r="OKV7" s="406"/>
      <c r="OKW7" s="406"/>
      <c r="OKX7" s="406"/>
      <c r="OKY7" s="406"/>
      <c r="OKZ7" s="406"/>
      <c r="OLA7" s="406"/>
      <c r="OLB7" s="406"/>
      <c r="OLC7" s="406"/>
      <c r="OLD7" s="406"/>
      <c r="OLE7" s="406"/>
      <c r="OLF7" s="406"/>
      <c r="OLG7" s="406"/>
      <c r="OLH7" s="406"/>
      <c r="OLI7" s="406"/>
      <c r="OLJ7" s="406"/>
      <c r="OLK7" s="406"/>
      <c r="OLL7" s="406"/>
      <c r="OLM7" s="406"/>
      <c r="OLN7" s="406"/>
      <c r="OLO7" s="406"/>
      <c r="OLP7" s="406"/>
      <c r="OLQ7" s="406"/>
      <c r="OLR7" s="406"/>
      <c r="OLS7" s="406"/>
      <c r="OLT7" s="406"/>
      <c r="OLU7" s="406"/>
      <c r="OLV7" s="406"/>
      <c r="OLW7" s="406"/>
      <c r="OLX7" s="406"/>
      <c r="OLY7" s="406"/>
      <c r="OLZ7" s="406"/>
      <c r="OMA7" s="406"/>
      <c r="OMB7" s="406"/>
      <c r="OMC7" s="406"/>
      <c r="OMD7" s="406"/>
      <c r="OME7" s="406"/>
      <c r="OMF7" s="406"/>
      <c r="OMG7" s="406"/>
      <c r="OMH7" s="406"/>
      <c r="OMI7" s="406"/>
      <c r="OMJ7" s="406"/>
      <c r="OMK7" s="406"/>
      <c r="OML7" s="406"/>
      <c r="OMM7" s="406"/>
      <c r="OMN7" s="406"/>
      <c r="OMO7" s="406"/>
      <c r="OMP7" s="406"/>
      <c r="OMQ7" s="406"/>
      <c r="OMR7" s="406"/>
      <c r="OMS7" s="406"/>
      <c r="OMT7" s="406"/>
      <c r="OMU7" s="406"/>
      <c r="OMV7" s="406"/>
      <c r="OMW7" s="406"/>
      <c r="OMX7" s="406"/>
      <c r="OMY7" s="406"/>
      <c r="OMZ7" s="406"/>
      <c r="ONA7" s="406"/>
      <c r="ONB7" s="406"/>
      <c r="ONC7" s="406"/>
      <c r="OND7" s="406"/>
      <c r="ONE7" s="406"/>
      <c r="ONF7" s="406"/>
      <c r="ONG7" s="406"/>
      <c r="ONH7" s="406"/>
      <c r="ONI7" s="406"/>
      <c r="ONJ7" s="406"/>
      <c r="ONK7" s="406"/>
      <c r="ONL7" s="406"/>
      <c r="ONM7" s="406"/>
      <c r="ONN7" s="406"/>
      <c r="ONO7" s="406"/>
      <c r="ONP7" s="406"/>
      <c r="ONQ7" s="406"/>
      <c r="ONR7" s="406"/>
      <c r="ONS7" s="406"/>
      <c r="ONT7" s="406"/>
      <c r="ONU7" s="406"/>
      <c r="ONV7" s="406"/>
      <c r="ONW7" s="406"/>
      <c r="ONX7" s="406"/>
      <c r="ONY7" s="406"/>
      <c r="ONZ7" s="406"/>
      <c r="OOA7" s="406"/>
      <c r="OOB7" s="406"/>
      <c r="OOC7" s="406"/>
      <c r="OOD7" s="406"/>
      <c r="OOE7" s="406"/>
      <c r="OOF7" s="406"/>
      <c r="OOG7" s="406"/>
      <c r="OOH7" s="406"/>
      <c r="OOI7" s="406"/>
      <c r="OOJ7" s="406"/>
      <c r="OOK7" s="406"/>
      <c r="OOL7" s="406"/>
      <c r="OOM7" s="406"/>
      <c r="OON7" s="406"/>
      <c r="OOO7" s="406"/>
      <c r="OOP7" s="406"/>
      <c r="OOQ7" s="406"/>
      <c r="OOR7" s="406"/>
      <c r="OOS7" s="406"/>
      <c r="OOT7" s="406"/>
      <c r="OOU7" s="406"/>
      <c r="OOV7" s="406"/>
      <c r="OOW7" s="406"/>
      <c r="OOX7" s="406"/>
      <c r="OOY7" s="406"/>
      <c r="OOZ7" s="406"/>
      <c r="OPA7" s="406"/>
      <c r="OPB7" s="406"/>
      <c r="OPC7" s="406"/>
      <c r="OPD7" s="406"/>
      <c r="OPE7" s="406"/>
      <c r="OPF7" s="406"/>
      <c r="OPG7" s="406"/>
      <c r="OPH7" s="406"/>
      <c r="OPI7" s="406"/>
      <c r="OPJ7" s="406"/>
      <c r="OPK7" s="406"/>
      <c r="OPL7" s="406"/>
      <c r="OPM7" s="406"/>
      <c r="OPN7" s="406"/>
      <c r="OPO7" s="406"/>
      <c r="OPP7" s="406"/>
      <c r="OPQ7" s="406"/>
      <c r="OPR7" s="406"/>
      <c r="OPS7" s="406"/>
      <c r="OPT7" s="406"/>
      <c r="OPU7" s="406"/>
      <c r="OPV7" s="406"/>
      <c r="OPW7" s="406"/>
      <c r="OPX7" s="406"/>
      <c r="OPY7" s="406"/>
      <c r="OPZ7" s="406"/>
      <c r="OQA7" s="406"/>
      <c r="OQB7" s="406"/>
      <c r="OQC7" s="406"/>
      <c r="OQD7" s="406"/>
      <c r="OQE7" s="406"/>
      <c r="OQF7" s="406"/>
      <c r="OQG7" s="406"/>
      <c r="OQH7" s="406"/>
      <c r="OQI7" s="406"/>
      <c r="OQJ7" s="406"/>
      <c r="OQK7" s="406"/>
      <c r="OQL7" s="406"/>
      <c r="OQM7" s="406"/>
      <c r="OQN7" s="406"/>
      <c r="OQO7" s="406"/>
      <c r="OQP7" s="406"/>
      <c r="OQQ7" s="406"/>
      <c r="OQR7" s="406"/>
      <c r="OQS7" s="406"/>
      <c r="OQT7" s="406"/>
      <c r="OQU7" s="406"/>
      <c r="OQV7" s="406"/>
      <c r="OQW7" s="406"/>
      <c r="OQX7" s="406"/>
      <c r="OQY7" s="406"/>
      <c r="OQZ7" s="406"/>
      <c r="ORA7" s="406"/>
      <c r="ORB7" s="406"/>
      <c r="ORC7" s="406"/>
      <c r="ORD7" s="406"/>
      <c r="ORE7" s="406"/>
      <c r="ORF7" s="406"/>
      <c r="ORG7" s="406"/>
      <c r="ORH7" s="406"/>
      <c r="ORI7" s="406"/>
      <c r="ORJ7" s="406"/>
      <c r="ORK7" s="406"/>
      <c r="ORL7" s="406"/>
      <c r="ORM7" s="406"/>
      <c r="ORN7" s="406"/>
      <c r="ORO7" s="406"/>
      <c r="ORP7" s="406"/>
      <c r="ORQ7" s="406"/>
      <c r="ORR7" s="406"/>
      <c r="ORS7" s="406"/>
      <c r="ORT7" s="406"/>
      <c r="ORU7" s="406"/>
      <c r="ORV7" s="406"/>
      <c r="ORW7" s="406"/>
      <c r="ORX7" s="406"/>
      <c r="ORY7" s="406"/>
      <c r="ORZ7" s="406"/>
      <c r="OSA7" s="406"/>
      <c r="OSB7" s="406"/>
      <c r="OSC7" s="406"/>
      <c r="OSD7" s="406"/>
      <c r="OSE7" s="406"/>
      <c r="OSF7" s="406"/>
      <c r="OSG7" s="406"/>
      <c r="OSH7" s="406"/>
      <c r="OSI7" s="406"/>
      <c r="OSJ7" s="406"/>
      <c r="OSK7" s="406"/>
      <c r="OSL7" s="406"/>
      <c r="OSM7" s="406"/>
      <c r="OSN7" s="406"/>
      <c r="OSO7" s="406"/>
      <c r="OSP7" s="406"/>
      <c r="OSQ7" s="406"/>
      <c r="OSR7" s="406"/>
      <c r="OSS7" s="406"/>
      <c r="OST7" s="406"/>
      <c r="OSU7" s="406"/>
      <c r="OSV7" s="406"/>
      <c r="OSW7" s="406"/>
      <c r="OSX7" s="406"/>
      <c r="OSY7" s="406"/>
      <c r="OSZ7" s="406"/>
      <c r="OTA7" s="406"/>
      <c r="OTB7" s="406"/>
      <c r="OTC7" s="406"/>
      <c r="OTD7" s="406"/>
      <c r="OTE7" s="406"/>
      <c r="OTF7" s="406"/>
      <c r="OTG7" s="406"/>
      <c r="OTH7" s="406"/>
      <c r="OTI7" s="406"/>
      <c r="OTJ7" s="406"/>
      <c r="OTK7" s="406"/>
      <c r="OTL7" s="406"/>
      <c r="OTM7" s="406"/>
      <c r="OTN7" s="406"/>
      <c r="OTO7" s="406"/>
      <c r="OTP7" s="406"/>
      <c r="OTQ7" s="406"/>
      <c r="OTR7" s="406"/>
      <c r="OTS7" s="406"/>
      <c r="OTT7" s="406"/>
      <c r="OTU7" s="406"/>
      <c r="OTV7" s="406"/>
      <c r="OTW7" s="406"/>
      <c r="OTX7" s="406"/>
      <c r="OTY7" s="406"/>
      <c r="OTZ7" s="406"/>
      <c r="OUA7" s="406"/>
      <c r="OUB7" s="406"/>
      <c r="OUC7" s="406"/>
      <c r="OUD7" s="406"/>
      <c r="OUE7" s="406"/>
      <c r="OUF7" s="406"/>
      <c r="OUG7" s="406"/>
      <c r="OUH7" s="406"/>
      <c r="OUI7" s="406"/>
      <c r="OUJ7" s="406"/>
      <c r="OUK7" s="406"/>
      <c r="OUL7" s="406"/>
      <c r="OUM7" s="406"/>
      <c r="OUN7" s="406"/>
      <c r="OUO7" s="406"/>
      <c r="OUP7" s="406"/>
      <c r="OUQ7" s="406"/>
      <c r="OUR7" s="406"/>
      <c r="OUS7" s="406"/>
      <c r="OUT7" s="406"/>
      <c r="OUU7" s="406"/>
      <c r="OUV7" s="406"/>
      <c r="OUW7" s="406"/>
      <c r="OUX7" s="406"/>
      <c r="OUY7" s="406"/>
      <c r="OUZ7" s="406"/>
      <c r="OVA7" s="406"/>
      <c r="OVB7" s="406"/>
      <c r="OVC7" s="406"/>
      <c r="OVD7" s="406"/>
      <c r="OVE7" s="406"/>
      <c r="OVF7" s="406"/>
      <c r="OVG7" s="406"/>
      <c r="OVH7" s="406"/>
      <c r="OVI7" s="406"/>
      <c r="OVJ7" s="406"/>
      <c r="OVK7" s="406"/>
      <c r="OVL7" s="406"/>
      <c r="OVM7" s="406"/>
      <c r="OVN7" s="406"/>
      <c r="OVO7" s="406"/>
      <c r="OVP7" s="406"/>
      <c r="OVQ7" s="406"/>
      <c r="OVR7" s="406"/>
      <c r="OVS7" s="406"/>
      <c r="OVT7" s="406"/>
      <c r="OVU7" s="406"/>
      <c r="OVV7" s="406"/>
      <c r="OVW7" s="406"/>
      <c r="OVX7" s="406"/>
      <c r="OVY7" s="406"/>
      <c r="OVZ7" s="406"/>
      <c r="OWA7" s="406"/>
      <c r="OWB7" s="406"/>
      <c r="OWC7" s="406"/>
      <c r="OWD7" s="406"/>
      <c r="OWE7" s="406"/>
      <c r="OWF7" s="406"/>
      <c r="OWG7" s="406"/>
      <c r="OWH7" s="406"/>
      <c r="OWI7" s="406"/>
      <c r="OWJ7" s="406"/>
      <c r="OWK7" s="406"/>
      <c r="OWL7" s="406"/>
      <c r="OWM7" s="406"/>
      <c r="OWN7" s="406"/>
      <c r="OWO7" s="406"/>
      <c r="OWP7" s="406"/>
      <c r="OWQ7" s="406"/>
      <c r="OWR7" s="406"/>
      <c r="OWS7" s="406"/>
      <c r="OWT7" s="406"/>
      <c r="OWU7" s="406"/>
      <c r="OWV7" s="406"/>
      <c r="OWW7" s="406"/>
      <c r="OWX7" s="406"/>
      <c r="OWY7" s="406"/>
      <c r="OWZ7" s="406"/>
      <c r="OXA7" s="406"/>
      <c r="OXB7" s="406"/>
      <c r="OXC7" s="406"/>
      <c r="OXD7" s="406"/>
      <c r="OXE7" s="406"/>
      <c r="OXF7" s="406"/>
      <c r="OXG7" s="406"/>
      <c r="OXH7" s="406"/>
      <c r="OXI7" s="406"/>
      <c r="OXJ7" s="406"/>
      <c r="OXK7" s="406"/>
      <c r="OXL7" s="406"/>
      <c r="OXM7" s="406"/>
      <c r="OXN7" s="406"/>
      <c r="OXO7" s="406"/>
      <c r="OXP7" s="406"/>
      <c r="OXQ7" s="406"/>
      <c r="OXR7" s="406"/>
      <c r="OXS7" s="406"/>
      <c r="OXT7" s="406"/>
      <c r="OXU7" s="406"/>
      <c r="OXV7" s="406"/>
      <c r="OXW7" s="406"/>
      <c r="OXX7" s="406"/>
      <c r="OXY7" s="406"/>
      <c r="OXZ7" s="406"/>
      <c r="OYA7" s="406"/>
      <c r="OYB7" s="406"/>
      <c r="OYC7" s="406"/>
      <c r="OYD7" s="406"/>
      <c r="OYE7" s="406"/>
      <c r="OYF7" s="406"/>
      <c r="OYG7" s="406"/>
      <c r="OYH7" s="406"/>
      <c r="OYI7" s="406"/>
      <c r="OYJ7" s="406"/>
      <c r="OYK7" s="406"/>
      <c r="OYL7" s="406"/>
      <c r="OYM7" s="406"/>
      <c r="OYN7" s="406"/>
      <c r="OYO7" s="406"/>
      <c r="OYP7" s="406"/>
      <c r="OYQ7" s="406"/>
      <c r="OYR7" s="406"/>
      <c r="OYS7" s="406"/>
      <c r="OYT7" s="406"/>
      <c r="OYU7" s="406"/>
      <c r="OYV7" s="406"/>
      <c r="OYW7" s="406"/>
      <c r="OYX7" s="406"/>
      <c r="OYY7" s="406"/>
      <c r="OYZ7" s="406"/>
      <c r="OZA7" s="406"/>
      <c r="OZB7" s="406"/>
      <c r="OZC7" s="406"/>
      <c r="OZD7" s="406"/>
      <c r="OZE7" s="406"/>
      <c r="OZF7" s="406"/>
      <c r="OZG7" s="406"/>
      <c r="OZH7" s="406"/>
      <c r="OZI7" s="406"/>
      <c r="OZJ7" s="406"/>
      <c r="OZK7" s="406"/>
      <c r="OZL7" s="406"/>
      <c r="OZM7" s="406"/>
      <c r="OZN7" s="406"/>
      <c r="OZO7" s="406"/>
      <c r="OZP7" s="406"/>
      <c r="OZQ7" s="406"/>
      <c r="OZR7" s="406"/>
      <c r="OZS7" s="406"/>
      <c r="OZT7" s="406"/>
      <c r="OZU7" s="406"/>
      <c r="OZV7" s="406"/>
      <c r="OZW7" s="406"/>
      <c r="OZX7" s="406"/>
      <c r="OZY7" s="406"/>
      <c r="OZZ7" s="406"/>
      <c r="PAA7" s="406"/>
      <c r="PAB7" s="406"/>
      <c r="PAC7" s="406"/>
      <c r="PAD7" s="406"/>
      <c r="PAE7" s="406"/>
      <c r="PAF7" s="406"/>
      <c r="PAG7" s="406"/>
      <c r="PAH7" s="406"/>
      <c r="PAI7" s="406"/>
      <c r="PAJ7" s="406"/>
      <c r="PAK7" s="406"/>
      <c r="PAL7" s="406"/>
      <c r="PAM7" s="406"/>
      <c r="PAN7" s="406"/>
      <c r="PAO7" s="406"/>
      <c r="PAP7" s="406"/>
      <c r="PAQ7" s="406"/>
      <c r="PAR7" s="406"/>
      <c r="PAS7" s="406"/>
      <c r="PAT7" s="406"/>
      <c r="PAU7" s="406"/>
      <c r="PAV7" s="406"/>
      <c r="PAW7" s="406"/>
      <c r="PAX7" s="406"/>
      <c r="PAY7" s="406"/>
      <c r="PAZ7" s="406"/>
      <c r="PBA7" s="406"/>
      <c r="PBB7" s="406"/>
      <c r="PBC7" s="406"/>
      <c r="PBD7" s="406"/>
      <c r="PBE7" s="406"/>
      <c r="PBF7" s="406"/>
      <c r="PBG7" s="406"/>
      <c r="PBH7" s="406"/>
      <c r="PBI7" s="406"/>
      <c r="PBJ7" s="406"/>
      <c r="PBK7" s="406"/>
      <c r="PBL7" s="406"/>
      <c r="PBM7" s="406"/>
      <c r="PBN7" s="406"/>
      <c r="PBO7" s="406"/>
      <c r="PBP7" s="406"/>
      <c r="PBQ7" s="406"/>
      <c r="PBR7" s="406"/>
      <c r="PBS7" s="406"/>
      <c r="PBT7" s="406"/>
      <c r="PBU7" s="406"/>
      <c r="PBV7" s="406"/>
      <c r="PBW7" s="406"/>
      <c r="PBX7" s="406"/>
      <c r="PBY7" s="406"/>
      <c r="PBZ7" s="406"/>
      <c r="PCA7" s="406"/>
      <c r="PCB7" s="406"/>
      <c r="PCC7" s="406"/>
      <c r="PCD7" s="406"/>
      <c r="PCE7" s="406"/>
      <c r="PCF7" s="406"/>
      <c r="PCG7" s="406"/>
      <c r="PCH7" s="406"/>
      <c r="PCI7" s="406"/>
      <c r="PCJ7" s="406"/>
      <c r="PCK7" s="406"/>
      <c r="PCL7" s="406"/>
      <c r="PCM7" s="406"/>
      <c r="PCN7" s="406"/>
      <c r="PCO7" s="406"/>
      <c r="PCP7" s="406"/>
      <c r="PCQ7" s="406"/>
      <c r="PCR7" s="406"/>
      <c r="PCS7" s="406"/>
      <c r="PCT7" s="406"/>
      <c r="PCU7" s="406"/>
      <c r="PCV7" s="406"/>
      <c r="PCW7" s="406"/>
      <c r="PCX7" s="406"/>
      <c r="PCY7" s="406"/>
      <c r="PCZ7" s="406"/>
      <c r="PDA7" s="406"/>
      <c r="PDB7" s="406"/>
      <c r="PDC7" s="406"/>
      <c r="PDD7" s="406"/>
      <c r="PDE7" s="406"/>
      <c r="PDF7" s="406"/>
      <c r="PDG7" s="406"/>
      <c r="PDH7" s="406"/>
      <c r="PDI7" s="406"/>
      <c r="PDJ7" s="406"/>
      <c r="PDK7" s="406"/>
      <c r="PDL7" s="406"/>
      <c r="PDM7" s="406"/>
      <c r="PDN7" s="406"/>
      <c r="PDO7" s="406"/>
      <c r="PDP7" s="406"/>
      <c r="PDQ7" s="406"/>
      <c r="PDR7" s="406"/>
      <c r="PDS7" s="406"/>
      <c r="PDT7" s="406"/>
      <c r="PDU7" s="406"/>
      <c r="PDV7" s="406"/>
      <c r="PDW7" s="406"/>
      <c r="PDX7" s="406"/>
      <c r="PDY7" s="406"/>
      <c r="PDZ7" s="406"/>
      <c r="PEA7" s="406"/>
      <c r="PEB7" s="406"/>
      <c r="PEC7" s="406"/>
      <c r="PED7" s="406"/>
      <c r="PEE7" s="406"/>
      <c r="PEF7" s="406"/>
      <c r="PEG7" s="406"/>
      <c r="PEH7" s="406"/>
      <c r="PEI7" s="406"/>
      <c r="PEJ7" s="406"/>
      <c r="PEK7" s="406"/>
      <c r="PEL7" s="406"/>
      <c r="PEM7" s="406"/>
      <c r="PEN7" s="406"/>
      <c r="PEO7" s="406"/>
      <c r="PEP7" s="406"/>
      <c r="PEQ7" s="406"/>
      <c r="PER7" s="406"/>
      <c r="PES7" s="406"/>
      <c r="PET7" s="406"/>
      <c r="PEU7" s="406"/>
      <c r="PEV7" s="406"/>
      <c r="PEW7" s="406"/>
      <c r="PEX7" s="406"/>
      <c r="PEY7" s="406"/>
      <c r="PEZ7" s="406"/>
      <c r="PFA7" s="406"/>
      <c r="PFB7" s="406"/>
      <c r="PFC7" s="406"/>
      <c r="PFD7" s="406"/>
      <c r="PFE7" s="406"/>
      <c r="PFF7" s="406"/>
      <c r="PFG7" s="406"/>
      <c r="PFH7" s="406"/>
      <c r="PFI7" s="406"/>
      <c r="PFJ7" s="406"/>
      <c r="PFK7" s="406"/>
      <c r="PFL7" s="406"/>
      <c r="PFM7" s="406"/>
      <c r="PFN7" s="406"/>
      <c r="PFO7" s="406"/>
      <c r="PFP7" s="406"/>
      <c r="PFQ7" s="406"/>
      <c r="PFR7" s="406"/>
      <c r="PFS7" s="406"/>
      <c r="PFT7" s="406"/>
      <c r="PFU7" s="406"/>
      <c r="PFV7" s="406"/>
      <c r="PFW7" s="406"/>
      <c r="PFX7" s="406"/>
      <c r="PFY7" s="406"/>
      <c r="PFZ7" s="406"/>
      <c r="PGA7" s="406"/>
      <c r="PGB7" s="406"/>
      <c r="PGC7" s="406"/>
      <c r="PGD7" s="406"/>
      <c r="PGE7" s="406"/>
      <c r="PGF7" s="406"/>
      <c r="PGG7" s="406"/>
      <c r="PGH7" s="406"/>
      <c r="PGI7" s="406"/>
      <c r="PGJ7" s="406"/>
      <c r="PGK7" s="406"/>
      <c r="PGL7" s="406"/>
      <c r="PGM7" s="406"/>
      <c r="PGN7" s="406"/>
      <c r="PGO7" s="406"/>
      <c r="PGP7" s="406"/>
      <c r="PGQ7" s="406"/>
      <c r="PGR7" s="406"/>
      <c r="PGS7" s="406"/>
      <c r="PGT7" s="406"/>
      <c r="PGU7" s="406"/>
      <c r="PGV7" s="406"/>
      <c r="PGW7" s="406"/>
      <c r="PGX7" s="406"/>
      <c r="PGY7" s="406"/>
      <c r="PGZ7" s="406"/>
      <c r="PHA7" s="406"/>
      <c r="PHB7" s="406"/>
      <c r="PHC7" s="406"/>
      <c r="PHD7" s="406"/>
      <c r="PHE7" s="406"/>
      <c r="PHF7" s="406"/>
      <c r="PHG7" s="406"/>
      <c r="PHH7" s="406"/>
      <c r="PHI7" s="406"/>
      <c r="PHJ7" s="406"/>
      <c r="PHK7" s="406"/>
      <c r="PHL7" s="406"/>
      <c r="PHM7" s="406"/>
      <c r="PHN7" s="406"/>
      <c r="PHO7" s="406"/>
      <c r="PHP7" s="406"/>
      <c r="PHQ7" s="406"/>
      <c r="PHR7" s="406"/>
      <c r="PHS7" s="406"/>
      <c r="PHT7" s="406"/>
      <c r="PHU7" s="406"/>
      <c r="PHV7" s="406"/>
      <c r="PHW7" s="406"/>
      <c r="PHX7" s="406"/>
      <c r="PHY7" s="406"/>
      <c r="PHZ7" s="406"/>
      <c r="PIA7" s="406"/>
      <c r="PIB7" s="406"/>
      <c r="PIC7" s="406"/>
      <c r="PID7" s="406"/>
      <c r="PIE7" s="406"/>
      <c r="PIF7" s="406"/>
      <c r="PIG7" s="406"/>
      <c r="PIH7" s="406"/>
      <c r="PII7" s="406"/>
      <c r="PIJ7" s="406"/>
      <c r="PIK7" s="406"/>
      <c r="PIL7" s="406"/>
      <c r="PIM7" s="406"/>
      <c r="PIN7" s="406"/>
      <c r="PIO7" s="406"/>
      <c r="PIP7" s="406"/>
      <c r="PIQ7" s="406"/>
      <c r="PIR7" s="406"/>
      <c r="PIS7" s="406"/>
      <c r="PIT7" s="406"/>
      <c r="PIU7" s="406"/>
      <c r="PIV7" s="406"/>
      <c r="PIW7" s="406"/>
      <c r="PIX7" s="406"/>
      <c r="PIY7" s="406"/>
      <c r="PIZ7" s="406"/>
      <c r="PJA7" s="406"/>
      <c r="PJB7" s="406"/>
      <c r="PJC7" s="406"/>
      <c r="PJD7" s="406"/>
      <c r="PJE7" s="406"/>
      <c r="PJF7" s="406"/>
      <c r="PJG7" s="406"/>
      <c r="PJH7" s="406"/>
      <c r="PJI7" s="406"/>
      <c r="PJJ7" s="406"/>
      <c r="PJK7" s="406"/>
      <c r="PJL7" s="406"/>
      <c r="PJM7" s="406"/>
      <c r="PJN7" s="406"/>
      <c r="PJO7" s="406"/>
      <c r="PJP7" s="406"/>
      <c r="PJQ7" s="406"/>
      <c r="PJR7" s="406"/>
      <c r="PJS7" s="406"/>
      <c r="PJT7" s="406"/>
      <c r="PJU7" s="406"/>
      <c r="PJV7" s="406"/>
      <c r="PJW7" s="406"/>
      <c r="PJX7" s="406"/>
      <c r="PJY7" s="406"/>
      <c r="PJZ7" s="406"/>
      <c r="PKA7" s="406"/>
      <c r="PKB7" s="406"/>
      <c r="PKC7" s="406"/>
      <c r="PKD7" s="406"/>
      <c r="PKE7" s="406"/>
      <c r="PKF7" s="406"/>
      <c r="PKG7" s="406"/>
      <c r="PKH7" s="406"/>
      <c r="PKI7" s="406"/>
      <c r="PKJ7" s="406"/>
      <c r="PKK7" s="406"/>
      <c r="PKL7" s="406"/>
      <c r="PKM7" s="406"/>
      <c r="PKN7" s="406"/>
      <c r="PKO7" s="406"/>
      <c r="PKP7" s="406"/>
      <c r="PKQ7" s="406"/>
      <c r="PKR7" s="406"/>
      <c r="PKS7" s="406"/>
      <c r="PKT7" s="406"/>
      <c r="PKU7" s="406"/>
      <c r="PKV7" s="406"/>
      <c r="PKW7" s="406"/>
      <c r="PKX7" s="406"/>
      <c r="PKY7" s="406"/>
      <c r="PKZ7" s="406"/>
      <c r="PLA7" s="406"/>
      <c r="PLB7" s="406"/>
      <c r="PLC7" s="406"/>
      <c r="PLD7" s="406"/>
      <c r="PLE7" s="406"/>
      <c r="PLF7" s="406"/>
      <c r="PLG7" s="406"/>
      <c r="PLH7" s="406"/>
      <c r="PLI7" s="406"/>
      <c r="PLJ7" s="406"/>
      <c r="PLK7" s="406"/>
      <c r="PLL7" s="406"/>
      <c r="PLM7" s="406"/>
      <c r="PLN7" s="406"/>
      <c r="PLO7" s="406"/>
      <c r="PLP7" s="406"/>
      <c r="PLQ7" s="406"/>
      <c r="PLR7" s="406"/>
      <c r="PLS7" s="406"/>
      <c r="PLT7" s="406"/>
      <c r="PLU7" s="406"/>
      <c r="PLV7" s="406"/>
      <c r="PLW7" s="406"/>
      <c r="PLX7" s="406"/>
      <c r="PLY7" s="406"/>
      <c r="PLZ7" s="406"/>
      <c r="PMA7" s="406"/>
      <c r="PMB7" s="406"/>
      <c r="PMC7" s="406"/>
      <c r="PMD7" s="406"/>
      <c r="PME7" s="406"/>
      <c r="PMF7" s="406"/>
      <c r="PMG7" s="406"/>
      <c r="PMH7" s="406"/>
      <c r="PMI7" s="406"/>
      <c r="PMJ7" s="406"/>
      <c r="PMK7" s="406"/>
      <c r="PML7" s="406"/>
      <c r="PMM7" s="406"/>
      <c r="PMN7" s="406"/>
      <c r="PMO7" s="406"/>
      <c r="PMP7" s="406"/>
      <c r="PMQ7" s="406"/>
      <c r="PMR7" s="406"/>
      <c r="PMS7" s="406"/>
      <c r="PMT7" s="406"/>
      <c r="PMU7" s="406"/>
      <c r="PMV7" s="406"/>
      <c r="PMW7" s="406"/>
      <c r="PMX7" s="406"/>
      <c r="PMY7" s="406"/>
      <c r="PMZ7" s="406"/>
      <c r="PNA7" s="406"/>
      <c r="PNB7" s="406"/>
      <c r="PNC7" s="406"/>
      <c r="PND7" s="406"/>
      <c r="PNE7" s="406"/>
      <c r="PNF7" s="406"/>
      <c r="PNG7" s="406"/>
      <c r="PNH7" s="406"/>
      <c r="PNI7" s="406"/>
      <c r="PNJ7" s="406"/>
      <c r="PNK7" s="406"/>
      <c r="PNL7" s="406"/>
      <c r="PNM7" s="406"/>
      <c r="PNN7" s="406"/>
      <c r="PNO7" s="406"/>
      <c r="PNP7" s="406"/>
      <c r="PNQ7" s="406"/>
      <c r="PNR7" s="406"/>
      <c r="PNS7" s="406"/>
      <c r="PNT7" s="406"/>
      <c r="PNU7" s="406"/>
      <c r="PNV7" s="406"/>
      <c r="PNW7" s="406"/>
      <c r="PNX7" s="406"/>
      <c r="PNY7" s="406"/>
      <c r="PNZ7" s="406"/>
      <c r="POA7" s="406"/>
      <c r="POB7" s="406"/>
      <c r="POC7" s="406"/>
      <c r="POD7" s="406"/>
      <c r="POE7" s="406"/>
      <c r="POF7" s="406"/>
      <c r="POG7" s="406"/>
      <c r="POH7" s="406"/>
      <c r="POI7" s="406"/>
      <c r="POJ7" s="406"/>
      <c r="POK7" s="406"/>
      <c r="POL7" s="406"/>
      <c r="POM7" s="406"/>
      <c r="PON7" s="406"/>
      <c r="POO7" s="406"/>
      <c r="POP7" s="406"/>
      <c r="POQ7" s="406"/>
      <c r="POR7" s="406"/>
      <c r="POS7" s="406"/>
      <c r="POT7" s="406"/>
      <c r="POU7" s="406"/>
      <c r="POV7" s="406"/>
      <c r="POW7" s="406"/>
      <c r="POX7" s="406"/>
      <c r="POY7" s="406"/>
      <c r="POZ7" s="406"/>
      <c r="PPA7" s="406"/>
      <c r="PPB7" s="406"/>
      <c r="PPC7" s="406"/>
      <c r="PPD7" s="406"/>
      <c r="PPE7" s="406"/>
      <c r="PPF7" s="406"/>
      <c r="PPG7" s="406"/>
      <c r="PPH7" s="406"/>
      <c r="PPI7" s="406"/>
      <c r="PPJ7" s="406"/>
      <c r="PPK7" s="406"/>
      <c r="PPL7" s="406"/>
      <c r="PPM7" s="406"/>
      <c r="PPN7" s="406"/>
      <c r="PPO7" s="406"/>
      <c r="PPP7" s="406"/>
      <c r="PPQ7" s="406"/>
      <c r="PPR7" s="406"/>
      <c r="PPS7" s="406"/>
      <c r="PPT7" s="406"/>
      <c r="PPU7" s="406"/>
      <c r="PPV7" s="406"/>
      <c r="PPW7" s="406"/>
      <c r="PPX7" s="406"/>
      <c r="PPY7" s="406"/>
      <c r="PPZ7" s="406"/>
      <c r="PQA7" s="406"/>
      <c r="PQB7" s="406"/>
      <c r="PQC7" s="406"/>
      <c r="PQD7" s="406"/>
      <c r="PQE7" s="406"/>
      <c r="PQF7" s="406"/>
      <c r="PQG7" s="406"/>
      <c r="PQH7" s="406"/>
      <c r="PQI7" s="406"/>
      <c r="PQJ7" s="406"/>
      <c r="PQK7" s="406"/>
      <c r="PQL7" s="406"/>
      <c r="PQM7" s="406"/>
      <c r="PQN7" s="406"/>
      <c r="PQO7" s="406"/>
      <c r="PQP7" s="406"/>
      <c r="PQQ7" s="406"/>
      <c r="PQR7" s="406"/>
      <c r="PQS7" s="406"/>
      <c r="PQT7" s="406"/>
      <c r="PQU7" s="406"/>
      <c r="PQV7" s="406"/>
      <c r="PQW7" s="406"/>
      <c r="PQX7" s="406"/>
      <c r="PQY7" s="406"/>
      <c r="PQZ7" s="406"/>
      <c r="PRA7" s="406"/>
      <c r="PRB7" s="406"/>
      <c r="PRC7" s="406"/>
      <c r="PRD7" s="406"/>
      <c r="PRE7" s="406"/>
      <c r="PRF7" s="406"/>
      <c r="PRG7" s="406"/>
      <c r="PRH7" s="406"/>
      <c r="PRI7" s="406"/>
      <c r="PRJ7" s="406"/>
      <c r="PRK7" s="406"/>
      <c r="PRL7" s="406"/>
      <c r="PRM7" s="406"/>
      <c r="PRN7" s="406"/>
      <c r="PRO7" s="406"/>
      <c r="PRP7" s="406"/>
      <c r="PRQ7" s="406"/>
      <c r="PRR7" s="406"/>
      <c r="PRS7" s="406"/>
      <c r="PRT7" s="406"/>
      <c r="PRU7" s="406"/>
      <c r="PRV7" s="406"/>
      <c r="PRW7" s="406"/>
      <c r="PRX7" s="406"/>
      <c r="PRY7" s="406"/>
      <c r="PRZ7" s="406"/>
      <c r="PSA7" s="406"/>
      <c r="PSB7" s="406"/>
      <c r="PSC7" s="406"/>
      <c r="PSD7" s="406"/>
      <c r="PSE7" s="406"/>
      <c r="PSF7" s="406"/>
      <c r="PSG7" s="406"/>
      <c r="PSH7" s="406"/>
      <c r="PSI7" s="406"/>
      <c r="PSJ7" s="406"/>
      <c r="PSK7" s="406"/>
      <c r="PSL7" s="406"/>
      <c r="PSM7" s="406"/>
      <c r="PSN7" s="406"/>
      <c r="PSO7" s="406"/>
      <c r="PSP7" s="406"/>
      <c r="PSQ7" s="406"/>
      <c r="PSR7" s="406"/>
      <c r="PSS7" s="406"/>
      <c r="PST7" s="406"/>
      <c r="PSU7" s="406"/>
      <c r="PSV7" s="406"/>
      <c r="PSW7" s="406"/>
      <c r="PSX7" s="406"/>
      <c r="PSY7" s="406"/>
      <c r="PSZ7" s="406"/>
      <c r="PTA7" s="406"/>
      <c r="PTB7" s="406"/>
      <c r="PTC7" s="406"/>
      <c r="PTD7" s="406"/>
      <c r="PTE7" s="406"/>
      <c r="PTF7" s="406"/>
      <c r="PTG7" s="406"/>
      <c r="PTH7" s="406"/>
      <c r="PTI7" s="406"/>
      <c r="PTJ7" s="406"/>
      <c r="PTK7" s="406"/>
      <c r="PTL7" s="406"/>
      <c r="PTM7" s="406"/>
      <c r="PTN7" s="406"/>
      <c r="PTO7" s="406"/>
      <c r="PTP7" s="406"/>
      <c r="PTQ7" s="406"/>
      <c r="PTR7" s="406"/>
      <c r="PTS7" s="406"/>
      <c r="PTT7" s="406"/>
      <c r="PTU7" s="406"/>
      <c r="PTV7" s="406"/>
      <c r="PTW7" s="406"/>
      <c r="PTX7" s="406"/>
      <c r="PTY7" s="406"/>
      <c r="PTZ7" s="406"/>
      <c r="PUA7" s="406"/>
      <c r="PUB7" s="406"/>
      <c r="PUC7" s="406"/>
      <c r="PUD7" s="406"/>
      <c r="PUE7" s="406"/>
      <c r="PUF7" s="406"/>
      <c r="PUG7" s="406"/>
      <c r="PUH7" s="406"/>
      <c r="PUI7" s="406"/>
      <c r="PUJ7" s="406"/>
      <c r="PUK7" s="406"/>
      <c r="PUL7" s="406"/>
      <c r="PUM7" s="406"/>
      <c r="PUN7" s="406"/>
      <c r="PUO7" s="406"/>
      <c r="PUP7" s="406"/>
      <c r="PUQ7" s="406"/>
      <c r="PUR7" s="406"/>
      <c r="PUS7" s="406"/>
      <c r="PUT7" s="406"/>
      <c r="PUU7" s="406"/>
      <c r="PUV7" s="406"/>
      <c r="PUW7" s="406"/>
      <c r="PUX7" s="406"/>
      <c r="PUY7" s="406"/>
      <c r="PUZ7" s="406"/>
      <c r="PVA7" s="406"/>
      <c r="PVB7" s="406"/>
      <c r="PVC7" s="406"/>
      <c r="PVD7" s="406"/>
      <c r="PVE7" s="406"/>
      <c r="PVF7" s="406"/>
      <c r="PVG7" s="406"/>
      <c r="PVH7" s="406"/>
      <c r="PVI7" s="406"/>
      <c r="PVJ7" s="406"/>
      <c r="PVK7" s="406"/>
      <c r="PVL7" s="406"/>
      <c r="PVM7" s="406"/>
      <c r="PVN7" s="406"/>
      <c r="PVO7" s="406"/>
      <c r="PVP7" s="406"/>
      <c r="PVQ7" s="406"/>
      <c r="PVR7" s="406"/>
      <c r="PVS7" s="406"/>
      <c r="PVT7" s="406"/>
      <c r="PVU7" s="406"/>
      <c r="PVV7" s="406"/>
      <c r="PVW7" s="406"/>
      <c r="PVX7" s="406"/>
      <c r="PVY7" s="406"/>
      <c r="PVZ7" s="406"/>
      <c r="PWA7" s="406"/>
      <c r="PWB7" s="406"/>
      <c r="PWC7" s="406"/>
      <c r="PWD7" s="406"/>
      <c r="PWE7" s="406"/>
      <c r="PWF7" s="406"/>
      <c r="PWG7" s="406"/>
      <c r="PWH7" s="406"/>
      <c r="PWI7" s="406"/>
      <c r="PWJ7" s="406"/>
      <c r="PWK7" s="406"/>
      <c r="PWL7" s="406"/>
      <c r="PWM7" s="406"/>
      <c r="PWN7" s="406"/>
      <c r="PWO7" s="406"/>
      <c r="PWP7" s="406"/>
      <c r="PWQ7" s="406"/>
      <c r="PWR7" s="406"/>
      <c r="PWS7" s="406"/>
      <c r="PWT7" s="406"/>
      <c r="PWU7" s="406"/>
      <c r="PWV7" s="406"/>
      <c r="PWW7" s="406"/>
      <c r="PWX7" s="406"/>
      <c r="PWY7" s="406"/>
      <c r="PWZ7" s="406"/>
      <c r="PXA7" s="406"/>
      <c r="PXB7" s="406"/>
      <c r="PXC7" s="406"/>
      <c r="PXD7" s="406"/>
      <c r="PXE7" s="406"/>
      <c r="PXF7" s="406"/>
      <c r="PXG7" s="406"/>
      <c r="PXH7" s="406"/>
      <c r="PXI7" s="406"/>
      <c r="PXJ7" s="406"/>
      <c r="PXK7" s="406"/>
      <c r="PXL7" s="406"/>
      <c r="PXM7" s="406"/>
      <c r="PXN7" s="406"/>
      <c r="PXO7" s="406"/>
      <c r="PXP7" s="406"/>
      <c r="PXQ7" s="406"/>
      <c r="PXR7" s="406"/>
      <c r="PXS7" s="406"/>
      <c r="PXT7" s="406"/>
      <c r="PXU7" s="406"/>
      <c r="PXV7" s="406"/>
      <c r="PXW7" s="406"/>
      <c r="PXX7" s="406"/>
      <c r="PXY7" s="406"/>
      <c r="PXZ7" s="406"/>
      <c r="PYA7" s="406"/>
      <c r="PYB7" s="406"/>
      <c r="PYC7" s="406"/>
      <c r="PYD7" s="406"/>
      <c r="PYE7" s="406"/>
      <c r="PYF7" s="406"/>
      <c r="PYG7" s="406"/>
      <c r="PYH7" s="406"/>
      <c r="PYI7" s="406"/>
      <c r="PYJ7" s="406"/>
      <c r="PYK7" s="406"/>
      <c r="PYL7" s="406"/>
      <c r="PYM7" s="406"/>
      <c r="PYN7" s="406"/>
      <c r="PYO7" s="406"/>
      <c r="PYP7" s="406"/>
      <c r="PYQ7" s="406"/>
      <c r="PYR7" s="406"/>
      <c r="PYS7" s="406"/>
      <c r="PYT7" s="406"/>
      <c r="PYU7" s="406"/>
      <c r="PYV7" s="406"/>
      <c r="PYW7" s="406"/>
      <c r="PYX7" s="406"/>
      <c r="PYY7" s="406"/>
      <c r="PYZ7" s="406"/>
      <c r="PZA7" s="406"/>
      <c r="PZB7" s="406"/>
      <c r="PZC7" s="406"/>
      <c r="PZD7" s="406"/>
      <c r="PZE7" s="406"/>
      <c r="PZF7" s="406"/>
      <c r="PZG7" s="406"/>
      <c r="PZH7" s="406"/>
      <c r="PZI7" s="406"/>
      <c r="PZJ7" s="406"/>
      <c r="PZK7" s="406"/>
      <c r="PZL7" s="406"/>
      <c r="PZM7" s="406"/>
      <c r="PZN7" s="406"/>
      <c r="PZO7" s="406"/>
      <c r="PZP7" s="406"/>
      <c r="PZQ7" s="406"/>
      <c r="PZR7" s="406"/>
      <c r="PZS7" s="406"/>
      <c r="PZT7" s="406"/>
      <c r="PZU7" s="406"/>
      <c r="PZV7" s="406"/>
      <c r="PZW7" s="406"/>
      <c r="PZX7" s="406"/>
      <c r="PZY7" s="406"/>
      <c r="PZZ7" s="406"/>
      <c r="QAA7" s="406"/>
      <c r="QAB7" s="406"/>
      <c r="QAC7" s="406"/>
      <c r="QAD7" s="406"/>
      <c r="QAE7" s="406"/>
      <c r="QAF7" s="406"/>
      <c r="QAG7" s="406"/>
      <c r="QAH7" s="406"/>
      <c r="QAI7" s="406"/>
      <c r="QAJ7" s="406"/>
      <c r="QAK7" s="406"/>
      <c r="QAL7" s="406"/>
      <c r="QAM7" s="406"/>
      <c r="QAN7" s="406"/>
      <c r="QAO7" s="406"/>
      <c r="QAP7" s="406"/>
      <c r="QAQ7" s="406"/>
      <c r="QAR7" s="406"/>
      <c r="QAS7" s="406"/>
      <c r="QAT7" s="406"/>
      <c r="QAU7" s="406"/>
      <c r="QAV7" s="406"/>
      <c r="QAW7" s="406"/>
      <c r="QAX7" s="406"/>
      <c r="QAY7" s="406"/>
      <c r="QAZ7" s="406"/>
      <c r="QBA7" s="406"/>
      <c r="QBB7" s="406"/>
      <c r="QBC7" s="406"/>
      <c r="QBD7" s="406"/>
      <c r="QBE7" s="406"/>
      <c r="QBF7" s="406"/>
      <c r="QBG7" s="406"/>
      <c r="QBH7" s="406"/>
      <c r="QBI7" s="406"/>
      <c r="QBJ7" s="406"/>
      <c r="QBK7" s="406"/>
      <c r="QBL7" s="406"/>
      <c r="QBM7" s="406"/>
      <c r="QBN7" s="406"/>
      <c r="QBO7" s="406"/>
      <c r="QBP7" s="406"/>
      <c r="QBQ7" s="406"/>
      <c r="QBR7" s="406"/>
      <c r="QBS7" s="406"/>
      <c r="QBT7" s="406"/>
      <c r="QBU7" s="406"/>
      <c r="QBV7" s="406"/>
      <c r="QBW7" s="406"/>
      <c r="QBX7" s="406"/>
      <c r="QBY7" s="406"/>
      <c r="QBZ7" s="406"/>
      <c r="QCA7" s="406"/>
      <c r="QCB7" s="406"/>
      <c r="QCC7" s="406"/>
      <c r="QCD7" s="406"/>
      <c r="QCE7" s="406"/>
      <c r="QCF7" s="406"/>
      <c r="QCG7" s="406"/>
      <c r="QCH7" s="406"/>
      <c r="QCI7" s="406"/>
      <c r="QCJ7" s="406"/>
      <c r="QCK7" s="406"/>
      <c r="QCL7" s="406"/>
      <c r="QCM7" s="406"/>
      <c r="QCN7" s="406"/>
      <c r="QCO7" s="406"/>
      <c r="QCP7" s="406"/>
      <c r="QCQ7" s="406"/>
      <c r="QCR7" s="406"/>
      <c r="QCS7" s="406"/>
      <c r="QCT7" s="406"/>
      <c r="QCU7" s="406"/>
      <c r="QCV7" s="406"/>
      <c r="QCW7" s="406"/>
      <c r="QCX7" s="406"/>
      <c r="QCY7" s="406"/>
      <c r="QCZ7" s="406"/>
      <c r="QDA7" s="406"/>
      <c r="QDB7" s="406"/>
      <c r="QDC7" s="406"/>
      <c r="QDD7" s="406"/>
      <c r="QDE7" s="406"/>
      <c r="QDF7" s="406"/>
      <c r="QDG7" s="406"/>
      <c r="QDH7" s="406"/>
      <c r="QDI7" s="406"/>
      <c r="QDJ7" s="406"/>
      <c r="QDK7" s="406"/>
      <c r="QDL7" s="406"/>
      <c r="QDM7" s="406"/>
      <c r="QDN7" s="406"/>
      <c r="QDO7" s="406"/>
      <c r="QDP7" s="406"/>
      <c r="QDQ7" s="406"/>
      <c r="QDR7" s="406"/>
      <c r="QDS7" s="406"/>
      <c r="QDT7" s="406"/>
      <c r="QDU7" s="406"/>
      <c r="QDV7" s="406"/>
      <c r="QDW7" s="406"/>
      <c r="QDX7" s="406"/>
      <c r="QDY7" s="406"/>
      <c r="QDZ7" s="406"/>
      <c r="QEA7" s="406"/>
      <c r="QEB7" s="406"/>
      <c r="QEC7" s="406"/>
      <c r="QED7" s="406"/>
      <c r="QEE7" s="406"/>
      <c r="QEF7" s="406"/>
      <c r="QEG7" s="406"/>
      <c r="QEH7" s="406"/>
      <c r="QEI7" s="406"/>
      <c r="QEJ7" s="406"/>
      <c r="QEK7" s="406"/>
      <c r="QEL7" s="406"/>
      <c r="QEM7" s="406"/>
      <c r="QEN7" s="406"/>
      <c r="QEO7" s="406"/>
      <c r="QEP7" s="406"/>
      <c r="QEQ7" s="406"/>
      <c r="QER7" s="406"/>
      <c r="QES7" s="406"/>
      <c r="QET7" s="406"/>
      <c r="QEU7" s="406"/>
      <c r="QEV7" s="406"/>
      <c r="QEW7" s="406"/>
      <c r="QEX7" s="406"/>
      <c r="QEY7" s="406"/>
      <c r="QEZ7" s="406"/>
      <c r="QFA7" s="406"/>
      <c r="QFB7" s="406"/>
      <c r="QFC7" s="406"/>
      <c r="QFD7" s="406"/>
      <c r="QFE7" s="406"/>
      <c r="QFF7" s="406"/>
      <c r="QFG7" s="406"/>
      <c r="QFH7" s="406"/>
      <c r="QFI7" s="406"/>
      <c r="QFJ7" s="406"/>
      <c r="QFK7" s="406"/>
      <c r="QFL7" s="406"/>
      <c r="QFM7" s="406"/>
      <c r="QFN7" s="406"/>
      <c r="QFO7" s="406"/>
      <c r="QFP7" s="406"/>
      <c r="QFQ7" s="406"/>
      <c r="QFR7" s="406"/>
      <c r="QFS7" s="406"/>
      <c r="QFT7" s="406"/>
      <c r="QFU7" s="406"/>
      <c r="QFV7" s="406"/>
      <c r="QFW7" s="406"/>
      <c r="QFX7" s="406"/>
      <c r="QFY7" s="406"/>
      <c r="QFZ7" s="406"/>
      <c r="QGA7" s="406"/>
      <c r="QGB7" s="406"/>
      <c r="QGC7" s="406"/>
      <c r="QGD7" s="406"/>
      <c r="QGE7" s="406"/>
      <c r="QGF7" s="406"/>
      <c r="QGG7" s="406"/>
      <c r="QGH7" s="406"/>
      <c r="QGI7" s="406"/>
      <c r="QGJ7" s="406"/>
      <c r="QGK7" s="406"/>
      <c r="QGL7" s="406"/>
      <c r="QGM7" s="406"/>
      <c r="QGN7" s="406"/>
      <c r="QGO7" s="406"/>
      <c r="QGP7" s="406"/>
      <c r="QGQ7" s="406"/>
      <c r="QGR7" s="406"/>
      <c r="QGS7" s="406"/>
      <c r="QGT7" s="406"/>
      <c r="QGU7" s="406"/>
      <c r="QGV7" s="406"/>
      <c r="QGW7" s="406"/>
      <c r="QGX7" s="406"/>
      <c r="QGY7" s="406"/>
      <c r="QGZ7" s="406"/>
      <c r="QHA7" s="406"/>
      <c r="QHB7" s="406"/>
      <c r="QHC7" s="406"/>
      <c r="QHD7" s="406"/>
      <c r="QHE7" s="406"/>
      <c r="QHF7" s="406"/>
      <c r="QHG7" s="406"/>
      <c r="QHH7" s="406"/>
      <c r="QHI7" s="406"/>
      <c r="QHJ7" s="406"/>
      <c r="QHK7" s="406"/>
      <c r="QHL7" s="406"/>
      <c r="QHM7" s="406"/>
      <c r="QHN7" s="406"/>
      <c r="QHO7" s="406"/>
      <c r="QHP7" s="406"/>
      <c r="QHQ7" s="406"/>
      <c r="QHR7" s="406"/>
      <c r="QHS7" s="406"/>
      <c r="QHT7" s="406"/>
      <c r="QHU7" s="406"/>
      <c r="QHV7" s="406"/>
      <c r="QHW7" s="406"/>
      <c r="QHX7" s="406"/>
      <c r="QHY7" s="406"/>
      <c r="QHZ7" s="406"/>
      <c r="QIA7" s="406"/>
      <c r="QIB7" s="406"/>
      <c r="QIC7" s="406"/>
      <c r="QID7" s="406"/>
      <c r="QIE7" s="406"/>
      <c r="QIF7" s="406"/>
      <c r="QIG7" s="406"/>
      <c r="QIH7" s="406"/>
      <c r="QII7" s="406"/>
      <c r="QIJ7" s="406"/>
      <c r="QIK7" s="406"/>
      <c r="QIL7" s="406"/>
      <c r="QIM7" s="406"/>
      <c r="QIN7" s="406"/>
      <c r="QIO7" s="406"/>
      <c r="QIP7" s="406"/>
      <c r="QIQ7" s="406"/>
      <c r="QIR7" s="406"/>
      <c r="QIS7" s="406"/>
      <c r="QIT7" s="406"/>
      <c r="QIU7" s="406"/>
      <c r="QIV7" s="406"/>
      <c r="QIW7" s="406"/>
      <c r="QIX7" s="406"/>
      <c r="QIY7" s="406"/>
      <c r="QIZ7" s="406"/>
      <c r="QJA7" s="406"/>
      <c r="QJB7" s="406"/>
      <c r="QJC7" s="406"/>
      <c r="QJD7" s="406"/>
      <c r="QJE7" s="406"/>
      <c r="QJF7" s="406"/>
      <c r="QJG7" s="406"/>
      <c r="QJH7" s="406"/>
      <c r="QJI7" s="406"/>
      <c r="QJJ7" s="406"/>
      <c r="QJK7" s="406"/>
      <c r="QJL7" s="406"/>
      <c r="QJM7" s="406"/>
      <c r="QJN7" s="406"/>
      <c r="QJO7" s="406"/>
      <c r="QJP7" s="406"/>
      <c r="QJQ7" s="406"/>
      <c r="QJR7" s="406"/>
      <c r="QJS7" s="406"/>
      <c r="QJT7" s="406"/>
      <c r="QJU7" s="406"/>
      <c r="QJV7" s="406"/>
      <c r="QJW7" s="406"/>
      <c r="QJX7" s="406"/>
      <c r="QJY7" s="406"/>
      <c r="QJZ7" s="406"/>
      <c r="QKA7" s="406"/>
      <c r="QKB7" s="406"/>
      <c r="QKC7" s="406"/>
      <c r="QKD7" s="406"/>
      <c r="QKE7" s="406"/>
      <c r="QKF7" s="406"/>
      <c r="QKG7" s="406"/>
      <c r="QKH7" s="406"/>
      <c r="QKI7" s="406"/>
      <c r="QKJ7" s="406"/>
      <c r="QKK7" s="406"/>
      <c r="QKL7" s="406"/>
      <c r="QKM7" s="406"/>
      <c r="QKN7" s="406"/>
      <c r="QKO7" s="406"/>
      <c r="QKP7" s="406"/>
      <c r="QKQ7" s="406"/>
      <c r="QKR7" s="406"/>
      <c r="QKS7" s="406"/>
      <c r="QKT7" s="406"/>
      <c r="QKU7" s="406"/>
      <c r="QKV7" s="406"/>
      <c r="QKW7" s="406"/>
      <c r="QKX7" s="406"/>
      <c r="QKY7" s="406"/>
      <c r="QKZ7" s="406"/>
      <c r="QLA7" s="406"/>
      <c r="QLB7" s="406"/>
      <c r="QLC7" s="406"/>
      <c r="QLD7" s="406"/>
      <c r="QLE7" s="406"/>
      <c r="QLF7" s="406"/>
      <c r="QLG7" s="406"/>
      <c r="QLH7" s="406"/>
      <c r="QLI7" s="406"/>
      <c r="QLJ7" s="406"/>
      <c r="QLK7" s="406"/>
      <c r="QLL7" s="406"/>
      <c r="QLM7" s="406"/>
      <c r="QLN7" s="406"/>
      <c r="QLO7" s="406"/>
      <c r="QLP7" s="406"/>
      <c r="QLQ7" s="406"/>
      <c r="QLR7" s="406"/>
      <c r="QLS7" s="406"/>
      <c r="QLT7" s="406"/>
      <c r="QLU7" s="406"/>
      <c r="QLV7" s="406"/>
      <c r="QLW7" s="406"/>
      <c r="QLX7" s="406"/>
      <c r="QLY7" s="406"/>
      <c r="QLZ7" s="406"/>
      <c r="QMA7" s="406"/>
      <c r="QMB7" s="406"/>
      <c r="QMC7" s="406"/>
      <c r="QMD7" s="406"/>
      <c r="QME7" s="406"/>
      <c r="QMF7" s="406"/>
      <c r="QMG7" s="406"/>
      <c r="QMH7" s="406"/>
      <c r="QMI7" s="406"/>
      <c r="QMJ7" s="406"/>
      <c r="QMK7" s="406"/>
      <c r="QML7" s="406"/>
      <c r="QMM7" s="406"/>
      <c r="QMN7" s="406"/>
      <c r="QMO7" s="406"/>
      <c r="QMP7" s="406"/>
      <c r="QMQ7" s="406"/>
      <c r="QMR7" s="406"/>
      <c r="QMS7" s="406"/>
      <c r="QMT7" s="406"/>
      <c r="QMU7" s="406"/>
      <c r="QMV7" s="406"/>
      <c r="QMW7" s="406"/>
      <c r="QMX7" s="406"/>
      <c r="QMY7" s="406"/>
      <c r="QMZ7" s="406"/>
      <c r="QNA7" s="406"/>
      <c r="QNB7" s="406"/>
      <c r="QNC7" s="406"/>
      <c r="QND7" s="406"/>
      <c r="QNE7" s="406"/>
      <c r="QNF7" s="406"/>
      <c r="QNG7" s="406"/>
      <c r="QNH7" s="406"/>
      <c r="QNI7" s="406"/>
      <c r="QNJ7" s="406"/>
      <c r="QNK7" s="406"/>
      <c r="QNL7" s="406"/>
      <c r="QNM7" s="406"/>
      <c r="QNN7" s="406"/>
      <c r="QNO7" s="406"/>
      <c r="QNP7" s="406"/>
      <c r="QNQ7" s="406"/>
      <c r="QNR7" s="406"/>
      <c r="QNS7" s="406"/>
      <c r="QNT7" s="406"/>
      <c r="QNU7" s="406"/>
      <c r="QNV7" s="406"/>
      <c r="QNW7" s="406"/>
      <c r="QNX7" s="406"/>
      <c r="QNY7" s="406"/>
      <c r="QNZ7" s="406"/>
      <c r="QOA7" s="406"/>
      <c r="QOB7" s="406"/>
      <c r="QOC7" s="406"/>
      <c r="QOD7" s="406"/>
      <c r="QOE7" s="406"/>
      <c r="QOF7" s="406"/>
      <c r="QOG7" s="406"/>
      <c r="QOH7" s="406"/>
      <c r="QOI7" s="406"/>
      <c r="QOJ7" s="406"/>
      <c r="QOK7" s="406"/>
      <c r="QOL7" s="406"/>
      <c r="QOM7" s="406"/>
      <c r="QON7" s="406"/>
      <c r="QOO7" s="406"/>
      <c r="QOP7" s="406"/>
      <c r="QOQ7" s="406"/>
      <c r="QOR7" s="406"/>
      <c r="QOS7" s="406"/>
      <c r="QOT7" s="406"/>
      <c r="QOU7" s="406"/>
      <c r="QOV7" s="406"/>
      <c r="QOW7" s="406"/>
      <c r="QOX7" s="406"/>
      <c r="QOY7" s="406"/>
      <c r="QOZ7" s="406"/>
      <c r="QPA7" s="406"/>
      <c r="QPB7" s="406"/>
      <c r="QPC7" s="406"/>
      <c r="QPD7" s="406"/>
      <c r="QPE7" s="406"/>
      <c r="QPF7" s="406"/>
      <c r="QPG7" s="406"/>
      <c r="QPH7" s="406"/>
      <c r="QPI7" s="406"/>
      <c r="QPJ7" s="406"/>
      <c r="QPK7" s="406"/>
      <c r="QPL7" s="406"/>
      <c r="QPM7" s="406"/>
      <c r="QPN7" s="406"/>
      <c r="QPO7" s="406"/>
      <c r="QPP7" s="406"/>
      <c r="QPQ7" s="406"/>
      <c r="QPR7" s="406"/>
      <c r="QPS7" s="406"/>
      <c r="QPT7" s="406"/>
      <c r="QPU7" s="406"/>
      <c r="QPV7" s="406"/>
      <c r="QPW7" s="406"/>
      <c r="QPX7" s="406"/>
      <c r="QPY7" s="406"/>
      <c r="QPZ7" s="406"/>
      <c r="QQA7" s="406"/>
      <c r="QQB7" s="406"/>
      <c r="QQC7" s="406"/>
      <c r="QQD7" s="406"/>
      <c r="QQE7" s="406"/>
      <c r="QQF7" s="406"/>
      <c r="QQG7" s="406"/>
      <c r="QQH7" s="406"/>
      <c r="QQI7" s="406"/>
      <c r="QQJ7" s="406"/>
      <c r="QQK7" s="406"/>
      <c r="QQL7" s="406"/>
      <c r="QQM7" s="406"/>
      <c r="QQN7" s="406"/>
      <c r="QQO7" s="406"/>
      <c r="QQP7" s="406"/>
      <c r="QQQ7" s="406"/>
      <c r="QQR7" s="406"/>
      <c r="QQS7" s="406"/>
      <c r="QQT7" s="406"/>
      <c r="QQU7" s="406"/>
      <c r="QQV7" s="406"/>
      <c r="QQW7" s="406"/>
      <c r="QQX7" s="406"/>
      <c r="QQY7" s="406"/>
      <c r="QQZ7" s="406"/>
      <c r="QRA7" s="406"/>
      <c r="QRB7" s="406"/>
      <c r="QRC7" s="406"/>
      <c r="QRD7" s="406"/>
      <c r="QRE7" s="406"/>
      <c r="QRF7" s="406"/>
      <c r="QRG7" s="406"/>
      <c r="QRH7" s="406"/>
      <c r="QRI7" s="406"/>
      <c r="QRJ7" s="406"/>
      <c r="QRK7" s="406"/>
      <c r="QRL7" s="406"/>
      <c r="QRM7" s="406"/>
      <c r="QRN7" s="406"/>
      <c r="QRO7" s="406"/>
      <c r="QRP7" s="406"/>
      <c r="QRQ7" s="406"/>
      <c r="QRR7" s="406"/>
      <c r="QRS7" s="406"/>
      <c r="QRT7" s="406"/>
      <c r="QRU7" s="406"/>
      <c r="QRV7" s="406"/>
      <c r="QRW7" s="406"/>
      <c r="QRX7" s="406"/>
      <c r="QRY7" s="406"/>
      <c r="QRZ7" s="406"/>
      <c r="QSA7" s="406"/>
      <c r="QSB7" s="406"/>
      <c r="QSC7" s="406"/>
      <c r="QSD7" s="406"/>
      <c r="QSE7" s="406"/>
      <c r="QSF7" s="406"/>
      <c r="QSG7" s="406"/>
      <c r="QSH7" s="406"/>
      <c r="QSI7" s="406"/>
      <c r="QSJ7" s="406"/>
      <c r="QSK7" s="406"/>
      <c r="QSL7" s="406"/>
      <c r="QSM7" s="406"/>
      <c r="QSN7" s="406"/>
      <c r="QSO7" s="406"/>
      <c r="QSP7" s="406"/>
      <c r="QSQ7" s="406"/>
      <c r="QSR7" s="406"/>
      <c r="QSS7" s="406"/>
      <c r="QST7" s="406"/>
      <c r="QSU7" s="406"/>
      <c r="QSV7" s="406"/>
      <c r="QSW7" s="406"/>
      <c r="QSX7" s="406"/>
      <c r="QSY7" s="406"/>
      <c r="QSZ7" s="406"/>
      <c r="QTA7" s="406"/>
      <c r="QTB7" s="406"/>
      <c r="QTC7" s="406"/>
      <c r="QTD7" s="406"/>
      <c r="QTE7" s="406"/>
      <c r="QTF7" s="406"/>
      <c r="QTG7" s="406"/>
      <c r="QTH7" s="406"/>
      <c r="QTI7" s="406"/>
      <c r="QTJ7" s="406"/>
      <c r="QTK7" s="406"/>
      <c r="QTL7" s="406"/>
      <c r="QTM7" s="406"/>
      <c r="QTN7" s="406"/>
      <c r="QTO7" s="406"/>
      <c r="QTP7" s="406"/>
      <c r="QTQ7" s="406"/>
      <c r="QTR7" s="406"/>
      <c r="QTS7" s="406"/>
      <c r="QTT7" s="406"/>
      <c r="QTU7" s="406"/>
      <c r="QTV7" s="406"/>
      <c r="QTW7" s="406"/>
      <c r="QTX7" s="406"/>
      <c r="QTY7" s="406"/>
      <c r="QTZ7" s="406"/>
      <c r="QUA7" s="406"/>
      <c r="QUB7" s="406"/>
      <c r="QUC7" s="406"/>
      <c r="QUD7" s="406"/>
      <c r="QUE7" s="406"/>
      <c r="QUF7" s="406"/>
      <c r="QUG7" s="406"/>
      <c r="QUH7" s="406"/>
      <c r="QUI7" s="406"/>
      <c r="QUJ7" s="406"/>
      <c r="QUK7" s="406"/>
      <c r="QUL7" s="406"/>
      <c r="QUM7" s="406"/>
      <c r="QUN7" s="406"/>
      <c r="QUO7" s="406"/>
      <c r="QUP7" s="406"/>
      <c r="QUQ7" s="406"/>
      <c r="QUR7" s="406"/>
      <c r="QUS7" s="406"/>
      <c r="QUT7" s="406"/>
      <c r="QUU7" s="406"/>
      <c r="QUV7" s="406"/>
      <c r="QUW7" s="406"/>
      <c r="QUX7" s="406"/>
      <c r="QUY7" s="406"/>
      <c r="QUZ7" s="406"/>
      <c r="QVA7" s="406"/>
      <c r="QVB7" s="406"/>
      <c r="QVC7" s="406"/>
      <c r="QVD7" s="406"/>
      <c r="QVE7" s="406"/>
      <c r="QVF7" s="406"/>
      <c r="QVG7" s="406"/>
      <c r="QVH7" s="406"/>
      <c r="QVI7" s="406"/>
      <c r="QVJ7" s="406"/>
      <c r="QVK7" s="406"/>
      <c r="QVL7" s="406"/>
      <c r="QVM7" s="406"/>
      <c r="QVN7" s="406"/>
      <c r="QVO7" s="406"/>
      <c r="QVP7" s="406"/>
      <c r="QVQ7" s="406"/>
      <c r="QVR7" s="406"/>
      <c r="QVS7" s="406"/>
      <c r="QVT7" s="406"/>
      <c r="QVU7" s="406"/>
      <c r="QVV7" s="406"/>
      <c r="QVW7" s="406"/>
      <c r="QVX7" s="406"/>
      <c r="QVY7" s="406"/>
      <c r="QVZ7" s="406"/>
      <c r="QWA7" s="406"/>
      <c r="QWB7" s="406"/>
      <c r="QWC7" s="406"/>
      <c r="QWD7" s="406"/>
      <c r="QWE7" s="406"/>
      <c r="QWF7" s="406"/>
      <c r="QWG7" s="406"/>
      <c r="QWH7" s="406"/>
      <c r="QWI7" s="406"/>
      <c r="QWJ7" s="406"/>
      <c r="QWK7" s="406"/>
      <c r="QWL7" s="406"/>
      <c r="QWM7" s="406"/>
      <c r="QWN7" s="406"/>
      <c r="QWO7" s="406"/>
      <c r="QWP7" s="406"/>
      <c r="QWQ7" s="406"/>
      <c r="QWR7" s="406"/>
      <c r="QWS7" s="406"/>
      <c r="QWT7" s="406"/>
      <c r="QWU7" s="406"/>
      <c r="QWV7" s="406"/>
      <c r="QWW7" s="406"/>
      <c r="QWX7" s="406"/>
      <c r="QWY7" s="406"/>
      <c r="QWZ7" s="406"/>
      <c r="QXA7" s="406"/>
      <c r="QXB7" s="406"/>
      <c r="QXC7" s="406"/>
      <c r="QXD7" s="406"/>
      <c r="QXE7" s="406"/>
      <c r="QXF7" s="406"/>
      <c r="QXG7" s="406"/>
      <c r="QXH7" s="406"/>
      <c r="QXI7" s="406"/>
      <c r="QXJ7" s="406"/>
      <c r="QXK7" s="406"/>
      <c r="QXL7" s="406"/>
      <c r="QXM7" s="406"/>
      <c r="QXN7" s="406"/>
      <c r="QXO7" s="406"/>
      <c r="QXP7" s="406"/>
      <c r="QXQ7" s="406"/>
      <c r="QXR7" s="406"/>
      <c r="QXS7" s="406"/>
      <c r="QXT7" s="406"/>
      <c r="QXU7" s="406"/>
      <c r="QXV7" s="406"/>
      <c r="QXW7" s="406"/>
      <c r="QXX7" s="406"/>
      <c r="QXY7" s="406"/>
      <c r="QXZ7" s="406"/>
      <c r="QYA7" s="406"/>
      <c r="QYB7" s="406"/>
      <c r="QYC7" s="406"/>
      <c r="QYD7" s="406"/>
      <c r="QYE7" s="406"/>
      <c r="QYF7" s="406"/>
      <c r="QYG7" s="406"/>
      <c r="QYH7" s="406"/>
      <c r="QYI7" s="406"/>
      <c r="QYJ7" s="406"/>
      <c r="QYK7" s="406"/>
      <c r="QYL7" s="406"/>
      <c r="QYM7" s="406"/>
      <c r="QYN7" s="406"/>
      <c r="QYO7" s="406"/>
      <c r="QYP7" s="406"/>
      <c r="QYQ7" s="406"/>
      <c r="QYR7" s="406"/>
      <c r="QYS7" s="406"/>
      <c r="QYT7" s="406"/>
      <c r="QYU7" s="406"/>
      <c r="QYV7" s="406"/>
      <c r="QYW7" s="406"/>
      <c r="QYX7" s="406"/>
      <c r="QYY7" s="406"/>
      <c r="QYZ7" s="406"/>
      <c r="QZA7" s="406"/>
      <c r="QZB7" s="406"/>
      <c r="QZC7" s="406"/>
      <c r="QZD7" s="406"/>
      <c r="QZE7" s="406"/>
      <c r="QZF7" s="406"/>
      <c r="QZG7" s="406"/>
      <c r="QZH7" s="406"/>
      <c r="QZI7" s="406"/>
      <c r="QZJ7" s="406"/>
      <c r="QZK7" s="406"/>
      <c r="QZL7" s="406"/>
      <c r="QZM7" s="406"/>
      <c r="QZN7" s="406"/>
      <c r="QZO7" s="406"/>
      <c r="QZP7" s="406"/>
      <c r="QZQ7" s="406"/>
      <c r="QZR7" s="406"/>
      <c r="QZS7" s="406"/>
      <c r="QZT7" s="406"/>
      <c r="QZU7" s="406"/>
      <c r="QZV7" s="406"/>
      <c r="QZW7" s="406"/>
      <c r="QZX7" s="406"/>
      <c r="QZY7" s="406"/>
      <c r="QZZ7" s="406"/>
      <c r="RAA7" s="406"/>
      <c r="RAB7" s="406"/>
      <c r="RAC7" s="406"/>
      <c r="RAD7" s="406"/>
      <c r="RAE7" s="406"/>
      <c r="RAF7" s="406"/>
      <c r="RAG7" s="406"/>
      <c r="RAH7" s="406"/>
      <c r="RAI7" s="406"/>
      <c r="RAJ7" s="406"/>
      <c r="RAK7" s="406"/>
      <c r="RAL7" s="406"/>
      <c r="RAM7" s="406"/>
      <c r="RAN7" s="406"/>
      <c r="RAO7" s="406"/>
      <c r="RAP7" s="406"/>
      <c r="RAQ7" s="406"/>
      <c r="RAR7" s="406"/>
      <c r="RAS7" s="406"/>
      <c r="RAT7" s="406"/>
      <c r="RAU7" s="406"/>
      <c r="RAV7" s="406"/>
      <c r="RAW7" s="406"/>
      <c r="RAX7" s="406"/>
      <c r="RAY7" s="406"/>
      <c r="RAZ7" s="406"/>
      <c r="RBA7" s="406"/>
      <c r="RBB7" s="406"/>
      <c r="RBC7" s="406"/>
      <c r="RBD7" s="406"/>
      <c r="RBE7" s="406"/>
      <c r="RBF7" s="406"/>
      <c r="RBG7" s="406"/>
      <c r="RBH7" s="406"/>
      <c r="RBI7" s="406"/>
      <c r="RBJ7" s="406"/>
      <c r="RBK7" s="406"/>
      <c r="RBL7" s="406"/>
      <c r="RBM7" s="406"/>
      <c r="RBN7" s="406"/>
      <c r="RBO7" s="406"/>
      <c r="RBP7" s="406"/>
      <c r="RBQ7" s="406"/>
      <c r="RBR7" s="406"/>
      <c r="RBS7" s="406"/>
      <c r="RBT7" s="406"/>
      <c r="RBU7" s="406"/>
      <c r="RBV7" s="406"/>
      <c r="RBW7" s="406"/>
      <c r="RBX7" s="406"/>
      <c r="RBY7" s="406"/>
      <c r="RBZ7" s="406"/>
      <c r="RCA7" s="406"/>
      <c r="RCB7" s="406"/>
      <c r="RCC7" s="406"/>
      <c r="RCD7" s="406"/>
      <c r="RCE7" s="406"/>
      <c r="RCF7" s="406"/>
      <c r="RCG7" s="406"/>
      <c r="RCH7" s="406"/>
      <c r="RCI7" s="406"/>
      <c r="RCJ7" s="406"/>
      <c r="RCK7" s="406"/>
      <c r="RCL7" s="406"/>
      <c r="RCM7" s="406"/>
      <c r="RCN7" s="406"/>
      <c r="RCO7" s="406"/>
      <c r="RCP7" s="406"/>
      <c r="RCQ7" s="406"/>
      <c r="RCR7" s="406"/>
      <c r="RCS7" s="406"/>
      <c r="RCT7" s="406"/>
      <c r="RCU7" s="406"/>
      <c r="RCV7" s="406"/>
      <c r="RCW7" s="406"/>
      <c r="RCX7" s="406"/>
      <c r="RCY7" s="406"/>
      <c r="RCZ7" s="406"/>
      <c r="RDA7" s="406"/>
      <c r="RDB7" s="406"/>
      <c r="RDC7" s="406"/>
      <c r="RDD7" s="406"/>
      <c r="RDE7" s="406"/>
      <c r="RDF7" s="406"/>
      <c r="RDG7" s="406"/>
      <c r="RDH7" s="406"/>
      <c r="RDI7" s="406"/>
      <c r="RDJ7" s="406"/>
      <c r="RDK7" s="406"/>
      <c r="RDL7" s="406"/>
      <c r="RDM7" s="406"/>
      <c r="RDN7" s="406"/>
      <c r="RDO7" s="406"/>
      <c r="RDP7" s="406"/>
      <c r="RDQ7" s="406"/>
      <c r="RDR7" s="406"/>
      <c r="RDS7" s="406"/>
      <c r="RDT7" s="406"/>
      <c r="RDU7" s="406"/>
      <c r="RDV7" s="406"/>
      <c r="RDW7" s="406"/>
      <c r="RDX7" s="406"/>
      <c r="RDY7" s="406"/>
      <c r="RDZ7" s="406"/>
      <c r="REA7" s="406"/>
      <c r="REB7" s="406"/>
      <c r="REC7" s="406"/>
      <c r="RED7" s="406"/>
      <c r="REE7" s="406"/>
      <c r="REF7" s="406"/>
      <c r="REG7" s="406"/>
      <c r="REH7" s="406"/>
      <c r="REI7" s="406"/>
      <c r="REJ7" s="406"/>
      <c r="REK7" s="406"/>
      <c r="REL7" s="406"/>
      <c r="REM7" s="406"/>
      <c r="REN7" s="406"/>
      <c r="REO7" s="406"/>
      <c r="REP7" s="406"/>
      <c r="REQ7" s="406"/>
      <c r="RER7" s="406"/>
      <c r="RES7" s="406"/>
      <c r="RET7" s="406"/>
      <c r="REU7" s="406"/>
      <c r="REV7" s="406"/>
      <c r="REW7" s="406"/>
      <c r="REX7" s="406"/>
      <c r="REY7" s="406"/>
      <c r="REZ7" s="406"/>
      <c r="RFA7" s="406"/>
      <c r="RFB7" s="406"/>
      <c r="RFC7" s="406"/>
      <c r="RFD7" s="406"/>
      <c r="RFE7" s="406"/>
      <c r="RFF7" s="406"/>
      <c r="RFG7" s="406"/>
      <c r="RFH7" s="406"/>
      <c r="RFI7" s="406"/>
      <c r="RFJ7" s="406"/>
      <c r="RFK7" s="406"/>
      <c r="RFL7" s="406"/>
      <c r="RFM7" s="406"/>
      <c r="RFN7" s="406"/>
      <c r="RFO7" s="406"/>
      <c r="RFP7" s="406"/>
      <c r="RFQ7" s="406"/>
      <c r="RFR7" s="406"/>
      <c r="RFS7" s="406"/>
      <c r="RFT7" s="406"/>
      <c r="RFU7" s="406"/>
      <c r="RFV7" s="406"/>
      <c r="RFW7" s="406"/>
      <c r="RFX7" s="406"/>
      <c r="RFY7" s="406"/>
      <c r="RFZ7" s="406"/>
      <c r="RGA7" s="406"/>
      <c r="RGB7" s="406"/>
      <c r="RGC7" s="406"/>
      <c r="RGD7" s="406"/>
      <c r="RGE7" s="406"/>
      <c r="RGF7" s="406"/>
      <c r="RGG7" s="406"/>
      <c r="RGH7" s="406"/>
      <c r="RGI7" s="406"/>
      <c r="RGJ7" s="406"/>
      <c r="RGK7" s="406"/>
      <c r="RGL7" s="406"/>
      <c r="RGM7" s="406"/>
      <c r="RGN7" s="406"/>
      <c r="RGO7" s="406"/>
      <c r="RGP7" s="406"/>
      <c r="RGQ7" s="406"/>
      <c r="RGR7" s="406"/>
      <c r="RGS7" s="406"/>
      <c r="RGT7" s="406"/>
      <c r="RGU7" s="406"/>
      <c r="RGV7" s="406"/>
      <c r="RGW7" s="406"/>
      <c r="RGX7" s="406"/>
      <c r="RGY7" s="406"/>
      <c r="RGZ7" s="406"/>
      <c r="RHA7" s="406"/>
      <c r="RHB7" s="406"/>
      <c r="RHC7" s="406"/>
      <c r="RHD7" s="406"/>
      <c r="RHE7" s="406"/>
      <c r="RHF7" s="406"/>
      <c r="RHG7" s="406"/>
      <c r="RHH7" s="406"/>
      <c r="RHI7" s="406"/>
      <c r="RHJ7" s="406"/>
      <c r="RHK7" s="406"/>
      <c r="RHL7" s="406"/>
      <c r="RHM7" s="406"/>
      <c r="RHN7" s="406"/>
      <c r="RHO7" s="406"/>
      <c r="RHP7" s="406"/>
      <c r="RHQ7" s="406"/>
      <c r="RHR7" s="406"/>
      <c r="RHS7" s="406"/>
      <c r="RHT7" s="406"/>
      <c r="RHU7" s="406"/>
      <c r="RHV7" s="406"/>
      <c r="RHW7" s="406"/>
      <c r="RHX7" s="406"/>
      <c r="RHY7" s="406"/>
      <c r="RHZ7" s="406"/>
      <c r="RIA7" s="406"/>
      <c r="RIB7" s="406"/>
      <c r="RIC7" s="406"/>
      <c r="RID7" s="406"/>
      <c r="RIE7" s="406"/>
      <c r="RIF7" s="406"/>
      <c r="RIG7" s="406"/>
      <c r="RIH7" s="406"/>
      <c r="RII7" s="406"/>
      <c r="RIJ7" s="406"/>
      <c r="RIK7" s="406"/>
      <c r="RIL7" s="406"/>
      <c r="RIM7" s="406"/>
      <c r="RIN7" s="406"/>
      <c r="RIO7" s="406"/>
      <c r="RIP7" s="406"/>
      <c r="RIQ7" s="406"/>
      <c r="RIR7" s="406"/>
      <c r="RIS7" s="406"/>
      <c r="RIT7" s="406"/>
      <c r="RIU7" s="406"/>
      <c r="RIV7" s="406"/>
      <c r="RIW7" s="406"/>
      <c r="RIX7" s="406"/>
      <c r="RIY7" s="406"/>
      <c r="RIZ7" s="406"/>
      <c r="RJA7" s="406"/>
      <c r="RJB7" s="406"/>
      <c r="RJC7" s="406"/>
      <c r="RJD7" s="406"/>
      <c r="RJE7" s="406"/>
      <c r="RJF7" s="406"/>
      <c r="RJG7" s="406"/>
      <c r="RJH7" s="406"/>
      <c r="RJI7" s="406"/>
      <c r="RJJ7" s="406"/>
      <c r="RJK7" s="406"/>
      <c r="RJL7" s="406"/>
      <c r="RJM7" s="406"/>
      <c r="RJN7" s="406"/>
      <c r="RJO7" s="406"/>
      <c r="RJP7" s="406"/>
      <c r="RJQ7" s="406"/>
      <c r="RJR7" s="406"/>
      <c r="RJS7" s="406"/>
      <c r="RJT7" s="406"/>
      <c r="RJU7" s="406"/>
      <c r="RJV7" s="406"/>
      <c r="RJW7" s="406"/>
      <c r="RJX7" s="406"/>
      <c r="RJY7" s="406"/>
      <c r="RJZ7" s="406"/>
      <c r="RKA7" s="406"/>
      <c r="RKB7" s="406"/>
      <c r="RKC7" s="406"/>
      <c r="RKD7" s="406"/>
      <c r="RKE7" s="406"/>
      <c r="RKF7" s="406"/>
      <c r="RKG7" s="406"/>
      <c r="RKH7" s="406"/>
      <c r="RKI7" s="406"/>
      <c r="RKJ7" s="406"/>
      <c r="RKK7" s="406"/>
      <c r="RKL7" s="406"/>
      <c r="RKM7" s="406"/>
      <c r="RKN7" s="406"/>
      <c r="RKO7" s="406"/>
      <c r="RKP7" s="406"/>
      <c r="RKQ7" s="406"/>
      <c r="RKR7" s="406"/>
      <c r="RKS7" s="406"/>
      <c r="RKT7" s="406"/>
      <c r="RKU7" s="406"/>
      <c r="RKV7" s="406"/>
      <c r="RKW7" s="406"/>
      <c r="RKX7" s="406"/>
      <c r="RKY7" s="406"/>
      <c r="RKZ7" s="406"/>
      <c r="RLA7" s="406"/>
      <c r="RLB7" s="406"/>
      <c r="RLC7" s="406"/>
      <c r="RLD7" s="406"/>
      <c r="RLE7" s="406"/>
      <c r="RLF7" s="406"/>
      <c r="RLG7" s="406"/>
      <c r="RLH7" s="406"/>
      <c r="RLI7" s="406"/>
      <c r="RLJ7" s="406"/>
      <c r="RLK7" s="406"/>
      <c r="RLL7" s="406"/>
      <c r="RLM7" s="406"/>
      <c r="RLN7" s="406"/>
      <c r="RLO7" s="406"/>
      <c r="RLP7" s="406"/>
      <c r="RLQ7" s="406"/>
      <c r="RLR7" s="406"/>
      <c r="RLS7" s="406"/>
      <c r="RLT7" s="406"/>
      <c r="RLU7" s="406"/>
      <c r="RLV7" s="406"/>
      <c r="RLW7" s="406"/>
      <c r="RLX7" s="406"/>
      <c r="RLY7" s="406"/>
      <c r="RLZ7" s="406"/>
      <c r="RMA7" s="406"/>
      <c r="RMB7" s="406"/>
      <c r="RMC7" s="406"/>
      <c r="RMD7" s="406"/>
      <c r="RME7" s="406"/>
      <c r="RMF7" s="406"/>
      <c r="RMG7" s="406"/>
      <c r="RMH7" s="406"/>
      <c r="RMI7" s="406"/>
      <c r="RMJ7" s="406"/>
      <c r="RMK7" s="406"/>
      <c r="RML7" s="406"/>
      <c r="RMM7" s="406"/>
      <c r="RMN7" s="406"/>
      <c r="RMO7" s="406"/>
      <c r="RMP7" s="406"/>
      <c r="RMQ7" s="406"/>
      <c r="RMR7" s="406"/>
      <c r="RMS7" s="406"/>
      <c r="RMT7" s="406"/>
      <c r="RMU7" s="406"/>
      <c r="RMV7" s="406"/>
      <c r="RMW7" s="406"/>
      <c r="RMX7" s="406"/>
      <c r="RMY7" s="406"/>
      <c r="RMZ7" s="406"/>
      <c r="RNA7" s="406"/>
      <c r="RNB7" s="406"/>
      <c r="RNC7" s="406"/>
      <c r="RND7" s="406"/>
      <c r="RNE7" s="406"/>
      <c r="RNF7" s="406"/>
      <c r="RNG7" s="406"/>
      <c r="RNH7" s="406"/>
      <c r="RNI7" s="406"/>
      <c r="RNJ7" s="406"/>
      <c r="RNK7" s="406"/>
      <c r="RNL7" s="406"/>
      <c r="RNM7" s="406"/>
      <c r="RNN7" s="406"/>
      <c r="RNO7" s="406"/>
      <c r="RNP7" s="406"/>
      <c r="RNQ7" s="406"/>
      <c r="RNR7" s="406"/>
      <c r="RNS7" s="406"/>
      <c r="RNT7" s="406"/>
      <c r="RNU7" s="406"/>
      <c r="RNV7" s="406"/>
      <c r="RNW7" s="406"/>
      <c r="RNX7" s="406"/>
      <c r="RNY7" s="406"/>
      <c r="RNZ7" s="406"/>
      <c r="ROA7" s="406"/>
      <c r="ROB7" s="406"/>
      <c r="ROC7" s="406"/>
      <c r="ROD7" s="406"/>
      <c r="ROE7" s="406"/>
      <c r="ROF7" s="406"/>
      <c r="ROG7" s="406"/>
      <c r="ROH7" s="406"/>
      <c r="ROI7" s="406"/>
      <c r="ROJ7" s="406"/>
      <c r="ROK7" s="406"/>
      <c r="ROL7" s="406"/>
      <c r="ROM7" s="406"/>
      <c r="RON7" s="406"/>
      <c r="ROO7" s="406"/>
      <c r="ROP7" s="406"/>
      <c r="ROQ7" s="406"/>
      <c r="ROR7" s="406"/>
      <c r="ROS7" s="406"/>
      <c r="ROT7" s="406"/>
      <c r="ROU7" s="406"/>
      <c r="ROV7" s="406"/>
      <c r="ROW7" s="406"/>
      <c r="ROX7" s="406"/>
      <c r="ROY7" s="406"/>
      <c r="ROZ7" s="406"/>
      <c r="RPA7" s="406"/>
      <c r="RPB7" s="406"/>
      <c r="RPC7" s="406"/>
      <c r="RPD7" s="406"/>
      <c r="RPE7" s="406"/>
      <c r="RPF7" s="406"/>
      <c r="RPG7" s="406"/>
      <c r="RPH7" s="406"/>
      <c r="RPI7" s="406"/>
      <c r="RPJ7" s="406"/>
      <c r="RPK7" s="406"/>
      <c r="RPL7" s="406"/>
      <c r="RPM7" s="406"/>
      <c r="RPN7" s="406"/>
      <c r="RPO7" s="406"/>
      <c r="RPP7" s="406"/>
      <c r="RPQ7" s="406"/>
      <c r="RPR7" s="406"/>
      <c r="RPS7" s="406"/>
      <c r="RPT7" s="406"/>
      <c r="RPU7" s="406"/>
      <c r="RPV7" s="406"/>
      <c r="RPW7" s="406"/>
      <c r="RPX7" s="406"/>
      <c r="RPY7" s="406"/>
      <c r="RPZ7" s="406"/>
      <c r="RQA7" s="406"/>
      <c r="RQB7" s="406"/>
      <c r="RQC7" s="406"/>
      <c r="RQD7" s="406"/>
      <c r="RQE7" s="406"/>
      <c r="RQF7" s="406"/>
      <c r="RQG7" s="406"/>
      <c r="RQH7" s="406"/>
      <c r="RQI7" s="406"/>
      <c r="RQJ7" s="406"/>
      <c r="RQK7" s="406"/>
      <c r="RQL7" s="406"/>
      <c r="RQM7" s="406"/>
      <c r="RQN7" s="406"/>
      <c r="RQO7" s="406"/>
      <c r="RQP7" s="406"/>
      <c r="RQQ7" s="406"/>
      <c r="RQR7" s="406"/>
      <c r="RQS7" s="406"/>
      <c r="RQT7" s="406"/>
      <c r="RQU7" s="406"/>
      <c r="RQV7" s="406"/>
      <c r="RQW7" s="406"/>
      <c r="RQX7" s="406"/>
      <c r="RQY7" s="406"/>
      <c r="RQZ7" s="406"/>
      <c r="RRA7" s="406"/>
      <c r="RRB7" s="406"/>
      <c r="RRC7" s="406"/>
      <c r="RRD7" s="406"/>
      <c r="RRE7" s="406"/>
      <c r="RRF7" s="406"/>
      <c r="RRG7" s="406"/>
      <c r="RRH7" s="406"/>
      <c r="RRI7" s="406"/>
      <c r="RRJ7" s="406"/>
      <c r="RRK7" s="406"/>
      <c r="RRL7" s="406"/>
      <c r="RRM7" s="406"/>
      <c r="RRN7" s="406"/>
      <c r="RRO7" s="406"/>
      <c r="RRP7" s="406"/>
      <c r="RRQ7" s="406"/>
      <c r="RRR7" s="406"/>
      <c r="RRS7" s="406"/>
      <c r="RRT7" s="406"/>
      <c r="RRU7" s="406"/>
      <c r="RRV7" s="406"/>
      <c r="RRW7" s="406"/>
      <c r="RRX7" s="406"/>
      <c r="RRY7" s="406"/>
      <c r="RRZ7" s="406"/>
      <c r="RSA7" s="406"/>
      <c r="RSB7" s="406"/>
      <c r="RSC7" s="406"/>
      <c r="RSD7" s="406"/>
      <c r="RSE7" s="406"/>
      <c r="RSF7" s="406"/>
      <c r="RSG7" s="406"/>
      <c r="RSH7" s="406"/>
      <c r="RSI7" s="406"/>
      <c r="RSJ7" s="406"/>
      <c r="RSK7" s="406"/>
      <c r="RSL7" s="406"/>
      <c r="RSM7" s="406"/>
      <c r="RSN7" s="406"/>
      <c r="RSO7" s="406"/>
      <c r="RSP7" s="406"/>
      <c r="RSQ7" s="406"/>
      <c r="RSR7" s="406"/>
      <c r="RSS7" s="406"/>
      <c r="RST7" s="406"/>
      <c r="RSU7" s="406"/>
      <c r="RSV7" s="406"/>
      <c r="RSW7" s="406"/>
      <c r="RSX7" s="406"/>
      <c r="RSY7" s="406"/>
      <c r="RSZ7" s="406"/>
      <c r="RTA7" s="406"/>
      <c r="RTB7" s="406"/>
      <c r="RTC7" s="406"/>
      <c r="RTD7" s="406"/>
      <c r="RTE7" s="406"/>
      <c r="RTF7" s="406"/>
      <c r="RTG7" s="406"/>
      <c r="RTH7" s="406"/>
      <c r="RTI7" s="406"/>
      <c r="RTJ7" s="406"/>
      <c r="RTK7" s="406"/>
      <c r="RTL7" s="406"/>
      <c r="RTM7" s="406"/>
      <c r="RTN7" s="406"/>
      <c r="RTO7" s="406"/>
      <c r="RTP7" s="406"/>
      <c r="RTQ7" s="406"/>
      <c r="RTR7" s="406"/>
      <c r="RTS7" s="406"/>
      <c r="RTT7" s="406"/>
      <c r="RTU7" s="406"/>
      <c r="RTV7" s="406"/>
      <c r="RTW7" s="406"/>
      <c r="RTX7" s="406"/>
      <c r="RTY7" s="406"/>
      <c r="RTZ7" s="406"/>
      <c r="RUA7" s="406"/>
      <c r="RUB7" s="406"/>
      <c r="RUC7" s="406"/>
      <c r="RUD7" s="406"/>
      <c r="RUE7" s="406"/>
      <c r="RUF7" s="406"/>
      <c r="RUG7" s="406"/>
      <c r="RUH7" s="406"/>
      <c r="RUI7" s="406"/>
      <c r="RUJ7" s="406"/>
      <c r="RUK7" s="406"/>
      <c r="RUL7" s="406"/>
      <c r="RUM7" s="406"/>
      <c r="RUN7" s="406"/>
      <c r="RUO7" s="406"/>
      <c r="RUP7" s="406"/>
      <c r="RUQ7" s="406"/>
      <c r="RUR7" s="406"/>
      <c r="RUS7" s="406"/>
      <c r="RUT7" s="406"/>
      <c r="RUU7" s="406"/>
      <c r="RUV7" s="406"/>
      <c r="RUW7" s="406"/>
      <c r="RUX7" s="406"/>
      <c r="RUY7" s="406"/>
      <c r="RUZ7" s="406"/>
      <c r="RVA7" s="406"/>
      <c r="RVB7" s="406"/>
      <c r="RVC7" s="406"/>
      <c r="RVD7" s="406"/>
      <c r="RVE7" s="406"/>
      <c r="RVF7" s="406"/>
      <c r="RVG7" s="406"/>
      <c r="RVH7" s="406"/>
      <c r="RVI7" s="406"/>
      <c r="RVJ7" s="406"/>
      <c r="RVK7" s="406"/>
      <c r="RVL7" s="406"/>
      <c r="RVM7" s="406"/>
      <c r="RVN7" s="406"/>
      <c r="RVO7" s="406"/>
      <c r="RVP7" s="406"/>
      <c r="RVQ7" s="406"/>
      <c r="RVR7" s="406"/>
      <c r="RVS7" s="406"/>
      <c r="RVT7" s="406"/>
      <c r="RVU7" s="406"/>
      <c r="RVV7" s="406"/>
      <c r="RVW7" s="406"/>
      <c r="RVX7" s="406"/>
      <c r="RVY7" s="406"/>
      <c r="RVZ7" s="406"/>
      <c r="RWA7" s="406"/>
      <c r="RWB7" s="406"/>
      <c r="RWC7" s="406"/>
      <c r="RWD7" s="406"/>
      <c r="RWE7" s="406"/>
      <c r="RWF7" s="406"/>
      <c r="RWG7" s="406"/>
      <c r="RWH7" s="406"/>
      <c r="RWI7" s="406"/>
      <c r="RWJ7" s="406"/>
      <c r="RWK7" s="406"/>
      <c r="RWL7" s="406"/>
      <c r="RWM7" s="406"/>
      <c r="RWN7" s="406"/>
      <c r="RWO7" s="406"/>
      <c r="RWP7" s="406"/>
      <c r="RWQ7" s="406"/>
      <c r="RWR7" s="406"/>
      <c r="RWS7" s="406"/>
      <c r="RWT7" s="406"/>
      <c r="RWU7" s="406"/>
      <c r="RWV7" s="406"/>
      <c r="RWW7" s="406"/>
      <c r="RWX7" s="406"/>
      <c r="RWY7" s="406"/>
      <c r="RWZ7" s="406"/>
      <c r="RXA7" s="406"/>
      <c r="RXB7" s="406"/>
      <c r="RXC7" s="406"/>
      <c r="RXD7" s="406"/>
      <c r="RXE7" s="406"/>
      <c r="RXF7" s="406"/>
      <c r="RXG7" s="406"/>
      <c r="RXH7" s="406"/>
      <c r="RXI7" s="406"/>
      <c r="RXJ7" s="406"/>
      <c r="RXK7" s="406"/>
      <c r="RXL7" s="406"/>
      <c r="RXM7" s="406"/>
      <c r="RXN7" s="406"/>
      <c r="RXO7" s="406"/>
      <c r="RXP7" s="406"/>
      <c r="RXQ7" s="406"/>
      <c r="RXR7" s="406"/>
      <c r="RXS7" s="406"/>
      <c r="RXT7" s="406"/>
      <c r="RXU7" s="406"/>
      <c r="RXV7" s="406"/>
      <c r="RXW7" s="406"/>
      <c r="RXX7" s="406"/>
      <c r="RXY7" s="406"/>
      <c r="RXZ7" s="406"/>
      <c r="RYA7" s="406"/>
      <c r="RYB7" s="406"/>
      <c r="RYC7" s="406"/>
      <c r="RYD7" s="406"/>
      <c r="RYE7" s="406"/>
      <c r="RYF7" s="406"/>
      <c r="RYG7" s="406"/>
      <c r="RYH7" s="406"/>
      <c r="RYI7" s="406"/>
      <c r="RYJ7" s="406"/>
      <c r="RYK7" s="406"/>
      <c r="RYL7" s="406"/>
      <c r="RYM7" s="406"/>
      <c r="RYN7" s="406"/>
      <c r="RYO7" s="406"/>
      <c r="RYP7" s="406"/>
      <c r="RYQ7" s="406"/>
      <c r="RYR7" s="406"/>
      <c r="RYS7" s="406"/>
      <c r="RYT7" s="406"/>
      <c r="RYU7" s="406"/>
      <c r="RYV7" s="406"/>
      <c r="RYW7" s="406"/>
      <c r="RYX7" s="406"/>
      <c r="RYY7" s="406"/>
      <c r="RYZ7" s="406"/>
      <c r="RZA7" s="406"/>
      <c r="RZB7" s="406"/>
      <c r="RZC7" s="406"/>
      <c r="RZD7" s="406"/>
      <c r="RZE7" s="406"/>
      <c r="RZF7" s="406"/>
      <c r="RZG7" s="406"/>
      <c r="RZH7" s="406"/>
      <c r="RZI7" s="406"/>
      <c r="RZJ7" s="406"/>
      <c r="RZK7" s="406"/>
      <c r="RZL7" s="406"/>
      <c r="RZM7" s="406"/>
      <c r="RZN7" s="406"/>
      <c r="RZO7" s="406"/>
      <c r="RZP7" s="406"/>
      <c r="RZQ7" s="406"/>
      <c r="RZR7" s="406"/>
      <c r="RZS7" s="406"/>
      <c r="RZT7" s="406"/>
      <c r="RZU7" s="406"/>
      <c r="RZV7" s="406"/>
      <c r="RZW7" s="406"/>
      <c r="RZX7" s="406"/>
      <c r="RZY7" s="406"/>
      <c r="RZZ7" s="406"/>
      <c r="SAA7" s="406"/>
      <c r="SAB7" s="406"/>
      <c r="SAC7" s="406"/>
      <c r="SAD7" s="406"/>
      <c r="SAE7" s="406"/>
      <c r="SAF7" s="406"/>
      <c r="SAG7" s="406"/>
      <c r="SAH7" s="406"/>
      <c r="SAI7" s="406"/>
      <c r="SAJ7" s="406"/>
      <c r="SAK7" s="406"/>
      <c r="SAL7" s="406"/>
      <c r="SAM7" s="406"/>
      <c r="SAN7" s="406"/>
      <c r="SAO7" s="406"/>
      <c r="SAP7" s="406"/>
      <c r="SAQ7" s="406"/>
      <c r="SAR7" s="406"/>
      <c r="SAS7" s="406"/>
      <c r="SAT7" s="406"/>
      <c r="SAU7" s="406"/>
      <c r="SAV7" s="406"/>
      <c r="SAW7" s="406"/>
      <c r="SAX7" s="406"/>
      <c r="SAY7" s="406"/>
      <c r="SAZ7" s="406"/>
      <c r="SBA7" s="406"/>
      <c r="SBB7" s="406"/>
      <c r="SBC7" s="406"/>
      <c r="SBD7" s="406"/>
      <c r="SBE7" s="406"/>
      <c r="SBF7" s="406"/>
      <c r="SBG7" s="406"/>
      <c r="SBH7" s="406"/>
      <c r="SBI7" s="406"/>
      <c r="SBJ7" s="406"/>
      <c r="SBK7" s="406"/>
      <c r="SBL7" s="406"/>
      <c r="SBM7" s="406"/>
      <c r="SBN7" s="406"/>
      <c r="SBO7" s="406"/>
      <c r="SBP7" s="406"/>
      <c r="SBQ7" s="406"/>
      <c r="SBR7" s="406"/>
      <c r="SBS7" s="406"/>
      <c r="SBT7" s="406"/>
      <c r="SBU7" s="406"/>
      <c r="SBV7" s="406"/>
      <c r="SBW7" s="406"/>
      <c r="SBX7" s="406"/>
      <c r="SBY7" s="406"/>
      <c r="SBZ7" s="406"/>
      <c r="SCA7" s="406"/>
      <c r="SCB7" s="406"/>
      <c r="SCC7" s="406"/>
      <c r="SCD7" s="406"/>
      <c r="SCE7" s="406"/>
      <c r="SCF7" s="406"/>
      <c r="SCG7" s="406"/>
      <c r="SCH7" s="406"/>
      <c r="SCI7" s="406"/>
      <c r="SCJ7" s="406"/>
      <c r="SCK7" s="406"/>
      <c r="SCL7" s="406"/>
      <c r="SCM7" s="406"/>
      <c r="SCN7" s="406"/>
      <c r="SCO7" s="406"/>
      <c r="SCP7" s="406"/>
      <c r="SCQ7" s="406"/>
      <c r="SCR7" s="406"/>
      <c r="SCS7" s="406"/>
      <c r="SCT7" s="406"/>
      <c r="SCU7" s="406"/>
      <c r="SCV7" s="406"/>
      <c r="SCW7" s="406"/>
      <c r="SCX7" s="406"/>
      <c r="SCY7" s="406"/>
      <c r="SCZ7" s="406"/>
      <c r="SDA7" s="406"/>
      <c r="SDB7" s="406"/>
      <c r="SDC7" s="406"/>
      <c r="SDD7" s="406"/>
      <c r="SDE7" s="406"/>
      <c r="SDF7" s="406"/>
      <c r="SDG7" s="406"/>
      <c r="SDH7" s="406"/>
      <c r="SDI7" s="406"/>
      <c r="SDJ7" s="406"/>
      <c r="SDK7" s="406"/>
      <c r="SDL7" s="406"/>
      <c r="SDM7" s="406"/>
      <c r="SDN7" s="406"/>
      <c r="SDO7" s="406"/>
      <c r="SDP7" s="406"/>
      <c r="SDQ7" s="406"/>
      <c r="SDR7" s="406"/>
      <c r="SDS7" s="406"/>
      <c r="SDT7" s="406"/>
      <c r="SDU7" s="406"/>
      <c r="SDV7" s="406"/>
      <c r="SDW7" s="406"/>
      <c r="SDX7" s="406"/>
      <c r="SDY7" s="406"/>
      <c r="SDZ7" s="406"/>
      <c r="SEA7" s="406"/>
      <c r="SEB7" s="406"/>
      <c r="SEC7" s="406"/>
      <c r="SED7" s="406"/>
      <c r="SEE7" s="406"/>
      <c r="SEF7" s="406"/>
      <c r="SEG7" s="406"/>
      <c r="SEH7" s="406"/>
      <c r="SEI7" s="406"/>
      <c r="SEJ7" s="406"/>
      <c r="SEK7" s="406"/>
      <c r="SEL7" s="406"/>
      <c r="SEM7" s="406"/>
      <c r="SEN7" s="406"/>
      <c r="SEO7" s="406"/>
      <c r="SEP7" s="406"/>
      <c r="SEQ7" s="406"/>
      <c r="SER7" s="406"/>
      <c r="SES7" s="406"/>
      <c r="SET7" s="406"/>
      <c r="SEU7" s="406"/>
      <c r="SEV7" s="406"/>
      <c r="SEW7" s="406"/>
      <c r="SEX7" s="406"/>
      <c r="SEY7" s="406"/>
      <c r="SEZ7" s="406"/>
      <c r="SFA7" s="406"/>
      <c r="SFB7" s="406"/>
      <c r="SFC7" s="406"/>
      <c r="SFD7" s="406"/>
      <c r="SFE7" s="406"/>
      <c r="SFF7" s="406"/>
      <c r="SFG7" s="406"/>
      <c r="SFH7" s="406"/>
      <c r="SFI7" s="406"/>
      <c r="SFJ7" s="406"/>
      <c r="SFK7" s="406"/>
      <c r="SFL7" s="406"/>
      <c r="SFM7" s="406"/>
      <c r="SFN7" s="406"/>
      <c r="SFO7" s="406"/>
      <c r="SFP7" s="406"/>
      <c r="SFQ7" s="406"/>
      <c r="SFR7" s="406"/>
      <c r="SFS7" s="406"/>
      <c r="SFT7" s="406"/>
      <c r="SFU7" s="406"/>
      <c r="SFV7" s="406"/>
      <c r="SFW7" s="406"/>
      <c r="SFX7" s="406"/>
      <c r="SFY7" s="406"/>
      <c r="SFZ7" s="406"/>
      <c r="SGA7" s="406"/>
      <c r="SGB7" s="406"/>
      <c r="SGC7" s="406"/>
      <c r="SGD7" s="406"/>
      <c r="SGE7" s="406"/>
      <c r="SGF7" s="406"/>
      <c r="SGG7" s="406"/>
      <c r="SGH7" s="406"/>
      <c r="SGI7" s="406"/>
      <c r="SGJ7" s="406"/>
      <c r="SGK7" s="406"/>
      <c r="SGL7" s="406"/>
      <c r="SGM7" s="406"/>
      <c r="SGN7" s="406"/>
      <c r="SGO7" s="406"/>
      <c r="SGP7" s="406"/>
      <c r="SGQ7" s="406"/>
      <c r="SGR7" s="406"/>
      <c r="SGS7" s="406"/>
      <c r="SGT7" s="406"/>
      <c r="SGU7" s="406"/>
      <c r="SGV7" s="406"/>
      <c r="SGW7" s="406"/>
      <c r="SGX7" s="406"/>
      <c r="SGY7" s="406"/>
      <c r="SGZ7" s="406"/>
      <c r="SHA7" s="406"/>
      <c r="SHB7" s="406"/>
      <c r="SHC7" s="406"/>
      <c r="SHD7" s="406"/>
      <c r="SHE7" s="406"/>
      <c r="SHF7" s="406"/>
      <c r="SHG7" s="406"/>
      <c r="SHH7" s="406"/>
      <c r="SHI7" s="406"/>
      <c r="SHJ7" s="406"/>
      <c r="SHK7" s="406"/>
      <c r="SHL7" s="406"/>
      <c r="SHM7" s="406"/>
      <c r="SHN7" s="406"/>
      <c r="SHO7" s="406"/>
      <c r="SHP7" s="406"/>
      <c r="SHQ7" s="406"/>
      <c r="SHR7" s="406"/>
      <c r="SHS7" s="406"/>
      <c r="SHT7" s="406"/>
      <c r="SHU7" s="406"/>
      <c r="SHV7" s="406"/>
      <c r="SHW7" s="406"/>
      <c r="SHX7" s="406"/>
      <c r="SHY7" s="406"/>
      <c r="SHZ7" s="406"/>
      <c r="SIA7" s="406"/>
      <c r="SIB7" s="406"/>
      <c r="SIC7" s="406"/>
      <c r="SID7" s="406"/>
      <c r="SIE7" s="406"/>
      <c r="SIF7" s="406"/>
      <c r="SIG7" s="406"/>
      <c r="SIH7" s="406"/>
      <c r="SII7" s="406"/>
      <c r="SIJ7" s="406"/>
      <c r="SIK7" s="406"/>
      <c r="SIL7" s="406"/>
      <c r="SIM7" s="406"/>
      <c r="SIN7" s="406"/>
      <c r="SIO7" s="406"/>
      <c r="SIP7" s="406"/>
      <c r="SIQ7" s="406"/>
      <c r="SIR7" s="406"/>
      <c r="SIS7" s="406"/>
      <c r="SIT7" s="406"/>
      <c r="SIU7" s="406"/>
      <c r="SIV7" s="406"/>
      <c r="SIW7" s="406"/>
      <c r="SIX7" s="406"/>
      <c r="SIY7" s="406"/>
      <c r="SIZ7" s="406"/>
      <c r="SJA7" s="406"/>
      <c r="SJB7" s="406"/>
      <c r="SJC7" s="406"/>
      <c r="SJD7" s="406"/>
      <c r="SJE7" s="406"/>
      <c r="SJF7" s="406"/>
      <c r="SJG7" s="406"/>
      <c r="SJH7" s="406"/>
      <c r="SJI7" s="406"/>
      <c r="SJJ7" s="406"/>
      <c r="SJK7" s="406"/>
      <c r="SJL7" s="406"/>
      <c r="SJM7" s="406"/>
      <c r="SJN7" s="406"/>
      <c r="SJO7" s="406"/>
      <c r="SJP7" s="406"/>
      <c r="SJQ7" s="406"/>
      <c r="SJR7" s="406"/>
      <c r="SJS7" s="406"/>
      <c r="SJT7" s="406"/>
      <c r="SJU7" s="406"/>
      <c r="SJV7" s="406"/>
      <c r="SJW7" s="406"/>
      <c r="SJX7" s="406"/>
      <c r="SJY7" s="406"/>
      <c r="SJZ7" s="406"/>
      <c r="SKA7" s="406"/>
      <c r="SKB7" s="406"/>
      <c r="SKC7" s="406"/>
      <c r="SKD7" s="406"/>
      <c r="SKE7" s="406"/>
      <c r="SKF7" s="406"/>
      <c r="SKG7" s="406"/>
      <c r="SKH7" s="406"/>
      <c r="SKI7" s="406"/>
      <c r="SKJ7" s="406"/>
      <c r="SKK7" s="406"/>
      <c r="SKL7" s="406"/>
      <c r="SKM7" s="406"/>
      <c r="SKN7" s="406"/>
      <c r="SKO7" s="406"/>
      <c r="SKP7" s="406"/>
      <c r="SKQ7" s="406"/>
      <c r="SKR7" s="406"/>
      <c r="SKS7" s="406"/>
      <c r="SKT7" s="406"/>
      <c r="SKU7" s="406"/>
      <c r="SKV7" s="406"/>
      <c r="SKW7" s="406"/>
      <c r="SKX7" s="406"/>
      <c r="SKY7" s="406"/>
      <c r="SKZ7" s="406"/>
      <c r="SLA7" s="406"/>
      <c r="SLB7" s="406"/>
      <c r="SLC7" s="406"/>
      <c r="SLD7" s="406"/>
      <c r="SLE7" s="406"/>
      <c r="SLF7" s="406"/>
      <c r="SLG7" s="406"/>
      <c r="SLH7" s="406"/>
      <c r="SLI7" s="406"/>
      <c r="SLJ7" s="406"/>
      <c r="SLK7" s="406"/>
      <c r="SLL7" s="406"/>
      <c r="SLM7" s="406"/>
      <c r="SLN7" s="406"/>
      <c r="SLO7" s="406"/>
      <c r="SLP7" s="406"/>
      <c r="SLQ7" s="406"/>
      <c r="SLR7" s="406"/>
      <c r="SLS7" s="406"/>
      <c r="SLT7" s="406"/>
      <c r="SLU7" s="406"/>
      <c r="SLV7" s="406"/>
      <c r="SLW7" s="406"/>
      <c r="SLX7" s="406"/>
      <c r="SLY7" s="406"/>
      <c r="SLZ7" s="406"/>
      <c r="SMA7" s="406"/>
      <c r="SMB7" s="406"/>
      <c r="SMC7" s="406"/>
      <c r="SMD7" s="406"/>
      <c r="SME7" s="406"/>
      <c r="SMF7" s="406"/>
      <c r="SMG7" s="406"/>
      <c r="SMH7" s="406"/>
      <c r="SMI7" s="406"/>
      <c r="SMJ7" s="406"/>
      <c r="SMK7" s="406"/>
      <c r="SML7" s="406"/>
      <c r="SMM7" s="406"/>
      <c r="SMN7" s="406"/>
      <c r="SMO7" s="406"/>
      <c r="SMP7" s="406"/>
      <c r="SMQ7" s="406"/>
      <c r="SMR7" s="406"/>
      <c r="SMS7" s="406"/>
      <c r="SMT7" s="406"/>
      <c r="SMU7" s="406"/>
      <c r="SMV7" s="406"/>
      <c r="SMW7" s="406"/>
      <c r="SMX7" s="406"/>
      <c r="SMY7" s="406"/>
      <c r="SMZ7" s="406"/>
      <c r="SNA7" s="406"/>
      <c r="SNB7" s="406"/>
      <c r="SNC7" s="406"/>
      <c r="SND7" s="406"/>
      <c r="SNE7" s="406"/>
      <c r="SNF7" s="406"/>
      <c r="SNG7" s="406"/>
      <c r="SNH7" s="406"/>
      <c r="SNI7" s="406"/>
      <c r="SNJ7" s="406"/>
      <c r="SNK7" s="406"/>
      <c r="SNL7" s="406"/>
      <c r="SNM7" s="406"/>
      <c r="SNN7" s="406"/>
      <c r="SNO7" s="406"/>
      <c r="SNP7" s="406"/>
      <c r="SNQ7" s="406"/>
      <c r="SNR7" s="406"/>
      <c r="SNS7" s="406"/>
      <c r="SNT7" s="406"/>
      <c r="SNU7" s="406"/>
      <c r="SNV7" s="406"/>
      <c r="SNW7" s="406"/>
      <c r="SNX7" s="406"/>
      <c r="SNY7" s="406"/>
      <c r="SNZ7" s="406"/>
      <c r="SOA7" s="406"/>
      <c r="SOB7" s="406"/>
      <c r="SOC7" s="406"/>
      <c r="SOD7" s="406"/>
      <c r="SOE7" s="406"/>
      <c r="SOF7" s="406"/>
      <c r="SOG7" s="406"/>
      <c r="SOH7" s="406"/>
      <c r="SOI7" s="406"/>
      <c r="SOJ7" s="406"/>
      <c r="SOK7" s="406"/>
      <c r="SOL7" s="406"/>
      <c r="SOM7" s="406"/>
      <c r="SON7" s="406"/>
      <c r="SOO7" s="406"/>
      <c r="SOP7" s="406"/>
      <c r="SOQ7" s="406"/>
      <c r="SOR7" s="406"/>
      <c r="SOS7" s="406"/>
      <c r="SOT7" s="406"/>
      <c r="SOU7" s="406"/>
      <c r="SOV7" s="406"/>
      <c r="SOW7" s="406"/>
      <c r="SOX7" s="406"/>
      <c r="SOY7" s="406"/>
      <c r="SOZ7" s="406"/>
      <c r="SPA7" s="406"/>
      <c r="SPB7" s="406"/>
      <c r="SPC7" s="406"/>
      <c r="SPD7" s="406"/>
      <c r="SPE7" s="406"/>
      <c r="SPF7" s="406"/>
      <c r="SPG7" s="406"/>
      <c r="SPH7" s="406"/>
      <c r="SPI7" s="406"/>
      <c r="SPJ7" s="406"/>
      <c r="SPK7" s="406"/>
      <c r="SPL7" s="406"/>
      <c r="SPM7" s="406"/>
      <c r="SPN7" s="406"/>
      <c r="SPO7" s="406"/>
      <c r="SPP7" s="406"/>
      <c r="SPQ7" s="406"/>
      <c r="SPR7" s="406"/>
      <c r="SPS7" s="406"/>
      <c r="SPT7" s="406"/>
      <c r="SPU7" s="406"/>
      <c r="SPV7" s="406"/>
      <c r="SPW7" s="406"/>
      <c r="SPX7" s="406"/>
      <c r="SPY7" s="406"/>
      <c r="SPZ7" s="406"/>
      <c r="SQA7" s="406"/>
      <c r="SQB7" s="406"/>
      <c r="SQC7" s="406"/>
      <c r="SQD7" s="406"/>
      <c r="SQE7" s="406"/>
      <c r="SQF7" s="406"/>
      <c r="SQG7" s="406"/>
      <c r="SQH7" s="406"/>
      <c r="SQI7" s="406"/>
      <c r="SQJ7" s="406"/>
      <c r="SQK7" s="406"/>
      <c r="SQL7" s="406"/>
      <c r="SQM7" s="406"/>
      <c r="SQN7" s="406"/>
      <c r="SQO7" s="406"/>
      <c r="SQP7" s="406"/>
      <c r="SQQ7" s="406"/>
      <c r="SQR7" s="406"/>
      <c r="SQS7" s="406"/>
      <c r="SQT7" s="406"/>
      <c r="SQU7" s="406"/>
      <c r="SQV7" s="406"/>
      <c r="SQW7" s="406"/>
      <c r="SQX7" s="406"/>
      <c r="SQY7" s="406"/>
      <c r="SQZ7" s="406"/>
      <c r="SRA7" s="406"/>
      <c r="SRB7" s="406"/>
      <c r="SRC7" s="406"/>
      <c r="SRD7" s="406"/>
      <c r="SRE7" s="406"/>
      <c r="SRF7" s="406"/>
      <c r="SRG7" s="406"/>
      <c r="SRH7" s="406"/>
      <c r="SRI7" s="406"/>
      <c r="SRJ7" s="406"/>
      <c r="SRK7" s="406"/>
      <c r="SRL7" s="406"/>
      <c r="SRM7" s="406"/>
      <c r="SRN7" s="406"/>
      <c r="SRO7" s="406"/>
      <c r="SRP7" s="406"/>
      <c r="SRQ7" s="406"/>
      <c r="SRR7" s="406"/>
      <c r="SRS7" s="406"/>
      <c r="SRT7" s="406"/>
      <c r="SRU7" s="406"/>
      <c r="SRV7" s="406"/>
      <c r="SRW7" s="406"/>
      <c r="SRX7" s="406"/>
      <c r="SRY7" s="406"/>
      <c r="SRZ7" s="406"/>
      <c r="SSA7" s="406"/>
      <c r="SSB7" s="406"/>
      <c r="SSC7" s="406"/>
      <c r="SSD7" s="406"/>
      <c r="SSE7" s="406"/>
      <c r="SSF7" s="406"/>
      <c r="SSG7" s="406"/>
      <c r="SSH7" s="406"/>
      <c r="SSI7" s="406"/>
      <c r="SSJ7" s="406"/>
      <c r="SSK7" s="406"/>
      <c r="SSL7" s="406"/>
      <c r="SSM7" s="406"/>
      <c r="SSN7" s="406"/>
      <c r="SSO7" s="406"/>
      <c r="SSP7" s="406"/>
      <c r="SSQ7" s="406"/>
      <c r="SSR7" s="406"/>
      <c r="SSS7" s="406"/>
      <c r="SST7" s="406"/>
      <c r="SSU7" s="406"/>
      <c r="SSV7" s="406"/>
      <c r="SSW7" s="406"/>
      <c r="SSX7" s="406"/>
      <c r="SSY7" s="406"/>
      <c r="SSZ7" s="406"/>
      <c r="STA7" s="406"/>
      <c r="STB7" s="406"/>
      <c r="STC7" s="406"/>
      <c r="STD7" s="406"/>
      <c r="STE7" s="406"/>
      <c r="STF7" s="406"/>
      <c r="STG7" s="406"/>
      <c r="STH7" s="406"/>
      <c r="STI7" s="406"/>
      <c r="STJ7" s="406"/>
      <c r="STK7" s="406"/>
      <c r="STL7" s="406"/>
      <c r="STM7" s="406"/>
      <c r="STN7" s="406"/>
      <c r="STO7" s="406"/>
      <c r="STP7" s="406"/>
      <c r="STQ7" s="406"/>
      <c r="STR7" s="406"/>
      <c r="STS7" s="406"/>
      <c r="STT7" s="406"/>
      <c r="STU7" s="406"/>
      <c r="STV7" s="406"/>
      <c r="STW7" s="406"/>
      <c r="STX7" s="406"/>
      <c r="STY7" s="406"/>
      <c r="STZ7" s="406"/>
      <c r="SUA7" s="406"/>
      <c r="SUB7" s="406"/>
      <c r="SUC7" s="406"/>
      <c r="SUD7" s="406"/>
      <c r="SUE7" s="406"/>
      <c r="SUF7" s="406"/>
      <c r="SUG7" s="406"/>
      <c r="SUH7" s="406"/>
      <c r="SUI7" s="406"/>
      <c r="SUJ7" s="406"/>
      <c r="SUK7" s="406"/>
      <c r="SUL7" s="406"/>
      <c r="SUM7" s="406"/>
      <c r="SUN7" s="406"/>
      <c r="SUO7" s="406"/>
      <c r="SUP7" s="406"/>
      <c r="SUQ7" s="406"/>
      <c r="SUR7" s="406"/>
      <c r="SUS7" s="406"/>
      <c r="SUT7" s="406"/>
      <c r="SUU7" s="406"/>
      <c r="SUV7" s="406"/>
      <c r="SUW7" s="406"/>
      <c r="SUX7" s="406"/>
      <c r="SUY7" s="406"/>
      <c r="SUZ7" s="406"/>
      <c r="SVA7" s="406"/>
      <c r="SVB7" s="406"/>
      <c r="SVC7" s="406"/>
      <c r="SVD7" s="406"/>
      <c r="SVE7" s="406"/>
      <c r="SVF7" s="406"/>
      <c r="SVG7" s="406"/>
      <c r="SVH7" s="406"/>
      <c r="SVI7" s="406"/>
      <c r="SVJ7" s="406"/>
      <c r="SVK7" s="406"/>
      <c r="SVL7" s="406"/>
      <c r="SVM7" s="406"/>
      <c r="SVN7" s="406"/>
      <c r="SVO7" s="406"/>
      <c r="SVP7" s="406"/>
      <c r="SVQ7" s="406"/>
      <c r="SVR7" s="406"/>
      <c r="SVS7" s="406"/>
      <c r="SVT7" s="406"/>
      <c r="SVU7" s="406"/>
      <c r="SVV7" s="406"/>
      <c r="SVW7" s="406"/>
      <c r="SVX7" s="406"/>
      <c r="SVY7" s="406"/>
      <c r="SVZ7" s="406"/>
      <c r="SWA7" s="406"/>
      <c r="SWB7" s="406"/>
      <c r="SWC7" s="406"/>
      <c r="SWD7" s="406"/>
      <c r="SWE7" s="406"/>
      <c r="SWF7" s="406"/>
      <c r="SWG7" s="406"/>
      <c r="SWH7" s="406"/>
      <c r="SWI7" s="406"/>
      <c r="SWJ7" s="406"/>
      <c r="SWK7" s="406"/>
      <c r="SWL7" s="406"/>
      <c r="SWM7" s="406"/>
      <c r="SWN7" s="406"/>
      <c r="SWO7" s="406"/>
      <c r="SWP7" s="406"/>
      <c r="SWQ7" s="406"/>
      <c r="SWR7" s="406"/>
      <c r="SWS7" s="406"/>
      <c r="SWT7" s="406"/>
      <c r="SWU7" s="406"/>
      <c r="SWV7" s="406"/>
      <c r="SWW7" s="406"/>
      <c r="SWX7" s="406"/>
      <c r="SWY7" s="406"/>
      <c r="SWZ7" s="406"/>
      <c r="SXA7" s="406"/>
      <c r="SXB7" s="406"/>
      <c r="SXC7" s="406"/>
      <c r="SXD7" s="406"/>
      <c r="SXE7" s="406"/>
      <c r="SXF7" s="406"/>
      <c r="SXG7" s="406"/>
      <c r="SXH7" s="406"/>
      <c r="SXI7" s="406"/>
      <c r="SXJ7" s="406"/>
      <c r="SXK7" s="406"/>
      <c r="SXL7" s="406"/>
      <c r="SXM7" s="406"/>
      <c r="SXN7" s="406"/>
      <c r="SXO7" s="406"/>
      <c r="SXP7" s="406"/>
      <c r="SXQ7" s="406"/>
      <c r="SXR7" s="406"/>
      <c r="SXS7" s="406"/>
      <c r="SXT7" s="406"/>
      <c r="SXU7" s="406"/>
      <c r="SXV7" s="406"/>
      <c r="SXW7" s="406"/>
      <c r="SXX7" s="406"/>
      <c r="SXY7" s="406"/>
      <c r="SXZ7" s="406"/>
      <c r="SYA7" s="406"/>
      <c r="SYB7" s="406"/>
      <c r="SYC7" s="406"/>
      <c r="SYD7" s="406"/>
      <c r="SYE7" s="406"/>
      <c r="SYF7" s="406"/>
      <c r="SYG7" s="406"/>
      <c r="SYH7" s="406"/>
      <c r="SYI7" s="406"/>
      <c r="SYJ7" s="406"/>
      <c r="SYK7" s="406"/>
      <c r="SYL7" s="406"/>
      <c r="SYM7" s="406"/>
      <c r="SYN7" s="406"/>
      <c r="SYO7" s="406"/>
      <c r="SYP7" s="406"/>
      <c r="SYQ7" s="406"/>
      <c r="SYR7" s="406"/>
      <c r="SYS7" s="406"/>
      <c r="SYT7" s="406"/>
      <c r="SYU7" s="406"/>
      <c r="SYV7" s="406"/>
      <c r="SYW7" s="406"/>
      <c r="SYX7" s="406"/>
      <c r="SYY7" s="406"/>
      <c r="SYZ7" s="406"/>
      <c r="SZA7" s="406"/>
      <c r="SZB7" s="406"/>
      <c r="SZC7" s="406"/>
      <c r="SZD7" s="406"/>
      <c r="SZE7" s="406"/>
      <c r="SZF7" s="406"/>
      <c r="SZG7" s="406"/>
      <c r="SZH7" s="406"/>
      <c r="SZI7" s="406"/>
      <c r="SZJ7" s="406"/>
      <c r="SZK7" s="406"/>
      <c r="SZL7" s="406"/>
      <c r="SZM7" s="406"/>
      <c r="SZN7" s="406"/>
      <c r="SZO7" s="406"/>
      <c r="SZP7" s="406"/>
      <c r="SZQ7" s="406"/>
      <c r="SZR7" s="406"/>
      <c r="SZS7" s="406"/>
      <c r="SZT7" s="406"/>
      <c r="SZU7" s="406"/>
      <c r="SZV7" s="406"/>
      <c r="SZW7" s="406"/>
      <c r="SZX7" s="406"/>
      <c r="SZY7" s="406"/>
      <c r="SZZ7" s="406"/>
      <c r="TAA7" s="406"/>
      <c r="TAB7" s="406"/>
      <c r="TAC7" s="406"/>
      <c r="TAD7" s="406"/>
      <c r="TAE7" s="406"/>
      <c r="TAF7" s="406"/>
      <c r="TAG7" s="406"/>
      <c r="TAH7" s="406"/>
      <c r="TAI7" s="406"/>
      <c r="TAJ7" s="406"/>
      <c r="TAK7" s="406"/>
      <c r="TAL7" s="406"/>
      <c r="TAM7" s="406"/>
      <c r="TAN7" s="406"/>
      <c r="TAO7" s="406"/>
      <c r="TAP7" s="406"/>
      <c r="TAQ7" s="406"/>
      <c r="TAR7" s="406"/>
      <c r="TAS7" s="406"/>
      <c r="TAT7" s="406"/>
      <c r="TAU7" s="406"/>
      <c r="TAV7" s="406"/>
      <c r="TAW7" s="406"/>
      <c r="TAX7" s="406"/>
      <c r="TAY7" s="406"/>
      <c r="TAZ7" s="406"/>
      <c r="TBA7" s="406"/>
      <c r="TBB7" s="406"/>
      <c r="TBC7" s="406"/>
      <c r="TBD7" s="406"/>
      <c r="TBE7" s="406"/>
      <c r="TBF7" s="406"/>
      <c r="TBG7" s="406"/>
      <c r="TBH7" s="406"/>
      <c r="TBI7" s="406"/>
      <c r="TBJ7" s="406"/>
      <c r="TBK7" s="406"/>
      <c r="TBL7" s="406"/>
      <c r="TBM7" s="406"/>
      <c r="TBN7" s="406"/>
      <c r="TBO7" s="406"/>
      <c r="TBP7" s="406"/>
      <c r="TBQ7" s="406"/>
      <c r="TBR7" s="406"/>
      <c r="TBS7" s="406"/>
      <c r="TBT7" s="406"/>
      <c r="TBU7" s="406"/>
      <c r="TBV7" s="406"/>
      <c r="TBW7" s="406"/>
      <c r="TBX7" s="406"/>
      <c r="TBY7" s="406"/>
      <c r="TBZ7" s="406"/>
      <c r="TCA7" s="406"/>
      <c r="TCB7" s="406"/>
      <c r="TCC7" s="406"/>
      <c r="TCD7" s="406"/>
      <c r="TCE7" s="406"/>
      <c r="TCF7" s="406"/>
      <c r="TCG7" s="406"/>
      <c r="TCH7" s="406"/>
      <c r="TCI7" s="406"/>
      <c r="TCJ7" s="406"/>
      <c r="TCK7" s="406"/>
      <c r="TCL7" s="406"/>
      <c r="TCM7" s="406"/>
      <c r="TCN7" s="406"/>
      <c r="TCO7" s="406"/>
      <c r="TCP7" s="406"/>
      <c r="TCQ7" s="406"/>
      <c r="TCR7" s="406"/>
      <c r="TCS7" s="406"/>
      <c r="TCT7" s="406"/>
      <c r="TCU7" s="406"/>
      <c r="TCV7" s="406"/>
      <c r="TCW7" s="406"/>
      <c r="TCX7" s="406"/>
      <c r="TCY7" s="406"/>
      <c r="TCZ7" s="406"/>
      <c r="TDA7" s="406"/>
      <c r="TDB7" s="406"/>
      <c r="TDC7" s="406"/>
      <c r="TDD7" s="406"/>
      <c r="TDE7" s="406"/>
      <c r="TDF7" s="406"/>
      <c r="TDG7" s="406"/>
      <c r="TDH7" s="406"/>
      <c r="TDI7" s="406"/>
      <c r="TDJ7" s="406"/>
      <c r="TDK7" s="406"/>
      <c r="TDL7" s="406"/>
      <c r="TDM7" s="406"/>
      <c r="TDN7" s="406"/>
      <c r="TDO7" s="406"/>
      <c r="TDP7" s="406"/>
      <c r="TDQ7" s="406"/>
      <c r="TDR7" s="406"/>
      <c r="TDS7" s="406"/>
      <c r="TDT7" s="406"/>
      <c r="TDU7" s="406"/>
      <c r="TDV7" s="406"/>
      <c r="TDW7" s="406"/>
      <c r="TDX7" s="406"/>
      <c r="TDY7" s="406"/>
      <c r="TDZ7" s="406"/>
      <c r="TEA7" s="406"/>
      <c r="TEB7" s="406"/>
      <c r="TEC7" s="406"/>
      <c r="TED7" s="406"/>
      <c r="TEE7" s="406"/>
      <c r="TEF7" s="406"/>
      <c r="TEG7" s="406"/>
      <c r="TEH7" s="406"/>
      <c r="TEI7" s="406"/>
      <c r="TEJ7" s="406"/>
      <c r="TEK7" s="406"/>
      <c r="TEL7" s="406"/>
      <c r="TEM7" s="406"/>
      <c r="TEN7" s="406"/>
      <c r="TEO7" s="406"/>
      <c r="TEP7" s="406"/>
      <c r="TEQ7" s="406"/>
      <c r="TER7" s="406"/>
      <c r="TES7" s="406"/>
      <c r="TET7" s="406"/>
      <c r="TEU7" s="406"/>
      <c r="TEV7" s="406"/>
      <c r="TEW7" s="406"/>
      <c r="TEX7" s="406"/>
      <c r="TEY7" s="406"/>
      <c r="TEZ7" s="406"/>
      <c r="TFA7" s="406"/>
      <c r="TFB7" s="406"/>
      <c r="TFC7" s="406"/>
      <c r="TFD7" s="406"/>
      <c r="TFE7" s="406"/>
      <c r="TFF7" s="406"/>
      <c r="TFG7" s="406"/>
      <c r="TFH7" s="406"/>
      <c r="TFI7" s="406"/>
      <c r="TFJ7" s="406"/>
      <c r="TFK7" s="406"/>
      <c r="TFL7" s="406"/>
      <c r="TFM7" s="406"/>
      <c r="TFN7" s="406"/>
      <c r="TFO7" s="406"/>
      <c r="TFP7" s="406"/>
      <c r="TFQ7" s="406"/>
      <c r="TFR7" s="406"/>
      <c r="TFS7" s="406"/>
      <c r="TFT7" s="406"/>
      <c r="TFU7" s="406"/>
      <c r="TFV7" s="406"/>
      <c r="TFW7" s="406"/>
      <c r="TFX7" s="406"/>
      <c r="TFY7" s="406"/>
      <c r="TFZ7" s="406"/>
      <c r="TGA7" s="406"/>
      <c r="TGB7" s="406"/>
      <c r="TGC7" s="406"/>
      <c r="TGD7" s="406"/>
      <c r="TGE7" s="406"/>
      <c r="TGF7" s="406"/>
      <c r="TGG7" s="406"/>
      <c r="TGH7" s="406"/>
      <c r="TGI7" s="406"/>
      <c r="TGJ7" s="406"/>
      <c r="TGK7" s="406"/>
      <c r="TGL7" s="406"/>
      <c r="TGM7" s="406"/>
      <c r="TGN7" s="406"/>
      <c r="TGO7" s="406"/>
      <c r="TGP7" s="406"/>
      <c r="TGQ7" s="406"/>
      <c r="TGR7" s="406"/>
      <c r="TGS7" s="406"/>
      <c r="TGT7" s="406"/>
      <c r="TGU7" s="406"/>
      <c r="TGV7" s="406"/>
      <c r="TGW7" s="406"/>
      <c r="TGX7" s="406"/>
      <c r="TGY7" s="406"/>
      <c r="TGZ7" s="406"/>
      <c r="THA7" s="406"/>
      <c r="THB7" s="406"/>
      <c r="THC7" s="406"/>
      <c r="THD7" s="406"/>
      <c r="THE7" s="406"/>
      <c r="THF7" s="406"/>
      <c r="THG7" s="406"/>
      <c r="THH7" s="406"/>
      <c r="THI7" s="406"/>
      <c r="THJ7" s="406"/>
      <c r="THK7" s="406"/>
      <c r="THL7" s="406"/>
      <c r="THM7" s="406"/>
      <c r="THN7" s="406"/>
      <c r="THO7" s="406"/>
      <c r="THP7" s="406"/>
      <c r="THQ7" s="406"/>
      <c r="THR7" s="406"/>
      <c r="THS7" s="406"/>
      <c r="THT7" s="406"/>
      <c r="THU7" s="406"/>
      <c r="THV7" s="406"/>
      <c r="THW7" s="406"/>
      <c r="THX7" s="406"/>
      <c r="THY7" s="406"/>
      <c r="THZ7" s="406"/>
      <c r="TIA7" s="406"/>
      <c r="TIB7" s="406"/>
      <c r="TIC7" s="406"/>
      <c r="TID7" s="406"/>
      <c r="TIE7" s="406"/>
      <c r="TIF7" s="406"/>
      <c r="TIG7" s="406"/>
      <c r="TIH7" s="406"/>
      <c r="TII7" s="406"/>
      <c r="TIJ7" s="406"/>
      <c r="TIK7" s="406"/>
      <c r="TIL7" s="406"/>
      <c r="TIM7" s="406"/>
      <c r="TIN7" s="406"/>
      <c r="TIO7" s="406"/>
      <c r="TIP7" s="406"/>
      <c r="TIQ7" s="406"/>
      <c r="TIR7" s="406"/>
      <c r="TIS7" s="406"/>
      <c r="TIT7" s="406"/>
      <c r="TIU7" s="406"/>
      <c r="TIV7" s="406"/>
      <c r="TIW7" s="406"/>
      <c r="TIX7" s="406"/>
      <c r="TIY7" s="406"/>
      <c r="TIZ7" s="406"/>
      <c r="TJA7" s="406"/>
      <c r="TJB7" s="406"/>
      <c r="TJC7" s="406"/>
      <c r="TJD7" s="406"/>
      <c r="TJE7" s="406"/>
      <c r="TJF7" s="406"/>
      <c r="TJG7" s="406"/>
      <c r="TJH7" s="406"/>
      <c r="TJI7" s="406"/>
      <c r="TJJ7" s="406"/>
      <c r="TJK7" s="406"/>
      <c r="TJL7" s="406"/>
      <c r="TJM7" s="406"/>
      <c r="TJN7" s="406"/>
      <c r="TJO7" s="406"/>
      <c r="TJP7" s="406"/>
      <c r="TJQ7" s="406"/>
      <c r="TJR7" s="406"/>
      <c r="TJS7" s="406"/>
      <c r="TJT7" s="406"/>
      <c r="TJU7" s="406"/>
      <c r="TJV7" s="406"/>
      <c r="TJW7" s="406"/>
      <c r="TJX7" s="406"/>
      <c r="TJY7" s="406"/>
      <c r="TJZ7" s="406"/>
      <c r="TKA7" s="406"/>
      <c r="TKB7" s="406"/>
      <c r="TKC7" s="406"/>
      <c r="TKD7" s="406"/>
      <c r="TKE7" s="406"/>
      <c r="TKF7" s="406"/>
      <c r="TKG7" s="406"/>
      <c r="TKH7" s="406"/>
      <c r="TKI7" s="406"/>
      <c r="TKJ7" s="406"/>
      <c r="TKK7" s="406"/>
      <c r="TKL7" s="406"/>
      <c r="TKM7" s="406"/>
      <c r="TKN7" s="406"/>
      <c r="TKO7" s="406"/>
      <c r="TKP7" s="406"/>
      <c r="TKQ7" s="406"/>
      <c r="TKR7" s="406"/>
      <c r="TKS7" s="406"/>
      <c r="TKT7" s="406"/>
      <c r="TKU7" s="406"/>
      <c r="TKV7" s="406"/>
      <c r="TKW7" s="406"/>
      <c r="TKX7" s="406"/>
      <c r="TKY7" s="406"/>
      <c r="TKZ7" s="406"/>
      <c r="TLA7" s="406"/>
      <c r="TLB7" s="406"/>
      <c r="TLC7" s="406"/>
      <c r="TLD7" s="406"/>
      <c r="TLE7" s="406"/>
      <c r="TLF7" s="406"/>
      <c r="TLG7" s="406"/>
      <c r="TLH7" s="406"/>
      <c r="TLI7" s="406"/>
      <c r="TLJ7" s="406"/>
      <c r="TLK7" s="406"/>
      <c r="TLL7" s="406"/>
      <c r="TLM7" s="406"/>
      <c r="TLN7" s="406"/>
      <c r="TLO7" s="406"/>
      <c r="TLP7" s="406"/>
      <c r="TLQ7" s="406"/>
      <c r="TLR7" s="406"/>
      <c r="TLS7" s="406"/>
      <c r="TLT7" s="406"/>
      <c r="TLU7" s="406"/>
      <c r="TLV7" s="406"/>
      <c r="TLW7" s="406"/>
      <c r="TLX7" s="406"/>
      <c r="TLY7" s="406"/>
      <c r="TLZ7" s="406"/>
      <c r="TMA7" s="406"/>
      <c r="TMB7" s="406"/>
      <c r="TMC7" s="406"/>
      <c r="TMD7" s="406"/>
      <c r="TME7" s="406"/>
      <c r="TMF7" s="406"/>
      <c r="TMG7" s="406"/>
      <c r="TMH7" s="406"/>
      <c r="TMI7" s="406"/>
      <c r="TMJ7" s="406"/>
      <c r="TMK7" s="406"/>
      <c r="TML7" s="406"/>
      <c r="TMM7" s="406"/>
      <c r="TMN7" s="406"/>
      <c r="TMO7" s="406"/>
      <c r="TMP7" s="406"/>
      <c r="TMQ7" s="406"/>
      <c r="TMR7" s="406"/>
      <c r="TMS7" s="406"/>
      <c r="TMT7" s="406"/>
      <c r="TMU7" s="406"/>
      <c r="TMV7" s="406"/>
      <c r="TMW7" s="406"/>
      <c r="TMX7" s="406"/>
      <c r="TMY7" s="406"/>
      <c r="TMZ7" s="406"/>
      <c r="TNA7" s="406"/>
      <c r="TNB7" s="406"/>
      <c r="TNC7" s="406"/>
      <c r="TND7" s="406"/>
      <c r="TNE7" s="406"/>
      <c r="TNF7" s="406"/>
      <c r="TNG7" s="406"/>
      <c r="TNH7" s="406"/>
      <c r="TNI7" s="406"/>
      <c r="TNJ7" s="406"/>
      <c r="TNK7" s="406"/>
      <c r="TNL7" s="406"/>
      <c r="TNM7" s="406"/>
      <c r="TNN7" s="406"/>
      <c r="TNO7" s="406"/>
      <c r="TNP7" s="406"/>
      <c r="TNQ7" s="406"/>
      <c r="TNR7" s="406"/>
      <c r="TNS7" s="406"/>
      <c r="TNT7" s="406"/>
      <c r="TNU7" s="406"/>
      <c r="TNV7" s="406"/>
      <c r="TNW7" s="406"/>
      <c r="TNX7" s="406"/>
      <c r="TNY7" s="406"/>
      <c r="TNZ7" s="406"/>
      <c r="TOA7" s="406"/>
      <c r="TOB7" s="406"/>
      <c r="TOC7" s="406"/>
      <c r="TOD7" s="406"/>
      <c r="TOE7" s="406"/>
      <c r="TOF7" s="406"/>
      <c r="TOG7" s="406"/>
      <c r="TOH7" s="406"/>
      <c r="TOI7" s="406"/>
      <c r="TOJ7" s="406"/>
      <c r="TOK7" s="406"/>
      <c r="TOL7" s="406"/>
      <c r="TOM7" s="406"/>
      <c r="TON7" s="406"/>
      <c r="TOO7" s="406"/>
      <c r="TOP7" s="406"/>
      <c r="TOQ7" s="406"/>
      <c r="TOR7" s="406"/>
      <c r="TOS7" s="406"/>
      <c r="TOT7" s="406"/>
      <c r="TOU7" s="406"/>
      <c r="TOV7" s="406"/>
      <c r="TOW7" s="406"/>
      <c r="TOX7" s="406"/>
      <c r="TOY7" s="406"/>
      <c r="TOZ7" s="406"/>
      <c r="TPA7" s="406"/>
      <c r="TPB7" s="406"/>
      <c r="TPC7" s="406"/>
      <c r="TPD7" s="406"/>
      <c r="TPE7" s="406"/>
      <c r="TPF7" s="406"/>
      <c r="TPG7" s="406"/>
      <c r="TPH7" s="406"/>
      <c r="TPI7" s="406"/>
      <c r="TPJ7" s="406"/>
      <c r="TPK7" s="406"/>
      <c r="TPL7" s="406"/>
      <c r="TPM7" s="406"/>
      <c r="TPN7" s="406"/>
      <c r="TPO7" s="406"/>
      <c r="TPP7" s="406"/>
      <c r="TPQ7" s="406"/>
      <c r="TPR7" s="406"/>
      <c r="TPS7" s="406"/>
      <c r="TPT7" s="406"/>
      <c r="TPU7" s="406"/>
      <c r="TPV7" s="406"/>
      <c r="TPW7" s="406"/>
      <c r="TPX7" s="406"/>
      <c r="TPY7" s="406"/>
      <c r="TPZ7" s="406"/>
      <c r="TQA7" s="406"/>
      <c r="TQB7" s="406"/>
      <c r="TQC7" s="406"/>
      <c r="TQD7" s="406"/>
      <c r="TQE7" s="406"/>
      <c r="TQF7" s="406"/>
      <c r="TQG7" s="406"/>
      <c r="TQH7" s="406"/>
      <c r="TQI7" s="406"/>
      <c r="TQJ7" s="406"/>
      <c r="TQK7" s="406"/>
      <c r="TQL7" s="406"/>
      <c r="TQM7" s="406"/>
      <c r="TQN7" s="406"/>
      <c r="TQO7" s="406"/>
      <c r="TQP7" s="406"/>
      <c r="TQQ7" s="406"/>
      <c r="TQR7" s="406"/>
      <c r="TQS7" s="406"/>
      <c r="TQT7" s="406"/>
      <c r="TQU7" s="406"/>
      <c r="TQV7" s="406"/>
      <c r="TQW7" s="406"/>
      <c r="TQX7" s="406"/>
      <c r="TQY7" s="406"/>
      <c r="TQZ7" s="406"/>
      <c r="TRA7" s="406"/>
      <c r="TRB7" s="406"/>
      <c r="TRC7" s="406"/>
      <c r="TRD7" s="406"/>
      <c r="TRE7" s="406"/>
      <c r="TRF7" s="406"/>
      <c r="TRG7" s="406"/>
      <c r="TRH7" s="406"/>
      <c r="TRI7" s="406"/>
      <c r="TRJ7" s="406"/>
      <c r="TRK7" s="406"/>
      <c r="TRL7" s="406"/>
      <c r="TRM7" s="406"/>
      <c r="TRN7" s="406"/>
      <c r="TRO7" s="406"/>
      <c r="TRP7" s="406"/>
      <c r="TRQ7" s="406"/>
      <c r="TRR7" s="406"/>
      <c r="TRS7" s="406"/>
      <c r="TRT7" s="406"/>
      <c r="TRU7" s="406"/>
      <c r="TRV7" s="406"/>
      <c r="TRW7" s="406"/>
      <c r="TRX7" s="406"/>
      <c r="TRY7" s="406"/>
      <c r="TRZ7" s="406"/>
      <c r="TSA7" s="406"/>
      <c r="TSB7" s="406"/>
      <c r="TSC7" s="406"/>
      <c r="TSD7" s="406"/>
      <c r="TSE7" s="406"/>
      <c r="TSF7" s="406"/>
      <c r="TSG7" s="406"/>
      <c r="TSH7" s="406"/>
      <c r="TSI7" s="406"/>
      <c r="TSJ7" s="406"/>
      <c r="TSK7" s="406"/>
      <c r="TSL7" s="406"/>
      <c r="TSM7" s="406"/>
      <c r="TSN7" s="406"/>
      <c r="TSO7" s="406"/>
      <c r="TSP7" s="406"/>
      <c r="TSQ7" s="406"/>
      <c r="TSR7" s="406"/>
      <c r="TSS7" s="406"/>
      <c r="TST7" s="406"/>
      <c r="TSU7" s="406"/>
      <c r="TSV7" s="406"/>
      <c r="TSW7" s="406"/>
      <c r="TSX7" s="406"/>
      <c r="TSY7" s="406"/>
      <c r="TSZ7" s="406"/>
      <c r="TTA7" s="406"/>
      <c r="TTB7" s="406"/>
      <c r="TTC7" s="406"/>
      <c r="TTD7" s="406"/>
      <c r="TTE7" s="406"/>
      <c r="TTF7" s="406"/>
      <c r="TTG7" s="406"/>
      <c r="TTH7" s="406"/>
      <c r="TTI7" s="406"/>
      <c r="TTJ7" s="406"/>
      <c r="TTK7" s="406"/>
      <c r="TTL7" s="406"/>
      <c r="TTM7" s="406"/>
      <c r="TTN7" s="406"/>
      <c r="TTO7" s="406"/>
      <c r="TTP7" s="406"/>
      <c r="TTQ7" s="406"/>
      <c r="TTR7" s="406"/>
      <c r="TTS7" s="406"/>
      <c r="TTT7" s="406"/>
      <c r="TTU7" s="406"/>
      <c r="TTV7" s="406"/>
      <c r="TTW7" s="406"/>
      <c r="TTX7" s="406"/>
      <c r="TTY7" s="406"/>
      <c r="TTZ7" s="406"/>
      <c r="TUA7" s="406"/>
      <c r="TUB7" s="406"/>
      <c r="TUC7" s="406"/>
      <c r="TUD7" s="406"/>
      <c r="TUE7" s="406"/>
      <c r="TUF7" s="406"/>
      <c r="TUG7" s="406"/>
      <c r="TUH7" s="406"/>
      <c r="TUI7" s="406"/>
      <c r="TUJ7" s="406"/>
      <c r="TUK7" s="406"/>
      <c r="TUL7" s="406"/>
      <c r="TUM7" s="406"/>
      <c r="TUN7" s="406"/>
      <c r="TUO7" s="406"/>
      <c r="TUP7" s="406"/>
      <c r="TUQ7" s="406"/>
      <c r="TUR7" s="406"/>
      <c r="TUS7" s="406"/>
      <c r="TUT7" s="406"/>
      <c r="TUU7" s="406"/>
      <c r="TUV7" s="406"/>
      <c r="TUW7" s="406"/>
      <c r="TUX7" s="406"/>
      <c r="TUY7" s="406"/>
      <c r="TUZ7" s="406"/>
      <c r="TVA7" s="406"/>
      <c r="TVB7" s="406"/>
      <c r="TVC7" s="406"/>
      <c r="TVD7" s="406"/>
      <c r="TVE7" s="406"/>
      <c r="TVF7" s="406"/>
      <c r="TVG7" s="406"/>
      <c r="TVH7" s="406"/>
      <c r="TVI7" s="406"/>
      <c r="TVJ7" s="406"/>
      <c r="TVK7" s="406"/>
      <c r="TVL7" s="406"/>
      <c r="TVM7" s="406"/>
      <c r="TVN7" s="406"/>
      <c r="TVO7" s="406"/>
      <c r="TVP7" s="406"/>
      <c r="TVQ7" s="406"/>
      <c r="TVR7" s="406"/>
      <c r="TVS7" s="406"/>
      <c r="TVT7" s="406"/>
      <c r="TVU7" s="406"/>
      <c r="TVV7" s="406"/>
      <c r="TVW7" s="406"/>
      <c r="TVX7" s="406"/>
      <c r="TVY7" s="406"/>
      <c r="TVZ7" s="406"/>
      <c r="TWA7" s="406"/>
      <c r="TWB7" s="406"/>
      <c r="TWC7" s="406"/>
      <c r="TWD7" s="406"/>
      <c r="TWE7" s="406"/>
      <c r="TWF7" s="406"/>
      <c r="TWG7" s="406"/>
      <c r="TWH7" s="406"/>
      <c r="TWI7" s="406"/>
      <c r="TWJ7" s="406"/>
      <c r="TWK7" s="406"/>
      <c r="TWL7" s="406"/>
      <c r="TWM7" s="406"/>
      <c r="TWN7" s="406"/>
      <c r="TWO7" s="406"/>
      <c r="TWP7" s="406"/>
      <c r="TWQ7" s="406"/>
      <c r="TWR7" s="406"/>
      <c r="TWS7" s="406"/>
      <c r="TWT7" s="406"/>
      <c r="TWU7" s="406"/>
      <c r="TWV7" s="406"/>
      <c r="TWW7" s="406"/>
      <c r="TWX7" s="406"/>
      <c r="TWY7" s="406"/>
      <c r="TWZ7" s="406"/>
      <c r="TXA7" s="406"/>
      <c r="TXB7" s="406"/>
      <c r="TXC7" s="406"/>
      <c r="TXD7" s="406"/>
      <c r="TXE7" s="406"/>
      <c r="TXF7" s="406"/>
      <c r="TXG7" s="406"/>
      <c r="TXH7" s="406"/>
      <c r="TXI7" s="406"/>
      <c r="TXJ7" s="406"/>
      <c r="TXK7" s="406"/>
      <c r="TXL7" s="406"/>
      <c r="TXM7" s="406"/>
      <c r="TXN7" s="406"/>
      <c r="TXO7" s="406"/>
      <c r="TXP7" s="406"/>
      <c r="TXQ7" s="406"/>
      <c r="TXR7" s="406"/>
      <c r="TXS7" s="406"/>
      <c r="TXT7" s="406"/>
      <c r="TXU7" s="406"/>
      <c r="TXV7" s="406"/>
      <c r="TXW7" s="406"/>
      <c r="TXX7" s="406"/>
      <c r="TXY7" s="406"/>
      <c r="TXZ7" s="406"/>
      <c r="TYA7" s="406"/>
      <c r="TYB7" s="406"/>
      <c r="TYC7" s="406"/>
      <c r="TYD7" s="406"/>
      <c r="TYE7" s="406"/>
      <c r="TYF7" s="406"/>
      <c r="TYG7" s="406"/>
      <c r="TYH7" s="406"/>
      <c r="TYI7" s="406"/>
      <c r="TYJ7" s="406"/>
      <c r="TYK7" s="406"/>
      <c r="TYL7" s="406"/>
      <c r="TYM7" s="406"/>
      <c r="TYN7" s="406"/>
      <c r="TYO7" s="406"/>
      <c r="TYP7" s="406"/>
      <c r="TYQ7" s="406"/>
      <c r="TYR7" s="406"/>
      <c r="TYS7" s="406"/>
      <c r="TYT7" s="406"/>
      <c r="TYU7" s="406"/>
      <c r="TYV7" s="406"/>
      <c r="TYW7" s="406"/>
      <c r="TYX7" s="406"/>
      <c r="TYY7" s="406"/>
      <c r="TYZ7" s="406"/>
      <c r="TZA7" s="406"/>
      <c r="TZB7" s="406"/>
      <c r="TZC7" s="406"/>
      <c r="TZD7" s="406"/>
      <c r="TZE7" s="406"/>
      <c r="TZF7" s="406"/>
      <c r="TZG7" s="406"/>
      <c r="TZH7" s="406"/>
      <c r="TZI7" s="406"/>
      <c r="TZJ7" s="406"/>
      <c r="TZK7" s="406"/>
      <c r="TZL7" s="406"/>
      <c r="TZM7" s="406"/>
      <c r="TZN7" s="406"/>
      <c r="TZO7" s="406"/>
      <c r="TZP7" s="406"/>
      <c r="TZQ7" s="406"/>
      <c r="TZR7" s="406"/>
      <c r="TZS7" s="406"/>
      <c r="TZT7" s="406"/>
      <c r="TZU7" s="406"/>
      <c r="TZV7" s="406"/>
      <c r="TZW7" s="406"/>
      <c r="TZX7" s="406"/>
      <c r="TZY7" s="406"/>
      <c r="TZZ7" s="406"/>
      <c r="UAA7" s="406"/>
      <c r="UAB7" s="406"/>
      <c r="UAC7" s="406"/>
      <c r="UAD7" s="406"/>
      <c r="UAE7" s="406"/>
      <c r="UAF7" s="406"/>
      <c r="UAG7" s="406"/>
      <c r="UAH7" s="406"/>
      <c r="UAI7" s="406"/>
      <c r="UAJ7" s="406"/>
      <c r="UAK7" s="406"/>
      <c r="UAL7" s="406"/>
      <c r="UAM7" s="406"/>
      <c r="UAN7" s="406"/>
      <c r="UAO7" s="406"/>
      <c r="UAP7" s="406"/>
      <c r="UAQ7" s="406"/>
      <c r="UAR7" s="406"/>
      <c r="UAS7" s="406"/>
      <c r="UAT7" s="406"/>
      <c r="UAU7" s="406"/>
      <c r="UAV7" s="406"/>
      <c r="UAW7" s="406"/>
      <c r="UAX7" s="406"/>
      <c r="UAY7" s="406"/>
      <c r="UAZ7" s="406"/>
      <c r="UBA7" s="406"/>
      <c r="UBB7" s="406"/>
      <c r="UBC7" s="406"/>
      <c r="UBD7" s="406"/>
      <c r="UBE7" s="406"/>
      <c r="UBF7" s="406"/>
      <c r="UBG7" s="406"/>
      <c r="UBH7" s="406"/>
      <c r="UBI7" s="406"/>
      <c r="UBJ7" s="406"/>
      <c r="UBK7" s="406"/>
      <c r="UBL7" s="406"/>
      <c r="UBM7" s="406"/>
      <c r="UBN7" s="406"/>
      <c r="UBO7" s="406"/>
      <c r="UBP7" s="406"/>
      <c r="UBQ7" s="406"/>
      <c r="UBR7" s="406"/>
      <c r="UBS7" s="406"/>
      <c r="UBT7" s="406"/>
      <c r="UBU7" s="406"/>
      <c r="UBV7" s="406"/>
      <c r="UBW7" s="406"/>
      <c r="UBX7" s="406"/>
      <c r="UBY7" s="406"/>
      <c r="UBZ7" s="406"/>
      <c r="UCA7" s="406"/>
      <c r="UCB7" s="406"/>
      <c r="UCC7" s="406"/>
      <c r="UCD7" s="406"/>
      <c r="UCE7" s="406"/>
      <c r="UCF7" s="406"/>
      <c r="UCG7" s="406"/>
      <c r="UCH7" s="406"/>
      <c r="UCI7" s="406"/>
      <c r="UCJ7" s="406"/>
      <c r="UCK7" s="406"/>
      <c r="UCL7" s="406"/>
      <c r="UCM7" s="406"/>
      <c r="UCN7" s="406"/>
      <c r="UCO7" s="406"/>
      <c r="UCP7" s="406"/>
      <c r="UCQ7" s="406"/>
      <c r="UCR7" s="406"/>
      <c r="UCS7" s="406"/>
      <c r="UCT7" s="406"/>
      <c r="UCU7" s="406"/>
      <c r="UCV7" s="406"/>
      <c r="UCW7" s="406"/>
      <c r="UCX7" s="406"/>
      <c r="UCY7" s="406"/>
      <c r="UCZ7" s="406"/>
      <c r="UDA7" s="406"/>
      <c r="UDB7" s="406"/>
      <c r="UDC7" s="406"/>
      <c r="UDD7" s="406"/>
      <c r="UDE7" s="406"/>
      <c r="UDF7" s="406"/>
      <c r="UDG7" s="406"/>
      <c r="UDH7" s="406"/>
      <c r="UDI7" s="406"/>
      <c r="UDJ7" s="406"/>
      <c r="UDK7" s="406"/>
      <c r="UDL7" s="406"/>
      <c r="UDM7" s="406"/>
      <c r="UDN7" s="406"/>
      <c r="UDO7" s="406"/>
      <c r="UDP7" s="406"/>
      <c r="UDQ7" s="406"/>
      <c r="UDR7" s="406"/>
      <c r="UDS7" s="406"/>
      <c r="UDT7" s="406"/>
      <c r="UDU7" s="406"/>
      <c r="UDV7" s="406"/>
      <c r="UDW7" s="406"/>
      <c r="UDX7" s="406"/>
      <c r="UDY7" s="406"/>
      <c r="UDZ7" s="406"/>
      <c r="UEA7" s="406"/>
      <c r="UEB7" s="406"/>
      <c r="UEC7" s="406"/>
      <c r="UED7" s="406"/>
      <c r="UEE7" s="406"/>
      <c r="UEF7" s="406"/>
      <c r="UEG7" s="406"/>
      <c r="UEH7" s="406"/>
      <c r="UEI7" s="406"/>
      <c r="UEJ7" s="406"/>
      <c r="UEK7" s="406"/>
      <c r="UEL7" s="406"/>
      <c r="UEM7" s="406"/>
      <c r="UEN7" s="406"/>
      <c r="UEO7" s="406"/>
      <c r="UEP7" s="406"/>
      <c r="UEQ7" s="406"/>
      <c r="UER7" s="406"/>
      <c r="UES7" s="406"/>
      <c r="UET7" s="406"/>
      <c r="UEU7" s="406"/>
      <c r="UEV7" s="406"/>
      <c r="UEW7" s="406"/>
      <c r="UEX7" s="406"/>
      <c r="UEY7" s="406"/>
      <c r="UEZ7" s="406"/>
      <c r="UFA7" s="406"/>
      <c r="UFB7" s="406"/>
      <c r="UFC7" s="406"/>
      <c r="UFD7" s="406"/>
      <c r="UFE7" s="406"/>
      <c r="UFF7" s="406"/>
      <c r="UFG7" s="406"/>
      <c r="UFH7" s="406"/>
      <c r="UFI7" s="406"/>
      <c r="UFJ7" s="406"/>
      <c r="UFK7" s="406"/>
      <c r="UFL7" s="406"/>
      <c r="UFM7" s="406"/>
      <c r="UFN7" s="406"/>
      <c r="UFO7" s="406"/>
      <c r="UFP7" s="406"/>
      <c r="UFQ7" s="406"/>
      <c r="UFR7" s="406"/>
      <c r="UFS7" s="406"/>
      <c r="UFT7" s="406"/>
      <c r="UFU7" s="406"/>
      <c r="UFV7" s="406"/>
      <c r="UFW7" s="406"/>
      <c r="UFX7" s="406"/>
      <c r="UFY7" s="406"/>
      <c r="UFZ7" s="406"/>
      <c r="UGA7" s="406"/>
      <c r="UGB7" s="406"/>
      <c r="UGC7" s="406"/>
      <c r="UGD7" s="406"/>
      <c r="UGE7" s="406"/>
      <c r="UGF7" s="406"/>
      <c r="UGG7" s="406"/>
      <c r="UGH7" s="406"/>
      <c r="UGI7" s="406"/>
      <c r="UGJ7" s="406"/>
      <c r="UGK7" s="406"/>
      <c r="UGL7" s="406"/>
      <c r="UGM7" s="406"/>
      <c r="UGN7" s="406"/>
      <c r="UGO7" s="406"/>
      <c r="UGP7" s="406"/>
      <c r="UGQ7" s="406"/>
      <c r="UGR7" s="406"/>
      <c r="UGS7" s="406"/>
      <c r="UGT7" s="406"/>
      <c r="UGU7" s="406"/>
      <c r="UGV7" s="406"/>
      <c r="UGW7" s="406"/>
      <c r="UGX7" s="406"/>
      <c r="UGY7" s="406"/>
      <c r="UGZ7" s="406"/>
      <c r="UHA7" s="406"/>
      <c r="UHB7" s="406"/>
      <c r="UHC7" s="406"/>
      <c r="UHD7" s="406"/>
      <c r="UHE7" s="406"/>
      <c r="UHF7" s="406"/>
      <c r="UHG7" s="406"/>
      <c r="UHH7" s="406"/>
      <c r="UHI7" s="406"/>
      <c r="UHJ7" s="406"/>
      <c r="UHK7" s="406"/>
      <c r="UHL7" s="406"/>
      <c r="UHM7" s="406"/>
      <c r="UHN7" s="406"/>
      <c r="UHO7" s="406"/>
      <c r="UHP7" s="406"/>
      <c r="UHQ7" s="406"/>
      <c r="UHR7" s="406"/>
      <c r="UHS7" s="406"/>
      <c r="UHT7" s="406"/>
      <c r="UHU7" s="406"/>
      <c r="UHV7" s="406"/>
      <c r="UHW7" s="406"/>
      <c r="UHX7" s="406"/>
      <c r="UHY7" s="406"/>
      <c r="UHZ7" s="406"/>
      <c r="UIA7" s="406"/>
      <c r="UIB7" s="406"/>
      <c r="UIC7" s="406"/>
      <c r="UID7" s="406"/>
      <c r="UIE7" s="406"/>
      <c r="UIF7" s="406"/>
      <c r="UIG7" s="406"/>
      <c r="UIH7" s="406"/>
      <c r="UII7" s="406"/>
      <c r="UIJ7" s="406"/>
      <c r="UIK7" s="406"/>
      <c r="UIL7" s="406"/>
      <c r="UIM7" s="406"/>
      <c r="UIN7" s="406"/>
      <c r="UIO7" s="406"/>
      <c r="UIP7" s="406"/>
      <c r="UIQ7" s="406"/>
      <c r="UIR7" s="406"/>
      <c r="UIS7" s="406"/>
      <c r="UIT7" s="406"/>
      <c r="UIU7" s="406"/>
      <c r="UIV7" s="406"/>
      <c r="UIW7" s="406"/>
      <c r="UIX7" s="406"/>
      <c r="UIY7" s="406"/>
      <c r="UIZ7" s="406"/>
      <c r="UJA7" s="406"/>
      <c r="UJB7" s="406"/>
      <c r="UJC7" s="406"/>
      <c r="UJD7" s="406"/>
      <c r="UJE7" s="406"/>
      <c r="UJF7" s="406"/>
      <c r="UJG7" s="406"/>
      <c r="UJH7" s="406"/>
      <c r="UJI7" s="406"/>
      <c r="UJJ7" s="406"/>
      <c r="UJK7" s="406"/>
      <c r="UJL7" s="406"/>
      <c r="UJM7" s="406"/>
      <c r="UJN7" s="406"/>
      <c r="UJO7" s="406"/>
      <c r="UJP7" s="406"/>
      <c r="UJQ7" s="406"/>
      <c r="UJR7" s="406"/>
      <c r="UJS7" s="406"/>
      <c r="UJT7" s="406"/>
      <c r="UJU7" s="406"/>
      <c r="UJV7" s="406"/>
      <c r="UJW7" s="406"/>
      <c r="UJX7" s="406"/>
      <c r="UJY7" s="406"/>
      <c r="UJZ7" s="406"/>
      <c r="UKA7" s="406"/>
      <c r="UKB7" s="406"/>
      <c r="UKC7" s="406"/>
      <c r="UKD7" s="406"/>
      <c r="UKE7" s="406"/>
      <c r="UKF7" s="406"/>
      <c r="UKG7" s="406"/>
      <c r="UKH7" s="406"/>
      <c r="UKI7" s="406"/>
      <c r="UKJ7" s="406"/>
      <c r="UKK7" s="406"/>
      <c r="UKL7" s="406"/>
      <c r="UKM7" s="406"/>
      <c r="UKN7" s="406"/>
      <c r="UKO7" s="406"/>
      <c r="UKP7" s="406"/>
      <c r="UKQ7" s="406"/>
      <c r="UKR7" s="406"/>
      <c r="UKS7" s="406"/>
      <c r="UKT7" s="406"/>
      <c r="UKU7" s="406"/>
      <c r="UKV7" s="406"/>
      <c r="UKW7" s="406"/>
      <c r="UKX7" s="406"/>
      <c r="UKY7" s="406"/>
      <c r="UKZ7" s="406"/>
      <c r="ULA7" s="406"/>
      <c r="ULB7" s="406"/>
      <c r="ULC7" s="406"/>
      <c r="ULD7" s="406"/>
      <c r="ULE7" s="406"/>
      <c r="ULF7" s="406"/>
      <c r="ULG7" s="406"/>
      <c r="ULH7" s="406"/>
      <c r="ULI7" s="406"/>
      <c r="ULJ7" s="406"/>
      <c r="ULK7" s="406"/>
      <c r="ULL7" s="406"/>
      <c r="ULM7" s="406"/>
      <c r="ULN7" s="406"/>
      <c r="ULO7" s="406"/>
      <c r="ULP7" s="406"/>
      <c r="ULQ7" s="406"/>
      <c r="ULR7" s="406"/>
      <c r="ULS7" s="406"/>
      <c r="ULT7" s="406"/>
      <c r="ULU7" s="406"/>
      <c r="ULV7" s="406"/>
      <c r="ULW7" s="406"/>
      <c r="ULX7" s="406"/>
      <c r="ULY7" s="406"/>
      <c r="ULZ7" s="406"/>
      <c r="UMA7" s="406"/>
      <c r="UMB7" s="406"/>
      <c r="UMC7" s="406"/>
      <c r="UMD7" s="406"/>
      <c r="UME7" s="406"/>
      <c r="UMF7" s="406"/>
      <c r="UMG7" s="406"/>
      <c r="UMH7" s="406"/>
      <c r="UMI7" s="406"/>
      <c r="UMJ7" s="406"/>
      <c r="UMK7" s="406"/>
      <c r="UML7" s="406"/>
      <c r="UMM7" s="406"/>
      <c r="UMN7" s="406"/>
      <c r="UMO7" s="406"/>
      <c r="UMP7" s="406"/>
      <c r="UMQ7" s="406"/>
      <c r="UMR7" s="406"/>
      <c r="UMS7" s="406"/>
      <c r="UMT7" s="406"/>
      <c r="UMU7" s="406"/>
      <c r="UMV7" s="406"/>
      <c r="UMW7" s="406"/>
      <c r="UMX7" s="406"/>
      <c r="UMY7" s="406"/>
      <c r="UMZ7" s="406"/>
      <c r="UNA7" s="406"/>
      <c r="UNB7" s="406"/>
      <c r="UNC7" s="406"/>
      <c r="UND7" s="406"/>
      <c r="UNE7" s="406"/>
      <c r="UNF7" s="406"/>
      <c r="UNG7" s="406"/>
      <c r="UNH7" s="406"/>
      <c r="UNI7" s="406"/>
      <c r="UNJ7" s="406"/>
      <c r="UNK7" s="406"/>
      <c r="UNL7" s="406"/>
      <c r="UNM7" s="406"/>
      <c r="UNN7" s="406"/>
      <c r="UNO7" s="406"/>
      <c r="UNP7" s="406"/>
      <c r="UNQ7" s="406"/>
      <c r="UNR7" s="406"/>
      <c r="UNS7" s="406"/>
      <c r="UNT7" s="406"/>
      <c r="UNU7" s="406"/>
      <c r="UNV7" s="406"/>
      <c r="UNW7" s="406"/>
      <c r="UNX7" s="406"/>
      <c r="UNY7" s="406"/>
      <c r="UNZ7" s="406"/>
      <c r="UOA7" s="406"/>
      <c r="UOB7" s="406"/>
      <c r="UOC7" s="406"/>
      <c r="UOD7" s="406"/>
      <c r="UOE7" s="406"/>
      <c r="UOF7" s="406"/>
      <c r="UOG7" s="406"/>
      <c r="UOH7" s="406"/>
      <c r="UOI7" s="406"/>
      <c r="UOJ7" s="406"/>
      <c r="UOK7" s="406"/>
      <c r="UOL7" s="406"/>
      <c r="UOM7" s="406"/>
      <c r="UON7" s="406"/>
      <c r="UOO7" s="406"/>
      <c r="UOP7" s="406"/>
      <c r="UOQ7" s="406"/>
      <c r="UOR7" s="406"/>
      <c r="UOS7" s="406"/>
      <c r="UOT7" s="406"/>
      <c r="UOU7" s="406"/>
      <c r="UOV7" s="406"/>
      <c r="UOW7" s="406"/>
      <c r="UOX7" s="406"/>
      <c r="UOY7" s="406"/>
      <c r="UOZ7" s="406"/>
      <c r="UPA7" s="406"/>
      <c r="UPB7" s="406"/>
      <c r="UPC7" s="406"/>
      <c r="UPD7" s="406"/>
      <c r="UPE7" s="406"/>
      <c r="UPF7" s="406"/>
      <c r="UPG7" s="406"/>
      <c r="UPH7" s="406"/>
      <c r="UPI7" s="406"/>
      <c r="UPJ7" s="406"/>
      <c r="UPK7" s="406"/>
      <c r="UPL7" s="406"/>
      <c r="UPM7" s="406"/>
      <c r="UPN7" s="406"/>
      <c r="UPO7" s="406"/>
      <c r="UPP7" s="406"/>
      <c r="UPQ7" s="406"/>
      <c r="UPR7" s="406"/>
      <c r="UPS7" s="406"/>
      <c r="UPT7" s="406"/>
      <c r="UPU7" s="406"/>
      <c r="UPV7" s="406"/>
      <c r="UPW7" s="406"/>
      <c r="UPX7" s="406"/>
      <c r="UPY7" s="406"/>
      <c r="UPZ7" s="406"/>
      <c r="UQA7" s="406"/>
      <c r="UQB7" s="406"/>
      <c r="UQC7" s="406"/>
      <c r="UQD7" s="406"/>
      <c r="UQE7" s="406"/>
      <c r="UQF7" s="406"/>
      <c r="UQG7" s="406"/>
      <c r="UQH7" s="406"/>
      <c r="UQI7" s="406"/>
      <c r="UQJ7" s="406"/>
      <c r="UQK7" s="406"/>
      <c r="UQL7" s="406"/>
      <c r="UQM7" s="406"/>
      <c r="UQN7" s="406"/>
      <c r="UQO7" s="406"/>
      <c r="UQP7" s="406"/>
      <c r="UQQ7" s="406"/>
      <c r="UQR7" s="406"/>
      <c r="UQS7" s="406"/>
      <c r="UQT7" s="406"/>
      <c r="UQU7" s="406"/>
      <c r="UQV7" s="406"/>
      <c r="UQW7" s="406"/>
      <c r="UQX7" s="406"/>
      <c r="UQY7" s="406"/>
      <c r="UQZ7" s="406"/>
      <c r="URA7" s="406"/>
      <c r="URB7" s="406"/>
      <c r="URC7" s="406"/>
      <c r="URD7" s="406"/>
      <c r="URE7" s="406"/>
      <c r="URF7" s="406"/>
      <c r="URG7" s="406"/>
      <c r="URH7" s="406"/>
      <c r="URI7" s="406"/>
      <c r="URJ7" s="406"/>
      <c r="URK7" s="406"/>
      <c r="URL7" s="406"/>
      <c r="URM7" s="406"/>
      <c r="URN7" s="406"/>
      <c r="URO7" s="406"/>
      <c r="URP7" s="406"/>
      <c r="URQ7" s="406"/>
      <c r="URR7" s="406"/>
      <c r="URS7" s="406"/>
      <c r="URT7" s="406"/>
      <c r="URU7" s="406"/>
      <c r="URV7" s="406"/>
      <c r="URW7" s="406"/>
      <c r="URX7" s="406"/>
      <c r="URY7" s="406"/>
      <c r="URZ7" s="406"/>
      <c r="USA7" s="406"/>
      <c r="USB7" s="406"/>
      <c r="USC7" s="406"/>
      <c r="USD7" s="406"/>
      <c r="USE7" s="406"/>
      <c r="USF7" s="406"/>
      <c r="USG7" s="406"/>
      <c r="USH7" s="406"/>
      <c r="USI7" s="406"/>
      <c r="USJ7" s="406"/>
      <c r="USK7" s="406"/>
      <c r="USL7" s="406"/>
      <c r="USM7" s="406"/>
      <c r="USN7" s="406"/>
      <c r="USO7" s="406"/>
      <c r="USP7" s="406"/>
      <c r="USQ7" s="406"/>
      <c r="USR7" s="406"/>
      <c r="USS7" s="406"/>
      <c r="UST7" s="406"/>
      <c r="USU7" s="406"/>
      <c r="USV7" s="406"/>
      <c r="USW7" s="406"/>
      <c r="USX7" s="406"/>
      <c r="USY7" s="406"/>
      <c r="USZ7" s="406"/>
      <c r="UTA7" s="406"/>
      <c r="UTB7" s="406"/>
      <c r="UTC7" s="406"/>
      <c r="UTD7" s="406"/>
      <c r="UTE7" s="406"/>
      <c r="UTF7" s="406"/>
      <c r="UTG7" s="406"/>
      <c r="UTH7" s="406"/>
      <c r="UTI7" s="406"/>
      <c r="UTJ7" s="406"/>
      <c r="UTK7" s="406"/>
      <c r="UTL7" s="406"/>
      <c r="UTM7" s="406"/>
      <c r="UTN7" s="406"/>
      <c r="UTO7" s="406"/>
      <c r="UTP7" s="406"/>
      <c r="UTQ7" s="406"/>
      <c r="UTR7" s="406"/>
      <c r="UTS7" s="406"/>
      <c r="UTT7" s="406"/>
      <c r="UTU7" s="406"/>
      <c r="UTV7" s="406"/>
      <c r="UTW7" s="406"/>
      <c r="UTX7" s="406"/>
      <c r="UTY7" s="406"/>
      <c r="UTZ7" s="406"/>
      <c r="UUA7" s="406"/>
      <c r="UUB7" s="406"/>
      <c r="UUC7" s="406"/>
      <c r="UUD7" s="406"/>
      <c r="UUE7" s="406"/>
      <c r="UUF7" s="406"/>
      <c r="UUG7" s="406"/>
      <c r="UUH7" s="406"/>
      <c r="UUI7" s="406"/>
      <c r="UUJ7" s="406"/>
      <c r="UUK7" s="406"/>
      <c r="UUL7" s="406"/>
      <c r="UUM7" s="406"/>
      <c r="UUN7" s="406"/>
      <c r="UUO7" s="406"/>
      <c r="UUP7" s="406"/>
      <c r="UUQ7" s="406"/>
      <c r="UUR7" s="406"/>
      <c r="UUS7" s="406"/>
      <c r="UUT7" s="406"/>
      <c r="UUU7" s="406"/>
      <c r="UUV7" s="406"/>
      <c r="UUW7" s="406"/>
      <c r="UUX7" s="406"/>
      <c r="UUY7" s="406"/>
      <c r="UUZ7" s="406"/>
      <c r="UVA7" s="406"/>
      <c r="UVB7" s="406"/>
      <c r="UVC7" s="406"/>
      <c r="UVD7" s="406"/>
      <c r="UVE7" s="406"/>
      <c r="UVF7" s="406"/>
      <c r="UVG7" s="406"/>
      <c r="UVH7" s="406"/>
      <c r="UVI7" s="406"/>
      <c r="UVJ7" s="406"/>
      <c r="UVK7" s="406"/>
      <c r="UVL7" s="406"/>
      <c r="UVM7" s="406"/>
      <c r="UVN7" s="406"/>
      <c r="UVO7" s="406"/>
      <c r="UVP7" s="406"/>
      <c r="UVQ7" s="406"/>
      <c r="UVR7" s="406"/>
      <c r="UVS7" s="406"/>
      <c r="UVT7" s="406"/>
      <c r="UVU7" s="406"/>
      <c r="UVV7" s="406"/>
      <c r="UVW7" s="406"/>
      <c r="UVX7" s="406"/>
      <c r="UVY7" s="406"/>
      <c r="UVZ7" s="406"/>
      <c r="UWA7" s="406"/>
      <c r="UWB7" s="406"/>
      <c r="UWC7" s="406"/>
      <c r="UWD7" s="406"/>
      <c r="UWE7" s="406"/>
      <c r="UWF7" s="406"/>
      <c r="UWG7" s="406"/>
      <c r="UWH7" s="406"/>
      <c r="UWI7" s="406"/>
      <c r="UWJ7" s="406"/>
      <c r="UWK7" s="406"/>
      <c r="UWL7" s="406"/>
      <c r="UWM7" s="406"/>
      <c r="UWN7" s="406"/>
      <c r="UWO7" s="406"/>
      <c r="UWP7" s="406"/>
      <c r="UWQ7" s="406"/>
      <c r="UWR7" s="406"/>
      <c r="UWS7" s="406"/>
      <c r="UWT7" s="406"/>
      <c r="UWU7" s="406"/>
      <c r="UWV7" s="406"/>
      <c r="UWW7" s="406"/>
      <c r="UWX7" s="406"/>
      <c r="UWY7" s="406"/>
      <c r="UWZ7" s="406"/>
      <c r="UXA7" s="406"/>
      <c r="UXB7" s="406"/>
      <c r="UXC7" s="406"/>
      <c r="UXD7" s="406"/>
      <c r="UXE7" s="406"/>
      <c r="UXF7" s="406"/>
      <c r="UXG7" s="406"/>
      <c r="UXH7" s="406"/>
      <c r="UXI7" s="406"/>
      <c r="UXJ7" s="406"/>
      <c r="UXK7" s="406"/>
      <c r="UXL7" s="406"/>
      <c r="UXM7" s="406"/>
      <c r="UXN7" s="406"/>
      <c r="UXO7" s="406"/>
      <c r="UXP7" s="406"/>
      <c r="UXQ7" s="406"/>
      <c r="UXR7" s="406"/>
      <c r="UXS7" s="406"/>
      <c r="UXT7" s="406"/>
      <c r="UXU7" s="406"/>
      <c r="UXV7" s="406"/>
      <c r="UXW7" s="406"/>
      <c r="UXX7" s="406"/>
      <c r="UXY7" s="406"/>
      <c r="UXZ7" s="406"/>
      <c r="UYA7" s="406"/>
      <c r="UYB7" s="406"/>
      <c r="UYC7" s="406"/>
      <c r="UYD7" s="406"/>
      <c r="UYE7" s="406"/>
      <c r="UYF7" s="406"/>
      <c r="UYG7" s="406"/>
      <c r="UYH7" s="406"/>
      <c r="UYI7" s="406"/>
      <c r="UYJ7" s="406"/>
      <c r="UYK7" s="406"/>
      <c r="UYL7" s="406"/>
      <c r="UYM7" s="406"/>
      <c r="UYN7" s="406"/>
      <c r="UYO7" s="406"/>
      <c r="UYP7" s="406"/>
      <c r="UYQ7" s="406"/>
      <c r="UYR7" s="406"/>
      <c r="UYS7" s="406"/>
      <c r="UYT7" s="406"/>
      <c r="UYU7" s="406"/>
      <c r="UYV7" s="406"/>
      <c r="UYW7" s="406"/>
      <c r="UYX7" s="406"/>
      <c r="UYY7" s="406"/>
      <c r="UYZ7" s="406"/>
      <c r="UZA7" s="406"/>
      <c r="UZB7" s="406"/>
      <c r="UZC7" s="406"/>
      <c r="UZD7" s="406"/>
      <c r="UZE7" s="406"/>
      <c r="UZF7" s="406"/>
      <c r="UZG7" s="406"/>
      <c r="UZH7" s="406"/>
      <c r="UZI7" s="406"/>
      <c r="UZJ7" s="406"/>
      <c r="UZK7" s="406"/>
      <c r="UZL7" s="406"/>
      <c r="UZM7" s="406"/>
      <c r="UZN7" s="406"/>
      <c r="UZO7" s="406"/>
      <c r="UZP7" s="406"/>
      <c r="UZQ7" s="406"/>
      <c r="UZR7" s="406"/>
      <c r="UZS7" s="406"/>
      <c r="UZT7" s="406"/>
      <c r="UZU7" s="406"/>
      <c r="UZV7" s="406"/>
      <c r="UZW7" s="406"/>
      <c r="UZX7" s="406"/>
      <c r="UZY7" s="406"/>
      <c r="UZZ7" s="406"/>
      <c r="VAA7" s="406"/>
      <c r="VAB7" s="406"/>
      <c r="VAC7" s="406"/>
      <c r="VAD7" s="406"/>
      <c r="VAE7" s="406"/>
      <c r="VAF7" s="406"/>
      <c r="VAG7" s="406"/>
      <c r="VAH7" s="406"/>
      <c r="VAI7" s="406"/>
      <c r="VAJ7" s="406"/>
      <c r="VAK7" s="406"/>
      <c r="VAL7" s="406"/>
      <c r="VAM7" s="406"/>
      <c r="VAN7" s="406"/>
      <c r="VAO7" s="406"/>
      <c r="VAP7" s="406"/>
      <c r="VAQ7" s="406"/>
      <c r="VAR7" s="406"/>
      <c r="VAS7" s="406"/>
      <c r="VAT7" s="406"/>
      <c r="VAU7" s="406"/>
      <c r="VAV7" s="406"/>
      <c r="VAW7" s="406"/>
      <c r="VAX7" s="406"/>
      <c r="VAY7" s="406"/>
      <c r="VAZ7" s="406"/>
      <c r="VBA7" s="406"/>
      <c r="VBB7" s="406"/>
      <c r="VBC7" s="406"/>
      <c r="VBD7" s="406"/>
      <c r="VBE7" s="406"/>
      <c r="VBF7" s="406"/>
      <c r="VBG7" s="406"/>
      <c r="VBH7" s="406"/>
      <c r="VBI7" s="406"/>
      <c r="VBJ7" s="406"/>
      <c r="VBK7" s="406"/>
      <c r="VBL7" s="406"/>
      <c r="VBM7" s="406"/>
      <c r="VBN7" s="406"/>
      <c r="VBO7" s="406"/>
      <c r="VBP7" s="406"/>
      <c r="VBQ7" s="406"/>
      <c r="VBR7" s="406"/>
      <c r="VBS7" s="406"/>
      <c r="VBT7" s="406"/>
      <c r="VBU7" s="406"/>
      <c r="VBV7" s="406"/>
      <c r="VBW7" s="406"/>
      <c r="VBX7" s="406"/>
      <c r="VBY7" s="406"/>
      <c r="VBZ7" s="406"/>
      <c r="VCA7" s="406"/>
      <c r="VCB7" s="406"/>
      <c r="VCC7" s="406"/>
      <c r="VCD7" s="406"/>
      <c r="VCE7" s="406"/>
      <c r="VCF7" s="406"/>
      <c r="VCG7" s="406"/>
      <c r="VCH7" s="406"/>
      <c r="VCI7" s="406"/>
      <c r="VCJ7" s="406"/>
      <c r="VCK7" s="406"/>
      <c r="VCL7" s="406"/>
      <c r="VCM7" s="406"/>
      <c r="VCN7" s="406"/>
      <c r="VCO7" s="406"/>
      <c r="VCP7" s="406"/>
      <c r="VCQ7" s="406"/>
      <c r="VCR7" s="406"/>
      <c r="VCS7" s="406"/>
      <c r="VCT7" s="406"/>
      <c r="VCU7" s="406"/>
      <c r="VCV7" s="406"/>
      <c r="VCW7" s="406"/>
      <c r="VCX7" s="406"/>
      <c r="VCY7" s="406"/>
      <c r="VCZ7" s="406"/>
      <c r="VDA7" s="406"/>
      <c r="VDB7" s="406"/>
      <c r="VDC7" s="406"/>
      <c r="VDD7" s="406"/>
      <c r="VDE7" s="406"/>
      <c r="VDF7" s="406"/>
      <c r="VDG7" s="406"/>
      <c r="VDH7" s="406"/>
      <c r="VDI7" s="406"/>
      <c r="VDJ7" s="406"/>
      <c r="VDK7" s="406"/>
      <c r="VDL7" s="406"/>
      <c r="VDM7" s="406"/>
      <c r="VDN7" s="406"/>
      <c r="VDO7" s="406"/>
      <c r="VDP7" s="406"/>
      <c r="VDQ7" s="406"/>
      <c r="VDR7" s="406"/>
      <c r="VDS7" s="406"/>
      <c r="VDT7" s="406"/>
      <c r="VDU7" s="406"/>
      <c r="VDV7" s="406"/>
      <c r="VDW7" s="406"/>
      <c r="VDX7" s="406"/>
      <c r="VDY7" s="406"/>
      <c r="VDZ7" s="406"/>
      <c r="VEA7" s="406"/>
      <c r="VEB7" s="406"/>
      <c r="VEC7" s="406"/>
      <c r="VED7" s="406"/>
      <c r="VEE7" s="406"/>
      <c r="VEF7" s="406"/>
      <c r="VEG7" s="406"/>
      <c r="VEH7" s="406"/>
      <c r="VEI7" s="406"/>
      <c r="VEJ7" s="406"/>
      <c r="VEK7" s="406"/>
      <c r="VEL7" s="406"/>
      <c r="VEM7" s="406"/>
      <c r="VEN7" s="406"/>
      <c r="VEO7" s="406"/>
      <c r="VEP7" s="406"/>
      <c r="VEQ7" s="406"/>
      <c r="VER7" s="406"/>
      <c r="VES7" s="406"/>
      <c r="VET7" s="406"/>
      <c r="VEU7" s="406"/>
      <c r="VEV7" s="406"/>
      <c r="VEW7" s="406"/>
      <c r="VEX7" s="406"/>
      <c r="VEY7" s="406"/>
      <c r="VEZ7" s="406"/>
      <c r="VFA7" s="406"/>
      <c r="VFB7" s="406"/>
      <c r="VFC7" s="406"/>
      <c r="VFD7" s="406"/>
      <c r="VFE7" s="406"/>
      <c r="VFF7" s="406"/>
      <c r="VFG7" s="406"/>
      <c r="VFH7" s="406"/>
      <c r="VFI7" s="406"/>
      <c r="VFJ7" s="406"/>
      <c r="VFK7" s="406"/>
      <c r="VFL7" s="406"/>
      <c r="VFM7" s="406"/>
      <c r="VFN7" s="406"/>
      <c r="VFO7" s="406"/>
      <c r="VFP7" s="406"/>
      <c r="VFQ7" s="406"/>
      <c r="VFR7" s="406"/>
      <c r="VFS7" s="406"/>
      <c r="VFT7" s="406"/>
      <c r="VFU7" s="406"/>
      <c r="VFV7" s="406"/>
      <c r="VFW7" s="406"/>
      <c r="VFX7" s="406"/>
      <c r="VFY7" s="406"/>
      <c r="VFZ7" s="406"/>
      <c r="VGA7" s="406"/>
      <c r="VGB7" s="406"/>
      <c r="VGC7" s="406"/>
      <c r="VGD7" s="406"/>
      <c r="VGE7" s="406"/>
      <c r="VGF7" s="406"/>
      <c r="VGG7" s="406"/>
      <c r="VGH7" s="406"/>
      <c r="VGI7" s="406"/>
      <c r="VGJ7" s="406"/>
      <c r="VGK7" s="406"/>
      <c r="VGL7" s="406"/>
      <c r="VGM7" s="406"/>
      <c r="VGN7" s="406"/>
      <c r="VGO7" s="406"/>
      <c r="VGP7" s="406"/>
      <c r="VGQ7" s="406"/>
      <c r="VGR7" s="406"/>
      <c r="VGS7" s="406"/>
      <c r="VGT7" s="406"/>
      <c r="VGU7" s="406"/>
      <c r="VGV7" s="406"/>
      <c r="VGW7" s="406"/>
      <c r="VGX7" s="406"/>
      <c r="VGY7" s="406"/>
      <c r="VGZ7" s="406"/>
      <c r="VHA7" s="406"/>
      <c r="VHB7" s="406"/>
      <c r="VHC7" s="406"/>
      <c r="VHD7" s="406"/>
      <c r="VHE7" s="406"/>
      <c r="VHF7" s="406"/>
      <c r="VHG7" s="406"/>
      <c r="VHH7" s="406"/>
      <c r="VHI7" s="406"/>
      <c r="VHJ7" s="406"/>
      <c r="VHK7" s="406"/>
      <c r="VHL7" s="406"/>
      <c r="VHM7" s="406"/>
      <c r="VHN7" s="406"/>
      <c r="VHO7" s="406"/>
      <c r="VHP7" s="406"/>
      <c r="VHQ7" s="406"/>
      <c r="VHR7" s="406"/>
      <c r="VHS7" s="406"/>
      <c r="VHT7" s="406"/>
      <c r="VHU7" s="406"/>
      <c r="VHV7" s="406"/>
      <c r="VHW7" s="406"/>
      <c r="VHX7" s="406"/>
      <c r="VHY7" s="406"/>
      <c r="VHZ7" s="406"/>
      <c r="VIA7" s="406"/>
      <c r="VIB7" s="406"/>
      <c r="VIC7" s="406"/>
      <c r="VID7" s="406"/>
      <c r="VIE7" s="406"/>
      <c r="VIF7" s="406"/>
      <c r="VIG7" s="406"/>
      <c r="VIH7" s="406"/>
      <c r="VII7" s="406"/>
      <c r="VIJ7" s="406"/>
      <c r="VIK7" s="406"/>
      <c r="VIL7" s="406"/>
      <c r="VIM7" s="406"/>
      <c r="VIN7" s="406"/>
      <c r="VIO7" s="406"/>
      <c r="VIP7" s="406"/>
      <c r="VIQ7" s="406"/>
      <c r="VIR7" s="406"/>
      <c r="VIS7" s="406"/>
      <c r="VIT7" s="406"/>
      <c r="VIU7" s="406"/>
      <c r="VIV7" s="406"/>
      <c r="VIW7" s="406"/>
      <c r="VIX7" s="406"/>
      <c r="VIY7" s="406"/>
      <c r="VIZ7" s="406"/>
      <c r="VJA7" s="406"/>
      <c r="VJB7" s="406"/>
      <c r="VJC7" s="406"/>
      <c r="VJD7" s="406"/>
      <c r="VJE7" s="406"/>
      <c r="VJF7" s="406"/>
      <c r="VJG7" s="406"/>
      <c r="VJH7" s="406"/>
      <c r="VJI7" s="406"/>
      <c r="VJJ7" s="406"/>
      <c r="VJK7" s="406"/>
      <c r="VJL7" s="406"/>
      <c r="VJM7" s="406"/>
      <c r="VJN7" s="406"/>
      <c r="VJO7" s="406"/>
      <c r="VJP7" s="406"/>
      <c r="VJQ7" s="406"/>
      <c r="VJR7" s="406"/>
      <c r="VJS7" s="406"/>
      <c r="VJT7" s="406"/>
      <c r="VJU7" s="406"/>
      <c r="VJV7" s="406"/>
      <c r="VJW7" s="406"/>
      <c r="VJX7" s="406"/>
      <c r="VJY7" s="406"/>
      <c r="VJZ7" s="406"/>
      <c r="VKA7" s="406"/>
      <c r="VKB7" s="406"/>
      <c r="VKC7" s="406"/>
      <c r="VKD7" s="406"/>
      <c r="VKE7" s="406"/>
      <c r="VKF7" s="406"/>
      <c r="VKG7" s="406"/>
      <c r="VKH7" s="406"/>
      <c r="VKI7" s="406"/>
      <c r="VKJ7" s="406"/>
      <c r="VKK7" s="406"/>
      <c r="VKL7" s="406"/>
      <c r="VKM7" s="406"/>
      <c r="VKN7" s="406"/>
      <c r="VKO7" s="406"/>
      <c r="VKP7" s="406"/>
      <c r="VKQ7" s="406"/>
      <c r="VKR7" s="406"/>
      <c r="VKS7" s="406"/>
      <c r="VKT7" s="406"/>
      <c r="VKU7" s="406"/>
      <c r="VKV7" s="406"/>
      <c r="VKW7" s="406"/>
      <c r="VKX7" s="406"/>
      <c r="VKY7" s="406"/>
      <c r="VKZ7" s="406"/>
      <c r="VLA7" s="406"/>
      <c r="VLB7" s="406"/>
      <c r="VLC7" s="406"/>
      <c r="VLD7" s="406"/>
      <c r="VLE7" s="406"/>
      <c r="VLF7" s="406"/>
      <c r="VLG7" s="406"/>
      <c r="VLH7" s="406"/>
      <c r="VLI7" s="406"/>
      <c r="VLJ7" s="406"/>
      <c r="VLK7" s="406"/>
      <c r="VLL7" s="406"/>
      <c r="VLM7" s="406"/>
      <c r="VLN7" s="406"/>
      <c r="VLO7" s="406"/>
      <c r="VLP7" s="406"/>
      <c r="VLQ7" s="406"/>
      <c r="VLR7" s="406"/>
      <c r="VLS7" s="406"/>
      <c r="VLT7" s="406"/>
      <c r="VLU7" s="406"/>
      <c r="VLV7" s="406"/>
      <c r="VLW7" s="406"/>
      <c r="VLX7" s="406"/>
      <c r="VLY7" s="406"/>
      <c r="VLZ7" s="406"/>
      <c r="VMA7" s="406"/>
      <c r="VMB7" s="406"/>
      <c r="VMC7" s="406"/>
      <c r="VMD7" s="406"/>
      <c r="VME7" s="406"/>
      <c r="VMF7" s="406"/>
      <c r="VMG7" s="406"/>
      <c r="VMH7" s="406"/>
      <c r="VMI7" s="406"/>
      <c r="VMJ7" s="406"/>
      <c r="VMK7" s="406"/>
      <c r="VML7" s="406"/>
      <c r="VMM7" s="406"/>
      <c r="VMN7" s="406"/>
      <c r="VMO7" s="406"/>
      <c r="VMP7" s="406"/>
      <c r="VMQ7" s="406"/>
      <c r="VMR7" s="406"/>
      <c r="VMS7" s="406"/>
      <c r="VMT7" s="406"/>
      <c r="VMU7" s="406"/>
      <c r="VMV7" s="406"/>
      <c r="VMW7" s="406"/>
      <c r="VMX7" s="406"/>
      <c r="VMY7" s="406"/>
      <c r="VMZ7" s="406"/>
      <c r="VNA7" s="406"/>
      <c r="VNB7" s="406"/>
      <c r="VNC7" s="406"/>
      <c r="VND7" s="406"/>
      <c r="VNE7" s="406"/>
      <c r="VNF7" s="406"/>
      <c r="VNG7" s="406"/>
      <c r="VNH7" s="406"/>
      <c r="VNI7" s="406"/>
      <c r="VNJ7" s="406"/>
      <c r="VNK7" s="406"/>
      <c r="VNL7" s="406"/>
      <c r="VNM7" s="406"/>
      <c r="VNN7" s="406"/>
      <c r="VNO7" s="406"/>
      <c r="VNP7" s="406"/>
      <c r="VNQ7" s="406"/>
      <c r="VNR7" s="406"/>
      <c r="VNS7" s="406"/>
      <c r="VNT7" s="406"/>
      <c r="VNU7" s="406"/>
      <c r="VNV7" s="406"/>
      <c r="VNW7" s="406"/>
      <c r="VNX7" s="406"/>
      <c r="VNY7" s="406"/>
      <c r="VNZ7" s="406"/>
      <c r="VOA7" s="406"/>
      <c r="VOB7" s="406"/>
      <c r="VOC7" s="406"/>
      <c r="VOD7" s="406"/>
      <c r="VOE7" s="406"/>
      <c r="VOF7" s="406"/>
      <c r="VOG7" s="406"/>
      <c r="VOH7" s="406"/>
      <c r="VOI7" s="406"/>
      <c r="VOJ7" s="406"/>
      <c r="VOK7" s="406"/>
      <c r="VOL7" s="406"/>
      <c r="VOM7" s="406"/>
      <c r="VON7" s="406"/>
      <c r="VOO7" s="406"/>
      <c r="VOP7" s="406"/>
      <c r="VOQ7" s="406"/>
      <c r="VOR7" s="406"/>
      <c r="VOS7" s="406"/>
      <c r="VOT7" s="406"/>
      <c r="VOU7" s="406"/>
      <c r="VOV7" s="406"/>
      <c r="VOW7" s="406"/>
      <c r="VOX7" s="406"/>
      <c r="VOY7" s="406"/>
      <c r="VOZ7" s="406"/>
      <c r="VPA7" s="406"/>
      <c r="VPB7" s="406"/>
      <c r="VPC7" s="406"/>
      <c r="VPD7" s="406"/>
      <c r="VPE7" s="406"/>
      <c r="VPF7" s="406"/>
      <c r="VPG7" s="406"/>
      <c r="VPH7" s="406"/>
      <c r="VPI7" s="406"/>
      <c r="VPJ7" s="406"/>
      <c r="VPK7" s="406"/>
      <c r="VPL7" s="406"/>
      <c r="VPM7" s="406"/>
      <c r="VPN7" s="406"/>
      <c r="VPO7" s="406"/>
      <c r="VPP7" s="406"/>
      <c r="VPQ7" s="406"/>
      <c r="VPR7" s="406"/>
      <c r="VPS7" s="406"/>
      <c r="VPT7" s="406"/>
      <c r="VPU7" s="406"/>
      <c r="VPV7" s="406"/>
      <c r="VPW7" s="406"/>
      <c r="VPX7" s="406"/>
      <c r="VPY7" s="406"/>
      <c r="VPZ7" s="406"/>
      <c r="VQA7" s="406"/>
      <c r="VQB7" s="406"/>
      <c r="VQC7" s="406"/>
      <c r="VQD7" s="406"/>
      <c r="VQE7" s="406"/>
      <c r="VQF7" s="406"/>
      <c r="VQG7" s="406"/>
      <c r="VQH7" s="406"/>
      <c r="VQI7" s="406"/>
      <c r="VQJ7" s="406"/>
      <c r="VQK7" s="406"/>
      <c r="VQL7" s="406"/>
      <c r="VQM7" s="406"/>
      <c r="VQN7" s="406"/>
      <c r="VQO7" s="406"/>
      <c r="VQP7" s="406"/>
      <c r="VQQ7" s="406"/>
      <c r="VQR7" s="406"/>
      <c r="VQS7" s="406"/>
      <c r="VQT7" s="406"/>
      <c r="VQU7" s="406"/>
      <c r="VQV7" s="406"/>
      <c r="VQW7" s="406"/>
      <c r="VQX7" s="406"/>
      <c r="VQY7" s="406"/>
      <c r="VQZ7" s="406"/>
      <c r="VRA7" s="406"/>
      <c r="VRB7" s="406"/>
      <c r="VRC7" s="406"/>
      <c r="VRD7" s="406"/>
      <c r="VRE7" s="406"/>
      <c r="VRF7" s="406"/>
      <c r="VRG7" s="406"/>
      <c r="VRH7" s="406"/>
      <c r="VRI7" s="406"/>
      <c r="VRJ7" s="406"/>
      <c r="VRK7" s="406"/>
      <c r="VRL7" s="406"/>
      <c r="VRM7" s="406"/>
      <c r="VRN7" s="406"/>
      <c r="VRO7" s="406"/>
      <c r="VRP7" s="406"/>
      <c r="VRQ7" s="406"/>
      <c r="VRR7" s="406"/>
      <c r="VRS7" s="406"/>
      <c r="VRT7" s="406"/>
      <c r="VRU7" s="406"/>
      <c r="VRV7" s="406"/>
      <c r="VRW7" s="406"/>
      <c r="VRX7" s="406"/>
      <c r="VRY7" s="406"/>
      <c r="VRZ7" s="406"/>
      <c r="VSA7" s="406"/>
      <c r="VSB7" s="406"/>
      <c r="VSC7" s="406"/>
      <c r="VSD7" s="406"/>
      <c r="VSE7" s="406"/>
      <c r="VSF7" s="406"/>
      <c r="VSG7" s="406"/>
      <c r="VSH7" s="406"/>
      <c r="VSI7" s="406"/>
      <c r="VSJ7" s="406"/>
      <c r="VSK7" s="406"/>
      <c r="VSL7" s="406"/>
      <c r="VSM7" s="406"/>
      <c r="VSN7" s="406"/>
      <c r="VSO7" s="406"/>
      <c r="VSP7" s="406"/>
      <c r="VSQ7" s="406"/>
      <c r="VSR7" s="406"/>
      <c r="VSS7" s="406"/>
      <c r="VST7" s="406"/>
      <c r="VSU7" s="406"/>
      <c r="VSV7" s="406"/>
      <c r="VSW7" s="406"/>
      <c r="VSX7" s="406"/>
      <c r="VSY7" s="406"/>
      <c r="VSZ7" s="406"/>
      <c r="VTA7" s="406"/>
      <c r="VTB7" s="406"/>
      <c r="VTC7" s="406"/>
      <c r="VTD7" s="406"/>
      <c r="VTE7" s="406"/>
      <c r="VTF7" s="406"/>
      <c r="VTG7" s="406"/>
      <c r="VTH7" s="406"/>
      <c r="VTI7" s="406"/>
      <c r="VTJ7" s="406"/>
      <c r="VTK7" s="406"/>
      <c r="VTL7" s="406"/>
      <c r="VTM7" s="406"/>
      <c r="VTN7" s="406"/>
      <c r="VTO7" s="406"/>
      <c r="VTP7" s="406"/>
      <c r="VTQ7" s="406"/>
      <c r="VTR7" s="406"/>
      <c r="VTS7" s="406"/>
      <c r="VTT7" s="406"/>
      <c r="VTU7" s="406"/>
      <c r="VTV7" s="406"/>
      <c r="VTW7" s="406"/>
      <c r="VTX7" s="406"/>
      <c r="VTY7" s="406"/>
      <c r="VTZ7" s="406"/>
      <c r="VUA7" s="406"/>
      <c r="VUB7" s="406"/>
      <c r="VUC7" s="406"/>
      <c r="VUD7" s="406"/>
      <c r="VUE7" s="406"/>
      <c r="VUF7" s="406"/>
      <c r="VUG7" s="406"/>
      <c r="VUH7" s="406"/>
      <c r="VUI7" s="406"/>
      <c r="VUJ7" s="406"/>
      <c r="VUK7" s="406"/>
      <c r="VUL7" s="406"/>
      <c r="VUM7" s="406"/>
      <c r="VUN7" s="406"/>
      <c r="VUO7" s="406"/>
      <c r="VUP7" s="406"/>
      <c r="VUQ7" s="406"/>
      <c r="VUR7" s="406"/>
      <c r="VUS7" s="406"/>
      <c r="VUT7" s="406"/>
      <c r="VUU7" s="406"/>
      <c r="VUV7" s="406"/>
      <c r="VUW7" s="406"/>
      <c r="VUX7" s="406"/>
      <c r="VUY7" s="406"/>
      <c r="VUZ7" s="406"/>
      <c r="VVA7" s="406"/>
      <c r="VVB7" s="406"/>
      <c r="VVC7" s="406"/>
      <c r="VVD7" s="406"/>
      <c r="VVE7" s="406"/>
      <c r="VVF7" s="406"/>
      <c r="VVG7" s="406"/>
      <c r="VVH7" s="406"/>
      <c r="VVI7" s="406"/>
      <c r="VVJ7" s="406"/>
      <c r="VVK7" s="406"/>
      <c r="VVL7" s="406"/>
      <c r="VVM7" s="406"/>
      <c r="VVN7" s="406"/>
      <c r="VVO7" s="406"/>
      <c r="VVP7" s="406"/>
      <c r="VVQ7" s="406"/>
      <c r="VVR7" s="406"/>
      <c r="VVS7" s="406"/>
      <c r="VVT7" s="406"/>
      <c r="VVU7" s="406"/>
      <c r="VVV7" s="406"/>
      <c r="VVW7" s="406"/>
      <c r="VVX7" s="406"/>
      <c r="VVY7" s="406"/>
      <c r="VVZ7" s="406"/>
      <c r="VWA7" s="406"/>
      <c r="VWB7" s="406"/>
      <c r="VWC7" s="406"/>
      <c r="VWD7" s="406"/>
      <c r="VWE7" s="406"/>
      <c r="VWF7" s="406"/>
      <c r="VWG7" s="406"/>
      <c r="VWH7" s="406"/>
      <c r="VWI7" s="406"/>
      <c r="VWJ7" s="406"/>
      <c r="VWK7" s="406"/>
      <c r="VWL7" s="406"/>
      <c r="VWM7" s="406"/>
      <c r="VWN7" s="406"/>
      <c r="VWO7" s="406"/>
      <c r="VWP7" s="406"/>
      <c r="VWQ7" s="406"/>
      <c r="VWR7" s="406"/>
      <c r="VWS7" s="406"/>
      <c r="VWT7" s="406"/>
      <c r="VWU7" s="406"/>
      <c r="VWV7" s="406"/>
      <c r="VWW7" s="406"/>
      <c r="VWX7" s="406"/>
      <c r="VWY7" s="406"/>
      <c r="VWZ7" s="406"/>
      <c r="VXA7" s="406"/>
      <c r="VXB7" s="406"/>
      <c r="VXC7" s="406"/>
      <c r="VXD7" s="406"/>
      <c r="VXE7" s="406"/>
      <c r="VXF7" s="406"/>
      <c r="VXG7" s="406"/>
      <c r="VXH7" s="406"/>
      <c r="VXI7" s="406"/>
      <c r="VXJ7" s="406"/>
      <c r="VXK7" s="406"/>
      <c r="VXL7" s="406"/>
      <c r="VXM7" s="406"/>
      <c r="VXN7" s="406"/>
      <c r="VXO7" s="406"/>
      <c r="VXP7" s="406"/>
      <c r="VXQ7" s="406"/>
      <c r="VXR7" s="406"/>
      <c r="VXS7" s="406"/>
      <c r="VXT7" s="406"/>
      <c r="VXU7" s="406"/>
      <c r="VXV7" s="406"/>
      <c r="VXW7" s="406"/>
      <c r="VXX7" s="406"/>
      <c r="VXY7" s="406"/>
      <c r="VXZ7" s="406"/>
      <c r="VYA7" s="406"/>
      <c r="VYB7" s="406"/>
      <c r="VYC7" s="406"/>
      <c r="VYD7" s="406"/>
      <c r="VYE7" s="406"/>
      <c r="VYF7" s="406"/>
      <c r="VYG7" s="406"/>
      <c r="VYH7" s="406"/>
      <c r="VYI7" s="406"/>
      <c r="VYJ7" s="406"/>
      <c r="VYK7" s="406"/>
      <c r="VYL7" s="406"/>
      <c r="VYM7" s="406"/>
      <c r="VYN7" s="406"/>
      <c r="VYO7" s="406"/>
      <c r="VYP7" s="406"/>
      <c r="VYQ7" s="406"/>
      <c r="VYR7" s="406"/>
      <c r="VYS7" s="406"/>
      <c r="VYT7" s="406"/>
      <c r="VYU7" s="406"/>
      <c r="VYV7" s="406"/>
      <c r="VYW7" s="406"/>
      <c r="VYX7" s="406"/>
      <c r="VYY7" s="406"/>
      <c r="VYZ7" s="406"/>
      <c r="VZA7" s="406"/>
      <c r="VZB7" s="406"/>
      <c r="VZC7" s="406"/>
      <c r="VZD7" s="406"/>
      <c r="VZE7" s="406"/>
      <c r="VZF7" s="406"/>
      <c r="VZG7" s="406"/>
      <c r="VZH7" s="406"/>
      <c r="VZI7" s="406"/>
      <c r="VZJ7" s="406"/>
      <c r="VZK7" s="406"/>
      <c r="VZL7" s="406"/>
      <c r="VZM7" s="406"/>
      <c r="VZN7" s="406"/>
      <c r="VZO7" s="406"/>
      <c r="VZP7" s="406"/>
      <c r="VZQ7" s="406"/>
      <c r="VZR7" s="406"/>
      <c r="VZS7" s="406"/>
      <c r="VZT7" s="406"/>
      <c r="VZU7" s="406"/>
      <c r="VZV7" s="406"/>
      <c r="VZW7" s="406"/>
      <c r="VZX7" s="406"/>
      <c r="VZY7" s="406"/>
      <c r="VZZ7" s="406"/>
      <c r="WAA7" s="406"/>
      <c r="WAB7" s="406"/>
      <c r="WAC7" s="406"/>
      <c r="WAD7" s="406"/>
      <c r="WAE7" s="406"/>
      <c r="WAF7" s="406"/>
      <c r="WAG7" s="406"/>
      <c r="WAH7" s="406"/>
      <c r="WAI7" s="406"/>
      <c r="WAJ7" s="406"/>
      <c r="WAK7" s="406"/>
      <c r="WAL7" s="406"/>
      <c r="WAM7" s="406"/>
      <c r="WAN7" s="406"/>
      <c r="WAO7" s="406"/>
      <c r="WAP7" s="406"/>
      <c r="WAQ7" s="406"/>
      <c r="WAR7" s="406"/>
      <c r="WAS7" s="406"/>
      <c r="WAT7" s="406"/>
      <c r="WAU7" s="406"/>
      <c r="WAV7" s="406"/>
      <c r="WAW7" s="406"/>
      <c r="WAX7" s="406"/>
      <c r="WAY7" s="406"/>
      <c r="WAZ7" s="406"/>
      <c r="WBA7" s="406"/>
      <c r="WBB7" s="406"/>
      <c r="WBC7" s="406"/>
      <c r="WBD7" s="406"/>
      <c r="WBE7" s="406"/>
      <c r="WBF7" s="406"/>
      <c r="WBG7" s="406"/>
      <c r="WBH7" s="406"/>
      <c r="WBI7" s="406"/>
      <c r="WBJ7" s="406"/>
      <c r="WBK7" s="406"/>
      <c r="WBL7" s="406"/>
      <c r="WBM7" s="406"/>
      <c r="WBN7" s="406"/>
      <c r="WBO7" s="406"/>
      <c r="WBP7" s="406"/>
      <c r="WBQ7" s="406"/>
      <c r="WBR7" s="406"/>
      <c r="WBS7" s="406"/>
      <c r="WBT7" s="406"/>
      <c r="WBU7" s="406"/>
      <c r="WBV7" s="406"/>
      <c r="WBW7" s="406"/>
      <c r="WBX7" s="406"/>
      <c r="WBY7" s="406"/>
      <c r="WBZ7" s="406"/>
      <c r="WCA7" s="406"/>
      <c r="WCB7" s="406"/>
      <c r="WCC7" s="406"/>
      <c r="WCD7" s="406"/>
      <c r="WCE7" s="406"/>
      <c r="WCF7" s="406"/>
      <c r="WCG7" s="406"/>
      <c r="WCH7" s="406"/>
      <c r="WCI7" s="406"/>
      <c r="WCJ7" s="406"/>
      <c r="WCK7" s="406"/>
      <c r="WCL7" s="406"/>
      <c r="WCM7" s="406"/>
      <c r="WCN7" s="406"/>
      <c r="WCO7" s="406"/>
      <c r="WCP7" s="406"/>
      <c r="WCQ7" s="406"/>
      <c r="WCR7" s="406"/>
      <c r="WCS7" s="406"/>
      <c r="WCT7" s="406"/>
      <c r="WCU7" s="406"/>
      <c r="WCV7" s="406"/>
      <c r="WCW7" s="406"/>
      <c r="WCX7" s="406"/>
      <c r="WCY7" s="406"/>
      <c r="WCZ7" s="406"/>
      <c r="WDA7" s="406"/>
      <c r="WDB7" s="406"/>
      <c r="WDC7" s="406"/>
      <c r="WDD7" s="406"/>
      <c r="WDE7" s="406"/>
      <c r="WDF7" s="406"/>
      <c r="WDG7" s="406"/>
      <c r="WDH7" s="406"/>
      <c r="WDI7" s="406"/>
      <c r="WDJ7" s="406"/>
      <c r="WDK7" s="406"/>
      <c r="WDL7" s="406"/>
      <c r="WDM7" s="406"/>
      <c r="WDN7" s="406"/>
      <c r="WDO7" s="406"/>
      <c r="WDP7" s="406"/>
      <c r="WDQ7" s="406"/>
      <c r="WDR7" s="406"/>
      <c r="WDS7" s="406"/>
      <c r="WDT7" s="406"/>
      <c r="WDU7" s="406"/>
      <c r="WDV7" s="406"/>
      <c r="WDW7" s="406"/>
      <c r="WDX7" s="406"/>
      <c r="WDY7" s="406"/>
      <c r="WDZ7" s="406"/>
      <c r="WEA7" s="406"/>
      <c r="WEB7" s="406"/>
      <c r="WEC7" s="406"/>
      <c r="WED7" s="406"/>
      <c r="WEE7" s="406"/>
      <c r="WEF7" s="406"/>
      <c r="WEG7" s="406"/>
      <c r="WEH7" s="406"/>
      <c r="WEI7" s="406"/>
      <c r="WEJ7" s="406"/>
      <c r="WEK7" s="406"/>
      <c r="WEL7" s="406"/>
      <c r="WEM7" s="406"/>
      <c r="WEN7" s="406"/>
      <c r="WEO7" s="406"/>
      <c r="WEP7" s="406"/>
      <c r="WEQ7" s="406"/>
      <c r="WER7" s="406"/>
      <c r="WES7" s="406"/>
      <c r="WET7" s="406"/>
      <c r="WEU7" s="406"/>
      <c r="WEV7" s="406"/>
      <c r="WEW7" s="406"/>
      <c r="WEX7" s="406"/>
      <c r="WEY7" s="406"/>
      <c r="WEZ7" s="406"/>
      <c r="WFA7" s="406"/>
      <c r="WFB7" s="406"/>
      <c r="WFC7" s="406"/>
      <c r="WFD7" s="406"/>
      <c r="WFE7" s="406"/>
      <c r="WFF7" s="406"/>
      <c r="WFG7" s="406"/>
      <c r="WFH7" s="406"/>
      <c r="WFI7" s="406"/>
      <c r="WFJ7" s="406"/>
      <c r="WFK7" s="406"/>
      <c r="WFL7" s="406"/>
      <c r="WFM7" s="406"/>
      <c r="WFN7" s="406"/>
      <c r="WFO7" s="406"/>
      <c r="WFP7" s="406"/>
      <c r="WFQ7" s="406"/>
      <c r="WFR7" s="406"/>
      <c r="WFS7" s="406"/>
      <c r="WFT7" s="406"/>
      <c r="WFU7" s="406"/>
      <c r="WFV7" s="406"/>
      <c r="WFW7" s="406"/>
      <c r="WFX7" s="406"/>
      <c r="WFY7" s="406"/>
      <c r="WFZ7" s="406"/>
      <c r="WGA7" s="406"/>
      <c r="WGB7" s="406"/>
      <c r="WGC7" s="406"/>
      <c r="WGD7" s="406"/>
      <c r="WGE7" s="406"/>
      <c r="WGF7" s="406"/>
      <c r="WGG7" s="406"/>
      <c r="WGH7" s="406"/>
      <c r="WGI7" s="406"/>
      <c r="WGJ7" s="406"/>
      <c r="WGK7" s="406"/>
      <c r="WGL7" s="406"/>
      <c r="WGM7" s="406"/>
      <c r="WGN7" s="406"/>
      <c r="WGO7" s="406"/>
      <c r="WGP7" s="406"/>
      <c r="WGQ7" s="406"/>
      <c r="WGR7" s="406"/>
      <c r="WGS7" s="406"/>
      <c r="WGT7" s="406"/>
      <c r="WGU7" s="406"/>
      <c r="WGV7" s="406"/>
      <c r="WGW7" s="406"/>
      <c r="WGX7" s="406"/>
      <c r="WGY7" s="406"/>
      <c r="WGZ7" s="406"/>
      <c r="WHA7" s="406"/>
      <c r="WHB7" s="406"/>
      <c r="WHC7" s="406"/>
      <c r="WHD7" s="406"/>
      <c r="WHE7" s="406"/>
      <c r="WHF7" s="406"/>
      <c r="WHG7" s="406"/>
      <c r="WHH7" s="406"/>
      <c r="WHI7" s="406"/>
      <c r="WHJ7" s="406"/>
      <c r="WHK7" s="406"/>
      <c r="WHL7" s="406"/>
      <c r="WHM7" s="406"/>
      <c r="WHN7" s="406"/>
      <c r="WHO7" s="406"/>
      <c r="WHP7" s="406"/>
      <c r="WHQ7" s="406"/>
      <c r="WHR7" s="406"/>
      <c r="WHS7" s="406"/>
      <c r="WHT7" s="406"/>
      <c r="WHU7" s="406"/>
      <c r="WHV7" s="406"/>
      <c r="WHW7" s="406"/>
      <c r="WHX7" s="406"/>
      <c r="WHY7" s="406"/>
      <c r="WHZ7" s="406"/>
      <c r="WIA7" s="406"/>
      <c r="WIB7" s="406"/>
      <c r="WIC7" s="406"/>
      <c r="WID7" s="406"/>
      <c r="WIE7" s="406"/>
      <c r="WIF7" s="406"/>
      <c r="WIG7" s="406"/>
      <c r="WIH7" s="406"/>
      <c r="WII7" s="406"/>
      <c r="WIJ7" s="406"/>
      <c r="WIK7" s="406"/>
      <c r="WIL7" s="406"/>
      <c r="WIM7" s="406"/>
      <c r="WIN7" s="406"/>
      <c r="WIO7" s="406"/>
      <c r="WIP7" s="406"/>
      <c r="WIQ7" s="406"/>
      <c r="WIR7" s="406"/>
      <c r="WIS7" s="406"/>
      <c r="WIT7" s="406"/>
      <c r="WIU7" s="406"/>
      <c r="WIV7" s="406"/>
      <c r="WIW7" s="406"/>
      <c r="WIX7" s="406"/>
      <c r="WIY7" s="406"/>
      <c r="WIZ7" s="406"/>
      <c r="WJA7" s="406"/>
      <c r="WJB7" s="406"/>
      <c r="WJC7" s="406"/>
      <c r="WJD7" s="406"/>
      <c r="WJE7" s="406"/>
      <c r="WJF7" s="406"/>
      <c r="WJG7" s="406"/>
      <c r="WJH7" s="406"/>
      <c r="WJI7" s="406"/>
      <c r="WJJ7" s="406"/>
      <c r="WJK7" s="406"/>
      <c r="WJL7" s="406"/>
      <c r="WJM7" s="406"/>
      <c r="WJN7" s="406"/>
      <c r="WJO7" s="406"/>
      <c r="WJP7" s="406"/>
      <c r="WJQ7" s="406"/>
      <c r="WJR7" s="406"/>
      <c r="WJS7" s="406"/>
      <c r="WJT7" s="406"/>
      <c r="WJU7" s="406"/>
      <c r="WJV7" s="406"/>
      <c r="WJW7" s="406"/>
      <c r="WJX7" s="406"/>
      <c r="WJY7" s="406"/>
      <c r="WJZ7" s="406"/>
      <c r="WKA7" s="406"/>
      <c r="WKB7" s="406"/>
      <c r="WKC7" s="406"/>
      <c r="WKD7" s="406"/>
      <c r="WKE7" s="406"/>
      <c r="WKF7" s="406"/>
      <c r="WKG7" s="406"/>
      <c r="WKH7" s="406"/>
      <c r="WKI7" s="406"/>
      <c r="WKJ7" s="406"/>
      <c r="WKK7" s="406"/>
      <c r="WKL7" s="406"/>
      <c r="WKM7" s="406"/>
      <c r="WKN7" s="406"/>
      <c r="WKO7" s="406"/>
      <c r="WKP7" s="406"/>
      <c r="WKQ7" s="406"/>
      <c r="WKR7" s="406"/>
      <c r="WKS7" s="406"/>
      <c r="WKT7" s="406"/>
      <c r="WKU7" s="406"/>
      <c r="WKV7" s="406"/>
      <c r="WKW7" s="406"/>
      <c r="WKX7" s="406"/>
      <c r="WKY7" s="406"/>
      <c r="WKZ7" s="406"/>
      <c r="WLA7" s="406"/>
      <c r="WLB7" s="406"/>
      <c r="WLC7" s="406"/>
      <c r="WLD7" s="406"/>
      <c r="WLE7" s="406"/>
      <c r="WLF7" s="406"/>
      <c r="WLG7" s="406"/>
      <c r="WLH7" s="406"/>
      <c r="WLI7" s="406"/>
      <c r="WLJ7" s="406"/>
      <c r="WLK7" s="406"/>
      <c r="WLL7" s="406"/>
      <c r="WLM7" s="406"/>
      <c r="WLN7" s="406"/>
      <c r="WLO7" s="406"/>
      <c r="WLP7" s="406"/>
      <c r="WLQ7" s="406"/>
      <c r="WLR7" s="406"/>
      <c r="WLS7" s="406"/>
      <c r="WLT7" s="406"/>
      <c r="WLU7" s="406"/>
      <c r="WLV7" s="406"/>
      <c r="WLW7" s="406"/>
      <c r="WLX7" s="406"/>
      <c r="WLY7" s="406"/>
      <c r="WLZ7" s="406"/>
      <c r="WMA7" s="406"/>
      <c r="WMB7" s="406"/>
      <c r="WMC7" s="406"/>
      <c r="WMD7" s="406"/>
      <c r="WME7" s="406"/>
      <c r="WMF7" s="406"/>
      <c r="WMG7" s="406"/>
      <c r="WMH7" s="406"/>
      <c r="WMI7" s="406"/>
      <c r="WMJ7" s="406"/>
      <c r="WMK7" s="406"/>
      <c r="WML7" s="406"/>
      <c r="WMM7" s="406"/>
      <c r="WMN7" s="406"/>
      <c r="WMO7" s="406"/>
      <c r="WMP7" s="406"/>
      <c r="WMQ7" s="406"/>
      <c r="WMR7" s="406"/>
      <c r="WMS7" s="406"/>
      <c r="WMT7" s="406"/>
      <c r="WMU7" s="406"/>
      <c r="WMV7" s="406"/>
      <c r="WMW7" s="406"/>
      <c r="WMX7" s="406"/>
      <c r="WMY7" s="406"/>
      <c r="WMZ7" s="406"/>
      <c r="WNA7" s="406"/>
      <c r="WNB7" s="406"/>
      <c r="WNC7" s="406"/>
      <c r="WND7" s="406"/>
      <c r="WNE7" s="406"/>
      <c r="WNF7" s="406"/>
      <c r="WNG7" s="406"/>
      <c r="WNH7" s="406"/>
      <c r="WNI7" s="406"/>
      <c r="WNJ7" s="406"/>
      <c r="WNK7" s="406"/>
      <c r="WNL7" s="406"/>
      <c r="WNM7" s="406"/>
      <c r="WNN7" s="406"/>
      <c r="WNO7" s="406"/>
      <c r="WNP7" s="406"/>
      <c r="WNQ7" s="406"/>
      <c r="WNR7" s="406"/>
      <c r="WNS7" s="406"/>
      <c r="WNT7" s="406"/>
      <c r="WNU7" s="406"/>
      <c r="WNV7" s="406"/>
      <c r="WNW7" s="406"/>
      <c r="WNX7" s="406"/>
      <c r="WNY7" s="406"/>
      <c r="WNZ7" s="406"/>
      <c r="WOA7" s="406"/>
      <c r="WOB7" s="406"/>
      <c r="WOC7" s="406"/>
      <c r="WOD7" s="406"/>
      <c r="WOE7" s="406"/>
      <c r="WOF7" s="406"/>
      <c r="WOG7" s="406"/>
      <c r="WOH7" s="406"/>
      <c r="WOI7" s="406"/>
      <c r="WOJ7" s="406"/>
      <c r="WOK7" s="406"/>
      <c r="WOL7" s="406"/>
      <c r="WOM7" s="406"/>
      <c r="WON7" s="406"/>
      <c r="WOO7" s="406"/>
      <c r="WOP7" s="406"/>
      <c r="WOQ7" s="406"/>
      <c r="WOR7" s="406"/>
      <c r="WOS7" s="406"/>
      <c r="WOT7" s="406"/>
      <c r="WOU7" s="406"/>
      <c r="WOV7" s="406"/>
      <c r="WOW7" s="406"/>
      <c r="WOX7" s="406"/>
      <c r="WOY7" s="406"/>
      <c r="WOZ7" s="406"/>
      <c r="WPA7" s="406"/>
      <c r="WPB7" s="406"/>
      <c r="WPC7" s="406"/>
      <c r="WPD7" s="406"/>
      <c r="WPE7" s="406"/>
      <c r="WPF7" s="406"/>
      <c r="WPG7" s="406"/>
      <c r="WPH7" s="406"/>
      <c r="WPI7" s="406"/>
      <c r="WPJ7" s="406"/>
      <c r="WPK7" s="406"/>
      <c r="WPL7" s="406"/>
      <c r="WPM7" s="406"/>
      <c r="WPN7" s="406"/>
      <c r="WPO7" s="406"/>
      <c r="WPP7" s="406"/>
      <c r="WPQ7" s="406"/>
      <c r="WPR7" s="406"/>
      <c r="WPS7" s="406"/>
      <c r="WPT7" s="406"/>
      <c r="WPU7" s="406"/>
      <c r="WPV7" s="406"/>
      <c r="WPW7" s="406"/>
      <c r="WPX7" s="406"/>
      <c r="WPY7" s="406"/>
      <c r="WPZ7" s="406"/>
      <c r="WQA7" s="406"/>
      <c r="WQB7" s="406"/>
      <c r="WQC7" s="406"/>
      <c r="WQD7" s="406"/>
      <c r="WQE7" s="406"/>
      <c r="WQF7" s="406"/>
      <c r="WQG7" s="406"/>
      <c r="WQH7" s="406"/>
      <c r="WQI7" s="406"/>
      <c r="WQJ7" s="406"/>
      <c r="WQK7" s="406"/>
      <c r="WQL7" s="406"/>
      <c r="WQM7" s="406"/>
      <c r="WQN7" s="406"/>
      <c r="WQO7" s="406"/>
      <c r="WQP7" s="406"/>
      <c r="WQQ7" s="406"/>
      <c r="WQR7" s="406"/>
      <c r="WQS7" s="406"/>
      <c r="WQT7" s="406"/>
      <c r="WQU7" s="406"/>
      <c r="WQV7" s="406"/>
      <c r="WQW7" s="406"/>
      <c r="WQX7" s="406"/>
      <c r="WQY7" s="406"/>
      <c r="WQZ7" s="406"/>
      <c r="WRA7" s="406"/>
      <c r="WRB7" s="406"/>
      <c r="WRC7" s="406"/>
      <c r="WRD7" s="406"/>
      <c r="WRE7" s="406"/>
      <c r="WRF7" s="406"/>
      <c r="WRG7" s="406"/>
      <c r="WRH7" s="406"/>
      <c r="WRI7" s="406"/>
      <c r="WRJ7" s="406"/>
      <c r="WRK7" s="406"/>
      <c r="WRL7" s="406"/>
      <c r="WRM7" s="406"/>
      <c r="WRN7" s="406"/>
      <c r="WRO7" s="406"/>
      <c r="WRP7" s="406"/>
      <c r="WRQ7" s="406"/>
      <c r="WRR7" s="406"/>
      <c r="WRS7" s="406"/>
      <c r="WRT7" s="406"/>
      <c r="WRU7" s="406"/>
      <c r="WRV7" s="406"/>
      <c r="WRW7" s="406"/>
      <c r="WRX7" s="406"/>
      <c r="WRY7" s="406"/>
      <c r="WRZ7" s="406"/>
      <c r="WSA7" s="406"/>
      <c r="WSB7" s="406"/>
      <c r="WSC7" s="406"/>
      <c r="WSD7" s="406"/>
      <c r="WSE7" s="406"/>
      <c r="WSF7" s="406"/>
      <c r="WSG7" s="406"/>
      <c r="WSH7" s="406"/>
      <c r="WSI7" s="406"/>
      <c r="WSJ7" s="406"/>
      <c r="WSK7" s="406"/>
      <c r="WSL7" s="406"/>
      <c r="WSM7" s="406"/>
      <c r="WSN7" s="406"/>
      <c r="WSO7" s="406"/>
      <c r="WSP7" s="406"/>
      <c r="WSQ7" s="406"/>
      <c r="WSR7" s="406"/>
      <c r="WSS7" s="406"/>
      <c r="WST7" s="406"/>
      <c r="WSU7" s="406"/>
      <c r="WSV7" s="406"/>
      <c r="WSW7" s="406"/>
      <c r="WSX7" s="406"/>
      <c r="WSY7" s="406"/>
      <c r="WSZ7" s="406"/>
      <c r="WTA7" s="406"/>
      <c r="WTB7" s="406"/>
      <c r="WTC7" s="406"/>
      <c r="WTD7" s="406"/>
      <c r="WTE7" s="406"/>
      <c r="WTF7" s="406"/>
      <c r="WTG7" s="406"/>
      <c r="WTH7" s="406"/>
      <c r="WTI7" s="406"/>
      <c r="WTJ7" s="406"/>
      <c r="WTK7" s="406"/>
      <c r="WTL7" s="406"/>
      <c r="WTM7" s="406"/>
      <c r="WTN7" s="406"/>
      <c r="WTO7" s="406"/>
      <c r="WTP7" s="406"/>
      <c r="WTQ7" s="406"/>
      <c r="WTR7" s="406"/>
      <c r="WTS7" s="406"/>
      <c r="WTT7" s="406"/>
      <c r="WTU7" s="406"/>
      <c r="WTV7" s="406"/>
      <c r="WTW7" s="406"/>
      <c r="WTX7" s="406"/>
      <c r="WTY7" s="406"/>
      <c r="WTZ7" s="406"/>
      <c r="WUA7" s="406"/>
      <c r="WUB7" s="406"/>
      <c r="WUC7" s="406"/>
      <c r="WUD7" s="406"/>
      <c r="WUE7" s="406"/>
      <c r="WUF7" s="406"/>
      <c r="WUG7" s="406"/>
      <c r="WUH7" s="406"/>
      <c r="WUI7" s="406"/>
      <c r="WUJ7" s="406"/>
      <c r="WUK7" s="406"/>
      <c r="WUL7" s="406"/>
      <c r="WUM7" s="406"/>
      <c r="WUN7" s="406"/>
      <c r="WUO7" s="406"/>
      <c r="WUP7" s="406"/>
      <c r="WUQ7" s="406"/>
      <c r="WUR7" s="406"/>
      <c r="WUS7" s="406"/>
      <c r="WUT7" s="406"/>
      <c r="WUU7" s="406"/>
      <c r="WUV7" s="406"/>
      <c r="WUW7" s="406"/>
      <c r="WUX7" s="406"/>
      <c r="WUY7" s="406"/>
      <c r="WUZ7" s="406"/>
      <c r="WVA7" s="406"/>
      <c r="WVB7" s="406"/>
      <c r="WVC7" s="406"/>
      <c r="WVD7" s="406"/>
      <c r="WVE7" s="406"/>
      <c r="WVF7" s="406"/>
      <c r="WVG7" s="406"/>
      <c r="WVH7" s="406"/>
      <c r="WVI7" s="406"/>
      <c r="WVJ7" s="406"/>
      <c r="WVK7" s="406"/>
      <c r="WVL7" s="406"/>
      <c r="WVM7" s="406"/>
      <c r="WVN7" s="406"/>
      <c r="WVO7" s="406"/>
      <c r="WVP7" s="406"/>
      <c r="WVQ7" s="406"/>
      <c r="WVR7" s="406"/>
      <c r="WVS7" s="406"/>
      <c r="WVT7" s="406"/>
      <c r="WVU7" s="406"/>
      <c r="WVV7" s="406"/>
      <c r="WVW7" s="406"/>
      <c r="WVX7" s="406"/>
      <c r="WVY7" s="406"/>
      <c r="WVZ7" s="406"/>
      <c r="WWA7" s="406"/>
      <c r="WWB7" s="406"/>
      <c r="WWC7" s="406"/>
      <c r="WWD7" s="406"/>
      <c r="WWE7" s="406"/>
      <c r="WWF7" s="406"/>
      <c r="WWG7" s="406"/>
      <c r="WWH7" s="406"/>
      <c r="WWI7" s="406"/>
      <c r="WWJ7" s="406"/>
      <c r="WWK7" s="406"/>
      <c r="WWL7" s="406"/>
      <c r="WWM7" s="406"/>
      <c r="WWN7" s="406"/>
      <c r="WWO7" s="406"/>
      <c r="WWP7" s="406"/>
      <c r="WWQ7" s="406"/>
      <c r="WWR7" s="406"/>
      <c r="WWS7" s="406"/>
      <c r="WWT7" s="406"/>
      <c r="WWU7" s="406"/>
      <c r="WWV7" s="406"/>
      <c r="WWW7" s="406"/>
      <c r="WWX7" s="406"/>
      <c r="WWY7" s="406"/>
      <c r="WWZ7" s="406"/>
      <c r="WXA7" s="406"/>
      <c r="WXB7" s="406"/>
      <c r="WXC7" s="406"/>
      <c r="WXD7" s="406"/>
      <c r="WXE7" s="406"/>
      <c r="WXF7" s="406"/>
      <c r="WXG7" s="406"/>
      <c r="WXH7" s="406"/>
      <c r="WXI7" s="406"/>
      <c r="WXJ7" s="406"/>
      <c r="WXK7" s="406"/>
      <c r="WXL7" s="406"/>
      <c r="WXM7" s="406"/>
      <c r="WXN7" s="406"/>
      <c r="WXO7" s="406"/>
      <c r="WXP7" s="406"/>
      <c r="WXQ7" s="406"/>
      <c r="WXR7" s="406"/>
      <c r="WXS7" s="406"/>
      <c r="WXT7" s="406"/>
      <c r="WXU7" s="406"/>
      <c r="WXV7" s="406"/>
      <c r="WXW7" s="406"/>
      <c r="WXX7" s="406"/>
      <c r="WXY7" s="406"/>
      <c r="WXZ7" s="406"/>
      <c r="WYA7" s="406"/>
      <c r="WYB7" s="406"/>
      <c r="WYC7" s="406"/>
      <c r="WYD7" s="406"/>
      <c r="WYE7" s="406"/>
      <c r="WYF7" s="406"/>
      <c r="WYG7" s="406"/>
      <c r="WYH7" s="406"/>
      <c r="WYI7" s="406"/>
      <c r="WYJ7" s="406"/>
      <c r="WYK7" s="406"/>
      <c r="WYL7" s="406"/>
      <c r="WYM7" s="406"/>
      <c r="WYN7" s="406"/>
      <c r="WYO7" s="406"/>
      <c r="WYP7" s="406"/>
      <c r="WYQ7" s="406"/>
      <c r="WYR7" s="406"/>
      <c r="WYS7" s="406"/>
      <c r="WYT7" s="406"/>
      <c r="WYU7" s="406"/>
      <c r="WYV7" s="406"/>
      <c r="WYW7" s="406"/>
      <c r="WYX7" s="406"/>
      <c r="WYY7" s="406"/>
      <c r="WYZ7" s="406"/>
      <c r="WZA7" s="406"/>
      <c r="WZB7" s="406"/>
      <c r="WZC7" s="406"/>
      <c r="WZD7" s="406"/>
      <c r="WZE7" s="406"/>
      <c r="WZF7" s="406"/>
      <c r="WZG7" s="406"/>
      <c r="WZH7" s="406"/>
      <c r="WZI7" s="406"/>
      <c r="WZJ7" s="406"/>
      <c r="WZK7" s="406"/>
      <c r="WZL7" s="406"/>
      <c r="WZM7" s="406"/>
      <c r="WZN7" s="406"/>
      <c r="WZO7" s="406"/>
      <c r="WZP7" s="406"/>
      <c r="WZQ7" s="406"/>
      <c r="WZR7" s="406"/>
      <c r="WZS7" s="406"/>
      <c r="WZT7" s="406"/>
      <c r="WZU7" s="406"/>
      <c r="WZV7" s="406"/>
      <c r="WZW7" s="406"/>
      <c r="WZX7" s="406"/>
      <c r="WZY7" s="406"/>
      <c r="WZZ7" s="406"/>
      <c r="XAA7" s="406"/>
      <c r="XAB7" s="406"/>
      <c r="XAC7" s="406"/>
      <c r="XAD7" s="406"/>
      <c r="XAE7" s="406"/>
      <c r="XAF7" s="406"/>
      <c r="XAG7" s="406"/>
      <c r="XAH7" s="406"/>
      <c r="XAI7" s="406"/>
      <c r="XAJ7" s="406"/>
      <c r="XAK7" s="406"/>
      <c r="XAL7" s="406"/>
      <c r="XAM7" s="406"/>
      <c r="XAN7" s="406"/>
      <c r="XAO7" s="406"/>
      <c r="XAP7" s="406"/>
      <c r="XAQ7" s="406"/>
      <c r="XAR7" s="406"/>
      <c r="XAS7" s="406"/>
      <c r="XAT7" s="406"/>
      <c r="XAU7" s="406"/>
      <c r="XAV7" s="406"/>
      <c r="XAW7" s="406"/>
      <c r="XAX7" s="406"/>
      <c r="XAY7" s="406"/>
      <c r="XAZ7" s="406"/>
      <c r="XBA7" s="406"/>
      <c r="XBB7" s="406"/>
      <c r="XBC7" s="406"/>
      <c r="XBD7" s="406"/>
      <c r="XBE7" s="406"/>
      <c r="XBF7" s="406"/>
      <c r="XBG7" s="406"/>
      <c r="XBH7" s="406"/>
      <c r="XBI7" s="406"/>
      <c r="XBJ7" s="406"/>
      <c r="XBK7" s="406"/>
      <c r="XBL7" s="406"/>
      <c r="XBM7" s="406"/>
      <c r="XBN7" s="406"/>
      <c r="XBO7" s="406"/>
      <c r="XBP7" s="406"/>
      <c r="XBQ7" s="406"/>
      <c r="XBR7" s="406"/>
      <c r="XBS7" s="406"/>
      <c r="XBT7" s="406"/>
      <c r="XBU7" s="406"/>
      <c r="XBV7" s="406"/>
      <c r="XBW7" s="406"/>
      <c r="XBX7" s="406"/>
      <c r="XBY7" s="406"/>
      <c r="XBZ7" s="406"/>
      <c r="XCA7" s="406"/>
      <c r="XCB7" s="406"/>
      <c r="XCC7" s="406"/>
      <c r="XCD7" s="406"/>
      <c r="XCE7" s="406"/>
      <c r="XCF7" s="406"/>
      <c r="XCG7" s="406"/>
      <c r="XCH7" s="406"/>
      <c r="XCI7" s="406"/>
      <c r="XCJ7" s="406"/>
      <c r="XCK7" s="406"/>
      <c r="XCL7" s="406"/>
      <c r="XCM7" s="406"/>
      <c r="XCN7" s="406"/>
      <c r="XCO7" s="406"/>
      <c r="XCP7" s="406"/>
      <c r="XCQ7" s="406"/>
      <c r="XCR7" s="406"/>
      <c r="XCS7" s="406"/>
      <c r="XCT7" s="406"/>
      <c r="XCU7" s="406"/>
      <c r="XCV7" s="406"/>
      <c r="XCW7" s="406"/>
      <c r="XCX7" s="406"/>
      <c r="XCY7" s="406"/>
      <c r="XCZ7" s="406"/>
      <c r="XDA7" s="406"/>
      <c r="XDB7" s="406"/>
      <c r="XDC7" s="406"/>
      <c r="XDD7" s="406"/>
      <c r="XDE7" s="406"/>
      <c r="XDF7" s="406"/>
      <c r="XDG7" s="406"/>
      <c r="XDH7" s="406"/>
      <c r="XDI7" s="406"/>
      <c r="XDJ7" s="406"/>
      <c r="XDK7" s="406"/>
      <c r="XDL7" s="406"/>
      <c r="XDM7" s="406"/>
      <c r="XDN7" s="406"/>
      <c r="XDO7" s="406"/>
      <c r="XDP7" s="406"/>
      <c r="XDQ7" s="406"/>
      <c r="XDR7" s="406"/>
      <c r="XDS7" s="406"/>
      <c r="XDT7" s="406"/>
      <c r="XDU7" s="406"/>
      <c r="XDV7" s="406"/>
      <c r="XDW7" s="406"/>
      <c r="XDX7" s="406"/>
      <c r="XDY7" s="406"/>
      <c r="XDZ7" s="406"/>
      <c r="XEA7" s="406"/>
      <c r="XEB7" s="406"/>
      <c r="XEC7" s="406"/>
      <c r="XED7" s="406"/>
      <c r="XEE7" s="406"/>
      <c r="XEF7" s="406"/>
      <c r="XEG7" s="406"/>
      <c r="XEH7" s="406"/>
      <c r="XEI7" s="406"/>
    </row>
    <row r="8" spans="1:16363" x14ac:dyDescent="0.2">
      <c r="B8" s="407"/>
      <c r="C8" s="288"/>
      <c r="D8" s="280"/>
      <c r="E8" s="288"/>
      <c r="F8" s="280"/>
      <c r="G8" s="280"/>
      <c r="H8" s="280"/>
      <c r="I8" s="280"/>
      <c r="J8" s="280"/>
      <c r="K8" s="280"/>
      <c r="L8" s="280"/>
      <c r="M8" s="288"/>
      <c r="N8" s="280"/>
      <c r="O8" s="280"/>
      <c r="P8" s="280"/>
      <c r="Q8" s="289"/>
      <c r="R8" s="289"/>
      <c r="S8" s="571" t="str">
        <f>'Balance Sheet'!K12</f>
        <v>Property, plant and equipment</v>
      </c>
      <c r="T8" s="571"/>
      <c r="U8" s="571"/>
      <c r="V8" s="290" t="str">
        <f>'Balance Sheet'!H12&amp;"-"</f>
        <v>4-</v>
      </c>
    </row>
    <row r="9" spans="1:16363" x14ac:dyDescent="0.2">
      <c r="A9" s="280"/>
      <c r="B9" s="280"/>
      <c r="U9" s="291" t="str">
        <f>" Property, plant and equipment AS at" &amp;" " &amp;Index!$H$5&amp;" "&amp;Index!$H$6&amp;":"</f>
        <v xml:space="preserve"> Property, plant and equipment AS at 31 December:</v>
      </c>
      <c r="W9" s="323"/>
      <c r="X9" s="323"/>
    </row>
    <row r="10" spans="1:16363" ht="7.15" customHeight="1" x14ac:dyDescent="0.2">
      <c r="A10" s="280"/>
      <c r="B10" s="280"/>
      <c r="W10" s="323"/>
      <c r="X10" s="323"/>
    </row>
    <row r="11" spans="1:16363" x14ac:dyDescent="0.2">
      <c r="A11" s="408" t="s">
        <v>250</v>
      </c>
      <c r="B11" s="317"/>
      <c r="C11" s="408" t="s">
        <v>250</v>
      </c>
      <c r="D11" s="293"/>
      <c r="E11" s="408" t="s">
        <v>249</v>
      </c>
      <c r="F11" s="293"/>
      <c r="G11" s="293" t="s">
        <v>247</v>
      </c>
      <c r="H11" s="293"/>
      <c r="I11" s="293" t="s">
        <v>248</v>
      </c>
      <c r="J11" s="293"/>
      <c r="K11" s="408" t="s">
        <v>249</v>
      </c>
      <c r="L11" s="293"/>
      <c r="M11" s="317" t="s">
        <v>243</v>
      </c>
      <c r="N11" s="293"/>
      <c r="O11" s="293" t="s">
        <v>247</v>
      </c>
      <c r="P11" s="293"/>
      <c r="Q11" s="293" t="s">
        <v>244</v>
      </c>
      <c r="R11" s="293"/>
      <c r="S11" s="317" t="s">
        <v>243</v>
      </c>
      <c r="T11" s="293"/>
      <c r="U11" s="293" t="s">
        <v>474</v>
      </c>
      <c r="W11" s="323"/>
      <c r="X11" s="323"/>
    </row>
    <row r="12" spans="1:16363" x14ac:dyDescent="0.2">
      <c r="A12" s="409" t="str">
        <f>CONCATENATE("AS at",Index!G5,"/",Index!J6,"/",Index!G7)</f>
        <v>AS at31/12/2023</v>
      </c>
      <c r="B12" s="317"/>
      <c r="C12" s="409" t="str">
        <f>CONCATENATE("AS at",Index!J5,"/",Index!J6,"/",Index!J7)</f>
        <v>AS at31/12/2024</v>
      </c>
      <c r="D12" s="293"/>
      <c r="E12" s="410" t="str">
        <f>+M12</f>
        <v>At31/12/2024</v>
      </c>
      <c r="F12" s="293"/>
      <c r="G12" s="411" t="s">
        <v>246</v>
      </c>
      <c r="H12" s="293"/>
      <c r="I12" s="411" t="s">
        <v>246</v>
      </c>
      <c r="J12" s="412"/>
      <c r="K12" s="410" t="str">
        <f>S12</f>
        <v>At01/01/2024</v>
      </c>
      <c r="L12" s="412"/>
      <c r="M12" s="410" t="str">
        <f>CONCATENATE("At",Index!J5,"/",Index!J6,"/",Index!J7)</f>
        <v>At31/12/2024</v>
      </c>
      <c r="N12" s="293"/>
      <c r="O12" s="369" t="s">
        <v>245</v>
      </c>
      <c r="P12" s="293"/>
      <c r="Q12" s="369" t="s">
        <v>245</v>
      </c>
      <c r="R12" s="293"/>
      <c r="S12" s="413" t="str">
        <f>CONCATENATE("At",Index!K5,"/",Index!K6,"/",Index!K7)</f>
        <v>At01/01/2024</v>
      </c>
      <c r="T12" s="412"/>
      <c r="U12" s="369"/>
      <c r="W12" s="323"/>
      <c r="X12" s="323"/>
    </row>
    <row r="13" spans="1:16363" x14ac:dyDescent="0.45">
      <c r="A13" s="320">
        <f t="shared" ref="A13:A14" si="0">S13-K13</f>
        <v>0</v>
      </c>
      <c r="B13" s="317"/>
      <c r="C13" s="281">
        <f>M13-E13</f>
        <v>0</v>
      </c>
      <c r="D13" s="315"/>
      <c r="E13" s="281">
        <f t="shared" ref="E13:E14" si="1">K13+I13-G13</f>
        <v>0</v>
      </c>
      <c r="F13" s="315"/>
      <c r="G13" s="281">
        <v>0</v>
      </c>
      <c r="H13" s="315"/>
      <c r="I13" s="344">
        <v>0</v>
      </c>
      <c r="J13" s="315"/>
      <c r="K13" s="344">
        <v>0</v>
      </c>
      <c r="L13" s="315"/>
      <c r="M13" s="281">
        <f>S13+Q13-O13</f>
        <v>0</v>
      </c>
      <c r="N13" s="315"/>
      <c r="O13" s="281">
        <v>0</v>
      </c>
      <c r="P13" s="315"/>
      <c r="Q13" s="344">
        <v>0</v>
      </c>
      <c r="R13" s="315"/>
      <c r="S13" s="281">
        <v>0</v>
      </c>
      <c r="T13" s="412"/>
      <c r="U13" s="291"/>
      <c r="W13" s="323"/>
      <c r="X13" s="414"/>
    </row>
    <row r="14" spans="1:16363" x14ac:dyDescent="0.45">
      <c r="A14" s="320">
        <f t="shared" si="0"/>
        <v>0</v>
      </c>
      <c r="B14" s="317"/>
      <c r="C14" s="281">
        <f>M14-E14</f>
        <v>0</v>
      </c>
      <c r="D14" s="315"/>
      <c r="E14" s="281">
        <f t="shared" si="1"/>
        <v>0</v>
      </c>
      <c r="F14" s="315"/>
      <c r="G14" s="344">
        <v>0</v>
      </c>
      <c r="H14" s="315"/>
      <c r="I14" s="344">
        <v>0</v>
      </c>
      <c r="J14" s="315"/>
      <c r="K14" s="344">
        <v>0</v>
      </c>
      <c r="L14" s="315"/>
      <c r="M14" s="281">
        <f>S14+Q14-O14</f>
        <v>0</v>
      </c>
      <c r="N14" s="315"/>
      <c r="O14" s="281">
        <v>0</v>
      </c>
      <c r="P14" s="315"/>
      <c r="Q14" s="344">
        <v>0</v>
      </c>
      <c r="R14" s="315"/>
      <c r="S14" s="281">
        <v>0</v>
      </c>
      <c r="T14" s="412"/>
      <c r="U14" s="415"/>
      <c r="W14" s="323"/>
      <c r="X14" s="323"/>
    </row>
    <row r="15" spans="1:16363" ht="22.5" thickBot="1" x14ac:dyDescent="0.25">
      <c r="A15" s="303">
        <f>SUM(A13:A14)</f>
        <v>0</v>
      </c>
      <c r="B15" s="317"/>
      <c r="C15" s="303">
        <f>SUM(C13:C14)</f>
        <v>0</v>
      </c>
      <c r="D15" s="315"/>
      <c r="E15" s="303">
        <f>SUM(E13:E14)</f>
        <v>0</v>
      </c>
      <c r="F15" s="417">
        <f>SUM(F13:F14)</f>
        <v>0</v>
      </c>
      <c r="G15" s="303">
        <f>SUM(G13:G14)</f>
        <v>0</v>
      </c>
      <c r="H15" s="417">
        <f>SUM(H13:H14)</f>
        <v>0</v>
      </c>
      <c r="I15" s="303">
        <f>SUM(I13:I14)</f>
        <v>0</v>
      </c>
      <c r="J15" s="315"/>
      <c r="K15" s="303">
        <f>SUM(K13:K14)</f>
        <v>0</v>
      </c>
      <c r="L15" s="315"/>
      <c r="M15" s="303">
        <f>SUM(M13:M14)</f>
        <v>0</v>
      </c>
      <c r="N15" s="315"/>
      <c r="O15" s="303">
        <f>SUM(O13:O14)</f>
        <v>0</v>
      </c>
      <c r="P15" s="315"/>
      <c r="Q15" s="303">
        <f>SUM(Q13:Q14)</f>
        <v>0</v>
      </c>
      <c r="R15" s="315"/>
      <c r="S15" s="303">
        <f>SUM(S13:S14)</f>
        <v>0</v>
      </c>
      <c r="U15" s="284" t="s">
        <v>214</v>
      </c>
      <c r="W15" s="418"/>
    </row>
    <row r="16" spans="1:16363" ht="22.5" thickTop="1" x14ac:dyDescent="0.2">
      <c r="A16" s="320"/>
      <c r="B16" s="317"/>
      <c r="C16" s="320"/>
      <c r="D16" s="315"/>
      <c r="E16" s="320"/>
      <c r="F16" s="295"/>
      <c r="G16" s="320"/>
      <c r="H16" s="295"/>
      <c r="I16" s="320"/>
      <c r="J16" s="315"/>
      <c r="K16" s="320"/>
      <c r="L16" s="315"/>
      <c r="M16" s="320"/>
      <c r="N16" s="315"/>
      <c r="O16" s="320"/>
      <c r="P16" s="315"/>
      <c r="Q16" s="320"/>
      <c r="R16" s="315"/>
      <c r="S16" s="320"/>
      <c r="U16" s="317"/>
      <c r="W16" s="418"/>
    </row>
    <row r="17" spans="1:23" x14ac:dyDescent="0.2">
      <c r="A17" s="320"/>
      <c r="B17" s="317"/>
      <c r="C17" s="320"/>
      <c r="D17" s="315"/>
      <c r="E17" s="320"/>
      <c r="F17" s="295"/>
      <c r="G17" s="320"/>
      <c r="H17" s="295"/>
      <c r="I17" s="320"/>
      <c r="J17" s="315"/>
      <c r="K17" s="320"/>
      <c r="L17" s="315"/>
      <c r="M17" s="320"/>
      <c r="N17" s="315"/>
      <c r="O17" s="320"/>
      <c r="P17" s="315"/>
      <c r="Q17" s="320"/>
      <c r="R17" s="315"/>
      <c r="S17" s="320"/>
      <c r="U17" s="317"/>
      <c r="W17" s="418"/>
    </row>
    <row r="18" spans="1:23" hidden="1" x14ac:dyDescent="0.2">
      <c r="A18" s="320"/>
      <c r="B18" s="317"/>
      <c r="C18" s="320"/>
      <c r="D18" s="315"/>
      <c r="E18" s="320"/>
      <c r="F18" s="295"/>
      <c r="G18" s="320"/>
      <c r="H18" s="295"/>
      <c r="I18" s="320"/>
      <c r="J18" s="315"/>
      <c r="K18" s="320"/>
      <c r="L18" s="315"/>
      <c r="M18" s="320"/>
      <c r="N18" s="315"/>
      <c r="O18" s="320"/>
      <c r="P18" s="315"/>
      <c r="Q18" s="320"/>
      <c r="R18" s="315"/>
      <c r="S18" s="320"/>
      <c r="U18" s="317"/>
      <c r="W18" s="418"/>
    </row>
    <row r="19" spans="1:23" hidden="1" x14ac:dyDescent="0.2">
      <c r="A19" s="320"/>
      <c r="B19" s="317"/>
      <c r="C19" s="320"/>
      <c r="D19" s="315"/>
      <c r="E19" s="320"/>
      <c r="F19" s="295"/>
      <c r="G19" s="320"/>
      <c r="H19" s="295"/>
      <c r="I19" s="320"/>
      <c r="J19" s="315"/>
      <c r="K19" s="320"/>
      <c r="L19" s="315"/>
      <c r="M19" s="320"/>
      <c r="N19" s="315"/>
      <c r="O19" s="320"/>
      <c r="P19" s="315"/>
      <c r="Q19" s="320"/>
      <c r="R19" s="315"/>
      <c r="S19" s="320"/>
      <c r="U19" s="317"/>
      <c r="W19" s="418"/>
    </row>
    <row r="20" spans="1:23" hidden="1" x14ac:dyDescent="0.2">
      <c r="A20" s="320"/>
      <c r="B20" s="317"/>
      <c r="C20" s="320"/>
      <c r="D20" s="315"/>
      <c r="E20" s="320"/>
      <c r="F20" s="295"/>
      <c r="G20" s="320"/>
      <c r="H20" s="295"/>
      <c r="I20" s="320"/>
      <c r="J20" s="315"/>
      <c r="K20" s="320"/>
      <c r="L20" s="315"/>
      <c r="M20" s="320"/>
      <c r="N20" s="315"/>
      <c r="O20" s="320"/>
      <c r="P20" s="315"/>
      <c r="Q20" s="320"/>
      <c r="R20" s="315"/>
      <c r="S20" s="320"/>
      <c r="U20" s="317"/>
      <c r="W20" s="418"/>
    </row>
    <row r="21" spans="1:23" hidden="1" x14ac:dyDescent="0.2">
      <c r="A21" s="320"/>
      <c r="B21" s="317"/>
      <c r="C21" s="320"/>
      <c r="D21" s="315"/>
      <c r="E21" s="320"/>
      <c r="F21" s="295"/>
      <c r="G21" s="320"/>
      <c r="H21" s="295"/>
      <c r="I21" s="320"/>
      <c r="J21" s="315"/>
      <c r="K21" s="320"/>
      <c r="L21" s="315"/>
      <c r="M21" s="320"/>
      <c r="N21" s="315"/>
      <c r="O21" s="320"/>
      <c r="P21" s="315"/>
      <c r="Q21" s="320"/>
      <c r="R21" s="315"/>
      <c r="S21" s="320"/>
      <c r="U21" s="317"/>
      <c r="W21" s="418"/>
    </row>
    <row r="22" spans="1:23" hidden="1" x14ac:dyDescent="0.2">
      <c r="A22" s="320"/>
      <c r="B22" s="317"/>
      <c r="C22" s="320"/>
      <c r="D22" s="315"/>
      <c r="E22" s="320"/>
      <c r="F22" s="295"/>
      <c r="G22" s="320"/>
      <c r="H22" s="295"/>
      <c r="I22" s="320"/>
      <c r="J22" s="315"/>
      <c r="K22" s="320"/>
      <c r="L22" s="315"/>
      <c r="M22" s="320"/>
      <c r="N22" s="315"/>
      <c r="O22" s="320"/>
      <c r="P22" s="315"/>
      <c r="Q22" s="320"/>
      <c r="R22" s="315"/>
      <c r="S22" s="320"/>
      <c r="U22" s="317"/>
      <c r="W22" s="418"/>
    </row>
    <row r="23" spans="1:23" hidden="1" x14ac:dyDescent="0.2">
      <c r="A23" s="320"/>
      <c r="B23" s="317"/>
      <c r="C23" s="320"/>
      <c r="D23" s="315"/>
      <c r="E23" s="320"/>
      <c r="F23" s="295"/>
      <c r="G23" s="320"/>
      <c r="H23" s="295"/>
      <c r="I23" s="320"/>
      <c r="J23" s="315"/>
      <c r="K23" s="320"/>
      <c r="L23" s="315"/>
      <c r="M23" s="320"/>
      <c r="N23" s="315"/>
      <c r="O23" s="320"/>
      <c r="P23" s="315"/>
      <c r="Q23" s="320"/>
      <c r="R23" s="315"/>
      <c r="S23" s="320"/>
      <c r="U23" s="317"/>
      <c r="W23" s="418"/>
    </row>
    <row r="24" spans="1:23" hidden="1" x14ac:dyDescent="0.2">
      <c r="A24" s="320"/>
      <c r="B24" s="317"/>
      <c r="C24" s="320"/>
      <c r="D24" s="315"/>
      <c r="E24" s="320"/>
      <c r="F24" s="295"/>
      <c r="G24" s="320"/>
      <c r="H24" s="295"/>
      <c r="I24" s="320"/>
      <c r="J24" s="315"/>
      <c r="K24" s="320"/>
      <c r="L24" s="315"/>
      <c r="M24" s="320"/>
      <c r="N24" s="315"/>
      <c r="O24" s="320"/>
      <c r="P24" s="315"/>
      <c r="Q24" s="320"/>
      <c r="R24" s="315"/>
      <c r="S24" s="320"/>
      <c r="U24" s="317"/>
      <c r="W24" s="418"/>
    </row>
    <row r="25" spans="1:23" hidden="1" x14ac:dyDescent="0.2">
      <c r="A25" s="320"/>
      <c r="B25" s="317"/>
      <c r="C25" s="320"/>
      <c r="D25" s="315"/>
      <c r="E25" s="320"/>
      <c r="F25" s="295"/>
      <c r="G25" s="320"/>
      <c r="H25" s="295"/>
      <c r="I25" s="320"/>
      <c r="J25" s="315"/>
      <c r="K25" s="320"/>
      <c r="L25" s="315"/>
      <c r="M25" s="320"/>
      <c r="N25" s="315"/>
      <c r="O25" s="320"/>
      <c r="P25" s="315"/>
      <c r="Q25" s="320"/>
      <c r="R25" s="315"/>
      <c r="S25" s="320"/>
      <c r="U25" s="317"/>
      <c r="W25" s="418"/>
    </row>
    <row r="26" spans="1:23" hidden="1" x14ac:dyDescent="0.2">
      <c r="A26" s="320"/>
      <c r="B26" s="317"/>
      <c r="C26" s="320"/>
      <c r="D26" s="315"/>
      <c r="E26" s="320"/>
      <c r="F26" s="295"/>
      <c r="G26" s="320"/>
      <c r="H26" s="295"/>
      <c r="I26" s="320"/>
      <c r="J26" s="315"/>
      <c r="K26" s="320"/>
      <c r="L26" s="315"/>
      <c r="M26" s="320"/>
      <c r="N26" s="315"/>
      <c r="O26" s="320"/>
      <c r="P26" s="315"/>
      <c r="Q26" s="320"/>
      <c r="R26" s="315"/>
      <c r="S26" s="320"/>
      <c r="U26" s="317"/>
      <c r="W26" s="418"/>
    </row>
    <row r="27" spans="1:23" hidden="1" x14ac:dyDescent="0.2">
      <c r="A27" s="320"/>
      <c r="B27" s="317"/>
      <c r="C27" s="320"/>
      <c r="D27" s="315"/>
      <c r="E27" s="320"/>
      <c r="F27" s="295"/>
      <c r="G27" s="320"/>
      <c r="H27" s="295"/>
      <c r="I27" s="320"/>
      <c r="J27" s="315"/>
      <c r="K27" s="320"/>
      <c r="L27" s="315"/>
      <c r="M27" s="320"/>
      <c r="N27" s="315"/>
      <c r="O27" s="320"/>
      <c r="P27" s="315"/>
      <c r="Q27" s="320"/>
      <c r="R27" s="315"/>
      <c r="S27" s="320"/>
      <c r="U27" s="317"/>
      <c r="W27" s="418"/>
    </row>
    <row r="28" spans="1:23" hidden="1" x14ac:dyDescent="0.2">
      <c r="A28" s="320"/>
      <c r="B28" s="317"/>
      <c r="C28" s="320"/>
      <c r="D28" s="315"/>
      <c r="E28" s="320"/>
      <c r="F28" s="295"/>
      <c r="G28" s="320"/>
      <c r="H28" s="295"/>
      <c r="I28" s="320"/>
      <c r="J28" s="315"/>
      <c r="K28" s="320"/>
      <c r="L28" s="315"/>
      <c r="M28" s="320"/>
      <c r="N28" s="315"/>
      <c r="O28" s="320"/>
      <c r="P28" s="315"/>
      <c r="Q28" s="320"/>
      <c r="R28" s="315"/>
      <c r="S28" s="320"/>
      <c r="U28" s="317"/>
      <c r="W28" s="418"/>
    </row>
    <row r="29" spans="1:23" hidden="1" x14ac:dyDescent="0.2">
      <c r="A29" s="320"/>
      <c r="B29" s="317"/>
      <c r="C29" s="320"/>
      <c r="D29" s="315"/>
      <c r="E29" s="320"/>
      <c r="F29" s="295"/>
      <c r="G29" s="320"/>
      <c r="H29" s="295"/>
      <c r="I29" s="320"/>
      <c r="J29" s="315"/>
      <c r="K29" s="320"/>
      <c r="L29" s="315"/>
      <c r="M29" s="320"/>
      <c r="N29" s="315"/>
      <c r="O29" s="320"/>
      <c r="P29" s="315"/>
      <c r="Q29" s="320"/>
      <c r="R29" s="315"/>
      <c r="S29" s="320"/>
      <c r="U29" s="317"/>
      <c r="W29" s="418"/>
    </row>
    <row r="30" spans="1:23" hidden="1" x14ac:dyDescent="0.2">
      <c r="A30" s="320"/>
      <c r="B30" s="317"/>
      <c r="C30" s="320"/>
      <c r="D30" s="315"/>
      <c r="E30" s="320"/>
      <c r="F30" s="295"/>
      <c r="G30" s="320"/>
      <c r="H30" s="295"/>
      <c r="I30" s="320"/>
      <c r="J30" s="315"/>
      <c r="K30" s="320"/>
      <c r="L30" s="315"/>
      <c r="M30" s="320"/>
      <c r="N30" s="315"/>
      <c r="O30" s="320"/>
      <c r="P30" s="315"/>
      <c r="Q30" s="320"/>
      <c r="R30" s="315"/>
      <c r="S30" s="320"/>
      <c r="U30" s="317"/>
      <c r="W30" s="418"/>
    </row>
    <row r="31" spans="1:23" hidden="1" x14ac:dyDescent="0.2">
      <c r="A31" s="320"/>
      <c r="B31" s="317"/>
      <c r="C31" s="320"/>
      <c r="D31" s="315"/>
      <c r="E31" s="320"/>
      <c r="F31" s="295"/>
      <c r="G31" s="320"/>
      <c r="H31" s="295"/>
      <c r="I31" s="320"/>
      <c r="J31" s="315"/>
      <c r="K31" s="320"/>
      <c r="L31" s="315"/>
      <c r="M31" s="320"/>
      <c r="N31" s="315"/>
      <c r="O31" s="320"/>
      <c r="P31" s="315"/>
      <c r="Q31" s="320"/>
      <c r="R31" s="315"/>
      <c r="S31" s="320"/>
      <c r="U31" s="317"/>
      <c r="W31" s="418"/>
    </row>
    <row r="32" spans="1:23" hidden="1" x14ac:dyDescent="0.2">
      <c r="A32" s="320"/>
      <c r="B32" s="317"/>
      <c r="C32" s="320"/>
      <c r="D32" s="315"/>
      <c r="E32" s="320"/>
      <c r="F32" s="295"/>
      <c r="G32" s="320"/>
      <c r="H32" s="295"/>
      <c r="I32" s="320"/>
      <c r="J32" s="315"/>
      <c r="K32" s="320"/>
      <c r="L32" s="315"/>
      <c r="M32" s="320"/>
      <c r="N32" s="315"/>
      <c r="O32" s="320"/>
      <c r="P32" s="315"/>
      <c r="Q32" s="320"/>
      <c r="R32" s="315"/>
      <c r="S32" s="320"/>
      <c r="U32" s="317"/>
      <c r="W32" s="418"/>
    </row>
    <row r="33" spans="1:24" hidden="1" x14ac:dyDescent="0.2">
      <c r="A33" s="320"/>
      <c r="B33" s="317"/>
      <c r="C33" s="320"/>
      <c r="D33" s="315"/>
      <c r="E33" s="320"/>
      <c r="F33" s="295"/>
      <c r="G33" s="320"/>
      <c r="H33" s="295"/>
      <c r="I33" s="320"/>
      <c r="J33" s="315"/>
      <c r="K33" s="320"/>
      <c r="L33" s="315"/>
      <c r="M33" s="320"/>
      <c r="N33" s="315"/>
      <c r="O33" s="320"/>
      <c r="P33" s="315"/>
      <c r="Q33" s="320"/>
      <c r="R33" s="315"/>
      <c r="S33" s="320"/>
      <c r="U33" s="317"/>
      <c r="W33" s="418"/>
    </row>
    <row r="34" spans="1:24" hidden="1" x14ac:dyDescent="0.2">
      <c r="A34" s="320"/>
      <c r="B34" s="317"/>
      <c r="C34" s="320"/>
      <c r="D34" s="315"/>
      <c r="E34" s="320"/>
      <c r="F34" s="295"/>
      <c r="G34" s="320"/>
      <c r="H34" s="295"/>
      <c r="I34" s="320"/>
      <c r="J34" s="315"/>
      <c r="K34" s="320"/>
      <c r="L34" s="315"/>
      <c r="M34" s="320"/>
      <c r="N34" s="315"/>
      <c r="O34" s="320"/>
      <c r="P34" s="315"/>
      <c r="Q34" s="320"/>
      <c r="R34" s="315"/>
      <c r="S34" s="320"/>
      <c r="U34" s="317"/>
      <c r="W34" s="418"/>
    </row>
    <row r="35" spans="1:24" hidden="1" x14ac:dyDescent="0.2">
      <c r="A35" s="320"/>
      <c r="B35" s="317"/>
      <c r="C35" s="320"/>
      <c r="D35" s="315"/>
      <c r="E35" s="320"/>
      <c r="F35" s="295"/>
      <c r="G35" s="320"/>
      <c r="H35" s="295"/>
      <c r="I35" s="320"/>
      <c r="J35" s="315"/>
      <c r="K35" s="320"/>
      <c r="L35" s="315"/>
      <c r="M35" s="320"/>
      <c r="N35" s="315"/>
      <c r="O35" s="320"/>
      <c r="P35" s="315"/>
      <c r="Q35" s="320"/>
      <c r="R35" s="315"/>
      <c r="S35" s="320"/>
      <c r="U35" s="317"/>
      <c r="W35" s="418"/>
    </row>
    <row r="36" spans="1:24" hidden="1" x14ac:dyDescent="0.2">
      <c r="A36" s="320"/>
      <c r="B36" s="317"/>
      <c r="C36" s="320"/>
      <c r="D36" s="315"/>
      <c r="E36" s="320"/>
      <c r="F36" s="295"/>
      <c r="G36" s="320"/>
      <c r="H36" s="295"/>
      <c r="I36" s="320"/>
      <c r="J36" s="315"/>
      <c r="K36" s="320"/>
      <c r="L36" s="315"/>
      <c r="M36" s="320"/>
      <c r="N36" s="315"/>
      <c r="O36" s="320"/>
      <c r="P36" s="315"/>
      <c r="Q36" s="320"/>
      <c r="R36" s="315"/>
      <c r="S36" s="320"/>
      <c r="U36" s="317"/>
      <c r="W36" s="418"/>
    </row>
    <row r="37" spans="1:24" x14ac:dyDescent="0.2">
      <c r="B37" s="317"/>
      <c r="C37" s="399"/>
      <c r="D37" s="304"/>
      <c r="E37" s="399"/>
      <c r="F37" s="304"/>
      <c r="G37" s="281"/>
      <c r="H37" s="304"/>
      <c r="I37" s="304"/>
      <c r="J37" s="304"/>
      <c r="K37" s="304"/>
      <c r="L37" s="304"/>
      <c r="M37" s="399"/>
      <c r="N37" s="304"/>
      <c r="O37" s="315"/>
      <c r="P37" s="304"/>
      <c r="Q37" s="304"/>
      <c r="R37" s="304"/>
      <c r="S37" s="304"/>
      <c r="U37" s="288"/>
    </row>
    <row r="38" spans="1:24" ht="5.25" customHeight="1" x14ac:dyDescent="0.2">
      <c r="B38" s="317"/>
      <c r="C38" s="399"/>
      <c r="D38" s="304"/>
      <c r="E38" s="399"/>
      <c r="F38" s="304"/>
      <c r="G38" s="281"/>
      <c r="H38" s="304"/>
      <c r="I38" s="304"/>
      <c r="J38" s="304"/>
      <c r="K38" s="304"/>
      <c r="L38" s="304"/>
      <c r="M38" s="399"/>
      <c r="N38" s="304"/>
      <c r="O38" s="315"/>
      <c r="P38" s="304"/>
      <c r="Q38" s="304"/>
      <c r="R38" s="304"/>
      <c r="S38" s="304"/>
      <c r="U38" s="288"/>
    </row>
    <row r="39" spans="1:24" hidden="1" x14ac:dyDescent="0.2">
      <c r="B39" s="317"/>
      <c r="C39" s="288"/>
      <c r="D39" s="280"/>
      <c r="E39" s="288"/>
      <c r="F39" s="280"/>
      <c r="G39" s="280"/>
      <c r="H39" s="280"/>
      <c r="I39" s="280"/>
      <c r="J39" s="280"/>
      <c r="K39" s="419"/>
      <c r="L39" s="280"/>
      <c r="M39" s="288"/>
      <c r="N39" s="280"/>
      <c r="O39" s="280"/>
      <c r="P39" s="280"/>
      <c r="Q39" s="289"/>
      <c r="R39" s="289"/>
      <c r="S39" s="571" t="str">
        <f>'Balance Sheet'!K13</f>
        <v>Intangible assets</v>
      </c>
      <c r="T39" s="571"/>
      <c r="U39" s="571"/>
      <c r="V39" s="290" t="str">
        <f>'Balance Sheet'!H13&amp;"-"</f>
        <v>-</v>
      </c>
    </row>
    <row r="40" spans="1:24" hidden="1" x14ac:dyDescent="0.2">
      <c r="A40" s="280"/>
      <c r="B40" s="317"/>
      <c r="U40" s="291" t="str">
        <f xml:space="preserve"> S39&amp;" "&amp;"As at" &amp;Index!$H$5&amp;" "&amp;Index!$H$6&amp;" "&amp;" :"</f>
        <v>Intangible assets As at31 December  :</v>
      </c>
      <c r="W40" s="323"/>
      <c r="X40" s="323"/>
    </row>
    <row r="41" spans="1:24" ht="7.9" hidden="1" customHeight="1" x14ac:dyDescent="0.2">
      <c r="A41" s="280"/>
      <c r="B41" s="317"/>
      <c r="W41" s="416"/>
      <c r="X41" s="323"/>
    </row>
    <row r="42" spans="1:24" hidden="1" x14ac:dyDescent="0.2">
      <c r="A42" s="408" t="str">
        <f>+A11</f>
        <v>Net book amounts</v>
      </c>
      <c r="B42" s="317">
        <f>+B11</f>
        <v>0</v>
      </c>
      <c r="C42" s="408" t="str">
        <f>+C11</f>
        <v>Net book amounts</v>
      </c>
      <c r="D42" s="293">
        <f>+D11</f>
        <v>0</v>
      </c>
      <c r="E42" s="408" t="s">
        <v>252</v>
      </c>
      <c r="F42" s="293">
        <f>+F11</f>
        <v>0</v>
      </c>
      <c r="G42" s="293" t="str">
        <f>+G11</f>
        <v xml:space="preserve">Disposals </v>
      </c>
      <c r="H42" s="293">
        <f>+H11</f>
        <v>0</v>
      </c>
      <c r="I42" s="293" t="s">
        <v>251</v>
      </c>
      <c r="J42" s="293">
        <f>+J11</f>
        <v>0</v>
      </c>
      <c r="K42" s="408" t="s">
        <v>252</v>
      </c>
      <c r="L42" s="293">
        <f t="shared" ref="L42:S42" si="2">+L11</f>
        <v>0</v>
      </c>
      <c r="M42" s="317" t="str">
        <f t="shared" si="2"/>
        <v>Cost As</v>
      </c>
      <c r="N42" s="293">
        <f t="shared" si="2"/>
        <v>0</v>
      </c>
      <c r="O42" s="293" t="str">
        <f t="shared" si="2"/>
        <v xml:space="preserve">Disposals </v>
      </c>
      <c r="P42" s="293">
        <f t="shared" si="2"/>
        <v>0</v>
      </c>
      <c r="Q42" s="293" t="str">
        <f t="shared" si="2"/>
        <v>Additions</v>
      </c>
      <c r="R42" s="293">
        <f t="shared" si="2"/>
        <v>0</v>
      </c>
      <c r="S42" s="293" t="str">
        <f t="shared" si="2"/>
        <v>Cost As</v>
      </c>
      <c r="T42" s="293"/>
      <c r="U42" s="293"/>
      <c r="W42" s="323" t="s">
        <v>251</v>
      </c>
      <c r="X42" s="323"/>
    </row>
    <row r="43" spans="1:24" ht="25.9" hidden="1" customHeight="1" x14ac:dyDescent="0.2">
      <c r="A43" s="409" t="str">
        <f>A12</f>
        <v>AS at31/12/2023</v>
      </c>
      <c r="B43" s="317"/>
      <c r="C43" s="409" t="str">
        <f>C12</f>
        <v>AS at31/12/2024</v>
      </c>
      <c r="D43" s="293"/>
      <c r="E43" s="409" t="str">
        <f>E12</f>
        <v>At31/12/2024</v>
      </c>
      <c r="F43" s="293"/>
      <c r="G43" s="411" t="str">
        <f>+G12</f>
        <v>Year</v>
      </c>
      <c r="H43" s="411"/>
      <c r="I43" s="411" t="str">
        <f>+I12</f>
        <v>Year</v>
      </c>
      <c r="J43" s="412"/>
      <c r="K43" s="411" t="str">
        <f>K12</f>
        <v>At01/01/2024</v>
      </c>
      <c r="L43" s="412"/>
      <c r="M43" s="409" t="str">
        <f>M12</f>
        <v>At31/12/2024</v>
      </c>
      <c r="N43" s="293"/>
      <c r="O43" s="369" t="str">
        <f>+O12</f>
        <v>For Year</v>
      </c>
      <c r="P43" s="293"/>
      <c r="Q43" s="369" t="str">
        <f>+Q12</f>
        <v>For Year</v>
      </c>
      <c r="R43" s="293"/>
      <c r="S43" s="411" t="str">
        <f>S12</f>
        <v>At01/01/2024</v>
      </c>
      <c r="T43" s="412"/>
      <c r="U43" s="369"/>
      <c r="W43" s="323"/>
      <c r="X43" s="323"/>
    </row>
    <row r="44" spans="1:24" hidden="1" x14ac:dyDescent="0.45">
      <c r="A44" s="420">
        <f>S44-K44</f>
        <v>0</v>
      </c>
      <c r="B44" s="317"/>
      <c r="C44" s="421">
        <f t="shared" ref="C44" si="3">M44-E44</f>
        <v>0</v>
      </c>
      <c r="D44" s="315"/>
      <c r="E44" s="421">
        <f t="shared" ref="E44" si="4">K44+I44-G44</f>
        <v>0</v>
      </c>
      <c r="F44" s="315"/>
      <c r="G44" s="421"/>
      <c r="H44" s="315"/>
      <c r="I44" s="421"/>
      <c r="J44" s="315"/>
      <c r="K44" s="421"/>
      <c r="L44" s="315"/>
      <c r="M44" s="421">
        <f t="shared" ref="M44" si="5">S44+Q44-O44</f>
        <v>0</v>
      </c>
      <c r="N44" s="315"/>
      <c r="O44" s="421"/>
      <c r="P44" s="315"/>
      <c r="Q44" s="421"/>
      <c r="R44" s="315"/>
      <c r="S44" s="421"/>
      <c r="T44" s="412"/>
      <c r="W44" s="323"/>
      <c r="X44" s="414"/>
    </row>
    <row r="45" spans="1:24" hidden="1" x14ac:dyDescent="0.45">
      <c r="A45" s="420"/>
      <c r="B45" s="317"/>
      <c r="C45" s="421"/>
      <c r="D45" s="315"/>
      <c r="E45" s="421"/>
      <c r="F45" s="315"/>
      <c r="G45" s="421"/>
      <c r="H45" s="315"/>
      <c r="I45" s="421"/>
      <c r="J45" s="315"/>
      <c r="K45" s="421"/>
      <c r="L45" s="315"/>
      <c r="M45" s="421"/>
      <c r="N45" s="315"/>
      <c r="O45" s="421"/>
      <c r="P45" s="315"/>
      <c r="Q45" s="421"/>
      <c r="R45" s="315"/>
      <c r="S45" s="421"/>
      <c r="T45" s="412"/>
      <c r="W45" s="323"/>
      <c r="X45" s="323"/>
    </row>
    <row r="46" spans="1:24" ht="22.5" hidden="1" thickBot="1" x14ac:dyDescent="0.25">
      <c r="A46" s="303">
        <f>SUM(A44)</f>
        <v>0</v>
      </c>
      <c r="B46" s="317"/>
      <c r="C46" s="303">
        <f>SUM(C44)</f>
        <v>0</v>
      </c>
      <c r="D46" s="315"/>
      <c r="E46" s="303">
        <f>SUM(E44:E45)</f>
        <v>0</v>
      </c>
      <c r="F46" s="417"/>
      <c r="G46" s="303">
        <f>SUM(G44:G45)</f>
        <v>0</v>
      </c>
      <c r="H46" s="417"/>
      <c r="I46" s="303">
        <f>SUM(I44:I45)</f>
        <v>0</v>
      </c>
      <c r="J46" s="315"/>
      <c r="K46" s="303">
        <f>SUM(K44:K45)</f>
        <v>0</v>
      </c>
      <c r="L46" s="315"/>
      <c r="M46" s="303">
        <f>SUM(M44:M45)</f>
        <v>0</v>
      </c>
      <c r="N46" s="315"/>
      <c r="O46" s="303">
        <f>SUM(O44:O45)</f>
        <v>0</v>
      </c>
      <c r="P46" s="315"/>
      <c r="Q46" s="303">
        <f>SUM(Q44:Q45)</f>
        <v>0</v>
      </c>
      <c r="R46" s="315" t="e">
        <f>SUM(#REF!)</f>
        <v>#REF!</v>
      </c>
      <c r="S46" s="303">
        <f>SUM(S44:S45)</f>
        <v>0</v>
      </c>
      <c r="U46" s="317" t="s">
        <v>214</v>
      </c>
    </row>
    <row r="47" spans="1:24" ht="15.6" hidden="1" customHeight="1" thickTop="1" x14ac:dyDescent="0.2">
      <c r="A47" s="295"/>
      <c r="B47" s="317"/>
      <c r="C47" s="295"/>
      <c r="D47" s="295"/>
      <c r="E47" s="295"/>
      <c r="F47" s="295"/>
      <c r="G47" s="295"/>
      <c r="H47" s="295"/>
      <c r="I47" s="422"/>
      <c r="J47" s="295"/>
      <c r="K47" s="295"/>
      <c r="L47" s="295"/>
      <c r="M47" s="295"/>
      <c r="N47" s="295"/>
      <c r="O47" s="295"/>
      <c r="P47" s="295"/>
      <c r="Q47" s="295"/>
      <c r="R47" s="295"/>
      <c r="S47" s="295"/>
      <c r="U47" s="288"/>
    </row>
    <row r="48" spans="1:24" ht="21" hidden="1" customHeight="1" x14ac:dyDescent="0.2">
      <c r="B48" s="317"/>
      <c r="C48" s="288"/>
      <c r="D48" s="280"/>
      <c r="E48" s="288"/>
      <c r="F48" s="280"/>
      <c r="G48" s="280"/>
      <c r="H48" s="280"/>
      <c r="I48" s="280"/>
      <c r="J48" s="280"/>
      <c r="K48" s="419"/>
      <c r="L48" s="280"/>
      <c r="M48" s="288"/>
      <c r="N48" s="280"/>
      <c r="O48" s="280"/>
      <c r="P48" s="280"/>
      <c r="Q48" s="289"/>
      <c r="R48" s="289"/>
      <c r="S48" s="571" t="str">
        <f>'Balance Sheet'!K14&amp;":"</f>
        <v>Leasing  Assets  (net):</v>
      </c>
      <c r="T48" s="571"/>
      <c r="U48" s="571"/>
      <c r="V48" s="334" t="str">
        <f>'Balance Sheet'!H14&amp;"-"</f>
        <v>-</v>
      </c>
    </row>
    <row r="49" spans="1:24" hidden="1" x14ac:dyDescent="0.2">
      <c r="A49" s="280"/>
      <c r="B49" s="317"/>
      <c r="U49" s="291" t="str">
        <f xml:space="preserve"> S48&amp;" "&amp;"As at" &amp;Index!$H$5&amp;" "&amp;Index!$H$6&amp;" "&amp;" :"</f>
        <v>Leasing  Assets  (net): As at31 December  :</v>
      </c>
      <c r="W49" s="323"/>
      <c r="X49" s="323"/>
    </row>
    <row r="50" spans="1:24" ht="16.5" hidden="1" customHeight="1" x14ac:dyDescent="0.2">
      <c r="A50" s="280"/>
      <c r="B50" s="317"/>
      <c r="W50" s="416"/>
      <c r="X50" s="323"/>
    </row>
    <row r="51" spans="1:24" hidden="1" x14ac:dyDescent="0.2">
      <c r="A51" s="408" t="str">
        <f t="shared" ref="A51:S51" si="6">+A11</f>
        <v>Net book amounts</v>
      </c>
      <c r="B51" s="317">
        <f t="shared" si="6"/>
        <v>0</v>
      </c>
      <c r="C51" s="408" t="str">
        <f t="shared" si="6"/>
        <v>Net book amounts</v>
      </c>
      <c r="D51" s="293">
        <f t="shared" si="6"/>
        <v>0</v>
      </c>
      <c r="E51" s="408" t="str">
        <f t="shared" si="6"/>
        <v xml:space="preserve">Accum depreciation </v>
      </c>
      <c r="F51" s="293">
        <f t="shared" si="6"/>
        <v>0</v>
      </c>
      <c r="G51" s="293" t="str">
        <f t="shared" si="6"/>
        <v xml:space="preserve">Disposals </v>
      </c>
      <c r="H51" s="293">
        <f t="shared" si="6"/>
        <v>0</v>
      </c>
      <c r="I51" s="293" t="str">
        <f t="shared" si="6"/>
        <v xml:space="preserve">depreciation </v>
      </c>
      <c r="J51" s="293">
        <f t="shared" si="6"/>
        <v>0</v>
      </c>
      <c r="K51" s="408" t="str">
        <f t="shared" si="6"/>
        <v xml:space="preserve">Accum depreciation </v>
      </c>
      <c r="L51" s="293">
        <f t="shared" si="6"/>
        <v>0</v>
      </c>
      <c r="M51" s="317" t="str">
        <f t="shared" si="6"/>
        <v>Cost As</v>
      </c>
      <c r="N51" s="293">
        <f t="shared" si="6"/>
        <v>0</v>
      </c>
      <c r="O51" s="293" t="str">
        <f t="shared" si="6"/>
        <v xml:space="preserve">Disposals </v>
      </c>
      <c r="P51" s="293">
        <f t="shared" si="6"/>
        <v>0</v>
      </c>
      <c r="Q51" s="293" t="str">
        <f t="shared" si="6"/>
        <v>Additions</v>
      </c>
      <c r="R51" s="293">
        <f t="shared" si="6"/>
        <v>0</v>
      </c>
      <c r="S51" s="317" t="str">
        <f t="shared" si="6"/>
        <v>Cost As</v>
      </c>
      <c r="T51" s="293"/>
      <c r="U51" s="293"/>
      <c r="W51" s="323"/>
      <c r="X51" s="323"/>
    </row>
    <row r="52" spans="1:24" hidden="1" x14ac:dyDescent="0.2">
      <c r="A52" s="409" t="str">
        <f>+A12</f>
        <v>AS at31/12/2023</v>
      </c>
      <c r="B52" s="317"/>
      <c r="C52" s="409" t="str">
        <f>+C12</f>
        <v>AS at31/12/2024</v>
      </c>
      <c r="D52" s="293"/>
      <c r="E52" s="409" t="str">
        <f>+E12</f>
        <v>At31/12/2024</v>
      </c>
      <c r="F52" s="293"/>
      <c r="G52" s="411" t="str">
        <f>+G12</f>
        <v>Year</v>
      </c>
      <c r="H52" s="411"/>
      <c r="I52" s="411" t="str">
        <f>+I12</f>
        <v>Year</v>
      </c>
      <c r="J52" s="412"/>
      <c r="K52" s="411" t="str">
        <f>+K12</f>
        <v>At01/01/2024</v>
      </c>
      <c r="L52" s="412"/>
      <c r="M52" s="409" t="str">
        <f>+M12</f>
        <v>At31/12/2024</v>
      </c>
      <c r="N52" s="293"/>
      <c r="O52" s="369" t="str">
        <f>+O12</f>
        <v>For Year</v>
      </c>
      <c r="P52" s="293"/>
      <c r="Q52" s="369" t="str">
        <f>+Q12</f>
        <v>For Year</v>
      </c>
      <c r="R52" s="293"/>
      <c r="S52" s="411" t="str">
        <f>+S12</f>
        <v>At01/01/2024</v>
      </c>
      <c r="T52" s="412"/>
      <c r="U52" s="369"/>
      <c r="W52" s="323"/>
      <c r="X52" s="323"/>
    </row>
    <row r="53" spans="1:24" hidden="1" x14ac:dyDescent="0.45">
      <c r="A53" s="420">
        <f>S53-K53</f>
        <v>0</v>
      </c>
      <c r="B53" s="317"/>
      <c r="C53" s="421">
        <f t="shared" ref="C53" si="7">M53-E53</f>
        <v>0</v>
      </c>
      <c r="D53" s="315"/>
      <c r="E53" s="421">
        <f t="shared" ref="E53" si="8">K53+I53-G53</f>
        <v>0</v>
      </c>
      <c r="F53" s="315"/>
      <c r="G53" s="421"/>
      <c r="H53" s="315"/>
      <c r="I53" s="421"/>
      <c r="J53" s="315"/>
      <c r="K53" s="421"/>
      <c r="L53" s="315"/>
      <c r="M53" s="421">
        <f t="shared" ref="M53" si="9">S53+Q53-O53</f>
        <v>0</v>
      </c>
      <c r="N53" s="315"/>
      <c r="O53" s="421"/>
      <c r="P53" s="315"/>
      <c r="Q53" s="421"/>
      <c r="R53" s="315"/>
      <c r="S53" s="421"/>
      <c r="T53" s="412"/>
      <c r="W53" s="323"/>
      <c r="X53" s="414"/>
    </row>
    <row r="54" spans="1:24" hidden="1" x14ac:dyDescent="0.45">
      <c r="A54" s="420"/>
      <c r="B54" s="317"/>
      <c r="C54" s="421"/>
      <c r="D54" s="315"/>
      <c r="E54" s="421"/>
      <c r="F54" s="315"/>
      <c r="G54" s="421"/>
      <c r="H54" s="315"/>
      <c r="I54" s="421"/>
      <c r="J54" s="315"/>
      <c r="K54" s="421"/>
      <c r="L54" s="315"/>
      <c r="M54" s="421"/>
      <c r="N54" s="315"/>
      <c r="O54" s="421"/>
      <c r="P54" s="315"/>
      <c r="Q54" s="421"/>
      <c r="R54" s="315"/>
      <c r="S54" s="421"/>
      <c r="T54" s="412"/>
      <c r="W54" s="323"/>
      <c r="X54" s="323"/>
    </row>
    <row r="55" spans="1:24" ht="22.5" hidden="1" thickBot="1" x14ac:dyDescent="0.25">
      <c r="A55" s="303">
        <f>SUM(A53)</f>
        <v>0</v>
      </c>
      <c r="B55" s="317"/>
      <c r="C55" s="303">
        <f>SUM(C53)</f>
        <v>0</v>
      </c>
      <c r="D55" s="315"/>
      <c r="E55" s="303">
        <f>SUM(E53:E54)</f>
        <v>0</v>
      </c>
      <c r="F55" s="417"/>
      <c r="G55" s="303">
        <f>SUM(G53:G54)</f>
        <v>0</v>
      </c>
      <c r="H55" s="417"/>
      <c r="I55" s="303">
        <f>SUM(I53:I54)</f>
        <v>0</v>
      </c>
      <c r="J55" s="315"/>
      <c r="K55" s="303">
        <f>SUM(K53:K54)</f>
        <v>0</v>
      </c>
      <c r="L55" s="315"/>
      <c r="M55" s="303">
        <f>SUM(M53:M54)</f>
        <v>0</v>
      </c>
      <c r="N55" s="315"/>
      <c r="O55" s="303">
        <f>SUM(O53:O54)</f>
        <v>0</v>
      </c>
      <c r="P55" s="315"/>
      <c r="Q55" s="303">
        <f>SUM(Q53:Q54)</f>
        <v>0</v>
      </c>
      <c r="R55" s="315" t="e">
        <f>SUM(#REF!)</f>
        <v>#REF!</v>
      </c>
      <c r="S55" s="303">
        <f>SUM(S53:S54)</f>
        <v>0</v>
      </c>
      <c r="U55" s="317" t="s">
        <v>214</v>
      </c>
    </row>
    <row r="56" spans="1:24" ht="22.5" hidden="1" thickTop="1" x14ac:dyDescent="0.2">
      <c r="A56" s="295"/>
      <c r="B56" s="317"/>
      <c r="C56" s="295"/>
      <c r="D56" s="295"/>
      <c r="E56" s="295"/>
      <c r="F56" s="295"/>
      <c r="G56" s="295"/>
      <c r="H56" s="295"/>
      <c r="I56" s="295"/>
      <c r="J56" s="295"/>
      <c r="K56" s="295"/>
      <c r="L56" s="295"/>
      <c r="M56" s="295"/>
      <c r="N56" s="295"/>
      <c r="O56" s="295"/>
      <c r="P56" s="295"/>
      <c r="Q56" s="295"/>
      <c r="R56" s="295"/>
      <c r="S56" s="295"/>
      <c r="U56" s="288"/>
    </row>
    <row r="57" spans="1:24" hidden="1" x14ac:dyDescent="0.2">
      <c r="A57" s="295"/>
      <c r="B57" s="317"/>
      <c r="C57" s="295"/>
      <c r="D57" s="295"/>
      <c r="E57" s="295"/>
      <c r="F57" s="295"/>
      <c r="G57" s="295"/>
      <c r="H57" s="295"/>
      <c r="I57" s="295"/>
      <c r="J57" s="295"/>
      <c r="K57" s="295"/>
      <c r="L57" s="295"/>
      <c r="M57" s="295"/>
      <c r="N57" s="295"/>
      <c r="O57" s="295"/>
      <c r="P57" s="295"/>
      <c r="Q57" s="295"/>
      <c r="R57" s="295"/>
      <c r="S57" s="295"/>
      <c r="U57" s="321" t="str">
        <f>'Balance Sheet'!K15&amp;":"</f>
        <v>Investment property:</v>
      </c>
      <c r="V57" s="334" t="str">
        <f>'Balance Sheet'!H15&amp;"-"</f>
        <v>-</v>
      </c>
    </row>
    <row r="58" spans="1:24" hidden="1" x14ac:dyDescent="0.2">
      <c r="B58" s="317"/>
      <c r="C58" s="399"/>
      <c r="D58" s="304"/>
      <c r="E58" s="399"/>
      <c r="F58" s="304"/>
      <c r="G58" s="281"/>
      <c r="H58" s="304"/>
      <c r="I58" s="423"/>
      <c r="J58" s="304"/>
      <c r="K58" s="304"/>
      <c r="L58" s="304"/>
      <c r="M58" s="399"/>
      <c r="N58" s="304"/>
      <c r="O58" s="315"/>
      <c r="P58" s="304"/>
      <c r="Q58" s="304"/>
      <c r="R58" s="304"/>
      <c r="S58" s="304"/>
      <c r="U58" s="291" t="str">
        <f xml:space="preserve"> U57&amp;" "&amp;"As at" &amp;Index!$H$5&amp;" "&amp;Index!$H$6&amp;" "&amp;" :"</f>
        <v>Investment property: As at31 December  :</v>
      </c>
    </row>
    <row r="59" spans="1:24" hidden="1" x14ac:dyDescent="0.2">
      <c r="B59" s="317"/>
      <c r="C59" s="399"/>
      <c r="D59" s="304"/>
      <c r="E59" s="399"/>
      <c r="F59" s="304"/>
      <c r="G59" s="281"/>
      <c r="H59" s="304"/>
      <c r="I59" s="423"/>
      <c r="J59" s="304"/>
      <c r="K59" s="304"/>
      <c r="L59" s="304"/>
      <c r="M59" s="399"/>
      <c r="N59" s="304"/>
      <c r="O59" s="315"/>
      <c r="P59" s="304"/>
      <c r="Q59" s="304"/>
      <c r="R59" s="304"/>
      <c r="S59" s="304"/>
      <c r="U59" s="280"/>
    </row>
    <row r="60" spans="1:24" hidden="1" x14ac:dyDescent="0.2">
      <c r="A60" s="408" t="str">
        <f t="shared" ref="A60:S60" si="10">+A11</f>
        <v>Net book amounts</v>
      </c>
      <c r="B60" s="317">
        <f t="shared" si="10"/>
        <v>0</v>
      </c>
      <c r="C60" s="408" t="str">
        <f t="shared" si="10"/>
        <v>Net book amounts</v>
      </c>
      <c r="D60" s="293">
        <f t="shared" si="10"/>
        <v>0</v>
      </c>
      <c r="E60" s="408" t="str">
        <f t="shared" si="10"/>
        <v xml:space="preserve">Accum depreciation </v>
      </c>
      <c r="F60" s="293">
        <f t="shared" si="10"/>
        <v>0</v>
      </c>
      <c r="G60" s="293" t="str">
        <f t="shared" si="10"/>
        <v xml:space="preserve">Disposals </v>
      </c>
      <c r="H60" s="293">
        <f t="shared" si="10"/>
        <v>0</v>
      </c>
      <c r="I60" s="293" t="str">
        <f t="shared" si="10"/>
        <v xml:space="preserve">depreciation </v>
      </c>
      <c r="J60" s="293">
        <f t="shared" si="10"/>
        <v>0</v>
      </c>
      <c r="K60" s="408" t="str">
        <f t="shared" si="10"/>
        <v xml:space="preserve">Accum depreciation </v>
      </c>
      <c r="L60" s="293">
        <f t="shared" si="10"/>
        <v>0</v>
      </c>
      <c r="M60" s="317" t="str">
        <f t="shared" si="10"/>
        <v>Cost As</v>
      </c>
      <c r="N60" s="293">
        <f t="shared" si="10"/>
        <v>0</v>
      </c>
      <c r="O60" s="293" t="str">
        <f t="shared" si="10"/>
        <v xml:space="preserve">Disposals </v>
      </c>
      <c r="P60" s="293">
        <f t="shared" si="10"/>
        <v>0</v>
      </c>
      <c r="Q60" s="293" t="str">
        <f t="shared" si="10"/>
        <v>Additions</v>
      </c>
      <c r="R60" s="293">
        <f t="shared" si="10"/>
        <v>0</v>
      </c>
      <c r="S60" s="317" t="str">
        <f t="shared" si="10"/>
        <v>Cost As</v>
      </c>
      <c r="T60" s="293"/>
      <c r="U60" s="293"/>
    </row>
    <row r="61" spans="1:24" hidden="1" x14ac:dyDescent="0.2">
      <c r="A61" s="409" t="str">
        <f>A12</f>
        <v>AS at31/12/2023</v>
      </c>
      <c r="B61" s="317"/>
      <c r="C61" s="409" t="str">
        <f>C12</f>
        <v>AS at31/12/2024</v>
      </c>
      <c r="D61" s="293"/>
      <c r="E61" s="409" t="str">
        <f>E52</f>
        <v>At31/12/2024</v>
      </c>
      <c r="F61" s="293"/>
      <c r="G61" s="411" t="str">
        <f>+G12</f>
        <v>Year</v>
      </c>
      <c r="H61" s="411"/>
      <c r="I61" s="411" t="str">
        <f>+I12</f>
        <v>Year</v>
      </c>
      <c r="J61" s="412"/>
      <c r="K61" s="411" t="str">
        <f>K52</f>
        <v>At01/01/2024</v>
      </c>
      <c r="L61" s="412"/>
      <c r="M61" s="409" t="str">
        <f>M52</f>
        <v>At31/12/2024</v>
      </c>
      <c r="N61" s="293"/>
      <c r="O61" s="369" t="str">
        <f>+O12</f>
        <v>For Year</v>
      </c>
      <c r="P61" s="293"/>
      <c r="Q61" s="369" t="str">
        <f>+Q12</f>
        <v>For Year</v>
      </c>
      <c r="R61" s="293"/>
      <c r="S61" s="411" t="str">
        <f>S52</f>
        <v>At01/01/2024</v>
      </c>
      <c r="T61" s="412"/>
      <c r="U61" s="369"/>
    </row>
    <row r="62" spans="1:24" hidden="1" x14ac:dyDescent="0.45">
      <c r="A62" s="420">
        <f>S62-K62</f>
        <v>0</v>
      </c>
      <c r="B62" s="317"/>
      <c r="C62" s="421">
        <f t="shared" ref="C62" si="11">M62-E62</f>
        <v>0</v>
      </c>
      <c r="D62" s="315"/>
      <c r="E62" s="421">
        <f t="shared" ref="E62" si="12">K62+I62-G62</f>
        <v>0</v>
      </c>
      <c r="F62" s="315"/>
      <c r="G62" s="421">
        <v>0</v>
      </c>
      <c r="H62" s="315"/>
      <c r="I62" s="421"/>
      <c r="J62" s="315"/>
      <c r="K62" s="421"/>
      <c r="L62" s="315"/>
      <c r="M62" s="421">
        <f t="shared" ref="M62" si="13">S62+Q62-O62</f>
        <v>0</v>
      </c>
      <c r="N62" s="315"/>
      <c r="O62" s="421"/>
      <c r="P62" s="315"/>
      <c r="Q62" s="421"/>
      <c r="R62" s="315"/>
      <c r="S62" s="421"/>
      <c r="T62" s="412"/>
      <c r="W62" s="323"/>
      <c r="X62" s="414"/>
    </row>
    <row r="63" spans="1:24" hidden="1" x14ac:dyDescent="0.45">
      <c r="A63" s="420"/>
      <c r="B63" s="317"/>
      <c r="C63" s="421"/>
      <c r="D63" s="315"/>
      <c r="E63" s="421"/>
      <c r="F63" s="315"/>
      <c r="G63" s="421"/>
      <c r="H63" s="315"/>
      <c r="I63" s="421"/>
      <c r="J63" s="315"/>
      <c r="K63" s="421"/>
      <c r="L63" s="315"/>
      <c r="M63" s="421"/>
      <c r="N63" s="315"/>
      <c r="O63" s="421"/>
      <c r="P63" s="315"/>
      <c r="Q63" s="421"/>
      <c r="R63" s="315"/>
      <c r="S63" s="421"/>
      <c r="T63" s="412"/>
    </row>
    <row r="64" spans="1:24" ht="22.5" hidden="1" thickBot="1" x14ac:dyDescent="0.25">
      <c r="A64" s="303">
        <f>SUM(A62)</f>
        <v>0</v>
      </c>
      <c r="B64" s="317"/>
      <c r="C64" s="303">
        <f>SUM(C62)</f>
        <v>0</v>
      </c>
      <c r="D64" s="315"/>
      <c r="E64" s="303">
        <f>SUM(E62:E63)</f>
        <v>0</v>
      </c>
      <c r="F64" s="417"/>
      <c r="G64" s="303">
        <f>SUM(G62:G63)</f>
        <v>0</v>
      </c>
      <c r="H64" s="417"/>
      <c r="I64" s="303">
        <f>SUM(I62:I63)</f>
        <v>0</v>
      </c>
      <c r="J64" s="315"/>
      <c r="K64" s="303">
        <f>SUM(K62:K63)</f>
        <v>0</v>
      </c>
      <c r="L64" s="315"/>
      <c r="M64" s="303">
        <f>SUM(M62:M63)</f>
        <v>0</v>
      </c>
      <c r="N64" s="315"/>
      <c r="O64" s="303">
        <f>SUM(O62:O63)</f>
        <v>0</v>
      </c>
      <c r="P64" s="315"/>
      <c r="Q64" s="303">
        <f>SUM(Q62:Q63)</f>
        <v>0</v>
      </c>
      <c r="R64" s="315" t="e">
        <f>SUM(#REF!)</f>
        <v>#REF!</v>
      </c>
      <c r="S64" s="303">
        <f>SUM(S62:S63)</f>
        <v>0</v>
      </c>
      <c r="U64" s="317" t="s">
        <v>214</v>
      </c>
    </row>
    <row r="65" spans="1:24" ht="16.5" hidden="1" customHeight="1" thickTop="1" x14ac:dyDescent="0.2">
      <c r="A65" s="317"/>
      <c r="B65" s="317"/>
      <c r="C65" s="317"/>
      <c r="D65" s="293"/>
      <c r="E65" s="293"/>
      <c r="F65" s="293"/>
      <c r="G65" s="293"/>
      <c r="H65" s="293"/>
      <c r="I65" s="293"/>
      <c r="J65" s="293"/>
      <c r="K65" s="293"/>
      <c r="L65" s="293"/>
      <c r="M65" s="317"/>
      <c r="N65" s="293"/>
      <c r="O65" s="293"/>
      <c r="P65" s="293"/>
      <c r="Q65" s="293"/>
      <c r="R65" s="293"/>
      <c r="S65" s="293"/>
      <c r="T65" s="293"/>
      <c r="U65" s="293"/>
    </row>
    <row r="66" spans="1:24" ht="16.5" hidden="1" customHeight="1" x14ac:dyDescent="0.2">
      <c r="B66" s="317"/>
      <c r="C66" s="399"/>
      <c r="D66" s="304"/>
      <c r="E66" s="399"/>
      <c r="F66" s="304"/>
      <c r="G66" s="281"/>
      <c r="H66" s="304"/>
      <c r="I66" s="423"/>
      <c r="J66" s="304"/>
      <c r="K66" s="304"/>
      <c r="L66" s="304"/>
      <c r="M66" s="399"/>
      <c r="N66" s="304"/>
      <c r="O66" s="315"/>
      <c r="P66" s="304"/>
      <c r="Q66" s="304"/>
      <c r="R66" s="304"/>
      <c r="S66" s="304"/>
      <c r="U66" s="335" t="s">
        <v>279</v>
      </c>
    </row>
    <row r="67" spans="1:24" s="280" customFormat="1" ht="18.75" x14ac:dyDescent="0.2">
      <c r="A67" s="569" t="str">
        <f>"-"&amp;SUM(Index!I10:I20)&amp;"-"</f>
        <v>-11-</v>
      </c>
      <c r="B67" s="569"/>
      <c r="C67" s="569"/>
      <c r="D67" s="569"/>
      <c r="E67" s="569"/>
      <c r="F67" s="569"/>
      <c r="G67" s="569"/>
      <c r="H67" s="569"/>
      <c r="I67" s="569"/>
      <c r="J67" s="569"/>
      <c r="K67" s="569"/>
      <c r="L67" s="569"/>
      <c r="M67" s="569"/>
      <c r="N67" s="569"/>
      <c r="O67" s="569"/>
      <c r="P67" s="569"/>
      <c r="Q67" s="569"/>
      <c r="R67" s="569"/>
      <c r="S67" s="569"/>
      <c r="T67" s="569"/>
      <c r="U67" s="569"/>
    </row>
    <row r="68" spans="1:24" x14ac:dyDescent="0.2">
      <c r="Q68" s="304"/>
    </row>
    <row r="69" spans="1:24" x14ac:dyDescent="0.2">
      <c r="Q69" s="304"/>
    </row>
    <row r="70" spans="1:24" ht="18.75" x14ac:dyDescent="0.2">
      <c r="C70" s="287"/>
      <c r="E70" s="287"/>
      <c r="M70" s="287"/>
      <c r="Q70" s="304"/>
      <c r="W70" s="287"/>
      <c r="X70" s="287"/>
    </row>
  </sheetData>
  <mergeCells count="789">
    <mergeCell ref="S48:U48"/>
    <mergeCell ref="S8:U8"/>
    <mergeCell ref="FM5:GG5"/>
    <mergeCell ref="GH5:HB5"/>
    <mergeCell ref="W5:Y5"/>
    <mergeCell ref="Z5:AP5"/>
    <mergeCell ref="AQ5:BK5"/>
    <mergeCell ref="BL5:CF5"/>
    <mergeCell ref="CG5:DA5"/>
    <mergeCell ref="S39:U39"/>
    <mergeCell ref="A5:V5"/>
    <mergeCell ref="UA5:UU5"/>
    <mergeCell ref="UV5:VP5"/>
    <mergeCell ref="VQ5:WK5"/>
    <mergeCell ref="WL5:XF5"/>
    <mergeCell ref="LD5:LX5"/>
    <mergeCell ref="TF5:TZ5"/>
    <mergeCell ref="DB5:DV5"/>
    <mergeCell ref="DW5:EQ5"/>
    <mergeCell ref="ER5:FL5"/>
    <mergeCell ref="LY5:MS5"/>
    <mergeCell ref="PE5:PY5"/>
    <mergeCell ref="PZ5:QT5"/>
    <mergeCell ref="QU5:RO5"/>
    <mergeCell ref="RP5:SJ5"/>
    <mergeCell ref="SK5:TE5"/>
    <mergeCell ref="MT5:NN5"/>
    <mergeCell ref="NO5:OI5"/>
    <mergeCell ref="OJ5:PD5"/>
    <mergeCell ref="HC5:HW5"/>
    <mergeCell ref="HX5:IR5"/>
    <mergeCell ref="IS5:JM5"/>
    <mergeCell ref="JN5:KH5"/>
    <mergeCell ref="KI5:LC5"/>
    <mergeCell ref="ABH5:ACB5"/>
    <mergeCell ref="ACC5:ACW5"/>
    <mergeCell ref="ACX5:ADR5"/>
    <mergeCell ref="ADS5:AEM5"/>
    <mergeCell ref="AEN5:AFH5"/>
    <mergeCell ref="XG5:YA5"/>
    <mergeCell ref="YB5:YV5"/>
    <mergeCell ref="YW5:ZQ5"/>
    <mergeCell ref="ZR5:AAL5"/>
    <mergeCell ref="AAM5:ABG5"/>
    <mergeCell ref="AJJ5:AKD5"/>
    <mergeCell ref="AKE5:AKY5"/>
    <mergeCell ref="AKZ5:ALT5"/>
    <mergeCell ref="ALU5:AMO5"/>
    <mergeCell ref="AMP5:ANJ5"/>
    <mergeCell ref="AFI5:AGC5"/>
    <mergeCell ref="AGD5:AGX5"/>
    <mergeCell ref="AGY5:AHS5"/>
    <mergeCell ref="AHT5:AIN5"/>
    <mergeCell ref="AIO5:AJI5"/>
    <mergeCell ref="ARL5:ASF5"/>
    <mergeCell ref="ASG5:ATA5"/>
    <mergeCell ref="ATB5:ATV5"/>
    <mergeCell ref="ATW5:AUQ5"/>
    <mergeCell ref="AUR5:AVL5"/>
    <mergeCell ref="ANK5:AOE5"/>
    <mergeCell ref="AOF5:AOZ5"/>
    <mergeCell ref="APA5:APU5"/>
    <mergeCell ref="APV5:AQP5"/>
    <mergeCell ref="AQQ5:ARK5"/>
    <mergeCell ref="AZN5:BAH5"/>
    <mergeCell ref="BAI5:BBC5"/>
    <mergeCell ref="BBD5:BBX5"/>
    <mergeCell ref="BBY5:BCS5"/>
    <mergeCell ref="BCT5:BDN5"/>
    <mergeCell ref="AVM5:AWG5"/>
    <mergeCell ref="AWH5:AXB5"/>
    <mergeCell ref="AXC5:AXW5"/>
    <mergeCell ref="AXX5:AYR5"/>
    <mergeCell ref="AYS5:AZM5"/>
    <mergeCell ref="BHP5:BIJ5"/>
    <mergeCell ref="BIK5:BJE5"/>
    <mergeCell ref="BJF5:BJZ5"/>
    <mergeCell ref="BKA5:BKU5"/>
    <mergeCell ref="BKV5:BLP5"/>
    <mergeCell ref="BDO5:BEI5"/>
    <mergeCell ref="BEJ5:BFD5"/>
    <mergeCell ref="BFE5:BFY5"/>
    <mergeCell ref="BFZ5:BGT5"/>
    <mergeCell ref="BGU5:BHO5"/>
    <mergeCell ref="BPR5:BQL5"/>
    <mergeCell ref="BQM5:BRG5"/>
    <mergeCell ref="BRH5:BSB5"/>
    <mergeCell ref="BSC5:BSW5"/>
    <mergeCell ref="BSX5:BTR5"/>
    <mergeCell ref="BLQ5:BMK5"/>
    <mergeCell ref="BML5:BNF5"/>
    <mergeCell ref="BNG5:BOA5"/>
    <mergeCell ref="BOB5:BOV5"/>
    <mergeCell ref="BOW5:BPQ5"/>
    <mergeCell ref="BXT5:BYN5"/>
    <mergeCell ref="BYO5:BZI5"/>
    <mergeCell ref="BZJ5:CAD5"/>
    <mergeCell ref="CAE5:CAY5"/>
    <mergeCell ref="CAZ5:CBT5"/>
    <mergeCell ref="BTS5:BUM5"/>
    <mergeCell ref="BUN5:BVH5"/>
    <mergeCell ref="BVI5:BWC5"/>
    <mergeCell ref="BWD5:BWX5"/>
    <mergeCell ref="BWY5:BXS5"/>
    <mergeCell ref="CFV5:CGP5"/>
    <mergeCell ref="CGQ5:CHK5"/>
    <mergeCell ref="CHL5:CIF5"/>
    <mergeCell ref="CIG5:CJA5"/>
    <mergeCell ref="CJB5:CJV5"/>
    <mergeCell ref="CBU5:CCO5"/>
    <mergeCell ref="CCP5:CDJ5"/>
    <mergeCell ref="CDK5:CEE5"/>
    <mergeCell ref="CEF5:CEZ5"/>
    <mergeCell ref="CFA5:CFU5"/>
    <mergeCell ref="CNX5:COR5"/>
    <mergeCell ref="COS5:CPM5"/>
    <mergeCell ref="CPN5:CQH5"/>
    <mergeCell ref="CQI5:CRC5"/>
    <mergeCell ref="CRD5:CRX5"/>
    <mergeCell ref="CJW5:CKQ5"/>
    <mergeCell ref="CKR5:CLL5"/>
    <mergeCell ref="CLM5:CMG5"/>
    <mergeCell ref="CMH5:CNB5"/>
    <mergeCell ref="CNC5:CNW5"/>
    <mergeCell ref="CVZ5:CWT5"/>
    <mergeCell ref="CWU5:CXO5"/>
    <mergeCell ref="CXP5:CYJ5"/>
    <mergeCell ref="CYK5:CZE5"/>
    <mergeCell ref="CZF5:CZZ5"/>
    <mergeCell ref="CRY5:CSS5"/>
    <mergeCell ref="CST5:CTN5"/>
    <mergeCell ref="CTO5:CUI5"/>
    <mergeCell ref="CUJ5:CVD5"/>
    <mergeCell ref="CVE5:CVY5"/>
    <mergeCell ref="DEB5:DEV5"/>
    <mergeCell ref="DEW5:DFQ5"/>
    <mergeCell ref="DFR5:DGL5"/>
    <mergeCell ref="DGM5:DHG5"/>
    <mergeCell ref="DHH5:DIB5"/>
    <mergeCell ref="DAA5:DAU5"/>
    <mergeCell ref="DAV5:DBP5"/>
    <mergeCell ref="DBQ5:DCK5"/>
    <mergeCell ref="DCL5:DDF5"/>
    <mergeCell ref="DDG5:DEA5"/>
    <mergeCell ref="DMD5:DMX5"/>
    <mergeCell ref="DMY5:DNS5"/>
    <mergeCell ref="DNT5:DON5"/>
    <mergeCell ref="DOO5:DPI5"/>
    <mergeCell ref="DPJ5:DQD5"/>
    <mergeCell ref="DIC5:DIW5"/>
    <mergeCell ref="DIX5:DJR5"/>
    <mergeCell ref="DJS5:DKM5"/>
    <mergeCell ref="DKN5:DLH5"/>
    <mergeCell ref="DLI5:DMC5"/>
    <mergeCell ref="DUF5:DUZ5"/>
    <mergeCell ref="DVA5:DVU5"/>
    <mergeCell ref="DVV5:DWP5"/>
    <mergeCell ref="DWQ5:DXK5"/>
    <mergeCell ref="DXL5:DYF5"/>
    <mergeCell ref="DQE5:DQY5"/>
    <mergeCell ref="DQZ5:DRT5"/>
    <mergeCell ref="DRU5:DSO5"/>
    <mergeCell ref="DSP5:DTJ5"/>
    <mergeCell ref="DTK5:DUE5"/>
    <mergeCell ref="ECH5:EDB5"/>
    <mergeCell ref="EDC5:EDW5"/>
    <mergeCell ref="EDX5:EER5"/>
    <mergeCell ref="EES5:EFM5"/>
    <mergeCell ref="EFN5:EGH5"/>
    <mergeCell ref="DYG5:DZA5"/>
    <mergeCell ref="DZB5:DZV5"/>
    <mergeCell ref="DZW5:EAQ5"/>
    <mergeCell ref="EAR5:EBL5"/>
    <mergeCell ref="EBM5:ECG5"/>
    <mergeCell ref="EKJ5:ELD5"/>
    <mergeCell ref="ELE5:ELY5"/>
    <mergeCell ref="ELZ5:EMT5"/>
    <mergeCell ref="EMU5:ENO5"/>
    <mergeCell ref="ENP5:EOJ5"/>
    <mergeCell ref="EGI5:EHC5"/>
    <mergeCell ref="EHD5:EHX5"/>
    <mergeCell ref="EHY5:EIS5"/>
    <mergeCell ref="EIT5:EJN5"/>
    <mergeCell ref="EJO5:EKI5"/>
    <mergeCell ref="ESL5:ETF5"/>
    <mergeCell ref="ETG5:EUA5"/>
    <mergeCell ref="EUB5:EUV5"/>
    <mergeCell ref="EUW5:EVQ5"/>
    <mergeCell ref="EVR5:EWL5"/>
    <mergeCell ref="EOK5:EPE5"/>
    <mergeCell ref="EPF5:EPZ5"/>
    <mergeCell ref="EQA5:EQU5"/>
    <mergeCell ref="EQV5:ERP5"/>
    <mergeCell ref="ERQ5:ESK5"/>
    <mergeCell ref="FAN5:FBH5"/>
    <mergeCell ref="FBI5:FCC5"/>
    <mergeCell ref="FCD5:FCX5"/>
    <mergeCell ref="FCY5:FDS5"/>
    <mergeCell ref="FDT5:FEN5"/>
    <mergeCell ref="EWM5:EXG5"/>
    <mergeCell ref="EXH5:EYB5"/>
    <mergeCell ref="EYC5:EYW5"/>
    <mergeCell ref="EYX5:EZR5"/>
    <mergeCell ref="EZS5:FAM5"/>
    <mergeCell ref="FIP5:FJJ5"/>
    <mergeCell ref="FJK5:FKE5"/>
    <mergeCell ref="FKF5:FKZ5"/>
    <mergeCell ref="FLA5:FLU5"/>
    <mergeCell ref="FLV5:FMP5"/>
    <mergeCell ref="FEO5:FFI5"/>
    <mergeCell ref="FFJ5:FGD5"/>
    <mergeCell ref="FGE5:FGY5"/>
    <mergeCell ref="FGZ5:FHT5"/>
    <mergeCell ref="FHU5:FIO5"/>
    <mergeCell ref="FQR5:FRL5"/>
    <mergeCell ref="FRM5:FSG5"/>
    <mergeCell ref="FSH5:FTB5"/>
    <mergeCell ref="FTC5:FTW5"/>
    <mergeCell ref="FTX5:FUR5"/>
    <mergeCell ref="FMQ5:FNK5"/>
    <mergeCell ref="FNL5:FOF5"/>
    <mergeCell ref="FOG5:FPA5"/>
    <mergeCell ref="FPB5:FPV5"/>
    <mergeCell ref="FPW5:FQQ5"/>
    <mergeCell ref="FYT5:FZN5"/>
    <mergeCell ref="FZO5:GAI5"/>
    <mergeCell ref="GAJ5:GBD5"/>
    <mergeCell ref="GBE5:GBY5"/>
    <mergeCell ref="GBZ5:GCT5"/>
    <mergeCell ref="FUS5:FVM5"/>
    <mergeCell ref="FVN5:FWH5"/>
    <mergeCell ref="FWI5:FXC5"/>
    <mergeCell ref="FXD5:FXX5"/>
    <mergeCell ref="FXY5:FYS5"/>
    <mergeCell ref="GGV5:GHP5"/>
    <mergeCell ref="GHQ5:GIK5"/>
    <mergeCell ref="GIL5:GJF5"/>
    <mergeCell ref="GJG5:GKA5"/>
    <mergeCell ref="GKB5:GKV5"/>
    <mergeCell ref="GCU5:GDO5"/>
    <mergeCell ref="GDP5:GEJ5"/>
    <mergeCell ref="GEK5:GFE5"/>
    <mergeCell ref="GFF5:GFZ5"/>
    <mergeCell ref="GGA5:GGU5"/>
    <mergeCell ref="GOX5:GPR5"/>
    <mergeCell ref="GPS5:GQM5"/>
    <mergeCell ref="GQN5:GRH5"/>
    <mergeCell ref="GRI5:GSC5"/>
    <mergeCell ref="GSD5:GSX5"/>
    <mergeCell ref="GKW5:GLQ5"/>
    <mergeCell ref="GLR5:GML5"/>
    <mergeCell ref="GMM5:GNG5"/>
    <mergeCell ref="GNH5:GOB5"/>
    <mergeCell ref="GOC5:GOW5"/>
    <mergeCell ref="GWZ5:GXT5"/>
    <mergeCell ref="GXU5:GYO5"/>
    <mergeCell ref="GYP5:GZJ5"/>
    <mergeCell ref="GZK5:HAE5"/>
    <mergeCell ref="HAF5:HAZ5"/>
    <mergeCell ref="GSY5:GTS5"/>
    <mergeCell ref="GTT5:GUN5"/>
    <mergeCell ref="GUO5:GVI5"/>
    <mergeCell ref="GVJ5:GWD5"/>
    <mergeCell ref="GWE5:GWY5"/>
    <mergeCell ref="HFB5:HFV5"/>
    <mergeCell ref="HFW5:HGQ5"/>
    <mergeCell ref="HGR5:HHL5"/>
    <mergeCell ref="HHM5:HIG5"/>
    <mergeCell ref="HIH5:HJB5"/>
    <mergeCell ref="HBA5:HBU5"/>
    <mergeCell ref="HBV5:HCP5"/>
    <mergeCell ref="HCQ5:HDK5"/>
    <mergeCell ref="HDL5:HEF5"/>
    <mergeCell ref="HEG5:HFA5"/>
    <mergeCell ref="HND5:HNX5"/>
    <mergeCell ref="HNY5:HOS5"/>
    <mergeCell ref="HOT5:HPN5"/>
    <mergeCell ref="HPO5:HQI5"/>
    <mergeCell ref="HQJ5:HRD5"/>
    <mergeCell ref="HJC5:HJW5"/>
    <mergeCell ref="HJX5:HKR5"/>
    <mergeCell ref="HKS5:HLM5"/>
    <mergeCell ref="HLN5:HMH5"/>
    <mergeCell ref="HMI5:HNC5"/>
    <mergeCell ref="HVF5:HVZ5"/>
    <mergeCell ref="HWA5:HWU5"/>
    <mergeCell ref="HWV5:HXP5"/>
    <mergeCell ref="HXQ5:HYK5"/>
    <mergeCell ref="HYL5:HZF5"/>
    <mergeCell ref="HRE5:HRY5"/>
    <mergeCell ref="HRZ5:HST5"/>
    <mergeCell ref="HSU5:HTO5"/>
    <mergeCell ref="HTP5:HUJ5"/>
    <mergeCell ref="HUK5:HVE5"/>
    <mergeCell ref="IDH5:IEB5"/>
    <mergeCell ref="IEC5:IEW5"/>
    <mergeCell ref="IEX5:IFR5"/>
    <mergeCell ref="IFS5:IGM5"/>
    <mergeCell ref="IGN5:IHH5"/>
    <mergeCell ref="HZG5:IAA5"/>
    <mergeCell ref="IAB5:IAV5"/>
    <mergeCell ref="IAW5:IBQ5"/>
    <mergeCell ref="IBR5:ICL5"/>
    <mergeCell ref="ICM5:IDG5"/>
    <mergeCell ref="ILJ5:IMD5"/>
    <mergeCell ref="IME5:IMY5"/>
    <mergeCell ref="IMZ5:INT5"/>
    <mergeCell ref="INU5:IOO5"/>
    <mergeCell ref="IOP5:IPJ5"/>
    <mergeCell ref="IHI5:IIC5"/>
    <mergeCell ref="IID5:IIX5"/>
    <mergeCell ref="IIY5:IJS5"/>
    <mergeCell ref="IJT5:IKN5"/>
    <mergeCell ref="IKO5:ILI5"/>
    <mergeCell ref="ITL5:IUF5"/>
    <mergeCell ref="IUG5:IVA5"/>
    <mergeCell ref="IVB5:IVV5"/>
    <mergeCell ref="IVW5:IWQ5"/>
    <mergeCell ref="IWR5:IXL5"/>
    <mergeCell ref="IPK5:IQE5"/>
    <mergeCell ref="IQF5:IQZ5"/>
    <mergeCell ref="IRA5:IRU5"/>
    <mergeCell ref="IRV5:ISP5"/>
    <mergeCell ref="ISQ5:ITK5"/>
    <mergeCell ref="JBN5:JCH5"/>
    <mergeCell ref="JCI5:JDC5"/>
    <mergeCell ref="JDD5:JDX5"/>
    <mergeCell ref="JDY5:JES5"/>
    <mergeCell ref="JET5:JFN5"/>
    <mergeCell ref="IXM5:IYG5"/>
    <mergeCell ref="IYH5:IZB5"/>
    <mergeCell ref="IZC5:IZW5"/>
    <mergeCell ref="IZX5:JAR5"/>
    <mergeCell ref="JAS5:JBM5"/>
    <mergeCell ref="JJP5:JKJ5"/>
    <mergeCell ref="JKK5:JLE5"/>
    <mergeCell ref="JLF5:JLZ5"/>
    <mergeCell ref="JMA5:JMU5"/>
    <mergeCell ref="JMV5:JNP5"/>
    <mergeCell ref="JFO5:JGI5"/>
    <mergeCell ref="JGJ5:JHD5"/>
    <mergeCell ref="JHE5:JHY5"/>
    <mergeCell ref="JHZ5:JIT5"/>
    <mergeCell ref="JIU5:JJO5"/>
    <mergeCell ref="JRR5:JSL5"/>
    <mergeCell ref="JSM5:JTG5"/>
    <mergeCell ref="JTH5:JUB5"/>
    <mergeCell ref="JUC5:JUW5"/>
    <mergeCell ref="JUX5:JVR5"/>
    <mergeCell ref="JNQ5:JOK5"/>
    <mergeCell ref="JOL5:JPF5"/>
    <mergeCell ref="JPG5:JQA5"/>
    <mergeCell ref="JQB5:JQV5"/>
    <mergeCell ref="JQW5:JRQ5"/>
    <mergeCell ref="JZT5:KAN5"/>
    <mergeCell ref="KAO5:KBI5"/>
    <mergeCell ref="KBJ5:KCD5"/>
    <mergeCell ref="KCE5:KCY5"/>
    <mergeCell ref="KCZ5:KDT5"/>
    <mergeCell ref="JVS5:JWM5"/>
    <mergeCell ref="JWN5:JXH5"/>
    <mergeCell ref="JXI5:JYC5"/>
    <mergeCell ref="JYD5:JYX5"/>
    <mergeCell ref="JYY5:JZS5"/>
    <mergeCell ref="KHV5:KIP5"/>
    <mergeCell ref="KIQ5:KJK5"/>
    <mergeCell ref="KJL5:KKF5"/>
    <mergeCell ref="KKG5:KLA5"/>
    <mergeCell ref="KLB5:KLV5"/>
    <mergeCell ref="KDU5:KEO5"/>
    <mergeCell ref="KEP5:KFJ5"/>
    <mergeCell ref="KFK5:KGE5"/>
    <mergeCell ref="KGF5:KGZ5"/>
    <mergeCell ref="KHA5:KHU5"/>
    <mergeCell ref="KPX5:KQR5"/>
    <mergeCell ref="KQS5:KRM5"/>
    <mergeCell ref="KRN5:KSH5"/>
    <mergeCell ref="KSI5:KTC5"/>
    <mergeCell ref="KTD5:KTX5"/>
    <mergeCell ref="KLW5:KMQ5"/>
    <mergeCell ref="KMR5:KNL5"/>
    <mergeCell ref="KNM5:KOG5"/>
    <mergeCell ref="KOH5:KPB5"/>
    <mergeCell ref="KPC5:KPW5"/>
    <mergeCell ref="KXZ5:KYT5"/>
    <mergeCell ref="KYU5:KZO5"/>
    <mergeCell ref="KZP5:LAJ5"/>
    <mergeCell ref="LAK5:LBE5"/>
    <mergeCell ref="LBF5:LBZ5"/>
    <mergeCell ref="KTY5:KUS5"/>
    <mergeCell ref="KUT5:KVN5"/>
    <mergeCell ref="KVO5:KWI5"/>
    <mergeCell ref="KWJ5:KXD5"/>
    <mergeCell ref="KXE5:KXY5"/>
    <mergeCell ref="LGB5:LGV5"/>
    <mergeCell ref="LGW5:LHQ5"/>
    <mergeCell ref="LHR5:LIL5"/>
    <mergeCell ref="LIM5:LJG5"/>
    <mergeCell ref="LJH5:LKB5"/>
    <mergeCell ref="LCA5:LCU5"/>
    <mergeCell ref="LCV5:LDP5"/>
    <mergeCell ref="LDQ5:LEK5"/>
    <mergeCell ref="LEL5:LFF5"/>
    <mergeCell ref="LFG5:LGA5"/>
    <mergeCell ref="LOD5:LOX5"/>
    <mergeCell ref="LOY5:LPS5"/>
    <mergeCell ref="LPT5:LQN5"/>
    <mergeCell ref="LQO5:LRI5"/>
    <mergeCell ref="LRJ5:LSD5"/>
    <mergeCell ref="LKC5:LKW5"/>
    <mergeCell ref="LKX5:LLR5"/>
    <mergeCell ref="LLS5:LMM5"/>
    <mergeCell ref="LMN5:LNH5"/>
    <mergeCell ref="LNI5:LOC5"/>
    <mergeCell ref="LWF5:LWZ5"/>
    <mergeCell ref="LXA5:LXU5"/>
    <mergeCell ref="LXV5:LYP5"/>
    <mergeCell ref="LYQ5:LZK5"/>
    <mergeCell ref="LZL5:MAF5"/>
    <mergeCell ref="LSE5:LSY5"/>
    <mergeCell ref="LSZ5:LTT5"/>
    <mergeCell ref="LTU5:LUO5"/>
    <mergeCell ref="LUP5:LVJ5"/>
    <mergeCell ref="LVK5:LWE5"/>
    <mergeCell ref="MEH5:MFB5"/>
    <mergeCell ref="MFC5:MFW5"/>
    <mergeCell ref="MFX5:MGR5"/>
    <mergeCell ref="MGS5:MHM5"/>
    <mergeCell ref="MHN5:MIH5"/>
    <mergeCell ref="MAG5:MBA5"/>
    <mergeCell ref="MBB5:MBV5"/>
    <mergeCell ref="MBW5:MCQ5"/>
    <mergeCell ref="MCR5:MDL5"/>
    <mergeCell ref="MDM5:MEG5"/>
    <mergeCell ref="MMJ5:MND5"/>
    <mergeCell ref="MNE5:MNY5"/>
    <mergeCell ref="MNZ5:MOT5"/>
    <mergeCell ref="MOU5:MPO5"/>
    <mergeCell ref="MPP5:MQJ5"/>
    <mergeCell ref="MII5:MJC5"/>
    <mergeCell ref="MJD5:MJX5"/>
    <mergeCell ref="MJY5:MKS5"/>
    <mergeCell ref="MKT5:MLN5"/>
    <mergeCell ref="MLO5:MMI5"/>
    <mergeCell ref="MUL5:MVF5"/>
    <mergeCell ref="MVG5:MWA5"/>
    <mergeCell ref="MWB5:MWV5"/>
    <mergeCell ref="MWW5:MXQ5"/>
    <mergeCell ref="MXR5:MYL5"/>
    <mergeCell ref="MQK5:MRE5"/>
    <mergeCell ref="MRF5:MRZ5"/>
    <mergeCell ref="MSA5:MSU5"/>
    <mergeCell ref="MSV5:MTP5"/>
    <mergeCell ref="MTQ5:MUK5"/>
    <mergeCell ref="NCN5:NDH5"/>
    <mergeCell ref="NDI5:NEC5"/>
    <mergeCell ref="NED5:NEX5"/>
    <mergeCell ref="NEY5:NFS5"/>
    <mergeCell ref="NFT5:NGN5"/>
    <mergeCell ref="MYM5:MZG5"/>
    <mergeCell ref="MZH5:NAB5"/>
    <mergeCell ref="NAC5:NAW5"/>
    <mergeCell ref="NAX5:NBR5"/>
    <mergeCell ref="NBS5:NCM5"/>
    <mergeCell ref="NKP5:NLJ5"/>
    <mergeCell ref="NLK5:NME5"/>
    <mergeCell ref="NMF5:NMZ5"/>
    <mergeCell ref="NNA5:NNU5"/>
    <mergeCell ref="NNV5:NOP5"/>
    <mergeCell ref="NGO5:NHI5"/>
    <mergeCell ref="NHJ5:NID5"/>
    <mergeCell ref="NIE5:NIY5"/>
    <mergeCell ref="NIZ5:NJT5"/>
    <mergeCell ref="NJU5:NKO5"/>
    <mergeCell ref="NSR5:NTL5"/>
    <mergeCell ref="NTM5:NUG5"/>
    <mergeCell ref="NUH5:NVB5"/>
    <mergeCell ref="NVC5:NVW5"/>
    <mergeCell ref="NVX5:NWR5"/>
    <mergeCell ref="NOQ5:NPK5"/>
    <mergeCell ref="NPL5:NQF5"/>
    <mergeCell ref="NQG5:NRA5"/>
    <mergeCell ref="NRB5:NRV5"/>
    <mergeCell ref="NRW5:NSQ5"/>
    <mergeCell ref="OAT5:OBN5"/>
    <mergeCell ref="OBO5:OCI5"/>
    <mergeCell ref="OCJ5:ODD5"/>
    <mergeCell ref="ODE5:ODY5"/>
    <mergeCell ref="ODZ5:OET5"/>
    <mergeCell ref="NWS5:NXM5"/>
    <mergeCell ref="NXN5:NYH5"/>
    <mergeCell ref="NYI5:NZC5"/>
    <mergeCell ref="NZD5:NZX5"/>
    <mergeCell ref="NZY5:OAS5"/>
    <mergeCell ref="OIV5:OJP5"/>
    <mergeCell ref="OJQ5:OKK5"/>
    <mergeCell ref="OKL5:OLF5"/>
    <mergeCell ref="OLG5:OMA5"/>
    <mergeCell ref="OMB5:OMV5"/>
    <mergeCell ref="OEU5:OFO5"/>
    <mergeCell ref="OFP5:OGJ5"/>
    <mergeCell ref="OGK5:OHE5"/>
    <mergeCell ref="OHF5:OHZ5"/>
    <mergeCell ref="OIA5:OIU5"/>
    <mergeCell ref="OQX5:ORR5"/>
    <mergeCell ref="ORS5:OSM5"/>
    <mergeCell ref="OSN5:OTH5"/>
    <mergeCell ref="OTI5:OUC5"/>
    <mergeCell ref="OUD5:OUX5"/>
    <mergeCell ref="OMW5:ONQ5"/>
    <mergeCell ref="ONR5:OOL5"/>
    <mergeCell ref="OOM5:OPG5"/>
    <mergeCell ref="OPH5:OQB5"/>
    <mergeCell ref="OQC5:OQW5"/>
    <mergeCell ref="OYZ5:OZT5"/>
    <mergeCell ref="OZU5:PAO5"/>
    <mergeCell ref="PAP5:PBJ5"/>
    <mergeCell ref="PBK5:PCE5"/>
    <mergeCell ref="PCF5:PCZ5"/>
    <mergeCell ref="OUY5:OVS5"/>
    <mergeCell ref="OVT5:OWN5"/>
    <mergeCell ref="OWO5:OXI5"/>
    <mergeCell ref="OXJ5:OYD5"/>
    <mergeCell ref="OYE5:OYY5"/>
    <mergeCell ref="PHB5:PHV5"/>
    <mergeCell ref="PHW5:PIQ5"/>
    <mergeCell ref="PIR5:PJL5"/>
    <mergeCell ref="PJM5:PKG5"/>
    <mergeCell ref="PKH5:PLB5"/>
    <mergeCell ref="PDA5:PDU5"/>
    <mergeCell ref="PDV5:PEP5"/>
    <mergeCell ref="PEQ5:PFK5"/>
    <mergeCell ref="PFL5:PGF5"/>
    <mergeCell ref="PGG5:PHA5"/>
    <mergeCell ref="PPD5:PPX5"/>
    <mergeCell ref="PPY5:PQS5"/>
    <mergeCell ref="PQT5:PRN5"/>
    <mergeCell ref="PRO5:PSI5"/>
    <mergeCell ref="PSJ5:PTD5"/>
    <mergeCell ref="PLC5:PLW5"/>
    <mergeCell ref="PLX5:PMR5"/>
    <mergeCell ref="PMS5:PNM5"/>
    <mergeCell ref="PNN5:POH5"/>
    <mergeCell ref="POI5:PPC5"/>
    <mergeCell ref="PXF5:PXZ5"/>
    <mergeCell ref="PYA5:PYU5"/>
    <mergeCell ref="PYV5:PZP5"/>
    <mergeCell ref="PZQ5:QAK5"/>
    <mergeCell ref="QAL5:QBF5"/>
    <mergeCell ref="PTE5:PTY5"/>
    <mergeCell ref="PTZ5:PUT5"/>
    <mergeCell ref="PUU5:PVO5"/>
    <mergeCell ref="PVP5:PWJ5"/>
    <mergeCell ref="PWK5:PXE5"/>
    <mergeCell ref="QFH5:QGB5"/>
    <mergeCell ref="QGC5:QGW5"/>
    <mergeCell ref="QGX5:QHR5"/>
    <mergeCell ref="QHS5:QIM5"/>
    <mergeCell ref="QIN5:QJH5"/>
    <mergeCell ref="QBG5:QCA5"/>
    <mergeCell ref="QCB5:QCV5"/>
    <mergeCell ref="QCW5:QDQ5"/>
    <mergeCell ref="QDR5:QEL5"/>
    <mergeCell ref="QEM5:QFG5"/>
    <mergeCell ref="QNJ5:QOD5"/>
    <mergeCell ref="QOE5:QOY5"/>
    <mergeCell ref="QOZ5:QPT5"/>
    <mergeCell ref="QPU5:QQO5"/>
    <mergeCell ref="QQP5:QRJ5"/>
    <mergeCell ref="QJI5:QKC5"/>
    <mergeCell ref="QKD5:QKX5"/>
    <mergeCell ref="QKY5:QLS5"/>
    <mergeCell ref="QLT5:QMN5"/>
    <mergeCell ref="QMO5:QNI5"/>
    <mergeCell ref="QVL5:QWF5"/>
    <mergeCell ref="QWG5:QXA5"/>
    <mergeCell ref="QXB5:QXV5"/>
    <mergeCell ref="QXW5:QYQ5"/>
    <mergeCell ref="QYR5:QZL5"/>
    <mergeCell ref="QRK5:QSE5"/>
    <mergeCell ref="QSF5:QSZ5"/>
    <mergeCell ref="QTA5:QTU5"/>
    <mergeCell ref="QTV5:QUP5"/>
    <mergeCell ref="QUQ5:QVK5"/>
    <mergeCell ref="RDN5:REH5"/>
    <mergeCell ref="REI5:RFC5"/>
    <mergeCell ref="RFD5:RFX5"/>
    <mergeCell ref="RFY5:RGS5"/>
    <mergeCell ref="RGT5:RHN5"/>
    <mergeCell ref="QZM5:RAG5"/>
    <mergeCell ref="RAH5:RBB5"/>
    <mergeCell ref="RBC5:RBW5"/>
    <mergeCell ref="RBX5:RCR5"/>
    <mergeCell ref="RCS5:RDM5"/>
    <mergeCell ref="RLP5:RMJ5"/>
    <mergeCell ref="RMK5:RNE5"/>
    <mergeCell ref="RNF5:RNZ5"/>
    <mergeCell ref="ROA5:ROU5"/>
    <mergeCell ref="ROV5:RPP5"/>
    <mergeCell ref="RHO5:RII5"/>
    <mergeCell ref="RIJ5:RJD5"/>
    <mergeCell ref="RJE5:RJY5"/>
    <mergeCell ref="RJZ5:RKT5"/>
    <mergeCell ref="RKU5:RLO5"/>
    <mergeCell ref="RTR5:RUL5"/>
    <mergeCell ref="RUM5:RVG5"/>
    <mergeCell ref="RVH5:RWB5"/>
    <mergeCell ref="RWC5:RWW5"/>
    <mergeCell ref="RWX5:RXR5"/>
    <mergeCell ref="RPQ5:RQK5"/>
    <mergeCell ref="RQL5:RRF5"/>
    <mergeCell ref="RRG5:RSA5"/>
    <mergeCell ref="RSB5:RSV5"/>
    <mergeCell ref="RSW5:RTQ5"/>
    <mergeCell ref="SBT5:SCN5"/>
    <mergeCell ref="SCO5:SDI5"/>
    <mergeCell ref="SDJ5:SED5"/>
    <mergeCell ref="SEE5:SEY5"/>
    <mergeCell ref="SEZ5:SFT5"/>
    <mergeCell ref="RXS5:RYM5"/>
    <mergeCell ref="RYN5:RZH5"/>
    <mergeCell ref="RZI5:SAC5"/>
    <mergeCell ref="SAD5:SAX5"/>
    <mergeCell ref="SAY5:SBS5"/>
    <mergeCell ref="SJV5:SKP5"/>
    <mergeCell ref="SKQ5:SLK5"/>
    <mergeCell ref="SLL5:SMF5"/>
    <mergeCell ref="SMG5:SNA5"/>
    <mergeCell ref="SNB5:SNV5"/>
    <mergeCell ref="SFU5:SGO5"/>
    <mergeCell ref="SGP5:SHJ5"/>
    <mergeCell ref="SHK5:SIE5"/>
    <mergeCell ref="SIF5:SIZ5"/>
    <mergeCell ref="SJA5:SJU5"/>
    <mergeCell ref="SRX5:SSR5"/>
    <mergeCell ref="SSS5:STM5"/>
    <mergeCell ref="STN5:SUH5"/>
    <mergeCell ref="SUI5:SVC5"/>
    <mergeCell ref="SVD5:SVX5"/>
    <mergeCell ref="SNW5:SOQ5"/>
    <mergeCell ref="SOR5:SPL5"/>
    <mergeCell ref="SPM5:SQG5"/>
    <mergeCell ref="SQH5:SRB5"/>
    <mergeCell ref="SRC5:SRW5"/>
    <mergeCell ref="SZZ5:TAT5"/>
    <mergeCell ref="TAU5:TBO5"/>
    <mergeCell ref="TBP5:TCJ5"/>
    <mergeCell ref="TCK5:TDE5"/>
    <mergeCell ref="TDF5:TDZ5"/>
    <mergeCell ref="SVY5:SWS5"/>
    <mergeCell ref="SWT5:SXN5"/>
    <mergeCell ref="SXO5:SYI5"/>
    <mergeCell ref="SYJ5:SZD5"/>
    <mergeCell ref="SZE5:SZY5"/>
    <mergeCell ref="TIB5:TIV5"/>
    <mergeCell ref="TIW5:TJQ5"/>
    <mergeCell ref="TJR5:TKL5"/>
    <mergeCell ref="TKM5:TLG5"/>
    <mergeCell ref="TLH5:TMB5"/>
    <mergeCell ref="TEA5:TEU5"/>
    <mergeCell ref="TEV5:TFP5"/>
    <mergeCell ref="TFQ5:TGK5"/>
    <mergeCell ref="TGL5:THF5"/>
    <mergeCell ref="THG5:TIA5"/>
    <mergeCell ref="TQD5:TQX5"/>
    <mergeCell ref="TQY5:TRS5"/>
    <mergeCell ref="TRT5:TSN5"/>
    <mergeCell ref="TSO5:TTI5"/>
    <mergeCell ref="TTJ5:TUD5"/>
    <mergeCell ref="TMC5:TMW5"/>
    <mergeCell ref="TMX5:TNR5"/>
    <mergeCell ref="TNS5:TOM5"/>
    <mergeCell ref="TON5:TPH5"/>
    <mergeCell ref="TPI5:TQC5"/>
    <mergeCell ref="TYF5:TYZ5"/>
    <mergeCell ref="TZA5:TZU5"/>
    <mergeCell ref="TZV5:UAP5"/>
    <mergeCell ref="UAQ5:UBK5"/>
    <mergeCell ref="UBL5:UCF5"/>
    <mergeCell ref="TUE5:TUY5"/>
    <mergeCell ref="TUZ5:TVT5"/>
    <mergeCell ref="TVU5:TWO5"/>
    <mergeCell ref="TWP5:TXJ5"/>
    <mergeCell ref="TXK5:TYE5"/>
    <mergeCell ref="UGH5:UHB5"/>
    <mergeCell ref="UHC5:UHW5"/>
    <mergeCell ref="UHX5:UIR5"/>
    <mergeCell ref="UIS5:UJM5"/>
    <mergeCell ref="UJN5:UKH5"/>
    <mergeCell ref="UCG5:UDA5"/>
    <mergeCell ref="UDB5:UDV5"/>
    <mergeCell ref="UDW5:UEQ5"/>
    <mergeCell ref="UER5:UFL5"/>
    <mergeCell ref="UFM5:UGG5"/>
    <mergeCell ref="UOJ5:UPD5"/>
    <mergeCell ref="UPE5:UPY5"/>
    <mergeCell ref="UPZ5:UQT5"/>
    <mergeCell ref="UQU5:URO5"/>
    <mergeCell ref="URP5:USJ5"/>
    <mergeCell ref="UKI5:ULC5"/>
    <mergeCell ref="ULD5:ULX5"/>
    <mergeCell ref="ULY5:UMS5"/>
    <mergeCell ref="UMT5:UNN5"/>
    <mergeCell ref="UNO5:UOI5"/>
    <mergeCell ref="UWL5:UXF5"/>
    <mergeCell ref="UXG5:UYA5"/>
    <mergeCell ref="UYB5:UYV5"/>
    <mergeCell ref="UYW5:UZQ5"/>
    <mergeCell ref="UZR5:VAL5"/>
    <mergeCell ref="USK5:UTE5"/>
    <mergeCell ref="UTF5:UTZ5"/>
    <mergeCell ref="UUA5:UUU5"/>
    <mergeCell ref="UUV5:UVP5"/>
    <mergeCell ref="UVQ5:UWK5"/>
    <mergeCell ref="VEN5:VFH5"/>
    <mergeCell ref="VFI5:VGC5"/>
    <mergeCell ref="VGD5:VGX5"/>
    <mergeCell ref="VGY5:VHS5"/>
    <mergeCell ref="VHT5:VIN5"/>
    <mergeCell ref="VAM5:VBG5"/>
    <mergeCell ref="VBH5:VCB5"/>
    <mergeCell ref="VCC5:VCW5"/>
    <mergeCell ref="VCX5:VDR5"/>
    <mergeCell ref="VDS5:VEM5"/>
    <mergeCell ref="VMP5:VNJ5"/>
    <mergeCell ref="VNK5:VOE5"/>
    <mergeCell ref="VOF5:VOZ5"/>
    <mergeCell ref="VPA5:VPU5"/>
    <mergeCell ref="VPV5:VQP5"/>
    <mergeCell ref="VIO5:VJI5"/>
    <mergeCell ref="VJJ5:VKD5"/>
    <mergeCell ref="VKE5:VKY5"/>
    <mergeCell ref="VKZ5:VLT5"/>
    <mergeCell ref="VLU5:VMO5"/>
    <mergeCell ref="VUR5:VVL5"/>
    <mergeCell ref="VVM5:VWG5"/>
    <mergeCell ref="VWH5:VXB5"/>
    <mergeCell ref="VXC5:VXW5"/>
    <mergeCell ref="VXX5:VYR5"/>
    <mergeCell ref="VQQ5:VRK5"/>
    <mergeCell ref="VRL5:VSF5"/>
    <mergeCell ref="VSG5:VTA5"/>
    <mergeCell ref="VTB5:VTV5"/>
    <mergeCell ref="VTW5:VUQ5"/>
    <mergeCell ref="WCT5:WDN5"/>
    <mergeCell ref="WDO5:WEI5"/>
    <mergeCell ref="WEJ5:WFD5"/>
    <mergeCell ref="WFE5:WFY5"/>
    <mergeCell ref="WFZ5:WGT5"/>
    <mergeCell ref="VYS5:VZM5"/>
    <mergeCell ref="VZN5:WAH5"/>
    <mergeCell ref="WAI5:WBC5"/>
    <mergeCell ref="WBD5:WBX5"/>
    <mergeCell ref="WBY5:WCS5"/>
    <mergeCell ref="XEF5:XEI5"/>
    <mergeCell ref="WWY5:WXS5"/>
    <mergeCell ref="WXT5:WYN5"/>
    <mergeCell ref="WYO5:WZI5"/>
    <mergeCell ref="WZJ5:XAD5"/>
    <mergeCell ref="XAE5:XAY5"/>
    <mergeCell ref="WSX5:WTR5"/>
    <mergeCell ref="WTS5:WUM5"/>
    <mergeCell ref="WUN5:WVH5"/>
    <mergeCell ref="WVI5:WWC5"/>
    <mergeCell ref="WWD5:WWX5"/>
    <mergeCell ref="A4:V4"/>
    <mergeCell ref="A3:V3"/>
    <mergeCell ref="A2:V2"/>
    <mergeCell ref="A1:V1"/>
    <mergeCell ref="A67:U67"/>
    <mergeCell ref="XAZ5:XBT5"/>
    <mergeCell ref="XBU5:XCO5"/>
    <mergeCell ref="XCP5:XDJ5"/>
    <mergeCell ref="XDK5:XEE5"/>
    <mergeCell ref="WOW5:WPQ5"/>
    <mergeCell ref="WPR5:WQL5"/>
    <mergeCell ref="WQM5:WRG5"/>
    <mergeCell ref="WRH5:WSB5"/>
    <mergeCell ref="WSC5:WSW5"/>
    <mergeCell ref="WKV5:WLP5"/>
    <mergeCell ref="WLQ5:WMK5"/>
    <mergeCell ref="WML5:WNF5"/>
    <mergeCell ref="WNG5:WOA5"/>
    <mergeCell ref="WOB5:WOV5"/>
    <mergeCell ref="WGU5:WHO5"/>
    <mergeCell ref="WHP5:WIJ5"/>
    <mergeCell ref="WIK5:WJE5"/>
    <mergeCell ref="WJF5:WJZ5"/>
    <mergeCell ref="WKA5:WKU5"/>
  </mergeCells>
  <phoneticPr fontId="0" type="noConversion"/>
  <printOptions horizontalCentered="1"/>
  <pageMargins left="0" right="0" top="0.19685039370078741" bottom="0.11811023622047245" header="7.874015748031496E-2" footer="7.874015748031496E-2"/>
  <pageSetup scale="73" orientation="landscape" r:id="rId1"/>
  <headerFooter alignWithMargins="0"/>
  <customProperties>
    <customPr name="ExcelFSM_AdjustedButtonPressed" r:id="rId2"/>
    <customPr name="ExcelFSM_DetailsButtonPressed" r:id="rId3"/>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94"/>
  <sheetViews>
    <sheetView rightToLeft="1" view="pageBreakPreview" topLeftCell="A39" zoomScale="115" zoomScaleSheetLayoutView="115" workbookViewId="0">
      <selection activeCell="E67" sqref="E67"/>
    </sheetView>
  </sheetViews>
  <sheetFormatPr defaultColWidth="9.140625" defaultRowHeight="18.75" x14ac:dyDescent="0.45"/>
  <cols>
    <col min="1" max="2" width="2.5703125" style="244" customWidth="1"/>
    <col min="3" max="3" width="20.7109375" style="247" customWidth="1"/>
    <col min="4" max="4" width="2.7109375" style="244" customWidth="1"/>
    <col min="5" max="5" width="20.7109375" style="254" bestFit="1" customWidth="1"/>
    <col min="6" max="6" width="3.7109375" style="244" customWidth="1"/>
    <col min="7" max="7" width="9.140625" style="244" customWidth="1"/>
    <col min="8" max="8" width="36.28515625" style="244" customWidth="1"/>
    <col min="9" max="9" width="1.5703125" style="244" customWidth="1"/>
    <col min="10" max="10" width="1.28515625" style="263" customWidth="1"/>
    <col min="11" max="11" width="5.42578125" style="244" customWidth="1"/>
    <col min="12" max="12" width="12.140625" style="244" bestFit="1" customWidth="1"/>
    <col min="13" max="13" width="16.140625" style="244" bestFit="1" customWidth="1"/>
    <col min="14" max="14" width="14.42578125" style="244" customWidth="1"/>
    <col min="15" max="15" width="12.140625" style="244" bestFit="1" customWidth="1"/>
    <col min="16" max="16" width="10.28515625" style="244" bestFit="1" customWidth="1"/>
    <col min="17" max="16384" width="9.140625" style="244"/>
  </cols>
  <sheetData>
    <row r="1" spans="1:13" x14ac:dyDescent="0.45">
      <c r="A1" s="588">
        <f>Cover!A14</f>
        <v>0</v>
      </c>
      <c r="B1" s="588"/>
      <c r="C1" s="588"/>
      <c r="D1" s="588"/>
      <c r="E1" s="588"/>
      <c r="F1" s="588"/>
      <c r="G1" s="588"/>
      <c r="H1" s="588"/>
      <c r="I1" s="588"/>
      <c r="J1" s="588"/>
      <c r="K1" s="588"/>
    </row>
    <row r="2" spans="1:13" x14ac:dyDescent="0.45">
      <c r="A2" s="588" t="str">
        <f>Cover!A15</f>
        <v>(Foreign Company – Limited Liability Company)</v>
      </c>
      <c r="B2" s="588"/>
      <c r="C2" s="588"/>
      <c r="D2" s="588"/>
      <c r="E2" s="588"/>
      <c r="F2" s="588"/>
      <c r="G2" s="588"/>
      <c r="H2" s="588"/>
      <c r="I2" s="588"/>
      <c r="J2" s="588"/>
      <c r="K2" s="588"/>
    </row>
    <row r="3" spans="1:13" x14ac:dyDescent="0.45">
      <c r="A3" s="588" t="str">
        <f>Cover!A16</f>
        <v>Riyadh – Kingdom of Saudi Arabia</v>
      </c>
      <c r="B3" s="588"/>
      <c r="C3" s="588"/>
      <c r="D3" s="588"/>
      <c r="E3" s="588"/>
      <c r="F3" s="588"/>
      <c r="G3" s="588"/>
      <c r="H3" s="588"/>
      <c r="I3" s="588"/>
      <c r="J3" s="588"/>
      <c r="K3" s="588"/>
    </row>
    <row r="4" spans="1:13" x14ac:dyDescent="0.45">
      <c r="A4" s="588" t="str">
        <f>'1'!B4</f>
        <v>NOTES TO THE FINANCIAL STATEMENTS FOR PERIOD  ENDED31December2024</v>
      </c>
      <c r="B4" s="588"/>
      <c r="C4" s="588"/>
      <c r="D4" s="588"/>
      <c r="E4" s="588"/>
      <c r="F4" s="588"/>
      <c r="G4" s="588"/>
      <c r="H4" s="588"/>
      <c r="I4" s="588"/>
      <c r="J4" s="588"/>
      <c r="K4" s="588"/>
    </row>
    <row r="5" spans="1:13" ht="15.6" customHeight="1" x14ac:dyDescent="0.45">
      <c r="A5" s="606" t="str">
        <f>'Balance Sheet'!A5</f>
        <v>(saudi riyal)</v>
      </c>
      <c r="B5" s="606"/>
      <c r="C5" s="606"/>
      <c r="D5" s="606"/>
      <c r="E5" s="606"/>
      <c r="F5" s="606"/>
      <c r="G5" s="606"/>
      <c r="H5" s="606"/>
      <c r="I5" s="606"/>
      <c r="J5" s="606"/>
      <c r="K5" s="606"/>
    </row>
    <row r="6" spans="1:13" ht="10.15" customHeight="1" x14ac:dyDescent="0.45"/>
    <row r="7" spans="1:13" s="280" customFormat="1" hidden="1" x14ac:dyDescent="0.2">
      <c r="C7" s="315"/>
      <c r="D7" s="304"/>
      <c r="E7" s="295"/>
      <c r="H7" s="571" t="str">
        <f>'Balance Sheet'!K16</f>
        <v>Capital work in progress</v>
      </c>
      <c r="I7" s="571"/>
      <c r="J7" s="571"/>
      <c r="K7" s="290" t="str">
        <f>'Balance Sheet'!H16&amp;"-"</f>
        <v>-</v>
      </c>
    </row>
    <row r="8" spans="1:13" s="280" customFormat="1" hidden="1" x14ac:dyDescent="0.2">
      <c r="B8" s="629" t="str">
        <f xml:space="preserve"> H7&amp;" "&amp;"in" &amp;Index!$H$5&amp;" "&amp;Index!$H$6&amp;" "&amp;" :"</f>
        <v>Capital work in progress in31 December  :</v>
      </c>
      <c r="C8" s="629"/>
      <c r="D8" s="629"/>
      <c r="E8" s="629"/>
      <c r="F8" s="629"/>
      <c r="G8" s="629"/>
      <c r="H8" s="629"/>
      <c r="I8" s="629"/>
      <c r="J8" s="629"/>
      <c r="K8" s="290"/>
    </row>
    <row r="9" spans="1:13" s="280" customFormat="1" hidden="1" x14ac:dyDescent="0.2">
      <c r="C9" s="292" t="str">
        <f>Index!$G$5&amp;Index!$G$6&amp;Index!$G$7</f>
        <v>31December2023</v>
      </c>
      <c r="D9" s="293"/>
      <c r="E9" s="292" t="str">
        <f>Index!$H$5&amp;Index!$H$6&amp;Index!$H$7</f>
        <v>31December2024</v>
      </c>
      <c r="H9" s="312"/>
      <c r="J9" s="284"/>
      <c r="K9" s="285"/>
      <c r="M9" s="355"/>
    </row>
    <row r="10" spans="1:13" s="280" customFormat="1" hidden="1" x14ac:dyDescent="0.2">
      <c r="C10" s="292" t="str">
        <f>'Balance Sheet'!$D$10</f>
        <v>(saudi riyal)</v>
      </c>
      <c r="D10" s="293"/>
      <c r="E10" s="292" t="str">
        <f>'Balance Sheet'!$F$10</f>
        <v>(saudi riyal)</v>
      </c>
      <c r="H10" s="312"/>
      <c r="J10" s="284"/>
      <c r="K10" s="285"/>
      <c r="M10" s="355"/>
    </row>
    <row r="11" spans="1:13" s="280" customFormat="1" hidden="1" x14ac:dyDescent="0.2">
      <c r="B11" s="281"/>
      <c r="C11" s="281"/>
      <c r="D11" s="281"/>
      <c r="E11" s="281"/>
      <c r="H11" s="287"/>
      <c r="J11" s="284"/>
      <c r="K11" s="285"/>
      <c r="M11" s="355"/>
    </row>
    <row r="12" spans="1:13" s="280" customFormat="1" hidden="1" x14ac:dyDescent="0.2">
      <c r="B12" s="281"/>
      <c r="C12" s="281">
        <v>0</v>
      </c>
      <c r="D12" s="281"/>
      <c r="E12" s="281">
        <v>0</v>
      </c>
      <c r="H12" s="280" t="s">
        <v>341</v>
      </c>
      <c r="J12" s="284"/>
      <c r="K12" s="285"/>
      <c r="M12" s="356"/>
    </row>
    <row r="13" spans="1:13" s="280" customFormat="1" ht="19.5" hidden="1" thickBot="1" x14ac:dyDescent="0.25">
      <c r="C13" s="324">
        <f>SUM(C11:C12)</f>
        <v>0</v>
      </c>
      <c r="D13" s="304"/>
      <c r="E13" s="324">
        <f>SUM(E11:E12)</f>
        <v>0</v>
      </c>
      <c r="H13" s="300" t="str">
        <f>"Balance ended "&amp;"For "&amp;Index!J2</f>
        <v>Balance ended For YEAR</v>
      </c>
      <c r="J13" s="284"/>
      <c r="K13" s="285"/>
    </row>
    <row r="14" spans="1:13" s="280" customFormat="1" hidden="1" x14ac:dyDescent="0.2">
      <c r="C14" s="281"/>
      <c r="D14" s="304"/>
      <c r="E14" s="281"/>
      <c r="H14" s="300"/>
      <c r="J14" s="284"/>
      <c r="K14" s="285"/>
    </row>
    <row r="15" spans="1:13" s="280" customFormat="1" hidden="1" x14ac:dyDescent="0.2">
      <c r="C15" s="315"/>
      <c r="D15" s="304"/>
      <c r="E15" s="295"/>
      <c r="H15" s="571" t="str">
        <f>'Balance Sheet'!K17</f>
        <v>Investments in Subsidiaries</v>
      </c>
      <c r="I15" s="571"/>
      <c r="J15" s="571"/>
      <c r="K15" s="290" t="str">
        <f>'Balance Sheet'!H17&amp;"-"</f>
        <v>-</v>
      </c>
    </row>
    <row r="16" spans="1:13" s="280" customFormat="1" hidden="1" x14ac:dyDescent="0.2">
      <c r="B16" s="629" t="str">
        <f xml:space="preserve"> H15&amp;" "&amp;"in" &amp;Index!$H$5&amp;" "&amp;Index!$H$6&amp;" "&amp;" :"</f>
        <v>Investments in Subsidiaries in31 December  :</v>
      </c>
      <c r="C16" s="629"/>
      <c r="D16" s="629"/>
      <c r="E16" s="629"/>
      <c r="F16" s="629"/>
      <c r="G16" s="629"/>
      <c r="H16" s="629"/>
      <c r="I16" s="629"/>
      <c r="J16" s="629"/>
      <c r="K16" s="290"/>
    </row>
    <row r="17" spans="2:13" s="280" customFormat="1" hidden="1" x14ac:dyDescent="0.2">
      <c r="C17" s="292" t="str">
        <f>Index!$G$5&amp;Index!$G$6&amp;Index!$G$7</f>
        <v>31December2023</v>
      </c>
      <c r="D17" s="293"/>
      <c r="E17" s="292" t="str">
        <f>Index!$H$5&amp;Index!$H$6&amp;Index!$H$7</f>
        <v>31December2024</v>
      </c>
      <c r="H17" s="312"/>
      <c r="J17" s="284"/>
      <c r="K17" s="285"/>
      <c r="M17" s="355"/>
    </row>
    <row r="18" spans="2:13" s="280" customFormat="1" hidden="1" x14ac:dyDescent="0.2">
      <c r="C18" s="292" t="str">
        <f>'Balance Sheet'!$D$10</f>
        <v>(saudi riyal)</v>
      </c>
      <c r="D18" s="293"/>
      <c r="E18" s="292" t="str">
        <f>'Balance Sheet'!$F$10</f>
        <v>(saudi riyal)</v>
      </c>
      <c r="H18" s="312"/>
      <c r="J18" s="284"/>
      <c r="K18" s="285"/>
      <c r="M18" s="355"/>
    </row>
    <row r="19" spans="2:13" s="280" customFormat="1" hidden="1" x14ac:dyDescent="0.2">
      <c r="B19" s="281"/>
      <c r="C19" s="281"/>
      <c r="D19" s="281"/>
      <c r="E19" s="281"/>
      <c r="J19" s="284"/>
      <c r="K19" s="285"/>
      <c r="M19" s="356"/>
    </row>
    <row r="20" spans="2:13" s="280" customFormat="1" hidden="1" x14ac:dyDescent="0.2">
      <c r="B20" s="281"/>
      <c r="C20" s="281">
        <v>0</v>
      </c>
      <c r="D20" s="281"/>
      <c r="E20" s="281">
        <v>0</v>
      </c>
      <c r="H20" s="280" t="s">
        <v>376</v>
      </c>
      <c r="J20" s="284"/>
      <c r="K20" s="285"/>
      <c r="M20" s="356"/>
    </row>
    <row r="21" spans="2:13" s="280" customFormat="1" ht="19.5" hidden="1" thickBot="1" x14ac:dyDescent="0.25">
      <c r="C21" s="324">
        <f>SUM(C19:C20)</f>
        <v>0</v>
      </c>
      <c r="D21" s="304"/>
      <c r="E21" s="324">
        <f>SUM(E19:E20)</f>
        <v>0</v>
      </c>
      <c r="H21" s="300" t="str">
        <f>$H$13</f>
        <v>Balance ended For YEAR</v>
      </c>
      <c r="J21" s="284"/>
      <c r="K21" s="285"/>
    </row>
    <row r="22" spans="2:13" s="280" customFormat="1" hidden="1" x14ac:dyDescent="0.2">
      <c r="C22" s="281"/>
      <c r="D22" s="304"/>
      <c r="E22" s="281"/>
      <c r="H22" s="300"/>
      <c r="J22" s="284"/>
      <c r="K22" s="285"/>
    </row>
    <row r="23" spans="2:13" s="280" customFormat="1" hidden="1" x14ac:dyDescent="0.2">
      <c r="C23" s="315"/>
      <c r="D23" s="304"/>
      <c r="E23" s="295"/>
      <c r="H23" s="571" t="str">
        <f>'Balance Sheet'!K21</f>
        <v>Inventories</v>
      </c>
      <c r="I23" s="571"/>
      <c r="J23" s="571"/>
      <c r="K23" s="290" t="str">
        <f>'Balance Sheet'!H21&amp;"-"</f>
        <v>-</v>
      </c>
    </row>
    <row r="24" spans="2:13" s="280" customFormat="1" hidden="1" x14ac:dyDescent="0.2">
      <c r="B24" s="629" t="str">
        <f xml:space="preserve"> H23&amp;" "&amp;"in" &amp;Index!$H$5&amp;" "&amp;Index!$H$6&amp;" "&amp;" :"</f>
        <v>Inventories in31 December  :</v>
      </c>
      <c r="C24" s="629"/>
      <c r="D24" s="629"/>
      <c r="E24" s="629"/>
      <c r="F24" s="629"/>
      <c r="G24" s="629"/>
      <c r="H24" s="629"/>
      <c r="I24" s="629"/>
      <c r="J24" s="629"/>
      <c r="K24" s="290"/>
    </row>
    <row r="25" spans="2:13" s="280" customFormat="1" hidden="1" x14ac:dyDescent="0.2">
      <c r="C25" s="292" t="str">
        <f>Index!$G$5&amp;Index!$G$6&amp;Index!$G$7</f>
        <v>31December2023</v>
      </c>
      <c r="D25" s="293"/>
      <c r="E25" s="292" t="str">
        <f>Index!$H$5&amp;Index!$H$6&amp;Index!$H$7</f>
        <v>31December2024</v>
      </c>
      <c r="H25" s="300"/>
      <c r="J25" s="284"/>
      <c r="K25" s="285"/>
    </row>
    <row r="26" spans="2:13" s="280" customFormat="1" hidden="1" x14ac:dyDescent="0.2">
      <c r="C26" s="292" t="str">
        <f>'Balance Sheet'!$D$10</f>
        <v>(saudi riyal)</v>
      </c>
      <c r="D26" s="293"/>
      <c r="E26" s="292" t="str">
        <f>'Balance Sheet'!$F$10</f>
        <v>(saudi riyal)</v>
      </c>
      <c r="H26" s="300"/>
      <c r="J26" s="284"/>
      <c r="K26" s="285"/>
    </row>
    <row r="27" spans="2:13" s="280" customFormat="1" hidden="1" x14ac:dyDescent="0.45">
      <c r="B27" s="347"/>
      <c r="C27" s="347">
        <v>0</v>
      </c>
      <c r="D27" s="304"/>
      <c r="E27" s="347">
        <v>0</v>
      </c>
      <c r="H27" s="280" t="s">
        <v>183</v>
      </c>
      <c r="J27" s="284"/>
      <c r="K27" s="285"/>
      <c r="M27" s="356"/>
    </row>
    <row r="28" spans="2:13" s="280" customFormat="1" hidden="1" x14ac:dyDescent="0.2">
      <c r="B28" s="281"/>
      <c r="C28" s="281"/>
      <c r="D28" s="281"/>
      <c r="E28" s="281"/>
      <c r="J28" s="284"/>
      <c r="K28" s="285"/>
      <c r="M28" s="356"/>
    </row>
    <row r="29" spans="2:13" s="280" customFormat="1" ht="19.5" hidden="1" thickBot="1" x14ac:dyDescent="0.25">
      <c r="C29" s="324">
        <f>SUM(C27:C28)</f>
        <v>0</v>
      </c>
      <c r="D29" s="304"/>
      <c r="E29" s="324">
        <f>SUM(E27:E28)</f>
        <v>0</v>
      </c>
      <c r="H29" s="300" t="str">
        <f>$H$13</f>
        <v>Balance ended For YEAR</v>
      </c>
      <c r="J29" s="284"/>
      <c r="K29" s="285"/>
    </row>
    <row r="30" spans="2:13" s="280" customFormat="1" ht="10.9" customHeight="1" x14ac:dyDescent="0.2">
      <c r="C30" s="287"/>
      <c r="E30" s="288"/>
      <c r="J30" s="284"/>
      <c r="K30" s="313"/>
    </row>
    <row r="31" spans="2:13" s="280" customFormat="1" x14ac:dyDescent="0.2">
      <c r="C31" s="287"/>
      <c r="E31" s="288"/>
      <c r="H31" s="571" t="str">
        <f>'Balance Sheet'!K22</f>
        <v>Trade receivables</v>
      </c>
      <c r="I31" s="571"/>
      <c r="J31" s="571"/>
      <c r="K31" s="290" t="str">
        <f>'Balance Sheet'!H22&amp;"-"</f>
        <v>5-</v>
      </c>
    </row>
    <row r="32" spans="2:13" s="280" customFormat="1" x14ac:dyDescent="0.2">
      <c r="B32" s="629" t="str">
        <f xml:space="preserve"> H31&amp;" "&amp;"in" &amp;Index!$H$5&amp;" "&amp;Index!$H$6&amp;" "&amp;" :"</f>
        <v>Trade receivables in31 December  :</v>
      </c>
      <c r="C32" s="629"/>
      <c r="D32" s="629"/>
      <c r="E32" s="629"/>
      <c r="F32" s="629"/>
      <c r="G32" s="629"/>
      <c r="H32" s="629"/>
      <c r="I32" s="629"/>
      <c r="J32" s="629"/>
      <c r="K32" s="290"/>
    </row>
    <row r="33" spans="2:15" s="280" customFormat="1" x14ac:dyDescent="0.2">
      <c r="B33" s="287"/>
      <c r="C33" s="292" t="str">
        <f>Index!$G$5&amp;Index!$G$6&amp;Index!$G$7</f>
        <v>31December2023</v>
      </c>
      <c r="D33" s="293"/>
      <c r="E33" s="292" t="str">
        <f>Index!$H$5&amp;Index!$H$6&amp;Index!$H$7</f>
        <v>31December2024</v>
      </c>
      <c r="F33" s="287"/>
      <c r="G33" s="287"/>
      <c r="H33" s="312"/>
      <c r="I33" s="287"/>
      <c r="J33" s="287"/>
      <c r="K33" s="290"/>
    </row>
    <row r="34" spans="2:15" s="280" customFormat="1" x14ac:dyDescent="0.2">
      <c r="B34" s="287"/>
      <c r="C34" s="292" t="str">
        <f>'Balance Sheet'!$D$10</f>
        <v>(saudi riyal)</v>
      </c>
      <c r="D34" s="293"/>
      <c r="E34" s="292" t="str">
        <f>'Balance Sheet'!$F$10</f>
        <v>(saudi riyal)</v>
      </c>
      <c r="F34" s="287"/>
      <c r="G34" s="287"/>
      <c r="H34" s="287"/>
      <c r="I34" s="287"/>
      <c r="J34" s="287"/>
      <c r="K34" s="290"/>
      <c r="M34" s="398"/>
      <c r="N34" s="318"/>
    </row>
    <row r="35" spans="2:15" s="280" customFormat="1" hidden="1" x14ac:dyDescent="0.2">
      <c r="B35" s="281"/>
      <c r="C35" s="281"/>
      <c r="D35" s="281"/>
      <c r="E35" s="281"/>
      <c r="J35" s="284"/>
      <c r="K35" s="285"/>
      <c r="M35" s="356"/>
    </row>
    <row r="36" spans="2:15" s="280" customFormat="1" x14ac:dyDescent="0.2">
      <c r="B36" s="281"/>
      <c r="C36" s="314">
        <v>0</v>
      </c>
      <c r="D36" s="281"/>
      <c r="E36" s="314">
        <v>0</v>
      </c>
      <c r="H36" s="291" t="s">
        <v>184</v>
      </c>
      <c r="J36" s="284"/>
      <c r="K36" s="285"/>
      <c r="M36" s="356"/>
    </row>
    <row r="37" spans="2:15" s="280" customFormat="1" hidden="1" x14ac:dyDescent="0.2">
      <c r="B37" s="281"/>
      <c r="C37" s="314">
        <v>0</v>
      </c>
      <c r="D37" s="281"/>
      <c r="E37" s="314">
        <v>0</v>
      </c>
      <c r="H37" s="291" t="s">
        <v>506</v>
      </c>
      <c r="J37" s="284"/>
      <c r="K37" s="285"/>
      <c r="M37" s="356"/>
    </row>
    <row r="38" spans="2:15" s="280" customFormat="1" ht="19.5" thickBot="1" x14ac:dyDescent="0.25">
      <c r="C38" s="324">
        <f>SUM(C35:C37)</f>
        <v>0</v>
      </c>
      <c r="D38" s="304"/>
      <c r="E38" s="324">
        <f>SUM(E35:E37)</f>
        <v>0</v>
      </c>
      <c r="H38" s="300" t="str">
        <f>$H$13</f>
        <v>Balance ended For YEAR</v>
      </c>
      <c r="J38" s="284"/>
      <c r="K38" s="285"/>
      <c r="M38" s="318"/>
    </row>
    <row r="39" spans="2:15" s="280" customFormat="1" ht="19.5" thickTop="1" x14ac:dyDescent="0.2">
      <c r="C39" s="304"/>
      <c r="D39" s="304"/>
      <c r="E39" s="399"/>
      <c r="J39" s="284"/>
      <c r="K39" s="285"/>
      <c r="L39" s="318"/>
      <c r="M39" s="356"/>
    </row>
    <row r="40" spans="2:15" s="280" customFormat="1" x14ac:dyDescent="0.2">
      <c r="C40" s="287"/>
      <c r="E40" s="288"/>
      <c r="F40" s="571" t="str">
        <f>'Balance Sheet'!K23</f>
        <v>Prepayments and other receivables</v>
      </c>
      <c r="G40" s="571"/>
      <c r="H40" s="571"/>
      <c r="I40" s="571"/>
      <c r="J40" s="571"/>
      <c r="K40" s="290" t="str">
        <f>'Balance Sheet'!H23&amp;"-"</f>
        <v>6-</v>
      </c>
      <c r="O40" s="318"/>
    </row>
    <row r="41" spans="2:15" s="280" customFormat="1" x14ac:dyDescent="0.2">
      <c r="B41" s="629" t="str">
        <f xml:space="preserve"> F40&amp;" "&amp;"in" &amp;Index!$H$5&amp;" "&amp;Index!$H$6&amp;" "&amp;" :"</f>
        <v>Prepayments and other receivables in31 December  :</v>
      </c>
      <c r="C41" s="629"/>
      <c r="D41" s="629"/>
      <c r="E41" s="629"/>
      <c r="F41" s="629"/>
      <c r="G41" s="629"/>
      <c r="H41" s="629"/>
      <c r="I41" s="629"/>
      <c r="J41" s="629"/>
      <c r="K41" s="290"/>
    </row>
    <row r="42" spans="2:15" s="280" customFormat="1" x14ac:dyDescent="0.2">
      <c r="B42" s="287"/>
      <c r="C42" s="292" t="str">
        <f>Index!$G$5&amp;Index!$G$6&amp;Index!$G$7</f>
        <v>31December2023</v>
      </c>
      <c r="D42" s="293"/>
      <c r="E42" s="292" t="str">
        <f>Index!$H$5&amp;Index!$H$6&amp;Index!$H$7</f>
        <v>31December2024</v>
      </c>
      <c r="F42" s="287"/>
      <c r="G42" s="287"/>
      <c r="H42" s="312"/>
      <c r="I42" s="287"/>
      <c r="J42" s="287"/>
      <c r="K42" s="290"/>
    </row>
    <row r="43" spans="2:15" s="404" customFormat="1" ht="21.75" customHeight="1" x14ac:dyDescent="0.2">
      <c r="B43" s="401"/>
      <c r="C43" s="400" t="str">
        <f>'Balance Sheet'!$D$10</f>
        <v>(saudi riyal)</v>
      </c>
      <c r="D43" s="402"/>
      <c r="E43" s="400" t="str">
        <f>'Balance Sheet'!$F$10</f>
        <v>(saudi riyal)</v>
      </c>
      <c r="F43" s="401"/>
      <c r="G43" s="401"/>
      <c r="H43" s="401"/>
      <c r="I43" s="401"/>
      <c r="J43" s="401"/>
      <c r="K43" s="403"/>
    </row>
    <row r="44" spans="2:15" s="280" customFormat="1" x14ac:dyDescent="0.2">
      <c r="B44" s="281"/>
      <c r="C44" s="281"/>
      <c r="D44" s="281"/>
      <c r="E44" s="281"/>
      <c r="H44" s="291"/>
      <c r="J44" s="284"/>
      <c r="K44" s="285"/>
      <c r="M44" s="356"/>
    </row>
    <row r="45" spans="2:15" s="280" customFormat="1" x14ac:dyDescent="0.2">
      <c r="B45" s="281"/>
      <c r="C45" s="314">
        <v>0</v>
      </c>
      <c r="D45" s="281"/>
      <c r="E45" s="314">
        <v>0</v>
      </c>
      <c r="H45" s="291" t="s">
        <v>528</v>
      </c>
      <c r="J45" s="284"/>
      <c r="K45" s="285"/>
      <c r="M45" s="356"/>
    </row>
    <row r="46" spans="2:15" s="280" customFormat="1" x14ac:dyDescent="0.2">
      <c r="B46" s="281"/>
      <c r="C46" s="314">
        <v>0</v>
      </c>
      <c r="D46" s="281"/>
      <c r="E46" s="314">
        <v>0</v>
      </c>
      <c r="H46" s="291" t="s">
        <v>529</v>
      </c>
      <c r="J46" s="284"/>
      <c r="K46" s="285"/>
      <c r="M46" s="356"/>
    </row>
    <row r="47" spans="2:15" s="280" customFormat="1" x14ac:dyDescent="0.2">
      <c r="B47" s="281"/>
      <c r="C47" s="314">
        <v>0</v>
      </c>
      <c r="D47" s="281"/>
      <c r="E47" s="314">
        <v>0</v>
      </c>
      <c r="H47" s="291" t="s">
        <v>530</v>
      </c>
      <c r="J47" s="284"/>
      <c r="K47" s="285"/>
      <c r="M47" s="356"/>
    </row>
    <row r="48" spans="2:15" s="280" customFormat="1" ht="18.75" customHeight="1" x14ac:dyDescent="0.2">
      <c r="B48" s="281"/>
      <c r="C48" s="360">
        <v>0</v>
      </c>
      <c r="D48" s="281"/>
      <c r="E48" s="281">
        <v>0</v>
      </c>
      <c r="H48" s="291" t="s">
        <v>531</v>
      </c>
      <c r="J48" s="284"/>
      <c r="K48" s="285"/>
      <c r="M48" s="356"/>
    </row>
    <row r="49" spans="2:14" s="280" customFormat="1" x14ac:dyDescent="0.2">
      <c r="B49" s="281"/>
      <c r="C49" s="281">
        <v>0</v>
      </c>
      <c r="D49" s="281"/>
      <c r="E49" s="314">
        <v>0</v>
      </c>
      <c r="H49" s="280" t="s">
        <v>532</v>
      </c>
      <c r="J49" s="284"/>
      <c r="K49" s="285"/>
      <c r="M49" s="356"/>
    </row>
    <row r="50" spans="2:14" s="280" customFormat="1" ht="19.5" thickBot="1" x14ac:dyDescent="0.25">
      <c r="C50" s="324">
        <f>SUM(C44:C49)</f>
        <v>0</v>
      </c>
      <c r="D50" s="304"/>
      <c r="E50" s="324">
        <f>SUM(E44:E49)</f>
        <v>0</v>
      </c>
      <c r="G50" s="355"/>
      <c r="H50" s="300" t="str">
        <f>$H$13</f>
        <v>Balance ended For YEAR</v>
      </c>
      <c r="J50" s="284"/>
      <c r="K50" s="285"/>
      <c r="M50" s="286"/>
      <c r="N50" s="286"/>
    </row>
    <row r="51" spans="2:14" s="280" customFormat="1" ht="9.6" customHeight="1" thickTop="1" x14ac:dyDescent="0.2">
      <c r="B51" s="287"/>
      <c r="C51" s="315"/>
      <c r="D51" s="317"/>
      <c r="E51" s="315"/>
      <c r="F51" s="287"/>
      <c r="G51" s="287"/>
      <c r="H51" s="287"/>
      <c r="I51" s="287"/>
      <c r="J51" s="287"/>
      <c r="K51" s="285"/>
    </row>
    <row r="52" spans="2:14" s="280" customFormat="1" hidden="1" x14ac:dyDescent="0.2">
      <c r="C52" s="287"/>
      <c r="E52" s="288"/>
      <c r="H52" s="571" t="str">
        <f>'Balance Sheet'!K25</f>
        <v>Short term investments</v>
      </c>
      <c r="I52" s="571"/>
      <c r="J52" s="571"/>
      <c r="K52" s="290" t="str">
        <f>'Balance Sheet'!H25&amp;"-"</f>
        <v>14-</v>
      </c>
    </row>
    <row r="53" spans="2:14" s="280" customFormat="1" hidden="1" x14ac:dyDescent="0.2">
      <c r="B53" s="629" t="str">
        <f xml:space="preserve"> H52&amp;" "&amp;"in" &amp;Index!$H$5&amp;" "&amp;Index!$H$6&amp;" "&amp;" :"</f>
        <v>Short term investments in31 December  :</v>
      </c>
      <c r="C53" s="629"/>
      <c r="D53" s="629"/>
      <c r="E53" s="629"/>
      <c r="F53" s="629"/>
      <c r="G53" s="629"/>
      <c r="H53" s="629"/>
      <c r="I53" s="629"/>
      <c r="J53" s="629"/>
      <c r="K53" s="290"/>
    </row>
    <row r="54" spans="2:14" s="280" customFormat="1" hidden="1" x14ac:dyDescent="0.2">
      <c r="B54" s="287"/>
      <c r="C54" s="292" t="str">
        <f>Index!$G$5&amp;Index!$G$6&amp;Index!$G$7</f>
        <v>31December2023</v>
      </c>
      <c r="D54" s="293"/>
      <c r="E54" s="292" t="str">
        <f>Index!$H$5&amp;Index!$H$6&amp;Index!$H$7</f>
        <v>31December2024</v>
      </c>
      <c r="F54" s="287"/>
      <c r="G54" s="287"/>
      <c r="H54" s="312"/>
      <c r="I54" s="287"/>
      <c r="J54" s="287"/>
      <c r="K54" s="290"/>
    </row>
    <row r="55" spans="2:14" s="280" customFormat="1" hidden="1" x14ac:dyDescent="0.2">
      <c r="C55" s="292" t="str">
        <f>'Balance Sheet'!$D$10</f>
        <v>(saudi riyal)</v>
      </c>
      <c r="D55" s="293"/>
      <c r="E55" s="292" t="str">
        <f>'Balance Sheet'!$F$10</f>
        <v>(saudi riyal)</v>
      </c>
      <c r="J55" s="284"/>
      <c r="K55" s="313"/>
    </row>
    <row r="56" spans="2:14" s="280" customFormat="1" hidden="1" x14ac:dyDescent="0.2">
      <c r="B56" s="281"/>
      <c r="C56" s="281"/>
      <c r="D56" s="281"/>
      <c r="E56" s="281"/>
      <c r="J56" s="284"/>
      <c r="K56" s="285"/>
      <c r="M56" s="356"/>
    </row>
    <row r="57" spans="2:14" s="280" customFormat="1" hidden="1" x14ac:dyDescent="0.2">
      <c r="B57" s="281"/>
      <c r="C57" s="281"/>
      <c r="D57" s="281"/>
      <c r="E57" s="281"/>
      <c r="J57" s="284"/>
      <c r="K57" s="285"/>
      <c r="M57" s="356"/>
    </row>
    <row r="58" spans="2:14" s="280" customFormat="1" ht="19.5" hidden="1" thickBot="1" x14ac:dyDescent="0.25">
      <c r="C58" s="324">
        <f>SUM(C56:C57)</f>
        <v>0</v>
      </c>
      <c r="D58" s="304"/>
      <c r="E58" s="324">
        <f>SUM(E56:E57)</f>
        <v>0</v>
      </c>
      <c r="H58" s="300" t="str">
        <f>$H$13</f>
        <v>Balance ended For YEAR</v>
      </c>
      <c r="J58" s="284"/>
      <c r="K58" s="285"/>
    </row>
    <row r="59" spans="2:14" s="280" customFormat="1" ht="12.6" hidden="1" customHeight="1" x14ac:dyDescent="0.2">
      <c r="C59" s="315"/>
      <c r="D59" s="304"/>
      <c r="E59" s="295"/>
      <c r="H59" s="300"/>
      <c r="J59" s="284"/>
      <c r="K59" s="285"/>
    </row>
    <row r="60" spans="2:14" s="280" customFormat="1" x14ac:dyDescent="0.2">
      <c r="C60" s="287"/>
      <c r="E60" s="288"/>
      <c r="H60" s="571" t="str">
        <f>'Balance Sheet'!K26</f>
        <v>Cash and cash equivalents</v>
      </c>
      <c r="I60" s="571"/>
      <c r="J60" s="571"/>
      <c r="K60" s="290" t="str">
        <f>'Balance Sheet'!H26&amp;"-"</f>
        <v>7-</v>
      </c>
    </row>
    <row r="61" spans="2:14" s="280" customFormat="1" x14ac:dyDescent="0.2">
      <c r="B61" s="629" t="str">
        <f xml:space="preserve"> H60&amp;" "&amp;"in" &amp;Index!$H$5&amp;" "&amp;Index!$H$6&amp;" "&amp;" :"</f>
        <v>Cash and cash equivalents in31 December  :</v>
      </c>
      <c r="C61" s="629"/>
      <c r="D61" s="629"/>
      <c r="E61" s="629"/>
      <c r="F61" s="629"/>
      <c r="G61" s="629"/>
      <c r="H61" s="629"/>
      <c r="I61" s="629"/>
      <c r="J61" s="629"/>
      <c r="K61" s="290"/>
    </row>
    <row r="62" spans="2:14" s="280" customFormat="1" x14ac:dyDescent="0.2">
      <c r="B62" s="287"/>
      <c r="C62" s="292" t="str">
        <f>Index!$G$5&amp;Index!$G$6&amp;Index!$G$7</f>
        <v>31December2023</v>
      </c>
      <c r="D62" s="293"/>
      <c r="E62" s="292" t="str">
        <f>Index!$H$5&amp;Index!$H$6&amp;Index!$H$7</f>
        <v>31December2024</v>
      </c>
      <c r="F62" s="287"/>
      <c r="G62" s="287"/>
      <c r="H62" s="312"/>
      <c r="I62" s="287"/>
      <c r="J62" s="287"/>
      <c r="K62" s="290"/>
    </row>
    <row r="63" spans="2:14" s="280" customFormat="1" ht="24.75" customHeight="1" x14ac:dyDescent="0.2">
      <c r="C63" s="292" t="str">
        <f>'Balance Sheet'!$D$10</f>
        <v>(saudi riyal)</v>
      </c>
      <c r="D63" s="293"/>
      <c r="E63" s="292" t="str">
        <f>'Balance Sheet'!$F$10</f>
        <v>(saudi riyal)</v>
      </c>
      <c r="J63" s="284"/>
      <c r="K63" s="313"/>
    </row>
    <row r="64" spans="2:14" s="280" customFormat="1" x14ac:dyDescent="0.2">
      <c r="B64" s="281"/>
      <c r="C64" s="281">
        <v>0</v>
      </c>
      <c r="D64" s="281"/>
      <c r="E64" s="281">
        <v>0</v>
      </c>
      <c r="H64" s="291" t="s">
        <v>254</v>
      </c>
      <c r="J64" s="284"/>
      <c r="K64" s="405"/>
      <c r="M64" s="356"/>
    </row>
    <row r="65" spans="2:13" s="280" customFormat="1" x14ac:dyDescent="0.2">
      <c r="B65" s="281"/>
      <c r="C65" s="314">
        <v>0</v>
      </c>
      <c r="D65" s="281"/>
      <c r="E65" s="314">
        <v>0</v>
      </c>
      <c r="H65" s="291" t="s">
        <v>501</v>
      </c>
      <c r="J65" s="284"/>
      <c r="K65" s="405"/>
      <c r="M65" s="356"/>
    </row>
    <row r="66" spans="2:13" s="280" customFormat="1" ht="19.5" thickBot="1" x14ac:dyDescent="0.25">
      <c r="C66" s="324">
        <f>SUM(C64:C65)</f>
        <v>0</v>
      </c>
      <c r="D66" s="304"/>
      <c r="E66" s="324">
        <f>SUM(E64:E65)</f>
        <v>0</v>
      </c>
      <c r="H66" s="300" t="str">
        <f>$H$13</f>
        <v>Balance ended For YEAR</v>
      </c>
      <c r="J66" s="284"/>
      <c r="K66" s="405"/>
    </row>
    <row r="67" spans="2:13" s="280" customFormat="1" ht="19.5" thickTop="1" x14ac:dyDescent="0.2">
      <c r="C67" s="281"/>
      <c r="D67" s="304"/>
      <c r="E67" s="281"/>
      <c r="H67" s="300"/>
      <c r="J67" s="284"/>
      <c r="K67" s="405"/>
    </row>
    <row r="68" spans="2:13" s="280" customFormat="1" x14ac:dyDescent="0.2">
      <c r="C68" s="281"/>
      <c r="D68" s="304"/>
      <c r="E68" s="281"/>
      <c r="H68" s="300"/>
      <c r="J68" s="284"/>
      <c r="K68" s="405"/>
    </row>
    <row r="69" spans="2:13" s="280" customFormat="1" x14ac:dyDescent="0.2">
      <c r="C69" s="281"/>
      <c r="D69" s="304"/>
      <c r="E69" s="281"/>
      <c r="H69" s="300"/>
      <c r="J69" s="284"/>
      <c r="K69" s="405"/>
    </row>
    <row r="70" spans="2:13" s="280" customFormat="1" x14ac:dyDescent="0.2">
      <c r="C70" s="281"/>
      <c r="D70" s="304"/>
      <c r="E70" s="281"/>
      <c r="H70" s="300"/>
      <c r="J70" s="284"/>
      <c r="K70" s="405"/>
    </row>
    <row r="71" spans="2:13" s="280" customFormat="1" x14ac:dyDescent="0.2">
      <c r="C71" s="281"/>
      <c r="D71" s="304"/>
      <c r="E71" s="281"/>
      <c r="H71" s="300"/>
      <c r="J71" s="284"/>
      <c r="K71" s="405"/>
    </row>
    <row r="72" spans="2:13" s="280" customFormat="1" x14ac:dyDescent="0.2">
      <c r="C72" s="281"/>
      <c r="D72" s="304"/>
      <c r="E72" s="281"/>
      <c r="H72" s="300"/>
      <c r="J72" s="284"/>
      <c r="K72" s="405"/>
    </row>
    <row r="73" spans="2:13" s="280" customFormat="1" x14ac:dyDescent="0.2">
      <c r="C73" s="281"/>
      <c r="D73" s="304"/>
      <c r="E73" s="281"/>
      <c r="H73" s="300"/>
      <c r="J73" s="284"/>
      <c r="K73" s="405"/>
    </row>
    <row r="74" spans="2:13" s="280" customFormat="1" x14ac:dyDescent="0.2">
      <c r="C74" s="281"/>
      <c r="D74" s="304"/>
      <c r="E74" s="281"/>
      <c r="H74" s="300"/>
      <c r="J74" s="284"/>
      <c r="K74" s="405"/>
    </row>
    <row r="75" spans="2:13" s="280" customFormat="1" x14ac:dyDescent="0.2">
      <c r="C75" s="281"/>
      <c r="D75" s="304"/>
      <c r="E75" s="281"/>
      <c r="H75" s="300"/>
      <c r="J75" s="284"/>
      <c r="K75" s="405"/>
    </row>
    <row r="76" spans="2:13" s="280" customFormat="1" x14ac:dyDescent="0.2">
      <c r="C76" s="281"/>
      <c r="D76" s="304"/>
      <c r="E76" s="281"/>
      <c r="H76" s="300"/>
      <c r="J76" s="284"/>
      <c r="K76" s="405"/>
    </row>
    <row r="77" spans="2:13" s="280" customFormat="1" x14ac:dyDescent="0.2">
      <c r="C77" s="281"/>
      <c r="D77" s="304"/>
      <c r="E77" s="281"/>
      <c r="H77" s="300"/>
      <c r="J77" s="284"/>
      <c r="K77" s="405"/>
    </row>
    <row r="78" spans="2:13" s="280" customFormat="1" x14ac:dyDescent="0.2">
      <c r="C78" s="281"/>
      <c r="D78" s="304"/>
      <c r="E78" s="281"/>
      <c r="H78" s="300"/>
      <c r="J78" s="284"/>
      <c r="K78" s="405"/>
    </row>
    <row r="79" spans="2:13" s="280" customFormat="1" x14ac:dyDescent="0.2">
      <c r="C79" s="281"/>
      <c r="D79" s="304"/>
      <c r="E79" s="281"/>
      <c r="H79" s="300"/>
      <c r="J79" s="284"/>
      <c r="K79" s="405"/>
    </row>
    <row r="80" spans="2:13" s="280" customFormat="1" x14ac:dyDescent="0.2">
      <c r="C80" s="281"/>
      <c r="D80" s="304"/>
      <c r="E80" s="281"/>
      <c r="H80" s="300"/>
      <c r="J80" s="284"/>
      <c r="K80" s="405"/>
    </row>
    <row r="81" spans="1:14" s="280" customFormat="1" x14ac:dyDescent="0.2">
      <c r="C81" s="281"/>
      <c r="D81" s="304"/>
      <c r="E81" s="281"/>
      <c r="H81" s="300"/>
      <c r="J81" s="284"/>
      <c r="K81" s="405"/>
    </row>
    <row r="82" spans="1:14" s="280" customFormat="1" x14ac:dyDescent="0.2">
      <c r="C82" s="281"/>
      <c r="D82" s="304"/>
      <c r="E82" s="281"/>
      <c r="H82" s="300"/>
      <c r="J82" s="284"/>
      <c r="K82" s="405"/>
    </row>
    <row r="83" spans="1:14" x14ac:dyDescent="0.45">
      <c r="A83" s="630" t="str">
        <f>"-"&amp;SUM(Index!I10:I21)&amp;"-"</f>
        <v>-12-</v>
      </c>
      <c r="B83" s="630"/>
      <c r="C83" s="630"/>
      <c r="D83" s="630"/>
      <c r="E83" s="630"/>
      <c r="F83" s="630"/>
      <c r="G83" s="630"/>
      <c r="H83" s="630"/>
      <c r="I83" s="630"/>
      <c r="J83" s="630"/>
      <c r="K83" s="630"/>
      <c r="M83" s="325"/>
      <c r="N83" s="326"/>
    </row>
    <row r="84" spans="1:14" x14ac:dyDescent="0.45">
      <c r="C84" s="275"/>
      <c r="H84" s="276"/>
      <c r="K84" s="254"/>
    </row>
    <row r="85" spans="1:14" x14ac:dyDescent="0.45">
      <c r="C85" s="277"/>
      <c r="H85" s="276"/>
      <c r="J85" s="270"/>
    </row>
    <row r="86" spans="1:14" x14ac:dyDescent="0.45">
      <c r="C86" s="277"/>
      <c r="H86" s="276"/>
      <c r="K86" s="307"/>
    </row>
    <row r="87" spans="1:14" x14ac:dyDescent="0.45">
      <c r="C87" s="277"/>
      <c r="H87" s="276"/>
      <c r="K87" s="307"/>
    </row>
    <row r="88" spans="1:14" x14ac:dyDescent="0.45">
      <c r="C88" s="277"/>
      <c r="H88" s="276"/>
      <c r="K88" s="307"/>
      <c r="M88" s="326"/>
      <c r="N88" s="326"/>
    </row>
    <row r="89" spans="1:14" x14ac:dyDescent="0.45">
      <c r="C89" s="275"/>
      <c r="H89" s="276"/>
    </row>
    <row r="90" spans="1:14" x14ac:dyDescent="0.45">
      <c r="C90" s="275"/>
      <c r="H90" s="278"/>
      <c r="J90" s="279"/>
    </row>
    <row r="91" spans="1:14" x14ac:dyDescent="0.45">
      <c r="C91" s="275"/>
      <c r="H91" s="276"/>
      <c r="J91" s="279"/>
    </row>
    <row r="94" spans="1:14" x14ac:dyDescent="0.45">
      <c r="M94" s="330"/>
      <c r="N94" s="330"/>
    </row>
  </sheetData>
  <mergeCells count="20">
    <mergeCell ref="H15:J15"/>
    <mergeCell ref="B16:J16"/>
    <mergeCell ref="H7:J7"/>
    <mergeCell ref="B8:J8"/>
    <mergeCell ref="A83:K83"/>
    <mergeCell ref="H23:J23"/>
    <mergeCell ref="B24:J24"/>
    <mergeCell ref="H60:J60"/>
    <mergeCell ref="B61:J61"/>
    <mergeCell ref="H31:J31"/>
    <mergeCell ref="B32:J32"/>
    <mergeCell ref="B41:J41"/>
    <mergeCell ref="H52:J52"/>
    <mergeCell ref="B53:J53"/>
    <mergeCell ref="F40:J40"/>
    <mergeCell ref="A5:K5"/>
    <mergeCell ref="A1:K1"/>
    <mergeCell ref="A2:K2"/>
    <mergeCell ref="A3:K3"/>
    <mergeCell ref="A4:K4"/>
  </mergeCells>
  <printOptions horizontalCentered="1"/>
  <pageMargins left="0" right="0.31496062992125984" top="0.27559055118110237" bottom="0" header="0" footer="0"/>
  <pageSetup scale="85" orientation="portrait" r:id="rId1"/>
  <headerFooter alignWithMargins="0"/>
  <customProperties>
    <customPr name="ExcelFSM_AdjustedButtonPressed" r:id="rId2"/>
    <customPr name="ExcelFSM_BalanceVariationButtonPressed" r:id="rId3"/>
    <customPr name="ExcelFSM_ComparativeButtonPressed" r:id="rId4"/>
    <customPr name="ExcelFSM_DetailsButtonPressed" r:id="rId5"/>
    <customPr name="ExcelFSM_FirstSelectedBeginningPeriodIndex" r:id="rId6"/>
    <customPr name="ExcelFSM_RoundedButtonPressed" r:id="rId7"/>
    <customPr name="ExcelFSM_SwitchCopiedSheetButtonsSet" r:id="rId8"/>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36"/>
  <sheetViews>
    <sheetView rightToLeft="1" view="pageBreakPreview" topLeftCell="A13" zoomScale="115" zoomScaleNormal="100" zoomScaleSheetLayoutView="115" workbookViewId="0">
      <selection activeCell="A36" sqref="A36:I36"/>
    </sheetView>
  </sheetViews>
  <sheetFormatPr defaultColWidth="9.140625" defaultRowHeight="24.95" customHeight="1" x14ac:dyDescent="0.7"/>
  <cols>
    <col min="1" max="1" width="24.28515625" style="25" customWidth="1"/>
    <col min="2" max="2" width="12.5703125" style="25" bestFit="1" customWidth="1"/>
    <col min="3" max="3" width="13.5703125" style="25" customWidth="1"/>
    <col min="4" max="4" width="18" style="25" customWidth="1"/>
    <col min="5" max="5" width="16.28515625" style="25" bestFit="1" customWidth="1"/>
    <col min="6" max="6" width="16.42578125" style="25" customWidth="1"/>
    <col min="7" max="7" width="19.28515625" style="25" customWidth="1"/>
    <col min="8" max="8" width="16" style="25" bestFit="1" customWidth="1"/>
    <col min="9" max="9" width="12.140625" style="25" hidden="1" customWidth="1"/>
    <col min="10" max="16384" width="9.140625" style="25"/>
  </cols>
  <sheetData>
    <row r="1" spans="1:13" ht="24.95" customHeight="1" x14ac:dyDescent="0.7">
      <c r="A1" s="627">
        <f>Cover!A14</f>
        <v>0</v>
      </c>
      <c r="B1" s="653"/>
      <c r="C1" s="653"/>
      <c r="D1" s="653"/>
      <c r="E1" s="653"/>
      <c r="F1" s="653"/>
      <c r="G1" s="653"/>
      <c r="H1" s="653"/>
    </row>
    <row r="2" spans="1:13" ht="24.95" customHeight="1" x14ac:dyDescent="0.7">
      <c r="A2" s="627" t="str">
        <f>Cover!A15</f>
        <v>(Foreign Company – Limited Liability Company)</v>
      </c>
      <c r="B2" s="653"/>
      <c r="C2" s="653"/>
      <c r="D2" s="653"/>
      <c r="E2" s="653"/>
      <c r="F2" s="653"/>
      <c r="G2" s="653"/>
      <c r="H2" s="653"/>
    </row>
    <row r="3" spans="1:13" ht="24.95" customHeight="1" x14ac:dyDescent="0.7">
      <c r="A3" s="627" t="str">
        <f>Cover!A16</f>
        <v>Riyadh – Kingdom of Saudi Arabia</v>
      </c>
      <c r="B3" s="653"/>
      <c r="C3" s="653"/>
      <c r="D3" s="653"/>
      <c r="E3" s="653"/>
      <c r="F3" s="653"/>
      <c r="G3" s="653"/>
      <c r="H3" s="653"/>
    </row>
    <row r="4" spans="1:13" s="1" customFormat="1" ht="24.75" x14ac:dyDescent="0.6">
      <c r="A4" s="627" t="str">
        <f>'1'!B4</f>
        <v>NOTES TO THE FINANCIAL STATEMENTS FOR PERIOD  ENDED31December2024</v>
      </c>
      <c r="B4" s="653"/>
      <c r="C4" s="653"/>
      <c r="D4" s="653"/>
      <c r="E4" s="653"/>
      <c r="F4" s="653"/>
      <c r="G4" s="653"/>
      <c r="H4" s="653"/>
      <c r="I4" s="26"/>
      <c r="J4" s="646"/>
      <c r="K4" s="646"/>
      <c r="M4" s="4"/>
    </row>
    <row r="5" spans="1:13" s="1" customFormat="1" ht="15.75" x14ac:dyDescent="0.25">
      <c r="A5" s="652"/>
      <c r="B5" s="627"/>
      <c r="C5" s="627"/>
      <c r="D5" s="627"/>
      <c r="E5" s="627"/>
      <c r="F5" s="627"/>
      <c r="G5" s="627"/>
      <c r="H5" s="627"/>
      <c r="I5" s="11"/>
      <c r="J5" s="11"/>
      <c r="K5" s="11"/>
    </row>
    <row r="6" spans="1:13" s="1" customFormat="1" ht="15.75" x14ac:dyDescent="0.25">
      <c r="A6" s="14"/>
      <c r="B6" s="14"/>
      <c r="C6" s="14"/>
      <c r="D6" s="14"/>
      <c r="E6" s="14"/>
      <c r="F6" s="14"/>
      <c r="G6" s="14"/>
      <c r="H6" s="14"/>
      <c r="I6" s="11"/>
      <c r="J6" s="11"/>
      <c r="K6" s="11"/>
    </row>
    <row r="7" spans="1:13" s="1" customFormat="1" ht="15.75" x14ac:dyDescent="0.25">
      <c r="A7" s="14"/>
      <c r="B7" s="14"/>
      <c r="C7" s="14"/>
      <c r="D7" s="14"/>
      <c r="E7" s="14"/>
      <c r="F7" s="14"/>
      <c r="G7" s="14"/>
      <c r="H7" s="14"/>
      <c r="I7" s="11"/>
      <c r="J7" s="11"/>
      <c r="K7" s="11"/>
    </row>
    <row r="8" spans="1:13" s="1" customFormat="1" ht="15.75" x14ac:dyDescent="0.25">
      <c r="A8" s="14"/>
      <c r="B8" s="14"/>
      <c r="C8" s="14"/>
      <c r="D8" s="14"/>
      <c r="E8" s="14"/>
      <c r="F8" s="14"/>
      <c r="G8" s="14"/>
      <c r="H8" s="14"/>
      <c r="I8" s="11"/>
      <c r="J8" s="11"/>
      <c r="K8" s="11"/>
    </row>
    <row r="9" spans="1:13" ht="27.75" x14ac:dyDescent="0.7">
      <c r="A9" s="42"/>
      <c r="B9" s="42"/>
      <c r="C9" s="42"/>
      <c r="D9" s="42"/>
    </row>
    <row r="10" spans="1:13" ht="27.75" x14ac:dyDescent="0.7">
      <c r="A10" s="27" t="str">
        <f>'Balance Sheet'!H24&amp;"-"&amp;'Balance Sheet'!K24</f>
        <v xml:space="preserve">9- Related parties  </v>
      </c>
      <c r="B10" s="28"/>
      <c r="C10" s="28"/>
    </row>
    <row r="11" spans="1:13" ht="15" customHeight="1" x14ac:dyDescent="0.7">
      <c r="A11" s="27"/>
      <c r="B11" s="28"/>
      <c r="C11" s="28"/>
    </row>
    <row r="12" spans="1:13" ht="79.5" customHeight="1" x14ac:dyDescent="0.7">
      <c r="A12" s="651" t="s">
        <v>115</v>
      </c>
      <c r="B12" s="651"/>
      <c r="C12" s="651"/>
      <c r="D12" s="651"/>
      <c r="E12" s="651"/>
      <c r="F12" s="651"/>
      <c r="G12" s="651"/>
      <c r="H12" s="651"/>
      <c r="I12" s="651"/>
    </row>
    <row r="13" spans="1:13" ht="27.75" x14ac:dyDescent="0.7">
      <c r="A13" s="84"/>
      <c r="B13" s="84"/>
      <c r="C13" s="84"/>
      <c r="D13" s="84"/>
      <c r="E13" s="84"/>
      <c r="F13" s="84"/>
      <c r="G13" s="84"/>
      <c r="H13" s="84"/>
      <c r="I13" s="84"/>
    </row>
    <row r="14" spans="1:13" ht="27.75" x14ac:dyDescent="0.7">
      <c r="A14" s="647" t="s">
        <v>15</v>
      </c>
      <c r="B14" s="647" t="s">
        <v>16</v>
      </c>
      <c r="C14" s="647" t="s">
        <v>17</v>
      </c>
      <c r="D14" s="647"/>
      <c r="E14" s="647" t="s">
        <v>18</v>
      </c>
      <c r="F14" s="647"/>
      <c r="G14" s="647" t="s">
        <v>19</v>
      </c>
      <c r="H14" s="647"/>
    </row>
    <row r="15" spans="1:13" ht="27.75" x14ac:dyDescent="0.7">
      <c r="A15" s="647"/>
      <c r="B15" s="647"/>
      <c r="C15" s="41" t="s">
        <v>20</v>
      </c>
      <c r="D15" s="29" t="s">
        <v>21</v>
      </c>
      <c r="E15" s="41" t="s">
        <v>20</v>
      </c>
      <c r="F15" s="29" t="s">
        <v>21</v>
      </c>
      <c r="G15" s="41" t="s">
        <v>20</v>
      </c>
      <c r="H15" s="29" t="s">
        <v>21</v>
      </c>
    </row>
    <row r="16" spans="1:13" ht="27.75" x14ac:dyDescent="0.7">
      <c r="A16" s="40" t="s">
        <v>37</v>
      </c>
      <c r="B16" s="36"/>
      <c r="C16" s="48">
        <v>0</v>
      </c>
      <c r="D16" s="48">
        <v>0</v>
      </c>
      <c r="E16" s="49"/>
      <c r="F16" s="48"/>
      <c r="G16" s="49">
        <f>+C16-D16+E16-F16</f>
        <v>0</v>
      </c>
      <c r="H16" s="48">
        <v>0</v>
      </c>
      <c r="J16" s="39"/>
    </row>
    <row r="17" spans="1:10" ht="27.75" x14ac:dyDescent="0.7">
      <c r="A17" s="43" t="s">
        <v>38</v>
      </c>
      <c r="B17" s="36"/>
      <c r="C17" s="48">
        <v>0</v>
      </c>
      <c r="D17" s="48">
        <v>0</v>
      </c>
      <c r="E17" s="50"/>
      <c r="F17" s="48"/>
      <c r="G17" s="49">
        <f t="shared" ref="G17:G18" si="0">+C17-D17+E17-F17</f>
        <v>0</v>
      </c>
      <c r="H17" s="48">
        <v>0</v>
      </c>
    </row>
    <row r="18" spans="1:10" ht="27.75" x14ac:dyDescent="0.7">
      <c r="A18" s="43" t="s">
        <v>36</v>
      </c>
      <c r="B18" s="36"/>
      <c r="C18" s="48">
        <v>0</v>
      </c>
      <c r="D18" s="50">
        <v>0</v>
      </c>
      <c r="E18" s="49"/>
      <c r="F18" s="48"/>
      <c r="G18" s="49">
        <f t="shared" si="0"/>
        <v>0</v>
      </c>
      <c r="H18" s="48">
        <v>0</v>
      </c>
    </row>
    <row r="19" spans="1:10" ht="27.75" x14ac:dyDescent="0.7">
      <c r="A19" s="631" t="s">
        <v>22</v>
      </c>
      <c r="B19" s="631"/>
      <c r="C19" s="51">
        <f>SUM(C16:C17)</f>
        <v>0</v>
      </c>
      <c r="D19" s="52">
        <f>SUM(D16:D17)</f>
        <v>0</v>
      </c>
      <c r="E19" s="52">
        <f t="shared" ref="E19:H19" si="1">SUM(E16:E17)</f>
        <v>0</v>
      </c>
      <c r="F19" s="52">
        <f t="shared" si="1"/>
        <v>0</v>
      </c>
      <c r="G19" s="52">
        <f>SUM(G16:G18)</f>
        <v>0</v>
      </c>
      <c r="H19" s="52">
        <f t="shared" si="1"/>
        <v>0</v>
      </c>
    </row>
    <row r="20" spans="1:10" ht="27.75" x14ac:dyDescent="0.7">
      <c r="A20" s="44"/>
      <c r="B20" s="44"/>
      <c r="C20" s="45"/>
      <c r="D20" s="44"/>
      <c r="E20" s="46"/>
      <c r="F20" s="44"/>
      <c r="G20" s="47"/>
      <c r="H20" s="44"/>
    </row>
    <row r="21" spans="1:10" ht="27.75" x14ac:dyDescent="0.7">
      <c r="A21" s="44"/>
      <c r="B21" s="44"/>
      <c r="C21" s="45"/>
      <c r="D21" s="44"/>
      <c r="E21" s="46"/>
      <c r="F21" s="44"/>
      <c r="G21" s="47"/>
      <c r="H21" s="44"/>
    </row>
    <row r="22" spans="1:10" ht="27.75" x14ac:dyDescent="0.7">
      <c r="A22" s="44"/>
      <c r="B22" s="44"/>
      <c r="C22" s="45"/>
      <c r="D22" s="44"/>
      <c r="E22" s="46"/>
      <c r="F22" s="44"/>
      <c r="G22" s="47"/>
      <c r="H22" s="44"/>
    </row>
    <row r="23" spans="1:10" ht="27.75" x14ac:dyDescent="0.7">
      <c r="A23" s="44"/>
      <c r="B23" s="44"/>
      <c r="C23" s="45"/>
      <c r="D23" s="44"/>
      <c r="E23" s="46"/>
      <c r="F23" s="44"/>
      <c r="G23" s="47"/>
      <c r="H23" s="44"/>
    </row>
    <row r="24" spans="1:10" ht="27.75" x14ac:dyDescent="0.7">
      <c r="A24" s="44"/>
      <c r="B24" s="44"/>
      <c r="C24" s="45"/>
      <c r="D24" s="44"/>
      <c r="E24" s="46"/>
      <c r="F24" s="44"/>
      <c r="G24" s="47"/>
      <c r="H24" s="44"/>
    </row>
    <row r="25" spans="1:10" ht="24.95" customHeight="1" x14ac:dyDescent="0.7">
      <c r="D25" s="38"/>
      <c r="E25" s="38"/>
    </row>
    <row r="26" spans="1:10" ht="36.75" hidden="1" customHeight="1" x14ac:dyDescent="0.7">
      <c r="A26" s="27" t="s">
        <v>29</v>
      </c>
    </row>
    <row r="27" spans="1:10" ht="56.25" hidden="1" customHeight="1" x14ac:dyDescent="0.7">
      <c r="A27" s="648" t="s">
        <v>33</v>
      </c>
      <c r="B27" s="648"/>
      <c r="C27" s="648"/>
      <c r="D27" s="648"/>
      <c r="E27" s="648"/>
      <c r="F27" s="648"/>
      <c r="G27" s="648"/>
      <c r="H27" s="648"/>
      <c r="I27" s="648"/>
    </row>
    <row r="28" spans="1:10" s="30" customFormat="1" ht="27.75" hidden="1" customHeight="1" x14ac:dyDescent="0.7">
      <c r="A28" s="647" t="s">
        <v>23</v>
      </c>
      <c r="B28" s="647"/>
      <c r="C28" s="649" t="s">
        <v>9</v>
      </c>
      <c r="D28" s="650"/>
      <c r="E28" s="649" t="s">
        <v>6</v>
      </c>
      <c r="F28" s="650"/>
      <c r="G28" s="649" t="s">
        <v>24</v>
      </c>
      <c r="H28" s="650"/>
      <c r="I28" s="32" t="s">
        <v>26</v>
      </c>
      <c r="J28" s="25"/>
    </row>
    <row r="29" spans="1:10" ht="24.95" hidden="1" customHeight="1" x14ac:dyDescent="0.7">
      <c r="A29" s="642" t="s">
        <v>34</v>
      </c>
      <c r="B29" s="643"/>
      <c r="C29" s="638">
        <v>90</v>
      </c>
      <c r="D29" s="639"/>
      <c r="E29" s="640">
        <v>1500</v>
      </c>
      <c r="F29" s="641"/>
      <c r="G29" s="640">
        <f>+E29*C29</f>
        <v>135000</v>
      </c>
      <c r="H29" s="641"/>
      <c r="I29" s="33">
        <f>G29/G34</f>
        <v>0.9</v>
      </c>
    </row>
    <row r="30" spans="1:10" ht="24.95" hidden="1" customHeight="1" x14ac:dyDescent="0.7">
      <c r="A30" s="642" t="s">
        <v>35</v>
      </c>
      <c r="B30" s="643"/>
      <c r="C30" s="638">
        <v>10</v>
      </c>
      <c r="D30" s="639"/>
      <c r="E30" s="640">
        <v>1500</v>
      </c>
      <c r="F30" s="641"/>
      <c r="G30" s="640">
        <f>+E30*C30</f>
        <v>15000</v>
      </c>
      <c r="H30" s="641"/>
      <c r="I30" s="33">
        <f>+G30/G34</f>
        <v>0.1</v>
      </c>
    </row>
    <row r="31" spans="1:10" ht="24.95" hidden="1" customHeight="1" x14ac:dyDescent="0.7">
      <c r="A31" s="644"/>
      <c r="B31" s="645"/>
      <c r="C31" s="638"/>
      <c r="D31" s="639"/>
      <c r="E31" s="640"/>
      <c r="F31" s="641"/>
      <c r="G31" s="640"/>
      <c r="H31" s="641"/>
      <c r="I31" s="34"/>
    </row>
    <row r="32" spans="1:10" ht="24.95" hidden="1" customHeight="1" x14ac:dyDescent="0.7">
      <c r="A32" s="637"/>
      <c r="B32" s="637"/>
      <c r="C32" s="638"/>
      <c r="D32" s="639"/>
      <c r="E32" s="638"/>
      <c r="F32" s="639"/>
      <c r="G32" s="638"/>
      <c r="H32" s="639"/>
      <c r="I32" s="34"/>
    </row>
    <row r="33" spans="1:9" ht="24.95" hidden="1" customHeight="1" x14ac:dyDescent="0.7">
      <c r="A33" s="637"/>
      <c r="B33" s="637"/>
      <c r="C33" s="638"/>
      <c r="D33" s="639"/>
      <c r="E33" s="640"/>
      <c r="F33" s="641"/>
      <c r="G33" s="640"/>
      <c r="H33" s="641"/>
      <c r="I33" s="34"/>
    </row>
    <row r="34" spans="1:9" s="31" customFormat="1" ht="24.95" hidden="1" customHeight="1" x14ac:dyDescent="0.6">
      <c r="A34" s="631" t="s">
        <v>25</v>
      </c>
      <c r="B34" s="631"/>
      <c r="C34" s="632">
        <f>SUM(C29:D33)</f>
        <v>100</v>
      </c>
      <c r="D34" s="633"/>
      <c r="E34" s="634">
        <f>E29</f>
        <v>1500</v>
      </c>
      <c r="F34" s="635"/>
      <c r="G34" s="634">
        <f>SUM(G29:H33)</f>
        <v>150000</v>
      </c>
      <c r="H34" s="635"/>
      <c r="I34" s="35">
        <v>1</v>
      </c>
    </row>
    <row r="35" spans="1:9" ht="24.95" hidden="1" customHeight="1" x14ac:dyDescent="0.7"/>
    <row r="36" spans="1:9" ht="24.95" customHeight="1" x14ac:dyDescent="0.7">
      <c r="A36" s="636" t="str">
        <f>"-"&amp;SUM(Index!I10:I21)&amp;"-"</f>
        <v>-12-</v>
      </c>
      <c r="B36" s="636"/>
      <c r="C36" s="636"/>
      <c r="D36" s="636"/>
      <c r="E36" s="636"/>
      <c r="F36" s="636"/>
      <c r="G36" s="636"/>
      <c r="H36" s="636"/>
      <c r="I36" s="636"/>
    </row>
  </sheetData>
  <mergeCells count="43">
    <mergeCell ref="A12:I12"/>
    <mergeCell ref="A5:H5"/>
    <mergeCell ref="A1:H1"/>
    <mergeCell ref="A2:H2"/>
    <mergeCell ref="A3:H3"/>
    <mergeCell ref="A4:H4"/>
    <mergeCell ref="J4:K4"/>
    <mergeCell ref="A29:B29"/>
    <mergeCell ref="C29:D29"/>
    <mergeCell ref="E29:F29"/>
    <mergeCell ref="G29:H29"/>
    <mergeCell ref="A14:A15"/>
    <mergeCell ref="B14:B15"/>
    <mergeCell ref="C14:D14"/>
    <mergeCell ref="E14:F14"/>
    <mergeCell ref="G14:H14"/>
    <mergeCell ref="A19:B19"/>
    <mergeCell ref="A27:I27"/>
    <mergeCell ref="A28:B28"/>
    <mergeCell ref="C28:D28"/>
    <mergeCell ref="E28:F28"/>
    <mergeCell ref="G28:H28"/>
    <mergeCell ref="A30:B30"/>
    <mergeCell ref="C30:D30"/>
    <mergeCell ref="E30:F30"/>
    <mergeCell ref="G30:H30"/>
    <mergeCell ref="A31:B31"/>
    <mergeCell ref="C31:D31"/>
    <mergeCell ref="E31:F31"/>
    <mergeCell ref="G31:H31"/>
    <mergeCell ref="A32:B32"/>
    <mergeCell ref="C32:D32"/>
    <mergeCell ref="E32:F32"/>
    <mergeCell ref="G32:H32"/>
    <mergeCell ref="A33:B33"/>
    <mergeCell ref="C33:D33"/>
    <mergeCell ref="E33:F33"/>
    <mergeCell ref="G33:H33"/>
    <mergeCell ref="A34:B34"/>
    <mergeCell ref="C34:D34"/>
    <mergeCell ref="E34:F34"/>
    <mergeCell ref="G34:H34"/>
    <mergeCell ref="A36:I36"/>
  </mergeCells>
  <printOptions horizontalCentered="1"/>
  <pageMargins left="0.31496062992125984" right="0.39812500000000001" top="0.35433070866141736" bottom="0.31496062992125984" header="0.55118110236220474" footer="0.19685039370078741"/>
  <pageSetup paperSize="9" scale="81" orientation="landscape"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N24"/>
  <sheetViews>
    <sheetView view="pageBreakPreview" zoomScaleNormal="100" zoomScaleSheetLayoutView="100" workbookViewId="0">
      <selection activeCell="N11" sqref="N11"/>
    </sheetView>
  </sheetViews>
  <sheetFormatPr defaultColWidth="9.140625" defaultRowHeight="24.95" customHeight="1" x14ac:dyDescent="0.5"/>
  <cols>
    <col min="1" max="1" width="39" style="384" customWidth="1"/>
    <col min="2" max="2" width="24.140625" style="384" customWidth="1"/>
    <col min="3" max="3" width="20" style="384" customWidth="1"/>
    <col min="4" max="4" width="16.140625" style="384" customWidth="1"/>
    <col min="5" max="5" width="18" style="384" customWidth="1"/>
    <col min="6" max="6" width="19.7109375" style="384" customWidth="1"/>
    <col min="7" max="7" width="17.7109375" style="384" customWidth="1"/>
    <col min="8" max="8" width="18.42578125" style="384" customWidth="1"/>
    <col min="9" max="9" width="16" style="384" bestFit="1" customWidth="1"/>
    <col min="10" max="10" width="12.140625" style="384" hidden="1" customWidth="1"/>
    <col min="11" max="16384" width="9.140625" style="384"/>
  </cols>
  <sheetData>
    <row r="1" spans="1:14" ht="24.95" customHeight="1" x14ac:dyDescent="0.5">
      <c r="A1" s="588">
        <f>Cover!A14</f>
        <v>0</v>
      </c>
      <c r="B1" s="588"/>
      <c r="C1" s="588"/>
      <c r="D1" s="588"/>
      <c r="E1" s="588"/>
      <c r="F1" s="588"/>
      <c r="G1" s="588"/>
      <c r="H1" s="588"/>
      <c r="I1" s="588"/>
    </row>
    <row r="2" spans="1:14" ht="24.95" customHeight="1" x14ac:dyDescent="0.5">
      <c r="A2" s="588" t="str">
        <f>Cover!A15</f>
        <v>(Foreign Company – Limited Liability Company)</v>
      </c>
      <c r="B2" s="588"/>
      <c r="C2" s="588"/>
      <c r="D2" s="588"/>
      <c r="E2" s="588"/>
      <c r="F2" s="588"/>
      <c r="G2" s="588"/>
      <c r="H2" s="588"/>
      <c r="I2" s="588"/>
    </row>
    <row r="3" spans="1:14" ht="24.95" customHeight="1" x14ac:dyDescent="0.5">
      <c r="A3" s="588" t="str">
        <f>Cover!A16</f>
        <v>Riyadh – Kingdom of Saudi Arabia</v>
      </c>
      <c r="B3" s="588"/>
      <c r="C3" s="588"/>
      <c r="D3" s="588"/>
      <c r="E3" s="588"/>
      <c r="F3" s="588"/>
      <c r="G3" s="588"/>
      <c r="H3" s="588"/>
      <c r="I3" s="588"/>
    </row>
    <row r="4" spans="1:14" s="244" customFormat="1" ht="23.25" x14ac:dyDescent="0.5">
      <c r="A4" s="606" t="str">
        <f>'1'!B4</f>
        <v>NOTES TO THE FINANCIAL STATEMENTS FOR PERIOD  ENDED31December2024</v>
      </c>
      <c r="B4" s="606"/>
      <c r="C4" s="606"/>
      <c r="D4" s="606"/>
      <c r="E4" s="606"/>
      <c r="F4" s="606"/>
      <c r="G4" s="606"/>
      <c r="H4" s="606"/>
      <c r="I4" s="606"/>
      <c r="J4" s="385"/>
      <c r="K4" s="673"/>
      <c r="L4" s="673"/>
      <c r="N4" s="247"/>
    </row>
    <row r="5" spans="1:14" s="244" customFormat="1" ht="18.75" x14ac:dyDescent="0.45">
      <c r="A5" s="675"/>
      <c r="B5" s="675"/>
      <c r="C5" s="676"/>
      <c r="D5" s="676"/>
      <c r="E5" s="676"/>
      <c r="F5" s="676"/>
      <c r="G5" s="676"/>
      <c r="H5" s="676"/>
      <c r="I5" s="676"/>
      <c r="J5" s="246"/>
      <c r="K5" s="246"/>
      <c r="L5" s="246"/>
    </row>
    <row r="6" spans="1:14" ht="23.25" x14ac:dyDescent="0.5">
      <c r="A6" s="386" t="str">
        <f>'Balance Sheet'!H32&amp;"-"&amp;'Balance Sheet'!K32</f>
        <v>8-capital</v>
      </c>
      <c r="B6" s="387"/>
    </row>
    <row r="7" spans="1:14" ht="37.5" customHeight="1" x14ac:dyDescent="0.5">
      <c r="A7" s="659" t="s">
        <v>576</v>
      </c>
      <c r="B7" s="659"/>
      <c r="C7" s="659"/>
      <c r="D7" s="659"/>
      <c r="E7" s="659"/>
      <c r="F7" s="659"/>
      <c r="G7" s="659"/>
      <c r="H7" s="659"/>
      <c r="I7" s="659"/>
      <c r="J7" s="388"/>
    </row>
    <row r="8" spans="1:14" s="390" customFormat="1" ht="27.75" customHeight="1" x14ac:dyDescent="0.5">
      <c r="A8" s="681" t="s">
        <v>335</v>
      </c>
      <c r="B8" s="682"/>
      <c r="C8" s="681"/>
      <c r="D8" s="667" t="s">
        <v>337</v>
      </c>
      <c r="E8" s="668"/>
      <c r="F8" s="667" t="s">
        <v>338</v>
      </c>
      <c r="G8" s="668"/>
      <c r="H8" s="667" t="s">
        <v>214</v>
      </c>
      <c r="I8" s="668"/>
      <c r="J8" s="389" t="s">
        <v>26</v>
      </c>
      <c r="K8" s="384"/>
    </row>
    <row r="9" spans="1:14" ht="24.95" customHeight="1" x14ac:dyDescent="0.5">
      <c r="A9" s="669">
        <v>0</v>
      </c>
      <c r="B9" s="670"/>
      <c r="C9" s="671"/>
      <c r="D9" s="672">
        <v>1000</v>
      </c>
      <c r="E9" s="672"/>
      <c r="F9" s="665">
        <v>100</v>
      </c>
      <c r="G9" s="666"/>
      <c r="H9" s="665">
        <f>+F9*D9</f>
        <v>100000</v>
      </c>
      <c r="I9" s="666"/>
      <c r="J9" s="391">
        <f>H9/H11</f>
        <v>1</v>
      </c>
    </row>
    <row r="10" spans="1:14" ht="24.95" hidden="1" customHeight="1" x14ac:dyDescent="0.5">
      <c r="A10" s="660"/>
      <c r="B10" s="661"/>
      <c r="C10" s="662"/>
      <c r="D10" s="663">
        <v>0</v>
      </c>
      <c r="E10" s="664"/>
      <c r="F10" s="665">
        <v>1000</v>
      </c>
      <c r="G10" s="666"/>
      <c r="H10" s="665">
        <f>+F10*D10</f>
        <v>0</v>
      </c>
      <c r="I10" s="666"/>
      <c r="J10" s="391">
        <f>+H10/H11</f>
        <v>0</v>
      </c>
      <c r="L10" s="384" t="s">
        <v>389</v>
      </c>
    </row>
    <row r="11" spans="1:14" s="393" customFormat="1" ht="24.95" customHeight="1" x14ac:dyDescent="0.5">
      <c r="A11" s="654" t="s">
        <v>336</v>
      </c>
      <c r="B11" s="654"/>
      <c r="C11" s="654"/>
      <c r="D11" s="655">
        <f>SUM(D9:E10)</f>
        <v>1000</v>
      </c>
      <c r="E11" s="656"/>
      <c r="F11" s="657">
        <f>F9</f>
        <v>100</v>
      </c>
      <c r="G11" s="658"/>
      <c r="H11" s="657">
        <f>SUM(H9:I10)</f>
        <v>100000</v>
      </c>
      <c r="I11" s="658"/>
      <c r="J11" s="392">
        <v>1</v>
      </c>
    </row>
    <row r="13" spans="1:14" ht="23.25" x14ac:dyDescent="0.5">
      <c r="A13" s="386" t="str">
        <f>'Balance Sheet'!H39&amp;"-"&amp;'Balance Sheet'!K39</f>
        <v xml:space="preserve">9-Credit Related parties  </v>
      </c>
      <c r="B13" s="387"/>
      <c r="C13" s="394"/>
      <c r="D13" s="394"/>
    </row>
    <row r="14" spans="1:14" ht="66.75" customHeight="1" x14ac:dyDescent="0.5">
      <c r="A14" s="678" t="s">
        <v>405</v>
      </c>
      <c r="B14" s="678"/>
      <c r="C14" s="678"/>
      <c r="D14" s="678"/>
      <c r="E14" s="678"/>
      <c r="F14" s="678"/>
      <c r="G14" s="678"/>
      <c r="H14" s="678"/>
      <c r="I14" s="678"/>
    </row>
    <row r="15" spans="1:14" ht="23.25" x14ac:dyDescent="0.5">
      <c r="A15" s="395"/>
      <c r="B15" s="395"/>
      <c r="C15" s="395"/>
      <c r="D15" s="395"/>
      <c r="E15" s="395"/>
      <c r="F15" s="395"/>
      <c r="G15" s="395"/>
      <c r="H15" s="395"/>
      <c r="I15" s="395"/>
    </row>
    <row r="16" spans="1:14" ht="23.25" x14ac:dyDescent="0.5">
      <c r="A16" s="677" t="s">
        <v>339</v>
      </c>
      <c r="B16" s="679" t="s">
        <v>340</v>
      </c>
      <c r="C16" s="677" t="s">
        <v>345</v>
      </c>
      <c r="D16" s="677" t="s">
        <v>372</v>
      </c>
      <c r="E16" s="677"/>
      <c r="F16" s="677" t="s">
        <v>373</v>
      </c>
      <c r="G16" s="677"/>
      <c r="H16" s="677" t="s">
        <v>374</v>
      </c>
      <c r="I16" s="677"/>
    </row>
    <row r="17" spans="1:11" ht="25.5" customHeight="1" x14ac:dyDescent="0.5">
      <c r="A17" s="677"/>
      <c r="B17" s="680"/>
      <c r="C17" s="677"/>
      <c r="D17" s="537" t="s">
        <v>370</v>
      </c>
      <c r="E17" s="538" t="s">
        <v>371</v>
      </c>
      <c r="F17" s="537" t="s">
        <v>370</v>
      </c>
      <c r="G17" s="538" t="s">
        <v>371</v>
      </c>
      <c r="H17" s="537" t="s">
        <v>370</v>
      </c>
      <c r="I17" s="538" t="s">
        <v>371</v>
      </c>
    </row>
    <row r="18" spans="1:11" ht="23.25" x14ac:dyDescent="0.5">
      <c r="A18" s="564">
        <v>0</v>
      </c>
      <c r="B18" s="539" t="s">
        <v>475</v>
      </c>
      <c r="C18" s="540" t="s">
        <v>343</v>
      </c>
      <c r="D18" s="541">
        <v>0</v>
      </c>
      <c r="E18" s="541">
        <v>0</v>
      </c>
      <c r="F18" s="541">
        <v>0</v>
      </c>
      <c r="G18" s="756">
        <v>0</v>
      </c>
      <c r="H18" s="541">
        <v>0</v>
      </c>
      <c r="I18" s="542">
        <f>E18-F18+G18</f>
        <v>0</v>
      </c>
      <c r="K18" s="396"/>
    </row>
    <row r="19" spans="1:11" ht="23.25" hidden="1" x14ac:dyDescent="0.5">
      <c r="A19" s="543"/>
      <c r="B19" s="539" t="s">
        <v>390</v>
      </c>
      <c r="C19" s="540" t="s">
        <v>343</v>
      </c>
      <c r="D19" s="541">
        <v>0</v>
      </c>
      <c r="E19" s="541">
        <v>0</v>
      </c>
      <c r="F19" s="541">
        <v>0</v>
      </c>
      <c r="G19" s="541">
        <v>0</v>
      </c>
      <c r="H19" s="541">
        <v>0</v>
      </c>
      <c r="I19" s="542">
        <f>+E19+G19-F19-D19</f>
        <v>0</v>
      </c>
      <c r="K19" s="396"/>
    </row>
    <row r="20" spans="1:11" ht="23.25" hidden="1" x14ac:dyDescent="0.5">
      <c r="A20" s="544"/>
      <c r="B20" s="539" t="s">
        <v>344</v>
      </c>
      <c r="C20" s="540" t="s">
        <v>343</v>
      </c>
      <c r="D20" s="541">
        <v>0</v>
      </c>
      <c r="E20" s="541">
        <v>0</v>
      </c>
      <c r="F20" s="541">
        <v>0</v>
      </c>
      <c r="G20" s="541">
        <v>0</v>
      </c>
      <c r="H20" s="541">
        <v>0</v>
      </c>
      <c r="I20" s="542">
        <f>+E20+G20-F20-D20</f>
        <v>0</v>
      </c>
      <c r="K20" s="396"/>
    </row>
    <row r="21" spans="1:11" ht="23.25" x14ac:dyDescent="0.5">
      <c r="A21" s="674" t="s">
        <v>375</v>
      </c>
      <c r="B21" s="674"/>
      <c r="C21" s="674"/>
      <c r="D21" s="545">
        <f t="shared" ref="D21:I21" si="0">SUM(D18:D20)</f>
        <v>0</v>
      </c>
      <c r="E21" s="545">
        <f t="shared" si="0"/>
        <v>0</v>
      </c>
      <c r="F21" s="545">
        <f t="shared" si="0"/>
        <v>0</v>
      </c>
      <c r="G21" s="545">
        <f t="shared" si="0"/>
        <v>0</v>
      </c>
      <c r="H21" s="545">
        <f t="shared" si="0"/>
        <v>0</v>
      </c>
      <c r="I21" s="545">
        <f t="shared" si="0"/>
        <v>0</v>
      </c>
    </row>
    <row r="22" spans="1:11" ht="24.95" customHeight="1" x14ac:dyDescent="0.5">
      <c r="E22" s="397"/>
      <c r="F22" s="397"/>
    </row>
    <row r="24" spans="1:11" ht="24.95" customHeight="1" x14ac:dyDescent="0.5">
      <c r="A24" s="630" t="str">
        <f>"-"&amp;SUM(Index!I10:I23)&amp;"-"</f>
        <v>-13-</v>
      </c>
      <c r="B24" s="630"/>
      <c r="C24" s="630"/>
      <c r="D24" s="630"/>
      <c r="E24" s="630"/>
      <c r="F24" s="630"/>
      <c r="G24" s="630"/>
      <c r="H24" s="630"/>
      <c r="I24" s="630"/>
      <c r="J24" s="630"/>
    </row>
  </sheetData>
  <mergeCells count="32">
    <mergeCell ref="K4:L4"/>
    <mergeCell ref="A21:C21"/>
    <mergeCell ref="A5:I5"/>
    <mergeCell ref="A1:I1"/>
    <mergeCell ref="A2:I2"/>
    <mergeCell ref="A3:I3"/>
    <mergeCell ref="A4:I4"/>
    <mergeCell ref="A16:A17"/>
    <mergeCell ref="C16:C17"/>
    <mergeCell ref="D16:E16"/>
    <mergeCell ref="F16:G16"/>
    <mergeCell ref="H16:I16"/>
    <mergeCell ref="A14:I14"/>
    <mergeCell ref="B16:B17"/>
    <mergeCell ref="A8:C8"/>
    <mergeCell ref="D8:E8"/>
    <mergeCell ref="A7:I7"/>
    <mergeCell ref="A10:C10"/>
    <mergeCell ref="D10:E10"/>
    <mergeCell ref="F10:G10"/>
    <mergeCell ref="H10:I10"/>
    <mergeCell ref="F8:G8"/>
    <mergeCell ref="H8:I8"/>
    <mergeCell ref="A9:C9"/>
    <mergeCell ref="D9:E9"/>
    <mergeCell ref="F9:G9"/>
    <mergeCell ref="H9:I9"/>
    <mergeCell ref="A24:J24"/>
    <mergeCell ref="A11:C11"/>
    <mergeCell ref="D11:E11"/>
    <mergeCell ref="F11:G11"/>
    <mergeCell ref="H11:I11"/>
  </mergeCells>
  <printOptions horizontalCentered="1"/>
  <pageMargins left="0.31496062992125984" right="0.62992125984251968" top="0.35433070866141736" bottom="0.31496062992125984" header="0.55118110236220474" footer="0.19685039370078741"/>
  <pageSetup paperSize="9" scale="77"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T120"/>
  <sheetViews>
    <sheetView rightToLeft="1" view="pageBreakPreview" topLeftCell="A3" zoomScale="115" zoomScaleNormal="100" zoomScaleSheetLayoutView="115" workbookViewId="0">
      <selection activeCell="F80" sqref="F80"/>
    </sheetView>
  </sheetViews>
  <sheetFormatPr defaultColWidth="9.140625" defaultRowHeight="18.75" x14ac:dyDescent="0.45"/>
  <cols>
    <col min="1" max="1" width="1.42578125" style="244" customWidth="1"/>
    <col min="2" max="2" width="12.7109375" style="244" hidden="1" customWidth="1"/>
    <col min="3" max="3" width="1.42578125" style="244" customWidth="1"/>
    <col min="4" max="4" width="21.7109375" style="247" hidden="1" customWidth="1"/>
    <col min="5" max="5" width="2.7109375" style="244" customWidth="1"/>
    <col min="6" max="6" width="21" style="254" customWidth="1"/>
    <col min="7" max="7" width="3.7109375" style="244" customWidth="1"/>
    <col min="8" max="8" width="27.7109375" style="244" customWidth="1"/>
    <col min="9" max="9" width="43.140625" style="244" customWidth="1"/>
    <col min="10" max="10" width="1.5703125" style="244" customWidth="1"/>
    <col min="11" max="11" width="1.28515625" style="263" customWidth="1"/>
    <col min="12" max="12" width="4.42578125" style="309" customWidth="1"/>
    <col min="13" max="13" width="15.7109375" style="244" customWidth="1"/>
    <col min="14" max="14" width="9.140625" style="244"/>
    <col min="15" max="15" width="14" style="244" bestFit="1" customWidth="1"/>
    <col min="16" max="16384" width="9.140625" style="244"/>
  </cols>
  <sheetData>
    <row r="1" spans="1:14" x14ac:dyDescent="0.45">
      <c r="B1" s="588">
        <f>Cover!A14</f>
        <v>0</v>
      </c>
      <c r="C1" s="588"/>
      <c r="D1" s="588"/>
      <c r="E1" s="588"/>
      <c r="F1" s="588"/>
      <c r="G1" s="588"/>
      <c r="H1" s="588"/>
      <c r="I1" s="588"/>
      <c r="J1" s="588"/>
      <c r="K1" s="588"/>
      <c r="L1" s="588"/>
      <c r="M1" s="246"/>
    </row>
    <row r="2" spans="1:14" x14ac:dyDescent="0.45">
      <c r="B2" s="588" t="str">
        <f>Cover!A15</f>
        <v>(Foreign Company – Limited Liability Company)</v>
      </c>
      <c r="C2" s="588"/>
      <c r="D2" s="588"/>
      <c r="E2" s="588"/>
      <c r="F2" s="588"/>
      <c r="G2" s="588"/>
      <c r="H2" s="588"/>
      <c r="I2" s="588"/>
      <c r="J2" s="588"/>
      <c r="K2" s="588"/>
      <c r="L2" s="588"/>
      <c r="M2" s="246"/>
    </row>
    <row r="3" spans="1:14" x14ac:dyDescent="0.45">
      <c r="B3" s="588" t="str">
        <f>Cover!A16</f>
        <v>Riyadh – Kingdom of Saudi Arabia</v>
      </c>
      <c r="C3" s="588"/>
      <c r="D3" s="588"/>
      <c r="E3" s="588"/>
      <c r="F3" s="588"/>
      <c r="G3" s="588"/>
      <c r="H3" s="588"/>
      <c r="I3" s="588"/>
      <c r="J3" s="588"/>
      <c r="K3" s="588"/>
      <c r="L3" s="588"/>
      <c r="M3" s="247"/>
    </row>
    <row r="4" spans="1:14" x14ac:dyDescent="0.45">
      <c r="B4" s="588" t="str">
        <f>'1'!B4</f>
        <v>NOTES TO THE FINANCIAL STATEMENTS FOR PERIOD  ENDED31December2024</v>
      </c>
      <c r="C4" s="588"/>
      <c r="D4" s="588"/>
      <c r="E4" s="588"/>
      <c r="F4" s="588"/>
      <c r="G4" s="588"/>
      <c r="H4" s="588"/>
      <c r="I4" s="588"/>
      <c r="J4" s="588"/>
      <c r="K4" s="588"/>
      <c r="L4" s="588"/>
    </row>
    <row r="5" spans="1:14" x14ac:dyDescent="0.45">
      <c r="A5" s="248"/>
      <c r="B5" s="606" t="str">
        <f>'Balance Sheet'!A5</f>
        <v>(saudi riyal)</v>
      </c>
      <c r="C5" s="606"/>
      <c r="D5" s="606"/>
      <c r="E5" s="606"/>
      <c r="F5" s="606"/>
      <c r="G5" s="606"/>
      <c r="H5" s="606"/>
      <c r="I5" s="606"/>
      <c r="J5" s="606"/>
      <c r="K5" s="606"/>
      <c r="L5" s="606"/>
    </row>
    <row r="6" spans="1:14" ht="9.75" customHeight="1" x14ac:dyDescent="0.45">
      <c r="B6" s="250"/>
      <c r="C6" s="250"/>
      <c r="D6" s="251"/>
      <c r="E6" s="250"/>
      <c r="F6" s="250"/>
      <c r="G6" s="250"/>
      <c r="H6" s="250"/>
      <c r="I6" s="250"/>
      <c r="J6" s="250"/>
      <c r="K6" s="250"/>
      <c r="L6" s="353"/>
    </row>
    <row r="7" spans="1:14" x14ac:dyDescent="0.45">
      <c r="C7" s="280"/>
      <c r="D7" s="287"/>
      <c r="E7" s="280"/>
      <c r="F7" s="288"/>
      <c r="G7" s="280"/>
      <c r="H7" s="280"/>
      <c r="I7" s="685" t="str">
        <f>'Balance Sheet'!K40</f>
        <v>Provision for Employees' benefits</v>
      </c>
      <c r="J7" s="571"/>
      <c r="K7" s="571"/>
      <c r="L7" s="290" t="str">
        <f>'Balance Sheet'!H40&amp;"-"</f>
        <v>10-</v>
      </c>
      <c r="M7" s="346"/>
    </row>
    <row r="8" spans="1:14" ht="21.75" x14ac:dyDescent="0.5">
      <c r="B8" s="242"/>
      <c r="C8" s="629" t="str">
        <f xml:space="preserve"> I7&amp;" "&amp;"in" &amp;Index!$H$5&amp;" "&amp;Index!$H$6&amp;" "&amp;" :"</f>
        <v>Provision for Employees' benefits in31 December  :</v>
      </c>
      <c r="D8" s="629"/>
      <c r="E8" s="629"/>
      <c r="F8" s="629"/>
      <c r="G8" s="629"/>
      <c r="H8" s="629"/>
      <c r="I8" s="629"/>
      <c r="J8" s="629"/>
      <c r="K8" s="629"/>
      <c r="L8" s="290"/>
      <c r="M8" s="346"/>
    </row>
    <row r="9" spans="1:14" ht="36.75" customHeight="1" x14ac:dyDescent="0.45">
      <c r="B9" s="292" t="str">
        <f>Index!$F$5&amp;Index!$F$6&amp;Index!$F$7</f>
        <v>01January2017</v>
      </c>
      <c r="C9" s="287"/>
      <c r="D9" s="354" t="str">
        <f>Index!$G$5&amp;Index!$G$6&amp;Index!$G$7</f>
        <v>31December2023</v>
      </c>
      <c r="E9" s="293"/>
      <c r="F9" s="354" t="str">
        <f>Index!$H$5&amp;Index!$H$6&amp;Index!$H$7</f>
        <v>31December2024</v>
      </c>
      <c r="G9" s="287"/>
      <c r="H9" s="287"/>
      <c r="I9" s="284"/>
      <c r="J9" s="287"/>
      <c r="K9" s="287"/>
      <c r="L9" s="290"/>
    </row>
    <row r="10" spans="1:14" x14ac:dyDescent="0.45">
      <c r="B10" s="292" t="str">
        <f>'Balance Sheet'!$D$10</f>
        <v>(saudi riyal)</v>
      </c>
      <c r="C10" s="287"/>
      <c r="D10" s="292" t="str">
        <f>'Balance Sheet'!$D$10</f>
        <v>(saudi riyal)</v>
      </c>
      <c r="E10" s="293"/>
      <c r="F10" s="292" t="str">
        <f>'Balance Sheet'!$F$10</f>
        <v>(saudi riyal)</v>
      </c>
      <c r="G10" s="287"/>
      <c r="H10" s="287"/>
      <c r="J10" s="287"/>
      <c r="K10" s="287"/>
      <c r="L10" s="290"/>
    </row>
    <row r="11" spans="1:14" s="280" customFormat="1" x14ac:dyDescent="0.2">
      <c r="B11" s="281">
        <v>8234</v>
      </c>
      <c r="C11" s="281"/>
      <c r="D11" s="314">
        <v>0</v>
      </c>
      <c r="E11" s="281"/>
      <c r="F11" s="314">
        <f>D14</f>
        <v>0</v>
      </c>
      <c r="I11" s="291" t="s">
        <v>262</v>
      </c>
      <c r="K11" s="284"/>
      <c r="L11" s="285"/>
      <c r="N11" s="355"/>
    </row>
    <row r="12" spans="1:14" s="280" customFormat="1" x14ac:dyDescent="0.2">
      <c r="B12" s="281">
        <v>17217</v>
      </c>
      <c r="C12" s="281"/>
      <c r="D12" s="314">
        <v>0</v>
      </c>
      <c r="E12" s="281"/>
      <c r="F12" s="314">
        <v>0</v>
      </c>
      <c r="I12" s="291" t="s">
        <v>263</v>
      </c>
      <c r="K12" s="284"/>
      <c r="L12" s="285"/>
      <c r="N12" s="356"/>
    </row>
    <row r="13" spans="1:14" s="280" customFormat="1" x14ac:dyDescent="0.2">
      <c r="B13" s="281">
        <v>0</v>
      </c>
      <c r="C13" s="281"/>
      <c r="D13" s="357">
        <v>0</v>
      </c>
      <c r="E13" s="281"/>
      <c r="F13" s="314">
        <v>0</v>
      </c>
      <c r="I13" s="291" t="s">
        <v>264</v>
      </c>
      <c r="K13" s="284"/>
      <c r="L13" s="285"/>
      <c r="N13" s="355"/>
    </row>
    <row r="14" spans="1:14" ht="19.5" thickBot="1" x14ac:dyDescent="0.5">
      <c r="B14" s="339">
        <f>SUM(B11:B13)</f>
        <v>25451</v>
      </c>
      <c r="C14" s="316"/>
      <c r="D14" s="339">
        <f>SUM(D11:D13)</f>
        <v>0</v>
      </c>
      <c r="E14" s="337"/>
      <c r="F14" s="339">
        <f>SUM(F11:F13)</f>
        <v>0</v>
      </c>
      <c r="G14" s="280"/>
      <c r="H14" s="280"/>
      <c r="I14" s="300" t="str">
        <f>D!$H$13</f>
        <v>Balance ended For YEAR</v>
      </c>
      <c r="J14" s="280"/>
      <c r="K14" s="280"/>
      <c r="L14" s="290"/>
    </row>
    <row r="15" spans="1:14" ht="12.6" customHeight="1" thickTop="1" x14ac:dyDescent="0.45">
      <c r="B15" s="329"/>
      <c r="C15" s="287"/>
      <c r="D15" s="358"/>
      <c r="E15" s="359"/>
      <c r="F15" s="358"/>
      <c r="G15" s="280"/>
      <c r="H15" s="280"/>
      <c r="I15" s="300"/>
      <c r="J15" s="280"/>
      <c r="K15" s="280"/>
      <c r="L15" s="290"/>
    </row>
    <row r="16" spans="1:14" ht="18" hidden="1" customHeight="1" x14ac:dyDescent="0.45">
      <c r="B16" s="329"/>
      <c r="C16" s="287"/>
      <c r="D16" s="358"/>
      <c r="E16" s="359"/>
      <c r="F16" s="358"/>
      <c r="G16" s="280"/>
      <c r="H16" s="280"/>
      <c r="I16" s="300"/>
      <c r="J16" s="280"/>
      <c r="K16" s="280"/>
      <c r="L16" s="290"/>
    </row>
    <row r="17" spans="2:12" ht="18" hidden="1" customHeight="1" x14ac:dyDescent="0.45">
      <c r="B17" s="329"/>
      <c r="C17" s="287"/>
      <c r="D17" s="358"/>
      <c r="E17" s="359"/>
      <c r="F17" s="358"/>
      <c r="G17" s="280"/>
      <c r="H17" s="280"/>
      <c r="I17" s="300"/>
      <c r="J17" s="280"/>
      <c r="K17" s="280"/>
      <c r="L17" s="290"/>
    </row>
    <row r="18" spans="2:12" ht="18" hidden="1" customHeight="1" x14ac:dyDescent="0.45">
      <c r="B18" s="329"/>
      <c r="C18" s="287"/>
      <c r="D18" s="358"/>
      <c r="E18" s="359"/>
      <c r="F18" s="244"/>
      <c r="G18" s="280"/>
      <c r="H18" s="280"/>
      <c r="J18" s="280"/>
      <c r="K18" s="300" t="s">
        <v>476</v>
      </c>
      <c r="L18" s="290"/>
    </row>
    <row r="19" spans="2:12" ht="27.75" hidden="1" customHeight="1" x14ac:dyDescent="0.45">
      <c r="B19" s="329"/>
      <c r="C19" s="287"/>
      <c r="D19" s="354" t="str">
        <f>Index!$G$5&amp;Index!$G$6&amp;Index!$G$7</f>
        <v>31December2023</v>
      </c>
      <c r="E19" s="359"/>
      <c r="F19" s="354" t="str">
        <f>Index!$H$5&amp;Index!$H$6&amp;Index!$H$7</f>
        <v>31December2024</v>
      </c>
      <c r="G19" s="280"/>
      <c r="H19" s="280"/>
      <c r="I19" s="300"/>
      <c r="J19" s="280"/>
      <c r="K19" s="280"/>
      <c r="L19" s="290"/>
    </row>
    <row r="20" spans="2:12" ht="18" hidden="1" customHeight="1" x14ac:dyDescent="0.45">
      <c r="B20" s="329"/>
      <c r="C20" s="287"/>
      <c r="D20" s="292"/>
      <c r="E20" s="359"/>
      <c r="F20" s="292"/>
      <c r="G20" s="280"/>
      <c r="H20" s="280"/>
      <c r="I20" s="300"/>
      <c r="J20" s="280"/>
      <c r="K20" s="280"/>
      <c r="L20" s="290"/>
    </row>
    <row r="21" spans="2:12" ht="18" hidden="1" customHeight="1" x14ac:dyDescent="0.45">
      <c r="B21" s="329"/>
      <c r="C21" s="287"/>
      <c r="D21" s="314">
        <v>0</v>
      </c>
      <c r="E21" s="359"/>
      <c r="F21" s="360">
        <v>0</v>
      </c>
      <c r="G21" s="280"/>
      <c r="H21" s="280"/>
      <c r="I21" s="361" t="s">
        <v>477</v>
      </c>
      <c r="J21" s="280"/>
      <c r="K21" s="280"/>
      <c r="L21" s="290"/>
    </row>
    <row r="22" spans="2:12" ht="18" hidden="1" customHeight="1" x14ac:dyDescent="0.45">
      <c r="B22" s="329"/>
      <c r="C22" s="287"/>
      <c r="D22" s="314">
        <v>0</v>
      </c>
      <c r="E22" s="359"/>
      <c r="F22" s="360">
        <v>0</v>
      </c>
      <c r="G22" s="280"/>
      <c r="H22" s="280"/>
      <c r="I22" s="361" t="s">
        <v>478</v>
      </c>
      <c r="J22" s="280"/>
      <c r="K22" s="280"/>
      <c r="L22" s="290"/>
    </row>
    <row r="23" spans="2:12" ht="18" hidden="1" customHeight="1" x14ac:dyDescent="0.45">
      <c r="B23" s="329"/>
      <c r="C23" s="287"/>
      <c r="D23" s="314">
        <v>0</v>
      </c>
      <c r="E23" s="359"/>
      <c r="F23" s="357">
        <v>0</v>
      </c>
      <c r="G23" s="280"/>
      <c r="H23" s="280"/>
      <c r="I23" s="361" t="s">
        <v>479</v>
      </c>
      <c r="J23" s="280"/>
      <c r="K23" s="280"/>
      <c r="L23" s="290"/>
    </row>
    <row r="24" spans="2:12" ht="18" hidden="1" customHeight="1" x14ac:dyDescent="0.45">
      <c r="B24" s="329"/>
      <c r="C24" s="287"/>
      <c r="D24" s="357">
        <v>0</v>
      </c>
      <c r="E24" s="359"/>
      <c r="F24" s="357">
        <v>0</v>
      </c>
      <c r="G24" s="280"/>
      <c r="H24" s="280"/>
      <c r="I24" s="361" t="s">
        <v>480</v>
      </c>
      <c r="J24" s="280"/>
      <c r="K24" s="280"/>
      <c r="L24" s="290"/>
    </row>
    <row r="25" spans="2:12" ht="18" hidden="1" customHeight="1" thickBot="1" x14ac:dyDescent="0.5">
      <c r="B25" s="329"/>
      <c r="C25" s="287"/>
      <c r="D25" s="339">
        <f>SUM(D21:D24)</f>
        <v>0</v>
      </c>
      <c r="E25" s="359"/>
      <c r="F25" s="339">
        <f>SUM(F21:F24)</f>
        <v>0</v>
      </c>
      <c r="G25" s="280"/>
      <c r="H25" s="280"/>
      <c r="I25" s="300" t="s">
        <v>481</v>
      </c>
      <c r="J25" s="280"/>
      <c r="K25" s="280"/>
      <c r="L25" s="290"/>
    </row>
    <row r="26" spans="2:12" ht="18" customHeight="1" x14ac:dyDescent="0.45">
      <c r="B26" s="329"/>
      <c r="C26" s="287"/>
      <c r="D26" s="358"/>
      <c r="E26" s="359"/>
      <c r="F26" s="358"/>
      <c r="G26" s="280"/>
      <c r="H26" s="280"/>
      <c r="I26" s="300"/>
      <c r="J26" s="280"/>
      <c r="K26" s="280"/>
      <c r="L26" s="290"/>
    </row>
    <row r="27" spans="2:12" ht="18" hidden="1" customHeight="1" x14ac:dyDescent="0.45">
      <c r="B27" s="329"/>
      <c r="C27" s="287"/>
      <c r="D27" s="358"/>
      <c r="E27" s="359"/>
      <c r="F27" s="358"/>
      <c r="G27" s="280"/>
      <c r="H27" s="280"/>
      <c r="I27" s="300"/>
      <c r="J27" s="288"/>
      <c r="K27" s="362" t="s">
        <v>482</v>
      </c>
      <c r="L27" s="290" t="s">
        <v>168</v>
      </c>
    </row>
    <row r="28" spans="2:12" ht="18" hidden="1" customHeight="1" x14ac:dyDescent="0.45">
      <c r="B28" s="329"/>
      <c r="C28" s="287"/>
      <c r="D28" s="358" t="str">
        <f>D19</f>
        <v>31December2023</v>
      </c>
      <c r="E28" s="359"/>
      <c r="F28" s="358" t="str">
        <f>F19</f>
        <v>31December2024</v>
      </c>
      <c r="G28" s="280"/>
      <c r="H28" s="280"/>
      <c r="I28" s="300"/>
      <c r="J28" s="280"/>
      <c r="K28" s="280"/>
      <c r="L28" s="290"/>
    </row>
    <row r="29" spans="2:12" ht="18" hidden="1" customHeight="1" x14ac:dyDescent="0.45">
      <c r="B29" s="329"/>
      <c r="C29" s="287"/>
      <c r="D29" s="363">
        <v>2.8000000000000001E-2</v>
      </c>
      <c r="E29" s="359"/>
      <c r="F29" s="364">
        <v>1.9599999999999999E-2</v>
      </c>
      <c r="G29" s="280"/>
      <c r="H29" s="280"/>
      <c r="I29" s="361" t="s">
        <v>483</v>
      </c>
      <c r="J29" s="280"/>
      <c r="K29" s="280"/>
      <c r="L29" s="290"/>
    </row>
    <row r="30" spans="2:12" ht="18" hidden="1" customHeight="1" x14ac:dyDescent="0.45">
      <c r="B30" s="329"/>
      <c r="C30" s="287"/>
      <c r="D30" s="365">
        <v>7.0000000000000007E-2</v>
      </c>
      <c r="E30" s="359"/>
      <c r="F30" s="365">
        <v>7.0000000000000007E-2</v>
      </c>
      <c r="G30" s="280"/>
      <c r="H30" s="280"/>
      <c r="I30" s="361" t="s">
        <v>484</v>
      </c>
      <c r="J30" s="280"/>
      <c r="K30" s="280"/>
      <c r="L30" s="290"/>
    </row>
    <row r="31" spans="2:12" ht="18" hidden="1" customHeight="1" x14ac:dyDescent="0.45">
      <c r="B31" s="329"/>
      <c r="C31" s="287"/>
      <c r="D31" s="366" t="s">
        <v>507</v>
      </c>
      <c r="E31" s="359"/>
      <c r="F31" s="366" t="s">
        <v>507</v>
      </c>
      <c r="G31" s="280"/>
      <c r="H31" s="280"/>
      <c r="I31" s="361" t="s">
        <v>485</v>
      </c>
      <c r="J31" s="280"/>
      <c r="K31" s="280"/>
      <c r="L31" s="290"/>
    </row>
    <row r="32" spans="2:12" ht="18" hidden="1" customHeight="1" x14ac:dyDescent="0.45">
      <c r="B32" s="329"/>
      <c r="C32" s="287"/>
      <c r="D32" s="358"/>
      <c r="E32" s="359"/>
      <c r="F32" s="358"/>
      <c r="G32" s="280"/>
      <c r="H32" s="280"/>
      <c r="I32" s="300"/>
      <c r="J32" s="280"/>
      <c r="K32" s="280"/>
      <c r="L32" s="290"/>
    </row>
    <row r="33" spans="2:13" ht="18" hidden="1" customHeight="1" x14ac:dyDescent="0.45">
      <c r="B33" s="329"/>
      <c r="C33" s="287"/>
      <c r="D33" s="358"/>
      <c r="E33" s="359"/>
      <c r="F33" s="358"/>
      <c r="G33" s="280"/>
      <c r="H33" s="280"/>
      <c r="I33" s="300"/>
      <c r="J33" s="280"/>
      <c r="K33" s="321" t="s">
        <v>486</v>
      </c>
      <c r="L33" s="290"/>
    </row>
    <row r="34" spans="2:13" ht="56.25" hidden="1" customHeight="1" x14ac:dyDescent="0.45">
      <c r="C34" s="280"/>
      <c r="D34" s="683" t="s">
        <v>511</v>
      </c>
      <c r="E34" s="683"/>
      <c r="F34" s="683"/>
      <c r="G34" s="683"/>
      <c r="H34" s="683"/>
      <c r="I34" s="683"/>
      <c r="J34" s="683"/>
      <c r="K34" s="683"/>
      <c r="L34" s="290"/>
      <c r="M34" s="346"/>
    </row>
    <row r="35" spans="2:13" ht="14.25" hidden="1" customHeight="1" x14ac:dyDescent="0.45">
      <c r="C35" s="280"/>
      <c r="D35" s="280"/>
      <c r="E35" s="280"/>
      <c r="F35" s="367"/>
      <c r="G35" s="280"/>
      <c r="H35" s="280"/>
      <c r="I35" s="280"/>
      <c r="J35" s="280"/>
      <c r="K35" s="280"/>
      <c r="L35" s="290"/>
      <c r="M35" s="346"/>
    </row>
    <row r="36" spans="2:13" ht="37.5" hidden="1" customHeight="1" x14ac:dyDescent="0.45">
      <c r="B36" s="292" t="str">
        <f>Index!$F$5&amp;Index!$F$6&amp;Index!$F$7</f>
        <v>01January2017</v>
      </c>
      <c r="C36" s="287"/>
      <c r="D36" s="292"/>
      <c r="E36" s="293"/>
      <c r="F36" s="368" t="s">
        <v>490</v>
      </c>
      <c r="G36" s="280"/>
      <c r="H36" s="369" t="s">
        <v>489</v>
      </c>
      <c r="I36" s="312"/>
      <c r="J36" s="287"/>
      <c r="K36" s="311" t="s">
        <v>487</v>
      </c>
      <c r="L36" s="290"/>
    </row>
    <row r="37" spans="2:13" ht="18" hidden="1" customHeight="1" x14ac:dyDescent="0.45">
      <c r="B37" s="292" t="str">
        <f>'Balance Sheet'!$D$10</f>
        <v>(saudi riyal)</v>
      </c>
      <c r="C37" s="287"/>
      <c r="D37" s="292"/>
      <c r="E37" s="293"/>
      <c r="F37" s="370">
        <v>1.9599999999999999E-2</v>
      </c>
      <c r="G37" s="287"/>
      <c r="H37" s="370">
        <v>8.3999999999999995E-3</v>
      </c>
      <c r="I37" s="287"/>
      <c r="J37" s="287"/>
      <c r="K37" s="291" t="s">
        <v>483</v>
      </c>
      <c r="L37" s="290"/>
    </row>
    <row r="38" spans="2:13" ht="18" hidden="1" customHeight="1" x14ac:dyDescent="0.45">
      <c r="B38" s="371"/>
      <c r="C38" s="316"/>
      <c r="D38" s="372"/>
      <c r="E38" s="338"/>
      <c r="F38" s="370">
        <v>7.0000000000000007E-2</v>
      </c>
      <c r="G38" s="287"/>
      <c r="H38" s="370">
        <v>0</v>
      </c>
      <c r="I38" s="287"/>
      <c r="J38" s="280"/>
      <c r="K38" s="291" t="s">
        <v>488</v>
      </c>
      <c r="L38" s="290"/>
    </row>
    <row r="39" spans="2:13" ht="48" hidden="1" customHeight="1" x14ac:dyDescent="0.45">
      <c r="B39" s="371"/>
      <c r="C39" s="316"/>
      <c r="D39" s="684" t="s">
        <v>510</v>
      </c>
      <c r="E39" s="684"/>
      <c r="F39" s="684"/>
      <c r="G39" s="684"/>
      <c r="H39" s="684"/>
      <c r="I39" s="684"/>
      <c r="J39" s="684"/>
      <c r="K39" s="684"/>
      <c r="L39" s="373" t="s">
        <v>168</v>
      </c>
    </row>
    <row r="40" spans="2:13" ht="12.75" customHeight="1" x14ac:dyDescent="0.45">
      <c r="B40" s="371"/>
      <c r="C40" s="316"/>
      <c r="D40" s="372"/>
      <c r="E40" s="338"/>
      <c r="F40" s="372"/>
      <c r="G40" s="287"/>
      <c r="H40" s="374"/>
      <c r="I40" s="287"/>
      <c r="J40" s="280"/>
      <c r="K40" s="280"/>
      <c r="L40" s="290"/>
    </row>
    <row r="41" spans="2:13" ht="18" hidden="1" customHeight="1" x14ac:dyDescent="0.45">
      <c r="B41" s="371"/>
      <c r="C41" s="316"/>
      <c r="D41" s="372"/>
      <c r="E41" s="338"/>
      <c r="F41" s="372"/>
      <c r="G41" s="287"/>
      <c r="H41" s="374"/>
      <c r="I41" s="287"/>
      <c r="J41" s="280"/>
      <c r="K41" s="280"/>
      <c r="L41" s="290"/>
    </row>
    <row r="42" spans="2:13" ht="18" hidden="1" customHeight="1" x14ac:dyDescent="0.45">
      <c r="B42" s="371"/>
      <c r="C42" s="316"/>
      <c r="D42" s="372"/>
      <c r="E42" s="338"/>
      <c r="F42" s="372"/>
      <c r="G42" s="287"/>
      <c r="H42" s="374"/>
      <c r="I42" s="287"/>
      <c r="J42" s="280"/>
      <c r="K42" s="280"/>
      <c r="L42" s="290"/>
    </row>
    <row r="43" spans="2:13" ht="18" hidden="1" customHeight="1" x14ac:dyDescent="0.45">
      <c r="B43" s="371"/>
      <c r="C43" s="316"/>
      <c r="D43" s="372"/>
      <c r="E43" s="338"/>
      <c r="F43" s="372"/>
      <c r="G43" s="287"/>
      <c r="H43" s="374"/>
      <c r="I43" s="287"/>
      <c r="J43" s="280"/>
      <c r="K43" s="280"/>
      <c r="L43" s="290"/>
    </row>
    <row r="44" spans="2:13" ht="18" hidden="1" customHeight="1" x14ac:dyDescent="0.45">
      <c r="B44" s="371"/>
      <c r="C44" s="316"/>
      <c r="D44" s="372"/>
      <c r="E44" s="338"/>
      <c r="F44" s="372"/>
      <c r="G44" s="287"/>
      <c r="H44" s="374"/>
      <c r="I44" s="287"/>
      <c r="J44" s="280"/>
      <c r="K44" s="280"/>
      <c r="L44" s="290"/>
    </row>
    <row r="45" spans="2:13" ht="18" hidden="1" customHeight="1" thickBot="1" x14ac:dyDescent="0.5">
      <c r="B45" s="339">
        <f>SUM(B38:B39)</f>
        <v>0</v>
      </c>
      <c r="C45" s="316"/>
      <c r="D45" s="339">
        <f>SUM(D38:D39)</f>
        <v>0</v>
      </c>
      <c r="E45" s="337"/>
      <c r="F45" s="339">
        <f>SUM(F38:F39)</f>
        <v>7.0000000000000007E-2</v>
      </c>
      <c r="G45" s="280"/>
      <c r="H45" s="280"/>
      <c r="I45" s="300" t="str">
        <f>D!$H$13</f>
        <v>Balance ended For YEAR</v>
      </c>
      <c r="J45" s="280"/>
      <c r="K45" s="280"/>
      <c r="L45" s="290"/>
    </row>
    <row r="46" spans="2:13" ht="18" hidden="1" customHeight="1" x14ac:dyDescent="0.45">
      <c r="B46" s="280"/>
      <c r="C46" s="287"/>
      <c r="D46" s="358"/>
      <c r="E46" s="359"/>
      <c r="F46" s="358"/>
      <c r="G46" s="280"/>
      <c r="H46" s="280"/>
      <c r="I46" s="300"/>
      <c r="J46" s="280"/>
      <c r="K46" s="280"/>
      <c r="L46" s="375" t="s">
        <v>258</v>
      </c>
    </row>
    <row r="47" spans="2:13" ht="18" hidden="1" customHeight="1" x14ac:dyDescent="0.45">
      <c r="B47" s="337">
        <v>0</v>
      </c>
      <c r="C47" s="316"/>
      <c r="D47" s="338">
        <v>0</v>
      </c>
      <c r="E47" s="337"/>
      <c r="F47" s="338">
        <v>0</v>
      </c>
      <c r="G47" s="280"/>
      <c r="H47" s="280"/>
      <c r="I47" s="300"/>
      <c r="J47" s="291" t="s">
        <v>255</v>
      </c>
      <c r="K47" s="291"/>
      <c r="L47" s="290"/>
    </row>
    <row r="48" spans="2:13" ht="18" hidden="1" customHeight="1" x14ac:dyDescent="0.45">
      <c r="B48" s="337">
        <v>0</v>
      </c>
      <c r="C48" s="316"/>
      <c r="D48" s="338">
        <v>0</v>
      </c>
      <c r="E48" s="337"/>
      <c r="F48" s="338">
        <v>0</v>
      </c>
      <c r="G48" s="280"/>
      <c r="H48" s="280"/>
      <c r="I48" s="300"/>
      <c r="J48" s="291" t="s">
        <v>256</v>
      </c>
      <c r="K48" s="291"/>
      <c r="L48" s="290"/>
    </row>
    <row r="49" spans="2:20" ht="18" hidden="1" customHeight="1" x14ac:dyDescent="0.45">
      <c r="B49" s="376">
        <v>0</v>
      </c>
      <c r="C49" s="316"/>
      <c r="D49" s="377">
        <v>0</v>
      </c>
      <c r="E49" s="337"/>
      <c r="F49" s="377">
        <v>0</v>
      </c>
      <c r="G49" s="280"/>
      <c r="H49" s="280"/>
      <c r="I49" s="300"/>
      <c r="J49" s="291" t="s">
        <v>257</v>
      </c>
      <c r="K49" s="291"/>
      <c r="L49" s="290"/>
    </row>
    <row r="50" spans="2:20" ht="18" hidden="1" customHeight="1" x14ac:dyDescent="0.45">
      <c r="B50" s="281"/>
      <c r="C50" s="282"/>
      <c r="D50" s="320"/>
      <c r="E50" s="281"/>
      <c r="F50" s="320"/>
      <c r="G50" s="280"/>
      <c r="H50" s="280"/>
      <c r="I50" s="300"/>
      <c r="J50" s="291"/>
      <c r="K50" s="291"/>
      <c r="L50" s="290"/>
    </row>
    <row r="51" spans="2:20" s="280" customFormat="1" hidden="1" x14ac:dyDescent="0.2">
      <c r="D51" s="287"/>
      <c r="F51" s="288"/>
      <c r="I51" s="685" t="str">
        <f>'Balance Sheet'!K42</f>
        <v>Deferred income</v>
      </c>
      <c r="J51" s="571"/>
      <c r="K51" s="571"/>
      <c r="L51" s="290" t="str">
        <f>'Balance Sheet'!H42&amp;"-"</f>
        <v>19-</v>
      </c>
    </row>
    <row r="52" spans="2:20" s="280" customFormat="1" hidden="1" x14ac:dyDescent="0.2">
      <c r="C52" s="629" t="str">
        <f xml:space="preserve"> I51&amp;" "&amp;"in" &amp;Index!$H$5&amp;" "&amp;Index!$H$6&amp;" "&amp;" :"</f>
        <v>Deferred income in31 December  :</v>
      </c>
      <c r="D52" s="629"/>
      <c r="E52" s="629"/>
      <c r="F52" s="629"/>
      <c r="G52" s="629"/>
      <c r="H52" s="629"/>
      <c r="I52" s="629"/>
      <c r="J52" s="629"/>
      <c r="K52" s="629"/>
      <c r="L52" s="290"/>
      <c r="N52" s="293"/>
    </row>
    <row r="53" spans="2:20" s="280" customFormat="1" hidden="1" x14ac:dyDescent="0.2">
      <c r="B53" s="292" t="str">
        <f>Index!$F$5&amp;Index!$F$6&amp;Index!$F$7</f>
        <v>01January2017</v>
      </c>
      <c r="C53" s="287"/>
      <c r="D53" s="292" t="str">
        <f>Index!$G$5&amp;Index!$G$6&amp;Index!$G$7</f>
        <v>31December2023</v>
      </c>
      <c r="E53" s="293"/>
      <c r="F53" s="292" t="str">
        <f>Index!$H$5&amp;Index!$H$6&amp;Index!$H$7</f>
        <v>31December2024</v>
      </c>
      <c r="G53" s="287"/>
      <c r="H53" s="287"/>
      <c r="I53" s="287"/>
      <c r="J53" s="287"/>
      <c r="K53" s="312">
        <f>G!G1</f>
        <v>0</v>
      </c>
      <c r="L53" s="290"/>
      <c r="N53" s="293"/>
    </row>
    <row r="54" spans="2:20" s="280" customFormat="1" hidden="1" x14ac:dyDescent="0.2">
      <c r="B54" s="292" t="str">
        <f>'Balance Sheet'!$D$10</f>
        <v>(saudi riyal)</v>
      </c>
      <c r="C54" s="287"/>
      <c r="D54" s="292" t="str">
        <f>'Balance Sheet'!$D$10</f>
        <v>(saudi riyal)</v>
      </c>
      <c r="E54" s="293"/>
      <c r="F54" s="292" t="str">
        <f>'Balance Sheet'!$F$10</f>
        <v>(saudi riyal)</v>
      </c>
      <c r="G54" s="287"/>
      <c r="H54" s="287"/>
      <c r="I54" s="287"/>
      <c r="J54" s="287"/>
      <c r="K54" s="287"/>
      <c r="L54" s="290"/>
      <c r="N54" s="293"/>
    </row>
    <row r="55" spans="2:20" s="280" customFormat="1" hidden="1" x14ac:dyDescent="0.2">
      <c r="B55" s="315"/>
      <c r="D55" s="315"/>
      <c r="E55" s="378"/>
      <c r="F55" s="295"/>
      <c r="K55" s="287"/>
      <c r="L55" s="313"/>
      <c r="N55" s="293"/>
      <c r="O55" s="318"/>
      <c r="P55" s="318"/>
      <c r="R55" s="286"/>
      <c r="T55" s="355"/>
    </row>
    <row r="56" spans="2:20" s="280" customFormat="1" hidden="1" x14ac:dyDescent="0.2">
      <c r="B56" s="337">
        <v>0</v>
      </c>
      <c r="C56" s="379"/>
      <c r="D56" s="337">
        <v>0</v>
      </c>
      <c r="E56" s="316"/>
      <c r="F56" s="338">
        <v>0</v>
      </c>
      <c r="K56" s="287"/>
      <c r="L56" s="313"/>
      <c r="N56" s="293"/>
    </row>
    <row r="57" spans="2:20" s="280" customFormat="1" hidden="1" x14ac:dyDescent="0.2">
      <c r="B57" s="337">
        <v>0</v>
      </c>
      <c r="C57" s="379"/>
      <c r="D57" s="337">
        <v>0</v>
      </c>
      <c r="E57" s="316"/>
      <c r="F57" s="338">
        <v>0</v>
      </c>
      <c r="K57" s="287"/>
      <c r="L57" s="313"/>
      <c r="N57" s="293"/>
    </row>
    <row r="58" spans="2:20" s="280" customFormat="1" ht="19.5" hidden="1" thickBot="1" x14ac:dyDescent="0.25">
      <c r="B58" s="339">
        <f>SUM(B55:B57)</f>
        <v>0</v>
      </c>
      <c r="C58" s="379"/>
      <c r="D58" s="339">
        <f>SUM(D55:D57)</f>
        <v>0</v>
      </c>
      <c r="E58" s="316"/>
      <c r="F58" s="339">
        <f>SUM(F55:F57)</f>
        <v>0</v>
      </c>
      <c r="I58" s="288"/>
      <c r="K58" s="300" t="str">
        <f>D!$H$13</f>
        <v>Balance ended For YEAR</v>
      </c>
      <c r="L58" s="380"/>
      <c r="N58" s="293"/>
      <c r="O58" s="318"/>
      <c r="P58" s="336"/>
      <c r="R58" s="286"/>
      <c r="T58" s="355"/>
    </row>
    <row r="59" spans="2:20" s="280" customFormat="1" ht="13.15" hidden="1" customHeight="1" x14ac:dyDescent="0.2">
      <c r="D59" s="295"/>
      <c r="E59" s="304"/>
      <c r="F59" s="295"/>
      <c r="I59" s="288"/>
      <c r="K59" s="300"/>
      <c r="L59" s="380"/>
      <c r="N59" s="293"/>
      <c r="O59" s="318"/>
      <c r="P59" s="336"/>
      <c r="R59" s="286"/>
      <c r="T59" s="355"/>
    </row>
    <row r="60" spans="2:20" s="280" customFormat="1" x14ac:dyDescent="0.2">
      <c r="D60" s="287"/>
      <c r="F60" s="354" t="str">
        <f>Index!$H$5&amp;Index!$H$6&amp;Index!$H$7</f>
        <v>31December2024</v>
      </c>
      <c r="I60" s="571" t="str">
        <f>'Balance Sheet'!K45</f>
        <v>Trade payables</v>
      </c>
      <c r="J60" s="571"/>
      <c r="K60" s="571"/>
      <c r="L60" s="290" t="str">
        <f>'Balance Sheet'!H45&amp;"-"</f>
        <v>11-</v>
      </c>
    </row>
    <row r="61" spans="2:20" s="280" customFormat="1" x14ac:dyDescent="0.2">
      <c r="F61" s="292" t="str">
        <f>'Balance Sheet'!$F$10</f>
        <v>(saudi riyal)</v>
      </c>
      <c r="K61" s="280" t="str">
        <f xml:space="preserve"> I60&amp;" "&amp;"in" &amp;Index!$H$5&amp;" "&amp;Index!$H$6&amp;" "&amp;" :"</f>
        <v>Trade payables in31 December  :</v>
      </c>
      <c r="L61" s="290"/>
      <c r="N61" s="293"/>
    </row>
    <row r="62" spans="2:20" s="280" customFormat="1" x14ac:dyDescent="0.2">
      <c r="B62" s="292" t="str">
        <f>Index!$F$5&amp;Index!$F$6&amp;Index!$F$7</f>
        <v>01January2017</v>
      </c>
      <c r="C62" s="287"/>
      <c r="D62" s="354" t="str">
        <f>Index!$G$5&amp;Index!$G$6&amp;Index!$G$7</f>
        <v>31December2023</v>
      </c>
      <c r="E62" s="354"/>
      <c r="G62" s="287"/>
      <c r="H62" s="287"/>
      <c r="I62" s="287"/>
      <c r="J62" s="287"/>
      <c r="K62" s="312"/>
      <c r="L62" s="290"/>
      <c r="N62" s="293"/>
    </row>
    <row r="63" spans="2:20" s="280" customFormat="1" x14ac:dyDescent="0.2">
      <c r="D63" s="314">
        <v>0</v>
      </c>
      <c r="E63" s="378"/>
      <c r="F63" s="314">
        <v>0</v>
      </c>
      <c r="I63" s="280" t="s">
        <v>491</v>
      </c>
      <c r="K63" s="287"/>
      <c r="L63" s="313"/>
      <c r="N63" s="293"/>
      <c r="O63" s="318"/>
      <c r="P63" s="318"/>
      <c r="R63" s="286"/>
      <c r="T63" s="355"/>
    </row>
    <row r="64" spans="2:20" s="280" customFormat="1" ht="19.5" hidden="1" customHeight="1" x14ac:dyDescent="0.2">
      <c r="B64" s="337">
        <v>0</v>
      </c>
      <c r="C64" s="379"/>
      <c r="D64" s="314">
        <v>0</v>
      </c>
      <c r="E64" s="316"/>
      <c r="F64" s="314">
        <v>0</v>
      </c>
      <c r="I64" s="280" t="s">
        <v>492</v>
      </c>
      <c r="K64" s="287"/>
      <c r="L64" s="313"/>
      <c r="N64" s="293"/>
    </row>
    <row r="65" spans="2:20" s="280" customFormat="1" hidden="1" x14ac:dyDescent="0.2">
      <c r="B65" s="337">
        <v>0</v>
      </c>
      <c r="C65" s="379"/>
      <c r="D65" s="314">
        <v>0</v>
      </c>
      <c r="E65" s="316"/>
      <c r="F65" s="314">
        <v>0</v>
      </c>
      <c r="I65" s="280" t="s">
        <v>493</v>
      </c>
      <c r="K65" s="287"/>
      <c r="L65" s="313"/>
      <c r="N65" s="293"/>
    </row>
    <row r="66" spans="2:20" s="280" customFormat="1" ht="19.5" thickBot="1" x14ac:dyDescent="0.25">
      <c r="B66" s="339">
        <f>SUM(B63:B65)</f>
        <v>0</v>
      </c>
      <c r="C66" s="379"/>
      <c r="D66" s="339">
        <f>SUM(D63:D65)</f>
        <v>0</v>
      </c>
      <c r="E66" s="316"/>
      <c r="F66" s="339">
        <f>SUM(F63:F65)</f>
        <v>0</v>
      </c>
      <c r="I66" s="288"/>
      <c r="K66" s="300" t="str">
        <f>D!$H$13</f>
        <v>Balance ended For YEAR</v>
      </c>
      <c r="L66" s="380"/>
      <c r="N66" s="293"/>
      <c r="O66" s="318"/>
      <c r="P66" s="336"/>
      <c r="R66" s="286"/>
      <c r="T66" s="355"/>
    </row>
    <row r="67" spans="2:20" s="280" customFormat="1" ht="8.4499999999999993" customHeight="1" thickTop="1" x14ac:dyDescent="0.2">
      <c r="C67" s="287"/>
      <c r="D67" s="315"/>
      <c r="E67" s="304"/>
      <c r="F67" s="295"/>
      <c r="I67" s="300"/>
      <c r="J67" s="287"/>
      <c r="K67" s="287"/>
      <c r="L67" s="285"/>
      <c r="M67" s="381"/>
      <c r="N67" s="281"/>
    </row>
    <row r="68" spans="2:20" s="280" customFormat="1" ht="8.4499999999999993" customHeight="1" x14ac:dyDescent="0.2">
      <c r="C68" s="287"/>
      <c r="D68" s="315"/>
      <c r="E68" s="304"/>
      <c r="F68" s="295"/>
      <c r="I68" s="300"/>
      <c r="J68" s="287"/>
      <c r="K68" s="287"/>
      <c r="L68" s="285"/>
      <c r="M68" s="381"/>
      <c r="N68" s="281"/>
    </row>
    <row r="69" spans="2:20" s="280" customFormat="1" x14ac:dyDescent="0.2">
      <c r="D69" s="287"/>
      <c r="F69" s="354" t="str">
        <f>Index!$H$5&amp;Index!$H$6&amp;Index!$H$7</f>
        <v>31December2024</v>
      </c>
      <c r="I69" s="571" t="str">
        <f>'Balance Sheet'!K46</f>
        <v>Accruals and other payables</v>
      </c>
      <c r="J69" s="571"/>
      <c r="K69" s="571"/>
      <c r="L69" s="290" t="str">
        <f>'Balance Sheet'!H46&amp;"-"</f>
        <v>12-</v>
      </c>
      <c r="P69" s="318"/>
    </row>
    <row r="70" spans="2:20" s="280" customFormat="1" x14ac:dyDescent="0.2">
      <c r="F70" s="292" t="str">
        <f>'Balance Sheet'!$F$10</f>
        <v>(saudi riyal)</v>
      </c>
      <c r="K70" s="280" t="str">
        <f xml:space="preserve"> I69&amp;" "&amp;"in" &amp;Index!$H$5&amp;" "&amp;Index!$H$6&amp;" "&amp;" :"</f>
        <v>Accruals and other payables in31 December  :</v>
      </c>
      <c r="L70" s="290"/>
      <c r="N70" s="293"/>
    </row>
    <row r="71" spans="2:20" s="280" customFormat="1" ht="19.5" customHeight="1" x14ac:dyDescent="0.2">
      <c r="B71" s="292" t="str">
        <f>'Balance Sheet'!$D$10</f>
        <v>(saudi riyal)</v>
      </c>
      <c r="C71" s="287"/>
      <c r="D71" s="292" t="str">
        <f>'Balance Sheet'!$D$10</f>
        <v>(saudi riyal)</v>
      </c>
      <c r="E71" s="293"/>
      <c r="G71" s="287"/>
      <c r="H71" s="287"/>
      <c r="J71" s="287"/>
      <c r="K71" s="287"/>
      <c r="L71" s="290"/>
      <c r="N71" s="293"/>
      <c r="P71" s="286"/>
      <c r="R71" s="318"/>
    </row>
    <row r="72" spans="2:20" s="280" customFormat="1" x14ac:dyDescent="0.2">
      <c r="C72" s="282"/>
      <c r="D72" s="314">
        <v>0</v>
      </c>
      <c r="E72" s="361"/>
      <c r="F72" s="314">
        <v>0</v>
      </c>
      <c r="G72" s="287"/>
      <c r="H72" s="382"/>
      <c r="I72" s="287"/>
      <c r="J72" s="291"/>
      <c r="K72" s="291" t="s">
        <v>512</v>
      </c>
      <c r="L72" s="290"/>
      <c r="N72" s="293"/>
      <c r="P72" s="286"/>
    </row>
    <row r="73" spans="2:20" s="280" customFormat="1" x14ac:dyDescent="0.2">
      <c r="C73" s="282"/>
      <c r="D73" s="314">
        <v>0</v>
      </c>
      <c r="E73" s="361"/>
      <c r="F73" s="314">
        <v>0</v>
      </c>
      <c r="G73" s="287"/>
      <c r="H73" s="287"/>
      <c r="I73" s="287"/>
      <c r="J73" s="291"/>
      <c r="K73" s="291" t="s">
        <v>533</v>
      </c>
      <c r="L73" s="290"/>
      <c r="N73" s="293"/>
      <c r="P73" s="286"/>
      <c r="R73" s="318"/>
    </row>
    <row r="74" spans="2:20" s="280" customFormat="1" x14ac:dyDescent="0.2">
      <c r="C74" s="282"/>
      <c r="D74" s="314">
        <v>0</v>
      </c>
      <c r="E74" s="361"/>
      <c r="F74" s="314">
        <v>0</v>
      </c>
      <c r="G74" s="287"/>
      <c r="H74" s="287"/>
      <c r="I74" s="287"/>
      <c r="K74" s="291" t="s">
        <v>534</v>
      </c>
      <c r="L74" s="290"/>
      <c r="N74" s="293"/>
      <c r="P74" s="383"/>
      <c r="R74" s="318"/>
    </row>
    <row r="75" spans="2:20" s="280" customFormat="1" x14ac:dyDescent="0.2">
      <c r="C75" s="282"/>
      <c r="D75" s="314">
        <v>0</v>
      </c>
      <c r="E75" s="361"/>
      <c r="F75" s="314">
        <v>0</v>
      </c>
      <c r="G75" s="287"/>
      <c r="H75" s="287"/>
      <c r="I75" s="287"/>
      <c r="J75" s="291"/>
      <c r="K75" s="291" t="s">
        <v>535</v>
      </c>
      <c r="L75" s="290"/>
      <c r="N75" s="293"/>
    </row>
    <row r="76" spans="2:20" s="280" customFormat="1" x14ac:dyDescent="0.2">
      <c r="C76" s="361"/>
      <c r="D76" s="314">
        <v>0</v>
      </c>
      <c r="E76" s="282"/>
      <c r="F76" s="314">
        <v>0</v>
      </c>
      <c r="J76" s="291"/>
      <c r="K76" s="291" t="s">
        <v>508</v>
      </c>
      <c r="L76" s="313"/>
      <c r="N76" s="293"/>
    </row>
    <row r="77" spans="2:20" s="280" customFormat="1" hidden="1" x14ac:dyDescent="0.2">
      <c r="C77" s="361"/>
      <c r="D77" s="281">
        <v>0</v>
      </c>
      <c r="E77" s="282"/>
      <c r="F77" s="281"/>
      <c r="J77" s="291"/>
      <c r="K77" s="291"/>
      <c r="L77" s="313"/>
      <c r="N77" s="293"/>
    </row>
    <row r="78" spans="2:20" s="280" customFormat="1" hidden="1" x14ac:dyDescent="0.2">
      <c r="C78" s="361"/>
      <c r="D78" s="281">
        <v>0</v>
      </c>
      <c r="E78" s="282"/>
      <c r="F78" s="281"/>
      <c r="J78" s="291"/>
      <c r="K78" s="291"/>
      <c r="L78" s="313"/>
      <c r="N78" s="293"/>
    </row>
    <row r="79" spans="2:20" s="280" customFormat="1" hidden="1" x14ac:dyDescent="0.2">
      <c r="C79" s="361"/>
      <c r="D79" s="281"/>
      <c r="E79" s="282"/>
      <c r="F79" s="281"/>
      <c r="J79" s="291"/>
      <c r="K79" s="291"/>
      <c r="L79" s="313"/>
      <c r="N79" s="293"/>
    </row>
    <row r="80" spans="2:20" s="280" customFormat="1" ht="19.5" thickBot="1" x14ac:dyDescent="0.25">
      <c r="B80" s="339">
        <v>0</v>
      </c>
      <c r="C80" s="379"/>
      <c r="D80" s="339">
        <f>SUM(D72:D79)</f>
        <v>0</v>
      </c>
      <c r="E80" s="316"/>
      <c r="F80" s="339">
        <f>SUM(F72:F76)</f>
        <v>0</v>
      </c>
      <c r="I80" s="288"/>
      <c r="K80" s="300" t="str">
        <f>D!$H$13</f>
        <v>Balance ended For YEAR</v>
      </c>
      <c r="L80" s="380"/>
      <c r="N80" s="293"/>
      <c r="P80" s="383"/>
    </row>
    <row r="81" spans="2:12" ht="4.5" customHeight="1" thickTop="1" x14ac:dyDescent="0.45">
      <c r="B81" s="274" t="str">
        <f>"-"&amp;SUM(Index!I10:I24)&amp;"-"</f>
        <v>-14-</v>
      </c>
      <c r="C81" s="287"/>
      <c r="D81" s="358"/>
      <c r="E81" s="359"/>
      <c r="F81" s="358"/>
      <c r="G81" s="280"/>
      <c r="H81" s="280"/>
      <c r="I81" s="288"/>
      <c r="J81" s="280"/>
      <c r="K81" s="280"/>
      <c r="L81" s="290"/>
    </row>
    <row r="82" spans="2:12" x14ac:dyDescent="0.45">
      <c r="B82" s="274"/>
      <c r="C82" s="287"/>
      <c r="D82" s="358"/>
      <c r="E82" s="359"/>
      <c r="F82" s="358"/>
      <c r="G82" s="280"/>
      <c r="H82" s="280"/>
      <c r="I82" s="288"/>
      <c r="J82" s="280"/>
      <c r="K82" s="280"/>
      <c r="L82" s="290"/>
    </row>
    <row r="83" spans="2:12" x14ac:dyDescent="0.45">
      <c r="B83" s="274"/>
      <c r="C83" s="287"/>
      <c r="D83" s="358"/>
      <c r="E83" s="359"/>
      <c r="F83" s="358"/>
      <c r="G83" s="280"/>
      <c r="H83" s="280"/>
      <c r="I83" s="288"/>
      <c r="J83" s="280"/>
      <c r="K83" s="280"/>
      <c r="L83" s="290"/>
    </row>
    <row r="84" spans="2:12" x14ac:dyDescent="0.45">
      <c r="B84" s="274"/>
      <c r="C84" s="287"/>
      <c r="D84" s="358"/>
      <c r="E84" s="359"/>
      <c r="F84" s="358"/>
      <c r="G84" s="280"/>
      <c r="H84" s="280"/>
      <c r="I84" s="288"/>
      <c r="J84" s="280"/>
      <c r="K84" s="280"/>
      <c r="L84" s="290"/>
    </row>
    <row r="85" spans="2:12" x14ac:dyDescent="0.45">
      <c r="B85" s="274"/>
      <c r="C85" s="287"/>
      <c r="D85" s="358"/>
      <c r="E85" s="359"/>
      <c r="F85" s="358"/>
      <c r="G85" s="280"/>
      <c r="H85" s="280"/>
      <c r="I85" s="288"/>
      <c r="J85" s="280"/>
      <c r="K85" s="280"/>
      <c r="L85" s="290"/>
    </row>
    <row r="86" spans="2:12" x14ac:dyDescent="0.45">
      <c r="B86" s="274"/>
      <c r="C86" s="287"/>
      <c r="D86" s="358"/>
      <c r="E86" s="359"/>
      <c r="F86" s="358"/>
      <c r="G86" s="280"/>
      <c r="H86" s="280"/>
      <c r="I86" s="288"/>
      <c r="J86" s="280"/>
      <c r="K86" s="280"/>
      <c r="L86" s="290"/>
    </row>
    <row r="87" spans="2:12" hidden="1" x14ac:dyDescent="0.45">
      <c r="B87" s="274"/>
      <c r="C87" s="287"/>
      <c r="D87" s="358"/>
      <c r="E87" s="359"/>
      <c r="F87" s="358"/>
      <c r="G87" s="280"/>
      <c r="H87" s="280"/>
      <c r="I87" s="288"/>
      <c r="J87" s="280"/>
      <c r="K87" s="280"/>
      <c r="L87" s="290"/>
    </row>
    <row r="88" spans="2:12" hidden="1" x14ac:dyDescent="0.45">
      <c r="B88" s="274"/>
      <c r="C88" s="287"/>
      <c r="D88" s="358"/>
      <c r="E88" s="359"/>
      <c r="F88" s="358"/>
      <c r="G88" s="280"/>
      <c r="H88" s="280"/>
      <c r="I88" s="288"/>
      <c r="J88" s="280"/>
      <c r="K88" s="280"/>
      <c r="L88" s="290"/>
    </row>
    <row r="89" spans="2:12" hidden="1" x14ac:dyDescent="0.45">
      <c r="B89" s="274"/>
      <c r="C89" s="287"/>
      <c r="D89" s="358"/>
      <c r="E89" s="359"/>
      <c r="F89" s="358"/>
      <c r="G89" s="280"/>
      <c r="H89" s="280"/>
      <c r="I89" s="288"/>
      <c r="J89" s="280"/>
      <c r="K89" s="280"/>
      <c r="L89" s="290"/>
    </row>
    <row r="90" spans="2:12" hidden="1" x14ac:dyDescent="0.45">
      <c r="B90" s="274"/>
      <c r="C90" s="287"/>
      <c r="D90" s="358"/>
      <c r="E90" s="359"/>
      <c r="F90" s="358"/>
      <c r="G90" s="280"/>
      <c r="H90" s="280"/>
      <c r="I90" s="288"/>
      <c r="J90" s="280"/>
      <c r="K90" s="280"/>
      <c r="L90" s="290"/>
    </row>
    <row r="91" spans="2:12" hidden="1" x14ac:dyDescent="0.45">
      <c r="B91" s="274"/>
      <c r="C91" s="287"/>
      <c r="D91" s="358"/>
      <c r="E91" s="359"/>
      <c r="F91" s="358"/>
      <c r="G91" s="280"/>
      <c r="H91" s="280"/>
      <c r="I91" s="288"/>
      <c r="J91" s="280"/>
      <c r="K91" s="280"/>
      <c r="L91" s="290"/>
    </row>
    <row r="92" spans="2:12" hidden="1" x14ac:dyDescent="0.45">
      <c r="B92" s="274"/>
      <c r="C92" s="287"/>
      <c r="D92" s="358"/>
      <c r="E92" s="359"/>
      <c r="F92" s="358"/>
      <c r="G92" s="280"/>
      <c r="H92" s="280"/>
      <c r="I92" s="288"/>
      <c r="J92" s="280"/>
      <c r="K92" s="280"/>
      <c r="L92" s="290"/>
    </row>
    <row r="93" spans="2:12" hidden="1" x14ac:dyDescent="0.45">
      <c r="B93" s="274"/>
      <c r="C93" s="287"/>
      <c r="D93" s="358"/>
      <c r="E93" s="359"/>
      <c r="F93" s="358"/>
      <c r="G93" s="280"/>
      <c r="H93" s="280"/>
      <c r="I93" s="288"/>
      <c r="J93" s="280"/>
      <c r="K93" s="280"/>
      <c r="L93" s="290"/>
    </row>
    <row r="94" spans="2:12" hidden="1" x14ac:dyDescent="0.45">
      <c r="B94" s="274"/>
      <c r="C94" s="287"/>
      <c r="D94" s="358"/>
      <c r="E94" s="359"/>
      <c r="F94" s="358"/>
      <c r="G94" s="280"/>
      <c r="H94" s="280"/>
      <c r="I94" s="288"/>
      <c r="J94" s="280"/>
      <c r="K94" s="280"/>
      <c r="L94" s="290"/>
    </row>
    <row r="95" spans="2:12" hidden="1" x14ac:dyDescent="0.45">
      <c r="B95" s="274"/>
      <c r="C95" s="287"/>
      <c r="D95" s="358"/>
      <c r="E95" s="359"/>
      <c r="F95" s="358"/>
      <c r="G95" s="280"/>
      <c r="H95" s="280"/>
      <c r="I95" s="288"/>
      <c r="J95" s="280"/>
      <c r="K95" s="280"/>
      <c r="L95" s="290"/>
    </row>
    <row r="96" spans="2:12" hidden="1" x14ac:dyDescent="0.45">
      <c r="B96" s="274"/>
      <c r="C96" s="287"/>
      <c r="D96" s="358"/>
      <c r="E96" s="359"/>
      <c r="F96" s="358"/>
      <c r="G96" s="280"/>
      <c r="H96" s="280"/>
      <c r="I96" s="288"/>
      <c r="J96" s="280"/>
      <c r="K96" s="280"/>
      <c r="L96" s="290"/>
    </row>
    <row r="97" spans="1:15" hidden="1" x14ac:dyDescent="0.45">
      <c r="B97" s="274"/>
      <c r="C97" s="287"/>
      <c r="D97" s="358"/>
      <c r="E97" s="359"/>
      <c r="F97" s="358"/>
      <c r="G97" s="280"/>
      <c r="H97" s="280"/>
      <c r="I97" s="288"/>
      <c r="J97" s="280"/>
      <c r="K97" s="280"/>
      <c r="L97" s="290"/>
    </row>
    <row r="98" spans="1:15" hidden="1" x14ac:dyDescent="0.45">
      <c r="B98" s="274"/>
      <c r="C98" s="287"/>
      <c r="D98" s="358"/>
      <c r="E98" s="359"/>
      <c r="F98" s="358"/>
      <c r="G98" s="280"/>
      <c r="H98" s="280"/>
      <c r="I98" s="288"/>
      <c r="J98" s="280"/>
      <c r="K98" s="280"/>
      <c r="L98" s="290"/>
    </row>
    <row r="99" spans="1:15" hidden="1" x14ac:dyDescent="0.45">
      <c r="B99" s="274"/>
      <c r="C99" s="287"/>
      <c r="D99" s="358"/>
      <c r="E99" s="359"/>
      <c r="F99" s="358"/>
      <c r="G99" s="280"/>
      <c r="H99" s="280"/>
      <c r="I99" s="288"/>
      <c r="J99" s="280"/>
      <c r="K99" s="280"/>
      <c r="L99" s="290"/>
    </row>
    <row r="100" spans="1:15" hidden="1" x14ac:dyDescent="0.45">
      <c r="B100" s="274"/>
      <c r="C100" s="287"/>
      <c r="D100" s="358"/>
      <c r="E100" s="359"/>
      <c r="F100" s="358"/>
      <c r="G100" s="280"/>
      <c r="H100" s="280"/>
      <c r="I100" s="288"/>
      <c r="J100" s="280"/>
      <c r="K100" s="280"/>
      <c r="L100" s="290"/>
    </row>
    <row r="101" spans="1:15" hidden="1" x14ac:dyDescent="0.45">
      <c r="B101" s="274"/>
      <c r="C101" s="287"/>
      <c r="D101" s="358"/>
      <c r="E101" s="359"/>
      <c r="F101" s="358"/>
      <c r="G101" s="280"/>
      <c r="H101" s="280"/>
      <c r="I101" s="288"/>
      <c r="J101" s="280"/>
      <c r="K101" s="280"/>
      <c r="L101" s="290"/>
    </row>
    <row r="102" spans="1:15" hidden="1" x14ac:dyDescent="0.45">
      <c r="B102" s="274"/>
      <c r="C102" s="287"/>
      <c r="D102" s="358"/>
      <c r="E102" s="359"/>
      <c r="F102" s="358"/>
      <c r="G102" s="280"/>
      <c r="H102" s="280"/>
      <c r="I102" s="288"/>
      <c r="J102" s="280"/>
      <c r="K102" s="280"/>
      <c r="L102" s="290"/>
    </row>
    <row r="103" spans="1:15" hidden="1" x14ac:dyDescent="0.45">
      <c r="B103" s="274"/>
      <c r="C103" s="287"/>
      <c r="D103" s="358"/>
      <c r="E103" s="359"/>
      <c r="F103" s="358"/>
      <c r="G103" s="280"/>
      <c r="H103" s="280"/>
      <c r="I103" s="288"/>
      <c r="J103" s="280"/>
      <c r="K103" s="280"/>
      <c r="L103" s="290"/>
    </row>
    <row r="104" spans="1:15" hidden="1" x14ac:dyDescent="0.45">
      <c r="B104" s="274"/>
      <c r="C104" s="287"/>
      <c r="D104" s="358"/>
      <c r="E104" s="359"/>
      <c r="F104" s="358"/>
      <c r="G104" s="280"/>
      <c r="H104" s="280"/>
      <c r="I104" s="288"/>
      <c r="J104" s="280"/>
      <c r="K104" s="280"/>
      <c r="L104" s="290"/>
    </row>
    <row r="105" spans="1:15" x14ac:dyDescent="0.45">
      <c r="B105" s="274"/>
      <c r="C105" s="287"/>
      <c r="D105" s="358"/>
      <c r="E105" s="359"/>
      <c r="F105" s="358"/>
      <c r="G105" s="280"/>
      <c r="H105" s="280"/>
      <c r="I105" s="288"/>
      <c r="J105" s="280"/>
      <c r="K105" s="280"/>
      <c r="L105" s="290"/>
    </row>
    <row r="106" spans="1:15" x14ac:dyDescent="0.45">
      <c r="B106" s="274"/>
      <c r="C106" s="287"/>
      <c r="D106" s="358"/>
      <c r="E106" s="359"/>
      <c r="F106" s="358"/>
      <c r="G106" s="280"/>
      <c r="H106" s="280"/>
      <c r="I106" s="288"/>
      <c r="J106" s="280"/>
      <c r="K106" s="280"/>
      <c r="L106" s="290"/>
    </row>
    <row r="107" spans="1:15" x14ac:dyDescent="0.45">
      <c r="B107" s="274"/>
      <c r="C107" s="287"/>
      <c r="D107" s="358"/>
      <c r="E107" s="359"/>
      <c r="F107" s="358"/>
      <c r="G107" s="280"/>
      <c r="H107" s="280"/>
      <c r="I107" s="288"/>
      <c r="J107" s="280"/>
      <c r="K107" s="280"/>
      <c r="L107" s="290"/>
    </row>
    <row r="108" spans="1:15" x14ac:dyDescent="0.45">
      <c r="B108" s="274"/>
      <c r="C108" s="287"/>
      <c r="D108" s="358"/>
      <c r="E108" s="359"/>
      <c r="F108" s="358"/>
      <c r="G108" s="280"/>
      <c r="H108" s="280"/>
      <c r="I108" s="288"/>
      <c r="J108" s="280"/>
      <c r="K108" s="280"/>
      <c r="L108" s="290"/>
    </row>
    <row r="109" spans="1:15" x14ac:dyDescent="0.45">
      <c r="B109" s="274"/>
      <c r="C109" s="287"/>
      <c r="D109" s="358"/>
      <c r="E109" s="359"/>
      <c r="F109" s="358"/>
      <c r="G109" s="280"/>
      <c r="H109" s="280"/>
      <c r="I109" s="288"/>
      <c r="J109" s="280"/>
      <c r="K109" s="280"/>
      <c r="L109" s="290"/>
    </row>
    <row r="110" spans="1:15" x14ac:dyDescent="0.45">
      <c r="B110" s="274"/>
      <c r="C110" s="287"/>
      <c r="D110" s="358"/>
      <c r="E110" s="359"/>
      <c r="F110" s="358"/>
      <c r="G110" s="280"/>
      <c r="H110" s="280"/>
      <c r="I110" s="288"/>
      <c r="J110" s="280"/>
      <c r="K110" s="280"/>
      <c r="L110" s="290"/>
    </row>
    <row r="111" spans="1:15" x14ac:dyDescent="0.45">
      <c r="A111" s="630" t="str">
        <f>"-"&amp;SUM(Index!I10:I24)&amp;"-"</f>
        <v>-14-</v>
      </c>
      <c r="B111" s="630"/>
      <c r="C111" s="630"/>
      <c r="D111" s="630"/>
      <c r="E111" s="630"/>
      <c r="F111" s="630"/>
      <c r="G111" s="630"/>
      <c r="H111" s="630"/>
      <c r="I111" s="630"/>
      <c r="J111" s="630"/>
      <c r="K111" s="630"/>
      <c r="L111" s="630"/>
      <c r="N111" s="325"/>
      <c r="O111" s="326"/>
    </row>
    <row r="112" spans="1:15" x14ac:dyDescent="0.45">
      <c r="D112" s="275"/>
      <c r="I112" s="276"/>
      <c r="L112" s="328"/>
    </row>
    <row r="113" spans="4:12" x14ac:dyDescent="0.45">
      <c r="D113" s="275"/>
      <c r="I113" s="276"/>
      <c r="L113" s="327"/>
    </row>
    <row r="114" spans="4:12" x14ac:dyDescent="0.45">
      <c r="D114" s="277"/>
      <c r="I114" s="276"/>
      <c r="K114" s="270"/>
    </row>
    <row r="115" spans="4:12" x14ac:dyDescent="0.45">
      <c r="D115" s="277"/>
      <c r="I115" s="276"/>
      <c r="L115" s="328"/>
    </row>
    <row r="116" spans="4:12" x14ac:dyDescent="0.45">
      <c r="D116" s="277"/>
      <c r="I116" s="276"/>
      <c r="L116" s="328"/>
    </row>
    <row r="117" spans="4:12" x14ac:dyDescent="0.45">
      <c r="D117" s="277"/>
      <c r="I117" s="276"/>
      <c r="L117" s="328"/>
    </row>
    <row r="118" spans="4:12" x14ac:dyDescent="0.45">
      <c r="D118" s="275"/>
      <c r="I118" s="276"/>
    </row>
    <row r="119" spans="4:12" x14ac:dyDescent="0.45">
      <c r="D119" s="275"/>
      <c r="I119" s="278"/>
      <c r="K119" s="279"/>
    </row>
    <row r="120" spans="4:12" x14ac:dyDescent="0.45">
      <c r="D120" s="275"/>
      <c r="I120" s="276"/>
      <c r="K120" s="279"/>
    </row>
  </sheetData>
  <mergeCells count="14">
    <mergeCell ref="D34:K34"/>
    <mergeCell ref="D39:K39"/>
    <mergeCell ref="A111:L111"/>
    <mergeCell ref="B1:L1"/>
    <mergeCell ref="B2:L2"/>
    <mergeCell ref="B3:L3"/>
    <mergeCell ref="B4:L4"/>
    <mergeCell ref="B5:L5"/>
    <mergeCell ref="I7:K7"/>
    <mergeCell ref="C8:K8"/>
    <mergeCell ref="I69:K69"/>
    <mergeCell ref="I60:K60"/>
    <mergeCell ref="I51:K51"/>
    <mergeCell ref="C52:K52"/>
  </mergeCells>
  <printOptions horizontalCentered="1"/>
  <pageMargins left="0" right="0.51181102362204722" top="0.27559055118110237" bottom="0" header="0" footer="0"/>
  <pageSetup scale="94" orientation="portrait" r:id="rId1"/>
  <headerFooter alignWithMargins="0"/>
  <colBreaks count="1" manualBreakCount="1">
    <brk id="12" max="1048575" man="1"/>
  </colBreaks>
  <customProperties>
    <customPr name="ExcelFSM_AdjustedButtonPressed" r:id="rId2"/>
    <customPr name="ExcelFSM_DetailsButtonPressed" r:id="rId3"/>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51"/>
  <sheetViews>
    <sheetView rightToLeft="1" view="pageBreakPreview" zoomScaleNormal="100" zoomScaleSheetLayoutView="100" workbookViewId="0">
      <selection activeCell="D20" sqref="D20"/>
    </sheetView>
  </sheetViews>
  <sheetFormatPr defaultColWidth="9.140625" defaultRowHeight="18.75" x14ac:dyDescent="0.45"/>
  <cols>
    <col min="1" max="1" width="2.42578125" style="244" customWidth="1"/>
    <col min="2" max="2" width="24" style="247" customWidth="1"/>
    <col min="3" max="3" width="2.7109375" style="247" customWidth="1"/>
    <col min="4" max="4" width="22.28515625" style="340" customWidth="1"/>
    <col min="5" max="5" width="0.85546875" style="244" customWidth="1"/>
    <col min="6" max="6" width="14" style="254" customWidth="1"/>
    <col min="7" max="7" width="0.5703125" style="244" customWidth="1"/>
    <col min="8" max="8" width="0.85546875" style="244" customWidth="1"/>
    <col min="9" max="9" width="42.7109375" style="244" customWidth="1"/>
    <col min="10" max="10" width="1.5703125" style="244" customWidth="1"/>
    <col min="11" max="11" width="1.28515625" style="263" customWidth="1"/>
    <col min="12" max="12" width="4.42578125" style="271" customWidth="1"/>
    <col min="13" max="13" width="12.140625" style="244" bestFit="1" customWidth="1"/>
    <col min="14" max="14" width="20.28515625" style="244" bestFit="1" customWidth="1"/>
    <col min="15" max="15" width="6.140625" style="244" customWidth="1"/>
    <col min="16" max="16" width="16.140625" style="244" bestFit="1" customWidth="1"/>
    <col min="17" max="17" width="10.28515625" style="244" bestFit="1" customWidth="1"/>
    <col min="18" max="18" width="11" style="244" bestFit="1" customWidth="1"/>
    <col min="19" max="16384" width="9.140625" style="244"/>
  </cols>
  <sheetData>
    <row r="1" spans="1:18" x14ac:dyDescent="0.45">
      <c r="A1" s="571"/>
      <c r="B1" s="571"/>
      <c r="C1" s="571"/>
      <c r="D1" s="571"/>
      <c r="E1" s="571"/>
      <c r="F1" s="571"/>
      <c r="G1" s="571"/>
      <c r="H1" s="571"/>
      <c r="I1" s="571"/>
      <c r="J1" s="571"/>
      <c r="K1" s="571"/>
      <c r="L1" s="571"/>
    </row>
    <row r="2" spans="1:18" x14ac:dyDescent="0.45">
      <c r="A2" s="571"/>
      <c r="B2" s="571"/>
      <c r="C2" s="571"/>
      <c r="D2" s="571"/>
      <c r="E2" s="571"/>
      <c r="F2" s="571"/>
      <c r="G2" s="571"/>
      <c r="H2" s="571"/>
      <c r="I2" s="571"/>
      <c r="J2" s="571"/>
      <c r="K2" s="571"/>
      <c r="L2" s="571"/>
    </row>
    <row r="3" spans="1:18" x14ac:dyDescent="0.45">
      <c r="A3" s="571"/>
      <c r="B3" s="571"/>
      <c r="C3" s="571"/>
      <c r="D3" s="571"/>
      <c r="E3" s="571"/>
      <c r="F3" s="571"/>
      <c r="G3" s="571"/>
      <c r="H3" s="571"/>
      <c r="I3" s="571"/>
      <c r="J3" s="571"/>
      <c r="K3" s="571"/>
      <c r="L3" s="571"/>
    </row>
    <row r="4" spans="1:18" x14ac:dyDescent="0.45">
      <c r="A4" s="571"/>
      <c r="B4" s="571"/>
      <c r="C4" s="571"/>
      <c r="D4" s="571"/>
      <c r="E4" s="571"/>
      <c r="F4" s="571"/>
      <c r="G4" s="571"/>
      <c r="H4" s="571"/>
      <c r="I4" s="571"/>
      <c r="J4" s="571"/>
      <c r="K4" s="571"/>
      <c r="L4" s="571"/>
    </row>
    <row r="5" spans="1:18" ht="15.6" customHeight="1" x14ac:dyDescent="0.45">
      <c r="A5" s="573"/>
      <c r="B5" s="573"/>
      <c r="C5" s="573"/>
      <c r="D5" s="573"/>
      <c r="E5" s="573"/>
      <c r="F5" s="573"/>
      <c r="G5" s="573"/>
      <c r="H5" s="573"/>
      <c r="I5" s="573"/>
      <c r="J5" s="573"/>
      <c r="K5" s="573"/>
      <c r="L5" s="573"/>
    </row>
    <row r="6" spans="1:18" x14ac:dyDescent="0.45">
      <c r="A6" s="247"/>
      <c r="B6" s="331"/>
      <c r="C6" s="331"/>
      <c r="D6" s="332"/>
      <c r="E6" s="332"/>
      <c r="F6" s="333"/>
      <c r="G6" s="247"/>
      <c r="H6" s="247"/>
      <c r="I6" s="247"/>
      <c r="J6" s="247"/>
      <c r="K6" s="247"/>
      <c r="L6" s="256"/>
    </row>
    <row r="7" spans="1:18" s="280" customFormat="1" ht="12.75" customHeight="1" x14ac:dyDescent="0.2">
      <c r="B7" s="287"/>
      <c r="D7" s="288"/>
      <c r="G7" s="686"/>
      <c r="H7" s="686"/>
      <c r="I7" s="686"/>
      <c r="J7" s="334"/>
      <c r="L7" s="335"/>
      <c r="N7" s="336"/>
    </row>
    <row r="8" spans="1:18" s="280" customFormat="1" ht="25.15" hidden="1" customHeight="1" x14ac:dyDescent="0.2">
      <c r="A8" s="323"/>
      <c r="B8" s="295"/>
      <c r="C8" s="304"/>
      <c r="D8" s="295"/>
      <c r="G8" s="288"/>
      <c r="I8" s="686" t="str">
        <f>'Balance Sheet'!K47</f>
        <v>Short-term leasing creditors</v>
      </c>
      <c r="J8" s="686"/>
      <c r="K8" s="686"/>
      <c r="L8" s="290" t="str">
        <f>'Balance Sheet'!H47&amp;"-"</f>
        <v>22-</v>
      </c>
    </row>
    <row r="9" spans="1:18" s="280" customFormat="1" ht="25.15" hidden="1" customHeight="1" x14ac:dyDescent="0.2">
      <c r="A9" s="287"/>
      <c r="B9" s="629" t="str">
        <f xml:space="preserve"> I8&amp;" "&amp;"in" &amp;Index!$H$5&amp;" "&amp;Index!$H$6&amp;" "&amp;" :"</f>
        <v>Short-term leasing creditors in31 December  :</v>
      </c>
      <c r="C9" s="629"/>
      <c r="D9" s="629"/>
      <c r="E9" s="629"/>
      <c r="F9" s="629"/>
      <c r="G9" s="629"/>
      <c r="H9" s="629"/>
      <c r="I9" s="629"/>
      <c r="J9" s="629"/>
      <c r="K9" s="287"/>
      <c r="L9" s="335"/>
    </row>
    <row r="10" spans="1:18" s="280" customFormat="1" ht="36.6" hidden="1" customHeight="1" x14ac:dyDescent="0.2">
      <c r="B10" s="292" t="str">
        <f>Index!$G$5&amp;Index!$G$6&amp;Index!$G$7</f>
        <v>31December2023</v>
      </c>
      <c r="C10" s="293"/>
      <c r="D10" s="292" t="str">
        <f>Index!$H$5&amp;Index!$H$6&amp;Index!$H$7</f>
        <v>31December2024</v>
      </c>
      <c r="G10" s="288"/>
      <c r="I10" s="300"/>
      <c r="J10" s="288"/>
      <c r="L10" s="335"/>
    </row>
    <row r="11" spans="1:18" s="280" customFormat="1" ht="25.15" hidden="1" customHeight="1" x14ac:dyDescent="0.2">
      <c r="B11" s="292" t="str">
        <f>'Balance Sheet'!$D$10</f>
        <v>(saudi riyal)</v>
      </c>
      <c r="C11" s="293"/>
      <c r="D11" s="292" t="str">
        <f>'Balance Sheet'!$F$10</f>
        <v>(saudi riyal)</v>
      </c>
      <c r="G11" s="288"/>
      <c r="I11" s="300"/>
      <c r="J11" s="288"/>
      <c r="L11" s="335"/>
    </row>
    <row r="12" spans="1:18" s="280" customFormat="1" ht="25.15" hidden="1" customHeight="1" x14ac:dyDescent="0.2">
      <c r="A12" s="337"/>
      <c r="B12" s="337"/>
      <c r="C12" s="337"/>
      <c r="D12" s="338"/>
      <c r="G12" s="288"/>
      <c r="I12" s="300"/>
      <c r="J12" s="288"/>
      <c r="L12" s="335"/>
      <c r="M12" s="318"/>
    </row>
    <row r="13" spans="1:18" s="280" customFormat="1" ht="25.15" hidden="1" customHeight="1" x14ac:dyDescent="0.2">
      <c r="A13" s="337"/>
      <c r="B13" s="337"/>
      <c r="C13" s="337"/>
      <c r="D13" s="338"/>
      <c r="G13" s="288"/>
      <c r="I13" s="300"/>
      <c r="J13" s="288"/>
      <c r="L13" s="335"/>
      <c r="M13" s="318"/>
    </row>
    <row r="14" spans="1:18" s="280" customFormat="1" ht="25.15" hidden="1" customHeight="1" x14ac:dyDescent="0.2">
      <c r="A14" s="337"/>
      <c r="B14" s="339">
        <f>SUM(B12:B13)</f>
        <v>0</v>
      </c>
      <c r="C14" s="337"/>
      <c r="D14" s="339">
        <f>SUM(D12:D13)</f>
        <v>0</v>
      </c>
      <c r="G14" s="288"/>
      <c r="I14" s="300"/>
      <c r="J14" s="300" t="str">
        <f>D!$H$13</f>
        <v>Balance ended For YEAR</v>
      </c>
      <c r="L14" s="335"/>
      <c r="R14" s="318"/>
    </row>
    <row r="15" spans="1:18" x14ac:dyDescent="0.45">
      <c r="N15" s="329"/>
      <c r="P15" s="341"/>
    </row>
    <row r="16" spans="1:18" s="280" customFormat="1" x14ac:dyDescent="0.2">
      <c r="B16" s="282"/>
      <c r="D16" s="288"/>
      <c r="H16" s="310"/>
      <c r="I16" s="571" t="str">
        <f>'Balance Sheet'!K48</f>
        <v xml:space="preserve">Provision for income tax
</v>
      </c>
      <c r="J16" s="571"/>
      <c r="K16" s="571"/>
      <c r="L16" s="290" t="str">
        <f>'Balance Sheet'!H48 &amp;"-"</f>
        <v>13-</v>
      </c>
    </row>
    <row r="17" spans="1:12" x14ac:dyDescent="0.45">
      <c r="A17" s="280"/>
      <c r="B17" s="282"/>
      <c r="C17" s="280"/>
      <c r="D17" s="287"/>
      <c r="E17" s="287"/>
      <c r="F17" s="287"/>
      <c r="G17" s="287"/>
      <c r="H17" s="287"/>
      <c r="I17" s="287"/>
      <c r="J17" s="284"/>
      <c r="K17" s="244"/>
    </row>
    <row r="18" spans="1:12" x14ac:dyDescent="0.45">
      <c r="A18" s="280"/>
      <c r="B18" s="282"/>
      <c r="C18" s="280"/>
      <c r="D18" s="292" t="str">
        <f>Index!$H$5&amp;Index!$H$6&amp;Index!$H$7</f>
        <v>31December2024</v>
      </c>
      <c r="E18" s="280"/>
      <c r="F18" s="280"/>
      <c r="H18" s="280"/>
      <c r="K18" s="291" t="str">
        <f>" Its Calculate from "&amp;S!J8&amp;" "&amp;"As at" &amp;" "&amp;Index!H5&amp;""&amp;Index!H6&amp;":"</f>
        <v xml:space="preserve"> Its Calculate from Provision for income tax
 As at 31December:</v>
      </c>
      <c r="L18" s="322" t="s">
        <v>259</v>
      </c>
    </row>
    <row r="19" spans="1:12" x14ac:dyDescent="0.45">
      <c r="A19" s="280"/>
      <c r="B19" s="292" t="str">
        <f>Index!$G$5&amp;Index!$G$6&amp;Index!$G$7</f>
        <v>31December2023</v>
      </c>
      <c r="C19" s="293"/>
      <c r="D19" s="292" t="str">
        <f>'Balance Sheet'!$F$10</f>
        <v>(saudi riyal)</v>
      </c>
      <c r="E19" s="280"/>
      <c r="F19" s="244"/>
      <c r="H19" s="280"/>
      <c r="I19" s="284"/>
      <c r="J19" s="280"/>
      <c r="K19" s="312"/>
    </row>
    <row r="20" spans="1:12" x14ac:dyDescent="0.45">
      <c r="A20" s="337"/>
      <c r="B20" s="337">
        <f>'Income Statement'!B21</f>
        <v>0</v>
      </c>
      <c r="C20" s="338"/>
      <c r="D20" s="337">
        <f>'Income Statement'!D21</f>
        <v>0</v>
      </c>
      <c r="E20" s="280"/>
      <c r="F20" s="244"/>
      <c r="G20" s="291"/>
      <c r="H20" s="291"/>
      <c r="I20" s="291"/>
      <c r="J20" s="291"/>
      <c r="K20" s="291" t="s">
        <v>554</v>
      </c>
    </row>
    <row r="21" spans="1:12" x14ac:dyDescent="0.45">
      <c r="A21" s="337"/>
      <c r="B21" s="337">
        <f>'C'!D14</f>
        <v>0</v>
      </c>
      <c r="C21" s="338"/>
      <c r="D21" s="337">
        <f>'C'!F14</f>
        <v>0</v>
      </c>
      <c r="E21" s="280"/>
      <c r="F21" s="244"/>
      <c r="G21" s="291"/>
      <c r="H21" s="291"/>
      <c r="I21" s="291"/>
      <c r="J21" s="291"/>
      <c r="K21" s="291" t="s">
        <v>555</v>
      </c>
    </row>
    <row r="22" spans="1:12" hidden="1" x14ac:dyDescent="0.45">
      <c r="A22" s="337"/>
      <c r="B22" s="338"/>
      <c r="C22" s="337"/>
      <c r="D22" s="338">
        <v>0</v>
      </c>
      <c r="E22" s="280"/>
      <c r="F22" s="280"/>
      <c r="G22" s="280"/>
      <c r="H22" s="280"/>
      <c r="I22" s="280"/>
      <c r="J22" s="291"/>
      <c r="K22" s="547" t="s">
        <v>556</v>
      </c>
    </row>
    <row r="23" spans="1:12" hidden="1" x14ac:dyDescent="0.45">
      <c r="A23" s="337"/>
      <c r="B23" s="338"/>
      <c r="C23" s="337"/>
      <c r="D23" s="338">
        <v>0</v>
      </c>
      <c r="E23" s="280"/>
      <c r="F23" s="280"/>
      <c r="G23" s="291"/>
      <c r="H23" s="291"/>
      <c r="I23" s="291"/>
      <c r="J23" s="291"/>
      <c r="K23" s="547" t="s">
        <v>557</v>
      </c>
    </row>
    <row r="24" spans="1:12" hidden="1" x14ac:dyDescent="0.45">
      <c r="A24" s="337"/>
      <c r="B24" s="338"/>
      <c r="C24" s="337"/>
      <c r="D24" s="338">
        <v>0</v>
      </c>
      <c r="E24" s="280"/>
      <c r="F24" s="280"/>
      <c r="G24" s="291"/>
      <c r="H24" s="291"/>
      <c r="I24" s="291"/>
      <c r="J24" s="291"/>
      <c r="K24" s="547" t="s">
        <v>558</v>
      </c>
    </row>
    <row r="25" spans="1:12" hidden="1" x14ac:dyDescent="0.45">
      <c r="A25" s="337"/>
      <c r="B25" s="338"/>
      <c r="C25" s="337"/>
      <c r="D25" s="338">
        <v>0</v>
      </c>
      <c r="E25" s="280"/>
      <c r="F25" s="280"/>
      <c r="G25" s="291"/>
      <c r="H25" s="291"/>
      <c r="I25" s="291"/>
      <c r="J25" s="291"/>
      <c r="K25" s="547" t="s">
        <v>559</v>
      </c>
    </row>
    <row r="26" spans="1:12" hidden="1" x14ac:dyDescent="0.45">
      <c r="A26" s="337"/>
      <c r="B26" s="338"/>
      <c r="C26" s="337"/>
      <c r="D26" s="338">
        <v>0</v>
      </c>
      <c r="E26" s="280"/>
      <c r="F26" s="280"/>
      <c r="G26" s="291"/>
      <c r="H26" s="291"/>
      <c r="I26" s="291"/>
      <c r="J26" s="291"/>
      <c r="K26" s="547" t="s">
        <v>560</v>
      </c>
    </row>
    <row r="27" spans="1:12" hidden="1" x14ac:dyDescent="0.45">
      <c r="A27" s="337"/>
      <c r="B27" s="338"/>
      <c r="C27" s="337"/>
      <c r="D27" s="338">
        <v>0</v>
      </c>
      <c r="E27" s="280"/>
      <c r="F27" s="280"/>
      <c r="G27" s="291"/>
      <c r="H27" s="291"/>
      <c r="I27" s="291"/>
      <c r="J27" s="291"/>
      <c r="K27" s="547" t="s">
        <v>561</v>
      </c>
    </row>
    <row r="28" spans="1:12" x14ac:dyDescent="0.45">
      <c r="A28" s="337"/>
      <c r="B28" s="342"/>
      <c r="C28" s="337"/>
      <c r="D28" s="342">
        <f>SUM(D20:D27)</f>
        <v>0</v>
      </c>
      <c r="E28" s="280"/>
      <c r="F28" s="280"/>
      <c r="G28" s="291"/>
      <c r="H28" s="291"/>
      <c r="I28" s="688" t="s">
        <v>562</v>
      </c>
      <c r="J28" s="688"/>
      <c r="K28" s="688"/>
    </row>
    <row r="29" spans="1:12" ht="21" thickBot="1" x14ac:dyDescent="0.5">
      <c r="A29" s="337"/>
      <c r="B29" s="339">
        <f>B28*0.2</f>
        <v>0</v>
      </c>
      <c r="C29" s="337"/>
      <c r="D29" s="339">
        <f>D28*0.2</f>
        <v>0</v>
      </c>
      <c r="E29" s="280"/>
      <c r="F29" s="280"/>
      <c r="G29" s="291"/>
      <c r="H29" s="291"/>
      <c r="I29" s="687" t="s">
        <v>538</v>
      </c>
      <c r="J29" s="687"/>
      <c r="K29" s="687"/>
    </row>
    <row r="30" spans="1:12" ht="19.5" thickTop="1" x14ac:dyDescent="0.45">
      <c r="A30" s="337"/>
      <c r="B30" s="337"/>
      <c r="C30" s="337"/>
      <c r="D30" s="338"/>
      <c r="E30" s="280"/>
      <c r="F30" s="280"/>
      <c r="G30" s="293"/>
      <c r="H30" s="293"/>
      <c r="I30" s="293"/>
      <c r="J30" s="280"/>
      <c r="K30" s="343"/>
    </row>
    <row r="31" spans="1:12" ht="21.75" x14ac:dyDescent="0.45">
      <c r="B31" s="348"/>
      <c r="C31" s="348"/>
      <c r="D31" s="348"/>
      <c r="E31" s="348"/>
      <c r="F31" s="348"/>
      <c r="G31" s="348"/>
      <c r="H31" s="348"/>
      <c r="I31" s="317"/>
      <c r="J31" s="317"/>
      <c r="K31" s="343"/>
    </row>
    <row r="32" spans="1:12" ht="21.75" x14ac:dyDescent="0.45">
      <c r="B32" s="292" t="str">
        <f>Index!$G$5&amp;Index!$G$6&amp;Index!$G$7</f>
        <v>31December2023</v>
      </c>
      <c r="C32" s="293"/>
      <c r="D32" s="292" t="str">
        <f>Index!$H$5&amp;Index!$H$6&amp;Index!$H$7</f>
        <v>31December2024</v>
      </c>
      <c r="E32" s="287"/>
      <c r="F32" s="287"/>
      <c r="H32" s="348"/>
      <c r="J32" s="284" t="s">
        <v>261</v>
      </c>
      <c r="K32" s="308"/>
      <c r="L32" s="290" t="s">
        <v>260</v>
      </c>
    </row>
    <row r="33" spans="1:16" ht="21.75" x14ac:dyDescent="0.45">
      <c r="B33" s="292" t="str">
        <f>'Balance Sheet'!$D$10</f>
        <v>(saudi riyal)</v>
      </c>
      <c r="C33" s="293"/>
      <c r="D33" s="292" t="str">
        <f>'Balance Sheet'!$F$10</f>
        <v>(saudi riyal)</v>
      </c>
      <c r="E33" s="287"/>
      <c r="F33" s="287"/>
      <c r="G33" s="287"/>
      <c r="H33" s="348"/>
      <c r="I33" s="317"/>
      <c r="J33" s="317"/>
      <c r="K33" s="343"/>
    </row>
    <row r="34" spans="1:16" ht="21.75" x14ac:dyDescent="0.45">
      <c r="A34" s="337"/>
      <c r="B34" s="349">
        <v>0</v>
      </c>
      <c r="C34" s="349"/>
      <c r="D34" s="349">
        <v>0</v>
      </c>
      <c r="E34" s="282"/>
      <c r="F34" s="244"/>
      <c r="H34" s="348"/>
      <c r="I34" s="291" t="s">
        <v>262</v>
      </c>
      <c r="J34" s="317"/>
      <c r="K34" s="291"/>
    </row>
    <row r="35" spans="1:16" ht="21.75" hidden="1" x14ac:dyDescent="0.45">
      <c r="A35" s="337"/>
      <c r="B35" s="349">
        <v>0</v>
      </c>
      <c r="C35" s="349"/>
      <c r="D35" s="349">
        <v>0</v>
      </c>
      <c r="E35" s="282"/>
      <c r="F35" s="244"/>
      <c r="H35" s="348"/>
      <c r="I35" s="244" t="s">
        <v>265</v>
      </c>
      <c r="J35" s="317"/>
      <c r="K35" s="350"/>
    </row>
    <row r="36" spans="1:16" ht="21.75" x14ac:dyDescent="0.45">
      <c r="A36" s="337"/>
      <c r="B36" s="349">
        <f>TRUNC(B29,0)</f>
        <v>0</v>
      </c>
      <c r="C36" s="349"/>
      <c r="D36" s="349">
        <f>TRUNC(D29,0)</f>
        <v>0</v>
      </c>
      <c r="E36" s="282"/>
      <c r="F36" s="244"/>
      <c r="H36" s="348"/>
      <c r="I36" s="291" t="s">
        <v>263</v>
      </c>
      <c r="J36" s="317"/>
      <c r="K36" s="350"/>
    </row>
    <row r="37" spans="1:16" ht="21.75" x14ac:dyDescent="0.45">
      <c r="A37" s="337"/>
      <c r="B37" s="349">
        <v>0</v>
      </c>
      <c r="C37" s="349"/>
      <c r="D37" s="349">
        <v>0</v>
      </c>
      <c r="E37" s="282"/>
      <c r="F37" s="244"/>
      <c r="H37" s="348"/>
      <c r="I37" s="291" t="s">
        <v>264</v>
      </c>
      <c r="J37" s="317"/>
      <c r="K37" s="350"/>
    </row>
    <row r="38" spans="1:16" ht="22.5" thickBot="1" x14ac:dyDescent="0.5">
      <c r="A38" s="337"/>
      <c r="B38" s="339">
        <f>SUM(B34:B37)</f>
        <v>0</v>
      </c>
      <c r="C38" s="337"/>
      <c r="D38" s="339">
        <f>SUM(D34:D37)</f>
        <v>0</v>
      </c>
      <c r="E38" s="282"/>
      <c r="F38" s="244"/>
      <c r="H38" s="348"/>
      <c r="I38" s="282"/>
      <c r="J38" s="317"/>
      <c r="K38" s="300" t="str">
        <f>D!$H$13</f>
        <v>Balance ended For YEAR</v>
      </c>
    </row>
    <row r="39" spans="1:16" ht="22.5" thickTop="1" x14ac:dyDescent="0.45">
      <c r="B39" s="320"/>
      <c r="C39" s="281"/>
      <c r="D39" s="320"/>
      <c r="E39" s="282"/>
      <c r="F39" s="282"/>
      <c r="G39" s="288"/>
      <c r="H39" s="348"/>
      <c r="I39" s="317"/>
      <c r="J39" s="317"/>
      <c r="K39" s="346"/>
    </row>
    <row r="40" spans="1:16" ht="21.75" x14ac:dyDescent="0.45">
      <c r="B40" s="320"/>
      <c r="C40" s="281"/>
      <c r="D40" s="320"/>
      <c r="E40" s="282"/>
      <c r="F40" s="282"/>
      <c r="G40" s="288"/>
      <c r="H40" s="348"/>
      <c r="I40" s="317"/>
      <c r="J40" s="317"/>
      <c r="K40" s="327" t="s">
        <v>564</v>
      </c>
      <c r="L40" s="351" t="s">
        <v>499</v>
      </c>
    </row>
    <row r="41" spans="1:16" ht="51" customHeight="1" x14ac:dyDescent="0.45">
      <c r="B41" s="754" t="s">
        <v>563</v>
      </c>
      <c r="C41" s="755"/>
      <c r="D41" s="755"/>
      <c r="E41" s="755"/>
      <c r="F41" s="755"/>
      <c r="G41" s="755"/>
      <c r="H41" s="755"/>
      <c r="I41" s="755"/>
      <c r="J41" s="755"/>
      <c r="K41" s="755"/>
    </row>
    <row r="42" spans="1:16" ht="16.899999999999999" customHeight="1" x14ac:dyDescent="0.45">
      <c r="B42" s="320"/>
      <c r="C42" s="281"/>
      <c r="D42" s="320"/>
      <c r="E42" s="282"/>
      <c r="F42" s="282"/>
      <c r="G42" s="288"/>
      <c r="H42" s="348"/>
      <c r="I42" s="317"/>
      <c r="J42" s="317"/>
      <c r="K42" s="346"/>
    </row>
    <row r="43" spans="1:16" ht="16.899999999999999" customHeight="1" x14ac:dyDescent="0.45">
      <c r="B43" s="320"/>
      <c r="C43" s="281"/>
      <c r="D43" s="320"/>
      <c r="E43" s="282"/>
      <c r="F43" s="282"/>
      <c r="G43" s="288"/>
      <c r="H43" s="348"/>
      <c r="I43" s="317"/>
      <c r="J43" s="317"/>
      <c r="K43" s="346"/>
    </row>
    <row r="44" spans="1:16" x14ac:dyDescent="0.45">
      <c r="P44" s="329"/>
    </row>
    <row r="45" spans="1:16" x14ac:dyDescent="0.45">
      <c r="A45" s="630"/>
      <c r="B45" s="630"/>
      <c r="C45" s="630"/>
      <c r="D45" s="630"/>
      <c r="E45" s="630"/>
      <c r="F45" s="630"/>
      <c r="G45" s="630"/>
      <c r="H45" s="630"/>
      <c r="I45" s="630"/>
      <c r="J45" s="630"/>
      <c r="K45" s="244"/>
    </row>
    <row r="46" spans="1:16" x14ac:dyDescent="0.45">
      <c r="B46" s="277"/>
      <c r="C46" s="277"/>
      <c r="I46" s="276"/>
      <c r="L46" s="256"/>
      <c r="N46" s="329"/>
      <c r="P46" s="329"/>
    </row>
    <row r="47" spans="1:16" x14ac:dyDescent="0.45">
      <c r="B47" s="277"/>
      <c r="C47" s="277"/>
      <c r="I47" s="276"/>
      <c r="L47" s="256"/>
    </row>
    <row r="48" spans="1:16" x14ac:dyDescent="0.45">
      <c r="B48" s="277"/>
      <c r="C48" s="277"/>
      <c r="I48" s="276"/>
      <c r="L48" s="256"/>
      <c r="N48" s="352"/>
    </row>
    <row r="49" spans="2:11" x14ac:dyDescent="0.45">
      <c r="B49" s="275"/>
      <c r="C49" s="275"/>
      <c r="I49" s="276"/>
    </row>
    <row r="50" spans="2:11" x14ac:dyDescent="0.45">
      <c r="B50" s="275"/>
      <c r="C50" s="275"/>
      <c r="I50" s="278"/>
      <c r="K50" s="279"/>
    </row>
    <row r="51" spans="2:11" x14ac:dyDescent="0.45">
      <c r="B51" s="275"/>
      <c r="C51" s="275"/>
      <c r="I51" s="276"/>
      <c r="K51" s="279"/>
    </row>
  </sheetData>
  <mergeCells count="13">
    <mergeCell ref="A1:L1"/>
    <mergeCell ref="A2:L2"/>
    <mergeCell ref="A3:L3"/>
    <mergeCell ref="A4:L4"/>
    <mergeCell ref="A5:L5"/>
    <mergeCell ref="I16:K16"/>
    <mergeCell ref="A45:J45"/>
    <mergeCell ref="G7:I7"/>
    <mergeCell ref="I8:K8"/>
    <mergeCell ref="B9:J9"/>
    <mergeCell ref="B41:K41"/>
    <mergeCell ref="I29:K29"/>
    <mergeCell ref="I28:K28"/>
  </mergeCells>
  <printOptions horizontalCentered="1"/>
  <pageMargins left="0.47244094488188981" right="0.39370078740157483" top="0.39370078740157483" bottom="0.74803149606299213" header="0.31496062992125984" footer="0.31496062992125984"/>
  <pageSetup scale="84" orientation="portrait" r:id="rId1"/>
  <customProperties>
    <customPr name="ExcelFSM_AdjustedButtonPressed" r:id="rId2"/>
    <customPr name="ExcelFSM_DetailsButtonPressed" r:id="rId3"/>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D31"/>
  <sheetViews>
    <sheetView view="pageBreakPreview" zoomScaleNormal="100" zoomScaleSheetLayoutView="100" workbookViewId="0">
      <selection activeCell="B20" sqref="B20"/>
    </sheetView>
  </sheetViews>
  <sheetFormatPr defaultRowHeight="12.75" x14ac:dyDescent="0.2"/>
  <cols>
    <col min="1" max="1" width="9.140625" style="172"/>
    <col min="2" max="2" width="25.85546875" style="172" bestFit="1" customWidth="1"/>
    <col min="3" max="3" width="13.42578125" style="172" customWidth="1"/>
    <col min="4" max="4" width="13.28515625" style="172" customWidth="1"/>
    <col min="5" max="16384" width="9.140625" style="172"/>
  </cols>
  <sheetData>
    <row r="3" spans="2:4" x14ac:dyDescent="0.2">
      <c r="B3" s="689" t="s">
        <v>72</v>
      </c>
      <c r="C3" s="689"/>
      <c r="D3" s="689"/>
    </row>
    <row r="4" spans="2:4" x14ac:dyDescent="0.2">
      <c r="B4" s="689"/>
      <c r="C4" s="689"/>
      <c r="D4" s="689"/>
    </row>
    <row r="7" spans="2:4" ht="15" x14ac:dyDescent="0.2">
      <c r="B7" s="234"/>
      <c r="C7" s="235"/>
      <c r="D7" s="236" t="s">
        <v>52</v>
      </c>
    </row>
    <row r="8" spans="2:4" ht="18" x14ac:dyDescent="0.25">
      <c r="B8" s="237"/>
      <c r="C8" s="235"/>
      <c r="D8" s="235"/>
    </row>
    <row r="9" spans="2:4" ht="15" x14ac:dyDescent="0.2">
      <c r="B9" s="238">
        <f>'Partners Equity'!F27</f>
        <v>0</v>
      </c>
      <c r="C9" s="692" t="s">
        <v>1</v>
      </c>
      <c r="D9" s="693"/>
    </row>
    <row r="10" spans="2:4" ht="15" x14ac:dyDescent="0.2">
      <c r="B10" s="238">
        <f>IF(('Balance Sheet'!D35+'Partners Equity'!C23)&gt;0,'Partners Equity'!C20+'Partners Equity'!C23+'Partners Equity'!C25,0)</f>
        <v>0</v>
      </c>
      <c r="C10" s="692" t="s">
        <v>13</v>
      </c>
      <c r="D10" s="693"/>
    </row>
    <row r="11" spans="2:4" ht="15" x14ac:dyDescent="0.2">
      <c r="B11" s="238">
        <v>0</v>
      </c>
      <c r="C11" s="692" t="s">
        <v>32</v>
      </c>
      <c r="D11" s="693"/>
    </row>
    <row r="12" spans="2:4" ht="15" x14ac:dyDescent="0.2">
      <c r="B12" s="238">
        <f>'Partners Equity'!E27</f>
        <v>0</v>
      </c>
      <c r="C12" s="692" t="s">
        <v>70</v>
      </c>
      <c r="D12" s="693"/>
    </row>
    <row r="13" spans="2:4" ht="15" x14ac:dyDescent="0.2">
      <c r="B13" s="238">
        <f>+'C'!F11+'C'!F13</f>
        <v>0</v>
      </c>
      <c r="C13" s="239"/>
      <c r="D13" s="240" t="s">
        <v>71</v>
      </c>
    </row>
    <row r="14" spans="2:4" ht="15" x14ac:dyDescent="0.2">
      <c r="B14" s="238">
        <v>0</v>
      </c>
      <c r="C14" s="239"/>
      <c r="D14" s="240" t="s">
        <v>2</v>
      </c>
    </row>
    <row r="15" spans="2:4" ht="15" x14ac:dyDescent="0.2">
      <c r="B15" s="238">
        <f>'Partners Equity'!E10</f>
        <v>0</v>
      </c>
      <c r="C15" s="692"/>
      <c r="D15" s="693"/>
    </row>
    <row r="16" spans="2:4" ht="15" x14ac:dyDescent="0.2">
      <c r="B16" s="241">
        <v>0</v>
      </c>
      <c r="C16" s="692" t="s">
        <v>509</v>
      </c>
      <c r="D16" s="693"/>
    </row>
    <row r="17" spans="2:4" ht="15" x14ac:dyDescent="0.2">
      <c r="B17" s="238"/>
      <c r="C17" s="692"/>
      <c r="D17" s="693"/>
    </row>
    <row r="18" spans="2:4" ht="15" x14ac:dyDescent="0.2">
      <c r="B18" s="238"/>
      <c r="C18" s="692"/>
      <c r="D18" s="693"/>
    </row>
    <row r="19" spans="2:4" ht="15" x14ac:dyDescent="0.2">
      <c r="B19" s="238">
        <f>SUM(B8:B18)</f>
        <v>0</v>
      </c>
      <c r="C19" s="694" t="s">
        <v>11</v>
      </c>
      <c r="D19" s="695"/>
    </row>
    <row r="20" spans="2:4" ht="15" x14ac:dyDescent="0.2">
      <c r="B20" s="233"/>
      <c r="C20" s="170"/>
      <c r="D20" s="170"/>
    </row>
    <row r="21" spans="2:4" ht="15" x14ac:dyDescent="0.2">
      <c r="B21" s="234"/>
      <c r="C21" s="235"/>
      <c r="D21" s="236" t="s">
        <v>53</v>
      </c>
    </row>
    <row r="22" spans="2:4" ht="15" x14ac:dyDescent="0.2">
      <c r="B22" s="234"/>
      <c r="C22" s="235"/>
      <c r="D22" s="235"/>
    </row>
    <row r="23" spans="2:4" ht="15" x14ac:dyDescent="0.2">
      <c r="B23" s="234"/>
      <c r="C23" s="235"/>
      <c r="D23" s="235"/>
    </row>
    <row r="24" spans="2:4" ht="15" x14ac:dyDescent="0.2">
      <c r="B24" s="234"/>
      <c r="C24" s="235"/>
      <c r="D24" s="235"/>
    </row>
    <row r="25" spans="2:4" ht="15" x14ac:dyDescent="0.2">
      <c r="B25" s="238">
        <f>'Balance Sheet'!F12</f>
        <v>0</v>
      </c>
      <c r="C25" s="696" t="s">
        <v>8</v>
      </c>
      <c r="D25" s="697"/>
    </row>
    <row r="26" spans="2:4" ht="15" x14ac:dyDescent="0.2">
      <c r="B26" s="238">
        <v>0</v>
      </c>
      <c r="C26" s="696" t="s">
        <v>54</v>
      </c>
      <c r="D26" s="697"/>
    </row>
    <row r="27" spans="2:4" ht="15" x14ac:dyDescent="0.2">
      <c r="B27" s="238"/>
      <c r="C27" s="239"/>
      <c r="D27" s="240" t="s">
        <v>27</v>
      </c>
    </row>
    <row r="28" spans="2:4" ht="15" x14ac:dyDescent="0.2">
      <c r="B28" s="238">
        <f>-'C'!F13</f>
        <v>0</v>
      </c>
      <c r="C28" s="239"/>
      <c r="D28" s="240" t="s">
        <v>516</v>
      </c>
    </row>
    <row r="29" spans="2:4" ht="15" x14ac:dyDescent="0.2">
      <c r="B29" s="238"/>
      <c r="C29" s="235"/>
      <c r="D29" s="235"/>
    </row>
    <row r="30" spans="2:4" ht="15" x14ac:dyDescent="0.2">
      <c r="B30" s="238"/>
      <c r="C30" s="235"/>
      <c r="D30" s="235"/>
    </row>
    <row r="31" spans="2:4" ht="15" x14ac:dyDescent="0.2">
      <c r="B31" s="238">
        <f>SUM(B22:B30)</f>
        <v>0</v>
      </c>
      <c r="C31" s="690" t="s">
        <v>12</v>
      </c>
      <c r="D31" s="691"/>
    </row>
  </sheetData>
  <mergeCells count="13">
    <mergeCell ref="B3:D4"/>
    <mergeCell ref="C31:D31"/>
    <mergeCell ref="C18:D18"/>
    <mergeCell ref="C19:D19"/>
    <mergeCell ref="C9:D9"/>
    <mergeCell ref="C10:D10"/>
    <mergeCell ref="C11:D11"/>
    <mergeCell ref="C25:D25"/>
    <mergeCell ref="C26:D26"/>
    <mergeCell ref="C12:D12"/>
    <mergeCell ref="C15:D15"/>
    <mergeCell ref="C16:D16"/>
    <mergeCell ref="C17:D17"/>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50"/>
  <sheetViews>
    <sheetView rightToLeft="1" view="pageBreakPreview" topLeftCell="A19" zoomScaleSheetLayoutView="100" workbookViewId="0">
      <selection activeCell="D37" sqref="D37"/>
    </sheetView>
  </sheetViews>
  <sheetFormatPr defaultColWidth="9.140625" defaultRowHeight="18.75" x14ac:dyDescent="0.45"/>
  <cols>
    <col min="1" max="1" width="2" style="244" customWidth="1"/>
    <col min="2" max="2" width="8.5703125" style="244" customWidth="1"/>
    <col min="3" max="3" width="21.140625" style="247" customWidth="1"/>
    <col min="4" max="4" width="3.5703125" style="244" customWidth="1"/>
    <col min="5" max="5" width="20.28515625" style="254" customWidth="1"/>
    <col min="6" max="6" width="3.7109375" style="244" customWidth="1"/>
    <col min="7" max="7" width="12.85546875" style="244" customWidth="1"/>
    <col min="8" max="8" width="25.28515625" style="244" customWidth="1"/>
    <col min="9" max="9" width="1.5703125" style="244" customWidth="1"/>
    <col min="10" max="10" width="1.28515625" style="263" customWidth="1"/>
    <col min="11" max="11" width="7.140625" style="309" customWidth="1"/>
    <col min="12" max="12" width="12.140625" style="244" bestFit="1" customWidth="1"/>
    <col min="13" max="13" width="16.140625" style="244" bestFit="1" customWidth="1"/>
    <col min="14" max="14" width="14.42578125" style="244" customWidth="1"/>
    <col min="15" max="15" width="12.140625" style="244" bestFit="1" customWidth="1"/>
    <col min="16" max="16" width="10.28515625" style="244" bestFit="1" customWidth="1"/>
    <col min="17" max="16384" width="9.140625" style="244"/>
  </cols>
  <sheetData>
    <row r="1" spans="1:11" x14ac:dyDescent="0.45">
      <c r="B1" s="588">
        <f>Cover!A14</f>
        <v>0</v>
      </c>
      <c r="C1" s="588"/>
      <c r="D1" s="588"/>
      <c r="E1" s="588"/>
      <c r="F1" s="588"/>
      <c r="G1" s="588"/>
      <c r="H1" s="588"/>
      <c r="I1" s="588"/>
      <c r="J1" s="588"/>
      <c r="K1" s="588"/>
    </row>
    <row r="2" spans="1:11" x14ac:dyDescent="0.45">
      <c r="B2" s="588" t="str">
        <f>Cover!A15</f>
        <v>(Foreign Company – Limited Liability Company)</v>
      </c>
      <c r="C2" s="588"/>
      <c r="D2" s="588"/>
      <c r="E2" s="588"/>
      <c r="F2" s="588"/>
      <c r="G2" s="588"/>
      <c r="H2" s="588"/>
      <c r="I2" s="588"/>
      <c r="J2" s="588"/>
      <c r="K2" s="588"/>
    </row>
    <row r="3" spans="1:11" x14ac:dyDescent="0.45">
      <c r="B3" s="588" t="str">
        <f>Cover!A16</f>
        <v>Riyadh – Kingdom of Saudi Arabia</v>
      </c>
      <c r="C3" s="588"/>
      <c r="D3" s="588"/>
      <c r="E3" s="588"/>
      <c r="F3" s="588"/>
      <c r="G3" s="588"/>
      <c r="H3" s="588"/>
      <c r="I3" s="588"/>
      <c r="J3" s="588"/>
      <c r="K3" s="588"/>
    </row>
    <row r="4" spans="1:11" x14ac:dyDescent="0.45">
      <c r="B4" s="588" t="str">
        <f>'1'!B4</f>
        <v>NOTES TO THE FINANCIAL STATEMENTS FOR PERIOD  ENDED31December2024</v>
      </c>
      <c r="C4" s="588"/>
      <c r="D4" s="588"/>
      <c r="E4" s="588"/>
      <c r="F4" s="588"/>
      <c r="G4" s="588"/>
      <c r="H4" s="588"/>
      <c r="I4" s="588"/>
      <c r="J4" s="588"/>
      <c r="K4" s="588"/>
    </row>
    <row r="5" spans="1:11" x14ac:dyDescent="0.45">
      <c r="A5" s="248" t="s">
        <v>5</v>
      </c>
      <c r="B5" s="606" t="str">
        <f>'Balance Sheet'!A5</f>
        <v>(saudi riyal)</v>
      </c>
      <c r="C5" s="606"/>
      <c r="D5" s="606"/>
      <c r="E5" s="606"/>
      <c r="F5" s="606"/>
      <c r="G5" s="606"/>
      <c r="H5" s="606"/>
      <c r="I5" s="606"/>
      <c r="J5" s="606"/>
      <c r="K5" s="606"/>
    </row>
    <row r="7" spans="1:11" hidden="1" x14ac:dyDescent="0.45"/>
    <row r="8" spans="1:11" ht="21.75" hidden="1" x14ac:dyDescent="0.5">
      <c r="B8" s="242"/>
      <c r="H8" s="280"/>
      <c r="I8" s="280"/>
      <c r="J8" s="310" t="str">
        <f>'Balance Sheet'!K48</f>
        <v xml:space="preserve">Provision for income tax
</v>
      </c>
      <c r="K8" s="290" t="str">
        <f>'Balance Sheet'!H48&amp;"-"</f>
        <v>13-</v>
      </c>
    </row>
    <row r="9" spans="1:11" ht="6.75" hidden="1" customHeight="1" x14ac:dyDescent="0.45"/>
    <row r="10" spans="1:11" ht="15.75" hidden="1" customHeight="1" x14ac:dyDescent="0.45">
      <c r="B10" s="698" t="s">
        <v>413</v>
      </c>
      <c r="C10" s="698"/>
      <c r="D10" s="698"/>
      <c r="E10" s="698"/>
      <c r="F10" s="698"/>
      <c r="G10" s="698"/>
      <c r="H10" s="698"/>
      <c r="I10" s="698"/>
      <c r="J10" s="698"/>
    </row>
    <row r="11" spans="1:11" ht="15.75" hidden="1" customHeight="1" x14ac:dyDescent="0.45">
      <c r="B11" s="698"/>
      <c r="C11" s="698"/>
      <c r="D11" s="698"/>
      <c r="E11" s="698"/>
      <c r="F11" s="698"/>
      <c r="G11" s="698"/>
      <c r="H11" s="698"/>
      <c r="I11" s="698"/>
      <c r="J11" s="698"/>
    </row>
    <row r="12" spans="1:11" hidden="1" x14ac:dyDescent="0.45"/>
    <row r="14" spans="1:11" s="280" customFormat="1" ht="37.5" x14ac:dyDescent="0.2">
      <c r="C14" s="292" t="str">
        <f>+'Income Statement'!$D$7</f>
        <v>For the Period Ended 31 December 2024</v>
      </c>
      <c r="E14" s="292" t="str">
        <f>+'Income Statement'!$D$7</f>
        <v>For the Period Ended 31 December 2024</v>
      </c>
      <c r="H14" s="571" t="str">
        <f>'Income Statement'!G10</f>
        <v>Revenue</v>
      </c>
      <c r="I14" s="571"/>
      <c r="J14" s="571"/>
      <c r="K14" s="290" t="str">
        <f>'Income Statement'!F10&amp;"-"</f>
        <v>14-</v>
      </c>
    </row>
    <row r="15" spans="1:11" s="280" customFormat="1" ht="19.899999999999999" customHeight="1" x14ac:dyDescent="0.2">
      <c r="C15" s="292" t="str">
        <f>'Balance Sheet'!$F$10</f>
        <v>(saudi riyal)</v>
      </c>
      <c r="E15" s="292" t="str">
        <f>'Balance Sheet'!$F$10</f>
        <v>(saudi riyal)</v>
      </c>
      <c r="J15" s="280" t="str">
        <f xml:space="preserve"> H14&amp;" "&amp;"in" &amp;Index!$H$5&amp;" "&amp;Index!$H$6&amp;" "&amp;" :"</f>
        <v>Revenue in31 December  :</v>
      </c>
      <c r="K15" s="290"/>
    </row>
    <row r="16" spans="1:11" s="280" customFormat="1" ht="19.899999999999999" customHeight="1" x14ac:dyDescent="0.2">
      <c r="C16" s="292"/>
      <c r="E16" s="292"/>
      <c r="K16" s="290"/>
    </row>
    <row r="17" spans="2:15" s="280" customFormat="1" ht="19.899999999999999" customHeight="1" x14ac:dyDescent="0.45">
      <c r="C17" s="314">
        <v>0</v>
      </c>
      <c r="D17" s="315"/>
      <c r="E17" s="314">
        <v>0</v>
      </c>
      <c r="H17" s="244" t="s">
        <v>523</v>
      </c>
      <c r="J17" s="284"/>
      <c r="K17" s="313"/>
    </row>
    <row r="18" spans="2:15" s="280" customFormat="1" ht="25.15" customHeight="1" thickBot="1" x14ac:dyDescent="0.25">
      <c r="C18" s="303">
        <f>SUM(C17:C17)</f>
        <v>0</v>
      </c>
      <c r="D18" s="282"/>
      <c r="E18" s="303">
        <f>SUM(E17:E17)</f>
        <v>0</v>
      </c>
      <c r="H18" s="300" t="s">
        <v>214</v>
      </c>
      <c r="J18" s="284"/>
      <c r="K18" s="285"/>
    </row>
    <row r="19" spans="2:15" s="280" customFormat="1" ht="15" customHeight="1" thickTop="1" x14ac:dyDescent="0.2">
      <c r="C19" s="287"/>
      <c r="E19" s="288"/>
      <c r="J19" s="284"/>
      <c r="K19" s="313"/>
    </row>
    <row r="20" spans="2:15" s="280" customFormat="1" ht="15" hidden="1" customHeight="1" x14ac:dyDescent="0.2">
      <c r="B20" s="287"/>
      <c r="C20" s="315"/>
      <c r="D20" s="317"/>
      <c r="E20" s="315"/>
      <c r="F20" s="287"/>
      <c r="G20" s="287"/>
      <c r="H20" s="287"/>
      <c r="I20" s="287"/>
      <c r="J20" s="287"/>
      <c r="K20" s="285"/>
    </row>
    <row r="21" spans="2:15" s="280" customFormat="1" ht="21.75" hidden="1" customHeight="1" x14ac:dyDescent="0.2">
      <c r="C21" s="315"/>
      <c r="D21" s="304"/>
      <c r="E21" s="315"/>
      <c r="H21" s="300"/>
      <c r="J21" s="284"/>
      <c r="K21" s="285"/>
    </row>
    <row r="22" spans="2:15" s="280" customFormat="1" ht="37.5" x14ac:dyDescent="0.2">
      <c r="C22" s="292" t="str">
        <f>+'Income Statement'!$D$7</f>
        <v>For the Period Ended 31 December 2024</v>
      </c>
      <c r="E22" s="292" t="str">
        <f>+'Income Statement'!$D$7</f>
        <v>For the Period Ended 31 December 2024</v>
      </c>
      <c r="H22" s="571" t="str">
        <f>'Income Statement'!G12</f>
        <v>Cost of Revenue</v>
      </c>
      <c r="I22" s="571"/>
      <c r="J22" s="571"/>
      <c r="K22" s="290" t="str">
        <f>'Income Statement'!F15&amp;"-"</f>
        <v>15-</v>
      </c>
    </row>
    <row r="23" spans="2:15" s="280" customFormat="1" ht="25.15" customHeight="1" x14ac:dyDescent="0.2">
      <c r="C23" s="292" t="str">
        <f>'Balance Sheet'!$F$10</f>
        <v>(saudi riyal)</v>
      </c>
      <c r="E23" s="292" t="str">
        <f>'Balance Sheet'!$F$10</f>
        <v>(saudi riyal)</v>
      </c>
      <c r="J23" s="280" t="str">
        <f xml:space="preserve"> H22&amp;" "&amp;"in" &amp;Index!$H$5&amp;" "&amp;Index!$H$6&amp;" "&amp;" :"</f>
        <v>Cost of Revenue in31 December  :</v>
      </c>
      <c r="K23" s="290"/>
      <c r="M23" s="318"/>
    </row>
    <row r="24" spans="2:15" s="280" customFormat="1" ht="25.15" customHeight="1" x14ac:dyDescent="0.2">
      <c r="C24" s="292"/>
      <c r="E24" s="292"/>
      <c r="K24" s="290"/>
      <c r="M24" s="318"/>
    </row>
    <row r="25" spans="2:15" s="280" customFormat="1" ht="25.15" customHeight="1" x14ac:dyDescent="0.45">
      <c r="C25" s="319">
        <v>0</v>
      </c>
      <c r="D25" s="281"/>
      <c r="E25" s="319">
        <v>0</v>
      </c>
      <c r="H25" s="300"/>
      <c r="J25" s="244" t="s">
        <v>526</v>
      </c>
      <c r="K25" s="285"/>
    </row>
    <row r="26" spans="2:15" s="280" customFormat="1" ht="25.15" customHeight="1" x14ac:dyDescent="0.45">
      <c r="C26" s="319">
        <v>0</v>
      </c>
      <c r="D26" s="281"/>
      <c r="E26" s="319">
        <v>0</v>
      </c>
      <c r="G26" s="535" t="s">
        <v>569</v>
      </c>
      <c r="H26" s="300"/>
      <c r="J26" s="244" t="s">
        <v>527</v>
      </c>
      <c r="K26" s="285"/>
    </row>
    <row r="27" spans="2:15" s="280" customFormat="1" ht="25.15" customHeight="1" thickBot="1" x14ac:dyDescent="0.25">
      <c r="C27" s="303">
        <f>SUM(C25:C26)</f>
        <v>0</v>
      </c>
      <c r="D27" s="282"/>
      <c r="E27" s="303">
        <f>SUM(E25:E26)</f>
        <v>0</v>
      </c>
      <c r="J27" s="300" t="str">
        <f>+S!J35</f>
        <v>Total</v>
      </c>
      <c r="K27" s="285"/>
      <c r="M27" s="318"/>
    </row>
    <row r="28" spans="2:15" s="280" customFormat="1" ht="25.15" customHeight="1" thickTop="1" x14ac:dyDescent="0.2">
      <c r="C28" s="320"/>
      <c r="D28" s="282"/>
      <c r="E28" s="320"/>
      <c r="J28" s="300"/>
      <c r="K28" s="285"/>
      <c r="M28" s="318"/>
    </row>
    <row r="29" spans="2:15" s="280" customFormat="1" ht="36.75" customHeight="1" x14ac:dyDescent="0.2">
      <c r="C29" s="292" t="str">
        <f>+'Income Statement'!$D$7</f>
        <v>For the Period Ended 31 December 2024</v>
      </c>
      <c r="E29" s="292" t="str">
        <f>+'Income Statement'!$D$7</f>
        <v>For the Period Ended 31 December 2024</v>
      </c>
      <c r="G29" s="291"/>
      <c r="I29" s="321"/>
      <c r="J29" s="321" t="str">
        <f>J26</f>
        <v>Operating Expenses</v>
      </c>
      <c r="K29" s="546" t="str">
        <f>G26</f>
        <v>15/1</v>
      </c>
      <c r="O29" s="318"/>
    </row>
    <row r="30" spans="2:15" s="280" customFormat="1" ht="25.15" customHeight="1" x14ac:dyDescent="0.2">
      <c r="B30" s="323"/>
      <c r="C30" s="292" t="str">
        <f>'Balance Sheet'!$F$10</f>
        <v>(saudi riyal)</v>
      </c>
      <c r="E30" s="292" t="str">
        <f>'Balance Sheet'!$F$10</f>
        <v>(saudi riyal)</v>
      </c>
      <c r="G30" s="291"/>
      <c r="H30" s="280" t="str">
        <f xml:space="preserve"> J29&amp;" "&amp;"in" &amp;Index!$H$5&amp;" "&amp;Index!$H$6&amp;" "&amp;" :"</f>
        <v>Operating Expenses in31 December  :</v>
      </c>
      <c r="K30" s="290"/>
    </row>
    <row r="31" spans="2:15" s="280" customFormat="1" ht="25.15" hidden="1" customHeight="1" x14ac:dyDescent="0.2">
      <c r="E31" s="287"/>
      <c r="F31" s="287"/>
      <c r="G31" s="291"/>
      <c r="H31" s="287"/>
      <c r="I31" s="287"/>
      <c r="J31" s="287"/>
      <c r="K31" s="290"/>
    </row>
    <row r="32" spans="2:15" s="280" customFormat="1" ht="19.899999999999999" customHeight="1" x14ac:dyDescent="0.2">
      <c r="C32" s="292"/>
      <c r="F32" s="287"/>
      <c r="G32" s="291"/>
      <c r="H32" s="287"/>
      <c r="J32" s="287"/>
      <c r="K32" s="290"/>
    </row>
    <row r="33" spans="2:14" s="280" customFormat="1" ht="19.899999999999999" customHeight="1" x14ac:dyDescent="0.45">
      <c r="C33" s="319">
        <v>0</v>
      </c>
      <c r="E33" s="319">
        <v>0</v>
      </c>
      <c r="F33" s="287"/>
      <c r="H33" s="287"/>
      <c r="I33" s="244" t="s">
        <v>524</v>
      </c>
      <c r="J33" s="291"/>
      <c r="K33" s="290"/>
    </row>
    <row r="34" spans="2:14" s="280" customFormat="1" ht="19.899999999999999" customHeight="1" x14ac:dyDescent="0.45">
      <c r="C34" s="319">
        <v>0</v>
      </c>
      <c r="E34" s="319">
        <v>0</v>
      </c>
      <c r="F34" s="287"/>
      <c r="H34" s="287"/>
      <c r="I34" s="244" t="s">
        <v>525</v>
      </c>
      <c r="J34" s="291"/>
      <c r="K34" s="290"/>
    </row>
    <row r="35" spans="2:14" s="280" customFormat="1" ht="25.15" customHeight="1" thickBot="1" x14ac:dyDescent="0.25">
      <c r="C35" s="324">
        <f>SUM(C33:C34)</f>
        <v>0</v>
      </c>
      <c r="E35" s="324">
        <f>SUM(E33:E34)</f>
        <v>0</v>
      </c>
      <c r="J35" s="283" t="str">
        <f>S!H18</f>
        <v>Total</v>
      </c>
      <c r="K35" s="285"/>
      <c r="M35" s="286"/>
      <c r="N35" s="286"/>
    </row>
    <row r="36" spans="2:14" s="280" customFormat="1" ht="25.15" customHeight="1" thickTop="1" x14ac:dyDescent="0.2">
      <c r="C36" s="281"/>
      <c r="E36" s="281"/>
      <c r="J36" s="284"/>
      <c r="K36" s="285"/>
      <c r="M36" s="286"/>
      <c r="N36" s="286"/>
    </row>
    <row r="37" spans="2:14" s="280" customFormat="1" ht="25.15" customHeight="1" x14ac:dyDescent="0.2">
      <c r="C37" s="281"/>
      <c r="E37" s="281"/>
      <c r="J37" s="284"/>
      <c r="K37" s="285"/>
      <c r="M37" s="286"/>
      <c r="N37" s="286"/>
    </row>
    <row r="38" spans="2:14" s="280" customFormat="1" ht="25.15" customHeight="1" x14ac:dyDescent="0.2">
      <c r="C38" s="281"/>
      <c r="E38" s="281"/>
      <c r="J38" s="284"/>
      <c r="K38" s="285"/>
      <c r="M38" s="286"/>
      <c r="N38" s="286"/>
    </row>
    <row r="39" spans="2:14" x14ac:dyDescent="0.45">
      <c r="B39" s="630" t="str">
        <f>"-"&amp;SUM(Index!I10:I26)&amp;"-"</f>
        <v>-16-</v>
      </c>
      <c r="C39" s="630"/>
      <c r="D39" s="630"/>
      <c r="E39" s="630"/>
      <c r="F39" s="630"/>
      <c r="G39" s="630"/>
      <c r="H39" s="630"/>
      <c r="I39" s="630"/>
      <c r="J39" s="630"/>
      <c r="K39" s="630"/>
      <c r="M39" s="325"/>
      <c r="N39" s="326"/>
    </row>
    <row r="40" spans="2:14" x14ac:dyDescent="0.45">
      <c r="C40" s="275"/>
      <c r="H40" s="276"/>
      <c r="K40" s="327"/>
    </row>
    <row r="41" spans="2:14" x14ac:dyDescent="0.45">
      <c r="C41" s="277"/>
      <c r="H41" s="276"/>
      <c r="J41" s="270"/>
    </row>
    <row r="42" spans="2:14" x14ac:dyDescent="0.45">
      <c r="C42" s="277"/>
      <c r="H42" s="276"/>
      <c r="K42" s="328"/>
      <c r="M42" s="329"/>
    </row>
    <row r="43" spans="2:14" x14ac:dyDescent="0.45">
      <c r="C43" s="277"/>
      <c r="H43" s="276"/>
      <c r="K43" s="328"/>
    </row>
    <row r="44" spans="2:14" x14ac:dyDescent="0.45">
      <c r="C44" s="277"/>
      <c r="H44" s="276"/>
      <c r="K44" s="328"/>
      <c r="M44" s="326"/>
      <c r="N44" s="326"/>
    </row>
    <row r="45" spans="2:14" x14ac:dyDescent="0.45">
      <c r="C45" s="275"/>
      <c r="H45" s="276"/>
    </row>
    <row r="46" spans="2:14" x14ac:dyDescent="0.45">
      <c r="C46" s="275"/>
      <c r="H46" s="278"/>
      <c r="J46" s="279"/>
    </row>
    <row r="47" spans="2:14" x14ac:dyDescent="0.45">
      <c r="C47" s="275"/>
      <c r="H47" s="276"/>
      <c r="J47" s="279"/>
    </row>
    <row r="50" spans="13:14" x14ac:dyDescent="0.45">
      <c r="M50" s="330"/>
      <c r="N50" s="330"/>
    </row>
  </sheetData>
  <mergeCells count="9">
    <mergeCell ref="B39:K39"/>
    <mergeCell ref="B1:K1"/>
    <mergeCell ref="B2:K2"/>
    <mergeCell ref="B3:K3"/>
    <mergeCell ref="B4:K4"/>
    <mergeCell ref="B5:K5"/>
    <mergeCell ref="H22:J22"/>
    <mergeCell ref="H14:J14"/>
    <mergeCell ref="B10:J11"/>
  </mergeCells>
  <printOptions horizontalCentered="1"/>
  <pageMargins left="0" right="0.51181102362204722" top="0.51181102362204722" bottom="0" header="0" footer="0"/>
  <pageSetup scale="73"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rightToLeft="1" showWhiteSpace="0" view="pageBreakPreview" zoomScale="70" zoomScaleNormal="100" zoomScaleSheetLayoutView="70" workbookViewId="0">
      <selection activeCell="D33" sqref="D33"/>
    </sheetView>
  </sheetViews>
  <sheetFormatPr defaultColWidth="9.140625" defaultRowHeight="18.75" x14ac:dyDescent="0.45"/>
  <cols>
    <col min="1" max="1" width="2.85546875" style="244" customWidth="1"/>
    <col min="2" max="2" width="22.28515625" style="247" customWidth="1"/>
    <col min="3" max="3" width="2.7109375" style="244" customWidth="1"/>
    <col min="4" max="4" width="19.42578125" style="254" customWidth="1"/>
    <col min="5" max="5" width="1" style="244" customWidth="1"/>
    <col min="6" max="6" width="11.85546875" style="244" customWidth="1"/>
    <col min="7" max="7" width="41.7109375" style="308" bestFit="1" customWidth="1"/>
    <col min="8" max="8" width="1.5703125" style="244" customWidth="1"/>
    <col min="9" max="9" width="0.140625" style="263" customWidth="1"/>
    <col min="10" max="10" width="4.5703125" style="244" bestFit="1" customWidth="1"/>
    <col min="11" max="11" width="9.140625" style="244"/>
    <col min="12" max="12" width="19.42578125" style="244" bestFit="1" customWidth="1"/>
    <col min="13" max="13" width="22.5703125" style="244" customWidth="1"/>
    <col min="14" max="14" width="16.7109375" style="244" customWidth="1"/>
    <col min="15" max="15" width="14" style="244" customWidth="1"/>
    <col min="16" max="16" width="17.7109375" style="244" bestFit="1" customWidth="1"/>
    <col min="17" max="17" width="2.7109375" style="244" customWidth="1"/>
    <col min="18" max="16384" width="9.140625" style="244"/>
  </cols>
  <sheetData>
    <row r="1" spans="1:23" x14ac:dyDescent="0.45">
      <c r="A1" s="588">
        <f>Cover!A14</f>
        <v>0</v>
      </c>
      <c r="B1" s="588"/>
      <c r="C1" s="588"/>
      <c r="D1" s="588"/>
      <c r="E1" s="588"/>
      <c r="F1" s="588"/>
      <c r="G1" s="588"/>
      <c r="H1" s="588"/>
      <c r="I1" s="588"/>
      <c r="J1" s="588"/>
    </row>
    <row r="2" spans="1:23" x14ac:dyDescent="0.45">
      <c r="A2" s="588" t="str">
        <f>Cover!A15</f>
        <v>(Foreign Company – Limited Liability Company)</v>
      </c>
      <c r="B2" s="588"/>
      <c r="C2" s="588"/>
      <c r="D2" s="588"/>
      <c r="E2" s="588"/>
      <c r="F2" s="588"/>
      <c r="G2" s="588"/>
      <c r="H2" s="588"/>
      <c r="I2" s="588"/>
      <c r="J2" s="588"/>
    </row>
    <row r="3" spans="1:23" x14ac:dyDescent="0.45">
      <c r="A3" s="588" t="str">
        <f>Cover!A16</f>
        <v>Riyadh – Kingdom of Saudi Arabia</v>
      </c>
      <c r="B3" s="588"/>
      <c r="C3" s="588"/>
      <c r="D3" s="588"/>
      <c r="E3" s="588"/>
      <c r="F3" s="588"/>
      <c r="G3" s="588"/>
      <c r="H3" s="588"/>
      <c r="I3" s="588"/>
      <c r="J3" s="588"/>
    </row>
    <row r="4" spans="1:23" x14ac:dyDescent="0.45">
      <c r="A4" s="588" t="str">
        <f>'1'!B4</f>
        <v>NOTES TO THE FINANCIAL STATEMENTS FOR PERIOD  ENDED31December2024</v>
      </c>
      <c r="B4" s="588"/>
      <c r="C4" s="588"/>
      <c r="D4" s="588"/>
      <c r="E4" s="588"/>
      <c r="F4" s="588"/>
      <c r="G4" s="588"/>
      <c r="H4" s="588"/>
      <c r="I4" s="588"/>
      <c r="J4" s="588"/>
    </row>
    <row r="5" spans="1:23" x14ac:dyDescent="0.45">
      <c r="A5" s="606" t="str">
        <f>'Balance Sheet'!A5</f>
        <v>(saudi riyal)</v>
      </c>
      <c r="B5" s="606"/>
      <c r="C5" s="606"/>
      <c r="D5" s="606"/>
      <c r="E5" s="606"/>
      <c r="F5" s="606"/>
      <c r="G5" s="606"/>
      <c r="H5" s="606"/>
      <c r="I5" s="606"/>
      <c r="J5" s="606"/>
    </row>
    <row r="6" spans="1:23" x14ac:dyDescent="0.45">
      <c r="A6" s="250"/>
      <c r="B6" s="250"/>
      <c r="C6" s="250"/>
      <c r="D6" s="250"/>
      <c r="E6" s="250"/>
      <c r="F6" s="250"/>
      <c r="G6" s="245"/>
      <c r="H6" s="250"/>
      <c r="I6" s="250"/>
      <c r="J6" s="250"/>
    </row>
    <row r="7" spans="1:23" s="280" customFormat="1" ht="25.15" customHeight="1" x14ac:dyDescent="0.2">
      <c r="B7" s="281"/>
      <c r="C7" s="282"/>
      <c r="D7" s="281"/>
      <c r="G7" s="283"/>
      <c r="J7" s="284"/>
      <c r="K7" s="285"/>
      <c r="M7" s="286"/>
      <c r="N7" s="286"/>
    </row>
    <row r="8" spans="1:23" s="280" customFormat="1" ht="20.25" customHeight="1" x14ac:dyDescent="0.2">
      <c r="C8" s="287"/>
      <c r="E8" s="288"/>
      <c r="G8" s="686" t="str">
        <f>'Income Statement'!G16</f>
        <v>General and administrative expenses</v>
      </c>
      <c r="H8" s="686"/>
      <c r="I8" s="686"/>
      <c r="J8" s="290" t="str">
        <f>'Income Statement'!F16&amp;"-"</f>
        <v>16-</v>
      </c>
      <c r="K8" s="284"/>
      <c r="L8" s="284"/>
      <c r="M8" s="284"/>
    </row>
    <row r="9" spans="1:23" s="280" customFormat="1" ht="19.899999999999999" customHeight="1" x14ac:dyDescent="0.2">
      <c r="G9" s="291"/>
      <c r="H9" s="291" t="str">
        <f xml:space="preserve"> G8&amp;" "&amp;"in" &amp;Index!$H$5&amp;" "&amp;Index!$H$6&amp;" "&amp;" :"</f>
        <v>General and administrative expenses in31 December  :</v>
      </c>
      <c r="I9" s="291"/>
      <c r="J9" s="291"/>
      <c r="K9" s="284"/>
      <c r="L9" s="291"/>
      <c r="M9" s="291"/>
      <c r="N9" s="291"/>
      <c r="O9" s="629"/>
      <c r="P9" s="629"/>
      <c r="Q9" s="629"/>
      <c r="R9" s="629"/>
      <c r="S9" s="629"/>
      <c r="T9" s="629"/>
      <c r="U9" s="629"/>
      <c r="V9" s="629"/>
      <c r="W9" s="629"/>
    </row>
    <row r="10" spans="1:23" s="280" customFormat="1" ht="42" customHeight="1" x14ac:dyDescent="0.2">
      <c r="A10" s="287"/>
      <c r="B10" s="292" t="str">
        <f>'Income Statement'!$B$7</f>
        <v xml:space="preserve">prieod from 5 may  to 31 december </v>
      </c>
      <c r="C10" s="293"/>
      <c r="D10" s="292" t="str">
        <f>+'Income Statement'!$D$7</f>
        <v>For the Period Ended 31 December 2024</v>
      </c>
      <c r="E10" s="287"/>
      <c r="F10" s="287"/>
      <c r="G10" s="284"/>
      <c r="H10" s="287"/>
      <c r="I10" s="287"/>
      <c r="J10" s="284"/>
    </row>
    <row r="11" spans="1:23" s="280" customFormat="1" ht="19.899999999999999" customHeight="1" x14ac:dyDescent="0.2">
      <c r="A11" s="287"/>
      <c r="B11" s="292" t="str">
        <f>'Balance Sheet'!$D$10</f>
        <v>(saudi riyal)</v>
      </c>
      <c r="C11" s="293"/>
      <c r="D11" s="292" t="str">
        <f>'Balance Sheet'!$F$10</f>
        <v>(saudi riyal)</v>
      </c>
      <c r="E11" s="287"/>
      <c r="F11" s="287"/>
      <c r="G11" s="291"/>
      <c r="H11" s="287"/>
      <c r="I11" s="287"/>
      <c r="J11" s="284"/>
      <c r="N11" s="294"/>
      <c r="O11" s="281"/>
      <c r="P11" s="294"/>
      <c r="Q11" s="295"/>
      <c r="S11" s="287" t="s">
        <v>391</v>
      </c>
    </row>
    <row r="12" spans="1:23" s="280" customFormat="1" ht="19.899999999999999" customHeight="1" x14ac:dyDescent="0.2">
      <c r="B12" s="294">
        <v>0</v>
      </c>
      <c r="C12" s="281"/>
      <c r="D12" s="294">
        <v>0</v>
      </c>
      <c r="E12" s="295"/>
      <c r="G12" s="291" t="s">
        <v>539</v>
      </c>
      <c r="H12" s="287"/>
      <c r="J12" s="284"/>
      <c r="K12" s="288"/>
      <c r="N12" s="294"/>
      <c r="O12" s="281"/>
      <c r="P12" s="294"/>
      <c r="Q12" s="295"/>
      <c r="S12" s="287" t="s">
        <v>392</v>
      </c>
    </row>
    <row r="13" spans="1:23" s="280" customFormat="1" ht="19.899999999999999" customHeight="1" x14ac:dyDescent="0.2">
      <c r="B13" s="296">
        <v>0</v>
      </c>
      <c r="C13" s="281"/>
      <c r="D13" s="296">
        <v>0</v>
      </c>
      <c r="E13" s="295"/>
      <c r="G13" s="291" t="s">
        <v>540</v>
      </c>
      <c r="H13" s="287"/>
      <c r="J13" s="284"/>
      <c r="K13" s="288"/>
      <c r="L13" s="294">
        <v>240840</v>
      </c>
      <c r="M13" s="281"/>
      <c r="N13" s="294"/>
      <c r="O13" s="297"/>
      <c r="P13" s="281"/>
      <c r="Q13" s="298"/>
      <c r="R13" s="287"/>
      <c r="S13" s="287" t="s">
        <v>393</v>
      </c>
    </row>
    <row r="14" spans="1:23" s="280" customFormat="1" ht="19.899999999999999" customHeight="1" x14ac:dyDescent="0.2">
      <c r="B14" s="296">
        <v>0</v>
      </c>
      <c r="C14" s="281"/>
      <c r="D14" s="296">
        <v>0</v>
      </c>
      <c r="E14" s="295"/>
      <c r="G14" s="291" t="s">
        <v>541</v>
      </c>
      <c r="H14" s="287"/>
      <c r="J14" s="284"/>
      <c r="K14" s="288"/>
      <c r="L14" s="294">
        <v>20340</v>
      </c>
      <c r="M14" s="281"/>
      <c r="N14" s="294">
        <v>0</v>
      </c>
      <c r="O14" s="281"/>
      <c r="P14" s="294">
        <f>32148+7893+5591</f>
        <v>45632</v>
      </c>
      <c r="Q14" s="295"/>
      <c r="S14" s="287" t="s">
        <v>394</v>
      </c>
    </row>
    <row r="15" spans="1:23" s="280" customFormat="1" ht="19.899999999999999" customHeight="1" x14ac:dyDescent="0.2">
      <c r="B15" s="296">
        <v>0</v>
      </c>
      <c r="C15" s="281"/>
      <c r="D15" s="296">
        <v>0</v>
      </c>
      <c r="E15" s="295"/>
      <c r="G15" s="291" t="s">
        <v>542</v>
      </c>
      <c r="H15" s="287"/>
      <c r="J15" s="284"/>
      <c r="K15" s="288"/>
      <c r="L15" s="294">
        <v>0</v>
      </c>
      <c r="M15" s="281"/>
      <c r="N15" s="294">
        <v>0</v>
      </c>
      <c r="O15" s="281"/>
      <c r="P15" s="294">
        <f>30980+7668</f>
        <v>38648</v>
      </c>
      <c r="Q15" s="295"/>
      <c r="S15" s="299" t="s">
        <v>395</v>
      </c>
    </row>
    <row r="16" spans="1:23" s="280" customFormat="1" ht="19.899999999999999" customHeight="1" x14ac:dyDescent="0.2">
      <c r="B16" s="296">
        <v>0</v>
      </c>
      <c r="C16" s="281"/>
      <c r="D16" s="296">
        <v>0</v>
      </c>
      <c r="E16" s="295"/>
      <c r="G16" s="291" t="s">
        <v>543</v>
      </c>
      <c r="H16" s="287"/>
      <c r="J16" s="284"/>
      <c r="K16" s="300"/>
      <c r="L16" s="294">
        <v>0</v>
      </c>
      <c r="M16" s="281"/>
      <c r="N16" s="294"/>
      <c r="O16" s="281"/>
      <c r="P16" s="294"/>
      <c r="Q16" s="295"/>
      <c r="S16" s="287" t="s">
        <v>396</v>
      </c>
    </row>
    <row r="17" spans="2:19" s="280" customFormat="1" ht="19.899999999999999" customHeight="1" x14ac:dyDescent="0.2">
      <c r="B17" s="296">
        <v>0</v>
      </c>
      <c r="C17" s="301"/>
      <c r="D17" s="296">
        <v>0</v>
      </c>
      <c r="E17" s="302"/>
      <c r="F17" s="287"/>
      <c r="G17" s="280" t="s">
        <v>544</v>
      </c>
      <c r="I17" s="287"/>
      <c r="J17" s="287"/>
      <c r="K17" s="284"/>
      <c r="N17" s="294"/>
      <c r="O17" s="281"/>
      <c r="P17" s="294"/>
      <c r="Q17" s="295"/>
      <c r="S17" s="287"/>
    </row>
    <row r="18" spans="2:19" s="280" customFormat="1" ht="19.899999999999999" customHeight="1" x14ac:dyDescent="0.2">
      <c r="B18" s="296">
        <v>0</v>
      </c>
      <c r="C18" s="301"/>
      <c r="D18" s="296">
        <v>0</v>
      </c>
      <c r="E18" s="302"/>
      <c r="F18" s="287"/>
      <c r="G18" s="280" t="s">
        <v>545</v>
      </c>
      <c r="I18" s="287"/>
      <c r="J18" s="287"/>
      <c r="K18" s="284"/>
      <c r="N18" s="294">
        <v>0</v>
      </c>
      <c r="O18" s="297"/>
      <c r="P18" s="281" t="s">
        <v>5</v>
      </c>
      <c r="Q18" s="298"/>
      <c r="R18" s="287"/>
      <c r="S18" s="287" t="s">
        <v>397</v>
      </c>
    </row>
    <row r="19" spans="2:19" s="280" customFormat="1" ht="19.899999999999999" customHeight="1" x14ac:dyDescent="0.2">
      <c r="B19" s="296">
        <v>0</v>
      </c>
      <c r="C19" s="281"/>
      <c r="D19" s="296">
        <v>0</v>
      </c>
      <c r="E19" s="295"/>
      <c r="G19" s="291" t="s">
        <v>546</v>
      </c>
      <c r="H19" s="287"/>
      <c r="J19" s="284"/>
      <c r="K19" s="288"/>
      <c r="N19" s="294"/>
      <c r="O19" s="281"/>
      <c r="P19" s="294"/>
      <c r="Q19" s="295"/>
      <c r="S19" s="287"/>
    </row>
    <row r="20" spans="2:19" s="280" customFormat="1" ht="19.899999999999999" customHeight="1" x14ac:dyDescent="0.2">
      <c r="B20" s="296">
        <v>0</v>
      </c>
      <c r="C20" s="281"/>
      <c r="D20" s="296">
        <v>0</v>
      </c>
      <c r="E20" s="295"/>
      <c r="G20" s="291" t="s">
        <v>547</v>
      </c>
      <c r="H20" s="287"/>
      <c r="J20" s="284"/>
      <c r="K20" s="288"/>
      <c r="N20" s="294">
        <v>0</v>
      </c>
      <c r="O20" s="281"/>
      <c r="P20" s="294">
        <v>12000</v>
      </c>
      <c r="Q20" s="295"/>
      <c r="S20" s="287" t="s">
        <v>398</v>
      </c>
    </row>
    <row r="21" spans="2:19" s="280" customFormat="1" ht="19.899999999999999" customHeight="1" x14ac:dyDescent="0.2">
      <c r="B21" s="296">
        <v>0</v>
      </c>
      <c r="C21" s="281"/>
      <c r="D21" s="296">
        <v>0</v>
      </c>
      <c r="E21" s="295"/>
      <c r="G21" s="291" t="s">
        <v>548</v>
      </c>
      <c r="H21" s="287"/>
      <c r="J21" s="284"/>
      <c r="K21" s="288"/>
      <c r="N21" s="294"/>
      <c r="O21" s="281"/>
      <c r="P21" s="294"/>
      <c r="Q21" s="295"/>
      <c r="S21" s="287"/>
    </row>
    <row r="22" spans="2:19" s="280" customFormat="1" ht="19.899999999999999" customHeight="1" x14ac:dyDescent="0.2">
      <c r="B22" s="296">
        <v>0</v>
      </c>
      <c r="C22" s="281"/>
      <c r="D22" s="296">
        <v>0</v>
      </c>
      <c r="E22" s="295"/>
      <c r="G22" s="291" t="s">
        <v>549</v>
      </c>
      <c r="H22" s="287"/>
      <c r="J22" s="284"/>
      <c r="K22" s="288"/>
      <c r="N22" s="294"/>
      <c r="O22" s="281"/>
      <c r="P22" s="294"/>
      <c r="Q22" s="295"/>
      <c r="S22" s="287"/>
    </row>
    <row r="23" spans="2:19" s="280" customFormat="1" ht="19.899999999999999" customHeight="1" x14ac:dyDescent="0.2">
      <c r="B23" s="296">
        <v>0</v>
      </c>
      <c r="C23" s="281"/>
      <c r="D23" s="296">
        <v>0</v>
      </c>
      <c r="E23" s="295"/>
      <c r="G23" s="291" t="s">
        <v>550</v>
      </c>
      <c r="H23" s="287"/>
      <c r="J23" s="284"/>
      <c r="K23" s="288"/>
      <c r="N23" s="294"/>
      <c r="O23" s="281"/>
      <c r="P23" s="294"/>
      <c r="Q23" s="295"/>
      <c r="S23" s="287"/>
    </row>
    <row r="24" spans="2:19" s="280" customFormat="1" ht="18.75" customHeight="1" thickBot="1" x14ac:dyDescent="0.25">
      <c r="B24" s="303">
        <f>SUM(B12:B23)</f>
        <v>0</v>
      </c>
      <c r="C24" s="282"/>
      <c r="D24" s="303">
        <f>SUM(D12:D23)</f>
        <v>0</v>
      </c>
      <c r="G24" s="283" t="str">
        <f>+S!H18</f>
        <v>Total</v>
      </c>
      <c r="I24" s="284"/>
      <c r="J24" s="288"/>
      <c r="N24" s="294">
        <v>0</v>
      </c>
      <c r="O24" s="281"/>
      <c r="P24" s="294">
        <f>5709+895</f>
        <v>6604</v>
      </c>
      <c r="Q24" s="295"/>
      <c r="S24" s="287" t="s">
        <v>399</v>
      </c>
    </row>
    <row r="25" spans="2:19" s="280" customFormat="1" ht="18.75" customHeight="1" thickTop="1" x14ac:dyDescent="0.2">
      <c r="B25" s="295"/>
      <c r="C25" s="304"/>
      <c r="D25" s="295"/>
      <c r="G25" s="284"/>
      <c r="I25" s="284"/>
      <c r="J25" s="288"/>
      <c r="N25" s="294">
        <v>0</v>
      </c>
      <c r="O25" s="281"/>
      <c r="P25" s="294">
        <v>1621</v>
      </c>
      <c r="Q25" s="295"/>
      <c r="S25" s="287" t="s">
        <v>400</v>
      </c>
    </row>
    <row r="26" spans="2:19" s="280" customFormat="1" ht="18.75" customHeight="1" x14ac:dyDescent="0.2">
      <c r="B26" s="295"/>
      <c r="C26" s="304"/>
      <c r="D26" s="295"/>
      <c r="G26" s="284"/>
      <c r="I26" s="284"/>
      <c r="J26" s="288"/>
      <c r="N26" s="294">
        <v>0</v>
      </c>
      <c r="O26" s="281"/>
      <c r="P26" s="294">
        <f>71</f>
        <v>71</v>
      </c>
      <c r="Q26" s="295"/>
      <c r="S26" s="287" t="s">
        <v>401</v>
      </c>
    </row>
    <row r="27" spans="2:19" s="280" customFormat="1" ht="18.75" customHeight="1" x14ac:dyDescent="0.2">
      <c r="B27" s="295"/>
      <c r="C27" s="304"/>
      <c r="D27" s="295"/>
      <c r="G27" s="284"/>
      <c r="I27" s="284"/>
      <c r="J27" s="288"/>
      <c r="N27" s="294"/>
      <c r="O27" s="281"/>
      <c r="P27" s="294"/>
      <c r="Q27" s="295"/>
      <c r="S27" s="287"/>
    </row>
    <row r="28" spans="2:19" s="280" customFormat="1" ht="18.75" customHeight="1" x14ac:dyDescent="0.2">
      <c r="B28" s="295"/>
      <c r="C28" s="304"/>
      <c r="D28" s="295"/>
      <c r="G28" s="284"/>
      <c r="I28" s="284"/>
      <c r="J28" s="288"/>
    </row>
    <row r="29" spans="2:19" s="280" customFormat="1" ht="18.75" customHeight="1" x14ac:dyDescent="0.2">
      <c r="B29" s="295"/>
      <c r="C29" s="304"/>
      <c r="D29" s="295"/>
      <c r="G29" s="284"/>
      <c r="I29" s="284"/>
      <c r="J29" s="288"/>
    </row>
    <row r="30" spans="2:19" s="280" customFormat="1" ht="18.75" customHeight="1" x14ac:dyDescent="0.2">
      <c r="B30" s="295"/>
      <c r="C30" s="304"/>
      <c r="D30" s="295"/>
      <c r="G30" s="284"/>
      <c r="I30" s="284"/>
      <c r="J30" s="288"/>
    </row>
    <row r="31" spans="2:19" s="280" customFormat="1" ht="18.75" customHeight="1" x14ac:dyDescent="0.2">
      <c r="B31" s="295"/>
      <c r="C31" s="304"/>
      <c r="D31" s="295"/>
      <c r="G31" s="284"/>
      <c r="I31" s="284"/>
      <c r="J31" s="288"/>
    </row>
    <row r="32" spans="2:19" s="280" customFormat="1" ht="18.75" customHeight="1" x14ac:dyDescent="0.2">
      <c r="B32" s="295"/>
      <c r="C32" s="304"/>
      <c r="D32" s="295"/>
      <c r="G32" s="284"/>
      <c r="I32" s="284"/>
      <c r="J32" s="288"/>
    </row>
    <row r="33" spans="1:10" s="280" customFormat="1" ht="18.75" customHeight="1" x14ac:dyDescent="0.2">
      <c r="B33" s="295"/>
      <c r="C33" s="304"/>
      <c r="D33" s="295"/>
      <c r="G33" s="284"/>
      <c r="I33" s="284"/>
      <c r="J33" s="288"/>
    </row>
    <row r="34" spans="1:10" s="280" customFormat="1" ht="18.75" customHeight="1" x14ac:dyDescent="0.2">
      <c r="B34" s="295"/>
      <c r="C34" s="304"/>
      <c r="D34" s="295"/>
      <c r="G34" s="284"/>
      <c r="I34" s="284"/>
      <c r="J34" s="288"/>
    </row>
    <row r="35" spans="1:10" s="280" customFormat="1" ht="18.75" customHeight="1" x14ac:dyDescent="0.2">
      <c r="B35" s="295"/>
      <c r="C35" s="304"/>
      <c r="D35" s="295"/>
      <c r="G35" s="284"/>
      <c r="I35" s="284"/>
      <c r="J35" s="288"/>
    </row>
    <row r="36" spans="1:10" s="280" customFormat="1" ht="18.75" customHeight="1" x14ac:dyDescent="0.2">
      <c r="B36" s="295"/>
      <c r="C36" s="304"/>
      <c r="D36" s="295"/>
      <c r="G36" s="284"/>
      <c r="I36" s="284"/>
      <c r="J36" s="288"/>
    </row>
    <row r="37" spans="1:10" s="280" customFormat="1" ht="18.75" customHeight="1" x14ac:dyDescent="0.2">
      <c r="B37" s="295"/>
      <c r="C37" s="304"/>
      <c r="D37" s="295"/>
      <c r="G37" s="284"/>
      <c r="I37" s="284"/>
      <c r="J37" s="288"/>
    </row>
    <row r="38" spans="1:10" s="280" customFormat="1" ht="18.75" customHeight="1" x14ac:dyDescent="0.2">
      <c r="B38" s="295"/>
      <c r="C38" s="304"/>
      <c r="D38" s="295"/>
      <c r="G38" s="284"/>
      <c r="I38" s="284"/>
      <c r="J38" s="288"/>
    </row>
    <row r="39" spans="1:10" s="280" customFormat="1" ht="18.75" customHeight="1" x14ac:dyDescent="0.2">
      <c r="B39" s="295"/>
      <c r="C39" s="304"/>
      <c r="D39" s="295"/>
      <c r="G39" s="284"/>
      <c r="I39" s="284"/>
      <c r="J39" s="288"/>
    </row>
    <row r="40" spans="1:10" s="280" customFormat="1" ht="18.75" customHeight="1" x14ac:dyDescent="0.2">
      <c r="B40" s="295"/>
      <c r="C40" s="304"/>
      <c r="D40" s="295"/>
      <c r="G40" s="284"/>
      <c r="I40" s="284"/>
      <c r="J40" s="288"/>
    </row>
    <row r="41" spans="1:10" s="280" customFormat="1" ht="18.75" customHeight="1" x14ac:dyDescent="0.2">
      <c r="B41" s="295"/>
      <c r="C41" s="304"/>
      <c r="D41" s="295"/>
      <c r="G41" s="284"/>
      <c r="I41" s="284"/>
      <c r="J41" s="288"/>
    </row>
    <row r="42" spans="1:10" x14ac:dyDescent="0.45">
      <c r="A42" s="630" t="str">
        <f>"-"&amp;SUM(Index!I10:I27)&amp;"-"</f>
        <v>-17-</v>
      </c>
      <c r="B42" s="630"/>
      <c r="C42" s="630"/>
      <c r="D42" s="630"/>
      <c r="E42" s="630"/>
      <c r="F42" s="630"/>
      <c r="G42" s="630"/>
      <c r="H42" s="630"/>
      <c r="I42" s="630"/>
      <c r="J42" s="630"/>
    </row>
    <row r="43" spans="1:10" x14ac:dyDescent="0.45">
      <c r="B43" s="275"/>
      <c r="D43" s="305"/>
      <c r="G43" s="306"/>
      <c r="J43" s="307"/>
    </row>
    <row r="44" spans="1:10" x14ac:dyDescent="0.45">
      <c r="B44" s="275"/>
      <c r="G44" s="306"/>
      <c r="J44" s="254"/>
    </row>
    <row r="45" spans="1:10" x14ac:dyDescent="0.45">
      <c r="B45" s="277"/>
      <c r="G45" s="306"/>
      <c r="I45" s="270"/>
    </row>
    <row r="46" spans="1:10" x14ac:dyDescent="0.45">
      <c r="B46" s="277"/>
      <c r="G46" s="306"/>
      <c r="J46" s="307"/>
    </row>
    <row r="47" spans="1:10" x14ac:dyDescent="0.45">
      <c r="B47" s="277"/>
      <c r="G47" s="306"/>
      <c r="J47" s="307"/>
    </row>
    <row r="48" spans="1:10" x14ac:dyDescent="0.45">
      <c r="B48" s="277"/>
      <c r="G48" s="306"/>
      <c r="J48" s="307"/>
    </row>
    <row r="49" spans="2:9" x14ac:dyDescent="0.45">
      <c r="B49" s="275"/>
      <c r="G49" s="306"/>
    </row>
    <row r="50" spans="2:9" x14ac:dyDescent="0.45">
      <c r="B50" s="275"/>
      <c r="G50" s="306"/>
      <c r="I50" s="279"/>
    </row>
    <row r="51" spans="2:9" x14ac:dyDescent="0.45">
      <c r="B51" s="275"/>
      <c r="G51" s="306"/>
      <c r="I51" s="279"/>
    </row>
  </sheetData>
  <mergeCells count="8">
    <mergeCell ref="A42:J42"/>
    <mergeCell ref="G8:I8"/>
    <mergeCell ref="O9:W9"/>
    <mergeCell ref="A1:J1"/>
    <mergeCell ref="A2:J2"/>
    <mergeCell ref="A3:J3"/>
    <mergeCell ref="A4:J4"/>
    <mergeCell ref="A5:J5"/>
  </mergeCells>
  <printOptions horizontalCentered="1" verticalCentered="1"/>
  <pageMargins left="0.70866141732283472" right="0.70866141732283472" top="0" bottom="0.74803149606299213" header="0" footer="0.31496062992125984"/>
  <pageSetup scale="85" orientation="portrait" r:id="rId1"/>
  <customProperties>
    <customPr name="ExcelFSM_AdjustedButtonPressed" r:id="rId2"/>
    <customPr name="ExcelFSM_DetailsButtonPressed" r:id="rId3"/>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2360-8F7A-48F9-9908-BE8CA2FDA3DE}">
  <dimension ref="A1"/>
  <sheetViews>
    <sheetView rightToLeft="1" workbookViewId="0"/>
  </sheetViews>
  <sheetFormatPr defaultRowHeight="12.75" x14ac:dyDescent="0.2"/>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F43A-5C60-443D-8615-5982B3B9CD7D}">
  <dimension ref="A1"/>
  <sheetViews>
    <sheetView rightToLeft="1" workbookViewId="0"/>
  </sheetViews>
  <sheetFormatPr defaultRowHeight="12.75" x14ac:dyDescent="0.2"/>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XEW64"/>
  <sheetViews>
    <sheetView rightToLeft="1" view="pageBreakPreview" topLeftCell="A32" zoomScale="85" zoomScaleSheetLayoutView="85" workbookViewId="0">
      <selection activeCell="M58" sqref="M58"/>
    </sheetView>
  </sheetViews>
  <sheetFormatPr defaultColWidth="9.140625" defaultRowHeight="18.75" x14ac:dyDescent="0.45"/>
  <cols>
    <col min="1" max="1" width="5.85546875" style="244" customWidth="1"/>
    <col min="2" max="2" width="4.140625" style="244" customWidth="1"/>
    <col min="3" max="3" width="14.28515625" style="247" customWidth="1"/>
    <col min="4" max="4" width="3.5703125" style="244" customWidth="1"/>
    <col min="5" max="5" width="17.42578125" style="254" customWidth="1"/>
    <col min="6" max="6" width="3.7109375" style="244" customWidth="1"/>
    <col min="7" max="7" width="9.7109375" style="244" customWidth="1"/>
    <col min="8" max="8" width="36.5703125" style="244" customWidth="1"/>
    <col min="9" max="9" width="1.5703125" style="244" customWidth="1"/>
    <col min="10" max="10" width="1.28515625" style="263" customWidth="1"/>
    <col min="11" max="11" width="6.42578125" style="271" customWidth="1"/>
    <col min="12" max="16384" width="9.140625" style="244"/>
  </cols>
  <sheetData>
    <row r="1" spans="1:16377" x14ac:dyDescent="0.45">
      <c r="B1" s="588">
        <f>Cover!A14</f>
        <v>0</v>
      </c>
      <c r="C1" s="588"/>
      <c r="D1" s="588"/>
      <c r="E1" s="588"/>
      <c r="F1" s="588"/>
      <c r="G1" s="588"/>
      <c r="H1" s="588"/>
      <c r="I1" s="588"/>
      <c r="J1" s="588"/>
      <c r="K1" s="588"/>
      <c r="L1" s="246"/>
    </row>
    <row r="2" spans="1:16377" x14ac:dyDescent="0.45">
      <c r="B2" s="588" t="str">
        <f>Cover!A15</f>
        <v>(Foreign Company – Limited Liability Company)</v>
      </c>
      <c r="C2" s="588"/>
      <c r="D2" s="588"/>
      <c r="E2" s="588"/>
      <c r="F2" s="588"/>
      <c r="G2" s="588"/>
      <c r="H2" s="588"/>
      <c r="I2" s="588"/>
      <c r="J2" s="588"/>
      <c r="K2" s="588"/>
      <c r="L2" s="246"/>
    </row>
    <row r="3" spans="1:16377" x14ac:dyDescent="0.45">
      <c r="B3" s="588" t="str">
        <f>Cover!A16</f>
        <v>Riyadh – Kingdom of Saudi Arabia</v>
      </c>
      <c r="C3" s="588"/>
      <c r="D3" s="588"/>
      <c r="E3" s="588"/>
      <c r="F3" s="588"/>
      <c r="G3" s="588"/>
      <c r="H3" s="588"/>
      <c r="I3" s="588"/>
      <c r="J3" s="588"/>
      <c r="K3" s="588"/>
      <c r="L3" s="247"/>
    </row>
    <row r="4" spans="1:16377" x14ac:dyDescent="0.45">
      <c r="B4" s="588" t="str">
        <f>'1'!B4</f>
        <v>NOTES TO THE FINANCIAL STATEMENTS FOR PERIOD  ENDED31December2024</v>
      </c>
      <c r="C4" s="588"/>
      <c r="D4" s="588"/>
      <c r="E4" s="588"/>
      <c r="F4" s="588"/>
      <c r="G4" s="588"/>
      <c r="H4" s="588"/>
      <c r="I4" s="588"/>
      <c r="J4" s="588"/>
      <c r="K4" s="588"/>
      <c r="M4" s="247"/>
    </row>
    <row r="5" spans="1:16377" x14ac:dyDescent="0.45">
      <c r="A5" s="248" t="s">
        <v>5</v>
      </c>
      <c r="B5" s="606" t="str">
        <f>'Balance Sheet'!A5</f>
        <v>(saudi riyal)</v>
      </c>
      <c r="C5" s="606"/>
      <c r="D5" s="606"/>
      <c r="E5" s="606"/>
      <c r="F5" s="606"/>
      <c r="G5" s="606"/>
      <c r="H5" s="606"/>
      <c r="I5" s="606"/>
      <c r="J5" s="606"/>
      <c r="K5" s="606"/>
    </row>
    <row r="6" spans="1:16377" ht="8.25" customHeight="1" x14ac:dyDescent="0.45">
      <c r="B6" s="250"/>
      <c r="C6" s="251"/>
      <c r="D6" s="250"/>
      <c r="E6" s="250"/>
      <c r="F6" s="250"/>
      <c r="G6" s="250"/>
      <c r="H6" s="250"/>
      <c r="I6" s="250"/>
      <c r="J6" s="250"/>
      <c r="K6" s="252"/>
    </row>
    <row r="7" spans="1:16377" hidden="1" x14ac:dyDescent="0.45">
      <c r="B7" s="250"/>
      <c r="C7" s="251"/>
      <c r="D7" s="250"/>
      <c r="E7" s="250"/>
      <c r="F7" s="250"/>
      <c r="G7" s="250"/>
      <c r="H7" s="250"/>
      <c r="I7" s="250"/>
      <c r="J7" s="250"/>
      <c r="K7" s="252"/>
    </row>
    <row r="8" spans="1:16377" ht="21.75" hidden="1" x14ac:dyDescent="0.5">
      <c r="B8" s="253"/>
      <c r="C8" s="251"/>
      <c r="D8" s="250"/>
      <c r="E8" s="250"/>
      <c r="F8" s="250"/>
      <c r="G8" s="250"/>
      <c r="H8" s="250"/>
      <c r="I8" s="250"/>
      <c r="J8" s="250"/>
      <c r="K8" s="252"/>
    </row>
    <row r="9" spans="1:16377" x14ac:dyDescent="0.45">
      <c r="H9" s="255" t="s">
        <v>346</v>
      </c>
      <c r="I9" s="255"/>
      <c r="J9" s="255"/>
      <c r="K9" s="256" t="str">
        <f>('Income Statement'!F16+1)&amp;"-"</f>
        <v>17-</v>
      </c>
    </row>
    <row r="10" spans="1:16377" ht="76.900000000000006" customHeight="1" x14ac:dyDescent="0.45">
      <c r="A10" s="616" t="s">
        <v>347</v>
      </c>
      <c r="B10" s="616"/>
      <c r="C10" s="616"/>
      <c r="D10" s="616"/>
      <c r="E10" s="616"/>
      <c r="F10" s="616"/>
      <c r="G10" s="616"/>
      <c r="H10" s="616"/>
      <c r="I10" s="616"/>
      <c r="J10" s="258"/>
      <c r="K10" s="256"/>
      <c r="L10" s="699"/>
      <c r="M10" s="699"/>
      <c r="N10" s="699"/>
      <c r="O10" s="699"/>
      <c r="P10" s="699"/>
      <c r="Q10" s="699"/>
      <c r="R10" s="699"/>
      <c r="S10" s="699"/>
      <c r="T10" s="699"/>
      <c r="U10" s="699"/>
      <c r="V10" s="699"/>
      <c r="W10" s="699"/>
      <c r="X10" s="699"/>
      <c r="Y10" s="699"/>
      <c r="Z10" s="699"/>
      <c r="AA10" s="699"/>
      <c r="AB10" s="699"/>
      <c r="AC10" s="699"/>
      <c r="AD10" s="699"/>
      <c r="AE10" s="699"/>
      <c r="AF10" s="699"/>
      <c r="AG10" s="699"/>
      <c r="AH10" s="699"/>
      <c r="AI10" s="699"/>
      <c r="AJ10" s="699"/>
      <c r="AK10" s="699"/>
      <c r="AL10" s="699"/>
      <c r="AM10" s="699"/>
      <c r="AN10" s="699"/>
      <c r="AO10" s="699"/>
      <c r="AP10" s="699"/>
      <c r="AQ10" s="699"/>
      <c r="AR10" s="699"/>
      <c r="AS10" s="699"/>
      <c r="AT10" s="699"/>
      <c r="AU10" s="699"/>
      <c r="AV10" s="699"/>
      <c r="AW10" s="699"/>
      <c r="AX10" s="699"/>
      <c r="AY10" s="699"/>
      <c r="AZ10" s="699"/>
      <c r="BA10" s="699"/>
      <c r="BB10" s="699"/>
      <c r="BC10" s="699"/>
      <c r="BD10" s="699"/>
      <c r="BE10" s="699"/>
      <c r="BF10" s="699"/>
      <c r="BG10" s="699"/>
      <c r="BH10" s="699"/>
      <c r="BI10" s="699"/>
      <c r="BJ10" s="699"/>
      <c r="BK10" s="699"/>
      <c r="BL10" s="699"/>
      <c r="BM10" s="699"/>
      <c r="BN10" s="699"/>
      <c r="BO10" s="699"/>
      <c r="BP10" s="699"/>
      <c r="BQ10" s="699"/>
      <c r="BR10" s="699"/>
      <c r="BS10" s="699"/>
      <c r="BT10" s="699"/>
      <c r="BU10" s="699"/>
      <c r="BV10" s="699"/>
      <c r="BW10" s="699"/>
      <c r="BX10" s="699"/>
      <c r="BY10" s="699"/>
      <c r="BZ10" s="699"/>
      <c r="CA10" s="699"/>
      <c r="CB10" s="699"/>
      <c r="CC10" s="699"/>
      <c r="CD10" s="699"/>
      <c r="CE10" s="699"/>
      <c r="CF10" s="699"/>
      <c r="CG10" s="699"/>
      <c r="CH10" s="699"/>
      <c r="CI10" s="699"/>
      <c r="CJ10" s="699"/>
      <c r="CK10" s="699"/>
      <c r="CL10" s="699"/>
      <c r="CM10" s="699"/>
      <c r="CN10" s="699"/>
      <c r="CO10" s="699"/>
      <c r="CP10" s="699"/>
      <c r="CQ10" s="699"/>
      <c r="CR10" s="699"/>
      <c r="CS10" s="699"/>
      <c r="CT10" s="699"/>
      <c r="CU10" s="699"/>
      <c r="CV10" s="699"/>
      <c r="CW10" s="699"/>
      <c r="CX10" s="699"/>
      <c r="CY10" s="699"/>
      <c r="CZ10" s="699"/>
      <c r="DA10" s="699"/>
      <c r="DB10" s="699"/>
      <c r="DC10" s="699"/>
      <c r="DD10" s="699"/>
      <c r="DE10" s="699"/>
      <c r="DF10" s="699"/>
      <c r="DG10" s="699"/>
      <c r="DH10" s="699"/>
      <c r="DI10" s="699"/>
      <c r="DJ10" s="699"/>
      <c r="DK10" s="699"/>
      <c r="DL10" s="699"/>
      <c r="DM10" s="699"/>
      <c r="DN10" s="699"/>
      <c r="DO10" s="699"/>
      <c r="DP10" s="699"/>
      <c r="DQ10" s="699"/>
      <c r="DR10" s="699"/>
      <c r="DS10" s="699"/>
      <c r="DT10" s="699"/>
      <c r="DU10" s="699"/>
      <c r="DV10" s="699"/>
      <c r="DW10" s="699"/>
      <c r="DX10" s="699"/>
      <c r="DY10" s="699"/>
      <c r="DZ10" s="699"/>
      <c r="EA10" s="699"/>
      <c r="EB10" s="699"/>
      <c r="EC10" s="699"/>
      <c r="ED10" s="699"/>
      <c r="EE10" s="699"/>
      <c r="EF10" s="699"/>
      <c r="EG10" s="699"/>
      <c r="EH10" s="699"/>
      <c r="EI10" s="699"/>
      <c r="EJ10" s="699"/>
      <c r="EK10" s="699"/>
      <c r="EL10" s="699"/>
      <c r="EM10" s="699"/>
      <c r="EN10" s="699"/>
      <c r="EO10" s="699"/>
      <c r="EP10" s="699"/>
      <c r="EQ10" s="699"/>
      <c r="ER10" s="699"/>
      <c r="ES10" s="699"/>
      <c r="ET10" s="699"/>
      <c r="EU10" s="699"/>
      <c r="EV10" s="699"/>
      <c r="EW10" s="699"/>
      <c r="EX10" s="699"/>
      <c r="EY10" s="699"/>
      <c r="EZ10" s="699"/>
      <c r="FA10" s="699"/>
      <c r="FB10" s="699"/>
      <c r="FC10" s="699"/>
      <c r="FD10" s="699"/>
      <c r="FE10" s="699"/>
      <c r="FF10" s="699"/>
      <c r="FG10" s="699"/>
      <c r="FH10" s="699"/>
      <c r="FI10" s="699"/>
      <c r="FJ10" s="699"/>
      <c r="FK10" s="699"/>
      <c r="FL10" s="699"/>
      <c r="FM10" s="699"/>
      <c r="FN10" s="699"/>
      <c r="FO10" s="699"/>
      <c r="FP10" s="699"/>
      <c r="FQ10" s="699"/>
      <c r="FR10" s="699"/>
      <c r="FS10" s="699"/>
      <c r="FT10" s="699"/>
      <c r="FU10" s="699"/>
      <c r="FV10" s="699"/>
      <c r="FW10" s="699"/>
      <c r="FX10" s="699"/>
      <c r="FY10" s="699"/>
      <c r="FZ10" s="699"/>
      <c r="GA10" s="699"/>
      <c r="GB10" s="699"/>
      <c r="GC10" s="699"/>
      <c r="GD10" s="699"/>
      <c r="GE10" s="699"/>
      <c r="GF10" s="699"/>
      <c r="GG10" s="699"/>
      <c r="GH10" s="699"/>
      <c r="GI10" s="699"/>
      <c r="GJ10" s="699"/>
      <c r="GK10" s="699"/>
      <c r="GL10" s="699"/>
      <c r="GM10" s="699"/>
      <c r="GN10" s="699"/>
      <c r="GO10" s="699"/>
      <c r="GP10" s="699"/>
      <c r="GQ10" s="699"/>
      <c r="GR10" s="699"/>
      <c r="GS10" s="699"/>
      <c r="GT10" s="699"/>
      <c r="GU10" s="699"/>
      <c r="GV10" s="699"/>
      <c r="GW10" s="699"/>
      <c r="GX10" s="699"/>
      <c r="GY10" s="699"/>
      <c r="GZ10" s="699"/>
      <c r="HA10" s="699"/>
      <c r="HB10" s="699"/>
      <c r="HC10" s="699"/>
      <c r="HD10" s="699"/>
      <c r="HE10" s="699"/>
      <c r="HF10" s="699"/>
      <c r="HG10" s="699"/>
      <c r="HH10" s="699"/>
      <c r="HI10" s="699"/>
      <c r="HJ10" s="699"/>
      <c r="HK10" s="699"/>
      <c r="HL10" s="699"/>
      <c r="HM10" s="699"/>
      <c r="HN10" s="699"/>
      <c r="HO10" s="699"/>
      <c r="HP10" s="699"/>
      <c r="HQ10" s="699"/>
      <c r="HR10" s="699"/>
      <c r="HS10" s="699"/>
      <c r="HT10" s="699"/>
      <c r="HU10" s="699"/>
      <c r="HV10" s="699"/>
      <c r="HW10" s="699"/>
      <c r="HX10" s="699"/>
      <c r="HY10" s="699"/>
      <c r="HZ10" s="699"/>
      <c r="IA10" s="699"/>
      <c r="IB10" s="699"/>
      <c r="IC10" s="699"/>
      <c r="ID10" s="699"/>
      <c r="IE10" s="699"/>
      <c r="IF10" s="699"/>
      <c r="IG10" s="699"/>
      <c r="IH10" s="699"/>
      <c r="II10" s="699"/>
      <c r="IJ10" s="699"/>
      <c r="IK10" s="699"/>
      <c r="IL10" s="699"/>
      <c r="IM10" s="699"/>
      <c r="IN10" s="699"/>
      <c r="IO10" s="699"/>
      <c r="IP10" s="699"/>
      <c r="IQ10" s="699"/>
      <c r="IR10" s="699"/>
      <c r="IS10" s="699"/>
      <c r="IT10" s="699"/>
      <c r="IU10" s="699"/>
      <c r="IV10" s="699"/>
      <c r="IW10" s="699"/>
      <c r="IX10" s="699"/>
      <c r="IY10" s="699"/>
      <c r="IZ10" s="699"/>
      <c r="JA10" s="699"/>
      <c r="JB10" s="699"/>
      <c r="JC10" s="699"/>
      <c r="JD10" s="699"/>
      <c r="JE10" s="699"/>
      <c r="JF10" s="699"/>
      <c r="JG10" s="699"/>
      <c r="JH10" s="699"/>
      <c r="JI10" s="699"/>
      <c r="JJ10" s="699"/>
      <c r="JK10" s="699"/>
      <c r="JL10" s="699"/>
      <c r="JM10" s="699"/>
      <c r="JN10" s="699"/>
      <c r="JO10" s="699"/>
      <c r="JP10" s="699"/>
      <c r="JQ10" s="699"/>
      <c r="JR10" s="699"/>
      <c r="JS10" s="699"/>
      <c r="JT10" s="699"/>
      <c r="JU10" s="699"/>
      <c r="JV10" s="699"/>
      <c r="JW10" s="699"/>
      <c r="JX10" s="699"/>
      <c r="JY10" s="699"/>
      <c r="JZ10" s="699"/>
      <c r="KA10" s="699"/>
      <c r="KB10" s="699"/>
      <c r="KC10" s="699"/>
      <c r="KD10" s="699"/>
      <c r="KE10" s="699"/>
      <c r="KF10" s="699"/>
      <c r="KG10" s="699"/>
      <c r="KH10" s="699"/>
      <c r="KI10" s="699"/>
      <c r="KJ10" s="699"/>
      <c r="KK10" s="699"/>
      <c r="KL10" s="699"/>
      <c r="KM10" s="699"/>
      <c r="KN10" s="699"/>
      <c r="KO10" s="699"/>
      <c r="KP10" s="699"/>
      <c r="KQ10" s="699"/>
      <c r="KR10" s="699"/>
      <c r="KS10" s="699"/>
      <c r="KT10" s="699"/>
      <c r="KU10" s="699"/>
      <c r="KV10" s="699"/>
      <c r="KW10" s="699"/>
      <c r="KX10" s="699"/>
      <c r="KY10" s="699"/>
      <c r="KZ10" s="699"/>
      <c r="LA10" s="699"/>
      <c r="LB10" s="699"/>
      <c r="LC10" s="699"/>
      <c r="LD10" s="699"/>
      <c r="LE10" s="699"/>
      <c r="LF10" s="699"/>
      <c r="LG10" s="699"/>
      <c r="LH10" s="699"/>
      <c r="LI10" s="699"/>
      <c r="LJ10" s="699"/>
      <c r="LK10" s="699"/>
      <c r="LL10" s="699"/>
      <c r="LM10" s="699"/>
      <c r="LN10" s="699"/>
      <c r="LO10" s="699"/>
      <c r="LP10" s="699"/>
      <c r="LQ10" s="699"/>
      <c r="LR10" s="699"/>
      <c r="LS10" s="699"/>
      <c r="LT10" s="699"/>
      <c r="LU10" s="699"/>
      <c r="LV10" s="699"/>
      <c r="LW10" s="699"/>
      <c r="LX10" s="699"/>
      <c r="LY10" s="699"/>
      <c r="LZ10" s="699"/>
      <c r="MA10" s="699"/>
      <c r="MB10" s="699"/>
      <c r="MC10" s="699"/>
      <c r="MD10" s="699"/>
      <c r="ME10" s="699"/>
      <c r="MF10" s="699"/>
      <c r="MG10" s="699"/>
      <c r="MH10" s="699"/>
      <c r="MI10" s="699"/>
      <c r="MJ10" s="699"/>
      <c r="MK10" s="699"/>
      <c r="ML10" s="699"/>
      <c r="MM10" s="699"/>
      <c r="MN10" s="699"/>
      <c r="MO10" s="699"/>
      <c r="MP10" s="699"/>
      <c r="MQ10" s="699"/>
      <c r="MR10" s="699"/>
      <c r="MS10" s="699"/>
      <c r="MT10" s="699"/>
      <c r="MU10" s="699"/>
      <c r="MV10" s="699"/>
      <c r="MW10" s="699"/>
      <c r="MX10" s="699"/>
      <c r="MY10" s="699"/>
      <c r="MZ10" s="699"/>
      <c r="NA10" s="699"/>
      <c r="NB10" s="699"/>
      <c r="NC10" s="699"/>
      <c r="ND10" s="699"/>
      <c r="NE10" s="699"/>
      <c r="NF10" s="699"/>
      <c r="NG10" s="699"/>
      <c r="NH10" s="699"/>
      <c r="NI10" s="699"/>
      <c r="NJ10" s="699"/>
      <c r="NK10" s="699"/>
      <c r="NL10" s="699"/>
      <c r="NM10" s="699"/>
      <c r="NN10" s="699"/>
      <c r="NO10" s="699"/>
      <c r="NP10" s="699"/>
      <c r="NQ10" s="699"/>
      <c r="NR10" s="699"/>
      <c r="NS10" s="699"/>
      <c r="NT10" s="699"/>
      <c r="NU10" s="699"/>
      <c r="NV10" s="699"/>
      <c r="NW10" s="699"/>
      <c r="NX10" s="699"/>
      <c r="NY10" s="699"/>
      <c r="NZ10" s="699"/>
      <c r="OA10" s="699"/>
      <c r="OB10" s="699"/>
      <c r="OC10" s="699"/>
      <c r="OD10" s="699"/>
      <c r="OE10" s="699"/>
      <c r="OF10" s="699"/>
      <c r="OG10" s="699"/>
      <c r="OH10" s="699"/>
      <c r="OI10" s="699"/>
      <c r="OJ10" s="699"/>
      <c r="OK10" s="699"/>
      <c r="OL10" s="699"/>
      <c r="OM10" s="699"/>
      <c r="ON10" s="699"/>
      <c r="OO10" s="699"/>
      <c r="OP10" s="699"/>
      <c r="OQ10" s="699"/>
      <c r="OR10" s="699"/>
      <c r="OS10" s="699"/>
      <c r="OT10" s="699"/>
      <c r="OU10" s="699"/>
      <c r="OV10" s="699"/>
      <c r="OW10" s="699"/>
      <c r="OX10" s="699"/>
      <c r="OY10" s="699"/>
      <c r="OZ10" s="699"/>
      <c r="PA10" s="699"/>
      <c r="PB10" s="699"/>
      <c r="PC10" s="699"/>
      <c r="PD10" s="699"/>
      <c r="PE10" s="699"/>
      <c r="PF10" s="699"/>
      <c r="PG10" s="699"/>
      <c r="PH10" s="699"/>
      <c r="PI10" s="699"/>
      <c r="PJ10" s="699"/>
      <c r="PK10" s="699"/>
      <c r="PL10" s="699"/>
      <c r="PM10" s="699"/>
      <c r="PN10" s="699"/>
      <c r="PO10" s="699"/>
      <c r="PP10" s="699"/>
      <c r="PQ10" s="699"/>
      <c r="PR10" s="699"/>
      <c r="PS10" s="699"/>
      <c r="PT10" s="699"/>
      <c r="PU10" s="699"/>
      <c r="PV10" s="699"/>
      <c r="PW10" s="699"/>
      <c r="PX10" s="699"/>
      <c r="PY10" s="699"/>
      <c r="PZ10" s="699"/>
      <c r="QA10" s="699"/>
      <c r="QB10" s="699"/>
      <c r="QC10" s="699"/>
      <c r="QD10" s="699"/>
      <c r="QE10" s="699"/>
      <c r="QF10" s="699"/>
      <c r="QG10" s="699"/>
      <c r="QH10" s="699"/>
      <c r="QI10" s="699"/>
      <c r="QJ10" s="699"/>
      <c r="QK10" s="699"/>
      <c r="QL10" s="699"/>
      <c r="QM10" s="699"/>
      <c r="QN10" s="699"/>
      <c r="QO10" s="699"/>
      <c r="QP10" s="699"/>
      <c r="QQ10" s="699"/>
      <c r="QR10" s="699"/>
      <c r="QS10" s="699"/>
      <c r="QT10" s="699"/>
      <c r="QU10" s="699"/>
      <c r="QV10" s="699"/>
      <c r="QW10" s="699"/>
      <c r="QX10" s="699"/>
      <c r="QY10" s="699"/>
      <c r="QZ10" s="699"/>
      <c r="RA10" s="699"/>
      <c r="RB10" s="699"/>
      <c r="RC10" s="699"/>
      <c r="RD10" s="699"/>
      <c r="RE10" s="699"/>
      <c r="RF10" s="699"/>
      <c r="RG10" s="699"/>
      <c r="RH10" s="699"/>
      <c r="RI10" s="699"/>
      <c r="RJ10" s="699"/>
      <c r="RK10" s="699"/>
      <c r="RL10" s="699"/>
      <c r="RM10" s="699"/>
      <c r="RN10" s="699"/>
      <c r="RO10" s="699"/>
      <c r="RP10" s="699"/>
      <c r="RQ10" s="699"/>
      <c r="RR10" s="699"/>
      <c r="RS10" s="699"/>
      <c r="RT10" s="699"/>
      <c r="RU10" s="699"/>
      <c r="RV10" s="699"/>
      <c r="RW10" s="699"/>
      <c r="RX10" s="699"/>
      <c r="RY10" s="699"/>
      <c r="RZ10" s="699"/>
      <c r="SA10" s="699"/>
      <c r="SB10" s="699"/>
      <c r="SC10" s="699"/>
      <c r="SD10" s="699"/>
      <c r="SE10" s="699"/>
      <c r="SF10" s="699"/>
      <c r="SG10" s="699"/>
      <c r="SH10" s="699"/>
      <c r="SI10" s="699"/>
      <c r="SJ10" s="699"/>
      <c r="SK10" s="699"/>
      <c r="SL10" s="699"/>
      <c r="SM10" s="699"/>
      <c r="SN10" s="699"/>
      <c r="SO10" s="699"/>
      <c r="SP10" s="699"/>
      <c r="SQ10" s="699"/>
      <c r="SR10" s="699"/>
      <c r="SS10" s="699"/>
      <c r="ST10" s="699"/>
      <c r="SU10" s="699"/>
      <c r="SV10" s="699"/>
      <c r="SW10" s="699"/>
      <c r="SX10" s="699"/>
      <c r="SY10" s="699"/>
      <c r="SZ10" s="699"/>
      <c r="TA10" s="699"/>
      <c r="TB10" s="699"/>
      <c r="TC10" s="699"/>
      <c r="TD10" s="699"/>
      <c r="TE10" s="699"/>
      <c r="TF10" s="699"/>
      <c r="TG10" s="699"/>
      <c r="TH10" s="699"/>
      <c r="TI10" s="699"/>
      <c r="TJ10" s="699"/>
      <c r="TK10" s="699"/>
      <c r="TL10" s="699"/>
      <c r="TM10" s="699"/>
      <c r="TN10" s="699"/>
      <c r="TO10" s="699"/>
      <c r="TP10" s="699"/>
      <c r="TQ10" s="699"/>
      <c r="TR10" s="699"/>
      <c r="TS10" s="699"/>
      <c r="TT10" s="699"/>
      <c r="TU10" s="699"/>
      <c r="TV10" s="699"/>
      <c r="TW10" s="699"/>
      <c r="TX10" s="699"/>
      <c r="TY10" s="699"/>
      <c r="TZ10" s="699"/>
      <c r="UA10" s="699"/>
      <c r="UB10" s="699"/>
      <c r="UC10" s="699"/>
      <c r="UD10" s="699"/>
      <c r="UE10" s="699"/>
      <c r="UF10" s="699"/>
      <c r="UG10" s="699"/>
      <c r="UH10" s="699"/>
      <c r="UI10" s="699"/>
      <c r="UJ10" s="699"/>
      <c r="UK10" s="699"/>
      <c r="UL10" s="699"/>
      <c r="UM10" s="699"/>
      <c r="UN10" s="699"/>
      <c r="UO10" s="699"/>
      <c r="UP10" s="699"/>
      <c r="UQ10" s="699"/>
      <c r="UR10" s="699"/>
      <c r="US10" s="699"/>
      <c r="UT10" s="699"/>
      <c r="UU10" s="699"/>
      <c r="UV10" s="699"/>
      <c r="UW10" s="699"/>
      <c r="UX10" s="699"/>
      <c r="UY10" s="699"/>
      <c r="UZ10" s="699"/>
      <c r="VA10" s="699"/>
      <c r="VB10" s="699"/>
      <c r="VC10" s="699"/>
      <c r="VD10" s="699"/>
      <c r="VE10" s="699"/>
      <c r="VF10" s="699"/>
      <c r="VG10" s="699"/>
      <c r="VH10" s="699"/>
      <c r="VI10" s="699"/>
      <c r="VJ10" s="699"/>
      <c r="VK10" s="699"/>
      <c r="VL10" s="699"/>
      <c r="VM10" s="699"/>
      <c r="VN10" s="699"/>
      <c r="VO10" s="699"/>
      <c r="VP10" s="699"/>
      <c r="VQ10" s="699"/>
      <c r="VR10" s="699"/>
      <c r="VS10" s="699"/>
      <c r="VT10" s="699"/>
      <c r="VU10" s="699"/>
      <c r="VV10" s="699"/>
      <c r="VW10" s="699"/>
      <c r="VX10" s="699"/>
      <c r="VY10" s="699"/>
      <c r="VZ10" s="699"/>
      <c r="WA10" s="699"/>
      <c r="WB10" s="699"/>
      <c r="WC10" s="699"/>
      <c r="WD10" s="699"/>
      <c r="WE10" s="699"/>
      <c r="WF10" s="699"/>
      <c r="WG10" s="699"/>
      <c r="WH10" s="699"/>
      <c r="WI10" s="699"/>
      <c r="WJ10" s="699"/>
      <c r="WK10" s="699"/>
      <c r="WL10" s="699"/>
      <c r="WM10" s="699"/>
      <c r="WN10" s="699"/>
      <c r="WO10" s="699"/>
      <c r="WP10" s="699"/>
      <c r="WQ10" s="699"/>
      <c r="WR10" s="699"/>
      <c r="WS10" s="699"/>
      <c r="WT10" s="699"/>
      <c r="WU10" s="699"/>
      <c r="WV10" s="699"/>
      <c r="WW10" s="699"/>
      <c r="WX10" s="699"/>
      <c r="WY10" s="699"/>
      <c r="WZ10" s="699"/>
      <c r="XA10" s="699"/>
      <c r="XB10" s="699"/>
      <c r="XC10" s="699"/>
      <c r="XD10" s="699"/>
      <c r="XE10" s="699"/>
      <c r="XF10" s="699"/>
      <c r="XG10" s="699"/>
      <c r="XH10" s="699"/>
      <c r="XI10" s="699"/>
      <c r="XJ10" s="699"/>
      <c r="XK10" s="699"/>
      <c r="XL10" s="699"/>
      <c r="XM10" s="699"/>
      <c r="XN10" s="699"/>
      <c r="XO10" s="699"/>
      <c r="XP10" s="699"/>
      <c r="XQ10" s="699"/>
      <c r="XR10" s="699"/>
      <c r="XS10" s="699"/>
      <c r="XT10" s="699"/>
      <c r="XU10" s="699"/>
      <c r="XV10" s="699"/>
      <c r="XW10" s="699"/>
      <c r="XX10" s="699"/>
      <c r="XY10" s="699"/>
      <c r="XZ10" s="699"/>
      <c r="YA10" s="699"/>
      <c r="YB10" s="699"/>
      <c r="YC10" s="699"/>
      <c r="YD10" s="699"/>
      <c r="YE10" s="699"/>
      <c r="YF10" s="699"/>
      <c r="YG10" s="699"/>
      <c r="YH10" s="699"/>
      <c r="YI10" s="699"/>
      <c r="YJ10" s="699"/>
      <c r="YK10" s="699"/>
      <c r="YL10" s="699"/>
      <c r="YM10" s="699"/>
      <c r="YN10" s="699"/>
      <c r="YO10" s="699"/>
      <c r="YP10" s="699"/>
      <c r="YQ10" s="699"/>
      <c r="YR10" s="699"/>
      <c r="YS10" s="699"/>
      <c r="YT10" s="699"/>
      <c r="YU10" s="699"/>
      <c r="YV10" s="699"/>
      <c r="YW10" s="699"/>
      <c r="YX10" s="699"/>
      <c r="YY10" s="699"/>
      <c r="YZ10" s="699"/>
      <c r="ZA10" s="699"/>
      <c r="ZB10" s="699"/>
      <c r="ZC10" s="699"/>
      <c r="ZD10" s="699"/>
      <c r="ZE10" s="699"/>
      <c r="ZF10" s="699"/>
      <c r="ZG10" s="699"/>
      <c r="ZH10" s="699"/>
      <c r="ZI10" s="699"/>
      <c r="ZJ10" s="699"/>
      <c r="ZK10" s="699"/>
      <c r="ZL10" s="699"/>
      <c r="ZM10" s="699"/>
      <c r="ZN10" s="699"/>
      <c r="ZO10" s="699"/>
      <c r="ZP10" s="699"/>
      <c r="ZQ10" s="699"/>
      <c r="ZR10" s="699"/>
      <c r="ZS10" s="699"/>
      <c r="ZT10" s="699"/>
      <c r="ZU10" s="699"/>
      <c r="ZV10" s="699"/>
      <c r="ZW10" s="699"/>
      <c r="ZX10" s="699"/>
      <c r="ZY10" s="699"/>
      <c r="ZZ10" s="699"/>
      <c r="AAA10" s="699"/>
      <c r="AAB10" s="699"/>
      <c r="AAC10" s="699"/>
      <c r="AAD10" s="699"/>
      <c r="AAE10" s="699"/>
      <c r="AAF10" s="699"/>
      <c r="AAG10" s="699"/>
      <c r="AAH10" s="699"/>
      <c r="AAI10" s="699"/>
      <c r="AAJ10" s="699"/>
      <c r="AAK10" s="699"/>
      <c r="AAL10" s="699"/>
      <c r="AAM10" s="699"/>
      <c r="AAN10" s="699"/>
      <c r="AAO10" s="699"/>
      <c r="AAP10" s="699"/>
      <c r="AAQ10" s="699"/>
      <c r="AAR10" s="699"/>
      <c r="AAS10" s="699"/>
      <c r="AAT10" s="699"/>
      <c r="AAU10" s="699"/>
      <c r="AAV10" s="699"/>
      <c r="AAW10" s="699"/>
      <c r="AAX10" s="699"/>
      <c r="AAY10" s="699"/>
      <c r="AAZ10" s="699"/>
      <c r="ABA10" s="699"/>
      <c r="ABB10" s="699"/>
      <c r="ABC10" s="699"/>
      <c r="ABD10" s="699"/>
      <c r="ABE10" s="699"/>
      <c r="ABF10" s="699"/>
      <c r="ABG10" s="699"/>
      <c r="ABH10" s="699"/>
      <c r="ABI10" s="699"/>
      <c r="ABJ10" s="699"/>
      <c r="ABK10" s="699"/>
      <c r="ABL10" s="699"/>
      <c r="ABM10" s="699"/>
      <c r="ABN10" s="699"/>
      <c r="ABO10" s="699"/>
      <c r="ABP10" s="699"/>
      <c r="ABQ10" s="699"/>
      <c r="ABR10" s="699"/>
      <c r="ABS10" s="699"/>
      <c r="ABT10" s="699"/>
      <c r="ABU10" s="699"/>
      <c r="ABV10" s="699"/>
      <c r="ABW10" s="699"/>
      <c r="ABX10" s="699"/>
      <c r="ABY10" s="699"/>
      <c r="ABZ10" s="699"/>
      <c r="ACA10" s="699"/>
      <c r="ACB10" s="699"/>
      <c r="ACC10" s="699"/>
      <c r="ACD10" s="699"/>
      <c r="ACE10" s="699"/>
      <c r="ACF10" s="699"/>
      <c r="ACG10" s="699"/>
      <c r="ACH10" s="699"/>
      <c r="ACI10" s="699"/>
      <c r="ACJ10" s="699"/>
      <c r="ACK10" s="699"/>
      <c r="ACL10" s="699"/>
      <c r="ACM10" s="699"/>
      <c r="ACN10" s="699"/>
      <c r="ACO10" s="699"/>
      <c r="ACP10" s="699"/>
      <c r="ACQ10" s="699"/>
      <c r="ACR10" s="699"/>
      <c r="ACS10" s="699"/>
      <c r="ACT10" s="699"/>
      <c r="ACU10" s="699"/>
      <c r="ACV10" s="699"/>
      <c r="ACW10" s="699"/>
      <c r="ACX10" s="699"/>
      <c r="ACY10" s="699"/>
      <c r="ACZ10" s="699"/>
      <c r="ADA10" s="699"/>
      <c r="ADB10" s="699"/>
      <c r="ADC10" s="699"/>
      <c r="ADD10" s="699"/>
      <c r="ADE10" s="699"/>
      <c r="ADF10" s="699"/>
      <c r="ADG10" s="699"/>
      <c r="ADH10" s="699"/>
      <c r="ADI10" s="699"/>
      <c r="ADJ10" s="699"/>
      <c r="ADK10" s="699"/>
      <c r="ADL10" s="699"/>
      <c r="ADM10" s="699"/>
      <c r="ADN10" s="699"/>
      <c r="ADO10" s="699"/>
      <c r="ADP10" s="699"/>
      <c r="ADQ10" s="699"/>
      <c r="ADR10" s="699"/>
      <c r="ADS10" s="699"/>
      <c r="ADT10" s="699"/>
      <c r="ADU10" s="699"/>
      <c r="ADV10" s="699"/>
      <c r="ADW10" s="699"/>
      <c r="ADX10" s="699"/>
      <c r="ADY10" s="699"/>
      <c r="ADZ10" s="699"/>
      <c r="AEA10" s="699"/>
      <c r="AEB10" s="699"/>
      <c r="AEC10" s="699"/>
      <c r="AED10" s="699"/>
      <c r="AEE10" s="699"/>
      <c r="AEF10" s="699"/>
      <c r="AEG10" s="699"/>
      <c r="AEH10" s="699"/>
      <c r="AEI10" s="699"/>
      <c r="AEJ10" s="699"/>
      <c r="AEK10" s="699"/>
      <c r="AEL10" s="699"/>
      <c r="AEM10" s="699"/>
      <c r="AEN10" s="699"/>
      <c r="AEO10" s="699"/>
      <c r="AEP10" s="699"/>
      <c r="AEQ10" s="699"/>
      <c r="AER10" s="699"/>
      <c r="AES10" s="699"/>
      <c r="AET10" s="699"/>
      <c r="AEU10" s="699"/>
      <c r="AEV10" s="699"/>
      <c r="AEW10" s="699"/>
      <c r="AEX10" s="699"/>
      <c r="AEY10" s="699"/>
      <c r="AEZ10" s="699"/>
      <c r="AFA10" s="699"/>
      <c r="AFB10" s="699"/>
      <c r="AFC10" s="699"/>
      <c r="AFD10" s="699"/>
      <c r="AFE10" s="699"/>
      <c r="AFF10" s="699"/>
      <c r="AFG10" s="699"/>
      <c r="AFH10" s="699"/>
      <c r="AFI10" s="699"/>
      <c r="AFJ10" s="699"/>
      <c r="AFK10" s="699"/>
      <c r="AFL10" s="699"/>
      <c r="AFM10" s="699"/>
      <c r="AFN10" s="699"/>
      <c r="AFO10" s="699"/>
      <c r="AFP10" s="699"/>
      <c r="AFQ10" s="699"/>
      <c r="AFR10" s="699"/>
      <c r="AFS10" s="699"/>
      <c r="AFT10" s="699"/>
      <c r="AFU10" s="699"/>
      <c r="AFV10" s="699"/>
      <c r="AFW10" s="699"/>
      <c r="AFX10" s="699"/>
      <c r="AFY10" s="699"/>
      <c r="AFZ10" s="699"/>
      <c r="AGA10" s="699"/>
      <c r="AGB10" s="699"/>
      <c r="AGC10" s="699"/>
      <c r="AGD10" s="699"/>
      <c r="AGE10" s="699"/>
      <c r="AGF10" s="699"/>
      <c r="AGG10" s="699"/>
      <c r="AGH10" s="699"/>
      <c r="AGI10" s="699"/>
      <c r="AGJ10" s="699"/>
      <c r="AGK10" s="699"/>
      <c r="AGL10" s="699"/>
      <c r="AGM10" s="699"/>
      <c r="AGN10" s="699"/>
      <c r="AGO10" s="699"/>
      <c r="AGP10" s="699"/>
      <c r="AGQ10" s="699"/>
      <c r="AGR10" s="699"/>
      <c r="AGS10" s="699"/>
      <c r="AGT10" s="699"/>
      <c r="AGU10" s="699"/>
      <c r="AGV10" s="699"/>
      <c r="AGW10" s="699"/>
      <c r="AGX10" s="699"/>
      <c r="AGY10" s="699"/>
      <c r="AGZ10" s="699"/>
      <c r="AHA10" s="699"/>
      <c r="AHB10" s="699"/>
      <c r="AHC10" s="699"/>
      <c r="AHD10" s="699"/>
      <c r="AHE10" s="699"/>
      <c r="AHF10" s="699"/>
      <c r="AHG10" s="699"/>
      <c r="AHH10" s="699"/>
      <c r="AHI10" s="699"/>
      <c r="AHJ10" s="699"/>
      <c r="AHK10" s="699"/>
      <c r="AHL10" s="699"/>
      <c r="AHM10" s="699"/>
      <c r="AHN10" s="699"/>
      <c r="AHO10" s="699"/>
      <c r="AHP10" s="699"/>
      <c r="AHQ10" s="699"/>
      <c r="AHR10" s="699"/>
      <c r="AHS10" s="699"/>
      <c r="AHT10" s="699"/>
      <c r="AHU10" s="699"/>
      <c r="AHV10" s="699"/>
      <c r="AHW10" s="699"/>
      <c r="AHX10" s="699"/>
      <c r="AHY10" s="699"/>
      <c r="AHZ10" s="699"/>
      <c r="AIA10" s="699"/>
      <c r="AIB10" s="699"/>
      <c r="AIC10" s="699"/>
      <c r="AID10" s="699"/>
      <c r="AIE10" s="699"/>
      <c r="AIF10" s="699"/>
      <c r="AIG10" s="699"/>
      <c r="AIH10" s="699"/>
      <c r="AII10" s="699"/>
      <c r="AIJ10" s="699"/>
      <c r="AIK10" s="699"/>
      <c r="AIL10" s="699"/>
      <c r="AIM10" s="699"/>
      <c r="AIN10" s="699"/>
      <c r="AIO10" s="699"/>
      <c r="AIP10" s="699"/>
      <c r="AIQ10" s="699"/>
      <c r="AIR10" s="699"/>
      <c r="AIS10" s="699"/>
      <c r="AIT10" s="699"/>
      <c r="AIU10" s="699"/>
      <c r="AIV10" s="699"/>
      <c r="AIW10" s="699"/>
      <c r="AIX10" s="699"/>
      <c r="AIY10" s="699"/>
      <c r="AIZ10" s="699"/>
      <c r="AJA10" s="699"/>
      <c r="AJB10" s="699"/>
      <c r="AJC10" s="699"/>
      <c r="AJD10" s="699"/>
      <c r="AJE10" s="699"/>
      <c r="AJF10" s="699"/>
      <c r="AJG10" s="699"/>
      <c r="AJH10" s="699"/>
      <c r="AJI10" s="699"/>
      <c r="AJJ10" s="699"/>
      <c r="AJK10" s="699"/>
      <c r="AJL10" s="699"/>
      <c r="AJM10" s="699"/>
      <c r="AJN10" s="699"/>
      <c r="AJO10" s="699"/>
      <c r="AJP10" s="699"/>
      <c r="AJQ10" s="699"/>
      <c r="AJR10" s="699"/>
      <c r="AJS10" s="699"/>
      <c r="AJT10" s="699"/>
      <c r="AJU10" s="699"/>
      <c r="AJV10" s="699"/>
      <c r="AJW10" s="699"/>
      <c r="AJX10" s="699"/>
      <c r="AJY10" s="699"/>
      <c r="AJZ10" s="699"/>
      <c r="AKA10" s="699"/>
      <c r="AKB10" s="699"/>
      <c r="AKC10" s="699"/>
      <c r="AKD10" s="699"/>
      <c r="AKE10" s="699"/>
      <c r="AKF10" s="699"/>
      <c r="AKG10" s="699"/>
      <c r="AKH10" s="699"/>
      <c r="AKI10" s="699"/>
      <c r="AKJ10" s="699"/>
      <c r="AKK10" s="699"/>
      <c r="AKL10" s="699"/>
      <c r="AKM10" s="699"/>
      <c r="AKN10" s="699"/>
      <c r="AKO10" s="699"/>
      <c r="AKP10" s="699"/>
      <c r="AKQ10" s="699"/>
      <c r="AKR10" s="699"/>
      <c r="AKS10" s="699"/>
      <c r="AKT10" s="699"/>
      <c r="AKU10" s="699"/>
      <c r="AKV10" s="699"/>
      <c r="AKW10" s="699"/>
      <c r="AKX10" s="699"/>
      <c r="AKY10" s="699"/>
      <c r="AKZ10" s="699"/>
      <c r="ALA10" s="699"/>
      <c r="ALB10" s="699"/>
      <c r="ALC10" s="699"/>
      <c r="ALD10" s="699"/>
      <c r="ALE10" s="699"/>
      <c r="ALF10" s="699"/>
      <c r="ALG10" s="699"/>
      <c r="ALH10" s="699"/>
      <c r="ALI10" s="699"/>
      <c r="ALJ10" s="699"/>
      <c r="ALK10" s="699"/>
      <c r="ALL10" s="699"/>
      <c r="ALM10" s="699"/>
      <c r="ALN10" s="699"/>
      <c r="ALO10" s="699"/>
      <c r="ALP10" s="699"/>
      <c r="ALQ10" s="699"/>
      <c r="ALR10" s="699"/>
      <c r="ALS10" s="699"/>
      <c r="ALT10" s="699"/>
      <c r="ALU10" s="699"/>
      <c r="ALV10" s="699"/>
      <c r="ALW10" s="699"/>
      <c r="ALX10" s="699"/>
      <c r="ALY10" s="699"/>
      <c r="ALZ10" s="699"/>
      <c r="AMA10" s="699"/>
      <c r="AMB10" s="699"/>
      <c r="AMC10" s="699"/>
      <c r="AMD10" s="699"/>
      <c r="AME10" s="699"/>
      <c r="AMF10" s="699"/>
      <c r="AMG10" s="699"/>
      <c r="AMH10" s="699"/>
      <c r="AMI10" s="699"/>
      <c r="AMJ10" s="699"/>
      <c r="AMK10" s="699"/>
      <c r="AML10" s="699"/>
      <c r="AMM10" s="699"/>
      <c r="AMN10" s="699"/>
      <c r="AMO10" s="699"/>
      <c r="AMP10" s="699"/>
      <c r="AMQ10" s="699"/>
      <c r="AMR10" s="699"/>
      <c r="AMS10" s="699"/>
      <c r="AMT10" s="699"/>
      <c r="AMU10" s="699"/>
      <c r="AMV10" s="699"/>
      <c r="AMW10" s="699"/>
      <c r="AMX10" s="699"/>
      <c r="AMY10" s="699"/>
      <c r="AMZ10" s="699"/>
      <c r="ANA10" s="699"/>
      <c r="ANB10" s="699"/>
      <c r="ANC10" s="699"/>
      <c r="AND10" s="699"/>
      <c r="ANE10" s="699"/>
      <c r="ANF10" s="699"/>
      <c r="ANG10" s="699"/>
      <c r="ANH10" s="699"/>
      <c r="ANI10" s="699"/>
      <c r="ANJ10" s="699"/>
      <c r="ANK10" s="699"/>
      <c r="ANL10" s="699"/>
      <c r="ANM10" s="699"/>
      <c r="ANN10" s="699"/>
      <c r="ANO10" s="699"/>
      <c r="ANP10" s="699"/>
      <c r="ANQ10" s="699"/>
      <c r="ANR10" s="699"/>
      <c r="ANS10" s="699"/>
      <c r="ANT10" s="699"/>
      <c r="ANU10" s="699"/>
      <c r="ANV10" s="699"/>
      <c r="ANW10" s="699"/>
      <c r="ANX10" s="699"/>
      <c r="ANY10" s="699"/>
      <c r="ANZ10" s="699"/>
      <c r="AOA10" s="699"/>
      <c r="AOB10" s="699"/>
      <c r="AOC10" s="699"/>
      <c r="AOD10" s="699"/>
      <c r="AOE10" s="699"/>
      <c r="AOF10" s="699"/>
      <c r="AOG10" s="699"/>
      <c r="AOH10" s="699"/>
      <c r="AOI10" s="699"/>
      <c r="AOJ10" s="699"/>
      <c r="AOK10" s="699"/>
      <c r="AOL10" s="699"/>
      <c r="AOM10" s="699"/>
      <c r="AON10" s="699"/>
      <c r="AOO10" s="699"/>
      <c r="AOP10" s="699"/>
      <c r="AOQ10" s="699"/>
      <c r="AOR10" s="699"/>
      <c r="AOS10" s="699"/>
      <c r="AOT10" s="699"/>
      <c r="AOU10" s="699"/>
      <c r="AOV10" s="699"/>
      <c r="AOW10" s="699"/>
      <c r="AOX10" s="699"/>
      <c r="AOY10" s="699"/>
      <c r="AOZ10" s="699"/>
      <c r="APA10" s="699"/>
      <c r="APB10" s="699"/>
      <c r="APC10" s="699"/>
      <c r="APD10" s="699"/>
      <c r="APE10" s="699"/>
      <c r="APF10" s="699"/>
      <c r="APG10" s="699"/>
      <c r="APH10" s="699"/>
      <c r="API10" s="699"/>
      <c r="APJ10" s="699"/>
      <c r="APK10" s="699"/>
      <c r="APL10" s="699"/>
      <c r="APM10" s="699"/>
      <c r="APN10" s="699"/>
      <c r="APO10" s="699"/>
      <c r="APP10" s="699"/>
      <c r="APQ10" s="699"/>
      <c r="APR10" s="699"/>
      <c r="APS10" s="699"/>
      <c r="APT10" s="699"/>
      <c r="APU10" s="699"/>
      <c r="APV10" s="699"/>
      <c r="APW10" s="699"/>
      <c r="APX10" s="699"/>
      <c r="APY10" s="699"/>
      <c r="APZ10" s="699"/>
      <c r="AQA10" s="699"/>
      <c r="AQB10" s="699"/>
      <c r="AQC10" s="699"/>
      <c r="AQD10" s="699"/>
      <c r="AQE10" s="699"/>
      <c r="AQF10" s="699"/>
      <c r="AQG10" s="699"/>
      <c r="AQH10" s="699"/>
      <c r="AQI10" s="699"/>
      <c r="AQJ10" s="699"/>
      <c r="AQK10" s="699"/>
      <c r="AQL10" s="699"/>
      <c r="AQM10" s="699"/>
      <c r="AQN10" s="699"/>
      <c r="AQO10" s="699"/>
      <c r="AQP10" s="699"/>
      <c r="AQQ10" s="699"/>
      <c r="AQR10" s="699"/>
      <c r="AQS10" s="699"/>
      <c r="AQT10" s="699"/>
      <c r="AQU10" s="699"/>
      <c r="AQV10" s="699"/>
      <c r="AQW10" s="699"/>
      <c r="AQX10" s="699"/>
      <c r="AQY10" s="699"/>
      <c r="AQZ10" s="699"/>
      <c r="ARA10" s="699"/>
      <c r="ARB10" s="699"/>
      <c r="ARC10" s="699"/>
      <c r="ARD10" s="699"/>
      <c r="ARE10" s="699"/>
      <c r="ARF10" s="699"/>
      <c r="ARG10" s="699"/>
      <c r="ARH10" s="699"/>
      <c r="ARI10" s="699"/>
      <c r="ARJ10" s="699"/>
      <c r="ARK10" s="699"/>
      <c r="ARL10" s="699"/>
      <c r="ARM10" s="699"/>
      <c r="ARN10" s="699"/>
      <c r="ARO10" s="699"/>
      <c r="ARP10" s="699"/>
      <c r="ARQ10" s="699"/>
      <c r="ARR10" s="699"/>
      <c r="ARS10" s="699"/>
      <c r="ART10" s="699"/>
      <c r="ARU10" s="699"/>
      <c r="ARV10" s="699"/>
      <c r="ARW10" s="699"/>
      <c r="ARX10" s="699"/>
      <c r="ARY10" s="699"/>
      <c r="ARZ10" s="699"/>
      <c r="ASA10" s="699"/>
      <c r="ASB10" s="699"/>
      <c r="ASC10" s="699"/>
      <c r="ASD10" s="699"/>
      <c r="ASE10" s="699"/>
      <c r="ASF10" s="699"/>
      <c r="ASG10" s="699"/>
      <c r="ASH10" s="699"/>
      <c r="ASI10" s="699"/>
      <c r="ASJ10" s="699"/>
      <c r="ASK10" s="699"/>
      <c r="ASL10" s="699"/>
      <c r="ASM10" s="699"/>
      <c r="ASN10" s="699"/>
      <c r="ASO10" s="699"/>
      <c r="ASP10" s="699"/>
      <c r="ASQ10" s="699"/>
      <c r="ASR10" s="699"/>
      <c r="ASS10" s="699"/>
      <c r="AST10" s="699"/>
      <c r="ASU10" s="699"/>
      <c r="ASV10" s="699"/>
      <c r="ASW10" s="699"/>
      <c r="ASX10" s="699"/>
      <c r="ASY10" s="699"/>
      <c r="ASZ10" s="699"/>
      <c r="ATA10" s="699"/>
      <c r="ATB10" s="699"/>
      <c r="ATC10" s="699"/>
      <c r="ATD10" s="699"/>
      <c r="ATE10" s="699"/>
      <c r="ATF10" s="699"/>
      <c r="ATG10" s="699"/>
      <c r="ATH10" s="699"/>
      <c r="ATI10" s="699"/>
      <c r="ATJ10" s="699"/>
      <c r="ATK10" s="699"/>
      <c r="ATL10" s="699"/>
      <c r="ATM10" s="699"/>
      <c r="ATN10" s="699"/>
      <c r="ATO10" s="699"/>
      <c r="ATP10" s="699"/>
      <c r="ATQ10" s="699"/>
      <c r="ATR10" s="699"/>
      <c r="ATS10" s="699"/>
      <c r="ATT10" s="699"/>
      <c r="ATU10" s="699"/>
      <c r="ATV10" s="699"/>
      <c r="ATW10" s="699"/>
      <c r="ATX10" s="699"/>
      <c r="ATY10" s="699"/>
      <c r="ATZ10" s="699"/>
      <c r="AUA10" s="699"/>
      <c r="AUB10" s="699"/>
      <c r="AUC10" s="699"/>
      <c r="AUD10" s="699"/>
      <c r="AUE10" s="699"/>
      <c r="AUF10" s="699"/>
      <c r="AUG10" s="699"/>
      <c r="AUH10" s="699"/>
      <c r="AUI10" s="699"/>
      <c r="AUJ10" s="699"/>
      <c r="AUK10" s="699"/>
      <c r="AUL10" s="699"/>
      <c r="AUM10" s="699"/>
      <c r="AUN10" s="699"/>
      <c r="AUO10" s="699"/>
      <c r="AUP10" s="699"/>
      <c r="AUQ10" s="699"/>
      <c r="AUR10" s="699"/>
      <c r="AUS10" s="699"/>
      <c r="AUT10" s="699"/>
      <c r="AUU10" s="699"/>
      <c r="AUV10" s="699"/>
      <c r="AUW10" s="699"/>
      <c r="AUX10" s="699"/>
      <c r="AUY10" s="699"/>
      <c r="AUZ10" s="699"/>
      <c r="AVA10" s="699"/>
      <c r="AVB10" s="699"/>
      <c r="AVC10" s="699"/>
      <c r="AVD10" s="699"/>
      <c r="AVE10" s="699"/>
      <c r="AVF10" s="699"/>
      <c r="AVG10" s="699"/>
      <c r="AVH10" s="699"/>
      <c r="AVI10" s="699"/>
      <c r="AVJ10" s="699"/>
      <c r="AVK10" s="699"/>
      <c r="AVL10" s="699"/>
      <c r="AVM10" s="699"/>
      <c r="AVN10" s="699"/>
      <c r="AVO10" s="699"/>
      <c r="AVP10" s="699"/>
      <c r="AVQ10" s="699"/>
      <c r="AVR10" s="699"/>
      <c r="AVS10" s="699"/>
      <c r="AVT10" s="699"/>
      <c r="AVU10" s="699"/>
      <c r="AVV10" s="699"/>
      <c r="AVW10" s="699"/>
      <c r="AVX10" s="699"/>
      <c r="AVY10" s="699"/>
      <c r="AVZ10" s="699"/>
      <c r="AWA10" s="699"/>
      <c r="AWB10" s="699"/>
      <c r="AWC10" s="699"/>
      <c r="AWD10" s="699"/>
      <c r="AWE10" s="699"/>
      <c r="AWF10" s="699"/>
      <c r="AWG10" s="699"/>
      <c r="AWH10" s="699"/>
      <c r="AWI10" s="699"/>
      <c r="AWJ10" s="699"/>
      <c r="AWK10" s="699"/>
      <c r="AWL10" s="699"/>
      <c r="AWM10" s="699"/>
      <c r="AWN10" s="699"/>
      <c r="AWO10" s="699"/>
      <c r="AWP10" s="699"/>
      <c r="AWQ10" s="699"/>
      <c r="AWR10" s="699"/>
      <c r="AWS10" s="699"/>
      <c r="AWT10" s="699"/>
      <c r="AWU10" s="699"/>
      <c r="AWV10" s="699"/>
      <c r="AWW10" s="699"/>
      <c r="AWX10" s="699"/>
      <c r="AWY10" s="699"/>
      <c r="AWZ10" s="699"/>
      <c r="AXA10" s="699"/>
      <c r="AXB10" s="699"/>
      <c r="AXC10" s="699"/>
      <c r="AXD10" s="699"/>
      <c r="AXE10" s="699"/>
      <c r="AXF10" s="699"/>
      <c r="AXG10" s="699"/>
      <c r="AXH10" s="699"/>
      <c r="AXI10" s="699"/>
      <c r="AXJ10" s="699"/>
      <c r="AXK10" s="699"/>
      <c r="AXL10" s="699"/>
      <c r="AXM10" s="699"/>
      <c r="AXN10" s="699"/>
      <c r="AXO10" s="699"/>
      <c r="AXP10" s="699"/>
      <c r="AXQ10" s="699"/>
      <c r="AXR10" s="699"/>
      <c r="AXS10" s="699"/>
      <c r="AXT10" s="699"/>
      <c r="AXU10" s="699"/>
      <c r="AXV10" s="699"/>
      <c r="AXW10" s="699"/>
      <c r="AXX10" s="699"/>
      <c r="AXY10" s="699"/>
      <c r="AXZ10" s="699"/>
      <c r="AYA10" s="699"/>
      <c r="AYB10" s="699"/>
      <c r="AYC10" s="699"/>
      <c r="AYD10" s="699"/>
      <c r="AYE10" s="699"/>
      <c r="AYF10" s="699"/>
      <c r="AYG10" s="699"/>
      <c r="AYH10" s="699"/>
      <c r="AYI10" s="699"/>
      <c r="AYJ10" s="699"/>
      <c r="AYK10" s="699"/>
      <c r="AYL10" s="699"/>
      <c r="AYM10" s="699"/>
      <c r="AYN10" s="699"/>
      <c r="AYO10" s="699"/>
      <c r="AYP10" s="699"/>
      <c r="AYQ10" s="699"/>
      <c r="AYR10" s="699"/>
      <c r="AYS10" s="699"/>
      <c r="AYT10" s="699"/>
      <c r="AYU10" s="699"/>
      <c r="AYV10" s="699"/>
      <c r="AYW10" s="699"/>
      <c r="AYX10" s="699"/>
      <c r="AYY10" s="699"/>
      <c r="AYZ10" s="699"/>
      <c r="AZA10" s="699"/>
      <c r="AZB10" s="699"/>
      <c r="AZC10" s="699"/>
      <c r="AZD10" s="699"/>
      <c r="AZE10" s="699"/>
      <c r="AZF10" s="699"/>
      <c r="AZG10" s="699"/>
      <c r="AZH10" s="699"/>
      <c r="AZI10" s="699"/>
      <c r="AZJ10" s="699"/>
      <c r="AZK10" s="699"/>
      <c r="AZL10" s="699"/>
      <c r="AZM10" s="699"/>
      <c r="AZN10" s="699"/>
      <c r="AZO10" s="699"/>
      <c r="AZP10" s="699"/>
      <c r="AZQ10" s="699"/>
      <c r="AZR10" s="699"/>
      <c r="AZS10" s="699"/>
      <c r="AZT10" s="699"/>
      <c r="AZU10" s="699"/>
      <c r="AZV10" s="699"/>
      <c r="AZW10" s="699"/>
      <c r="AZX10" s="699"/>
      <c r="AZY10" s="699"/>
      <c r="AZZ10" s="699"/>
      <c r="BAA10" s="699"/>
      <c r="BAB10" s="699"/>
      <c r="BAC10" s="699"/>
      <c r="BAD10" s="699"/>
      <c r="BAE10" s="699"/>
      <c r="BAF10" s="699"/>
      <c r="BAG10" s="699"/>
      <c r="BAH10" s="699"/>
      <c r="BAI10" s="699"/>
      <c r="BAJ10" s="699"/>
      <c r="BAK10" s="699"/>
      <c r="BAL10" s="699"/>
      <c r="BAM10" s="699"/>
      <c r="BAN10" s="699"/>
      <c r="BAO10" s="699"/>
      <c r="BAP10" s="699"/>
      <c r="BAQ10" s="699"/>
      <c r="BAR10" s="699"/>
      <c r="BAS10" s="699"/>
      <c r="BAT10" s="699"/>
      <c r="BAU10" s="699"/>
      <c r="BAV10" s="699"/>
      <c r="BAW10" s="699"/>
      <c r="BAX10" s="699"/>
      <c r="BAY10" s="699"/>
      <c r="BAZ10" s="699"/>
      <c r="BBA10" s="699"/>
      <c r="BBB10" s="699"/>
      <c r="BBC10" s="699"/>
      <c r="BBD10" s="699"/>
      <c r="BBE10" s="699"/>
      <c r="BBF10" s="699"/>
      <c r="BBG10" s="699"/>
      <c r="BBH10" s="699"/>
      <c r="BBI10" s="699"/>
      <c r="BBJ10" s="699"/>
      <c r="BBK10" s="699"/>
      <c r="BBL10" s="699"/>
      <c r="BBM10" s="699"/>
      <c r="BBN10" s="699"/>
      <c r="BBO10" s="699"/>
      <c r="BBP10" s="699"/>
      <c r="BBQ10" s="699"/>
      <c r="BBR10" s="699"/>
      <c r="BBS10" s="699"/>
      <c r="BBT10" s="699"/>
      <c r="BBU10" s="699"/>
      <c r="BBV10" s="699"/>
      <c r="BBW10" s="699"/>
      <c r="BBX10" s="699"/>
      <c r="BBY10" s="699"/>
      <c r="BBZ10" s="699"/>
      <c r="BCA10" s="699"/>
      <c r="BCB10" s="699"/>
      <c r="BCC10" s="699"/>
      <c r="BCD10" s="699"/>
      <c r="BCE10" s="699"/>
      <c r="BCF10" s="699"/>
      <c r="BCG10" s="699"/>
      <c r="BCH10" s="699"/>
      <c r="BCI10" s="699"/>
      <c r="BCJ10" s="699"/>
      <c r="BCK10" s="699"/>
      <c r="BCL10" s="699"/>
      <c r="BCM10" s="699"/>
      <c r="BCN10" s="699"/>
      <c r="BCO10" s="699"/>
      <c r="BCP10" s="699"/>
      <c r="BCQ10" s="699"/>
      <c r="BCR10" s="699"/>
      <c r="BCS10" s="699"/>
      <c r="BCT10" s="699"/>
      <c r="BCU10" s="699"/>
      <c r="BCV10" s="699"/>
      <c r="BCW10" s="699"/>
      <c r="BCX10" s="699"/>
      <c r="BCY10" s="699"/>
      <c r="BCZ10" s="699"/>
      <c r="BDA10" s="699"/>
      <c r="BDB10" s="699"/>
      <c r="BDC10" s="699"/>
      <c r="BDD10" s="699"/>
      <c r="BDE10" s="699"/>
      <c r="BDF10" s="699"/>
      <c r="BDG10" s="699"/>
      <c r="BDH10" s="699"/>
      <c r="BDI10" s="699"/>
      <c r="BDJ10" s="699"/>
      <c r="BDK10" s="699"/>
      <c r="BDL10" s="699"/>
      <c r="BDM10" s="699"/>
      <c r="BDN10" s="699"/>
      <c r="BDO10" s="699"/>
      <c r="BDP10" s="699"/>
      <c r="BDQ10" s="699"/>
      <c r="BDR10" s="699"/>
      <c r="BDS10" s="699"/>
      <c r="BDT10" s="699"/>
      <c r="BDU10" s="699"/>
      <c r="BDV10" s="699"/>
      <c r="BDW10" s="699"/>
      <c r="BDX10" s="699"/>
      <c r="BDY10" s="699"/>
      <c r="BDZ10" s="699"/>
      <c r="BEA10" s="699"/>
      <c r="BEB10" s="699"/>
      <c r="BEC10" s="699"/>
      <c r="BED10" s="699"/>
      <c r="BEE10" s="699"/>
      <c r="BEF10" s="699"/>
      <c r="BEG10" s="699"/>
      <c r="BEH10" s="699"/>
      <c r="BEI10" s="699"/>
      <c r="BEJ10" s="699"/>
      <c r="BEK10" s="699"/>
      <c r="BEL10" s="699"/>
      <c r="BEM10" s="699"/>
      <c r="BEN10" s="699"/>
      <c r="BEO10" s="699"/>
      <c r="BEP10" s="699"/>
      <c r="BEQ10" s="699"/>
      <c r="BER10" s="699"/>
      <c r="BES10" s="699"/>
      <c r="BET10" s="699"/>
      <c r="BEU10" s="699"/>
      <c r="BEV10" s="699"/>
      <c r="BEW10" s="699"/>
      <c r="BEX10" s="699"/>
      <c r="BEY10" s="699"/>
      <c r="BEZ10" s="699"/>
      <c r="BFA10" s="699"/>
      <c r="BFB10" s="699"/>
      <c r="BFC10" s="699"/>
      <c r="BFD10" s="699"/>
      <c r="BFE10" s="699"/>
      <c r="BFF10" s="699"/>
      <c r="BFG10" s="699"/>
      <c r="BFH10" s="699"/>
      <c r="BFI10" s="699"/>
      <c r="BFJ10" s="699"/>
      <c r="BFK10" s="699"/>
      <c r="BFL10" s="699"/>
      <c r="BFM10" s="699"/>
      <c r="BFN10" s="699"/>
      <c r="BFO10" s="699"/>
      <c r="BFP10" s="699"/>
      <c r="BFQ10" s="699"/>
      <c r="BFR10" s="699"/>
      <c r="BFS10" s="699"/>
      <c r="BFT10" s="699"/>
      <c r="BFU10" s="699"/>
      <c r="BFV10" s="699"/>
      <c r="BFW10" s="699"/>
      <c r="BFX10" s="699"/>
      <c r="BFY10" s="699"/>
      <c r="BFZ10" s="699"/>
      <c r="BGA10" s="699"/>
      <c r="BGB10" s="699"/>
      <c r="BGC10" s="699"/>
      <c r="BGD10" s="699"/>
      <c r="BGE10" s="699"/>
      <c r="BGF10" s="699"/>
      <c r="BGG10" s="699"/>
      <c r="BGH10" s="699"/>
      <c r="BGI10" s="699"/>
      <c r="BGJ10" s="699"/>
      <c r="BGK10" s="699"/>
      <c r="BGL10" s="699"/>
      <c r="BGM10" s="699"/>
      <c r="BGN10" s="699"/>
      <c r="BGO10" s="699"/>
      <c r="BGP10" s="699"/>
      <c r="BGQ10" s="699"/>
      <c r="BGR10" s="699"/>
      <c r="BGS10" s="699"/>
      <c r="BGT10" s="699"/>
      <c r="BGU10" s="699"/>
      <c r="BGV10" s="699"/>
      <c r="BGW10" s="699"/>
      <c r="BGX10" s="699"/>
      <c r="BGY10" s="699"/>
      <c r="BGZ10" s="699"/>
      <c r="BHA10" s="699"/>
      <c r="BHB10" s="699"/>
      <c r="BHC10" s="699"/>
      <c r="BHD10" s="699"/>
      <c r="BHE10" s="699"/>
      <c r="BHF10" s="699"/>
      <c r="BHG10" s="699"/>
      <c r="BHH10" s="699"/>
      <c r="BHI10" s="699"/>
      <c r="BHJ10" s="699"/>
      <c r="BHK10" s="699"/>
      <c r="BHL10" s="699"/>
      <c r="BHM10" s="699"/>
      <c r="BHN10" s="699"/>
      <c r="BHO10" s="699"/>
      <c r="BHP10" s="699"/>
      <c r="BHQ10" s="699"/>
      <c r="BHR10" s="699"/>
      <c r="BHS10" s="699"/>
      <c r="BHT10" s="699"/>
      <c r="BHU10" s="699"/>
      <c r="BHV10" s="699"/>
      <c r="BHW10" s="699"/>
      <c r="BHX10" s="699"/>
      <c r="BHY10" s="699"/>
      <c r="BHZ10" s="699"/>
      <c r="BIA10" s="699"/>
      <c r="BIB10" s="699"/>
      <c r="BIC10" s="699"/>
      <c r="BID10" s="699"/>
      <c r="BIE10" s="699"/>
      <c r="BIF10" s="699"/>
      <c r="BIG10" s="699"/>
      <c r="BIH10" s="699"/>
      <c r="BII10" s="699"/>
      <c r="BIJ10" s="699"/>
      <c r="BIK10" s="699"/>
      <c r="BIL10" s="699"/>
      <c r="BIM10" s="699"/>
      <c r="BIN10" s="699"/>
      <c r="BIO10" s="699"/>
      <c r="BIP10" s="699"/>
      <c r="BIQ10" s="699"/>
      <c r="BIR10" s="699"/>
      <c r="BIS10" s="699"/>
      <c r="BIT10" s="699"/>
      <c r="BIU10" s="699"/>
      <c r="BIV10" s="699"/>
      <c r="BIW10" s="699"/>
      <c r="BIX10" s="699"/>
      <c r="BIY10" s="699"/>
      <c r="BIZ10" s="699"/>
      <c r="BJA10" s="699"/>
      <c r="BJB10" s="699"/>
      <c r="BJC10" s="699"/>
      <c r="BJD10" s="699"/>
      <c r="BJE10" s="699"/>
      <c r="BJF10" s="699"/>
      <c r="BJG10" s="699"/>
      <c r="BJH10" s="699"/>
      <c r="BJI10" s="699"/>
      <c r="BJJ10" s="699"/>
      <c r="BJK10" s="699"/>
      <c r="BJL10" s="699"/>
      <c r="BJM10" s="699"/>
      <c r="BJN10" s="699"/>
      <c r="BJO10" s="699"/>
      <c r="BJP10" s="699"/>
      <c r="BJQ10" s="699"/>
      <c r="BJR10" s="699"/>
      <c r="BJS10" s="699"/>
      <c r="BJT10" s="699"/>
      <c r="BJU10" s="699"/>
      <c r="BJV10" s="699"/>
      <c r="BJW10" s="699"/>
      <c r="BJX10" s="699"/>
      <c r="BJY10" s="699"/>
      <c r="BJZ10" s="699"/>
      <c r="BKA10" s="699"/>
      <c r="BKB10" s="699"/>
      <c r="BKC10" s="699"/>
      <c r="BKD10" s="699"/>
      <c r="BKE10" s="699"/>
      <c r="BKF10" s="699"/>
      <c r="BKG10" s="699"/>
      <c r="BKH10" s="699"/>
      <c r="BKI10" s="699"/>
      <c r="BKJ10" s="699"/>
      <c r="BKK10" s="699"/>
      <c r="BKL10" s="699"/>
      <c r="BKM10" s="699"/>
      <c r="BKN10" s="699"/>
      <c r="BKO10" s="699"/>
      <c r="BKP10" s="699"/>
      <c r="BKQ10" s="699"/>
      <c r="BKR10" s="699"/>
      <c r="BKS10" s="699"/>
      <c r="BKT10" s="699"/>
      <c r="BKU10" s="699"/>
      <c r="BKV10" s="699"/>
      <c r="BKW10" s="699"/>
      <c r="BKX10" s="699"/>
      <c r="BKY10" s="699"/>
      <c r="BKZ10" s="699"/>
      <c r="BLA10" s="699"/>
      <c r="BLB10" s="699"/>
      <c r="BLC10" s="699"/>
      <c r="BLD10" s="699"/>
      <c r="BLE10" s="699"/>
      <c r="BLF10" s="699"/>
      <c r="BLG10" s="699"/>
      <c r="BLH10" s="699"/>
      <c r="BLI10" s="699"/>
      <c r="BLJ10" s="699"/>
      <c r="BLK10" s="699"/>
      <c r="BLL10" s="699"/>
      <c r="BLM10" s="699"/>
      <c r="BLN10" s="699"/>
      <c r="BLO10" s="699"/>
      <c r="BLP10" s="699"/>
      <c r="BLQ10" s="699"/>
      <c r="BLR10" s="699"/>
      <c r="BLS10" s="699"/>
      <c r="BLT10" s="699"/>
      <c r="BLU10" s="699"/>
      <c r="BLV10" s="699"/>
      <c r="BLW10" s="699"/>
      <c r="BLX10" s="699"/>
      <c r="BLY10" s="699"/>
      <c r="BLZ10" s="699"/>
      <c r="BMA10" s="699"/>
      <c r="BMB10" s="699"/>
      <c r="BMC10" s="699"/>
      <c r="BMD10" s="699"/>
      <c r="BME10" s="699"/>
      <c r="BMF10" s="699"/>
      <c r="BMG10" s="699"/>
      <c r="BMH10" s="699"/>
      <c r="BMI10" s="699"/>
      <c r="BMJ10" s="699"/>
      <c r="BMK10" s="699"/>
      <c r="BML10" s="699"/>
      <c r="BMM10" s="699"/>
      <c r="BMN10" s="699"/>
      <c r="BMO10" s="699"/>
      <c r="BMP10" s="699"/>
      <c r="BMQ10" s="699"/>
      <c r="BMR10" s="699"/>
      <c r="BMS10" s="699"/>
      <c r="BMT10" s="699"/>
      <c r="BMU10" s="699"/>
      <c r="BMV10" s="699"/>
      <c r="BMW10" s="699"/>
      <c r="BMX10" s="699"/>
      <c r="BMY10" s="699"/>
      <c r="BMZ10" s="699"/>
      <c r="BNA10" s="699"/>
      <c r="BNB10" s="699"/>
      <c r="BNC10" s="699"/>
      <c r="BND10" s="699"/>
      <c r="BNE10" s="699"/>
      <c r="BNF10" s="699"/>
      <c r="BNG10" s="699"/>
      <c r="BNH10" s="699"/>
      <c r="BNI10" s="699"/>
      <c r="BNJ10" s="699"/>
      <c r="BNK10" s="699"/>
      <c r="BNL10" s="699"/>
      <c r="BNM10" s="699"/>
      <c r="BNN10" s="699"/>
      <c r="BNO10" s="699"/>
      <c r="BNP10" s="699"/>
      <c r="BNQ10" s="699"/>
      <c r="BNR10" s="699"/>
      <c r="BNS10" s="699"/>
      <c r="BNT10" s="699"/>
      <c r="BNU10" s="699"/>
      <c r="BNV10" s="699"/>
      <c r="BNW10" s="699"/>
      <c r="BNX10" s="699"/>
      <c r="BNY10" s="699"/>
      <c r="BNZ10" s="699"/>
      <c r="BOA10" s="699"/>
      <c r="BOB10" s="699"/>
      <c r="BOC10" s="699"/>
      <c r="BOD10" s="699"/>
      <c r="BOE10" s="699"/>
      <c r="BOF10" s="699"/>
      <c r="BOG10" s="699"/>
      <c r="BOH10" s="699"/>
      <c r="BOI10" s="699"/>
      <c r="BOJ10" s="699"/>
      <c r="BOK10" s="699"/>
      <c r="BOL10" s="699"/>
      <c r="BOM10" s="699"/>
      <c r="BON10" s="699"/>
      <c r="BOO10" s="699"/>
      <c r="BOP10" s="699"/>
      <c r="BOQ10" s="699"/>
      <c r="BOR10" s="699"/>
      <c r="BOS10" s="699"/>
      <c r="BOT10" s="699"/>
      <c r="BOU10" s="699"/>
      <c r="BOV10" s="699"/>
      <c r="BOW10" s="699"/>
      <c r="BOX10" s="699"/>
      <c r="BOY10" s="699"/>
      <c r="BOZ10" s="699"/>
      <c r="BPA10" s="699"/>
      <c r="BPB10" s="699"/>
      <c r="BPC10" s="699"/>
      <c r="BPD10" s="699"/>
      <c r="BPE10" s="699"/>
      <c r="BPF10" s="699"/>
      <c r="BPG10" s="699"/>
      <c r="BPH10" s="699"/>
      <c r="BPI10" s="699"/>
      <c r="BPJ10" s="699"/>
      <c r="BPK10" s="699"/>
      <c r="BPL10" s="699"/>
      <c r="BPM10" s="699"/>
      <c r="BPN10" s="699"/>
      <c r="BPO10" s="699"/>
      <c r="BPP10" s="699"/>
      <c r="BPQ10" s="699"/>
      <c r="BPR10" s="699"/>
      <c r="BPS10" s="699"/>
      <c r="BPT10" s="699"/>
      <c r="BPU10" s="699"/>
      <c r="BPV10" s="699"/>
      <c r="BPW10" s="699"/>
      <c r="BPX10" s="699"/>
      <c r="BPY10" s="699"/>
      <c r="BPZ10" s="699"/>
      <c r="BQA10" s="699"/>
      <c r="BQB10" s="699"/>
      <c r="BQC10" s="699"/>
      <c r="BQD10" s="699"/>
      <c r="BQE10" s="699"/>
      <c r="BQF10" s="699"/>
      <c r="BQG10" s="699"/>
      <c r="BQH10" s="699"/>
      <c r="BQI10" s="699"/>
      <c r="BQJ10" s="699"/>
      <c r="BQK10" s="699"/>
      <c r="BQL10" s="699"/>
      <c r="BQM10" s="699"/>
      <c r="BQN10" s="699"/>
      <c r="BQO10" s="699"/>
      <c r="BQP10" s="699"/>
      <c r="BQQ10" s="699"/>
      <c r="BQR10" s="699"/>
      <c r="BQS10" s="699"/>
      <c r="BQT10" s="699"/>
      <c r="BQU10" s="699"/>
      <c r="BQV10" s="699"/>
      <c r="BQW10" s="699"/>
      <c r="BQX10" s="699"/>
      <c r="BQY10" s="699"/>
      <c r="BQZ10" s="699"/>
      <c r="BRA10" s="699"/>
      <c r="BRB10" s="699"/>
      <c r="BRC10" s="699"/>
      <c r="BRD10" s="699"/>
      <c r="BRE10" s="699"/>
      <c r="BRF10" s="699"/>
      <c r="BRG10" s="699"/>
      <c r="BRH10" s="699"/>
      <c r="BRI10" s="699"/>
      <c r="BRJ10" s="699"/>
      <c r="BRK10" s="699"/>
      <c r="BRL10" s="699"/>
      <c r="BRM10" s="699"/>
      <c r="BRN10" s="699"/>
      <c r="BRO10" s="699"/>
      <c r="BRP10" s="699"/>
      <c r="BRQ10" s="699"/>
      <c r="BRR10" s="699"/>
      <c r="BRS10" s="699"/>
      <c r="BRT10" s="699"/>
      <c r="BRU10" s="699"/>
      <c r="BRV10" s="699"/>
      <c r="BRW10" s="699"/>
      <c r="BRX10" s="699"/>
      <c r="BRY10" s="699"/>
      <c r="BRZ10" s="699"/>
      <c r="BSA10" s="699"/>
      <c r="BSB10" s="699"/>
      <c r="BSC10" s="699"/>
      <c r="BSD10" s="699"/>
      <c r="BSE10" s="699"/>
      <c r="BSF10" s="699"/>
      <c r="BSG10" s="699"/>
      <c r="BSH10" s="699"/>
      <c r="BSI10" s="699"/>
      <c r="BSJ10" s="699"/>
      <c r="BSK10" s="699"/>
      <c r="BSL10" s="699"/>
      <c r="BSM10" s="699"/>
      <c r="BSN10" s="699"/>
      <c r="BSO10" s="699"/>
      <c r="BSP10" s="699"/>
      <c r="BSQ10" s="699"/>
      <c r="BSR10" s="699"/>
      <c r="BSS10" s="699"/>
      <c r="BST10" s="699"/>
      <c r="BSU10" s="699"/>
      <c r="BSV10" s="699"/>
      <c r="BSW10" s="699"/>
      <c r="BSX10" s="699"/>
      <c r="BSY10" s="699"/>
      <c r="BSZ10" s="699"/>
      <c r="BTA10" s="699"/>
      <c r="BTB10" s="699"/>
      <c r="BTC10" s="699"/>
      <c r="BTD10" s="699"/>
      <c r="BTE10" s="699"/>
      <c r="BTF10" s="699"/>
      <c r="BTG10" s="699"/>
      <c r="BTH10" s="699"/>
      <c r="BTI10" s="699"/>
      <c r="BTJ10" s="699"/>
      <c r="BTK10" s="699"/>
      <c r="BTL10" s="699"/>
      <c r="BTM10" s="699"/>
      <c r="BTN10" s="699"/>
      <c r="BTO10" s="699"/>
      <c r="BTP10" s="699"/>
      <c r="BTQ10" s="699"/>
      <c r="BTR10" s="699"/>
      <c r="BTS10" s="699"/>
      <c r="BTT10" s="699"/>
      <c r="BTU10" s="699"/>
      <c r="BTV10" s="699"/>
      <c r="BTW10" s="699"/>
      <c r="BTX10" s="699"/>
      <c r="BTY10" s="699"/>
      <c r="BTZ10" s="699"/>
      <c r="BUA10" s="699"/>
      <c r="BUB10" s="699"/>
      <c r="BUC10" s="699"/>
      <c r="BUD10" s="699"/>
      <c r="BUE10" s="699"/>
      <c r="BUF10" s="699"/>
      <c r="BUG10" s="699"/>
      <c r="BUH10" s="699"/>
      <c r="BUI10" s="699"/>
      <c r="BUJ10" s="699"/>
      <c r="BUK10" s="699"/>
      <c r="BUL10" s="699"/>
      <c r="BUM10" s="699"/>
      <c r="BUN10" s="699"/>
      <c r="BUO10" s="699"/>
      <c r="BUP10" s="699"/>
      <c r="BUQ10" s="699"/>
      <c r="BUR10" s="699"/>
      <c r="BUS10" s="699"/>
      <c r="BUT10" s="699"/>
      <c r="BUU10" s="699"/>
      <c r="BUV10" s="699"/>
      <c r="BUW10" s="699"/>
      <c r="BUX10" s="699"/>
      <c r="BUY10" s="699"/>
      <c r="BUZ10" s="699"/>
      <c r="BVA10" s="699"/>
      <c r="BVB10" s="699"/>
      <c r="BVC10" s="699"/>
      <c r="BVD10" s="699"/>
      <c r="BVE10" s="699"/>
      <c r="BVF10" s="699"/>
      <c r="BVG10" s="699"/>
      <c r="BVH10" s="699"/>
      <c r="BVI10" s="699"/>
      <c r="BVJ10" s="699"/>
      <c r="BVK10" s="699"/>
      <c r="BVL10" s="699"/>
      <c r="BVM10" s="699"/>
      <c r="BVN10" s="699"/>
      <c r="BVO10" s="699"/>
      <c r="BVP10" s="699"/>
      <c r="BVQ10" s="699"/>
      <c r="BVR10" s="699"/>
      <c r="BVS10" s="699"/>
      <c r="BVT10" s="699"/>
      <c r="BVU10" s="699"/>
      <c r="BVV10" s="699"/>
      <c r="BVW10" s="699"/>
      <c r="BVX10" s="699"/>
      <c r="BVY10" s="699"/>
      <c r="BVZ10" s="699"/>
      <c r="BWA10" s="699"/>
      <c r="BWB10" s="699"/>
      <c r="BWC10" s="699"/>
      <c r="BWD10" s="699"/>
      <c r="BWE10" s="699"/>
      <c r="BWF10" s="699"/>
      <c r="BWG10" s="699"/>
      <c r="BWH10" s="699"/>
      <c r="BWI10" s="699"/>
      <c r="BWJ10" s="699"/>
      <c r="BWK10" s="699"/>
      <c r="BWL10" s="699"/>
      <c r="BWM10" s="699"/>
      <c r="BWN10" s="699"/>
      <c r="BWO10" s="699"/>
      <c r="BWP10" s="699"/>
      <c r="BWQ10" s="699"/>
      <c r="BWR10" s="699"/>
      <c r="BWS10" s="699"/>
      <c r="BWT10" s="699"/>
      <c r="BWU10" s="699"/>
      <c r="BWV10" s="699"/>
      <c r="BWW10" s="699"/>
      <c r="BWX10" s="699"/>
      <c r="BWY10" s="699"/>
      <c r="BWZ10" s="699"/>
      <c r="BXA10" s="699"/>
      <c r="BXB10" s="699"/>
      <c r="BXC10" s="699"/>
      <c r="BXD10" s="699"/>
      <c r="BXE10" s="699"/>
      <c r="BXF10" s="699"/>
      <c r="BXG10" s="699"/>
      <c r="BXH10" s="699"/>
      <c r="BXI10" s="699"/>
      <c r="BXJ10" s="699"/>
      <c r="BXK10" s="699"/>
      <c r="BXL10" s="699"/>
      <c r="BXM10" s="699"/>
      <c r="BXN10" s="699"/>
      <c r="BXO10" s="699"/>
      <c r="BXP10" s="699"/>
      <c r="BXQ10" s="699"/>
      <c r="BXR10" s="699"/>
      <c r="BXS10" s="699"/>
      <c r="BXT10" s="699"/>
      <c r="BXU10" s="699"/>
      <c r="BXV10" s="699"/>
      <c r="BXW10" s="699"/>
      <c r="BXX10" s="699"/>
      <c r="BXY10" s="699"/>
      <c r="BXZ10" s="699"/>
      <c r="BYA10" s="699"/>
      <c r="BYB10" s="699"/>
      <c r="BYC10" s="699"/>
      <c r="BYD10" s="699"/>
      <c r="BYE10" s="699"/>
      <c r="BYF10" s="699"/>
      <c r="BYG10" s="699"/>
      <c r="BYH10" s="699"/>
      <c r="BYI10" s="699"/>
      <c r="BYJ10" s="699"/>
      <c r="BYK10" s="699"/>
      <c r="BYL10" s="699"/>
      <c r="BYM10" s="699"/>
      <c r="BYN10" s="699"/>
      <c r="BYO10" s="699"/>
      <c r="BYP10" s="699"/>
      <c r="BYQ10" s="699"/>
      <c r="BYR10" s="699"/>
      <c r="BYS10" s="699"/>
      <c r="BYT10" s="699"/>
      <c r="BYU10" s="699"/>
      <c r="BYV10" s="699"/>
      <c r="BYW10" s="699"/>
      <c r="BYX10" s="699"/>
      <c r="BYY10" s="699"/>
      <c r="BYZ10" s="699"/>
      <c r="BZA10" s="699"/>
      <c r="BZB10" s="699"/>
      <c r="BZC10" s="699"/>
      <c r="BZD10" s="699"/>
      <c r="BZE10" s="699"/>
      <c r="BZF10" s="699"/>
      <c r="BZG10" s="699"/>
      <c r="BZH10" s="699"/>
      <c r="BZI10" s="699"/>
      <c r="BZJ10" s="699"/>
      <c r="BZK10" s="699"/>
      <c r="BZL10" s="699"/>
      <c r="BZM10" s="699"/>
      <c r="BZN10" s="699"/>
      <c r="BZO10" s="699"/>
      <c r="BZP10" s="699"/>
      <c r="BZQ10" s="699"/>
      <c r="BZR10" s="699"/>
      <c r="BZS10" s="699"/>
      <c r="BZT10" s="699"/>
      <c r="BZU10" s="699"/>
      <c r="BZV10" s="699"/>
      <c r="BZW10" s="699"/>
      <c r="BZX10" s="699"/>
      <c r="BZY10" s="699"/>
      <c r="BZZ10" s="699"/>
      <c r="CAA10" s="699"/>
      <c r="CAB10" s="699"/>
      <c r="CAC10" s="699"/>
      <c r="CAD10" s="699"/>
      <c r="CAE10" s="699"/>
      <c r="CAF10" s="699"/>
      <c r="CAG10" s="699"/>
      <c r="CAH10" s="699"/>
      <c r="CAI10" s="699"/>
      <c r="CAJ10" s="699"/>
      <c r="CAK10" s="699"/>
      <c r="CAL10" s="699"/>
      <c r="CAM10" s="699"/>
      <c r="CAN10" s="699"/>
      <c r="CAO10" s="699"/>
      <c r="CAP10" s="699"/>
      <c r="CAQ10" s="699"/>
      <c r="CAR10" s="699"/>
      <c r="CAS10" s="699"/>
      <c r="CAT10" s="699"/>
      <c r="CAU10" s="699"/>
      <c r="CAV10" s="699"/>
      <c r="CAW10" s="699"/>
      <c r="CAX10" s="699"/>
      <c r="CAY10" s="699"/>
      <c r="CAZ10" s="699"/>
      <c r="CBA10" s="699"/>
      <c r="CBB10" s="699"/>
      <c r="CBC10" s="699"/>
      <c r="CBD10" s="699"/>
      <c r="CBE10" s="699"/>
      <c r="CBF10" s="699"/>
      <c r="CBG10" s="699"/>
      <c r="CBH10" s="699"/>
      <c r="CBI10" s="699"/>
      <c r="CBJ10" s="699"/>
      <c r="CBK10" s="699"/>
      <c r="CBL10" s="699"/>
      <c r="CBM10" s="699"/>
      <c r="CBN10" s="699"/>
      <c r="CBO10" s="699"/>
      <c r="CBP10" s="699"/>
      <c r="CBQ10" s="699"/>
      <c r="CBR10" s="699"/>
      <c r="CBS10" s="699"/>
      <c r="CBT10" s="699"/>
      <c r="CBU10" s="699"/>
      <c r="CBV10" s="699"/>
      <c r="CBW10" s="699"/>
      <c r="CBX10" s="699"/>
      <c r="CBY10" s="699"/>
      <c r="CBZ10" s="699"/>
      <c r="CCA10" s="699"/>
      <c r="CCB10" s="699"/>
      <c r="CCC10" s="699"/>
      <c r="CCD10" s="699"/>
      <c r="CCE10" s="699"/>
      <c r="CCF10" s="699"/>
      <c r="CCG10" s="699"/>
      <c r="CCH10" s="699"/>
      <c r="CCI10" s="699"/>
      <c r="CCJ10" s="699"/>
      <c r="CCK10" s="699"/>
      <c r="CCL10" s="699"/>
      <c r="CCM10" s="699"/>
      <c r="CCN10" s="699"/>
      <c r="CCO10" s="699"/>
      <c r="CCP10" s="699"/>
      <c r="CCQ10" s="699"/>
      <c r="CCR10" s="699"/>
      <c r="CCS10" s="699"/>
      <c r="CCT10" s="699"/>
      <c r="CCU10" s="699"/>
      <c r="CCV10" s="699"/>
      <c r="CCW10" s="699"/>
      <c r="CCX10" s="699"/>
      <c r="CCY10" s="699"/>
      <c r="CCZ10" s="699"/>
      <c r="CDA10" s="699"/>
      <c r="CDB10" s="699"/>
      <c r="CDC10" s="699"/>
      <c r="CDD10" s="699"/>
      <c r="CDE10" s="699"/>
      <c r="CDF10" s="699"/>
      <c r="CDG10" s="699"/>
      <c r="CDH10" s="699"/>
      <c r="CDI10" s="699"/>
      <c r="CDJ10" s="699"/>
      <c r="CDK10" s="699"/>
      <c r="CDL10" s="699"/>
      <c r="CDM10" s="699"/>
      <c r="CDN10" s="699"/>
      <c r="CDO10" s="699"/>
      <c r="CDP10" s="699"/>
      <c r="CDQ10" s="699"/>
      <c r="CDR10" s="699"/>
      <c r="CDS10" s="699"/>
      <c r="CDT10" s="699"/>
      <c r="CDU10" s="699"/>
      <c r="CDV10" s="699"/>
      <c r="CDW10" s="699"/>
      <c r="CDX10" s="699"/>
      <c r="CDY10" s="699"/>
      <c r="CDZ10" s="699"/>
      <c r="CEA10" s="699"/>
      <c r="CEB10" s="699"/>
      <c r="CEC10" s="699"/>
      <c r="CED10" s="699"/>
      <c r="CEE10" s="699"/>
      <c r="CEF10" s="699"/>
      <c r="CEG10" s="699"/>
      <c r="CEH10" s="699"/>
      <c r="CEI10" s="699"/>
      <c r="CEJ10" s="699"/>
      <c r="CEK10" s="699"/>
      <c r="CEL10" s="699"/>
      <c r="CEM10" s="699"/>
      <c r="CEN10" s="699"/>
      <c r="CEO10" s="699"/>
      <c r="CEP10" s="699"/>
      <c r="CEQ10" s="699"/>
      <c r="CER10" s="699"/>
      <c r="CES10" s="699"/>
      <c r="CET10" s="699"/>
      <c r="CEU10" s="699"/>
      <c r="CEV10" s="699"/>
      <c r="CEW10" s="699"/>
      <c r="CEX10" s="699"/>
      <c r="CEY10" s="699"/>
      <c r="CEZ10" s="699"/>
      <c r="CFA10" s="699"/>
      <c r="CFB10" s="699"/>
      <c r="CFC10" s="699"/>
      <c r="CFD10" s="699"/>
      <c r="CFE10" s="699"/>
      <c r="CFF10" s="699"/>
      <c r="CFG10" s="699"/>
      <c r="CFH10" s="699"/>
      <c r="CFI10" s="699"/>
      <c r="CFJ10" s="699"/>
      <c r="CFK10" s="699"/>
      <c r="CFL10" s="699"/>
      <c r="CFM10" s="699"/>
      <c r="CFN10" s="699"/>
      <c r="CFO10" s="699"/>
      <c r="CFP10" s="699"/>
      <c r="CFQ10" s="699"/>
      <c r="CFR10" s="699"/>
      <c r="CFS10" s="699"/>
      <c r="CFT10" s="699"/>
      <c r="CFU10" s="699"/>
      <c r="CFV10" s="699"/>
      <c r="CFW10" s="699"/>
      <c r="CFX10" s="699"/>
      <c r="CFY10" s="699"/>
      <c r="CFZ10" s="699"/>
      <c r="CGA10" s="699"/>
      <c r="CGB10" s="699"/>
      <c r="CGC10" s="699"/>
      <c r="CGD10" s="699"/>
      <c r="CGE10" s="699"/>
      <c r="CGF10" s="699"/>
      <c r="CGG10" s="699"/>
      <c r="CGH10" s="699"/>
      <c r="CGI10" s="699"/>
      <c r="CGJ10" s="699"/>
      <c r="CGK10" s="699"/>
      <c r="CGL10" s="699"/>
      <c r="CGM10" s="699"/>
      <c r="CGN10" s="699"/>
      <c r="CGO10" s="699"/>
      <c r="CGP10" s="699"/>
      <c r="CGQ10" s="699"/>
      <c r="CGR10" s="699"/>
      <c r="CGS10" s="699"/>
      <c r="CGT10" s="699"/>
      <c r="CGU10" s="699"/>
      <c r="CGV10" s="699"/>
      <c r="CGW10" s="699"/>
      <c r="CGX10" s="699"/>
      <c r="CGY10" s="699"/>
      <c r="CGZ10" s="699"/>
      <c r="CHA10" s="699"/>
      <c r="CHB10" s="699"/>
      <c r="CHC10" s="699"/>
      <c r="CHD10" s="699"/>
      <c r="CHE10" s="699"/>
      <c r="CHF10" s="699"/>
      <c r="CHG10" s="699"/>
      <c r="CHH10" s="699"/>
      <c r="CHI10" s="699"/>
      <c r="CHJ10" s="699"/>
      <c r="CHK10" s="699"/>
      <c r="CHL10" s="699"/>
      <c r="CHM10" s="699"/>
      <c r="CHN10" s="699"/>
      <c r="CHO10" s="699"/>
      <c r="CHP10" s="699"/>
      <c r="CHQ10" s="699"/>
      <c r="CHR10" s="699"/>
      <c r="CHS10" s="699"/>
      <c r="CHT10" s="699"/>
      <c r="CHU10" s="699"/>
      <c r="CHV10" s="699"/>
      <c r="CHW10" s="699"/>
      <c r="CHX10" s="699"/>
      <c r="CHY10" s="699"/>
      <c r="CHZ10" s="699"/>
      <c r="CIA10" s="699"/>
      <c r="CIB10" s="699"/>
      <c r="CIC10" s="699"/>
      <c r="CID10" s="699"/>
      <c r="CIE10" s="699"/>
      <c r="CIF10" s="699"/>
      <c r="CIG10" s="699"/>
      <c r="CIH10" s="699"/>
      <c r="CII10" s="699"/>
      <c r="CIJ10" s="699"/>
      <c r="CIK10" s="699"/>
      <c r="CIL10" s="699"/>
      <c r="CIM10" s="699"/>
      <c r="CIN10" s="699"/>
      <c r="CIO10" s="699"/>
      <c r="CIP10" s="699"/>
      <c r="CIQ10" s="699"/>
      <c r="CIR10" s="699"/>
      <c r="CIS10" s="699"/>
      <c r="CIT10" s="699"/>
      <c r="CIU10" s="699"/>
      <c r="CIV10" s="699"/>
      <c r="CIW10" s="699"/>
      <c r="CIX10" s="699"/>
      <c r="CIY10" s="699"/>
      <c r="CIZ10" s="699"/>
      <c r="CJA10" s="699"/>
      <c r="CJB10" s="699"/>
      <c r="CJC10" s="699"/>
      <c r="CJD10" s="699"/>
      <c r="CJE10" s="699"/>
      <c r="CJF10" s="699"/>
      <c r="CJG10" s="699"/>
      <c r="CJH10" s="699"/>
      <c r="CJI10" s="699"/>
      <c r="CJJ10" s="699"/>
      <c r="CJK10" s="699"/>
      <c r="CJL10" s="699"/>
      <c r="CJM10" s="699"/>
      <c r="CJN10" s="699"/>
      <c r="CJO10" s="699"/>
      <c r="CJP10" s="699"/>
      <c r="CJQ10" s="699"/>
      <c r="CJR10" s="699"/>
      <c r="CJS10" s="699"/>
      <c r="CJT10" s="699"/>
      <c r="CJU10" s="699"/>
      <c r="CJV10" s="699"/>
      <c r="CJW10" s="699"/>
      <c r="CJX10" s="699"/>
      <c r="CJY10" s="699"/>
      <c r="CJZ10" s="699"/>
      <c r="CKA10" s="699"/>
      <c r="CKB10" s="699"/>
      <c r="CKC10" s="699"/>
      <c r="CKD10" s="699"/>
      <c r="CKE10" s="699"/>
      <c r="CKF10" s="699"/>
      <c r="CKG10" s="699"/>
      <c r="CKH10" s="699"/>
      <c r="CKI10" s="699"/>
      <c r="CKJ10" s="699"/>
      <c r="CKK10" s="699"/>
      <c r="CKL10" s="699"/>
      <c r="CKM10" s="699"/>
      <c r="CKN10" s="699"/>
      <c r="CKO10" s="699"/>
      <c r="CKP10" s="699"/>
      <c r="CKQ10" s="699"/>
      <c r="CKR10" s="699"/>
      <c r="CKS10" s="699"/>
      <c r="CKT10" s="699"/>
      <c r="CKU10" s="699"/>
      <c r="CKV10" s="699"/>
      <c r="CKW10" s="699"/>
      <c r="CKX10" s="699"/>
      <c r="CKY10" s="699"/>
      <c r="CKZ10" s="699"/>
      <c r="CLA10" s="699"/>
      <c r="CLB10" s="699"/>
      <c r="CLC10" s="699"/>
      <c r="CLD10" s="699"/>
      <c r="CLE10" s="699"/>
      <c r="CLF10" s="699"/>
      <c r="CLG10" s="699"/>
      <c r="CLH10" s="699"/>
      <c r="CLI10" s="699"/>
      <c r="CLJ10" s="699"/>
      <c r="CLK10" s="699"/>
      <c r="CLL10" s="699"/>
      <c r="CLM10" s="699"/>
      <c r="CLN10" s="699"/>
      <c r="CLO10" s="699"/>
      <c r="CLP10" s="699"/>
      <c r="CLQ10" s="699"/>
      <c r="CLR10" s="699"/>
      <c r="CLS10" s="699"/>
      <c r="CLT10" s="699"/>
      <c r="CLU10" s="699"/>
      <c r="CLV10" s="699"/>
      <c r="CLW10" s="699"/>
      <c r="CLX10" s="699"/>
      <c r="CLY10" s="699"/>
      <c r="CLZ10" s="699"/>
      <c r="CMA10" s="699"/>
      <c r="CMB10" s="699"/>
      <c r="CMC10" s="699"/>
      <c r="CMD10" s="699"/>
      <c r="CME10" s="699"/>
      <c r="CMF10" s="699"/>
      <c r="CMG10" s="699"/>
      <c r="CMH10" s="699"/>
      <c r="CMI10" s="699"/>
      <c r="CMJ10" s="699"/>
      <c r="CMK10" s="699"/>
      <c r="CML10" s="699"/>
      <c r="CMM10" s="699"/>
      <c r="CMN10" s="699"/>
      <c r="CMO10" s="699"/>
      <c r="CMP10" s="699"/>
      <c r="CMQ10" s="699"/>
      <c r="CMR10" s="699"/>
      <c r="CMS10" s="699"/>
      <c r="CMT10" s="699"/>
      <c r="CMU10" s="699"/>
      <c r="CMV10" s="699"/>
      <c r="CMW10" s="699"/>
      <c r="CMX10" s="699"/>
      <c r="CMY10" s="699"/>
      <c r="CMZ10" s="699"/>
      <c r="CNA10" s="699"/>
      <c r="CNB10" s="699"/>
      <c r="CNC10" s="699"/>
      <c r="CND10" s="699"/>
      <c r="CNE10" s="699"/>
      <c r="CNF10" s="699"/>
      <c r="CNG10" s="699"/>
      <c r="CNH10" s="699"/>
      <c r="CNI10" s="699"/>
      <c r="CNJ10" s="699"/>
      <c r="CNK10" s="699"/>
      <c r="CNL10" s="699"/>
      <c r="CNM10" s="699"/>
      <c r="CNN10" s="699"/>
      <c r="CNO10" s="699"/>
      <c r="CNP10" s="699"/>
      <c r="CNQ10" s="699"/>
      <c r="CNR10" s="699"/>
      <c r="CNS10" s="699"/>
      <c r="CNT10" s="699"/>
      <c r="CNU10" s="699"/>
      <c r="CNV10" s="699"/>
      <c r="CNW10" s="699"/>
      <c r="CNX10" s="699"/>
      <c r="CNY10" s="699"/>
      <c r="CNZ10" s="699"/>
      <c r="COA10" s="699"/>
      <c r="COB10" s="699"/>
      <c r="COC10" s="699"/>
      <c r="COD10" s="699"/>
      <c r="COE10" s="699"/>
      <c r="COF10" s="699"/>
      <c r="COG10" s="699"/>
      <c r="COH10" s="699"/>
      <c r="COI10" s="699"/>
      <c r="COJ10" s="699"/>
      <c r="COK10" s="699"/>
      <c r="COL10" s="699"/>
      <c r="COM10" s="699"/>
      <c r="CON10" s="699"/>
      <c r="COO10" s="699"/>
      <c r="COP10" s="699"/>
      <c r="COQ10" s="699"/>
      <c r="COR10" s="699"/>
      <c r="COS10" s="699"/>
      <c r="COT10" s="699"/>
      <c r="COU10" s="699"/>
      <c r="COV10" s="699"/>
      <c r="COW10" s="699"/>
      <c r="COX10" s="699"/>
      <c r="COY10" s="699"/>
      <c r="COZ10" s="699"/>
      <c r="CPA10" s="699"/>
      <c r="CPB10" s="699"/>
      <c r="CPC10" s="699"/>
      <c r="CPD10" s="699"/>
      <c r="CPE10" s="699"/>
      <c r="CPF10" s="699"/>
      <c r="CPG10" s="699"/>
      <c r="CPH10" s="699"/>
      <c r="CPI10" s="699"/>
      <c r="CPJ10" s="699"/>
      <c r="CPK10" s="699"/>
      <c r="CPL10" s="699"/>
      <c r="CPM10" s="699"/>
      <c r="CPN10" s="699"/>
      <c r="CPO10" s="699"/>
      <c r="CPP10" s="699"/>
      <c r="CPQ10" s="699"/>
      <c r="CPR10" s="699"/>
      <c r="CPS10" s="699"/>
      <c r="CPT10" s="699"/>
      <c r="CPU10" s="699"/>
      <c r="CPV10" s="699"/>
      <c r="CPW10" s="699"/>
      <c r="CPX10" s="699"/>
      <c r="CPY10" s="699"/>
      <c r="CPZ10" s="699"/>
      <c r="CQA10" s="699"/>
      <c r="CQB10" s="699"/>
      <c r="CQC10" s="699"/>
      <c r="CQD10" s="699"/>
      <c r="CQE10" s="699"/>
      <c r="CQF10" s="699"/>
      <c r="CQG10" s="699"/>
      <c r="CQH10" s="699"/>
      <c r="CQI10" s="699"/>
      <c r="CQJ10" s="699"/>
      <c r="CQK10" s="699"/>
      <c r="CQL10" s="699"/>
      <c r="CQM10" s="699"/>
      <c r="CQN10" s="699"/>
      <c r="CQO10" s="699"/>
      <c r="CQP10" s="699"/>
      <c r="CQQ10" s="699"/>
      <c r="CQR10" s="699"/>
      <c r="CQS10" s="699"/>
      <c r="CQT10" s="699"/>
      <c r="CQU10" s="699"/>
      <c r="CQV10" s="699"/>
      <c r="CQW10" s="699"/>
      <c r="CQX10" s="699"/>
      <c r="CQY10" s="699"/>
      <c r="CQZ10" s="699"/>
      <c r="CRA10" s="699"/>
      <c r="CRB10" s="699"/>
      <c r="CRC10" s="699"/>
      <c r="CRD10" s="699"/>
      <c r="CRE10" s="699"/>
      <c r="CRF10" s="699"/>
      <c r="CRG10" s="699"/>
      <c r="CRH10" s="699"/>
      <c r="CRI10" s="699"/>
      <c r="CRJ10" s="699"/>
      <c r="CRK10" s="699"/>
      <c r="CRL10" s="699"/>
      <c r="CRM10" s="699"/>
      <c r="CRN10" s="699"/>
      <c r="CRO10" s="699"/>
      <c r="CRP10" s="699"/>
      <c r="CRQ10" s="699"/>
      <c r="CRR10" s="699"/>
      <c r="CRS10" s="699"/>
      <c r="CRT10" s="699"/>
      <c r="CRU10" s="699"/>
      <c r="CRV10" s="699"/>
      <c r="CRW10" s="699"/>
      <c r="CRX10" s="699"/>
      <c r="CRY10" s="699"/>
      <c r="CRZ10" s="699"/>
      <c r="CSA10" s="699"/>
      <c r="CSB10" s="699"/>
      <c r="CSC10" s="699"/>
      <c r="CSD10" s="699"/>
      <c r="CSE10" s="699"/>
      <c r="CSF10" s="699"/>
      <c r="CSG10" s="699"/>
      <c r="CSH10" s="699"/>
      <c r="CSI10" s="699"/>
      <c r="CSJ10" s="699"/>
      <c r="CSK10" s="699"/>
      <c r="CSL10" s="699"/>
      <c r="CSM10" s="699"/>
      <c r="CSN10" s="699"/>
      <c r="CSO10" s="699"/>
      <c r="CSP10" s="699"/>
      <c r="CSQ10" s="699"/>
      <c r="CSR10" s="699"/>
      <c r="CSS10" s="699"/>
      <c r="CST10" s="699"/>
      <c r="CSU10" s="699"/>
      <c r="CSV10" s="699"/>
      <c r="CSW10" s="699"/>
      <c r="CSX10" s="699"/>
      <c r="CSY10" s="699"/>
      <c r="CSZ10" s="699"/>
      <c r="CTA10" s="699"/>
      <c r="CTB10" s="699"/>
      <c r="CTC10" s="699"/>
      <c r="CTD10" s="699"/>
      <c r="CTE10" s="699"/>
      <c r="CTF10" s="699"/>
      <c r="CTG10" s="699"/>
      <c r="CTH10" s="699"/>
      <c r="CTI10" s="699"/>
      <c r="CTJ10" s="699"/>
      <c r="CTK10" s="699"/>
      <c r="CTL10" s="699"/>
      <c r="CTM10" s="699"/>
      <c r="CTN10" s="699"/>
      <c r="CTO10" s="699"/>
      <c r="CTP10" s="699"/>
      <c r="CTQ10" s="699"/>
      <c r="CTR10" s="699"/>
      <c r="CTS10" s="699"/>
      <c r="CTT10" s="699"/>
      <c r="CTU10" s="699"/>
      <c r="CTV10" s="699"/>
      <c r="CTW10" s="699"/>
      <c r="CTX10" s="699"/>
      <c r="CTY10" s="699"/>
      <c r="CTZ10" s="699"/>
      <c r="CUA10" s="699"/>
      <c r="CUB10" s="699"/>
      <c r="CUC10" s="699"/>
      <c r="CUD10" s="699"/>
      <c r="CUE10" s="699"/>
      <c r="CUF10" s="699"/>
      <c r="CUG10" s="699"/>
      <c r="CUH10" s="699"/>
      <c r="CUI10" s="699"/>
      <c r="CUJ10" s="699"/>
      <c r="CUK10" s="699"/>
      <c r="CUL10" s="699"/>
      <c r="CUM10" s="699"/>
      <c r="CUN10" s="699"/>
      <c r="CUO10" s="699"/>
      <c r="CUP10" s="699"/>
      <c r="CUQ10" s="699"/>
      <c r="CUR10" s="699"/>
      <c r="CUS10" s="699"/>
      <c r="CUT10" s="699"/>
      <c r="CUU10" s="699"/>
      <c r="CUV10" s="699"/>
      <c r="CUW10" s="699"/>
      <c r="CUX10" s="699"/>
      <c r="CUY10" s="699"/>
      <c r="CUZ10" s="699"/>
      <c r="CVA10" s="699"/>
      <c r="CVB10" s="699"/>
      <c r="CVC10" s="699"/>
      <c r="CVD10" s="699"/>
      <c r="CVE10" s="699"/>
      <c r="CVF10" s="699"/>
      <c r="CVG10" s="699"/>
      <c r="CVH10" s="699"/>
      <c r="CVI10" s="699"/>
      <c r="CVJ10" s="699"/>
      <c r="CVK10" s="699"/>
      <c r="CVL10" s="699"/>
      <c r="CVM10" s="699"/>
      <c r="CVN10" s="699"/>
      <c r="CVO10" s="699"/>
      <c r="CVP10" s="699"/>
      <c r="CVQ10" s="699"/>
      <c r="CVR10" s="699"/>
      <c r="CVS10" s="699"/>
      <c r="CVT10" s="699"/>
      <c r="CVU10" s="699"/>
      <c r="CVV10" s="699"/>
      <c r="CVW10" s="699"/>
      <c r="CVX10" s="699"/>
      <c r="CVY10" s="699"/>
      <c r="CVZ10" s="699"/>
      <c r="CWA10" s="699"/>
      <c r="CWB10" s="699"/>
      <c r="CWC10" s="699"/>
      <c r="CWD10" s="699"/>
      <c r="CWE10" s="699"/>
      <c r="CWF10" s="699"/>
      <c r="CWG10" s="699"/>
      <c r="CWH10" s="699"/>
      <c r="CWI10" s="699"/>
      <c r="CWJ10" s="699"/>
      <c r="CWK10" s="699"/>
      <c r="CWL10" s="699"/>
      <c r="CWM10" s="699"/>
      <c r="CWN10" s="699"/>
      <c r="CWO10" s="699"/>
      <c r="CWP10" s="699"/>
      <c r="CWQ10" s="699"/>
      <c r="CWR10" s="699"/>
      <c r="CWS10" s="699"/>
      <c r="CWT10" s="699"/>
      <c r="CWU10" s="699"/>
      <c r="CWV10" s="699"/>
      <c r="CWW10" s="699"/>
      <c r="CWX10" s="699"/>
      <c r="CWY10" s="699"/>
      <c r="CWZ10" s="699"/>
      <c r="CXA10" s="699"/>
      <c r="CXB10" s="699"/>
      <c r="CXC10" s="699"/>
      <c r="CXD10" s="699"/>
      <c r="CXE10" s="699"/>
      <c r="CXF10" s="699"/>
      <c r="CXG10" s="699"/>
      <c r="CXH10" s="699"/>
      <c r="CXI10" s="699"/>
      <c r="CXJ10" s="699"/>
      <c r="CXK10" s="699"/>
      <c r="CXL10" s="699"/>
      <c r="CXM10" s="699"/>
      <c r="CXN10" s="699"/>
      <c r="CXO10" s="699"/>
      <c r="CXP10" s="699"/>
      <c r="CXQ10" s="699"/>
      <c r="CXR10" s="699"/>
      <c r="CXS10" s="699"/>
      <c r="CXT10" s="699"/>
      <c r="CXU10" s="699"/>
      <c r="CXV10" s="699"/>
      <c r="CXW10" s="699"/>
      <c r="CXX10" s="699"/>
      <c r="CXY10" s="699"/>
      <c r="CXZ10" s="699"/>
      <c r="CYA10" s="699"/>
      <c r="CYB10" s="699"/>
      <c r="CYC10" s="699"/>
      <c r="CYD10" s="699"/>
      <c r="CYE10" s="699"/>
      <c r="CYF10" s="699"/>
      <c r="CYG10" s="699"/>
      <c r="CYH10" s="699"/>
      <c r="CYI10" s="699"/>
      <c r="CYJ10" s="699"/>
      <c r="CYK10" s="699"/>
      <c r="CYL10" s="699"/>
      <c r="CYM10" s="699"/>
      <c r="CYN10" s="699"/>
      <c r="CYO10" s="699"/>
      <c r="CYP10" s="699"/>
      <c r="CYQ10" s="699"/>
      <c r="CYR10" s="699"/>
      <c r="CYS10" s="699"/>
      <c r="CYT10" s="699"/>
      <c r="CYU10" s="699"/>
      <c r="CYV10" s="699"/>
      <c r="CYW10" s="699"/>
      <c r="CYX10" s="699"/>
      <c r="CYY10" s="699"/>
      <c r="CYZ10" s="699"/>
      <c r="CZA10" s="699"/>
      <c r="CZB10" s="699"/>
      <c r="CZC10" s="699"/>
      <c r="CZD10" s="699"/>
      <c r="CZE10" s="699"/>
      <c r="CZF10" s="699"/>
      <c r="CZG10" s="699"/>
      <c r="CZH10" s="699"/>
      <c r="CZI10" s="699"/>
      <c r="CZJ10" s="699"/>
      <c r="CZK10" s="699"/>
      <c r="CZL10" s="699"/>
      <c r="CZM10" s="699"/>
      <c r="CZN10" s="699"/>
      <c r="CZO10" s="699"/>
      <c r="CZP10" s="699"/>
      <c r="CZQ10" s="699"/>
      <c r="CZR10" s="699"/>
      <c r="CZS10" s="699"/>
      <c r="CZT10" s="699"/>
      <c r="CZU10" s="699"/>
      <c r="CZV10" s="699"/>
      <c r="CZW10" s="699"/>
      <c r="CZX10" s="699"/>
      <c r="CZY10" s="699"/>
      <c r="CZZ10" s="699"/>
      <c r="DAA10" s="699"/>
      <c r="DAB10" s="699"/>
      <c r="DAC10" s="699"/>
      <c r="DAD10" s="699"/>
      <c r="DAE10" s="699"/>
      <c r="DAF10" s="699"/>
      <c r="DAG10" s="699"/>
      <c r="DAH10" s="699"/>
      <c r="DAI10" s="699"/>
      <c r="DAJ10" s="699"/>
      <c r="DAK10" s="699"/>
      <c r="DAL10" s="699"/>
      <c r="DAM10" s="699"/>
      <c r="DAN10" s="699"/>
      <c r="DAO10" s="699"/>
      <c r="DAP10" s="699"/>
      <c r="DAQ10" s="699"/>
      <c r="DAR10" s="699"/>
      <c r="DAS10" s="699"/>
      <c r="DAT10" s="699"/>
      <c r="DAU10" s="699"/>
      <c r="DAV10" s="699"/>
      <c r="DAW10" s="699"/>
      <c r="DAX10" s="699"/>
      <c r="DAY10" s="699"/>
      <c r="DAZ10" s="699"/>
      <c r="DBA10" s="699"/>
      <c r="DBB10" s="699"/>
      <c r="DBC10" s="699"/>
      <c r="DBD10" s="699"/>
      <c r="DBE10" s="699"/>
      <c r="DBF10" s="699"/>
      <c r="DBG10" s="699"/>
      <c r="DBH10" s="699"/>
      <c r="DBI10" s="699"/>
      <c r="DBJ10" s="699"/>
      <c r="DBK10" s="699"/>
      <c r="DBL10" s="699"/>
      <c r="DBM10" s="699"/>
      <c r="DBN10" s="699"/>
      <c r="DBO10" s="699"/>
      <c r="DBP10" s="699"/>
      <c r="DBQ10" s="699"/>
      <c r="DBR10" s="699"/>
      <c r="DBS10" s="699"/>
      <c r="DBT10" s="699"/>
      <c r="DBU10" s="699"/>
      <c r="DBV10" s="699"/>
      <c r="DBW10" s="699"/>
      <c r="DBX10" s="699"/>
      <c r="DBY10" s="699"/>
      <c r="DBZ10" s="699"/>
      <c r="DCA10" s="699"/>
      <c r="DCB10" s="699"/>
      <c r="DCC10" s="699"/>
      <c r="DCD10" s="699"/>
      <c r="DCE10" s="699"/>
      <c r="DCF10" s="699"/>
      <c r="DCG10" s="699"/>
      <c r="DCH10" s="699"/>
      <c r="DCI10" s="699"/>
      <c r="DCJ10" s="699"/>
      <c r="DCK10" s="699"/>
      <c r="DCL10" s="699"/>
      <c r="DCM10" s="699"/>
      <c r="DCN10" s="699"/>
      <c r="DCO10" s="699"/>
      <c r="DCP10" s="699"/>
      <c r="DCQ10" s="699"/>
      <c r="DCR10" s="699"/>
      <c r="DCS10" s="699"/>
      <c r="DCT10" s="699"/>
      <c r="DCU10" s="699"/>
      <c r="DCV10" s="699"/>
      <c r="DCW10" s="699"/>
      <c r="DCX10" s="699"/>
      <c r="DCY10" s="699"/>
      <c r="DCZ10" s="699"/>
      <c r="DDA10" s="699"/>
      <c r="DDB10" s="699"/>
      <c r="DDC10" s="699"/>
      <c r="DDD10" s="699"/>
      <c r="DDE10" s="699"/>
      <c r="DDF10" s="699"/>
      <c r="DDG10" s="699"/>
      <c r="DDH10" s="699"/>
      <c r="DDI10" s="699"/>
      <c r="DDJ10" s="699"/>
      <c r="DDK10" s="699"/>
      <c r="DDL10" s="699"/>
      <c r="DDM10" s="699"/>
      <c r="DDN10" s="699"/>
      <c r="DDO10" s="699"/>
      <c r="DDP10" s="699"/>
      <c r="DDQ10" s="699"/>
      <c r="DDR10" s="699"/>
      <c r="DDS10" s="699"/>
      <c r="DDT10" s="699"/>
      <c r="DDU10" s="699"/>
      <c r="DDV10" s="699"/>
      <c r="DDW10" s="699"/>
      <c r="DDX10" s="699"/>
      <c r="DDY10" s="699"/>
      <c r="DDZ10" s="699"/>
      <c r="DEA10" s="699"/>
      <c r="DEB10" s="699"/>
      <c r="DEC10" s="699"/>
      <c r="DED10" s="699"/>
      <c r="DEE10" s="699"/>
      <c r="DEF10" s="699"/>
      <c r="DEG10" s="699"/>
      <c r="DEH10" s="699"/>
      <c r="DEI10" s="699"/>
      <c r="DEJ10" s="699"/>
      <c r="DEK10" s="699"/>
      <c r="DEL10" s="699"/>
      <c r="DEM10" s="699"/>
      <c r="DEN10" s="699"/>
      <c r="DEO10" s="699"/>
      <c r="DEP10" s="699"/>
      <c r="DEQ10" s="699"/>
      <c r="DER10" s="699"/>
      <c r="DES10" s="699"/>
      <c r="DET10" s="699"/>
      <c r="DEU10" s="699"/>
      <c r="DEV10" s="699"/>
      <c r="DEW10" s="699"/>
      <c r="DEX10" s="699"/>
      <c r="DEY10" s="699"/>
      <c r="DEZ10" s="699"/>
      <c r="DFA10" s="699"/>
      <c r="DFB10" s="699"/>
      <c r="DFC10" s="699"/>
      <c r="DFD10" s="699"/>
      <c r="DFE10" s="699"/>
      <c r="DFF10" s="699"/>
      <c r="DFG10" s="699"/>
      <c r="DFH10" s="699"/>
      <c r="DFI10" s="699"/>
      <c r="DFJ10" s="699"/>
      <c r="DFK10" s="699"/>
      <c r="DFL10" s="699"/>
      <c r="DFM10" s="699"/>
      <c r="DFN10" s="699"/>
      <c r="DFO10" s="699"/>
      <c r="DFP10" s="699"/>
      <c r="DFQ10" s="699"/>
      <c r="DFR10" s="699"/>
      <c r="DFS10" s="699"/>
      <c r="DFT10" s="699"/>
      <c r="DFU10" s="699"/>
      <c r="DFV10" s="699"/>
      <c r="DFW10" s="699"/>
      <c r="DFX10" s="699"/>
      <c r="DFY10" s="699"/>
      <c r="DFZ10" s="699"/>
      <c r="DGA10" s="699"/>
      <c r="DGB10" s="699"/>
      <c r="DGC10" s="699"/>
      <c r="DGD10" s="699"/>
      <c r="DGE10" s="699"/>
      <c r="DGF10" s="699"/>
      <c r="DGG10" s="699"/>
      <c r="DGH10" s="699"/>
      <c r="DGI10" s="699"/>
      <c r="DGJ10" s="699"/>
      <c r="DGK10" s="699"/>
      <c r="DGL10" s="699"/>
      <c r="DGM10" s="699"/>
      <c r="DGN10" s="699"/>
      <c r="DGO10" s="699"/>
      <c r="DGP10" s="699"/>
      <c r="DGQ10" s="699"/>
      <c r="DGR10" s="699"/>
      <c r="DGS10" s="699"/>
      <c r="DGT10" s="699"/>
      <c r="DGU10" s="699"/>
      <c r="DGV10" s="699"/>
      <c r="DGW10" s="699"/>
      <c r="DGX10" s="699"/>
      <c r="DGY10" s="699"/>
      <c r="DGZ10" s="699"/>
      <c r="DHA10" s="699"/>
      <c r="DHB10" s="699"/>
      <c r="DHC10" s="699"/>
      <c r="DHD10" s="699"/>
      <c r="DHE10" s="699"/>
      <c r="DHF10" s="699"/>
      <c r="DHG10" s="699"/>
      <c r="DHH10" s="699"/>
      <c r="DHI10" s="699"/>
      <c r="DHJ10" s="699"/>
      <c r="DHK10" s="699"/>
      <c r="DHL10" s="699"/>
      <c r="DHM10" s="699"/>
      <c r="DHN10" s="699"/>
      <c r="DHO10" s="699"/>
      <c r="DHP10" s="699"/>
      <c r="DHQ10" s="699"/>
      <c r="DHR10" s="699"/>
      <c r="DHS10" s="699"/>
      <c r="DHT10" s="699"/>
      <c r="DHU10" s="699"/>
      <c r="DHV10" s="699"/>
      <c r="DHW10" s="699"/>
      <c r="DHX10" s="699"/>
      <c r="DHY10" s="699"/>
      <c r="DHZ10" s="699"/>
      <c r="DIA10" s="699"/>
      <c r="DIB10" s="699"/>
      <c r="DIC10" s="699"/>
      <c r="DID10" s="699"/>
      <c r="DIE10" s="699"/>
      <c r="DIF10" s="699"/>
      <c r="DIG10" s="699"/>
      <c r="DIH10" s="699"/>
      <c r="DII10" s="699"/>
      <c r="DIJ10" s="699"/>
      <c r="DIK10" s="699"/>
      <c r="DIL10" s="699"/>
      <c r="DIM10" s="699"/>
      <c r="DIN10" s="699"/>
      <c r="DIO10" s="699"/>
      <c r="DIP10" s="699"/>
      <c r="DIQ10" s="699"/>
      <c r="DIR10" s="699"/>
      <c r="DIS10" s="699"/>
      <c r="DIT10" s="699"/>
      <c r="DIU10" s="699"/>
      <c r="DIV10" s="699"/>
      <c r="DIW10" s="699"/>
      <c r="DIX10" s="699"/>
      <c r="DIY10" s="699"/>
      <c r="DIZ10" s="699"/>
      <c r="DJA10" s="699"/>
      <c r="DJB10" s="699"/>
      <c r="DJC10" s="699"/>
      <c r="DJD10" s="699"/>
      <c r="DJE10" s="699"/>
      <c r="DJF10" s="699"/>
      <c r="DJG10" s="699"/>
      <c r="DJH10" s="699"/>
      <c r="DJI10" s="699"/>
      <c r="DJJ10" s="699"/>
      <c r="DJK10" s="699"/>
      <c r="DJL10" s="699"/>
      <c r="DJM10" s="699"/>
      <c r="DJN10" s="699"/>
      <c r="DJO10" s="699"/>
      <c r="DJP10" s="699"/>
      <c r="DJQ10" s="699"/>
      <c r="DJR10" s="699"/>
      <c r="DJS10" s="699"/>
      <c r="DJT10" s="699"/>
      <c r="DJU10" s="699"/>
      <c r="DJV10" s="699"/>
      <c r="DJW10" s="699"/>
      <c r="DJX10" s="699"/>
      <c r="DJY10" s="699"/>
      <c r="DJZ10" s="699"/>
      <c r="DKA10" s="699"/>
      <c r="DKB10" s="699"/>
      <c r="DKC10" s="699"/>
      <c r="DKD10" s="699"/>
      <c r="DKE10" s="699"/>
      <c r="DKF10" s="699"/>
      <c r="DKG10" s="699"/>
      <c r="DKH10" s="699"/>
      <c r="DKI10" s="699"/>
      <c r="DKJ10" s="699"/>
      <c r="DKK10" s="699"/>
      <c r="DKL10" s="699"/>
      <c r="DKM10" s="699"/>
      <c r="DKN10" s="699"/>
      <c r="DKO10" s="699"/>
      <c r="DKP10" s="699"/>
      <c r="DKQ10" s="699"/>
      <c r="DKR10" s="699"/>
      <c r="DKS10" s="699"/>
      <c r="DKT10" s="699"/>
      <c r="DKU10" s="699"/>
      <c r="DKV10" s="699"/>
      <c r="DKW10" s="699"/>
      <c r="DKX10" s="699"/>
      <c r="DKY10" s="699"/>
      <c r="DKZ10" s="699"/>
      <c r="DLA10" s="699"/>
      <c r="DLB10" s="699"/>
      <c r="DLC10" s="699"/>
      <c r="DLD10" s="699"/>
      <c r="DLE10" s="699"/>
      <c r="DLF10" s="699"/>
      <c r="DLG10" s="699"/>
      <c r="DLH10" s="699"/>
      <c r="DLI10" s="699"/>
      <c r="DLJ10" s="699"/>
      <c r="DLK10" s="699"/>
      <c r="DLL10" s="699"/>
      <c r="DLM10" s="699"/>
      <c r="DLN10" s="699"/>
      <c r="DLO10" s="699"/>
      <c r="DLP10" s="699"/>
      <c r="DLQ10" s="699"/>
      <c r="DLR10" s="699"/>
      <c r="DLS10" s="699"/>
      <c r="DLT10" s="699"/>
      <c r="DLU10" s="699"/>
      <c r="DLV10" s="699"/>
      <c r="DLW10" s="699"/>
      <c r="DLX10" s="699"/>
      <c r="DLY10" s="699"/>
      <c r="DLZ10" s="699"/>
      <c r="DMA10" s="699"/>
      <c r="DMB10" s="699"/>
      <c r="DMC10" s="699"/>
      <c r="DMD10" s="699"/>
      <c r="DME10" s="699"/>
      <c r="DMF10" s="699"/>
      <c r="DMG10" s="699"/>
      <c r="DMH10" s="699"/>
      <c r="DMI10" s="699"/>
      <c r="DMJ10" s="699"/>
      <c r="DMK10" s="699"/>
      <c r="DML10" s="699"/>
      <c r="DMM10" s="699"/>
      <c r="DMN10" s="699"/>
      <c r="DMO10" s="699"/>
      <c r="DMP10" s="699"/>
      <c r="DMQ10" s="699"/>
      <c r="DMR10" s="699"/>
      <c r="DMS10" s="699"/>
      <c r="DMT10" s="699"/>
      <c r="DMU10" s="699"/>
      <c r="DMV10" s="699"/>
      <c r="DMW10" s="699"/>
      <c r="DMX10" s="699"/>
      <c r="DMY10" s="699"/>
      <c r="DMZ10" s="699"/>
      <c r="DNA10" s="699"/>
      <c r="DNB10" s="699"/>
      <c r="DNC10" s="699"/>
      <c r="DND10" s="699"/>
      <c r="DNE10" s="699"/>
      <c r="DNF10" s="699"/>
      <c r="DNG10" s="699"/>
      <c r="DNH10" s="699"/>
      <c r="DNI10" s="699"/>
      <c r="DNJ10" s="699"/>
      <c r="DNK10" s="699"/>
      <c r="DNL10" s="699"/>
      <c r="DNM10" s="699"/>
      <c r="DNN10" s="699"/>
      <c r="DNO10" s="699"/>
      <c r="DNP10" s="699"/>
      <c r="DNQ10" s="699"/>
      <c r="DNR10" s="699"/>
      <c r="DNS10" s="699"/>
      <c r="DNT10" s="699"/>
      <c r="DNU10" s="699"/>
      <c r="DNV10" s="699"/>
      <c r="DNW10" s="699"/>
      <c r="DNX10" s="699"/>
      <c r="DNY10" s="699"/>
      <c r="DNZ10" s="699"/>
      <c r="DOA10" s="699"/>
      <c r="DOB10" s="699"/>
      <c r="DOC10" s="699"/>
      <c r="DOD10" s="699"/>
      <c r="DOE10" s="699"/>
      <c r="DOF10" s="699"/>
      <c r="DOG10" s="699"/>
      <c r="DOH10" s="699"/>
      <c r="DOI10" s="699"/>
      <c r="DOJ10" s="699"/>
      <c r="DOK10" s="699"/>
      <c r="DOL10" s="699"/>
      <c r="DOM10" s="699"/>
      <c r="DON10" s="699"/>
      <c r="DOO10" s="699"/>
      <c r="DOP10" s="699"/>
      <c r="DOQ10" s="699"/>
      <c r="DOR10" s="699"/>
      <c r="DOS10" s="699"/>
      <c r="DOT10" s="699"/>
      <c r="DOU10" s="699"/>
      <c r="DOV10" s="699"/>
      <c r="DOW10" s="699"/>
      <c r="DOX10" s="699"/>
      <c r="DOY10" s="699"/>
      <c r="DOZ10" s="699"/>
      <c r="DPA10" s="699"/>
      <c r="DPB10" s="699"/>
      <c r="DPC10" s="699"/>
      <c r="DPD10" s="699"/>
      <c r="DPE10" s="699"/>
      <c r="DPF10" s="699"/>
      <c r="DPG10" s="699"/>
      <c r="DPH10" s="699"/>
      <c r="DPI10" s="699"/>
      <c r="DPJ10" s="699"/>
      <c r="DPK10" s="699"/>
      <c r="DPL10" s="699"/>
      <c r="DPM10" s="699"/>
      <c r="DPN10" s="699"/>
      <c r="DPO10" s="699"/>
      <c r="DPP10" s="699"/>
      <c r="DPQ10" s="699"/>
      <c r="DPR10" s="699"/>
      <c r="DPS10" s="699"/>
      <c r="DPT10" s="699"/>
      <c r="DPU10" s="699"/>
      <c r="DPV10" s="699"/>
      <c r="DPW10" s="699"/>
      <c r="DPX10" s="699"/>
      <c r="DPY10" s="699"/>
      <c r="DPZ10" s="699"/>
      <c r="DQA10" s="699"/>
      <c r="DQB10" s="699"/>
      <c r="DQC10" s="699"/>
      <c r="DQD10" s="699"/>
      <c r="DQE10" s="699"/>
      <c r="DQF10" s="699"/>
      <c r="DQG10" s="699"/>
      <c r="DQH10" s="699"/>
      <c r="DQI10" s="699"/>
      <c r="DQJ10" s="699"/>
      <c r="DQK10" s="699"/>
      <c r="DQL10" s="699"/>
      <c r="DQM10" s="699"/>
      <c r="DQN10" s="699"/>
      <c r="DQO10" s="699"/>
      <c r="DQP10" s="699"/>
      <c r="DQQ10" s="699"/>
      <c r="DQR10" s="699"/>
      <c r="DQS10" s="699"/>
      <c r="DQT10" s="699"/>
      <c r="DQU10" s="699"/>
      <c r="DQV10" s="699"/>
      <c r="DQW10" s="699"/>
      <c r="DQX10" s="699"/>
      <c r="DQY10" s="699"/>
      <c r="DQZ10" s="699"/>
      <c r="DRA10" s="699"/>
      <c r="DRB10" s="699"/>
      <c r="DRC10" s="699"/>
      <c r="DRD10" s="699"/>
      <c r="DRE10" s="699"/>
      <c r="DRF10" s="699"/>
      <c r="DRG10" s="699"/>
      <c r="DRH10" s="699"/>
      <c r="DRI10" s="699"/>
      <c r="DRJ10" s="699"/>
      <c r="DRK10" s="699"/>
      <c r="DRL10" s="699"/>
      <c r="DRM10" s="699"/>
      <c r="DRN10" s="699"/>
      <c r="DRO10" s="699"/>
      <c r="DRP10" s="699"/>
      <c r="DRQ10" s="699"/>
      <c r="DRR10" s="699"/>
      <c r="DRS10" s="699"/>
      <c r="DRT10" s="699"/>
      <c r="DRU10" s="699"/>
      <c r="DRV10" s="699"/>
      <c r="DRW10" s="699"/>
      <c r="DRX10" s="699"/>
      <c r="DRY10" s="699"/>
      <c r="DRZ10" s="699"/>
      <c r="DSA10" s="699"/>
      <c r="DSB10" s="699"/>
      <c r="DSC10" s="699"/>
      <c r="DSD10" s="699"/>
      <c r="DSE10" s="699"/>
      <c r="DSF10" s="699"/>
      <c r="DSG10" s="699"/>
      <c r="DSH10" s="699"/>
      <c r="DSI10" s="699"/>
      <c r="DSJ10" s="699"/>
      <c r="DSK10" s="699"/>
      <c r="DSL10" s="699"/>
      <c r="DSM10" s="699"/>
      <c r="DSN10" s="699"/>
      <c r="DSO10" s="699"/>
      <c r="DSP10" s="699"/>
      <c r="DSQ10" s="699"/>
      <c r="DSR10" s="699"/>
      <c r="DSS10" s="699"/>
      <c r="DST10" s="699"/>
      <c r="DSU10" s="699"/>
      <c r="DSV10" s="699"/>
      <c r="DSW10" s="699"/>
      <c r="DSX10" s="699"/>
      <c r="DSY10" s="699"/>
      <c r="DSZ10" s="699"/>
      <c r="DTA10" s="699"/>
      <c r="DTB10" s="699"/>
      <c r="DTC10" s="699"/>
      <c r="DTD10" s="699"/>
      <c r="DTE10" s="699"/>
      <c r="DTF10" s="699"/>
      <c r="DTG10" s="699"/>
      <c r="DTH10" s="699"/>
      <c r="DTI10" s="699"/>
      <c r="DTJ10" s="699"/>
      <c r="DTK10" s="699"/>
      <c r="DTL10" s="699"/>
      <c r="DTM10" s="699"/>
      <c r="DTN10" s="699"/>
      <c r="DTO10" s="699"/>
      <c r="DTP10" s="699"/>
      <c r="DTQ10" s="699"/>
      <c r="DTR10" s="699"/>
      <c r="DTS10" s="699"/>
      <c r="DTT10" s="699"/>
      <c r="DTU10" s="699"/>
      <c r="DTV10" s="699"/>
      <c r="DTW10" s="699"/>
      <c r="DTX10" s="699"/>
      <c r="DTY10" s="699"/>
      <c r="DTZ10" s="699"/>
      <c r="DUA10" s="699"/>
      <c r="DUB10" s="699"/>
      <c r="DUC10" s="699"/>
      <c r="DUD10" s="699"/>
      <c r="DUE10" s="699"/>
      <c r="DUF10" s="699"/>
      <c r="DUG10" s="699"/>
      <c r="DUH10" s="699"/>
      <c r="DUI10" s="699"/>
      <c r="DUJ10" s="699"/>
      <c r="DUK10" s="699"/>
      <c r="DUL10" s="699"/>
      <c r="DUM10" s="699"/>
      <c r="DUN10" s="699"/>
      <c r="DUO10" s="699"/>
      <c r="DUP10" s="699"/>
      <c r="DUQ10" s="699"/>
      <c r="DUR10" s="699"/>
      <c r="DUS10" s="699"/>
      <c r="DUT10" s="699"/>
      <c r="DUU10" s="699"/>
      <c r="DUV10" s="699"/>
      <c r="DUW10" s="699"/>
      <c r="DUX10" s="699"/>
      <c r="DUY10" s="699"/>
      <c r="DUZ10" s="699"/>
      <c r="DVA10" s="699"/>
      <c r="DVB10" s="699"/>
      <c r="DVC10" s="699"/>
      <c r="DVD10" s="699"/>
      <c r="DVE10" s="699"/>
      <c r="DVF10" s="699"/>
      <c r="DVG10" s="699"/>
      <c r="DVH10" s="699"/>
      <c r="DVI10" s="699"/>
      <c r="DVJ10" s="699"/>
      <c r="DVK10" s="699"/>
      <c r="DVL10" s="699"/>
      <c r="DVM10" s="699"/>
      <c r="DVN10" s="699"/>
      <c r="DVO10" s="699"/>
      <c r="DVP10" s="699"/>
      <c r="DVQ10" s="699"/>
      <c r="DVR10" s="699"/>
      <c r="DVS10" s="699"/>
      <c r="DVT10" s="699"/>
      <c r="DVU10" s="699"/>
      <c r="DVV10" s="699"/>
      <c r="DVW10" s="699"/>
      <c r="DVX10" s="699"/>
      <c r="DVY10" s="699"/>
      <c r="DVZ10" s="699"/>
      <c r="DWA10" s="699"/>
      <c r="DWB10" s="699"/>
      <c r="DWC10" s="699"/>
      <c r="DWD10" s="699"/>
      <c r="DWE10" s="699"/>
      <c r="DWF10" s="699"/>
      <c r="DWG10" s="699"/>
      <c r="DWH10" s="699"/>
      <c r="DWI10" s="699"/>
      <c r="DWJ10" s="699"/>
      <c r="DWK10" s="699"/>
      <c r="DWL10" s="699"/>
      <c r="DWM10" s="699"/>
      <c r="DWN10" s="699"/>
      <c r="DWO10" s="699"/>
      <c r="DWP10" s="699"/>
      <c r="DWQ10" s="699"/>
      <c r="DWR10" s="699"/>
      <c r="DWS10" s="699"/>
      <c r="DWT10" s="699"/>
      <c r="DWU10" s="699"/>
      <c r="DWV10" s="699"/>
      <c r="DWW10" s="699"/>
      <c r="DWX10" s="699"/>
      <c r="DWY10" s="699"/>
      <c r="DWZ10" s="699"/>
      <c r="DXA10" s="699"/>
      <c r="DXB10" s="699"/>
      <c r="DXC10" s="699"/>
      <c r="DXD10" s="699"/>
      <c r="DXE10" s="699"/>
      <c r="DXF10" s="699"/>
      <c r="DXG10" s="699"/>
      <c r="DXH10" s="699"/>
      <c r="DXI10" s="699"/>
      <c r="DXJ10" s="699"/>
      <c r="DXK10" s="699"/>
      <c r="DXL10" s="699"/>
      <c r="DXM10" s="699"/>
      <c r="DXN10" s="699"/>
      <c r="DXO10" s="699"/>
      <c r="DXP10" s="699"/>
      <c r="DXQ10" s="699"/>
      <c r="DXR10" s="699"/>
      <c r="DXS10" s="699"/>
      <c r="DXT10" s="699"/>
      <c r="DXU10" s="699"/>
      <c r="DXV10" s="699"/>
      <c r="DXW10" s="699"/>
      <c r="DXX10" s="699"/>
      <c r="DXY10" s="699"/>
      <c r="DXZ10" s="699"/>
      <c r="DYA10" s="699"/>
      <c r="DYB10" s="699"/>
      <c r="DYC10" s="699"/>
      <c r="DYD10" s="699"/>
      <c r="DYE10" s="699"/>
      <c r="DYF10" s="699"/>
      <c r="DYG10" s="699"/>
      <c r="DYH10" s="699"/>
      <c r="DYI10" s="699"/>
      <c r="DYJ10" s="699"/>
      <c r="DYK10" s="699"/>
      <c r="DYL10" s="699"/>
      <c r="DYM10" s="699"/>
      <c r="DYN10" s="699"/>
      <c r="DYO10" s="699"/>
      <c r="DYP10" s="699"/>
      <c r="DYQ10" s="699"/>
      <c r="DYR10" s="699"/>
      <c r="DYS10" s="699"/>
      <c r="DYT10" s="699"/>
      <c r="DYU10" s="699"/>
      <c r="DYV10" s="699"/>
      <c r="DYW10" s="699"/>
      <c r="DYX10" s="699"/>
      <c r="DYY10" s="699"/>
      <c r="DYZ10" s="699"/>
      <c r="DZA10" s="699"/>
      <c r="DZB10" s="699"/>
      <c r="DZC10" s="699"/>
      <c r="DZD10" s="699"/>
      <c r="DZE10" s="699"/>
      <c r="DZF10" s="699"/>
      <c r="DZG10" s="699"/>
      <c r="DZH10" s="699"/>
      <c r="DZI10" s="699"/>
      <c r="DZJ10" s="699"/>
      <c r="DZK10" s="699"/>
      <c r="DZL10" s="699"/>
      <c r="DZM10" s="699"/>
      <c r="DZN10" s="699"/>
      <c r="DZO10" s="699"/>
      <c r="DZP10" s="699"/>
      <c r="DZQ10" s="699"/>
      <c r="DZR10" s="699"/>
      <c r="DZS10" s="699"/>
      <c r="DZT10" s="699"/>
      <c r="DZU10" s="699"/>
      <c r="DZV10" s="699"/>
      <c r="DZW10" s="699"/>
      <c r="DZX10" s="699"/>
      <c r="DZY10" s="699"/>
      <c r="DZZ10" s="699"/>
      <c r="EAA10" s="699"/>
      <c r="EAB10" s="699"/>
      <c r="EAC10" s="699"/>
      <c r="EAD10" s="699"/>
      <c r="EAE10" s="699"/>
      <c r="EAF10" s="699"/>
      <c r="EAG10" s="699"/>
      <c r="EAH10" s="699"/>
      <c r="EAI10" s="699"/>
      <c r="EAJ10" s="699"/>
      <c r="EAK10" s="699"/>
      <c r="EAL10" s="699"/>
      <c r="EAM10" s="699"/>
      <c r="EAN10" s="699"/>
      <c r="EAO10" s="699"/>
      <c r="EAP10" s="699"/>
      <c r="EAQ10" s="699"/>
      <c r="EAR10" s="699"/>
      <c r="EAS10" s="699"/>
      <c r="EAT10" s="699"/>
      <c r="EAU10" s="699"/>
      <c r="EAV10" s="699"/>
      <c r="EAW10" s="699"/>
      <c r="EAX10" s="699"/>
      <c r="EAY10" s="699"/>
      <c r="EAZ10" s="699"/>
      <c r="EBA10" s="699"/>
      <c r="EBB10" s="699"/>
      <c r="EBC10" s="699"/>
      <c r="EBD10" s="699"/>
      <c r="EBE10" s="699"/>
      <c r="EBF10" s="699"/>
      <c r="EBG10" s="699"/>
      <c r="EBH10" s="699"/>
      <c r="EBI10" s="699"/>
      <c r="EBJ10" s="699"/>
      <c r="EBK10" s="699"/>
      <c r="EBL10" s="699"/>
      <c r="EBM10" s="699"/>
      <c r="EBN10" s="699"/>
      <c r="EBO10" s="699"/>
      <c r="EBP10" s="699"/>
      <c r="EBQ10" s="699"/>
      <c r="EBR10" s="699"/>
      <c r="EBS10" s="699"/>
      <c r="EBT10" s="699"/>
      <c r="EBU10" s="699"/>
      <c r="EBV10" s="699"/>
      <c r="EBW10" s="699"/>
      <c r="EBX10" s="699"/>
      <c r="EBY10" s="699"/>
      <c r="EBZ10" s="699"/>
      <c r="ECA10" s="699"/>
      <c r="ECB10" s="699"/>
      <c r="ECC10" s="699"/>
      <c r="ECD10" s="699"/>
      <c r="ECE10" s="699"/>
      <c r="ECF10" s="699"/>
      <c r="ECG10" s="699"/>
      <c r="ECH10" s="699"/>
      <c r="ECI10" s="699"/>
      <c r="ECJ10" s="699"/>
      <c r="ECK10" s="699"/>
      <c r="ECL10" s="699"/>
      <c r="ECM10" s="699"/>
      <c r="ECN10" s="699"/>
      <c r="ECO10" s="699"/>
      <c r="ECP10" s="699"/>
      <c r="ECQ10" s="699"/>
      <c r="ECR10" s="699"/>
      <c r="ECS10" s="699"/>
      <c r="ECT10" s="699"/>
      <c r="ECU10" s="699"/>
      <c r="ECV10" s="699"/>
      <c r="ECW10" s="699"/>
      <c r="ECX10" s="699"/>
      <c r="ECY10" s="699"/>
      <c r="ECZ10" s="699"/>
      <c r="EDA10" s="699"/>
      <c r="EDB10" s="699"/>
      <c r="EDC10" s="699"/>
      <c r="EDD10" s="699"/>
      <c r="EDE10" s="699"/>
      <c r="EDF10" s="699"/>
      <c r="EDG10" s="699"/>
      <c r="EDH10" s="699"/>
      <c r="EDI10" s="699"/>
      <c r="EDJ10" s="699"/>
      <c r="EDK10" s="699"/>
      <c r="EDL10" s="699"/>
      <c r="EDM10" s="699"/>
      <c r="EDN10" s="699"/>
      <c r="EDO10" s="699"/>
      <c r="EDP10" s="699"/>
      <c r="EDQ10" s="699"/>
      <c r="EDR10" s="699"/>
      <c r="EDS10" s="699"/>
      <c r="EDT10" s="699"/>
      <c r="EDU10" s="699"/>
      <c r="EDV10" s="699"/>
      <c r="EDW10" s="699"/>
      <c r="EDX10" s="699"/>
      <c r="EDY10" s="699"/>
      <c r="EDZ10" s="699"/>
      <c r="EEA10" s="699"/>
      <c r="EEB10" s="699"/>
      <c r="EEC10" s="699"/>
      <c r="EED10" s="699"/>
      <c r="EEE10" s="699"/>
      <c r="EEF10" s="699"/>
      <c r="EEG10" s="699"/>
      <c r="EEH10" s="699"/>
      <c r="EEI10" s="699"/>
      <c r="EEJ10" s="699"/>
      <c r="EEK10" s="699"/>
      <c r="EEL10" s="699"/>
      <c r="EEM10" s="699"/>
      <c r="EEN10" s="699"/>
      <c r="EEO10" s="699"/>
      <c r="EEP10" s="699"/>
      <c r="EEQ10" s="699"/>
      <c r="EER10" s="699"/>
      <c r="EES10" s="699"/>
      <c r="EET10" s="699"/>
      <c r="EEU10" s="699"/>
      <c r="EEV10" s="699"/>
      <c r="EEW10" s="699"/>
      <c r="EEX10" s="699"/>
      <c r="EEY10" s="699"/>
      <c r="EEZ10" s="699"/>
      <c r="EFA10" s="699"/>
      <c r="EFB10" s="699"/>
      <c r="EFC10" s="699"/>
      <c r="EFD10" s="699"/>
      <c r="EFE10" s="699"/>
      <c r="EFF10" s="699"/>
      <c r="EFG10" s="699"/>
      <c r="EFH10" s="699"/>
      <c r="EFI10" s="699"/>
      <c r="EFJ10" s="699"/>
      <c r="EFK10" s="699"/>
      <c r="EFL10" s="699"/>
      <c r="EFM10" s="699"/>
      <c r="EFN10" s="699"/>
      <c r="EFO10" s="699"/>
      <c r="EFP10" s="699"/>
      <c r="EFQ10" s="699"/>
      <c r="EFR10" s="699"/>
      <c r="EFS10" s="699"/>
      <c r="EFT10" s="699"/>
      <c r="EFU10" s="699"/>
      <c r="EFV10" s="699"/>
      <c r="EFW10" s="699"/>
      <c r="EFX10" s="699"/>
      <c r="EFY10" s="699"/>
      <c r="EFZ10" s="699"/>
      <c r="EGA10" s="699"/>
      <c r="EGB10" s="699"/>
      <c r="EGC10" s="699"/>
      <c r="EGD10" s="699"/>
      <c r="EGE10" s="699"/>
      <c r="EGF10" s="699"/>
      <c r="EGG10" s="699"/>
      <c r="EGH10" s="699"/>
      <c r="EGI10" s="699"/>
      <c r="EGJ10" s="699"/>
      <c r="EGK10" s="699"/>
      <c r="EGL10" s="699"/>
      <c r="EGM10" s="699"/>
      <c r="EGN10" s="699"/>
      <c r="EGO10" s="699"/>
      <c r="EGP10" s="699"/>
      <c r="EGQ10" s="699"/>
      <c r="EGR10" s="699"/>
      <c r="EGS10" s="699"/>
      <c r="EGT10" s="699"/>
      <c r="EGU10" s="699"/>
      <c r="EGV10" s="699"/>
      <c r="EGW10" s="699"/>
      <c r="EGX10" s="699"/>
      <c r="EGY10" s="699"/>
      <c r="EGZ10" s="699"/>
      <c r="EHA10" s="699"/>
      <c r="EHB10" s="699"/>
      <c r="EHC10" s="699"/>
      <c r="EHD10" s="699"/>
      <c r="EHE10" s="699"/>
      <c r="EHF10" s="699"/>
      <c r="EHG10" s="699"/>
      <c r="EHH10" s="699"/>
      <c r="EHI10" s="699"/>
      <c r="EHJ10" s="699"/>
      <c r="EHK10" s="699"/>
      <c r="EHL10" s="699"/>
      <c r="EHM10" s="699"/>
      <c r="EHN10" s="699"/>
      <c r="EHO10" s="699"/>
      <c r="EHP10" s="699"/>
      <c r="EHQ10" s="699"/>
      <c r="EHR10" s="699"/>
      <c r="EHS10" s="699"/>
      <c r="EHT10" s="699"/>
      <c r="EHU10" s="699"/>
      <c r="EHV10" s="699"/>
      <c r="EHW10" s="699"/>
      <c r="EHX10" s="699"/>
      <c r="EHY10" s="699"/>
      <c r="EHZ10" s="699"/>
      <c r="EIA10" s="699"/>
      <c r="EIB10" s="699"/>
      <c r="EIC10" s="699"/>
      <c r="EID10" s="699"/>
      <c r="EIE10" s="699"/>
      <c r="EIF10" s="699"/>
      <c r="EIG10" s="699"/>
      <c r="EIH10" s="699"/>
      <c r="EII10" s="699"/>
      <c r="EIJ10" s="699"/>
      <c r="EIK10" s="699"/>
      <c r="EIL10" s="699"/>
      <c r="EIM10" s="699"/>
      <c r="EIN10" s="699"/>
      <c r="EIO10" s="699"/>
      <c r="EIP10" s="699"/>
      <c r="EIQ10" s="699"/>
      <c r="EIR10" s="699"/>
      <c r="EIS10" s="699"/>
      <c r="EIT10" s="699"/>
      <c r="EIU10" s="699"/>
      <c r="EIV10" s="699"/>
      <c r="EIW10" s="699"/>
      <c r="EIX10" s="699"/>
      <c r="EIY10" s="699"/>
      <c r="EIZ10" s="699"/>
      <c r="EJA10" s="699"/>
      <c r="EJB10" s="699"/>
      <c r="EJC10" s="699"/>
      <c r="EJD10" s="699"/>
      <c r="EJE10" s="699"/>
      <c r="EJF10" s="699"/>
      <c r="EJG10" s="699"/>
      <c r="EJH10" s="699"/>
      <c r="EJI10" s="699"/>
      <c r="EJJ10" s="699"/>
      <c r="EJK10" s="699"/>
      <c r="EJL10" s="699"/>
      <c r="EJM10" s="699"/>
      <c r="EJN10" s="699"/>
      <c r="EJO10" s="699"/>
      <c r="EJP10" s="699"/>
      <c r="EJQ10" s="699"/>
      <c r="EJR10" s="699"/>
      <c r="EJS10" s="699"/>
      <c r="EJT10" s="699"/>
      <c r="EJU10" s="699"/>
      <c r="EJV10" s="699"/>
      <c r="EJW10" s="699"/>
      <c r="EJX10" s="699"/>
      <c r="EJY10" s="699"/>
      <c r="EJZ10" s="699"/>
      <c r="EKA10" s="699"/>
      <c r="EKB10" s="699"/>
      <c r="EKC10" s="699"/>
      <c r="EKD10" s="699"/>
      <c r="EKE10" s="699"/>
      <c r="EKF10" s="699"/>
      <c r="EKG10" s="699"/>
      <c r="EKH10" s="699"/>
      <c r="EKI10" s="699"/>
      <c r="EKJ10" s="699"/>
      <c r="EKK10" s="699"/>
      <c r="EKL10" s="699"/>
      <c r="EKM10" s="699"/>
      <c r="EKN10" s="699"/>
      <c r="EKO10" s="699"/>
      <c r="EKP10" s="699"/>
      <c r="EKQ10" s="699"/>
      <c r="EKR10" s="699"/>
      <c r="EKS10" s="699"/>
      <c r="EKT10" s="699"/>
      <c r="EKU10" s="699"/>
      <c r="EKV10" s="699"/>
      <c r="EKW10" s="699"/>
      <c r="EKX10" s="699"/>
      <c r="EKY10" s="699"/>
      <c r="EKZ10" s="699"/>
      <c r="ELA10" s="699"/>
      <c r="ELB10" s="699"/>
      <c r="ELC10" s="699"/>
      <c r="ELD10" s="699"/>
      <c r="ELE10" s="699"/>
      <c r="ELF10" s="699"/>
      <c r="ELG10" s="699"/>
      <c r="ELH10" s="699"/>
      <c r="ELI10" s="699"/>
      <c r="ELJ10" s="699"/>
      <c r="ELK10" s="699"/>
      <c r="ELL10" s="699"/>
      <c r="ELM10" s="699"/>
      <c r="ELN10" s="699"/>
      <c r="ELO10" s="699"/>
      <c r="ELP10" s="699"/>
      <c r="ELQ10" s="699"/>
      <c r="ELR10" s="699"/>
      <c r="ELS10" s="699"/>
      <c r="ELT10" s="699"/>
      <c r="ELU10" s="699"/>
      <c r="ELV10" s="699"/>
      <c r="ELW10" s="699"/>
      <c r="ELX10" s="699"/>
      <c r="ELY10" s="699"/>
      <c r="ELZ10" s="699"/>
      <c r="EMA10" s="699"/>
      <c r="EMB10" s="699"/>
      <c r="EMC10" s="699"/>
      <c r="EMD10" s="699"/>
      <c r="EME10" s="699"/>
      <c r="EMF10" s="699"/>
      <c r="EMG10" s="699"/>
      <c r="EMH10" s="699"/>
      <c r="EMI10" s="699"/>
      <c r="EMJ10" s="699"/>
      <c r="EMK10" s="699"/>
      <c r="EML10" s="699"/>
      <c r="EMM10" s="699"/>
      <c r="EMN10" s="699"/>
      <c r="EMO10" s="699"/>
      <c r="EMP10" s="699"/>
      <c r="EMQ10" s="699"/>
      <c r="EMR10" s="699"/>
      <c r="EMS10" s="699"/>
      <c r="EMT10" s="699"/>
      <c r="EMU10" s="699"/>
      <c r="EMV10" s="699"/>
      <c r="EMW10" s="699"/>
      <c r="EMX10" s="699"/>
      <c r="EMY10" s="699"/>
      <c r="EMZ10" s="699"/>
      <c r="ENA10" s="699"/>
      <c r="ENB10" s="699"/>
      <c r="ENC10" s="699"/>
      <c r="END10" s="699"/>
      <c r="ENE10" s="699"/>
      <c r="ENF10" s="699"/>
      <c r="ENG10" s="699"/>
      <c r="ENH10" s="699"/>
      <c r="ENI10" s="699"/>
      <c r="ENJ10" s="699"/>
      <c r="ENK10" s="699"/>
      <c r="ENL10" s="699"/>
      <c r="ENM10" s="699"/>
      <c r="ENN10" s="699"/>
      <c r="ENO10" s="699"/>
      <c r="ENP10" s="699"/>
      <c r="ENQ10" s="699"/>
      <c r="ENR10" s="699"/>
      <c r="ENS10" s="699"/>
      <c r="ENT10" s="699"/>
      <c r="ENU10" s="699"/>
      <c r="ENV10" s="699"/>
      <c r="ENW10" s="699"/>
      <c r="ENX10" s="699"/>
      <c r="ENY10" s="699"/>
      <c r="ENZ10" s="699"/>
      <c r="EOA10" s="699"/>
      <c r="EOB10" s="699"/>
      <c r="EOC10" s="699"/>
      <c r="EOD10" s="699"/>
      <c r="EOE10" s="699"/>
      <c r="EOF10" s="699"/>
      <c r="EOG10" s="699"/>
      <c r="EOH10" s="699"/>
      <c r="EOI10" s="699"/>
      <c r="EOJ10" s="699"/>
      <c r="EOK10" s="699"/>
      <c r="EOL10" s="699"/>
      <c r="EOM10" s="699"/>
      <c r="EON10" s="699"/>
      <c r="EOO10" s="699"/>
      <c r="EOP10" s="699"/>
      <c r="EOQ10" s="699"/>
      <c r="EOR10" s="699"/>
      <c r="EOS10" s="699"/>
      <c r="EOT10" s="699"/>
      <c r="EOU10" s="699"/>
      <c r="EOV10" s="699"/>
      <c r="EOW10" s="699"/>
      <c r="EOX10" s="699"/>
      <c r="EOY10" s="699"/>
      <c r="EOZ10" s="699"/>
      <c r="EPA10" s="699"/>
      <c r="EPB10" s="699"/>
      <c r="EPC10" s="699"/>
      <c r="EPD10" s="699"/>
      <c r="EPE10" s="699"/>
      <c r="EPF10" s="699"/>
      <c r="EPG10" s="699"/>
      <c r="EPH10" s="699"/>
      <c r="EPI10" s="699"/>
      <c r="EPJ10" s="699"/>
      <c r="EPK10" s="699"/>
      <c r="EPL10" s="699"/>
      <c r="EPM10" s="699"/>
      <c r="EPN10" s="699"/>
      <c r="EPO10" s="699"/>
      <c r="EPP10" s="699"/>
      <c r="EPQ10" s="699"/>
      <c r="EPR10" s="699"/>
      <c r="EPS10" s="699"/>
      <c r="EPT10" s="699"/>
      <c r="EPU10" s="699"/>
      <c r="EPV10" s="699"/>
      <c r="EPW10" s="699"/>
      <c r="EPX10" s="699"/>
      <c r="EPY10" s="699"/>
      <c r="EPZ10" s="699"/>
      <c r="EQA10" s="699"/>
      <c r="EQB10" s="699"/>
      <c r="EQC10" s="699"/>
      <c r="EQD10" s="699"/>
      <c r="EQE10" s="699"/>
      <c r="EQF10" s="699"/>
      <c r="EQG10" s="699"/>
      <c r="EQH10" s="699"/>
      <c r="EQI10" s="699"/>
      <c r="EQJ10" s="699"/>
      <c r="EQK10" s="699"/>
      <c r="EQL10" s="699"/>
      <c r="EQM10" s="699"/>
      <c r="EQN10" s="699"/>
      <c r="EQO10" s="699"/>
      <c r="EQP10" s="699"/>
      <c r="EQQ10" s="699"/>
      <c r="EQR10" s="699"/>
      <c r="EQS10" s="699"/>
      <c r="EQT10" s="699"/>
      <c r="EQU10" s="699"/>
      <c r="EQV10" s="699"/>
      <c r="EQW10" s="699"/>
      <c r="EQX10" s="699"/>
      <c r="EQY10" s="699"/>
      <c r="EQZ10" s="699"/>
      <c r="ERA10" s="699"/>
      <c r="ERB10" s="699"/>
      <c r="ERC10" s="699"/>
      <c r="ERD10" s="699"/>
      <c r="ERE10" s="699"/>
      <c r="ERF10" s="699"/>
      <c r="ERG10" s="699"/>
      <c r="ERH10" s="699"/>
      <c r="ERI10" s="699"/>
      <c r="ERJ10" s="699"/>
      <c r="ERK10" s="699"/>
      <c r="ERL10" s="699"/>
      <c r="ERM10" s="699"/>
      <c r="ERN10" s="699"/>
      <c r="ERO10" s="699"/>
      <c r="ERP10" s="699"/>
      <c r="ERQ10" s="699"/>
      <c r="ERR10" s="699"/>
      <c r="ERS10" s="699"/>
      <c r="ERT10" s="699"/>
      <c r="ERU10" s="699"/>
      <c r="ERV10" s="699"/>
      <c r="ERW10" s="699"/>
      <c r="ERX10" s="699"/>
      <c r="ERY10" s="699"/>
      <c r="ERZ10" s="699"/>
      <c r="ESA10" s="699"/>
      <c r="ESB10" s="699"/>
      <c r="ESC10" s="699"/>
      <c r="ESD10" s="699"/>
      <c r="ESE10" s="699"/>
      <c r="ESF10" s="699"/>
      <c r="ESG10" s="699"/>
      <c r="ESH10" s="699"/>
      <c r="ESI10" s="699"/>
      <c r="ESJ10" s="699"/>
      <c r="ESK10" s="699"/>
      <c r="ESL10" s="699"/>
      <c r="ESM10" s="699"/>
      <c r="ESN10" s="699"/>
      <c r="ESO10" s="699"/>
      <c r="ESP10" s="699"/>
      <c r="ESQ10" s="699"/>
      <c r="ESR10" s="699"/>
      <c r="ESS10" s="699"/>
      <c r="EST10" s="699"/>
      <c r="ESU10" s="699"/>
      <c r="ESV10" s="699"/>
      <c r="ESW10" s="699"/>
      <c r="ESX10" s="699"/>
      <c r="ESY10" s="699"/>
      <c r="ESZ10" s="699"/>
      <c r="ETA10" s="699"/>
      <c r="ETB10" s="699"/>
      <c r="ETC10" s="699"/>
      <c r="ETD10" s="699"/>
      <c r="ETE10" s="699"/>
      <c r="ETF10" s="699"/>
      <c r="ETG10" s="699"/>
      <c r="ETH10" s="699"/>
      <c r="ETI10" s="699"/>
      <c r="ETJ10" s="699"/>
      <c r="ETK10" s="699"/>
      <c r="ETL10" s="699"/>
      <c r="ETM10" s="699"/>
      <c r="ETN10" s="699"/>
      <c r="ETO10" s="699"/>
      <c r="ETP10" s="699"/>
      <c r="ETQ10" s="699"/>
      <c r="ETR10" s="699"/>
      <c r="ETS10" s="699"/>
      <c r="ETT10" s="699"/>
      <c r="ETU10" s="699"/>
      <c r="ETV10" s="699"/>
      <c r="ETW10" s="699"/>
      <c r="ETX10" s="699"/>
      <c r="ETY10" s="699"/>
      <c r="ETZ10" s="699"/>
      <c r="EUA10" s="699"/>
      <c r="EUB10" s="699"/>
      <c r="EUC10" s="699"/>
      <c r="EUD10" s="699"/>
      <c r="EUE10" s="699"/>
      <c r="EUF10" s="699"/>
      <c r="EUG10" s="699"/>
      <c r="EUH10" s="699"/>
      <c r="EUI10" s="699"/>
      <c r="EUJ10" s="699"/>
      <c r="EUK10" s="699"/>
      <c r="EUL10" s="699"/>
      <c r="EUM10" s="699"/>
      <c r="EUN10" s="699"/>
      <c r="EUO10" s="699"/>
      <c r="EUP10" s="699"/>
      <c r="EUQ10" s="699"/>
      <c r="EUR10" s="699"/>
      <c r="EUS10" s="699"/>
      <c r="EUT10" s="699"/>
      <c r="EUU10" s="699"/>
      <c r="EUV10" s="699"/>
      <c r="EUW10" s="699"/>
      <c r="EUX10" s="699"/>
      <c r="EUY10" s="699"/>
      <c r="EUZ10" s="699"/>
      <c r="EVA10" s="699"/>
      <c r="EVB10" s="699"/>
      <c r="EVC10" s="699"/>
      <c r="EVD10" s="699"/>
      <c r="EVE10" s="699"/>
      <c r="EVF10" s="699"/>
      <c r="EVG10" s="699"/>
      <c r="EVH10" s="699"/>
      <c r="EVI10" s="699"/>
      <c r="EVJ10" s="699"/>
      <c r="EVK10" s="699"/>
      <c r="EVL10" s="699"/>
      <c r="EVM10" s="699"/>
      <c r="EVN10" s="699"/>
      <c r="EVO10" s="699"/>
      <c r="EVP10" s="699"/>
      <c r="EVQ10" s="699"/>
      <c r="EVR10" s="699"/>
      <c r="EVS10" s="699"/>
      <c r="EVT10" s="699"/>
      <c r="EVU10" s="699"/>
      <c r="EVV10" s="699"/>
      <c r="EVW10" s="699"/>
      <c r="EVX10" s="699"/>
      <c r="EVY10" s="699"/>
      <c r="EVZ10" s="699"/>
      <c r="EWA10" s="699"/>
      <c r="EWB10" s="699"/>
      <c r="EWC10" s="699"/>
      <c r="EWD10" s="699"/>
      <c r="EWE10" s="699"/>
      <c r="EWF10" s="699"/>
      <c r="EWG10" s="699"/>
      <c r="EWH10" s="699"/>
      <c r="EWI10" s="699"/>
      <c r="EWJ10" s="699"/>
      <c r="EWK10" s="699"/>
      <c r="EWL10" s="699"/>
      <c r="EWM10" s="699"/>
      <c r="EWN10" s="699"/>
      <c r="EWO10" s="699"/>
      <c r="EWP10" s="699"/>
      <c r="EWQ10" s="699"/>
      <c r="EWR10" s="699"/>
      <c r="EWS10" s="699"/>
      <c r="EWT10" s="699"/>
      <c r="EWU10" s="699"/>
      <c r="EWV10" s="699"/>
      <c r="EWW10" s="699"/>
      <c r="EWX10" s="699"/>
      <c r="EWY10" s="699"/>
      <c r="EWZ10" s="699"/>
      <c r="EXA10" s="699"/>
      <c r="EXB10" s="699"/>
      <c r="EXC10" s="699"/>
      <c r="EXD10" s="699"/>
      <c r="EXE10" s="699"/>
      <c r="EXF10" s="699"/>
      <c r="EXG10" s="699"/>
      <c r="EXH10" s="699"/>
      <c r="EXI10" s="699"/>
      <c r="EXJ10" s="699"/>
      <c r="EXK10" s="699"/>
      <c r="EXL10" s="699"/>
      <c r="EXM10" s="699"/>
      <c r="EXN10" s="699"/>
      <c r="EXO10" s="699"/>
      <c r="EXP10" s="699"/>
      <c r="EXQ10" s="699"/>
      <c r="EXR10" s="699"/>
      <c r="EXS10" s="699"/>
      <c r="EXT10" s="699"/>
      <c r="EXU10" s="699"/>
      <c r="EXV10" s="699"/>
      <c r="EXW10" s="699"/>
      <c r="EXX10" s="699"/>
      <c r="EXY10" s="699"/>
      <c r="EXZ10" s="699"/>
      <c r="EYA10" s="699"/>
      <c r="EYB10" s="699"/>
      <c r="EYC10" s="699"/>
      <c r="EYD10" s="699"/>
      <c r="EYE10" s="699"/>
      <c r="EYF10" s="699"/>
      <c r="EYG10" s="699"/>
      <c r="EYH10" s="699"/>
      <c r="EYI10" s="699"/>
      <c r="EYJ10" s="699"/>
      <c r="EYK10" s="699"/>
      <c r="EYL10" s="699"/>
      <c r="EYM10" s="699"/>
      <c r="EYN10" s="699"/>
      <c r="EYO10" s="699"/>
      <c r="EYP10" s="699"/>
      <c r="EYQ10" s="699"/>
      <c r="EYR10" s="699"/>
      <c r="EYS10" s="699"/>
      <c r="EYT10" s="699"/>
      <c r="EYU10" s="699"/>
      <c r="EYV10" s="699"/>
      <c r="EYW10" s="699"/>
      <c r="EYX10" s="699"/>
      <c r="EYY10" s="699"/>
      <c r="EYZ10" s="699"/>
      <c r="EZA10" s="699"/>
      <c r="EZB10" s="699"/>
      <c r="EZC10" s="699"/>
      <c r="EZD10" s="699"/>
      <c r="EZE10" s="699"/>
      <c r="EZF10" s="699"/>
      <c r="EZG10" s="699"/>
      <c r="EZH10" s="699"/>
      <c r="EZI10" s="699"/>
      <c r="EZJ10" s="699"/>
      <c r="EZK10" s="699"/>
      <c r="EZL10" s="699"/>
      <c r="EZM10" s="699"/>
      <c r="EZN10" s="699"/>
      <c r="EZO10" s="699"/>
      <c r="EZP10" s="699"/>
      <c r="EZQ10" s="699"/>
      <c r="EZR10" s="699"/>
      <c r="EZS10" s="699"/>
      <c r="EZT10" s="699"/>
      <c r="EZU10" s="699"/>
      <c r="EZV10" s="699"/>
      <c r="EZW10" s="699"/>
      <c r="EZX10" s="699"/>
      <c r="EZY10" s="699"/>
      <c r="EZZ10" s="699"/>
      <c r="FAA10" s="699"/>
      <c r="FAB10" s="699"/>
      <c r="FAC10" s="699"/>
      <c r="FAD10" s="699"/>
      <c r="FAE10" s="699"/>
      <c r="FAF10" s="699"/>
      <c r="FAG10" s="699"/>
      <c r="FAH10" s="699"/>
      <c r="FAI10" s="699"/>
      <c r="FAJ10" s="699"/>
      <c r="FAK10" s="699"/>
      <c r="FAL10" s="699"/>
      <c r="FAM10" s="699"/>
      <c r="FAN10" s="699"/>
      <c r="FAO10" s="699"/>
      <c r="FAP10" s="699"/>
      <c r="FAQ10" s="699"/>
      <c r="FAR10" s="699"/>
      <c r="FAS10" s="699"/>
      <c r="FAT10" s="699"/>
      <c r="FAU10" s="699"/>
      <c r="FAV10" s="699"/>
      <c r="FAW10" s="699"/>
      <c r="FAX10" s="699"/>
      <c r="FAY10" s="699"/>
      <c r="FAZ10" s="699"/>
      <c r="FBA10" s="699"/>
      <c r="FBB10" s="699"/>
      <c r="FBC10" s="699"/>
      <c r="FBD10" s="699"/>
      <c r="FBE10" s="699"/>
      <c r="FBF10" s="699"/>
      <c r="FBG10" s="699"/>
      <c r="FBH10" s="699"/>
      <c r="FBI10" s="699"/>
      <c r="FBJ10" s="699"/>
      <c r="FBK10" s="699"/>
      <c r="FBL10" s="699"/>
      <c r="FBM10" s="699"/>
      <c r="FBN10" s="699"/>
      <c r="FBO10" s="699"/>
      <c r="FBP10" s="699"/>
      <c r="FBQ10" s="699"/>
      <c r="FBR10" s="699"/>
      <c r="FBS10" s="699"/>
      <c r="FBT10" s="699"/>
      <c r="FBU10" s="699"/>
      <c r="FBV10" s="699"/>
      <c r="FBW10" s="699"/>
      <c r="FBX10" s="699"/>
      <c r="FBY10" s="699"/>
      <c r="FBZ10" s="699"/>
      <c r="FCA10" s="699"/>
      <c r="FCB10" s="699"/>
      <c r="FCC10" s="699"/>
      <c r="FCD10" s="699"/>
      <c r="FCE10" s="699"/>
      <c r="FCF10" s="699"/>
      <c r="FCG10" s="699"/>
      <c r="FCH10" s="699"/>
      <c r="FCI10" s="699"/>
      <c r="FCJ10" s="699"/>
      <c r="FCK10" s="699"/>
      <c r="FCL10" s="699"/>
      <c r="FCM10" s="699"/>
      <c r="FCN10" s="699"/>
      <c r="FCO10" s="699"/>
      <c r="FCP10" s="699"/>
      <c r="FCQ10" s="699"/>
      <c r="FCR10" s="699"/>
      <c r="FCS10" s="699"/>
      <c r="FCT10" s="699"/>
      <c r="FCU10" s="699"/>
      <c r="FCV10" s="699"/>
      <c r="FCW10" s="699"/>
      <c r="FCX10" s="699"/>
      <c r="FCY10" s="699"/>
      <c r="FCZ10" s="699"/>
      <c r="FDA10" s="699"/>
      <c r="FDB10" s="699"/>
      <c r="FDC10" s="699"/>
      <c r="FDD10" s="699"/>
      <c r="FDE10" s="699"/>
      <c r="FDF10" s="699"/>
      <c r="FDG10" s="699"/>
      <c r="FDH10" s="699"/>
      <c r="FDI10" s="699"/>
      <c r="FDJ10" s="699"/>
      <c r="FDK10" s="699"/>
      <c r="FDL10" s="699"/>
      <c r="FDM10" s="699"/>
      <c r="FDN10" s="699"/>
      <c r="FDO10" s="699"/>
      <c r="FDP10" s="699"/>
      <c r="FDQ10" s="699"/>
      <c r="FDR10" s="699"/>
      <c r="FDS10" s="699"/>
      <c r="FDT10" s="699"/>
      <c r="FDU10" s="699"/>
      <c r="FDV10" s="699"/>
      <c r="FDW10" s="699"/>
      <c r="FDX10" s="699"/>
      <c r="FDY10" s="699"/>
      <c r="FDZ10" s="699"/>
      <c r="FEA10" s="699"/>
      <c r="FEB10" s="699"/>
      <c r="FEC10" s="699"/>
      <c r="FED10" s="699"/>
      <c r="FEE10" s="699"/>
      <c r="FEF10" s="699"/>
      <c r="FEG10" s="699"/>
      <c r="FEH10" s="699"/>
      <c r="FEI10" s="699"/>
      <c r="FEJ10" s="699"/>
      <c r="FEK10" s="699"/>
      <c r="FEL10" s="699"/>
      <c r="FEM10" s="699"/>
      <c r="FEN10" s="699"/>
      <c r="FEO10" s="699"/>
      <c r="FEP10" s="699"/>
      <c r="FEQ10" s="699"/>
      <c r="FER10" s="699"/>
      <c r="FES10" s="699"/>
      <c r="FET10" s="699"/>
      <c r="FEU10" s="699"/>
      <c r="FEV10" s="699"/>
      <c r="FEW10" s="699"/>
      <c r="FEX10" s="699"/>
      <c r="FEY10" s="699"/>
      <c r="FEZ10" s="699"/>
      <c r="FFA10" s="699"/>
      <c r="FFB10" s="699"/>
      <c r="FFC10" s="699"/>
      <c r="FFD10" s="699"/>
      <c r="FFE10" s="699"/>
      <c r="FFF10" s="699"/>
      <c r="FFG10" s="699"/>
      <c r="FFH10" s="699"/>
      <c r="FFI10" s="699"/>
      <c r="FFJ10" s="699"/>
      <c r="FFK10" s="699"/>
      <c r="FFL10" s="699"/>
      <c r="FFM10" s="699"/>
      <c r="FFN10" s="699"/>
      <c r="FFO10" s="699"/>
      <c r="FFP10" s="699"/>
      <c r="FFQ10" s="699"/>
      <c r="FFR10" s="699"/>
      <c r="FFS10" s="699"/>
      <c r="FFT10" s="699"/>
      <c r="FFU10" s="699"/>
      <c r="FFV10" s="699"/>
      <c r="FFW10" s="699"/>
      <c r="FFX10" s="699"/>
      <c r="FFY10" s="699"/>
      <c r="FFZ10" s="699"/>
      <c r="FGA10" s="699"/>
      <c r="FGB10" s="699"/>
      <c r="FGC10" s="699"/>
      <c r="FGD10" s="699"/>
      <c r="FGE10" s="699"/>
      <c r="FGF10" s="699"/>
      <c r="FGG10" s="699"/>
      <c r="FGH10" s="699"/>
      <c r="FGI10" s="699"/>
      <c r="FGJ10" s="699"/>
      <c r="FGK10" s="699"/>
      <c r="FGL10" s="699"/>
      <c r="FGM10" s="699"/>
      <c r="FGN10" s="699"/>
      <c r="FGO10" s="699"/>
      <c r="FGP10" s="699"/>
      <c r="FGQ10" s="699"/>
      <c r="FGR10" s="699"/>
      <c r="FGS10" s="699"/>
      <c r="FGT10" s="699"/>
      <c r="FGU10" s="699"/>
      <c r="FGV10" s="699"/>
      <c r="FGW10" s="699"/>
      <c r="FGX10" s="699"/>
      <c r="FGY10" s="699"/>
      <c r="FGZ10" s="699"/>
      <c r="FHA10" s="699"/>
      <c r="FHB10" s="699"/>
      <c r="FHC10" s="699"/>
      <c r="FHD10" s="699"/>
      <c r="FHE10" s="699"/>
      <c r="FHF10" s="699"/>
      <c r="FHG10" s="699"/>
      <c r="FHH10" s="699"/>
      <c r="FHI10" s="699"/>
      <c r="FHJ10" s="699"/>
      <c r="FHK10" s="699"/>
      <c r="FHL10" s="699"/>
      <c r="FHM10" s="699"/>
      <c r="FHN10" s="699"/>
      <c r="FHO10" s="699"/>
      <c r="FHP10" s="699"/>
      <c r="FHQ10" s="699"/>
      <c r="FHR10" s="699"/>
      <c r="FHS10" s="699"/>
      <c r="FHT10" s="699"/>
      <c r="FHU10" s="699"/>
      <c r="FHV10" s="699"/>
      <c r="FHW10" s="699"/>
      <c r="FHX10" s="699"/>
      <c r="FHY10" s="699"/>
      <c r="FHZ10" s="699"/>
      <c r="FIA10" s="699"/>
      <c r="FIB10" s="699"/>
      <c r="FIC10" s="699"/>
      <c r="FID10" s="699"/>
      <c r="FIE10" s="699"/>
      <c r="FIF10" s="699"/>
      <c r="FIG10" s="699"/>
      <c r="FIH10" s="699"/>
      <c r="FII10" s="699"/>
      <c r="FIJ10" s="699"/>
      <c r="FIK10" s="699"/>
      <c r="FIL10" s="699"/>
      <c r="FIM10" s="699"/>
      <c r="FIN10" s="699"/>
      <c r="FIO10" s="699"/>
      <c r="FIP10" s="699"/>
      <c r="FIQ10" s="699"/>
      <c r="FIR10" s="699"/>
      <c r="FIS10" s="699"/>
      <c r="FIT10" s="699"/>
      <c r="FIU10" s="699"/>
      <c r="FIV10" s="699"/>
      <c r="FIW10" s="699"/>
      <c r="FIX10" s="699"/>
      <c r="FIY10" s="699"/>
      <c r="FIZ10" s="699"/>
      <c r="FJA10" s="699"/>
      <c r="FJB10" s="699"/>
      <c r="FJC10" s="699"/>
      <c r="FJD10" s="699"/>
      <c r="FJE10" s="699"/>
      <c r="FJF10" s="699"/>
      <c r="FJG10" s="699"/>
      <c r="FJH10" s="699"/>
      <c r="FJI10" s="699"/>
      <c r="FJJ10" s="699"/>
      <c r="FJK10" s="699"/>
      <c r="FJL10" s="699"/>
      <c r="FJM10" s="699"/>
      <c r="FJN10" s="699"/>
      <c r="FJO10" s="699"/>
      <c r="FJP10" s="699"/>
      <c r="FJQ10" s="699"/>
      <c r="FJR10" s="699"/>
      <c r="FJS10" s="699"/>
      <c r="FJT10" s="699"/>
      <c r="FJU10" s="699"/>
      <c r="FJV10" s="699"/>
      <c r="FJW10" s="699"/>
      <c r="FJX10" s="699"/>
      <c r="FJY10" s="699"/>
      <c r="FJZ10" s="699"/>
      <c r="FKA10" s="699"/>
      <c r="FKB10" s="699"/>
      <c r="FKC10" s="699"/>
      <c r="FKD10" s="699"/>
      <c r="FKE10" s="699"/>
      <c r="FKF10" s="699"/>
      <c r="FKG10" s="699"/>
      <c r="FKH10" s="699"/>
      <c r="FKI10" s="699"/>
      <c r="FKJ10" s="699"/>
      <c r="FKK10" s="699"/>
      <c r="FKL10" s="699"/>
      <c r="FKM10" s="699"/>
      <c r="FKN10" s="699"/>
      <c r="FKO10" s="699"/>
      <c r="FKP10" s="699"/>
      <c r="FKQ10" s="699"/>
      <c r="FKR10" s="699"/>
      <c r="FKS10" s="699"/>
      <c r="FKT10" s="699"/>
      <c r="FKU10" s="699"/>
      <c r="FKV10" s="699"/>
      <c r="FKW10" s="699"/>
      <c r="FKX10" s="699"/>
      <c r="FKY10" s="699"/>
      <c r="FKZ10" s="699"/>
      <c r="FLA10" s="699"/>
      <c r="FLB10" s="699"/>
      <c r="FLC10" s="699"/>
      <c r="FLD10" s="699"/>
      <c r="FLE10" s="699"/>
      <c r="FLF10" s="699"/>
      <c r="FLG10" s="699"/>
      <c r="FLH10" s="699"/>
      <c r="FLI10" s="699"/>
      <c r="FLJ10" s="699"/>
      <c r="FLK10" s="699"/>
      <c r="FLL10" s="699"/>
      <c r="FLM10" s="699"/>
      <c r="FLN10" s="699"/>
      <c r="FLO10" s="699"/>
      <c r="FLP10" s="699"/>
      <c r="FLQ10" s="699"/>
      <c r="FLR10" s="699"/>
      <c r="FLS10" s="699"/>
      <c r="FLT10" s="699"/>
      <c r="FLU10" s="699"/>
      <c r="FLV10" s="699"/>
      <c r="FLW10" s="699"/>
      <c r="FLX10" s="699"/>
      <c r="FLY10" s="699"/>
      <c r="FLZ10" s="699"/>
      <c r="FMA10" s="699"/>
      <c r="FMB10" s="699"/>
      <c r="FMC10" s="699"/>
      <c r="FMD10" s="699"/>
      <c r="FME10" s="699"/>
      <c r="FMF10" s="699"/>
      <c r="FMG10" s="699"/>
      <c r="FMH10" s="699"/>
      <c r="FMI10" s="699"/>
      <c r="FMJ10" s="699"/>
      <c r="FMK10" s="699"/>
      <c r="FML10" s="699"/>
      <c r="FMM10" s="699"/>
      <c r="FMN10" s="699"/>
      <c r="FMO10" s="699"/>
      <c r="FMP10" s="699"/>
      <c r="FMQ10" s="699"/>
      <c r="FMR10" s="699"/>
      <c r="FMS10" s="699"/>
      <c r="FMT10" s="699"/>
      <c r="FMU10" s="699"/>
      <c r="FMV10" s="699"/>
      <c r="FMW10" s="699"/>
      <c r="FMX10" s="699"/>
      <c r="FMY10" s="699"/>
      <c r="FMZ10" s="699"/>
      <c r="FNA10" s="699"/>
      <c r="FNB10" s="699"/>
      <c r="FNC10" s="699"/>
      <c r="FND10" s="699"/>
      <c r="FNE10" s="699"/>
      <c r="FNF10" s="699"/>
      <c r="FNG10" s="699"/>
      <c r="FNH10" s="699"/>
      <c r="FNI10" s="699"/>
      <c r="FNJ10" s="699"/>
      <c r="FNK10" s="699"/>
      <c r="FNL10" s="699"/>
      <c r="FNM10" s="699"/>
      <c r="FNN10" s="699"/>
      <c r="FNO10" s="699"/>
      <c r="FNP10" s="699"/>
      <c r="FNQ10" s="699"/>
      <c r="FNR10" s="699"/>
      <c r="FNS10" s="699"/>
      <c r="FNT10" s="699"/>
      <c r="FNU10" s="699"/>
      <c r="FNV10" s="699"/>
      <c r="FNW10" s="699"/>
      <c r="FNX10" s="699"/>
      <c r="FNY10" s="699"/>
      <c r="FNZ10" s="699"/>
      <c r="FOA10" s="699"/>
      <c r="FOB10" s="699"/>
      <c r="FOC10" s="699"/>
      <c r="FOD10" s="699"/>
      <c r="FOE10" s="699"/>
      <c r="FOF10" s="699"/>
      <c r="FOG10" s="699"/>
      <c r="FOH10" s="699"/>
      <c r="FOI10" s="699"/>
      <c r="FOJ10" s="699"/>
      <c r="FOK10" s="699"/>
      <c r="FOL10" s="699"/>
      <c r="FOM10" s="699"/>
      <c r="FON10" s="699"/>
      <c r="FOO10" s="699"/>
      <c r="FOP10" s="699"/>
      <c r="FOQ10" s="699"/>
      <c r="FOR10" s="699"/>
      <c r="FOS10" s="699"/>
      <c r="FOT10" s="699"/>
      <c r="FOU10" s="699"/>
      <c r="FOV10" s="699"/>
      <c r="FOW10" s="699"/>
      <c r="FOX10" s="699"/>
      <c r="FOY10" s="699"/>
      <c r="FOZ10" s="699"/>
      <c r="FPA10" s="699"/>
      <c r="FPB10" s="699"/>
      <c r="FPC10" s="699"/>
      <c r="FPD10" s="699"/>
      <c r="FPE10" s="699"/>
      <c r="FPF10" s="699"/>
      <c r="FPG10" s="699"/>
      <c r="FPH10" s="699"/>
      <c r="FPI10" s="699"/>
      <c r="FPJ10" s="699"/>
      <c r="FPK10" s="699"/>
      <c r="FPL10" s="699"/>
      <c r="FPM10" s="699"/>
      <c r="FPN10" s="699"/>
      <c r="FPO10" s="699"/>
      <c r="FPP10" s="699"/>
      <c r="FPQ10" s="699"/>
      <c r="FPR10" s="699"/>
      <c r="FPS10" s="699"/>
      <c r="FPT10" s="699"/>
      <c r="FPU10" s="699"/>
      <c r="FPV10" s="699"/>
      <c r="FPW10" s="699"/>
      <c r="FPX10" s="699"/>
      <c r="FPY10" s="699"/>
      <c r="FPZ10" s="699"/>
      <c r="FQA10" s="699"/>
      <c r="FQB10" s="699"/>
      <c r="FQC10" s="699"/>
      <c r="FQD10" s="699"/>
      <c r="FQE10" s="699"/>
      <c r="FQF10" s="699"/>
      <c r="FQG10" s="699"/>
      <c r="FQH10" s="699"/>
      <c r="FQI10" s="699"/>
      <c r="FQJ10" s="699"/>
      <c r="FQK10" s="699"/>
      <c r="FQL10" s="699"/>
      <c r="FQM10" s="699"/>
      <c r="FQN10" s="699"/>
      <c r="FQO10" s="699"/>
      <c r="FQP10" s="699"/>
      <c r="FQQ10" s="699"/>
      <c r="FQR10" s="699"/>
      <c r="FQS10" s="699"/>
      <c r="FQT10" s="699"/>
      <c r="FQU10" s="699"/>
      <c r="FQV10" s="699"/>
      <c r="FQW10" s="699"/>
      <c r="FQX10" s="699"/>
      <c r="FQY10" s="699"/>
      <c r="FQZ10" s="699"/>
      <c r="FRA10" s="699"/>
      <c r="FRB10" s="699"/>
      <c r="FRC10" s="699"/>
      <c r="FRD10" s="699"/>
      <c r="FRE10" s="699"/>
      <c r="FRF10" s="699"/>
      <c r="FRG10" s="699"/>
      <c r="FRH10" s="699"/>
      <c r="FRI10" s="699"/>
      <c r="FRJ10" s="699"/>
      <c r="FRK10" s="699"/>
      <c r="FRL10" s="699"/>
      <c r="FRM10" s="699"/>
      <c r="FRN10" s="699"/>
      <c r="FRO10" s="699"/>
      <c r="FRP10" s="699"/>
      <c r="FRQ10" s="699"/>
      <c r="FRR10" s="699"/>
      <c r="FRS10" s="699"/>
      <c r="FRT10" s="699"/>
      <c r="FRU10" s="699"/>
      <c r="FRV10" s="699"/>
      <c r="FRW10" s="699"/>
      <c r="FRX10" s="699"/>
      <c r="FRY10" s="699"/>
      <c r="FRZ10" s="699"/>
      <c r="FSA10" s="699"/>
      <c r="FSB10" s="699"/>
      <c r="FSC10" s="699"/>
      <c r="FSD10" s="699"/>
      <c r="FSE10" s="699"/>
      <c r="FSF10" s="699"/>
      <c r="FSG10" s="699"/>
      <c r="FSH10" s="699"/>
      <c r="FSI10" s="699"/>
      <c r="FSJ10" s="699"/>
      <c r="FSK10" s="699"/>
      <c r="FSL10" s="699"/>
      <c r="FSM10" s="699"/>
      <c r="FSN10" s="699"/>
      <c r="FSO10" s="699"/>
      <c r="FSP10" s="699"/>
      <c r="FSQ10" s="699"/>
      <c r="FSR10" s="699"/>
      <c r="FSS10" s="699"/>
      <c r="FST10" s="699"/>
      <c r="FSU10" s="699"/>
      <c r="FSV10" s="699"/>
      <c r="FSW10" s="699"/>
      <c r="FSX10" s="699"/>
      <c r="FSY10" s="699"/>
      <c r="FSZ10" s="699"/>
      <c r="FTA10" s="699"/>
      <c r="FTB10" s="699"/>
      <c r="FTC10" s="699"/>
      <c r="FTD10" s="699"/>
      <c r="FTE10" s="699"/>
      <c r="FTF10" s="699"/>
      <c r="FTG10" s="699"/>
      <c r="FTH10" s="699"/>
      <c r="FTI10" s="699"/>
      <c r="FTJ10" s="699"/>
      <c r="FTK10" s="699"/>
      <c r="FTL10" s="699"/>
      <c r="FTM10" s="699"/>
      <c r="FTN10" s="699"/>
      <c r="FTO10" s="699"/>
      <c r="FTP10" s="699"/>
      <c r="FTQ10" s="699"/>
      <c r="FTR10" s="699"/>
      <c r="FTS10" s="699"/>
      <c r="FTT10" s="699"/>
      <c r="FTU10" s="699"/>
      <c r="FTV10" s="699"/>
      <c r="FTW10" s="699"/>
      <c r="FTX10" s="699"/>
      <c r="FTY10" s="699"/>
      <c r="FTZ10" s="699"/>
      <c r="FUA10" s="699"/>
      <c r="FUB10" s="699"/>
      <c r="FUC10" s="699"/>
      <c r="FUD10" s="699"/>
      <c r="FUE10" s="699"/>
      <c r="FUF10" s="699"/>
      <c r="FUG10" s="699"/>
      <c r="FUH10" s="699"/>
      <c r="FUI10" s="699"/>
      <c r="FUJ10" s="699"/>
      <c r="FUK10" s="699"/>
      <c r="FUL10" s="699"/>
      <c r="FUM10" s="699"/>
      <c r="FUN10" s="699"/>
      <c r="FUO10" s="699"/>
      <c r="FUP10" s="699"/>
      <c r="FUQ10" s="699"/>
      <c r="FUR10" s="699"/>
      <c r="FUS10" s="699"/>
      <c r="FUT10" s="699"/>
      <c r="FUU10" s="699"/>
      <c r="FUV10" s="699"/>
      <c r="FUW10" s="699"/>
      <c r="FUX10" s="699"/>
      <c r="FUY10" s="699"/>
      <c r="FUZ10" s="699"/>
      <c r="FVA10" s="699"/>
      <c r="FVB10" s="699"/>
      <c r="FVC10" s="699"/>
      <c r="FVD10" s="699"/>
      <c r="FVE10" s="699"/>
      <c r="FVF10" s="699"/>
      <c r="FVG10" s="699"/>
      <c r="FVH10" s="699"/>
      <c r="FVI10" s="699"/>
      <c r="FVJ10" s="699"/>
      <c r="FVK10" s="699"/>
      <c r="FVL10" s="699"/>
      <c r="FVM10" s="699"/>
      <c r="FVN10" s="699"/>
      <c r="FVO10" s="699"/>
      <c r="FVP10" s="699"/>
      <c r="FVQ10" s="699"/>
      <c r="FVR10" s="699"/>
      <c r="FVS10" s="699"/>
      <c r="FVT10" s="699"/>
      <c r="FVU10" s="699"/>
      <c r="FVV10" s="699"/>
      <c r="FVW10" s="699"/>
      <c r="FVX10" s="699"/>
      <c r="FVY10" s="699"/>
      <c r="FVZ10" s="699"/>
      <c r="FWA10" s="699"/>
      <c r="FWB10" s="699"/>
      <c r="FWC10" s="699"/>
      <c r="FWD10" s="699"/>
      <c r="FWE10" s="699"/>
      <c r="FWF10" s="699"/>
      <c r="FWG10" s="699"/>
      <c r="FWH10" s="699"/>
      <c r="FWI10" s="699"/>
      <c r="FWJ10" s="699"/>
      <c r="FWK10" s="699"/>
      <c r="FWL10" s="699"/>
      <c r="FWM10" s="699"/>
      <c r="FWN10" s="699"/>
      <c r="FWO10" s="699"/>
      <c r="FWP10" s="699"/>
      <c r="FWQ10" s="699"/>
      <c r="FWR10" s="699"/>
      <c r="FWS10" s="699"/>
      <c r="FWT10" s="699"/>
      <c r="FWU10" s="699"/>
      <c r="FWV10" s="699"/>
      <c r="FWW10" s="699"/>
      <c r="FWX10" s="699"/>
      <c r="FWY10" s="699"/>
      <c r="FWZ10" s="699"/>
      <c r="FXA10" s="699"/>
      <c r="FXB10" s="699"/>
      <c r="FXC10" s="699"/>
      <c r="FXD10" s="699"/>
      <c r="FXE10" s="699"/>
      <c r="FXF10" s="699"/>
      <c r="FXG10" s="699"/>
      <c r="FXH10" s="699"/>
      <c r="FXI10" s="699"/>
      <c r="FXJ10" s="699"/>
      <c r="FXK10" s="699"/>
      <c r="FXL10" s="699"/>
      <c r="FXM10" s="699"/>
      <c r="FXN10" s="699"/>
      <c r="FXO10" s="699"/>
      <c r="FXP10" s="699"/>
      <c r="FXQ10" s="699"/>
      <c r="FXR10" s="699"/>
      <c r="FXS10" s="699"/>
      <c r="FXT10" s="699"/>
      <c r="FXU10" s="699"/>
      <c r="FXV10" s="699"/>
      <c r="FXW10" s="699"/>
      <c r="FXX10" s="699"/>
      <c r="FXY10" s="699"/>
      <c r="FXZ10" s="699"/>
      <c r="FYA10" s="699"/>
      <c r="FYB10" s="699"/>
      <c r="FYC10" s="699"/>
      <c r="FYD10" s="699"/>
      <c r="FYE10" s="699"/>
      <c r="FYF10" s="699"/>
      <c r="FYG10" s="699"/>
      <c r="FYH10" s="699"/>
      <c r="FYI10" s="699"/>
      <c r="FYJ10" s="699"/>
      <c r="FYK10" s="699"/>
      <c r="FYL10" s="699"/>
      <c r="FYM10" s="699"/>
      <c r="FYN10" s="699"/>
      <c r="FYO10" s="699"/>
      <c r="FYP10" s="699"/>
      <c r="FYQ10" s="699"/>
      <c r="FYR10" s="699"/>
      <c r="FYS10" s="699"/>
      <c r="FYT10" s="699"/>
      <c r="FYU10" s="699"/>
      <c r="FYV10" s="699"/>
      <c r="FYW10" s="699"/>
      <c r="FYX10" s="699"/>
      <c r="FYY10" s="699"/>
      <c r="FYZ10" s="699"/>
      <c r="FZA10" s="699"/>
      <c r="FZB10" s="699"/>
      <c r="FZC10" s="699"/>
      <c r="FZD10" s="699"/>
      <c r="FZE10" s="699"/>
      <c r="FZF10" s="699"/>
      <c r="FZG10" s="699"/>
      <c r="FZH10" s="699"/>
      <c r="FZI10" s="699"/>
      <c r="FZJ10" s="699"/>
      <c r="FZK10" s="699"/>
      <c r="FZL10" s="699"/>
      <c r="FZM10" s="699"/>
      <c r="FZN10" s="699"/>
      <c r="FZO10" s="699"/>
      <c r="FZP10" s="699"/>
      <c r="FZQ10" s="699"/>
      <c r="FZR10" s="699"/>
      <c r="FZS10" s="699"/>
      <c r="FZT10" s="699"/>
      <c r="FZU10" s="699"/>
      <c r="FZV10" s="699"/>
      <c r="FZW10" s="699"/>
      <c r="FZX10" s="699"/>
      <c r="FZY10" s="699"/>
      <c r="FZZ10" s="699"/>
      <c r="GAA10" s="699"/>
      <c r="GAB10" s="699"/>
      <c r="GAC10" s="699"/>
      <c r="GAD10" s="699"/>
      <c r="GAE10" s="699"/>
      <c r="GAF10" s="699"/>
      <c r="GAG10" s="699"/>
      <c r="GAH10" s="699"/>
      <c r="GAI10" s="699"/>
      <c r="GAJ10" s="699"/>
      <c r="GAK10" s="699"/>
      <c r="GAL10" s="699"/>
      <c r="GAM10" s="699"/>
      <c r="GAN10" s="699"/>
      <c r="GAO10" s="699"/>
      <c r="GAP10" s="699"/>
      <c r="GAQ10" s="699"/>
      <c r="GAR10" s="699"/>
      <c r="GAS10" s="699"/>
      <c r="GAT10" s="699"/>
      <c r="GAU10" s="699"/>
      <c r="GAV10" s="699"/>
      <c r="GAW10" s="699"/>
      <c r="GAX10" s="699"/>
      <c r="GAY10" s="699"/>
      <c r="GAZ10" s="699"/>
      <c r="GBA10" s="699"/>
      <c r="GBB10" s="699"/>
      <c r="GBC10" s="699"/>
      <c r="GBD10" s="699"/>
      <c r="GBE10" s="699"/>
      <c r="GBF10" s="699"/>
      <c r="GBG10" s="699"/>
      <c r="GBH10" s="699"/>
      <c r="GBI10" s="699"/>
      <c r="GBJ10" s="699"/>
      <c r="GBK10" s="699"/>
      <c r="GBL10" s="699"/>
      <c r="GBM10" s="699"/>
      <c r="GBN10" s="699"/>
      <c r="GBO10" s="699"/>
      <c r="GBP10" s="699"/>
      <c r="GBQ10" s="699"/>
      <c r="GBR10" s="699"/>
      <c r="GBS10" s="699"/>
      <c r="GBT10" s="699"/>
      <c r="GBU10" s="699"/>
      <c r="GBV10" s="699"/>
      <c r="GBW10" s="699"/>
      <c r="GBX10" s="699"/>
      <c r="GBY10" s="699"/>
      <c r="GBZ10" s="699"/>
      <c r="GCA10" s="699"/>
      <c r="GCB10" s="699"/>
      <c r="GCC10" s="699"/>
      <c r="GCD10" s="699"/>
      <c r="GCE10" s="699"/>
      <c r="GCF10" s="699"/>
      <c r="GCG10" s="699"/>
      <c r="GCH10" s="699"/>
      <c r="GCI10" s="699"/>
      <c r="GCJ10" s="699"/>
      <c r="GCK10" s="699"/>
      <c r="GCL10" s="699"/>
      <c r="GCM10" s="699"/>
      <c r="GCN10" s="699"/>
      <c r="GCO10" s="699"/>
      <c r="GCP10" s="699"/>
      <c r="GCQ10" s="699"/>
      <c r="GCR10" s="699"/>
      <c r="GCS10" s="699"/>
      <c r="GCT10" s="699"/>
      <c r="GCU10" s="699"/>
      <c r="GCV10" s="699"/>
      <c r="GCW10" s="699"/>
      <c r="GCX10" s="699"/>
      <c r="GCY10" s="699"/>
      <c r="GCZ10" s="699"/>
      <c r="GDA10" s="699"/>
      <c r="GDB10" s="699"/>
      <c r="GDC10" s="699"/>
      <c r="GDD10" s="699"/>
      <c r="GDE10" s="699"/>
      <c r="GDF10" s="699"/>
      <c r="GDG10" s="699"/>
      <c r="GDH10" s="699"/>
      <c r="GDI10" s="699"/>
      <c r="GDJ10" s="699"/>
      <c r="GDK10" s="699"/>
      <c r="GDL10" s="699"/>
      <c r="GDM10" s="699"/>
      <c r="GDN10" s="699"/>
      <c r="GDO10" s="699"/>
      <c r="GDP10" s="699"/>
      <c r="GDQ10" s="699"/>
      <c r="GDR10" s="699"/>
      <c r="GDS10" s="699"/>
      <c r="GDT10" s="699"/>
      <c r="GDU10" s="699"/>
      <c r="GDV10" s="699"/>
      <c r="GDW10" s="699"/>
      <c r="GDX10" s="699"/>
      <c r="GDY10" s="699"/>
      <c r="GDZ10" s="699"/>
      <c r="GEA10" s="699"/>
      <c r="GEB10" s="699"/>
      <c r="GEC10" s="699"/>
      <c r="GED10" s="699"/>
      <c r="GEE10" s="699"/>
      <c r="GEF10" s="699"/>
      <c r="GEG10" s="699"/>
      <c r="GEH10" s="699"/>
      <c r="GEI10" s="699"/>
      <c r="GEJ10" s="699"/>
      <c r="GEK10" s="699"/>
      <c r="GEL10" s="699"/>
      <c r="GEM10" s="699"/>
      <c r="GEN10" s="699"/>
      <c r="GEO10" s="699"/>
      <c r="GEP10" s="699"/>
      <c r="GEQ10" s="699"/>
      <c r="GER10" s="699"/>
      <c r="GES10" s="699"/>
      <c r="GET10" s="699"/>
      <c r="GEU10" s="699"/>
      <c r="GEV10" s="699"/>
      <c r="GEW10" s="699"/>
      <c r="GEX10" s="699"/>
      <c r="GEY10" s="699"/>
      <c r="GEZ10" s="699"/>
      <c r="GFA10" s="699"/>
      <c r="GFB10" s="699"/>
      <c r="GFC10" s="699"/>
      <c r="GFD10" s="699"/>
      <c r="GFE10" s="699"/>
      <c r="GFF10" s="699"/>
      <c r="GFG10" s="699"/>
      <c r="GFH10" s="699"/>
      <c r="GFI10" s="699"/>
      <c r="GFJ10" s="699"/>
      <c r="GFK10" s="699"/>
      <c r="GFL10" s="699"/>
      <c r="GFM10" s="699"/>
      <c r="GFN10" s="699"/>
      <c r="GFO10" s="699"/>
      <c r="GFP10" s="699"/>
      <c r="GFQ10" s="699"/>
      <c r="GFR10" s="699"/>
      <c r="GFS10" s="699"/>
      <c r="GFT10" s="699"/>
      <c r="GFU10" s="699"/>
      <c r="GFV10" s="699"/>
      <c r="GFW10" s="699"/>
      <c r="GFX10" s="699"/>
      <c r="GFY10" s="699"/>
      <c r="GFZ10" s="699"/>
      <c r="GGA10" s="699"/>
      <c r="GGB10" s="699"/>
      <c r="GGC10" s="699"/>
      <c r="GGD10" s="699"/>
      <c r="GGE10" s="699"/>
      <c r="GGF10" s="699"/>
      <c r="GGG10" s="699"/>
      <c r="GGH10" s="699"/>
      <c r="GGI10" s="699"/>
      <c r="GGJ10" s="699"/>
      <c r="GGK10" s="699"/>
      <c r="GGL10" s="699"/>
      <c r="GGM10" s="699"/>
      <c r="GGN10" s="699"/>
      <c r="GGO10" s="699"/>
      <c r="GGP10" s="699"/>
      <c r="GGQ10" s="699"/>
      <c r="GGR10" s="699"/>
      <c r="GGS10" s="699"/>
      <c r="GGT10" s="699"/>
      <c r="GGU10" s="699"/>
      <c r="GGV10" s="699"/>
      <c r="GGW10" s="699"/>
      <c r="GGX10" s="699"/>
      <c r="GGY10" s="699"/>
      <c r="GGZ10" s="699"/>
      <c r="GHA10" s="699"/>
      <c r="GHB10" s="699"/>
      <c r="GHC10" s="699"/>
      <c r="GHD10" s="699"/>
      <c r="GHE10" s="699"/>
      <c r="GHF10" s="699"/>
      <c r="GHG10" s="699"/>
      <c r="GHH10" s="699"/>
      <c r="GHI10" s="699"/>
      <c r="GHJ10" s="699"/>
      <c r="GHK10" s="699"/>
      <c r="GHL10" s="699"/>
      <c r="GHM10" s="699"/>
      <c r="GHN10" s="699"/>
      <c r="GHO10" s="699"/>
      <c r="GHP10" s="699"/>
      <c r="GHQ10" s="699"/>
      <c r="GHR10" s="699"/>
      <c r="GHS10" s="699"/>
      <c r="GHT10" s="699"/>
      <c r="GHU10" s="699"/>
      <c r="GHV10" s="699"/>
      <c r="GHW10" s="699"/>
      <c r="GHX10" s="699"/>
      <c r="GHY10" s="699"/>
      <c r="GHZ10" s="699"/>
      <c r="GIA10" s="699"/>
      <c r="GIB10" s="699"/>
      <c r="GIC10" s="699"/>
      <c r="GID10" s="699"/>
      <c r="GIE10" s="699"/>
      <c r="GIF10" s="699"/>
      <c r="GIG10" s="699"/>
      <c r="GIH10" s="699"/>
      <c r="GII10" s="699"/>
      <c r="GIJ10" s="699"/>
      <c r="GIK10" s="699"/>
      <c r="GIL10" s="699"/>
      <c r="GIM10" s="699"/>
      <c r="GIN10" s="699"/>
      <c r="GIO10" s="699"/>
      <c r="GIP10" s="699"/>
      <c r="GIQ10" s="699"/>
      <c r="GIR10" s="699"/>
      <c r="GIS10" s="699"/>
      <c r="GIT10" s="699"/>
      <c r="GIU10" s="699"/>
      <c r="GIV10" s="699"/>
      <c r="GIW10" s="699"/>
      <c r="GIX10" s="699"/>
      <c r="GIY10" s="699"/>
      <c r="GIZ10" s="699"/>
      <c r="GJA10" s="699"/>
      <c r="GJB10" s="699"/>
      <c r="GJC10" s="699"/>
      <c r="GJD10" s="699"/>
      <c r="GJE10" s="699"/>
      <c r="GJF10" s="699"/>
      <c r="GJG10" s="699"/>
      <c r="GJH10" s="699"/>
      <c r="GJI10" s="699"/>
      <c r="GJJ10" s="699"/>
      <c r="GJK10" s="699"/>
      <c r="GJL10" s="699"/>
      <c r="GJM10" s="699"/>
      <c r="GJN10" s="699"/>
      <c r="GJO10" s="699"/>
      <c r="GJP10" s="699"/>
      <c r="GJQ10" s="699"/>
      <c r="GJR10" s="699"/>
      <c r="GJS10" s="699"/>
      <c r="GJT10" s="699"/>
      <c r="GJU10" s="699"/>
      <c r="GJV10" s="699"/>
      <c r="GJW10" s="699"/>
      <c r="GJX10" s="699"/>
      <c r="GJY10" s="699"/>
      <c r="GJZ10" s="699"/>
      <c r="GKA10" s="699"/>
      <c r="GKB10" s="699"/>
      <c r="GKC10" s="699"/>
      <c r="GKD10" s="699"/>
      <c r="GKE10" s="699"/>
      <c r="GKF10" s="699"/>
      <c r="GKG10" s="699"/>
      <c r="GKH10" s="699"/>
      <c r="GKI10" s="699"/>
      <c r="GKJ10" s="699"/>
      <c r="GKK10" s="699"/>
      <c r="GKL10" s="699"/>
      <c r="GKM10" s="699"/>
      <c r="GKN10" s="699"/>
      <c r="GKO10" s="699"/>
      <c r="GKP10" s="699"/>
      <c r="GKQ10" s="699"/>
      <c r="GKR10" s="699"/>
      <c r="GKS10" s="699"/>
      <c r="GKT10" s="699"/>
      <c r="GKU10" s="699"/>
      <c r="GKV10" s="699"/>
      <c r="GKW10" s="699"/>
      <c r="GKX10" s="699"/>
      <c r="GKY10" s="699"/>
      <c r="GKZ10" s="699"/>
      <c r="GLA10" s="699"/>
      <c r="GLB10" s="699"/>
      <c r="GLC10" s="699"/>
      <c r="GLD10" s="699"/>
      <c r="GLE10" s="699"/>
      <c r="GLF10" s="699"/>
      <c r="GLG10" s="699"/>
      <c r="GLH10" s="699"/>
      <c r="GLI10" s="699"/>
      <c r="GLJ10" s="699"/>
      <c r="GLK10" s="699"/>
      <c r="GLL10" s="699"/>
      <c r="GLM10" s="699"/>
      <c r="GLN10" s="699"/>
      <c r="GLO10" s="699"/>
      <c r="GLP10" s="699"/>
      <c r="GLQ10" s="699"/>
      <c r="GLR10" s="699"/>
      <c r="GLS10" s="699"/>
      <c r="GLT10" s="699"/>
      <c r="GLU10" s="699"/>
      <c r="GLV10" s="699"/>
      <c r="GLW10" s="699"/>
      <c r="GLX10" s="699"/>
      <c r="GLY10" s="699"/>
      <c r="GLZ10" s="699"/>
      <c r="GMA10" s="699"/>
      <c r="GMB10" s="699"/>
      <c r="GMC10" s="699"/>
      <c r="GMD10" s="699"/>
      <c r="GME10" s="699"/>
      <c r="GMF10" s="699"/>
      <c r="GMG10" s="699"/>
      <c r="GMH10" s="699"/>
      <c r="GMI10" s="699"/>
      <c r="GMJ10" s="699"/>
      <c r="GMK10" s="699"/>
      <c r="GML10" s="699"/>
      <c r="GMM10" s="699"/>
      <c r="GMN10" s="699"/>
      <c r="GMO10" s="699"/>
      <c r="GMP10" s="699"/>
      <c r="GMQ10" s="699"/>
      <c r="GMR10" s="699"/>
      <c r="GMS10" s="699"/>
      <c r="GMT10" s="699"/>
      <c r="GMU10" s="699"/>
      <c r="GMV10" s="699"/>
      <c r="GMW10" s="699"/>
      <c r="GMX10" s="699"/>
      <c r="GMY10" s="699"/>
      <c r="GMZ10" s="699"/>
      <c r="GNA10" s="699"/>
      <c r="GNB10" s="699"/>
      <c r="GNC10" s="699"/>
      <c r="GND10" s="699"/>
      <c r="GNE10" s="699"/>
      <c r="GNF10" s="699"/>
      <c r="GNG10" s="699"/>
      <c r="GNH10" s="699"/>
      <c r="GNI10" s="699"/>
      <c r="GNJ10" s="699"/>
      <c r="GNK10" s="699"/>
      <c r="GNL10" s="699"/>
      <c r="GNM10" s="699"/>
      <c r="GNN10" s="699"/>
      <c r="GNO10" s="699"/>
      <c r="GNP10" s="699"/>
      <c r="GNQ10" s="699"/>
      <c r="GNR10" s="699"/>
      <c r="GNS10" s="699"/>
      <c r="GNT10" s="699"/>
      <c r="GNU10" s="699"/>
      <c r="GNV10" s="699"/>
      <c r="GNW10" s="699"/>
      <c r="GNX10" s="699"/>
      <c r="GNY10" s="699"/>
      <c r="GNZ10" s="699"/>
      <c r="GOA10" s="699"/>
      <c r="GOB10" s="699"/>
      <c r="GOC10" s="699"/>
      <c r="GOD10" s="699"/>
      <c r="GOE10" s="699"/>
      <c r="GOF10" s="699"/>
      <c r="GOG10" s="699"/>
      <c r="GOH10" s="699"/>
      <c r="GOI10" s="699"/>
      <c r="GOJ10" s="699"/>
      <c r="GOK10" s="699"/>
      <c r="GOL10" s="699"/>
      <c r="GOM10" s="699"/>
      <c r="GON10" s="699"/>
      <c r="GOO10" s="699"/>
      <c r="GOP10" s="699"/>
      <c r="GOQ10" s="699"/>
      <c r="GOR10" s="699"/>
      <c r="GOS10" s="699"/>
      <c r="GOT10" s="699"/>
      <c r="GOU10" s="699"/>
      <c r="GOV10" s="699"/>
      <c r="GOW10" s="699"/>
      <c r="GOX10" s="699"/>
      <c r="GOY10" s="699"/>
      <c r="GOZ10" s="699"/>
      <c r="GPA10" s="699"/>
      <c r="GPB10" s="699"/>
      <c r="GPC10" s="699"/>
      <c r="GPD10" s="699"/>
      <c r="GPE10" s="699"/>
      <c r="GPF10" s="699"/>
      <c r="GPG10" s="699"/>
      <c r="GPH10" s="699"/>
      <c r="GPI10" s="699"/>
      <c r="GPJ10" s="699"/>
      <c r="GPK10" s="699"/>
      <c r="GPL10" s="699"/>
      <c r="GPM10" s="699"/>
      <c r="GPN10" s="699"/>
      <c r="GPO10" s="699"/>
      <c r="GPP10" s="699"/>
      <c r="GPQ10" s="699"/>
      <c r="GPR10" s="699"/>
      <c r="GPS10" s="699"/>
      <c r="GPT10" s="699"/>
      <c r="GPU10" s="699"/>
      <c r="GPV10" s="699"/>
      <c r="GPW10" s="699"/>
      <c r="GPX10" s="699"/>
      <c r="GPY10" s="699"/>
      <c r="GPZ10" s="699"/>
      <c r="GQA10" s="699"/>
      <c r="GQB10" s="699"/>
      <c r="GQC10" s="699"/>
      <c r="GQD10" s="699"/>
      <c r="GQE10" s="699"/>
      <c r="GQF10" s="699"/>
      <c r="GQG10" s="699"/>
      <c r="GQH10" s="699"/>
      <c r="GQI10" s="699"/>
      <c r="GQJ10" s="699"/>
      <c r="GQK10" s="699"/>
      <c r="GQL10" s="699"/>
      <c r="GQM10" s="699"/>
      <c r="GQN10" s="699"/>
      <c r="GQO10" s="699"/>
      <c r="GQP10" s="699"/>
      <c r="GQQ10" s="699"/>
      <c r="GQR10" s="699"/>
      <c r="GQS10" s="699"/>
      <c r="GQT10" s="699"/>
      <c r="GQU10" s="699"/>
      <c r="GQV10" s="699"/>
      <c r="GQW10" s="699"/>
      <c r="GQX10" s="699"/>
      <c r="GQY10" s="699"/>
      <c r="GQZ10" s="699"/>
      <c r="GRA10" s="699"/>
      <c r="GRB10" s="699"/>
      <c r="GRC10" s="699"/>
      <c r="GRD10" s="699"/>
      <c r="GRE10" s="699"/>
      <c r="GRF10" s="699"/>
      <c r="GRG10" s="699"/>
      <c r="GRH10" s="699"/>
      <c r="GRI10" s="699"/>
      <c r="GRJ10" s="699"/>
      <c r="GRK10" s="699"/>
      <c r="GRL10" s="699"/>
      <c r="GRM10" s="699"/>
      <c r="GRN10" s="699"/>
      <c r="GRO10" s="699"/>
      <c r="GRP10" s="699"/>
      <c r="GRQ10" s="699"/>
      <c r="GRR10" s="699"/>
      <c r="GRS10" s="699"/>
      <c r="GRT10" s="699"/>
      <c r="GRU10" s="699"/>
      <c r="GRV10" s="699"/>
      <c r="GRW10" s="699"/>
      <c r="GRX10" s="699"/>
      <c r="GRY10" s="699"/>
      <c r="GRZ10" s="699"/>
      <c r="GSA10" s="699"/>
      <c r="GSB10" s="699"/>
      <c r="GSC10" s="699"/>
      <c r="GSD10" s="699"/>
      <c r="GSE10" s="699"/>
      <c r="GSF10" s="699"/>
      <c r="GSG10" s="699"/>
      <c r="GSH10" s="699"/>
      <c r="GSI10" s="699"/>
      <c r="GSJ10" s="699"/>
      <c r="GSK10" s="699"/>
      <c r="GSL10" s="699"/>
      <c r="GSM10" s="699"/>
      <c r="GSN10" s="699"/>
      <c r="GSO10" s="699"/>
      <c r="GSP10" s="699"/>
      <c r="GSQ10" s="699"/>
      <c r="GSR10" s="699"/>
      <c r="GSS10" s="699"/>
      <c r="GST10" s="699"/>
      <c r="GSU10" s="699"/>
      <c r="GSV10" s="699"/>
      <c r="GSW10" s="699"/>
      <c r="GSX10" s="699"/>
      <c r="GSY10" s="699"/>
      <c r="GSZ10" s="699"/>
      <c r="GTA10" s="699"/>
      <c r="GTB10" s="699"/>
      <c r="GTC10" s="699"/>
      <c r="GTD10" s="699"/>
      <c r="GTE10" s="699"/>
      <c r="GTF10" s="699"/>
      <c r="GTG10" s="699"/>
      <c r="GTH10" s="699"/>
      <c r="GTI10" s="699"/>
      <c r="GTJ10" s="699"/>
      <c r="GTK10" s="699"/>
      <c r="GTL10" s="699"/>
      <c r="GTM10" s="699"/>
      <c r="GTN10" s="699"/>
      <c r="GTO10" s="699"/>
      <c r="GTP10" s="699"/>
      <c r="GTQ10" s="699"/>
      <c r="GTR10" s="699"/>
      <c r="GTS10" s="699"/>
      <c r="GTT10" s="699"/>
      <c r="GTU10" s="699"/>
      <c r="GTV10" s="699"/>
      <c r="GTW10" s="699"/>
      <c r="GTX10" s="699"/>
      <c r="GTY10" s="699"/>
      <c r="GTZ10" s="699"/>
      <c r="GUA10" s="699"/>
      <c r="GUB10" s="699"/>
      <c r="GUC10" s="699"/>
      <c r="GUD10" s="699"/>
      <c r="GUE10" s="699"/>
      <c r="GUF10" s="699"/>
      <c r="GUG10" s="699"/>
      <c r="GUH10" s="699"/>
      <c r="GUI10" s="699"/>
      <c r="GUJ10" s="699"/>
      <c r="GUK10" s="699"/>
      <c r="GUL10" s="699"/>
      <c r="GUM10" s="699"/>
      <c r="GUN10" s="699"/>
      <c r="GUO10" s="699"/>
      <c r="GUP10" s="699"/>
      <c r="GUQ10" s="699"/>
      <c r="GUR10" s="699"/>
      <c r="GUS10" s="699"/>
      <c r="GUT10" s="699"/>
      <c r="GUU10" s="699"/>
      <c r="GUV10" s="699"/>
      <c r="GUW10" s="699"/>
      <c r="GUX10" s="699"/>
      <c r="GUY10" s="699"/>
      <c r="GUZ10" s="699"/>
      <c r="GVA10" s="699"/>
      <c r="GVB10" s="699"/>
      <c r="GVC10" s="699"/>
      <c r="GVD10" s="699"/>
      <c r="GVE10" s="699"/>
      <c r="GVF10" s="699"/>
      <c r="GVG10" s="699"/>
      <c r="GVH10" s="699"/>
      <c r="GVI10" s="699"/>
      <c r="GVJ10" s="699"/>
      <c r="GVK10" s="699"/>
      <c r="GVL10" s="699"/>
      <c r="GVM10" s="699"/>
      <c r="GVN10" s="699"/>
      <c r="GVO10" s="699"/>
      <c r="GVP10" s="699"/>
      <c r="GVQ10" s="699"/>
      <c r="GVR10" s="699"/>
      <c r="GVS10" s="699"/>
      <c r="GVT10" s="699"/>
      <c r="GVU10" s="699"/>
      <c r="GVV10" s="699"/>
      <c r="GVW10" s="699"/>
      <c r="GVX10" s="699"/>
      <c r="GVY10" s="699"/>
      <c r="GVZ10" s="699"/>
      <c r="GWA10" s="699"/>
      <c r="GWB10" s="699"/>
      <c r="GWC10" s="699"/>
      <c r="GWD10" s="699"/>
      <c r="GWE10" s="699"/>
      <c r="GWF10" s="699"/>
      <c r="GWG10" s="699"/>
      <c r="GWH10" s="699"/>
      <c r="GWI10" s="699"/>
      <c r="GWJ10" s="699"/>
      <c r="GWK10" s="699"/>
      <c r="GWL10" s="699"/>
      <c r="GWM10" s="699"/>
      <c r="GWN10" s="699"/>
      <c r="GWO10" s="699"/>
      <c r="GWP10" s="699"/>
      <c r="GWQ10" s="699"/>
      <c r="GWR10" s="699"/>
      <c r="GWS10" s="699"/>
      <c r="GWT10" s="699"/>
      <c r="GWU10" s="699"/>
      <c r="GWV10" s="699"/>
      <c r="GWW10" s="699"/>
      <c r="GWX10" s="699"/>
      <c r="GWY10" s="699"/>
      <c r="GWZ10" s="699"/>
      <c r="GXA10" s="699"/>
      <c r="GXB10" s="699"/>
      <c r="GXC10" s="699"/>
      <c r="GXD10" s="699"/>
      <c r="GXE10" s="699"/>
      <c r="GXF10" s="699"/>
      <c r="GXG10" s="699"/>
      <c r="GXH10" s="699"/>
      <c r="GXI10" s="699"/>
      <c r="GXJ10" s="699"/>
      <c r="GXK10" s="699"/>
      <c r="GXL10" s="699"/>
      <c r="GXM10" s="699"/>
      <c r="GXN10" s="699"/>
      <c r="GXO10" s="699"/>
      <c r="GXP10" s="699"/>
      <c r="GXQ10" s="699"/>
      <c r="GXR10" s="699"/>
      <c r="GXS10" s="699"/>
      <c r="GXT10" s="699"/>
      <c r="GXU10" s="699"/>
      <c r="GXV10" s="699"/>
      <c r="GXW10" s="699"/>
      <c r="GXX10" s="699"/>
      <c r="GXY10" s="699"/>
      <c r="GXZ10" s="699"/>
      <c r="GYA10" s="699"/>
      <c r="GYB10" s="699"/>
      <c r="GYC10" s="699"/>
      <c r="GYD10" s="699"/>
      <c r="GYE10" s="699"/>
      <c r="GYF10" s="699"/>
      <c r="GYG10" s="699"/>
      <c r="GYH10" s="699"/>
      <c r="GYI10" s="699"/>
      <c r="GYJ10" s="699"/>
      <c r="GYK10" s="699"/>
      <c r="GYL10" s="699"/>
      <c r="GYM10" s="699"/>
      <c r="GYN10" s="699"/>
      <c r="GYO10" s="699"/>
      <c r="GYP10" s="699"/>
      <c r="GYQ10" s="699"/>
      <c r="GYR10" s="699"/>
      <c r="GYS10" s="699"/>
      <c r="GYT10" s="699"/>
      <c r="GYU10" s="699"/>
      <c r="GYV10" s="699"/>
      <c r="GYW10" s="699"/>
      <c r="GYX10" s="699"/>
      <c r="GYY10" s="699"/>
      <c r="GYZ10" s="699"/>
      <c r="GZA10" s="699"/>
      <c r="GZB10" s="699"/>
      <c r="GZC10" s="699"/>
      <c r="GZD10" s="699"/>
      <c r="GZE10" s="699"/>
      <c r="GZF10" s="699"/>
      <c r="GZG10" s="699"/>
      <c r="GZH10" s="699"/>
      <c r="GZI10" s="699"/>
      <c r="GZJ10" s="699"/>
      <c r="GZK10" s="699"/>
      <c r="GZL10" s="699"/>
      <c r="GZM10" s="699"/>
      <c r="GZN10" s="699"/>
      <c r="GZO10" s="699"/>
      <c r="GZP10" s="699"/>
      <c r="GZQ10" s="699"/>
      <c r="GZR10" s="699"/>
      <c r="GZS10" s="699"/>
      <c r="GZT10" s="699"/>
      <c r="GZU10" s="699"/>
      <c r="GZV10" s="699"/>
      <c r="GZW10" s="699"/>
      <c r="GZX10" s="699"/>
      <c r="GZY10" s="699"/>
      <c r="GZZ10" s="699"/>
      <c r="HAA10" s="699"/>
      <c r="HAB10" s="699"/>
      <c r="HAC10" s="699"/>
      <c r="HAD10" s="699"/>
      <c r="HAE10" s="699"/>
      <c r="HAF10" s="699"/>
      <c r="HAG10" s="699"/>
      <c r="HAH10" s="699"/>
      <c r="HAI10" s="699"/>
      <c r="HAJ10" s="699"/>
      <c r="HAK10" s="699"/>
      <c r="HAL10" s="699"/>
      <c r="HAM10" s="699"/>
      <c r="HAN10" s="699"/>
      <c r="HAO10" s="699"/>
      <c r="HAP10" s="699"/>
      <c r="HAQ10" s="699"/>
      <c r="HAR10" s="699"/>
      <c r="HAS10" s="699"/>
      <c r="HAT10" s="699"/>
      <c r="HAU10" s="699"/>
      <c r="HAV10" s="699"/>
      <c r="HAW10" s="699"/>
      <c r="HAX10" s="699"/>
      <c r="HAY10" s="699"/>
      <c r="HAZ10" s="699"/>
      <c r="HBA10" s="699"/>
      <c r="HBB10" s="699"/>
      <c r="HBC10" s="699"/>
      <c r="HBD10" s="699"/>
      <c r="HBE10" s="699"/>
      <c r="HBF10" s="699"/>
      <c r="HBG10" s="699"/>
      <c r="HBH10" s="699"/>
      <c r="HBI10" s="699"/>
      <c r="HBJ10" s="699"/>
      <c r="HBK10" s="699"/>
      <c r="HBL10" s="699"/>
      <c r="HBM10" s="699"/>
      <c r="HBN10" s="699"/>
      <c r="HBO10" s="699"/>
      <c r="HBP10" s="699"/>
      <c r="HBQ10" s="699"/>
      <c r="HBR10" s="699"/>
      <c r="HBS10" s="699"/>
      <c r="HBT10" s="699"/>
      <c r="HBU10" s="699"/>
      <c r="HBV10" s="699"/>
      <c r="HBW10" s="699"/>
      <c r="HBX10" s="699"/>
      <c r="HBY10" s="699"/>
      <c r="HBZ10" s="699"/>
      <c r="HCA10" s="699"/>
      <c r="HCB10" s="699"/>
      <c r="HCC10" s="699"/>
      <c r="HCD10" s="699"/>
      <c r="HCE10" s="699"/>
      <c r="HCF10" s="699"/>
      <c r="HCG10" s="699"/>
      <c r="HCH10" s="699"/>
      <c r="HCI10" s="699"/>
      <c r="HCJ10" s="699"/>
      <c r="HCK10" s="699"/>
      <c r="HCL10" s="699"/>
      <c r="HCM10" s="699"/>
      <c r="HCN10" s="699"/>
      <c r="HCO10" s="699"/>
      <c r="HCP10" s="699"/>
      <c r="HCQ10" s="699"/>
      <c r="HCR10" s="699"/>
      <c r="HCS10" s="699"/>
      <c r="HCT10" s="699"/>
      <c r="HCU10" s="699"/>
      <c r="HCV10" s="699"/>
      <c r="HCW10" s="699"/>
      <c r="HCX10" s="699"/>
      <c r="HCY10" s="699"/>
      <c r="HCZ10" s="699"/>
      <c r="HDA10" s="699"/>
      <c r="HDB10" s="699"/>
      <c r="HDC10" s="699"/>
      <c r="HDD10" s="699"/>
      <c r="HDE10" s="699"/>
      <c r="HDF10" s="699"/>
      <c r="HDG10" s="699"/>
      <c r="HDH10" s="699"/>
      <c r="HDI10" s="699"/>
      <c r="HDJ10" s="699"/>
      <c r="HDK10" s="699"/>
      <c r="HDL10" s="699"/>
      <c r="HDM10" s="699"/>
      <c r="HDN10" s="699"/>
      <c r="HDO10" s="699"/>
      <c r="HDP10" s="699"/>
      <c r="HDQ10" s="699"/>
      <c r="HDR10" s="699"/>
      <c r="HDS10" s="699"/>
      <c r="HDT10" s="699"/>
      <c r="HDU10" s="699"/>
      <c r="HDV10" s="699"/>
      <c r="HDW10" s="699"/>
      <c r="HDX10" s="699"/>
      <c r="HDY10" s="699"/>
      <c r="HDZ10" s="699"/>
      <c r="HEA10" s="699"/>
      <c r="HEB10" s="699"/>
      <c r="HEC10" s="699"/>
      <c r="HED10" s="699"/>
      <c r="HEE10" s="699"/>
      <c r="HEF10" s="699"/>
      <c r="HEG10" s="699"/>
      <c r="HEH10" s="699"/>
      <c r="HEI10" s="699"/>
      <c r="HEJ10" s="699"/>
      <c r="HEK10" s="699"/>
      <c r="HEL10" s="699"/>
      <c r="HEM10" s="699"/>
      <c r="HEN10" s="699"/>
      <c r="HEO10" s="699"/>
      <c r="HEP10" s="699"/>
      <c r="HEQ10" s="699"/>
      <c r="HER10" s="699"/>
      <c r="HES10" s="699"/>
      <c r="HET10" s="699"/>
      <c r="HEU10" s="699"/>
      <c r="HEV10" s="699"/>
      <c r="HEW10" s="699"/>
      <c r="HEX10" s="699"/>
      <c r="HEY10" s="699"/>
      <c r="HEZ10" s="699"/>
      <c r="HFA10" s="699"/>
      <c r="HFB10" s="699"/>
      <c r="HFC10" s="699"/>
      <c r="HFD10" s="699"/>
      <c r="HFE10" s="699"/>
      <c r="HFF10" s="699"/>
      <c r="HFG10" s="699"/>
      <c r="HFH10" s="699"/>
      <c r="HFI10" s="699"/>
      <c r="HFJ10" s="699"/>
      <c r="HFK10" s="699"/>
      <c r="HFL10" s="699"/>
      <c r="HFM10" s="699"/>
      <c r="HFN10" s="699"/>
      <c r="HFO10" s="699"/>
      <c r="HFP10" s="699"/>
      <c r="HFQ10" s="699"/>
      <c r="HFR10" s="699"/>
      <c r="HFS10" s="699"/>
      <c r="HFT10" s="699"/>
      <c r="HFU10" s="699"/>
      <c r="HFV10" s="699"/>
      <c r="HFW10" s="699"/>
      <c r="HFX10" s="699"/>
      <c r="HFY10" s="699"/>
      <c r="HFZ10" s="699"/>
      <c r="HGA10" s="699"/>
      <c r="HGB10" s="699"/>
      <c r="HGC10" s="699"/>
      <c r="HGD10" s="699"/>
      <c r="HGE10" s="699"/>
      <c r="HGF10" s="699"/>
      <c r="HGG10" s="699"/>
      <c r="HGH10" s="699"/>
      <c r="HGI10" s="699"/>
      <c r="HGJ10" s="699"/>
      <c r="HGK10" s="699"/>
      <c r="HGL10" s="699"/>
      <c r="HGM10" s="699"/>
      <c r="HGN10" s="699"/>
      <c r="HGO10" s="699"/>
      <c r="HGP10" s="699"/>
      <c r="HGQ10" s="699"/>
      <c r="HGR10" s="699"/>
      <c r="HGS10" s="699"/>
      <c r="HGT10" s="699"/>
      <c r="HGU10" s="699"/>
      <c r="HGV10" s="699"/>
      <c r="HGW10" s="699"/>
      <c r="HGX10" s="699"/>
      <c r="HGY10" s="699"/>
      <c r="HGZ10" s="699"/>
      <c r="HHA10" s="699"/>
      <c r="HHB10" s="699"/>
      <c r="HHC10" s="699"/>
      <c r="HHD10" s="699"/>
      <c r="HHE10" s="699"/>
      <c r="HHF10" s="699"/>
      <c r="HHG10" s="699"/>
      <c r="HHH10" s="699"/>
      <c r="HHI10" s="699"/>
      <c r="HHJ10" s="699"/>
      <c r="HHK10" s="699"/>
      <c r="HHL10" s="699"/>
      <c r="HHM10" s="699"/>
      <c r="HHN10" s="699"/>
      <c r="HHO10" s="699"/>
      <c r="HHP10" s="699"/>
      <c r="HHQ10" s="699"/>
      <c r="HHR10" s="699"/>
      <c r="HHS10" s="699"/>
      <c r="HHT10" s="699"/>
      <c r="HHU10" s="699"/>
      <c r="HHV10" s="699"/>
      <c r="HHW10" s="699"/>
      <c r="HHX10" s="699"/>
      <c r="HHY10" s="699"/>
      <c r="HHZ10" s="699"/>
      <c r="HIA10" s="699"/>
      <c r="HIB10" s="699"/>
      <c r="HIC10" s="699"/>
      <c r="HID10" s="699"/>
      <c r="HIE10" s="699"/>
      <c r="HIF10" s="699"/>
      <c r="HIG10" s="699"/>
      <c r="HIH10" s="699"/>
      <c r="HII10" s="699"/>
      <c r="HIJ10" s="699"/>
      <c r="HIK10" s="699"/>
      <c r="HIL10" s="699"/>
      <c r="HIM10" s="699"/>
      <c r="HIN10" s="699"/>
      <c r="HIO10" s="699"/>
      <c r="HIP10" s="699"/>
      <c r="HIQ10" s="699"/>
      <c r="HIR10" s="699"/>
      <c r="HIS10" s="699"/>
      <c r="HIT10" s="699"/>
      <c r="HIU10" s="699"/>
      <c r="HIV10" s="699"/>
      <c r="HIW10" s="699"/>
      <c r="HIX10" s="699"/>
      <c r="HIY10" s="699"/>
      <c r="HIZ10" s="699"/>
      <c r="HJA10" s="699"/>
      <c r="HJB10" s="699"/>
      <c r="HJC10" s="699"/>
      <c r="HJD10" s="699"/>
      <c r="HJE10" s="699"/>
      <c r="HJF10" s="699"/>
      <c r="HJG10" s="699"/>
      <c r="HJH10" s="699"/>
      <c r="HJI10" s="699"/>
      <c r="HJJ10" s="699"/>
      <c r="HJK10" s="699"/>
      <c r="HJL10" s="699"/>
      <c r="HJM10" s="699"/>
      <c r="HJN10" s="699"/>
      <c r="HJO10" s="699"/>
      <c r="HJP10" s="699"/>
      <c r="HJQ10" s="699"/>
      <c r="HJR10" s="699"/>
      <c r="HJS10" s="699"/>
      <c r="HJT10" s="699"/>
      <c r="HJU10" s="699"/>
      <c r="HJV10" s="699"/>
      <c r="HJW10" s="699"/>
      <c r="HJX10" s="699"/>
      <c r="HJY10" s="699"/>
      <c r="HJZ10" s="699"/>
      <c r="HKA10" s="699"/>
      <c r="HKB10" s="699"/>
      <c r="HKC10" s="699"/>
      <c r="HKD10" s="699"/>
      <c r="HKE10" s="699"/>
      <c r="HKF10" s="699"/>
      <c r="HKG10" s="699"/>
      <c r="HKH10" s="699"/>
      <c r="HKI10" s="699"/>
      <c r="HKJ10" s="699"/>
      <c r="HKK10" s="699"/>
      <c r="HKL10" s="699"/>
      <c r="HKM10" s="699"/>
      <c r="HKN10" s="699"/>
      <c r="HKO10" s="699"/>
      <c r="HKP10" s="699"/>
      <c r="HKQ10" s="699"/>
      <c r="HKR10" s="699"/>
      <c r="HKS10" s="699"/>
      <c r="HKT10" s="699"/>
      <c r="HKU10" s="699"/>
      <c r="HKV10" s="699"/>
      <c r="HKW10" s="699"/>
      <c r="HKX10" s="699"/>
      <c r="HKY10" s="699"/>
      <c r="HKZ10" s="699"/>
      <c r="HLA10" s="699"/>
      <c r="HLB10" s="699"/>
      <c r="HLC10" s="699"/>
      <c r="HLD10" s="699"/>
      <c r="HLE10" s="699"/>
      <c r="HLF10" s="699"/>
      <c r="HLG10" s="699"/>
      <c r="HLH10" s="699"/>
      <c r="HLI10" s="699"/>
      <c r="HLJ10" s="699"/>
      <c r="HLK10" s="699"/>
      <c r="HLL10" s="699"/>
      <c r="HLM10" s="699"/>
      <c r="HLN10" s="699"/>
      <c r="HLO10" s="699"/>
      <c r="HLP10" s="699"/>
      <c r="HLQ10" s="699"/>
      <c r="HLR10" s="699"/>
      <c r="HLS10" s="699"/>
      <c r="HLT10" s="699"/>
      <c r="HLU10" s="699"/>
      <c r="HLV10" s="699"/>
      <c r="HLW10" s="699"/>
      <c r="HLX10" s="699"/>
      <c r="HLY10" s="699"/>
      <c r="HLZ10" s="699"/>
      <c r="HMA10" s="699"/>
      <c r="HMB10" s="699"/>
      <c r="HMC10" s="699"/>
      <c r="HMD10" s="699"/>
      <c r="HME10" s="699"/>
      <c r="HMF10" s="699"/>
      <c r="HMG10" s="699"/>
      <c r="HMH10" s="699"/>
      <c r="HMI10" s="699"/>
      <c r="HMJ10" s="699"/>
      <c r="HMK10" s="699"/>
      <c r="HML10" s="699"/>
      <c r="HMM10" s="699"/>
      <c r="HMN10" s="699"/>
      <c r="HMO10" s="699"/>
      <c r="HMP10" s="699"/>
      <c r="HMQ10" s="699"/>
      <c r="HMR10" s="699"/>
      <c r="HMS10" s="699"/>
      <c r="HMT10" s="699"/>
      <c r="HMU10" s="699"/>
      <c r="HMV10" s="699"/>
      <c r="HMW10" s="699"/>
      <c r="HMX10" s="699"/>
      <c r="HMY10" s="699"/>
      <c r="HMZ10" s="699"/>
      <c r="HNA10" s="699"/>
      <c r="HNB10" s="699"/>
      <c r="HNC10" s="699"/>
      <c r="HND10" s="699"/>
      <c r="HNE10" s="699"/>
      <c r="HNF10" s="699"/>
      <c r="HNG10" s="699"/>
      <c r="HNH10" s="699"/>
      <c r="HNI10" s="699"/>
      <c r="HNJ10" s="699"/>
      <c r="HNK10" s="699"/>
      <c r="HNL10" s="699"/>
      <c r="HNM10" s="699"/>
      <c r="HNN10" s="699"/>
      <c r="HNO10" s="699"/>
      <c r="HNP10" s="699"/>
      <c r="HNQ10" s="699"/>
      <c r="HNR10" s="699"/>
      <c r="HNS10" s="699"/>
      <c r="HNT10" s="699"/>
      <c r="HNU10" s="699"/>
      <c r="HNV10" s="699"/>
      <c r="HNW10" s="699"/>
      <c r="HNX10" s="699"/>
      <c r="HNY10" s="699"/>
      <c r="HNZ10" s="699"/>
      <c r="HOA10" s="699"/>
      <c r="HOB10" s="699"/>
      <c r="HOC10" s="699"/>
      <c r="HOD10" s="699"/>
      <c r="HOE10" s="699"/>
      <c r="HOF10" s="699"/>
      <c r="HOG10" s="699"/>
      <c r="HOH10" s="699"/>
      <c r="HOI10" s="699"/>
      <c r="HOJ10" s="699"/>
      <c r="HOK10" s="699"/>
      <c r="HOL10" s="699"/>
      <c r="HOM10" s="699"/>
      <c r="HON10" s="699"/>
      <c r="HOO10" s="699"/>
      <c r="HOP10" s="699"/>
      <c r="HOQ10" s="699"/>
      <c r="HOR10" s="699"/>
      <c r="HOS10" s="699"/>
      <c r="HOT10" s="699"/>
      <c r="HOU10" s="699"/>
      <c r="HOV10" s="699"/>
      <c r="HOW10" s="699"/>
      <c r="HOX10" s="699"/>
      <c r="HOY10" s="699"/>
      <c r="HOZ10" s="699"/>
      <c r="HPA10" s="699"/>
      <c r="HPB10" s="699"/>
      <c r="HPC10" s="699"/>
      <c r="HPD10" s="699"/>
      <c r="HPE10" s="699"/>
      <c r="HPF10" s="699"/>
      <c r="HPG10" s="699"/>
      <c r="HPH10" s="699"/>
      <c r="HPI10" s="699"/>
      <c r="HPJ10" s="699"/>
      <c r="HPK10" s="699"/>
      <c r="HPL10" s="699"/>
      <c r="HPM10" s="699"/>
      <c r="HPN10" s="699"/>
      <c r="HPO10" s="699"/>
      <c r="HPP10" s="699"/>
      <c r="HPQ10" s="699"/>
      <c r="HPR10" s="699"/>
      <c r="HPS10" s="699"/>
      <c r="HPT10" s="699"/>
      <c r="HPU10" s="699"/>
      <c r="HPV10" s="699"/>
      <c r="HPW10" s="699"/>
      <c r="HPX10" s="699"/>
      <c r="HPY10" s="699"/>
      <c r="HPZ10" s="699"/>
      <c r="HQA10" s="699"/>
      <c r="HQB10" s="699"/>
      <c r="HQC10" s="699"/>
      <c r="HQD10" s="699"/>
      <c r="HQE10" s="699"/>
      <c r="HQF10" s="699"/>
      <c r="HQG10" s="699"/>
      <c r="HQH10" s="699"/>
      <c r="HQI10" s="699"/>
      <c r="HQJ10" s="699"/>
      <c r="HQK10" s="699"/>
      <c r="HQL10" s="699"/>
      <c r="HQM10" s="699"/>
      <c r="HQN10" s="699"/>
      <c r="HQO10" s="699"/>
      <c r="HQP10" s="699"/>
      <c r="HQQ10" s="699"/>
      <c r="HQR10" s="699"/>
      <c r="HQS10" s="699"/>
      <c r="HQT10" s="699"/>
      <c r="HQU10" s="699"/>
      <c r="HQV10" s="699"/>
      <c r="HQW10" s="699"/>
      <c r="HQX10" s="699"/>
      <c r="HQY10" s="699"/>
      <c r="HQZ10" s="699"/>
      <c r="HRA10" s="699"/>
      <c r="HRB10" s="699"/>
      <c r="HRC10" s="699"/>
      <c r="HRD10" s="699"/>
      <c r="HRE10" s="699"/>
      <c r="HRF10" s="699"/>
      <c r="HRG10" s="699"/>
      <c r="HRH10" s="699"/>
      <c r="HRI10" s="699"/>
      <c r="HRJ10" s="699"/>
      <c r="HRK10" s="699"/>
      <c r="HRL10" s="699"/>
      <c r="HRM10" s="699"/>
      <c r="HRN10" s="699"/>
      <c r="HRO10" s="699"/>
      <c r="HRP10" s="699"/>
      <c r="HRQ10" s="699"/>
      <c r="HRR10" s="699"/>
      <c r="HRS10" s="699"/>
      <c r="HRT10" s="699"/>
      <c r="HRU10" s="699"/>
      <c r="HRV10" s="699"/>
      <c r="HRW10" s="699"/>
      <c r="HRX10" s="699"/>
      <c r="HRY10" s="699"/>
      <c r="HRZ10" s="699"/>
      <c r="HSA10" s="699"/>
      <c r="HSB10" s="699"/>
      <c r="HSC10" s="699"/>
      <c r="HSD10" s="699"/>
      <c r="HSE10" s="699"/>
      <c r="HSF10" s="699"/>
      <c r="HSG10" s="699"/>
      <c r="HSH10" s="699"/>
      <c r="HSI10" s="699"/>
      <c r="HSJ10" s="699"/>
      <c r="HSK10" s="699"/>
      <c r="HSL10" s="699"/>
      <c r="HSM10" s="699"/>
      <c r="HSN10" s="699"/>
      <c r="HSO10" s="699"/>
      <c r="HSP10" s="699"/>
      <c r="HSQ10" s="699"/>
      <c r="HSR10" s="699"/>
      <c r="HSS10" s="699"/>
      <c r="HST10" s="699"/>
      <c r="HSU10" s="699"/>
      <c r="HSV10" s="699"/>
      <c r="HSW10" s="699"/>
      <c r="HSX10" s="699"/>
      <c r="HSY10" s="699"/>
      <c r="HSZ10" s="699"/>
      <c r="HTA10" s="699"/>
      <c r="HTB10" s="699"/>
      <c r="HTC10" s="699"/>
      <c r="HTD10" s="699"/>
      <c r="HTE10" s="699"/>
      <c r="HTF10" s="699"/>
      <c r="HTG10" s="699"/>
      <c r="HTH10" s="699"/>
      <c r="HTI10" s="699"/>
      <c r="HTJ10" s="699"/>
      <c r="HTK10" s="699"/>
      <c r="HTL10" s="699"/>
      <c r="HTM10" s="699"/>
      <c r="HTN10" s="699"/>
      <c r="HTO10" s="699"/>
      <c r="HTP10" s="699"/>
      <c r="HTQ10" s="699"/>
      <c r="HTR10" s="699"/>
      <c r="HTS10" s="699"/>
      <c r="HTT10" s="699"/>
      <c r="HTU10" s="699"/>
      <c r="HTV10" s="699"/>
      <c r="HTW10" s="699"/>
      <c r="HTX10" s="699"/>
      <c r="HTY10" s="699"/>
      <c r="HTZ10" s="699"/>
      <c r="HUA10" s="699"/>
      <c r="HUB10" s="699"/>
      <c r="HUC10" s="699"/>
      <c r="HUD10" s="699"/>
      <c r="HUE10" s="699"/>
      <c r="HUF10" s="699"/>
      <c r="HUG10" s="699"/>
      <c r="HUH10" s="699"/>
      <c r="HUI10" s="699"/>
      <c r="HUJ10" s="699"/>
      <c r="HUK10" s="699"/>
      <c r="HUL10" s="699"/>
      <c r="HUM10" s="699"/>
      <c r="HUN10" s="699"/>
      <c r="HUO10" s="699"/>
      <c r="HUP10" s="699"/>
      <c r="HUQ10" s="699"/>
      <c r="HUR10" s="699"/>
      <c r="HUS10" s="699"/>
      <c r="HUT10" s="699"/>
      <c r="HUU10" s="699"/>
      <c r="HUV10" s="699"/>
      <c r="HUW10" s="699"/>
      <c r="HUX10" s="699"/>
      <c r="HUY10" s="699"/>
      <c r="HUZ10" s="699"/>
      <c r="HVA10" s="699"/>
      <c r="HVB10" s="699"/>
      <c r="HVC10" s="699"/>
      <c r="HVD10" s="699"/>
      <c r="HVE10" s="699"/>
      <c r="HVF10" s="699"/>
      <c r="HVG10" s="699"/>
      <c r="HVH10" s="699"/>
      <c r="HVI10" s="699"/>
      <c r="HVJ10" s="699"/>
      <c r="HVK10" s="699"/>
      <c r="HVL10" s="699"/>
      <c r="HVM10" s="699"/>
      <c r="HVN10" s="699"/>
      <c r="HVO10" s="699"/>
      <c r="HVP10" s="699"/>
      <c r="HVQ10" s="699"/>
      <c r="HVR10" s="699"/>
      <c r="HVS10" s="699"/>
      <c r="HVT10" s="699"/>
      <c r="HVU10" s="699"/>
      <c r="HVV10" s="699"/>
      <c r="HVW10" s="699"/>
      <c r="HVX10" s="699"/>
      <c r="HVY10" s="699"/>
      <c r="HVZ10" s="699"/>
      <c r="HWA10" s="699"/>
      <c r="HWB10" s="699"/>
      <c r="HWC10" s="699"/>
      <c r="HWD10" s="699"/>
      <c r="HWE10" s="699"/>
      <c r="HWF10" s="699"/>
      <c r="HWG10" s="699"/>
      <c r="HWH10" s="699"/>
      <c r="HWI10" s="699"/>
      <c r="HWJ10" s="699"/>
      <c r="HWK10" s="699"/>
      <c r="HWL10" s="699"/>
      <c r="HWM10" s="699"/>
      <c r="HWN10" s="699"/>
      <c r="HWO10" s="699"/>
      <c r="HWP10" s="699"/>
      <c r="HWQ10" s="699"/>
      <c r="HWR10" s="699"/>
      <c r="HWS10" s="699"/>
      <c r="HWT10" s="699"/>
      <c r="HWU10" s="699"/>
      <c r="HWV10" s="699"/>
      <c r="HWW10" s="699"/>
      <c r="HWX10" s="699"/>
      <c r="HWY10" s="699"/>
      <c r="HWZ10" s="699"/>
      <c r="HXA10" s="699"/>
      <c r="HXB10" s="699"/>
      <c r="HXC10" s="699"/>
      <c r="HXD10" s="699"/>
      <c r="HXE10" s="699"/>
      <c r="HXF10" s="699"/>
      <c r="HXG10" s="699"/>
      <c r="HXH10" s="699"/>
      <c r="HXI10" s="699"/>
      <c r="HXJ10" s="699"/>
      <c r="HXK10" s="699"/>
      <c r="HXL10" s="699"/>
      <c r="HXM10" s="699"/>
      <c r="HXN10" s="699"/>
      <c r="HXO10" s="699"/>
      <c r="HXP10" s="699"/>
      <c r="HXQ10" s="699"/>
      <c r="HXR10" s="699"/>
      <c r="HXS10" s="699"/>
      <c r="HXT10" s="699"/>
      <c r="HXU10" s="699"/>
      <c r="HXV10" s="699"/>
      <c r="HXW10" s="699"/>
      <c r="HXX10" s="699"/>
      <c r="HXY10" s="699"/>
      <c r="HXZ10" s="699"/>
      <c r="HYA10" s="699"/>
      <c r="HYB10" s="699"/>
      <c r="HYC10" s="699"/>
      <c r="HYD10" s="699"/>
      <c r="HYE10" s="699"/>
      <c r="HYF10" s="699"/>
      <c r="HYG10" s="699"/>
      <c r="HYH10" s="699"/>
      <c r="HYI10" s="699"/>
      <c r="HYJ10" s="699"/>
      <c r="HYK10" s="699"/>
      <c r="HYL10" s="699"/>
      <c r="HYM10" s="699"/>
      <c r="HYN10" s="699"/>
      <c r="HYO10" s="699"/>
      <c r="HYP10" s="699"/>
      <c r="HYQ10" s="699"/>
      <c r="HYR10" s="699"/>
      <c r="HYS10" s="699"/>
      <c r="HYT10" s="699"/>
      <c r="HYU10" s="699"/>
      <c r="HYV10" s="699"/>
      <c r="HYW10" s="699"/>
      <c r="HYX10" s="699"/>
      <c r="HYY10" s="699"/>
      <c r="HYZ10" s="699"/>
      <c r="HZA10" s="699"/>
      <c r="HZB10" s="699"/>
      <c r="HZC10" s="699"/>
      <c r="HZD10" s="699"/>
      <c r="HZE10" s="699"/>
      <c r="HZF10" s="699"/>
      <c r="HZG10" s="699"/>
      <c r="HZH10" s="699"/>
      <c r="HZI10" s="699"/>
      <c r="HZJ10" s="699"/>
      <c r="HZK10" s="699"/>
      <c r="HZL10" s="699"/>
      <c r="HZM10" s="699"/>
      <c r="HZN10" s="699"/>
      <c r="HZO10" s="699"/>
      <c r="HZP10" s="699"/>
      <c r="HZQ10" s="699"/>
      <c r="HZR10" s="699"/>
      <c r="HZS10" s="699"/>
      <c r="HZT10" s="699"/>
      <c r="HZU10" s="699"/>
      <c r="HZV10" s="699"/>
      <c r="HZW10" s="699"/>
      <c r="HZX10" s="699"/>
      <c r="HZY10" s="699"/>
      <c r="HZZ10" s="699"/>
      <c r="IAA10" s="699"/>
      <c r="IAB10" s="699"/>
      <c r="IAC10" s="699"/>
      <c r="IAD10" s="699"/>
      <c r="IAE10" s="699"/>
      <c r="IAF10" s="699"/>
      <c r="IAG10" s="699"/>
      <c r="IAH10" s="699"/>
      <c r="IAI10" s="699"/>
      <c r="IAJ10" s="699"/>
      <c r="IAK10" s="699"/>
      <c r="IAL10" s="699"/>
      <c r="IAM10" s="699"/>
      <c r="IAN10" s="699"/>
      <c r="IAO10" s="699"/>
      <c r="IAP10" s="699"/>
      <c r="IAQ10" s="699"/>
      <c r="IAR10" s="699"/>
      <c r="IAS10" s="699"/>
      <c r="IAT10" s="699"/>
      <c r="IAU10" s="699"/>
      <c r="IAV10" s="699"/>
      <c r="IAW10" s="699"/>
      <c r="IAX10" s="699"/>
      <c r="IAY10" s="699"/>
      <c r="IAZ10" s="699"/>
      <c r="IBA10" s="699"/>
      <c r="IBB10" s="699"/>
      <c r="IBC10" s="699"/>
      <c r="IBD10" s="699"/>
      <c r="IBE10" s="699"/>
      <c r="IBF10" s="699"/>
      <c r="IBG10" s="699"/>
      <c r="IBH10" s="699"/>
      <c r="IBI10" s="699"/>
      <c r="IBJ10" s="699"/>
      <c r="IBK10" s="699"/>
      <c r="IBL10" s="699"/>
      <c r="IBM10" s="699"/>
      <c r="IBN10" s="699"/>
      <c r="IBO10" s="699"/>
      <c r="IBP10" s="699"/>
      <c r="IBQ10" s="699"/>
      <c r="IBR10" s="699"/>
      <c r="IBS10" s="699"/>
      <c r="IBT10" s="699"/>
      <c r="IBU10" s="699"/>
      <c r="IBV10" s="699"/>
      <c r="IBW10" s="699"/>
      <c r="IBX10" s="699"/>
      <c r="IBY10" s="699"/>
      <c r="IBZ10" s="699"/>
      <c r="ICA10" s="699"/>
      <c r="ICB10" s="699"/>
      <c r="ICC10" s="699"/>
      <c r="ICD10" s="699"/>
      <c r="ICE10" s="699"/>
      <c r="ICF10" s="699"/>
      <c r="ICG10" s="699"/>
      <c r="ICH10" s="699"/>
      <c r="ICI10" s="699"/>
      <c r="ICJ10" s="699"/>
      <c r="ICK10" s="699"/>
      <c r="ICL10" s="699"/>
      <c r="ICM10" s="699"/>
      <c r="ICN10" s="699"/>
      <c r="ICO10" s="699"/>
      <c r="ICP10" s="699"/>
      <c r="ICQ10" s="699"/>
      <c r="ICR10" s="699"/>
      <c r="ICS10" s="699"/>
      <c r="ICT10" s="699"/>
      <c r="ICU10" s="699"/>
      <c r="ICV10" s="699"/>
      <c r="ICW10" s="699"/>
      <c r="ICX10" s="699"/>
      <c r="ICY10" s="699"/>
      <c r="ICZ10" s="699"/>
      <c r="IDA10" s="699"/>
      <c r="IDB10" s="699"/>
      <c r="IDC10" s="699"/>
      <c r="IDD10" s="699"/>
      <c r="IDE10" s="699"/>
      <c r="IDF10" s="699"/>
      <c r="IDG10" s="699"/>
      <c r="IDH10" s="699"/>
      <c r="IDI10" s="699"/>
      <c r="IDJ10" s="699"/>
      <c r="IDK10" s="699"/>
      <c r="IDL10" s="699"/>
      <c r="IDM10" s="699"/>
      <c r="IDN10" s="699"/>
      <c r="IDO10" s="699"/>
      <c r="IDP10" s="699"/>
      <c r="IDQ10" s="699"/>
      <c r="IDR10" s="699"/>
      <c r="IDS10" s="699"/>
      <c r="IDT10" s="699"/>
      <c r="IDU10" s="699"/>
      <c r="IDV10" s="699"/>
      <c r="IDW10" s="699"/>
      <c r="IDX10" s="699"/>
      <c r="IDY10" s="699"/>
      <c r="IDZ10" s="699"/>
      <c r="IEA10" s="699"/>
      <c r="IEB10" s="699"/>
      <c r="IEC10" s="699"/>
      <c r="IED10" s="699"/>
      <c r="IEE10" s="699"/>
      <c r="IEF10" s="699"/>
      <c r="IEG10" s="699"/>
      <c r="IEH10" s="699"/>
      <c r="IEI10" s="699"/>
      <c r="IEJ10" s="699"/>
      <c r="IEK10" s="699"/>
      <c r="IEL10" s="699"/>
      <c r="IEM10" s="699"/>
      <c r="IEN10" s="699"/>
      <c r="IEO10" s="699"/>
      <c r="IEP10" s="699"/>
      <c r="IEQ10" s="699"/>
      <c r="IER10" s="699"/>
      <c r="IES10" s="699"/>
      <c r="IET10" s="699"/>
      <c r="IEU10" s="699"/>
      <c r="IEV10" s="699"/>
      <c r="IEW10" s="699"/>
      <c r="IEX10" s="699"/>
      <c r="IEY10" s="699"/>
      <c r="IEZ10" s="699"/>
      <c r="IFA10" s="699"/>
      <c r="IFB10" s="699"/>
      <c r="IFC10" s="699"/>
      <c r="IFD10" s="699"/>
      <c r="IFE10" s="699"/>
      <c r="IFF10" s="699"/>
      <c r="IFG10" s="699"/>
      <c r="IFH10" s="699"/>
      <c r="IFI10" s="699"/>
      <c r="IFJ10" s="699"/>
      <c r="IFK10" s="699"/>
      <c r="IFL10" s="699"/>
      <c r="IFM10" s="699"/>
      <c r="IFN10" s="699"/>
      <c r="IFO10" s="699"/>
      <c r="IFP10" s="699"/>
      <c r="IFQ10" s="699"/>
      <c r="IFR10" s="699"/>
      <c r="IFS10" s="699"/>
      <c r="IFT10" s="699"/>
      <c r="IFU10" s="699"/>
      <c r="IFV10" s="699"/>
      <c r="IFW10" s="699"/>
      <c r="IFX10" s="699"/>
      <c r="IFY10" s="699"/>
      <c r="IFZ10" s="699"/>
      <c r="IGA10" s="699"/>
      <c r="IGB10" s="699"/>
      <c r="IGC10" s="699"/>
      <c r="IGD10" s="699"/>
      <c r="IGE10" s="699"/>
      <c r="IGF10" s="699"/>
      <c r="IGG10" s="699"/>
      <c r="IGH10" s="699"/>
      <c r="IGI10" s="699"/>
      <c r="IGJ10" s="699"/>
      <c r="IGK10" s="699"/>
      <c r="IGL10" s="699"/>
      <c r="IGM10" s="699"/>
      <c r="IGN10" s="699"/>
      <c r="IGO10" s="699"/>
      <c r="IGP10" s="699"/>
      <c r="IGQ10" s="699"/>
      <c r="IGR10" s="699"/>
      <c r="IGS10" s="699"/>
      <c r="IGT10" s="699"/>
      <c r="IGU10" s="699"/>
      <c r="IGV10" s="699"/>
      <c r="IGW10" s="699"/>
      <c r="IGX10" s="699"/>
      <c r="IGY10" s="699"/>
      <c r="IGZ10" s="699"/>
      <c r="IHA10" s="699"/>
      <c r="IHB10" s="699"/>
      <c r="IHC10" s="699"/>
      <c r="IHD10" s="699"/>
      <c r="IHE10" s="699"/>
      <c r="IHF10" s="699"/>
      <c r="IHG10" s="699"/>
      <c r="IHH10" s="699"/>
      <c r="IHI10" s="699"/>
      <c r="IHJ10" s="699"/>
      <c r="IHK10" s="699"/>
      <c r="IHL10" s="699"/>
      <c r="IHM10" s="699"/>
      <c r="IHN10" s="699"/>
      <c r="IHO10" s="699"/>
      <c r="IHP10" s="699"/>
      <c r="IHQ10" s="699"/>
      <c r="IHR10" s="699"/>
      <c r="IHS10" s="699"/>
      <c r="IHT10" s="699"/>
      <c r="IHU10" s="699"/>
      <c r="IHV10" s="699"/>
      <c r="IHW10" s="699"/>
      <c r="IHX10" s="699"/>
      <c r="IHY10" s="699"/>
      <c r="IHZ10" s="699"/>
      <c r="IIA10" s="699"/>
      <c r="IIB10" s="699"/>
      <c r="IIC10" s="699"/>
      <c r="IID10" s="699"/>
      <c r="IIE10" s="699"/>
      <c r="IIF10" s="699"/>
      <c r="IIG10" s="699"/>
      <c r="IIH10" s="699"/>
      <c r="III10" s="699"/>
      <c r="IIJ10" s="699"/>
      <c r="IIK10" s="699"/>
      <c r="IIL10" s="699"/>
      <c r="IIM10" s="699"/>
      <c r="IIN10" s="699"/>
      <c r="IIO10" s="699"/>
      <c r="IIP10" s="699"/>
      <c r="IIQ10" s="699"/>
      <c r="IIR10" s="699"/>
      <c r="IIS10" s="699"/>
      <c r="IIT10" s="699"/>
      <c r="IIU10" s="699"/>
      <c r="IIV10" s="699"/>
      <c r="IIW10" s="699"/>
      <c r="IIX10" s="699"/>
      <c r="IIY10" s="699"/>
      <c r="IIZ10" s="699"/>
      <c r="IJA10" s="699"/>
      <c r="IJB10" s="699"/>
      <c r="IJC10" s="699"/>
      <c r="IJD10" s="699"/>
      <c r="IJE10" s="699"/>
      <c r="IJF10" s="699"/>
      <c r="IJG10" s="699"/>
      <c r="IJH10" s="699"/>
      <c r="IJI10" s="699"/>
      <c r="IJJ10" s="699"/>
      <c r="IJK10" s="699"/>
      <c r="IJL10" s="699"/>
      <c r="IJM10" s="699"/>
      <c r="IJN10" s="699"/>
      <c r="IJO10" s="699"/>
      <c r="IJP10" s="699"/>
      <c r="IJQ10" s="699"/>
      <c r="IJR10" s="699"/>
      <c r="IJS10" s="699"/>
      <c r="IJT10" s="699"/>
      <c r="IJU10" s="699"/>
      <c r="IJV10" s="699"/>
      <c r="IJW10" s="699"/>
      <c r="IJX10" s="699"/>
      <c r="IJY10" s="699"/>
      <c r="IJZ10" s="699"/>
      <c r="IKA10" s="699"/>
      <c r="IKB10" s="699"/>
      <c r="IKC10" s="699"/>
      <c r="IKD10" s="699"/>
      <c r="IKE10" s="699"/>
      <c r="IKF10" s="699"/>
      <c r="IKG10" s="699"/>
      <c r="IKH10" s="699"/>
      <c r="IKI10" s="699"/>
      <c r="IKJ10" s="699"/>
      <c r="IKK10" s="699"/>
      <c r="IKL10" s="699"/>
      <c r="IKM10" s="699"/>
      <c r="IKN10" s="699"/>
      <c r="IKO10" s="699"/>
      <c r="IKP10" s="699"/>
      <c r="IKQ10" s="699"/>
      <c r="IKR10" s="699"/>
      <c r="IKS10" s="699"/>
      <c r="IKT10" s="699"/>
      <c r="IKU10" s="699"/>
      <c r="IKV10" s="699"/>
      <c r="IKW10" s="699"/>
      <c r="IKX10" s="699"/>
      <c r="IKY10" s="699"/>
      <c r="IKZ10" s="699"/>
      <c r="ILA10" s="699"/>
      <c r="ILB10" s="699"/>
      <c r="ILC10" s="699"/>
      <c r="ILD10" s="699"/>
      <c r="ILE10" s="699"/>
      <c r="ILF10" s="699"/>
      <c r="ILG10" s="699"/>
      <c r="ILH10" s="699"/>
      <c r="ILI10" s="699"/>
      <c r="ILJ10" s="699"/>
      <c r="ILK10" s="699"/>
      <c r="ILL10" s="699"/>
      <c r="ILM10" s="699"/>
      <c r="ILN10" s="699"/>
      <c r="ILO10" s="699"/>
      <c r="ILP10" s="699"/>
      <c r="ILQ10" s="699"/>
      <c r="ILR10" s="699"/>
      <c r="ILS10" s="699"/>
      <c r="ILT10" s="699"/>
      <c r="ILU10" s="699"/>
      <c r="ILV10" s="699"/>
      <c r="ILW10" s="699"/>
      <c r="ILX10" s="699"/>
      <c r="ILY10" s="699"/>
      <c r="ILZ10" s="699"/>
      <c r="IMA10" s="699"/>
      <c r="IMB10" s="699"/>
      <c r="IMC10" s="699"/>
      <c r="IMD10" s="699"/>
      <c r="IME10" s="699"/>
      <c r="IMF10" s="699"/>
      <c r="IMG10" s="699"/>
      <c r="IMH10" s="699"/>
      <c r="IMI10" s="699"/>
      <c r="IMJ10" s="699"/>
      <c r="IMK10" s="699"/>
      <c r="IML10" s="699"/>
      <c r="IMM10" s="699"/>
      <c r="IMN10" s="699"/>
      <c r="IMO10" s="699"/>
      <c r="IMP10" s="699"/>
      <c r="IMQ10" s="699"/>
      <c r="IMR10" s="699"/>
      <c r="IMS10" s="699"/>
      <c r="IMT10" s="699"/>
      <c r="IMU10" s="699"/>
      <c r="IMV10" s="699"/>
      <c r="IMW10" s="699"/>
      <c r="IMX10" s="699"/>
      <c r="IMY10" s="699"/>
      <c r="IMZ10" s="699"/>
      <c r="INA10" s="699"/>
      <c r="INB10" s="699"/>
      <c r="INC10" s="699"/>
      <c r="IND10" s="699"/>
      <c r="INE10" s="699"/>
      <c r="INF10" s="699"/>
      <c r="ING10" s="699"/>
      <c r="INH10" s="699"/>
      <c r="INI10" s="699"/>
      <c r="INJ10" s="699"/>
      <c r="INK10" s="699"/>
      <c r="INL10" s="699"/>
      <c r="INM10" s="699"/>
      <c r="INN10" s="699"/>
      <c r="INO10" s="699"/>
      <c r="INP10" s="699"/>
      <c r="INQ10" s="699"/>
      <c r="INR10" s="699"/>
      <c r="INS10" s="699"/>
      <c r="INT10" s="699"/>
      <c r="INU10" s="699"/>
      <c r="INV10" s="699"/>
      <c r="INW10" s="699"/>
      <c r="INX10" s="699"/>
      <c r="INY10" s="699"/>
      <c r="INZ10" s="699"/>
      <c r="IOA10" s="699"/>
      <c r="IOB10" s="699"/>
      <c r="IOC10" s="699"/>
      <c r="IOD10" s="699"/>
      <c r="IOE10" s="699"/>
      <c r="IOF10" s="699"/>
      <c r="IOG10" s="699"/>
      <c r="IOH10" s="699"/>
      <c r="IOI10" s="699"/>
      <c r="IOJ10" s="699"/>
      <c r="IOK10" s="699"/>
      <c r="IOL10" s="699"/>
      <c r="IOM10" s="699"/>
      <c r="ION10" s="699"/>
      <c r="IOO10" s="699"/>
      <c r="IOP10" s="699"/>
      <c r="IOQ10" s="699"/>
      <c r="IOR10" s="699"/>
      <c r="IOS10" s="699"/>
      <c r="IOT10" s="699"/>
      <c r="IOU10" s="699"/>
      <c r="IOV10" s="699"/>
      <c r="IOW10" s="699"/>
      <c r="IOX10" s="699"/>
      <c r="IOY10" s="699"/>
      <c r="IOZ10" s="699"/>
      <c r="IPA10" s="699"/>
      <c r="IPB10" s="699"/>
      <c r="IPC10" s="699"/>
      <c r="IPD10" s="699"/>
      <c r="IPE10" s="699"/>
      <c r="IPF10" s="699"/>
      <c r="IPG10" s="699"/>
      <c r="IPH10" s="699"/>
      <c r="IPI10" s="699"/>
      <c r="IPJ10" s="699"/>
      <c r="IPK10" s="699"/>
      <c r="IPL10" s="699"/>
      <c r="IPM10" s="699"/>
      <c r="IPN10" s="699"/>
      <c r="IPO10" s="699"/>
      <c r="IPP10" s="699"/>
      <c r="IPQ10" s="699"/>
      <c r="IPR10" s="699"/>
      <c r="IPS10" s="699"/>
      <c r="IPT10" s="699"/>
      <c r="IPU10" s="699"/>
      <c r="IPV10" s="699"/>
      <c r="IPW10" s="699"/>
      <c r="IPX10" s="699"/>
      <c r="IPY10" s="699"/>
      <c r="IPZ10" s="699"/>
      <c r="IQA10" s="699"/>
      <c r="IQB10" s="699"/>
      <c r="IQC10" s="699"/>
      <c r="IQD10" s="699"/>
      <c r="IQE10" s="699"/>
      <c r="IQF10" s="699"/>
      <c r="IQG10" s="699"/>
      <c r="IQH10" s="699"/>
      <c r="IQI10" s="699"/>
      <c r="IQJ10" s="699"/>
      <c r="IQK10" s="699"/>
      <c r="IQL10" s="699"/>
      <c r="IQM10" s="699"/>
      <c r="IQN10" s="699"/>
      <c r="IQO10" s="699"/>
      <c r="IQP10" s="699"/>
      <c r="IQQ10" s="699"/>
      <c r="IQR10" s="699"/>
      <c r="IQS10" s="699"/>
      <c r="IQT10" s="699"/>
      <c r="IQU10" s="699"/>
      <c r="IQV10" s="699"/>
      <c r="IQW10" s="699"/>
      <c r="IQX10" s="699"/>
      <c r="IQY10" s="699"/>
      <c r="IQZ10" s="699"/>
      <c r="IRA10" s="699"/>
      <c r="IRB10" s="699"/>
      <c r="IRC10" s="699"/>
      <c r="IRD10" s="699"/>
      <c r="IRE10" s="699"/>
      <c r="IRF10" s="699"/>
      <c r="IRG10" s="699"/>
      <c r="IRH10" s="699"/>
      <c r="IRI10" s="699"/>
      <c r="IRJ10" s="699"/>
      <c r="IRK10" s="699"/>
      <c r="IRL10" s="699"/>
      <c r="IRM10" s="699"/>
      <c r="IRN10" s="699"/>
      <c r="IRO10" s="699"/>
      <c r="IRP10" s="699"/>
      <c r="IRQ10" s="699"/>
      <c r="IRR10" s="699"/>
      <c r="IRS10" s="699"/>
      <c r="IRT10" s="699"/>
      <c r="IRU10" s="699"/>
      <c r="IRV10" s="699"/>
      <c r="IRW10" s="699"/>
      <c r="IRX10" s="699"/>
      <c r="IRY10" s="699"/>
      <c r="IRZ10" s="699"/>
      <c r="ISA10" s="699"/>
      <c r="ISB10" s="699"/>
      <c r="ISC10" s="699"/>
      <c r="ISD10" s="699"/>
      <c r="ISE10" s="699"/>
      <c r="ISF10" s="699"/>
      <c r="ISG10" s="699"/>
      <c r="ISH10" s="699"/>
      <c r="ISI10" s="699"/>
      <c r="ISJ10" s="699"/>
      <c r="ISK10" s="699"/>
      <c r="ISL10" s="699"/>
      <c r="ISM10" s="699"/>
      <c r="ISN10" s="699"/>
      <c r="ISO10" s="699"/>
      <c r="ISP10" s="699"/>
      <c r="ISQ10" s="699"/>
      <c r="ISR10" s="699"/>
      <c r="ISS10" s="699"/>
      <c r="IST10" s="699"/>
      <c r="ISU10" s="699"/>
      <c r="ISV10" s="699"/>
      <c r="ISW10" s="699"/>
      <c r="ISX10" s="699"/>
      <c r="ISY10" s="699"/>
      <c r="ISZ10" s="699"/>
      <c r="ITA10" s="699"/>
      <c r="ITB10" s="699"/>
      <c r="ITC10" s="699"/>
      <c r="ITD10" s="699"/>
      <c r="ITE10" s="699"/>
      <c r="ITF10" s="699"/>
      <c r="ITG10" s="699"/>
      <c r="ITH10" s="699"/>
      <c r="ITI10" s="699"/>
      <c r="ITJ10" s="699"/>
      <c r="ITK10" s="699"/>
      <c r="ITL10" s="699"/>
      <c r="ITM10" s="699"/>
      <c r="ITN10" s="699"/>
      <c r="ITO10" s="699"/>
      <c r="ITP10" s="699"/>
      <c r="ITQ10" s="699"/>
      <c r="ITR10" s="699"/>
      <c r="ITS10" s="699"/>
      <c r="ITT10" s="699"/>
      <c r="ITU10" s="699"/>
      <c r="ITV10" s="699"/>
      <c r="ITW10" s="699"/>
      <c r="ITX10" s="699"/>
      <c r="ITY10" s="699"/>
      <c r="ITZ10" s="699"/>
      <c r="IUA10" s="699"/>
      <c r="IUB10" s="699"/>
      <c r="IUC10" s="699"/>
      <c r="IUD10" s="699"/>
      <c r="IUE10" s="699"/>
      <c r="IUF10" s="699"/>
      <c r="IUG10" s="699"/>
      <c r="IUH10" s="699"/>
      <c r="IUI10" s="699"/>
      <c r="IUJ10" s="699"/>
      <c r="IUK10" s="699"/>
      <c r="IUL10" s="699"/>
      <c r="IUM10" s="699"/>
      <c r="IUN10" s="699"/>
      <c r="IUO10" s="699"/>
      <c r="IUP10" s="699"/>
      <c r="IUQ10" s="699"/>
      <c r="IUR10" s="699"/>
      <c r="IUS10" s="699"/>
      <c r="IUT10" s="699"/>
      <c r="IUU10" s="699"/>
      <c r="IUV10" s="699"/>
      <c r="IUW10" s="699"/>
      <c r="IUX10" s="699"/>
      <c r="IUY10" s="699"/>
      <c r="IUZ10" s="699"/>
      <c r="IVA10" s="699"/>
      <c r="IVB10" s="699"/>
      <c r="IVC10" s="699"/>
      <c r="IVD10" s="699"/>
      <c r="IVE10" s="699"/>
      <c r="IVF10" s="699"/>
      <c r="IVG10" s="699"/>
      <c r="IVH10" s="699"/>
      <c r="IVI10" s="699"/>
      <c r="IVJ10" s="699"/>
      <c r="IVK10" s="699"/>
      <c r="IVL10" s="699"/>
      <c r="IVM10" s="699"/>
      <c r="IVN10" s="699"/>
      <c r="IVO10" s="699"/>
      <c r="IVP10" s="699"/>
      <c r="IVQ10" s="699"/>
      <c r="IVR10" s="699"/>
      <c r="IVS10" s="699"/>
      <c r="IVT10" s="699"/>
      <c r="IVU10" s="699"/>
      <c r="IVV10" s="699"/>
      <c r="IVW10" s="699"/>
      <c r="IVX10" s="699"/>
      <c r="IVY10" s="699"/>
      <c r="IVZ10" s="699"/>
      <c r="IWA10" s="699"/>
      <c r="IWB10" s="699"/>
      <c r="IWC10" s="699"/>
      <c r="IWD10" s="699"/>
      <c r="IWE10" s="699"/>
      <c r="IWF10" s="699"/>
      <c r="IWG10" s="699"/>
      <c r="IWH10" s="699"/>
      <c r="IWI10" s="699"/>
      <c r="IWJ10" s="699"/>
      <c r="IWK10" s="699"/>
      <c r="IWL10" s="699"/>
      <c r="IWM10" s="699"/>
      <c r="IWN10" s="699"/>
      <c r="IWO10" s="699"/>
      <c r="IWP10" s="699"/>
      <c r="IWQ10" s="699"/>
      <c r="IWR10" s="699"/>
      <c r="IWS10" s="699"/>
      <c r="IWT10" s="699"/>
      <c r="IWU10" s="699"/>
      <c r="IWV10" s="699"/>
      <c r="IWW10" s="699"/>
      <c r="IWX10" s="699"/>
      <c r="IWY10" s="699"/>
      <c r="IWZ10" s="699"/>
      <c r="IXA10" s="699"/>
      <c r="IXB10" s="699"/>
      <c r="IXC10" s="699"/>
      <c r="IXD10" s="699"/>
      <c r="IXE10" s="699"/>
      <c r="IXF10" s="699"/>
      <c r="IXG10" s="699"/>
      <c r="IXH10" s="699"/>
      <c r="IXI10" s="699"/>
      <c r="IXJ10" s="699"/>
      <c r="IXK10" s="699"/>
      <c r="IXL10" s="699"/>
      <c r="IXM10" s="699"/>
      <c r="IXN10" s="699"/>
      <c r="IXO10" s="699"/>
      <c r="IXP10" s="699"/>
      <c r="IXQ10" s="699"/>
      <c r="IXR10" s="699"/>
      <c r="IXS10" s="699"/>
      <c r="IXT10" s="699"/>
      <c r="IXU10" s="699"/>
      <c r="IXV10" s="699"/>
      <c r="IXW10" s="699"/>
      <c r="IXX10" s="699"/>
      <c r="IXY10" s="699"/>
      <c r="IXZ10" s="699"/>
      <c r="IYA10" s="699"/>
      <c r="IYB10" s="699"/>
      <c r="IYC10" s="699"/>
      <c r="IYD10" s="699"/>
      <c r="IYE10" s="699"/>
      <c r="IYF10" s="699"/>
      <c r="IYG10" s="699"/>
      <c r="IYH10" s="699"/>
      <c r="IYI10" s="699"/>
      <c r="IYJ10" s="699"/>
      <c r="IYK10" s="699"/>
      <c r="IYL10" s="699"/>
      <c r="IYM10" s="699"/>
      <c r="IYN10" s="699"/>
      <c r="IYO10" s="699"/>
      <c r="IYP10" s="699"/>
      <c r="IYQ10" s="699"/>
      <c r="IYR10" s="699"/>
      <c r="IYS10" s="699"/>
      <c r="IYT10" s="699"/>
      <c r="IYU10" s="699"/>
      <c r="IYV10" s="699"/>
      <c r="IYW10" s="699"/>
      <c r="IYX10" s="699"/>
      <c r="IYY10" s="699"/>
      <c r="IYZ10" s="699"/>
      <c r="IZA10" s="699"/>
      <c r="IZB10" s="699"/>
      <c r="IZC10" s="699"/>
      <c r="IZD10" s="699"/>
      <c r="IZE10" s="699"/>
      <c r="IZF10" s="699"/>
      <c r="IZG10" s="699"/>
      <c r="IZH10" s="699"/>
      <c r="IZI10" s="699"/>
      <c r="IZJ10" s="699"/>
      <c r="IZK10" s="699"/>
      <c r="IZL10" s="699"/>
      <c r="IZM10" s="699"/>
      <c r="IZN10" s="699"/>
      <c r="IZO10" s="699"/>
      <c r="IZP10" s="699"/>
      <c r="IZQ10" s="699"/>
      <c r="IZR10" s="699"/>
      <c r="IZS10" s="699"/>
      <c r="IZT10" s="699"/>
      <c r="IZU10" s="699"/>
      <c r="IZV10" s="699"/>
      <c r="IZW10" s="699"/>
      <c r="IZX10" s="699"/>
      <c r="IZY10" s="699"/>
      <c r="IZZ10" s="699"/>
      <c r="JAA10" s="699"/>
      <c r="JAB10" s="699"/>
      <c r="JAC10" s="699"/>
      <c r="JAD10" s="699"/>
      <c r="JAE10" s="699"/>
      <c r="JAF10" s="699"/>
      <c r="JAG10" s="699"/>
      <c r="JAH10" s="699"/>
      <c r="JAI10" s="699"/>
      <c r="JAJ10" s="699"/>
      <c r="JAK10" s="699"/>
      <c r="JAL10" s="699"/>
      <c r="JAM10" s="699"/>
      <c r="JAN10" s="699"/>
      <c r="JAO10" s="699"/>
      <c r="JAP10" s="699"/>
      <c r="JAQ10" s="699"/>
      <c r="JAR10" s="699"/>
      <c r="JAS10" s="699"/>
      <c r="JAT10" s="699"/>
      <c r="JAU10" s="699"/>
      <c r="JAV10" s="699"/>
      <c r="JAW10" s="699"/>
      <c r="JAX10" s="699"/>
      <c r="JAY10" s="699"/>
      <c r="JAZ10" s="699"/>
      <c r="JBA10" s="699"/>
      <c r="JBB10" s="699"/>
      <c r="JBC10" s="699"/>
      <c r="JBD10" s="699"/>
      <c r="JBE10" s="699"/>
      <c r="JBF10" s="699"/>
      <c r="JBG10" s="699"/>
      <c r="JBH10" s="699"/>
      <c r="JBI10" s="699"/>
      <c r="JBJ10" s="699"/>
      <c r="JBK10" s="699"/>
      <c r="JBL10" s="699"/>
      <c r="JBM10" s="699"/>
      <c r="JBN10" s="699"/>
      <c r="JBO10" s="699"/>
      <c r="JBP10" s="699"/>
      <c r="JBQ10" s="699"/>
      <c r="JBR10" s="699"/>
      <c r="JBS10" s="699"/>
      <c r="JBT10" s="699"/>
      <c r="JBU10" s="699"/>
      <c r="JBV10" s="699"/>
      <c r="JBW10" s="699"/>
      <c r="JBX10" s="699"/>
      <c r="JBY10" s="699"/>
      <c r="JBZ10" s="699"/>
      <c r="JCA10" s="699"/>
      <c r="JCB10" s="699"/>
      <c r="JCC10" s="699"/>
      <c r="JCD10" s="699"/>
      <c r="JCE10" s="699"/>
      <c r="JCF10" s="699"/>
      <c r="JCG10" s="699"/>
      <c r="JCH10" s="699"/>
      <c r="JCI10" s="699"/>
      <c r="JCJ10" s="699"/>
      <c r="JCK10" s="699"/>
      <c r="JCL10" s="699"/>
      <c r="JCM10" s="699"/>
      <c r="JCN10" s="699"/>
      <c r="JCO10" s="699"/>
      <c r="JCP10" s="699"/>
      <c r="JCQ10" s="699"/>
      <c r="JCR10" s="699"/>
      <c r="JCS10" s="699"/>
      <c r="JCT10" s="699"/>
      <c r="JCU10" s="699"/>
      <c r="JCV10" s="699"/>
      <c r="JCW10" s="699"/>
      <c r="JCX10" s="699"/>
      <c r="JCY10" s="699"/>
      <c r="JCZ10" s="699"/>
      <c r="JDA10" s="699"/>
      <c r="JDB10" s="699"/>
      <c r="JDC10" s="699"/>
      <c r="JDD10" s="699"/>
      <c r="JDE10" s="699"/>
      <c r="JDF10" s="699"/>
      <c r="JDG10" s="699"/>
      <c r="JDH10" s="699"/>
      <c r="JDI10" s="699"/>
      <c r="JDJ10" s="699"/>
      <c r="JDK10" s="699"/>
      <c r="JDL10" s="699"/>
      <c r="JDM10" s="699"/>
      <c r="JDN10" s="699"/>
      <c r="JDO10" s="699"/>
      <c r="JDP10" s="699"/>
      <c r="JDQ10" s="699"/>
      <c r="JDR10" s="699"/>
      <c r="JDS10" s="699"/>
      <c r="JDT10" s="699"/>
      <c r="JDU10" s="699"/>
      <c r="JDV10" s="699"/>
      <c r="JDW10" s="699"/>
      <c r="JDX10" s="699"/>
      <c r="JDY10" s="699"/>
      <c r="JDZ10" s="699"/>
      <c r="JEA10" s="699"/>
      <c r="JEB10" s="699"/>
      <c r="JEC10" s="699"/>
      <c r="JED10" s="699"/>
      <c r="JEE10" s="699"/>
      <c r="JEF10" s="699"/>
      <c r="JEG10" s="699"/>
      <c r="JEH10" s="699"/>
      <c r="JEI10" s="699"/>
      <c r="JEJ10" s="699"/>
      <c r="JEK10" s="699"/>
      <c r="JEL10" s="699"/>
      <c r="JEM10" s="699"/>
      <c r="JEN10" s="699"/>
      <c r="JEO10" s="699"/>
      <c r="JEP10" s="699"/>
      <c r="JEQ10" s="699"/>
      <c r="JER10" s="699"/>
      <c r="JES10" s="699"/>
      <c r="JET10" s="699"/>
      <c r="JEU10" s="699"/>
      <c r="JEV10" s="699"/>
      <c r="JEW10" s="699"/>
      <c r="JEX10" s="699"/>
      <c r="JEY10" s="699"/>
      <c r="JEZ10" s="699"/>
      <c r="JFA10" s="699"/>
      <c r="JFB10" s="699"/>
      <c r="JFC10" s="699"/>
      <c r="JFD10" s="699"/>
      <c r="JFE10" s="699"/>
      <c r="JFF10" s="699"/>
      <c r="JFG10" s="699"/>
      <c r="JFH10" s="699"/>
      <c r="JFI10" s="699"/>
      <c r="JFJ10" s="699"/>
      <c r="JFK10" s="699"/>
      <c r="JFL10" s="699"/>
      <c r="JFM10" s="699"/>
      <c r="JFN10" s="699"/>
      <c r="JFO10" s="699"/>
      <c r="JFP10" s="699"/>
      <c r="JFQ10" s="699"/>
      <c r="JFR10" s="699"/>
      <c r="JFS10" s="699"/>
      <c r="JFT10" s="699"/>
      <c r="JFU10" s="699"/>
      <c r="JFV10" s="699"/>
      <c r="JFW10" s="699"/>
      <c r="JFX10" s="699"/>
      <c r="JFY10" s="699"/>
      <c r="JFZ10" s="699"/>
      <c r="JGA10" s="699"/>
      <c r="JGB10" s="699"/>
      <c r="JGC10" s="699"/>
      <c r="JGD10" s="699"/>
      <c r="JGE10" s="699"/>
      <c r="JGF10" s="699"/>
      <c r="JGG10" s="699"/>
      <c r="JGH10" s="699"/>
      <c r="JGI10" s="699"/>
      <c r="JGJ10" s="699"/>
      <c r="JGK10" s="699"/>
      <c r="JGL10" s="699"/>
      <c r="JGM10" s="699"/>
      <c r="JGN10" s="699"/>
      <c r="JGO10" s="699"/>
      <c r="JGP10" s="699"/>
      <c r="JGQ10" s="699"/>
      <c r="JGR10" s="699"/>
      <c r="JGS10" s="699"/>
      <c r="JGT10" s="699"/>
      <c r="JGU10" s="699"/>
      <c r="JGV10" s="699"/>
      <c r="JGW10" s="699"/>
      <c r="JGX10" s="699"/>
      <c r="JGY10" s="699"/>
      <c r="JGZ10" s="699"/>
      <c r="JHA10" s="699"/>
      <c r="JHB10" s="699"/>
      <c r="JHC10" s="699"/>
      <c r="JHD10" s="699"/>
      <c r="JHE10" s="699"/>
      <c r="JHF10" s="699"/>
      <c r="JHG10" s="699"/>
      <c r="JHH10" s="699"/>
      <c r="JHI10" s="699"/>
      <c r="JHJ10" s="699"/>
      <c r="JHK10" s="699"/>
      <c r="JHL10" s="699"/>
      <c r="JHM10" s="699"/>
      <c r="JHN10" s="699"/>
      <c r="JHO10" s="699"/>
      <c r="JHP10" s="699"/>
      <c r="JHQ10" s="699"/>
      <c r="JHR10" s="699"/>
      <c r="JHS10" s="699"/>
      <c r="JHT10" s="699"/>
      <c r="JHU10" s="699"/>
      <c r="JHV10" s="699"/>
      <c r="JHW10" s="699"/>
      <c r="JHX10" s="699"/>
      <c r="JHY10" s="699"/>
      <c r="JHZ10" s="699"/>
      <c r="JIA10" s="699"/>
      <c r="JIB10" s="699"/>
      <c r="JIC10" s="699"/>
      <c r="JID10" s="699"/>
      <c r="JIE10" s="699"/>
      <c r="JIF10" s="699"/>
      <c r="JIG10" s="699"/>
      <c r="JIH10" s="699"/>
      <c r="JII10" s="699"/>
      <c r="JIJ10" s="699"/>
      <c r="JIK10" s="699"/>
      <c r="JIL10" s="699"/>
      <c r="JIM10" s="699"/>
      <c r="JIN10" s="699"/>
      <c r="JIO10" s="699"/>
      <c r="JIP10" s="699"/>
      <c r="JIQ10" s="699"/>
      <c r="JIR10" s="699"/>
      <c r="JIS10" s="699"/>
      <c r="JIT10" s="699"/>
      <c r="JIU10" s="699"/>
      <c r="JIV10" s="699"/>
      <c r="JIW10" s="699"/>
      <c r="JIX10" s="699"/>
      <c r="JIY10" s="699"/>
      <c r="JIZ10" s="699"/>
      <c r="JJA10" s="699"/>
      <c r="JJB10" s="699"/>
      <c r="JJC10" s="699"/>
      <c r="JJD10" s="699"/>
      <c r="JJE10" s="699"/>
      <c r="JJF10" s="699"/>
      <c r="JJG10" s="699"/>
      <c r="JJH10" s="699"/>
      <c r="JJI10" s="699"/>
      <c r="JJJ10" s="699"/>
      <c r="JJK10" s="699"/>
      <c r="JJL10" s="699"/>
      <c r="JJM10" s="699"/>
      <c r="JJN10" s="699"/>
      <c r="JJO10" s="699"/>
      <c r="JJP10" s="699"/>
      <c r="JJQ10" s="699"/>
      <c r="JJR10" s="699"/>
      <c r="JJS10" s="699"/>
      <c r="JJT10" s="699"/>
      <c r="JJU10" s="699"/>
      <c r="JJV10" s="699"/>
      <c r="JJW10" s="699"/>
      <c r="JJX10" s="699"/>
      <c r="JJY10" s="699"/>
      <c r="JJZ10" s="699"/>
      <c r="JKA10" s="699"/>
      <c r="JKB10" s="699"/>
      <c r="JKC10" s="699"/>
      <c r="JKD10" s="699"/>
      <c r="JKE10" s="699"/>
      <c r="JKF10" s="699"/>
      <c r="JKG10" s="699"/>
      <c r="JKH10" s="699"/>
      <c r="JKI10" s="699"/>
      <c r="JKJ10" s="699"/>
      <c r="JKK10" s="699"/>
      <c r="JKL10" s="699"/>
      <c r="JKM10" s="699"/>
      <c r="JKN10" s="699"/>
      <c r="JKO10" s="699"/>
      <c r="JKP10" s="699"/>
      <c r="JKQ10" s="699"/>
      <c r="JKR10" s="699"/>
      <c r="JKS10" s="699"/>
      <c r="JKT10" s="699"/>
      <c r="JKU10" s="699"/>
      <c r="JKV10" s="699"/>
      <c r="JKW10" s="699"/>
      <c r="JKX10" s="699"/>
      <c r="JKY10" s="699"/>
      <c r="JKZ10" s="699"/>
      <c r="JLA10" s="699"/>
      <c r="JLB10" s="699"/>
      <c r="JLC10" s="699"/>
      <c r="JLD10" s="699"/>
      <c r="JLE10" s="699"/>
      <c r="JLF10" s="699"/>
      <c r="JLG10" s="699"/>
      <c r="JLH10" s="699"/>
      <c r="JLI10" s="699"/>
      <c r="JLJ10" s="699"/>
      <c r="JLK10" s="699"/>
      <c r="JLL10" s="699"/>
      <c r="JLM10" s="699"/>
      <c r="JLN10" s="699"/>
      <c r="JLO10" s="699"/>
      <c r="JLP10" s="699"/>
      <c r="JLQ10" s="699"/>
      <c r="JLR10" s="699"/>
      <c r="JLS10" s="699"/>
      <c r="JLT10" s="699"/>
      <c r="JLU10" s="699"/>
      <c r="JLV10" s="699"/>
      <c r="JLW10" s="699"/>
      <c r="JLX10" s="699"/>
      <c r="JLY10" s="699"/>
      <c r="JLZ10" s="699"/>
      <c r="JMA10" s="699"/>
      <c r="JMB10" s="699"/>
      <c r="JMC10" s="699"/>
      <c r="JMD10" s="699"/>
      <c r="JME10" s="699"/>
      <c r="JMF10" s="699"/>
      <c r="JMG10" s="699"/>
      <c r="JMH10" s="699"/>
      <c r="JMI10" s="699"/>
      <c r="JMJ10" s="699"/>
      <c r="JMK10" s="699"/>
      <c r="JML10" s="699"/>
      <c r="JMM10" s="699"/>
      <c r="JMN10" s="699"/>
      <c r="JMO10" s="699"/>
      <c r="JMP10" s="699"/>
      <c r="JMQ10" s="699"/>
      <c r="JMR10" s="699"/>
      <c r="JMS10" s="699"/>
      <c r="JMT10" s="699"/>
      <c r="JMU10" s="699"/>
      <c r="JMV10" s="699"/>
      <c r="JMW10" s="699"/>
      <c r="JMX10" s="699"/>
      <c r="JMY10" s="699"/>
      <c r="JMZ10" s="699"/>
      <c r="JNA10" s="699"/>
      <c r="JNB10" s="699"/>
      <c r="JNC10" s="699"/>
      <c r="JND10" s="699"/>
      <c r="JNE10" s="699"/>
      <c r="JNF10" s="699"/>
      <c r="JNG10" s="699"/>
      <c r="JNH10" s="699"/>
      <c r="JNI10" s="699"/>
      <c r="JNJ10" s="699"/>
      <c r="JNK10" s="699"/>
      <c r="JNL10" s="699"/>
      <c r="JNM10" s="699"/>
      <c r="JNN10" s="699"/>
      <c r="JNO10" s="699"/>
      <c r="JNP10" s="699"/>
      <c r="JNQ10" s="699"/>
      <c r="JNR10" s="699"/>
      <c r="JNS10" s="699"/>
      <c r="JNT10" s="699"/>
      <c r="JNU10" s="699"/>
      <c r="JNV10" s="699"/>
      <c r="JNW10" s="699"/>
      <c r="JNX10" s="699"/>
      <c r="JNY10" s="699"/>
      <c r="JNZ10" s="699"/>
      <c r="JOA10" s="699"/>
      <c r="JOB10" s="699"/>
      <c r="JOC10" s="699"/>
      <c r="JOD10" s="699"/>
      <c r="JOE10" s="699"/>
      <c r="JOF10" s="699"/>
      <c r="JOG10" s="699"/>
      <c r="JOH10" s="699"/>
      <c r="JOI10" s="699"/>
      <c r="JOJ10" s="699"/>
      <c r="JOK10" s="699"/>
      <c r="JOL10" s="699"/>
      <c r="JOM10" s="699"/>
      <c r="JON10" s="699"/>
      <c r="JOO10" s="699"/>
      <c r="JOP10" s="699"/>
      <c r="JOQ10" s="699"/>
      <c r="JOR10" s="699"/>
      <c r="JOS10" s="699"/>
      <c r="JOT10" s="699"/>
      <c r="JOU10" s="699"/>
      <c r="JOV10" s="699"/>
      <c r="JOW10" s="699"/>
      <c r="JOX10" s="699"/>
      <c r="JOY10" s="699"/>
      <c r="JOZ10" s="699"/>
      <c r="JPA10" s="699"/>
      <c r="JPB10" s="699"/>
      <c r="JPC10" s="699"/>
      <c r="JPD10" s="699"/>
      <c r="JPE10" s="699"/>
      <c r="JPF10" s="699"/>
      <c r="JPG10" s="699"/>
      <c r="JPH10" s="699"/>
      <c r="JPI10" s="699"/>
      <c r="JPJ10" s="699"/>
      <c r="JPK10" s="699"/>
      <c r="JPL10" s="699"/>
      <c r="JPM10" s="699"/>
      <c r="JPN10" s="699"/>
      <c r="JPO10" s="699"/>
      <c r="JPP10" s="699"/>
      <c r="JPQ10" s="699"/>
      <c r="JPR10" s="699"/>
      <c r="JPS10" s="699"/>
      <c r="JPT10" s="699"/>
      <c r="JPU10" s="699"/>
      <c r="JPV10" s="699"/>
      <c r="JPW10" s="699"/>
      <c r="JPX10" s="699"/>
      <c r="JPY10" s="699"/>
      <c r="JPZ10" s="699"/>
      <c r="JQA10" s="699"/>
      <c r="JQB10" s="699"/>
      <c r="JQC10" s="699"/>
      <c r="JQD10" s="699"/>
      <c r="JQE10" s="699"/>
      <c r="JQF10" s="699"/>
      <c r="JQG10" s="699"/>
      <c r="JQH10" s="699"/>
      <c r="JQI10" s="699"/>
      <c r="JQJ10" s="699"/>
      <c r="JQK10" s="699"/>
      <c r="JQL10" s="699"/>
      <c r="JQM10" s="699"/>
      <c r="JQN10" s="699"/>
      <c r="JQO10" s="699"/>
      <c r="JQP10" s="699"/>
      <c r="JQQ10" s="699"/>
      <c r="JQR10" s="699"/>
      <c r="JQS10" s="699"/>
      <c r="JQT10" s="699"/>
      <c r="JQU10" s="699"/>
      <c r="JQV10" s="699"/>
      <c r="JQW10" s="699"/>
      <c r="JQX10" s="699"/>
      <c r="JQY10" s="699"/>
      <c r="JQZ10" s="699"/>
      <c r="JRA10" s="699"/>
      <c r="JRB10" s="699"/>
      <c r="JRC10" s="699"/>
      <c r="JRD10" s="699"/>
      <c r="JRE10" s="699"/>
      <c r="JRF10" s="699"/>
      <c r="JRG10" s="699"/>
      <c r="JRH10" s="699"/>
      <c r="JRI10" s="699"/>
      <c r="JRJ10" s="699"/>
      <c r="JRK10" s="699"/>
      <c r="JRL10" s="699"/>
      <c r="JRM10" s="699"/>
      <c r="JRN10" s="699"/>
      <c r="JRO10" s="699"/>
      <c r="JRP10" s="699"/>
      <c r="JRQ10" s="699"/>
      <c r="JRR10" s="699"/>
      <c r="JRS10" s="699"/>
      <c r="JRT10" s="699"/>
      <c r="JRU10" s="699"/>
      <c r="JRV10" s="699"/>
      <c r="JRW10" s="699"/>
      <c r="JRX10" s="699"/>
      <c r="JRY10" s="699"/>
      <c r="JRZ10" s="699"/>
      <c r="JSA10" s="699"/>
      <c r="JSB10" s="699"/>
      <c r="JSC10" s="699"/>
      <c r="JSD10" s="699"/>
      <c r="JSE10" s="699"/>
      <c r="JSF10" s="699"/>
      <c r="JSG10" s="699"/>
      <c r="JSH10" s="699"/>
      <c r="JSI10" s="699"/>
      <c r="JSJ10" s="699"/>
      <c r="JSK10" s="699"/>
      <c r="JSL10" s="699"/>
      <c r="JSM10" s="699"/>
      <c r="JSN10" s="699"/>
      <c r="JSO10" s="699"/>
      <c r="JSP10" s="699"/>
      <c r="JSQ10" s="699"/>
      <c r="JSR10" s="699"/>
      <c r="JSS10" s="699"/>
      <c r="JST10" s="699"/>
      <c r="JSU10" s="699"/>
      <c r="JSV10" s="699"/>
      <c r="JSW10" s="699"/>
      <c r="JSX10" s="699"/>
      <c r="JSY10" s="699"/>
      <c r="JSZ10" s="699"/>
      <c r="JTA10" s="699"/>
      <c r="JTB10" s="699"/>
      <c r="JTC10" s="699"/>
      <c r="JTD10" s="699"/>
      <c r="JTE10" s="699"/>
      <c r="JTF10" s="699"/>
      <c r="JTG10" s="699"/>
      <c r="JTH10" s="699"/>
      <c r="JTI10" s="699"/>
      <c r="JTJ10" s="699"/>
      <c r="JTK10" s="699"/>
      <c r="JTL10" s="699"/>
      <c r="JTM10" s="699"/>
      <c r="JTN10" s="699"/>
      <c r="JTO10" s="699"/>
      <c r="JTP10" s="699"/>
      <c r="JTQ10" s="699"/>
      <c r="JTR10" s="699"/>
      <c r="JTS10" s="699"/>
      <c r="JTT10" s="699"/>
      <c r="JTU10" s="699"/>
      <c r="JTV10" s="699"/>
      <c r="JTW10" s="699"/>
      <c r="JTX10" s="699"/>
      <c r="JTY10" s="699"/>
      <c r="JTZ10" s="699"/>
      <c r="JUA10" s="699"/>
      <c r="JUB10" s="699"/>
      <c r="JUC10" s="699"/>
      <c r="JUD10" s="699"/>
      <c r="JUE10" s="699"/>
      <c r="JUF10" s="699"/>
      <c r="JUG10" s="699"/>
      <c r="JUH10" s="699"/>
      <c r="JUI10" s="699"/>
      <c r="JUJ10" s="699"/>
      <c r="JUK10" s="699"/>
      <c r="JUL10" s="699"/>
      <c r="JUM10" s="699"/>
      <c r="JUN10" s="699"/>
      <c r="JUO10" s="699"/>
      <c r="JUP10" s="699"/>
      <c r="JUQ10" s="699"/>
      <c r="JUR10" s="699"/>
      <c r="JUS10" s="699"/>
      <c r="JUT10" s="699"/>
      <c r="JUU10" s="699"/>
      <c r="JUV10" s="699"/>
      <c r="JUW10" s="699"/>
      <c r="JUX10" s="699"/>
      <c r="JUY10" s="699"/>
      <c r="JUZ10" s="699"/>
      <c r="JVA10" s="699"/>
      <c r="JVB10" s="699"/>
      <c r="JVC10" s="699"/>
      <c r="JVD10" s="699"/>
      <c r="JVE10" s="699"/>
      <c r="JVF10" s="699"/>
      <c r="JVG10" s="699"/>
      <c r="JVH10" s="699"/>
      <c r="JVI10" s="699"/>
      <c r="JVJ10" s="699"/>
      <c r="JVK10" s="699"/>
      <c r="JVL10" s="699"/>
      <c r="JVM10" s="699"/>
      <c r="JVN10" s="699"/>
      <c r="JVO10" s="699"/>
      <c r="JVP10" s="699"/>
      <c r="JVQ10" s="699"/>
      <c r="JVR10" s="699"/>
      <c r="JVS10" s="699"/>
      <c r="JVT10" s="699"/>
      <c r="JVU10" s="699"/>
      <c r="JVV10" s="699"/>
      <c r="JVW10" s="699"/>
      <c r="JVX10" s="699"/>
      <c r="JVY10" s="699"/>
      <c r="JVZ10" s="699"/>
      <c r="JWA10" s="699"/>
      <c r="JWB10" s="699"/>
      <c r="JWC10" s="699"/>
      <c r="JWD10" s="699"/>
      <c r="JWE10" s="699"/>
      <c r="JWF10" s="699"/>
      <c r="JWG10" s="699"/>
      <c r="JWH10" s="699"/>
      <c r="JWI10" s="699"/>
      <c r="JWJ10" s="699"/>
      <c r="JWK10" s="699"/>
      <c r="JWL10" s="699"/>
      <c r="JWM10" s="699"/>
      <c r="JWN10" s="699"/>
      <c r="JWO10" s="699"/>
      <c r="JWP10" s="699"/>
      <c r="JWQ10" s="699"/>
      <c r="JWR10" s="699"/>
      <c r="JWS10" s="699"/>
      <c r="JWT10" s="699"/>
      <c r="JWU10" s="699"/>
      <c r="JWV10" s="699"/>
      <c r="JWW10" s="699"/>
      <c r="JWX10" s="699"/>
      <c r="JWY10" s="699"/>
      <c r="JWZ10" s="699"/>
      <c r="JXA10" s="699"/>
      <c r="JXB10" s="699"/>
      <c r="JXC10" s="699"/>
      <c r="JXD10" s="699"/>
      <c r="JXE10" s="699"/>
      <c r="JXF10" s="699"/>
      <c r="JXG10" s="699"/>
      <c r="JXH10" s="699"/>
      <c r="JXI10" s="699"/>
      <c r="JXJ10" s="699"/>
      <c r="JXK10" s="699"/>
      <c r="JXL10" s="699"/>
      <c r="JXM10" s="699"/>
      <c r="JXN10" s="699"/>
      <c r="JXO10" s="699"/>
      <c r="JXP10" s="699"/>
      <c r="JXQ10" s="699"/>
      <c r="JXR10" s="699"/>
      <c r="JXS10" s="699"/>
      <c r="JXT10" s="699"/>
      <c r="JXU10" s="699"/>
      <c r="JXV10" s="699"/>
      <c r="JXW10" s="699"/>
      <c r="JXX10" s="699"/>
      <c r="JXY10" s="699"/>
      <c r="JXZ10" s="699"/>
      <c r="JYA10" s="699"/>
      <c r="JYB10" s="699"/>
      <c r="JYC10" s="699"/>
      <c r="JYD10" s="699"/>
      <c r="JYE10" s="699"/>
      <c r="JYF10" s="699"/>
      <c r="JYG10" s="699"/>
      <c r="JYH10" s="699"/>
      <c r="JYI10" s="699"/>
      <c r="JYJ10" s="699"/>
      <c r="JYK10" s="699"/>
      <c r="JYL10" s="699"/>
      <c r="JYM10" s="699"/>
      <c r="JYN10" s="699"/>
      <c r="JYO10" s="699"/>
      <c r="JYP10" s="699"/>
      <c r="JYQ10" s="699"/>
      <c r="JYR10" s="699"/>
      <c r="JYS10" s="699"/>
      <c r="JYT10" s="699"/>
      <c r="JYU10" s="699"/>
      <c r="JYV10" s="699"/>
      <c r="JYW10" s="699"/>
      <c r="JYX10" s="699"/>
      <c r="JYY10" s="699"/>
      <c r="JYZ10" s="699"/>
      <c r="JZA10" s="699"/>
      <c r="JZB10" s="699"/>
      <c r="JZC10" s="699"/>
      <c r="JZD10" s="699"/>
      <c r="JZE10" s="699"/>
      <c r="JZF10" s="699"/>
      <c r="JZG10" s="699"/>
      <c r="JZH10" s="699"/>
      <c r="JZI10" s="699"/>
      <c r="JZJ10" s="699"/>
      <c r="JZK10" s="699"/>
      <c r="JZL10" s="699"/>
      <c r="JZM10" s="699"/>
      <c r="JZN10" s="699"/>
      <c r="JZO10" s="699"/>
      <c r="JZP10" s="699"/>
      <c r="JZQ10" s="699"/>
      <c r="JZR10" s="699"/>
      <c r="JZS10" s="699"/>
      <c r="JZT10" s="699"/>
      <c r="JZU10" s="699"/>
      <c r="JZV10" s="699"/>
      <c r="JZW10" s="699"/>
      <c r="JZX10" s="699"/>
      <c r="JZY10" s="699"/>
      <c r="JZZ10" s="699"/>
      <c r="KAA10" s="699"/>
      <c r="KAB10" s="699"/>
      <c r="KAC10" s="699"/>
      <c r="KAD10" s="699"/>
      <c r="KAE10" s="699"/>
      <c r="KAF10" s="699"/>
      <c r="KAG10" s="699"/>
      <c r="KAH10" s="699"/>
      <c r="KAI10" s="699"/>
      <c r="KAJ10" s="699"/>
      <c r="KAK10" s="699"/>
      <c r="KAL10" s="699"/>
      <c r="KAM10" s="699"/>
      <c r="KAN10" s="699"/>
      <c r="KAO10" s="699"/>
      <c r="KAP10" s="699"/>
      <c r="KAQ10" s="699"/>
      <c r="KAR10" s="699"/>
      <c r="KAS10" s="699"/>
      <c r="KAT10" s="699"/>
      <c r="KAU10" s="699"/>
      <c r="KAV10" s="699"/>
      <c r="KAW10" s="699"/>
      <c r="KAX10" s="699"/>
      <c r="KAY10" s="699"/>
      <c r="KAZ10" s="699"/>
      <c r="KBA10" s="699"/>
      <c r="KBB10" s="699"/>
      <c r="KBC10" s="699"/>
      <c r="KBD10" s="699"/>
      <c r="KBE10" s="699"/>
      <c r="KBF10" s="699"/>
      <c r="KBG10" s="699"/>
      <c r="KBH10" s="699"/>
      <c r="KBI10" s="699"/>
      <c r="KBJ10" s="699"/>
      <c r="KBK10" s="699"/>
      <c r="KBL10" s="699"/>
      <c r="KBM10" s="699"/>
      <c r="KBN10" s="699"/>
      <c r="KBO10" s="699"/>
      <c r="KBP10" s="699"/>
      <c r="KBQ10" s="699"/>
      <c r="KBR10" s="699"/>
      <c r="KBS10" s="699"/>
      <c r="KBT10" s="699"/>
      <c r="KBU10" s="699"/>
      <c r="KBV10" s="699"/>
      <c r="KBW10" s="699"/>
      <c r="KBX10" s="699"/>
      <c r="KBY10" s="699"/>
      <c r="KBZ10" s="699"/>
      <c r="KCA10" s="699"/>
      <c r="KCB10" s="699"/>
      <c r="KCC10" s="699"/>
      <c r="KCD10" s="699"/>
      <c r="KCE10" s="699"/>
      <c r="KCF10" s="699"/>
      <c r="KCG10" s="699"/>
      <c r="KCH10" s="699"/>
      <c r="KCI10" s="699"/>
      <c r="KCJ10" s="699"/>
      <c r="KCK10" s="699"/>
      <c r="KCL10" s="699"/>
      <c r="KCM10" s="699"/>
      <c r="KCN10" s="699"/>
      <c r="KCO10" s="699"/>
      <c r="KCP10" s="699"/>
      <c r="KCQ10" s="699"/>
      <c r="KCR10" s="699"/>
      <c r="KCS10" s="699"/>
      <c r="KCT10" s="699"/>
      <c r="KCU10" s="699"/>
      <c r="KCV10" s="699"/>
      <c r="KCW10" s="699"/>
      <c r="KCX10" s="699"/>
      <c r="KCY10" s="699"/>
      <c r="KCZ10" s="699"/>
      <c r="KDA10" s="699"/>
      <c r="KDB10" s="699"/>
      <c r="KDC10" s="699"/>
      <c r="KDD10" s="699"/>
      <c r="KDE10" s="699"/>
      <c r="KDF10" s="699"/>
      <c r="KDG10" s="699"/>
      <c r="KDH10" s="699"/>
      <c r="KDI10" s="699"/>
      <c r="KDJ10" s="699"/>
      <c r="KDK10" s="699"/>
      <c r="KDL10" s="699"/>
      <c r="KDM10" s="699"/>
      <c r="KDN10" s="699"/>
      <c r="KDO10" s="699"/>
      <c r="KDP10" s="699"/>
      <c r="KDQ10" s="699"/>
      <c r="KDR10" s="699"/>
      <c r="KDS10" s="699"/>
      <c r="KDT10" s="699"/>
      <c r="KDU10" s="699"/>
      <c r="KDV10" s="699"/>
      <c r="KDW10" s="699"/>
      <c r="KDX10" s="699"/>
      <c r="KDY10" s="699"/>
      <c r="KDZ10" s="699"/>
      <c r="KEA10" s="699"/>
      <c r="KEB10" s="699"/>
      <c r="KEC10" s="699"/>
      <c r="KED10" s="699"/>
      <c r="KEE10" s="699"/>
      <c r="KEF10" s="699"/>
      <c r="KEG10" s="699"/>
      <c r="KEH10" s="699"/>
      <c r="KEI10" s="699"/>
      <c r="KEJ10" s="699"/>
      <c r="KEK10" s="699"/>
      <c r="KEL10" s="699"/>
      <c r="KEM10" s="699"/>
      <c r="KEN10" s="699"/>
      <c r="KEO10" s="699"/>
      <c r="KEP10" s="699"/>
      <c r="KEQ10" s="699"/>
      <c r="KER10" s="699"/>
      <c r="KES10" s="699"/>
      <c r="KET10" s="699"/>
      <c r="KEU10" s="699"/>
      <c r="KEV10" s="699"/>
      <c r="KEW10" s="699"/>
      <c r="KEX10" s="699"/>
      <c r="KEY10" s="699"/>
      <c r="KEZ10" s="699"/>
      <c r="KFA10" s="699"/>
      <c r="KFB10" s="699"/>
      <c r="KFC10" s="699"/>
      <c r="KFD10" s="699"/>
      <c r="KFE10" s="699"/>
      <c r="KFF10" s="699"/>
      <c r="KFG10" s="699"/>
      <c r="KFH10" s="699"/>
      <c r="KFI10" s="699"/>
      <c r="KFJ10" s="699"/>
      <c r="KFK10" s="699"/>
      <c r="KFL10" s="699"/>
      <c r="KFM10" s="699"/>
      <c r="KFN10" s="699"/>
      <c r="KFO10" s="699"/>
      <c r="KFP10" s="699"/>
      <c r="KFQ10" s="699"/>
      <c r="KFR10" s="699"/>
      <c r="KFS10" s="699"/>
      <c r="KFT10" s="699"/>
      <c r="KFU10" s="699"/>
      <c r="KFV10" s="699"/>
      <c r="KFW10" s="699"/>
      <c r="KFX10" s="699"/>
      <c r="KFY10" s="699"/>
      <c r="KFZ10" s="699"/>
      <c r="KGA10" s="699"/>
      <c r="KGB10" s="699"/>
      <c r="KGC10" s="699"/>
      <c r="KGD10" s="699"/>
      <c r="KGE10" s="699"/>
      <c r="KGF10" s="699"/>
      <c r="KGG10" s="699"/>
      <c r="KGH10" s="699"/>
      <c r="KGI10" s="699"/>
      <c r="KGJ10" s="699"/>
      <c r="KGK10" s="699"/>
      <c r="KGL10" s="699"/>
      <c r="KGM10" s="699"/>
      <c r="KGN10" s="699"/>
      <c r="KGO10" s="699"/>
      <c r="KGP10" s="699"/>
      <c r="KGQ10" s="699"/>
      <c r="KGR10" s="699"/>
      <c r="KGS10" s="699"/>
      <c r="KGT10" s="699"/>
      <c r="KGU10" s="699"/>
      <c r="KGV10" s="699"/>
      <c r="KGW10" s="699"/>
      <c r="KGX10" s="699"/>
      <c r="KGY10" s="699"/>
      <c r="KGZ10" s="699"/>
      <c r="KHA10" s="699"/>
      <c r="KHB10" s="699"/>
      <c r="KHC10" s="699"/>
      <c r="KHD10" s="699"/>
      <c r="KHE10" s="699"/>
      <c r="KHF10" s="699"/>
      <c r="KHG10" s="699"/>
      <c r="KHH10" s="699"/>
      <c r="KHI10" s="699"/>
      <c r="KHJ10" s="699"/>
      <c r="KHK10" s="699"/>
      <c r="KHL10" s="699"/>
      <c r="KHM10" s="699"/>
      <c r="KHN10" s="699"/>
      <c r="KHO10" s="699"/>
      <c r="KHP10" s="699"/>
      <c r="KHQ10" s="699"/>
      <c r="KHR10" s="699"/>
      <c r="KHS10" s="699"/>
      <c r="KHT10" s="699"/>
      <c r="KHU10" s="699"/>
      <c r="KHV10" s="699"/>
      <c r="KHW10" s="699"/>
      <c r="KHX10" s="699"/>
      <c r="KHY10" s="699"/>
      <c r="KHZ10" s="699"/>
      <c r="KIA10" s="699"/>
      <c r="KIB10" s="699"/>
      <c r="KIC10" s="699"/>
      <c r="KID10" s="699"/>
      <c r="KIE10" s="699"/>
      <c r="KIF10" s="699"/>
      <c r="KIG10" s="699"/>
      <c r="KIH10" s="699"/>
      <c r="KII10" s="699"/>
      <c r="KIJ10" s="699"/>
      <c r="KIK10" s="699"/>
      <c r="KIL10" s="699"/>
      <c r="KIM10" s="699"/>
      <c r="KIN10" s="699"/>
      <c r="KIO10" s="699"/>
      <c r="KIP10" s="699"/>
      <c r="KIQ10" s="699"/>
      <c r="KIR10" s="699"/>
      <c r="KIS10" s="699"/>
      <c r="KIT10" s="699"/>
      <c r="KIU10" s="699"/>
      <c r="KIV10" s="699"/>
      <c r="KIW10" s="699"/>
      <c r="KIX10" s="699"/>
      <c r="KIY10" s="699"/>
      <c r="KIZ10" s="699"/>
      <c r="KJA10" s="699"/>
      <c r="KJB10" s="699"/>
      <c r="KJC10" s="699"/>
      <c r="KJD10" s="699"/>
      <c r="KJE10" s="699"/>
      <c r="KJF10" s="699"/>
      <c r="KJG10" s="699"/>
      <c r="KJH10" s="699"/>
      <c r="KJI10" s="699"/>
      <c r="KJJ10" s="699"/>
      <c r="KJK10" s="699"/>
      <c r="KJL10" s="699"/>
      <c r="KJM10" s="699"/>
      <c r="KJN10" s="699"/>
      <c r="KJO10" s="699"/>
      <c r="KJP10" s="699"/>
      <c r="KJQ10" s="699"/>
      <c r="KJR10" s="699"/>
      <c r="KJS10" s="699"/>
      <c r="KJT10" s="699"/>
      <c r="KJU10" s="699"/>
      <c r="KJV10" s="699"/>
      <c r="KJW10" s="699"/>
      <c r="KJX10" s="699"/>
      <c r="KJY10" s="699"/>
      <c r="KJZ10" s="699"/>
      <c r="KKA10" s="699"/>
      <c r="KKB10" s="699"/>
      <c r="KKC10" s="699"/>
      <c r="KKD10" s="699"/>
      <c r="KKE10" s="699"/>
      <c r="KKF10" s="699"/>
      <c r="KKG10" s="699"/>
      <c r="KKH10" s="699"/>
      <c r="KKI10" s="699"/>
      <c r="KKJ10" s="699"/>
      <c r="KKK10" s="699"/>
      <c r="KKL10" s="699"/>
      <c r="KKM10" s="699"/>
      <c r="KKN10" s="699"/>
      <c r="KKO10" s="699"/>
      <c r="KKP10" s="699"/>
      <c r="KKQ10" s="699"/>
      <c r="KKR10" s="699"/>
      <c r="KKS10" s="699"/>
      <c r="KKT10" s="699"/>
      <c r="KKU10" s="699"/>
      <c r="KKV10" s="699"/>
      <c r="KKW10" s="699"/>
      <c r="KKX10" s="699"/>
      <c r="KKY10" s="699"/>
      <c r="KKZ10" s="699"/>
      <c r="KLA10" s="699"/>
      <c r="KLB10" s="699"/>
      <c r="KLC10" s="699"/>
      <c r="KLD10" s="699"/>
      <c r="KLE10" s="699"/>
      <c r="KLF10" s="699"/>
      <c r="KLG10" s="699"/>
      <c r="KLH10" s="699"/>
      <c r="KLI10" s="699"/>
      <c r="KLJ10" s="699"/>
      <c r="KLK10" s="699"/>
      <c r="KLL10" s="699"/>
      <c r="KLM10" s="699"/>
      <c r="KLN10" s="699"/>
      <c r="KLO10" s="699"/>
      <c r="KLP10" s="699"/>
      <c r="KLQ10" s="699"/>
      <c r="KLR10" s="699"/>
      <c r="KLS10" s="699"/>
      <c r="KLT10" s="699"/>
      <c r="KLU10" s="699"/>
      <c r="KLV10" s="699"/>
      <c r="KLW10" s="699"/>
      <c r="KLX10" s="699"/>
      <c r="KLY10" s="699"/>
      <c r="KLZ10" s="699"/>
      <c r="KMA10" s="699"/>
      <c r="KMB10" s="699"/>
      <c r="KMC10" s="699"/>
      <c r="KMD10" s="699"/>
      <c r="KME10" s="699"/>
      <c r="KMF10" s="699"/>
      <c r="KMG10" s="699"/>
      <c r="KMH10" s="699"/>
      <c r="KMI10" s="699"/>
      <c r="KMJ10" s="699"/>
      <c r="KMK10" s="699"/>
      <c r="KML10" s="699"/>
      <c r="KMM10" s="699"/>
      <c r="KMN10" s="699"/>
      <c r="KMO10" s="699"/>
      <c r="KMP10" s="699"/>
      <c r="KMQ10" s="699"/>
      <c r="KMR10" s="699"/>
      <c r="KMS10" s="699"/>
      <c r="KMT10" s="699"/>
      <c r="KMU10" s="699"/>
      <c r="KMV10" s="699"/>
      <c r="KMW10" s="699"/>
      <c r="KMX10" s="699"/>
      <c r="KMY10" s="699"/>
      <c r="KMZ10" s="699"/>
      <c r="KNA10" s="699"/>
      <c r="KNB10" s="699"/>
      <c r="KNC10" s="699"/>
      <c r="KND10" s="699"/>
      <c r="KNE10" s="699"/>
      <c r="KNF10" s="699"/>
      <c r="KNG10" s="699"/>
      <c r="KNH10" s="699"/>
      <c r="KNI10" s="699"/>
      <c r="KNJ10" s="699"/>
      <c r="KNK10" s="699"/>
      <c r="KNL10" s="699"/>
      <c r="KNM10" s="699"/>
      <c r="KNN10" s="699"/>
      <c r="KNO10" s="699"/>
      <c r="KNP10" s="699"/>
      <c r="KNQ10" s="699"/>
      <c r="KNR10" s="699"/>
      <c r="KNS10" s="699"/>
      <c r="KNT10" s="699"/>
      <c r="KNU10" s="699"/>
      <c r="KNV10" s="699"/>
      <c r="KNW10" s="699"/>
      <c r="KNX10" s="699"/>
      <c r="KNY10" s="699"/>
      <c r="KNZ10" s="699"/>
      <c r="KOA10" s="699"/>
      <c r="KOB10" s="699"/>
      <c r="KOC10" s="699"/>
      <c r="KOD10" s="699"/>
      <c r="KOE10" s="699"/>
      <c r="KOF10" s="699"/>
      <c r="KOG10" s="699"/>
      <c r="KOH10" s="699"/>
      <c r="KOI10" s="699"/>
      <c r="KOJ10" s="699"/>
      <c r="KOK10" s="699"/>
      <c r="KOL10" s="699"/>
      <c r="KOM10" s="699"/>
      <c r="KON10" s="699"/>
      <c r="KOO10" s="699"/>
      <c r="KOP10" s="699"/>
      <c r="KOQ10" s="699"/>
      <c r="KOR10" s="699"/>
      <c r="KOS10" s="699"/>
      <c r="KOT10" s="699"/>
      <c r="KOU10" s="699"/>
      <c r="KOV10" s="699"/>
      <c r="KOW10" s="699"/>
      <c r="KOX10" s="699"/>
      <c r="KOY10" s="699"/>
      <c r="KOZ10" s="699"/>
      <c r="KPA10" s="699"/>
      <c r="KPB10" s="699"/>
      <c r="KPC10" s="699"/>
      <c r="KPD10" s="699"/>
      <c r="KPE10" s="699"/>
      <c r="KPF10" s="699"/>
      <c r="KPG10" s="699"/>
      <c r="KPH10" s="699"/>
      <c r="KPI10" s="699"/>
      <c r="KPJ10" s="699"/>
      <c r="KPK10" s="699"/>
      <c r="KPL10" s="699"/>
      <c r="KPM10" s="699"/>
      <c r="KPN10" s="699"/>
      <c r="KPO10" s="699"/>
      <c r="KPP10" s="699"/>
      <c r="KPQ10" s="699"/>
      <c r="KPR10" s="699"/>
      <c r="KPS10" s="699"/>
      <c r="KPT10" s="699"/>
      <c r="KPU10" s="699"/>
      <c r="KPV10" s="699"/>
      <c r="KPW10" s="699"/>
      <c r="KPX10" s="699"/>
      <c r="KPY10" s="699"/>
      <c r="KPZ10" s="699"/>
      <c r="KQA10" s="699"/>
      <c r="KQB10" s="699"/>
      <c r="KQC10" s="699"/>
      <c r="KQD10" s="699"/>
      <c r="KQE10" s="699"/>
      <c r="KQF10" s="699"/>
      <c r="KQG10" s="699"/>
      <c r="KQH10" s="699"/>
      <c r="KQI10" s="699"/>
      <c r="KQJ10" s="699"/>
      <c r="KQK10" s="699"/>
      <c r="KQL10" s="699"/>
      <c r="KQM10" s="699"/>
      <c r="KQN10" s="699"/>
      <c r="KQO10" s="699"/>
      <c r="KQP10" s="699"/>
      <c r="KQQ10" s="699"/>
      <c r="KQR10" s="699"/>
      <c r="KQS10" s="699"/>
      <c r="KQT10" s="699"/>
      <c r="KQU10" s="699"/>
      <c r="KQV10" s="699"/>
      <c r="KQW10" s="699"/>
      <c r="KQX10" s="699"/>
      <c r="KQY10" s="699"/>
      <c r="KQZ10" s="699"/>
      <c r="KRA10" s="699"/>
      <c r="KRB10" s="699"/>
      <c r="KRC10" s="699"/>
      <c r="KRD10" s="699"/>
      <c r="KRE10" s="699"/>
      <c r="KRF10" s="699"/>
      <c r="KRG10" s="699"/>
      <c r="KRH10" s="699"/>
      <c r="KRI10" s="699"/>
      <c r="KRJ10" s="699"/>
      <c r="KRK10" s="699"/>
      <c r="KRL10" s="699"/>
      <c r="KRM10" s="699"/>
      <c r="KRN10" s="699"/>
      <c r="KRO10" s="699"/>
      <c r="KRP10" s="699"/>
      <c r="KRQ10" s="699"/>
      <c r="KRR10" s="699"/>
      <c r="KRS10" s="699"/>
      <c r="KRT10" s="699"/>
      <c r="KRU10" s="699"/>
      <c r="KRV10" s="699"/>
      <c r="KRW10" s="699"/>
      <c r="KRX10" s="699"/>
      <c r="KRY10" s="699"/>
      <c r="KRZ10" s="699"/>
      <c r="KSA10" s="699"/>
      <c r="KSB10" s="699"/>
      <c r="KSC10" s="699"/>
      <c r="KSD10" s="699"/>
      <c r="KSE10" s="699"/>
      <c r="KSF10" s="699"/>
      <c r="KSG10" s="699"/>
      <c r="KSH10" s="699"/>
      <c r="KSI10" s="699"/>
      <c r="KSJ10" s="699"/>
      <c r="KSK10" s="699"/>
      <c r="KSL10" s="699"/>
      <c r="KSM10" s="699"/>
      <c r="KSN10" s="699"/>
      <c r="KSO10" s="699"/>
      <c r="KSP10" s="699"/>
      <c r="KSQ10" s="699"/>
      <c r="KSR10" s="699"/>
      <c r="KSS10" s="699"/>
      <c r="KST10" s="699"/>
      <c r="KSU10" s="699"/>
      <c r="KSV10" s="699"/>
      <c r="KSW10" s="699"/>
      <c r="KSX10" s="699"/>
      <c r="KSY10" s="699"/>
      <c r="KSZ10" s="699"/>
      <c r="KTA10" s="699"/>
      <c r="KTB10" s="699"/>
      <c r="KTC10" s="699"/>
      <c r="KTD10" s="699"/>
      <c r="KTE10" s="699"/>
      <c r="KTF10" s="699"/>
      <c r="KTG10" s="699"/>
      <c r="KTH10" s="699"/>
      <c r="KTI10" s="699"/>
      <c r="KTJ10" s="699"/>
      <c r="KTK10" s="699"/>
      <c r="KTL10" s="699"/>
      <c r="KTM10" s="699"/>
      <c r="KTN10" s="699"/>
      <c r="KTO10" s="699"/>
      <c r="KTP10" s="699"/>
      <c r="KTQ10" s="699"/>
      <c r="KTR10" s="699"/>
      <c r="KTS10" s="699"/>
      <c r="KTT10" s="699"/>
      <c r="KTU10" s="699"/>
      <c r="KTV10" s="699"/>
      <c r="KTW10" s="699"/>
      <c r="KTX10" s="699"/>
      <c r="KTY10" s="699"/>
      <c r="KTZ10" s="699"/>
      <c r="KUA10" s="699"/>
      <c r="KUB10" s="699"/>
      <c r="KUC10" s="699"/>
      <c r="KUD10" s="699"/>
      <c r="KUE10" s="699"/>
      <c r="KUF10" s="699"/>
      <c r="KUG10" s="699"/>
      <c r="KUH10" s="699"/>
      <c r="KUI10" s="699"/>
      <c r="KUJ10" s="699"/>
      <c r="KUK10" s="699"/>
      <c r="KUL10" s="699"/>
      <c r="KUM10" s="699"/>
      <c r="KUN10" s="699"/>
      <c r="KUO10" s="699"/>
      <c r="KUP10" s="699"/>
      <c r="KUQ10" s="699"/>
      <c r="KUR10" s="699"/>
      <c r="KUS10" s="699"/>
      <c r="KUT10" s="699"/>
      <c r="KUU10" s="699"/>
      <c r="KUV10" s="699"/>
      <c r="KUW10" s="699"/>
      <c r="KUX10" s="699"/>
      <c r="KUY10" s="699"/>
      <c r="KUZ10" s="699"/>
      <c r="KVA10" s="699"/>
      <c r="KVB10" s="699"/>
      <c r="KVC10" s="699"/>
      <c r="KVD10" s="699"/>
      <c r="KVE10" s="699"/>
      <c r="KVF10" s="699"/>
      <c r="KVG10" s="699"/>
      <c r="KVH10" s="699"/>
      <c r="KVI10" s="699"/>
      <c r="KVJ10" s="699"/>
      <c r="KVK10" s="699"/>
      <c r="KVL10" s="699"/>
      <c r="KVM10" s="699"/>
      <c r="KVN10" s="699"/>
      <c r="KVO10" s="699"/>
      <c r="KVP10" s="699"/>
      <c r="KVQ10" s="699"/>
      <c r="KVR10" s="699"/>
      <c r="KVS10" s="699"/>
      <c r="KVT10" s="699"/>
      <c r="KVU10" s="699"/>
      <c r="KVV10" s="699"/>
      <c r="KVW10" s="699"/>
      <c r="KVX10" s="699"/>
      <c r="KVY10" s="699"/>
      <c r="KVZ10" s="699"/>
      <c r="KWA10" s="699"/>
      <c r="KWB10" s="699"/>
      <c r="KWC10" s="699"/>
      <c r="KWD10" s="699"/>
      <c r="KWE10" s="699"/>
      <c r="KWF10" s="699"/>
      <c r="KWG10" s="699"/>
      <c r="KWH10" s="699"/>
      <c r="KWI10" s="699"/>
      <c r="KWJ10" s="699"/>
      <c r="KWK10" s="699"/>
      <c r="KWL10" s="699"/>
      <c r="KWM10" s="699"/>
      <c r="KWN10" s="699"/>
      <c r="KWO10" s="699"/>
      <c r="KWP10" s="699"/>
      <c r="KWQ10" s="699"/>
      <c r="KWR10" s="699"/>
      <c r="KWS10" s="699"/>
      <c r="KWT10" s="699"/>
      <c r="KWU10" s="699"/>
      <c r="KWV10" s="699"/>
      <c r="KWW10" s="699"/>
      <c r="KWX10" s="699"/>
      <c r="KWY10" s="699"/>
      <c r="KWZ10" s="699"/>
      <c r="KXA10" s="699"/>
      <c r="KXB10" s="699"/>
      <c r="KXC10" s="699"/>
      <c r="KXD10" s="699"/>
      <c r="KXE10" s="699"/>
      <c r="KXF10" s="699"/>
      <c r="KXG10" s="699"/>
      <c r="KXH10" s="699"/>
      <c r="KXI10" s="699"/>
      <c r="KXJ10" s="699"/>
      <c r="KXK10" s="699"/>
      <c r="KXL10" s="699"/>
      <c r="KXM10" s="699"/>
      <c r="KXN10" s="699"/>
      <c r="KXO10" s="699"/>
      <c r="KXP10" s="699"/>
      <c r="KXQ10" s="699"/>
      <c r="KXR10" s="699"/>
      <c r="KXS10" s="699"/>
      <c r="KXT10" s="699"/>
      <c r="KXU10" s="699"/>
      <c r="KXV10" s="699"/>
      <c r="KXW10" s="699"/>
      <c r="KXX10" s="699"/>
      <c r="KXY10" s="699"/>
      <c r="KXZ10" s="699"/>
      <c r="KYA10" s="699"/>
      <c r="KYB10" s="699"/>
      <c r="KYC10" s="699"/>
      <c r="KYD10" s="699"/>
      <c r="KYE10" s="699"/>
      <c r="KYF10" s="699"/>
      <c r="KYG10" s="699"/>
      <c r="KYH10" s="699"/>
      <c r="KYI10" s="699"/>
      <c r="KYJ10" s="699"/>
      <c r="KYK10" s="699"/>
      <c r="KYL10" s="699"/>
      <c r="KYM10" s="699"/>
      <c r="KYN10" s="699"/>
      <c r="KYO10" s="699"/>
      <c r="KYP10" s="699"/>
      <c r="KYQ10" s="699"/>
      <c r="KYR10" s="699"/>
      <c r="KYS10" s="699"/>
      <c r="KYT10" s="699"/>
      <c r="KYU10" s="699"/>
      <c r="KYV10" s="699"/>
      <c r="KYW10" s="699"/>
      <c r="KYX10" s="699"/>
      <c r="KYY10" s="699"/>
      <c r="KYZ10" s="699"/>
      <c r="KZA10" s="699"/>
      <c r="KZB10" s="699"/>
      <c r="KZC10" s="699"/>
      <c r="KZD10" s="699"/>
      <c r="KZE10" s="699"/>
      <c r="KZF10" s="699"/>
      <c r="KZG10" s="699"/>
      <c r="KZH10" s="699"/>
      <c r="KZI10" s="699"/>
      <c r="KZJ10" s="699"/>
      <c r="KZK10" s="699"/>
      <c r="KZL10" s="699"/>
      <c r="KZM10" s="699"/>
      <c r="KZN10" s="699"/>
      <c r="KZO10" s="699"/>
      <c r="KZP10" s="699"/>
      <c r="KZQ10" s="699"/>
      <c r="KZR10" s="699"/>
      <c r="KZS10" s="699"/>
      <c r="KZT10" s="699"/>
      <c r="KZU10" s="699"/>
      <c r="KZV10" s="699"/>
      <c r="KZW10" s="699"/>
      <c r="KZX10" s="699"/>
      <c r="KZY10" s="699"/>
      <c r="KZZ10" s="699"/>
      <c r="LAA10" s="699"/>
      <c r="LAB10" s="699"/>
      <c r="LAC10" s="699"/>
      <c r="LAD10" s="699"/>
      <c r="LAE10" s="699"/>
      <c r="LAF10" s="699"/>
      <c r="LAG10" s="699"/>
      <c r="LAH10" s="699"/>
      <c r="LAI10" s="699"/>
      <c r="LAJ10" s="699"/>
      <c r="LAK10" s="699"/>
      <c r="LAL10" s="699"/>
      <c r="LAM10" s="699"/>
      <c r="LAN10" s="699"/>
      <c r="LAO10" s="699"/>
      <c r="LAP10" s="699"/>
      <c r="LAQ10" s="699"/>
      <c r="LAR10" s="699"/>
      <c r="LAS10" s="699"/>
      <c r="LAT10" s="699"/>
      <c r="LAU10" s="699"/>
      <c r="LAV10" s="699"/>
      <c r="LAW10" s="699"/>
      <c r="LAX10" s="699"/>
      <c r="LAY10" s="699"/>
      <c r="LAZ10" s="699"/>
      <c r="LBA10" s="699"/>
      <c r="LBB10" s="699"/>
      <c r="LBC10" s="699"/>
      <c r="LBD10" s="699"/>
      <c r="LBE10" s="699"/>
      <c r="LBF10" s="699"/>
      <c r="LBG10" s="699"/>
      <c r="LBH10" s="699"/>
      <c r="LBI10" s="699"/>
      <c r="LBJ10" s="699"/>
      <c r="LBK10" s="699"/>
      <c r="LBL10" s="699"/>
      <c r="LBM10" s="699"/>
      <c r="LBN10" s="699"/>
      <c r="LBO10" s="699"/>
      <c r="LBP10" s="699"/>
      <c r="LBQ10" s="699"/>
      <c r="LBR10" s="699"/>
      <c r="LBS10" s="699"/>
      <c r="LBT10" s="699"/>
      <c r="LBU10" s="699"/>
      <c r="LBV10" s="699"/>
      <c r="LBW10" s="699"/>
      <c r="LBX10" s="699"/>
      <c r="LBY10" s="699"/>
      <c r="LBZ10" s="699"/>
      <c r="LCA10" s="699"/>
      <c r="LCB10" s="699"/>
      <c r="LCC10" s="699"/>
      <c r="LCD10" s="699"/>
      <c r="LCE10" s="699"/>
      <c r="LCF10" s="699"/>
      <c r="LCG10" s="699"/>
      <c r="LCH10" s="699"/>
      <c r="LCI10" s="699"/>
      <c r="LCJ10" s="699"/>
      <c r="LCK10" s="699"/>
      <c r="LCL10" s="699"/>
      <c r="LCM10" s="699"/>
      <c r="LCN10" s="699"/>
      <c r="LCO10" s="699"/>
      <c r="LCP10" s="699"/>
      <c r="LCQ10" s="699"/>
      <c r="LCR10" s="699"/>
      <c r="LCS10" s="699"/>
      <c r="LCT10" s="699"/>
      <c r="LCU10" s="699"/>
      <c r="LCV10" s="699"/>
      <c r="LCW10" s="699"/>
      <c r="LCX10" s="699"/>
      <c r="LCY10" s="699"/>
      <c r="LCZ10" s="699"/>
      <c r="LDA10" s="699"/>
      <c r="LDB10" s="699"/>
      <c r="LDC10" s="699"/>
      <c r="LDD10" s="699"/>
      <c r="LDE10" s="699"/>
      <c r="LDF10" s="699"/>
      <c r="LDG10" s="699"/>
      <c r="LDH10" s="699"/>
      <c r="LDI10" s="699"/>
      <c r="LDJ10" s="699"/>
      <c r="LDK10" s="699"/>
      <c r="LDL10" s="699"/>
      <c r="LDM10" s="699"/>
      <c r="LDN10" s="699"/>
      <c r="LDO10" s="699"/>
      <c r="LDP10" s="699"/>
      <c r="LDQ10" s="699"/>
      <c r="LDR10" s="699"/>
      <c r="LDS10" s="699"/>
      <c r="LDT10" s="699"/>
      <c r="LDU10" s="699"/>
      <c r="LDV10" s="699"/>
      <c r="LDW10" s="699"/>
      <c r="LDX10" s="699"/>
      <c r="LDY10" s="699"/>
      <c r="LDZ10" s="699"/>
      <c r="LEA10" s="699"/>
      <c r="LEB10" s="699"/>
      <c r="LEC10" s="699"/>
      <c r="LED10" s="699"/>
      <c r="LEE10" s="699"/>
      <c r="LEF10" s="699"/>
      <c r="LEG10" s="699"/>
      <c r="LEH10" s="699"/>
      <c r="LEI10" s="699"/>
      <c r="LEJ10" s="699"/>
      <c r="LEK10" s="699"/>
      <c r="LEL10" s="699"/>
      <c r="LEM10" s="699"/>
      <c r="LEN10" s="699"/>
      <c r="LEO10" s="699"/>
      <c r="LEP10" s="699"/>
      <c r="LEQ10" s="699"/>
      <c r="LER10" s="699"/>
      <c r="LES10" s="699"/>
      <c r="LET10" s="699"/>
      <c r="LEU10" s="699"/>
      <c r="LEV10" s="699"/>
      <c r="LEW10" s="699"/>
      <c r="LEX10" s="699"/>
      <c r="LEY10" s="699"/>
      <c r="LEZ10" s="699"/>
      <c r="LFA10" s="699"/>
      <c r="LFB10" s="699"/>
      <c r="LFC10" s="699"/>
      <c r="LFD10" s="699"/>
      <c r="LFE10" s="699"/>
      <c r="LFF10" s="699"/>
      <c r="LFG10" s="699"/>
      <c r="LFH10" s="699"/>
      <c r="LFI10" s="699"/>
      <c r="LFJ10" s="699"/>
      <c r="LFK10" s="699"/>
      <c r="LFL10" s="699"/>
      <c r="LFM10" s="699"/>
      <c r="LFN10" s="699"/>
      <c r="LFO10" s="699"/>
      <c r="LFP10" s="699"/>
      <c r="LFQ10" s="699"/>
      <c r="LFR10" s="699"/>
      <c r="LFS10" s="699"/>
      <c r="LFT10" s="699"/>
      <c r="LFU10" s="699"/>
      <c r="LFV10" s="699"/>
      <c r="LFW10" s="699"/>
      <c r="LFX10" s="699"/>
      <c r="LFY10" s="699"/>
      <c r="LFZ10" s="699"/>
      <c r="LGA10" s="699"/>
      <c r="LGB10" s="699"/>
      <c r="LGC10" s="699"/>
      <c r="LGD10" s="699"/>
      <c r="LGE10" s="699"/>
      <c r="LGF10" s="699"/>
      <c r="LGG10" s="699"/>
      <c r="LGH10" s="699"/>
      <c r="LGI10" s="699"/>
      <c r="LGJ10" s="699"/>
      <c r="LGK10" s="699"/>
      <c r="LGL10" s="699"/>
      <c r="LGM10" s="699"/>
      <c r="LGN10" s="699"/>
      <c r="LGO10" s="699"/>
      <c r="LGP10" s="699"/>
      <c r="LGQ10" s="699"/>
      <c r="LGR10" s="699"/>
      <c r="LGS10" s="699"/>
      <c r="LGT10" s="699"/>
      <c r="LGU10" s="699"/>
      <c r="LGV10" s="699"/>
      <c r="LGW10" s="699"/>
      <c r="LGX10" s="699"/>
      <c r="LGY10" s="699"/>
      <c r="LGZ10" s="699"/>
      <c r="LHA10" s="699"/>
      <c r="LHB10" s="699"/>
      <c r="LHC10" s="699"/>
      <c r="LHD10" s="699"/>
      <c r="LHE10" s="699"/>
      <c r="LHF10" s="699"/>
      <c r="LHG10" s="699"/>
      <c r="LHH10" s="699"/>
      <c r="LHI10" s="699"/>
      <c r="LHJ10" s="699"/>
      <c r="LHK10" s="699"/>
      <c r="LHL10" s="699"/>
      <c r="LHM10" s="699"/>
      <c r="LHN10" s="699"/>
      <c r="LHO10" s="699"/>
      <c r="LHP10" s="699"/>
      <c r="LHQ10" s="699"/>
      <c r="LHR10" s="699"/>
      <c r="LHS10" s="699"/>
      <c r="LHT10" s="699"/>
      <c r="LHU10" s="699"/>
      <c r="LHV10" s="699"/>
      <c r="LHW10" s="699"/>
      <c r="LHX10" s="699"/>
      <c r="LHY10" s="699"/>
      <c r="LHZ10" s="699"/>
      <c r="LIA10" s="699"/>
      <c r="LIB10" s="699"/>
      <c r="LIC10" s="699"/>
      <c r="LID10" s="699"/>
      <c r="LIE10" s="699"/>
      <c r="LIF10" s="699"/>
      <c r="LIG10" s="699"/>
      <c r="LIH10" s="699"/>
      <c r="LII10" s="699"/>
      <c r="LIJ10" s="699"/>
      <c r="LIK10" s="699"/>
      <c r="LIL10" s="699"/>
      <c r="LIM10" s="699"/>
      <c r="LIN10" s="699"/>
      <c r="LIO10" s="699"/>
      <c r="LIP10" s="699"/>
      <c r="LIQ10" s="699"/>
      <c r="LIR10" s="699"/>
      <c r="LIS10" s="699"/>
      <c r="LIT10" s="699"/>
      <c r="LIU10" s="699"/>
      <c r="LIV10" s="699"/>
      <c r="LIW10" s="699"/>
      <c r="LIX10" s="699"/>
      <c r="LIY10" s="699"/>
      <c r="LIZ10" s="699"/>
      <c r="LJA10" s="699"/>
      <c r="LJB10" s="699"/>
      <c r="LJC10" s="699"/>
      <c r="LJD10" s="699"/>
      <c r="LJE10" s="699"/>
      <c r="LJF10" s="699"/>
      <c r="LJG10" s="699"/>
      <c r="LJH10" s="699"/>
      <c r="LJI10" s="699"/>
      <c r="LJJ10" s="699"/>
      <c r="LJK10" s="699"/>
      <c r="LJL10" s="699"/>
      <c r="LJM10" s="699"/>
      <c r="LJN10" s="699"/>
      <c r="LJO10" s="699"/>
      <c r="LJP10" s="699"/>
      <c r="LJQ10" s="699"/>
      <c r="LJR10" s="699"/>
      <c r="LJS10" s="699"/>
      <c r="LJT10" s="699"/>
      <c r="LJU10" s="699"/>
      <c r="LJV10" s="699"/>
      <c r="LJW10" s="699"/>
      <c r="LJX10" s="699"/>
      <c r="LJY10" s="699"/>
      <c r="LJZ10" s="699"/>
      <c r="LKA10" s="699"/>
      <c r="LKB10" s="699"/>
      <c r="LKC10" s="699"/>
      <c r="LKD10" s="699"/>
      <c r="LKE10" s="699"/>
      <c r="LKF10" s="699"/>
      <c r="LKG10" s="699"/>
      <c r="LKH10" s="699"/>
      <c r="LKI10" s="699"/>
      <c r="LKJ10" s="699"/>
      <c r="LKK10" s="699"/>
      <c r="LKL10" s="699"/>
      <c r="LKM10" s="699"/>
      <c r="LKN10" s="699"/>
      <c r="LKO10" s="699"/>
      <c r="LKP10" s="699"/>
      <c r="LKQ10" s="699"/>
      <c r="LKR10" s="699"/>
      <c r="LKS10" s="699"/>
      <c r="LKT10" s="699"/>
      <c r="LKU10" s="699"/>
      <c r="LKV10" s="699"/>
      <c r="LKW10" s="699"/>
      <c r="LKX10" s="699"/>
      <c r="LKY10" s="699"/>
      <c r="LKZ10" s="699"/>
      <c r="LLA10" s="699"/>
      <c r="LLB10" s="699"/>
      <c r="LLC10" s="699"/>
      <c r="LLD10" s="699"/>
      <c r="LLE10" s="699"/>
      <c r="LLF10" s="699"/>
      <c r="LLG10" s="699"/>
      <c r="LLH10" s="699"/>
      <c r="LLI10" s="699"/>
      <c r="LLJ10" s="699"/>
      <c r="LLK10" s="699"/>
      <c r="LLL10" s="699"/>
      <c r="LLM10" s="699"/>
      <c r="LLN10" s="699"/>
      <c r="LLO10" s="699"/>
      <c r="LLP10" s="699"/>
      <c r="LLQ10" s="699"/>
      <c r="LLR10" s="699"/>
      <c r="LLS10" s="699"/>
      <c r="LLT10" s="699"/>
      <c r="LLU10" s="699"/>
      <c r="LLV10" s="699"/>
      <c r="LLW10" s="699"/>
      <c r="LLX10" s="699"/>
      <c r="LLY10" s="699"/>
      <c r="LLZ10" s="699"/>
      <c r="LMA10" s="699"/>
      <c r="LMB10" s="699"/>
      <c r="LMC10" s="699"/>
      <c r="LMD10" s="699"/>
      <c r="LME10" s="699"/>
      <c r="LMF10" s="699"/>
      <c r="LMG10" s="699"/>
      <c r="LMH10" s="699"/>
      <c r="LMI10" s="699"/>
      <c r="LMJ10" s="699"/>
      <c r="LMK10" s="699"/>
      <c r="LML10" s="699"/>
      <c r="LMM10" s="699"/>
      <c r="LMN10" s="699"/>
      <c r="LMO10" s="699"/>
      <c r="LMP10" s="699"/>
      <c r="LMQ10" s="699"/>
      <c r="LMR10" s="699"/>
      <c r="LMS10" s="699"/>
      <c r="LMT10" s="699"/>
      <c r="LMU10" s="699"/>
      <c r="LMV10" s="699"/>
      <c r="LMW10" s="699"/>
      <c r="LMX10" s="699"/>
      <c r="LMY10" s="699"/>
      <c r="LMZ10" s="699"/>
      <c r="LNA10" s="699"/>
      <c r="LNB10" s="699"/>
      <c r="LNC10" s="699"/>
      <c r="LND10" s="699"/>
      <c r="LNE10" s="699"/>
      <c r="LNF10" s="699"/>
      <c r="LNG10" s="699"/>
      <c r="LNH10" s="699"/>
      <c r="LNI10" s="699"/>
      <c r="LNJ10" s="699"/>
      <c r="LNK10" s="699"/>
      <c r="LNL10" s="699"/>
      <c r="LNM10" s="699"/>
      <c r="LNN10" s="699"/>
      <c r="LNO10" s="699"/>
      <c r="LNP10" s="699"/>
      <c r="LNQ10" s="699"/>
      <c r="LNR10" s="699"/>
      <c r="LNS10" s="699"/>
      <c r="LNT10" s="699"/>
      <c r="LNU10" s="699"/>
      <c r="LNV10" s="699"/>
      <c r="LNW10" s="699"/>
      <c r="LNX10" s="699"/>
      <c r="LNY10" s="699"/>
      <c r="LNZ10" s="699"/>
      <c r="LOA10" s="699"/>
      <c r="LOB10" s="699"/>
      <c r="LOC10" s="699"/>
      <c r="LOD10" s="699"/>
      <c r="LOE10" s="699"/>
      <c r="LOF10" s="699"/>
      <c r="LOG10" s="699"/>
      <c r="LOH10" s="699"/>
      <c r="LOI10" s="699"/>
      <c r="LOJ10" s="699"/>
      <c r="LOK10" s="699"/>
      <c r="LOL10" s="699"/>
      <c r="LOM10" s="699"/>
      <c r="LON10" s="699"/>
      <c r="LOO10" s="699"/>
      <c r="LOP10" s="699"/>
      <c r="LOQ10" s="699"/>
      <c r="LOR10" s="699"/>
      <c r="LOS10" s="699"/>
      <c r="LOT10" s="699"/>
      <c r="LOU10" s="699"/>
      <c r="LOV10" s="699"/>
      <c r="LOW10" s="699"/>
      <c r="LOX10" s="699"/>
      <c r="LOY10" s="699"/>
      <c r="LOZ10" s="699"/>
      <c r="LPA10" s="699"/>
      <c r="LPB10" s="699"/>
      <c r="LPC10" s="699"/>
      <c r="LPD10" s="699"/>
      <c r="LPE10" s="699"/>
      <c r="LPF10" s="699"/>
      <c r="LPG10" s="699"/>
      <c r="LPH10" s="699"/>
      <c r="LPI10" s="699"/>
      <c r="LPJ10" s="699"/>
      <c r="LPK10" s="699"/>
      <c r="LPL10" s="699"/>
      <c r="LPM10" s="699"/>
      <c r="LPN10" s="699"/>
      <c r="LPO10" s="699"/>
      <c r="LPP10" s="699"/>
      <c r="LPQ10" s="699"/>
      <c r="LPR10" s="699"/>
      <c r="LPS10" s="699"/>
      <c r="LPT10" s="699"/>
      <c r="LPU10" s="699"/>
      <c r="LPV10" s="699"/>
      <c r="LPW10" s="699"/>
      <c r="LPX10" s="699"/>
      <c r="LPY10" s="699"/>
      <c r="LPZ10" s="699"/>
      <c r="LQA10" s="699"/>
      <c r="LQB10" s="699"/>
      <c r="LQC10" s="699"/>
      <c r="LQD10" s="699"/>
      <c r="LQE10" s="699"/>
      <c r="LQF10" s="699"/>
      <c r="LQG10" s="699"/>
      <c r="LQH10" s="699"/>
      <c r="LQI10" s="699"/>
      <c r="LQJ10" s="699"/>
      <c r="LQK10" s="699"/>
      <c r="LQL10" s="699"/>
      <c r="LQM10" s="699"/>
      <c r="LQN10" s="699"/>
      <c r="LQO10" s="699"/>
      <c r="LQP10" s="699"/>
      <c r="LQQ10" s="699"/>
      <c r="LQR10" s="699"/>
      <c r="LQS10" s="699"/>
      <c r="LQT10" s="699"/>
      <c r="LQU10" s="699"/>
      <c r="LQV10" s="699"/>
      <c r="LQW10" s="699"/>
      <c r="LQX10" s="699"/>
      <c r="LQY10" s="699"/>
      <c r="LQZ10" s="699"/>
      <c r="LRA10" s="699"/>
      <c r="LRB10" s="699"/>
      <c r="LRC10" s="699"/>
      <c r="LRD10" s="699"/>
      <c r="LRE10" s="699"/>
      <c r="LRF10" s="699"/>
      <c r="LRG10" s="699"/>
      <c r="LRH10" s="699"/>
      <c r="LRI10" s="699"/>
      <c r="LRJ10" s="699"/>
      <c r="LRK10" s="699"/>
      <c r="LRL10" s="699"/>
      <c r="LRM10" s="699"/>
      <c r="LRN10" s="699"/>
      <c r="LRO10" s="699"/>
      <c r="LRP10" s="699"/>
      <c r="LRQ10" s="699"/>
      <c r="LRR10" s="699"/>
      <c r="LRS10" s="699"/>
      <c r="LRT10" s="699"/>
      <c r="LRU10" s="699"/>
      <c r="LRV10" s="699"/>
      <c r="LRW10" s="699"/>
      <c r="LRX10" s="699"/>
      <c r="LRY10" s="699"/>
      <c r="LRZ10" s="699"/>
      <c r="LSA10" s="699"/>
      <c r="LSB10" s="699"/>
      <c r="LSC10" s="699"/>
      <c r="LSD10" s="699"/>
      <c r="LSE10" s="699"/>
      <c r="LSF10" s="699"/>
      <c r="LSG10" s="699"/>
      <c r="LSH10" s="699"/>
      <c r="LSI10" s="699"/>
      <c r="LSJ10" s="699"/>
      <c r="LSK10" s="699"/>
      <c r="LSL10" s="699"/>
      <c r="LSM10" s="699"/>
      <c r="LSN10" s="699"/>
      <c r="LSO10" s="699"/>
      <c r="LSP10" s="699"/>
      <c r="LSQ10" s="699"/>
      <c r="LSR10" s="699"/>
      <c r="LSS10" s="699"/>
      <c r="LST10" s="699"/>
      <c r="LSU10" s="699"/>
      <c r="LSV10" s="699"/>
      <c r="LSW10" s="699"/>
      <c r="LSX10" s="699"/>
      <c r="LSY10" s="699"/>
      <c r="LSZ10" s="699"/>
      <c r="LTA10" s="699"/>
      <c r="LTB10" s="699"/>
      <c r="LTC10" s="699"/>
      <c r="LTD10" s="699"/>
      <c r="LTE10" s="699"/>
      <c r="LTF10" s="699"/>
      <c r="LTG10" s="699"/>
      <c r="LTH10" s="699"/>
      <c r="LTI10" s="699"/>
      <c r="LTJ10" s="699"/>
      <c r="LTK10" s="699"/>
      <c r="LTL10" s="699"/>
      <c r="LTM10" s="699"/>
      <c r="LTN10" s="699"/>
      <c r="LTO10" s="699"/>
      <c r="LTP10" s="699"/>
      <c r="LTQ10" s="699"/>
      <c r="LTR10" s="699"/>
      <c r="LTS10" s="699"/>
      <c r="LTT10" s="699"/>
      <c r="LTU10" s="699"/>
      <c r="LTV10" s="699"/>
      <c r="LTW10" s="699"/>
      <c r="LTX10" s="699"/>
      <c r="LTY10" s="699"/>
      <c r="LTZ10" s="699"/>
      <c r="LUA10" s="699"/>
      <c r="LUB10" s="699"/>
      <c r="LUC10" s="699"/>
      <c r="LUD10" s="699"/>
      <c r="LUE10" s="699"/>
      <c r="LUF10" s="699"/>
      <c r="LUG10" s="699"/>
      <c r="LUH10" s="699"/>
      <c r="LUI10" s="699"/>
      <c r="LUJ10" s="699"/>
      <c r="LUK10" s="699"/>
      <c r="LUL10" s="699"/>
      <c r="LUM10" s="699"/>
      <c r="LUN10" s="699"/>
      <c r="LUO10" s="699"/>
      <c r="LUP10" s="699"/>
      <c r="LUQ10" s="699"/>
      <c r="LUR10" s="699"/>
      <c r="LUS10" s="699"/>
      <c r="LUT10" s="699"/>
      <c r="LUU10" s="699"/>
      <c r="LUV10" s="699"/>
      <c r="LUW10" s="699"/>
      <c r="LUX10" s="699"/>
      <c r="LUY10" s="699"/>
      <c r="LUZ10" s="699"/>
      <c r="LVA10" s="699"/>
      <c r="LVB10" s="699"/>
      <c r="LVC10" s="699"/>
      <c r="LVD10" s="699"/>
      <c r="LVE10" s="699"/>
      <c r="LVF10" s="699"/>
      <c r="LVG10" s="699"/>
      <c r="LVH10" s="699"/>
      <c r="LVI10" s="699"/>
      <c r="LVJ10" s="699"/>
      <c r="LVK10" s="699"/>
      <c r="LVL10" s="699"/>
      <c r="LVM10" s="699"/>
      <c r="LVN10" s="699"/>
      <c r="LVO10" s="699"/>
      <c r="LVP10" s="699"/>
      <c r="LVQ10" s="699"/>
      <c r="LVR10" s="699"/>
      <c r="LVS10" s="699"/>
      <c r="LVT10" s="699"/>
      <c r="LVU10" s="699"/>
      <c r="LVV10" s="699"/>
      <c r="LVW10" s="699"/>
      <c r="LVX10" s="699"/>
      <c r="LVY10" s="699"/>
      <c r="LVZ10" s="699"/>
      <c r="LWA10" s="699"/>
      <c r="LWB10" s="699"/>
      <c r="LWC10" s="699"/>
      <c r="LWD10" s="699"/>
      <c r="LWE10" s="699"/>
      <c r="LWF10" s="699"/>
      <c r="LWG10" s="699"/>
      <c r="LWH10" s="699"/>
      <c r="LWI10" s="699"/>
      <c r="LWJ10" s="699"/>
      <c r="LWK10" s="699"/>
      <c r="LWL10" s="699"/>
      <c r="LWM10" s="699"/>
      <c r="LWN10" s="699"/>
      <c r="LWO10" s="699"/>
      <c r="LWP10" s="699"/>
      <c r="LWQ10" s="699"/>
      <c r="LWR10" s="699"/>
      <c r="LWS10" s="699"/>
      <c r="LWT10" s="699"/>
      <c r="LWU10" s="699"/>
      <c r="LWV10" s="699"/>
      <c r="LWW10" s="699"/>
      <c r="LWX10" s="699"/>
      <c r="LWY10" s="699"/>
      <c r="LWZ10" s="699"/>
      <c r="LXA10" s="699"/>
      <c r="LXB10" s="699"/>
      <c r="LXC10" s="699"/>
      <c r="LXD10" s="699"/>
      <c r="LXE10" s="699"/>
      <c r="LXF10" s="699"/>
      <c r="LXG10" s="699"/>
      <c r="LXH10" s="699"/>
      <c r="LXI10" s="699"/>
      <c r="LXJ10" s="699"/>
      <c r="LXK10" s="699"/>
      <c r="LXL10" s="699"/>
      <c r="LXM10" s="699"/>
      <c r="LXN10" s="699"/>
      <c r="LXO10" s="699"/>
      <c r="LXP10" s="699"/>
      <c r="LXQ10" s="699"/>
      <c r="LXR10" s="699"/>
      <c r="LXS10" s="699"/>
      <c r="LXT10" s="699"/>
      <c r="LXU10" s="699"/>
      <c r="LXV10" s="699"/>
      <c r="LXW10" s="699"/>
      <c r="LXX10" s="699"/>
      <c r="LXY10" s="699"/>
      <c r="LXZ10" s="699"/>
      <c r="LYA10" s="699"/>
      <c r="LYB10" s="699"/>
      <c r="LYC10" s="699"/>
      <c r="LYD10" s="699"/>
      <c r="LYE10" s="699"/>
      <c r="LYF10" s="699"/>
      <c r="LYG10" s="699"/>
      <c r="LYH10" s="699"/>
      <c r="LYI10" s="699"/>
      <c r="LYJ10" s="699"/>
      <c r="LYK10" s="699"/>
      <c r="LYL10" s="699"/>
      <c r="LYM10" s="699"/>
      <c r="LYN10" s="699"/>
      <c r="LYO10" s="699"/>
      <c r="LYP10" s="699"/>
      <c r="LYQ10" s="699"/>
      <c r="LYR10" s="699"/>
      <c r="LYS10" s="699"/>
      <c r="LYT10" s="699"/>
      <c r="LYU10" s="699"/>
      <c r="LYV10" s="699"/>
      <c r="LYW10" s="699"/>
      <c r="LYX10" s="699"/>
      <c r="LYY10" s="699"/>
      <c r="LYZ10" s="699"/>
      <c r="LZA10" s="699"/>
      <c r="LZB10" s="699"/>
      <c r="LZC10" s="699"/>
      <c r="LZD10" s="699"/>
      <c r="LZE10" s="699"/>
      <c r="LZF10" s="699"/>
      <c r="LZG10" s="699"/>
      <c r="LZH10" s="699"/>
      <c r="LZI10" s="699"/>
      <c r="LZJ10" s="699"/>
      <c r="LZK10" s="699"/>
      <c r="LZL10" s="699"/>
      <c r="LZM10" s="699"/>
      <c r="LZN10" s="699"/>
      <c r="LZO10" s="699"/>
      <c r="LZP10" s="699"/>
      <c r="LZQ10" s="699"/>
      <c r="LZR10" s="699"/>
      <c r="LZS10" s="699"/>
      <c r="LZT10" s="699"/>
      <c r="LZU10" s="699"/>
      <c r="LZV10" s="699"/>
      <c r="LZW10" s="699"/>
      <c r="LZX10" s="699"/>
      <c r="LZY10" s="699"/>
      <c r="LZZ10" s="699"/>
      <c r="MAA10" s="699"/>
      <c r="MAB10" s="699"/>
      <c r="MAC10" s="699"/>
      <c r="MAD10" s="699"/>
      <c r="MAE10" s="699"/>
      <c r="MAF10" s="699"/>
      <c r="MAG10" s="699"/>
      <c r="MAH10" s="699"/>
      <c r="MAI10" s="699"/>
      <c r="MAJ10" s="699"/>
      <c r="MAK10" s="699"/>
      <c r="MAL10" s="699"/>
      <c r="MAM10" s="699"/>
      <c r="MAN10" s="699"/>
      <c r="MAO10" s="699"/>
      <c r="MAP10" s="699"/>
      <c r="MAQ10" s="699"/>
      <c r="MAR10" s="699"/>
      <c r="MAS10" s="699"/>
      <c r="MAT10" s="699"/>
      <c r="MAU10" s="699"/>
      <c r="MAV10" s="699"/>
      <c r="MAW10" s="699"/>
      <c r="MAX10" s="699"/>
      <c r="MAY10" s="699"/>
      <c r="MAZ10" s="699"/>
      <c r="MBA10" s="699"/>
      <c r="MBB10" s="699"/>
      <c r="MBC10" s="699"/>
      <c r="MBD10" s="699"/>
      <c r="MBE10" s="699"/>
      <c r="MBF10" s="699"/>
      <c r="MBG10" s="699"/>
      <c r="MBH10" s="699"/>
      <c r="MBI10" s="699"/>
      <c r="MBJ10" s="699"/>
      <c r="MBK10" s="699"/>
      <c r="MBL10" s="699"/>
      <c r="MBM10" s="699"/>
      <c r="MBN10" s="699"/>
      <c r="MBO10" s="699"/>
      <c r="MBP10" s="699"/>
      <c r="MBQ10" s="699"/>
      <c r="MBR10" s="699"/>
      <c r="MBS10" s="699"/>
      <c r="MBT10" s="699"/>
      <c r="MBU10" s="699"/>
      <c r="MBV10" s="699"/>
      <c r="MBW10" s="699"/>
      <c r="MBX10" s="699"/>
      <c r="MBY10" s="699"/>
      <c r="MBZ10" s="699"/>
      <c r="MCA10" s="699"/>
      <c r="MCB10" s="699"/>
      <c r="MCC10" s="699"/>
      <c r="MCD10" s="699"/>
      <c r="MCE10" s="699"/>
      <c r="MCF10" s="699"/>
      <c r="MCG10" s="699"/>
      <c r="MCH10" s="699"/>
      <c r="MCI10" s="699"/>
      <c r="MCJ10" s="699"/>
      <c r="MCK10" s="699"/>
      <c r="MCL10" s="699"/>
      <c r="MCM10" s="699"/>
      <c r="MCN10" s="699"/>
      <c r="MCO10" s="699"/>
      <c r="MCP10" s="699"/>
      <c r="MCQ10" s="699"/>
      <c r="MCR10" s="699"/>
      <c r="MCS10" s="699"/>
      <c r="MCT10" s="699"/>
      <c r="MCU10" s="699"/>
      <c r="MCV10" s="699"/>
      <c r="MCW10" s="699"/>
      <c r="MCX10" s="699"/>
      <c r="MCY10" s="699"/>
      <c r="MCZ10" s="699"/>
      <c r="MDA10" s="699"/>
      <c r="MDB10" s="699"/>
      <c r="MDC10" s="699"/>
      <c r="MDD10" s="699"/>
      <c r="MDE10" s="699"/>
      <c r="MDF10" s="699"/>
      <c r="MDG10" s="699"/>
      <c r="MDH10" s="699"/>
      <c r="MDI10" s="699"/>
      <c r="MDJ10" s="699"/>
      <c r="MDK10" s="699"/>
      <c r="MDL10" s="699"/>
      <c r="MDM10" s="699"/>
      <c r="MDN10" s="699"/>
      <c r="MDO10" s="699"/>
      <c r="MDP10" s="699"/>
      <c r="MDQ10" s="699"/>
      <c r="MDR10" s="699"/>
      <c r="MDS10" s="699"/>
      <c r="MDT10" s="699"/>
      <c r="MDU10" s="699"/>
      <c r="MDV10" s="699"/>
      <c r="MDW10" s="699"/>
      <c r="MDX10" s="699"/>
      <c r="MDY10" s="699"/>
      <c r="MDZ10" s="699"/>
      <c r="MEA10" s="699"/>
      <c r="MEB10" s="699"/>
      <c r="MEC10" s="699"/>
      <c r="MED10" s="699"/>
      <c r="MEE10" s="699"/>
      <c r="MEF10" s="699"/>
      <c r="MEG10" s="699"/>
      <c r="MEH10" s="699"/>
      <c r="MEI10" s="699"/>
      <c r="MEJ10" s="699"/>
      <c r="MEK10" s="699"/>
      <c r="MEL10" s="699"/>
      <c r="MEM10" s="699"/>
      <c r="MEN10" s="699"/>
      <c r="MEO10" s="699"/>
      <c r="MEP10" s="699"/>
      <c r="MEQ10" s="699"/>
      <c r="MER10" s="699"/>
      <c r="MES10" s="699"/>
      <c r="MET10" s="699"/>
      <c r="MEU10" s="699"/>
      <c r="MEV10" s="699"/>
      <c r="MEW10" s="699"/>
      <c r="MEX10" s="699"/>
      <c r="MEY10" s="699"/>
      <c r="MEZ10" s="699"/>
      <c r="MFA10" s="699"/>
      <c r="MFB10" s="699"/>
      <c r="MFC10" s="699"/>
      <c r="MFD10" s="699"/>
      <c r="MFE10" s="699"/>
      <c r="MFF10" s="699"/>
      <c r="MFG10" s="699"/>
      <c r="MFH10" s="699"/>
      <c r="MFI10" s="699"/>
      <c r="MFJ10" s="699"/>
      <c r="MFK10" s="699"/>
      <c r="MFL10" s="699"/>
      <c r="MFM10" s="699"/>
      <c r="MFN10" s="699"/>
      <c r="MFO10" s="699"/>
      <c r="MFP10" s="699"/>
      <c r="MFQ10" s="699"/>
      <c r="MFR10" s="699"/>
      <c r="MFS10" s="699"/>
      <c r="MFT10" s="699"/>
      <c r="MFU10" s="699"/>
      <c r="MFV10" s="699"/>
      <c r="MFW10" s="699"/>
      <c r="MFX10" s="699"/>
      <c r="MFY10" s="699"/>
      <c r="MFZ10" s="699"/>
      <c r="MGA10" s="699"/>
      <c r="MGB10" s="699"/>
      <c r="MGC10" s="699"/>
      <c r="MGD10" s="699"/>
      <c r="MGE10" s="699"/>
      <c r="MGF10" s="699"/>
      <c r="MGG10" s="699"/>
      <c r="MGH10" s="699"/>
      <c r="MGI10" s="699"/>
      <c r="MGJ10" s="699"/>
      <c r="MGK10" s="699"/>
      <c r="MGL10" s="699"/>
      <c r="MGM10" s="699"/>
      <c r="MGN10" s="699"/>
      <c r="MGO10" s="699"/>
      <c r="MGP10" s="699"/>
      <c r="MGQ10" s="699"/>
      <c r="MGR10" s="699"/>
      <c r="MGS10" s="699"/>
      <c r="MGT10" s="699"/>
      <c r="MGU10" s="699"/>
      <c r="MGV10" s="699"/>
      <c r="MGW10" s="699"/>
      <c r="MGX10" s="699"/>
      <c r="MGY10" s="699"/>
      <c r="MGZ10" s="699"/>
      <c r="MHA10" s="699"/>
      <c r="MHB10" s="699"/>
      <c r="MHC10" s="699"/>
      <c r="MHD10" s="699"/>
      <c r="MHE10" s="699"/>
      <c r="MHF10" s="699"/>
      <c r="MHG10" s="699"/>
      <c r="MHH10" s="699"/>
      <c r="MHI10" s="699"/>
      <c r="MHJ10" s="699"/>
      <c r="MHK10" s="699"/>
      <c r="MHL10" s="699"/>
      <c r="MHM10" s="699"/>
      <c r="MHN10" s="699"/>
      <c r="MHO10" s="699"/>
      <c r="MHP10" s="699"/>
      <c r="MHQ10" s="699"/>
      <c r="MHR10" s="699"/>
      <c r="MHS10" s="699"/>
      <c r="MHT10" s="699"/>
      <c r="MHU10" s="699"/>
      <c r="MHV10" s="699"/>
      <c r="MHW10" s="699"/>
      <c r="MHX10" s="699"/>
      <c r="MHY10" s="699"/>
      <c r="MHZ10" s="699"/>
      <c r="MIA10" s="699"/>
      <c r="MIB10" s="699"/>
      <c r="MIC10" s="699"/>
      <c r="MID10" s="699"/>
      <c r="MIE10" s="699"/>
      <c r="MIF10" s="699"/>
      <c r="MIG10" s="699"/>
      <c r="MIH10" s="699"/>
      <c r="MII10" s="699"/>
      <c r="MIJ10" s="699"/>
      <c r="MIK10" s="699"/>
      <c r="MIL10" s="699"/>
      <c r="MIM10" s="699"/>
      <c r="MIN10" s="699"/>
      <c r="MIO10" s="699"/>
      <c r="MIP10" s="699"/>
      <c r="MIQ10" s="699"/>
      <c r="MIR10" s="699"/>
      <c r="MIS10" s="699"/>
      <c r="MIT10" s="699"/>
      <c r="MIU10" s="699"/>
      <c r="MIV10" s="699"/>
      <c r="MIW10" s="699"/>
      <c r="MIX10" s="699"/>
      <c r="MIY10" s="699"/>
      <c r="MIZ10" s="699"/>
      <c r="MJA10" s="699"/>
      <c r="MJB10" s="699"/>
      <c r="MJC10" s="699"/>
      <c r="MJD10" s="699"/>
      <c r="MJE10" s="699"/>
      <c r="MJF10" s="699"/>
      <c r="MJG10" s="699"/>
      <c r="MJH10" s="699"/>
      <c r="MJI10" s="699"/>
      <c r="MJJ10" s="699"/>
      <c r="MJK10" s="699"/>
      <c r="MJL10" s="699"/>
      <c r="MJM10" s="699"/>
      <c r="MJN10" s="699"/>
      <c r="MJO10" s="699"/>
      <c r="MJP10" s="699"/>
      <c r="MJQ10" s="699"/>
      <c r="MJR10" s="699"/>
      <c r="MJS10" s="699"/>
      <c r="MJT10" s="699"/>
      <c r="MJU10" s="699"/>
      <c r="MJV10" s="699"/>
      <c r="MJW10" s="699"/>
      <c r="MJX10" s="699"/>
      <c r="MJY10" s="699"/>
      <c r="MJZ10" s="699"/>
      <c r="MKA10" s="699"/>
      <c r="MKB10" s="699"/>
      <c r="MKC10" s="699"/>
      <c r="MKD10" s="699"/>
      <c r="MKE10" s="699"/>
      <c r="MKF10" s="699"/>
      <c r="MKG10" s="699"/>
      <c r="MKH10" s="699"/>
      <c r="MKI10" s="699"/>
      <c r="MKJ10" s="699"/>
      <c r="MKK10" s="699"/>
      <c r="MKL10" s="699"/>
      <c r="MKM10" s="699"/>
      <c r="MKN10" s="699"/>
      <c r="MKO10" s="699"/>
      <c r="MKP10" s="699"/>
      <c r="MKQ10" s="699"/>
      <c r="MKR10" s="699"/>
      <c r="MKS10" s="699"/>
      <c r="MKT10" s="699"/>
      <c r="MKU10" s="699"/>
      <c r="MKV10" s="699"/>
      <c r="MKW10" s="699"/>
      <c r="MKX10" s="699"/>
      <c r="MKY10" s="699"/>
      <c r="MKZ10" s="699"/>
      <c r="MLA10" s="699"/>
      <c r="MLB10" s="699"/>
      <c r="MLC10" s="699"/>
      <c r="MLD10" s="699"/>
      <c r="MLE10" s="699"/>
      <c r="MLF10" s="699"/>
      <c r="MLG10" s="699"/>
      <c r="MLH10" s="699"/>
      <c r="MLI10" s="699"/>
      <c r="MLJ10" s="699"/>
      <c r="MLK10" s="699"/>
      <c r="MLL10" s="699"/>
      <c r="MLM10" s="699"/>
      <c r="MLN10" s="699"/>
      <c r="MLO10" s="699"/>
      <c r="MLP10" s="699"/>
      <c r="MLQ10" s="699"/>
      <c r="MLR10" s="699"/>
      <c r="MLS10" s="699"/>
      <c r="MLT10" s="699"/>
      <c r="MLU10" s="699"/>
      <c r="MLV10" s="699"/>
      <c r="MLW10" s="699"/>
      <c r="MLX10" s="699"/>
      <c r="MLY10" s="699"/>
      <c r="MLZ10" s="699"/>
      <c r="MMA10" s="699"/>
      <c r="MMB10" s="699"/>
      <c r="MMC10" s="699"/>
      <c r="MMD10" s="699"/>
      <c r="MME10" s="699"/>
      <c r="MMF10" s="699"/>
      <c r="MMG10" s="699"/>
      <c r="MMH10" s="699"/>
      <c r="MMI10" s="699"/>
      <c r="MMJ10" s="699"/>
      <c r="MMK10" s="699"/>
      <c r="MML10" s="699"/>
      <c r="MMM10" s="699"/>
      <c r="MMN10" s="699"/>
      <c r="MMO10" s="699"/>
      <c r="MMP10" s="699"/>
      <c r="MMQ10" s="699"/>
      <c r="MMR10" s="699"/>
      <c r="MMS10" s="699"/>
      <c r="MMT10" s="699"/>
      <c r="MMU10" s="699"/>
      <c r="MMV10" s="699"/>
      <c r="MMW10" s="699"/>
      <c r="MMX10" s="699"/>
      <c r="MMY10" s="699"/>
      <c r="MMZ10" s="699"/>
      <c r="MNA10" s="699"/>
      <c r="MNB10" s="699"/>
      <c r="MNC10" s="699"/>
      <c r="MND10" s="699"/>
      <c r="MNE10" s="699"/>
      <c r="MNF10" s="699"/>
      <c r="MNG10" s="699"/>
      <c r="MNH10" s="699"/>
      <c r="MNI10" s="699"/>
      <c r="MNJ10" s="699"/>
      <c r="MNK10" s="699"/>
      <c r="MNL10" s="699"/>
      <c r="MNM10" s="699"/>
      <c r="MNN10" s="699"/>
      <c r="MNO10" s="699"/>
      <c r="MNP10" s="699"/>
      <c r="MNQ10" s="699"/>
      <c r="MNR10" s="699"/>
      <c r="MNS10" s="699"/>
      <c r="MNT10" s="699"/>
      <c r="MNU10" s="699"/>
      <c r="MNV10" s="699"/>
      <c r="MNW10" s="699"/>
      <c r="MNX10" s="699"/>
      <c r="MNY10" s="699"/>
      <c r="MNZ10" s="699"/>
      <c r="MOA10" s="699"/>
      <c r="MOB10" s="699"/>
      <c r="MOC10" s="699"/>
      <c r="MOD10" s="699"/>
      <c r="MOE10" s="699"/>
      <c r="MOF10" s="699"/>
      <c r="MOG10" s="699"/>
      <c r="MOH10" s="699"/>
      <c r="MOI10" s="699"/>
      <c r="MOJ10" s="699"/>
      <c r="MOK10" s="699"/>
      <c r="MOL10" s="699"/>
      <c r="MOM10" s="699"/>
      <c r="MON10" s="699"/>
      <c r="MOO10" s="699"/>
      <c r="MOP10" s="699"/>
      <c r="MOQ10" s="699"/>
      <c r="MOR10" s="699"/>
      <c r="MOS10" s="699"/>
      <c r="MOT10" s="699"/>
      <c r="MOU10" s="699"/>
      <c r="MOV10" s="699"/>
      <c r="MOW10" s="699"/>
      <c r="MOX10" s="699"/>
      <c r="MOY10" s="699"/>
      <c r="MOZ10" s="699"/>
      <c r="MPA10" s="699"/>
      <c r="MPB10" s="699"/>
      <c r="MPC10" s="699"/>
      <c r="MPD10" s="699"/>
      <c r="MPE10" s="699"/>
      <c r="MPF10" s="699"/>
      <c r="MPG10" s="699"/>
      <c r="MPH10" s="699"/>
      <c r="MPI10" s="699"/>
      <c r="MPJ10" s="699"/>
      <c r="MPK10" s="699"/>
      <c r="MPL10" s="699"/>
      <c r="MPM10" s="699"/>
      <c r="MPN10" s="699"/>
      <c r="MPO10" s="699"/>
      <c r="MPP10" s="699"/>
      <c r="MPQ10" s="699"/>
      <c r="MPR10" s="699"/>
      <c r="MPS10" s="699"/>
      <c r="MPT10" s="699"/>
      <c r="MPU10" s="699"/>
      <c r="MPV10" s="699"/>
      <c r="MPW10" s="699"/>
      <c r="MPX10" s="699"/>
      <c r="MPY10" s="699"/>
      <c r="MPZ10" s="699"/>
      <c r="MQA10" s="699"/>
      <c r="MQB10" s="699"/>
      <c r="MQC10" s="699"/>
      <c r="MQD10" s="699"/>
      <c r="MQE10" s="699"/>
      <c r="MQF10" s="699"/>
      <c r="MQG10" s="699"/>
      <c r="MQH10" s="699"/>
      <c r="MQI10" s="699"/>
      <c r="MQJ10" s="699"/>
      <c r="MQK10" s="699"/>
      <c r="MQL10" s="699"/>
      <c r="MQM10" s="699"/>
      <c r="MQN10" s="699"/>
      <c r="MQO10" s="699"/>
      <c r="MQP10" s="699"/>
      <c r="MQQ10" s="699"/>
      <c r="MQR10" s="699"/>
      <c r="MQS10" s="699"/>
      <c r="MQT10" s="699"/>
      <c r="MQU10" s="699"/>
      <c r="MQV10" s="699"/>
      <c r="MQW10" s="699"/>
      <c r="MQX10" s="699"/>
      <c r="MQY10" s="699"/>
      <c r="MQZ10" s="699"/>
      <c r="MRA10" s="699"/>
      <c r="MRB10" s="699"/>
      <c r="MRC10" s="699"/>
      <c r="MRD10" s="699"/>
      <c r="MRE10" s="699"/>
      <c r="MRF10" s="699"/>
      <c r="MRG10" s="699"/>
      <c r="MRH10" s="699"/>
      <c r="MRI10" s="699"/>
      <c r="MRJ10" s="699"/>
      <c r="MRK10" s="699"/>
      <c r="MRL10" s="699"/>
      <c r="MRM10" s="699"/>
      <c r="MRN10" s="699"/>
      <c r="MRO10" s="699"/>
      <c r="MRP10" s="699"/>
      <c r="MRQ10" s="699"/>
      <c r="MRR10" s="699"/>
      <c r="MRS10" s="699"/>
      <c r="MRT10" s="699"/>
      <c r="MRU10" s="699"/>
      <c r="MRV10" s="699"/>
      <c r="MRW10" s="699"/>
      <c r="MRX10" s="699"/>
      <c r="MRY10" s="699"/>
      <c r="MRZ10" s="699"/>
      <c r="MSA10" s="699"/>
      <c r="MSB10" s="699"/>
      <c r="MSC10" s="699"/>
      <c r="MSD10" s="699"/>
      <c r="MSE10" s="699"/>
      <c r="MSF10" s="699"/>
      <c r="MSG10" s="699"/>
      <c r="MSH10" s="699"/>
      <c r="MSI10" s="699"/>
      <c r="MSJ10" s="699"/>
      <c r="MSK10" s="699"/>
      <c r="MSL10" s="699"/>
      <c r="MSM10" s="699"/>
      <c r="MSN10" s="699"/>
      <c r="MSO10" s="699"/>
      <c r="MSP10" s="699"/>
      <c r="MSQ10" s="699"/>
      <c r="MSR10" s="699"/>
      <c r="MSS10" s="699"/>
      <c r="MST10" s="699"/>
      <c r="MSU10" s="699"/>
      <c r="MSV10" s="699"/>
      <c r="MSW10" s="699"/>
      <c r="MSX10" s="699"/>
      <c r="MSY10" s="699"/>
      <c r="MSZ10" s="699"/>
      <c r="MTA10" s="699"/>
      <c r="MTB10" s="699"/>
      <c r="MTC10" s="699"/>
      <c r="MTD10" s="699"/>
      <c r="MTE10" s="699"/>
      <c r="MTF10" s="699"/>
      <c r="MTG10" s="699"/>
      <c r="MTH10" s="699"/>
      <c r="MTI10" s="699"/>
      <c r="MTJ10" s="699"/>
      <c r="MTK10" s="699"/>
      <c r="MTL10" s="699"/>
      <c r="MTM10" s="699"/>
      <c r="MTN10" s="699"/>
      <c r="MTO10" s="699"/>
      <c r="MTP10" s="699"/>
      <c r="MTQ10" s="699"/>
      <c r="MTR10" s="699"/>
      <c r="MTS10" s="699"/>
      <c r="MTT10" s="699"/>
      <c r="MTU10" s="699"/>
      <c r="MTV10" s="699"/>
      <c r="MTW10" s="699"/>
      <c r="MTX10" s="699"/>
      <c r="MTY10" s="699"/>
      <c r="MTZ10" s="699"/>
      <c r="MUA10" s="699"/>
      <c r="MUB10" s="699"/>
      <c r="MUC10" s="699"/>
      <c r="MUD10" s="699"/>
      <c r="MUE10" s="699"/>
      <c r="MUF10" s="699"/>
      <c r="MUG10" s="699"/>
      <c r="MUH10" s="699"/>
      <c r="MUI10" s="699"/>
      <c r="MUJ10" s="699"/>
      <c r="MUK10" s="699"/>
      <c r="MUL10" s="699"/>
      <c r="MUM10" s="699"/>
      <c r="MUN10" s="699"/>
      <c r="MUO10" s="699"/>
      <c r="MUP10" s="699"/>
      <c r="MUQ10" s="699"/>
      <c r="MUR10" s="699"/>
      <c r="MUS10" s="699"/>
      <c r="MUT10" s="699"/>
      <c r="MUU10" s="699"/>
      <c r="MUV10" s="699"/>
      <c r="MUW10" s="699"/>
      <c r="MUX10" s="699"/>
      <c r="MUY10" s="699"/>
      <c r="MUZ10" s="699"/>
      <c r="MVA10" s="699"/>
      <c r="MVB10" s="699"/>
      <c r="MVC10" s="699"/>
      <c r="MVD10" s="699"/>
      <c r="MVE10" s="699"/>
      <c r="MVF10" s="699"/>
      <c r="MVG10" s="699"/>
      <c r="MVH10" s="699"/>
      <c r="MVI10" s="699"/>
      <c r="MVJ10" s="699"/>
      <c r="MVK10" s="699"/>
      <c r="MVL10" s="699"/>
      <c r="MVM10" s="699"/>
      <c r="MVN10" s="699"/>
      <c r="MVO10" s="699"/>
      <c r="MVP10" s="699"/>
      <c r="MVQ10" s="699"/>
      <c r="MVR10" s="699"/>
      <c r="MVS10" s="699"/>
      <c r="MVT10" s="699"/>
      <c r="MVU10" s="699"/>
      <c r="MVV10" s="699"/>
      <c r="MVW10" s="699"/>
      <c r="MVX10" s="699"/>
      <c r="MVY10" s="699"/>
      <c r="MVZ10" s="699"/>
      <c r="MWA10" s="699"/>
      <c r="MWB10" s="699"/>
      <c r="MWC10" s="699"/>
      <c r="MWD10" s="699"/>
      <c r="MWE10" s="699"/>
      <c r="MWF10" s="699"/>
      <c r="MWG10" s="699"/>
      <c r="MWH10" s="699"/>
      <c r="MWI10" s="699"/>
      <c r="MWJ10" s="699"/>
      <c r="MWK10" s="699"/>
      <c r="MWL10" s="699"/>
      <c r="MWM10" s="699"/>
      <c r="MWN10" s="699"/>
      <c r="MWO10" s="699"/>
      <c r="MWP10" s="699"/>
      <c r="MWQ10" s="699"/>
      <c r="MWR10" s="699"/>
      <c r="MWS10" s="699"/>
      <c r="MWT10" s="699"/>
      <c r="MWU10" s="699"/>
      <c r="MWV10" s="699"/>
      <c r="MWW10" s="699"/>
      <c r="MWX10" s="699"/>
      <c r="MWY10" s="699"/>
      <c r="MWZ10" s="699"/>
      <c r="MXA10" s="699"/>
      <c r="MXB10" s="699"/>
      <c r="MXC10" s="699"/>
      <c r="MXD10" s="699"/>
      <c r="MXE10" s="699"/>
      <c r="MXF10" s="699"/>
      <c r="MXG10" s="699"/>
      <c r="MXH10" s="699"/>
      <c r="MXI10" s="699"/>
      <c r="MXJ10" s="699"/>
      <c r="MXK10" s="699"/>
      <c r="MXL10" s="699"/>
      <c r="MXM10" s="699"/>
      <c r="MXN10" s="699"/>
      <c r="MXO10" s="699"/>
      <c r="MXP10" s="699"/>
      <c r="MXQ10" s="699"/>
      <c r="MXR10" s="699"/>
      <c r="MXS10" s="699"/>
      <c r="MXT10" s="699"/>
      <c r="MXU10" s="699"/>
      <c r="MXV10" s="699"/>
      <c r="MXW10" s="699"/>
      <c r="MXX10" s="699"/>
      <c r="MXY10" s="699"/>
      <c r="MXZ10" s="699"/>
      <c r="MYA10" s="699"/>
      <c r="MYB10" s="699"/>
      <c r="MYC10" s="699"/>
      <c r="MYD10" s="699"/>
      <c r="MYE10" s="699"/>
      <c r="MYF10" s="699"/>
      <c r="MYG10" s="699"/>
      <c r="MYH10" s="699"/>
      <c r="MYI10" s="699"/>
      <c r="MYJ10" s="699"/>
      <c r="MYK10" s="699"/>
      <c r="MYL10" s="699"/>
      <c r="MYM10" s="699"/>
      <c r="MYN10" s="699"/>
      <c r="MYO10" s="699"/>
      <c r="MYP10" s="699"/>
      <c r="MYQ10" s="699"/>
      <c r="MYR10" s="699"/>
      <c r="MYS10" s="699"/>
      <c r="MYT10" s="699"/>
      <c r="MYU10" s="699"/>
      <c r="MYV10" s="699"/>
      <c r="MYW10" s="699"/>
      <c r="MYX10" s="699"/>
      <c r="MYY10" s="699"/>
      <c r="MYZ10" s="699"/>
      <c r="MZA10" s="699"/>
      <c r="MZB10" s="699"/>
      <c r="MZC10" s="699"/>
      <c r="MZD10" s="699"/>
      <c r="MZE10" s="699"/>
      <c r="MZF10" s="699"/>
      <c r="MZG10" s="699"/>
      <c r="MZH10" s="699"/>
      <c r="MZI10" s="699"/>
      <c r="MZJ10" s="699"/>
      <c r="MZK10" s="699"/>
      <c r="MZL10" s="699"/>
      <c r="MZM10" s="699"/>
      <c r="MZN10" s="699"/>
      <c r="MZO10" s="699"/>
      <c r="MZP10" s="699"/>
      <c r="MZQ10" s="699"/>
      <c r="MZR10" s="699"/>
      <c r="MZS10" s="699"/>
      <c r="MZT10" s="699"/>
      <c r="MZU10" s="699"/>
      <c r="MZV10" s="699"/>
      <c r="MZW10" s="699"/>
      <c r="MZX10" s="699"/>
      <c r="MZY10" s="699"/>
      <c r="MZZ10" s="699"/>
      <c r="NAA10" s="699"/>
      <c r="NAB10" s="699"/>
      <c r="NAC10" s="699"/>
      <c r="NAD10" s="699"/>
      <c r="NAE10" s="699"/>
      <c r="NAF10" s="699"/>
      <c r="NAG10" s="699"/>
      <c r="NAH10" s="699"/>
      <c r="NAI10" s="699"/>
      <c r="NAJ10" s="699"/>
      <c r="NAK10" s="699"/>
      <c r="NAL10" s="699"/>
      <c r="NAM10" s="699"/>
      <c r="NAN10" s="699"/>
      <c r="NAO10" s="699"/>
      <c r="NAP10" s="699"/>
      <c r="NAQ10" s="699"/>
      <c r="NAR10" s="699"/>
      <c r="NAS10" s="699"/>
      <c r="NAT10" s="699"/>
      <c r="NAU10" s="699"/>
      <c r="NAV10" s="699"/>
      <c r="NAW10" s="699"/>
      <c r="NAX10" s="699"/>
      <c r="NAY10" s="699"/>
      <c r="NAZ10" s="699"/>
      <c r="NBA10" s="699"/>
      <c r="NBB10" s="699"/>
      <c r="NBC10" s="699"/>
      <c r="NBD10" s="699"/>
      <c r="NBE10" s="699"/>
      <c r="NBF10" s="699"/>
      <c r="NBG10" s="699"/>
      <c r="NBH10" s="699"/>
      <c r="NBI10" s="699"/>
      <c r="NBJ10" s="699"/>
      <c r="NBK10" s="699"/>
      <c r="NBL10" s="699"/>
      <c r="NBM10" s="699"/>
      <c r="NBN10" s="699"/>
      <c r="NBO10" s="699"/>
      <c r="NBP10" s="699"/>
      <c r="NBQ10" s="699"/>
      <c r="NBR10" s="699"/>
      <c r="NBS10" s="699"/>
      <c r="NBT10" s="699"/>
      <c r="NBU10" s="699"/>
      <c r="NBV10" s="699"/>
      <c r="NBW10" s="699"/>
      <c r="NBX10" s="699"/>
      <c r="NBY10" s="699"/>
      <c r="NBZ10" s="699"/>
      <c r="NCA10" s="699"/>
      <c r="NCB10" s="699"/>
      <c r="NCC10" s="699"/>
      <c r="NCD10" s="699"/>
      <c r="NCE10" s="699"/>
      <c r="NCF10" s="699"/>
      <c r="NCG10" s="699"/>
      <c r="NCH10" s="699"/>
      <c r="NCI10" s="699"/>
      <c r="NCJ10" s="699"/>
      <c r="NCK10" s="699"/>
      <c r="NCL10" s="699"/>
      <c r="NCM10" s="699"/>
      <c r="NCN10" s="699"/>
      <c r="NCO10" s="699"/>
      <c r="NCP10" s="699"/>
      <c r="NCQ10" s="699"/>
      <c r="NCR10" s="699"/>
      <c r="NCS10" s="699"/>
      <c r="NCT10" s="699"/>
      <c r="NCU10" s="699"/>
      <c r="NCV10" s="699"/>
      <c r="NCW10" s="699"/>
      <c r="NCX10" s="699"/>
      <c r="NCY10" s="699"/>
      <c r="NCZ10" s="699"/>
      <c r="NDA10" s="699"/>
      <c r="NDB10" s="699"/>
      <c r="NDC10" s="699"/>
      <c r="NDD10" s="699"/>
      <c r="NDE10" s="699"/>
      <c r="NDF10" s="699"/>
      <c r="NDG10" s="699"/>
      <c r="NDH10" s="699"/>
      <c r="NDI10" s="699"/>
      <c r="NDJ10" s="699"/>
      <c r="NDK10" s="699"/>
      <c r="NDL10" s="699"/>
      <c r="NDM10" s="699"/>
      <c r="NDN10" s="699"/>
      <c r="NDO10" s="699"/>
      <c r="NDP10" s="699"/>
      <c r="NDQ10" s="699"/>
      <c r="NDR10" s="699"/>
      <c r="NDS10" s="699"/>
      <c r="NDT10" s="699"/>
      <c r="NDU10" s="699"/>
      <c r="NDV10" s="699"/>
      <c r="NDW10" s="699"/>
      <c r="NDX10" s="699"/>
      <c r="NDY10" s="699"/>
      <c r="NDZ10" s="699"/>
      <c r="NEA10" s="699"/>
      <c r="NEB10" s="699"/>
      <c r="NEC10" s="699"/>
      <c r="NED10" s="699"/>
      <c r="NEE10" s="699"/>
      <c r="NEF10" s="699"/>
      <c r="NEG10" s="699"/>
      <c r="NEH10" s="699"/>
      <c r="NEI10" s="699"/>
      <c r="NEJ10" s="699"/>
      <c r="NEK10" s="699"/>
      <c r="NEL10" s="699"/>
      <c r="NEM10" s="699"/>
      <c r="NEN10" s="699"/>
      <c r="NEO10" s="699"/>
      <c r="NEP10" s="699"/>
      <c r="NEQ10" s="699"/>
      <c r="NER10" s="699"/>
      <c r="NES10" s="699"/>
      <c r="NET10" s="699"/>
      <c r="NEU10" s="699"/>
      <c r="NEV10" s="699"/>
      <c r="NEW10" s="699"/>
      <c r="NEX10" s="699"/>
      <c r="NEY10" s="699"/>
      <c r="NEZ10" s="699"/>
      <c r="NFA10" s="699"/>
      <c r="NFB10" s="699"/>
      <c r="NFC10" s="699"/>
      <c r="NFD10" s="699"/>
      <c r="NFE10" s="699"/>
      <c r="NFF10" s="699"/>
      <c r="NFG10" s="699"/>
      <c r="NFH10" s="699"/>
      <c r="NFI10" s="699"/>
      <c r="NFJ10" s="699"/>
      <c r="NFK10" s="699"/>
      <c r="NFL10" s="699"/>
      <c r="NFM10" s="699"/>
      <c r="NFN10" s="699"/>
      <c r="NFO10" s="699"/>
      <c r="NFP10" s="699"/>
      <c r="NFQ10" s="699"/>
      <c r="NFR10" s="699"/>
      <c r="NFS10" s="699"/>
      <c r="NFT10" s="699"/>
      <c r="NFU10" s="699"/>
      <c r="NFV10" s="699"/>
      <c r="NFW10" s="699"/>
      <c r="NFX10" s="699"/>
      <c r="NFY10" s="699"/>
      <c r="NFZ10" s="699"/>
      <c r="NGA10" s="699"/>
      <c r="NGB10" s="699"/>
      <c r="NGC10" s="699"/>
      <c r="NGD10" s="699"/>
      <c r="NGE10" s="699"/>
      <c r="NGF10" s="699"/>
      <c r="NGG10" s="699"/>
      <c r="NGH10" s="699"/>
      <c r="NGI10" s="699"/>
      <c r="NGJ10" s="699"/>
      <c r="NGK10" s="699"/>
      <c r="NGL10" s="699"/>
      <c r="NGM10" s="699"/>
      <c r="NGN10" s="699"/>
      <c r="NGO10" s="699"/>
      <c r="NGP10" s="699"/>
      <c r="NGQ10" s="699"/>
      <c r="NGR10" s="699"/>
      <c r="NGS10" s="699"/>
      <c r="NGT10" s="699"/>
      <c r="NGU10" s="699"/>
      <c r="NGV10" s="699"/>
      <c r="NGW10" s="699"/>
      <c r="NGX10" s="699"/>
      <c r="NGY10" s="699"/>
      <c r="NGZ10" s="699"/>
      <c r="NHA10" s="699"/>
      <c r="NHB10" s="699"/>
      <c r="NHC10" s="699"/>
      <c r="NHD10" s="699"/>
      <c r="NHE10" s="699"/>
      <c r="NHF10" s="699"/>
      <c r="NHG10" s="699"/>
      <c r="NHH10" s="699"/>
      <c r="NHI10" s="699"/>
      <c r="NHJ10" s="699"/>
      <c r="NHK10" s="699"/>
      <c r="NHL10" s="699"/>
      <c r="NHM10" s="699"/>
      <c r="NHN10" s="699"/>
      <c r="NHO10" s="699"/>
      <c r="NHP10" s="699"/>
      <c r="NHQ10" s="699"/>
      <c r="NHR10" s="699"/>
      <c r="NHS10" s="699"/>
      <c r="NHT10" s="699"/>
      <c r="NHU10" s="699"/>
      <c r="NHV10" s="699"/>
      <c r="NHW10" s="699"/>
      <c r="NHX10" s="699"/>
      <c r="NHY10" s="699"/>
      <c r="NHZ10" s="699"/>
      <c r="NIA10" s="699"/>
      <c r="NIB10" s="699"/>
      <c r="NIC10" s="699"/>
      <c r="NID10" s="699"/>
      <c r="NIE10" s="699"/>
      <c r="NIF10" s="699"/>
      <c r="NIG10" s="699"/>
      <c r="NIH10" s="699"/>
      <c r="NII10" s="699"/>
      <c r="NIJ10" s="699"/>
      <c r="NIK10" s="699"/>
      <c r="NIL10" s="699"/>
      <c r="NIM10" s="699"/>
      <c r="NIN10" s="699"/>
      <c r="NIO10" s="699"/>
      <c r="NIP10" s="699"/>
      <c r="NIQ10" s="699"/>
      <c r="NIR10" s="699"/>
      <c r="NIS10" s="699"/>
      <c r="NIT10" s="699"/>
      <c r="NIU10" s="699"/>
      <c r="NIV10" s="699"/>
      <c r="NIW10" s="699"/>
      <c r="NIX10" s="699"/>
      <c r="NIY10" s="699"/>
      <c r="NIZ10" s="699"/>
      <c r="NJA10" s="699"/>
      <c r="NJB10" s="699"/>
      <c r="NJC10" s="699"/>
      <c r="NJD10" s="699"/>
      <c r="NJE10" s="699"/>
      <c r="NJF10" s="699"/>
      <c r="NJG10" s="699"/>
      <c r="NJH10" s="699"/>
      <c r="NJI10" s="699"/>
      <c r="NJJ10" s="699"/>
      <c r="NJK10" s="699"/>
      <c r="NJL10" s="699"/>
      <c r="NJM10" s="699"/>
      <c r="NJN10" s="699"/>
      <c r="NJO10" s="699"/>
      <c r="NJP10" s="699"/>
      <c r="NJQ10" s="699"/>
      <c r="NJR10" s="699"/>
      <c r="NJS10" s="699"/>
      <c r="NJT10" s="699"/>
      <c r="NJU10" s="699"/>
      <c r="NJV10" s="699"/>
      <c r="NJW10" s="699"/>
      <c r="NJX10" s="699"/>
      <c r="NJY10" s="699"/>
      <c r="NJZ10" s="699"/>
      <c r="NKA10" s="699"/>
      <c r="NKB10" s="699"/>
      <c r="NKC10" s="699"/>
      <c r="NKD10" s="699"/>
      <c r="NKE10" s="699"/>
      <c r="NKF10" s="699"/>
      <c r="NKG10" s="699"/>
      <c r="NKH10" s="699"/>
      <c r="NKI10" s="699"/>
      <c r="NKJ10" s="699"/>
      <c r="NKK10" s="699"/>
      <c r="NKL10" s="699"/>
      <c r="NKM10" s="699"/>
      <c r="NKN10" s="699"/>
      <c r="NKO10" s="699"/>
      <c r="NKP10" s="699"/>
      <c r="NKQ10" s="699"/>
      <c r="NKR10" s="699"/>
      <c r="NKS10" s="699"/>
      <c r="NKT10" s="699"/>
      <c r="NKU10" s="699"/>
      <c r="NKV10" s="699"/>
      <c r="NKW10" s="699"/>
      <c r="NKX10" s="699"/>
      <c r="NKY10" s="699"/>
      <c r="NKZ10" s="699"/>
      <c r="NLA10" s="699"/>
      <c r="NLB10" s="699"/>
      <c r="NLC10" s="699"/>
      <c r="NLD10" s="699"/>
      <c r="NLE10" s="699"/>
      <c r="NLF10" s="699"/>
      <c r="NLG10" s="699"/>
      <c r="NLH10" s="699"/>
      <c r="NLI10" s="699"/>
      <c r="NLJ10" s="699"/>
      <c r="NLK10" s="699"/>
      <c r="NLL10" s="699"/>
      <c r="NLM10" s="699"/>
      <c r="NLN10" s="699"/>
      <c r="NLO10" s="699"/>
      <c r="NLP10" s="699"/>
      <c r="NLQ10" s="699"/>
      <c r="NLR10" s="699"/>
      <c r="NLS10" s="699"/>
      <c r="NLT10" s="699"/>
      <c r="NLU10" s="699"/>
      <c r="NLV10" s="699"/>
      <c r="NLW10" s="699"/>
      <c r="NLX10" s="699"/>
      <c r="NLY10" s="699"/>
      <c r="NLZ10" s="699"/>
      <c r="NMA10" s="699"/>
      <c r="NMB10" s="699"/>
      <c r="NMC10" s="699"/>
      <c r="NMD10" s="699"/>
      <c r="NME10" s="699"/>
      <c r="NMF10" s="699"/>
      <c r="NMG10" s="699"/>
      <c r="NMH10" s="699"/>
      <c r="NMI10" s="699"/>
      <c r="NMJ10" s="699"/>
      <c r="NMK10" s="699"/>
      <c r="NML10" s="699"/>
      <c r="NMM10" s="699"/>
      <c r="NMN10" s="699"/>
      <c r="NMO10" s="699"/>
      <c r="NMP10" s="699"/>
      <c r="NMQ10" s="699"/>
      <c r="NMR10" s="699"/>
      <c r="NMS10" s="699"/>
      <c r="NMT10" s="699"/>
      <c r="NMU10" s="699"/>
      <c r="NMV10" s="699"/>
      <c r="NMW10" s="699"/>
      <c r="NMX10" s="699"/>
      <c r="NMY10" s="699"/>
      <c r="NMZ10" s="699"/>
      <c r="NNA10" s="699"/>
      <c r="NNB10" s="699"/>
      <c r="NNC10" s="699"/>
      <c r="NND10" s="699"/>
      <c r="NNE10" s="699"/>
      <c r="NNF10" s="699"/>
      <c r="NNG10" s="699"/>
      <c r="NNH10" s="699"/>
      <c r="NNI10" s="699"/>
      <c r="NNJ10" s="699"/>
      <c r="NNK10" s="699"/>
      <c r="NNL10" s="699"/>
      <c r="NNM10" s="699"/>
      <c r="NNN10" s="699"/>
      <c r="NNO10" s="699"/>
      <c r="NNP10" s="699"/>
      <c r="NNQ10" s="699"/>
      <c r="NNR10" s="699"/>
      <c r="NNS10" s="699"/>
      <c r="NNT10" s="699"/>
      <c r="NNU10" s="699"/>
      <c r="NNV10" s="699"/>
      <c r="NNW10" s="699"/>
      <c r="NNX10" s="699"/>
      <c r="NNY10" s="699"/>
      <c r="NNZ10" s="699"/>
      <c r="NOA10" s="699"/>
      <c r="NOB10" s="699"/>
      <c r="NOC10" s="699"/>
      <c r="NOD10" s="699"/>
      <c r="NOE10" s="699"/>
      <c r="NOF10" s="699"/>
      <c r="NOG10" s="699"/>
      <c r="NOH10" s="699"/>
      <c r="NOI10" s="699"/>
      <c r="NOJ10" s="699"/>
      <c r="NOK10" s="699"/>
      <c r="NOL10" s="699"/>
      <c r="NOM10" s="699"/>
      <c r="NON10" s="699"/>
      <c r="NOO10" s="699"/>
      <c r="NOP10" s="699"/>
      <c r="NOQ10" s="699"/>
      <c r="NOR10" s="699"/>
      <c r="NOS10" s="699"/>
      <c r="NOT10" s="699"/>
      <c r="NOU10" s="699"/>
      <c r="NOV10" s="699"/>
      <c r="NOW10" s="699"/>
      <c r="NOX10" s="699"/>
      <c r="NOY10" s="699"/>
      <c r="NOZ10" s="699"/>
      <c r="NPA10" s="699"/>
      <c r="NPB10" s="699"/>
      <c r="NPC10" s="699"/>
      <c r="NPD10" s="699"/>
      <c r="NPE10" s="699"/>
      <c r="NPF10" s="699"/>
      <c r="NPG10" s="699"/>
      <c r="NPH10" s="699"/>
      <c r="NPI10" s="699"/>
      <c r="NPJ10" s="699"/>
      <c r="NPK10" s="699"/>
      <c r="NPL10" s="699"/>
      <c r="NPM10" s="699"/>
      <c r="NPN10" s="699"/>
      <c r="NPO10" s="699"/>
      <c r="NPP10" s="699"/>
      <c r="NPQ10" s="699"/>
      <c r="NPR10" s="699"/>
      <c r="NPS10" s="699"/>
      <c r="NPT10" s="699"/>
      <c r="NPU10" s="699"/>
      <c r="NPV10" s="699"/>
      <c r="NPW10" s="699"/>
      <c r="NPX10" s="699"/>
      <c r="NPY10" s="699"/>
      <c r="NPZ10" s="699"/>
      <c r="NQA10" s="699"/>
      <c r="NQB10" s="699"/>
      <c r="NQC10" s="699"/>
      <c r="NQD10" s="699"/>
      <c r="NQE10" s="699"/>
      <c r="NQF10" s="699"/>
      <c r="NQG10" s="699"/>
      <c r="NQH10" s="699"/>
      <c r="NQI10" s="699"/>
      <c r="NQJ10" s="699"/>
      <c r="NQK10" s="699"/>
      <c r="NQL10" s="699"/>
      <c r="NQM10" s="699"/>
      <c r="NQN10" s="699"/>
      <c r="NQO10" s="699"/>
      <c r="NQP10" s="699"/>
      <c r="NQQ10" s="699"/>
      <c r="NQR10" s="699"/>
      <c r="NQS10" s="699"/>
      <c r="NQT10" s="699"/>
      <c r="NQU10" s="699"/>
      <c r="NQV10" s="699"/>
      <c r="NQW10" s="699"/>
      <c r="NQX10" s="699"/>
      <c r="NQY10" s="699"/>
      <c r="NQZ10" s="699"/>
      <c r="NRA10" s="699"/>
      <c r="NRB10" s="699"/>
      <c r="NRC10" s="699"/>
      <c r="NRD10" s="699"/>
      <c r="NRE10" s="699"/>
      <c r="NRF10" s="699"/>
      <c r="NRG10" s="699"/>
      <c r="NRH10" s="699"/>
      <c r="NRI10" s="699"/>
      <c r="NRJ10" s="699"/>
      <c r="NRK10" s="699"/>
      <c r="NRL10" s="699"/>
      <c r="NRM10" s="699"/>
      <c r="NRN10" s="699"/>
      <c r="NRO10" s="699"/>
      <c r="NRP10" s="699"/>
      <c r="NRQ10" s="699"/>
      <c r="NRR10" s="699"/>
      <c r="NRS10" s="699"/>
      <c r="NRT10" s="699"/>
      <c r="NRU10" s="699"/>
      <c r="NRV10" s="699"/>
      <c r="NRW10" s="699"/>
      <c r="NRX10" s="699"/>
      <c r="NRY10" s="699"/>
      <c r="NRZ10" s="699"/>
      <c r="NSA10" s="699"/>
      <c r="NSB10" s="699"/>
      <c r="NSC10" s="699"/>
      <c r="NSD10" s="699"/>
      <c r="NSE10" s="699"/>
      <c r="NSF10" s="699"/>
      <c r="NSG10" s="699"/>
      <c r="NSH10" s="699"/>
      <c r="NSI10" s="699"/>
      <c r="NSJ10" s="699"/>
      <c r="NSK10" s="699"/>
      <c r="NSL10" s="699"/>
      <c r="NSM10" s="699"/>
      <c r="NSN10" s="699"/>
      <c r="NSO10" s="699"/>
      <c r="NSP10" s="699"/>
      <c r="NSQ10" s="699"/>
      <c r="NSR10" s="699"/>
      <c r="NSS10" s="699"/>
      <c r="NST10" s="699"/>
      <c r="NSU10" s="699"/>
      <c r="NSV10" s="699"/>
      <c r="NSW10" s="699"/>
      <c r="NSX10" s="699"/>
      <c r="NSY10" s="699"/>
      <c r="NSZ10" s="699"/>
      <c r="NTA10" s="699"/>
      <c r="NTB10" s="699"/>
      <c r="NTC10" s="699"/>
      <c r="NTD10" s="699"/>
      <c r="NTE10" s="699"/>
      <c r="NTF10" s="699"/>
      <c r="NTG10" s="699"/>
      <c r="NTH10" s="699"/>
      <c r="NTI10" s="699"/>
      <c r="NTJ10" s="699"/>
      <c r="NTK10" s="699"/>
      <c r="NTL10" s="699"/>
      <c r="NTM10" s="699"/>
      <c r="NTN10" s="699"/>
      <c r="NTO10" s="699"/>
      <c r="NTP10" s="699"/>
      <c r="NTQ10" s="699"/>
      <c r="NTR10" s="699"/>
      <c r="NTS10" s="699"/>
      <c r="NTT10" s="699"/>
      <c r="NTU10" s="699"/>
      <c r="NTV10" s="699"/>
      <c r="NTW10" s="699"/>
      <c r="NTX10" s="699"/>
      <c r="NTY10" s="699"/>
      <c r="NTZ10" s="699"/>
      <c r="NUA10" s="699"/>
      <c r="NUB10" s="699"/>
      <c r="NUC10" s="699"/>
      <c r="NUD10" s="699"/>
      <c r="NUE10" s="699"/>
      <c r="NUF10" s="699"/>
      <c r="NUG10" s="699"/>
      <c r="NUH10" s="699"/>
      <c r="NUI10" s="699"/>
      <c r="NUJ10" s="699"/>
      <c r="NUK10" s="699"/>
      <c r="NUL10" s="699"/>
      <c r="NUM10" s="699"/>
      <c r="NUN10" s="699"/>
      <c r="NUO10" s="699"/>
      <c r="NUP10" s="699"/>
      <c r="NUQ10" s="699"/>
      <c r="NUR10" s="699"/>
      <c r="NUS10" s="699"/>
      <c r="NUT10" s="699"/>
      <c r="NUU10" s="699"/>
      <c r="NUV10" s="699"/>
      <c r="NUW10" s="699"/>
      <c r="NUX10" s="699"/>
      <c r="NUY10" s="699"/>
      <c r="NUZ10" s="699"/>
      <c r="NVA10" s="699"/>
      <c r="NVB10" s="699"/>
      <c r="NVC10" s="699"/>
      <c r="NVD10" s="699"/>
      <c r="NVE10" s="699"/>
      <c r="NVF10" s="699"/>
      <c r="NVG10" s="699"/>
      <c r="NVH10" s="699"/>
      <c r="NVI10" s="699"/>
      <c r="NVJ10" s="699"/>
      <c r="NVK10" s="699"/>
      <c r="NVL10" s="699"/>
      <c r="NVM10" s="699"/>
      <c r="NVN10" s="699"/>
      <c r="NVO10" s="699"/>
      <c r="NVP10" s="699"/>
      <c r="NVQ10" s="699"/>
      <c r="NVR10" s="699"/>
      <c r="NVS10" s="699"/>
      <c r="NVT10" s="699"/>
      <c r="NVU10" s="699"/>
      <c r="NVV10" s="699"/>
      <c r="NVW10" s="699"/>
      <c r="NVX10" s="699"/>
      <c r="NVY10" s="699"/>
      <c r="NVZ10" s="699"/>
      <c r="NWA10" s="699"/>
      <c r="NWB10" s="699"/>
      <c r="NWC10" s="699"/>
      <c r="NWD10" s="699"/>
      <c r="NWE10" s="699"/>
      <c r="NWF10" s="699"/>
      <c r="NWG10" s="699"/>
      <c r="NWH10" s="699"/>
      <c r="NWI10" s="699"/>
      <c r="NWJ10" s="699"/>
      <c r="NWK10" s="699"/>
      <c r="NWL10" s="699"/>
      <c r="NWM10" s="699"/>
      <c r="NWN10" s="699"/>
      <c r="NWO10" s="699"/>
      <c r="NWP10" s="699"/>
      <c r="NWQ10" s="699"/>
      <c r="NWR10" s="699"/>
      <c r="NWS10" s="699"/>
      <c r="NWT10" s="699"/>
      <c r="NWU10" s="699"/>
      <c r="NWV10" s="699"/>
      <c r="NWW10" s="699"/>
      <c r="NWX10" s="699"/>
      <c r="NWY10" s="699"/>
      <c r="NWZ10" s="699"/>
      <c r="NXA10" s="699"/>
      <c r="NXB10" s="699"/>
      <c r="NXC10" s="699"/>
      <c r="NXD10" s="699"/>
      <c r="NXE10" s="699"/>
      <c r="NXF10" s="699"/>
      <c r="NXG10" s="699"/>
      <c r="NXH10" s="699"/>
      <c r="NXI10" s="699"/>
      <c r="NXJ10" s="699"/>
      <c r="NXK10" s="699"/>
      <c r="NXL10" s="699"/>
      <c r="NXM10" s="699"/>
      <c r="NXN10" s="699"/>
      <c r="NXO10" s="699"/>
      <c r="NXP10" s="699"/>
      <c r="NXQ10" s="699"/>
      <c r="NXR10" s="699"/>
      <c r="NXS10" s="699"/>
      <c r="NXT10" s="699"/>
      <c r="NXU10" s="699"/>
      <c r="NXV10" s="699"/>
      <c r="NXW10" s="699"/>
      <c r="NXX10" s="699"/>
      <c r="NXY10" s="699"/>
      <c r="NXZ10" s="699"/>
      <c r="NYA10" s="699"/>
      <c r="NYB10" s="699"/>
      <c r="NYC10" s="699"/>
      <c r="NYD10" s="699"/>
      <c r="NYE10" s="699"/>
      <c r="NYF10" s="699"/>
      <c r="NYG10" s="699"/>
      <c r="NYH10" s="699"/>
      <c r="NYI10" s="699"/>
      <c r="NYJ10" s="699"/>
      <c r="NYK10" s="699"/>
      <c r="NYL10" s="699"/>
      <c r="NYM10" s="699"/>
      <c r="NYN10" s="699"/>
      <c r="NYO10" s="699"/>
      <c r="NYP10" s="699"/>
      <c r="NYQ10" s="699"/>
      <c r="NYR10" s="699"/>
      <c r="NYS10" s="699"/>
      <c r="NYT10" s="699"/>
      <c r="NYU10" s="699"/>
      <c r="NYV10" s="699"/>
      <c r="NYW10" s="699"/>
      <c r="NYX10" s="699"/>
      <c r="NYY10" s="699"/>
      <c r="NYZ10" s="699"/>
      <c r="NZA10" s="699"/>
      <c r="NZB10" s="699"/>
      <c r="NZC10" s="699"/>
      <c r="NZD10" s="699"/>
      <c r="NZE10" s="699"/>
      <c r="NZF10" s="699"/>
      <c r="NZG10" s="699"/>
      <c r="NZH10" s="699"/>
      <c r="NZI10" s="699"/>
      <c r="NZJ10" s="699"/>
      <c r="NZK10" s="699"/>
      <c r="NZL10" s="699"/>
      <c r="NZM10" s="699"/>
      <c r="NZN10" s="699"/>
      <c r="NZO10" s="699"/>
      <c r="NZP10" s="699"/>
      <c r="NZQ10" s="699"/>
      <c r="NZR10" s="699"/>
      <c r="NZS10" s="699"/>
      <c r="NZT10" s="699"/>
      <c r="NZU10" s="699"/>
      <c r="NZV10" s="699"/>
      <c r="NZW10" s="699"/>
      <c r="NZX10" s="699"/>
      <c r="NZY10" s="699"/>
      <c r="NZZ10" s="699"/>
      <c r="OAA10" s="699"/>
      <c r="OAB10" s="699"/>
      <c r="OAC10" s="699"/>
      <c r="OAD10" s="699"/>
      <c r="OAE10" s="699"/>
      <c r="OAF10" s="699"/>
      <c r="OAG10" s="699"/>
      <c r="OAH10" s="699"/>
      <c r="OAI10" s="699"/>
      <c r="OAJ10" s="699"/>
      <c r="OAK10" s="699"/>
      <c r="OAL10" s="699"/>
      <c r="OAM10" s="699"/>
      <c r="OAN10" s="699"/>
      <c r="OAO10" s="699"/>
      <c r="OAP10" s="699"/>
      <c r="OAQ10" s="699"/>
      <c r="OAR10" s="699"/>
      <c r="OAS10" s="699"/>
      <c r="OAT10" s="699"/>
      <c r="OAU10" s="699"/>
      <c r="OAV10" s="699"/>
      <c r="OAW10" s="699"/>
      <c r="OAX10" s="699"/>
      <c r="OAY10" s="699"/>
      <c r="OAZ10" s="699"/>
      <c r="OBA10" s="699"/>
      <c r="OBB10" s="699"/>
      <c r="OBC10" s="699"/>
      <c r="OBD10" s="699"/>
      <c r="OBE10" s="699"/>
      <c r="OBF10" s="699"/>
      <c r="OBG10" s="699"/>
      <c r="OBH10" s="699"/>
      <c r="OBI10" s="699"/>
      <c r="OBJ10" s="699"/>
      <c r="OBK10" s="699"/>
      <c r="OBL10" s="699"/>
      <c r="OBM10" s="699"/>
      <c r="OBN10" s="699"/>
      <c r="OBO10" s="699"/>
      <c r="OBP10" s="699"/>
      <c r="OBQ10" s="699"/>
      <c r="OBR10" s="699"/>
      <c r="OBS10" s="699"/>
      <c r="OBT10" s="699"/>
      <c r="OBU10" s="699"/>
      <c r="OBV10" s="699"/>
      <c r="OBW10" s="699"/>
      <c r="OBX10" s="699"/>
      <c r="OBY10" s="699"/>
      <c r="OBZ10" s="699"/>
      <c r="OCA10" s="699"/>
      <c r="OCB10" s="699"/>
      <c r="OCC10" s="699"/>
      <c r="OCD10" s="699"/>
      <c r="OCE10" s="699"/>
      <c r="OCF10" s="699"/>
      <c r="OCG10" s="699"/>
      <c r="OCH10" s="699"/>
      <c r="OCI10" s="699"/>
      <c r="OCJ10" s="699"/>
      <c r="OCK10" s="699"/>
      <c r="OCL10" s="699"/>
      <c r="OCM10" s="699"/>
      <c r="OCN10" s="699"/>
      <c r="OCO10" s="699"/>
      <c r="OCP10" s="699"/>
      <c r="OCQ10" s="699"/>
      <c r="OCR10" s="699"/>
      <c r="OCS10" s="699"/>
      <c r="OCT10" s="699"/>
      <c r="OCU10" s="699"/>
      <c r="OCV10" s="699"/>
      <c r="OCW10" s="699"/>
      <c r="OCX10" s="699"/>
      <c r="OCY10" s="699"/>
      <c r="OCZ10" s="699"/>
      <c r="ODA10" s="699"/>
      <c r="ODB10" s="699"/>
      <c r="ODC10" s="699"/>
      <c r="ODD10" s="699"/>
      <c r="ODE10" s="699"/>
      <c r="ODF10" s="699"/>
      <c r="ODG10" s="699"/>
      <c r="ODH10" s="699"/>
      <c r="ODI10" s="699"/>
      <c r="ODJ10" s="699"/>
      <c r="ODK10" s="699"/>
      <c r="ODL10" s="699"/>
      <c r="ODM10" s="699"/>
      <c r="ODN10" s="699"/>
      <c r="ODO10" s="699"/>
      <c r="ODP10" s="699"/>
      <c r="ODQ10" s="699"/>
      <c r="ODR10" s="699"/>
      <c r="ODS10" s="699"/>
      <c r="ODT10" s="699"/>
      <c r="ODU10" s="699"/>
      <c r="ODV10" s="699"/>
      <c r="ODW10" s="699"/>
      <c r="ODX10" s="699"/>
      <c r="ODY10" s="699"/>
      <c r="ODZ10" s="699"/>
      <c r="OEA10" s="699"/>
      <c r="OEB10" s="699"/>
      <c r="OEC10" s="699"/>
      <c r="OED10" s="699"/>
      <c r="OEE10" s="699"/>
      <c r="OEF10" s="699"/>
      <c r="OEG10" s="699"/>
      <c r="OEH10" s="699"/>
      <c r="OEI10" s="699"/>
      <c r="OEJ10" s="699"/>
      <c r="OEK10" s="699"/>
      <c r="OEL10" s="699"/>
      <c r="OEM10" s="699"/>
      <c r="OEN10" s="699"/>
      <c r="OEO10" s="699"/>
      <c r="OEP10" s="699"/>
      <c r="OEQ10" s="699"/>
      <c r="OER10" s="699"/>
      <c r="OES10" s="699"/>
      <c r="OET10" s="699"/>
      <c r="OEU10" s="699"/>
      <c r="OEV10" s="699"/>
      <c r="OEW10" s="699"/>
      <c r="OEX10" s="699"/>
      <c r="OEY10" s="699"/>
      <c r="OEZ10" s="699"/>
      <c r="OFA10" s="699"/>
      <c r="OFB10" s="699"/>
      <c r="OFC10" s="699"/>
      <c r="OFD10" s="699"/>
      <c r="OFE10" s="699"/>
      <c r="OFF10" s="699"/>
      <c r="OFG10" s="699"/>
      <c r="OFH10" s="699"/>
      <c r="OFI10" s="699"/>
      <c r="OFJ10" s="699"/>
      <c r="OFK10" s="699"/>
      <c r="OFL10" s="699"/>
      <c r="OFM10" s="699"/>
      <c r="OFN10" s="699"/>
      <c r="OFO10" s="699"/>
      <c r="OFP10" s="699"/>
      <c r="OFQ10" s="699"/>
      <c r="OFR10" s="699"/>
      <c r="OFS10" s="699"/>
      <c r="OFT10" s="699"/>
      <c r="OFU10" s="699"/>
      <c r="OFV10" s="699"/>
      <c r="OFW10" s="699"/>
      <c r="OFX10" s="699"/>
      <c r="OFY10" s="699"/>
      <c r="OFZ10" s="699"/>
      <c r="OGA10" s="699"/>
      <c r="OGB10" s="699"/>
      <c r="OGC10" s="699"/>
      <c r="OGD10" s="699"/>
      <c r="OGE10" s="699"/>
      <c r="OGF10" s="699"/>
      <c r="OGG10" s="699"/>
      <c r="OGH10" s="699"/>
      <c r="OGI10" s="699"/>
      <c r="OGJ10" s="699"/>
      <c r="OGK10" s="699"/>
      <c r="OGL10" s="699"/>
      <c r="OGM10" s="699"/>
      <c r="OGN10" s="699"/>
      <c r="OGO10" s="699"/>
      <c r="OGP10" s="699"/>
      <c r="OGQ10" s="699"/>
      <c r="OGR10" s="699"/>
      <c r="OGS10" s="699"/>
      <c r="OGT10" s="699"/>
      <c r="OGU10" s="699"/>
      <c r="OGV10" s="699"/>
      <c r="OGW10" s="699"/>
      <c r="OGX10" s="699"/>
      <c r="OGY10" s="699"/>
      <c r="OGZ10" s="699"/>
      <c r="OHA10" s="699"/>
      <c r="OHB10" s="699"/>
      <c r="OHC10" s="699"/>
      <c r="OHD10" s="699"/>
      <c r="OHE10" s="699"/>
      <c r="OHF10" s="699"/>
      <c r="OHG10" s="699"/>
      <c r="OHH10" s="699"/>
      <c r="OHI10" s="699"/>
      <c r="OHJ10" s="699"/>
      <c r="OHK10" s="699"/>
      <c r="OHL10" s="699"/>
      <c r="OHM10" s="699"/>
      <c r="OHN10" s="699"/>
      <c r="OHO10" s="699"/>
      <c r="OHP10" s="699"/>
      <c r="OHQ10" s="699"/>
      <c r="OHR10" s="699"/>
      <c r="OHS10" s="699"/>
      <c r="OHT10" s="699"/>
      <c r="OHU10" s="699"/>
      <c r="OHV10" s="699"/>
      <c r="OHW10" s="699"/>
      <c r="OHX10" s="699"/>
      <c r="OHY10" s="699"/>
      <c r="OHZ10" s="699"/>
      <c r="OIA10" s="699"/>
      <c r="OIB10" s="699"/>
      <c r="OIC10" s="699"/>
      <c r="OID10" s="699"/>
      <c r="OIE10" s="699"/>
      <c r="OIF10" s="699"/>
      <c r="OIG10" s="699"/>
      <c r="OIH10" s="699"/>
      <c r="OII10" s="699"/>
      <c r="OIJ10" s="699"/>
      <c r="OIK10" s="699"/>
      <c r="OIL10" s="699"/>
      <c r="OIM10" s="699"/>
      <c r="OIN10" s="699"/>
      <c r="OIO10" s="699"/>
      <c r="OIP10" s="699"/>
      <c r="OIQ10" s="699"/>
      <c r="OIR10" s="699"/>
      <c r="OIS10" s="699"/>
      <c r="OIT10" s="699"/>
      <c r="OIU10" s="699"/>
      <c r="OIV10" s="699"/>
      <c r="OIW10" s="699"/>
      <c r="OIX10" s="699"/>
      <c r="OIY10" s="699"/>
      <c r="OIZ10" s="699"/>
      <c r="OJA10" s="699"/>
      <c r="OJB10" s="699"/>
      <c r="OJC10" s="699"/>
      <c r="OJD10" s="699"/>
      <c r="OJE10" s="699"/>
      <c r="OJF10" s="699"/>
      <c r="OJG10" s="699"/>
      <c r="OJH10" s="699"/>
      <c r="OJI10" s="699"/>
      <c r="OJJ10" s="699"/>
      <c r="OJK10" s="699"/>
      <c r="OJL10" s="699"/>
      <c r="OJM10" s="699"/>
      <c r="OJN10" s="699"/>
      <c r="OJO10" s="699"/>
      <c r="OJP10" s="699"/>
      <c r="OJQ10" s="699"/>
      <c r="OJR10" s="699"/>
      <c r="OJS10" s="699"/>
      <c r="OJT10" s="699"/>
      <c r="OJU10" s="699"/>
      <c r="OJV10" s="699"/>
      <c r="OJW10" s="699"/>
      <c r="OJX10" s="699"/>
      <c r="OJY10" s="699"/>
      <c r="OJZ10" s="699"/>
      <c r="OKA10" s="699"/>
      <c r="OKB10" s="699"/>
      <c r="OKC10" s="699"/>
      <c r="OKD10" s="699"/>
      <c r="OKE10" s="699"/>
      <c r="OKF10" s="699"/>
      <c r="OKG10" s="699"/>
      <c r="OKH10" s="699"/>
      <c r="OKI10" s="699"/>
      <c r="OKJ10" s="699"/>
      <c r="OKK10" s="699"/>
      <c r="OKL10" s="699"/>
      <c r="OKM10" s="699"/>
      <c r="OKN10" s="699"/>
      <c r="OKO10" s="699"/>
      <c r="OKP10" s="699"/>
      <c r="OKQ10" s="699"/>
      <c r="OKR10" s="699"/>
      <c r="OKS10" s="699"/>
      <c r="OKT10" s="699"/>
      <c r="OKU10" s="699"/>
      <c r="OKV10" s="699"/>
      <c r="OKW10" s="699"/>
      <c r="OKX10" s="699"/>
      <c r="OKY10" s="699"/>
      <c r="OKZ10" s="699"/>
      <c r="OLA10" s="699"/>
      <c r="OLB10" s="699"/>
      <c r="OLC10" s="699"/>
      <c r="OLD10" s="699"/>
      <c r="OLE10" s="699"/>
      <c r="OLF10" s="699"/>
      <c r="OLG10" s="699"/>
      <c r="OLH10" s="699"/>
      <c r="OLI10" s="699"/>
      <c r="OLJ10" s="699"/>
      <c r="OLK10" s="699"/>
      <c r="OLL10" s="699"/>
      <c r="OLM10" s="699"/>
      <c r="OLN10" s="699"/>
      <c r="OLO10" s="699"/>
      <c r="OLP10" s="699"/>
      <c r="OLQ10" s="699"/>
      <c r="OLR10" s="699"/>
      <c r="OLS10" s="699"/>
      <c r="OLT10" s="699"/>
      <c r="OLU10" s="699"/>
      <c r="OLV10" s="699"/>
      <c r="OLW10" s="699"/>
      <c r="OLX10" s="699"/>
      <c r="OLY10" s="699"/>
      <c r="OLZ10" s="699"/>
      <c r="OMA10" s="699"/>
      <c r="OMB10" s="699"/>
      <c r="OMC10" s="699"/>
      <c r="OMD10" s="699"/>
      <c r="OME10" s="699"/>
      <c r="OMF10" s="699"/>
      <c r="OMG10" s="699"/>
      <c r="OMH10" s="699"/>
      <c r="OMI10" s="699"/>
      <c r="OMJ10" s="699"/>
      <c r="OMK10" s="699"/>
      <c r="OML10" s="699"/>
      <c r="OMM10" s="699"/>
      <c r="OMN10" s="699"/>
      <c r="OMO10" s="699"/>
      <c r="OMP10" s="699"/>
      <c r="OMQ10" s="699"/>
      <c r="OMR10" s="699"/>
      <c r="OMS10" s="699"/>
      <c r="OMT10" s="699"/>
      <c r="OMU10" s="699"/>
      <c r="OMV10" s="699"/>
      <c r="OMW10" s="699"/>
      <c r="OMX10" s="699"/>
      <c r="OMY10" s="699"/>
      <c r="OMZ10" s="699"/>
      <c r="ONA10" s="699"/>
      <c r="ONB10" s="699"/>
      <c r="ONC10" s="699"/>
      <c r="OND10" s="699"/>
      <c r="ONE10" s="699"/>
      <c r="ONF10" s="699"/>
      <c r="ONG10" s="699"/>
      <c r="ONH10" s="699"/>
      <c r="ONI10" s="699"/>
      <c r="ONJ10" s="699"/>
      <c r="ONK10" s="699"/>
      <c r="ONL10" s="699"/>
      <c r="ONM10" s="699"/>
      <c r="ONN10" s="699"/>
      <c r="ONO10" s="699"/>
      <c r="ONP10" s="699"/>
      <c r="ONQ10" s="699"/>
      <c r="ONR10" s="699"/>
      <c r="ONS10" s="699"/>
      <c r="ONT10" s="699"/>
      <c r="ONU10" s="699"/>
      <c r="ONV10" s="699"/>
      <c r="ONW10" s="699"/>
      <c r="ONX10" s="699"/>
      <c r="ONY10" s="699"/>
      <c r="ONZ10" s="699"/>
      <c r="OOA10" s="699"/>
      <c r="OOB10" s="699"/>
      <c r="OOC10" s="699"/>
      <c r="OOD10" s="699"/>
      <c r="OOE10" s="699"/>
      <c r="OOF10" s="699"/>
      <c r="OOG10" s="699"/>
      <c r="OOH10" s="699"/>
      <c r="OOI10" s="699"/>
      <c r="OOJ10" s="699"/>
      <c r="OOK10" s="699"/>
      <c r="OOL10" s="699"/>
      <c r="OOM10" s="699"/>
      <c r="OON10" s="699"/>
      <c r="OOO10" s="699"/>
      <c r="OOP10" s="699"/>
      <c r="OOQ10" s="699"/>
      <c r="OOR10" s="699"/>
      <c r="OOS10" s="699"/>
      <c r="OOT10" s="699"/>
      <c r="OOU10" s="699"/>
      <c r="OOV10" s="699"/>
      <c r="OOW10" s="699"/>
      <c r="OOX10" s="699"/>
      <c r="OOY10" s="699"/>
      <c r="OOZ10" s="699"/>
      <c r="OPA10" s="699"/>
      <c r="OPB10" s="699"/>
      <c r="OPC10" s="699"/>
      <c r="OPD10" s="699"/>
      <c r="OPE10" s="699"/>
      <c r="OPF10" s="699"/>
      <c r="OPG10" s="699"/>
      <c r="OPH10" s="699"/>
      <c r="OPI10" s="699"/>
      <c r="OPJ10" s="699"/>
      <c r="OPK10" s="699"/>
      <c r="OPL10" s="699"/>
      <c r="OPM10" s="699"/>
      <c r="OPN10" s="699"/>
      <c r="OPO10" s="699"/>
      <c r="OPP10" s="699"/>
      <c r="OPQ10" s="699"/>
      <c r="OPR10" s="699"/>
      <c r="OPS10" s="699"/>
      <c r="OPT10" s="699"/>
      <c r="OPU10" s="699"/>
      <c r="OPV10" s="699"/>
      <c r="OPW10" s="699"/>
      <c r="OPX10" s="699"/>
      <c r="OPY10" s="699"/>
      <c r="OPZ10" s="699"/>
      <c r="OQA10" s="699"/>
      <c r="OQB10" s="699"/>
      <c r="OQC10" s="699"/>
      <c r="OQD10" s="699"/>
      <c r="OQE10" s="699"/>
      <c r="OQF10" s="699"/>
      <c r="OQG10" s="699"/>
      <c r="OQH10" s="699"/>
      <c r="OQI10" s="699"/>
      <c r="OQJ10" s="699"/>
      <c r="OQK10" s="699"/>
      <c r="OQL10" s="699"/>
      <c r="OQM10" s="699"/>
      <c r="OQN10" s="699"/>
      <c r="OQO10" s="699"/>
      <c r="OQP10" s="699"/>
      <c r="OQQ10" s="699"/>
      <c r="OQR10" s="699"/>
      <c r="OQS10" s="699"/>
      <c r="OQT10" s="699"/>
      <c r="OQU10" s="699"/>
      <c r="OQV10" s="699"/>
      <c r="OQW10" s="699"/>
      <c r="OQX10" s="699"/>
      <c r="OQY10" s="699"/>
      <c r="OQZ10" s="699"/>
      <c r="ORA10" s="699"/>
      <c r="ORB10" s="699"/>
      <c r="ORC10" s="699"/>
      <c r="ORD10" s="699"/>
      <c r="ORE10" s="699"/>
      <c r="ORF10" s="699"/>
      <c r="ORG10" s="699"/>
      <c r="ORH10" s="699"/>
      <c r="ORI10" s="699"/>
      <c r="ORJ10" s="699"/>
      <c r="ORK10" s="699"/>
      <c r="ORL10" s="699"/>
      <c r="ORM10" s="699"/>
      <c r="ORN10" s="699"/>
      <c r="ORO10" s="699"/>
      <c r="ORP10" s="699"/>
      <c r="ORQ10" s="699"/>
      <c r="ORR10" s="699"/>
      <c r="ORS10" s="699"/>
      <c r="ORT10" s="699"/>
      <c r="ORU10" s="699"/>
      <c r="ORV10" s="699"/>
      <c r="ORW10" s="699"/>
      <c r="ORX10" s="699"/>
      <c r="ORY10" s="699"/>
      <c r="ORZ10" s="699"/>
      <c r="OSA10" s="699"/>
      <c r="OSB10" s="699"/>
      <c r="OSC10" s="699"/>
      <c r="OSD10" s="699"/>
      <c r="OSE10" s="699"/>
      <c r="OSF10" s="699"/>
      <c r="OSG10" s="699"/>
      <c r="OSH10" s="699"/>
      <c r="OSI10" s="699"/>
      <c r="OSJ10" s="699"/>
      <c r="OSK10" s="699"/>
      <c r="OSL10" s="699"/>
      <c r="OSM10" s="699"/>
      <c r="OSN10" s="699"/>
      <c r="OSO10" s="699"/>
      <c r="OSP10" s="699"/>
      <c r="OSQ10" s="699"/>
      <c r="OSR10" s="699"/>
      <c r="OSS10" s="699"/>
      <c r="OST10" s="699"/>
      <c r="OSU10" s="699"/>
      <c r="OSV10" s="699"/>
      <c r="OSW10" s="699"/>
      <c r="OSX10" s="699"/>
      <c r="OSY10" s="699"/>
      <c r="OSZ10" s="699"/>
      <c r="OTA10" s="699"/>
      <c r="OTB10" s="699"/>
      <c r="OTC10" s="699"/>
      <c r="OTD10" s="699"/>
      <c r="OTE10" s="699"/>
      <c r="OTF10" s="699"/>
      <c r="OTG10" s="699"/>
      <c r="OTH10" s="699"/>
      <c r="OTI10" s="699"/>
      <c r="OTJ10" s="699"/>
      <c r="OTK10" s="699"/>
      <c r="OTL10" s="699"/>
      <c r="OTM10" s="699"/>
      <c r="OTN10" s="699"/>
      <c r="OTO10" s="699"/>
      <c r="OTP10" s="699"/>
      <c r="OTQ10" s="699"/>
      <c r="OTR10" s="699"/>
      <c r="OTS10" s="699"/>
      <c r="OTT10" s="699"/>
      <c r="OTU10" s="699"/>
      <c r="OTV10" s="699"/>
      <c r="OTW10" s="699"/>
      <c r="OTX10" s="699"/>
      <c r="OTY10" s="699"/>
      <c r="OTZ10" s="699"/>
      <c r="OUA10" s="699"/>
      <c r="OUB10" s="699"/>
      <c r="OUC10" s="699"/>
      <c r="OUD10" s="699"/>
      <c r="OUE10" s="699"/>
      <c r="OUF10" s="699"/>
      <c r="OUG10" s="699"/>
      <c r="OUH10" s="699"/>
      <c r="OUI10" s="699"/>
      <c r="OUJ10" s="699"/>
      <c r="OUK10" s="699"/>
      <c r="OUL10" s="699"/>
      <c r="OUM10" s="699"/>
      <c r="OUN10" s="699"/>
      <c r="OUO10" s="699"/>
      <c r="OUP10" s="699"/>
      <c r="OUQ10" s="699"/>
      <c r="OUR10" s="699"/>
      <c r="OUS10" s="699"/>
      <c r="OUT10" s="699"/>
      <c r="OUU10" s="699"/>
      <c r="OUV10" s="699"/>
      <c r="OUW10" s="699"/>
      <c r="OUX10" s="699"/>
      <c r="OUY10" s="699"/>
      <c r="OUZ10" s="699"/>
      <c r="OVA10" s="699"/>
      <c r="OVB10" s="699"/>
      <c r="OVC10" s="699"/>
      <c r="OVD10" s="699"/>
      <c r="OVE10" s="699"/>
      <c r="OVF10" s="699"/>
      <c r="OVG10" s="699"/>
      <c r="OVH10" s="699"/>
      <c r="OVI10" s="699"/>
      <c r="OVJ10" s="699"/>
      <c r="OVK10" s="699"/>
      <c r="OVL10" s="699"/>
      <c r="OVM10" s="699"/>
      <c r="OVN10" s="699"/>
      <c r="OVO10" s="699"/>
      <c r="OVP10" s="699"/>
      <c r="OVQ10" s="699"/>
      <c r="OVR10" s="699"/>
      <c r="OVS10" s="699"/>
      <c r="OVT10" s="699"/>
      <c r="OVU10" s="699"/>
      <c r="OVV10" s="699"/>
      <c r="OVW10" s="699"/>
      <c r="OVX10" s="699"/>
      <c r="OVY10" s="699"/>
      <c r="OVZ10" s="699"/>
      <c r="OWA10" s="699"/>
      <c r="OWB10" s="699"/>
      <c r="OWC10" s="699"/>
      <c r="OWD10" s="699"/>
      <c r="OWE10" s="699"/>
      <c r="OWF10" s="699"/>
      <c r="OWG10" s="699"/>
      <c r="OWH10" s="699"/>
      <c r="OWI10" s="699"/>
      <c r="OWJ10" s="699"/>
      <c r="OWK10" s="699"/>
      <c r="OWL10" s="699"/>
      <c r="OWM10" s="699"/>
      <c r="OWN10" s="699"/>
      <c r="OWO10" s="699"/>
      <c r="OWP10" s="699"/>
      <c r="OWQ10" s="699"/>
      <c r="OWR10" s="699"/>
      <c r="OWS10" s="699"/>
      <c r="OWT10" s="699"/>
      <c r="OWU10" s="699"/>
      <c r="OWV10" s="699"/>
      <c r="OWW10" s="699"/>
      <c r="OWX10" s="699"/>
      <c r="OWY10" s="699"/>
      <c r="OWZ10" s="699"/>
      <c r="OXA10" s="699"/>
      <c r="OXB10" s="699"/>
      <c r="OXC10" s="699"/>
      <c r="OXD10" s="699"/>
      <c r="OXE10" s="699"/>
      <c r="OXF10" s="699"/>
      <c r="OXG10" s="699"/>
      <c r="OXH10" s="699"/>
      <c r="OXI10" s="699"/>
      <c r="OXJ10" s="699"/>
      <c r="OXK10" s="699"/>
      <c r="OXL10" s="699"/>
      <c r="OXM10" s="699"/>
      <c r="OXN10" s="699"/>
      <c r="OXO10" s="699"/>
      <c r="OXP10" s="699"/>
      <c r="OXQ10" s="699"/>
      <c r="OXR10" s="699"/>
      <c r="OXS10" s="699"/>
      <c r="OXT10" s="699"/>
      <c r="OXU10" s="699"/>
      <c r="OXV10" s="699"/>
      <c r="OXW10" s="699"/>
      <c r="OXX10" s="699"/>
      <c r="OXY10" s="699"/>
      <c r="OXZ10" s="699"/>
      <c r="OYA10" s="699"/>
      <c r="OYB10" s="699"/>
      <c r="OYC10" s="699"/>
      <c r="OYD10" s="699"/>
      <c r="OYE10" s="699"/>
      <c r="OYF10" s="699"/>
      <c r="OYG10" s="699"/>
      <c r="OYH10" s="699"/>
      <c r="OYI10" s="699"/>
      <c r="OYJ10" s="699"/>
      <c r="OYK10" s="699"/>
      <c r="OYL10" s="699"/>
      <c r="OYM10" s="699"/>
      <c r="OYN10" s="699"/>
      <c r="OYO10" s="699"/>
      <c r="OYP10" s="699"/>
      <c r="OYQ10" s="699"/>
      <c r="OYR10" s="699"/>
      <c r="OYS10" s="699"/>
      <c r="OYT10" s="699"/>
      <c r="OYU10" s="699"/>
      <c r="OYV10" s="699"/>
      <c r="OYW10" s="699"/>
      <c r="OYX10" s="699"/>
      <c r="OYY10" s="699"/>
      <c r="OYZ10" s="699"/>
      <c r="OZA10" s="699"/>
      <c r="OZB10" s="699"/>
      <c r="OZC10" s="699"/>
      <c r="OZD10" s="699"/>
      <c r="OZE10" s="699"/>
      <c r="OZF10" s="699"/>
      <c r="OZG10" s="699"/>
      <c r="OZH10" s="699"/>
      <c r="OZI10" s="699"/>
      <c r="OZJ10" s="699"/>
      <c r="OZK10" s="699"/>
      <c r="OZL10" s="699"/>
      <c r="OZM10" s="699"/>
      <c r="OZN10" s="699"/>
      <c r="OZO10" s="699"/>
      <c r="OZP10" s="699"/>
      <c r="OZQ10" s="699"/>
      <c r="OZR10" s="699"/>
      <c r="OZS10" s="699"/>
      <c r="OZT10" s="699"/>
      <c r="OZU10" s="699"/>
      <c r="OZV10" s="699"/>
      <c r="OZW10" s="699"/>
      <c r="OZX10" s="699"/>
      <c r="OZY10" s="699"/>
      <c r="OZZ10" s="699"/>
      <c r="PAA10" s="699"/>
      <c r="PAB10" s="699"/>
      <c r="PAC10" s="699"/>
      <c r="PAD10" s="699"/>
      <c r="PAE10" s="699"/>
      <c r="PAF10" s="699"/>
      <c r="PAG10" s="699"/>
      <c r="PAH10" s="699"/>
      <c r="PAI10" s="699"/>
      <c r="PAJ10" s="699"/>
      <c r="PAK10" s="699"/>
      <c r="PAL10" s="699"/>
      <c r="PAM10" s="699"/>
      <c r="PAN10" s="699"/>
      <c r="PAO10" s="699"/>
      <c r="PAP10" s="699"/>
      <c r="PAQ10" s="699"/>
      <c r="PAR10" s="699"/>
      <c r="PAS10" s="699"/>
      <c r="PAT10" s="699"/>
      <c r="PAU10" s="699"/>
      <c r="PAV10" s="699"/>
      <c r="PAW10" s="699"/>
      <c r="PAX10" s="699"/>
      <c r="PAY10" s="699"/>
      <c r="PAZ10" s="699"/>
      <c r="PBA10" s="699"/>
      <c r="PBB10" s="699"/>
      <c r="PBC10" s="699"/>
      <c r="PBD10" s="699"/>
      <c r="PBE10" s="699"/>
      <c r="PBF10" s="699"/>
      <c r="PBG10" s="699"/>
      <c r="PBH10" s="699"/>
      <c r="PBI10" s="699"/>
      <c r="PBJ10" s="699"/>
      <c r="PBK10" s="699"/>
      <c r="PBL10" s="699"/>
      <c r="PBM10" s="699"/>
      <c r="PBN10" s="699"/>
      <c r="PBO10" s="699"/>
      <c r="PBP10" s="699"/>
      <c r="PBQ10" s="699"/>
      <c r="PBR10" s="699"/>
      <c r="PBS10" s="699"/>
      <c r="PBT10" s="699"/>
      <c r="PBU10" s="699"/>
      <c r="PBV10" s="699"/>
      <c r="PBW10" s="699"/>
      <c r="PBX10" s="699"/>
      <c r="PBY10" s="699"/>
      <c r="PBZ10" s="699"/>
      <c r="PCA10" s="699"/>
      <c r="PCB10" s="699"/>
      <c r="PCC10" s="699"/>
      <c r="PCD10" s="699"/>
      <c r="PCE10" s="699"/>
      <c r="PCF10" s="699"/>
      <c r="PCG10" s="699"/>
      <c r="PCH10" s="699"/>
      <c r="PCI10" s="699"/>
      <c r="PCJ10" s="699"/>
      <c r="PCK10" s="699"/>
      <c r="PCL10" s="699"/>
      <c r="PCM10" s="699"/>
      <c r="PCN10" s="699"/>
      <c r="PCO10" s="699"/>
      <c r="PCP10" s="699"/>
      <c r="PCQ10" s="699"/>
      <c r="PCR10" s="699"/>
      <c r="PCS10" s="699"/>
      <c r="PCT10" s="699"/>
      <c r="PCU10" s="699"/>
      <c r="PCV10" s="699"/>
      <c r="PCW10" s="699"/>
      <c r="PCX10" s="699"/>
      <c r="PCY10" s="699"/>
      <c r="PCZ10" s="699"/>
      <c r="PDA10" s="699"/>
      <c r="PDB10" s="699"/>
      <c r="PDC10" s="699"/>
      <c r="PDD10" s="699"/>
      <c r="PDE10" s="699"/>
      <c r="PDF10" s="699"/>
      <c r="PDG10" s="699"/>
      <c r="PDH10" s="699"/>
      <c r="PDI10" s="699"/>
      <c r="PDJ10" s="699"/>
      <c r="PDK10" s="699"/>
      <c r="PDL10" s="699"/>
      <c r="PDM10" s="699"/>
      <c r="PDN10" s="699"/>
      <c r="PDO10" s="699"/>
      <c r="PDP10" s="699"/>
      <c r="PDQ10" s="699"/>
      <c r="PDR10" s="699"/>
      <c r="PDS10" s="699"/>
      <c r="PDT10" s="699"/>
      <c r="PDU10" s="699"/>
      <c r="PDV10" s="699"/>
      <c r="PDW10" s="699"/>
      <c r="PDX10" s="699"/>
      <c r="PDY10" s="699"/>
      <c r="PDZ10" s="699"/>
      <c r="PEA10" s="699"/>
      <c r="PEB10" s="699"/>
      <c r="PEC10" s="699"/>
      <c r="PED10" s="699"/>
      <c r="PEE10" s="699"/>
      <c r="PEF10" s="699"/>
      <c r="PEG10" s="699"/>
      <c r="PEH10" s="699"/>
      <c r="PEI10" s="699"/>
      <c r="PEJ10" s="699"/>
      <c r="PEK10" s="699"/>
      <c r="PEL10" s="699"/>
      <c r="PEM10" s="699"/>
      <c r="PEN10" s="699"/>
      <c r="PEO10" s="699"/>
      <c r="PEP10" s="699"/>
      <c r="PEQ10" s="699"/>
      <c r="PER10" s="699"/>
      <c r="PES10" s="699"/>
      <c r="PET10" s="699"/>
      <c r="PEU10" s="699"/>
      <c r="PEV10" s="699"/>
      <c r="PEW10" s="699"/>
      <c r="PEX10" s="699"/>
      <c r="PEY10" s="699"/>
      <c r="PEZ10" s="699"/>
      <c r="PFA10" s="699"/>
      <c r="PFB10" s="699"/>
      <c r="PFC10" s="699"/>
      <c r="PFD10" s="699"/>
      <c r="PFE10" s="699"/>
      <c r="PFF10" s="699"/>
      <c r="PFG10" s="699"/>
      <c r="PFH10" s="699"/>
      <c r="PFI10" s="699"/>
      <c r="PFJ10" s="699"/>
      <c r="PFK10" s="699"/>
      <c r="PFL10" s="699"/>
      <c r="PFM10" s="699"/>
      <c r="PFN10" s="699"/>
      <c r="PFO10" s="699"/>
      <c r="PFP10" s="699"/>
      <c r="PFQ10" s="699"/>
      <c r="PFR10" s="699"/>
      <c r="PFS10" s="699"/>
      <c r="PFT10" s="699"/>
      <c r="PFU10" s="699"/>
      <c r="PFV10" s="699"/>
      <c r="PFW10" s="699"/>
      <c r="PFX10" s="699"/>
      <c r="PFY10" s="699"/>
      <c r="PFZ10" s="699"/>
      <c r="PGA10" s="699"/>
      <c r="PGB10" s="699"/>
      <c r="PGC10" s="699"/>
      <c r="PGD10" s="699"/>
      <c r="PGE10" s="699"/>
      <c r="PGF10" s="699"/>
      <c r="PGG10" s="699"/>
      <c r="PGH10" s="699"/>
      <c r="PGI10" s="699"/>
      <c r="PGJ10" s="699"/>
      <c r="PGK10" s="699"/>
      <c r="PGL10" s="699"/>
      <c r="PGM10" s="699"/>
      <c r="PGN10" s="699"/>
      <c r="PGO10" s="699"/>
      <c r="PGP10" s="699"/>
      <c r="PGQ10" s="699"/>
      <c r="PGR10" s="699"/>
      <c r="PGS10" s="699"/>
      <c r="PGT10" s="699"/>
      <c r="PGU10" s="699"/>
      <c r="PGV10" s="699"/>
      <c r="PGW10" s="699"/>
      <c r="PGX10" s="699"/>
      <c r="PGY10" s="699"/>
      <c r="PGZ10" s="699"/>
      <c r="PHA10" s="699"/>
      <c r="PHB10" s="699"/>
      <c r="PHC10" s="699"/>
      <c r="PHD10" s="699"/>
      <c r="PHE10" s="699"/>
      <c r="PHF10" s="699"/>
      <c r="PHG10" s="699"/>
      <c r="PHH10" s="699"/>
      <c r="PHI10" s="699"/>
      <c r="PHJ10" s="699"/>
      <c r="PHK10" s="699"/>
      <c r="PHL10" s="699"/>
      <c r="PHM10" s="699"/>
      <c r="PHN10" s="699"/>
      <c r="PHO10" s="699"/>
      <c r="PHP10" s="699"/>
      <c r="PHQ10" s="699"/>
      <c r="PHR10" s="699"/>
      <c r="PHS10" s="699"/>
      <c r="PHT10" s="699"/>
      <c r="PHU10" s="699"/>
      <c r="PHV10" s="699"/>
      <c r="PHW10" s="699"/>
      <c r="PHX10" s="699"/>
      <c r="PHY10" s="699"/>
      <c r="PHZ10" s="699"/>
      <c r="PIA10" s="699"/>
      <c r="PIB10" s="699"/>
      <c r="PIC10" s="699"/>
      <c r="PID10" s="699"/>
      <c r="PIE10" s="699"/>
      <c r="PIF10" s="699"/>
      <c r="PIG10" s="699"/>
      <c r="PIH10" s="699"/>
      <c r="PII10" s="699"/>
      <c r="PIJ10" s="699"/>
      <c r="PIK10" s="699"/>
      <c r="PIL10" s="699"/>
      <c r="PIM10" s="699"/>
      <c r="PIN10" s="699"/>
      <c r="PIO10" s="699"/>
      <c r="PIP10" s="699"/>
      <c r="PIQ10" s="699"/>
      <c r="PIR10" s="699"/>
      <c r="PIS10" s="699"/>
      <c r="PIT10" s="699"/>
      <c r="PIU10" s="699"/>
      <c r="PIV10" s="699"/>
      <c r="PIW10" s="699"/>
      <c r="PIX10" s="699"/>
      <c r="PIY10" s="699"/>
      <c r="PIZ10" s="699"/>
      <c r="PJA10" s="699"/>
      <c r="PJB10" s="699"/>
      <c r="PJC10" s="699"/>
      <c r="PJD10" s="699"/>
      <c r="PJE10" s="699"/>
      <c r="PJF10" s="699"/>
      <c r="PJG10" s="699"/>
      <c r="PJH10" s="699"/>
      <c r="PJI10" s="699"/>
      <c r="PJJ10" s="699"/>
      <c r="PJK10" s="699"/>
      <c r="PJL10" s="699"/>
      <c r="PJM10" s="699"/>
      <c r="PJN10" s="699"/>
      <c r="PJO10" s="699"/>
      <c r="PJP10" s="699"/>
      <c r="PJQ10" s="699"/>
      <c r="PJR10" s="699"/>
      <c r="PJS10" s="699"/>
      <c r="PJT10" s="699"/>
      <c r="PJU10" s="699"/>
      <c r="PJV10" s="699"/>
      <c r="PJW10" s="699"/>
      <c r="PJX10" s="699"/>
      <c r="PJY10" s="699"/>
      <c r="PJZ10" s="699"/>
      <c r="PKA10" s="699"/>
      <c r="PKB10" s="699"/>
      <c r="PKC10" s="699"/>
      <c r="PKD10" s="699"/>
      <c r="PKE10" s="699"/>
      <c r="PKF10" s="699"/>
      <c r="PKG10" s="699"/>
      <c r="PKH10" s="699"/>
      <c r="PKI10" s="699"/>
      <c r="PKJ10" s="699"/>
      <c r="PKK10" s="699"/>
      <c r="PKL10" s="699"/>
      <c r="PKM10" s="699"/>
      <c r="PKN10" s="699"/>
      <c r="PKO10" s="699"/>
      <c r="PKP10" s="699"/>
      <c r="PKQ10" s="699"/>
      <c r="PKR10" s="699"/>
      <c r="PKS10" s="699"/>
      <c r="PKT10" s="699"/>
      <c r="PKU10" s="699"/>
      <c r="PKV10" s="699"/>
      <c r="PKW10" s="699"/>
      <c r="PKX10" s="699"/>
      <c r="PKY10" s="699"/>
      <c r="PKZ10" s="699"/>
      <c r="PLA10" s="699"/>
      <c r="PLB10" s="699"/>
      <c r="PLC10" s="699"/>
      <c r="PLD10" s="699"/>
      <c r="PLE10" s="699"/>
      <c r="PLF10" s="699"/>
      <c r="PLG10" s="699"/>
      <c r="PLH10" s="699"/>
      <c r="PLI10" s="699"/>
      <c r="PLJ10" s="699"/>
      <c r="PLK10" s="699"/>
      <c r="PLL10" s="699"/>
      <c r="PLM10" s="699"/>
      <c r="PLN10" s="699"/>
      <c r="PLO10" s="699"/>
      <c r="PLP10" s="699"/>
      <c r="PLQ10" s="699"/>
      <c r="PLR10" s="699"/>
      <c r="PLS10" s="699"/>
      <c r="PLT10" s="699"/>
      <c r="PLU10" s="699"/>
      <c r="PLV10" s="699"/>
      <c r="PLW10" s="699"/>
      <c r="PLX10" s="699"/>
      <c r="PLY10" s="699"/>
      <c r="PLZ10" s="699"/>
      <c r="PMA10" s="699"/>
      <c r="PMB10" s="699"/>
      <c r="PMC10" s="699"/>
      <c r="PMD10" s="699"/>
      <c r="PME10" s="699"/>
      <c r="PMF10" s="699"/>
      <c r="PMG10" s="699"/>
      <c r="PMH10" s="699"/>
      <c r="PMI10" s="699"/>
      <c r="PMJ10" s="699"/>
      <c r="PMK10" s="699"/>
      <c r="PML10" s="699"/>
      <c r="PMM10" s="699"/>
      <c r="PMN10" s="699"/>
      <c r="PMO10" s="699"/>
      <c r="PMP10" s="699"/>
      <c r="PMQ10" s="699"/>
      <c r="PMR10" s="699"/>
      <c r="PMS10" s="699"/>
      <c r="PMT10" s="699"/>
      <c r="PMU10" s="699"/>
      <c r="PMV10" s="699"/>
      <c r="PMW10" s="699"/>
      <c r="PMX10" s="699"/>
      <c r="PMY10" s="699"/>
      <c r="PMZ10" s="699"/>
      <c r="PNA10" s="699"/>
      <c r="PNB10" s="699"/>
      <c r="PNC10" s="699"/>
      <c r="PND10" s="699"/>
      <c r="PNE10" s="699"/>
      <c r="PNF10" s="699"/>
      <c r="PNG10" s="699"/>
      <c r="PNH10" s="699"/>
      <c r="PNI10" s="699"/>
      <c r="PNJ10" s="699"/>
      <c r="PNK10" s="699"/>
      <c r="PNL10" s="699"/>
      <c r="PNM10" s="699"/>
      <c r="PNN10" s="699"/>
      <c r="PNO10" s="699"/>
      <c r="PNP10" s="699"/>
      <c r="PNQ10" s="699"/>
      <c r="PNR10" s="699"/>
      <c r="PNS10" s="699"/>
      <c r="PNT10" s="699"/>
      <c r="PNU10" s="699"/>
      <c r="PNV10" s="699"/>
      <c r="PNW10" s="699"/>
      <c r="PNX10" s="699"/>
      <c r="PNY10" s="699"/>
      <c r="PNZ10" s="699"/>
      <c r="POA10" s="699"/>
      <c r="POB10" s="699"/>
      <c r="POC10" s="699"/>
      <c r="POD10" s="699"/>
      <c r="POE10" s="699"/>
      <c r="POF10" s="699"/>
      <c r="POG10" s="699"/>
      <c r="POH10" s="699"/>
      <c r="POI10" s="699"/>
      <c r="POJ10" s="699"/>
      <c r="POK10" s="699"/>
      <c r="POL10" s="699"/>
      <c r="POM10" s="699"/>
      <c r="PON10" s="699"/>
      <c r="POO10" s="699"/>
      <c r="POP10" s="699"/>
      <c r="POQ10" s="699"/>
      <c r="POR10" s="699"/>
      <c r="POS10" s="699"/>
      <c r="POT10" s="699"/>
      <c r="POU10" s="699"/>
      <c r="POV10" s="699"/>
      <c r="POW10" s="699"/>
      <c r="POX10" s="699"/>
      <c r="POY10" s="699"/>
      <c r="POZ10" s="699"/>
      <c r="PPA10" s="699"/>
      <c r="PPB10" s="699"/>
      <c r="PPC10" s="699"/>
      <c r="PPD10" s="699"/>
      <c r="PPE10" s="699"/>
      <c r="PPF10" s="699"/>
      <c r="PPG10" s="699"/>
      <c r="PPH10" s="699"/>
      <c r="PPI10" s="699"/>
      <c r="PPJ10" s="699"/>
      <c r="PPK10" s="699"/>
      <c r="PPL10" s="699"/>
      <c r="PPM10" s="699"/>
      <c r="PPN10" s="699"/>
      <c r="PPO10" s="699"/>
      <c r="PPP10" s="699"/>
      <c r="PPQ10" s="699"/>
      <c r="PPR10" s="699"/>
      <c r="PPS10" s="699"/>
      <c r="PPT10" s="699"/>
      <c r="PPU10" s="699"/>
      <c r="PPV10" s="699"/>
      <c r="PPW10" s="699"/>
      <c r="PPX10" s="699"/>
      <c r="PPY10" s="699"/>
      <c r="PPZ10" s="699"/>
      <c r="PQA10" s="699"/>
      <c r="PQB10" s="699"/>
      <c r="PQC10" s="699"/>
      <c r="PQD10" s="699"/>
      <c r="PQE10" s="699"/>
      <c r="PQF10" s="699"/>
      <c r="PQG10" s="699"/>
      <c r="PQH10" s="699"/>
      <c r="PQI10" s="699"/>
      <c r="PQJ10" s="699"/>
      <c r="PQK10" s="699"/>
      <c r="PQL10" s="699"/>
      <c r="PQM10" s="699"/>
      <c r="PQN10" s="699"/>
      <c r="PQO10" s="699"/>
      <c r="PQP10" s="699"/>
      <c r="PQQ10" s="699"/>
      <c r="PQR10" s="699"/>
      <c r="PQS10" s="699"/>
      <c r="PQT10" s="699"/>
      <c r="PQU10" s="699"/>
      <c r="PQV10" s="699"/>
      <c r="PQW10" s="699"/>
      <c r="PQX10" s="699"/>
      <c r="PQY10" s="699"/>
      <c r="PQZ10" s="699"/>
      <c r="PRA10" s="699"/>
      <c r="PRB10" s="699"/>
      <c r="PRC10" s="699"/>
      <c r="PRD10" s="699"/>
      <c r="PRE10" s="699"/>
      <c r="PRF10" s="699"/>
      <c r="PRG10" s="699"/>
      <c r="PRH10" s="699"/>
      <c r="PRI10" s="699"/>
      <c r="PRJ10" s="699"/>
      <c r="PRK10" s="699"/>
      <c r="PRL10" s="699"/>
      <c r="PRM10" s="699"/>
      <c r="PRN10" s="699"/>
      <c r="PRO10" s="699"/>
      <c r="PRP10" s="699"/>
      <c r="PRQ10" s="699"/>
      <c r="PRR10" s="699"/>
      <c r="PRS10" s="699"/>
      <c r="PRT10" s="699"/>
      <c r="PRU10" s="699"/>
      <c r="PRV10" s="699"/>
      <c r="PRW10" s="699"/>
      <c r="PRX10" s="699"/>
      <c r="PRY10" s="699"/>
      <c r="PRZ10" s="699"/>
      <c r="PSA10" s="699"/>
      <c r="PSB10" s="699"/>
      <c r="PSC10" s="699"/>
      <c r="PSD10" s="699"/>
      <c r="PSE10" s="699"/>
      <c r="PSF10" s="699"/>
      <c r="PSG10" s="699"/>
      <c r="PSH10" s="699"/>
      <c r="PSI10" s="699"/>
      <c r="PSJ10" s="699"/>
      <c r="PSK10" s="699"/>
      <c r="PSL10" s="699"/>
      <c r="PSM10" s="699"/>
      <c r="PSN10" s="699"/>
      <c r="PSO10" s="699"/>
      <c r="PSP10" s="699"/>
      <c r="PSQ10" s="699"/>
      <c r="PSR10" s="699"/>
      <c r="PSS10" s="699"/>
      <c r="PST10" s="699"/>
      <c r="PSU10" s="699"/>
      <c r="PSV10" s="699"/>
      <c r="PSW10" s="699"/>
      <c r="PSX10" s="699"/>
      <c r="PSY10" s="699"/>
      <c r="PSZ10" s="699"/>
      <c r="PTA10" s="699"/>
      <c r="PTB10" s="699"/>
      <c r="PTC10" s="699"/>
      <c r="PTD10" s="699"/>
      <c r="PTE10" s="699"/>
      <c r="PTF10" s="699"/>
      <c r="PTG10" s="699"/>
      <c r="PTH10" s="699"/>
      <c r="PTI10" s="699"/>
      <c r="PTJ10" s="699"/>
      <c r="PTK10" s="699"/>
      <c r="PTL10" s="699"/>
      <c r="PTM10" s="699"/>
      <c r="PTN10" s="699"/>
      <c r="PTO10" s="699"/>
      <c r="PTP10" s="699"/>
      <c r="PTQ10" s="699"/>
      <c r="PTR10" s="699"/>
      <c r="PTS10" s="699"/>
      <c r="PTT10" s="699"/>
      <c r="PTU10" s="699"/>
      <c r="PTV10" s="699"/>
      <c r="PTW10" s="699"/>
      <c r="PTX10" s="699"/>
      <c r="PTY10" s="699"/>
      <c r="PTZ10" s="699"/>
      <c r="PUA10" s="699"/>
      <c r="PUB10" s="699"/>
      <c r="PUC10" s="699"/>
      <c r="PUD10" s="699"/>
      <c r="PUE10" s="699"/>
      <c r="PUF10" s="699"/>
      <c r="PUG10" s="699"/>
      <c r="PUH10" s="699"/>
      <c r="PUI10" s="699"/>
      <c r="PUJ10" s="699"/>
      <c r="PUK10" s="699"/>
      <c r="PUL10" s="699"/>
      <c r="PUM10" s="699"/>
      <c r="PUN10" s="699"/>
      <c r="PUO10" s="699"/>
      <c r="PUP10" s="699"/>
      <c r="PUQ10" s="699"/>
      <c r="PUR10" s="699"/>
      <c r="PUS10" s="699"/>
      <c r="PUT10" s="699"/>
      <c r="PUU10" s="699"/>
      <c r="PUV10" s="699"/>
      <c r="PUW10" s="699"/>
      <c r="PUX10" s="699"/>
      <c r="PUY10" s="699"/>
      <c r="PUZ10" s="699"/>
      <c r="PVA10" s="699"/>
      <c r="PVB10" s="699"/>
      <c r="PVC10" s="699"/>
      <c r="PVD10" s="699"/>
      <c r="PVE10" s="699"/>
      <c r="PVF10" s="699"/>
      <c r="PVG10" s="699"/>
      <c r="PVH10" s="699"/>
      <c r="PVI10" s="699"/>
      <c r="PVJ10" s="699"/>
      <c r="PVK10" s="699"/>
      <c r="PVL10" s="699"/>
      <c r="PVM10" s="699"/>
      <c r="PVN10" s="699"/>
      <c r="PVO10" s="699"/>
      <c r="PVP10" s="699"/>
      <c r="PVQ10" s="699"/>
      <c r="PVR10" s="699"/>
      <c r="PVS10" s="699"/>
      <c r="PVT10" s="699"/>
      <c r="PVU10" s="699"/>
      <c r="PVV10" s="699"/>
      <c r="PVW10" s="699"/>
      <c r="PVX10" s="699"/>
      <c r="PVY10" s="699"/>
      <c r="PVZ10" s="699"/>
      <c r="PWA10" s="699"/>
      <c r="PWB10" s="699"/>
      <c r="PWC10" s="699"/>
      <c r="PWD10" s="699"/>
      <c r="PWE10" s="699"/>
      <c r="PWF10" s="699"/>
      <c r="PWG10" s="699"/>
      <c r="PWH10" s="699"/>
      <c r="PWI10" s="699"/>
      <c r="PWJ10" s="699"/>
      <c r="PWK10" s="699"/>
      <c r="PWL10" s="699"/>
      <c r="PWM10" s="699"/>
      <c r="PWN10" s="699"/>
      <c r="PWO10" s="699"/>
      <c r="PWP10" s="699"/>
      <c r="PWQ10" s="699"/>
      <c r="PWR10" s="699"/>
      <c r="PWS10" s="699"/>
      <c r="PWT10" s="699"/>
      <c r="PWU10" s="699"/>
      <c r="PWV10" s="699"/>
      <c r="PWW10" s="699"/>
      <c r="PWX10" s="699"/>
      <c r="PWY10" s="699"/>
      <c r="PWZ10" s="699"/>
      <c r="PXA10" s="699"/>
      <c r="PXB10" s="699"/>
      <c r="PXC10" s="699"/>
      <c r="PXD10" s="699"/>
      <c r="PXE10" s="699"/>
      <c r="PXF10" s="699"/>
      <c r="PXG10" s="699"/>
      <c r="PXH10" s="699"/>
      <c r="PXI10" s="699"/>
      <c r="PXJ10" s="699"/>
      <c r="PXK10" s="699"/>
      <c r="PXL10" s="699"/>
      <c r="PXM10" s="699"/>
      <c r="PXN10" s="699"/>
      <c r="PXO10" s="699"/>
      <c r="PXP10" s="699"/>
      <c r="PXQ10" s="699"/>
      <c r="PXR10" s="699"/>
      <c r="PXS10" s="699"/>
      <c r="PXT10" s="699"/>
      <c r="PXU10" s="699"/>
      <c r="PXV10" s="699"/>
      <c r="PXW10" s="699"/>
      <c r="PXX10" s="699"/>
      <c r="PXY10" s="699"/>
      <c r="PXZ10" s="699"/>
      <c r="PYA10" s="699"/>
      <c r="PYB10" s="699"/>
      <c r="PYC10" s="699"/>
      <c r="PYD10" s="699"/>
      <c r="PYE10" s="699"/>
      <c r="PYF10" s="699"/>
      <c r="PYG10" s="699"/>
      <c r="PYH10" s="699"/>
      <c r="PYI10" s="699"/>
      <c r="PYJ10" s="699"/>
      <c r="PYK10" s="699"/>
      <c r="PYL10" s="699"/>
      <c r="PYM10" s="699"/>
      <c r="PYN10" s="699"/>
      <c r="PYO10" s="699"/>
      <c r="PYP10" s="699"/>
      <c r="PYQ10" s="699"/>
      <c r="PYR10" s="699"/>
      <c r="PYS10" s="699"/>
      <c r="PYT10" s="699"/>
      <c r="PYU10" s="699"/>
      <c r="PYV10" s="699"/>
      <c r="PYW10" s="699"/>
      <c r="PYX10" s="699"/>
      <c r="PYY10" s="699"/>
      <c r="PYZ10" s="699"/>
      <c r="PZA10" s="699"/>
      <c r="PZB10" s="699"/>
      <c r="PZC10" s="699"/>
      <c r="PZD10" s="699"/>
      <c r="PZE10" s="699"/>
      <c r="PZF10" s="699"/>
      <c r="PZG10" s="699"/>
      <c r="PZH10" s="699"/>
      <c r="PZI10" s="699"/>
      <c r="PZJ10" s="699"/>
      <c r="PZK10" s="699"/>
      <c r="PZL10" s="699"/>
      <c r="PZM10" s="699"/>
      <c r="PZN10" s="699"/>
      <c r="PZO10" s="699"/>
      <c r="PZP10" s="699"/>
      <c r="PZQ10" s="699"/>
      <c r="PZR10" s="699"/>
      <c r="PZS10" s="699"/>
      <c r="PZT10" s="699"/>
      <c r="PZU10" s="699"/>
      <c r="PZV10" s="699"/>
      <c r="PZW10" s="699"/>
      <c r="PZX10" s="699"/>
      <c r="PZY10" s="699"/>
      <c r="PZZ10" s="699"/>
      <c r="QAA10" s="699"/>
      <c r="QAB10" s="699"/>
      <c r="QAC10" s="699"/>
      <c r="QAD10" s="699"/>
      <c r="QAE10" s="699"/>
      <c r="QAF10" s="699"/>
      <c r="QAG10" s="699"/>
      <c r="QAH10" s="699"/>
      <c r="QAI10" s="699"/>
      <c r="QAJ10" s="699"/>
      <c r="QAK10" s="699"/>
      <c r="QAL10" s="699"/>
      <c r="QAM10" s="699"/>
      <c r="QAN10" s="699"/>
      <c r="QAO10" s="699"/>
      <c r="QAP10" s="699"/>
      <c r="QAQ10" s="699"/>
      <c r="QAR10" s="699"/>
      <c r="QAS10" s="699"/>
      <c r="QAT10" s="699"/>
      <c r="QAU10" s="699"/>
      <c r="QAV10" s="699"/>
      <c r="QAW10" s="699"/>
      <c r="QAX10" s="699"/>
      <c r="QAY10" s="699"/>
      <c r="QAZ10" s="699"/>
      <c r="QBA10" s="699"/>
      <c r="QBB10" s="699"/>
      <c r="QBC10" s="699"/>
      <c r="QBD10" s="699"/>
      <c r="QBE10" s="699"/>
      <c r="QBF10" s="699"/>
      <c r="QBG10" s="699"/>
      <c r="QBH10" s="699"/>
      <c r="QBI10" s="699"/>
      <c r="QBJ10" s="699"/>
      <c r="QBK10" s="699"/>
      <c r="QBL10" s="699"/>
      <c r="QBM10" s="699"/>
      <c r="QBN10" s="699"/>
      <c r="QBO10" s="699"/>
      <c r="QBP10" s="699"/>
      <c r="QBQ10" s="699"/>
      <c r="QBR10" s="699"/>
      <c r="QBS10" s="699"/>
      <c r="QBT10" s="699"/>
      <c r="QBU10" s="699"/>
      <c r="QBV10" s="699"/>
      <c r="QBW10" s="699"/>
      <c r="QBX10" s="699"/>
      <c r="QBY10" s="699"/>
      <c r="QBZ10" s="699"/>
      <c r="QCA10" s="699"/>
      <c r="QCB10" s="699"/>
      <c r="QCC10" s="699"/>
      <c r="QCD10" s="699"/>
      <c r="QCE10" s="699"/>
      <c r="QCF10" s="699"/>
      <c r="QCG10" s="699"/>
      <c r="QCH10" s="699"/>
      <c r="QCI10" s="699"/>
      <c r="QCJ10" s="699"/>
      <c r="QCK10" s="699"/>
      <c r="QCL10" s="699"/>
      <c r="QCM10" s="699"/>
      <c r="QCN10" s="699"/>
      <c r="QCO10" s="699"/>
      <c r="QCP10" s="699"/>
      <c r="QCQ10" s="699"/>
      <c r="QCR10" s="699"/>
      <c r="QCS10" s="699"/>
      <c r="QCT10" s="699"/>
      <c r="QCU10" s="699"/>
      <c r="QCV10" s="699"/>
      <c r="QCW10" s="699"/>
      <c r="QCX10" s="699"/>
      <c r="QCY10" s="699"/>
      <c r="QCZ10" s="699"/>
      <c r="QDA10" s="699"/>
      <c r="QDB10" s="699"/>
      <c r="QDC10" s="699"/>
      <c r="QDD10" s="699"/>
      <c r="QDE10" s="699"/>
      <c r="QDF10" s="699"/>
      <c r="QDG10" s="699"/>
      <c r="QDH10" s="699"/>
      <c r="QDI10" s="699"/>
      <c r="QDJ10" s="699"/>
      <c r="QDK10" s="699"/>
      <c r="QDL10" s="699"/>
      <c r="QDM10" s="699"/>
      <c r="QDN10" s="699"/>
      <c r="QDO10" s="699"/>
      <c r="QDP10" s="699"/>
      <c r="QDQ10" s="699"/>
      <c r="QDR10" s="699"/>
      <c r="QDS10" s="699"/>
      <c r="QDT10" s="699"/>
      <c r="QDU10" s="699"/>
      <c r="QDV10" s="699"/>
      <c r="QDW10" s="699"/>
      <c r="QDX10" s="699"/>
      <c r="QDY10" s="699"/>
      <c r="QDZ10" s="699"/>
      <c r="QEA10" s="699"/>
      <c r="QEB10" s="699"/>
      <c r="QEC10" s="699"/>
      <c r="QED10" s="699"/>
      <c r="QEE10" s="699"/>
      <c r="QEF10" s="699"/>
      <c r="QEG10" s="699"/>
      <c r="QEH10" s="699"/>
      <c r="QEI10" s="699"/>
      <c r="QEJ10" s="699"/>
      <c r="QEK10" s="699"/>
      <c r="QEL10" s="699"/>
      <c r="QEM10" s="699"/>
      <c r="QEN10" s="699"/>
      <c r="QEO10" s="699"/>
      <c r="QEP10" s="699"/>
      <c r="QEQ10" s="699"/>
      <c r="QER10" s="699"/>
      <c r="QES10" s="699"/>
      <c r="QET10" s="699"/>
      <c r="QEU10" s="699"/>
      <c r="QEV10" s="699"/>
      <c r="QEW10" s="699"/>
      <c r="QEX10" s="699"/>
      <c r="QEY10" s="699"/>
      <c r="QEZ10" s="699"/>
      <c r="QFA10" s="699"/>
      <c r="QFB10" s="699"/>
      <c r="QFC10" s="699"/>
      <c r="QFD10" s="699"/>
      <c r="QFE10" s="699"/>
      <c r="QFF10" s="699"/>
      <c r="QFG10" s="699"/>
      <c r="QFH10" s="699"/>
      <c r="QFI10" s="699"/>
      <c r="QFJ10" s="699"/>
      <c r="QFK10" s="699"/>
      <c r="QFL10" s="699"/>
      <c r="QFM10" s="699"/>
      <c r="QFN10" s="699"/>
      <c r="QFO10" s="699"/>
      <c r="QFP10" s="699"/>
      <c r="QFQ10" s="699"/>
      <c r="QFR10" s="699"/>
      <c r="QFS10" s="699"/>
      <c r="QFT10" s="699"/>
      <c r="QFU10" s="699"/>
      <c r="QFV10" s="699"/>
      <c r="QFW10" s="699"/>
      <c r="QFX10" s="699"/>
      <c r="QFY10" s="699"/>
      <c r="QFZ10" s="699"/>
      <c r="QGA10" s="699"/>
      <c r="QGB10" s="699"/>
      <c r="QGC10" s="699"/>
      <c r="QGD10" s="699"/>
      <c r="QGE10" s="699"/>
      <c r="QGF10" s="699"/>
      <c r="QGG10" s="699"/>
      <c r="QGH10" s="699"/>
      <c r="QGI10" s="699"/>
      <c r="QGJ10" s="699"/>
      <c r="QGK10" s="699"/>
      <c r="QGL10" s="699"/>
      <c r="QGM10" s="699"/>
      <c r="QGN10" s="699"/>
      <c r="QGO10" s="699"/>
      <c r="QGP10" s="699"/>
      <c r="QGQ10" s="699"/>
      <c r="QGR10" s="699"/>
      <c r="QGS10" s="699"/>
      <c r="QGT10" s="699"/>
      <c r="QGU10" s="699"/>
      <c r="QGV10" s="699"/>
      <c r="QGW10" s="699"/>
      <c r="QGX10" s="699"/>
      <c r="QGY10" s="699"/>
      <c r="QGZ10" s="699"/>
      <c r="QHA10" s="699"/>
      <c r="QHB10" s="699"/>
      <c r="QHC10" s="699"/>
      <c r="QHD10" s="699"/>
      <c r="QHE10" s="699"/>
      <c r="QHF10" s="699"/>
      <c r="QHG10" s="699"/>
      <c r="QHH10" s="699"/>
      <c r="QHI10" s="699"/>
      <c r="QHJ10" s="699"/>
      <c r="QHK10" s="699"/>
      <c r="QHL10" s="699"/>
      <c r="QHM10" s="699"/>
      <c r="QHN10" s="699"/>
      <c r="QHO10" s="699"/>
      <c r="QHP10" s="699"/>
      <c r="QHQ10" s="699"/>
      <c r="QHR10" s="699"/>
      <c r="QHS10" s="699"/>
      <c r="QHT10" s="699"/>
      <c r="QHU10" s="699"/>
      <c r="QHV10" s="699"/>
      <c r="QHW10" s="699"/>
      <c r="QHX10" s="699"/>
      <c r="QHY10" s="699"/>
      <c r="QHZ10" s="699"/>
      <c r="QIA10" s="699"/>
      <c r="QIB10" s="699"/>
      <c r="QIC10" s="699"/>
      <c r="QID10" s="699"/>
      <c r="QIE10" s="699"/>
      <c r="QIF10" s="699"/>
      <c r="QIG10" s="699"/>
      <c r="QIH10" s="699"/>
      <c r="QII10" s="699"/>
      <c r="QIJ10" s="699"/>
      <c r="QIK10" s="699"/>
      <c r="QIL10" s="699"/>
      <c r="QIM10" s="699"/>
      <c r="QIN10" s="699"/>
      <c r="QIO10" s="699"/>
      <c r="QIP10" s="699"/>
      <c r="QIQ10" s="699"/>
      <c r="QIR10" s="699"/>
      <c r="QIS10" s="699"/>
      <c r="QIT10" s="699"/>
      <c r="QIU10" s="699"/>
      <c r="QIV10" s="699"/>
      <c r="QIW10" s="699"/>
      <c r="QIX10" s="699"/>
      <c r="QIY10" s="699"/>
      <c r="QIZ10" s="699"/>
      <c r="QJA10" s="699"/>
      <c r="QJB10" s="699"/>
      <c r="QJC10" s="699"/>
      <c r="QJD10" s="699"/>
      <c r="QJE10" s="699"/>
      <c r="QJF10" s="699"/>
      <c r="QJG10" s="699"/>
      <c r="QJH10" s="699"/>
      <c r="QJI10" s="699"/>
      <c r="QJJ10" s="699"/>
      <c r="QJK10" s="699"/>
      <c r="QJL10" s="699"/>
      <c r="QJM10" s="699"/>
      <c r="QJN10" s="699"/>
      <c r="QJO10" s="699"/>
      <c r="QJP10" s="699"/>
      <c r="QJQ10" s="699"/>
      <c r="QJR10" s="699"/>
      <c r="QJS10" s="699"/>
      <c r="QJT10" s="699"/>
      <c r="QJU10" s="699"/>
      <c r="QJV10" s="699"/>
      <c r="QJW10" s="699"/>
      <c r="QJX10" s="699"/>
      <c r="QJY10" s="699"/>
      <c r="QJZ10" s="699"/>
      <c r="QKA10" s="699"/>
      <c r="QKB10" s="699"/>
      <c r="QKC10" s="699"/>
      <c r="QKD10" s="699"/>
      <c r="QKE10" s="699"/>
      <c r="QKF10" s="699"/>
      <c r="QKG10" s="699"/>
      <c r="QKH10" s="699"/>
      <c r="QKI10" s="699"/>
      <c r="QKJ10" s="699"/>
      <c r="QKK10" s="699"/>
      <c r="QKL10" s="699"/>
      <c r="QKM10" s="699"/>
      <c r="QKN10" s="699"/>
      <c r="QKO10" s="699"/>
      <c r="QKP10" s="699"/>
      <c r="QKQ10" s="699"/>
      <c r="QKR10" s="699"/>
      <c r="QKS10" s="699"/>
      <c r="QKT10" s="699"/>
      <c r="QKU10" s="699"/>
      <c r="QKV10" s="699"/>
      <c r="QKW10" s="699"/>
      <c r="QKX10" s="699"/>
      <c r="QKY10" s="699"/>
      <c r="QKZ10" s="699"/>
      <c r="QLA10" s="699"/>
      <c r="QLB10" s="699"/>
      <c r="QLC10" s="699"/>
      <c r="QLD10" s="699"/>
      <c r="QLE10" s="699"/>
      <c r="QLF10" s="699"/>
      <c r="QLG10" s="699"/>
      <c r="QLH10" s="699"/>
      <c r="QLI10" s="699"/>
      <c r="QLJ10" s="699"/>
      <c r="QLK10" s="699"/>
      <c r="QLL10" s="699"/>
      <c r="QLM10" s="699"/>
      <c r="QLN10" s="699"/>
      <c r="QLO10" s="699"/>
      <c r="QLP10" s="699"/>
      <c r="QLQ10" s="699"/>
      <c r="QLR10" s="699"/>
      <c r="QLS10" s="699"/>
      <c r="QLT10" s="699"/>
      <c r="QLU10" s="699"/>
      <c r="QLV10" s="699"/>
      <c r="QLW10" s="699"/>
      <c r="QLX10" s="699"/>
      <c r="QLY10" s="699"/>
      <c r="QLZ10" s="699"/>
      <c r="QMA10" s="699"/>
      <c r="QMB10" s="699"/>
      <c r="QMC10" s="699"/>
      <c r="QMD10" s="699"/>
      <c r="QME10" s="699"/>
      <c r="QMF10" s="699"/>
      <c r="QMG10" s="699"/>
      <c r="QMH10" s="699"/>
      <c r="QMI10" s="699"/>
      <c r="QMJ10" s="699"/>
      <c r="QMK10" s="699"/>
      <c r="QML10" s="699"/>
      <c r="QMM10" s="699"/>
      <c r="QMN10" s="699"/>
      <c r="QMO10" s="699"/>
      <c r="QMP10" s="699"/>
      <c r="QMQ10" s="699"/>
      <c r="QMR10" s="699"/>
      <c r="QMS10" s="699"/>
      <c r="QMT10" s="699"/>
      <c r="QMU10" s="699"/>
      <c r="QMV10" s="699"/>
      <c r="QMW10" s="699"/>
      <c r="QMX10" s="699"/>
      <c r="QMY10" s="699"/>
      <c r="QMZ10" s="699"/>
      <c r="QNA10" s="699"/>
      <c r="QNB10" s="699"/>
      <c r="QNC10" s="699"/>
      <c r="QND10" s="699"/>
      <c r="QNE10" s="699"/>
      <c r="QNF10" s="699"/>
      <c r="QNG10" s="699"/>
      <c r="QNH10" s="699"/>
      <c r="QNI10" s="699"/>
      <c r="QNJ10" s="699"/>
      <c r="QNK10" s="699"/>
      <c r="QNL10" s="699"/>
      <c r="QNM10" s="699"/>
      <c r="QNN10" s="699"/>
      <c r="QNO10" s="699"/>
      <c r="QNP10" s="699"/>
      <c r="QNQ10" s="699"/>
      <c r="QNR10" s="699"/>
      <c r="QNS10" s="699"/>
      <c r="QNT10" s="699"/>
      <c r="QNU10" s="699"/>
      <c r="QNV10" s="699"/>
      <c r="QNW10" s="699"/>
      <c r="QNX10" s="699"/>
      <c r="QNY10" s="699"/>
      <c r="QNZ10" s="699"/>
      <c r="QOA10" s="699"/>
      <c r="QOB10" s="699"/>
      <c r="QOC10" s="699"/>
      <c r="QOD10" s="699"/>
      <c r="QOE10" s="699"/>
      <c r="QOF10" s="699"/>
      <c r="QOG10" s="699"/>
      <c r="QOH10" s="699"/>
      <c r="QOI10" s="699"/>
      <c r="QOJ10" s="699"/>
      <c r="QOK10" s="699"/>
      <c r="QOL10" s="699"/>
      <c r="QOM10" s="699"/>
      <c r="QON10" s="699"/>
      <c r="QOO10" s="699"/>
      <c r="QOP10" s="699"/>
      <c r="QOQ10" s="699"/>
      <c r="QOR10" s="699"/>
      <c r="QOS10" s="699"/>
      <c r="QOT10" s="699"/>
      <c r="QOU10" s="699"/>
      <c r="QOV10" s="699"/>
      <c r="QOW10" s="699"/>
      <c r="QOX10" s="699"/>
      <c r="QOY10" s="699"/>
      <c r="QOZ10" s="699"/>
      <c r="QPA10" s="699"/>
      <c r="QPB10" s="699"/>
      <c r="QPC10" s="699"/>
      <c r="QPD10" s="699"/>
      <c r="QPE10" s="699"/>
      <c r="QPF10" s="699"/>
      <c r="QPG10" s="699"/>
      <c r="QPH10" s="699"/>
      <c r="QPI10" s="699"/>
      <c r="QPJ10" s="699"/>
      <c r="QPK10" s="699"/>
      <c r="QPL10" s="699"/>
      <c r="QPM10" s="699"/>
      <c r="QPN10" s="699"/>
      <c r="QPO10" s="699"/>
      <c r="QPP10" s="699"/>
      <c r="QPQ10" s="699"/>
      <c r="QPR10" s="699"/>
      <c r="QPS10" s="699"/>
      <c r="QPT10" s="699"/>
      <c r="QPU10" s="699"/>
      <c r="QPV10" s="699"/>
      <c r="QPW10" s="699"/>
      <c r="QPX10" s="699"/>
      <c r="QPY10" s="699"/>
      <c r="QPZ10" s="699"/>
      <c r="QQA10" s="699"/>
      <c r="QQB10" s="699"/>
      <c r="QQC10" s="699"/>
      <c r="QQD10" s="699"/>
      <c r="QQE10" s="699"/>
      <c r="QQF10" s="699"/>
      <c r="QQG10" s="699"/>
      <c r="QQH10" s="699"/>
      <c r="QQI10" s="699"/>
      <c r="QQJ10" s="699"/>
      <c r="QQK10" s="699"/>
      <c r="QQL10" s="699"/>
      <c r="QQM10" s="699"/>
      <c r="QQN10" s="699"/>
      <c r="QQO10" s="699"/>
      <c r="QQP10" s="699"/>
      <c r="QQQ10" s="699"/>
      <c r="QQR10" s="699"/>
      <c r="QQS10" s="699"/>
      <c r="QQT10" s="699"/>
      <c r="QQU10" s="699"/>
      <c r="QQV10" s="699"/>
      <c r="QQW10" s="699"/>
      <c r="QQX10" s="699"/>
      <c r="QQY10" s="699"/>
      <c r="QQZ10" s="699"/>
      <c r="QRA10" s="699"/>
      <c r="QRB10" s="699"/>
      <c r="QRC10" s="699"/>
      <c r="QRD10" s="699"/>
      <c r="QRE10" s="699"/>
      <c r="QRF10" s="699"/>
      <c r="QRG10" s="699"/>
      <c r="QRH10" s="699"/>
      <c r="QRI10" s="699"/>
      <c r="QRJ10" s="699"/>
      <c r="QRK10" s="699"/>
      <c r="QRL10" s="699"/>
      <c r="QRM10" s="699"/>
      <c r="QRN10" s="699"/>
      <c r="QRO10" s="699"/>
      <c r="QRP10" s="699"/>
      <c r="QRQ10" s="699"/>
      <c r="QRR10" s="699"/>
      <c r="QRS10" s="699"/>
      <c r="QRT10" s="699"/>
      <c r="QRU10" s="699"/>
      <c r="QRV10" s="699"/>
      <c r="QRW10" s="699"/>
      <c r="QRX10" s="699"/>
      <c r="QRY10" s="699"/>
      <c r="QRZ10" s="699"/>
      <c r="QSA10" s="699"/>
      <c r="QSB10" s="699"/>
      <c r="QSC10" s="699"/>
      <c r="QSD10" s="699"/>
      <c r="QSE10" s="699"/>
      <c r="QSF10" s="699"/>
      <c r="QSG10" s="699"/>
      <c r="QSH10" s="699"/>
      <c r="QSI10" s="699"/>
      <c r="QSJ10" s="699"/>
      <c r="QSK10" s="699"/>
      <c r="QSL10" s="699"/>
      <c r="QSM10" s="699"/>
      <c r="QSN10" s="699"/>
      <c r="QSO10" s="699"/>
      <c r="QSP10" s="699"/>
      <c r="QSQ10" s="699"/>
      <c r="QSR10" s="699"/>
      <c r="QSS10" s="699"/>
      <c r="QST10" s="699"/>
      <c r="QSU10" s="699"/>
      <c r="QSV10" s="699"/>
      <c r="QSW10" s="699"/>
      <c r="QSX10" s="699"/>
      <c r="QSY10" s="699"/>
      <c r="QSZ10" s="699"/>
      <c r="QTA10" s="699"/>
      <c r="QTB10" s="699"/>
      <c r="QTC10" s="699"/>
      <c r="QTD10" s="699"/>
      <c r="QTE10" s="699"/>
      <c r="QTF10" s="699"/>
      <c r="QTG10" s="699"/>
      <c r="QTH10" s="699"/>
      <c r="QTI10" s="699"/>
      <c r="QTJ10" s="699"/>
      <c r="QTK10" s="699"/>
      <c r="QTL10" s="699"/>
      <c r="QTM10" s="699"/>
      <c r="QTN10" s="699"/>
      <c r="QTO10" s="699"/>
      <c r="QTP10" s="699"/>
      <c r="QTQ10" s="699"/>
      <c r="QTR10" s="699"/>
      <c r="QTS10" s="699"/>
      <c r="QTT10" s="699"/>
      <c r="QTU10" s="699"/>
      <c r="QTV10" s="699"/>
      <c r="QTW10" s="699"/>
      <c r="QTX10" s="699"/>
      <c r="QTY10" s="699"/>
      <c r="QTZ10" s="699"/>
      <c r="QUA10" s="699"/>
      <c r="QUB10" s="699"/>
      <c r="QUC10" s="699"/>
      <c r="QUD10" s="699"/>
      <c r="QUE10" s="699"/>
      <c r="QUF10" s="699"/>
      <c r="QUG10" s="699"/>
      <c r="QUH10" s="699"/>
      <c r="QUI10" s="699"/>
      <c r="QUJ10" s="699"/>
      <c r="QUK10" s="699"/>
      <c r="QUL10" s="699"/>
      <c r="QUM10" s="699"/>
      <c r="QUN10" s="699"/>
      <c r="QUO10" s="699"/>
      <c r="QUP10" s="699"/>
      <c r="QUQ10" s="699"/>
      <c r="QUR10" s="699"/>
      <c r="QUS10" s="699"/>
      <c r="QUT10" s="699"/>
      <c r="QUU10" s="699"/>
      <c r="QUV10" s="699"/>
      <c r="QUW10" s="699"/>
      <c r="QUX10" s="699"/>
      <c r="QUY10" s="699"/>
      <c r="QUZ10" s="699"/>
      <c r="QVA10" s="699"/>
      <c r="QVB10" s="699"/>
      <c r="QVC10" s="699"/>
      <c r="QVD10" s="699"/>
      <c r="QVE10" s="699"/>
      <c r="QVF10" s="699"/>
      <c r="QVG10" s="699"/>
      <c r="QVH10" s="699"/>
      <c r="QVI10" s="699"/>
      <c r="QVJ10" s="699"/>
      <c r="QVK10" s="699"/>
      <c r="QVL10" s="699"/>
      <c r="QVM10" s="699"/>
      <c r="QVN10" s="699"/>
      <c r="QVO10" s="699"/>
      <c r="QVP10" s="699"/>
      <c r="QVQ10" s="699"/>
      <c r="QVR10" s="699"/>
      <c r="QVS10" s="699"/>
      <c r="QVT10" s="699"/>
      <c r="QVU10" s="699"/>
      <c r="QVV10" s="699"/>
      <c r="QVW10" s="699"/>
      <c r="QVX10" s="699"/>
      <c r="QVY10" s="699"/>
      <c r="QVZ10" s="699"/>
      <c r="QWA10" s="699"/>
      <c r="QWB10" s="699"/>
      <c r="QWC10" s="699"/>
      <c r="QWD10" s="699"/>
      <c r="QWE10" s="699"/>
      <c r="QWF10" s="699"/>
      <c r="QWG10" s="699"/>
      <c r="QWH10" s="699"/>
      <c r="QWI10" s="699"/>
      <c r="QWJ10" s="699"/>
      <c r="QWK10" s="699"/>
      <c r="QWL10" s="699"/>
      <c r="QWM10" s="699"/>
      <c r="QWN10" s="699"/>
      <c r="QWO10" s="699"/>
      <c r="QWP10" s="699"/>
      <c r="QWQ10" s="699"/>
      <c r="QWR10" s="699"/>
      <c r="QWS10" s="699"/>
      <c r="QWT10" s="699"/>
      <c r="QWU10" s="699"/>
      <c r="QWV10" s="699"/>
      <c r="QWW10" s="699"/>
      <c r="QWX10" s="699"/>
      <c r="QWY10" s="699"/>
      <c r="QWZ10" s="699"/>
      <c r="QXA10" s="699"/>
      <c r="QXB10" s="699"/>
      <c r="QXC10" s="699"/>
      <c r="QXD10" s="699"/>
      <c r="QXE10" s="699"/>
      <c r="QXF10" s="699"/>
      <c r="QXG10" s="699"/>
      <c r="QXH10" s="699"/>
      <c r="QXI10" s="699"/>
      <c r="QXJ10" s="699"/>
      <c r="QXK10" s="699"/>
      <c r="QXL10" s="699"/>
      <c r="QXM10" s="699"/>
      <c r="QXN10" s="699"/>
      <c r="QXO10" s="699"/>
      <c r="QXP10" s="699"/>
      <c r="QXQ10" s="699"/>
      <c r="QXR10" s="699"/>
      <c r="QXS10" s="699"/>
      <c r="QXT10" s="699"/>
      <c r="QXU10" s="699"/>
      <c r="QXV10" s="699"/>
      <c r="QXW10" s="699"/>
      <c r="QXX10" s="699"/>
      <c r="QXY10" s="699"/>
      <c r="QXZ10" s="699"/>
      <c r="QYA10" s="699"/>
      <c r="QYB10" s="699"/>
      <c r="QYC10" s="699"/>
      <c r="QYD10" s="699"/>
      <c r="QYE10" s="699"/>
      <c r="QYF10" s="699"/>
      <c r="QYG10" s="699"/>
      <c r="QYH10" s="699"/>
      <c r="QYI10" s="699"/>
      <c r="QYJ10" s="699"/>
      <c r="QYK10" s="699"/>
      <c r="QYL10" s="699"/>
      <c r="QYM10" s="699"/>
      <c r="QYN10" s="699"/>
      <c r="QYO10" s="699"/>
      <c r="QYP10" s="699"/>
      <c r="QYQ10" s="699"/>
      <c r="QYR10" s="699"/>
      <c r="QYS10" s="699"/>
      <c r="QYT10" s="699"/>
      <c r="QYU10" s="699"/>
      <c r="QYV10" s="699"/>
      <c r="QYW10" s="699"/>
      <c r="QYX10" s="699"/>
      <c r="QYY10" s="699"/>
      <c r="QYZ10" s="699"/>
      <c r="QZA10" s="699"/>
      <c r="QZB10" s="699"/>
      <c r="QZC10" s="699"/>
      <c r="QZD10" s="699"/>
      <c r="QZE10" s="699"/>
      <c r="QZF10" s="699"/>
      <c r="QZG10" s="699"/>
      <c r="QZH10" s="699"/>
      <c r="QZI10" s="699"/>
      <c r="QZJ10" s="699"/>
      <c r="QZK10" s="699"/>
      <c r="QZL10" s="699"/>
      <c r="QZM10" s="699"/>
      <c r="QZN10" s="699"/>
      <c r="QZO10" s="699"/>
      <c r="QZP10" s="699"/>
      <c r="QZQ10" s="699"/>
      <c r="QZR10" s="699"/>
      <c r="QZS10" s="699"/>
      <c r="QZT10" s="699"/>
      <c r="QZU10" s="699"/>
      <c r="QZV10" s="699"/>
      <c r="QZW10" s="699"/>
      <c r="QZX10" s="699"/>
      <c r="QZY10" s="699"/>
      <c r="QZZ10" s="699"/>
      <c r="RAA10" s="699"/>
      <c r="RAB10" s="699"/>
      <c r="RAC10" s="699"/>
      <c r="RAD10" s="699"/>
      <c r="RAE10" s="699"/>
      <c r="RAF10" s="699"/>
      <c r="RAG10" s="699"/>
      <c r="RAH10" s="699"/>
      <c r="RAI10" s="699"/>
      <c r="RAJ10" s="699"/>
      <c r="RAK10" s="699"/>
      <c r="RAL10" s="699"/>
      <c r="RAM10" s="699"/>
      <c r="RAN10" s="699"/>
      <c r="RAO10" s="699"/>
      <c r="RAP10" s="699"/>
      <c r="RAQ10" s="699"/>
      <c r="RAR10" s="699"/>
      <c r="RAS10" s="699"/>
      <c r="RAT10" s="699"/>
      <c r="RAU10" s="699"/>
      <c r="RAV10" s="699"/>
      <c r="RAW10" s="699"/>
      <c r="RAX10" s="699"/>
      <c r="RAY10" s="699"/>
      <c r="RAZ10" s="699"/>
      <c r="RBA10" s="699"/>
      <c r="RBB10" s="699"/>
      <c r="RBC10" s="699"/>
      <c r="RBD10" s="699"/>
      <c r="RBE10" s="699"/>
      <c r="RBF10" s="699"/>
      <c r="RBG10" s="699"/>
      <c r="RBH10" s="699"/>
      <c r="RBI10" s="699"/>
      <c r="RBJ10" s="699"/>
      <c r="RBK10" s="699"/>
      <c r="RBL10" s="699"/>
      <c r="RBM10" s="699"/>
      <c r="RBN10" s="699"/>
      <c r="RBO10" s="699"/>
      <c r="RBP10" s="699"/>
      <c r="RBQ10" s="699"/>
      <c r="RBR10" s="699"/>
      <c r="RBS10" s="699"/>
      <c r="RBT10" s="699"/>
      <c r="RBU10" s="699"/>
      <c r="RBV10" s="699"/>
      <c r="RBW10" s="699"/>
      <c r="RBX10" s="699"/>
      <c r="RBY10" s="699"/>
      <c r="RBZ10" s="699"/>
      <c r="RCA10" s="699"/>
      <c r="RCB10" s="699"/>
      <c r="RCC10" s="699"/>
      <c r="RCD10" s="699"/>
      <c r="RCE10" s="699"/>
      <c r="RCF10" s="699"/>
      <c r="RCG10" s="699"/>
      <c r="RCH10" s="699"/>
      <c r="RCI10" s="699"/>
      <c r="RCJ10" s="699"/>
      <c r="RCK10" s="699"/>
      <c r="RCL10" s="699"/>
      <c r="RCM10" s="699"/>
      <c r="RCN10" s="699"/>
      <c r="RCO10" s="699"/>
      <c r="RCP10" s="699"/>
      <c r="RCQ10" s="699"/>
      <c r="RCR10" s="699"/>
      <c r="RCS10" s="699"/>
      <c r="RCT10" s="699"/>
      <c r="RCU10" s="699"/>
      <c r="RCV10" s="699"/>
      <c r="RCW10" s="699"/>
      <c r="RCX10" s="699"/>
      <c r="RCY10" s="699"/>
      <c r="RCZ10" s="699"/>
      <c r="RDA10" s="699"/>
      <c r="RDB10" s="699"/>
      <c r="RDC10" s="699"/>
      <c r="RDD10" s="699"/>
      <c r="RDE10" s="699"/>
      <c r="RDF10" s="699"/>
      <c r="RDG10" s="699"/>
      <c r="RDH10" s="699"/>
      <c r="RDI10" s="699"/>
      <c r="RDJ10" s="699"/>
      <c r="RDK10" s="699"/>
      <c r="RDL10" s="699"/>
      <c r="RDM10" s="699"/>
      <c r="RDN10" s="699"/>
      <c r="RDO10" s="699"/>
      <c r="RDP10" s="699"/>
      <c r="RDQ10" s="699"/>
      <c r="RDR10" s="699"/>
      <c r="RDS10" s="699"/>
      <c r="RDT10" s="699"/>
      <c r="RDU10" s="699"/>
      <c r="RDV10" s="699"/>
      <c r="RDW10" s="699"/>
      <c r="RDX10" s="699"/>
      <c r="RDY10" s="699"/>
      <c r="RDZ10" s="699"/>
      <c r="REA10" s="699"/>
      <c r="REB10" s="699"/>
      <c r="REC10" s="699"/>
      <c r="RED10" s="699"/>
      <c r="REE10" s="699"/>
      <c r="REF10" s="699"/>
      <c r="REG10" s="699"/>
      <c r="REH10" s="699"/>
      <c r="REI10" s="699"/>
      <c r="REJ10" s="699"/>
      <c r="REK10" s="699"/>
      <c r="REL10" s="699"/>
      <c r="REM10" s="699"/>
      <c r="REN10" s="699"/>
      <c r="REO10" s="699"/>
      <c r="REP10" s="699"/>
      <c r="REQ10" s="699"/>
      <c r="RER10" s="699"/>
      <c r="RES10" s="699"/>
      <c r="RET10" s="699"/>
      <c r="REU10" s="699"/>
      <c r="REV10" s="699"/>
      <c r="REW10" s="699"/>
      <c r="REX10" s="699"/>
      <c r="REY10" s="699"/>
      <c r="REZ10" s="699"/>
      <c r="RFA10" s="699"/>
      <c r="RFB10" s="699"/>
      <c r="RFC10" s="699"/>
      <c r="RFD10" s="699"/>
      <c r="RFE10" s="699"/>
      <c r="RFF10" s="699"/>
      <c r="RFG10" s="699"/>
      <c r="RFH10" s="699"/>
      <c r="RFI10" s="699"/>
      <c r="RFJ10" s="699"/>
      <c r="RFK10" s="699"/>
      <c r="RFL10" s="699"/>
      <c r="RFM10" s="699"/>
      <c r="RFN10" s="699"/>
      <c r="RFO10" s="699"/>
      <c r="RFP10" s="699"/>
      <c r="RFQ10" s="699"/>
      <c r="RFR10" s="699"/>
      <c r="RFS10" s="699"/>
      <c r="RFT10" s="699"/>
      <c r="RFU10" s="699"/>
      <c r="RFV10" s="699"/>
      <c r="RFW10" s="699"/>
      <c r="RFX10" s="699"/>
      <c r="RFY10" s="699"/>
      <c r="RFZ10" s="699"/>
      <c r="RGA10" s="699"/>
      <c r="RGB10" s="699"/>
      <c r="RGC10" s="699"/>
      <c r="RGD10" s="699"/>
      <c r="RGE10" s="699"/>
      <c r="RGF10" s="699"/>
      <c r="RGG10" s="699"/>
      <c r="RGH10" s="699"/>
      <c r="RGI10" s="699"/>
      <c r="RGJ10" s="699"/>
      <c r="RGK10" s="699"/>
      <c r="RGL10" s="699"/>
      <c r="RGM10" s="699"/>
      <c r="RGN10" s="699"/>
      <c r="RGO10" s="699"/>
      <c r="RGP10" s="699"/>
      <c r="RGQ10" s="699"/>
      <c r="RGR10" s="699"/>
      <c r="RGS10" s="699"/>
      <c r="RGT10" s="699"/>
      <c r="RGU10" s="699"/>
      <c r="RGV10" s="699"/>
      <c r="RGW10" s="699"/>
      <c r="RGX10" s="699"/>
      <c r="RGY10" s="699"/>
      <c r="RGZ10" s="699"/>
      <c r="RHA10" s="699"/>
      <c r="RHB10" s="699"/>
      <c r="RHC10" s="699"/>
      <c r="RHD10" s="699"/>
      <c r="RHE10" s="699"/>
      <c r="RHF10" s="699"/>
      <c r="RHG10" s="699"/>
      <c r="RHH10" s="699"/>
      <c r="RHI10" s="699"/>
      <c r="RHJ10" s="699"/>
      <c r="RHK10" s="699"/>
      <c r="RHL10" s="699"/>
      <c r="RHM10" s="699"/>
      <c r="RHN10" s="699"/>
      <c r="RHO10" s="699"/>
      <c r="RHP10" s="699"/>
      <c r="RHQ10" s="699"/>
      <c r="RHR10" s="699"/>
      <c r="RHS10" s="699"/>
      <c r="RHT10" s="699"/>
      <c r="RHU10" s="699"/>
      <c r="RHV10" s="699"/>
      <c r="RHW10" s="699"/>
      <c r="RHX10" s="699"/>
      <c r="RHY10" s="699"/>
      <c r="RHZ10" s="699"/>
      <c r="RIA10" s="699"/>
      <c r="RIB10" s="699"/>
      <c r="RIC10" s="699"/>
      <c r="RID10" s="699"/>
      <c r="RIE10" s="699"/>
      <c r="RIF10" s="699"/>
      <c r="RIG10" s="699"/>
      <c r="RIH10" s="699"/>
      <c r="RII10" s="699"/>
      <c r="RIJ10" s="699"/>
      <c r="RIK10" s="699"/>
      <c r="RIL10" s="699"/>
      <c r="RIM10" s="699"/>
      <c r="RIN10" s="699"/>
      <c r="RIO10" s="699"/>
      <c r="RIP10" s="699"/>
      <c r="RIQ10" s="699"/>
      <c r="RIR10" s="699"/>
      <c r="RIS10" s="699"/>
      <c r="RIT10" s="699"/>
      <c r="RIU10" s="699"/>
      <c r="RIV10" s="699"/>
      <c r="RIW10" s="699"/>
      <c r="RIX10" s="699"/>
      <c r="RIY10" s="699"/>
      <c r="RIZ10" s="699"/>
      <c r="RJA10" s="699"/>
      <c r="RJB10" s="699"/>
      <c r="RJC10" s="699"/>
      <c r="RJD10" s="699"/>
      <c r="RJE10" s="699"/>
      <c r="RJF10" s="699"/>
      <c r="RJG10" s="699"/>
      <c r="RJH10" s="699"/>
      <c r="RJI10" s="699"/>
      <c r="RJJ10" s="699"/>
      <c r="RJK10" s="699"/>
      <c r="RJL10" s="699"/>
      <c r="RJM10" s="699"/>
      <c r="RJN10" s="699"/>
      <c r="RJO10" s="699"/>
      <c r="RJP10" s="699"/>
      <c r="RJQ10" s="699"/>
      <c r="RJR10" s="699"/>
      <c r="RJS10" s="699"/>
      <c r="RJT10" s="699"/>
      <c r="RJU10" s="699"/>
      <c r="RJV10" s="699"/>
      <c r="RJW10" s="699"/>
      <c r="RJX10" s="699"/>
      <c r="RJY10" s="699"/>
      <c r="RJZ10" s="699"/>
      <c r="RKA10" s="699"/>
      <c r="RKB10" s="699"/>
      <c r="RKC10" s="699"/>
      <c r="RKD10" s="699"/>
      <c r="RKE10" s="699"/>
      <c r="RKF10" s="699"/>
      <c r="RKG10" s="699"/>
      <c r="RKH10" s="699"/>
      <c r="RKI10" s="699"/>
      <c r="RKJ10" s="699"/>
      <c r="RKK10" s="699"/>
      <c r="RKL10" s="699"/>
      <c r="RKM10" s="699"/>
      <c r="RKN10" s="699"/>
      <c r="RKO10" s="699"/>
      <c r="RKP10" s="699"/>
      <c r="RKQ10" s="699"/>
      <c r="RKR10" s="699"/>
      <c r="RKS10" s="699"/>
      <c r="RKT10" s="699"/>
      <c r="RKU10" s="699"/>
      <c r="RKV10" s="699"/>
      <c r="RKW10" s="699"/>
      <c r="RKX10" s="699"/>
      <c r="RKY10" s="699"/>
      <c r="RKZ10" s="699"/>
      <c r="RLA10" s="699"/>
      <c r="RLB10" s="699"/>
      <c r="RLC10" s="699"/>
      <c r="RLD10" s="699"/>
      <c r="RLE10" s="699"/>
      <c r="RLF10" s="699"/>
      <c r="RLG10" s="699"/>
      <c r="RLH10" s="699"/>
      <c r="RLI10" s="699"/>
      <c r="RLJ10" s="699"/>
      <c r="RLK10" s="699"/>
      <c r="RLL10" s="699"/>
      <c r="RLM10" s="699"/>
      <c r="RLN10" s="699"/>
      <c r="RLO10" s="699"/>
      <c r="RLP10" s="699"/>
      <c r="RLQ10" s="699"/>
      <c r="RLR10" s="699"/>
      <c r="RLS10" s="699"/>
      <c r="RLT10" s="699"/>
      <c r="RLU10" s="699"/>
      <c r="RLV10" s="699"/>
      <c r="RLW10" s="699"/>
      <c r="RLX10" s="699"/>
      <c r="RLY10" s="699"/>
      <c r="RLZ10" s="699"/>
      <c r="RMA10" s="699"/>
      <c r="RMB10" s="699"/>
      <c r="RMC10" s="699"/>
      <c r="RMD10" s="699"/>
      <c r="RME10" s="699"/>
      <c r="RMF10" s="699"/>
      <c r="RMG10" s="699"/>
      <c r="RMH10" s="699"/>
      <c r="RMI10" s="699"/>
      <c r="RMJ10" s="699"/>
      <c r="RMK10" s="699"/>
      <c r="RML10" s="699"/>
      <c r="RMM10" s="699"/>
      <c r="RMN10" s="699"/>
      <c r="RMO10" s="699"/>
      <c r="RMP10" s="699"/>
      <c r="RMQ10" s="699"/>
      <c r="RMR10" s="699"/>
      <c r="RMS10" s="699"/>
      <c r="RMT10" s="699"/>
      <c r="RMU10" s="699"/>
      <c r="RMV10" s="699"/>
      <c r="RMW10" s="699"/>
      <c r="RMX10" s="699"/>
      <c r="RMY10" s="699"/>
      <c r="RMZ10" s="699"/>
      <c r="RNA10" s="699"/>
      <c r="RNB10" s="699"/>
      <c r="RNC10" s="699"/>
      <c r="RND10" s="699"/>
      <c r="RNE10" s="699"/>
      <c r="RNF10" s="699"/>
      <c r="RNG10" s="699"/>
      <c r="RNH10" s="699"/>
      <c r="RNI10" s="699"/>
      <c r="RNJ10" s="699"/>
      <c r="RNK10" s="699"/>
      <c r="RNL10" s="699"/>
      <c r="RNM10" s="699"/>
      <c r="RNN10" s="699"/>
      <c r="RNO10" s="699"/>
      <c r="RNP10" s="699"/>
      <c r="RNQ10" s="699"/>
      <c r="RNR10" s="699"/>
      <c r="RNS10" s="699"/>
      <c r="RNT10" s="699"/>
      <c r="RNU10" s="699"/>
      <c r="RNV10" s="699"/>
      <c r="RNW10" s="699"/>
      <c r="RNX10" s="699"/>
      <c r="RNY10" s="699"/>
      <c r="RNZ10" s="699"/>
      <c r="ROA10" s="699"/>
      <c r="ROB10" s="699"/>
      <c r="ROC10" s="699"/>
      <c r="ROD10" s="699"/>
      <c r="ROE10" s="699"/>
      <c r="ROF10" s="699"/>
      <c r="ROG10" s="699"/>
      <c r="ROH10" s="699"/>
      <c r="ROI10" s="699"/>
      <c r="ROJ10" s="699"/>
      <c r="ROK10" s="699"/>
      <c r="ROL10" s="699"/>
      <c r="ROM10" s="699"/>
      <c r="RON10" s="699"/>
      <c r="ROO10" s="699"/>
      <c r="ROP10" s="699"/>
      <c r="ROQ10" s="699"/>
      <c r="ROR10" s="699"/>
      <c r="ROS10" s="699"/>
      <c r="ROT10" s="699"/>
      <c r="ROU10" s="699"/>
      <c r="ROV10" s="699"/>
      <c r="ROW10" s="699"/>
      <c r="ROX10" s="699"/>
      <c r="ROY10" s="699"/>
      <c r="ROZ10" s="699"/>
      <c r="RPA10" s="699"/>
      <c r="RPB10" s="699"/>
      <c r="RPC10" s="699"/>
      <c r="RPD10" s="699"/>
      <c r="RPE10" s="699"/>
      <c r="RPF10" s="699"/>
      <c r="RPG10" s="699"/>
      <c r="RPH10" s="699"/>
      <c r="RPI10" s="699"/>
      <c r="RPJ10" s="699"/>
      <c r="RPK10" s="699"/>
      <c r="RPL10" s="699"/>
      <c r="RPM10" s="699"/>
      <c r="RPN10" s="699"/>
      <c r="RPO10" s="699"/>
      <c r="RPP10" s="699"/>
      <c r="RPQ10" s="699"/>
      <c r="RPR10" s="699"/>
      <c r="RPS10" s="699"/>
      <c r="RPT10" s="699"/>
      <c r="RPU10" s="699"/>
      <c r="RPV10" s="699"/>
      <c r="RPW10" s="699"/>
      <c r="RPX10" s="699"/>
      <c r="RPY10" s="699"/>
      <c r="RPZ10" s="699"/>
      <c r="RQA10" s="699"/>
      <c r="RQB10" s="699"/>
      <c r="RQC10" s="699"/>
      <c r="RQD10" s="699"/>
      <c r="RQE10" s="699"/>
      <c r="RQF10" s="699"/>
      <c r="RQG10" s="699"/>
      <c r="RQH10" s="699"/>
      <c r="RQI10" s="699"/>
      <c r="RQJ10" s="699"/>
      <c r="RQK10" s="699"/>
      <c r="RQL10" s="699"/>
      <c r="RQM10" s="699"/>
      <c r="RQN10" s="699"/>
      <c r="RQO10" s="699"/>
      <c r="RQP10" s="699"/>
      <c r="RQQ10" s="699"/>
      <c r="RQR10" s="699"/>
      <c r="RQS10" s="699"/>
      <c r="RQT10" s="699"/>
      <c r="RQU10" s="699"/>
      <c r="RQV10" s="699"/>
      <c r="RQW10" s="699"/>
      <c r="RQX10" s="699"/>
      <c r="RQY10" s="699"/>
      <c r="RQZ10" s="699"/>
      <c r="RRA10" s="699"/>
      <c r="RRB10" s="699"/>
      <c r="RRC10" s="699"/>
      <c r="RRD10" s="699"/>
      <c r="RRE10" s="699"/>
      <c r="RRF10" s="699"/>
      <c r="RRG10" s="699"/>
      <c r="RRH10" s="699"/>
      <c r="RRI10" s="699"/>
      <c r="RRJ10" s="699"/>
      <c r="RRK10" s="699"/>
      <c r="RRL10" s="699"/>
      <c r="RRM10" s="699"/>
      <c r="RRN10" s="699"/>
      <c r="RRO10" s="699"/>
      <c r="RRP10" s="699"/>
      <c r="RRQ10" s="699"/>
      <c r="RRR10" s="699"/>
      <c r="RRS10" s="699"/>
      <c r="RRT10" s="699"/>
      <c r="RRU10" s="699"/>
      <c r="RRV10" s="699"/>
      <c r="RRW10" s="699"/>
      <c r="RRX10" s="699"/>
      <c r="RRY10" s="699"/>
      <c r="RRZ10" s="699"/>
      <c r="RSA10" s="699"/>
      <c r="RSB10" s="699"/>
      <c r="RSC10" s="699"/>
      <c r="RSD10" s="699"/>
      <c r="RSE10" s="699"/>
      <c r="RSF10" s="699"/>
      <c r="RSG10" s="699"/>
      <c r="RSH10" s="699"/>
      <c r="RSI10" s="699"/>
      <c r="RSJ10" s="699"/>
      <c r="RSK10" s="699"/>
      <c r="RSL10" s="699"/>
      <c r="RSM10" s="699"/>
      <c r="RSN10" s="699"/>
      <c r="RSO10" s="699"/>
      <c r="RSP10" s="699"/>
      <c r="RSQ10" s="699"/>
      <c r="RSR10" s="699"/>
      <c r="RSS10" s="699"/>
      <c r="RST10" s="699"/>
      <c r="RSU10" s="699"/>
      <c r="RSV10" s="699"/>
      <c r="RSW10" s="699"/>
      <c r="RSX10" s="699"/>
      <c r="RSY10" s="699"/>
      <c r="RSZ10" s="699"/>
      <c r="RTA10" s="699"/>
      <c r="RTB10" s="699"/>
      <c r="RTC10" s="699"/>
      <c r="RTD10" s="699"/>
      <c r="RTE10" s="699"/>
      <c r="RTF10" s="699"/>
      <c r="RTG10" s="699"/>
      <c r="RTH10" s="699"/>
      <c r="RTI10" s="699"/>
      <c r="RTJ10" s="699"/>
      <c r="RTK10" s="699"/>
      <c r="RTL10" s="699"/>
      <c r="RTM10" s="699"/>
      <c r="RTN10" s="699"/>
      <c r="RTO10" s="699"/>
      <c r="RTP10" s="699"/>
      <c r="RTQ10" s="699"/>
      <c r="RTR10" s="699"/>
      <c r="RTS10" s="699"/>
      <c r="RTT10" s="699"/>
      <c r="RTU10" s="699"/>
      <c r="RTV10" s="699"/>
      <c r="RTW10" s="699"/>
      <c r="RTX10" s="699"/>
      <c r="RTY10" s="699"/>
      <c r="RTZ10" s="699"/>
      <c r="RUA10" s="699"/>
      <c r="RUB10" s="699"/>
      <c r="RUC10" s="699"/>
      <c r="RUD10" s="699"/>
      <c r="RUE10" s="699"/>
      <c r="RUF10" s="699"/>
      <c r="RUG10" s="699"/>
      <c r="RUH10" s="699"/>
      <c r="RUI10" s="699"/>
      <c r="RUJ10" s="699"/>
      <c r="RUK10" s="699"/>
      <c r="RUL10" s="699"/>
      <c r="RUM10" s="699"/>
      <c r="RUN10" s="699"/>
      <c r="RUO10" s="699"/>
      <c r="RUP10" s="699"/>
      <c r="RUQ10" s="699"/>
      <c r="RUR10" s="699"/>
      <c r="RUS10" s="699"/>
      <c r="RUT10" s="699"/>
      <c r="RUU10" s="699"/>
      <c r="RUV10" s="699"/>
      <c r="RUW10" s="699"/>
      <c r="RUX10" s="699"/>
      <c r="RUY10" s="699"/>
      <c r="RUZ10" s="699"/>
      <c r="RVA10" s="699"/>
      <c r="RVB10" s="699"/>
      <c r="RVC10" s="699"/>
      <c r="RVD10" s="699"/>
      <c r="RVE10" s="699"/>
      <c r="RVF10" s="699"/>
      <c r="RVG10" s="699"/>
      <c r="RVH10" s="699"/>
      <c r="RVI10" s="699"/>
      <c r="RVJ10" s="699"/>
      <c r="RVK10" s="699"/>
      <c r="RVL10" s="699"/>
      <c r="RVM10" s="699"/>
      <c r="RVN10" s="699"/>
      <c r="RVO10" s="699"/>
      <c r="RVP10" s="699"/>
      <c r="RVQ10" s="699"/>
      <c r="RVR10" s="699"/>
      <c r="RVS10" s="699"/>
      <c r="RVT10" s="699"/>
      <c r="RVU10" s="699"/>
      <c r="RVV10" s="699"/>
      <c r="RVW10" s="699"/>
      <c r="RVX10" s="699"/>
      <c r="RVY10" s="699"/>
      <c r="RVZ10" s="699"/>
      <c r="RWA10" s="699"/>
      <c r="RWB10" s="699"/>
      <c r="RWC10" s="699"/>
      <c r="RWD10" s="699"/>
      <c r="RWE10" s="699"/>
      <c r="RWF10" s="699"/>
      <c r="RWG10" s="699"/>
      <c r="RWH10" s="699"/>
      <c r="RWI10" s="699"/>
      <c r="RWJ10" s="699"/>
      <c r="RWK10" s="699"/>
      <c r="RWL10" s="699"/>
      <c r="RWM10" s="699"/>
      <c r="RWN10" s="699"/>
      <c r="RWO10" s="699"/>
      <c r="RWP10" s="699"/>
      <c r="RWQ10" s="699"/>
      <c r="RWR10" s="699"/>
      <c r="RWS10" s="699"/>
      <c r="RWT10" s="699"/>
      <c r="RWU10" s="699"/>
      <c r="RWV10" s="699"/>
      <c r="RWW10" s="699"/>
      <c r="RWX10" s="699"/>
      <c r="RWY10" s="699"/>
      <c r="RWZ10" s="699"/>
      <c r="RXA10" s="699"/>
      <c r="RXB10" s="699"/>
      <c r="RXC10" s="699"/>
      <c r="RXD10" s="699"/>
      <c r="RXE10" s="699"/>
      <c r="RXF10" s="699"/>
      <c r="RXG10" s="699"/>
      <c r="RXH10" s="699"/>
      <c r="RXI10" s="699"/>
      <c r="RXJ10" s="699"/>
      <c r="RXK10" s="699"/>
      <c r="RXL10" s="699"/>
      <c r="RXM10" s="699"/>
      <c r="RXN10" s="699"/>
      <c r="RXO10" s="699"/>
      <c r="RXP10" s="699"/>
      <c r="RXQ10" s="699"/>
      <c r="RXR10" s="699"/>
      <c r="RXS10" s="699"/>
      <c r="RXT10" s="699"/>
      <c r="RXU10" s="699"/>
      <c r="RXV10" s="699"/>
      <c r="RXW10" s="699"/>
      <c r="RXX10" s="699"/>
      <c r="RXY10" s="699"/>
      <c r="RXZ10" s="699"/>
      <c r="RYA10" s="699"/>
      <c r="RYB10" s="699"/>
      <c r="RYC10" s="699"/>
      <c r="RYD10" s="699"/>
      <c r="RYE10" s="699"/>
      <c r="RYF10" s="699"/>
      <c r="RYG10" s="699"/>
      <c r="RYH10" s="699"/>
      <c r="RYI10" s="699"/>
      <c r="RYJ10" s="699"/>
      <c r="RYK10" s="699"/>
      <c r="RYL10" s="699"/>
      <c r="RYM10" s="699"/>
      <c r="RYN10" s="699"/>
      <c r="RYO10" s="699"/>
      <c r="RYP10" s="699"/>
      <c r="RYQ10" s="699"/>
      <c r="RYR10" s="699"/>
      <c r="RYS10" s="699"/>
      <c r="RYT10" s="699"/>
      <c r="RYU10" s="699"/>
      <c r="RYV10" s="699"/>
      <c r="RYW10" s="699"/>
      <c r="RYX10" s="699"/>
      <c r="RYY10" s="699"/>
      <c r="RYZ10" s="699"/>
      <c r="RZA10" s="699"/>
      <c r="RZB10" s="699"/>
      <c r="RZC10" s="699"/>
      <c r="RZD10" s="699"/>
      <c r="RZE10" s="699"/>
      <c r="RZF10" s="699"/>
      <c r="RZG10" s="699"/>
      <c r="RZH10" s="699"/>
      <c r="RZI10" s="699"/>
      <c r="RZJ10" s="699"/>
      <c r="RZK10" s="699"/>
      <c r="RZL10" s="699"/>
      <c r="RZM10" s="699"/>
      <c r="RZN10" s="699"/>
      <c r="RZO10" s="699"/>
      <c r="RZP10" s="699"/>
      <c r="RZQ10" s="699"/>
      <c r="RZR10" s="699"/>
      <c r="RZS10" s="699"/>
      <c r="RZT10" s="699"/>
      <c r="RZU10" s="699"/>
      <c r="RZV10" s="699"/>
      <c r="RZW10" s="699"/>
      <c r="RZX10" s="699"/>
      <c r="RZY10" s="699"/>
      <c r="RZZ10" s="699"/>
      <c r="SAA10" s="699"/>
      <c r="SAB10" s="699"/>
      <c r="SAC10" s="699"/>
      <c r="SAD10" s="699"/>
      <c r="SAE10" s="699"/>
      <c r="SAF10" s="699"/>
      <c r="SAG10" s="699"/>
      <c r="SAH10" s="699"/>
      <c r="SAI10" s="699"/>
      <c r="SAJ10" s="699"/>
      <c r="SAK10" s="699"/>
      <c r="SAL10" s="699"/>
      <c r="SAM10" s="699"/>
      <c r="SAN10" s="699"/>
      <c r="SAO10" s="699"/>
      <c r="SAP10" s="699"/>
      <c r="SAQ10" s="699"/>
      <c r="SAR10" s="699"/>
      <c r="SAS10" s="699"/>
      <c r="SAT10" s="699"/>
      <c r="SAU10" s="699"/>
      <c r="SAV10" s="699"/>
      <c r="SAW10" s="699"/>
      <c r="SAX10" s="699"/>
      <c r="SAY10" s="699"/>
      <c r="SAZ10" s="699"/>
      <c r="SBA10" s="699"/>
      <c r="SBB10" s="699"/>
      <c r="SBC10" s="699"/>
      <c r="SBD10" s="699"/>
      <c r="SBE10" s="699"/>
      <c r="SBF10" s="699"/>
      <c r="SBG10" s="699"/>
      <c r="SBH10" s="699"/>
      <c r="SBI10" s="699"/>
      <c r="SBJ10" s="699"/>
      <c r="SBK10" s="699"/>
      <c r="SBL10" s="699"/>
      <c r="SBM10" s="699"/>
      <c r="SBN10" s="699"/>
      <c r="SBO10" s="699"/>
      <c r="SBP10" s="699"/>
      <c r="SBQ10" s="699"/>
      <c r="SBR10" s="699"/>
      <c r="SBS10" s="699"/>
      <c r="SBT10" s="699"/>
      <c r="SBU10" s="699"/>
      <c r="SBV10" s="699"/>
      <c r="SBW10" s="699"/>
      <c r="SBX10" s="699"/>
      <c r="SBY10" s="699"/>
      <c r="SBZ10" s="699"/>
      <c r="SCA10" s="699"/>
      <c r="SCB10" s="699"/>
      <c r="SCC10" s="699"/>
      <c r="SCD10" s="699"/>
      <c r="SCE10" s="699"/>
      <c r="SCF10" s="699"/>
      <c r="SCG10" s="699"/>
      <c r="SCH10" s="699"/>
      <c r="SCI10" s="699"/>
      <c r="SCJ10" s="699"/>
      <c r="SCK10" s="699"/>
      <c r="SCL10" s="699"/>
      <c r="SCM10" s="699"/>
      <c r="SCN10" s="699"/>
      <c r="SCO10" s="699"/>
      <c r="SCP10" s="699"/>
      <c r="SCQ10" s="699"/>
      <c r="SCR10" s="699"/>
      <c r="SCS10" s="699"/>
      <c r="SCT10" s="699"/>
      <c r="SCU10" s="699"/>
      <c r="SCV10" s="699"/>
      <c r="SCW10" s="699"/>
      <c r="SCX10" s="699"/>
      <c r="SCY10" s="699"/>
      <c r="SCZ10" s="699"/>
      <c r="SDA10" s="699"/>
      <c r="SDB10" s="699"/>
      <c r="SDC10" s="699"/>
      <c r="SDD10" s="699"/>
      <c r="SDE10" s="699"/>
      <c r="SDF10" s="699"/>
      <c r="SDG10" s="699"/>
      <c r="SDH10" s="699"/>
      <c r="SDI10" s="699"/>
      <c r="SDJ10" s="699"/>
      <c r="SDK10" s="699"/>
      <c r="SDL10" s="699"/>
      <c r="SDM10" s="699"/>
      <c r="SDN10" s="699"/>
      <c r="SDO10" s="699"/>
      <c r="SDP10" s="699"/>
      <c r="SDQ10" s="699"/>
      <c r="SDR10" s="699"/>
      <c r="SDS10" s="699"/>
      <c r="SDT10" s="699"/>
      <c r="SDU10" s="699"/>
      <c r="SDV10" s="699"/>
      <c r="SDW10" s="699"/>
      <c r="SDX10" s="699"/>
      <c r="SDY10" s="699"/>
      <c r="SDZ10" s="699"/>
      <c r="SEA10" s="699"/>
      <c r="SEB10" s="699"/>
      <c r="SEC10" s="699"/>
      <c r="SED10" s="699"/>
      <c r="SEE10" s="699"/>
      <c r="SEF10" s="699"/>
      <c r="SEG10" s="699"/>
      <c r="SEH10" s="699"/>
      <c r="SEI10" s="699"/>
      <c r="SEJ10" s="699"/>
      <c r="SEK10" s="699"/>
      <c r="SEL10" s="699"/>
      <c r="SEM10" s="699"/>
      <c r="SEN10" s="699"/>
      <c r="SEO10" s="699"/>
      <c r="SEP10" s="699"/>
      <c r="SEQ10" s="699"/>
      <c r="SER10" s="699"/>
      <c r="SES10" s="699"/>
      <c r="SET10" s="699"/>
      <c r="SEU10" s="699"/>
      <c r="SEV10" s="699"/>
      <c r="SEW10" s="699"/>
      <c r="SEX10" s="699"/>
      <c r="SEY10" s="699"/>
      <c r="SEZ10" s="699"/>
      <c r="SFA10" s="699"/>
      <c r="SFB10" s="699"/>
      <c r="SFC10" s="699"/>
      <c r="SFD10" s="699"/>
      <c r="SFE10" s="699"/>
      <c r="SFF10" s="699"/>
      <c r="SFG10" s="699"/>
      <c r="SFH10" s="699"/>
      <c r="SFI10" s="699"/>
      <c r="SFJ10" s="699"/>
      <c r="SFK10" s="699"/>
      <c r="SFL10" s="699"/>
      <c r="SFM10" s="699"/>
      <c r="SFN10" s="699"/>
      <c r="SFO10" s="699"/>
      <c r="SFP10" s="699"/>
      <c r="SFQ10" s="699"/>
      <c r="SFR10" s="699"/>
      <c r="SFS10" s="699"/>
      <c r="SFT10" s="699"/>
      <c r="SFU10" s="699"/>
      <c r="SFV10" s="699"/>
      <c r="SFW10" s="699"/>
      <c r="SFX10" s="699"/>
      <c r="SFY10" s="699"/>
      <c r="SFZ10" s="699"/>
      <c r="SGA10" s="699"/>
      <c r="SGB10" s="699"/>
      <c r="SGC10" s="699"/>
      <c r="SGD10" s="699"/>
      <c r="SGE10" s="699"/>
      <c r="SGF10" s="699"/>
      <c r="SGG10" s="699"/>
      <c r="SGH10" s="699"/>
      <c r="SGI10" s="699"/>
      <c r="SGJ10" s="699"/>
      <c r="SGK10" s="699"/>
      <c r="SGL10" s="699"/>
      <c r="SGM10" s="699"/>
      <c r="SGN10" s="699"/>
      <c r="SGO10" s="699"/>
      <c r="SGP10" s="699"/>
      <c r="SGQ10" s="699"/>
      <c r="SGR10" s="699"/>
      <c r="SGS10" s="699"/>
      <c r="SGT10" s="699"/>
      <c r="SGU10" s="699"/>
      <c r="SGV10" s="699"/>
      <c r="SGW10" s="699"/>
      <c r="SGX10" s="699"/>
      <c r="SGY10" s="699"/>
      <c r="SGZ10" s="699"/>
      <c r="SHA10" s="699"/>
      <c r="SHB10" s="699"/>
      <c r="SHC10" s="699"/>
      <c r="SHD10" s="699"/>
      <c r="SHE10" s="699"/>
      <c r="SHF10" s="699"/>
      <c r="SHG10" s="699"/>
      <c r="SHH10" s="699"/>
      <c r="SHI10" s="699"/>
      <c r="SHJ10" s="699"/>
      <c r="SHK10" s="699"/>
      <c r="SHL10" s="699"/>
      <c r="SHM10" s="699"/>
      <c r="SHN10" s="699"/>
      <c r="SHO10" s="699"/>
      <c r="SHP10" s="699"/>
      <c r="SHQ10" s="699"/>
      <c r="SHR10" s="699"/>
      <c r="SHS10" s="699"/>
      <c r="SHT10" s="699"/>
      <c r="SHU10" s="699"/>
      <c r="SHV10" s="699"/>
      <c r="SHW10" s="699"/>
      <c r="SHX10" s="699"/>
      <c r="SHY10" s="699"/>
      <c r="SHZ10" s="699"/>
      <c r="SIA10" s="699"/>
      <c r="SIB10" s="699"/>
      <c r="SIC10" s="699"/>
      <c r="SID10" s="699"/>
      <c r="SIE10" s="699"/>
      <c r="SIF10" s="699"/>
      <c r="SIG10" s="699"/>
      <c r="SIH10" s="699"/>
      <c r="SII10" s="699"/>
      <c r="SIJ10" s="699"/>
      <c r="SIK10" s="699"/>
      <c r="SIL10" s="699"/>
      <c r="SIM10" s="699"/>
      <c r="SIN10" s="699"/>
      <c r="SIO10" s="699"/>
      <c r="SIP10" s="699"/>
      <c r="SIQ10" s="699"/>
      <c r="SIR10" s="699"/>
      <c r="SIS10" s="699"/>
      <c r="SIT10" s="699"/>
      <c r="SIU10" s="699"/>
      <c r="SIV10" s="699"/>
      <c r="SIW10" s="699"/>
      <c r="SIX10" s="699"/>
      <c r="SIY10" s="699"/>
      <c r="SIZ10" s="699"/>
      <c r="SJA10" s="699"/>
      <c r="SJB10" s="699"/>
      <c r="SJC10" s="699"/>
      <c r="SJD10" s="699"/>
      <c r="SJE10" s="699"/>
      <c r="SJF10" s="699"/>
      <c r="SJG10" s="699"/>
      <c r="SJH10" s="699"/>
      <c r="SJI10" s="699"/>
      <c r="SJJ10" s="699"/>
      <c r="SJK10" s="699"/>
      <c r="SJL10" s="699"/>
      <c r="SJM10" s="699"/>
      <c r="SJN10" s="699"/>
      <c r="SJO10" s="699"/>
      <c r="SJP10" s="699"/>
      <c r="SJQ10" s="699"/>
      <c r="SJR10" s="699"/>
      <c r="SJS10" s="699"/>
      <c r="SJT10" s="699"/>
      <c r="SJU10" s="699"/>
      <c r="SJV10" s="699"/>
      <c r="SJW10" s="699"/>
      <c r="SJX10" s="699"/>
      <c r="SJY10" s="699"/>
      <c r="SJZ10" s="699"/>
      <c r="SKA10" s="699"/>
      <c r="SKB10" s="699"/>
      <c r="SKC10" s="699"/>
      <c r="SKD10" s="699"/>
      <c r="SKE10" s="699"/>
      <c r="SKF10" s="699"/>
      <c r="SKG10" s="699"/>
      <c r="SKH10" s="699"/>
      <c r="SKI10" s="699"/>
      <c r="SKJ10" s="699"/>
      <c r="SKK10" s="699"/>
      <c r="SKL10" s="699"/>
      <c r="SKM10" s="699"/>
      <c r="SKN10" s="699"/>
      <c r="SKO10" s="699"/>
      <c r="SKP10" s="699"/>
      <c r="SKQ10" s="699"/>
      <c r="SKR10" s="699"/>
      <c r="SKS10" s="699"/>
      <c r="SKT10" s="699"/>
      <c r="SKU10" s="699"/>
      <c r="SKV10" s="699"/>
      <c r="SKW10" s="699"/>
      <c r="SKX10" s="699"/>
      <c r="SKY10" s="699"/>
      <c r="SKZ10" s="699"/>
      <c r="SLA10" s="699"/>
      <c r="SLB10" s="699"/>
      <c r="SLC10" s="699"/>
      <c r="SLD10" s="699"/>
      <c r="SLE10" s="699"/>
      <c r="SLF10" s="699"/>
      <c r="SLG10" s="699"/>
      <c r="SLH10" s="699"/>
      <c r="SLI10" s="699"/>
      <c r="SLJ10" s="699"/>
      <c r="SLK10" s="699"/>
      <c r="SLL10" s="699"/>
      <c r="SLM10" s="699"/>
      <c r="SLN10" s="699"/>
      <c r="SLO10" s="699"/>
      <c r="SLP10" s="699"/>
      <c r="SLQ10" s="699"/>
      <c r="SLR10" s="699"/>
      <c r="SLS10" s="699"/>
      <c r="SLT10" s="699"/>
      <c r="SLU10" s="699"/>
      <c r="SLV10" s="699"/>
      <c r="SLW10" s="699"/>
      <c r="SLX10" s="699"/>
      <c r="SLY10" s="699"/>
      <c r="SLZ10" s="699"/>
      <c r="SMA10" s="699"/>
      <c r="SMB10" s="699"/>
      <c r="SMC10" s="699"/>
      <c r="SMD10" s="699"/>
      <c r="SME10" s="699"/>
      <c r="SMF10" s="699"/>
      <c r="SMG10" s="699"/>
      <c r="SMH10" s="699"/>
      <c r="SMI10" s="699"/>
      <c r="SMJ10" s="699"/>
      <c r="SMK10" s="699"/>
      <c r="SML10" s="699"/>
      <c r="SMM10" s="699"/>
      <c r="SMN10" s="699"/>
      <c r="SMO10" s="699"/>
      <c r="SMP10" s="699"/>
      <c r="SMQ10" s="699"/>
      <c r="SMR10" s="699"/>
      <c r="SMS10" s="699"/>
      <c r="SMT10" s="699"/>
      <c r="SMU10" s="699"/>
      <c r="SMV10" s="699"/>
      <c r="SMW10" s="699"/>
      <c r="SMX10" s="699"/>
      <c r="SMY10" s="699"/>
      <c r="SMZ10" s="699"/>
      <c r="SNA10" s="699"/>
      <c r="SNB10" s="699"/>
      <c r="SNC10" s="699"/>
      <c r="SND10" s="699"/>
      <c r="SNE10" s="699"/>
      <c r="SNF10" s="699"/>
      <c r="SNG10" s="699"/>
      <c r="SNH10" s="699"/>
      <c r="SNI10" s="699"/>
      <c r="SNJ10" s="699"/>
      <c r="SNK10" s="699"/>
      <c r="SNL10" s="699"/>
      <c r="SNM10" s="699"/>
      <c r="SNN10" s="699"/>
      <c r="SNO10" s="699"/>
      <c r="SNP10" s="699"/>
      <c r="SNQ10" s="699"/>
      <c r="SNR10" s="699"/>
      <c r="SNS10" s="699"/>
      <c r="SNT10" s="699"/>
      <c r="SNU10" s="699"/>
      <c r="SNV10" s="699"/>
      <c r="SNW10" s="699"/>
      <c r="SNX10" s="699"/>
      <c r="SNY10" s="699"/>
      <c r="SNZ10" s="699"/>
      <c r="SOA10" s="699"/>
      <c r="SOB10" s="699"/>
      <c r="SOC10" s="699"/>
      <c r="SOD10" s="699"/>
      <c r="SOE10" s="699"/>
      <c r="SOF10" s="699"/>
      <c r="SOG10" s="699"/>
      <c r="SOH10" s="699"/>
      <c r="SOI10" s="699"/>
      <c r="SOJ10" s="699"/>
      <c r="SOK10" s="699"/>
      <c r="SOL10" s="699"/>
      <c r="SOM10" s="699"/>
      <c r="SON10" s="699"/>
      <c r="SOO10" s="699"/>
      <c r="SOP10" s="699"/>
      <c r="SOQ10" s="699"/>
      <c r="SOR10" s="699"/>
      <c r="SOS10" s="699"/>
      <c r="SOT10" s="699"/>
      <c r="SOU10" s="699"/>
      <c r="SOV10" s="699"/>
      <c r="SOW10" s="699"/>
      <c r="SOX10" s="699"/>
      <c r="SOY10" s="699"/>
      <c r="SOZ10" s="699"/>
      <c r="SPA10" s="699"/>
      <c r="SPB10" s="699"/>
      <c r="SPC10" s="699"/>
      <c r="SPD10" s="699"/>
      <c r="SPE10" s="699"/>
      <c r="SPF10" s="699"/>
      <c r="SPG10" s="699"/>
      <c r="SPH10" s="699"/>
      <c r="SPI10" s="699"/>
      <c r="SPJ10" s="699"/>
      <c r="SPK10" s="699"/>
      <c r="SPL10" s="699"/>
      <c r="SPM10" s="699"/>
      <c r="SPN10" s="699"/>
      <c r="SPO10" s="699"/>
      <c r="SPP10" s="699"/>
      <c r="SPQ10" s="699"/>
      <c r="SPR10" s="699"/>
      <c r="SPS10" s="699"/>
      <c r="SPT10" s="699"/>
      <c r="SPU10" s="699"/>
      <c r="SPV10" s="699"/>
      <c r="SPW10" s="699"/>
      <c r="SPX10" s="699"/>
      <c r="SPY10" s="699"/>
      <c r="SPZ10" s="699"/>
      <c r="SQA10" s="699"/>
      <c r="SQB10" s="699"/>
      <c r="SQC10" s="699"/>
      <c r="SQD10" s="699"/>
      <c r="SQE10" s="699"/>
      <c r="SQF10" s="699"/>
      <c r="SQG10" s="699"/>
      <c r="SQH10" s="699"/>
      <c r="SQI10" s="699"/>
      <c r="SQJ10" s="699"/>
      <c r="SQK10" s="699"/>
      <c r="SQL10" s="699"/>
      <c r="SQM10" s="699"/>
      <c r="SQN10" s="699"/>
      <c r="SQO10" s="699"/>
      <c r="SQP10" s="699"/>
      <c r="SQQ10" s="699"/>
      <c r="SQR10" s="699"/>
      <c r="SQS10" s="699"/>
      <c r="SQT10" s="699"/>
      <c r="SQU10" s="699"/>
      <c r="SQV10" s="699"/>
      <c r="SQW10" s="699"/>
      <c r="SQX10" s="699"/>
      <c r="SQY10" s="699"/>
      <c r="SQZ10" s="699"/>
      <c r="SRA10" s="699"/>
      <c r="SRB10" s="699"/>
      <c r="SRC10" s="699"/>
      <c r="SRD10" s="699"/>
      <c r="SRE10" s="699"/>
      <c r="SRF10" s="699"/>
      <c r="SRG10" s="699"/>
      <c r="SRH10" s="699"/>
      <c r="SRI10" s="699"/>
      <c r="SRJ10" s="699"/>
      <c r="SRK10" s="699"/>
      <c r="SRL10" s="699"/>
      <c r="SRM10" s="699"/>
      <c r="SRN10" s="699"/>
      <c r="SRO10" s="699"/>
      <c r="SRP10" s="699"/>
      <c r="SRQ10" s="699"/>
      <c r="SRR10" s="699"/>
      <c r="SRS10" s="699"/>
      <c r="SRT10" s="699"/>
      <c r="SRU10" s="699"/>
      <c r="SRV10" s="699"/>
      <c r="SRW10" s="699"/>
      <c r="SRX10" s="699"/>
      <c r="SRY10" s="699"/>
      <c r="SRZ10" s="699"/>
      <c r="SSA10" s="699"/>
      <c r="SSB10" s="699"/>
      <c r="SSC10" s="699"/>
      <c r="SSD10" s="699"/>
      <c r="SSE10" s="699"/>
      <c r="SSF10" s="699"/>
      <c r="SSG10" s="699"/>
      <c r="SSH10" s="699"/>
      <c r="SSI10" s="699"/>
      <c r="SSJ10" s="699"/>
      <c r="SSK10" s="699"/>
      <c r="SSL10" s="699"/>
      <c r="SSM10" s="699"/>
      <c r="SSN10" s="699"/>
      <c r="SSO10" s="699"/>
      <c r="SSP10" s="699"/>
      <c r="SSQ10" s="699"/>
      <c r="SSR10" s="699"/>
      <c r="SSS10" s="699"/>
      <c r="SST10" s="699"/>
      <c r="SSU10" s="699"/>
      <c r="SSV10" s="699"/>
      <c r="SSW10" s="699"/>
      <c r="SSX10" s="699"/>
      <c r="SSY10" s="699"/>
      <c r="SSZ10" s="699"/>
      <c r="STA10" s="699"/>
      <c r="STB10" s="699"/>
      <c r="STC10" s="699"/>
      <c r="STD10" s="699"/>
      <c r="STE10" s="699"/>
      <c r="STF10" s="699"/>
      <c r="STG10" s="699"/>
      <c r="STH10" s="699"/>
      <c r="STI10" s="699"/>
      <c r="STJ10" s="699"/>
      <c r="STK10" s="699"/>
      <c r="STL10" s="699"/>
      <c r="STM10" s="699"/>
      <c r="STN10" s="699"/>
      <c r="STO10" s="699"/>
      <c r="STP10" s="699"/>
      <c r="STQ10" s="699"/>
      <c r="STR10" s="699"/>
      <c r="STS10" s="699"/>
      <c r="STT10" s="699"/>
      <c r="STU10" s="699"/>
      <c r="STV10" s="699"/>
      <c r="STW10" s="699"/>
      <c r="STX10" s="699"/>
      <c r="STY10" s="699"/>
      <c r="STZ10" s="699"/>
      <c r="SUA10" s="699"/>
      <c r="SUB10" s="699"/>
      <c r="SUC10" s="699"/>
      <c r="SUD10" s="699"/>
      <c r="SUE10" s="699"/>
      <c r="SUF10" s="699"/>
      <c r="SUG10" s="699"/>
      <c r="SUH10" s="699"/>
      <c r="SUI10" s="699"/>
      <c r="SUJ10" s="699"/>
      <c r="SUK10" s="699"/>
      <c r="SUL10" s="699"/>
      <c r="SUM10" s="699"/>
      <c r="SUN10" s="699"/>
      <c r="SUO10" s="699"/>
      <c r="SUP10" s="699"/>
      <c r="SUQ10" s="699"/>
      <c r="SUR10" s="699"/>
      <c r="SUS10" s="699"/>
      <c r="SUT10" s="699"/>
      <c r="SUU10" s="699"/>
      <c r="SUV10" s="699"/>
      <c r="SUW10" s="699"/>
      <c r="SUX10" s="699"/>
      <c r="SUY10" s="699"/>
      <c r="SUZ10" s="699"/>
      <c r="SVA10" s="699"/>
      <c r="SVB10" s="699"/>
      <c r="SVC10" s="699"/>
      <c r="SVD10" s="699"/>
      <c r="SVE10" s="699"/>
      <c r="SVF10" s="699"/>
      <c r="SVG10" s="699"/>
      <c r="SVH10" s="699"/>
      <c r="SVI10" s="699"/>
      <c r="SVJ10" s="699"/>
      <c r="SVK10" s="699"/>
      <c r="SVL10" s="699"/>
      <c r="SVM10" s="699"/>
      <c r="SVN10" s="699"/>
      <c r="SVO10" s="699"/>
      <c r="SVP10" s="699"/>
      <c r="SVQ10" s="699"/>
      <c r="SVR10" s="699"/>
      <c r="SVS10" s="699"/>
      <c r="SVT10" s="699"/>
      <c r="SVU10" s="699"/>
      <c r="SVV10" s="699"/>
      <c r="SVW10" s="699"/>
      <c r="SVX10" s="699"/>
      <c r="SVY10" s="699"/>
      <c r="SVZ10" s="699"/>
      <c r="SWA10" s="699"/>
      <c r="SWB10" s="699"/>
      <c r="SWC10" s="699"/>
      <c r="SWD10" s="699"/>
      <c r="SWE10" s="699"/>
      <c r="SWF10" s="699"/>
      <c r="SWG10" s="699"/>
      <c r="SWH10" s="699"/>
      <c r="SWI10" s="699"/>
      <c r="SWJ10" s="699"/>
      <c r="SWK10" s="699"/>
      <c r="SWL10" s="699"/>
      <c r="SWM10" s="699"/>
      <c r="SWN10" s="699"/>
      <c r="SWO10" s="699"/>
      <c r="SWP10" s="699"/>
      <c r="SWQ10" s="699"/>
      <c r="SWR10" s="699"/>
      <c r="SWS10" s="699"/>
      <c r="SWT10" s="699"/>
      <c r="SWU10" s="699"/>
      <c r="SWV10" s="699"/>
      <c r="SWW10" s="699"/>
      <c r="SWX10" s="699"/>
      <c r="SWY10" s="699"/>
      <c r="SWZ10" s="699"/>
      <c r="SXA10" s="699"/>
      <c r="SXB10" s="699"/>
      <c r="SXC10" s="699"/>
      <c r="SXD10" s="699"/>
      <c r="SXE10" s="699"/>
      <c r="SXF10" s="699"/>
      <c r="SXG10" s="699"/>
      <c r="SXH10" s="699"/>
      <c r="SXI10" s="699"/>
      <c r="SXJ10" s="699"/>
      <c r="SXK10" s="699"/>
      <c r="SXL10" s="699"/>
      <c r="SXM10" s="699"/>
      <c r="SXN10" s="699"/>
      <c r="SXO10" s="699"/>
      <c r="SXP10" s="699"/>
      <c r="SXQ10" s="699"/>
      <c r="SXR10" s="699"/>
      <c r="SXS10" s="699"/>
      <c r="SXT10" s="699"/>
      <c r="SXU10" s="699"/>
      <c r="SXV10" s="699"/>
      <c r="SXW10" s="699"/>
      <c r="SXX10" s="699"/>
      <c r="SXY10" s="699"/>
      <c r="SXZ10" s="699"/>
      <c r="SYA10" s="699"/>
      <c r="SYB10" s="699"/>
      <c r="SYC10" s="699"/>
      <c r="SYD10" s="699"/>
      <c r="SYE10" s="699"/>
      <c r="SYF10" s="699"/>
      <c r="SYG10" s="699"/>
      <c r="SYH10" s="699"/>
      <c r="SYI10" s="699"/>
      <c r="SYJ10" s="699"/>
      <c r="SYK10" s="699"/>
      <c r="SYL10" s="699"/>
      <c r="SYM10" s="699"/>
      <c r="SYN10" s="699"/>
      <c r="SYO10" s="699"/>
      <c r="SYP10" s="699"/>
      <c r="SYQ10" s="699"/>
      <c r="SYR10" s="699"/>
      <c r="SYS10" s="699"/>
      <c r="SYT10" s="699"/>
      <c r="SYU10" s="699"/>
      <c r="SYV10" s="699"/>
      <c r="SYW10" s="699"/>
      <c r="SYX10" s="699"/>
      <c r="SYY10" s="699"/>
      <c r="SYZ10" s="699"/>
      <c r="SZA10" s="699"/>
      <c r="SZB10" s="699"/>
      <c r="SZC10" s="699"/>
      <c r="SZD10" s="699"/>
      <c r="SZE10" s="699"/>
      <c r="SZF10" s="699"/>
      <c r="SZG10" s="699"/>
      <c r="SZH10" s="699"/>
      <c r="SZI10" s="699"/>
      <c r="SZJ10" s="699"/>
      <c r="SZK10" s="699"/>
      <c r="SZL10" s="699"/>
      <c r="SZM10" s="699"/>
      <c r="SZN10" s="699"/>
      <c r="SZO10" s="699"/>
      <c r="SZP10" s="699"/>
      <c r="SZQ10" s="699"/>
      <c r="SZR10" s="699"/>
      <c r="SZS10" s="699"/>
      <c r="SZT10" s="699"/>
      <c r="SZU10" s="699"/>
      <c r="SZV10" s="699"/>
      <c r="SZW10" s="699"/>
      <c r="SZX10" s="699"/>
      <c r="SZY10" s="699"/>
      <c r="SZZ10" s="699"/>
      <c r="TAA10" s="699"/>
      <c r="TAB10" s="699"/>
      <c r="TAC10" s="699"/>
      <c r="TAD10" s="699"/>
      <c r="TAE10" s="699"/>
      <c r="TAF10" s="699"/>
      <c r="TAG10" s="699"/>
      <c r="TAH10" s="699"/>
      <c r="TAI10" s="699"/>
      <c r="TAJ10" s="699"/>
      <c r="TAK10" s="699"/>
      <c r="TAL10" s="699"/>
      <c r="TAM10" s="699"/>
      <c r="TAN10" s="699"/>
      <c r="TAO10" s="699"/>
      <c r="TAP10" s="699"/>
      <c r="TAQ10" s="699"/>
      <c r="TAR10" s="699"/>
      <c r="TAS10" s="699"/>
      <c r="TAT10" s="699"/>
      <c r="TAU10" s="699"/>
      <c r="TAV10" s="699"/>
      <c r="TAW10" s="699"/>
      <c r="TAX10" s="699"/>
      <c r="TAY10" s="699"/>
      <c r="TAZ10" s="699"/>
      <c r="TBA10" s="699"/>
      <c r="TBB10" s="699"/>
      <c r="TBC10" s="699"/>
      <c r="TBD10" s="699"/>
      <c r="TBE10" s="699"/>
      <c r="TBF10" s="699"/>
      <c r="TBG10" s="699"/>
      <c r="TBH10" s="699"/>
      <c r="TBI10" s="699"/>
      <c r="TBJ10" s="699"/>
      <c r="TBK10" s="699"/>
      <c r="TBL10" s="699"/>
      <c r="TBM10" s="699"/>
      <c r="TBN10" s="699"/>
      <c r="TBO10" s="699"/>
      <c r="TBP10" s="699"/>
      <c r="TBQ10" s="699"/>
      <c r="TBR10" s="699"/>
      <c r="TBS10" s="699"/>
      <c r="TBT10" s="699"/>
      <c r="TBU10" s="699"/>
      <c r="TBV10" s="699"/>
      <c r="TBW10" s="699"/>
      <c r="TBX10" s="699"/>
      <c r="TBY10" s="699"/>
      <c r="TBZ10" s="699"/>
      <c r="TCA10" s="699"/>
      <c r="TCB10" s="699"/>
      <c r="TCC10" s="699"/>
      <c r="TCD10" s="699"/>
      <c r="TCE10" s="699"/>
      <c r="TCF10" s="699"/>
      <c r="TCG10" s="699"/>
      <c r="TCH10" s="699"/>
      <c r="TCI10" s="699"/>
      <c r="TCJ10" s="699"/>
      <c r="TCK10" s="699"/>
      <c r="TCL10" s="699"/>
      <c r="TCM10" s="699"/>
      <c r="TCN10" s="699"/>
      <c r="TCO10" s="699"/>
      <c r="TCP10" s="699"/>
      <c r="TCQ10" s="699"/>
      <c r="TCR10" s="699"/>
      <c r="TCS10" s="699"/>
      <c r="TCT10" s="699"/>
      <c r="TCU10" s="699"/>
      <c r="TCV10" s="699"/>
      <c r="TCW10" s="699"/>
      <c r="TCX10" s="699"/>
      <c r="TCY10" s="699"/>
      <c r="TCZ10" s="699"/>
      <c r="TDA10" s="699"/>
      <c r="TDB10" s="699"/>
      <c r="TDC10" s="699"/>
      <c r="TDD10" s="699"/>
      <c r="TDE10" s="699"/>
      <c r="TDF10" s="699"/>
      <c r="TDG10" s="699"/>
      <c r="TDH10" s="699"/>
      <c r="TDI10" s="699"/>
      <c r="TDJ10" s="699"/>
      <c r="TDK10" s="699"/>
      <c r="TDL10" s="699"/>
      <c r="TDM10" s="699"/>
      <c r="TDN10" s="699"/>
      <c r="TDO10" s="699"/>
      <c r="TDP10" s="699"/>
      <c r="TDQ10" s="699"/>
      <c r="TDR10" s="699"/>
      <c r="TDS10" s="699"/>
      <c r="TDT10" s="699"/>
      <c r="TDU10" s="699"/>
      <c r="TDV10" s="699"/>
      <c r="TDW10" s="699"/>
      <c r="TDX10" s="699"/>
      <c r="TDY10" s="699"/>
      <c r="TDZ10" s="699"/>
      <c r="TEA10" s="699"/>
      <c r="TEB10" s="699"/>
      <c r="TEC10" s="699"/>
      <c r="TED10" s="699"/>
      <c r="TEE10" s="699"/>
      <c r="TEF10" s="699"/>
      <c r="TEG10" s="699"/>
      <c r="TEH10" s="699"/>
      <c r="TEI10" s="699"/>
      <c r="TEJ10" s="699"/>
      <c r="TEK10" s="699"/>
      <c r="TEL10" s="699"/>
      <c r="TEM10" s="699"/>
      <c r="TEN10" s="699"/>
      <c r="TEO10" s="699"/>
      <c r="TEP10" s="699"/>
      <c r="TEQ10" s="699"/>
      <c r="TER10" s="699"/>
      <c r="TES10" s="699"/>
      <c r="TET10" s="699"/>
      <c r="TEU10" s="699"/>
      <c r="TEV10" s="699"/>
      <c r="TEW10" s="699"/>
      <c r="TEX10" s="699"/>
      <c r="TEY10" s="699"/>
      <c r="TEZ10" s="699"/>
      <c r="TFA10" s="699"/>
      <c r="TFB10" s="699"/>
      <c r="TFC10" s="699"/>
      <c r="TFD10" s="699"/>
      <c r="TFE10" s="699"/>
      <c r="TFF10" s="699"/>
      <c r="TFG10" s="699"/>
      <c r="TFH10" s="699"/>
      <c r="TFI10" s="699"/>
      <c r="TFJ10" s="699"/>
      <c r="TFK10" s="699"/>
      <c r="TFL10" s="699"/>
      <c r="TFM10" s="699"/>
      <c r="TFN10" s="699"/>
      <c r="TFO10" s="699"/>
      <c r="TFP10" s="699"/>
      <c r="TFQ10" s="699"/>
      <c r="TFR10" s="699"/>
      <c r="TFS10" s="699"/>
      <c r="TFT10" s="699"/>
      <c r="TFU10" s="699"/>
      <c r="TFV10" s="699"/>
      <c r="TFW10" s="699"/>
      <c r="TFX10" s="699"/>
      <c r="TFY10" s="699"/>
      <c r="TFZ10" s="699"/>
      <c r="TGA10" s="699"/>
      <c r="TGB10" s="699"/>
      <c r="TGC10" s="699"/>
      <c r="TGD10" s="699"/>
      <c r="TGE10" s="699"/>
      <c r="TGF10" s="699"/>
      <c r="TGG10" s="699"/>
      <c r="TGH10" s="699"/>
      <c r="TGI10" s="699"/>
      <c r="TGJ10" s="699"/>
      <c r="TGK10" s="699"/>
      <c r="TGL10" s="699"/>
      <c r="TGM10" s="699"/>
      <c r="TGN10" s="699"/>
      <c r="TGO10" s="699"/>
      <c r="TGP10" s="699"/>
      <c r="TGQ10" s="699"/>
      <c r="TGR10" s="699"/>
      <c r="TGS10" s="699"/>
      <c r="TGT10" s="699"/>
      <c r="TGU10" s="699"/>
      <c r="TGV10" s="699"/>
      <c r="TGW10" s="699"/>
      <c r="TGX10" s="699"/>
      <c r="TGY10" s="699"/>
      <c r="TGZ10" s="699"/>
      <c r="THA10" s="699"/>
      <c r="THB10" s="699"/>
      <c r="THC10" s="699"/>
      <c r="THD10" s="699"/>
      <c r="THE10" s="699"/>
      <c r="THF10" s="699"/>
      <c r="THG10" s="699"/>
      <c r="THH10" s="699"/>
      <c r="THI10" s="699"/>
      <c r="THJ10" s="699"/>
      <c r="THK10" s="699"/>
      <c r="THL10" s="699"/>
      <c r="THM10" s="699"/>
      <c r="THN10" s="699"/>
      <c r="THO10" s="699"/>
      <c r="THP10" s="699"/>
      <c r="THQ10" s="699"/>
      <c r="THR10" s="699"/>
      <c r="THS10" s="699"/>
      <c r="THT10" s="699"/>
      <c r="THU10" s="699"/>
      <c r="THV10" s="699"/>
      <c r="THW10" s="699"/>
      <c r="THX10" s="699"/>
      <c r="THY10" s="699"/>
      <c r="THZ10" s="699"/>
      <c r="TIA10" s="699"/>
      <c r="TIB10" s="699"/>
      <c r="TIC10" s="699"/>
      <c r="TID10" s="699"/>
      <c r="TIE10" s="699"/>
      <c r="TIF10" s="699"/>
      <c r="TIG10" s="699"/>
      <c r="TIH10" s="699"/>
      <c r="TII10" s="699"/>
      <c r="TIJ10" s="699"/>
      <c r="TIK10" s="699"/>
      <c r="TIL10" s="699"/>
      <c r="TIM10" s="699"/>
      <c r="TIN10" s="699"/>
      <c r="TIO10" s="699"/>
      <c r="TIP10" s="699"/>
      <c r="TIQ10" s="699"/>
      <c r="TIR10" s="699"/>
      <c r="TIS10" s="699"/>
      <c r="TIT10" s="699"/>
      <c r="TIU10" s="699"/>
      <c r="TIV10" s="699"/>
      <c r="TIW10" s="699"/>
      <c r="TIX10" s="699"/>
      <c r="TIY10" s="699"/>
      <c r="TIZ10" s="699"/>
      <c r="TJA10" s="699"/>
      <c r="TJB10" s="699"/>
      <c r="TJC10" s="699"/>
      <c r="TJD10" s="699"/>
      <c r="TJE10" s="699"/>
      <c r="TJF10" s="699"/>
      <c r="TJG10" s="699"/>
      <c r="TJH10" s="699"/>
      <c r="TJI10" s="699"/>
      <c r="TJJ10" s="699"/>
      <c r="TJK10" s="699"/>
      <c r="TJL10" s="699"/>
      <c r="TJM10" s="699"/>
      <c r="TJN10" s="699"/>
      <c r="TJO10" s="699"/>
      <c r="TJP10" s="699"/>
      <c r="TJQ10" s="699"/>
      <c r="TJR10" s="699"/>
      <c r="TJS10" s="699"/>
      <c r="TJT10" s="699"/>
      <c r="TJU10" s="699"/>
      <c r="TJV10" s="699"/>
      <c r="TJW10" s="699"/>
      <c r="TJX10" s="699"/>
      <c r="TJY10" s="699"/>
      <c r="TJZ10" s="699"/>
      <c r="TKA10" s="699"/>
      <c r="TKB10" s="699"/>
      <c r="TKC10" s="699"/>
      <c r="TKD10" s="699"/>
      <c r="TKE10" s="699"/>
      <c r="TKF10" s="699"/>
      <c r="TKG10" s="699"/>
      <c r="TKH10" s="699"/>
      <c r="TKI10" s="699"/>
      <c r="TKJ10" s="699"/>
      <c r="TKK10" s="699"/>
      <c r="TKL10" s="699"/>
      <c r="TKM10" s="699"/>
      <c r="TKN10" s="699"/>
      <c r="TKO10" s="699"/>
      <c r="TKP10" s="699"/>
      <c r="TKQ10" s="699"/>
      <c r="TKR10" s="699"/>
      <c r="TKS10" s="699"/>
      <c r="TKT10" s="699"/>
      <c r="TKU10" s="699"/>
      <c r="TKV10" s="699"/>
      <c r="TKW10" s="699"/>
      <c r="TKX10" s="699"/>
      <c r="TKY10" s="699"/>
      <c r="TKZ10" s="699"/>
      <c r="TLA10" s="699"/>
      <c r="TLB10" s="699"/>
      <c r="TLC10" s="699"/>
      <c r="TLD10" s="699"/>
      <c r="TLE10" s="699"/>
      <c r="TLF10" s="699"/>
      <c r="TLG10" s="699"/>
      <c r="TLH10" s="699"/>
      <c r="TLI10" s="699"/>
      <c r="TLJ10" s="699"/>
      <c r="TLK10" s="699"/>
      <c r="TLL10" s="699"/>
      <c r="TLM10" s="699"/>
      <c r="TLN10" s="699"/>
      <c r="TLO10" s="699"/>
      <c r="TLP10" s="699"/>
      <c r="TLQ10" s="699"/>
      <c r="TLR10" s="699"/>
      <c r="TLS10" s="699"/>
      <c r="TLT10" s="699"/>
      <c r="TLU10" s="699"/>
      <c r="TLV10" s="699"/>
      <c r="TLW10" s="699"/>
      <c r="TLX10" s="699"/>
      <c r="TLY10" s="699"/>
      <c r="TLZ10" s="699"/>
      <c r="TMA10" s="699"/>
      <c r="TMB10" s="699"/>
      <c r="TMC10" s="699"/>
      <c r="TMD10" s="699"/>
      <c r="TME10" s="699"/>
      <c r="TMF10" s="699"/>
      <c r="TMG10" s="699"/>
      <c r="TMH10" s="699"/>
      <c r="TMI10" s="699"/>
      <c r="TMJ10" s="699"/>
      <c r="TMK10" s="699"/>
      <c r="TML10" s="699"/>
      <c r="TMM10" s="699"/>
      <c r="TMN10" s="699"/>
      <c r="TMO10" s="699"/>
      <c r="TMP10" s="699"/>
      <c r="TMQ10" s="699"/>
      <c r="TMR10" s="699"/>
      <c r="TMS10" s="699"/>
      <c r="TMT10" s="699"/>
      <c r="TMU10" s="699"/>
      <c r="TMV10" s="699"/>
      <c r="TMW10" s="699"/>
      <c r="TMX10" s="699"/>
      <c r="TMY10" s="699"/>
      <c r="TMZ10" s="699"/>
      <c r="TNA10" s="699"/>
      <c r="TNB10" s="699"/>
      <c r="TNC10" s="699"/>
      <c r="TND10" s="699"/>
      <c r="TNE10" s="699"/>
      <c r="TNF10" s="699"/>
      <c r="TNG10" s="699"/>
      <c r="TNH10" s="699"/>
      <c r="TNI10" s="699"/>
      <c r="TNJ10" s="699"/>
      <c r="TNK10" s="699"/>
      <c r="TNL10" s="699"/>
      <c r="TNM10" s="699"/>
      <c r="TNN10" s="699"/>
      <c r="TNO10" s="699"/>
      <c r="TNP10" s="699"/>
      <c r="TNQ10" s="699"/>
      <c r="TNR10" s="699"/>
      <c r="TNS10" s="699"/>
      <c r="TNT10" s="699"/>
      <c r="TNU10" s="699"/>
      <c r="TNV10" s="699"/>
      <c r="TNW10" s="699"/>
      <c r="TNX10" s="699"/>
      <c r="TNY10" s="699"/>
      <c r="TNZ10" s="699"/>
      <c r="TOA10" s="699"/>
      <c r="TOB10" s="699"/>
      <c r="TOC10" s="699"/>
      <c r="TOD10" s="699"/>
      <c r="TOE10" s="699"/>
      <c r="TOF10" s="699"/>
      <c r="TOG10" s="699"/>
      <c r="TOH10" s="699"/>
      <c r="TOI10" s="699"/>
      <c r="TOJ10" s="699"/>
      <c r="TOK10" s="699"/>
      <c r="TOL10" s="699"/>
      <c r="TOM10" s="699"/>
      <c r="TON10" s="699"/>
      <c r="TOO10" s="699"/>
      <c r="TOP10" s="699"/>
      <c r="TOQ10" s="699"/>
      <c r="TOR10" s="699"/>
      <c r="TOS10" s="699"/>
      <c r="TOT10" s="699"/>
      <c r="TOU10" s="699"/>
      <c r="TOV10" s="699"/>
      <c r="TOW10" s="699"/>
      <c r="TOX10" s="699"/>
      <c r="TOY10" s="699"/>
      <c r="TOZ10" s="699"/>
      <c r="TPA10" s="699"/>
      <c r="TPB10" s="699"/>
      <c r="TPC10" s="699"/>
      <c r="TPD10" s="699"/>
      <c r="TPE10" s="699"/>
      <c r="TPF10" s="699"/>
      <c r="TPG10" s="699"/>
      <c r="TPH10" s="699"/>
      <c r="TPI10" s="699"/>
      <c r="TPJ10" s="699"/>
      <c r="TPK10" s="699"/>
      <c r="TPL10" s="699"/>
      <c r="TPM10" s="699"/>
      <c r="TPN10" s="699"/>
      <c r="TPO10" s="699"/>
      <c r="TPP10" s="699"/>
      <c r="TPQ10" s="699"/>
      <c r="TPR10" s="699"/>
      <c r="TPS10" s="699"/>
      <c r="TPT10" s="699"/>
      <c r="TPU10" s="699"/>
      <c r="TPV10" s="699"/>
      <c r="TPW10" s="699"/>
      <c r="TPX10" s="699"/>
      <c r="TPY10" s="699"/>
      <c r="TPZ10" s="699"/>
      <c r="TQA10" s="699"/>
      <c r="TQB10" s="699"/>
      <c r="TQC10" s="699"/>
      <c r="TQD10" s="699"/>
      <c r="TQE10" s="699"/>
      <c r="TQF10" s="699"/>
      <c r="TQG10" s="699"/>
      <c r="TQH10" s="699"/>
      <c r="TQI10" s="699"/>
      <c r="TQJ10" s="699"/>
      <c r="TQK10" s="699"/>
      <c r="TQL10" s="699"/>
      <c r="TQM10" s="699"/>
      <c r="TQN10" s="699"/>
      <c r="TQO10" s="699"/>
      <c r="TQP10" s="699"/>
      <c r="TQQ10" s="699"/>
      <c r="TQR10" s="699"/>
      <c r="TQS10" s="699"/>
      <c r="TQT10" s="699"/>
      <c r="TQU10" s="699"/>
      <c r="TQV10" s="699"/>
      <c r="TQW10" s="699"/>
      <c r="TQX10" s="699"/>
      <c r="TQY10" s="699"/>
      <c r="TQZ10" s="699"/>
      <c r="TRA10" s="699"/>
      <c r="TRB10" s="699"/>
      <c r="TRC10" s="699"/>
      <c r="TRD10" s="699"/>
      <c r="TRE10" s="699"/>
      <c r="TRF10" s="699"/>
      <c r="TRG10" s="699"/>
      <c r="TRH10" s="699"/>
      <c r="TRI10" s="699"/>
      <c r="TRJ10" s="699"/>
      <c r="TRK10" s="699"/>
      <c r="TRL10" s="699"/>
      <c r="TRM10" s="699"/>
      <c r="TRN10" s="699"/>
      <c r="TRO10" s="699"/>
      <c r="TRP10" s="699"/>
      <c r="TRQ10" s="699"/>
      <c r="TRR10" s="699"/>
      <c r="TRS10" s="699"/>
      <c r="TRT10" s="699"/>
      <c r="TRU10" s="699"/>
      <c r="TRV10" s="699"/>
      <c r="TRW10" s="699"/>
      <c r="TRX10" s="699"/>
      <c r="TRY10" s="699"/>
      <c r="TRZ10" s="699"/>
      <c r="TSA10" s="699"/>
      <c r="TSB10" s="699"/>
      <c r="TSC10" s="699"/>
      <c r="TSD10" s="699"/>
      <c r="TSE10" s="699"/>
      <c r="TSF10" s="699"/>
      <c r="TSG10" s="699"/>
      <c r="TSH10" s="699"/>
      <c r="TSI10" s="699"/>
      <c r="TSJ10" s="699"/>
      <c r="TSK10" s="699"/>
      <c r="TSL10" s="699"/>
      <c r="TSM10" s="699"/>
      <c r="TSN10" s="699"/>
      <c r="TSO10" s="699"/>
      <c r="TSP10" s="699"/>
      <c r="TSQ10" s="699"/>
      <c r="TSR10" s="699"/>
      <c r="TSS10" s="699"/>
      <c r="TST10" s="699"/>
      <c r="TSU10" s="699"/>
      <c r="TSV10" s="699"/>
      <c r="TSW10" s="699"/>
      <c r="TSX10" s="699"/>
      <c r="TSY10" s="699"/>
      <c r="TSZ10" s="699"/>
      <c r="TTA10" s="699"/>
      <c r="TTB10" s="699"/>
      <c r="TTC10" s="699"/>
      <c r="TTD10" s="699"/>
      <c r="TTE10" s="699"/>
      <c r="TTF10" s="699"/>
      <c r="TTG10" s="699"/>
      <c r="TTH10" s="699"/>
      <c r="TTI10" s="699"/>
      <c r="TTJ10" s="699"/>
      <c r="TTK10" s="699"/>
      <c r="TTL10" s="699"/>
      <c r="TTM10" s="699"/>
      <c r="TTN10" s="699"/>
      <c r="TTO10" s="699"/>
      <c r="TTP10" s="699"/>
      <c r="TTQ10" s="699"/>
      <c r="TTR10" s="699"/>
      <c r="TTS10" s="699"/>
      <c r="TTT10" s="699"/>
      <c r="TTU10" s="699"/>
      <c r="TTV10" s="699"/>
      <c r="TTW10" s="699"/>
      <c r="TTX10" s="699"/>
      <c r="TTY10" s="699"/>
      <c r="TTZ10" s="699"/>
      <c r="TUA10" s="699"/>
      <c r="TUB10" s="699"/>
      <c r="TUC10" s="699"/>
      <c r="TUD10" s="699"/>
      <c r="TUE10" s="699"/>
      <c r="TUF10" s="699"/>
      <c r="TUG10" s="699"/>
      <c r="TUH10" s="699"/>
      <c r="TUI10" s="699"/>
      <c r="TUJ10" s="699"/>
      <c r="TUK10" s="699"/>
      <c r="TUL10" s="699"/>
      <c r="TUM10" s="699"/>
      <c r="TUN10" s="699"/>
      <c r="TUO10" s="699"/>
      <c r="TUP10" s="699"/>
      <c r="TUQ10" s="699"/>
      <c r="TUR10" s="699"/>
      <c r="TUS10" s="699"/>
      <c r="TUT10" s="699"/>
      <c r="TUU10" s="699"/>
      <c r="TUV10" s="699"/>
      <c r="TUW10" s="699"/>
      <c r="TUX10" s="699"/>
      <c r="TUY10" s="699"/>
      <c r="TUZ10" s="699"/>
      <c r="TVA10" s="699"/>
      <c r="TVB10" s="699"/>
      <c r="TVC10" s="699"/>
      <c r="TVD10" s="699"/>
      <c r="TVE10" s="699"/>
      <c r="TVF10" s="699"/>
      <c r="TVG10" s="699"/>
      <c r="TVH10" s="699"/>
      <c r="TVI10" s="699"/>
      <c r="TVJ10" s="699"/>
      <c r="TVK10" s="699"/>
      <c r="TVL10" s="699"/>
      <c r="TVM10" s="699"/>
      <c r="TVN10" s="699"/>
      <c r="TVO10" s="699"/>
      <c r="TVP10" s="699"/>
      <c r="TVQ10" s="699"/>
      <c r="TVR10" s="699"/>
      <c r="TVS10" s="699"/>
      <c r="TVT10" s="699"/>
      <c r="TVU10" s="699"/>
      <c r="TVV10" s="699"/>
      <c r="TVW10" s="699"/>
      <c r="TVX10" s="699"/>
      <c r="TVY10" s="699"/>
      <c r="TVZ10" s="699"/>
      <c r="TWA10" s="699"/>
      <c r="TWB10" s="699"/>
      <c r="TWC10" s="699"/>
      <c r="TWD10" s="699"/>
      <c r="TWE10" s="699"/>
      <c r="TWF10" s="699"/>
      <c r="TWG10" s="699"/>
      <c r="TWH10" s="699"/>
      <c r="TWI10" s="699"/>
      <c r="TWJ10" s="699"/>
      <c r="TWK10" s="699"/>
      <c r="TWL10" s="699"/>
      <c r="TWM10" s="699"/>
      <c r="TWN10" s="699"/>
      <c r="TWO10" s="699"/>
      <c r="TWP10" s="699"/>
      <c r="TWQ10" s="699"/>
      <c r="TWR10" s="699"/>
      <c r="TWS10" s="699"/>
      <c r="TWT10" s="699"/>
      <c r="TWU10" s="699"/>
      <c r="TWV10" s="699"/>
      <c r="TWW10" s="699"/>
      <c r="TWX10" s="699"/>
      <c r="TWY10" s="699"/>
      <c r="TWZ10" s="699"/>
      <c r="TXA10" s="699"/>
      <c r="TXB10" s="699"/>
      <c r="TXC10" s="699"/>
      <c r="TXD10" s="699"/>
      <c r="TXE10" s="699"/>
      <c r="TXF10" s="699"/>
      <c r="TXG10" s="699"/>
      <c r="TXH10" s="699"/>
      <c r="TXI10" s="699"/>
      <c r="TXJ10" s="699"/>
      <c r="TXK10" s="699"/>
      <c r="TXL10" s="699"/>
      <c r="TXM10" s="699"/>
      <c r="TXN10" s="699"/>
      <c r="TXO10" s="699"/>
      <c r="TXP10" s="699"/>
      <c r="TXQ10" s="699"/>
      <c r="TXR10" s="699"/>
      <c r="TXS10" s="699"/>
      <c r="TXT10" s="699"/>
      <c r="TXU10" s="699"/>
      <c r="TXV10" s="699"/>
      <c r="TXW10" s="699"/>
      <c r="TXX10" s="699"/>
      <c r="TXY10" s="699"/>
      <c r="TXZ10" s="699"/>
      <c r="TYA10" s="699"/>
      <c r="TYB10" s="699"/>
      <c r="TYC10" s="699"/>
      <c r="TYD10" s="699"/>
      <c r="TYE10" s="699"/>
      <c r="TYF10" s="699"/>
      <c r="TYG10" s="699"/>
      <c r="TYH10" s="699"/>
      <c r="TYI10" s="699"/>
      <c r="TYJ10" s="699"/>
      <c r="TYK10" s="699"/>
      <c r="TYL10" s="699"/>
      <c r="TYM10" s="699"/>
      <c r="TYN10" s="699"/>
      <c r="TYO10" s="699"/>
      <c r="TYP10" s="699"/>
      <c r="TYQ10" s="699"/>
      <c r="TYR10" s="699"/>
      <c r="TYS10" s="699"/>
      <c r="TYT10" s="699"/>
      <c r="TYU10" s="699"/>
      <c r="TYV10" s="699"/>
      <c r="TYW10" s="699"/>
      <c r="TYX10" s="699"/>
      <c r="TYY10" s="699"/>
      <c r="TYZ10" s="699"/>
      <c r="TZA10" s="699"/>
      <c r="TZB10" s="699"/>
      <c r="TZC10" s="699"/>
      <c r="TZD10" s="699"/>
      <c r="TZE10" s="699"/>
      <c r="TZF10" s="699"/>
      <c r="TZG10" s="699"/>
      <c r="TZH10" s="699"/>
      <c r="TZI10" s="699"/>
      <c r="TZJ10" s="699"/>
      <c r="TZK10" s="699"/>
      <c r="TZL10" s="699"/>
      <c r="TZM10" s="699"/>
      <c r="TZN10" s="699"/>
      <c r="TZO10" s="699"/>
      <c r="TZP10" s="699"/>
      <c r="TZQ10" s="699"/>
      <c r="TZR10" s="699"/>
      <c r="TZS10" s="699"/>
      <c r="TZT10" s="699"/>
      <c r="TZU10" s="699"/>
      <c r="TZV10" s="699"/>
      <c r="TZW10" s="699"/>
      <c r="TZX10" s="699"/>
      <c r="TZY10" s="699"/>
      <c r="TZZ10" s="699"/>
      <c r="UAA10" s="699"/>
      <c r="UAB10" s="699"/>
      <c r="UAC10" s="699"/>
      <c r="UAD10" s="699"/>
      <c r="UAE10" s="699"/>
      <c r="UAF10" s="699"/>
      <c r="UAG10" s="699"/>
      <c r="UAH10" s="699"/>
      <c r="UAI10" s="699"/>
      <c r="UAJ10" s="699"/>
      <c r="UAK10" s="699"/>
      <c r="UAL10" s="699"/>
      <c r="UAM10" s="699"/>
      <c r="UAN10" s="699"/>
      <c r="UAO10" s="699"/>
      <c r="UAP10" s="699"/>
      <c r="UAQ10" s="699"/>
      <c r="UAR10" s="699"/>
      <c r="UAS10" s="699"/>
      <c r="UAT10" s="699"/>
      <c r="UAU10" s="699"/>
      <c r="UAV10" s="699"/>
      <c r="UAW10" s="699"/>
      <c r="UAX10" s="699"/>
      <c r="UAY10" s="699"/>
      <c r="UAZ10" s="699"/>
      <c r="UBA10" s="699"/>
      <c r="UBB10" s="699"/>
      <c r="UBC10" s="699"/>
      <c r="UBD10" s="699"/>
      <c r="UBE10" s="699"/>
      <c r="UBF10" s="699"/>
      <c r="UBG10" s="699"/>
      <c r="UBH10" s="699"/>
      <c r="UBI10" s="699"/>
      <c r="UBJ10" s="699"/>
      <c r="UBK10" s="699"/>
      <c r="UBL10" s="699"/>
      <c r="UBM10" s="699"/>
      <c r="UBN10" s="699"/>
      <c r="UBO10" s="699"/>
      <c r="UBP10" s="699"/>
      <c r="UBQ10" s="699"/>
      <c r="UBR10" s="699"/>
      <c r="UBS10" s="699"/>
      <c r="UBT10" s="699"/>
      <c r="UBU10" s="699"/>
      <c r="UBV10" s="699"/>
      <c r="UBW10" s="699"/>
      <c r="UBX10" s="699"/>
      <c r="UBY10" s="699"/>
      <c r="UBZ10" s="699"/>
      <c r="UCA10" s="699"/>
      <c r="UCB10" s="699"/>
      <c r="UCC10" s="699"/>
      <c r="UCD10" s="699"/>
      <c r="UCE10" s="699"/>
      <c r="UCF10" s="699"/>
      <c r="UCG10" s="699"/>
      <c r="UCH10" s="699"/>
      <c r="UCI10" s="699"/>
      <c r="UCJ10" s="699"/>
      <c r="UCK10" s="699"/>
      <c r="UCL10" s="699"/>
      <c r="UCM10" s="699"/>
      <c r="UCN10" s="699"/>
      <c r="UCO10" s="699"/>
      <c r="UCP10" s="699"/>
      <c r="UCQ10" s="699"/>
      <c r="UCR10" s="699"/>
      <c r="UCS10" s="699"/>
      <c r="UCT10" s="699"/>
      <c r="UCU10" s="699"/>
      <c r="UCV10" s="699"/>
      <c r="UCW10" s="699"/>
      <c r="UCX10" s="699"/>
      <c r="UCY10" s="699"/>
      <c r="UCZ10" s="699"/>
      <c r="UDA10" s="699"/>
      <c r="UDB10" s="699"/>
      <c r="UDC10" s="699"/>
      <c r="UDD10" s="699"/>
      <c r="UDE10" s="699"/>
      <c r="UDF10" s="699"/>
      <c r="UDG10" s="699"/>
      <c r="UDH10" s="699"/>
      <c r="UDI10" s="699"/>
      <c r="UDJ10" s="699"/>
      <c r="UDK10" s="699"/>
      <c r="UDL10" s="699"/>
      <c r="UDM10" s="699"/>
      <c r="UDN10" s="699"/>
      <c r="UDO10" s="699"/>
      <c r="UDP10" s="699"/>
      <c r="UDQ10" s="699"/>
      <c r="UDR10" s="699"/>
      <c r="UDS10" s="699"/>
      <c r="UDT10" s="699"/>
      <c r="UDU10" s="699"/>
      <c r="UDV10" s="699"/>
      <c r="UDW10" s="699"/>
      <c r="UDX10" s="699"/>
      <c r="UDY10" s="699"/>
      <c r="UDZ10" s="699"/>
      <c r="UEA10" s="699"/>
      <c r="UEB10" s="699"/>
      <c r="UEC10" s="699"/>
      <c r="UED10" s="699"/>
      <c r="UEE10" s="699"/>
      <c r="UEF10" s="699"/>
      <c r="UEG10" s="699"/>
      <c r="UEH10" s="699"/>
      <c r="UEI10" s="699"/>
      <c r="UEJ10" s="699"/>
      <c r="UEK10" s="699"/>
      <c r="UEL10" s="699"/>
      <c r="UEM10" s="699"/>
      <c r="UEN10" s="699"/>
      <c r="UEO10" s="699"/>
      <c r="UEP10" s="699"/>
      <c r="UEQ10" s="699"/>
      <c r="UER10" s="699"/>
      <c r="UES10" s="699"/>
      <c r="UET10" s="699"/>
      <c r="UEU10" s="699"/>
      <c r="UEV10" s="699"/>
      <c r="UEW10" s="699"/>
      <c r="UEX10" s="699"/>
      <c r="UEY10" s="699"/>
      <c r="UEZ10" s="699"/>
      <c r="UFA10" s="699"/>
      <c r="UFB10" s="699"/>
      <c r="UFC10" s="699"/>
      <c r="UFD10" s="699"/>
      <c r="UFE10" s="699"/>
      <c r="UFF10" s="699"/>
      <c r="UFG10" s="699"/>
      <c r="UFH10" s="699"/>
      <c r="UFI10" s="699"/>
      <c r="UFJ10" s="699"/>
      <c r="UFK10" s="699"/>
      <c r="UFL10" s="699"/>
      <c r="UFM10" s="699"/>
      <c r="UFN10" s="699"/>
      <c r="UFO10" s="699"/>
      <c r="UFP10" s="699"/>
      <c r="UFQ10" s="699"/>
      <c r="UFR10" s="699"/>
      <c r="UFS10" s="699"/>
      <c r="UFT10" s="699"/>
      <c r="UFU10" s="699"/>
      <c r="UFV10" s="699"/>
      <c r="UFW10" s="699"/>
      <c r="UFX10" s="699"/>
      <c r="UFY10" s="699"/>
      <c r="UFZ10" s="699"/>
      <c r="UGA10" s="699"/>
      <c r="UGB10" s="699"/>
      <c r="UGC10" s="699"/>
      <c r="UGD10" s="699"/>
      <c r="UGE10" s="699"/>
      <c r="UGF10" s="699"/>
      <c r="UGG10" s="699"/>
      <c r="UGH10" s="699"/>
      <c r="UGI10" s="699"/>
      <c r="UGJ10" s="699"/>
      <c r="UGK10" s="699"/>
      <c r="UGL10" s="699"/>
      <c r="UGM10" s="699"/>
      <c r="UGN10" s="699"/>
      <c r="UGO10" s="699"/>
      <c r="UGP10" s="699"/>
      <c r="UGQ10" s="699"/>
      <c r="UGR10" s="699"/>
      <c r="UGS10" s="699"/>
      <c r="UGT10" s="699"/>
      <c r="UGU10" s="699"/>
      <c r="UGV10" s="699"/>
      <c r="UGW10" s="699"/>
      <c r="UGX10" s="699"/>
      <c r="UGY10" s="699"/>
      <c r="UGZ10" s="699"/>
      <c r="UHA10" s="699"/>
      <c r="UHB10" s="699"/>
      <c r="UHC10" s="699"/>
      <c r="UHD10" s="699"/>
      <c r="UHE10" s="699"/>
      <c r="UHF10" s="699"/>
      <c r="UHG10" s="699"/>
      <c r="UHH10" s="699"/>
      <c r="UHI10" s="699"/>
      <c r="UHJ10" s="699"/>
      <c r="UHK10" s="699"/>
      <c r="UHL10" s="699"/>
      <c r="UHM10" s="699"/>
      <c r="UHN10" s="699"/>
      <c r="UHO10" s="699"/>
      <c r="UHP10" s="699"/>
      <c r="UHQ10" s="699"/>
      <c r="UHR10" s="699"/>
      <c r="UHS10" s="699"/>
      <c r="UHT10" s="699"/>
      <c r="UHU10" s="699"/>
      <c r="UHV10" s="699"/>
      <c r="UHW10" s="699"/>
      <c r="UHX10" s="699"/>
      <c r="UHY10" s="699"/>
      <c r="UHZ10" s="699"/>
      <c r="UIA10" s="699"/>
      <c r="UIB10" s="699"/>
      <c r="UIC10" s="699"/>
      <c r="UID10" s="699"/>
      <c r="UIE10" s="699"/>
      <c r="UIF10" s="699"/>
      <c r="UIG10" s="699"/>
      <c r="UIH10" s="699"/>
      <c r="UII10" s="699"/>
      <c r="UIJ10" s="699"/>
      <c r="UIK10" s="699"/>
      <c r="UIL10" s="699"/>
      <c r="UIM10" s="699"/>
      <c r="UIN10" s="699"/>
      <c r="UIO10" s="699"/>
      <c r="UIP10" s="699"/>
      <c r="UIQ10" s="699"/>
      <c r="UIR10" s="699"/>
      <c r="UIS10" s="699"/>
      <c r="UIT10" s="699"/>
      <c r="UIU10" s="699"/>
      <c r="UIV10" s="699"/>
      <c r="UIW10" s="699"/>
      <c r="UIX10" s="699"/>
      <c r="UIY10" s="699"/>
      <c r="UIZ10" s="699"/>
      <c r="UJA10" s="699"/>
      <c r="UJB10" s="699"/>
      <c r="UJC10" s="699"/>
      <c r="UJD10" s="699"/>
      <c r="UJE10" s="699"/>
      <c r="UJF10" s="699"/>
      <c r="UJG10" s="699"/>
      <c r="UJH10" s="699"/>
      <c r="UJI10" s="699"/>
      <c r="UJJ10" s="699"/>
      <c r="UJK10" s="699"/>
      <c r="UJL10" s="699"/>
      <c r="UJM10" s="699"/>
      <c r="UJN10" s="699"/>
      <c r="UJO10" s="699"/>
      <c r="UJP10" s="699"/>
      <c r="UJQ10" s="699"/>
      <c r="UJR10" s="699"/>
      <c r="UJS10" s="699"/>
      <c r="UJT10" s="699"/>
      <c r="UJU10" s="699"/>
      <c r="UJV10" s="699"/>
      <c r="UJW10" s="699"/>
      <c r="UJX10" s="699"/>
      <c r="UJY10" s="699"/>
      <c r="UJZ10" s="699"/>
      <c r="UKA10" s="699"/>
      <c r="UKB10" s="699"/>
      <c r="UKC10" s="699"/>
      <c r="UKD10" s="699"/>
      <c r="UKE10" s="699"/>
      <c r="UKF10" s="699"/>
      <c r="UKG10" s="699"/>
      <c r="UKH10" s="699"/>
      <c r="UKI10" s="699"/>
      <c r="UKJ10" s="699"/>
      <c r="UKK10" s="699"/>
      <c r="UKL10" s="699"/>
      <c r="UKM10" s="699"/>
      <c r="UKN10" s="699"/>
      <c r="UKO10" s="699"/>
      <c r="UKP10" s="699"/>
      <c r="UKQ10" s="699"/>
      <c r="UKR10" s="699"/>
      <c r="UKS10" s="699"/>
      <c r="UKT10" s="699"/>
      <c r="UKU10" s="699"/>
      <c r="UKV10" s="699"/>
      <c r="UKW10" s="699"/>
      <c r="UKX10" s="699"/>
      <c r="UKY10" s="699"/>
      <c r="UKZ10" s="699"/>
      <c r="ULA10" s="699"/>
      <c r="ULB10" s="699"/>
      <c r="ULC10" s="699"/>
      <c r="ULD10" s="699"/>
      <c r="ULE10" s="699"/>
      <c r="ULF10" s="699"/>
      <c r="ULG10" s="699"/>
      <c r="ULH10" s="699"/>
      <c r="ULI10" s="699"/>
      <c r="ULJ10" s="699"/>
      <c r="ULK10" s="699"/>
      <c r="ULL10" s="699"/>
      <c r="ULM10" s="699"/>
      <c r="ULN10" s="699"/>
      <c r="ULO10" s="699"/>
      <c r="ULP10" s="699"/>
      <c r="ULQ10" s="699"/>
      <c r="ULR10" s="699"/>
      <c r="ULS10" s="699"/>
      <c r="ULT10" s="699"/>
      <c r="ULU10" s="699"/>
      <c r="ULV10" s="699"/>
      <c r="ULW10" s="699"/>
      <c r="ULX10" s="699"/>
      <c r="ULY10" s="699"/>
      <c r="ULZ10" s="699"/>
      <c r="UMA10" s="699"/>
      <c r="UMB10" s="699"/>
      <c r="UMC10" s="699"/>
      <c r="UMD10" s="699"/>
      <c r="UME10" s="699"/>
      <c r="UMF10" s="699"/>
      <c r="UMG10" s="699"/>
      <c r="UMH10" s="699"/>
      <c r="UMI10" s="699"/>
      <c r="UMJ10" s="699"/>
      <c r="UMK10" s="699"/>
      <c r="UML10" s="699"/>
      <c r="UMM10" s="699"/>
      <c r="UMN10" s="699"/>
      <c r="UMO10" s="699"/>
      <c r="UMP10" s="699"/>
      <c r="UMQ10" s="699"/>
      <c r="UMR10" s="699"/>
      <c r="UMS10" s="699"/>
      <c r="UMT10" s="699"/>
      <c r="UMU10" s="699"/>
      <c r="UMV10" s="699"/>
      <c r="UMW10" s="699"/>
      <c r="UMX10" s="699"/>
      <c r="UMY10" s="699"/>
      <c r="UMZ10" s="699"/>
      <c r="UNA10" s="699"/>
      <c r="UNB10" s="699"/>
      <c r="UNC10" s="699"/>
      <c r="UND10" s="699"/>
      <c r="UNE10" s="699"/>
      <c r="UNF10" s="699"/>
      <c r="UNG10" s="699"/>
      <c r="UNH10" s="699"/>
      <c r="UNI10" s="699"/>
      <c r="UNJ10" s="699"/>
      <c r="UNK10" s="699"/>
      <c r="UNL10" s="699"/>
      <c r="UNM10" s="699"/>
      <c r="UNN10" s="699"/>
      <c r="UNO10" s="699"/>
      <c r="UNP10" s="699"/>
      <c r="UNQ10" s="699"/>
      <c r="UNR10" s="699"/>
      <c r="UNS10" s="699"/>
      <c r="UNT10" s="699"/>
      <c r="UNU10" s="699"/>
      <c r="UNV10" s="699"/>
      <c r="UNW10" s="699"/>
      <c r="UNX10" s="699"/>
      <c r="UNY10" s="699"/>
      <c r="UNZ10" s="699"/>
      <c r="UOA10" s="699"/>
      <c r="UOB10" s="699"/>
      <c r="UOC10" s="699"/>
      <c r="UOD10" s="699"/>
      <c r="UOE10" s="699"/>
      <c r="UOF10" s="699"/>
      <c r="UOG10" s="699"/>
      <c r="UOH10" s="699"/>
      <c r="UOI10" s="699"/>
      <c r="UOJ10" s="699"/>
      <c r="UOK10" s="699"/>
      <c r="UOL10" s="699"/>
      <c r="UOM10" s="699"/>
      <c r="UON10" s="699"/>
      <c r="UOO10" s="699"/>
      <c r="UOP10" s="699"/>
      <c r="UOQ10" s="699"/>
      <c r="UOR10" s="699"/>
      <c r="UOS10" s="699"/>
      <c r="UOT10" s="699"/>
      <c r="UOU10" s="699"/>
      <c r="UOV10" s="699"/>
      <c r="UOW10" s="699"/>
      <c r="UOX10" s="699"/>
      <c r="UOY10" s="699"/>
      <c r="UOZ10" s="699"/>
      <c r="UPA10" s="699"/>
      <c r="UPB10" s="699"/>
      <c r="UPC10" s="699"/>
      <c r="UPD10" s="699"/>
      <c r="UPE10" s="699"/>
      <c r="UPF10" s="699"/>
      <c r="UPG10" s="699"/>
      <c r="UPH10" s="699"/>
      <c r="UPI10" s="699"/>
      <c r="UPJ10" s="699"/>
      <c r="UPK10" s="699"/>
      <c r="UPL10" s="699"/>
      <c r="UPM10" s="699"/>
      <c r="UPN10" s="699"/>
      <c r="UPO10" s="699"/>
      <c r="UPP10" s="699"/>
      <c r="UPQ10" s="699"/>
      <c r="UPR10" s="699"/>
      <c r="UPS10" s="699"/>
      <c r="UPT10" s="699"/>
      <c r="UPU10" s="699"/>
      <c r="UPV10" s="699"/>
      <c r="UPW10" s="699"/>
      <c r="UPX10" s="699"/>
      <c r="UPY10" s="699"/>
      <c r="UPZ10" s="699"/>
      <c r="UQA10" s="699"/>
      <c r="UQB10" s="699"/>
      <c r="UQC10" s="699"/>
      <c r="UQD10" s="699"/>
      <c r="UQE10" s="699"/>
      <c r="UQF10" s="699"/>
      <c r="UQG10" s="699"/>
      <c r="UQH10" s="699"/>
      <c r="UQI10" s="699"/>
      <c r="UQJ10" s="699"/>
      <c r="UQK10" s="699"/>
      <c r="UQL10" s="699"/>
      <c r="UQM10" s="699"/>
      <c r="UQN10" s="699"/>
      <c r="UQO10" s="699"/>
      <c r="UQP10" s="699"/>
      <c r="UQQ10" s="699"/>
      <c r="UQR10" s="699"/>
      <c r="UQS10" s="699"/>
      <c r="UQT10" s="699"/>
      <c r="UQU10" s="699"/>
      <c r="UQV10" s="699"/>
      <c r="UQW10" s="699"/>
      <c r="UQX10" s="699"/>
      <c r="UQY10" s="699"/>
      <c r="UQZ10" s="699"/>
      <c r="URA10" s="699"/>
      <c r="URB10" s="699"/>
      <c r="URC10" s="699"/>
      <c r="URD10" s="699"/>
      <c r="URE10" s="699"/>
      <c r="URF10" s="699"/>
      <c r="URG10" s="699"/>
      <c r="URH10" s="699"/>
      <c r="URI10" s="699"/>
      <c r="URJ10" s="699"/>
      <c r="URK10" s="699"/>
      <c r="URL10" s="699"/>
      <c r="URM10" s="699"/>
      <c r="URN10" s="699"/>
      <c r="URO10" s="699"/>
      <c r="URP10" s="699"/>
      <c r="URQ10" s="699"/>
      <c r="URR10" s="699"/>
      <c r="URS10" s="699"/>
      <c r="URT10" s="699"/>
      <c r="URU10" s="699"/>
      <c r="URV10" s="699"/>
      <c r="URW10" s="699"/>
      <c r="URX10" s="699"/>
      <c r="URY10" s="699"/>
      <c r="URZ10" s="699"/>
      <c r="USA10" s="699"/>
      <c r="USB10" s="699"/>
      <c r="USC10" s="699"/>
      <c r="USD10" s="699"/>
      <c r="USE10" s="699"/>
      <c r="USF10" s="699"/>
      <c r="USG10" s="699"/>
      <c r="USH10" s="699"/>
      <c r="USI10" s="699"/>
      <c r="USJ10" s="699"/>
      <c r="USK10" s="699"/>
      <c r="USL10" s="699"/>
      <c r="USM10" s="699"/>
      <c r="USN10" s="699"/>
      <c r="USO10" s="699"/>
      <c r="USP10" s="699"/>
      <c r="USQ10" s="699"/>
      <c r="USR10" s="699"/>
      <c r="USS10" s="699"/>
      <c r="UST10" s="699"/>
      <c r="USU10" s="699"/>
      <c r="USV10" s="699"/>
      <c r="USW10" s="699"/>
      <c r="USX10" s="699"/>
      <c r="USY10" s="699"/>
      <c r="USZ10" s="699"/>
      <c r="UTA10" s="699"/>
      <c r="UTB10" s="699"/>
      <c r="UTC10" s="699"/>
      <c r="UTD10" s="699"/>
      <c r="UTE10" s="699"/>
      <c r="UTF10" s="699"/>
      <c r="UTG10" s="699"/>
      <c r="UTH10" s="699"/>
      <c r="UTI10" s="699"/>
      <c r="UTJ10" s="699"/>
      <c r="UTK10" s="699"/>
      <c r="UTL10" s="699"/>
      <c r="UTM10" s="699"/>
      <c r="UTN10" s="699"/>
      <c r="UTO10" s="699"/>
      <c r="UTP10" s="699"/>
      <c r="UTQ10" s="699"/>
      <c r="UTR10" s="699"/>
      <c r="UTS10" s="699"/>
      <c r="UTT10" s="699"/>
      <c r="UTU10" s="699"/>
      <c r="UTV10" s="699"/>
      <c r="UTW10" s="699"/>
      <c r="UTX10" s="699"/>
      <c r="UTY10" s="699"/>
      <c r="UTZ10" s="699"/>
      <c r="UUA10" s="699"/>
      <c r="UUB10" s="699"/>
      <c r="UUC10" s="699"/>
      <c r="UUD10" s="699"/>
      <c r="UUE10" s="699"/>
      <c r="UUF10" s="699"/>
      <c r="UUG10" s="699"/>
      <c r="UUH10" s="699"/>
      <c r="UUI10" s="699"/>
      <c r="UUJ10" s="699"/>
      <c r="UUK10" s="699"/>
      <c r="UUL10" s="699"/>
      <c r="UUM10" s="699"/>
      <c r="UUN10" s="699"/>
      <c r="UUO10" s="699"/>
      <c r="UUP10" s="699"/>
      <c r="UUQ10" s="699"/>
      <c r="UUR10" s="699"/>
      <c r="UUS10" s="699"/>
      <c r="UUT10" s="699"/>
      <c r="UUU10" s="699"/>
      <c r="UUV10" s="699"/>
      <c r="UUW10" s="699"/>
      <c r="UUX10" s="699"/>
      <c r="UUY10" s="699"/>
      <c r="UUZ10" s="699"/>
      <c r="UVA10" s="699"/>
      <c r="UVB10" s="699"/>
      <c r="UVC10" s="699"/>
      <c r="UVD10" s="699"/>
      <c r="UVE10" s="699"/>
      <c r="UVF10" s="699"/>
      <c r="UVG10" s="699"/>
      <c r="UVH10" s="699"/>
      <c r="UVI10" s="699"/>
      <c r="UVJ10" s="699"/>
      <c r="UVK10" s="699"/>
      <c r="UVL10" s="699"/>
      <c r="UVM10" s="699"/>
      <c r="UVN10" s="699"/>
      <c r="UVO10" s="699"/>
      <c r="UVP10" s="699"/>
      <c r="UVQ10" s="699"/>
      <c r="UVR10" s="699"/>
      <c r="UVS10" s="699"/>
      <c r="UVT10" s="699"/>
      <c r="UVU10" s="699"/>
      <c r="UVV10" s="699"/>
      <c r="UVW10" s="699"/>
      <c r="UVX10" s="699"/>
      <c r="UVY10" s="699"/>
      <c r="UVZ10" s="699"/>
      <c r="UWA10" s="699"/>
      <c r="UWB10" s="699"/>
      <c r="UWC10" s="699"/>
      <c r="UWD10" s="699"/>
      <c r="UWE10" s="699"/>
      <c r="UWF10" s="699"/>
      <c r="UWG10" s="699"/>
      <c r="UWH10" s="699"/>
      <c r="UWI10" s="699"/>
      <c r="UWJ10" s="699"/>
      <c r="UWK10" s="699"/>
      <c r="UWL10" s="699"/>
      <c r="UWM10" s="699"/>
      <c r="UWN10" s="699"/>
      <c r="UWO10" s="699"/>
      <c r="UWP10" s="699"/>
      <c r="UWQ10" s="699"/>
      <c r="UWR10" s="699"/>
      <c r="UWS10" s="699"/>
      <c r="UWT10" s="699"/>
      <c r="UWU10" s="699"/>
      <c r="UWV10" s="699"/>
      <c r="UWW10" s="699"/>
      <c r="UWX10" s="699"/>
      <c r="UWY10" s="699"/>
      <c r="UWZ10" s="699"/>
      <c r="UXA10" s="699"/>
      <c r="UXB10" s="699"/>
      <c r="UXC10" s="699"/>
      <c r="UXD10" s="699"/>
      <c r="UXE10" s="699"/>
      <c r="UXF10" s="699"/>
      <c r="UXG10" s="699"/>
      <c r="UXH10" s="699"/>
      <c r="UXI10" s="699"/>
      <c r="UXJ10" s="699"/>
      <c r="UXK10" s="699"/>
      <c r="UXL10" s="699"/>
      <c r="UXM10" s="699"/>
      <c r="UXN10" s="699"/>
      <c r="UXO10" s="699"/>
      <c r="UXP10" s="699"/>
      <c r="UXQ10" s="699"/>
      <c r="UXR10" s="699"/>
      <c r="UXS10" s="699"/>
      <c r="UXT10" s="699"/>
      <c r="UXU10" s="699"/>
      <c r="UXV10" s="699"/>
      <c r="UXW10" s="699"/>
      <c r="UXX10" s="699"/>
      <c r="UXY10" s="699"/>
      <c r="UXZ10" s="699"/>
      <c r="UYA10" s="699"/>
      <c r="UYB10" s="699"/>
      <c r="UYC10" s="699"/>
      <c r="UYD10" s="699"/>
      <c r="UYE10" s="699"/>
      <c r="UYF10" s="699"/>
      <c r="UYG10" s="699"/>
      <c r="UYH10" s="699"/>
      <c r="UYI10" s="699"/>
      <c r="UYJ10" s="699"/>
      <c r="UYK10" s="699"/>
      <c r="UYL10" s="699"/>
      <c r="UYM10" s="699"/>
      <c r="UYN10" s="699"/>
      <c r="UYO10" s="699"/>
      <c r="UYP10" s="699"/>
      <c r="UYQ10" s="699"/>
      <c r="UYR10" s="699"/>
      <c r="UYS10" s="699"/>
      <c r="UYT10" s="699"/>
      <c r="UYU10" s="699"/>
      <c r="UYV10" s="699"/>
      <c r="UYW10" s="699"/>
      <c r="UYX10" s="699"/>
      <c r="UYY10" s="699"/>
      <c r="UYZ10" s="699"/>
      <c r="UZA10" s="699"/>
      <c r="UZB10" s="699"/>
      <c r="UZC10" s="699"/>
      <c r="UZD10" s="699"/>
      <c r="UZE10" s="699"/>
      <c r="UZF10" s="699"/>
      <c r="UZG10" s="699"/>
      <c r="UZH10" s="699"/>
      <c r="UZI10" s="699"/>
      <c r="UZJ10" s="699"/>
      <c r="UZK10" s="699"/>
      <c r="UZL10" s="699"/>
      <c r="UZM10" s="699"/>
      <c r="UZN10" s="699"/>
      <c r="UZO10" s="699"/>
      <c r="UZP10" s="699"/>
      <c r="UZQ10" s="699"/>
      <c r="UZR10" s="699"/>
      <c r="UZS10" s="699"/>
      <c r="UZT10" s="699"/>
      <c r="UZU10" s="699"/>
      <c r="UZV10" s="699"/>
      <c r="UZW10" s="699"/>
      <c r="UZX10" s="699"/>
      <c r="UZY10" s="699"/>
      <c r="UZZ10" s="699"/>
      <c r="VAA10" s="699"/>
      <c r="VAB10" s="699"/>
      <c r="VAC10" s="699"/>
      <c r="VAD10" s="699"/>
      <c r="VAE10" s="699"/>
      <c r="VAF10" s="699"/>
      <c r="VAG10" s="699"/>
      <c r="VAH10" s="699"/>
      <c r="VAI10" s="699"/>
      <c r="VAJ10" s="699"/>
      <c r="VAK10" s="699"/>
      <c r="VAL10" s="699"/>
      <c r="VAM10" s="699"/>
      <c r="VAN10" s="699"/>
      <c r="VAO10" s="699"/>
      <c r="VAP10" s="699"/>
      <c r="VAQ10" s="699"/>
      <c r="VAR10" s="699"/>
      <c r="VAS10" s="699"/>
      <c r="VAT10" s="699"/>
      <c r="VAU10" s="699"/>
      <c r="VAV10" s="699"/>
      <c r="VAW10" s="699"/>
      <c r="VAX10" s="699"/>
      <c r="VAY10" s="699"/>
      <c r="VAZ10" s="699"/>
      <c r="VBA10" s="699"/>
      <c r="VBB10" s="699"/>
      <c r="VBC10" s="699"/>
      <c r="VBD10" s="699"/>
      <c r="VBE10" s="699"/>
      <c r="VBF10" s="699"/>
      <c r="VBG10" s="699"/>
      <c r="VBH10" s="699"/>
      <c r="VBI10" s="699"/>
      <c r="VBJ10" s="699"/>
      <c r="VBK10" s="699"/>
      <c r="VBL10" s="699"/>
      <c r="VBM10" s="699"/>
      <c r="VBN10" s="699"/>
      <c r="VBO10" s="699"/>
      <c r="VBP10" s="699"/>
      <c r="VBQ10" s="699"/>
      <c r="VBR10" s="699"/>
      <c r="VBS10" s="699"/>
      <c r="VBT10" s="699"/>
      <c r="VBU10" s="699"/>
      <c r="VBV10" s="699"/>
      <c r="VBW10" s="699"/>
      <c r="VBX10" s="699"/>
      <c r="VBY10" s="699"/>
      <c r="VBZ10" s="699"/>
      <c r="VCA10" s="699"/>
      <c r="VCB10" s="699"/>
      <c r="VCC10" s="699"/>
      <c r="VCD10" s="699"/>
      <c r="VCE10" s="699"/>
      <c r="VCF10" s="699"/>
      <c r="VCG10" s="699"/>
      <c r="VCH10" s="699"/>
      <c r="VCI10" s="699"/>
      <c r="VCJ10" s="699"/>
      <c r="VCK10" s="699"/>
      <c r="VCL10" s="699"/>
      <c r="VCM10" s="699"/>
      <c r="VCN10" s="699"/>
      <c r="VCO10" s="699"/>
      <c r="VCP10" s="699"/>
      <c r="VCQ10" s="699"/>
      <c r="VCR10" s="699"/>
      <c r="VCS10" s="699"/>
      <c r="VCT10" s="699"/>
      <c r="VCU10" s="699"/>
      <c r="VCV10" s="699"/>
      <c r="VCW10" s="699"/>
      <c r="VCX10" s="699"/>
      <c r="VCY10" s="699"/>
      <c r="VCZ10" s="699"/>
      <c r="VDA10" s="699"/>
      <c r="VDB10" s="699"/>
      <c r="VDC10" s="699"/>
      <c r="VDD10" s="699"/>
      <c r="VDE10" s="699"/>
      <c r="VDF10" s="699"/>
      <c r="VDG10" s="699"/>
      <c r="VDH10" s="699"/>
      <c r="VDI10" s="699"/>
      <c r="VDJ10" s="699"/>
      <c r="VDK10" s="699"/>
      <c r="VDL10" s="699"/>
      <c r="VDM10" s="699"/>
      <c r="VDN10" s="699"/>
      <c r="VDO10" s="699"/>
      <c r="VDP10" s="699"/>
      <c r="VDQ10" s="699"/>
      <c r="VDR10" s="699"/>
      <c r="VDS10" s="699"/>
      <c r="VDT10" s="699"/>
      <c r="VDU10" s="699"/>
      <c r="VDV10" s="699"/>
      <c r="VDW10" s="699"/>
      <c r="VDX10" s="699"/>
      <c r="VDY10" s="699"/>
      <c r="VDZ10" s="699"/>
      <c r="VEA10" s="699"/>
      <c r="VEB10" s="699"/>
      <c r="VEC10" s="699"/>
      <c r="VED10" s="699"/>
      <c r="VEE10" s="699"/>
      <c r="VEF10" s="699"/>
      <c r="VEG10" s="699"/>
      <c r="VEH10" s="699"/>
      <c r="VEI10" s="699"/>
      <c r="VEJ10" s="699"/>
      <c r="VEK10" s="699"/>
      <c r="VEL10" s="699"/>
      <c r="VEM10" s="699"/>
      <c r="VEN10" s="699"/>
      <c r="VEO10" s="699"/>
      <c r="VEP10" s="699"/>
      <c r="VEQ10" s="699"/>
      <c r="VER10" s="699"/>
      <c r="VES10" s="699"/>
      <c r="VET10" s="699"/>
      <c r="VEU10" s="699"/>
      <c r="VEV10" s="699"/>
      <c r="VEW10" s="699"/>
      <c r="VEX10" s="699"/>
      <c r="VEY10" s="699"/>
      <c r="VEZ10" s="699"/>
      <c r="VFA10" s="699"/>
      <c r="VFB10" s="699"/>
      <c r="VFC10" s="699"/>
      <c r="VFD10" s="699"/>
      <c r="VFE10" s="699"/>
      <c r="VFF10" s="699"/>
      <c r="VFG10" s="699"/>
      <c r="VFH10" s="699"/>
      <c r="VFI10" s="699"/>
      <c r="VFJ10" s="699"/>
      <c r="VFK10" s="699"/>
      <c r="VFL10" s="699"/>
      <c r="VFM10" s="699"/>
      <c r="VFN10" s="699"/>
      <c r="VFO10" s="699"/>
      <c r="VFP10" s="699"/>
      <c r="VFQ10" s="699"/>
      <c r="VFR10" s="699"/>
      <c r="VFS10" s="699"/>
      <c r="VFT10" s="699"/>
      <c r="VFU10" s="699"/>
      <c r="VFV10" s="699"/>
      <c r="VFW10" s="699"/>
      <c r="VFX10" s="699"/>
      <c r="VFY10" s="699"/>
      <c r="VFZ10" s="699"/>
      <c r="VGA10" s="699"/>
      <c r="VGB10" s="699"/>
      <c r="VGC10" s="699"/>
      <c r="VGD10" s="699"/>
      <c r="VGE10" s="699"/>
      <c r="VGF10" s="699"/>
      <c r="VGG10" s="699"/>
      <c r="VGH10" s="699"/>
      <c r="VGI10" s="699"/>
      <c r="VGJ10" s="699"/>
      <c r="VGK10" s="699"/>
      <c r="VGL10" s="699"/>
      <c r="VGM10" s="699"/>
      <c r="VGN10" s="699"/>
      <c r="VGO10" s="699"/>
      <c r="VGP10" s="699"/>
      <c r="VGQ10" s="699"/>
      <c r="VGR10" s="699"/>
      <c r="VGS10" s="699"/>
      <c r="VGT10" s="699"/>
      <c r="VGU10" s="699"/>
      <c r="VGV10" s="699"/>
      <c r="VGW10" s="699"/>
      <c r="VGX10" s="699"/>
      <c r="VGY10" s="699"/>
      <c r="VGZ10" s="699"/>
      <c r="VHA10" s="699"/>
      <c r="VHB10" s="699"/>
      <c r="VHC10" s="699"/>
      <c r="VHD10" s="699"/>
      <c r="VHE10" s="699"/>
      <c r="VHF10" s="699"/>
      <c r="VHG10" s="699"/>
      <c r="VHH10" s="699"/>
      <c r="VHI10" s="699"/>
      <c r="VHJ10" s="699"/>
      <c r="VHK10" s="699"/>
      <c r="VHL10" s="699"/>
      <c r="VHM10" s="699"/>
      <c r="VHN10" s="699"/>
      <c r="VHO10" s="699"/>
      <c r="VHP10" s="699"/>
      <c r="VHQ10" s="699"/>
      <c r="VHR10" s="699"/>
      <c r="VHS10" s="699"/>
      <c r="VHT10" s="699"/>
      <c r="VHU10" s="699"/>
      <c r="VHV10" s="699"/>
      <c r="VHW10" s="699"/>
      <c r="VHX10" s="699"/>
      <c r="VHY10" s="699"/>
      <c r="VHZ10" s="699"/>
      <c r="VIA10" s="699"/>
      <c r="VIB10" s="699"/>
      <c r="VIC10" s="699"/>
      <c r="VID10" s="699"/>
      <c r="VIE10" s="699"/>
      <c r="VIF10" s="699"/>
      <c r="VIG10" s="699"/>
      <c r="VIH10" s="699"/>
      <c r="VII10" s="699"/>
      <c r="VIJ10" s="699"/>
      <c r="VIK10" s="699"/>
      <c r="VIL10" s="699"/>
      <c r="VIM10" s="699"/>
      <c r="VIN10" s="699"/>
      <c r="VIO10" s="699"/>
      <c r="VIP10" s="699"/>
      <c r="VIQ10" s="699"/>
      <c r="VIR10" s="699"/>
      <c r="VIS10" s="699"/>
      <c r="VIT10" s="699"/>
      <c r="VIU10" s="699"/>
      <c r="VIV10" s="699"/>
      <c r="VIW10" s="699"/>
      <c r="VIX10" s="699"/>
      <c r="VIY10" s="699"/>
      <c r="VIZ10" s="699"/>
      <c r="VJA10" s="699"/>
      <c r="VJB10" s="699"/>
      <c r="VJC10" s="699"/>
      <c r="VJD10" s="699"/>
      <c r="VJE10" s="699"/>
      <c r="VJF10" s="699"/>
      <c r="VJG10" s="699"/>
      <c r="VJH10" s="699"/>
      <c r="VJI10" s="699"/>
      <c r="VJJ10" s="699"/>
      <c r="VJK10" s="699"/>
      <c r="VJL10" s="699"/>
      <c r="VJM10" s="699"/>
      <c r="VJN10" s="699"/>
      <c r="VJO10" s="699"/>
      <c r="VJP10" s="699"/>
      <c r="VJQ10" s="699"/>
      <c r="VJR10" s="699"/>
      <c r="VJS10" s="699"/>
      <c r="VJT10" s="699"/>
      <c r="VJU10" s="699"/>
      <c r="VJV10" s="699"/>
      <c r="VJW10" s="699"/>
      <c r="VJX10" s="699"/>
      <c r="VJY10" s="699"/>
      <c r="VJZ10" s="699"/>
      <c r="VKA10" s="699"/>
      <c r="VKB10" s="699"/>
      <c r="VKC10" s="699"/>
      <c r="VKD10" s="699"/>
      <c r="VKE10" s="699"/>
      <c r="VKF10" s="699"/>
      <c r="VKG10" s="699"/>
      <c r="VKH10" s="699"/>
      <c r="VKI10" s="699"/>
      <c r="VKJ10" s="699"/>
      <c r="VKK10" s="699"/>
      <c r="VKL10" s="699"/>
      <c r="VKM10" s="699"/>
      <c r="VKN10" s="699"/>
      <c r="VKO10" s="699"/>
      <c r="VKP10" s="699"/>
      <c r="VKQ10" s="699"/>
      <c r="VKR10" s="699"/>
      <c r="VKS10" s="699"/>
      <c r="VKT10" s="699"/>
      <c r="VKU10" s="699"/>
      <c r="VKV10" s="699"/>
      <c r="VKW10" s="699"/>
      <c r="VKX10" s="699"/>
      <c r="VKY10" s="699"/>
      <c r="VKZ10" s="699"/>
      <c r="VLA10" s="699"/>
      <c r="VLB10" s="699"/>
      <c r="VLC10" s="699"/>
      <c r="VLD10" s="699"/>
      <c r="VLE10" s="699"/>
      <c r="VLF10" s="699"/>
      <c r="VLG10" s="699"/>
      <c r="VLH10" s="699"/>
      <c r="VLI10" s="699"/>
      <c r="VLJ10" s="699"/>
      <c r="VLK10" s="699"/>
      <c r="VLL10" s="699"/>
      <c r="VLM10" s="699"/>
      <c r="VLN10" s="699"/>
      <c r="VLO10" s="699"/>
      <c r="VLP10" s="699"/>
      <c r="VLQ10" s="699"/>
      <c r="VLR10" s="699"/>
      <c r="VLS10" s="699"/>
      <c r="VLT10" s="699"/>
      <c r="VLU10" s="699"/>
      <c r="VLV10" s="699"/>
      <c r="VLW10" s="699"/>
      <c r="VLX10" s="699"/>
      <c r="VLY10" s="699"/>
      <c r="VLZ10" s="699"/>
      <c r="VMA10" s="699"/>
      <c r="VMB10" s="699"/>
      <c r="VMC10" s="699"/>
      <c r="VMD10" s="699"/>
      <c r="VME10" s="699"/>
      <c r="VMF10" s="699"/>
      <c r="VMG10" s="699"/>
      <c r="VMH10" s="699"/>
      <c r="VMI10" s="699"/>
      <c r="VMJ10" s="699"/>
      <c r="VMK10" s="699"/>
      <c r="VML10" s="699"/>
      <c r="VMM10" s="699"/>
      <c r="VMN10" s="699"/>
      <c r="VMO10" s="699"/>
      <c r="VMP10" s="699"/>
      <c r="VMQ10" s="699"/>
      <c r="VMR10" s="699"/>
      <c r="VMS10" s="699"/>
      <c r="VMT10" s="699"/>
      <c r="VMU10" s="699"/>
      <c r="VMV10" s="699"/>
      <c r="VMW10" s="699"/>
      <c r="VMX10" s="699"/>
      <c r="VMY10" s="699"/>
      <c r="VMZ10" s="699"/>
      <c r="VNA10" s="699"/>
      <c r="VNB10" s="699"/>
      <c r="VNC10" s="699"/>
      <c r="VND10" s="699"/>
      <c r="VNE10" s="699"/>
      <c r="VNF10" s="699"/>
      <c r="VNG10" s="699"/>
      <c r="VNH10" s="699"/>
      <c r="VNI10" s="699"/>
      <c r="VNJ10" s="699"/>
      <c r="VNK10" s="699"/>
      <c r="VNL10" s="699"/>
      <c r="VNM10" s="699"/>
      <c r="VNN10" s="699"/>
      <c r="VNO10" s="699"/>
      <c r="VNP10" s="699"/>
      <c r="VNQ10" s="699"/>
      <c r="VNR10" s="699"/>
      <c r="VNS10" s="699"/>
      <c r="VNT10" s="699"/>
      <c r="VNU10" s="699"/>
      <c r="VNV10" s="699"/>
      <c r="VNW10" s="699"/>
      <c r="VNX10" s="699"/>
      <c r="VNY10" s="699"/>
      <c r="VNZ10" s="699"/>
      <c r="VOA10" s="699"/>
      <c r="VOB10" s="699"/>
      <c r="VOC10" s="699"/>
      <c r="VOD10" s="699"/>
      <c r="VOE10" s="699"/>
      <c r="VOF10" s="699"/>
      <c r="VOG10" s="699"/>
      <c r="VOH10" s="699"/>
      <c r="VOI10" s="699"/>
      <c r="VOJ10" s="699"/>
      <c r="VOK10" s="699"/>
      <c r="VOL10" s="699"/>
      <c r="VOM10" s="699"/>
      <c r="VON10" s="699"/>
      <c r="VOO10" s="699"/>
      <c r="VOP10" s="699"/>
      <c r="VOQ10" s="699"/>
      <c r="VOR10" s="699"/>
      <c r="VOS10" s="699"/>
      <c r="VOT10" s="699"/>
      <c r="VOU10" s="699"/>
      <c r="VOV10" s="699"/>
      <c r="VOW10" s="699"/>
      <c r="VOX10" s="699"/>
      <c r="VOY10" s="699"/>
      <c r="VOZ10" s="699"/>
      <c r="VPA10" s="699"/>
      <c r="VPB10" s="699"/>
      <c r="VPC10" s="699"/>
      <c r="VPD10" s="699"/>
      <c r="VPE10" s="699"/>
      <c r="VPF10" s="699"/>
      <c r="VPG10" s="699"/>
      <c r="VPH10" s="699"/>
      <c r="VPI10" s="699"/>
      <c r="VPJ10" s="699"/>
      <c r="VPK10" s="699"/>
      <c r="VPL10" s="699"/>
      <c r="VPM10" s="699"/>
      <c r="VPN10" s="699"/>
      <c r="VPO10" s="699"/>
      <c r="VPP10" s="699"/>
      <c r="VPQ10" s="699"/>
      <c r="VPR10" s="699"/>
      <c r="VPS10" s="699"/>
      <c r="VPT10" s="699"/>
      <c r="VPU10" s="699"/>
      <c r="VPV10" s="699"/>
      <c r="VPW10" s="699"/>
      <c r="VPX10" s="699"/>
      <c r="VPY10" s="699"/>
      <c r="VPZ10" s="699"/>
      <c r="VQA10" s="699"/>
      <c r="VQB10" s="699"/>
      <c r="VQC10" s="699"/>
      <c r="VQD10" s="699"/>
      <c r="VQE10" s="699"/>
      <c r="VQF10" s="699"/>
      <c r="VQG10" s="699"/>
      <c r="VQH10" s="699"/>
      <c r="VQI10" s="699"/>
      <c r="VQJ10" s="699"/>
      <c r="VQK10" s="699"/>
      <c r="VQL10" s="699"/>
      <c r="VQM10" s="699"/>
      <c r="VQN10" s="699"/>
      <c r="VQO10" s="699"/>
      <c r="VQP10" s="699"/>
      <c r="VQQ10" s="699"/>
      <c r="VQR10" s="699"/>
      <c r="VQS10" s="699"/>
      <c r="VQT10" s="699"/>
      <c r="VQU10" s="699"/>
      <c r="VQV10" s="699"/>
      <c r="VQW10" s="699"/>
      <c r="VQX10" s="699"/>
      <c r="VQY10" s="699"/>
      <c r="VQZ10" s="699"/>
      <c r="VRA10" s="699"/>
      <c r="VRB10" s="699"/>
      <c r="VRC10" s="699"/>
      <c r="VRD10" s="699"/>
      <c r="VRE10" s="699"/>
      <c r="VRF10" s="699"/>
      <c r="VRG10" s="699"/>
      <c r="VRH10" s="699"/>
      <c r="VRI10" s="699"/>
      <c r="VRJ10" s="699"/>
      <c r="VRK10" s="699"/>
      <c r="VRL10" s="699"/>
      <c r="VRM10" s="699"/>
      <c r="VRN10" s="699"/>
      <c r="VRO10" s="699"/>
      <c r="VRP10" s="699"/>
      <c r="VRQ10" s="699"/>
      <c r="VRR10" s="699"/>
      <c r="VRS10" s="699"/>
      <c r="VRT10" s="699"/>
      <c r="VRU10" s="699"/>
      <c r="VRV10" s="699"/>
      <c r="VRW10" s="699"/>
      <c r="VRX10" s="699"/>
      <c r="VRY10" s="699"/>
      <c r="VRZ10" s="699"/>
      <c r="VSA10" s="699"/>
      <c r="VSB10" s="699"/>
      <c r="VSC10" s="699"/>
      <c r="VSD10" s="699"/>
      <c r="VSE10" s="699"/>
      <c r="VSF10" s="699"/>
      <c r="VSG10" s="699"/>
      <c r="VSH10" s="699"/>
      <c r="VSI10" s="699"/>
      <c r="VSJ10" s="699"/>
      <c r="VSK10" s="699"/>
      <c r="VSL10" s="699"/>
      <c r="VSM10" s="699"/>
      <c r="VSN10" s="699"/>
      <c r="VSO10" s="699"/>
      <c r="VSP10" s="699"/>
      <c r="VSQ10" s="699"/>
      <c r="VSR10" s="699"/>
      <c r="VSS10" s="699"/>
      <c r="VST10" s="699"/>
      <c r="VSU10" s="699"/>
      <c r="VSV10" s="699"/>
      <c r="VSW10" s="699"/>
      <c r="VSX10" s="699"/>
      <c r="VSY10" s="699"/>
      <c r="VSZ10" s="699"/>
      <c r="VTA10" s="699"/>
      <c r="VTB10" s="699"/>
      <c r="VTC10" s="699"/>
      <c r="VTD10" s="699"/>
      <c r="VTE10" s="699"/>
      <c r="VTF10" s="699"/>
      <c r="VTG10" s="699"/>
      <c r="VTH10" s="699"/>
      <c r="VTI10" s="699"/>
      <c r="VTJ10" s="699"/>
      <c r="VTK10" s="699"/>
      <c r="VTL10" s="699"/>
      <c r="VTM10" s="699"/>
      <c r="VTN10" s="699"/>
      <c r="VTO10" s="699"/>
      <c r="VTP10" s="699"/>
      <c r="VTQ10" s="699"/>
      <c r="VTR10" s="699"/>
      <c r="VTS10" s="699"/>
      <c r="VTT10" s="699"/>
      <c r="VTU10" s="699"/>
      <c r="VTV10" s="699"/>
      <c r="VTW10" s="699"/>
      <c r="VTX10" s="699"/>
      <c r="VTY10" s="699"/>
      <c r="VTZ10" s="699"/>
      <c r="VUA10" s="699"/>
      <c r="VUB10" s="699"/>
      <c r="VUC10" s="699"/>
      <c r="VUD10" s="699"/>
      <c r="VUE10" s="699"/>
      <c r="VUF10" s="699"/>
      <c r="VUG10" s="699"/>
      <c r="VUH10" s="699"/>
      <c r="VUI10" s="699"/>
      <c r="VUJ10" s="699"/>
      <c r="VUK10" s="699"/>
      <c r="VUL10" s="699"/>
      <c r="VUM10" s="699"/>
      <c r="VUN10" s="699"/>
      <c r="VUO10" s="699"/>
      <c r="VUP10" s="699"/>
      <c r="VUQ10" s="699"/>
      <c r="VUR10" s="699"/>
      <c r="VUS10" s="699"/>
      <c r="VUT10" s="699"/>
      <c r="VUU10" s="699"/>
      <c r="VUV10" s="699"/>
      <c r="VUW10" s="699"/>
      <c r="VUX10" s="699"/>
      <c r="VUY10" s="699"/>
      <c r="VUZ10" s="699"/>
      <c r="VVA10" s="699"/>
      <c r="VVB10" s="699"/>
      <c r="VVC10" s="699"/>
      <c r="VVD10" s="699"/>
      <c r="VVE10" s="699"/>
      <c r="VVF10" s="699"/>
      <c r="VVG10" s="699"/>
      <c r="VVH10" s="699"/>
      <c r="VVI10" s="699"/>
      <c r="VVJ10" s="699"/>
      <c r="VVK10" s="699"/>
      <c r="VVL10" s="699"/>
      <c r="VVM10" s="699"/>
      <c r="VVN10" s="699"/>
      <c r="VVO10" s="699"/>
      <c r="VVP10" s="699"/>
      <c r="VVQ10" s="699"/>
      <c r="VVR10" s="699"/>
      <c r="VVS10" s="699"/>
      <c r="VVT10" s="699"/>
      <c r="VVU10" s="699"/>
      <c r="VVV10" s="699"/>
      <c r="VVW10" s="699"/>
      <c r="VVX10" s="699"/>
      <c r="VVY10" s="699"/>
      <c r="VVZ10" s="699"/>
      <c r="VWA10" s="699"/>
      <c r="VWB10" s="699"/>
      <c r="VWC10" s="699"/>
      <c r="VWD10" s="699"/>
      <c r="VWE10" s="699"/>
      <c r="VWF10" s="699"/>
      <c r="VWG10" s="699"/>
      <c r="VWH10" s="699"/>
      <c r="VWI10" s="699"/>
      <c r="VWJ10" s="699"/>
      <c r="VWK10" s="699"/>
      <c r="VWL10" s="699"/>
      <c r="VWM10" s="699"/>
      <c r="VWN10" s="699"/>
      <c r="VWO10" s="699"/>
      <c r="VWP10" s="699"/>
      <c r="VWQ10" s="699"/>
      <c r="VWR10" s="699"/>
      <c r="VWS10" s="699"/>
      <c r="VWT10" s="699"/>
      <c r="VWU10" s="699"/>
      <c r="VWV10" s="699"/>
      <c r="VWW10" s="699"/>
      <c r="VWX10" s="699"/>
      <c r="VWY10" s="699"/>
      <c r="VWZ10" s="699"/>
      <c r="VXA10" s="699"/>
      <c r="VXB10" s="699"/>
      <c r="VXC10" s="699"/>
      <c r="VXD10" s="699"/>
      <c r="VXE10" s="699"/>
      <c r="VXF10" s="699"/>
      <c r="VXG10" s="699"/>
      <c r="VXH10" s="699"/>
      <c r="VXI10" s="699"/>
      <c r="VXJ10" s="699"/>
      <c r="VXK10" s="699"/>
      <c r="VXL10" s="699"/>
      <c r="VXM10" s="699"/>
      <c r="VXN10" s="699"/>
      <c r="VXO10" s="699"/>
      <c r="VXP10" s="699"/>
      <c r="VXQ10" s="699"/>
      <c r="VXR10" s="699"/>
      <c r="VXS10" s="699"/>
      <c r="VXT10" s="699"/>
      <c r="VXU10" s="699"/>
      <c r="VXV10" s="699"/>
      <c r="VXW10" s="699"/>
      <c r="VXX10" s="699"/>
      <c r="VXY10" s="699"/>
      <c r="VXZ10" s="699"/>
      <c r="VYA10" s="699"/>
      <c r="VYB10" s="699"/>
      <c r="VYC10" s="699"/>
      <c r="VYD10" s="699"/>
      <c r="VYE10" s="699"/>
      <c r="VYF10" s="699"/>
      <c r="VYG10" s="699"/>
      <c r="VYH10" s="699"/>
      <c r="VYI10" s="699"/>
      <c r="VYJ10" s="699"/>
      <c r="VYK10" s="699"/>
      <c r="VYL10" s="699"/>
      <c r="VYM10" s="699"/>
      <c r="VYN10" s="699"/>
      <c r="VYO10" s="699"/>
      <c r="VYP10" s="699"/>
      <c r="VYQ10" s="699"/>
      <c r="VYR10" s="699"/>
      <c r="VYS10" s="699"/>
      <c r="VYT10" s="699"/>
      <c r="VYU10" s="699"/>
      <c r="VYV10" s="699"/>
      <c r="VYW10" s="699"/>
      <c r="VYX10" s="699"/>
      <c r="VYY10" s="699"/>
      <c r="VYZ10" s="699"/>
      <c r="VZA10" s="699"/>
      <c r="VZB10" s="699"/>
      <c r="VZC10" s="699"/>
      <c r="VZD10" s="699"/>
      <c r="VZE10" s="699"/>
      <c r="VZF10" s="699"/>
      <c r="VZG10" s="699"/>
      <c r="VZH10" s="699"/>
      <c r="VZI10" s="699"/>
      <c r="VZJ10" s="699"/>
      <c r="VZK10" s="699"/>
      <c r="VZL10" s="699"/>
      <c r="VZM10" s="699"/>
      <c r="VZN10" s="699"/>
      <c r="VZO10" s="699"/>
      <c r="VZP10" s="699"/>
      <c r="VZQ10" s="699"/>
      <c r="VZR10" s="699"/>
      <c r="VZS10" s="699"/>
      <c r="VZT10" s="699"/>
      <c r="VZU10" s="699"/>
      <c r="VZV10" s="699"/>
      <c r="VZW10" s="699"/>
      <c r="VZX10" s="699"/>
      <c r="VZY10" s="699"/>
      <c r="VZZ10" s="699"/>
      <c r="WAA10" s="699"/>
      <c r="WAB10" s="699"/>
      <c r="WAC10" s="699"/>
      <c r="WAD10" s="699"/>
      <c r="WAE10" s="699"/>
      <c r="WAF10" s="699"/>
      <c r="WAG10" s="699"/>
      <c r="WAH10" s="699"/>
      <c r="WAI10" s="699"/>
      <c r="WAJ10" s="699"/>
      <c r="WAK10" s="699"/>
      <c r="WAL10" s="699"/>
      <c r="WAM10" s="699"/>
      <c r="WAN10" s="699"/>
      <c r="WAO10" s="699"/>
      <c r="WAP10" s="699"/>
      <c r="WAQ10" s="699"/>
      <c r="WAR10" s="699"/>
      <c r="WAS10" s="699"/>
      <c r="WAT10" s="699"/>
      <c r="WAU10" s="699"/>
      <c r="WAV10" s="699"/>
      <c r="WAW10" s="699"/>
      <c r="WAX10" s="699"/>
      <c r="WAY10" s="699"/>
      <c r="WAZ10" s="699"/>
      <c r="WBA10" s="699"/>
      <c r="WBB10" s="699"/>
      <c r="WBC10" s="699"/>
      <c r="WBD10" s="699"/>
      <c r="WBE10" s="699"/>
      <c r="WBF10" s="699"/>
      <c r="WBG10" s="699"/>
      <c r="WBH10" s="699"/>
      <c r="WBI10" s="699"/>
      <c r="WBJ10" s="699"/>
      <c r="WBK10" s="699"/>
      <c r="WBL10" s="699"/>
      <c r="WBM10" s="699"/>
      <c r="WBN10" s="699"/>
      <c r="WBO10" s="699"/>
      <c r="WBP10" s="699"/>
      <c r="WBQ10" s="699"/>
      <c r="WBR10" s="699"/>
      <c r="WBS10" s="699"/>
      <c r="WBT10" s="699"/>
      <c r="WBU10" s="699"/>
      <c r="WBV10" s="699"/>
      <c r="WBW10" s="699"/>
      <c r="WBX10" s="699"/>
      <c r="WBY10" s="699"/>
      <c r="WBZ10" s="699"/>
      <c r="WCA10" s="699"/>
      <c r="WCB10" s="699"/>
      <c r="WCC10" s="699"/>
      <c r="WCD10" s="699"/>
      <c r="WCE10" s="699"/>
      <c r="WCF10" s="699"/>
      <c r="WCG10" s="699"/>
      <c r="WCH10" s="699"/>
      <c r="WCI10" s="699"/>
      <c r="WCJ10" s="699"/>
      <c r="WCK10" s="699"/>
      <c r="WCL10" s="699"/>
      <c r="WCM10" s="699"/>
      <c r="WCN10" s="699"/>
      <c r="WCO10" s="699"/>
      <c r="WCP10" s="699"/>
      <c r="WCQ10" s="699"/>
      <c r="WCR10" s="699"/>
      <c r="WCS10" s="699"/>
      <c r="WCT10" s="699"/>
      <c r="WCU10" s="699"/>
      <c r="WCV10" s="699"/>
      <c r="WCW10" s="699"/>
      <c r="WCX10" s="699"/>
      <c r="WCY10" s="699"/>
      <c r="WCZ10" s="699"/>
      <c r="WDA10" s="699"/>
      <c r="WDB10" s="699"/>
      <c r="WDC10" s="699"/>
      <c r="WDD10" s="699"/>
      <c r="WDE10" s="699"/>
      <c r="WDF10" s="699"/>
      <c r="WDG10" s="699"/>
      <c r="WDH10" s="699"/>
      <c r="WDI10" s="699"/>
      <c r="WDJ10" s="699"/>
      <c r="WDK10" s="699"/>
      <c r="WDL10" s="699"/>
      <c r="WDM10" s="699"/>
      <c r="WDN10" s="699"/>
      <c r="WDO10" s="699"/>
      <c r="WDP10" s="699"/>
      <c r="WDQ10" s="699"/>
      <c r="WDR10" s="699"/>
      <c r="WDS10" s="699"/>
      <c r="WDT10" s="699"/>
      <c r="WDU10" s="699"/>
      <c r="WDV10" s="699"/>
      <c r="WDW10" s="699"/>
      <c r="WDX10" s="699"/>
      <c r="WDY10" s="699"/>
      <c r="WDZ10" s="699"/>
      <c r="WEA10" s="699"/>
      <c r="WEB10" s="699"/>
      <c r="WEC10" s="699"/>
      <c r="WED10" s="699"/>
      <c r="WEE10" s="699"/>
      <c r="WEF10" s="699"/>
      <c r="WEG10" s="699"/>
      <c r="WEH10" s="699"/>
      <c r="WEI10" s="699"/>
      <c r="WEJ10" s="699"/>
      <c r="WEK10" s="699"/>
      <c r="WEL10" s="699"/>
      <c r="WEM10" s="699"/>
      <c r="WEN10" s="699"/>
      <c r="WEO10" s="699"/>
      <c r="WEP10" s="699"/>
      <c r="WEQ10" s="699"/>
      <c r="WER10" s="699"/>
      <c r="WES10" s="699"/>
      <c r="WET10" s="699"/>
      <c r="WEU10" s="699"/>
      <c r="WEV10" s="699"/>
      <c r="WEW10" s="699"/>
      <c r="WEX10" s="699"/>
      <c r="WEY10" s="699"/>
      <c r="WEZ10" s="699"/>
      <c r="WFA10" s="699"/>
      <c r="WFB10" s="699"/>
      <c r="WFC10" s="699"/>
      <c r="WFD10" s="699"/>
      <c r="WFE10" s="699"/>
      <c r="WFF10" s="699"/>
      <c r="WFG10" s="699"/>
      <c r="WFH10" s="699"/>
      <c r="WFI10" s="699"/>
      <c r="WFJ10" s="699"/>
      <c r="WFK10" s="699"/>
      <c r="WFL10" s="699"/>
      <c r="WFM10" s="699"/>
      <c r="WFN10" s="699"/>
      <c r="WFO10" s="699"/>
      <c r="WFP10" s="699"/>
      <c r="WFQ10" s="699"/>
      <c r="WFR10" s="699"/>
      <c r="WFS10" s="699"/>
      <c r="WFT10" s="699"/>
      <c r="WFU10" s="699"/>
      <c r="WFV10" s="699"/>
      <c r="WFW10" s="699"/>
      <c r="WFX10" s="699"/>
      <c r="WFY10" s="699"/>
      <c r="WFZ10" s="699"/>
      <c r="WGA10" s="699"/>
      <c r="WGB10" s="699"/>
      <c r="WGC10" s="699"/>
      <c r="WGD10" s="699"/>
      <c r="WGE10" s="699"/>
      <c r="WGF10" s="699"/>
      <c r="WGG10" s="699"/>
      <c r="WGH10" s="699"/>
      <c r="WGI10" s="699"/>
      <c r="WGJ10" s="699"/>
      <c r="WGK10" s="699"/>
      <c r="WGL10" s="699"/>
      <c r="WGM10" s="699"/>
      <c r="WGN10" s="699"/>
      <c r="WGO10" s="699"/>
      <c r="WGP10" s="699"/>
      <c r="WGQ10" s="699"/>
      <c r="WGR10" s="699"/>
      <c r="WGS10" s="699"/>
      <c r="WGT10" s="699"/>
      <c r="WGU10" s="699"/>
      <c r="WGV10" s="699"/>
      <c r="WGW10" s="699"/>
      <c r="WGX10" s="699"/>
      <c r="WGY10" s="699"/>
      <c r="WGZ10" s="699"/>
      <c r="WHA10" s="699"/>
      <c r="WHB10" s="699"/>
      <c r="WHC10" s="699"/>
      <c r="WHD10" s="699"/>
      <c r="WHE10" s="699"/>
      <c r="WHF10" s="699"/>
      <c r="WHG10" s="699"/>
      <c r="WHH10" s="699"/>
      <c r="WHI10" s="699"/>
      <c r="WHJ10" s="699"/>
      <c r="WHK10" s="699"/>
      <c r="WHL10" s="699"/>
      <c r="WHM10" s="699"/>
      <c r="WHN10" s="699"/>
      <c r="WHO10" s="699"/>
      <c r="WHP10" s="699"/>
      <c r="WHQ10" s="699"/>
      <c r="WHR10" s="699"/>
      <c r="WHS10" s="699"/>
      <c r="WHT10" s="699"/>
      <c r="WHU10" s="699"/>
      <c r="WHV10" s="699"/>
      <c r="WHW10" s="699"/>
      <c r="WHX10" s="699"/>
      <c r="WHY10" s="699"/>
      <c r="WHZ10" s="699"/>
      <c r="WIA10" s="699"/>
      <c r="WIB10" s="699"/>
      <c r="WIC10" s="699"/>
      <c r="WID10" s="699"/>
      <c r="WIE10" s="699"/>
      <c r="WIF10" s="699"/>
      <c r="WIG10" s="699"/>
      <c r="WIH10" s="699"/>
      <c r="WII10" s="699"/>
      <c r="WIJ10" s="699"/>
      <c r="WIK10" s="699"/>
      <c r="WIL10" s="699"/>
      <c r="WIM10" s="699"/>
      <c r="WIN10" s="699"/>
      <c r="WIO10" s="699"/>
      <c r="WIP10" s="699"/>
      <c r="WIQ10" s="699"/>
      <c r="WIR10" s="699"/>
      <c r="WIS10" s="699"/>
      <c r="WIT10" s="699"/>
      <c r="WIU10" s="699"/>
      <c r="WIV10" s="699"/>
      <c r="WIW10" s="699"/>
      <c r="WIX10" s="699"/>
      <c r="WIY10" s="699"/>
      <c r="WIZ10" s="699"/>
      <c r="WJA10" s="699"/>
      <c r="WJB10" s="699"/>
      <c r="WJC10" s="699"/>
      <c r="WJD10" s="699"/>
      <c r="WJE10" s="699"/>
      <c r="WJF10" s="699"/>
      <c r="WJG10" s="699"/>
      <c r="WJH10" s="699"/>
      <c r="WJI10" s="699"/>
      <c r="WJJ10" s="699"/>
      <c r="WJK10" s="699"/>
      <c r="WJL10" s="699"/>
      <c r="WJM10" s="699"/>
      <c r="WJN10" s="699"/>
      <c r="WJO10" s="699"/>
      <c r="WJP10" s="699"/>
      <c r="WJQ10" s="699"/>
      <c r="WJR10" s="699"/>
      <c r="WJS10" s="699"/>
      <c r="WJT10" s="699"/>
      <c r="WJU10" s="699"/>
      <c r="WJV10" s="699"/>
      <c r="WJW10" s="699"/>
      <c r="WJX10" s="699"/>
      <c r="WJY10" s="699"/>
      <c r="WJZ10" s="699"/>
      <c r="WKA10" s="699"/>
      <c r="WKB10" s="699"/>
      <c r="WKC10" s="699"/>
      <c r="WKD10" s="699"/>
      <c r="WKE10" s="699"/>
      <c r="WKF10" s="699"/>
      <c r="WKG10" s="699"/>
      <c r="WKH10" s="699"/>
      <c r="WKI10" s="699"/>
      <c r="WKJ10" s="699"/>
      <c r="WKK10" s="699"/>
      <c r="WKL10" s="699"/>
      <c r="WKM10" s="699"/>
      <c r="WKN10" s="699"/>
      <c r="WKO10" s="699"/>
      <c r="WKP10" s="699"/>
      <c r="WKQ10" s="699"/>
      <c r="WKR10" s="699"/>
      <c r="WKS10" s="699"/>
      <c r="WKT10" s="699"/>
      <c r="WKU10" s="699"/>
      <c r="WKV10" s="699"/>
      <c r="WKW10" s="699"/>
      <c r="WKX10" s="699"/>
      <c r="WKY10" s="699"/>
      <c r="WKZ10" s="699"/>
      <c r="WLA10" s="699"/>
      <c r="WLB10" s="699"/>
      <c r="WLC10" s="699"/>
      <c r="WLD10" s="699"/>
      <c r="WLE10" s="699"/>
      <c r="WLF10" s="699"/>
      <c r="WLG10" s="699"/>
      <c r="WLH10" s="699"/>
      <c r="WLI10" s="699"/>
      <c r="WLJ10" s="699"/>
      <c r="WLK10" s="699"/>
      <c r="WLL10" s="699"/>
      <c r="WLM10" s="699"/>
      <c r="WLN10" s="699"/>
      <c r="WLO10" s="699"/>
      <c r="WLP10" s="699"/>
      <c r="WLQ10" s="699"/>
      <c r="WLR10" s="699"/>
      <c r="WLS10" s="699"/>
      <c r="WLT10" s="699"/>
      <c r="WLU10" s="699"/>
      <c r="WLV10" s="699"/>
      <c r="WLW10" s="699"/>
      <c r="WLX10" s="699"/>
      <c r="WLY10" s="699"/>
      <c r="WLZ10" s="699"/>
      <c r="WMA10" s="699"/>
      <c r="WMB10" s="699"/>
      <c r="WMC10" s="699"/>
      <c r="WMD10" s="699"/>
      <c r="WME10" s="699"/>
      <c r="WMF10" s="699"/>
      <c r="WMG10" s="699"/>
      <c r="WMH10" s="699"/>
      <c r="WMI10" s="699"/>
      <c r="WMJ10" s="699"/>
      <c r="WMK10" s="699"/>
      <c r="WML10" s="699"/>
      <c r="WMM10" s="699"/>
      <c r="WMN10" s="699"/>
      <c r="WMO10" s="699"/>
      <c r="WMP10" s="699"/>
      <c r="WMQ10" s="699"/>
      <c r="WMR10" s="699"/>
      <c r="WMS10" s="699"/>
      <c r="WMT10" s="699"/>
      <c r="WMU10" s="699"/>
      <c r="WMV10" s="699"/>
      <c r="WMW10" s="699"/>
      <c r="WMX10" s="699"/>
      <c r="WMY10" s="699"/>
      <c r="WMZ10" s="699"/>
      <c r="WNA10" s="699"/>
      <c r="WNB10" s="699"/>
      <c r="WNC10" s="699"/>
      <c r="WND10" s="699"/>
      <c r="WNE10" s="699"/>
      <c r="WNF10" s="699"/>
      <c r="WNG10" s="699"/>
      <c r="WNH10" s="699"/>
      <c r="WNI10" s="699"/>
      <c r="WNJ10" s="699"/>
      <c r="WNK10" s="699"/>
      <c r="WNL10" s="699"/>
      <c r="WNM10" s="699"/>
      <c r="WNN10" s="699"/>
      <c r="WNO10" s="699"/>
      <c r="WNP10" s="699"/>
      <c r="WNQ10" s="699"/>
      <c r="WNR10" s="699"/>
      <c r="WNS10" s="699"/>
      <c r="WNT10" s="699"/>
      <c r="WNU10" s="699"/>
      <c r="WNV10" s="699"/>
      <c r="WNW10" s="699"/>
      <c r="WNX10" s="699"/>
      <c r="WNY10" s="699"/>
      <c r="WNZ10" s="699"/>
      <c r="WOA10" s="699"/>
      <c r="WOB10" s="699"/>
      <c r="WOC10" s="699"/>
      <c r="WOD10" s="699"/>
      <c r="WOE10" s="699"/>
      <c r="WOF10" s="699"/>
      <c r="WOG10" s="699"/>
      <c r="WOH10" s="699"/>
      <c r="WOI10" s="699"/>
      <c r="WOJ10" s="699"/>
      <c r="WOK10" s="699"/>
      <c r="WOL10" s="699"/>
      <c r="WOM10" s="699"/>
      <c r="WON10" s="699"/>
      <c r="WOO10" s="699"/>
      <c r="WOP10" s="699"/>
      <c r="WOQ10" s="699"/>
      <c r="WOR10" s="699"/>
      <c r="WOS10" s="699"/>
      <c r="WOT10" s="699"/>
      <c r="WOU10" s="699"/>
      <c r="WOV10" s="699"/>
      <c r="WOW10" s="699"/>
      <c r="WOX10" s="699"/>
      <c r="WOY10" s="699"/>
      <c r="WOZ10" s="699"/>
      <c r="WPA10" s="699"/>
      <c r="WPB10" s="699"/>
      <c r="WPC10" s="699"/>
      <c r="WPD10" s="699"/>
      <c r="WPE10" s="699"/>
      <c r="WPF10" s="699"/>
      <c r="WPG10" s="699"/>
      <c r="WPH10" s="699"/>
      <c r="WPI10" s="699"/>
      <c r="WPJ10" s="699"/>
      <c r="WPK10" s="699"/>
      <c r="WPL10" s="699"/>
      <c r="WPM10" s="699"/>
      <c r="WPN10" s="699"/>
      <c r="WPO10" s="699"/>
      <c r="WPP10" s="699"/>
      <c r="WPQ10" s="699"/>
      <c r="WPR10" s="699"/>
      <c r="WPS10" s="699"/>
      <c r="WPT10" s="699"/>
      <c r="WPU10" s="699"/>
      <c r="WPV10" s="699"/>
      <c r="WPW10" s="699"/>
      <c r="WPX10" s="699"/>
      <c r="WPY10" s="699"/>
      <c r="WPZ10" s="699"/>
      <c r="WQA10" s="699"/>
      <c r="WQB10" s="699"/>
      <c r="WQC10" s="699"/>
      <c r="WQD10" s="699"/>
      <c r="WQE10" s="699"/>
      <c r="WQF10" s="699"/>
      <c r="WQG10" s="699"/>
      <c r="WQH10" s="699"/>
      <c r="WQI10" s="699"/>
      <c r="WQJ10" s="699"/>
      <c r="WQK10" s="699"/>
      <c r="WQL10" s="699"/>
      <c r="WQM10" s="699"/>
      <c r="WQN10" s="699"/>
      <c r="WQO10" s="699"/>
      <c r="WQP10" s="699"/>
      <c r="WQQ10" s="699"/>
      <c r="WQR10" s="699"/>
      <c r="WQS10" s="699"/>
      <c r="WQT10" s="699"/>
      <c r="WQU10" s="699"/>
      <c r="WQV10" s="699"/>
      <c r="WQW10" s="699"/>
      <c r="WQX10" s="699"/>
      <c r="WQY10" s="699"/>
      <c r="WQZ10" s="699"/>
      <c r="WRA10" s="699"/>
      <c r="WRB10" s="699"/>
      <c r="WRC10" s="699"/>
      <c r="WRD10" s="699"/>
      <c r="WRE10" s="699"/>
      <c r="WRF10" s="699"/>
      <c r="WRG10" s="699"/>
      <c r="WRH10" s="699"/>
      <c r="WRI10" s="699"/>
      <c r="WRJ10" s="699"/>
      <c r="WRK10" s="699"/>
      <c r="WRL10" s="699"/>
      <c r="WRM10" s="699"/>
      <c r="WRN10" s="699"/>
      <c r="WRO10" s="699"/>
      <c r="WRP10" s="699"/>
      <c r="WRQ10" s="699"/>
      <c r="WRR10" s="699"/>
      <c r="WRS10" s="699"/>
      <c r="WRT10" s="699"/>
      <c r="WRU10" s="699"/>
      <c r="WRV10" s="699"/>
      <c r="WRW10" s="699"/>
      <c r="WRX10" s="699"/>
      <c r="WRY10" s="699"/>
      <c r="WRZ10" s="699"/>
      <c r="WSA10" s="699"/>
      <c r="WSB10" s="699"/>
      <c r="WSC10" s="699"/>
      <c r="WSD10" s="699"/>
      <c r="WSE10" s="699"/>
      <c r="WSF10" s="699"/>
      <c r="WSG10" s="699"/>
      <c r="WSH10" s="699"/>
      <c r="WSI10" s="699"/>
      <c r="WSJ10" s="699"/>
      <c r="WSK10" s="699"/>
      <c r="WSL10" s="699"/>
      <c r="WSM10" s="699"/>
      <c r="WSN10" s="699"/>
      <c r="WSO10" s="699"/>
      <c r="WSP10" s="699"/>
      <c r="WSQ10" s="699"/>
      <c r="WSR10" s="699"/>
      <c r="WSS10" s="699"/>
      <c r="WST10" s="699"/>
      <c r="WSU10" s="699"/>
      <c r="WSV10" s="699"/>
      <c r="WSW10" s="699"/>
      <c r="WSX10" s="699"/>
      <c r="WSY10" s="699"/>
      <c r="WSZ10" s="699"/>
      <c r="WTA10" s="699"/>
      <c r="WTB10" s="699"/>
      <c r="WTC10" s="699"/>
      <c r="WTD10" s="699"/>
      <c r="WTE10" s="699"/>
      <c r="WTF10" s="699"/>
      <c r="WTG10" s="699"/>
      <c r="WTH10" s="699"/>
      <c r="WTI10" s="699"/>
      <c r="WTJ10" s="699"/>
      <c r="WTK10" s="699"/>
      <c r="WTL10" s="699"/>
      <c r="WTM10" s="699"/>
      <c r="WTN10" s="699"/>
      <c r="WTO10" s="699"/>
      <c r="WTP10" s="699"/>
      <c r="WTQ10" s="699"/>
      <c r="WTR10" s="699"/>
      <c r="WTS10" s="699"/>
      <c r="WTT10" s="699"/>
      <c r="WTU10" s="699"/>
      <c r="WTV10" s="699"/>
      <c r="WTW10" s="699"/>
      <c r="WTX10" s="699"/>
      <c r="WTY10" s="699"/>
      <c r="WTZ10" s="699"/>
      <c r="WUA10" s="699"/>
      <c r="WUB10" s="699"/>
      <c r="WUC10" s="699"/>
      <c r="WUD10" s="699"/>
      <c r="WUE10" s="699"/>
      <c r="WUF10" s="699"/>
      <c r="WUG10" s="699"/>
      <c r="WUH10" s="699"/>
      <c r="WUI10" s="699"/>
      <c r="WUJ10" s="699"/>
      <c r="WUK10" s="699"/>
      <c r="WUL10" s="699"/>
      <c r="WUM10" s="699"/>
      <c r="WUN10" s="699"/>
      <c r="WUO10" s="699"/>
      <c r="WUP10" s="699"/>
      <c r="WUQ10" s="699"/>
      <c r="WUR10" s="699"/>
      <c r="WUS10" s="699"/>
      <c r="WUT10" s="699"/>
      <c r="WUU10" s="699"/>
      <c r="WUV10" s="699"/>
      <c r="WUW10" s="699"/>
      <c r="WUX10" s="699"/>
      <c r="WUY10" s="699"/>
      <c r="WUZ10" s="699"/>
      <c r="WVA10" s="699"/>
      <c r="WVB10" s="699"/>
      <c r="WVC10" s="699"/>
      <c r="WVD10" s="699"/>
      <c r="WVE10" s="699"/>
      <c r="WVF10" s="699"/>
      <c r="WVG10" s="699"/>
      <c r="WVH10" s="699"/>
      <c r="WVI10" s="699"/>
      <c r="WVJ10" s="699"/>
      <c r="WVK10" s="699"/>
      <c r="WVL10" s="699"/>
      <c r="WVM10" s="699"/>
      <c r="WVN10" s="699"/>
      <c r="WVO10" s="699"/>
      <c r="WVP10" s="699"/>
      <c r="WVQ10" s="699"/>
      <c r="WVR10" s="699"/>
      <c r="WVS10" s="699"/>
      <c r="WVT10" s="699"/>
      <c r="WVU10" s="699"/>
      <c r="WVV10" s="699"/>
      <c r="WVW10" s="699"/>
      <c r="WVX10" s="699"/>
      <c r="WVY10" s="699"/>
      <c r="WVZ10" s="699"/>
      <c r="WWA10" s="699"/>
      <c r="WWB10" s="699"/>
      <c r="WWC10" s="699"/>
      <c r="WWD10" s="699"/>
      <c r="WWE10" s="699"/>
      <c r="WWF10" s="699"/>
      <c r="WWG10" s="699"/>
      <c r="WWH10" s="699"/>
      <c r="WWI10" s="699"/>
      <c r="WWJ10" s="699"/>
      <c r="WWK10" s="699"/>
      <c r="WWL10" s="699"/>
      <c r="WWM10" s="699"/>
      <c r="WWN10" s="699"/>
      <c r="WWO10" s="699"/>
      <c r="WWP10" s="699"/>
      <c r="WWQ10" s="699"/>
      <c r="WWR10" s="699"/>
      <c r="WWS10" s="699"/>
      <c r="WWT10" s="699"/>
      <c r="WWU10" s="699"/>
      <c r="WWV10" s="699"/>
      <c r="WWW10" s="699"/>
      <c r="WWX10" s="699"/>
      <c r="WWY10" s="699"/>
      <c r="WWZ10" s="699"/>
      <c r="WXA10" s="699"/>
      <c r="WXB10" s="699"/>
      <c r="WXC10" s="699"/>
      <c r="WXD10" s="699"/>
      <c r="WXE10" s="699"/>
      <c r="WXF10" s="699"/>
      <c r="WXG10" s="699"/>
      <c r="WXH10" s="699"/>
      <c r="WXI10" s="699"/>
      <c r="WXJ10" s="699"/>
      <c r="WXK10" s="699"/>
      <c r="WXL10" s="699"/>
      <c r="WXM10" s="699"/>
      <c r="WXN10" s="699"/>
      <c r="WXO10" s="699"/>
      <c r="WXP10" s="699"/>
      <c r="WXQ10" s="699"/>
      <c r="WXR10" s="699"/>
      <c r="WXS10" s="699"/>
      <c r="WXT10" s="699"/>
      <c r="WXU10" s="699"/>
      <c r="WXV10" s="699"/>
      <c r="WXW10" s="699"/>
      <c r="WXX10" s="699"/>
      <c r="WXY10" s="699"/>
      <c r="WXZ10" s="699"/>
      <c r="WYA10" s="699"/>
      <c r="WYB10" s="699"/>
      <c r="WYC10" s="699"/>
      <c r="WYD10" s="699"/>
      <c r="WYE10" s="699"/>
      <c r="WYF10" s="699"/>
      <c r="WYG10" s="699"/>
      <c r="WYH10" s="699"/>
      <c r="WYI10" s="699"/>
      <c r="WYJ10" s="699"/>
      <c r="WYK10" s="699"/>
      <c r="WYL10" s="699"/>
      <c r="WYM10" s="699"/>
      <c r="WYN10" s="699"/>
      <c r="WYO10" s="699"/>
      <c r="WYP10" s="699"/>
      <c r="WYQ10" s="699"/>
      <c r="WYR10" s="699"/>
      <c r="WYS10" s="699"/>
      <c r="WYT10" s="699"/>
      <c r="WYU10" s="699"/>
      <c r="WYV10" s="699"/>
      <c r="WYW10" s="699"/>
      <c r="WYX10" s="699"/>
      <c r="WYY10" s="699"/>
      <c r="WYZ10" s="699"/>
      <c r="WZA10" s="699"/>
      <c r="WZB10" s="699"/>
      <c r="WZC10" s="699"/>
      <c r="WZD10" s="699"/>
      <c r="WZE10" s="699"/>
      <c r="WZF10" s="699"/>
      <c r="WZG10" s="699"/>
      <c r="WZH10" s="699"/>
      <c r="WZI10" s="699"/>
      <c r="WZJ10" s="699"/>
      <c r="WZK10" s="699"/>
      <c r="WZL10" s="699"/>
      <c r="WZM10" s="699"/>
      <c r="WZN10" s="699"/>
      <c r="WZO10" s="699"/>
      <c r="WZP10" s="699"/>
      <c r="WZQ10" s="699"/>
      <c r="WZR10" s="699"/>
      <c r="WZS10" s="699"/>
      <c r="WZT10" s="699"/>
      <c r="WZU10" s="699"/>
      <c r="WZV10" s="699"/>
      <c r="WZW10" s="699"/>
      <c r="WZX10" s="699"/>
      <c r="WZY10" s="699"/>
      <c r="WZZ10" s="699"/>
      <c r="XAA10" s="699"/>
      <c r="XAB10" s="699"/>
      <c r="XAC10" s="699"/>
      <c r="XAD10" s="699"/>
      <c r="XAE10" s="699"/>
      <c r="XAF10" s="699"/>
      <c r="XAG10" s="699"/>
      <c r="XAH10" s="699"/>
      <c r="XAI10" s="699"/>
      <c r="XAJ10" s="699"/>
      <c r="XAK10" s="699"/>
      <c r="XAL10" s="699"/>
      <c r="XAM10" s="699"/>
      <c r="XAN10" s="699"/>
      <c r="XAO10" s="699"/>
      <c r="XAP10" s="699"/>
      <c r="XAQ10" s="699"/>
      <c r="XAR10" s="699"/>
      <c r="XAS10" s="699"/>
      <c r="XAT10" s="699"/>
      <c r="XAU10" s="699"/>
      <c r="XAV10" s="699"/>
      <c r="XAW10" s="699"/>
      <c r="XAX10" s="699"/>
      <c r="XAY10" s="699"/>
      <c r="XAZ10" s="699"/>
      <c r="XBA10" s="699"/>
      <c r="XBB10" s="699"/>
      <c r="XBC10" s="699"/>
      <c r="XBD10" s="699"/>
      <c r="XBE10" s="699"/>
      <c r="XBF10" s="699"/>
      <c r="XBG10" s="699"/>
      <c r="XBH10" s="699"/>
      <c r="XBI10" s="699"/>
      <c r="XBJ10" s="699"/>
      <c r="XBK10" s="699"/>
      <c r="XBL10" s="699"/>
      <c r="XBM10" s="699"/>
      <c r="XBN10" s="699"/>
      <c r="XBO10" s="699"/>
      <c r="XBP10" s="699"/>
      <c r="XBQ10" s="699"/>
      <c r="XBR10" s="699"/>
      <c r="XBS10" s="699"/>
      <c r="XBT10" s="699"/>
      <c r="XBU10" s="699"/>
      <c r="XBV10" s="699"/>
      <c r="XBW10" s="699"/>
      <c r="XBX10" s="699"/>
      <c r="XBY10" s="699"/>
      <c r="XBZ10" s="699"/>
      <c r="XCA10" s="699"/>
      <c r="XCB10" s="699"/>
      <c r="XCC10" s="699"/>
      <c r="XCD10" s="699"/>
      <c r="XCE10" s="699"/>
      <c r="XCF10" s="699"/>
      <c r="XCG10" s="699"/>
      <c r="XCH10" s="699"/>
      <c r="XCI10" s="699"/>
      <c r="XCJ10" s="699"/>
      <c r="XCK10" s="699"/>
      <c r="XCL10" s="699"/>
      <c r="XCM10" s="699"/>
      <c r="XCN10" s="699"/>
      <c r="XCO10" s="699"/>
      <c r="XCP10" s="699"/>
      <c r="XCQ10" s="699"/>
      <c r="XCR10" s="699"/>
      <c r="XCS10" s="699"/>
      <c r="XCT10" s="699"/>
      <c r="XCU10" s="699"/>
      <c r="XCV10" s="699"/>
      <c r="XCW10" s="699"/>
      <c r="XCX10" s="699"/>
      <c r="XCY10" s="699"/>
      <c r="XCZ10" s="699"/>
      <c r="XDA10" s="699"/>
      <c r="XDB10" s="699"/>
      <c r="XDC10" s="699"/>
      <c r="XDD10" s="699"/>
      <c r="XDE10" s="699"/>
      <c r="XDF10" s="699"/>
      <c r="XDG10" s="699"/>
      <c r="XDH10" s="699"/>
      <c r="XDI10" s="699"/>
      <c r="XDJ10" s="699"/>
      <c r="XDK10" s="699"/>
      <c r="XDL10" s="699"/>
      <c r="XDM10" s="699"/>
      <c r="XDN10" s="699"/>
      <c r="XDO10" s="699"/>
      <c r="XDP10" s="699"/>
      <c r="XDQ10" s="699"/>
      <c r="XDR10" s="699"/>
      <c r="XDS10" s="699"/>
      <c r="XDT10" s="699"/>
      <c r="XDU10" s="699"/>
      <c r="XDV10" s="699"/>
      <c r="XDW10" s="699"/>
      <c r="XDX10" s="699"/>
      <c r="XDY10" s="699"/>
      <c r="XDZ10" s="699"/>
      <c r="XEA10" s="699"/>
      <c r="XEB10" s="699"/>
      <c r="XEC10" s="699"/>
      <c r="XED10" s="699"/>
      <c r="XEE10" s="699"/>
      <c r="XEF10" s="699"/>
      <c r="XEG10" s="699"/>
      <c r="XEH10" s="699"/>
      <c r="XEI10" s="699"/>
      <c r="XEJ10" s="699"/>
      <c r="XEK10" s="699"/>
      <c r="XEL10" s="699"/>
      <c r="XEM10" s="699"/>
      <c r="XEN10" s="699"/>
      <c r="XEO10" s="699"/>
      <c r="XEP10" s="699"/>
      <c r="XEQ10" s="699"/>
      <c r="XER10" s="699"/>
      <c r="XES10" s="699"/>
      <c r="XET10" s="699"/>
      <c r="XEU10" s="699"/>
      <c r="XEV10" s="699"/>
      <c r="XEW10" s="699"/>
    </row>
    <row r="11" spans="1:16377" ht="12.75" customHeight="1" x14ac:dyDescent="0.45">
      <c r="B11" s="259"/>
      <c r="C11" s="259"/>
      <c r="D11" s="259"/>
      <c r="E11" s="259"/>
      <c r="F11" s="259"/>
      <c r="G11" s="259"/>
      <c r="H11" s="259"/>
      <c r="I11" s="259"/>
      <c r="J11" s="259"/>
      <c r="K11" s="260"/>
    </row>
    <row r="12" spans="1:16377" x14ac:dyDescent="0.45">
      <c r="H12" s="700" t="s">
        <v>348</v>
      </c>
      <c r="I12" s="700"/>
      <c r="J12" s="700"/>
      <c r="K12" s="256" t="s">
        <v>350</v>
      </c>
    </row>
    <row r="13" spans="1:16377" ht="53.45" customHeight="1" x14ac:dyDescent="0.45">
      <c r="A13" s="616" t="s">
        <v>349</v>
      </c>
      <c r="B13" s="616"/>
      <c r="C13" s="616"/>
      <c r="D13" s="616"/>
      <c r="E13" s="616"/>
      <c r="F13" s="616"/>
      <c r="G13" s="616"/>
      <c r="H13" s="616"/>
      <c r="I13" s="616"/>
      <c r="J13" s="262"/>
      <c r="K13" s="260"/>
    </row>
    <row r="14" spans="1:16377" x14ac:dyDescent="0.45">
      <c r="K14" s="256"/>
    </row>
    <row r="15" spans="1:16377" x14ac:dyDescent="0.45">
      <c r="J15" s="261" t="s">
        <v>357</v>
      </c>
      <c r="K15" s="256" t="s">
        <v>351</v>
      </c>
    </row>
    <row r="16" spans="1:16377" ht="45.75" customHeight="1" x14ac:dyDescent="0.45">
      <c r="A16" s="616" t="s">
        <v>358</v>
      </c>
      <c r="B16" s="616"/>
      <c r="C16" s="616"/>
      <c r="D16" s="616"/>
      <c r="E16" s="616"/>
      <c r="F16" s="616"/>
      <c r="G16" s="616"/>
      <c r="H16" s="616"/>
      <c r="I16" s="616"/>
      <c r="J16" s="262"/>
      <c r="K16" s="260"/>
    </row>
    <row r="17" spans="1:14" ht="16.5" customHeight="1" x14ac:dyDescent="0.45">
      <c r="C17" s="264"/>
      <c r="D17" s="264"/>
      <c r="E17" s="265"/>
      <c r="H17" s="254"/>
      <c r="K17" s="256"/>
    </row>
    <row r="18" spans="1:14" ht="16.5" customHeight="1" x14ac:dyDescent="0.45">
      <c r="H18" s="700" t="s">
        <v>359</v>
      </c>
      <c r="I18" s="700"/>
      <c r="J18" s="700"/>
      <c r="K18" s="256" t="s">
        <v>352</v>
      </c>
    </row>
    <row r="19" spans="1:14" ht="48" customHeight="1" x14ac:dyDescent="0.45">
      <c r="A19" s="616" t="s">
        <v>360</v>
      </c>
      <c r="B19" s="616"/>
      <c r="C19" s="616"/>
      <c r="D19" s="616"/>
      <c r="E19" s="616"/>
      <c r="F19" s="616"/>
      <c r="G19" s="616"/>
      <c r="H19" s="616"/>
      <c r="I19" s="616"/>
      <c r="J19" s="262"/>
      <c r="K19" s="260"/>
    </row>
    <row r="20" spans="1:14" ht="16.5" customHeight="1" x14ac:dyDescent="0.45">
      <c r="B20" s="262"/>
      <c r="C20" s="262"/>
      <c r="D20" s="262"/>
      <c r="E20" s="262"/>
      <c r="F20" s="262"/>
      <c r="G20" s="262"/>
      <c r="H20" s="262"/>
      <c r="I20" s="262"/>
      <c r="J20" s="262"/>
      <c r="K20" s="260"/>
    </row>
    <row r="21" spans="1:14" ht="16.5" customHeight="1" x14ac:dyDescent="0.45">
      <c r="B21" s="259"/>
      <c r="C21" s="259"/>
      <c r="D21" s="259"/>
      <c r="E21" s="259"/>
      <c r="F21" s="259"/>
      <c r="G21" s="259"/>
      <c r="H21" s="259"/>
      <c r="I21" s="259"/>
      <c r="J21" s="259"/>
      <c r="K21" s="260"/>
    </row>
    <row r="22" spans="1:14" ht="16.5" customHeight="1" x14ac:dyDescent="0.45">
      <c r="H22" s="700" t="s">
        <v>361</v>
      </c>
      <c r="I22" s="700"/>
      <c r="J22" s="700"/>
      <c r="K22" s="256" t="s">
        <v>353</v>
      </c>
    </row>
    <row r="23" spans="1:14" ht="63" customHeight="1" x14ac:dyDescent="0.45">
      <c r="A23" s="616" t="s">
        <v>362</v>
      </c>
      <c r="B23" s="616"/>
      <c r="C23" s="616"/>
      <c r="D23" s="616"/>
      <c r="E23" s="616"/>
      <c r="F23" s="616"/>
      <c r="G23" s="616"/>
      <c r="H23" s="616"/>
      <c r="I23" s="616"/>
      <c r="J23" s="266"/>
      <c r="K23" s="260"/>
    </row>
    <row r="24" spans="1:14" ht="16.5" customHeight="1" x14ac:dyDescent="0.45">
      <c r="B24" s="266"/>
      <c r="C24" s="266"/>
      <c r="D24" s="266"/>
      <c r="E24" s="266"/>
      <c r="F24" s="266"/>
      <c r="G24" s="266"/>
      <c r="H24" s="266"/>
      <c r="I24" s="266"/>
      <c r="J24" s="266"/>
      <c r="K24" s="260"/>
    </row>
    <row r="25" spans="1:14" ht="16.5" hidden="1" customHeight="1" x14ac:dyDescent="0.45">
      <c r="B25" s="266"/>
      <c r="C25" s="266"/>
      <c r="D25" s="266"/>
      <c r="E25" s="266"/>
      <c r="F25" s="266"/>
      <c r="G25" s="266"/>
      <c r="H25" s="266"/>
      <c r="I25" s="266"/>
      <c r="J25" s="266"/>
      <c r="K25" s="260"/>
    </row>
    <row r="26" spans="1:14" hidden="1" x14ac:dyDescent="0.45">
      <c r="K26" s="256"/>
      <c r="N26" s="244" t="s">
        <v>354</v>
      </c>
    </row>
    <row r="27" spans="1:14" x14ac:dyDescent="0.45">
      <c r="H27" s="700" t="s">
        <v>364</v>
      </c>
      <c r="I27" s="700"/>
      <c r="J27" s="700"/>
      <c r="K27" s="256" t="s">
        <v>354</v>
      </c>
    </row>
    <row r="28" spans="1:14" ht="78.599999999999994" customHeight="1" x14ac:dyDescent="0.45">
      <c r="A28" s="616" t="s">
        <v>363</v>
      </c>
      <c r="B28" s="616"/>
      <c r="C28" s="616"/>
      <c r="D28" s="616"/>
      <c r="E28" s="616"/>
      <c r="F28" s="616"/>
      <c r="G28" s="616"/>
      <c r="H28" s="616"/>
      <c r="I28" s="616"/>
      <c r="J28" s="266"/>
      <c r="K28" s="260"/>
    </row>
    <row r="29" spans="1:14" x14ac:dyDescent="0.45">
      <c r="A29" s="257"/>
      <c r="B29" s="257"/>
      <c r="C29" s="257"/>
      <c r="D29" s="257"/>
      <c r="E29" s="257"/>
      <c r="F29" s="257"/>
      <c r="G29" s="257"/>
      <c r="H29" s="257"/>
      <c r="I29" s="257"/>
      <c r="J29" s="266"/>
      <c r="K29" s="260"/>
    </row>
    <row r="30" spans="1:14" ht="20.25" hidden="1" customHeight="1" x14ac:dyDescent="0.45">
      <c r="A30" s="257"/>
      <c r="B30" s="257"/>
      <c r="C30" s="257"/>
      <c r="D30" s="257"/>
      <c r="E30" s="257"/>
      <c r="F30" s="257"/>
      <c r="G30" s="257"/>
      <c r="H30" s="700" t="s">
        <v>414</v>
      </c>
      <c r="I30" s="700"/>
      <c r="J30" s="700" t="s">
        <v>414</v>
      </c>
      <c r="K30" s="260" t="s">
        <v>416</v>
      </c>
    </row>
    <row r="31" spans="1:14" ht="62.25" hidden="1" customHeight="1" x14ac:dyDescent="0.45">
      <c r="A31" s="257"/>
      <c r="B31" s="616" t="s">
        <v>415</v>
      </c>
      <c r="C31" s="616"/>
      <c r="D31" s="616"/>
      <c r="E31" s="616"/>
      <c r="F31" s="616"/>
      <c r="G31" s="616"/>
      <c r="H31" s="616"/>
      <c r="I31" s="616"/>
      <c r="J31" s="616"/>
      <c r="K31" s="260"/>
    </row>
    <row r="32" spans="1:14" ht="15" customHeight="1" x14ac:dyDescent="0.45">
      <c r="A32" s="257"/>
      <c r="B32" s="257"/>
      <c r="C32" s="257"/>
      <c r="D32" s="257"/>
      <c r="E32" s="257"/>
      <c r="F32" s="257"/>
      <c r="G32" s="257"/>
      <c r="H32" s="257"/>
      <c r="I32" s="257"/>
      <c r="J32" s="267"/>
      <c r="K32" s="260"/>
    </row>
    <row r="33" spans="1:11" ht="15" customHeight="1" x14ac:dyDescent="0.45">
      <c r="A33" s="257"/>
      <c r="B33" s="257"/>
      <c r="C33" s="257"/>
      <c r="D33" s="257"/>
      <c r="E33" s="257"/>
      <c r="F33" s="700" t="s">
        <v>417</v>
      </c>
      <c r="G33" s="700"/>
      <c r="H33" s="700"/>
      <c r="I33" s="700"/>
      <c r="J33" s="267"/>
      <c r="K33" s="260" t="s">
        <v>570</v>
      </c>
    </row>
    <row r="34" spans="1:11" ht="5.25" customHeight="1" x14ac:dyDescent="0.45">
      <c r="A34" s="257"/>
      <c r="B34" s="257"/>
      <c r="C34" s="257"/>
      <c r="D34" s="257"/>
      <c r="E34" s="257"/>
      <c r="F34" s="257"/>
      <c r="G34" s="257"/>
      <c r="H34" s="257"/>
      <c r="I34" s="257"/>
      <c r="J34" s="266"/>
      <c r="K34" s="260"/>
    </row>
    <row r="35" spans="1:11" ht="15" customHeight="1" x14ac:dyDescent="0.45">
      <c r="A35" s="257"/>
      <c r="B35" s="257"/>
      <c r="C35" s="616" t="s">
        <v>418</v>
      </c>
      <c r="D35" s="616"/>
      <c r="E35" s="616"/>
      <c r="F35" s="616"/>
      <c r="G35" s="616"/>
      <c r="H35" s="616"/>
      <c r="I35" s="616"/>
      <c r="J35" s="266"/>
      <c r="K35" s="260"/>
    </row>
    <row r="36" spans="1:11" x14ac:dyDescent="0.45">
      <c r="A36" s="257"/>
      <c r="B36" s="257"/>
      <c r="C36" s="257"/>
      <c r="D36" s="257"/>
      <c r="E36" s="257"/>
      <c r="F36" s="257"/>
      <c r="G36" s="257"/>
      <c r="H36" s="257"/>
      <c r="I36" s="257"/>
      <c r="J36" s="266"/>
      <c r="K36" s="260"/>
    </row>
    <row r="37" spans="1:11" x14ac:dyDescent="0.45">
      <c r="C37" s="264"/>
      <c r="D37" s="264"/>
      <c r="E37" s="265"/>
      <c r="H37" s="700" t="s">
        <v>420</v>
      </c>
      <c r="I37" s="700"/>
      <c r="K37" s="260" t="s">
        <v>416</v>
      </c>
    </row>
    <row r="38" spans="1:11" ht="16.5" hidden="1" customHeight="1" x14ac:dyDescent="0.45">
      <c r="H38" s="700" t="s">
        <v>382</v>
      </c>
      <c r="I38" s="700"/>
      <c r="J38" s="700"/>
      <c r="K38" s="256" t="s">
        <v>355</v>
      </c>
    </row>
    <row r="39" spans="1:11" ht="37.15" hidden="1" customHeight="1" x14ac:dyDescent="0.45">
      <c r="A39" s="616" t="s">
        <v>383</v>
      </c>
      <c r="B39" s="616"/>
      <c r="C39" s="616"/>
      <c r="D39" s="616"/>
      <c r="E39" s="616"/>
      <c r="F39" s="616"/>
      <c r="G39" s="616"/>
      <c r="H39" s="616"/>
      <c r="I39" s="616"/>
      <c r="J39" s="268"/>
      <c r="K39" s="260"/>
    </row>
    <row r="40" spans="1:11" hidden="1" x14ac:dyDescent="0.45">
      <c r="B40" s="268"/>
      <c r="C40" s="268"/>
      <c r="D40" s="268"/>
      <c r="E40" s="268"/>
      <c r="F40" s="268"/>
      <c r="G40" s="268"/>
      <c r="H40" s="268"/>
      <c r="I40" s="268"/>
      <c r="J40" s="268"/>
      <c r="K40" s="260"/>
    </row>
    <row r="41" spans="1:11" ht="16.5" hidden="1" customHeight="1" x14ac:dyDescent="0.45">
      <c r="H41" s="700" t="s">
        <v>365</v>
      </c>
      <c r="I41" s="700"/>
      <c r="J41" s="700"/>
      <c r="K41" s="256" t="s">
        <v>356</v>
      </c>
    </row>
    <row r="42" spans="1:11" ht="19.5" hidden="1" customHeight="1" x14ac:dyDescent="0.45">
      <c r="A42" s="616" t="s">
        <v>384</v>
      </c>
      <c r="B42" s="616"/>
      <c r="C42" s="616"/>
      <c r="D42" s="616"/>
      <c r="E42" s="616"/>
      <c r="F42" s="616"/>
      <c r="G42" s="616"/>
      <c r="H42" s="616"/>
      <c r="I42" s="616"/>
      <c r="J42" s="268"/>
      <c r="K42" s="260"/>
    </row>
    <row r="43" spans="1:11" ht="32.25" hidden="1" customHeight="1" x14ac:dyDescent="0.45">
      <c r="A43" s="257"/>
      <c r="B43" s="257"/>
      <c r="C43" s="616" t="s">
        <v>502</v>
      </c>
      <c r="D43" s="616"/>
      <c r="E43" s="616"/>
      <c r="F43" s="616"/>
      <c r="G43" s="616"/>
      <c r="H43" s="616"/>
      <c r="I43" s="616"/>
      <c r="J43" s="616"/>
      <c r="K43" s="269" t="s">
        <v>422</v>
      </c>
    </row>
    <row r="44" spans="1:11" ht="192" customHeight="1" x14ac:dyDescent="0.45">
      <c r="A44" s="257"/>
      <c r="B44" s="257"/>
      <c r="C44" s="616" t="s">
        <v>421</v>
      </c>
      <c r="D44" s="616"/>
      <c r="E44" s="616"/>
      <c r="F44" s="616"/>
      <c r="G44" s="616"/>
      <c r="H44" s="616"/>
      <c r="I44" s="616"/>
      <c r="J44" s="616"/>
      <c r="K44" s="269"/>
    </row>
    <row r="45" spans="1:11" ht="19.5" hidden="1" customHeight="1" x14ac:dyDescent="0.45">
      <c r="A45" s="257"/>
      <c r="B45" s="257"/>
      <c r="C45" s="257"/>
      <c r="D45" s="257"/>
      <c r="E45" s="257"/>
      <c r="F45" s="257"/>
      <c r="G45" s="257"/>
      <c r="H45" s="257"/>
      <c r="I45" s="257"/>
      <c r="J45" s="268"/>
      <c r="K45" s="260"/>
    </row>
    <row r="46" spans="1:11" ht="19.5" hidden="1" customHeight="1" x14ac:dyDescent="0.45">
      <c r="A46" s="257"/>
      <c r="B46" s="257"/>
      <c r="C46" s="257"/>
      <c r="D46" s="257"/>
      <c r="E46" s="257"/>
      <c r="F46" s="257"/>
      <c r="G46" s="257"/>
      <c r="H46" s="257"/>
      <c r="I46" s="257"/>
      <c r="J46" s="268"/>
      <c r="K46" s="260"/>
    </row>
    <row r="47" spans="1:11" ht="19.5" hidden="1" customHeight="1" x14ac:dyDescent="0.45">
      <c r="A47" s="257"/>
      <c r="B47" s="257"/>
      <c r="C47" s="257"/>
      <c r="D47" s="257"/>
      <c r="E47" s="257"/>
      <c r="F47" s="257"/>
      <c r="G47" s="257"/>
      <c r="H47" s="257"/>
      <c r="I47" s="257"/>
      <c r="J47" s="268"/>
      <c r="K47" s="260"/>
    </row>
    <row r="48" spans="1:11" ht="19.5" hidden="1" customHeight="1" x14ac:dyDescent="0.45">
      <c r="A48" s="257"/>
      <c r="B48" s="257"/>
      <c r="C48" s="257"/>
      <c r="D48" s="257"/>
      <c r="E48" s="257"/>
      <c r="F48" s="257"/>
      <c r="G48" s="257"/>
      <c r="H48" s="257"/>
      <c r="I48" s="257"/>
      <c r="J48" s="268"/>
      <c r="K48" s="260"/>
    </row>
    <row r="49" spans="1:14" ht="68.25" hidden="1" customHeight="1" x14ac:dyDescent="0.45">
      <c r="A49" s="257"/>
      <c r="B49" s="257"/>
      <c r="C49" s="257"/>
      <c r="D49" s="257"/>
      <c r="E49" s="257"/>
      <c r="F49" s="257"/>
      <c r="G49" s="257"/>
      <c r="H49" s="257"/>
      <c r="I49" s="257"/>
      <c r="J49" s="268"/>
      <c r="K49" s="260"/>
    </row>
    <row r="50" spans="1:14" ht="29.25" hidden="1" customHeight="1" x14ac:dyDescent="0.45">
      <c r="A50" s="257"/>
      <c r="B50" s="257"/>
      <c r="C50" s="257"/>
      <c r="D50" s="257"/>
      <c r="E50" s="257"/>
      <c r="F50" s="257"/>
      <c r="G50" s="257"/>
      <c r="H50" s="257"/>
      <c r="I50" s="257"/>
      <c r="J50" s="268"/>
      <c r="K50" s="260"/>
    </row>
    <row r="51" spans="1:14" ht="22.5" customHeight="1" x14ac:dyDescent="0.45">
      <c r="B51" s="247"/>
      <c r="C51" s="244"/>
      <c r="D51" s="254"/>
      <c r="E51" s="244"/>
      <c r="G51" s="700" t="s">
        <v>274</v>
      </c>
      <c r="H51" s="700"/>
      <c r="I51" s="700"/>
      <c r="J51" s="270"/>
      <c r="K51" s="260" t="s">
        <v>419</v>
      </c>
    </row>
    <row r="52" spans="1:14" ht="16.5" customHeight="1" x14ac:dyDescent="0.45">
      <c r="B52" s="701" t="s">
        <v>366</v>
      </c>
      <c r="C52" s="701"/>
      <c r="D52" s="701"/>
      <c r="E52" s="701"/>
      <c r="F52" s="701"/>
      <c r="G52" s="701"/>
      <c r="H52" s="701"/>
      <c r="I52" s="701"/>
      <c r="J52" s="270"/>
      <c r="K52" s="256"/>
    </row>
    <row r="53" spans="1:14" ht="16.5" customHeight="1" x14ac:dyDescent="0.45">
      <c r="B53" s="604" t="s">
        <v>367</v>
      </c>
      <c r="C53" s="604"/>
      <c r="D53" s="604"/>
      <c r="E53" s="604"/>
      <c r="F53" s="604"/>
      <c r="G53" s="604"/>
      <c r="H53" s="604"/>
      <c r="I53" s="604"/>
      <c r="J53" s="272"/>
      <c r="K53" s="256"/>
      <c r="N53" s="273"/>
    </row>
    <row r="54" spans="1:14" ht="16.5" customHeight="1" x14ac:dyDescent="0.45">
      <c r="B54" s="604" t="s">
        <v>368</v>
      </c>
      <c r="C54" s="604"/>
      <c r="D54" s="604"/>
      <c r="E54" s="604"/>
      <c r="F54" s="604"/>
      <c r="G54" s="604"/>
      <c r="H54" s="604"/>
      <c r="I54" s="604"/>
      <c r="J54" s="270"/>
      <c r="K54" s="256"/>
      <c r="N54" s="273"/>
    </row>
    <row r="55" spans="1:14" ht="16.5" customHeight="1" x14ac:dyDescent="0.45">
      <c r="B55" s="630" t="str">
        <f>"-"&amp;SUM(Index!I10:I28)&amp;"-"</f>
        <v>-18-</v>
      </c>
      <c r="C55" s="630"/>
      <c r="D55" s="630"/>
      <c r="E55" s="630"/>
      <c r="F55" s="630"/>
      <c r="G55" s="630"/>
      <c r="H55" s="630"/>
      <c r="I55" s="630"/>
      <c r="J55" s="630"/>
      <c r="K55" s="630"/>
    </row>
    <row r="56" spans="1:14" x14ac:dyDescent="0.45">
      <c r="C56" s="275"/>
      <c r="H56" s="276"/>
      <c r="K56" s="256"/>
    </row>
    <row r="57" spans="1:14" x14ac:dyDescent="0.45">
      <c r="C57" s="275"/>
      <c r="H57" s="276"/>
      <c r="K57" s="256"/>
    </row>
    <row r="58" spans="1:14" x14ac:dyDescent="0.45">
      <c r="C58" s="277"/>
      <c r="H58" s="276"/>
      <c r="J58" s="270"/>
    </row>
    <row r="59" spans="1:14" x14ac:dyDescent="0.45">
      <c r="C59" s="277"/>
      <c r="H59" s="276"/>
      <c r="K59" s="256"/>
    </row>
    <row r="60" spans="1:14" x14ac:dyDescent="0.45">
      <c r="C60" s="277"/>
      <c r="H60" s="276"/>
      <c r="K60" s="256"/>
    </row>
    <row r="61" spans="1:14" x14ac:dyDescent="0.45">
      <c r="C61" s="277"/>
      <c r="H61" s="276"/>
      <c r="K61" s="256"/>
    </row>
    <row r="62" spans="1:14" x14ac:dyDescent="0.45">
      <c r="C62" s="275"/>
      <c r="H62" s="276"/>
    </row>
    <row r="63" spans="1:14" x14ac:dyDescent="0.45">
      <c r="C63" s="275"/>
      <c r="H63" s="278"/>
      <c r="J63" s="279"/>
    </row>
    <row r="64" spans="1:14" x14ac:dyDescent="0.45">
      <c r="C64" s="275"/>
      <c r="H64" s="276"/>
      <c r="J64" s="279"/>
    </row>
  </sheetData>
  <mergeCells count="1850">
    <mergeCell ref="B1:K1"/>
    <mergeCell ref="B2:K2"/>
    <mergeCell ref="B3:K3"/>
    <mergeCell ref="B4:K4"/>
    <mergeCell ref="B5:K5"/>
    <mergeCell ref="H22:J22"/>
    <mergeCell ref="L10:T10"/>
    <mergeCell ref="U10:AC10"/>
    <mergeCell ref="AD10:AL10"/>
    <mergeCell ref="H18:J18"/>
    <mergeCell ref="AM10:AU10"/>
    <mergeCell ref="AV10:BD10"/>
    <mergeCell ref="BE10:BM10"/>
    <mergeCell ref="H12:J12"/>
    <mergeCell ref="A10:I10"/>
    <mergeCell ref="A13:I13"/>
    <mergeCell ref="BN10:BV10"/>
    <mergeCell ref="BW10:CE10"/>
    <mergeCell ref="CF10:CN10"/>
    <mergeCell ref="CO10:CW10"/>
    <mergeCell ref="CX10:DF10"/>
    <mergeCell ref="DG10:DO10"/>
    <mergeCell ref="DP10:DX10"/>
    <mergeCell ref="B55:K55"/>
    <mergeCell ref="H27:J27"/>
    <mergeCell ref="G51:I51"/>
    <mergeCell ref="B53:I53"/>
    <mergeCell ref="B54:I54"/>
    <mergeCell ref="B52:I52"/>
    <mergeCell ref="H38:J38"/>
    <mergeCell ref="H41:J41"/>
    <mergeCell ref="A16:I16"/>
    <mergeCell ref="A19:I19"/>
    <mergeCell ref="A23:I23"/>
    <mergeCell ref="A28:I28"/>
    <mergeCell ref="A39:I39"/>
    <mergeCell ref="A42:I42"/>
    <mergeCell ref="H30:J30"/>
    <mergeCell ref="B31:J31"/>
    <mergeCell ref="C35:I35"/>
    <mergeCell ref="H37:I37"/>
    <mergeCell ref="C43:J43"/>
    <mergeCell ref="C44:J44"/>
    <mergeCell ref="F33:I33"/>
    <mergeCell ref="QT10:RB10"/>
    <mergeCell ref="RC10:RK10"/>
    <mergeCell ref="RL10:RT10"/>
    <mergeCell ref="DY10:EG10"/>
    <mergeCell ref="EH10:EP10"/>
    <mergeCell ref="EQ10:EY10"/>
    <mergeCell ref="EZ10:FH10"/>
    <mergeCell ref="FI10:FQ10"/>
    <mergeCell ref="FR10:FZ10"/>
    <mergeCell ref="GA10:GI10"/>
    <mergeCell ref="GJ10:GR10"/>
    <mergeCell ref="GS10:HA10"/>
    <mergeCell ref="HB10:HJ10"/>
    <mergeCell ref="HK10:HS10"/>
    <mergeCell ref="HT10:IB10"/>
    <mergeCell ref="IC10:IK10"/>
    <mergeCell ref="IL10:IT10"/>
    <mergeCell ref="IU10:JC10"/>
    <mergeCell ref="JD10:JL10"/>
    <mergeCell ref="JM10:JU10"/>
    <mergeCell ref="JV10:KD10"/>
    <mergeCell ref="KE10:KM10"/>
    <mergeCell ref="KN10:KV10"/>
    <mergeCell ref="KW10:LE10"/>
    <mergeCell ref="LF10:LN10"/>
    <mergeCell ref="LO10:LW10"/>
    <mergeCell ref="LX10:MF10"/>
    <mergeCell ref="MG10:MO10"/>
    <mergeCell ref="MP10:MX10"/>
    <mergeCell ref="MY10:NG10"/>
    <mergeCell ref="NH10:NP10"/>
    <mergeCell ref="NQ10:NY10"/>
    <mergeCell ref="NZ10:OH10"/>
    <mergeCell ref="OI10:OQ10"/>
    <mergeCell ref="OR10:OZ10"/>
    <mergeCell ref="PA10:PI10"/>
    <mergeCell ref="PJ10:PR10"/>
    <mergeCell ref="PS10:QA10"/>
    <mergeCell ref="QB10:QJ10"/>
    <mergeCell ref="QK10:QS10"/>
    <mergeCell ref="AEP10:AEX10"/>
    <mergeCell ref="AEY10:AFG10"/>
    <mergeCell ref="AFH10:AFP10"/>
    <mergeCell ref="RU10:SC10"/>
    <mergeCell ref="SD10:SL10"/>
    <mergeCell ref="SM10:SU10"/>
    <mergeCell ref="SV10:TD10"/>
    <mergeCell ref="TE10:TM10"/>
    <mergeCell ref="TN10:TV10"/>
    <mergeCell ref="TW10:UE10"/>
    <mergeCell ref="UF10:UN10"/>
    <mergeCell ref="UO10:UW10"/>
    <mergeCell ref="UX10:VF10"/>
    <mergeCell ref="VG10:VO10"/>
    <mergeCell ref="VP10:VX10"/>
    <mergeCell ref="VY10:WG10"/>
    <mergeCell ref="WH10:WP10"/>
    <mergeCell ref="WQ10:WY10"/>
    <mergeCell ref="WZ10:XH10"/>
    <mergeCell ref="XI10:XQ10"/>
    <mergeCell ref="XR10:XZ10"/>
    <mergeCell ref="YA10:YI10"/>
    <mergeCell ref="YJ10:YR10"/>
    <mergeCell ref="YS10:ZA10"/>
    <mergeCell ref="ALN10:ALV10"/>
    <mergeCell ref="ALW10:AME10"/>
    <mergeCell ref="AMF10:AMN10"/>
    <mergeCell ref="ZB10:ZJ10"/>
    <mergeCell ref="ZK10:ZS10"/>
    <mergeCell ref="ZT10:AAB10"/>
    <mergeCell ref="AAC10:AAK10"/>
    <mergeCell ref="AAL10:AAT10"/>
    <mergeCell ref="AAU10:ABC10"/>
    <mergeCell ref="ABD10:ABL10"/>
    <mergeCell ref="ABM10:ABU10"/>
    <mergeCell ref="ABV10:ACD10"/>
    <mergeCell ref="ACE10:ACM10"/>
    <mergeCell ref="ACN10:ACV10"/>
    <mergeCell ref="ACW10:ADE10"/>
    <mergeCell ref="ADF10:ADN10"/>
    <mergeCell ref="ADO10:ADW10"/>
    <mergeCell ref="ADX10:AEF10"/>
    <mergeCell ref="AEG10:AEO10"/>
    <mergeCell ref="AFQ10:AFY10"/>
    <mergeCell ref="AFZ10:AGH10"/>
    <mergeCell ref="AGI10:AGQ10"/>
    <mergeCell ref="AGR10:AGZ10"/>
    <mergeCell ref="AHA10:AHI10"/>
    <mergeCell ref="AHJ10:AHR10"/>
    <mergeCell ref="AHS10:AIA10"/>
    <mergeCell ref="AIB10:AIJ10"/>
    <mergeCell ref="AIK10:AIS10"/>
    <mergeCell ref="AIT10:AJB10"/>
    <mergeCell ref="AJC10:AJK10"/>
    <mergeCell ref="AJL10:AJT10"/>
    <mergeCell ref="AJU10:AKC10"/>
    <mergeCell ref="AKD10:AKL10"/>
    <mergeCell ref="AKM10:AKU10"/>
    <mergeCell ref="AKV10:ALD10"/>
    <mergeCell ref="ALE10:ALM10"/>
    <mergeCell ref="BAT10:BBB10"/>
    <mergeCell ref="BBC10:BBK10"/>
    <mergeCell ref="BBL10:BBT10"/>
    <mergeCell ref="BBU10:BCC10"/>
    <mergeCell ref="BCD10:BCL10"/>
    <mergeCell ref="BCM10:BCU10"/>
    <mergeCell ref="BCV10:BDD10"/>
    <mergeCell ref="BDE10:BDM10"/>
    <mergeCell ref="AMO10:AMW10"/>
    <mergeCell ref="AMX10:ANF10"/>
    <mergeCell ref="ANG10:ANO10"/>
    <mergeCell ref="ANP10:ANX10"/>
    <mergeCell ref="ANY10:AOG10"/>
    <mergeCell ref="AOH10:AOP10"/>
    <mergeCell ref="AOQ10:AOY10"/>
    <mergeCell ref="AOZ10:APH10"/>
    <mergeCell ref="API10:APQ10"/>
    <mergeCell ref="APR10:APZ10"/>
    <mergeCell ref="AQA10:AQI10"/>
    <mergeCell ref="AQJ10:AQR10"/>
    <mergeCell ref="AQS10:ARA10"/>
    <mergeCell ref="ARB10:ARJ10"/>
    <mergeCell ref="ARK10:ARS10"/>
    <mergeCell ref="ART10:ASB10"/>
    <mergeCell ref="ASC10:ASK10"/>
    <mergeCell ref="ASU10:ATC10"/>
    <mergeCell ref="ATD10:ATL10"/>
    <mergeCell ref="ASL10:AST10"/>
    <mergeCell ref="BLV10:BMD10"/>
    <mergeCell ref="BME10:BMM10"/>
    <mergeCell ref="BMN10:BMV10"/>
    <mergeCell ref="BMW10:BNE10"/>
    <mergeCell ref="BNF10:BNN10"/>
    <mergeCell ref="BNO10:BNW10"/>
    <mergeCell ref="BNX10:BOF10"/>
    <mergeCell ref="BOG10:BOO10"/>
    <mergeCell ref="BGH10:BGP10"/>
    <mergeCell ref="BGQ10:BGY10"/>
    <mergeCell ref="BGZ10:BHH10"/>
    <mergeCell ref="ATM10:ATU10"/>
    <mergeCell ref="ATV10:AUD10"/>
    <mergeCell ref="AUE10:AUM10"/>
    <mergeCell ref="AUN10:AUV10"/>
    <mergeCell ref="AUW10:AVE10"/>
    <mergeCell ref="AVF10:AVN10"/>
    <mergeCell ref="AVO10:AVW10"/>
    <mergeCell ref="AVX10:AWF10"/>
    <mergeCell ref="AWG10:AWO10"/>
    <mergeCell ref="AWP10:AWX10"/>
    <mergeCell ref="AWY10:AXG10"/>
    <mergeCell ref="AXH10:AXP10"/>
    <mergeCell ref="AXQ10:AXY10"/>
    <mergeCell ref="AXZ10:AYH10"/>
    <mergeCell ref="AYI10:AYQ10"/>
    <mergeCell ref="AYR10:AYZ10"/>
    <mergeCell ref="AZA10:AZI10"/>
    <mergeCell ref="AZJ10:AZR10"/>
    <mergeCell ref="AZS10:BAA10"/>
    <mergeCell ref="BAB10:BAJ10"/>
    <mergeCell ref="BAK10:BAS10"/>
    <mergeCell ref="CHZ10:CIH10"/>
    <mergeCell ref="CFO10:CFW10"/>
    <mergeCell ref="CFX10:CGF10"/>
    <mergeCell ref="CGG10:CGO10"/>
    <mergeCell ref="CGP10:CGX10"/>
    <mergeCell ref="CGY10:CHG10"/>
    <mergeCell ref="CHH10:CHP10"/>
    <mergeCell ref="CHQ10:CHY10"/>
    <mergeCell ref="BDN10:BDV10"/>
    <mergeCell ref="BDW10:BEE10"/>
    <mergeCell ref="BEF10:BEN10"/>
    <mergeCell ref="BEO10:BEW10"/>
    <mergeCell ref="BEX10:BFF10"/>
    <mergeCell ref="BFG10:BFO10"/>
    <mergeCell ref="BFP10:BFX10"/>
    <mergeCell ref="BFY10:BGG10"/>
    <mergeCell ref="BUD10:BUL10"/>
    <mergeCell ref="BUM10:BUU10"/>
    <mergeCell ref="BUV10:BVD10"/>
    <mergeCell ref="BHI10:BHQ10"/>
    <mergeCell ref="BHR10:BHZ10"/>
    <mergeCell ref="BIA10:BII10"/>
    <mergeCell ref="BIJ10:BIR10"/>
    <mergeCell ref="BIS10:BJA10"/>
    <mergeCell ref="BJB10:BJJ10"/>
    <mergeCell ref="BJK10:BJS10"/>
    <mergeCell ref="BJT10:BKB10"/>
    <mergeCell ref="BKC10:BKK10"/>
    <mergeCell ref="BKL10:BKT10"/>
    <mergeCell ref="BKU10:BLC10"/>
    <mergeCell ref="BLD10:BLL10"/>
    <mergeCell ref="BLM10:BLU10"/>
    <mergeCell ref="CCU10:CDC10"/>
    <mergeCell ref="CDD10:CDL10"/>
    <mergeCell ref="CDM10:CDU10"/>
    <mergeCell ref="CDV10:CED10"/>
    <mergeCell ref="CEE10:CEM10"/>
    <mergeCell ref="CEN10:CEV10"/>
    <mergeCell ref="CEW10:CFE10"/>
    <mergeCell ref="CFF10:CFN10"/>
    <mergeCell ref="BOP10:BOX10"/>
    <mergeCell ref="BOY10:BPG10"/>
    <mergeCell ref="BPH10:BPP10"/>
    <mergeCell ref="BPQ10:BPY10"/>
    <mergeCell ref="BPZ10:BQH10"/>
    <mergeCell ref="BQI10:BQQ10"/>
    <mergeCell ref="BQR10:BQZ10"/>
    <mergeCell ref="BRA10:BRI10"/>
    <mergeCell ref="BRJ10:BRR10"/>
    <mergeCell ref="BRS10:BSA10"/>
    <mergeCell ref="BSB10:BSJ10"/>
    <mergeCell ref="BSK10:BSS10"/>
    <mergeCell ref="BST10:BTB10"/>
    <mergeCell ref="BTC10:BTK10"/>
    <mergeCell ref="BTL10:BTT10"/>
    <mergeCell ref="BTU10:BUC10"/>
    <mergeCell ref="CQH10:CQP10"/>
    <mergeCell ref="CQQ10:CQY10"/>
    <mergeCell ref="CQZ10:CRH10"/>
    <mergeCell ref="CRI10:CRQ10"/>
    <mergeCell ref="CRR10:CRZ10"/>
    <mergeCell ref="CSA10:CSI10"/>
    <mergeCell ref="CSJ10:CSR10"/>
    <mergeCell ref="CSS10:CTA10"/>
    <mergeCell ref="CII10:CIQ10"/>
    <mergeCell ref="CIR10:CIZ10"/>
    <mergeCell ref="BVE10:BVM10"/>
    <mergeCell ref="BVN10:BVV10"/>
    <mergeCell ref="BVW10:BWE10"/>
    <mergeCell ref="BWF10:BWN10"/>
    <mergeCell ref="BWO10:BWW10"/>
    <mergeCell ref="BWX10:BXF10"/>
    <mergeCell ref="BXG10:BXO10"/>
    <mergeCell ref="BXP10:BXX10"/>
    <mergeCell ref="BXY10:BYG10"/>
    <mergeCell ref="BYH10:BYP10"/>
    <mergeCell ref="BYQ10:BYY10"/>
    <mergeCell ref="BYZ10:BZH10"/>
    <mergeCell ref="BZI10:BZQ10"/>
    <mergeCell ref="BZR10:BZZ10"/>
    <mergeCell ref="CAA10:CAI10"/>
    <mergeCell ref="CAJ10:CAR10"/>
    <mergeCell ref="CAS10:CBA10"/>
    <mergeCell ref="CBB10:CBJ10"/>
    <mergeCell ref="CBK10:CBS10"/>
    <mergeCell ref="CBT10:CCB10"/>
    <mergeCell ref="CCC10:CCK10"/>
    <mergeCell ref="CCL10:CCT10"/>
    <mergeCell ref="DBJ10:DBR10"/>
    <mergeCell ref="DBS10:DCA10"/>
    <mergeCell ref="DCB10:DCJ10"/>
    <mergeCell ref="DCK10:DCS10"/>
    <mergeCell ref="DCT10:DDB10"/>
    <mergeCell ref="DDC10:DDK10"/>
    <mergeCell ref="DDL10:DDT10"/>
    <mergeCell ref="DDU10:DEC10"/>
    <mergeCell ref="CVV10:CWD10"/>
    <mergeCell ref="CWE10:CWM10"/>
    <mergeCell ref="CWN10:CWV10"/>
    <mergeCell ref="CJA10:CJI10"/>
    <mergeCell ref="CJJ10:CJR10"/>
    <mergeCell ref="CJS10:CKA10"/>
    <mergeCell ref="CKB10:CKJ10"/>
    <mergeCell ref="CKK10:CKS10"/>
    <mergeCell ref="CKT10:CLB10"/>
    <mergeCell ref="CLC10:CLK10"/>
    <mergeCell ref="CLL10:CLT10"/>
    <mergeCell ref="CLU10:CMC10"/>
    <mergeCell ref="CMD10:CML10"/>
    <mergeCell ref="CMM10:CMU10"/>
    <mergeCell ref="CMV10:CND10"/>
    <mergeCell ref="CNE10:CNM10"/>
    <mergeCell ref="CNN10:CNV10"/>
    <mergeCell ref="CNW10:COE10"/>
    <mergeCell ref="COF10:CON10"/>
    <mergeCell ref="COO10:COW10"/>
    <mergeCell ref="COX10:CPF10"/>
    <mergeCell ref="CPG10:CPO10"/>
    <mergeCell ref="CPP10:CPX10"/>
    <mergeCell ref="CPY10:CQG10"/>
    <mergeCell ref="DXN10:DXV10"/>
    <mergeCell ref="DVC10:DVK10"/>
    <mergeCell ref="DVL10:DVT10"/>
    <mergeCell ref="DVU10:DWC10"/>
    <mergeCell ref="DWD10:DWL10"/>
    <mergeCell ref="DWM10:DWU10"/>
    <mergeCell ref="DWV10:DXD10"/>
    <mergeCell ref="DXE10:DXM10"/>
    <mergeCell ref="CTB10:CTJ10"/>
    <mergeCell ref="CTK10:CTS10"/>
    <mergeCell ref="CTT10:CUB10"/>
    <mergeCell ref="CUC10:CUK10"/>
    <mergeCell ref="CUL10:CUT10"/>
    <mergeCell ref="CUU10:CVC10"/>
    <mergeCell ref="CVD10:CVL10"/>
    <mergeCell ref="CVM10:CVU10"/>
    <mergeCell ref="DJR10:DJZ10"/>
    <mergeCell ref="DKA10:DKI10"/>
    <mergeCell ref="DKJ10:DKR10"/>
    <mergeCell ref="CWW10:CXE10"/>
    <mergeCell ref="CXF10:CXN10"/>
    <mergeCell ref="CXO10:CXW10"/>
    <mergeCell ref="CXX10:CYF10"/>
    <mergeCell ref="CYG10:CYO10"/>
    <mergeCell ref="CYP10:CYX10"/>
    <mergeCell ref="CYY10:CZG10"/>
    <mergeCell ref="CZH10:CZP10"/>
    <mergeCell ref="CZQ10:CZY10"/>
    <mergeCell ref="CZZ10:DAH10"/>
    <mergeCell ref="DAI10:DAQ10"/>
    <mergeCell ref="DAR10:DAZ10"/>
    <mergeCell ref="DBA10:DBI10"/>
    <mergeCell ref="DSI10:DSQ10"/>
    <mergeCell ref="DSR10:DSZ10"/>
    <mergeCell ref="DTA10:DTI10"/>
    <mergeCell ref="DTJ10:DTR10"/>
    <mergeCell ref="DTS10:DUA10"/>
    <mergeCell ref="DUB10:DUJ10"/>
    <mergeCell ref="DUK10:DUS10"/>
    <mergeCell ref="DUT10:DVB10"/>
    <mergeCell ref="DED10:DEL10"/>
    <mergeCell ref="DEM10:DEU10"/>
    <mergeCell ref="DEV10:DFD10"/>
    <mergeCell ref="DFE10:DFM10"/>
    <mergeCell ref="DFN10:DFV10"/>
    <mergeCell ref="DFW10:DGE10"/>
    <mergeCell ref="DGF10:DGN10"/>
    <mergeCell ref="DGO10:DGW10"/>
    <mergeCell ref="DGX10:DHF10"/>
    <mergeCell ref="DHG10:DHO10"/>
    <mergeCell ref="DHP10:DHX10"/>
    <mergeCell ref="DHY10:DIG10"/>
    <mergeCell ref="DIH10:DIP10"/>
    <mergeCell ref="DIQ10:DIY10"/>
    <mergeCell ref="DIZ10:DJH10"/>
    <mergeCell ref="DJI10:DJQ10"/>
    <mergeCell ref="EFV10:EGD10"/>
    <mergeCell ref="EGE10:EGM10"/>
    <mergeCell ref="EGN10:EGV10"/>
    <mergeCell ref="EGW10:EHE10"/>
    <mergeCell ref="EHF10:EHN10"/>
    <mergeCell ref="EHO10:EHW10"/>
    <mergeCell ref="EHX10:EIF10"/>
    <mergeCell ref="EIG10:EIO10"/>
    <mergeCell ref="DXW10:DYE10"/>
    <mergeCell ref="DYF10:DYN10"/>
    <mergeCell ref="DKS10:DLA10"/>
    <mergeCell ref="DLB10:DLJ10"/>
    <mergeCell ref="DLK10:DLS10"/>
    <mergeCell ref="DLT10:DMB10"/>
    <mergeCell ref="DMC10:DMK10"/>
    <mergeCell ref="DML10:DMT10"/>
    <mergeCell ref="DMU10:DNC10"/>
    <mergeCell ref="DND10:DNL10"/>
    <mergeCell ref="DNM10:DNU10"/>
    <mergeCell ref="DNV10:DOD10"/>
    <mergeCell ref="DOE10:DOM10"/>
    <mergeCell ref="DON10:DOV10"/>
    <mergeCell ref="DOW10:DPE10"/>
    <mergeCell ref="DPF10:DPN10"/>
    <mergeCell ref="DPO10:DPW10"/>
    <mergeCell ref="DPX10:DQF10"/>
    <mergeCell ref="DQG10:DQO10"/>
    <mergeCell ref="DQP10:DQX10"/>
    <mergeCell ref="DQY10:DRG10"/>
    <mergeCell ref="DRH10:DRP10"/>
    <mergeCell ref="DRQ10:DRY10"/>
    <mergeCell ref="DRZ10:DSH10"/>
    <mergeCell ref="EQX10:ERF10"/>
    <mergeCell ref="ERG10:ERO10"/>
    <mergeCell ref="ERP10:ERX10"/>
    <mergeCell ref="ERY10:ESG10"/>
    <mergeCell ref="ESH10:ESP10"/>
    <mergeCell ref="ESQ10:ESY10"/>
    <mergeCell ref="ESZ10:ETH10"/>
    <mergeCell ref="ETI10:ETQ10"/>
    <mergeCell ref="ELJ10:ELR10"/>
    <mergeCell ref="ELS10:EMA10"/>
    <mergeCell ref="EMB10:EMJ10"/>
    <mergeCell ref="DYO10:DYW10"/>
    <mergeCell ref="DYX10:DZF10"/>
    <mergeCell ref="DZG10:DZO10"/>
    <mergeCell ref="DZP10:DZX10"/>
    <mergeCell ref="DZY10:EAG10"/>
    <mergeCell ref="EAH10:EAP10"/>
    <mergeCell ref="EAQ10:EAY10"/>
    <mergeCell ref="EAZ10:EBH10"/>
    <mergeCell ref="EBI10:EBQ10"/>
    <mergeCell ref="EBR10:EBZ10"/>
    <mergeCell ref="ECA10:ECI10"/>
    <mergeCell ref="ECJ10:ECR10"/>
    <mergeCell ref="ECS10:EDA10"/>
    <mergeCell ref="EDB10:EDJ10"/>
    <mergeCell ref="EDK10:EDS10"/>
    <mergeCell ref="EDT10:EEB10"/>
    <mergeCell ref="EEC10:EEK10"/>
    <mergeCell ref="EEL10:EET10"/>
    <mergeCell ref="EEU10:EFC10"/>
    <mergeCell ref="EFD10:EFL10"/>
    <mergeCell ref="EFM10:EFU10"/>
    <mergeCell ref="FNB10:FNJ10"/>
    <mergeCell ref="FKQ10:FKY10"/>
    <mergeCell ref="FKZ10:FLH10"/>
    <mergeCell ref="FLI10:FLQ10"/>
    <mergeCell ref="FLR10:FLZ10"/>
    <mergeCell ref="FMA10:FMI10"/>
    <mergeCell ref="FMJ10:FMR10"/>
    <mergeCell ref="FMS10:FNA10"/>
    <mergeCell ref="EIP10:EIX10"/>
    <mergeCell ref="EIY10:EJG10"/>
    <mergeCell ref="EJH10:EJP10"/>
    <mergeCell ref="EJQ10:EJY10"/>
    <mergeCell ref="EJZ10:EKH10"/>
    <mergeCell ref="EKI10:EKQ10"/>
    <mergeCell ref="EKR10:EKZ10"/>
    <mergeCell ref="ELA10:ELI10"/>
    <mergeCell ref="EZF10:EZN10"/>
    <mergeCell ref="EZO10:EZW10"/>
    <mergeCell ref="EZX10:FAF10"/>
    <mergeCell ref="EMK10:EMS10"/>
    <mergeCell ref="EMT10:ENB10"/>
    <mergeCell ref="ENC10:ENK10"/>
    <mergeCell ref="ENL10:ENT10"/>
    <mergeCell ref="ENU10:EOC10"/>
    <mergeCell ref="EOD10:EOL10"/>
    <mergeCell ref="EOM10:EOU10"/>
    <mergeCell ref="EOV10:EPD10"/>
    <mergeCell ref="EPE10:EPM10"/>
    <mergeCell ref="EPN10:EPV10"/>
    <mergeCell ref="EPW10:EQE10"/>
    <mergeCell ref="EQF10:EQN10"/>
    <mergeCell ref="EQO10:EQW10"/>
    <mergeCell ref="FHW10:FIE10"/>
    <mergeCell ref="FIF10:FIN10"/>
    <mergeCell ref="FIO10:FIW10"/>
    <mergeCell ref="FIX10:FJF10"/>
    <mergeCell ref="FJG10:FJO10"/>
    <mergeCell ref="FJP10:FJX10"/>
    <mergeCell ref="FJY10:FKG10"/>
    <mergeCell ref="FKH10:FKP10"/>
    <mergeCell ref="ETR10:ETZ10"/>
    <mergeCell ref="EUA10:EUI10"/>
    <mergeCell ref="EUJ10:EUR10"/>
    <mergeCell ref="EUS10:EVA10"/>
    <mergeCell ref="EVB10:EVJ10"/>
    <mergeCell ref="EVK10:EVS10"/>
    <mergeCell ref="EVT10:EWB10"/>
    <mergeCell ref="EWC10:EWK10"/>
    <mergeCell ref="EWL10:EWT10"/>
    <mergeCell ref="EWU10:EXC10"/>
    <mergeCell ref="EXD10:EXL10"/>
    <mergeCell ref="EXM10:EXU10"/>
    <mergeCell ref="EXV10:EYD10"/>
    <mergeCell ref="EYE10:EYM10"/>
    <mergeCell ref="EYN10:EYV10"/>
    <mergeCell ref="EYW10:EZE10"/>
    <mergeCell ref="FVJ10:FVR10"/>
    <mergeCell ref="FVS10:FWA10"/>
    <mergeCell ref="FWB10:FWJ10"/>
    <mergeCell ref="FWK10:FWS10"/>
    <mergeCell ref="FWT10:FXB10"/>
    <mergeCell ref="FXC10:FXK10"/>
    <mergeCell ref="FXL10:FXT10"/>
    <mergeCell ref="FXU10:FYC10"/>
    <mergeCell ref="FNK10:FNS10"/>
    <mergeCell ref="FNT10:FOB10"/>
    <mergeCell ref="FAG10:FAO10"/>
    <mergeCell ref="FAP10:FAX10"/>
    <mergeCell ref="FAY10:FBG10"/>
    <mergeCell ref="FBH10:FBP10"/>
    <mergeCell ref="FBQ10:FBY10"/>
    <mergeCell ref="FBZ10:FCH10"/>
    <mergeCell ref="FCI10:FCQ10"/>
    <mergeCell ref="FCR10:FCZ10"/>
    <mergeCell ref="FDA10:FDI10"/>
    <mergeCell ref="FDJ10:FDR10"/>
    <mergeCell ref="FDS10:FEA10"/>
    <mergeCell ref="FEB10:FEJ10"/>
    <mergeCell ref="FEK10:FES10"/>
    <mergeCell ref="FET10:FFB10"/>
    <mergeCell ref="FFC10:FFK10"/>
    <mergeCell ref="FFL10:FFT10"/>
    <mergeCell ref="FFU10:FGC10"/>
    <mergeCell ref="FGD10:FGL10"/>
    <mergeCell ref="FGM10:FGU10"/>
    <mergeCell ref="FGV10:FHD10"/>
    <mergeCell ref="FHE10:FHM10"/>
    <mergeCell ref="FHN10:FHV10"/>
    <mergeCell ref="GGL10:GGT10"/>
    <mergeCell ref="GGU10:GHC10"/>
    <mergeCell ref="GHD10:GHL10"/>
    <mergeCell ref="GHM10:GHU10"/>
    <mergeCell ref="GHV10:GID10"/>
    <mergeCell ref="GIE10:GIM10"/>
    <mergeCell ref="GIN10:GIV10"/>
    <mergeCell ref="GIW10:GJE10"/>
    <mergeCell ref="GAX10:GBF10"/>
    <mergeCell ref="GBG10:GBO10"/>
    <mergeCell ref="GBP10:GBX10"/>
    <mergeCell ref="FOC10:FOK10"/>
    <mergeCell ref="FOL10:FOT10"/>
    <mergeCell ref="FOU10:FPC10"/>
    <mergeCell ref="FPD10:FPL10"/>
    <mergeCell ref="FPM10:FPU10"/>
    <mergeCell ref="FPV10:FQD10"/>
    <mergeCell ref="FQE10:FQM10"/>
    <mergeCell ref="FQN10:FQV10"/>
    <mergeCell ref="FQW10:FRE10"/>
    <mergeCell ref="FRF10:FRN10"/>
    <mergeCell ref="FRO10:FRW10"/>
    <mergeCell ref="FRX10:FSF10"/>
    <mergeCell ref="FSG10:FSO10"/>
    <mergeCell ref="FSP10:FSX10"/>
    <mergeCell ref="FSY10:FTG10"/>
    <mergeCell ref="FTH10:FTP10"/>
    <mergeCell ref="FTQ10:FTY10"/>
    <mergeCell ref="FTZ10:FUH10"/>
    <mergeCell ref="FUI10:FUQ10"/>
    <mergeCell ref="FUR10:FUZ10"/>
    <mergeCell ref="FVA10:FVI10"/>
    <mergeCell ref="HCP10:HCX10"/>
    <mergeCell ref="HAE10:HAM10"/>
    <mergeCell ref="HAN10:HAV10"/>
    <mergeCell ref="HAW10:HBE10"/>
    <mergeCell ref="HBF10:HBN10"/>
    <mergeCell ref="HBO10:HBW10"/>
    <mergeCell ref="HBX10:HCF10"/>
    <mergeCell ref="HCG10:HCO10"/>
    <mergeCell ref="FYD10:FYL10"/>
    <mergeCell ref="FYM10:FYU10"/>
    <mergeCell ref="FYV10:FZD10"/>
    <mergeCell ref="FZE10:FZM10"/>
    <mergeCell ref="FZN10:FZV10"/>
    <mergeCell ref="FZW10:GAE10"/>
    <mergeCell ref="GAF10:GAN10"/>
    <mergeCell ref="GAO10:GAW10"/>
    <mergeCell ref="GOT10:GPB10"/>
    <mergeCell ref="GPC10:GPK10"/>
    <mergeCell ref="GPL10:GPT10"/>
    <mergeCell ref="GBY10:GCG10"/>
    <mergeCell ref="GCH10:GCP10"/>
    <mergeCell ref="GCQ10:GCY10"/>
    <mergeCell ref="GCZ10:GDH10"/>
    <mergeCell ref="GDI10:GDQ10"/>
    <mergeCell ref="GDR10:GDZ10"/>
    <mergeCell ref="GEA10:GEI10"/>
    <mergeCell ref="GEJ10:GER10"/>
    <mergeCell ref="GES10:GFA10"/>
    <mergeCell ref="GFB10:GFJ10"/>
    <mergeCell ref="GFK10:GFS10"/>
    <mergeCell ref="GFT10:GGB10"/>
    <mergeCell ref="GGC10:GGK10"/>
    <mergeCell ref="GXK10:GXS10"/>
    <mergeCell ref="GXT10:GYB10"/>
    <mergeCell ref="GYC10:GYK10"/>
    <mergeCell ref="GYL10:GYT10"/>
    <mergeCell ref="GYU10:GZC10"/>
    <mergeCell ref="GZD10:GZL10"/>
    <mergeCell ref="GZM10:GZU10"/>
    <mergeCell ref="GZV10:HAD10"/>
    <mergeCell ref="GJF10:GJN10"/>
    <mergeCell ref="GJO10:GJW10"/>
    <mergeCell ref="GJX10:GKF10"/>
    <mergeCell ref="GKG10:GKO10"/>
    <mergeCell ref="GKP10:GKX10"/>
    <mergeCell ref="GKY10:GLG10"/>
    <mergeCell ref="GLH10:GLP10"/>
    <mergeCell ref="GLQ10:GLY10"/>
    <mergeCell ref="GLZ10:GMH10"/>
    <mergeCell ref="GMI10:GMQ10"/>
    <mergeCell ref="GMR10:GMZ10"/>
    <mergeCell ref="GNA10:GNI10"/>
    <mergeCell ref="GNJ10:GNR10"/>
    <mergeCell ref="GNS10:GOA10"/>
    <mergeCell ref="GOB10:GOJ10"/>
    <mergeCell ref="GOK10:GOS10"/>
    <mergeCell ref="HKX10:HLF10"/>
    <mergeCell ref="HLG10:HLO10"/>
    <mergeCell ref="HLP10:HLX10"/>
    <mergeCell ref="HLY10:HMG10"/>
    <mergeCell ref="HMH10:HMP10"/>
    <mergeCell ref="HMQ10:HMY10"/>
    <mergeCell ref="HMZ10:HNH10"/>
    <mergeCell ref="HNI10:HNQ10"/>
    <mergeCell ref="HCY10:HDG10"/>
    <mergeCell ref="HDH10:HDP10"/>
    <mergeCell ref="GPU10:GQC10"/>
    <mergeCell ref="GQD10:GQL10"/>
    <mergeCell ref="GQM10:GQU10"/>
    <mergeCell ref="GQV10:GRD10"/>
    <mergeCell ref="GRE10:GRM10"/>
    <mergeCell ref="GRN10:GRV10"/>
    <mergeCell ref="GRW10:GSE10"/>
    <mergeCell ref="GSF10:GSN10"/>
    <mergeCell ref="GSO10:GSW10"/>
    <mergeCell ref="GSX10:GTF10"/>
    <mergeCell ref="GTG10:GTO10"/>
    <mergeCell ref="GTP10:GTX10"/>
    <mergeCell ref="GTY10:GUG10"/>
    <mergeCell ref="GUH10:GUP10"/>
    <mergeCell ref="GUQ10:GUY10"/>
    <mergeCell ref="GUZ10:GVH10"/>
    <mergeCell ref="GVI10:GVQ10"/>
    <mergeCell ref="GVR10:GVZ10"/>
    <mergeCell ref="GWA10:GWI10"/>
    <mergeCell ref="GWJ10:GWR10"/>
    <mergeCell ref="GWS10:GXA10"/>
    <mergeCell ref="GXB10:GXJ10"/>
    <mergeCell ref="HVZ10:HWH10"/>
    <mergeCell ref="HWI10:HWQ10"/>
    <mergeCell ref="HWR10:HWZ10"/>
    <mergeCell ref="HXA10:HXI10"/>
    <mergeCell ref="HXJ10:HXR10"/>
    <mergeCell ref="HXS10:HYA10"/>
    <mergeCell ref="HYB10:HYJ10"/>
    <mergeCell ref="HYK10:HYS10"/>
    <mergeCell ref="HQL10:HQT10"/>
    <mergeCell ref="HQU10:HRC10"/>
    <mergeCell ref="HRD10:HRL10"/>
    <mergeCell ref="HDQ10:HDY10"/>
    <mergeCell ref="HDZ10:HEH10"/>
    <mergeCell ref="HEI10:HEQ10"/>
    <mergeCell ref="HER10:HEZ10"/>
    <mergeCell ref="HFA10:HFI10"/>
    <mergeCell ref="HFJ10:HFR10"/>
    <mergeCell ref="HFS10:HGA10"/>
    <mergeCell ref="HGB10:HGJ10"/>
    <mergeCell ref="HGK10:HGS10"/>
    <mergeCell ref="HGT10:HHB10"/>
    <mergeCell ref="HHC10:HHK10"/>
    <mergeCell ref="HHL10:HHT10"/>
    <mergeCell ref="HHU10:HIC10"/>
    <mergeCell ref="HID10:HIL10"/>
    <mergeCell ref="HIM10:HIU10"/>
    <mergeCell ref="HIV10:HJD10"/>
    <mergeCell ref="HJE10:HJM10"/>
    <mergeCell ref="HJN10:HJV10"/>
    <mergeCell ref="HJW10:HKE10"/>
    <mergeCell ref="HKF10:HKN10"/>
    <mergeCell ref="HKO10:HKW10"/>
    <mergeCell ref="ISD10:ISL10"/>
    <mergeCell ref="IPS10:IQA10"/>
    <mergeCell ref="IQB10:IQJ10"/>
    <mergeCell ref="IQK10:IQS10"/>
    <mergeCell ref="IQT10:IRB10"/>
    <mergeCell ref="IRC10:IRK10"/>
    <mergeCell ref="IRL10:IRT10"/>
    <mergeCell ref="IRU10:ISC10"/>
    <mergeCell ref="HNR10:HNZ10"/>
    <mergeCell ref="HOA10:HOI10"/>
    <mergeCell ref="HOJ10:HOR10"/>
    <mergeCell ref="HOS10:HPA10"/>
    <mergeCell ref="HPB10:HPJ10"/>
    <mergeCell ref="HPK10:HPS10"/>
    <mergeCell ref="HPT10:HQB10"/>
    <mergeCell ref="HQC10:HQK10"/>
    <mergeCell ref="IEH10:IEP10"/>
    <mergeCell ref="IEQ10:IEY10"/>
    <mergeCell ref="IEZ10:IFH10"/>
    <mergeCell ref="HRM10:HRU10"/>
    <mergeCell ref="HRV10:HSD10"/>
    <mergeCell ref="HSE10:HSM10"/>
    <mergeCell ref="HSN10:HSV10"/>
    <mergeCell ref="HSW10:HTE10"/>
    <mergeCell ref="HTF10:HTN10"/>
    <mergeCell ref="HTO10:HTW10"/>
    <mergeCell ref="HTX10:HUF10"/>
    <mergeCell ref="HUG10:HUO10"/>
    <mergeCell ref="HUP10:HUX10"/>
    <mergeCell ref="HUY10:HVG10"/>
    <mergeCell ref="HVH10:HVP10"/>
    <mergeCell ref="HVQ10:HVY10"/>
    <mergeCell ref="IMY10:ING10"/>
    <mergeCell ref="INH10:INP10"/>
    <mergeCell ref="INQ10:INY10"/>
    <mergeCell ref="INZ10:IOH10"/>
    <mergeCell ref="IOI10:IOQ10"/>
    <mergeCell ref="IOR10:IOZ10"/>
    <mergeCell ref="IPA10:IPI10"/>
    <mergeCell ref="IPJ10:IPR10"/>
    <mergeCell ref="HYT10:HZB10"/>
    <mergeCell ref="HZC10:HZK10"/>
    <mergeCell ref="HZL10:HZT10"/>
    <mergeCell ref="HZU10:IAC10"/>
    <mergeCell ref="IAD10:IAL10"/>
    <mergeCell ref="IAM10:IAU10"/>
    <mergeCell ref="IAV10:IBD10"/>
    <mergeCell ref="IBE10:IBM10"/>
    <mergeCell ref="IBN10:IBV10"/>
    <mergeCell ref="IBW10:ICE10"/>
    <mergeCell ref="ICF10:ICN10"/>
    <mergeCell ref="ICO10:ICW10"/>
    <mergeCell ref="ICX10:IDF10"/>
    <mergeCell ref="IDG10:IDO10"/>
    <mergeCell ref="IDP10:IDX10"/>
    <mergeCell ref="IDY10:IEG10"/>
    <mergeCell ref="JAL10:JAT10"/>
    <mergeCell ref="JAU10:JBC10"/>
    <mergeCell ref="JBD10:JBL10"/>
    <mergeCell ref="JBM10:JBU10"/>
    <mergeCell ref="JBV10:JCD10"/>
    <mergeCell ref="JCE10:JCM10"/>
    <mergeCell ref="JCN10:JCV10"/>
    <mergeCell ref="JCW10:JDE10"/>
    <mergeCell ref="ISM10:ISU10"/>
    <mergeCell ref="ISV10:ITD10"/>
    <mergeCell ref="IFI10:IFQ10"/>
    <mergeCell ref="IFR10:IFZ10"/>
    <mergeCell ref="IGA10:IGI10"/>
    <mergeCell ref="IGJ10:IGR10"/>
    <mergeCell ref="IGS10:IHA10"/>
    <mergeCell ref="IHB10:IHJ10"/>
    <mergeCell ref="IHK10:IHS10"/>
    <mergeCell ref="IHT10:IIB10"/>
    <mergeCell ref="IIC10:IIK10"/>
    <mergeCell ref="IIL10:IIT10"/>
    <mergeCell ref="IIU10:IJC10"/>
    <mergeCell ref="IJD10:IJL10"/>
    <mergeCell ref="IJM10:IJU10"/>
    <mergeCell ref="IJV10:IKD10"/>
    <mergeCell ref="IKE10:IKM10"/>
    <mergeCell ref="IKN10:IKV10"/>
    <mergeCell ref="IKW10:ILE10"/>
    <mergeCell ref="ILF10:ILN10"/>
    <mergeCell ref="ILO10:ILW10"/>
    <mergeCell ref="ILX10:IMF10"/>
    <mergeCell ref="IMG10:IMO10"/>
    <mergeCell ref="IMP10:IMX10"/>
    <mergeCell ref="JLN10:JLV10"/>
    <mergeCell ref="JLW10:JME10"/>
    <mergeCell ref="JMF10:JMN10"/>
    <mergeCell ref="JMO10:JMW10"/>
    <mergeCell ref="JMX10:JNF10"/>
    <mergeCell ref="JNG10:JNO10"/>
    <mergeCell ref="JNP10:JNX10"/>
    <mergeCell ref="JNY10:JOG10"/>
    <mergeCell ref="JFZ10:JGH10"/>
    <mergeCell ref="JGI10:JGQ10"/>
    <mergeCell ref="JGR10:JGZ10"/>
    <mergeCell ref="ITE10:ITM10"/>
    <mergeCell ref="ITN10:ITV10"/>
    <mergeCell ref="ITW10:IUE10"/>
    <mergeCell ref="IUF10:IUN10"/>
    <mergeCell ref="IUO10:IUW10"/>
    <mergeCell ref="IUX10:IVF10"/>
    <mergeCell ref="IVG10:IVO10"/>
    <mergeCell ref="IVP10:IVX10"/>
    <mergeCell ref="IVY10:IWG10"/>
    <mergeCell ref="IWH10:IWP10"/>
    <mergeCell ref="IWQ10:IWY10"/>
    <mergeCell ref="IWZ10:IXH10"/>
    <mergeCell ref="IXI10:IXQ10"/>
    <mergeCell ref="IXR10:IXZ10"/>
    <mergeCell ref="IYA10:IYI10"/>
    <mergeCell ref="IYJ10:IYR10"/>
    <mergeCell ref="IYS10:IZA10"/>
    <mergeCell ref="IZB10:IZJ10"/>
    <mergeCell ref="IZK10:IZS10"/>
    <mergeCell ref="IZT10:JAB10"/>
    <mergeCell ref="JAC10:JAK10"/>
    <mergeCell ref="KHR10:KHZ10"/>
    <mergeCell ref="KFG10:KFO10"/>
    <mergeCell ref="KFP10:KFX10"/>
    <mergeCell ref="KFY10:KGG10"/>
    <mergeCell ref="KGH10:KGP10"/>
    <mergeCell ref="KGQ10:KGY10"/>
    <mergeCell ref="KGZ10:KHH10"/>
    <mergeCell ref="KHI10:KHQ10"/>
    <mergeCell ref="JDF10:JDN10"/>
    <mergeCell ref="JDO10:JDW10"/>
    <mergeCell ref="JDX10:JEF10"/>
    <mergeCell ref="JEG10:JEO10"/>
    <mergeCell ref="JEP10:JEX10"/>
    <mergeCell ref="JEY10:JFG10"/>
    <mergeCell ref="JFH10:JFP10"/>
    <mergeCell ref="JFQ10:JFY10"/>
    <mergeCell ref="JTV10:JUD10"/>
    <mergeCell ref="JUE10:JUM10"/>
    <mergeCell ref="JUN10:JUV10"/>
    <mergeCell ref="JHA10:JHI10"/>
    <mergeCell ref="JHJ10:JHR10"/>
    <mergeCell ref="JHS10:JIA10"/>
    <mergeCell ref="JIB10:JIJ10"/>
    <mergeCell ref="JIK10:JIS10"/>
    <mergeCell ref="JIT10:JJB10"/>
    <mergeCell ref="JJC10:JJK10"/>
    <mergeCell ref="JJL10:JJT10"/>
    <mergeCell ref="JJU10:JKC10"/>
    <mergeCell ref="JKD10:JKL10"/>
    <mergeCell ref="JKM10:JKU10"/>
    <mergeCell ref="JKV10:JLD10"/>
    <mergeCell ref="JLE10:JLM10"/>
    <mergeCell ref="KCM10:KCU10"/>
    <mergeCell ref="KCV10:KDD10"/>
    <mergeCell ref="KDE10:KDM10"/>
    <mergeCell ref="KDN10:KDV10"/>
    <mergeCell ref="KDW10:KEE10"/>
    <mergeCell ref="KEF10:KEN10"/>
    <mergeCell ref="KEO10:KEW10"/>
    <mergeCell ref="KEX10:KFF10"/>
    <mergeCell ref="JOH10:JOP10"/>
    <mergeCell ref="JOQ10:JOY10"/>
    <mergeCell ref="JOZ10:JPH10"/>
    <mergeCell ref="JPI10:JPQ10"/>
    <mergeCell ref="JPR10:JPZ10"/>
    <mergeCell ref="JQA10:JQI10"/>
    <mergeCell ref="JQJ10:JQR10"/>
    <mergeCell ref="JQS10:JRA10"/>
    <mergeCell ref="JRB10:JRJ10"/>
    <mergeCell ref="JRK10:JRS10"/>
    <mergeCell ref="JRT10:JSB10"/>
    <mergeCell ref="JSC10:JSK10"/>
    <mergeCell ref="JSL10:JST10"/>
    <mergeCell ref="JSU10:JTC10"/>
    <mergeCell ref="JTD10:JTL10"/>
    <mergeCell ref="JTM10:JTU10"/>
    <mergeCell ref="KPZ10:KQH10"/>
    <mergeCell ref="KQI10:KQQ10"/>
    <mergeCell ref="KQR10:KQZ10"/>
    <mergeCell ref="KRA10:KRI10"/>
    <mergeCell ref="KRJ10:KRR10"/>
    <mergeCell ref="KRS10:KSA10"/>
    <mergeCell ref="KSB10:KSJ10"/>
    <mergeCell ref="KSK10:KSS10"/>
    <mergeCell ref="KIA10:KII10"/>
    <mergeCell ref="KIJ10:KIR10"/>
    <mergeCell ref="JUW10:JVE10"/>
    <mergeCell ref="JVF10:JVN10"/>
    <mergeCell ref="JVO10:JVW10"/>
    <mergeCell ref="JVX10:JWF10"/>
    <mergeCell ref="JWG10:JWO10"/>
    <mergeCell ref="JWP10:JWX10"/>
    <mergeCell ref="JWY10:JXG10"/>
    <mergeCell ref="JXH10:JXP10"/>
    <mergeCell ref="JXQ10:JXY10"/>
    <mergeCell ref="JXZ10:JYH10"/>
    <mergeCell ref="JYI10:JYQ10"/>
    <mergeCell ref="JYR10:JYZ10"/>
    <mergeCell ref="JZA10:JZI10"/>
    <mergeCell ref="JZJ10:JZR10"/>
    <mergeCell ref="JZS10:KAA10"/>
    <mergeCell ref="KAB10:KAJ10"/>
    <mergeCell ref="KAK10:KAS10"/>
    <mergeCell ref="KAT10:KBB10"/>
    <mergeCell ref="KBC10:KBK10"/>
    <mergeCell ref="KBL10:KBT10"/>
    <mergeCell ref="KBU10:KCC10"/>
    <mergeCell ref="KCD10:KCL10"/>
    <mergeCell ref="LBB10:LBJ10"/>
    <mergeCell ref="LBK10:LBS10"/>
    <mergeCell ref="LBT10:LCB10"/>
    <mergeCell ref="LCC10:LCK10"/>
    <mergeCell ref="LCL10:LCT10"/>
    <mergeCell ref="LCU10:LDC10"/>
    <mergeCell ref="LDD10:LDL10"/>
    <mergeCell ref="LDM10:LDU10"/>
    <mergeCell ref="KVN10:KVV10"/>
    <mergeCell ref="KVW10:KWE10"/>
    <mergeCell ref="KWF10:KWN10"/>
    <mergeCell ref="KIS10:KJA10"/>
    <mergeCell ref="KJB10:KJJ10"/>
    <mergeCell ref="KJK10:KJS10"/>
    <mergeCell ref="KJT10:KKB10"/>
    <mergeCell ref="KKC10:KKK10"/>
    <mergeCell ref="KKL10:KKT10"/>
    <mergeCell ref="KKU10:KLC10"/>
    <mergeCell ref="KLD10:KLL10"/>
    <mergeCell ref="KLM10:KLU10"/>
    <mergeCell ref="KLV10:KMD10"/>
    <mergeCell ref="KME10:KMM10"/>
    <mergeCell ref="KMN10:KMV10"/>
    <mergeCell ref="KMW10:KNE10"/>
    <mergeCell ref="KNF10:KNN10"/>
    <mergeCell ref="KNO10:KNW10"/>
    <mergeCell ref="KNX10:KOF10"/>
    <mergeCell ref="KOG10:KOO10"/>
    <mergeCell ref="KOP10:KOX10"/>
    <mergeCell ref="KOY10:KPG10"/>
    <mergeCell ref="KPH10:KPP10"/>
    <mergeCell ref="KPQ10:KPY10"/>
    <mergeCell ref="LXF10:LXN10"/>
    <mergeCell ref="LUU10:LVC10"/>
    <mergeCell ref="LVD10:LVL10"/>
    <mergeCell ref="LVM10:LVU10"/>
    <mergeCell ref="LVV10:LWD10"/>
    <mergeCell ref="LWE10:LWM10"/>
    <mergeCell ref="LWN10:LWV10"/>
    <mergeCell ref="LWW10:LXE10"/>
    <mergeCell ref="KST10:KTB10"/>
    <mergeCell ref="KTC10:KTK10"/>
    <mergeCell ref="KTL10:KTT10"/>
    <mergeCell ref="KTU10:KUC10"/>
    <mergeCell ref="KUD10:KUL10"/>
    <mergeCell ref="KUM10:KUU10"/>
    <mergeCell ref="KUV10:KVD10"/>
    <mergeCell ref="KVE10:KVM10"/>
    <mergeCell ref="LJJ10:LJR10"/>
    <mergeCell ref="LJS10:LKA10"/>
    <mergeCell ref="LKB10:LKJ10"/>
    <mergeCell ref="KWO10:KWW10"/>
    <mergeCell ref="KWX10:KXF10"/>
    <mergeCell ref="KXG10:KXO10"/>
    <mergeCell ref="KXP10:KXX10"/>
    <mergeCell ref="KXY10:KYG10"/>
    <mergeCell ref="KYH10:KYP10"/>
    <mergeCell ref="KYQ10:KYY10"/>
    <mergeCell ref="KYZ10:KZH10"/>
    <mergeCell ref="KZI10:KZQ10"/>
    <mergeCell ref="KZR10:KZZ10"/>
    <mergeCell ref="LAA10:LAI10"/>
    <mergeCell ref="LAJ10:LAR10"/>
    <mergeCell ref="LAS10:LBA10"/>
    <mergeCell ref="LSA10:LSI10"/>
    <mergeCell ref="LSJ10:LSR10"/>
    <mergeCell ref="LSS10:LTA10"/>
    <mergeCell ref="LTB10:LTJ10"/>
    <mergeCell ref="LTK10:LTS10"/>
    <mergeCell ref="LTT10:LUB10"/>
    <mergeCell ref="LUC10:LUK10"/>
    <mergeCell ref="LUL10:LUT10"/>
    <mergeCell ref="LDV10:LED10"/>
    <mergeCell ref="LEE10:LEM10"/>
    <mergeCell ref="LEN10:LEV10"/>
    <mergeCell ref="LEW10:LFE10"/>
    <mergeCell ref="LFF10:LFN10"/>
    <mergeCell ref="LFO10:LFW10"/>
    <mergeCell ref="LFX10:LGF10"/>
    <mergeCell ref="LGG10:LGO10"/>
    <mergeCell ref="LGP10:LGX10"/>
    <mergeCell ref="LGY10:LHG10"/>
    <mergeCell ref="LHH10:LHP10"/>
    <mergeCell ref="LHQ10:LHY10"/>
    <mergeCell ref="LHZ10:LIH10"/>
    <mergeCell ref="LII10:LIQ10"/>
    <mergeCell ref="LIR10:LIZ10"/>
    <mergeCell ref="LJA10:LJI10"/>
    <mergeCell ref="MFN10:MFV10"/>
    <mergeCell ref="MFW10:MGE10"/>
    <mergeCell ref="MGF10:MGN10"/>
    <mergeCell ref="MGO10:MGW10"/>
    <mergeCell ref="MGX10:MHF10"/>
    <mergeCell ref="MHG10:MHO10"/>
    <mergeCell ref="MHP10:MHX10"/>
    <mergeCell ref="MHY10:MIG10"/>
    <mergeCell ref="LXO10:LXW10"/>
    <mergeCell ref="LXX10:LYF10"/>
    <mergeCell ref="LKK10:LKS10"/>
    <mergeCell ref="LKT10:LLB10"/>
    <mergeCell ref="LLC10:LLK10"/>
    <mergeCell ref="LLL10:LLT10"/>
    <mergeCell ref="LLU10:LMC10"/>
    <mergeCell ref="LMD10:LML10"/>
    <mergeCell ref="LMM10:LMU10"/>
    <mergeCell ref="LMV10:LND10"/>
    <mergeCell ref="LNE10:LNM10"/>
    <mergeCell ref="LNN10:LNV10"/>
    <mergeCell ref="LNW10:LOE10"/>
    <mergeCell ref="LOF10:LON10"/>
    <mergeCell ref="LOO10:LOW10"/>
    <mergeCell ref="LOX10:LPF10"/>
    <mergeCell ref="LPG10:LPO10"/>
    <mergeCell ref="LPP10:LPX10"/>
    <mergeCell ref="LPY10:LQG10"/>
    <mergeCell ref="LQH10:LQP10"/>
    <mergeCell ref="LQQ10:LQY10"/>
    <mergeCell ref="LQZ10:LRH10"/>
    <mergeCell ref="LRI10:LRQ10"/>
    <mergeCell ref="LRR10:LRZ10"/>
    <mergeCell ref="MQP10:MQX10"/>
    <mergeCell ref="MQY10:MRG10"/>
    <mergeCell ref="MRH10:MRP10"/>
    <mergeCell ref="MRQ10:MRY10"/>
    <mergeCell ref="MRZ10:MSH10"/>
    <mergeCell ref="MSI10:MSQ10"/>
    <mergeCell ref="MSR10:MSZ10"/>
    <mergeCell ref="MTA10:MTI10"/>
    <mergeCell ref="MLB10:MLJ10"/>
    <mergeCell ref="MLK10:MLS10"/>
    <mergeCell ref="MLT10:MMB10"/>
    <mergeCell ref="LYG10:LYO10"/>
    <mergeCell ref="LYP10:LYX10"/>
    <mergeCell ref="LYY10:LZG10"/>
    <mergeCell ref="LZH10:LZP10"/>
    <mergeCell ref="LZQ10:LZY10"/>
    <mergeCell ref="LZZ10:MAH10"/>
    <mergeCell ref="MAI10:MAQ10"/>
    <mergeCell ref="MAR10:MAZ10"/>
    <mergeCell ref="MBA10:MBI10"/>
    <mergeCell ref="MBJ10:MBR10"/>
    <mergeCell ref="MBS10:MCA10"/>
    <mergeCell ref="MCB10:MCJ10"/>
    <mergeCell ref="MCK10:MCS10"/>
    <mergeCell ref="MCT10:MDB10"/>
    <mergeCell ref="MDC10:MDK10"/>
    <mergeCell ref="MDL10:MDT10"/>
    <mergeCell ref="MDU10:MEC10"/>
    <mergeCell ref="MED10:MEL10"/>
    <mergeCell ref="MEM10:MEU10"/>
    <mergeCell ref="MEV10:MFD10"/>
    <mergeCell ref="MFE10:MFM10"/>
    <mergeCell ref="NMT10:NNB10"/>
    <mergeCell ref="NKI10:NKQ10"/>
    <mergeCell ref="NKR10:NKZ10"/>
    <mergeCell ref="NLA10:NLI10"/>
    <mergeCell ref="NLJ10:NLR10"/>
    <mergeCell ref="NLS10:NMA10"/>
    <mergeCell ref="NMB10:NMJ10"/>
    <mergeCell ref="NMK10:NMS10"/>
    <mergeCell ref="MIH10:MIP10"/>
    <mergeCell ref="MIQ10:MIY10"/>
    <mergeCell ref="MIZ10:MJH10"/>
    <mergeCell ref="MJI10:MJQ10"/>
    <mergeCell ref="MJR10:MJZ10"/>
    <mergeCell ref="MKA10:MKI10"/>
    <mergeCell ref="MKJ10:MKR10"/>
    <mergeCell ref="MKS10:MLA10"/>
    <mergeCell ref="MYX10:MZF10"/>
    <mergeCell ref="MZG10:MZO10"/>
    <mergeCell ref="MZP10:MZX10"/>
    <mergeCell ref="MMC10:MMK10"/>
    <mergeCell ref="MML10:MMT10"/>
    <mergeCell ref="MMU10:MNC10"/>
    <mergeCell ref="MND10:MNL10"/>
    <mergeCell ref="MNM10:MNU10"/>
    <mergeCell ref="MNV10:MOD10"/>
    <mergeCell ref="MOE10:MOM10"/>
    <mergeCell ref="MON10:MOV10"/>
    <mergeCell ref="MOW10:MPE10"/>
    <mergeCell ref="MPF10:MPN10"/>
    <mergeCell ref="MPO10:MPW10"/>
    <mergeCell ref="MPX10:MQF10"/>
    <mergeCell ref="MQG10:MQO10"/>
    <mergeCell ref="NHO10:NHW10"/>
    <mergeCell ref="NHX10:NIF10"/>
    <mergeCell ref="NIG10:NIO10"/>
    <mergeCell ref="NIP10:NIX10"/>
    <mergeCell ref="NIY10:NJG10"/>
    <mergeCell ref="NJH10:NJP10"/>
    <mergeCell ref="NJQ10:NJY10"/>
    <mergeCell ref="NJZ10:NKH10"/>
    <mergeCell ref="MTJ10:MTR10"/>
    <mergeCell ref="MTS10:MUA10"/>
    <mergeCell ref="MUB10:MUJ10"/>
    <mergeCell ref="MUK10:MUS10"/>
    <mergeCell ref="MUT10:MVB10"/>
    <mergeCell ref="MVC10:MVK10"/>
    <mergeCell ref="MVL10:MVT10"/>
    <mergeCell ref="MVU10:MWC10"/>
    <mergeCell ref="MWD10:MWL10"/>
    <mergeCell ref="MWM10:MWU10"/>
    <mergeCell ref="MWV10:MXD10"/>
    <mergeCell ref="MXE10:MXM10"/>
    <mergeCell ref="MXN10:MXV10"/>
    <mergeCell ref="MXW10:MYE10"/>
    <mergeCell ref="MYF10:MYN10"/>
    <mergeCell ref="MYO10:MYW10"/>
    <mergeCell ref="NVB10:NVJ10"/>
    <mergeCell ref="NVK10:NVS10"/>
    <mergeCell ref="NVT10:NWB10"/>
    <mergeCell ref="NWC10:NWK10"/>
    <mergeCell ref="NWL10:NWT10"/>
    <mergeCell ref="NWU10:NXC10"/>
    <mergeCell ref="NXD10:NXL10"/>
    <mergeCell ref="NXM10:NXU10"/>
    <mergeCell ref="NNC10:NNK10"/>
    <mergeCell ref="NNL10:NNT10"/>
    <mergeCell ref="MZY10:NAG10"/>
    <mergeCell ref="NAH10:NAP10"/>
    <mergeCell ref="NAQ10:NAY10"/>
    <mergeCell ref="NAZ10:NBH10"/>
    <mergeCell ref="NBI10:NBQ10"/>
    <mergeCell ref="NBR10:NBZ10"/>
    <mergeCell ref="NCA10:NCI10"/>
    <mergeCell ref="NCJ10:NCR10"/>
    <mergeCell ref="NCS10:NDA10"/>
    <mergeCell ref="NDB10:NDJ10"/>
    <mergeCell ref="NDK10:NDS10"/>
    <mergeCell ref="NDT10:NEB10"/>
    <mergeCell ref="NEC10:NEK10"/>
    <mergeCell ref="NEL10:NET10"/>
    <mergeCell ref="NEU10:NFC10"/>
    <mergeCell ref="NFD10:NFL10"/>
    <mergeCell ref="NFM10:NFU10"/>
    <mergeCell ref="NFV10:NGD10"/>
    <mergeCell ref="NGE10:NGM10"/>
    <mergeCell ref="NGN10:NGV10"/>
    <mergeCell ref="NGW10:NHE10"/>
    <mergeCell ref="NHF10:NHN10"/>
    <mergeCell ref="OGD10:OGL10"/>
    <mergeCell ref="OGM10:OGU10"/>
    <mergeCell ref="OGV10:OHD10"/>
    <mergeCell ref="OHE10:OHM10"/>
    <mergeCell ref="OHN10:OHV10"/>
    <mergeCell ref="OHW10:OIE10"/>
    <mergeCell ref="OIF10:OIN10"/>
    <mergeCell ref="OIO10:OIW10"/>
    <mergeCell ref="OAP10:OAX10"/>
    <mergeCell ref="OAY10:OBG10"/>
    <mergeCell ref="OBH10:OBP10"/>
    <mergeCell ref="NNU10:NOC10"/>
    <mergeCell ref="NOD10:NOL10"/>
    <mergeCell ref="NOM10:NOU10"/>
    <mergeCell ref="NOV10:NPD10"/>
    <mergeCell ref="NPE10:NPM10"/>
    <mergeCell ref="NPN10:NPV10"/>
    <mergeCell ref="NPW10:NQE10"/>
    <mergeCell ref="NQF10:NQN10"/>
    <mergeCell ref="NQO10:NQW10"/>
    <mergeCell ref="NQX10:NRF10"/>
    <mergeCell ref="NRG10:NRO10"/>
    <mergeCell ref="NRP10:NRX10"/>
    <mergeCell ref="NRY10:NSG10"/>
    <mergeCell ref="NSH10:NSP10"/>
    <mergeCell ref="NSQ10:NSY10"/>
    <mergeCell ref="NSZ10:NTH10"/>
    <mergeCell ref="NTI10:NTQ10"/>
    <mergeCell ref="NTR10:NTZ10"/>
    <mergeCell ref="NUA10:NUI10"/>
    <mergeCell ref="NUJ10:NUR10"/>
    <mergeCell ref="NUS10:NVA10"/>
    <mergeCell ref="PCH10:PCP10"/>
    <mergeCell ref="OZW10:PAE10"/>
    <mergeCell ref="PAF10:PAN10"/>
    <mergeCell ref="PAO10:PAW10"/>
    <mergeCell ref="PAX10:PBF10"/>
    <mergeCell ref="PBG10:PBO10"/>
    <mergeCell ref="PBP10:PBX10"/>
    <mergeCell ref="PBY10:PCG10"/>
    <mergeCell ref="NXV10:NYD10"/>
    <mergeCell ref="NYE10:NYM10"/>
    <mergeCell ref="NYN10:NYV10"/>
    <mergeCell ref="NYW10:NZE10"/>
    <mergeCell ref="NZF10:NZN10"/>
    <mergeCell ref="NZO10:NZW10"/>
    <mergeCell ref="NZX10:OAF10"/>
    <mergeCell ref="OAG10:OAO10"/>
    <mergeCell ref="OOL10:OOT10"/>
    <mergeCell ref="OOU10:OPC10"/>
    <mergeCell ref="OPD10:OPL10"/>
    <mergeCell ref="OBQ10:OBY10"/>
    <mergeCell ref="OBZ10:OCH10"/>
    <mergeCell ref="OCI10:OCQ10"/>
    <mergeCell ref="OCR10:OCZ10"/>
    <mergeCell ref="ODA10:ODI10"/>
    <mergeCell ref="ODJ10:ODR10"/>
    <mergeCell ref="ODS10:OEA10"/>
    <mergeCell ref="OEB10:OEJ10"/>
    <mergeCell ref="OEK10:OES10"/>
    <mergeCell ref="OET10:OFB10"/>
    <mergeCell ref="OFC10:OFK10"/>
    <mergeCell ref="OFL10:OFT10"/>
    <mergeCell ref="OFU10:OGC10"/>
    <mergeCell ref="OXC10:OXK10"/>
    <mergeCell ref="OXL10:OXT10"/>
    <mergeCell ref="OXU10:OYC10"/>
    <mergeCell ref="OYD10:OYL10"/>
    <mergeCell ref="OYM10:OYU10"/>
    <mergeCell ref="OYV10:OZD10"/>
    <mergeCell ref="OZE10:OZM10"/>
    <mergeCell ref="OZN10:OZV10"/>
    <mergeCell ref="OIX10:OJF10"/>
    <mergeCell ref="OJG10:OJO10"/>
    <mergeCell ref="OJP10:OJX10"/>
    <mergeCell ref="OJY10:OKG10"/>
    <mergeCell ref="OKH10:OKP10"/>
    <mergeCell ref="OKQ10:OKY10"/>
    <mergeCell ref="OKZ10:OLH10"/>
    <mergeCell ref="OLI10:OLQ10"/>
    <mergeCell ref="OLR10:OLZ10"/>
    <mergeCell ref="OMA10:OMI10"/>
    <mergeCell ref="OMJ10:OMR10"/>
    <mergeCell ref="OMS10:ONA10"/>
    <mergeCell ref="ONB10:ONJ10"/>
    <mergeCell ref="ONK10:ONS10"/>
    <mergeCell ref="ONT10:OOB10"/>
    <mergeCell ref="OOC10:OOK10"/>
    <mergeCell ref="PKP10:PKX10"/>
    <mergeCell ref="PKY10:PLG10"/>
    <mergeCell ref="PLH10:PLP10"/>
    <mergeCell ref="PLQ10:PLY10"/>
    <mergeCell ref="PLZ10:PMH10"/>
    <mergeCell ref="PMI10:PMQ10"/>
    <mergeCell ref="PMR10:PMZ10"/>
    <mergeCell ref="PNA10:PNI10"/>
    <mergeCell ref="PCQ10:PCY10"/>
    <mergeCell ref="PCZ10:PDH10"/>
    <mergeCell ref="OPM10:OPU10"/>
    <mergeCell ref="OPV10:OQD10"/>
    <mergeCell ref="OQE10:OQM10"/>
    <mergeCell ref="OQN10:OQV10"/>
    <mergeCell ref="OQW10:ORE10"/>
    <mergeCell ref="ORF10:ORN10"/>
    <mergeCell ref="ORO10:ORW10"/>
    <mergeCell ref="ORX10:OSF10"/>
    <mergeCell ref="OSG10:OSO10"/>
    <mergeCell ref="OSP10:OSX10"/>
    <mergeCell ref="OSY10:OTG10"/>
    <mergeCell ref="OTH10:OTP10"/>
    <mergeCell ref="OTQ10:OTY10"/>
    <mergeCell ref="OTZ10:OUH10"/>
    <mergeCell ref="OUI10:OUQ10"/>
    <mergeCell ref="OUR10:OUZ10"/>
    <mergeCell ref="OVA10:OVI10"/>
    <mergeCell ref="OVJ10:OVR10"/>
    <mergeCell ref="OVS10:OWA10"/>
    <mergeCell ref="OWB10:OWJ10"/>
    <mergeCell ref="OWK10:OWS10"/>
    <mergeCell ref="OWT10:OXB10"/>
    <mergeCell ref="PVR10:PVZ10"/>
    <mergeCell ref="PWA10:PWI10"/>
    <mergeCell ref="PWJ10:PWR10"/>
    <mergeCell ref="PWS10:PXA10"/>
    <mergeCell ref="PXB10:PXJ10"/>
    <mergeCell ref="PXK10:PXS10"/>
    <mergeCell ref="PXT10:PYB10"/>
    <mergeCell ref="PYC10:PYK10"/>
    <mergeCell ref="PQD10:PQL10"/>
    <mergeCell ref="PQM10:PQU10"/>
    <mergeCell ref="PQV10:PRD10"/>
    <mergeCell ref="PDI10:PDQ10"/>
    <mergeCell ref="PDR10:PDZ10"/>
    <mergeCell ref="PEA10:PEI10"/>
    <mergeCell ref="PEJ10:PER10"/>
    <mergeCell ref="PES10:PFA10"/>
    <mergeCell ref="PFB10:PFJ10"/>
    <mergeCell ref="PFK10:PFS10"/>
    <mergeCell ref="PFT10:PGB10"/>
    <mergeCell ref="PGC10:PGK10"/>
    <mergeCell ref="PGL10:PGT10"/>
    <mergeCell ref="PGU10:PHC10"/>
    <mergeCell ref="PHD10:PHL10"/>
    <mergeCell ref="PHM10:PHU10"/>
    <mergeCell ref="PHV10:PID10"/>
    <mergeCell ref="PIE10:PIM10"/>
    <mergeCell ref="PIN10:PIV10"/>
    <mergeCell ref="PIW10:PJE10"/>
    <mergeCell ref="PJF10:PJN10"/>
    <mergeCell ref="PJO10:PJW10"/>
    <mergeCell ref="PJX10:PKF10"/>
    <mergeCell ref="PKG10:PKO10"/>
    <mergeCell ref="QRV10:QSD10"/>
    <mergeCell ref="QPK10:QPS10"/>
    <mergeCell ref="QPT10:QQB10"/>
    <mergeCell ref="QQC10:QQK10"/>
    <mergeCell ref="QQL10:QQT10"/>
    <mergeCell ref="QQU10:QRC10"/>
    <mergeCell ref="QRD10:QRL10"/>
    <mergeCell ref="QRM10:QRU10"/>
    <mergeCell ref="PNJ10:PNR10"/>
    <mergeCell ref="PNS10:POA10"/>
    <mergeCell ref="POB10:POJ10"/>
    <mergeCell ref="POK10:POS10"/>
    <mergeCell ref="POT10:PPB10"/>
    <mergeCell ref="PPC10:PPK10"/>
    <mergeCell ref="PPL10:PPT10"/>
    <mergeCell ref="PPU10:PQC10"/>
    <mergeCell ref="QDZ10:QEH10"/>
    <mergeCell ref="QEI10:QEQ10"/>
    <mergeCell ref="QER10:QEZ10"/>
    <mergeCell ref="PRE10:PRM10"/>
    <mergeCell ref="PRN10:PRV10"/>
    <mergeCell ref="PRW10:PSE10"/>
    <mergeCell ref="PSF10:PSN10"/>
    <mergeCell ref="PSO10:PSW10"/>
    <mergeCell ref="PSX10:PTF10"/>
    <mergeCell ref="PTG10:PTO10"/>
    <mergeCell ref="PTP10:PTX10"/>
    <mergeCell ref="PTY10:PUG10"/>
    <mergeCell ref="PUH10:PUP10"/>
    <mergeCell ref="PUQ10:PUY10"/>
    <mergeCell ref="PUZ10:PVH10"/>
    <mergeCell ref="PVI10:PVQ10"/>
    <mergeCell ref="QMQ10:QMY10"/>
    <mergeCell ref="QMZ10:QNH10"/>
    <mergeCell ref="QNI10:QNQ10"/>
    <mergeCell ref="QNR10:QNZ10"/>
    <mergeCell ref="QOA10:QOI10"/>
    <mergeCell ref="QOJ10:QOR10"/>
    <mergeCell ref="QOS10:QPA10"/>
    <mergeCell ref="QPB10:QPJ10"/>
    <mergeCell ref="PYL10:PYT10"/>
    <mergeCell ref="PYU10:PZC10"/>
    <mergeCell ref="PZD10:PZL10"/>
    <mergeCell ref="PZM10:PZU10"/>
    <mergeCell ref="PZV10:QAD10"/>
    <mergeCell ref="QAE10:QAM10"/>
    <mergeCell ref="QAN10:QAV10"/>
    <mergeCell ref="QAW10:QBE10"/>
    <mergeCell ref="QBF10:QBN10"/>
    <mergeCell ref="QBO10:QBW10"/>
    <mergeCell ref="QBX10:QCF10"/>
    <mergeCell ref="QCG10:QCO10"/>
    <mergeCell ref="QCP10:QCX10"/>
    <mergeCell ref="QCY10:QDG10"/>
    <mergeCell ref="QDH10:QDP10"/>
    <mergeCell ref="QDQ10:QDY10"/>
    <mergeCell ref="RAD10:RAL10"/>
    <mergeCell ref="RAM10:RAU10"/>
    <mergeCell ref="RAV10:RBD10"/>
    <mergeCell ref="RBE10:RBM10"/>
    <mergeCell ref="RBN10:RBV10"/>
    <mergeCell ref="RBW10:RCE10"/>
    <mergeCell ref="RCF10:RCN10"/>
    <mergeCell ref="RCO10:RCW10"/>
    <mergeCell ref="QSE10:QSM10"/>
    <mergeCell ref="QSN10:QSV10"/>
    <mergeCell ref="QFA10:QFI10"/>
    <mergeCell ref="QFJ10:QFR10"/>
    <mergeCell ref="QFS10:QGA10"/>
    <mergeCell ref="QGB10:QGJ10"/>
    <mergeCell ref="QGK10:QGS10"/>
    <mergeCell ref="QGT10:QHB10"/>
    <mergeCell ref="QHC10:QHK10"/>
    <mergeCell ref="QHL10:QHT10"/>
    <mergeCell ref="QHU10:QIC10"/>
    <mergeCell ref="QID10:QIL10"/>
    <mergeCell ref="QIM10:QIU10"/>
    <mergeCell ref="QIV10:QJD10"/>
    <mergeCell ref="QJE10:QJM10"/>
    <mergeCell ref="QJN10:QJV10"/>
    <mergeCell ref="QJW10:QKE10"/>
    <mergeCell ref="QKF10:QKN10"/>
    <mergeCell ref="QKO10:QKW10"/>
    <mergeCell ref="QKX10:QLF10"/>
    <mergeCell ref="QLG10:QLO10"/>
    <mergeCell ref="QLP10:QLX10"/>
    <mergeCell ref="QLY10:QMG10"/>
    <mergeCell ref="QMH10:QMP10"/>
    <mergeCell ref="RLF10:RLN10"/>
    <mergeCell ref="RLO10:RLW10"/>
    <mergeCell ref="RLX10:RMF10"/>
    <mergeCell ref="RMG10:RMO10"/>
    <mergeCell ref="RMP10:RMX10"/>
    <mergeCell ref="RMY10:RNG10"/>
    <mergeCell ref="RNH10:RNP10"/>
    <mergeCell ref="RNQ10:RNY10"/>
    <mergeCell ref="RFR10:RFZ10"/>
    <mergeCell ref="RGA10:RGI10"/>
    <mergeCell ref="RGJ10:RGR10"/>
    <mergeCell ref="QSW10:QTE10"/>
    <mergeCell ref="QTF10:QTN10"/>
    <mergeCell ref="QTO10:QTW10"/>
    <mergeCell ref="QTX10:QUF10"/>
    <mergeCell ref="QUG10:QUO10"/>
    <mergeCell ref="QUP10:QUX10"/>
    <mergeCell ref="QUY10:QVG10"/>
    <mergeCell ref="QVH10:QVP10"/>
    <mergeCell ref="QVQ10:QVY10"/>
    <mergeCell ref="QVZ10:QWH10"/>
    <mergeCell ref="QWI10:QWQ10"/>
    <mergeCell ref="QWR10:QWZ10"/>
    <mergeCell ref="QXA10:QXI10"/>
    <mergeCell ref="QXJ10:QXR10"/>
    <mergeCell ref="QXS10:QYA10"/>
    <mergeCell ref="QYB10:QYJ10"/>
    <mergeCell ref="QYK10:QYS10"/>
    <mergeCell ref="QYT10:QZB10"/>
    <mergeCell ref="QZC10:QZK10"/>
    <mergeCell ref="QZL10:QZT10"/>
    <mergeCell ref="QZU10:RAC10"/>
    <mergeCell ref="SHJ10:SHR10"/>
    <mergeCell ref="SEY10:SFG10"/>
    <mergeCell ref="SFH10:SFP10"/>
    <mergeCell ref="SFQ10:SFY10"/>
    <mergeCell ref="SFZ10:SGH10"/>
    <mergeCell ref="SGI10:SGQ10"/>
    <mergeCell ref="SGR10:SGZ10"/>
    <mergeCell ref="SHA10:SHI10"/>
    <mergeCell ref="RCX10:RDF10"/>
    <mergeCell ref="RDG10:RDO10"/>
    <mergeCell ref="RDP10:RDX10"/>
    <mergeCell ref="RDY10:REG10"/>
    <mergeCell ref="REH10:REP10"/>
    <mergeCell ref="REQ10:REY10"/>
    <mergeCell ref="REZ10:RFH10"/>
    <mergeCell ref="RFI10:RFQ10"/>
    <mergeCell ref="RTN10:RTV10"/>
    <mergeCell ref="RTW10:RUE10"/>
    <mergeCell ref="RUF10:RUN10"/>
    <mergeCell ref="RGS10:RHA10"/>
    <mergeCell ref="RHB10:RHJ10"/>
    <mergeCell ref="RHK10:RHS10"/>
    <mergeCell ref="RHT10:RIB10"/>
    <mergeCell ref="RIC10:RIK10"/>
    <mergeCell ref="RIL10:RIT10"/>
    <mergeCell ref="RIU10:RJC10"/>
    <mergeCell ref="RJD10:RJL10"/>
    <mergeCell ref="RJM10:RJU10"/>
    <mergeCell ref="RJV10:RKD10"/>
    <mergeCell ref="RKE10:RKM10"/>
    <mergeCell ref="RKN10:RKV10"/>
    <mergeCell ref="RKW10:RLE10"/>
    <mergeCell ref="SCE10:SCM10"/>
    <mergeCell ref="SCN10:SCV10"/>
    <mergeCell ref="SCW10:SDE10"/>
    <mergeCell ref="SDF10:SDN10"/>
    <mergeCell ref="SDO10:SDW10"/>
    <mergeCell ref="SDX10:SEF10"/>
    <mergeCell ref="SEG10:SEO10"/>
    <mergeCell ref="SEP10:SEX10"/>
    <mergeCell ref="RNZ10:ROH10"/>
    <mergeCell ref="ROI10:ROQ10"/>
    <mergeCell ref="ROR10:ROZ10"/>
    <mergeCell ref="RPA10:RPI10"/>
    <mergeCell ref="RPJ10:RPR10"/>
    <mergeCell ref="RPS10:RQA10"/>
    <mergeCell ref="RQB10:RQJ10"/>
    <mergeCell ref="RQK10:RQS10"/>
    <mergeCell ref="RQT10:RRB10"/>
    <mergeCell ref="RRC10:RRK10"/>
    <mergeCell ref="RRL10:RRT10"/>
    <mergeCell ref="RRU10:RSC10"/>
    <mergeCell ref="RSD10:RSL10"/>
    <mergeCell ref="RSM10:RSU10"/>
    <mergeCell ref="RSV10:RTD10"/>
    <mergeCell ref="RTE10:RTM10"/>
    <mergeCell ref="SPR10:SPZ10"/>
    <mergeCell ref="SQA10:SQI10"/>
    <mergeCell ref="SQJ10:SQR10"/>
    <mergeCell ref="SQS10:SRA10"/>
    <mergeCell ref="SRB10:SRJ10"/>
    <mergeCell ref="SRK10:SRS10"/>
    <mergeCell ref="SRT10:SSB10"/>
    <mergeCell ref="SSC10:SSK10"/>
    <mergeCell ref="SHS10:SIA10"/>
    <mergeCell ref="SIB10:SIJ10"/>
    <mergeCell ref="RUO10:RUW10"/>
    <mergeCell ref="RUX10:RVF10"/>
    <mergeCell ref="RVG10:RVO10"/>
    <mergeCell ref="RVP10:RVX10"/>
    <mergeCell ref="RVY10:RWG10"/>
    <mergeCell ref="RWH10:RWP10"/>
    <mergeCell ref="RWQ10:RWY10"/>
    <mergeCell ref="RWZ10:RXH10"/>
    <mergeCell ref="RXI10:RXQ10"/>
    <mergeCell ref="RXR10:RXZ10"/>
    <mergeCell ref="RYA10:RYI10"/>
    <mergeCell ref="RYJ10:RYR10"/>
    <mergeCell ref="RYS10:RZA10"/>
    <mergeCell ref="RZB10:RZJ10"/>
    <mergeCell ref="RZK10:RZS10"/>
    <mergeCell ref="RZT10:SAB10"/>
    <mergeCell ref="SAC10:SAK10"/>
    <mergeCell ref="SAL10:SAT10"/>
    <mergeCell ref="SAU10:SBC10"/>
    <mergeCell ref="SBD10:SBL10"/>
    <mergeCell ref="SBM10:SBU10"/>
    <mergeCell ref="SBV10:SCD10"/>
    <mergeCell ref="TAT10:TBB10"/>
    <mergeCell ref="TBC10:TBK10"/>
    <mergeCell ref="TBL10:TBT10"/>
    <mergeCell ref="TBU10:TCC10"/>
    <mergeCell ref="TCD10:TCL10"/>
    <mergeCell ref="TCM10:TCU10"/>
    <mergeCell ref="TCV10:TDD10"/>
    <mergeCell ref="TDE10:TDM10"/>
    <mergeCell ref="SVF10:SVN10"/>
    <mergeCell ref="SVO10:SVW10"/>
    <mergeCell ref="SVX10:SWF10"/>
    <mergeCell ref="SIK10:SIS10"/>
    <mergeCell ref="SIT10:SJB10"/>
    <mergeCell ref="SJC10:SJK10"/>
    <mergeCell ref="SJL10:SJT10"/>
    <mergeCell ref="SJU10:SKC10"/>
    <mergeCell ref="SKD10:SKL10"/>
    <mergeCell ref="SKM10:SKU10"/>
    <mergeCell ref="SKV10:SLD10"/>
    <mergeCell ref="SLE10:SLM10"/>
    <mergeCell ref="SLN10:SLV10"/>
    <mergeCell ref="SLW10:SME10"/>
    <mergeCell ref="SMF10:SMN10"/>
    <mergeCell ref="SMO10:SMW10"/>
    <mergeCell ref="SMX10:SNF10"/>
    <mergeCell ref="SNG10:SNO10"/>
    <mergeCell ref="SNP10:SNX10"/>
    <mergeCell ref="SNY10:SOG10"/>
    <mergeCell ref="SOH10:SOP10"/>
    <mergeCell ref="SOQ10:SOY10"/>
    <mergeCell ref="SOZ10:SPH10"/>
    <mergeCell ref="SPI10:SPQ10"/>
    <mergeCell ref="TWX10:TXF10"/>
    <mergeCell ref="TUM10:TUU10"/>
    <mergeCell ref="TUV10:TVD10"/>
    <mergeCell ref="TVE10:TVM10"/>
    <mergeCell ref="TVN10:TVV10"/>
    <mergeCell ref="TVW10:TWE10"/>
    <mergeCell ref="TWF10:TWN10"/>
    <mergeCell ref="TWO10:TWW10"/>
    <mergeCell ref="SSL10:SST10"/>
    <mergeCell ref="SSU10:STC10"/>
    <mergeCell ref="STD10:STL10"/>
    <mergeCell ref="STM10:STU10"/>
    <mergeCell ref="STV10:SUD10"/>
    <mergeCell ref="SUE10:SUM10"/>
    <mergeCell ref="SUN10:SUV10"/>
    <mergeCell ref="SUW10:SVE10"/>
    <mergeCell ref="TJB10:TJJ10"/>
    <mergeCell ref="TJK10:TJS10"/>
    <mergeCell ref="TJT10:TKB10"/>
    <mergeCell ref="SWG10:SWO10"/>
    <mergeCell ref="SWP10:SWX10"/>
    <mergeCell ref="SWY10:SXG10"/>
    <mergeCell ref="SXH10:SXP10"/>
    <mergeCell ref="SXQ10:SXY10"/>
    <mergeCell ref="SXZ10:SYH10"/>
    <mergeCell ref="SYI10:SYQ10"/>
    <mergeCell ref="SYR10:SYZ10"/>
    <mergeCell ref="SZA10:SZI10"/>
    <mergeCell ref="SZJ10:SZR10"/>
    <mergeCell ref="SZS10:TAA10"/>
    <mergeCell ref="TAB10:TAJ10"/>
    <mergeCell ref="TAK10:TAS10"/>
    <mergeCell ref="TRS10:TSA10"/>
    <mergeCell ref="TSB10:TSJ10"/>
    <mergeCell ref="TSK10:TSS10"/>
    <mergeCell ref="TST10:TTB10"/>
    <mergeCell ref="TTC10:TTK10"/>
    <mergeCell ref="TTL10:TTT10"/>
    <mergeCell ref="TTU10:TUC10"/>
    <mergeCell ref="TUD10:TUL10"/>
    <mergeCell ref="TDN10:TDV10"/>
    <mergeCell ref="TDW10:TEE10"/>
    <mergeCell ref="TEF10:TEN10"/>
    <mergeCell ref="TEO10:TEW10"/>
    <mergeCell ref="TEX10:TFF10"/>
    <mergeCell ref="TFG10:TFO10"/>
    <mergeCell ref="TFP10:TFX10"/>
    <mergeCell ref="TFY10:TGG10"/>
    <mergeCell ref="TGH10:TGP10"/>
    <mergeCell ref="TGQ10:TGY10"/>
    <mergeCell ref="TGZ10:THH10"/>
    <mergeCell ref="THI10:THQ10"/>
    <mergeCell ref="THR10:THZ10"/>
    <mergeCell ref="TIA10:TII10"/>
    <mergeCell ref="TIJ10:TIR10"/>
    <mergeCell ref="TIS10:TJA10"/>
    <mergeCell ref="UFF10:UFN10"/>
    <mergeCell ref="UFO10:UFW10"/>
    <mergeCell ref="UFX10:UGF10"/>
    <mergeCell ref="UGG10:UGO10"/>
    <mergeCell ref="UGP10:UGX10"/>
    <mergeCell ref="UGY10:UHG10"/>
    <mergeCell ref="UHH10:UHP10"/>
    <mergeCell ref="UHQ10:UHY10"/>
    <mergeCell ref="TXG10:TXO10"/>
    <mergeCell ref="TXP10:TXX10"/>
    <mergeCell ref="TKC10:TKK10"/>
    <mergeCell ref="TKL10:TKT10"/>
    <mergeCell ref="TKU10:TLC10"/>
    <mergeCell ref="TLD10:TLL10"/>
    <mergeCell ref="TLM10:TLU10"/>
    <mergeCell ref="TLV10:TMD10"/>
    <mergeCell ref="TME10:TMM10"/>
    <mergeCell ref="TMN10:TMV10"/>
    <mergeCell ref="TMW10:TNE10"/>
    <mergeCell ref="TNF10:TNN10"/>
    <mergeCell ref="TNO10:TNW10"/>
    <mergeCell ref="TNX10:TOF10"/>
    <mergeCell ref="TOG10:TOO10"/>
    <mergeCell ref="TOP10:TOX10"/>
    <mergeCell ref="TOY10:TPG10"/>
    <mergeCell ref="TPH10:TPP10"/>
    <mergeCell ref="TPQ10:TPY10"/>
    <mergeCell ref="TPZ10:TQH10"/>
    <mergeCell ref="TQI10:TQQ10"/>
    <mergeCell ref="TQR10:TQZ10"/>
    <mergeCell ref="TRA10:TRI10"/>
    <mergeCell ref="TRJ10:TRR10"/>
    <mergeCell ref="UQH10:UQP10"/>
    <mergeCell ref="UQQ10:UQY10"/>
    <mergeCell ref="UQZ10:URH10"/>
    <mergeCell ref="URI10:URQ10"/>
    <mergeCell ref="URR10:URZ10"/>
    <mergeCell ref="USA10:USI10"/>
    <mergeCell ref="USJ10:USR10"/>
    <mergeCell ref="USS10:UTA10"/>
    <mergeCell ref="UKT10:ULB10"/>
    <mergeCell ref="ULC10:ULK10"/>
    <mergeCell ref="ULL10:ULT10"/>
    <mergeCell ref="TXY10:TYG10"/>
    <mergeCell ref="TYH10:TYP10"/>
    <mergeCell ref="TYQ10:TYY10"/>
    <mergeCell ref="TYZ10:TZH10"/>
    <mergeCell ref="TZI10:TZQ10"/>
    <mergeCell ref="TZR10:TZZ10"/>
    <mergeCell ref="UAA10:UAI10"/>
    <mergeCell ref="UAJ10:UAR10"/>
    <mergeCell ref="UAS10:UBA10"/>
    <mergeCell ref="UBB10:UBJ10"/>
    <mergeCell ref="UBK10:UBS10"/>
    <mergeCell ref="UBT10:UCB10"/>
    <mergeCell ref="UCC10:UCK10"/>
    <mergeCell ref="UCL10:UCT10"/>
    <mergeCell ref="UCU10:UDC10"/>
    <mergeCell ref="UDD10:UDL10"/>
    <mergeCell ref="UDM10:UDU10"/>
    <mergeCell ref="UDV10:UED10"/>
    <mergeCell ref="UEE10:UEM10"/>
    <mergeCell ref="UEN10:UEV10"/>
    <mergeCell ref="UEW10:UFE10"/>
    <mergeCell ref="VML10:VMT10"/>
    <mergeCell ref="VKA10:VKI10"/>
    <mergeCell ref="VKJ10:VKR10"/>
    <mergeCell ref="VKS10:VLA10"/>
    <mergeCell ref="VLB10:VLJ10"/>
    <mergeCell ref="VLK10:VLS10"/>
    <mergeCell ref="VLT10:VMB10"/>
    <mergeCell ref="VMC10:VMK10"/>
    <mergeCell ref="UHZ10:UIH10"/>
    <mergeCell ref="UII10:UIQ10"/>
    <mergeCell ref="UIR10:UIZ10"/>
    <mergeCell ref="UJA10:UJI10"/>
    <mergeCell ref="UJJ10:UJR10"/>
    <mergeCell ref="UJS10:UKA10"/>
    <mergeCell ref="UKB10:UKJ10"/>
    <mergeCell ref="UKK10:UKS10"/>
    <mergeCell ref="UYP10:UYX10"/>
    <mergeCell ref="UYY10:UZG10"/>
    <mergeCell ref="UZH10:UZP10"/>
    <mergeCell ref="ULU10:UMC10"/>
    <mergeCell ref="UMD10:UML10"/>
    <mergeCell ref="UMM10:UMU10"/>
    <mergeCell ref="UMV10:UND10"/>
    <mergeCell ref="UNE10:UNM10"/>
    <mergeCell ref="UNN10:UNV10"/>
    <mergeCell ref="UNW10:UOE10"/>
    <mergeCell ref="UOF10:UON10"/>
    <mergeCell ref="UOO10:UOW10"/>
    <mergeCell ref="UOX10:UPF10"/>
    <mergeCell ref="UPG10:UPO10"/>
    <mergeCell ref="UPP10:UPX10"/>
    <mergeCell ref="UPY10:UQG10"/>
    <mergeCell ref="VFE10:VFM10"/>
    <mergeCell ref="VFN10:VFV10"/>
    <mergeCell ref="VFW10:VGE10"/>
    <mergeCell ref="VGF10:VGN10"/>
    <mergeCell ref="VGO10:VGW10"/>
    <mergeCell ref="VGX10:VHF10"/>
    <mergeCell ref="VHG10:VHO10"/>
    <mergeCell ref="VHP10:VHX10"/>
    <mergeCell ref="VHY10:VIG10"/>
    <mergeCell ref="VIH10:VIP10"/>
    <mergeCell ref="VIQ10:VIY10"/>
    <mergeCell ref="VIZ10:VJH10"/>
    <mergeCell ref="VJI10:VJQ10"/>
    <mergeCell ref="VJR10:VJZ10"/>
    <mergeCell ref="UTB10:UTJ10"/>
    <mergeCell ref="UTK10:UTS10"/>
    <mergeCell ref="UTT10:UUB10"/>
    <mergeCell ref="UUC10:UUK10"/>
    <mergeCell ref="UUL10:UUT10"/>
    <mergeCell ref="UUU10:UVC10"/>
    <mergeCell ref="UVD10:UVL10"/>
    <mergeCell ref="UVM10:UVU10"/>
    <mergeCell ref="UVV10:UWD10"/>
    <mergeCell ref="UWE10:UWM10"/>
    <mergeCell ref="UWN10:UWV10"/>
    <mergeCell ref="UWW10:UXE10"/>
    <mergeCell ref="UXF10:UXN10"/>
    <mergeCell ref="UXO10:UXW10"/>
    <mergeCell ref="UXX10:UYF10"/>
    <mergeCell ref="UYG10:UYO10"/>
    <mergeCell ref="VTJ10:VTR10"/>
    <mergeCell ref="VTS10:VUA10"/>
    <mergeCell ref="VUB10:VUJ10"/>
    <mergeCell ref="VUK10:VUS10"/>
    <mergeCell ref="VUT10:VVB10"/>
    <mergeCell ref="VVC10:VVK10"/>
    <mergeCell ref="VVL10:VVT10"/>
    <mergeCell ref="VVU10:VWC10"/>
    <mergeCell ref="VWD10:VWL10"/>
    <mergeCell ref="VWM10:VWU10"/>
    <mergeCell ref="VWV10:VXD10"/>
    <mergeCell ref="VXE10:VXM10"/>
    <mergeCell ref="VYF10:VYN10"/>
    <mergeCell ref="VYO10:VYW10"/>
    <mergeCell ref="VMU10:VNC10"/>
    <mergeCell ref="VND10:VNL10"/>
    <mergeCell ref="UZQ10:UZY10"/>
    <mergeCell ref="UZZ10:VAH10"/>
    <mergeCell ref="VAI10:VAQ10"/>
    <mergeCell ref="VAR10:VAZ10"/>
    <mergeCell ref="VBA10:VBI10"/>
    <mergeCell ref="VBJ10:VBR10"/>
    <mergeCell ref="VBS10:VCA10"/>
    <mergeCell ref="VCB10:VCJ10"/>
    <mergeCell ref="VCK10:VCS10"/>
    <mergeCell ref="VCT10:VDB10"/>
    <mergeCell ref="VDC10:VDK10"/>
    <mergeCell ref="VDL10:VDT10"/>
    <mergeCell ref="VDU10:VEC10"/>
    <mergeCell ref="VED10:VEL10"/>
    <mergeCell ref="VEM10:VEU10"/>
    <mergeCell ref="VEV10:VFD10"/>
    <mergeCell ref="VNM10:VNU10"/>
    <mergeCell ref="VNV10:VOD10"/>
    <mergeCell ref="VOE10:VOM10"/>
    <mergeCell ref="VON10:VOV10"/>
    <mergeCell ref="VOW10:VPE10"/>
    <mergeCell ref="VPF10:VPN10"/>
    <mergeCell ref="VPO10:VPW10"/>
    <mergeCell ref="VPX10:VQF10"/>
    <mergeCell ref="VQG10:VQO10"/>
    <mergeCell ref="VQP10:VQX10"/>
    <mergeCell ref="VQY10:VRG10"/>
    <mergeCell ref="VRH10:VRP10"/>
    <mergeCell ref="VRQ10:VRY10"/>
    <mergeCell ref="VRZ10:VSH10"/>
    <mergeCell ref="VSI10:VSQ10"/>
    <mergeCell ref="VSR10:VSZ10"/>
    <mergeCell ref="VTA10:VTI10"/>
    <mergeCell ref="VZG10:VZO10"/>
    <mergeCell ref="VZP10:VZX10"/>
    <mergeCell ref="VZY10:WAG10"/>
    <mergeCell ref="WNC10:WNK10"/>
    <mergeCell ref="WNL10:WNT10"/>
    <mergeCell ref="WNU10:WOC10"/>
    <mergeCell ref="WOD10:WOL10"/>
    <mergeCell ref="WOM10:WOU10"/>
    <mergeCell ref="WOV10:WPD10"/>
    <mergeCell ref="WBI10:WBQ10"/>
    <mergeCell ref="WBR10:WBZ10"/>
    <mergeCell ref="WCA10:WCI10"/>
    <mergeCell ref="WCJ10:WCR10"/>
    <mergeCell ref="WCS10:WDA10"/>
    <mergeCell ref="WDB10:WDJ10"/>
    <mergeCell ref="WDK10:WDS10"/>
    <mergeCell ref="WDT10:WEB10"/>
    <mergeCell ref="WEC10:WEK10"/>
    <mergeCell ref="WEL10:WET10"/>
    <mergeCell ref="WEU10:WFC10"/>
    <mergeCell ref="WFD10:WFL10"/>
    <mergeCell ref="WFM10:WFU10"/>
    <mergeCell ref="WFV10:WGD10"/>
    <mergeCell ref="WGE10:WGM10"/>
    <mergeCell ref="WGN10:WGV10"/>
    <mergeCell ref="WGW10:WHE10"/>
    <mergeCell ref="WHF10:WHN10"/>
    <mergeCell ref="WAH10:WAP10"/>
    <mergeCell ref="WAQ10:WAY10"/>
    <mergeCell ref="WMT10:WNB10"/>
    <mergeCell ref="WAZ10:WBH10"/>
    <mergeCell ref="XET10:XEW10"/>
    <mergeCell ref="WUS10:WVA10"/>
    <mergeCell ref="WHO10:WHW10"/>
    <mergeCell ref="WHX10:WIF10"/>
    <mergeCell ref="WIG10:WIO10"/>
    <mergeCell ref="WIP10:WIX10"/>
    <mergeCell ref="WIY10:WJG10"/>
    <mergeCell ref="WJH10:WJP10"/>
    <mergeCell ref="WJQ10:WJY10"/>
    <mergeCell ref="WJZ10:WKH10"/>
    <mergeCell ref="WKI10:WKQ10"/>
    <mergeCell ref="WKR10:WKZ10"/>
    <mergeCell ref="WLA10:WLI10"/>
    <mergeCell ref="WLJ10:WLR10"/>
    <mergeCell ref="WLS10:WMA10"/>
    <mergeCell ref="WMB10:WMJ10"/>
    <mergeCell ref="WMK10:WMS10"/>
    <mergeCell ref="XDA10:XDI10"/>
    <mergeCell ref="XDJ10:XDR10"/>
    <mergeCell ref="XDS10:XEA10"/>
    <mergeCell ref="XEB10:XEJ10"/>
    <mergeCell ref="XEK10:XES10"/>
    <mergeCell ref="XBH10:XBP10"/>
    <mergeCell ref="XBQ10:XBY10"/>
    <mergeCell ref="XBZ10:XCH10"/>
    <mergeCell ref="XCI10:XCQ10"/>
    <mergeCell ref="XCR10:XCZ10"/>
    <mergeCell ref="WZO10:WZW10"/>
    <mergeCell ref="WPE10:WPM10"/>
    <mergeCell ref="WPN10:WPV10"/>
    <mergeCell ref="WPW10:WQE10"/>
    <mergeCell ref="WQF10:WQN10"/>
    <mergeCell ref="VXN10:VXV10"/>
    <mergeCell ref="VXW10:VYE10"/>
    <mergeCell ref="WWL10:WWT10"/>
    <mergeCell ref="WWU10:WXC10"/>
    <mergeCell ref="WXD10:WXL10"/>
    <mergeCell ref="WXM10:WXU10"/>
    <mergeCell ref="WZX10:XAF10"/>
    <mergeCell ref="XAG10:XAO10"/>
    <mergeCell ref="XAP10:XAX10"/>
    <mergeCell ref="XAY10:XBG10"/>
    <mergeCell ref="WXV10:WYD10"/>
    <mergeCell ref="WYE10:WYM10"/>
    <mergeCell ref="WYN10:WYV10"/>
    <mergeCell ref="WYW10:WZE10"/>
    <mergeCell ref="WZF10:WZN10"/>
    <mergeCell ref="WQO10:WQW10"/>
    <mergeCell ref="WQX10:WRF10"/>
    <mergeCell ref="WRG10:WRO10"/>
    <mergeCell ref="WRP10:WRX10"/>
    <mergeCell ref="WRY10:WSG10"/>
    <mergeCell ref="WSH10:WSP10"/>
    <mergeCell ref="WVB10:WVJ10"/>
    <mergeCell ref="WVK10:WVS10"/>
    <mergeCell ref="WVT10:WWB10"/>
    <mergeCell ref="WSQ10:WSY10"/>
    <mergeCell ref="WSZ10:WTH10"/>
    <mergeCell ref="WTI10:WTQ10"/>
    <mergeCell ref="WTR10:WTZ10"/>
    <mergeCell ref="WUA10:WUI10"/>
    <mergeCell ref="WUJ10:WUR10"/>
    <mergeCell ref="WWC10:WWK10"/>
    <mergeCell ref="VYX10:VZF10"/>
  </mergeCells>
  <printOptions horizontalCentered="1"/>
  <pageMargins left="0" right="0.51181102362204722" top="0.51181102362204722" bottom="0" header="0" footer="0"/>
  <pageSetup scale="72" orientation="portrait" r:id="rId1"/>
  <headerFooter alignWithMargins="0"/>
  <colBreaks count="1" manualBreakCount="1">
    <brk id="11" max="1048575" man="1"/>
  </colBreaks>
  <customProperties>
    <customPr name="ExcelFSM_AdjustedButtonPressed" r:id="rId2"/>
    <customPr name="ExcelFSM_DetailsButtonPressed" r:id="rId3"/>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8"/>
  <sheetViews>
    <sheetView rightToLeft="1" view="pageBreakPreview" zoomScaleNormal="100" zoomScaleSheetLayoutView="100" workbookViewId="0">
      <selection sqref="A1:C2"/>
    </sheetView>
  </sheetViews>
  <sheetFormatPr defaultRowHeight="27.75" x14ac:dyDescent="0.2"/>
  <cols>
    <col min="1" max="1" width="32.28515625" style="78" bestFit="1" customWidth="1"/>
    <col min="2" max="2" width="25.42578125" style="69" customWidth="1"/>
    <col min="3" max="3" width="26.28515625" style="70" customWidth="1"/>
    <col min="4" max="4" width="0" style="53" hidden="1" customWidth="1"/>
    <col min="5" max="5" width="17.28515625" style="53" hidden="1" customWidth="1"/>
    <col min="6" max="6" width="17.5703125" style="53" hidden="1" customWidth="1"/>
    <col min="7" max="7" width="0" style="53" hidden="1" customWidth="1"/>
    <col min="8" max="256" width="9.140625" style="53"/>
    <col min="257" max="257" width="32.28515625" style="53" bestFit="1" customWidth="1"/>
    <col min="258" max="258" width="25.42578125" style="53" customWidth="1"/>
    <col min="259" max="259" width="26.28515625" style="53" customWidth="1"/>
    <col min="260" max="263" width="0" style="53" hidden="1" customWidth="1"/>
    <col min="264" max="512" width="9.140625" style="53"/>
    <col min="513" max="513" width="32.28515625" style="53" bestFit="1" customWidth="1"/>
    <col min="514" max="514" width="25.42578125" style="53" customWidth="1"/>
    <col min="515" max="515" width="26.28515625" style="53" customWidth="1"/>
    <col min="516" max="519" width="0" style="53" hidden="1" customWidth="1"/>
    <col min="520" max="768" width="9.140625" style="53"/>
    <col min="769" max="769" width="32.28515625" style="53" bestFit="1" customWidth="1"/>
    <col min="770" max="770" width="25.42578125" style="53" customWidth="1"/>
    <col min="771" max="771" width="26.28515625" style="53" customWidth="1"/>
    <col min="772" max="775" width="0" style="53" hidden="1" customWidth="1"/>
    <col min="776" max="1024" width="9.140625" style="53"/>
    <col min="1025" max="1025" width="32.28515625" style="53" bestFit="1" customWidth="1"/>
    <col min="1026" max="1026" width="25.42578125" style="53" customWidth="1"/>
    <col min="1027" max="1027" width="26.28515625" style="53" customWidth="1"/>
    <col min="1028" max="1031" width="0" style="53" hidden="1" customWidth="1"/>
    <col min="1032" max="1280" width="9.140625" style="53"/>
    <col min="1281" max="1281" width="32.28515625" style="53" bestFit="1" customWidth="1"/>
    <col min="1282" max="1282" width="25.42578125" style="53" customWidth="1"/>
    <col min="1283" max="1283" width="26.28515625" style="53" customWidth="1"/>
    <col min="1284" max="1287" width="0" style="53" hidden="1" customWidth="1"/>
    <col min="1288" max="1536" width="9.140625" style="53"/>
    <col min="1537" max="1537" width="32.28515625" style="53" bestFit="1" customWidth="1"/>
    <col min="1538" max="1538" width="25.42578125" style="53" customWidth="1"/>
    <col min="1539" max="1539" width="26.28515625" style="53" customWidth="1"/>
    <col min="1540" max="1543" width="0" style="53" hidden="1" customWidth="1"/>
    <col min="1544" max="1792" width="9.140625" style="53"/>
    <col min="1793" max="1793" width="32.28515625" style="53" bestFit="1" customWidth="1"/>
    <col min="1794" max="1794" width="25.42578125" style="53" customWidth="1"/>
    <col min="1795" max="1795" width="26.28515625" style="53" customWidth="1"/>
    <col min="1796" max="1799" width="0" style="53" hidden="1" customWidth="1"/>
    <col min="1800" max="2048" width="9.140625" style="53"/>
    <col min="2049" max="2049" width="32.28515625" style="53" bestFit="1" customWidth="1"/>
    <col min="2050" max="2050" width="25.42578125" style="53" customWidth="1"/>
    <col min="2051" max="2051" width="26.28515625" style="53" customWidth="1"/>
    <col min="2052" max="2055" width="0" style="53" hidden="1" customWidth="1"/>
    <col min="2056" max="2304" width="9.140625" style="53"/>
    <col min="2305" max="2305" width="32.28515625" style="53" bestFit="1" customWidth="1"/>
    <col min="2306" max="2306" width="25.42578125" style="53" customWidth="1"/>
    <col min="2307" max="2307" width="26.28515625" style="53" customWidth="1"/>
    <col min="2308" max="2311" width="0" style="53" hidden="1" customWidth="1"/>
    <col min="2312" max="2560" width="9.140625" style="53"/>
    <col min="2561" max="2561" width="32.28515625" style="53" bestFit="1" customWidth="1"/>
    <col min="2562" max="2562" width="25.42578125" style="53" customWidth="1"/>
    <col min="2563" max="2563" width="26.28515625" style="53" customWidth="1"/>
    <col min="2564" max="2567" width="0" style="53" hidden="1" customWidth="1"/>
    <col min="2568" max="2816" width="9.140625" style="53"/>
    <col min="2817" max="2817" width="32.28515625" style="53" bestFit="1" customWidth="1"/>
    <col min="2818" max="2818" width="25.42578125" style="53" customWidth="1"/>
    <col min="2819" max="2819" width="26.28515625" style="53" customWidth="1"/>
    <col min="2820" max="2823" width="0" style="53" hidden="1" customWidth="1"/>
    <col min="2824" max="3072" width="9.140625" style="53"/>
    <col min="3073" max="3073" width="32.28515625" style="53" bestFit="1" customWidth="1"/>
    <col min="3074" max="3074" width="25.42578125" style="53" customWidth="1"/>
    <col min="3075" max="3075" width="26.28515625" style="53" customWidth="1"/>
    <col min="3076" max="3079" width="0" style="53" hidden="1" customWidth="1"/>
    <col min="3080" max="3328" width="9.140625" style="53"/>
    <col min="3329" max="3329" width="32.28515625" style="53" bestFit="1" customWidth="1"/>
    <col min="3330" max="3330" width="25.42578125" style="53" customWidth="1"/>
    <col min="3331" max="3331" width="26.28515625" style="53" customWidth="1"/>
    <col min="3332" max="3335" width="0" style="53" hidden="1" customWidth="1"/>
    <col min="3336" max="3584" width="9.140625" style="53"/>
    <col min="3585" max="3585" width="32.28515625" style="53" bestFit="1" customWidth="1"/>
    <col min="3586" max="3586" width="25.42578125" style="53" customWidth="1"/>
    <col min="3587" max="3587" width="26.28515625" style="53" customWidth="1"/>
    <col min="3588" max="3591" width="0" style="53" hidden="1" customWidth="1"/>
    <col min="3592" max="3840" width="9.140625" style="53"/>
    <col min="3841" max="3841" width="32.28515625" style="53" bestFit="1" customWidth="1"/>
    <col min="3842" max="3842" width="25.42578125" style="53" customWidth="1"/>
    <col min="3843" max="3843" width="26.28515625" style="53" customWidth="1"/>
    <col min="3844" max="3847" width="0" style="53" hidden="1" customWidth="1"/>
    <col min="3848" max="4096" width="9.140625" style="53"/>
    <col min="4097" max="4097" width="32.28515625" style="53" bestFit="1" customWidth="1"/>
    <col min="4098" max="4098" width="25.42578125" style="53" customWidth="1"/>
    <col min="4099" max="4099" width="26.28515625" style="53" customWidth="1"/>
    <col min="4100" max="4103" width="0" style="53" hidden="1" customWidth="1"/>
    <col min="4104" max="4352" width="9.140625" style="53"/>
    <col min="4353" max="4353" width="32.28515625" style="53" bestFit="1" customWidth="1"/>
    <col min="4354" max="4354" width="25.42578125" style="53" customWidth="1"/>
    <col min="4355" max="4355" width="26.28515625" style="53" customWidth="1"/>
    <col min="4356" max="4359" width="0" style="53" hidden="1" customWidth="1"/>
    <col min="4360" max="4608" width="9.140625" style="53"/>
    <col min="4609" max="4609" width="32.28515625" style="53" bestFit="1" customWidth="1"/>
    <col min="4610" max="4610" width="25.42578125" style="53" customWidth="1"/>
    <col min="4611" max="4611" width="26.28515625" style="53" customWidth="1"/>
    <col min="4612" max="4615" width="0" style="53" hidden="1" customWidth="1"/>
    <col min="4616" max="4864" width="9.140625" style="53"/>
    <col min="4865" max="4865" width="32.28515625" style="53" bestFit="1" customWidth="1"/>
    <col min="4866" max="4866" width="25.42578125" style="53" customWidth="1"/>
    <col min="4867" max="4867" width="26.28515625" style="53" customWidth="1"/>
    <col min="4868" max="4871" width="0" style="53" hidden="1" customWidth="1"/>
    <col min="4872" max="5120" width="9.140625" style="53"/>
    <col min="5121" max="5121" width="32.28515625" style="53" bestFit="1" customWidth="1"/>
    <col min="5122" max="5122" width="25.42578125" style="53" customWidth="1"/>
    <col min="5123" max="5123" width="26.28515625" style="53" customWidth="1"/>
    <col min="5124" max="5127" width="0" style="53" hidden="1" customWidth="1"/>
    <col min="5128" max="5376" width="9.140625" style="53"/>
    <col min="5377" max="5377" width="32.28515625" style="53" bestFit="1" customWidth="1"/>
    <col min="5378" max="5378" width="25.42578125" style="53" customWidth="1"/>
    <col min="5379" max="5379" width="26.28515625" style="53" customWidth="1"/>
    <col min="5380" max="5383" width="0" style="53" hidden="1" customWidth="1"/>
    <col min="5384" max="5632" width="9.140625" style="53"/>
    <col min="5633" max="5633" width="32.28515625" style="53" bestFit="1" customWidth="1"/>
    <col min="5634" max="5634" width="25.42578125" style="53" customWidth="1"/>
    <col min="5635" max="5635" width="26.28515625" style="53" customWidth="1"/>
    <col min="5636" max="5639" width="0" style="53" hidden="1" customWidth="1"/>
    <col min="5640" max="5888" width="9.140625" style="53"/>
    <col min="5889" max="5889" width="32.28515625" style="53" bestFit="1" customWidth="1"/>
    <col min="5890" max="5890" width="25.42578125" style="53" customWidth="1"/>
    <col min="5891" max="5891" width="26.28515625" style="53" customWidth="1"/>
    <col min="5892" max="5895" width="0" style="53" hidden="1" customWidth="1"/>
    <col min="5896" max="6144" width="9.140625" style="53"/>
    <col min="6145" max="6145" width="32.28515625" style="53" bestFit="1" customWidth="1"/>
    <col min="6146" max="6146" width="25.42578125" style="53" customWidth="1"/>
    <col min="6147" max="6147" width="26.28515625" style="53" customWidth="1"/>
    <col min="6148" max="6151" width="0" style="53" hidden="1" customWidth="1"/>
    <col min="6152" max="6400" width="9.140625" style="53"/>
    <col min="6401" max="6401" width="32.28515625" style="53" bestFit="1" customWidth="1"/>
    <col min="6402" max="6402" width="25.42578125" style="53" customWidth="1"/>
    <col min="6403" max="6403" width="26.28515625" style="53" customWidth="1"/>
    <col min="6404" max="6407" width="0" style="53" hidden="1" customWidth="1"/>
    <col min="6408" max="6656" width="9.140625" style="53"/>
    <col min="6657" max="6657" width="32.28515625" style="53" bestFit="1" customWidth="1"/>
    <col min="6658" max="6658" width="25.42578125" style="53" customWidth="1"/>
    <col min="6659" max="6659" width="26.28515625" style="53" customWidth="1"/>
    <col min="6660" max="6663" width="0" style="53" hidden="1" customWidth="1"/>
    <col min="6664" max="6912" width="9.140625" style="53"/>
    <col min="6913" max="6913" width="32.28515625" style="53" bestFit="1" customWidth="1"/>
    <col min="6914" max="6914" width="25.42578125" style="53" customWidth="1"/>
    <col min="6915" max="6915" width="26.28515625" style="53" customWidth="1"/>
    <col min="6916" max="6919" width="0" style="53" hidden="1" customWidth="1"/>
    <col min="6920" max="7168" width="9.140625" style="53"/>
    <col min="7169" max="7169" width="32.28515625" style="53" bestFit="1" customWidth="1"/>
    <col min="7170" max="7170" width="25.42578125" style="53" customWidth="1"/>
    <col min="7171" max="7171" width="26.28515625" style="53" customWidth="1"/>
    <col min="7172" max="7175" width="0" style="53" hidden="1" customWidth="1"/>
    <col min="7176" max="7424" width="9.140625" style="53"/>
    <col min="7425" max="7425" width="32.28515625" style="53" bestFit="1" customWidth="1"/>
    <col min="7426" max="7426" width="25.42578125" style="53" customWidth="1"/>
    <col min="7427" max="7427" width="26.28515625" style="53" customWidth="1"/>
    <col min="7428" max="7431" width="0" style="53" hidden="1" customWidth="1"/>
    <col min="7432" max="7680" width="9.140625" style="53"/>
    <col min="7681" max="7681" width="32.28515625" style="53" bestFit="1" customWidth="1"/>
    <col min="7682" max="7682" width="25.42578125" style="53" customWidth="1"/>
    <col min="7683" max="7683" width="26.28515625" style="53" customWidth="1"/>
    <col min="7684" max="7687" width="0" style="53" hidden="1" customWidth="1"/>
    <col min="7688" max="7936" width="9.140625" style="53"/>
    <col min="7937" max="7937" width="32.28515625" style="53" bestFit="1" customWidth="1"/>
    <col min="7938" max="7938" width="25.42578125" style="53" customWidth="1"/>
    <col min="7939" max="7939" width="26.28515625" style="53" customWidth="1"/>
    <col min="7940" max="7943" width="0" style="53" hidden="1" customWidth="1"/>
    <col min="7944" max="8192" width="9.140625" style="53"/>
    <col min="8193" max="8193" width="32.28515625" style="53" bestFit="1" customWidth="1"/>
    <col min="8194" max="8194" width="25.42578125" style="53" customWidth="1"/>
    <col min="8195" max="8195" width="26.28515625" style="53" customWidth="1"/>
    <col min="8196" max="8199" width="0" style="53" hidden="1" customWidth="1"/>
    <col min="8200" max="8448" width="9.140625" style="53"/>
    <col min="8449" max="8449" width="32.28515625" style="53" bestFit="1" customWidth="1"/>
    <col min="8450" max="8450" width="25.42578125" style="53" customWidth="1"/>
    <col min="8451" max="8451" width="26.28515625" style="53" customWidth="1"/>
    <col min="8452" max="8455" width="0" style="53" hidden="1" customWidth="1"/>
    <col min="8456" max="8704" width="9.140625" style="53"/>
    <col min="8705" max="8705" width="32.28515625" style="53" bestFit="1" customWidth="1"/>
    <col min="8706" max="8706" width="25.42578125" style="53" customWidth="1"/>
    <col min="8707" max="8707" width="26.28515625" style="53" customWidth="1"/>
    <col min="8708" max="8711" width="0" style="53" hidden="1" customWidth="1"/>
    <col min="8712" max="8960" width="9.140625" style="53"/>
    <col min="8961" max="8961" width="32.28515625" style="53" bestFit="1" customWidth="1"/>
    <col min="8962" max="8962" width="25.42578125" style="53" customWidth="1"/>
    <col min="8963" max="8963" width="26.28515625" style="53" customWidth="1"/>
    <col min="8964" max="8967" width="0" style="53" hidden="1" customWidth="1"/>
    <col min="8968" max="9216" width="9.140625" style="53"/>
    <col min="9217" max="9217" width="32.28515625" style="53" bestFit="1" customWidth="1"/>
    <col min="9218" max="9218" width="25.42578125" style="53" customWidth="1"/>
    <col min="9219" max="9219" width="26.28515625" style="53" customWidth="1"/>
    <col min="9220" max="9223" width="0" style="53" hidden="1" customWidth="1"/>
    <col min="9224" max="9472" width="9.140625" style="53"/>
    <col min="9473" max="9473" width="32.28515625" style="53" bestFit="1" customWidth="1"/>
    <col min="9474" max="9474" width="25.42578125" style="53" customWidth="1"/>
    <col min="9475" max="9475" width="26.28515625" style="53" customWidth="1"/>
    <col min="9476" max="9479" width="0" style="53" hidden="1" customWidth="1"/>
    <col min="9480" max="9728" width="9.140625" style="53"/>
    <col min="9729" max="9729" width="32.28515625" style="53" bestFit="1" customWidth="1"/>
    <col min="9730" max="9730" width="25.42578125" style="53" customWidth="1"/>
    <col min="9731" max="9731" width="26.28515625" style="53" customWidth="1"/>
    <col min="9732" max="9735" width="0" style="53" hidden="1" customWidth="1"/>
    <col min="9736" max="9984" width="9.140625" style="53"/>
    <col min="9985" max="9985" width="32.28515625" style="53" bestFit="1" customWidth="1"/>
    <col min="9986" max="9986" width="25.42578125" style="53" customWidth="1"/>
    <col min="9987" max="9987" width="26.28515625" style="53" customWidth="1"/>
    <col min="9988" max="9991" width="0" style="53" hidden="1" customWidth="1"/>
    <col min="9992" max="10240" width="9.140625" style="53"/>
    <col min="10241" max="10241" width="32.28515625" style="53" bestFit="1" customWidth="1"/>
    <col min="10242" max="10242" width="25.42578125" style="53" customWidth="1"/>
    <col min="10243" max="10243" width="26.28515625" style="53" customWidth="1"/>
    <col min="10244" max="10247" width="0" style="53" hidden="1" customWidth="1"/>
    <col min="10248" max="10496" width="9.140625" style="53"/>
    <col min="10497" max="10497" width="32.28515625" style="53" bestFit="1" customWidth="1"/>
    <col min="10498" max="10498" width="25.42578125" style="53" customWidth="1"/>
    <col min="10499" max="10499" width="26.28515625" style="53" customWidth="1"/>
    <col min="10500" max="10503" width="0" style="53" hidden="1" customWidth="1"/>
    <col min="10504" max="10752" width="9.140625" style="53"/>
    <col min="10753" max="10753" width="32.28515625" style="53" bestFit="1" customWidth="1"/>
    <col min="10754" max="10754" width="25.42578125" style="53" customWidth="1"/>
    <col min="10755" max="10755" width="26.28515625" style="53" customWidth="1"/>
    <col min="10756" max="10759" width="0" style="53" hidden="1" customWidth="1"/>
    <col min="10760" max="11008" width="9.140625" style="53"/>
    <col min="11009" max="11009" width="32.28515625" style="53" bestFit="1" customWidth="1"/>
    <col min="11010" max="11010" width="25.42578125" style="53" customWidth="1"/>
    <col min="11011" max="11011" width="26.28515625" style="53" customWidth="1"/>
    <col min="11012" max="11015" width="0" style="53" hidden="1" customWidth="1"/>
    <col min="11016" max="11264" width="9.140625" style="53"/>
    <col min="11265" max="11265" width="32.28515625" style="53" bestFit="1" customWidth="1"/>
    <col min="11266" max="11266" width="25.42578125" style="53" customWidth="1"/>
    <col min="11267" max="11267" width="26.28515625" style="53" customWidth="1"/>
    <col min="11268" max="11271" width="0" style="53" hidden="1" customWidth="1"/>
    <col min="11272" max="11520" width="9.140625" style="53"/>
    <col min="11521" max="11521" width="32.28515625" style="53" bestFit="1" customWidth="1"/>
    <col min="11522" max="11522" width="25.42578125" style="53" customWidth="1"/>
    <col min="11523" max="11523" width="26.28515625" style="53" customWidth="1"/>
    <col min="11524" max="11527" width="0" style="53" hidden="1" customWidth="1"/>
    <col min="11528" max="11776" width="9.140625" style="53"/>
    <col min="11777" max="11777" width="32.28515625" style="53" bestFit="1" customWidth="1"/>
    <col min="11778" max="11778" width="25.42578125" style="53" customWidth="1"/>
    <col min="11779" max="11779" width="26.28515625" style="53" customWidth="1"/>
    <col min="11780" max="11783" width="0" style="53" hidden="1" customWidth="1"/>
    <col min="11784" max="12032" width="9.140625" style="53"/>
    <col min="12033" max="12033" width="32.28515625" style="53" bestFit="1" customWidth="1"/>
    <col min="12034" max="12034" width="25.42578125" style="53" customWidth="1"/>
    <col min="12035" max="12035" width="26.28515625" style="53" customWidth="1"/>
    <col min="12036" max="12039" width="0" style="53" hidden="1" customWidth="1"/>
    <col min="12040" max="12288" width="9.140625" style="53"/>
    <col min="12289" max="12289" width="32.28515625" style="53" bestFit="1" customWidth="1"/>
    <col min="12290" max="12290" width="25.42578125" style="53" customWidth="1"/>
    <col min="12291" max="12291" width="26.28515625" style="53" customWidth="1"/>
    <col min="12292" max="12295" width="0" style="53" hidden="1" customWidth="1"/>
    <col min="12296" max="12544" width="9.140625" style="53"/>
    <col min="12545" max="12545" width="32.28515625" style="53" bestFit="1" customWidth="1"/>
    <col min="12546" max="12546" width="25.42578125" style="53" customWidth="1"/>
    <col min="12547" max="12547" width="26.28515625" style="53" customWidth="1"/>
    <col min="12548" max="12551" width="0" style="53" hidden="1" customWidth="1"/>
    <col min="12552" max="12800" width="9.140625" style="53"/>
    <col min="12801" max="12801" width="32.28515625" style="53" bestFit="1" customWidth="1"/>
    <col min="12802" max="12802" width="25.42578125" style="53" customWidth="1"/>
    <col min="12803" max="12803" width="26.28515625" style="53" customWidth="1"/>
    <col min="12804" max="12807" width="0" style="53" hidden="1" customWidth="1"/>
    <col min="12808" max="13056" width="9.140625" style="53"/>
    <col min="13057" max="13057" width="32.28515625" style="53" bestFit="1" customWidth="1"/>
    <col min="13058" max="13058" width="25.42578125" style="53" customWidth="1"/>
    <col min="13059" max="13059" width="26.28515625" style="53" customWidth="1"/>
    <col min="13060" max="13063" width="0" style="53" hidden="1" customWidth="1"/>
    <col min="13064" max="13312" width="9.140625" style="53"/>
    <col min="13313" max="13313" width="32.28515625" style="53" bestFit="1" customWidth="1"/>
    <col min="13314" max="13314" width="25.42578125" style="53" customWidth="1"/>
    <col min="13315" max="13315" width="26.28515625" style="53" customWidth="1"/>
    <col min="13316" max="13319" width="0" style="53" hidden="1" customWidth="1"/>
    <col min="13320" max="13568" width="9.140625" style="53"/>
    <col min="13569" max="13569" width="32.28515625" style="53" bestFit="1" customWidth="1"/>
    <col min="13570" max="13570" width="25.42578125" style="53" customWidth="1"/>
    <col min="13571" max="13571" width="26.28515625" style="53" customWidth="1"/>
    <col min="13572" max="13575" width="0" style="53" hidden="1" customWidth="1"/>
    <col min="13576" max="13824" width="9.140625" style="53"/>
    <col min="13825" max="13825" width="32.28515625" style="53" bestFit="1" customWidth="1"/>
    <col min="13826" max="13826" width="25.42578125" style="53" customWidth="1"/>
    <col min="13827" max="13827" width="26.28515625" style="53" customWidth="1"/>
    <col min="13828" max="13831" width="0" style="53" hidden="1" customWidth="1"/>
    <col min="13832" max="14080" width="9.140625" style="53"/>
    <col min="14081" max="14081" width="32.28515625" style="53" bestFit="1" customWidth="1"/>
    <col min="14082" max="14082" width="25.42578125" style="53" customWidth="1"/>
    <col min="14083" max="14083" width="26.28515625" style="53" customWidth="1"/>
    <col min="14084" max="14087" width="0" style="53" hidden="1" customWidth="1"/>
    <col min="14088" max="14336" width="9.140625" style="53"/>
    <col min="14337" max="14337" width="32.28515625" style="53" bestFit="1" customWidth="1"/>
    <col min="14338" max="14338" width="25.42578125" style="53" customWidth="1"/>
    <col min="14339" max="14339" width="26.28515625" style="53" customWidth="1"/>
    <col min="14340" max="14343" width="0" style="53" hidden="1" customWidth="1"/>
    <col min="14344" max="14592" width="9.140625" style="53"/>
    <col min="14593" max="14593" width="32.28515625" style="53" bestFit="1" customWidth="1"/>
    <col min="14594" max="14594" width="25.42578125" style="53" customWidth="1"/>
    <col min="14595" max="14595" width="26.28515625" style="53" customWidth="1"/>
    <col min="14596" max="14599" width="0" style="53" hidden="1" customWidth="1"/>
    <col min="14600" max="14848" width="9.140625" style="53"/>
    <col min="14849" max="14849" width="32.28515625" style="53" bestFit="1" customWidth="1"/>
    <col min="14850" max="14850" width="25.42578125" style="53" customWidth="1"/>
    <col min="14851" max="14851" width="26.28515625" style="53" customWidth="1"/>
    <col min="14852" max="14855" width="0" style="53" hidden="1" customWidth="1"/>
    <col min="14856" max="15104" width="9.140625" style="53"/>
    <col min="15105" max="15105" width="32.28515625" style="53" bestFit="1" customWidth="1"/>
    <col min="15106" max="15106" width="25.42578125" style="53" customWidth="1"/>
    <col min="15107" max="15107" width="26.28515625" style="53" customWidth="1"/>
    <col min="15108" max="15111" width="0" style="53" hidden="1" customWidth="1"/>
    <col min="15112" max="15360" width="9.140625" style="53"/>
    <col min="15361" max="15361" width="32.28515625" style="53" bestFit="1" customWidth="1"/>
    <col min="15362" max="15362" width="25.42578125" style="53" customWidth="1"/>
    <col min="15363" max="15363" width="26.28515625" style="53" customWidth="1"/>
    <col min="15364" max="15367" width="0" style="53" hidden="1" customWidth="1"/>
    <col min="15368" max="15616" width="9.140625" style="53"/>
    <col min="15617" max="15617" width="32.28515625" style="53" bestFit="1" customWidth="1"/>
    <col min="15618" max="15618" width="25.42578125" style="53" customWidth="1"/>
    <col min="15619" max="15619" width="26.28515625" style="53" customWidth="1"/>
    <col min="15620" max="15623" width="0" style="53" hidden="1" customWidth="1"/>
    <col min="15624" max="15872" width="9.140625" style="53"/>
    <col min="15873" max="15873" width="32.28515625" style="53" bestFit="1" customWidth="1"/>
    <col min="15874" max="15874" width="25.42578125" style="53" customWidth="1"/>
    <col min="15875" max="15875" width="26.28515625" style="53" customWidth="1"/>
    <col min="15876" max="15879" width="0" style="53" hidden="1" customWidth="1"/>
    <col min="15880" max="16128" width="9.140625" style="53"/>
    <col min="16129" max="16129" width="32.28515625" style="53" bestFit="1" customWidth="1"/>
    <col min="16130" max="16130" width="25.42578125" style="53" customWidth="1"/>
    <col min="16131" max="16131" width="26.28515625" style="53" customWidth="1"/>
    <col min="16132" max="16135" width="0" style="53" hidden="1" customWidth="1"/>
    <col min="16136" max="16384" width="9.140625" style="53"/>
  </cols>
  <sheetData>
    <row r="1" spans="1:6" x14ac:dyDescent="0.2">
      <c r="A1" s="704" t="s">
        <v>163</v>
      </c>
      <c r="B1" s="705"/>
      <c r="C1" s="706"/>
    </row>
    <row r="2" spans="1:6" s="54" customFormat="1" x14ac:dyDescent="0.2">
      <c r="A2" s="707" t="s">
        <v>164</v>
      </c>
      <c r="B2" s="708"/>
      <c r="C2" s="709"/>
    </row>
    <row r="3" spans="1:6" s="54" customFormat="1" x14ac:dyDescent="0.2">
      <c r="A3" s="710" t="s">
        <v>75</v>
      </c>
      <c r="B3" s="711"/>
      <c r="C3" s="712"/>
    </row>
    <row r="4" spans="1:6" s="54" customFormat="1" x14ac:dyDescent="0.2">
      <c r="A4" s="55" t="s">
        <v>76</v>
      </c>
      <c r="B4" s="713">
        <f>Cover!A14</f>
        <v>0</v>
      </c>
      <c r="C4" s="714"/>
    </row>
    <row r="5" spans="1:6" s="54" customFormat="1" x14ac:dyDescent="0.2">
      <c r="A5" s="55" t="s">
        <v>77</v>
      </c>
      <c r="B5" s="713" t="str">
        <f>CONCATENATE("من",Index!K7,"/",Index!K6,"/",Index!K5,"م"," إلى",Index!H7,"/",Index!J6,"/",Index!H5,"م")</f>
        <v>من2024/01/01م إلى2024/12/31م</v>
      </c>
      <c r="C5" s="714"/>
    </row>
    <row r="6" spans="1:6" s="54" customFormat="1" hidden="1" x14ac:dyDescent="0.2">
      <c r="A6" s="56" t="s">
        <v>78</v>
      </c>
      <c r="B6" s="702">
        <v>42731</v>
      </c>
      <c r="C6" s="703"/>
    </row>
    <row r="7" spans="1:6" x14ac:dyDescent="0.2">
      <c r="A7" s="56" t="s">
        <v>79</v>
      </c>
      <c r="B7" s="713"/>
      <c r="C7" s="714"/>
    </row>
    <row r="8" spans="1:6" ht="28.5" thickBot="1" x14ac:dyDescent="0.25">
      <c r="A8" s="57" t="s">
        <v>80</v>
      </c>
      <c r="B8" s="716"/>
      <c r="C8" s="717"/>
    </row>
    <row r="9" spans="1:6" ht="28.5" thickBot="1" x14ac:dyDescent="0.25">
      <c r="A9" s="718" t="s">
        <v>81</v>
      </c>
      <c r="B9" s="58" t="s">
        <v>82</v>
      </c>
      <c r="C9" s="59" t="s">
        <v>83</v>
      </c>
    </row>
    <row r="10" spans="1:6" ht="28.5" thickBot="1" x14ac:dyDescent="0.25">
      <c r="A10" s="718"/>
      <c r="B10" s="58">
        <f>Index!H7</f>
        <v>2024</v>
      </c>
      <c r="C10" s="59">
        <f>Index!G7</f>
        <v>2023</v>
      </c>
    </row>
    <row r="11" spans="1:6" s="61" customFormat="1" x14ac:dyDescent="0.2">
      <c r="A11" s="60" t="s">
        <v>68</v>
      </c>
      <c r="B11" s="81">
        <f>'Balance Sheet'!F22</f>
        <v>0</v>
      </c>
      <c r="C11" s="81">
        <f>'Balance Sheet'!D22</f>
        <v>0</v>
      </c>
    </row>
    <row r="12" spans="1:6" s="61" customFormat="1" ht="49.5" hidden="1" x14ac:dyDescent="0.2">
      <c r="A12" s="62" t="s">
        <v>84</v>
      </c>
      <c r="B12" s="81"/>
      <c r="C12" s="81"/>
    </row>
    <row r="13" spans="1:6" s="61" customFormat="1" x14ac:dyDescent="0.2">
      <c r="A13" s="62" t="s">
        <v>85</v>
      </c>
      <c r="B13" s="81">
        <f>'Balance Sheet'!D21</f>
        <v>0</v>
      </c>
      <c r="C13" s="81"/>
    </row>
    <row r="14" spans="1:6" s="61" customFormat="1" x14ac:dyDescent="0.2">
      <c r="A14" s="62" t="s">
        <v>86</v>
      </c>
      <c r="B14" s="81">
        <f>'Balance Sheet'!F21</f>
        <v>0</v>
      </c>
      <c r="C14" s="81">
        <f>'Balance Sheet'!D21</f>
        <v>0</v>
      </c>
    </row>
    <row r="15" spans="1:6" s="61" customFormat="1" x14ac:dyDescent="0.2">
      <c r="A15" s="63" t="s">
        <v>87</v>
      </c>
      <c r="B15" s="81">
        <f>'Balance Sheet'!F27</f>
        <v>0</v>
      </c>
      <c r="C15" s="81">
        <f>'Balance Sheet'!D27</f>
        <v>0</v>
      </c>
    </row>
    <row r="16" spans="1:6" s="61" customFormat="1" x14ac:dyDescent="0.2">
      <c r="A16" s="62" t="s">
        <v>10</v>
      </c>
      <c r="B16" s="81">
        <f>'Balance Sheet'!F28</f>
        <v>0</v>
      </c>
      <c r="C16" s="81">
        <f>'Balance Sheet'!D28</f>
        <v>0</v>
      </c>
      <c r="F16" s="61">
        <f>+B14+C14/2</f>
        <v>0</v>
      </c>
    </row>
    <row r="17" spans="1:6" s="61" customFormat="1" x14ac:dyDescent="0.2">
      <c r="A17" s="63" t="s">
        <v>88</v>
      </c>
      <c r="B17" s="81">
        <f>'Balance Sheet'!F49</f>
        <v>0</v>
      </c>
      <c r="C17" s="81">
        <f>'Balance Sheet'!D49</f>
        <v>0</v>
      </c>
      <c r="F17" s="64" t="e">
        <f>+B22/F16</f>
        <v>#REF!</v>
      </c>
    </row>
    <row r="18" spans="1:6" s="61" customFormat="1" x14ac:dyDescent="0.2">
      <c r="A18" s="62" t="s">
        <v>89</v>
      </c>
      <c r="B18" s="81">
        <f>'Balance Sheet'!F43</f>
        <v>0</v>
      </c>
      <c r="C18" s="81">
        <f>'Balance Sheet'!D43</f>
        <v>0</v>
      </c>
      <c r="F18" s="61">
        <f>+B14+C14/2</f>
        <v>0</v>
      </c>
    </row>
    <row r="19" spans="1:6" s="61" customFormat="1" x14ac:dyDescent="0.2">
      <c r="A19" s="62" t="s">
        <v>4</v>
      </c>
      <c r="B19" s="81">
        <f>'Balance Sheet'!F50</f>
        <v>0</v>
      </c>
      <c r="C19" s="81">
        <f>'Balance Sheet'!D50</f>
        <v>0</v>
      </c>
      <c r="F19" s="61" t="e">
        <f>+B22/F18</f>
        <v>#REF!</v>
      </c>
    </row>
    <row r="20" spans="1:6" s="61" customFormat="1" x14ac:dyDescent="0.2">
      <c r="A20" s="62" t="s">
        <v>90</v>
      </c>
      <c r="B20" s="81">
        <f>'Balance Sheet'!F36</f>
        <v>0</v>
      </c>
      <c r="C20" s="81">
        <f>'Balance Sheet'!D36</f>
        <v>0</v>
      </c>
      <c r="F20" s="61" t="e">
        <f>365/F21</f>
        <v>#DIV/0!</v>
      </c>
    </row>
    <row r="21" spans="1:6" s="61" customFormat="1" x14ac:dyDescent="0.2">
      <c r="A21" s="62" t="s">
        <v>3</v>
      </c>
      <c r="B21" s="81">
        <f>'Income Statement'!D10</f>
        <v>0</v>
      </c>
      <c r="C21" s="81">
        <f>'Income Statement'!B10</f>
        <v>0</v>
      </c>
      <c r="F21" s="61">
        <f>+B11+C11/2</f>
        <v>0</v>
      </c>
    </row>
    <row r="22" spans="1:6" s="61" customFormat="1" x14ac:dyDescent="0.2">
      <c r="A22" s="62" t="s">
        <v>7</v>
      </c>
      <c r="B22" s="81" t="e">
        <f>-'Income Statement'!#REF!</f>
        <v>#REF!</v>
      </c>
      <c r="C22" s="81" t="e">
        <f>-'Income Statement'!#REF!</f>
        <v>#REF!</v>
      </c>
      <c r="F22" s="65" t="e">
        <f>+B21-B22</f>
        <v>#REF!</v>
      </c>
    </row>
    <row r="23" spans="1:6" s="61" customFormat="1" x14ac:dyDescent="0.2">
      <c r="A23" s="66" t="s">
        <v>91</v>
      </c>
      <c r="B23" s="82">
        <f>'Income Statement'!D13</f>
        <v>0</v>
      </c>
      <c r="C23" s="81">
        <f>'Income Statement'!B13</f>
        <v>0</v>
      </c>
      <c r="F23" s="65"/>
    </row>
    <row r="24" spans="1:6" s="61" customFormat="1" x14ac:dyDescent="0.2">
      <c r="A24" s="66" t="s">
        <v>111</v>
      </c>
      <c r="B24" s="82" t="e">
        <f>-'Income Statement'!#REF!</f>
        <v>#REF!</v>
      </c>
      <c r="C24" s="81" t="e">
        <f>-'Income Statement'!#REF!</f>
        <v>#REF!</v>
      </c>
      <c r="F24" s="65"/>
    </row>
    <row r="25" spans="1:6" s="61" customFormat="1" x14ac:dyDescent="0.2">
      <c r="A25" s="66" t="s">
        <v>30</v>
      </c>
      <c r="B25" s="82">
        <f>-'Income Statement'!D12</f>
        <v>0</v>
      </c>
      <c r="C25" s="81">
        <f>-'Income Statement'!B12</f>
        <v>0</v>
      </c>
      <c r="F25" s="65"/>
    </row>
    <row r="26" spans="1:6" s="61" customFormat="1" ht="50.25" thickBot="1" x14ac:dyDescent="0.25">
      <c r="A26" s="67" t="s">
        <v>48</v>
      </c>
      <c r="B26" s="83">
        <f>'Income Statement'!D21</f>
        <v>0</v>
      </c>
      <c r="C26" s="83">
        <f>'Income Statement'!B21</f>
        <v>0</v>
      </c>
    </row>
    <row r="27" spans="1:6" s="61" customFormat="1" ht="10.5" customHeight="1" x14ac:dyDescent="0.2">
      <c r="A27" s="68"/>
      <c r="B27" s="69"/>
      <c r="C27" s="70"/>
      <c r="F27" s="65"/>
    </row>
    <row r="28" spans="1:6" ht="12" customHeight="1" thickBot="1" x14ac:dyDescent="0.25">
      <c r="A28" s="53"/>
      <c r="C28" s="53"/>
    </row>
    <row r="29" spans="1:6" ht="28.5" thickBot="1" x14ac:dyDescent="0.25">
      <c r="A29" s="719" t="s">
        <v>92</v>
      </c>
      <c r="B29" s="720"/>
      <c r="C29" s="721"/>
    </row>
    <row r="30" spans="1:6" x14ac:dyDescent="0.2">
      <c r="A30" s="71" t="s">
        <v>93</v>
      </c>
      <c r="B30" s="72">
        <f>B10</f>
        <v>2024</v>
      </c>
      <c r="C30" s="73">
        <f>C10</f>
        <v>2023</v>
      </c>
    </row>
    <row r="31" spans="1:6" x14ac:dyDescent="0.2">
      <c r="A31" s="74" t="s">
        <v>94</v>
      </c>
      <c r="B31" s="75" t="str">
        <f>IFERROR(+B15/B17,"%0")</f>
        <v>%0</v>
      </c>
      <c r="C31" s="75" t="str">
        <f>IFERROR(+C15/C17,"%0")</f>
        <v>%0</v>
      </c>
      <c r="E31" s="53">
        <v>2</v>
      </c>
      <c r="F31" s="53">
        <v>1</v>
      </c>
    </row>
    <row r="32" spans="1:6" x14ac:dyDescent="0.2">
      <c r="A32" s="76" t="s">
        <v>95</v>
      </c>
      <c r="B32" s="75" t="str">
        <f>IFERROR(+(B15-B14)/B17,"%0")</f>
        <v>%0</v>
      </c>
      <c r="C32" s="75" t="str">
        <f>IFERROR(+(C15-C14)/C17,"%0")</f>
        <v>%0</v>
      </c>
    </row>
    <row r="33" spans="1:6" x14ac:dyDescent="0.2">
      <c r="A33" s="76" t="s">
        <v>96</v>
      </c>
      <c r="B33" s="75" t="str">
        <f>IFERROR(+(B22)/(B14+C14/2),"%0")</f>
        <v>%0</v>
      </c>
      <c r="C33" s="75" t="str">
        <f>IFERROR(+(C22)/(C14+D14/2),"%0")</f>
        <v>%0</v>
      </c>
    </row>
    <row r="34" spans="1:6" x14ac:dyDescent="0.2">
      <c r="A34" s="76" t="s">
        <v>97</v>
      </c>
      <c r="B34" s="75">
        <f>IFERROR(+B21/B11,0)</f>
        <v>0</v>
      </c>
      <c r="C34" s="75">
        <f>IFERROR(+C21/C11,0)</f>
        <v>0</v>
      </c>
    </row>
    <row r="35" spans="1:6" x14ac:dyDescent="0.2">
      <c r="A35" s="76" t="s">
        <v>98</v>
      </c>
      <c r="B35" s="75">
        <f>IFERROR(+B26/B20,0)</f>
        <v>0</v>
      </c>
      <c r="C35" s="75">
        <f>IFERROR(+C26/C20,0)</f>
        <v>0</v>
      </c>
    </row>
    <row r="36" spans="1:6" x14ac:dyDescent="0.2">
      <c r="A36" s="76" t="s">
        <v>99</v>
      </c>
      <c r="B36" s="81">
        <f>+B15-B17</f>
        <v>0</v>
      </c>
      <c r="C36" s="81">
        <f>+C15-C17</f>
        <v>0</v>
      </c>
    </row>
    <row r="37" spans="1:6" x14ac:dyDescent="0.2">
      <c r="A37" s="76" t="s">
        <v>100</v>
      </c>
      <c r="B37" s="81">
        <f>IFERROR(365/B34,0)</f>
        <v>0</v>
      </c>
      <c r="C37" s="81">
        <f>IFERROR(365/C34,0)</f>
        <v>0</v>
      </c>
    </row>
    <row r="38" spans="1:6" ht="23.25" customHeight="1" thickBot="1" x14ac:dyDescent="0.25">
      <c r="A38" s="76" t="s">
        <v>101</v>
      </c>
      <c r="B38" s="77">
        <f>IFERROR(365/B33,0)</f>
        <v>0</v>
      </c>
      <c r="C38" s="77">
        <f>IFERROR(365/C33,0)</f>
        <v>0</v>
      </c>
    </row>
    <row r="39" spans="1:6" ht="28.5" thickBot="1" x14ac:dyDescent="0.25">
      <c r="E39" s="53" t="s">
        <v>102</v>
      </c>
      <c r="F39" s="53">
        <v>16876075</v>
      </c>
    </row>
    <row r="40" spans="1:6" ht="28.5" thickBot="1" x14ac:dyDescent="0.25">
      <c r="A40" s="719" t="s">
        <v>103</v>
      </c>
      <c r="B40" s="720"/>
      <c r="C40" s="721"/>
      <c r="F40" s="53">
        <v>21534710</v>
      </c>
    </row>
    <row r="41" spans="1:6" x14ac:dyDescent="0.2">
      <c r="A41" s="71" t="s">
        <v>93</v>
      </c>
      <c r="B41" s="72">
        <f>B10</f>
        <v>2024</v>
      </c>
      <c r="C41" s="72">
        <f>C10</f>
        <v>2023</v>
      </c>
      <c r="F41" s="79">
        <v>8921022</v>
      </c>
    </row>
    <row r="42" spans="1:6" x14ac:dyDescent="0.2">
      <c r="A42" s="76" t="s">
        <v>104</v>
      </c>
      <c r="B42" s="75">
        <f>IFERROR(B22/B21,0)</f>
        <v>0</v>
      </c>
      <c r="C42" s="75">
        <f>IFERROR(C22/C21,0)</f>
        <v>0</v>
      </c>
    </row>
    <row r="43" spans="1:6" x14ac:dyDescent="0.2">
      <c r="A43" s="76" t="s">
        <v>105</v>
      </c>
      <c r="B43" s="75">
        <f>IFERROR(B23/B21,0)</f>
        <v>0</v>
      </c>
      <c r="C43" s="75">
        <f>IFERROR(C23/C21,0)</f>
        <v>0</v>
      </c>
    </row>
    <row r="44" spans="1:6" x14ac:dyDescent="0.2">
      <c r="A44" s="76" t="s">
        <v>106</v>
      </c>
      <c r="B44" s="75">
        <f>IFERROR(B26/B21,0)</f>
        <v>0</v>
      </c>
      <c r="C44" s="75">
        <f>IFERROR(C26/C21,0)</f>
        <v>0</v>
      </c>
    </row>
    <row r="45" spans="1:6" x14ac:dyDescent="0.2">
      <c r="A45" s="76" t="s">
        <v>107</v>
      </c>
      <c r="B45" s="75">
        <f>IFERROR(+B25/B21,0)</f>
        <v>0</v>
      </c>
      <c r="C45" s="75">
        <f>IFERROR(+C25/C21,0)</f>
        <v>0</v>
      </c>
    </row>
    <row r="46" spans="1:6" ht="28.5" thickBot="1" x14ac:dyDescent="0.25">
      <c r="A46" s="80" t="s">
        <v>108</v>
      </c>
      <c r="B46" s="75">
        <f>IFERROR(+B24/B21,0)</f>
        <v>0</v>
      </c>
      <c r="C46" s="75">
        <f>IFERROR(+C24/C21,0)</f>
        <v>0</v>
      </c>
    </row>
    <row r="47" spans="1:6" x14ac:dyDescent="0.2">
      <c r="A47" s="722" t="s">
        <v>109</v>
      </c>
      <c r="B47" s="722"/>
      <c r="C47" s="722"/>
    </row>
    <row r="48" spans="1:6" ht="62.25" customHeight="1" x14ac:dyDescent="0.2">
      <c r="A48" s="715" t="s">
        <v>110</v>
      </c>
      <c r="B48" s="715"/>
      <c r="C48" s="715"/>
    </row>
  </sheetData>
  <mergeCells count="13">
    <mergeCell ref="A48:C48"/>
    <mergeCell ref="B7:C7"/>
    <mergeCell ref="B8:C8"/>
    <mergeCell ref="A9:A10"/>
    <mergeCell ref="A29:C29"/>
    <mergeCell ref="A40:C40"/>
    <mergeCell ref="A47:C47"/>
    <mergeCell ref="B6:C6"/>
    <mergeCell ref="A1:C1"/>
    <mergeCell ref="A2:C2"/>
    <mergeCell ref="A3:C3"/>
    <mergeCell ref="B4:C4"/>
    <mergeCell ref="B5:C5"/>
  </mergeCells>
  <printOptions horizontalCentered="1"/>
  <pageMargins left="0" right="0" top="0.19685039370078741" bottom="0" header="0" footer="0"/>
  <pageSetup paperSize="9" scale="85" orientation="portrait" r:id="rId1"/>
  <headerFooter alignWithMargins="0"/>
  <rowBreaks count="1" manualBreakCount="1">
    <brk id="38" max="2"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7"/>
  <sheetViews>
    <sheetView rightToLeft="1" view="pageBreakPreview" zoomScale="90" zoomScaleNormal="100" zoomScaleSheetLayoutView="90" workbookViewId="0">
      <selection activeCell="C28" sqref="C28"/>
    </sheetView>
  </sheetViews>
  <sheetFormatPr defaultRowHeight="12.75" x14ac:dyDescent="0.2"/>
  <cols>
    <col min="1" max="1" width="7.28515625" customWidth="1"/>
    <col min="3" max="3" width="19.28515625" bestFit="1" customWidth="1"/>
    <col min="4" max="4" width="16.42578125" style="87" customWidth="1"/>
    <col min="5" max="5" width="8.7109375" customWidth="1"/>
    <col min="6" max="6" width="14.7109375" style="88" customWidth="1"/>
  </cols>
  <sheetData>
    <row r="1" spans="1:7" ht="21" customHeight="1" x14ac:dyDescent="0.2">
      <c r="A1" s="725" t="s">
        <v>116</v>
      </c>
      <c r="B1" s="725"/>
      <c r="C1" s="725"/>
      <c r="D1" s="725"/>
      <c r="E1" s="725"/>
      <c r="F1" s="725"/>
      <c r="G1" s="725"/>
    </row>
    <row r="2" spans="1:7" x14ac:dyDescent="0.2">
      <c r="A2" s="85"/>
      <c r="B2" s="85"/>
      <c r="C2" s="85"/>
      <c r="D2" s="85"/>
      <c r="E2" s="85"/>
      <c r="F2" s="85"/>
      <c r="G2" s="85"/>
    </row>
    <row r="3" spans="1:7" x14ac:dyDescent="0.2">
      <c r="B3" s="86" t="s">
        <v>117</v>
      </c>
    </row>
    <row r="4" spans="1:7" ht="9.75" customHeight="1" x14ac:dyDescent="0.2">
      <c r="B4" s="89"/>
    </row>
    <row r="5" spans="1:7" ht="25.5" x14ac:dyDescent="0.2">
      <c r="B5" s="90" t="s">
        <v>81</v>
      </c>
      <c r="C5" s="90" t="s">
        <v>118</v>
      </c>
      <c r="D5" s="90" t="s">
        <v>119</v>
      </c>
      <c r="E5" s="90" t="s">
        <v>120</v>
      </c>
      <c r="F5" s="90" t="s">
        <v>121</v>
      </c>
      <c r="G5" s="91"/>
    </row>
    <row r="6" spans="1:7" ht="25.5" x14ac:dyDescent="0.2">
      <c r="B6" s="92" t="s">
        <v>122</v>
      </c>
      <c r="C6" s="93">
        <f>'Income Statement'!D21</f>
        <v>0</v>
      </c>
      <c r="D6" s="94" t="s">
        <v>124</v>
      </c>
      <c r="E6" s="95">
        <v>0.1</v>
      </c>
      <c r="F6" s="93">
        <f>ABS(ROUND(+C6*E6,0))</f>
        <v>0</v>
      </c>
      <c r="G6" s="91"/>
    </row>
    <row r="7" spans="1:7" ht="25.5" x14ac:dyDescent="0.2">
      <c r="B7" s="92" t="s">
        <v>123</v>
      </c>
      <c r="C7" s="93">
        <f>+'Income Statement'!D10</f>
        <v>0</v>
      </c>
      <c r="D7" s="94" t="s">
        <v>124</v>
      </c>
      <c r="E7" s="95">
        <v>0.05</v>
      </c>
      <c r="F7" s="93">
        <f>ABS(ROUND(+C7*E7,0))</f>
        <v>0</v>
      </c>
      <c r="G7" s="91"/>
    </row>
    <row r="8" spans="1:7" ht="34.5" customHeight="1" x14ac:dyDescent="0.2">
      <c r="B8" s="726" t="s">
        <v>125</v>
      </c>
      <c r="C8" s="727"/>
      <c r="D8" s="727"/>
      <c r="E8" s="728"/>
      <c r="F8" s="96">
        <f>MAX(F6:F7)</f>
        <v>0</v>
      </c>
    </row>
    <row r="9" spans="1:7" x14ac:dyDescent="0.2">
      <c r="B9" s="89"/>
    </row>
    <row r="10" spans="1:7" ht="25.5" x14ac:dyDescent="0.2">
      <c r="B10" s="90" t="s">
        <v>81</v>
      </c>
      <c r="C10" s="90" t="s">
        <v>118</v>
      </c>
      <c r="D10" s="90" t="s">
        <v>119</v>
      </c>
      <c r="E10" s="90" t="s">
        <v>120</v>
      </c>
      <c r="F10" s="90" t="s">
        <v>121</v>
      </c>
      <c r="G10" s="91"/>
    </row>
    <row r="11" spans="1:7" ht="25.5" x14ac:dyDescent="0.2">
      <c r="B11" s="92" t="s">
        <v>126</v>
      </c>
      <c r="C11" s="93">
        <f>+'Balance Sheet'!F28</f>
        <v>0</v>
      </c>
      <c r="D11" s="94" t="s">
        <v>124</v>
      </c>
      <c r="E11" s="95">
        <v>0.05</v>
      </c>
      <c r="F11" s="93">
        <f>ABS(ROUND(+C11*E11,0))</f>
        <v>0</v>
      </c>
      <c r="G11" s="91"/>
    </row>
    <row r="12" spans="1:7" ht="25.5" x14ac:dyDescent="0.2">
      <c r="B12" s="92" t="s">
        <v>56</v>
      </c>
      <c r="C12" s="93">
        <f>+'Balance Sheet'!F36</f>
        <v>0</v>
      </c>
      <c r="D12" s="94" t="s">
        <v>124</v>
      </c>
      <c r="E12" s="95">
        <v>0.1</v>
      </c>
      <c r="F12" s="93">
        <f>ABS(ROUND(+C12*E12,0))</f>
        <v>0</v>
      </c>
      <c r="G12" s="91"/>
    </row>
    <row r="13" spans="1:7" ht="25.5" customHeight="1" x14ac:dyDescent="0.2">
      <c r="B13" s="726" t="s">
        <v>127</v>
      </c>
      <c r="C13" s="727"/>
      <c r="D13" s="727"/>
      <c r="E13" s="728"/>
      <c r="F13" s="96">
        <f>MAX(F11:F12)</f>
        <v>0</v>
      </c>
    </row>
    <row r="15" spans="1:7" x14ac:dyDescent="0.2">
      <c r="B15" s="86" t="s">
        <v>128</v>
      </c>
    </row>
    <row r="17" spans="2:6" x14ac:dyDescent="0.2">
      <c r="B17" s="86" t="s">
        <v>129</v>
      </c>
    </row>
    <row r="18" spans="2:6" x14ac:dyDescent="0.2">
      <c r="D18" s="97"/>
      <c r="F18" s="98"/>
    </row>
    <row r="19" spans="2:6" x14ac:dyDescent="0.2">
      <c r="B19" s="729" t="s">
        <v>93</v>
      </c>
      <c r="C19" s="730"/>
      <c r="D19" s="90" t="s">
        <v>20</v>
      </c>
      <c r="E19" s="90" t="s">
        <v>130</v>
      </c>
      <c r="F19" s="90" t="s">
        <v>21</v>
      </c>
    </row>
    <row r="20" spans="2:6" x14ac:dyDescent="0.2">
      <c r="B20" s="723"/>
      <c r="C20" s="724"/>
      <c r="D20" s="99"/>
      <c r="E20" s="99"/>
      <c r="F20" s="99"/>
    </row>
    <row r="21" spans="2:6" x14ac:dyDescent="0.2">
      <c r="B21" s="723"/>
      <c r="C21" s="724"/>
      <c r="D21" s="99"/>
      <c r="E21" s="99"/>
      <c r="F21" s="99"/>
    </row>
    <row r="22" spans="2:6" x14ac:dyDescent="0.2">
      <c r="B22" s="731" t="s">
        <v>131</v>
      </c>
      <c r="C22" s="732"/>
      <c r="D22" s="100">
        <f>SUM(D20:D21)</f>
        <v>0</v>
      </c>
      <c r="E22" s="101"/>
      <c r="F22" s="100">
        <f>SUM(F20:F21)</f>
        <v>0</v>
      </c>
    </row>
    <row r="23" spans="2:6" x14ac:dyDescent="0.2">
      <c r="B23" s="733"/>
      <c r="C23" s="734"/>
      <c r="D23" s="735">
        <f>+D22+F22</f>
        <v>0</v>
      </c>
      <c r="E23" s="736"/>
      <c r="F23" s="737"/>
    </row>
    <row r="25" spans="2:6" x14ac:dyDescent="0.2">
      <c r="C25" t="s">
        <v>132</v>
      </c>
      <c r="D25" s="99">
        <f>SUMIF(E20:E21,C25,D20:F21)+SUMIF(E20:E21,C25,F20:F21)</f>
        <v>0</v>
      </c>
    </row>
    <row r="26" spans="2:6" x14ac:dyDescent="0.2">
      <c r="C26" t="s">
        <v>133</v>
      </c>
      <c r="D26" s="99">
        <f>SUMIF(E20:E21,C26,D20:F21)+SUMIF(E20:E21,C26,F20:F21)</f>
        <v>0</v>
      </c>
    </row>
    <row r="27" spans="2:6" x14ac:dyDescent="0.2">
      <c r="C27" s="102" t="str">
        <f>IF(D25&gt;F8,"مبالغ التحريف  تزيد عن الاهمية النسبية","مبالغ التحريف  لا تزيد عن الاهمية النسبية")</f>
        <v>مبالغ التحريف  لا تزيد عن الاهمية النسبية</v>
      </c>
    </row>
    <row r="28" spans="2:6" x14ac:dyDescent="0.2">
      <c r="C28" s="102" t="str">
        <f>IF(D26&gt;F8,"مبالغ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30" spans="2:6" x14ac:dyDescent="0.2">
      <c r="B30" s="86" t="s">
        <v>134</v>
      </c>
    </row>
    <row r="31" spans="2:6" x14ac:dyDescent="0.2">
      <c r="D31" s="97"/>
      <c r="F31" s="98"/>
    </row>
    <row r="32" spans="2:6" x14ac:dyDescent="0.2">
      <c r="B32" s="729" t="s">
        <v>93</v>
      </c>
      <c r="C32" s="730"/>
      <c r="D32" s="103" t="s">
        <v>20</v>
      </c>
      <c r="E32" s="90" t="s">
        <v>130</v>
      </c>
      <c r="F32" s="90" t="s">
        <v>21</v>
      </c>
    </row>
    <row r="33" spans="2:6" x14ac:dyDescent="0.2">
      <c r="B33" s="723"/>
      <c r="C33" s="724"/>
      <c r="D33" s="99"/>
      <c r="E33" s="99"/>
      <c r="F33" s="99"/>
    </row>
    <row r="34" spans="2:6" x14ac:dyDescent="0.2">
      <c r="B34" s="723"/>
      <c r="C34" s="723"/>
      <c r="D34" s="99"/>
      <c r="E34" s="99"/>
      <c r="F34" s="99"/>
    </row>
    <row r="35" spans="2:6" x14ac:dyDescent="0.2">
      <c r="B35" s="731" t="s">
        <v>131</v>
      </c>
      <c r="C35" s="732"/>
      <c r="D35" s="100">
        <f>SUM(D33:D34)</f>
        <v>0</v>
      </c>
      <c r="E35" s="101"/>
      <c r="F35" s="100">
        <f>SUM(F33:F34)</f>
        <v>0</v>
      </c>
    </row>
    <row r="36" spans="2:6" x14ac:dyDescent="0.2">
      <c r="B36" s="733"/>
      <c r="C36" s="734"/>
      <c r="D36" s="735">
        <f>+D35+F35</f>
        <v>0</v>
      </c>
      <c r="E36" s="736"/>
      <c r="F36" s="737"/>
    </row>
    <row r="38" spans="2:6" x14ac:dyDescent="0.2">
      <c r="C38" t="s">
        <v>132</v>
      </c>
      <c r="D38" s="99">
        <f>SUMIF(E33:E34,C38,D33:F34)+SUMIF(E33:E34,C38,F33:F34)</f>
        <v>0</v>
      </c>
    </row>
    <row r="39" spans="2:6" x14ac:dyDescent="0.2">
      <c r="C39" t="s">
        <v>133</v>
      </c>
      <c r="D39" s="99">
        <f>SUMIF(E33:E34,C39,D33:F34)+SUMIF(E33:E34,C39,F33:F34)</f>
        <v>0</v>
      </c>
    </row>
    <row r="40" spans="2:6" x14ac:dyDescent="0.2">
      <c r="C40" s="102" t="str">
        <f>IF(D38&gt;F13,"مبالغ التحريف  تزيد عن الاهمية النسبية","مبالغ التحريف  لا تزيد عن الاهمية النسبية")</f>
        <v>مبالغ التحريف  لا تزيد عن الاهمية النسبية</v>
      </c>
    </row>
    <row r="41" spans="2:6" x14ac:dyDescent="0.2">
      <c r="C41" s="102" t="str">
        <f>IF(D39&gt;F13,"مبالغ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42" spans="2:6" ht="9.75" customHeight="1" x14ac:dyDescent="0.2"/>
    <row r="43" spans="2:6" x14ac:dyDescent="0.2">
      <c r="B43" s="86" t="s">
        <v>135</v>
      </c>
    </row>
    <row r="44" spans="2:6" x14ac:dyDescent="0.2">
      <c r="D44" s="97"/>
    </row>
    <row r="45" spans="2:6" x14ac:dyDescent="0.2">
      <c r="B45" s="729" t="s">
        <v>93</v>
      </c>
      <c r="C45" s="730"/>
      <c r="D45" s="103" t="s">
        <v>136</v>
      </c>
    </row>
    <row r="46" spans="2:6" x14ac:dyDescent="0.2">
      <c r="B46" s="723"/>
      <c r="C46" s="724"/>
      <c r="D46" s="104"/>
    </row>
    <row r="47" spans="2:6" x14ac:dyDescent="0.2">
      <c r="B47" s="723"/>
      <c r="C47" s="724"/>
      <c r="D47" s="99"/>
    </row>
  </sheetData>
  <mergeCells count="16">
    <mergeCell ref="B45:C45"/>
    <mergeCell ref="B46:C46"/>
    <mergeCell ref="B47:C47"/>
    <mergeCell ref="B22:C23"/>
    <mergeCell ref="D23:F23"/>
    <mergeCell ref="B32:C32"/>
    <mergeCell ref="B33:C33"/>
    <mergeCell ref="B34:C34"/>
    <mergeCell ref="B35:C36"/>
    <mergeCell ref="D36:F36"/>
    <mergeCell ref="B21:C21"/>
    <mergeCell ref="A1:G1"/>
    <mergeCell ref="B8:E8"/>
    <mergeCell ref="B13:E13"/>
    <mergeCell ref="B19:C19"/>
    <mergeCell ref="B20:C20"/>
  </mergeCells>
  <dataValidations count="2">
    <dataValidation type="list" allowBlank="1" showInputMessage="1" showErrorMessage="1" sqref="E33:E34" xr:uid="{00000000-0002-0000-1300-000000000000}">
      <formula1>$C$38:$C$39</formula1>
    </dataValidation>
    <dataValidation type="list" allowBlank="1" showInputMessage="1" showErrorMessage="1" sqref="E20:E21" xr:uid="{00000000-0002-0000-1300-000001000000}">
      <formula1>$C$25:$C$26</formula1>
    </dataValidation>
  </dataValidations>
  <printOptions horizontalCentered="1"/>
  <pageMargins left="0.11811023622047245" right="0.11811023622047245" top="0.6692913385826772" bottom="0.62" header="0.11811023622047245" footer="0.16"/>
  <pageSetup orientation="portrait" r:id="rId1"/>
  <headerFooter>
    <oddFooter>&amp;C&amp;P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EF33-DC77-4F05-A740-16047A9499A7}">
  <dimension ref="A1:G42"/>
  <sheetViews>
    <sheetView rightToLeft="1" view="pageBreakPreview" zoomScale="90" zoomScaleNormal="100" zoomScaleSheetLayoutView="90" workbookViewId="0">
      <selection activeCell="G13" sqref="G13"/>
    </sheetView>
  </sheetViews>
  <sheetFormatPr defaultRowHeight="12.75" x14ac:dyDescent="0.2"/>
  <cols>
    <col min="1" max="1" width="7.28515625" customWidth="1"/>
    <col min="3" max="3" width="19.28515625" bestFit="1" customWidth="1"/>
    <col min="4" max="4" width="16.42578125" style="87" customWidth="1"/>
    <col min="5" max="5" width="8.7109375" customWidth="1"/>
    <col min="6" max="6" width="14.7109375" style="88" customWidth="1"/>
  </cols>
  <sheetData>
    <row r="1" spans="1:7" ht="21" customHeight="1" x14ac:dyDescent="0.2">
      <c r="A1" s="725" t="s">
        <v>116</v>
      </c>
      <c r="B1" s="725"/>
      <c r="C1" s="725"/>
      <c r="D1" s="725"/>
      <c r="E1" s="725"/>
      <c r="F1" s="725"/>
      <c r="G1" s="725"/>
    </row>
    <row r="2" spans="1:7" x14ac:dyDescent="0.2">
      <c r="A2" s="85"/>
      <c r="B2" s="85"/>
      <c r="C2" s="85"/>
      <c r="D2" s="85"/>
      <c r="E2" s="85"/>
      <c r="F2" s="85"/>
      <c r="G2" s="85"/>
    </row>
    <row r="3" spans="1:7" x14ac:dyDescent="0.2">
      <c r="B3" s="86" t="s">
        <v>117</v>
      </c>
    </row>
    <row r="4" spans="1:7" ht="9.75" customHeight="1" x14ac:dyDescent="0.2">
      <c r="B4" s="89"/>
    </row>
    <row r="5" spans="1:7" ht="25.5" x14ac:dyDescent="0.2">
      <c r="B5" s="90" t="s">
        <v>81</v>
      </c>
      <c r="C5" s="90" t="s">
        <v>118</v>
      </c>
      <c r="D5" s="90" t="s">
        <v>119</v>
      </c>
      <c r="E5" s="90" t="s">
        <v>120</v>
      </c>
      <c r="F5" s="90" t="s">
        <v>121</v>
      </c>
      <c r="G5" s="91"/>
    </row>
    <row r="6" spans="1:7" ht="25.5" x14ac:dyDescent="0.2">
      <c r="B6" s="92" t="s">
        <v>123</v>
      </c>
      <c r="C6" s="93">
        <f>+'Income Statement'!D10</f>
        <v>0</v>
      </c>
      <c r="D6" s="94" t="s">
        <v>169</v>
      </c>
      <c r="E6" s="171">
        <v>1.4999999999999999E-2</v>
      </c>
      <c r="F6" s="93">
        <f>ABS(ROUND(+C6*E6,0))</f>
        <v>0</v>
      </c>
      <c r="G6" s="91"/>
    </row>
    <row r="7" spans="1:7" ht="25.5" x14ac:dyDescent="0.2">
      <c r="B7" s="92" t="s">
        <v>126</v>
      </c>
      <c r="C7" s="93">
        <f>+'Balance Sheet'!F28</f>
        <v>0</v>
      </c>
      <c r="D7" s="94" t="s">
        <v>169</v>
      </c>
      <c r="E7" s="171">
        <v>1.4999999999999999E-2</v>
      </c>
      <c r="F7" s="93">
        <f>ABS(ROUND(+C7*E7,0))</f>
        <v>0</v>
      </c>
      <c r="G7" s="91"/>
    </row>
    <row r="8" spans="1:7" ht="25.5" customHeight="1" x14ac:dyDescent="0.2">
      <c r="B8" s="726" t="s">
        <v>127</v>
      </c>
      <c r="C8" s="727"/>
      <c r="D8" s="727"/>
      <c r="E8" s="728"/>
      <c r="F8" s="96">
        <f>MAX(F6:F7)</f>
        <v>0</v>
      </c>
    </row>
    <row r="10" spans="1:7" x14ac:dyDescent="0.2">
      <c r="B10" s="86" t="s">
        <v>128</v>
      </c>
    </row>
    <row r="12" spans="1:7" x14ac:dyDescent="0.2">
      <c r="B12" s="86" t="s">
        <v>129</v>
      </c>
    </row>
    <row r="13" spans="1:7" x14ac:dyDescent="0.2">
      <c r="D13" s="97"/>
      <c r="F13" s="98"/>
    </row>
    <row r="14" spans="1:7" x14ac:dyDescent="0.2">
      <c r="B14" s="729" t="s">
        <v>93</v>
      </c>
      <c r="C14" s="730"/>
      <c r="D14" s="90" t="s">
        <v>20</v>
      </c>
      <c r="E14" s="90" t="s">
        <v>130</v>
      </c>
      <c r="F14" s="90" t="s">
        <v>21</v>
      </c>
    </row>
    <row r="15" spans="1:7" x14ac:dyDescent="0.2">
      <c r="B15" s="723"/>
      <c r="C15" s="724"/>
      <c r="D15" s="99"/>
      <c r="E15" s="99"/>
      <c r="F15" s="99"/>
    </row>
    <row r="16" spans="1:7" x14ac:dyDescent="0.2">
      <c r="B16" s="723"/>
      <c r="C16" s="724"/>
      <c r="D16" s="99"/>
      <c r="E16" s="99"/>
      <c r="F16" s="99"/>
    </row>
    <row r="17" spans="2:6" x14ac:dyDescent="0.2">
      <c r="B17" s="731" t="s">
        <v>131</v>
      </c>
      <c r="C17" s="732"/>
      <c r="D17" s="100">
        <f>SUM(D15:D16)</f>
        <v>0</v>
      </c>
      <c r="E17" s="101"/>
      <c r="F17" s="100">
        <f>SUM(F15:F16)</f>
        <v>0</v>
      </c>
    </row>
    <row r="18" spans="2:6" x14ac:dyDescent="0.2">
      <c r="B18" s="733"/>
      <c r="C18" s="734"/>
      <c r="D18" s="735">
        <f>+D17+F17</f>
        <v>0</v>
      </c>
      <c r="E18" s="736"/>
      <c r="F18" s="737"/>
    </row>
    <row r="20" spans="2:6" x14ac:dyDescent="0.2">
      <c r="C20" t="s">
        <v>132</v>
      </c>
      <c r="D20" s="99">
        <f>SUMIF(E15:E16,C20,D15:F16)+SUMIF(E15:E16,C20,F15:F16)</f>
        <v>0</v>
      </c>
    </row>
    <row r="21" spans="2:6" x14ac:dyDescent="0.2">
      <c r="C21" t="s">
        <v>133</v>
      </c>
      <c r="D21" s="99">
        <f>SUMIF(E15:E16,C21,D15:F16)+SUMIF(E15:E16,C21,F15:F16)</f>
        <v>0</v>
      </c>
    </row>
    <row r="22" spans="2:6" x14ac:dyDescent="0.2">
      <c r="C22" s="102" t="str">
        <f>IF(D20&gt;F8,"مبالغ التحريف  تزيد عن الاهمية النسبية","مبالغ التحريف  لا تزيد عن الاهمية النسبية")</f>
        <v>مبالغ التحريف  لا تزيد عن الاهمية النسبية</v>
      </c>
    </row>
    <row r="23" spans="2:6" x14ac:dyDescent="0.2">
      <c r="C23" s="102" t="str">
        <f>IF(D21&gt;F8,"مبالغ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25" spans="2:6" x14ac:dyDescent="0.2">
      <c r="B25" s="86" t="s">
        <v>134</v>
      </c>
    </row>
    <row r="26" spans="2:6" x14ac:dyDescent="0.2">
      <c r="D26" s="97"/>
      <c r="F26" s="98"/>
    </row>
    <row r="27" spans="2:6" x14ac:dyDescent="0.2">
      <c r="B27" s="729" t="s">
        <v>93</v>
      </c>
      <c r="C27" s="730"/>
      <c r="D27" s="103" t="s">
        <v>20</v>
      </c>
      <c r="E27" s="90" t="s">
        <v>130</v>
      </c>
      <c r="F27" s="90" t="s">
        <v>21</v>
      </c>
    </row>
    <row r="28" spans="2:6" x14ac:dyDescent="0.2">
      <c r="B28" s="723"/>
      <c r="C28" s="724"/>
      <c r="D28" s="99"/>
      <c r="E28" s="99"/>
      <c r="F28" s="99"/>
    </row>
    <row r="29" spans="2:6" x14ac:dyDescent="0.2">
      <c r="B29" s="723"/>
      <c r="C29" s="723"/>
      <c r="D29" s="99"/>
      <c r="E29" s="99"/>
      <c r="F29" s="99"/>
    </row>
    <row r="30" spans="2:6" x14ac:dyDescent="0.2">
      <c r="B30" s="731" t="s">
        <v>131</v>
      </c>
      <c r="C30" s="732"/>
      <c r="D30" s="100">
        <f>SUM(D28:D29)</f>
        <v>0</v>
      </c>
      <c r="E30" s="101"/>
      <c r="F30" s="100">
        <f>SUM(F28:F29)</f>
        <v>0</v>
      </c>
    </row>
    <row r="31" spans="2:6" x14ac:dyDescent="0.2">
      <c r="B31" s="733"/>
      <c r="C31" s="734"/>
      <c r="D31" s="735">
        <f>+D30+F30</f>
        <v>0</v>
      </c>
      <c r="E31" s="736"/>
      <c r="F31" s="737"/>
    </row>
    <row r="33" spans="2:4" x14ac:dyDescent="0.2">
      <c r="C33" t="s">
        <v>132</v>
      </c>
      <c r="D33" s="99">
        <f>SUMIF(E28:E29,C33,D28:F29)+SUMIF(E28:E29,C33,F28:F29)</f>
        <v>0</v>
      </c>
    </row>
    <row r="34" spans="2:4" x14ac:dyDescent="0.2">
      <c r="C34" t="s">
        <v>133</v>
      </c>
      <c r="D34" s="99">
        <f>SUMIF(E28:E29,C34,D28:F29)+SUMIF(E28:E29,C34,F28:F29)</f>
        <v>0</v>
      </c>
    </row>
    <row r="35" spans="2:4" x14ac:dyDescent="0.2">
      <c r="C35" s="102" t="str">
        <f>IF(D33&gt;F8,"مبالغ التحريف  تزيد عن الاهمية النسبية","مبالغ التحريف  لا تزيد عن الاهمية النسبية")</f>
        <v>مبالغ التحريف  لا تزيد عن الاهمية النسبية</v>
      </c>
    </row>
    <row r="36" spans="2:4" x14ac:dyDescent="0.2">
      <c r="C36" s="102" t="str">
        <f>IF(D34&gt;F8,"مبالغ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37" spans="2:4" ht="9.75" customHeight="1" x14ac:dyDescent="0.2"/>
    <row r="38" spans="2:4" x14ac:dyDescent="0.2">
      <c r="B38" s="86" t="s">
        <v>135</v>
      </c>
    </row>
    <row r="39" spans="2:4" x14ac:dyDescent="0.2">
      <c r="D39" s="97"/>
    </row>
    <row r="40" spans="2:4" x14ac:dyDescent="0.2">
      <c r="B40" s="729" t="s">
        <v>93</v>
      </c>
      <c r="C40" s="730"/>
      <c r="D40" s="103" t="s">
        <v>136</v>
      </c>
    </row>
    <row r="41" spans="2:4" x14ac:dyDescent="0.2">
      <c r="B41" s="723"/>
      <c r="C41" s="724"/>
      <c r="D41" s="104"/>
    </row>
    <row r="42" spans="2:4" x14ac:dyDescent="0.2">
      <c r="B42" s="723"/>
      <c r="C42" s="724"/>
      <c r="D42" s="99"/>
    </row>
  </sheetData>
  <mergeCells count="15">
    <mergeCell ref="A1:G1"/>
    <mergeCell ref="B8:E8"/>
    <mergeCell ref="B14:C14"/>
    <mergeCell ref="B15:C15"/>
    <mergeCell ref="B16:C16"/>
    <mergeCell ref="B40:C40"/>
    <mergeCell ref="B41:C41"/>
    <mergeCell ref="B42:C42"/>
    <mergeCell ref="B17:C18"/>
    <mergeCell ref="D18:F18"/>
    <mergeCell ref="B27:C27"/>
    <mergeCell ref="B28:C28"/>
    <mergeCell ref="B29:C29"/>
    <mergeCell ref="B30:C31"/>
    <mergeCell ref="D31:F31"/>
  </mergeCells>
  <dataValidations count="2">
    <dataValidation type="list" allowBlank="1" showInputMessage="1" showErrorMessage="1" sqref="E15:E16" xr:uid="{F21AA1BC-39F7-4514-A53D-797EFFCDEC88}">
      <formula1>$C$20:$C$21</formula1>
    </dataValidation>
    <dataValidation type="list" allowBlank="1" showInputMessage="1" showErrorMessage="1" sqref="E28:E29" xr:uid="{C60D71E5-0D29-46DE-B88B-82EBC797BB69}">
      <formula1>$C$33:$C$34</formula1>
    </dataValidation>
  </dataValidations>
  <printOptions horizontalCentered="1"/>
  <pageMargins left="0.11811023622047245" right="0.11811023622047245" top="0.6692913385826772" bottom="0.62" header="0.11811023622047245" footer="0.16"/>
  <pageSetup orientation="portrait" r:id="rId1"/>
  <headerFooter>
    <oddFooter>&amp;C&amp;P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VO86"/>
  <sheetViews>
    <sheetView rightToLeft="1" view="pageBreakPreview" topLeftCell="A16" zoomScaleNormal="100" zoomScaleSheetLayoutView="100" workbookViewId="0">
      <selection activeCell="H53" sqref="H53"/>
    </sheetView>
  </sheetViews>
  <sheetFormatPr defaultRowHeight="27.75" x14ac:dyDescent="0.2"/>
  <cols>
    <col min="1" max="1" width="32.28515625" style="78" bestFit="1" customWidth="1"/>
    <col min="2" max="2" width="34.28515625" style="69" customWidth="1"/>
    <col min="3" max="3" width="36" style="70" customWidth="1"/>
    <col min="4" max="4" width="9.140625" style="53" hidden="1" customWidth="1"/>
    <col min="5" max="5" width="17.28515625" style="53" hidden="1" customWidth="1"/>
    <col min="6" max="6" width="17.5703125" style="53" hidden="1" customWidth="1"/>
    <col min="7" max="7" width="9.140625" style="53" customWidth="1"/>
    <col min="8" max="8" width="9.140625" style="53"/>
    <col min="9" max="9" width="16.5703125" style="53" bestFit="1" customWidth="1"/>
    <col min="10" max="10" width="18.140625" style="53" bestFit="1" customWidth="1"/>
    <col min="11" max="256" width="9.140625" style="53"/>
    <col min="257" max="257" width="32.28515625" style="53" bestFit="1" customWidth="1"/>
    <col min="258" max="258" width="25.42578125" style="53" customWidth="1"/>
    <col min="259" max="259" width="26.28515625" style="53" customWidth="1"/>
    <col min="260" max="263" width="0" style="53" hidden="1" customWidth="1"/>
    <col min="264" max="512" width="9.140625" style="53"/>
    <col min="513" max="513" width="32.28515625" style="53" bestFit="1" customWidth="1"/>
    <col min="514" max="514" width="25.42578125" style="53" customWidth="1"/>
    <col min="515" max="515" width="26.28515625" style="53" customWidth="1"/>
    <col min="516" max="519" width="0" style="53" hidden="1" customWidth="1"/>
    <col min="520" max="768" width="9.140625" style="53"/>
    <col min="769" max="769" width="32.28515625" style="53" bestFit="1" customWidth="1"/>
    <col min="770" max="770" width="25.42578125" style="53" customWidth="1"/>
    <col min="771" max="771" width="26.28515625" style="53" customWidth="1"/>
    <col min="772" max="775" width="0" style="53" hidden="1" customWidth="1"/>
    <col min="776" max="1024" width="9.140625" style="53"/>
    <col min="1025" max="1025" width="32.28515625" style="53" bestFit="1" customWidth="1"/>
    <col min="1026" max="1026" width="25.42578125" style="53" customWidth="1"/>
    <col min="1027" max="1027" width="26.28515625" style="53" customWidth="1"/>
    <col min="1028" max="1031" width="0" style="53" hidden="1" customWidth="1"/>
    <col min="1032" max="1280" width="9.140625" style="53"/>
    <col min="1281" max="1281" width="32.28515625" style="53" bestFit="1" customWidth="1"/>
    <col min="1282" max="1282" width="25.42578125" style="53" customWidth="1"/>
    <col min="1283" max="1283" width="26.28515625" style="53" customWidth="1"/>
    <col min="1284" max="1287" width="0" style="53" hidden="1" customWidth="1"/>
    <col min="1288" max="1536" width="9.140625" style="53"/>
    <col min="1537" max="1537" width="32.28515625" style="53" bestFit="1" customWidth="1"/>
    <col min="1538" max="1538" width="25.42578125" style="53" customWidth="1"/>
    <col min="1539" max="1539" width="26.28515625" style="53" customWidth="1"/>
    <col min="1540" max="1543" width="0" style="53" hidden="1" customWidth="1"/>
    <col min="1544" max="1792" width="9.140625" style="53"/>
    <col min="1793" max="1793" width="32.28515625" style="53" bestFit="1" customWidth="1"/>
    <col min="1794" max="1794" width="25.42578125" style="53" customWidth="1"/>
    <col min="1795" max="1795" width="26.28515625" style="53" customWidth="1"/>
    <col min="1796" max="1799" width="0" style="53" hidden="1" customWidth="1"/>
    <col min="1800" max="2048" width="9.140625" style="53"/>
    <col min="2049" max="2049" width="32.28515625" style="53" bestFit="1" customWidth="1"/>
    <col min="2050" max="2050" width="25.42578125" style="53" customWidth="1"/>
    <col min="2051" max="2051" width="26.28515625" style="53" customWidth="1"/>
    <col min="2052" max="2055" width="0" style="53" hidden="1" customWidth="1"/>
    <col min="2056" max="2304" width="9.140625" style="53"/>
    <col min="2305" max="2305" width="32.28515625" style="53" bestFit="1" customWidth="1"/>
    <col min="2306" max="2306" width="25.42578125" style="53" customWidth="1"/>
    <col min="2307" max="2307" width="26.28515625" style="53" customWidth="1"/>
    <col min="2308" max="2311" width="0" style="53" hidden="1" customWidth="1"/>
    <col min="2312" max="2560" width="9.140625" style="53"/>
    <col min="2561" max="2561" width="32.28515625" style="53" bestFit="1" customWidth="1"/>
    <col min="2562" max="2562" width="25.42578125" style="53" customWidth="1"/>
    <col min="2563" max="2563" width="26.28515625" style="53" customWidth="1"/>
    <col min="2564" max="2567" width="0" style="53" hidden="1" customWidth="1"/>
    <col min="2568" max="2816" width="9.140625" style="53"/>
    <col min="2817" max="2817" width="32.28515625" style="53" bestFit="1" customWidth="1"/>
    <col min="2818" max="2818" width="25.42578125" style="53" customWidth="1"/>
    <col min="2819" max="2819" width="26.28515625" style="53" customWidth="1"/>
    <col min="2820" max="2823" width="0" style="53" hidden="1" customWidth="1"/>
    <col min="2824" max="3072" width="9.140625" style="53"/>
    <col min="3073" max="3073" width="32.28515625" style="53" bestFit="1" customWidth="1"/>
    <col min="3074" max="3074" width="25.42578125" style="53" customWidth="1"/>
    <col min="3075" max="3075" width="26.28515625" style="53" customWidth="1"/>
    <col min="3076" max="3079" width="0" style="53" hidden="1" customWidth="1"/>
    <col min="3080" max="3328" width="9.140625" style="53"/>
    <col min="3329" max="3329" width="32.28515625" style="53" bestFit="1" customWidth="1"/>
    <col min="3330" max="3330" width="25.42578125" style="53" customWidth="1"/>
    <col min="3331" max="3331" width="26.28515625" style="53" customWidth="1"/>
    <col min="3332" max="3335" width="0" style="53" hidden="1" customWidth="1"/>
    <col min="3336" max="3584" width="9.140625" style="53"/>
    <col min="3585" max="3585" width="32.28515625" style="53" bestFit="1" customWidth="1"/>
    <col min="3586" max="3586" width="25.42578125" style="53" customWidth="1"/>
    <col min="3587" max="3587" width="26.28515625" style="53" customWidth="1"/>
    <col min="3588" max="3591" width="0" style="53" hidden="1" customWidth="1"/>
    <col min="3592" max="3840" width="9.140625" style="53"/>
    <col min="3841" max="3841" width="32.28515625" style="53" bestFit="1" customWidth="1"/>
    <col min="3842" max="3842" width="25.42578125" style="53" customWidth="1"/>
    <col min="3843" max="3843" width="26.28515625" style="53" customWidth="1"/>
    <col min="3844" max="3847" width="0" style="53" hidden="1" customWidth="1"/>
    <col min="3848" max="4096" width="9.140625" style="53"/>
    <col min="4097" max="4097" width="32.28515625" style="53" bestFit="1" customWidth="1"/>
    <col min="4098" max="4098" width="25.42578125" style="53" customWidth="1"/>
    <col min="4099" max="4099" width="26.28515625" style="53" customWidth="1"/>
    <col min="4100" max="4103" width="0" style="53" hidden="1" customWidth="1"/>
    <col min="4104" max="4352" width="9.140625" style="53"/>
    <col min="4353" max="4353" width="32.28515625" style="53" bestFit="1" customWidth="1"/>
    <col min="4354" max="4354" width="25.42578125" style="53" customWidth="1"/>
    <col min="4355" max="4355" width="26.28515625" style="53" customWidth="1"/>
    <col min="4356" max="4359" width="0" style="53" hidden="1" customWidth="1"/>
    <col min="4360" max="4608" width="9.140625" style="53"/>
    <col min="4609" max="4609" width="32.28515625" style="53" bestFit="1" customWidth="1"/>
    <col min="4610" max="4610" width="25.42578125" style="53" customWidth="1"/>
    <col min="4611" max="4611" width="26.28515625" style="53" customWidth="1"/>
    <col min="4612" max="4615" width="0" style="53" hidden="1" customWidth="1"/>
    <col min="4616" max="4864" width="9.140625" style="53"/>
    <col min="4865" max="4865" width="32.28515625" style="53" bestFit="1" customWidth="1"/>
    <col min="4866" max="4866" width="25.42578125" style="53" customWidth="1"/>
    <col min="4867" max="4867" width="26.28515625" style="53" customWidth="1"/>
    <col min="4868" max="4871" width="0" style="53" hidden="1" customWidth="1"/>
    <col min="4872" max="5120" width="9.140625" style="53"/>
    <col min="5121" max="5121" width="32.28515625" style="53" bestFit="1" customWidth="1"/>
    <col min="5122" max="5122" width="25.42578125" style="53" customWidth="1"/>
    <col min="5123" max="5123" width="26.28515625" style="53" customWidth="1"/>
    <col min="5124" max="5127" width="0" style="53" hidden="1" customWidth="1"/>
    <col min="5128" max="5376" width="9.140625" style="53"/>
    <col min="5377" max="5377" width="32.28515625" style="53" bestFit="1" customWidth="1"/>
    <col min="5378" max="5378" width="25.42578125" style="53" customWidth="1"/>
    <col min="5379" max="5379" width="26.28515625" style="53" customWidth="1"/>
    <col min="5380" max="5383" width="0" style="53" hidden="1" customWidth="1"/>
    <col min="5384" max="5632" width="9.140625" style="53"/>
    <col min="5633" max="5633" width="32.28515625" style="53" bestFit="1" customWidth="1"/>
    <col min="5634" max="5634" width="25.42578125" style="53" customWidth="1"/>
    <col min="5635" max="5635" width="26.28515625" style="53" customWidth="1"/>
    <col min="5636" max="5639" width="0" style="53" hidden="1" customWidth="1"/>
    <col min="5640" max="5888" width="9.140625" style="53"/>
    <col min="5889" max="5889" width="32.28515625" style="53" bestFit="1" customWidth="1"/>
    <col min="5890" max="5890" width="25.42578125" style="53" customWidth="1"/>
    <col min="5891" max="5891" width="26.28515625" style="53" customWidth="1"/>
    <col min="5892" max="5895" width="0" style="53" hidden="1" customWidth="1"/>
    <col min="5896" max="6144" width="9.140625" style="53"/>
    <col min="6145" max="6145" width="32.28515625" style="53" bestFit="1" customWidth="1"/>
    <col min="6146" max="6146" width="25.42578125" style="53" customWidth="1"/>
    <col min="6147" max="6147" width="26.28515625" style="53" customWidth="1"/>
    <col min="6148" max="6151" width="0" style="53" hidden="1" customWidth="1"/>
    <col min="6152" max="6400" width="9.140625" style="53"/>
    <col min="6401" max="6401" width="32.28515625" style="53" bestFit="1" customWidth="1"/>
    <col min="6402" max="6402" width="25.42578125" style="53" customWidth="1"/>
    <col min="6403" max="6403" width="26.28515625" style="53" customWidth="1"/>
    <col min="6404" max="6407" width="0" style="53" hidden="1" customWidth="1"/>
    <col min="6408" max="6656" width="9.140625" style="53"/>
    <col min="6657" max="6657" width="32.28515625" style="53" bestFit="1" customWidth="1"/>
    <col min="6658" max="6658" width="25.42578125" style="53" customWidth="1"/>
    <col min="6659" max="6659" width="26.28515625" style="53" customWidth="1"/>
    <col min="6660" max="6663" width="0" style="53" hidden="1" customWidth="1"/>
    <col min="6664" max="6912" width="9.140625" style="53"/>
    <col min="6913" max="6913" width="32.28515625" style="53" bestFit="1" customWidth="1"/>
    <col min="6914" max="6914" width="25.42578125" style="53" customWidth="1"/>
    <col min="6915" max="6915" width="26.28515625" style="53" customWidth="1"/>
    <col min="6916" max="6919" width="0" style="53" hidden="1" customWidth="1"/>
    <col min="6920" max="7168" width="9.140625" style="53"/>
    <col min="7169" max="7169" width="32.28515625" style="53" bestFit="1" customWidth="1"/>
    <col min="7170" max="7170" width="25.42578125" style="53" customWidth="1"/>
    <col min="7171" max="7171" width="26.28515625" style="53" customWidth="1"/>
    <col min="7172" max="7175" width="0" style="53" hidden="1" customWidth="1"/>
    <col min="7176" max="7424" width="9.140625" style="53"/>
    <col min="7425" max="7425" width="32.28515625" style="53" bestFit="1" customWidth="1"/>
    <col min="7426" max="7426" width="25.42578125" style="53" customWidth="1"/>
    <col min="7427" max="7427" width="26.28515625" style="53" customWidth="1"/>
    <col min="7428" max="7431" width="0" style="53" hidden="1" customWidth="1"/>
    <col min="7432" max="7680" width="9.140625" style="53"/>
    <col min="7681" max="7681" width="32.28515625" style="53" bestFit="1" customWidth="1"/>
    <col min="7682" max="7682" width="25.42578125" style="53" customWidth="1"/>
    <col min="7683" max="7683" width="26.28515625" style="53" customWidth="1"/>
    <col min="7684" max="7687" width="0" style="53" hidden="1" customWidth="1"/>
    <col min="7688" max="7936" width="9.140625" style="53"/>
    <col min="7937" max="7937" width="32.28515625" style="53" bestFit="1" customWidth="1"/>
    <col min="7938" max="7938" width="25.42578125" style="53" customWidth="1"/>
    <col min="7939" max="7939" width="26.28515625" style="53" customWidth="1"/>
    <col min="7940" max="7943" width="0" style="53" hidden="1" customWidth="1"/>
    <col min="7944" max="8192" width="9.140625" style="53"/>
    <col min="8193" max="8193" width="32.28515625" style="53" bestFit="1" customWidth="1"/>
    <col min="8194" max="8194" width="25.42578125" style="53" customWidth="1"/>
    <col min="8195" max="8195" width="26.28515625" style="53" customWidth="1"/>
    <col min="8196" max="8199" width="0" style="53" hidden="1" customWidth="1"/>
    <col min="8200" max="8448" width="9.140625" style="53"/>
    <col min="8449" max="8449" width="32.28515625" style="53" bestFit="1" customWidth="1"/>
    <col min="8450" max="8450" width="25.42578125" style="53" customWidth="1"/>
    <col min="8451" max="8451" width="26.28515625" style="53" customWidth="1"/>
    <col min="8452" max="8455" width="0" style="53" hidden="1" customWidth="1"/>
    <col min="8456" max="8704" width="9.140625" style="53"/>
    <col min="8705" max="8705" width="32.28515625" style="53" bestFit="1" customWidth="1"/>
    <col min="8706" max="8706" width="25.42578125" style="53" customWidth="1"/>
    <col min="8707" max="8707" width="26.28515625" style="53" customWidth="1"/>
    <col min="8708" max="8711" width="0" style="53" hidden="1" customWidth="1"/>
    <col min="8712" max="8960" width="9.140625" style="53"/>
    <col min="8961" max="8961" width="32.28515625" style="53" bestFit="1" customWidth="1"/>
    <col min="8962" max="8962" width="25.42578125" style="53" customWidth="1"/>
    <col min="8963" max="8963" width="26.28515625" style="53" customWidth="1"/>
    <col min="8964" max="8967" width="0" style="53" hidden="1" customWidth="1"/>
    <col min="8968" max="9216" width="9.140625" style="53"/>
    <col min="9217" max="9217" width="32.28515625" style="53" bestFit="1" customWidth="1"/>
    <col min="9218" max="9218" width="25.42578125" style="53" customWidth="1"/>
    <col min="9219" max="9219" width="26.28515625" style="53" customWidth="1"/>
    <col min="9220" max="9223" width="0" style="53" hidden="1" customWidth="1"/>
    <col min="9224" max="9472" width="9.140625" style="53"/>
    <col min="9473" max="9473" width="32.28515625" style="53" bestFit="1" customWidth="1"/>
    <col min="9474" max="9474" width="25.42578125" style="53" customWidth="1"/>
    <col min="9475" max="9475" width="26.28515625" style="53" customWidth="1"/>
    <col min="9476" max="9479" width="0" style="53" hidden="1" customWidth="1"/>
    <col min="9480" max="9728" width="9.140625" style="53"/>
    <col min="9729" max="9729" width="32.28515625" style="53" bestFit="1" customWidth="1"/>
    <col min="9730" max="9730" width="25.42578125" style="53" customWidth="1"/>
    <col min="9731" max="9731" width="26.28515625" style="53" customWidth="1"/>
    <col min="9732" max="9735" width="0" style="53" hidden="1" customWidth="1"/>
    <col min="9736" max="9984" width="9.140625" style="53"/>
    <col min="9985" max="9985" width="32.28515625" style="53" bestFit="1" customWidth="1"/>
    <col min="9986" max="9986" width="25.42578125" style="53" customWidth="1"/>
    <col min="9987" max="9987" width="26.28515625" style="53" customWidth="1"/>
    <col min="9988" max="9991" width="0" style="53" hidden="1" customWidth="1"/>
    <col min="9992" max="10240" width="9.140625" style="53"/>
    <col min="10241" max="10241" width="32.28515625" style="53" bestFit="1" customWidth="1"/>
    <col min="10242" max="10242" width="25.42578125" style="53" customWidth="1"/>
    <col min="10243" max="10243" width="26.28515625" style="53" customWidth="1"/>
    <col min="10244" max="10247" width="0" style="53" hidden="1" customWidth="1"/>
    <col min="10248" max="10496" width="9.140625" style="53"/>
    <col min="10497" max="10497" width="32.28515625" style="53" bestFit="1" customWidth="1"/>
    <col min="10498" max="10498" width="25.42578125" style="53" customWidth="1"/>
    <col min="10499" max="10499" width="26.28515625" style="53" customWidth="1"/>
    <col min="10500" max="10503" width="0" style="53" hidden="1" customWidth="1"/>
    <col min="10504" max="10752" width="9.140625" style="53"/>
    <col min="10753" max="10753" width="32.28515625" style="53" bestFit="1" customWidth="1"/>
    <col min="10754" max="10754" width="25.42578125" style="53" customWidth="1"/>
    <col min="10755" max="10755" width="26.28515625" style="53" customWidth="1"/>
    <col min="10756" max="10759" width="0" style="53" hidden="1" customWidth="1"/>
    <col min="10760" max="11008" width="9.140625" style="53"/>
    <col min="11009" max="11009" width="32.28515625" style="53" bestFit="1" customWidth="1"/>
    <col min="11010" max="11010" width="25.42578125" style="53" customWidth="1"/>
    <col min="11011" max="11011" width="26.28515625" style="53" customWidth="1"/>
    <col min="11012" max="11015" width="0" style="53" hidden="1" customWidth="1"/>
    <col min="11016" max="11264" width="9.140625" style="53"/>
    <col min="11265" max="11265" width="32.28515625" style="53" bestFit="1" customWidth="1"/>
    <col min="11266" max="11266" width="25.42578125" style="53" customWidth="1"/>
    <col min="11267" max="11267" width="26.28515625" style="53" customWidth="1"/>
    <col min="11268" max="11271" width="0" style="53" hidden="1" customWidth="1"/>
    <col min="11272" max="11520" width="9.140625" style="53"/>
    <col min="11521" max="11521" width="32.28515625" style="53" bestFit="1" customWidth="1"/>
    <col min="11522" max="11522" width="25.42578125" style="53" customWidth="1"/>
    <col min="11523" max="11523" width="26.28515625" style="53" customWidth="1"/>
    <col min="11524" max="11527" width="0" style="53" hidden="1" customWidth="1"/>
    <col min="11528" max="11776" width="9.140625" style="53"/>
    <col min="11777" max="11777" width="32.28515625" style="53" bestFit="1" customWidth="1"/>
    <col min="11778" max="11778" width="25.42578125" style="53" customWidth="1"/>
    <col min="11779" max="11779" width="26.28515625" style="53" customWidth="1"/>
    <col min="11780" max="11783" width="0" style="53" hidden="1" customWidth="1"/>
    <col min="11784" max="12032" width="9.140625" style="53"/>
    <col min="12033" max="12033" width="32.28515625" style="53" bestFit="1" customWidth="1"/>
    <col min="12034" max="12034" width="25.42578125" style="53" customWidth="1"/>
    <col min="12035" max="12035" width="26.28515625" style="53" customWidth="1"/>
    <col min="12036" max="12039" width="0" style="53" hidden="1" customWidth="1"/>
    <col min="12040" max="12288" width="9.140625" style="53"/>
    <col min="12289" max="12289" width="32.28515625" style="53" bestFit="1" customWidth="1"/>
    <col min="12290" max="12290" width="25.42578125" style="53" customWidth="1"/>
    <col min="12291" max="12291" width="26.28515625" style="53" customWidth="1"/>
    <col min="12292" max="12295" width="0" style="53" hidden="1" customWidth="1"/>
    <col min="12296" max="12544" width="9.140625" style="53"/>
    <col min="12545" max="12545" width="32.28515625" style="53" bestFit="1" customWidth="1"/>
    <col min="12546" max="12546" width="25.42578125" style="53" customWidth="1"/>
    <col min="12547" max="12547" width="26.28515625" style="53" customWidth="1"/>
    <col min="12548" max="12551" width="0" style="53" hidden="1" customWidth="1"/>
    <col min="12552" max="12800" width="9.140625" style="53"/>
    <col min="12801" max="12801" width="32.28515625" style="53" bestFit="1" customWidth="1"/>
    <col min="12802" max="12802" width="25.42578125" style="53" customWidth="1"/>
    <col min="12803" max="12803" width="26.28515625" style="53" customWidth="1"/>
    <col min="12804" max="12807" width="0" style="53" hidden="1" customWidth="1"/>
    <col min="12808" max="13056" width="9.140625" style="53"/>
    <col min="13057" max="13057" width="32.28515625" style="53" bestFit="1" customWidth="1"/>
    <col min="13058" max="13058" width="25.42578125" style="53" customWidth="1"/>
    <col min="13059" max="13059" width="26.28515625" style="53" customWidth="1"/>
    <col min="13060" max="13063" width="0" style="53" hidden="1" customWidth="1"/>
    <col min="13064" max="13312" width="9.140625" style="53"/>
    <col min="13313" max="13313" width="32.28515625" style="53" bestFit="1" customWidth="1"/>
    <col min="13314" max="13314" width="25.42578125" style="53" customWidth="1"/>
    <col min="13315" max="13315" width="26.28515625" style="53" customWidth="1"/>
    <col min="13316" max="13319" width="0" style="53" hidden="1" customWidth="1"/>
    <col min="13320" max="13568" width="9.140625" style="53"/>
    <col min="13569" max="13569" width="32.28515625" style="53" bestFit="1" customWidth="1"/>
    <col min="13570" max="13570" width="25.42578125" style="53" customWidth="1"/>
    <col min="13571" max="13571" width="26.28515625" style="53" customWidth="1"/>
    <col min="13572" max="13575" width="0" style="53" hidden="1" customWidth="1"/>
    <col min="13576" max="13824" width="9.140625" style="53"/>
    <col min="13825" max="13825" width="32.28515625" style="53" bestFit="1" customWidth="1"/>
    <col min="13826" max="13826" width="25.42578125" style="53" customWidth="1"/>
    <col min="13827" max="13827" width="26.28515625" style="53" customWidth="1"/>
    <col min="13828" max="13831" width="0" style="53" hidden="1" customWidth="1"/>
    <col min="13832" max="14080" width="9.140625" style="53"/>
    <col min="14081" max="14081" width="32.28515625" style="53" bestFit="1" customWidth="1"/>
    <col min="14082" max="14082" width="25.42578125" style="53" customWidth="1"/>
    <col min="14083" max="14083" width="26.28515625" style="53" customWidth="1"/>
    <col min="14084" max="14087" width="0" style="53" hidden="1" customWidth="1"/>
    <col min="14088" max="14336" width="9.140625" style="53"/>
    <col min="14337" max="14337" width="32.28515625" style="53" bestFit="1" customWidth="1"/>
    <col min="14338" max="14338" width="25.42578125" style="53" customWidth="1"/>
    <col min="14339" max="14339" width="26.28515625" style="53" customWidth="1"/>
    <col min="14340" max="14343" width="0" style="53" hidden="1" customWidth="1"/>
    <col min="14344" max="14592" width="9.140625" style="53"/>
    <col min="14593" max="14593" width="32.28515625" style="53" bestFit="1" customWidth="1"/>
    <col min="14594" max="14594" width="25.42578125" style="53" customWidth="1"/>
    <col min="14595" max="14595" width="26.28515625" style="53" customWidth="1"/>
    <col min="14596" max="14599" width="0" style="53" hidden="1" customWidth="1"/>
    <col min="14600" max="14848" width="9.140625" style="53"/>
    <col min="14849" max="14849" width="32.28515625" style="53" bestFit="1" customWidth="1"/>
    <col min="14850" max="14850" width="25.42578125" style="53" customWidth="1"/>
    <col min="14851" max="14851" width="26.28515625" style="53" customWidth="1"/>
    <col min="14852" max="14855" width="0" style="53" hidden="1" customWidth="1"/>
    <col min="14856" max="15104" width="9.140625" style="53"/>
    <col min="15105" max="15105" width="32.28515625" style="53" bestFit="1" customWidth="1"/>
    <col min="15106" max="15106" width="25.42578125" style="53" customWidth="1"/>
    <col min="15107" max="15107" width="26.28515625" style="53" customWidth="1"/>
    <col min="15108" max="15111" width="0" style="53" hidden="1" customWidth="1"/>
    <col min="15112" max="15360" width="9.140625" style="53"/>
    <col min="15361" max="15361" width="32.28515625" style="53" bestFit="1" customWidth="1"/>
    <col min="15362" max="15362" width="25.42578125" style="53" customWidth="1"/>
    <col min="15363" max="15363" width="26.28515625" style="53" customWidth="1"/>
    <col min="15364" max="15367" width="0" style="53" hidden="1" customWidth="1"/>
    <col min="15368" max="15616" width="9.140625" style="53"/>
    <col min="15617" max="15617" width="32.28515625" style="53" bestFit="1" customWidth="1"/>
    <col min="15618" max="15618" width="25.42578125" style="53" customWidth="1"/>
    <col min="15619" max="15619" width="26.28515625" style="53" customWidth="1"/>
    <col min="15620" max="15623" width="0" style="53" hidden="1" customWidth="1"/>
    <col min="15624" max="15872" width="9.140625" style="53"/>
    <col min="15873" max="15873" width="32.28515625" style="53" bestFit="1" customWidth="1"/>
    <col min="15874" max="15874" width="25.42578125" style="53" customWidth="1"/>
    <col min="15875" max="15875" width="26.28515625" style="53" customWidth="1"/>
    <col min="15876" max="15879" width="0" style="53" hidden="1" customWidth="1"/>
    <col min="15880" max="16128" width="9.140625" style="53"/>
    <col min="16129" max="16129" width="32.28515625" style="53" bestFit="1" customWidth="1"/>
    <col min="16130" max="16130" width="25.42578125" style="53" customWidth="1"/>
    <col min="16131" max="16131" width="26.28515625" style="53" customWidth="1"/>
    <col min="16132" max="16135" width="0" style="53" hidden="1" customWidth="1"/>
    <col min="16136" max="16384" width="9.140625" style="53"/>
  </cols>
  <sheetData>
    <row r="1" spans="1:10" ht="27.75" hidden="1" customHeight="1" x14ac:dyDescent="0.2">
      <c r="A1" s="148" t="s">
        <v>73</v>
      </c>
      <c r="B1" s="149"/>
      <c r="C1" s="150"/>
    </row>
    <row r="2" spans="1:10" s="54" customFormat="1" ht="27.75" hidden="1" customHeight="1" x14ac:dyDescent="0.2">
      <c r="A2" s="151" t="s">
        <v>74</v>
      </c>
      <c r="B2" s="152"/>
      <c r="C2" s="153"/>
    </row>
    <row r="3" spans="1:10" s="54" customFormat="1" ht="27.75" hidden="1" customHeight="1" x14ac:dyDescent="0.2">
      <c r="A3" s="154" t="s">
        <v>75</v>
      </c>
      <c r="B3" s="155"/>
      <c r="C3" s="156"/>
    </row>
    <row r="4" spans="1:10" s="54" customFormat="1" ht="27.75" hidden="1" customHeight="1" x14ac:dyDescent="0.2">
      <c r="A4" s="55" t="s">
        <v>76</v>
      </c>
      <c r="B4" s="157"/>
      <c r="C4" s="158"/>
    </row>
    <row r="5" spans="1:10" s="54" customFormat="1" ht="27.75" hidden="1" customHeight="1" x14ac:dyDescent="0.2">
      <c r="A5" s="55" t="s">
        <v>77</v>
      </c>
      <c r="B5" s="157"/>
      <c r="C5" s="158"/>
    </row>
    <row r="6" spans="1:10" ht="27.75" hidden="1" customHeight="1" x14ac:dyDescent="0.2">
      <c r="A6" s="56" t="s">
        <v>79</v>
      </c>
      <c r="B6" s="157"/>
      <c r="C6" s="158"/>
    </row>
    <row r="7" spans="1:10" ht="27.75" hidden="1" customHeight="1" x14ac:dyDescent="0.2">
      <c r="A7" s="57" t="s">
        <v>80</v>
      </c>
      <c r="B7" s="159"/>
      <c r="C7" s="160"/>
    </row>
    <row r="8" spans="1:10" ht="30" thickBot="1" x14ac:dyDescent="0.25">
      <c r="A8" s="146"/>
      <c r="B8" s="161" t="s">
        <v>157</v>
      </c>
      <c r="C8" s="147"/>
    </row>
    <row r="9" spans="1:10" ht="28.5" thickBot="1" x14ac:dyDescent="0.25">
      <c r="A9" s="738" t="s">
        <v>81</v>
      </c>
      <c r="B9" s="105" t="s">
        <v>82</v>
      </c>
      <c r="C9" s="106" t="s">
        <v>83</v>
      </c>
    </row>
    <row r="10" spans="1:10" ht="28.5" thickBot="1" x14ac:dyDescent="0.25">
      <c r="A10" s="738"/>
      <c r="B10" s="107"/>
      <c r="C10" s="108"/>
    </row>
    <row r="11" spans="1:10" s="61" customFormat="1" x14ac:dyDescent="0.2">
      <c r="A11" s="62" t="s">
        <v>14</v>
      </c>
      <c r="B11" s="81">
        <f>D!E66</f>
        <v>0</v>
      </c>
      <c r="C11" s="109">
        <f>D!C66</f>
        <v>0</v>
      </c>
    </row>
    <row r="12" spans="1:10" s="61" customFormat="1" x14ac:dyDescent="0.2">
      <c r="A12" s="60" t="s">
        <v>68</v>
      </c>
      <c r="B12" s="81">
        <f>Mai1n!B11</f>
        <v>0</v>
      </c>
      <c r="C12" s="109">
        <f>Mai1n!C11</f>
        <v>0</v>
      </c>
    </row>
    <row r="13" spans="1:10" s="61" customFormat="1" ht="49.5" hidden="1" x14ac:dyDescent="0.2">
      <c r="A13" s="62" t="s">
        <v>84</v>
      </c>
      <c r="B13" s="81"/>
      <c r="C13" s="109"/>
    </row>
    <row r="14" spans="1:10" s="61" customFormat="1" hidden="1" x14ac:dyDescent="0.2">
      <c r="A14" s="62" t="s">
        <v>85</v>
      </c>
      <c r="B14" s="81"/>
      <c r="C14" s="109"/>
    </row>
    <row r="15" spans="1:10" s="61" customFormat="1" hidden="1" x14ac:dyDescent="0.2">
      <c r="A15" s="62" t="s">
        <v>86</v>
      </c>
      <c r="B15" s="81"/>
      <c r="C15" s="109"/>
    </row>
    <row r="16" spans="1:10" s="61" customFormat="1" x14ac:dyDescent="0.2">
      <c r="A16" s="63" t="s">
        <v>87</v>
      </c>
      <c r="B16" s="81">
        <f>Mai1n!B15</f>
        <v>0</v>
      </c>
      <c r="C16" s="109">
        <f>Mai1n!C15</f>
        <v>0</v>
      </c>
      <c r="I16" s="140"/>
      <c r="J16" s="140"/>
    </row>
    <row r="17" spans="1:10" s="61" customFormat="1" hidden="1" x14ac:dyDescent="0.2">
      <c r="A17" s="63" t="s">
        <v>8</v>
      </c>
      <c r="B17" s="81"/>
      <c r="C17" s="109"/>
      <c r="I17" s="140"/>
      <c r="J17" s="140"/>
    </row>
    <row r="18" spans="1:10" s="61" customFormat="1" x14ac:dyDescent="0.2">
      <c r="A18" s="62" t="s">
        <v>10</v>
      </c>
      <c r="B18" s="81">
        <f>Mai1n!B16</f>
        <v>0</v>
      </c>
      <c r="C18" s="109">
        <f>Mai1n!C16</f>
        <v>0</v>
      </c>
      <c r="F18" s="61">
        <f>+B15+C15/2</f>
        <v>0</v>
      </c>
    </row>
    <row r="19" spans="1:10" s="61" customFormat="1" x14ac:dyDescent="0.2">
      <c r="A19" s="62" t="s">
        <v>2</v>
      </c>
      <c r="B19" s="81">
        <f>P!D38</f>
        <v>0</v>
      </c>
      <c r="C19" s="109">
        <f>P!B38</f>
        <v>0</v>
      </c>
    </row>
    <row r="20" spans="1:10" s="61" customFormat="1" hidden="1" x14ac:dyDescent="0.2">
      <c r="A20" s="63" t="s">
        <v>88</v>
      </c>
      <c r="B20" s="81"/>
      <c r="C20" s="109"/>
      <c r="F20" s="64" t="e">
        <f>+B25/F18</f>
        <v>#DIV/0!</v>
      </c>
    </row>
    <row r="21" spans="1:10" s="61" customFormat="1" hidden="1" x14ac:dyDescent="0.2">
      <c r="A21" s="62" t="s">
        <v>89</v>
      </c>
      <c r="B21" s="81"/>
      <c r="C21" s="109"/>
      <c r="F21" s="61">
        <f>+B15+C15/2</f>
        <v>0</v>
      </c>
    </row>
    <row r="22" spans="1:10" s="61" customFormat="1" hidden="1" x14ac:dyDescent="0.2">
      <c r="A22" s="62" t="s">
        <v>4</v>
      </c>
      <c r="B22" s="81"/>
      <c r="C22" s="109"/>
      <c r="F22" s="61" t="e">
        <f>+B25/F21</f>
        <v>#DIV/0!</v>
      </c>
    </row>
    <row r="23" spans="1:10" s="61" customFormat="1" hidden="1" x14ac:dyDescent="0.2">
      <c r="A23" s="62" t="s">
        <v>90</v>
      </c>
      <c r="B23" s="81"/>
      <c r="C23" s="109"/>
      <c r="F23" s="61" t="e">
        <f>365/F24</f>
        <v>#DIV/0!</v>
      </c>
    </row>
    <row r="24" spans="1:10" s="61" customFormat="1" x14ac:dyDescent="0.2">
      <c r="A24" s="62" t="s">
        <v>3</v>
      </c>
      <c r="B24" s="81">
        <f>Mai1n!B21</f>
        <v>0</v>
      </c>
      <c r="C24" s="109">
        <f>Mai1n!C21</f>
        <v>0</v>
      </c>
      <c r="F24" s="61">
        <f>+B12+C12/2</f>
        <v>0</v>
      </c>
    </row>
    <row r="25" spans="1:10" s="61" customFormat="1" hidden="1" x14ac:dyDescent="0.2">
      <c r="A25" s="62" t="s">
        <v>7</v>
      </c>
      <c r="B25" s="81"/>
      <c r="C25" s="109"/>
      <c r="F25" s="65">
        <f>+B24-B25</f>
        <v>0</v>
      </c>
    </row>
    <row r="26" spans="1:10" s="61" customFormat="1" hidden="1" x14ac:dyDescent="0.2">
      <c r="A26" s="66" t="s">
        <v>91</v>
      </c>
      <c r="B26" s="82"/>
      <c r="C26" s="109"/>
      <c r="F26" s="65"/>
    </row>
    <row r="27" spans="1:10" s="61" customFormat="1" hidden="1" x14ac:dyDescent="0.2">
      <c r="A27" s="66" t="s">
        <v>111</v>
      </c>
      <c r="B27" s="82"/>
      <c r="C27" s="109"/>
      <c r="F27" s="65"/>
    </row>
    <row r="28" spans="1:10" s="61" customFormat="1" hidden="1" x14ac:dyDescent="0.2">
      <c r="A28" s="66" t="s">
        <v>30</v>
      </c>
      <c r="B28" s="82"/>
      <c r="C28" s="109"/>
      <c r="F28" s="65"/>
    </row>
    <row r="29" spans="1:10" s="61" customFormat="1" x14ac:dyDescent="0.2">
      <c r="A29" s="66" t="s">
        <v>137</v>
      </c>
      <c r="B29" s="82" t="e">
        <f>'Income Statement'!#REF!</f>
        <v>#REF!</v>
      </c>
      <c r="C29" s="110" t="e">
        <f>'Income Statement'!#REF!</f>
        <v>#REF!</v>
      </c>
      <c r="F29" s="65"/>
    </row>
    <row r="30" spans="1:10" s="61" customFormat="1" ht="50.25" hidden="1" thickBot="1" x14ac:dyDescent="0.25">
      <c r="A30" s="67" t="s">
        <v>48</v>
      </c>
      <c r="B30" s="83"/>
      <c r="C30" s="111"/>
    </row>
    <row r="31" spans="1:10" s="61" customFormat="1" ht="10.5" hidden="1" customHeight="1" thickBot="1" x14ac:dyDescent="0.25">
      <c r="A31" s="68"/>
      <c r="B31" s="69"/>
      <c r="C31" s="70"/>
      <c r="F31" s="65"/>
    </row>
    <row r="32" spans="1:10" ht="28.5" hidden="1" thickBot="1" x14ac:dyDescent="0.25">
      <c r="A32" s="719" t="s">
        <v>92</v>
      </c>
      <c r="B32" s="720"/>
      <c r="C32" s="721"/>
    </row>
    <row r="33" spans="1:9" ht="28.5" hidden="1" thickBot="1" x14ac:dyDescent="0.25">
      <c r="A33" s="112" t="s">
        <v>93</v>
      </c>
      <c r="B33" s="113">
        <f>B10</f>
        <v>0</v>
      </c>
      <c r="C33" s="113">
        <f>C10</f>
        <v>0</v>
      </c>
    </row>
    <row r="34" spans="1:9" hidden="1" x14ac:dyDescent="0.2">
      <c r="A34" s="114" t="s">
        <v>94</v>
      </c>
      <c r="B34" s="115" t="str">
        <f>IFERROR(+B16/B20,"%0")</f>
        <v>%0</v>
      </c>
      <c r="C34" s="116" t="str">
        <f>IFERROR(+C16/C20,"%0")</f>
        <v>%0</v>
      </c>
      <c r="E34" s="53">
        <v>2</v>
      </c>
      <c r="F34" s="53">
        <v>1</v>
      </c>
    </row>
    <row r="35" spans="1:9" hidden="1" x14ac:dyDescent="0.2">
      <c r="A35" s="76" t="s">
        <v>95</v>
      </c>
      <c r="B35" s="75" t="str">
        <f>IFERROR(+(B16-B15)/B20,"%0")</f>
        <v>%0</v>
      </c>
      <c r="C35" s="117" t="str">
        <f>IFERROR(+(C16-C15)/C20,"%0")</f>
        <v>%0</v>
      </c>
    </row>
    <row r="36" spans="1:9" hidden="1" x14ac:dyDescent="0.2">
      <c r="A36" s="76" t="s">
        <v>96</v>
      </c>
      <c r="B36" s="75" t="str">
        <f>IFERROR(+(B25)/(B15+C15/2),"%0")</f>
        <v>%0</v>
      </c>
      <c r="C36" s="117" t="str">
        <f>IFERROR(+(C25)/(C15+D15/2),"%0")</f>
        <v>%0</v>
      </c>
      <c r="I36" s="53">
        <f>-40462-104166</f>
        <v>-144628</v>
      </c>
    </row>
    <row r="37" spans="1:9" hidden="1" x14ac:dyDescent="0.2">
      <c r="A37" s="76" t="s">
        <v>97</v>
      </c>
      <c r="B37" s="75">
        <f>IFERROR(+B24/B12,0)</f>
        <v>0</v>
      </c>
      <c r="C37" s="117">
        <f>IFERROR(+C24/C12,0)</f>
        <v>0</v>
      </c>
    </row>
    <row r="38" spans="1:9" hidden="1" x14ac:dyDescent="0.2">
      <c r="A38" s="76" t="s">
        <v>98</v>
      </c>
      <c r="B38" s="75">
        <f>IFERROR(+B30/B23,0)</f>
        <v>0</v>
      </c>
      <c r="C38" s="117">
        <f>IFERROR(+C30/C23,0)</f>
        <v>0</v>
      </c>
    </row>
    <row r="39" spans="1:9" x14ac:dyDescent="0.2">
      <c r="A39" s="76" t="s">
        <v>99</v>
      </c>
      <c r="B39" s="81">
        <f>Mai1n!B36</f>
        <v>0</v>
      </c>
      <c r="C39" s="109">
        <f>Mai1n!C36</f>
        <v>0</v>
      </c>
    </row>
    <row r="40" spans="1:9" ht="28.5" hidden="1" thickBot="1" x14ac:dyDescent="0.25">
      <c r="A40" s="80" t="s">
        <v>100</v>
      </c>
      <c r="B40" s="83">
        <f>IFERROR(365/B37,0)</f>
        <v>0</v>
      </c>
      <c r="C40" s="111">
        <f>IFERROR(365/C37,0)</f>
        <v>0</v>
      </c>
    </row>
    <row r="41" spans="1:9" ht="23.25" hidden="1" customHeight="1" thickBot="1" x14ac:dyDescent="0.25">
      <c r="A41" s="118" t="s">
        <v>101</v>
      </c>
      <c r="B41" s="119">
        <f>IFERROR(365/B36,0)</f>
        <v>0</v>
      </c>
      <c r="C41" s="120">
        <f>IFERROR(365/C36,0)</f>
        <v>0</v>
      </c>
    </row>
    <row r="42" spans="1:9" ht="9.75" hidden="1" customHeight="1" thickBot="1" x14ac:dyDescent="0.25">
      <c r="E42" s="53" t="s">
        <v>102</v>
      </c>
      <c r="F42" s="53">
        <v>16876075</v>
      </c>
    </row>
    <row r="43" spans="1:9" ht="28.5" hidden="1" thickBot="1" x14ac:dyDescent="0.25">
      <c r="A43" s="719" t="s">
        <v>103</v>
      </c>
      <c r="B43" s="720"/>
      <c r="C43" s="721"/>
      <c r="F43" s="53">
        <v>21534710</v>
      </c>
    </row>
    <row r="44" spans="1:9" ht="28.5" hidden="1" thickBot="1" x14ac:dyDescent="0.25">
      <c r="A44" s="112" t="s">
        <v>93</v>
      </c>
      <c r="B44" s="113">
        <f>B10</f>
        <v>0</v>
      </c>
      <c r="C44" s="121">
        <f>C10</f>
        <v>0</v>
      </c>
      <c r="F44" s="79">
        <v>8921022</v>
      </c>
    </row>
    <row r="45" spans="1:9" hidden="1" x14ac:dyDescent="0.2">
      <c r="A45" s="122" t="s">
        <v>104</v>
      </c>
      <c r="B45" s="123">
        <f>IFERROR(B25/B24,0)</f>
        <v>0</v>
      </c>
      <c r="C45" s="124">
        <f>IFERROR(C25/C24,0)</f>
        <v>0</v>
      </c>
    </row>
    <row r="46" spans="1:9" hidden="1" x14ac:dyDescent="0.2">
      <c r="A46" s="76" t="s">
        <v>105</v>
      </c>
      <c r="B46" s="75">
        <f>IFERROR(B26/B24,0)</f>
        <v>0</v>
      </c>
      <c r="C46" s="117">
        <f>IFERROR(C26/C24,0)</f>
        <v>0</v>
      </c>
    </row>
    <row r="47" spans="1:9" hidden="1" x14ac:dyDescent="0.2">
      <c r="A47" s="76" t="s">
        <v>106</v>
      </c>
      <c r="B47" s="75">
        <f>IFERROR(B30/B24,0)</f>
        <v>0</v>
      </c>
      <c r="C47" s="117">
        <f>IFERROR(C30/C24,0)</f>
        <v>0</v>
      </c>
    </row>
    <row r="48" spans="1:9" hidden="1" x14ac:dyDescent="0.2">
      <c r="A48" s="76" t="s">
        <v>107</v>
      </c>
      <c r="B48" s="75">
        <f>IFERROR(+B28/B24,0)</f>
        <v>0</v>
      </c>
      <c r="C48" s="117">
        <f>IFERROR(+C28/C24,0)</f>
        <v>0</v>
      </c>
    </row>
    <row r="49" spans="1:6" ht="28.5" hidden="1" thickBot="1" x14ac:dyDescent="0.25">
      <c r="A49" s="80" t="s">
        <v>108</v>
      </c>
      <c r="B49" s="125">
        <f>IFERROR(+B27/B24,0)</f>
        <v>0</v>
      </c>
      <c r="C49" s="126">
        <f>IFERROR(+C27/C24,0)</f>
        <v>0</v>
      </c>
    </row>
    <row r="50" spans="1:6" ht="8.25" customHeight="1" thickBot="1" x14ac:dyDescent="0.25"/>
    <row r="51" spans="1:6" ht="28.5" thickBot="1" x14ac:dyDescent="0.25">
      <c r="A51" s="719" t="s">
        <v>138</v>
      </c>
      <c r="B51" s="720"/>
      <c r="C51" s="721"/>
      <c r="F51" s="53">
        <v>21534710</v>
      </c>
    </row>
    <row r="52" spans="1:6" ht="28.5" thickBot="1" x14ac:dyDescent="0.25">
      <c r="A52" s="112" t="s">
        <v>93</v>
      </c>
      <c r="B52" s="113" t="s">
        <v>139</v>
      </c>
      <c r="C52" s="121" t="s">
        <v>140</v>
      </c>
      <c r="F52" s="79">
        <v>8921022</v>
      </c>
    </row>
    <row r="53" spans="1:6" ht="28.5" customHeight="1" x14ac:dyDescent="0.2">
      <c r="A53" s="122" t="s">
        <v>141</v>
      </c>
      <c r="B53" s="127" t="e">
        <f>(B12/B24)/(C12/C24)</f>
        <v>#DIV/0!</v>
      </c>
      <c r="C53" s="124" t="e">
        <f>IF(B53&lt;C60,"مرضية",IF(B53&gt;C60,"غير مرضية",""))</f>
        <v>#DIV/0!</v>
      </c>
    </row>
    <row r="54" spans="1:6" x14ac:dyDescent="0.2">
      <c r="A54" s="122" t="s">
        <v>142</v>
      </c>
      <c r="B54" s="128" t="e">
        <f>((1-(B16+B17))/B18)/((1-(C16+C17))/C18)</f>
        <v>#DIV/0!</v>
      </c>
      <c r="C54" s="124" t="e">
        <f>IF(B54&lt;C61,"مرضية",IF(B54&gt;C61,"غير مرضية",""))</f>
        <v>#DIV/0!</v>
      </c>
    </row>
    <row r="55" spans="1:6" x14ac:dyDescent="0.2">
      <c r="A55" s="76" t="s">
        <v>143</v>
      </c>
      <c r="B55" s="128" t="e">
        <f>+B24/C24</f>
        <v>#DIV/0!</v>
      </c>
      <c r="C55" s="124" t="e">
        <f>IF(B55&lt;C62,"مرضية",IF(B55&gt;C62,"غير مرضية",""))</f>
        <v>#DIV/0!</v>
      </c>
    </row>
    <row r="56" spans="1:6" ht="28.5" thickBot="1" x14ac:dyDescent="0.25">
      <c r="A56" s="80" t="s">
        <v>144</v>
      </c>
      <c r="B56" s="129" t="e">
        <f>(((B39-C39)-(B11-C11)-(B19-C19)-B29))/B18</f>
        <v>#REF!</v>
      </c>
      <c r="C56" s="130" t="e">
        <f>IF(B56&lt;C63,"مرضية",IF(B56&gt;C63,"غير مرضية",""))</f>
        <v>#REF!</v>
      </c>
    </row>
    <row r="57" spans="1:6" ht="6.75" customHeight="1" thickBot="1" x14ac:dyDescent="0.25"/>
    <row r="58" spans="1:6" ht="28.5" thickBot="1" x14ac:dyDescent="0.25">
      <c r="A58" s="739" t="s">
        <v>145</v>
      </c>
      <c r="B58" s="740"/>
      <c r="C58" s="741"/>
    </row>
    <row r="59" spans="1:6" ht="28.5" thickBot="1" x14ac:dyDescent="0.25">
      <c r="A59" s="131" t="s">
        <v>146</v>
      </c>
      <c r="B59" s="132" t="s">
        <v>147</v>
      </c>
      <c r="C59" s="133" t="s">
        <v>148</v>
      </c>
    </row>
    <row r="60" spans="1:6" ht="21.75" customHeight="1" x14ac:dyDescent="0.2">
      <c r="A60" s="122" t="s">
        <v>141</v>
      </c>
      <c r="B60" s="134">
        <v>1.0309999999999999</v>
      </c>
      <c r="C60" s="135">
        <v>1.4650000000000001</v>
      </c>
    </row>
    <row r="61" spans="1:6" ht="24" customHeight="1" x14ac:dyDescent="0.2">
      <c r="A61" s="76" t="s">
        <v>142</v>
      </c>
      <c r="B61" s="136">
        <v>1.0389999999999999</v>
      </c>
      <c r="C61" s="137">
        <v>1.254</v>
      </c>
    </row>
    <row r="62" spans="1:6" ht="31.5" customHeight="1" x14ac:dyDescent="0.2">
      <c r="A62" s="76" t="s">
        <v>143</v>
      </c>
      <c r="B62" s="136">
        <v>1.1339999999999999</v>
      </c>
      <c r="C62" s="137">
        <v>1.607</v>
      </c>
    </row>
    <row r="63" spans="1:6" ht="30" customHeight="1" thickBot="1" x14ac:dyDescent="0.25">
      <c r="A63" s="80" t="s">
        <v>144</v>
      </c>
      <c r="B63" s="138">
        <v>1.7999999999999999E-2</v>
      </c>
      <c r="C63" s="139">
        <v>3.1E-2</v>
      </c>
    </row>
    <row r="75" spans="1:16135" customFormat="1" x14ac:dyDescent="0.2">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c r="CJ75" s="53"/>
      <c r="CK75" s="53"/>
      <c r="CL75" s="53"/>
      <c r="CM75" s="53"/>
      <c r="CN75" s="53"/>
      <c r="CO75" s="53"/>
      <c r="CP75" s="53"/>
      <c r="CQ75" s="53"/>
      <c r="CR75" s="53"/>
      <c r="CS75" s="53"/>
      <c r="CT75" s="53"/>
      <c r="CU75" s="53"/>
      <c r="CV75" s="53"/>
      <c r="CW75" s="53"/>
      <c r="CX75" s="53"/>
      <c r="CY75" s="53"/>
      <c r="CZ75" s="53"/>
      <c r="DA75" s="53"/>
      <c r="DB75" s="53"/>
      <c r="DC75" s="53"/>
      <c r="DD75" s="53"/>
      <c r="DE75" s="53"/>
      <c r="DF75" s="53"/>
      <c r="DG75" s="53"/>
      <c r="DH75" s="53"/>
      <c r="DI75" s="53"/>
      <c r="DJ75" s="53"/>
      <c r="DK75" s="53"/>
      <c r="DL75" s="53"/>
      <c r="DM75" s="53"/>
      <c r="DN75" s="53"/>
      <c r="DO75" s="53"/>
      <c r="DP75" s="53"/>
      <c r="DQ75" s="53"/>
      <c r="DR75" s="53"/>
      <c r="DS75" s="53"/>
      <c r="DT75" s="53"/>
      <c r="DU75" s="53"/>
      <c r="DV75" s="53"/>
      <c r="DW75" s="53"/>
      <c r="DX75" s="53"/>
      <c r="DY75" s="53"/>
      <c r="DZ75" s="53"/>
      <c r="EA75" s="53"/>
      <c r="EB75" s="53"/>
      <c r="EC75" s="53"/>
      <c r="ED75" s="53"/>
      <c r="EE75" s="53"/>
      <c r="EF75" s="53"/>
      <c r="EG75" s="53"/>
      <c r="EH75" s="53"/>
      <c r="EI75" s="53"/>
      <c r="EJ75" s="53"/>
      <c r="EK75" s="53"/>
      <c r="EL75" s="53"/>
      <c r="EM75" s="53"/>
      <c r="EN75" s="53"/>
      <c r="EO75" s="53"/>
      <c r="EP75" s="53"/>
      <c r="EQ75" s="53"/>
      <c r="ER75" s="53"/>
      <c r="ES75" s="53"/>
      <c r="ET75" s="53"/>
      <c r="EU75" s="53"/>
      <c r="EV75" s="53"/>
      <c r="EW75" s="53"/>
      <c r="EX75" s="53"/>
      <c r="EY75" s="53"/>
      <c r="EZ75" s="53"/>
      <c r="FA75" s="53"/>
      <c r="FB75" s="53"/>
      <c r="FC75" s="53"/>
      <c r="FD75" s="53"/>
      <c r="FE75" s="53"/>
      <c r="FF75" s="53"/>
      <c r="FG75" s="53"/>
      <c r="FH75" s="53"/>
      <c r="FI75" s="53"/>
      <c r="FJ75" s="53"/>
      <c r="FK75" s="53"/>
      <c r="FL75" s="53"/>
      <c r="FM75" s="53"/>
      <c r="FN75" s="53"/>
      <c r="FO75" s="53"/>
      <c r="FP75" s="53"/>
      <c r="FQ75" s="53"/>
      <c r="FR75" s="53"/>
      <c r="FS75" s="53"/>
      <c r="FT75" s="53"/>
      <c r="FU75" s="53"/>
      <c r="FV75" s="53"/>
      <c r="FW75" s="53"/>
      <c r="FX75" s="53"/>
      <c r="FY75" s="53"/>
      <c r="FZ75" s="53"/>
      <c r="GA75" s="53"/>
      <c r="GB75" s="53"/>
      <c r="GC75" s="53"/>
      <c r="GD75" s="53"/>
      <c r="GE75" s="53"/>
      <c r="GF75" s="53"/>
      <c r="GG75" s="53"/>
      <c r="GH75" s="53"/>
      <c r="GI75" s="53"/>
      <c r="GJ75" s="53"/>
      <c r="GK75" s="53"/>
      <c r="GL75" s="53"/>
      <c r="GM75" s="53"/>
      <c r="GN75" s="53"/>
      <c r="GO75" s="53"/>
      <c r="GP75" s="53"/>
      <c r="GQ75" s="53"/>
      <c r="GR75" s="53"/>
      <c r="GS75" s="53"/>
      <c r="GT75" s="53"/>
      <c r="GU75" s="53"/>
      <c r="GV75" s="53"/>
      <c r="GW75" s="53"/>
      <c r="GX75" s="53"/>
      <c r="GY75" s="53"/>
      <c r="GZ75" s="53"/>
      <c r="HA75" s="53"/>
      <c r="HB75" s="53"/>
      <c r="HC75" s="53"/>
      <c r="HD75" s="53"/>
      <c r="HE75" s="53"/>
      <c r="HF75" s="53"/>
      <c r="HG75" s="53"/>
      <c r="HH75" s="53"/>
      <c r="HI75" s="53"/>
      <c r="HJ75" s="53"/>
      <c r="HK75" s="53"/>
      <c r="HL75" s="53"/>
      <c r="HM75" s="53"/>
      <c r="HN75" s="53"/>
      <c r="HO75" s="53"/>
      <c r="HP75" s="53"/>
      <c r="HQ75" s="53"/>
      <c r="HR75" s="53"/>
      <c r="HS75" s="53"/>
      <c r="HT75" s="53"/>
      <c r="HU75" s="53"/>
      <c r="HV75" s="53"/>
      <c r="HW75" s="53"/>
      <c r="HX75" s="53"/>
      <c r="HY75" s="53"/>
      <c r="HZ75" s="53"/>
      <c r="IA75" s="53"/>
      <c r="IB75" s="53"/>
      <c r="IC75" s="53"/>
      <c r="ID75" s="53"/>
      <c r="IE75" s="53"/>
      <c r="IF75" s="53"/>
      <c r="IG75" s="53"/>
      <c r="IH75" s="53"/>
      <c r="II75" s="53"/>
      <c r="IJ75" s="53"/>
      <c r="IK75" s="53"/>
      <c r="IL75" s="53"/>
      <c r="IM75" s="53"/>
      <c r="IN75" s="53"/>
      <c r="IO75" s="53"/>
      <c r="IP75" s="53"/>
      <c r="IQ75" s="53"/>
      <c r="IR75" s="53"/>
      <c r="IS75" s="53"/>
      <c r="IT75" s="53"/>
      <c r="IU75" s="53"/>
      <c r="IV75" s="53"/>
      <c r="IW75" s="53"/>
      <c r="IX75" s="53"/>
      <c r="IY75" s="53"/>
      <c r="IZ75" s="53"/>
      <c r="JA75" s="53"/>
      <c r="JB75" s="53"/>
      <c r="JC75" s="53"/>
      <c r="JD75" s="53"/>
      <c r="JE75" s="53"/>
      <c r="JF75" s="53"/>
      <c r="JG75" s="53"/>
      <c r="JH75" s="53"/>
      <c r="JI75" s="53"/>
      <c r="JJ75" s="53"/>
      <c r="JK75" s="53"/>
      <c r="JL75" s="53"/>
      <c r="JM75" s="53"/>
      <c r="JN75" s="53"/>
      <c r="JO75" s="53"/>
      <c r="JP75" s="53"/>
      <c r="JQ75" s="53"/>
      <c r="JR75" s="53"/>
      <c r="JS75" s="53"/>
      <c r="JT75" s="53"/>
      <c r="JU75" s="53"/>
      <c r="JV75" s="53"/>
      <c r="JW75" s="53"/>
      <c r="JX75" s="53"/>
      <c r="JY75" s="53"/>
      <c r="JZ75" s="53"/>
      <c r="KA75" s="53"/>
      <c r="KB75" s="53"/>
      <c r="KC75" s="53"/>
      <c r="KD75" s="53"/>
      <c r="KE75" s="53"/>
      <c r="KF75" s="53"/>
      <c r="KG75" s="53"/>
      <c r="KH75" s="53"/>
      <c r="KI75" s="53"/>
      <c r="KJ75" s="53"/>
      <c r="KK75" s="53"/>
      <c r="KL75" s="53"/>
      <c r="KM75" s="53"/>
      <c r="KN75" s="53"/>
      <c r="KO75" s="53"/>
      <c r="KP75" s="53"/>
      <c r="KQ75" s="53"/>
      <c r="KR75" s="53"/>
      <c r="KS75" s="53"/>
      <c r="KT75" s="53"/>
      <c r="KU75" s="53"/>
      <c r="KV75" s="53"/>
      <c r="KW75" s="53"/>
      <c r="KX75" s="53"/>
      <c r="KY75" s="53"/>
      <c r="KZ75" s="53"/>
      <c r="LA75" s="53"/>
      <c r="LB75" s="53"/>
      <c r="LC75" s="53"/>
      <c r="LD75" s="53"/>
      <c r="LE75" s="53"/>
      <c r="LF75" s="53"/>
      <c r="LG75" s="53"/>
      <c r="LH75" s="53"/>
      <c r="LI75" s="53"/>
      <c r="LJ75" s="53"/>
      <c r="LK75" s="53"/>
      <c r="LL75" s="53"/>
      <c r="LM75" s="53"/>
      <c r="LN75" s="53"/>
      <c r="LO75" s="53"/>
      <c r="LP75" s="53"/>
      <c r="LQ75" s="53"/>
      <c r="LR75" s="53"/>
      <c r="LS75" s="53"/>
      <c r="LT75" s="53"/>
      <c r="LU75" s="53"/>
      <c r="LV75" s="53"/>
      <c r="LW75" s="53"/>
      <c r="LX75" s="53"/>
      <c r="LY75" s="53"/>
      <c r="LZ75" s="53"/>
      <c r="MA75" s="53"/>
      <c r="MB75" s="53"/>
      <c r="MC75" s="53"/>
      <c r="MD75" s="53"/>
      <c r="ME75" s="53"/>
      <c r="MF75" s="53"/>
      <c r="MG75" s="53"/>
      <c r="MH75" s="53"/>
      <c r="MI75" s="53"/>
      <c r="MJ75" s="53"/>
      <c r="MK75" s="53"/>
      <c r="ML75" s="53"/>
      <c r="MM75" s="53"/>
      <c r="MN75" s="53"/>
      <c r="MO75" s="53"/>
      <c r="MP75" s="53"/>
      <c r="MQ75" s="53"/>
      <c r="MR75" s="53"/>
      <c r="MS75" s="53"/>
      <c r="MT75" s="53"/>
      <c r="MU75" s="53"/>
      <c r="MV75" s="53"/>
      <c r="MW75" s="53"/>
      <c r="MX75" s="53"/>
      <c r="MY75" s="53"/>
      <c r="MZ75" s="53"/>
      <c r="NA75" s="53"/>
      <c r="NB75" s="53"/>
      <c r="NC75" s="53"/>
      <c r="ND75" s="53"/>
      <c r="NE75" s="53"/>
      <c r="NF75" s="53"/>
      <c r="NG75" s="53"/>
      <c r="NH75" s="53"/>
      <c r="NI75" s="53"/>
      <c r="NJ75" s="53"/>
      <c r="NK75" s="53"/>
      <c r="NL75" s="53"/>
      <c r="NM75" s="53"/>
      <c r="NN75" s="53"/>
      <c r="NO75" s="53"/>
      <c r="NP75" s="53"/>
      <c r="NQ75" s="53"/>
      <c r="NR75" s="53"/>
      <c r="NS75" s="53"/>
      <c r="NT75" s="53"/>
      <c r="NU75" s="53"/>
      <c r="NV75" s="53"/>
      <c r="NW75" s="53"/>
      <c r="NX75" s="53"/>
      <c r="NY75" s="53"/>
      <c r="NZ75" s="53"/>
      <c r="OA75" s="53"/>
      <c r="OB75" s="53"/>
      <c r="OC75" s="53"/>
      <c r="OD75" s="53"/>
      <c r="OE75" s="53"/>
      <c r="OF75" s="53"/>
      <c r="OG75" s="53"/>
      <c r="OH75" s="53"/>
      <c r="OI75" s="53"/>
      <c r="OJ75" s="53"/>
      <c r="OK75" s="53"/>
      <c r="OL75" s="53"/>
      <c r="OM75" s="53"/>
      <c r="ON75" s="53"/>
      <c r="OO75" s="53"/>
      <c r="OP75" s="53"/>
      <c r="OQ75" s="53"/>
      <c r="OR75" s="53"/>
      <c r="OS75" s="53"/>
      <c r="OT75" s="53"/>
      <c r="OU75" s="53"/>
      <c r="OV75" s="53"/>
      <c r="OW75" s="53"/>
      <c r="OX75" s="53"/>
      <c r="OY75" s="53"/>
      <c r="OZ75" s="53"/>
      <c r="PA75" s="53"/>
      <c r="PB75" s="53"/>
      <c r="PC75" s="53"/>
      <c r="PD75" s="53"/>
      <c r="PE75" s="53"/>
      <c r="PF75" s="53"/>
      <c r="PG75" s="53"/>
      <c r="PH75" s="53"/>
      <c r="PI75" s="53"/>
      <c r="PJ75" s="53"/>
      <c r="PK75" s="53"/>
      <c r="PL75" s="53"/>
      <c r="PM75" s="53"/>
      <c r="PN75" s="53"/>
      <c r="PO75" s="53"/>
      <c r="PP75" s="53"/>
      <c r="PQ75" s="53"/>
      <c r="PR75" s="53"/>
      <c r="PS75" s="53"/>
      <c r="PT75" s="53"/>
      <c r="PU75" s="53"/>
      <c r="PV75" s="53"/>
      <c r="PW75" s="53"/>
      <c r="PX75" s="53"/>
      <c r="PY75" s="53"/>
      <c r="PZ75" s="53"/>
      <c r="QA75" s="53"/>
      <c r="QB75" s="53"/>
      <c r="QC75" s="53"/>
      <c r="QD75" s="53"/>
      <c r="QE75" s="53"/>
      <c r="QF75" s="53"/>
      <c r="QG75" s="53"/>
      <c r="QH75" s="53"/>
      <c r="QI75" s="53"/>
      <c r="QJ75" s="53"/>
      <c r="QK75" s="53"/>
      <c r="QL75" s="53"/>
      <c r="QM75" s="53"/>
      <c r="QN75" s="53"/>
      <c r="QO75" s="53"/>
      <c r="QP75" s="53"/>
      <c r="QQ75" s="53"/>
      <c r="QR75" s="53"/>
      <c r="QS75" s="53"/>
      <c r="QT75" s="53"/>
      <c r="QU75" s="53"/>
      <c r="QV75" s="53"/>
      <c r="QW75" s="53"/>
      <c r="QX75" s="53"/>
      <c r="QY75" s="53"/>
      <c r="QZ75" s="53"/>
      <c r="RA75" s="53"/>
      <c r="RB75" s="53"/>
      <c r="RC75" s="53"/>
      <c r="RD75" s="53"/>
      <c r="RE75" s="53"/>
      <c r="RF75" s="53"/>
      <c r="RG75" s="53"/>
      <c r="RH75" s="53"/>
      <c r="RI75" s="53"/>
      <c r="RJ75" s="53"/>
      <c r="RK75" s="53"/>
      <c r="RL75" s="53"/>
      <c r="RM75" s="53"/>
      <c r="RN75" s="53"/>
      <c r="RO75" s="53"/>
      <c r="RP75" s="53"/>
      <c r="RQ75" s="53"/>
      <c r="RR75" s="53"/>
      <c r="RS75" s="53"/>
      <c r="RT75" s="53"/>
      <c r="RU75" s="53"/>
      <c r="RV75" s="53"/>
      <c r="RW75" s="53"/>
      <c r="RX75" s="53"/>
      <c r="RY75" s="53"/>
      <c r="RZ75" s="53"/>
      <c r="SA75" s="53"/>
      <c r="SB75" s="53"/>
      <c r="SC75" s="53"/>
      <c r="SD75" s="53"/>
      <c r="SE75" s="53"/>
      <c r="SF75" s="53"/>
      <c r="SG75" s="53"/>
      <c r="SH75" s="53"/>
      <c r="SI75" s="53"/>
      <c r="SJ75" s="53"/>
      <c r="SK75" s="53"/>
      <c r="SL75" s="53"/>
      <c r="SM75" s="53"/>
      <c r="SN75" s="53"/>
      <c r="SO75" s="53"/>
      <c r="SP75" s="53"/>
      <c r="SQ75" s="53"/>
      <c r="SR75" s="53"/>
      <c r="SS75" s="53"/>
      <c r="ST75" s="53"/>
      <c r="SU75" s="53"/>
      <c r="SV75" s="53"/>
      <c r="SW75" s="53"/>
      <c r="SX75" s="53"/>
      <c r="SY75" s="53"/>
      <c r="SZ75" s="53"/>
      <c r="TA75" s="53"/>
      <c r="TB75" s="53"/>
      <c r="TC75" s="53"/>
      <c r="TD75" s="53"/>
      <c r="TE75" s="53"/>
      <c r="TF75" s="53"/>
      <c r="TG75" s="53"/>
      <c r="TH75" s="53"/>
      <c r="TI75" s="53"/>
      <c r="TJ75" s="53"/>
      <c r="TK75" s="53"/>
      <c r="TL75" s="53"/>
      <c r="TM75" s="53"/>
      <c r="TN75" s="53"/>
      <c r="TO75" s="53"/>
      <c r="TP75" s="53"/>
      <c r="TQ75" s="53"/>
      <c r="TR75" s="53"/>
      <c r="TS75" s="53"/>
      <c r="TT75" s="53"/>
      <c r="TU75" s="53"/>
      <c r="TV75" s="53"/>
      <c r="TW75" s="53"/>
      <c r="TX75" s="53"/>
      <c r="TY75" s="53"/>
      <c r="TZ75" s="53"/>
      <c r="UA75" s="53"/>
      <c r="UB75" s="53"/>
      <c r="UC75" s="53"/>
      <c r="UD75" s="53"/>
      <c r="UE75" s="53"/>
      <c r="UF75" s="53"/>
      <c r="UG75" s="53"/>
      <c r="UH75" s="53"/>
      <c r="UI75" s="53"/>
      <c r="UJ75" s="53"/>
      <c r="UK75" s="53"/>
      <c r="UL75" s="53"/>
      <c r="UM75" s="53"/>
      <c r="UN75" s="53"/>
      <c r="UO75" s="53"/>
      <c r="UP75" s="53"/>
      <c r="UQ75" s="53"/>
      <c r="UR75" s="53"/>
      <c r="US75" s="53"/>
      <c r="UT75" s="53"/>
      <c r="UU75" s="53"/>
      <c r="UV75" s="53"/>
      <c r="UW75" s="53"/>
      <c r="UX75" s="53"/>
      <c r="UY75" s="53"/>
      <c r="UZ75" s="53"/>
      <c r="VA75" s="53"/>
      <c r="VB75" s="53"/>
      <c r="VC75" s="53"/>
      <c r="VD75" s="53"/>
      <c r="VE75" s="53"/>
      <c r="VF75" s="53"/>
      <c r="VG75" s="53"/>
      <c r="VH75" s="53"/>
      <c r="VI75" s="53"/>
      <c r="VJ75" s="53"/>
      <c r="VK75" s="53"/>
      <c r="VL75" s="53"/>
      <c r="VM75" s="53"/>
      <c r="VN75" s="53"/>
      <c r="VO75" s="53"/>
      <c r="VP75" s="53"/>
      <c r="VQ75" s="53"/>
      <c r="VR75" s="53"/>
      <c r="VS75" s="53"/>
      <c r="VT75" s="53"/>
      <c r="VU75" s="53"/>
      <c r="VV75" s="53"/>
      <c r="VW75" s="53"/>
      <c r="VX75" s="53"/>
      <c r="VY75" s="53"/>
      <c r="VZ75" s="53"/>
      <c r="WA75" s="53"/>
      <c r="WB75" s="53"/>
      <c r="WC75" s="53"/>
      <c r="WD75" s="53"/>
      <c r="WE75" s="53"/>
      <c r="WF75" s="53"/>
      <c r="WG75" s="53"/>
      <c r="WH75" s="53"/>
      <c r="WI75" s="53"/>
      <c r="WJ75" s="53"/>
      <c r="WK75" s="53"/>
      <c r="WL75" s="53"/>
      <c r="WM75" s="53"/>
      <c r="WN75" s="53"/>
      <c r="WO75" s="53"/>
      <c r="WP75" s="53"/>
      <c r="WQ75" s="53"/>
      <c r="WR75" s="53"/>
      <c r="WS75" s="53"/>
      <c r="WT75" s="53"/>
      <c r="WU75" s="53"/>
      <c r="WV75" s="53"/>
      <c r="WW75" s="53"/>
      <c r="WX75" s="53"/>
      <c r="WY75" s="53"/>
      <c r="WZ75" s="53"/>
      <c r="XA75" s="53"/>
      <c r="XB75" s="53"/>
      <c r="XC75" s="53"/>
      <c r="XD75" s="53"/>
      <c r="XE75" s="53"/>
      <c r="XF75" s="53"/>
      <c r="XG75" s="53"/>
      <c r="XH75" s="53"/>
      <c r="XI75" s="53"/>
      <c r="XJ75" s="53"/>
      <c r="XK75" s="53"/>
      <c r="XL75" s="53"/>
      <c r="XM75" s="53"/>
      <c r="XN75" s="53"/>
      <c r="XO75" s="53"/>
      <c r="XP75" s="53"/>
      <c r="XQ75" s="53"/>
      <c r="XR75" s="53"/>
      <c r="XS75" s="53"/>
      <c r="XT75" s="53"/>
      <c r="XU75" s="53"/>
      <c r="XV75" s="53"/>
      <c r="XW75" s="53"/>
      <c r="XX75" s="53"/>
      <c r="XY75" s="53"/>
      <c r="XZ75" s="53"/>
      <c r="YA75" s="53"/>
      <c r="YB75" s="53"/>
      <c r="YC75" s="53"/>
      <c r="YD75" s="53"/>
      <c r="YE75" s="53"/>
      <c r="YF75" s="53"/>
      <c r="YG75" s="53"/>
      <c r="YH75" s="53"/>
      <c r="YI75" s="53"/>
      <c r="YJ75" s="53"/>
      <c r="YK75" s="53"/>
      <c r="YL75" s="53"/>
      <c r="YM75" s="53"/>
      <c r="YN75" s="53"/>
      <c r="YO75" s="53"/>
      <c r="YP75" s="53"/>
      <c r="YQ75" s="53"/>
      <c r="YR75" s="53"/>
      <c r="YS75" s="53"/>
      <c r="YT75" s="53"/>
      <c r="YU75" s="53"/>
      <c r="YV75" s="53"/>
      <c r="YW75" s="53"/>
      <c r="YX75" s="53"/>
      <c r="YY75" s="53"/>
      <c r="YZ75" s="53"/>
      <c r="ZA75" s="53"/>
      <c r="ZB75" s="53"/>
      <c r="ZC75" s="53"/>
      <c r="ZD75" s="53"/>
      <c r="ZE75" s="53"/>
      <c r="ZF75" s="53"/>
      <c r="ZG75" s="53"/>
      <c r="ZH75" s="53"/>
      <c r="ZI75" s="53"/>
      <c r="ZJ75" s="53"/>
      <c r="ZK75" s="53"/>
      <c r="ZL75" s="53"/>
      <c r="ZM75" s="53"/>
      <c r="ZN75" s="53"/>
      <c r="ZO75" s="53"/>
      <c r="ZP75" s="53"/>
      <c r="ZQ75" s="53"/>
      <c r="ZR75" s="53"/>
      <c r="ZS75" s="53"/>
      <c r="ZT75" s="53"/>
      <c r="ZU75" s="53"/>
      <c r="ZV75" s="53"/>
      <c r="ZW75" s="53"/>
      <c r="ZX75" s="53"/>
      <c r="ZY75" s="53"/>
      <c r="ZZ75" s="53"/>
      <c r="AAA75" s="53"/>
      <c r="AAB75" s="53"/>
      <c r="AAC75" s="53"/>
      <c r="AAD75" s="53"/>
      <c r="AAE75" s="53"/>
      <c r="AAF75" s="53"/>
      <c r="AAG75" s="53"/>
      <c r="AAH75" s="53"/>
      <c r="AAI75" s="53"/>
      <c r="AAJ75" s="53"/>
      <c r="AAK75" s="53"/>
      <c r="AAL75" s="53"/>
      <c r="AAM75" s="53"/>
      <c r="AAN75" s="53"/>
      <c r="AAO75" s="53"/>
      <c r="AAP75" s="53"/>
      <c r="AAQ75" s="53"/>
      <c r="AAR75" s="53"/>
      <c r="AAS75" s="53"/>
      <c r="AAT75" s="53"/>
      <c r="AAU75" s="53"/>
      <c r="AAV75" s="53"/>
      <c r="AAW75" s="53"/>
      <c r="AAX75" s="53"/>
      <c r="AAY75" s="53"/>
      <c r="AAZ75" s="53"/>
      <c r="ABA75" s="53"/>
      <c r="ABB75" s="53"/>
      <c r="ABC75" s="53"/>
      <c r="ABD75" s="53"/>
      <c r="ABE75" s="53"/>
      <c r="ABF75" s="53"/>
      <c r="ABG75" s="53"/>
      <c r="ABH75" s="53"/>
      <c r="ABI75" s="53"/>
      <c r="ABJ75" s="53"/>
      <c r="ABK75" s="53"/>
      <c r="ABL75" s="53"/>
      <c r="ABM75" s="53"/>
      <c r="ABN75" s="53"/>
      <c r="ABO75" s="53"/>
      <c r="ABP75" s="53"/>
      <c r="ABQ75" s="53"/>
      <c r="ABR75" s="53"/>
      <c r="ABS75" s="53"/>
      <c r="ABT75" s="53"/>
      <c r="ABU75" s="53"/>
      <c r="ABV75" s="53"/>
      <c r="ABW75" s="53"/>
      <c r="ABX75" s="53"/>
      <c r="ABY75" s="53"/>
      <c r="ABZ75" s="53"/>
      <c r="ACA75" s="53"/>
      <c r="ACB75" s="53"/>
      <c r="ACC75" s="53"/>
      <c r="ACD75" s="53"/>
      <c r="ACE75" s="53"/>
      <c r="ACF75" s="53"/>
      <c r="ACG75" s="53"/>
      <c r="ACH75" s="53"/>
      <c r="ACI75" s="53"/>
      <c r="ACJ75" s="53"/>
      <c r="ACK75" s="53"/>
      <c r="ACL75" s="53"/>
      <c r="ACM75" s="53"/>
      <c r="ACN75" s="53"/>
      <c r="ACO75" s="53"/>
      <c r="ACP75" s="53"/>
      <c r="ACQ75" s="53"/>
      <c r="ACR75" s="53"/>
      <c r="ACS75" s="53"/>
      <c r="ACT75" s="53"/>
      <c r="ACU75" s="53"/>
      <c r="ACV75" s="53"/>
      <c r="ACW75" s="53"/>
      <c r="ACX75" s="53"/>
      <c r="ACY75" s="53"/>
      <c r="ACZ75" s="53"/>
      <c r="ADA75" s="53"/>
      <c r="ADB75" s="53"/>
      <c r="ADC75" s="53"/>
      <c r="ADD75" s="53"/>
      <c r="ADE75" s="53"/>
      <c r="ADF75" s="53"/>
      <c r="ADG75" s="53"/>
      <c r="ADH75" s="53"/>
      <c r="ADI75" s="53"/>
      <c r="ADJ75" s="53"/>
      <c r="ADK75" s="53"/>
      <c r="ADL75" s="53"/>
      <c r="ADM75" s="53"/>
      <c r="ADN75" s="53"/>
      <c r="ADO75" s="53"/>
      <c r="ADP75" s="53"/>
      <c r="ADQ75" s="53"/>
      <c r="ADR75" s="53"/>
      <c r="ADS75" s="53"/>
      <c r="ADT75" s="53"/>
      <c r="ADU75" s="53"/>
      <c r="ADV75" s="53"/>
      <c r="ADW75" s="53"/>
      <c r="ADX75" s="53"/>
      <c r="ADY75" s="53"/>
      <c r="ADZ75" s="53"/>
      <c r="AEA75" s="53"/>
      <c r="AEB75" s="53"/>
      <c r="AEC75" s="53"/>
      <c r="AED75" s="53"/>
      <c r="AEE75" s="53"/>
      <c r="AEF75" s="53"/>
      <c r="AEG75" s="53"/>
      <c r="AEH75" s="53"/>
      <c r="AEI75" s="53"/>
      <c r="AEJ75" s="53"/>
      <c r="AEK75" s="53"/>
      <c r="AEL75" s="53"/>
      <c r="AEM75" s="53"/>
      <c r="AEN75" s="53"/>
      <c r="AEO75" s="53"/>
      <c r="AEP75" s="53"/>
      <c r="AEQ75" s="53"/>
      <c r="AER75" s="53"/>
      <c r="AES75" s="53"/>
      <c r="AET75" s="53"/>
      <c r="AEU75" s="53"/>
      <c r="AEV75" s="53"/>
      <c r="AEW75" s="53"/>
      <c r="AEX75" s="53"/>
      <c r="AEY75" s="53"/>
      <c r="AEZ75" s="53"/>
      <c r="AFA75" s="53"/>
      <c r="AFB75" s="53"/>
      <c r="AFC75" s="53"/>
      <c r="AFD75" s="53"/>
      <c r="AFE75" s="53"/>
      <c r="AFF75" s="53"/>
      <c r="AFG75" s="53"/>
      <c r="AFH75" s="53"/>
      <c r="AFI75" s="53"/>
      <c r="AFJ75" s="53"/>
      <c r="AFK75" s="53"/>
      <c r="AFL75" s="53"/>
      <c r="AFM75" s="53"/>
      <c r="AFN75" s="53"/>
      <c r="AFO75" s="53"/>
      <c r="AFP75" s="53"/>
      <c r="AFQ75" s="53"/>
      <c r="AFR75" s="53"/>
      <c r="AFS75" s="53"/>
      <c r="AFT75" s="53"/>
      <c r="AFU75" s="53"/>
      <c r="AFV75" s="53"/>
      <c r="AFW75" s="53"/>
      <c r="AFX75" s="53"/>
      <c r="AFY75" s="53"/>
      <c r="AFZ75" s="53"/>
      <c r="AGA75" s="53"/>
      <c r="AGB75" s="53"/>
      <c r="AGC75" s="53"/>
      <c r="AGD75" s="53"/>
      <c r="AGE75" s="53"/>
      <c r="AGF75" s="53"/>
      <c r="AGG75" s="53"/>
      <c r="AGH75" s="53"/>
      <c r="AGI75" s="53"/>
      <c r="AGJ75" s="53"/>
      <c r="AGK75" s="53"/>
      <c r="AGL75" s="53"/>
      <c r="AGM75" s="53"/>
      <c r="AGN75" s="53"/>
      <c r="AGO75" s="53"/>
      <c r="AGP75" s="53"/>
      <c r="AGQ75" s="53"/>
      <c r="AGR75" s="53"/>
      <c r="AGS75" s="53"/>
      <c r="AGT75" s="53"/>
      <c r="AGU75" s="53"/>
      <c r="AGV75" s="53"/>
      <c r="AGW75" s="53"/>
      <c r="AGX75" s="53"/>
      <c r="AGY75" s="53"/>
      <c r="AGZ75" s="53"/>
      <c r="AHA75" s="53"/>
      <c r="AHB75" s="53"/>
      <c r="AHC75" s="53"/>
      <c r="AHD75" s="53"/>
      <c r="AHE75" s="53"/>
      <c r="AHF75" s="53"/>
      <c r="AHG75" s="53"/>
      <c r="AHH75" s="53"/>
      <c r="AHI75" s="53"/>
      <c r="AHJ75" s="53"/>
      <c r="AHK75" s="53"/>
      <c r="AHL75" s="53"/>
      <c r="AHM75" s="53"/>
      <c r="AHN75" s="53"/>
      <c r="AHO75" s="53"/>
      <c r="AHP75" s="53"/>
      <c r="AHQ75" s="53"/>
      <c r="AHR75" s="53"/>
      <c r="AHS75" s="53"/>
      <c r="AHT75" s="53"/>
      <c r="AHU75" s="53"/>
      <c r="AHV75" s="53"/>
      <c r="AHW75" s="53"/>
      <c r="AHX75" s="53"/>
      <c r="AHY75" s="53"/>
      <c r="AHZ75" s="53"/>
      <c r="AIA75" s="53"/>
      <c r="AIB75" s="53"/>
      <c r="AIC75" s="53"/>
      <c r="AID75" s="53"/>
      <c r="AIE75" s="53"/>
      <c r="AIF75" s="53"/>
      <c r="AIG75" s="53"/>
      <c r="AIH75" s="53"/>
      <c r="AII75" s="53"/>
      <c r="AIJ75" s="53"/>
      <c r="AIK75" s="53"/>
      <c r="AIL75" s="53"/>
      <c r="AIM75" s="53"/>
      <c r="AIN75" s="53"/>
      <c r="AIO75" s="53"/>
      <c r="AIP75" s="53"/>
      <c r="AIQ75" s="53"/>
      <c r="AIR75" s="53"/>
      <c r="AIS75" s="53"/>
      <c r="AIT75" s="53"/>
      <c r="AIU75" s="53"/>
      <c r="AIV75" s="53"/>
      <c r="AIW75" s="53"/>
      <c r="AIX75" s="53"/>
      <c r="AIY75" s="53"/>
      <c r="AIZ75" s="53"/>
      <c r="AJA75" s="53"/>
      <c r="AJB75" s="53"/>
      <c r="AJC75" s="53"/>
      <c r="AJD75" s="53"/>
      <c r="AJE75" s="53"/>
      <c r="AJF75" s="53"/>
      <c r="AJG75" s="53"/>
      <c r="AJH75" s="53"/>
      <c r="AJI75" s="53"/>
      <c r="AJJ75" s="53"/>
      <c r="AJK75" s="53"/>
      <c r="AJL75" s="53"/>
      <c r="AJM75" s="53"/>
      <c r="AJN75" s="53"/>
      <c r="AJO75" s="53"/>
      <c r="AJP75" s="53"/>
      <c r="AJQ75" s="53"/>
      <c r="AJR75" s="53"/>
      <c r="AJS75" s="53"/>
      <c r="AJT75" s="53"/>
      <c r="AJU75" s="53"/>
      <c r="AJV75" s="53"/>
      <c r="AJW75" s="53"/>
      <c r="AJX75" s="53"/>
      <c r="AJY75" s="53"/>
      <c r="AJZ75" s="53"/>
      <c r="AKA75" s="53"/>
      <c r="AKB75" s="53"/>
      <c r="AKC75" s="53"/>
      <c r="AKD75" s="53"/>
      <c r="AKE75" s="53"/>
      <c r="AKF75" s="53"/>
      <c r="AKG75" s="53"/>
      <c r="AKH75" s="53"/>
      <c r="AKI75" s="53"/>
      <c r="AKJ75" s="53"/>
      <c r="AKK75" s="53"/>
      <c r="AKL75" s="53"/>
      <c r="AKM75" s="53"/>
      <c r="AKN75" s="53"/>
      <c r="AKO75" s="53"/>
      <c r="AKP75" s="53"/>
      <c r="AKQ75" s="53"/>
      <c r="AKR75" s="53"/>
      <c r="AKS75" s="53"/>
      <c r="AKT75" s="53"/>
      <c r="AKU75" s="53"/>
      <c r="AKV75" s="53"/>
      <c r="AKW75" s="53"/>
      <c r="AKX75" s="53"/>
      <c r="AKY75" s="53"/>
      <c r="AKZ75" s="53"/>
      <c r="ALA75" s="53"/>
      <c r="ALB75" s="53"/>
      <c r="ALC75" s="53"/>
      <c r="ALD75" s="53"/>
      <c r="ALE75" s="53"/>
      <c r="ALF75" s="53"/>
      <c r="ALG75" s="53"/>
      <c r="ALH75" s="53"/>
      <c r="ALI75" s="53"/>
      <c r="ALJ75" s="53"/>
      <c r="ALK75" s="53"/>
      <c r="ALL75" s="53"/>
      <c r="ALM75" s="53"/>
      <c r="ALN75" s="53"/>
      <c r="ALO75" s="53"/>
      <c r="ALP75" s="53"/>
      <c r="ALQ75" s="53"/>
      <c r="ALR75" s="53"/>
      <c r="ALS75" s="53"/>
      <c r="ALT75" s="53"/>
      <c r="ALU75" s="53"/>
      <c r="ALV75" s="53"/>
      <c r="ALW75" s="53"/>
      <c r="ALX75" s="53"/>
      <c r="ALY75" s="53"/>
      <c r="ALZ75" s="53"/>
      <c r="AMA75" s="53"/>
      <c r="AMB75" s="53"/>
      <c r="AMC75" s="53"/>
      <c r="AMD75" s="53"/>
      <c r="AME75" s="53"/>
      <c r="AMF75" s="53"/>
      <c r="AMG75" s="53"/>
      <c r="AMH75" s="53"/>
      <c r="AMI75" s="53"/>
      <c r="AMJ75" s="53"/>
      <c r="AMK75" s="53"/>
      <c r="AML75" s="53"/>
      <c r="AMM75" s="53"/>
      <c r="AMN75" s="53"/>
      <c r="AMO75" s="53"/>
      <c r="AMP75" s="53"/>
      <c r="AMQ75" s="53"/>
      <c r="AMR75" s="53"/>
      <c r="AMS75" s="53"/>
      <c r="AMT75" s="53"/>
      <c r="AMU75" s="53"/>
      <c r="AMV75" s="53"/>
      <c r="AMW75" s="53"/>
      <c r="AMX75" s="53"/>
      <c r="AMY75" s="53"/>
      <c r="AMZ75" s="53"/>
      <c r="ANA75" s="53"/>
      <c r="ANB75" s="53"/>
      <c r="ANC75" s="53"/>
      <c r="AND75" s="53"/>
      <c r="ANE75" s="53"/>
      <c r="ANF75" s="53"/>
      <c r="ANG75" s="53"/>
      <c r="ANH75" s="53"/>
      <c r="ANI75" s="53"/>
      <c r="ANJ75" s="53"/>
      <c r="ANK75" s="53"/>
      <c r="ANL75" s="53"/>
      <c r="ANM75" s="53"/>
      <c r="ANN75" s="53"/>
      <c r="ANO75" s="53"/>
      <c r="ANP75" s="53"/>
      <c r="ANQ75" s="53"/>
      <c r="ANR75" s="53"/>
      <c r="ANS75" s="53"/>
      <c r="ANT75" s="53"/>
      <c r="ANU75" s="53"/>
      <c r="ANV75" s="53"/>
      <c r="ANW75" s="53"/>
      <c r="ANX75" s="53"/>
      <c r="ANY75" s="53"/>
      <c r="ANZ75" s="53"/>
      <c r="AOA75" s="53"/>
      <c r="AOB75" s="53"/>
      <c r="AOC75" s="53"/>
      <c r="AOD75" s="53"/>
      <c r="AOE75" s="53"/>
      <c r="AOF75" s="53"/>
      <c r="AOG75" s="53"/>
      <c r="AOH75" s="53"/>
      <c r="AOI75" s="53"/>
      <c r="AOJ75" s="53"/>
      <c r="AOK75" s="53"/>
      <c r="AOL75" s="53"/>
      <c r="AOM75" s="53"/>
      <c r="AON75" s="53"/>
      <c r="AOO75" s="53"/>
      <c r="AOP75" s="53"/>
      <c r="AOQ75" s="53"/>
      <c r="AOR75" s="53"/>
      <c r="AOS75" s="53"/>
      <c r="AOT75" s="53"/>
      <c r="AOU75" s="53"/>
      <c r="AOV75" s="53"/>
      <c r="AOW75" s="53"/>
      <c r="AOX75" s="53"/>
      <c r="AOY75" s="53"/>
      <c r="AOZ75" s="53"/>
      <c r="APA75" s="53"/>
      <c r="APB75" s="53"/>
      <c r="APC75" s="53"/>
      <c r="APD75" s="53"/>
      <c r="APE75" s="53"/>
      <c r="APF75" s="53"/>
      <c r="APG75" s="53"/>
      <c r="APH75" s="53"/>
      <c r="API75" s="53"/>
      <c r="APJ75" s="53"/>
      <c r="APK75" s="53"/>
      <c r="APL75" s="53"/>
      <c r="APM75" s="53"/>
      <c r="APN75" s="53"/>
      <c r="APO75" s="53"/>
      <c r="APP75" s="53"/>
      <c r="APQ75" s="53"/>
      <c r="APR75" s="53"/>
      <c r="APS75" s="53"/>
      <c r="APT75" s="53"/>
      <c r="APU75" s="53"/>
      <c r="APV75" s="53"/>
      <c r="APW75" s="53"/>
      <c r="APX75" s="53"/>
      <c r="APY75" s="53"/>
      <c r="APZ75" s="53"/>
      <c r="AQA75" s="53"/>
      <c r="AQB75" s="53"/>
      <c r="AQC75" s="53"/>
      <c r="AQD75" s="53"/>
      <c r="AQE75" s="53"/>
      <c r="AQF75" s="53"/>
      <c r="AQG75" s="53"/>
      <c r="AQH75" s="53"/>
      <c r="AQI75" s="53"/>
      <c r="AQJ75" s="53"/>
      <c r="AQK75" s="53"/>
      <c r="AQL75" s="53"/>
      <c r="AQM75" s="53"/>
      <c r="AQN75" s="53"/>
      <c r="AQO75" s="53"/>
      <c r="AQP75" s="53"/>
      <c r="AQQ75" s="53"/>
      <c r="AQR75" s="53"/>
      <c r="AQS75" s="53"/>
      <c r="AQT75" s="53"/>
      <c r="AQU75" s="53"/>
      <c r="AQV75" s="53"/>
      <c r="AQW75" s="53"/>
      <c r="AQX75" s="53"/>
      <c r="AQY75" s="53"/>
      <c r="AQZ75" s="53"/>
      <c r="ARA75" s="53"/>
      <c r="ARB75" s="53"/>
      <c r="ARC75" s="53"/>
      <c r="ARD75" s="53"/>
      <c r="ARE75" s="53"/>
      <c r="ARF75" s="53"/>
      <c r="ARG75" s="53"/>
      <c r="ARH75" s="53"/>
      <c r="ARI75" s="53"/>
      <c r="ARJ75" s="53"/>
      <c r="ARK75" s="53"/>
      <c r="ARL75" s="53"/>
      <c r="ARM75" s="53"/>
      <c r="ARN75" s="53"/>
      <c r="ARO75" s="53"/>
      <c r="ARP75" s="53"/>
      <c r="ARQ75" s="53"/>
      <c r="ARR75" s="53"/>
      <c r="ARS75" s="53"/>
      <c r="ART75" s="53"/>
      <c r="ARU75" s="53"/>
      <c r="ARV75" s="53"/>
      <c r="ARW75" s="53"/>
      <c r="ARX75" s="53"/>
      <c r="ARY75" s="53"/>
      <c r="ARZ75" s="53"/>
      <c r="ASA75" s="53"/>
      <c r="ASB75" s="53"/>
      <c r="ASC75" s="53"/>
      <c r="ASD75" s="53"/>
      <c r="ASE75" s="53"/>
      <c r="ASF75" s="53"/>
      <c r="ASG75" s="53"/>
      <c r="ASH75" s="53"/>
      <c r="ASI75" s="53"/>
      <c r="ASJ75" s="53"/>
      <c r="ASK75" s="53"/>
      <c r="ASL75" s="53"/>
      <c r="ASM75" s="53"/>
      <c r="ASN75" s="53"/>
      <c r="ASO75" s="53"/>
      <c r="ASP75" s="53"/>
      <c r="ASQ75" s="53"/>
      <c r="ASR75" s="53"/>
      <c r="ASS75" s="53"/>
      <c r="AST75" s="53"/>
      <c r="ASU75" s="53"/>
      <c r="ASV75" s="53"/>
      <c r="ASW75" s="53"/>
      <c r="ASX75" s="53"/>
      <c r="ASY75" s="53"/>
      <c r="ASZ75" s="53"/>
      <c r="ATA75" s="53"/>
      <c r="ATB75" s="53"/>
      <c r="ATC75" s="53"/>
      <c r="ATD75" s="53"/>
      <c r="ATE75" s="53"/>
      <c r="ATF75" s="53"/>
      <c r="ATG75" s="53"/>
      <c r="ATH75" s="53"/>
      <c r="ATI75" s="53"/>
      <c r="ATJ75" s="53"/>
      <c r="ATK75" s="53"/>
      <c r="ATL75" s="53"/>
      <c r="ATM75" s="53"/>
      <c r="ATN75" s="53"/>
      <c r="ATO75" s="53"/>
      <c r="ATP75" s="53"/>
      <c r="ATQ75" s="53"/>
      <c r="ATR75" s="53"/>
      <c r="ATS75" s="53"/>
      <c r="ATT75" s="53"/>
      <c r="ATU75" s="53"/>
      <c r="ATV75" s="53"/>
      <c r="ATW75" s="53"/>
      <c r="ATX75" s="53"/>
      <c r="ATY75" s="53"/>
      <c r="ATZ75" s="53"/>
      <c r="AUA75" s="53"/>
      <c r="AUB75" s="53"/>
      <c r="AUC75" s="53"/>
      <c r="AUD75" s="53"/>
      <c r="AUE75" s="53"/>
      <c r="AUF75" s="53"/>
      <c r="AUG75" s="53"/>
      <c r="AUH75" s="53"/>
      <c r="AUI75" s="53"/>
      <c r="AUJ75" s="53"/>
      <c r="AUK75" s="53"/>
      <c r="AUL75" s="53"/>
      <c r="AUM75" s="53"/>
      <c r="AUN75" s="53"/>
      <c r="AUO75" s="53"/>
      <c r="AUP75" s="53"/>
      <c r="AUQ75" s="53"/>
      <c r="AUR75" s="53"/>
      <c r="AUS75" s="53"/>
      <c r="AUT75" s="53"/>
      <c r="AUU75" s="53"/>
      <c r="AUV75" s="53"/>
      <c r="AUW75" s="53"/>
      <c r="AUX75" s="53"/>
      <c r="AUY75" s="53"/>
      <c r="AUZ75" s="53"/>
      <c r="AVA75" s="53"/>
      <c r="AVB75" s="53"/>
      <c r="AVC75" s="53"/>
      <c r="AVD75" s="53"/>
      <c r="AVE75" s="53"/>
      <c r="AVF75" s="53"/>
      <c r="AVG75" s="53"/>
      <c r="AVH75" s="53"/>
      <c r="AVI75" s="53"/>
      <c r="AVJ75" s="53"/>
      <c r="AVK75" s="53"/>
      <c r="AVL75" s="53"/>
      <c r="AVM75" s="53"/>
      <c r="AVN75" s="53"/>
      <c r="AVO75" s="53"/>
      <c r="AVP75" s="53"/>
      <c r="AVQ75" s="53"/>
      <c r="AVR75" s="53"/>
      <c r="AVS75" s="53"/>
      <c r="AVT75" s="53"/>
      <c r="AVU75" s="53"/>
      <c r="AVV75" s="53"/>
      <c r="AVW75" s="53"/>
      <c r="AVX75" s="53"/>
      <c r="AVY75" s="53"/>
      <c r="AVZ75" s="53"/>
      <c r="AWA75" s="53"/>
      <c r="AWB75" s="53"/>
      <c r="AWC75" s="53"/>
      <c r="AWD75" s="53"/>
      <c r="AWE75" s="53"/>
      <c r="AWF75" s="53"/>
      <c r="AWG75" s="53"/>
      <c r="AWH75" s="53"/>
      <c r="AWI75" s="53"/>
      <c r="AWJ75" s="53"/>
      <c r="AWK75" s="53"/>
      <c r="AWL75" s="53"/>
      <c r="AWM75" s="53"/>
      <c r="AWN75" s="53"/>
      <c r="AWO75" s="53"/>
      <c r="AWP75" s="53"/>
      <c r="AWQ75" s="53"/>
      <c r="AWR75" s="53"/>
      <c r="AWS75" s="53"/>
      <c r="AWT75" s="53"/>
      <c r="AWU75" s="53"/>
      <c r="AWV75" s="53"/>
      <c r="AWW75" s="53"/>
      <c r="AWX75" s="53"/>
      <c r="AWY75" s="53"/>
      <c r="AWZ75" s="53"/>
      <c r="AXA75" s="53"/>
      <c r="AXB75" s="53"/>
      <c r="AXC75" s="53"/>
      <c r="AXD75" s="53"/>
      <c r="AXE75" s="53"/>
      <c r="AXF75" s="53"/>
      <c r="AXG75" s="53"/>
      <c r="AXH75" s="53"/>
      <c r="AXI75" s="53"/>
      <c r="AXJ75" s="53"/>
      <c r="AXK75" s="53"/>
      <c r="AXL75" s="53"/>
      <c r="AXM75" s="53"/>
      <c r="AXN75" s="53"/>
      <c r="AXO75" s="53"/>
      <c r="AXP75" s="53"/>
      <c r="AXQ75" s="53"/>
      <c r="AXR75" s="53"/>
      <c r="AXS75" s="53"/>
      <c r="AXT75" s="53"/>
      <c r="AXU75" s="53"/>
      <c r="AXV75" s="53"/>
      <c r="AXW75" s="53"/>
      <c r="AXX75" s="53"/>
      <c r="AXY75" s="53"/>
      <c r="AXZ75" s="53"/>
      <c r="AYA75" s="53"/>
      <c r="AYB75" s="53"/>
      <c r="AYC75" s="53"/>
      <c r="AYD75" s="53"/>
      <c r="AYE75" s="53"/>
      <c r="AYF75" s="53"/>
      <c r="AYG75" s="53"/>
      <c r="AYH75" s="53"/>
      <c r="AYI75" s="53"/>
      <c r="AYJ75" s="53"/>
      <c r="AYK75" s="53"/>
      <c r="AYL75" s="53"/>
      <c r="AYM75" s="53"/>
      <c r="AYN75" s="53"/>
      <c r="AYO75" s="53"/>
      <c r="AYP75" s="53"/>
      <c r="AYQ75" s="53"/>
      <c r="AYR75" s="53"/>
      <c r="AYS75" s="53"/>
      <c r="AYT75" s="53"/>
      <c r="AYU75" s="53"/>
      <c r="AYV75" s="53"/>
      <c r="AYW75" s="53"/>
      <c r="AYX75" s="53"/>
      <c r="AYY75" s="53"/>
      <c r="AYZ75" s="53"/>
      <c r="AZA75" s="53"/>
      <c r="AZB75" s="53"/>
      <c r="AZC75" s="53"/>
      <c r="AZD75" s="53"/>
      <c r="AZE75" s="53"/>
      <c r="AZF75" s="53"/>
      <c r="AZG75" s="53"/>
      <c r="AZH75" s="53"/>
      <c r="AZI75" s="53"/>
      <c r="AZJ75" s="53"/>
      <c r="AZK75" s="53"/>
      <c r="AZL75" s="53"/>
      <c r="AZM75" s="53"/>
      <c r="AZN75" s="53"/>
      <c r="AZO75" s="53"/>
      <c r="AZP75" s="53"/>
      <c r="AZQ75" s="53"/>
      <c r="AZR75" s="53"/>
      <c r="AZS75" s="53"/>
      <c r="AZT75" s="53"/>
      <c r="AZU75" s="53"/>
      <c r="AZV75" s="53"/>
      <c r="AZW75" s="53"/>
      <c r="AZX75" s="53"/>
      <c r="AZY75" s="53"/>
      <c r="AZZ75" s="53"/>
      <c r="BAA75" s="53"/>
      <c r="BAB75" s="53"/>
      <c r="BAC75" s="53"/>
      <c r="BAD75" s="53"/>
      <c r="BAE75" s="53"/>
      <c r="BAF75" s="53"/>
      <c r="BAG75" s="53"/>
      <c r="BAH75" s="53"/>
      <c r="BAI75" s="53"/>
      <c r="BAJ75" s="53"/>
      <c r="BAK75" s="53"/>
      <c r="BAL75" s="53"/>
      <c r="BAM75" s="53"/>
      <c r="BAN75" s="53"/>
      <c r="BAO75" s="53"/>
      <c r="BAP75" s="53"/>
      <c r="BAQ75" s="53"/>
      <c r="BAR75" s="53"/>
      <c r="BAS75" s="53"/>
      <c r="BAT75" s="53"/>
      <c r="BAU75" s="53"/>
      <c r="BAV75" s="53"/>
      <c r="BAW75" s="53"/>
      <c r="BAX75" s="53"/>
      <c r="BAY75" s="53"/>
      <c r="BAZ75" s="53"/>
      <c r="BBA75" s="53"/>
      <c r="BBB75" s="53"/>
      <c r="BBC75" s="53"/>
      <c r="BBD75" s="53"/>
      <c r="BBE75" s="53"/>
      <c r="BBF75" s="53"/>
      <c r="BBG75" s="53"/>
      <c r="BBH75" s="53"/>
      <c r="BBI75" s="53"/>
      <c r="BBJ75" s="53"/>
      <c r="BBK75" s="53"/>
      <c r="BBL75" s="53"/>
      <c r="BBM75" s="53"/>
      <c r="BBN75" s="53"/>
      <c r="BBO75" s="53"/>
      <c r="BBP75" s="53"/>
      <c r="BBQ75" s="53"/>
      <c r="BBR75" s="53"/>
      <c r="BBS75" s="53"/>
      <c r="BBT75" s="53"/>
      <c r="BBU75" s="53"/>
      <c r="BBV75" s="53"/>
      <c r="BBW75" s="53"/>
      <c r="BBX75" s="53"/>
      <c r="BBY75" s="53"/>
      <c r="BBZ75" s="53"/>
      <c r="BCA75" s="53"/>
      <c r="BCB75" s="53"/>
      <c r="BCC75" s="53"/>
      <c r="BCD75" s="53"/>
      <c r="BCE75" s="53"/>
      <c r="BCF75" s="53"/>
      <c r="BCG75" s="53"/>
      <c r="BCH75" s="53"/>
      <c r="BCI75" s="53"/>
      <c r="BCJ75" s="53"/>
      <c r="BCK75" s="53"/>
      <c r="BCL75" s="53"/>
      <c r="BCM75" s="53"/>
      <c r="BCN75" s="53"/>
      <c r="BCO75" s="53"/>
      <c r="BCP75" s="53"/>
      <c r="BCQ75" s="53"/>
      <c r="BCR75" s="53"/>
      <c r="BCS75" s="53"/>
      <c r="BCT75" s="53"/>
      <c r="BCU75" s="53"/>
      <c r="BCV75" s="53"/>
      <c r="BCW75" s="53"/>
      <c r="BCX75" s="53"/>
      <c r="BCY75" s="53"/>
      <c r="BCZ75" s="53"/>
      <c r="BDA75" s="53"/>
      <c r="BDB75" s="53"/>
      <c r="BDC75" s="53"/>
      <c r="BDD75" s="53"/>
      <c r="BDE75" s="53"/>
      <c r="BDF75" s="53"/>
      <c r="BDG75" s="53"/>
      <c r="BDH75" s="53"/>
      <c r="BDI75" s="53"/>
      <c r="BDJ75" s="53"/>
      <c r="BDK75" s="53"/>
      <c r="BDL75" s="53"/>
      <c r="BDM75" s="53"/>
      <c r="BDN75" s="53"/>
      <c r="BDO75" s="53"/>
      <c r="BDP75" s="53"/>
      <c r="BDQ75" s="53"/>
      <c r="BDR75" s="53"/>
      <c r="BDS75" s="53"/>
      <c r="BDT75" s="53"/>
      <c r="BDU75" s="53"/>
      <c r="BDV75" s="53"/>
      <c r="BDW75" s="53"/>
      <c r="BDX75" s="53"/>
      <c r="BDY75" s="53"/>
      <c r="BDZ75" s="53"/>
      <c r="BEA75" s="53"/>
      <c r="BEB75" s="53"/>
      <c r="BEC75" s="53"/>
      <c r="BED75" s="53"/>
      <c r="BEE75" s="53"/>
      <c r="BEF75" s="53"/>
      <c r="BEG75" s="53"/>
      <c r="BEH75" s="53"/>
      <c r="BEI75" s="53"/>
      <c r="BEJ75" s="53"/>
      <c r="BEK75" s="53"/>
      <c r="BEL75" s="53"/>
      <c r="BEM75" s="53"/>
      <c r="BEN75" s="53"/>
      <c r="BEO75" s="53"/>
      <c r="BEP75" s="53"/>
      <c r="BEQ75" s="53"/>
      <c r="BER75" s="53"/>
      <c r="BES75" s="53"/>
      <c r="BET75" s="53"/>
      <c r="BEU75" s="53"/>
      <c r="BEV75" s="53"/>
      <c r="BEW75" s="53"/>
      <c r="BEX75" s="53"/>
      <c r="BEY75" s="53"/>
      <c r="BEZ75" s="53"/>
      <c r="BFA75" s="53"/>
      <c r="BFB75" s="53"/>
      <c r="BFC75" s="53"/>
      <c r="BFD75" s="53"/>
      <c r="BFE75" s="53"/>
      <c r="BFF75" s="53"/>
      <c r="BFG75" s="53"/>
      <c r="BFH75" s="53"/>
      <c r="BFI75" s="53"/>
      <c r="BFJ75" s="53"/>
      <c r="BFK75" s="53"/>
      <c r="BFL75" s="53"/>
      <c r="BFM75" s="53"/>
      <c r="BFN75" s="53"/>
      <c r="BFO75" s="53"/>
      <c r="BFP75" s="53"/>
      <c r="BFQ75" s="53"/>
      <c r="BFR75" s="53"/>
      <c r="BFS75" s="53"/>
      <c r="BFT75" s="53"/>
      <c r="BFU75" s="53"/>
      <c r="BFV75" s="53"/>
      <c r="BFW75" s="53"/>
      <c r="BFX75" s="53"/>
      <c r="BFY75" s="53"/>
      <c r="BFZ75" s="53"/>
      <c r="BGA75" s="53"/>
      <c r="BGB75" s="53"/>
      <c r="BGC75" s="53"/>
      <c r="BGD75" s="53"/>
      <c r="BGE75" s="53"/>
      <c r="BGF75" s="53"/>
      <c r="BGG75" s="53"/>
      <c r="BGH75" s="53"/>
      <c r="BGI75" s="53"/>
      <c r="BGJ75" s="53"/>
      <c r="BGK75" s="53"/>
      <c r="BGL75" s="53"/>
      <c r="BGM75" s="53"/>
      <c r="BGN75" s="53"/>
      <c r="BGO75" s="53"/>
      <c r="BGP75" s="53"/>
      <c r="BGQ75" s="53"/>
      <c r="BGR75" s="53"/>
      <c r="BGS75" s="53"/>
      <c r="BGT75" s="53"/>
      <c r="BGU75" s="53"/>
      <c r="BGV75" s="53"/>
      <c r="BGW75" s="53"/>
      <c r="BGX75" s="53"/>
      <c r="BGY75" s="53"/>
      <c r="BGZ75" s="53"/>
      <c r="BHA75" s="53"/>
      <c r="BHB75" s="53"/>
      <c r="BHC75" s="53"/>
      <c r="BHD75" s="53"/>
      <c r="BHE75" s="53"/>
      <c r="BHF75" s="53"/>
      <c r="BHG75" s="53"/>
      <c r="BHH75" s="53"/>
      <c r="BHI75" s="53"/>
      <c r="BHJ75" s="53"/>
      <c r="BHK75" s="53"/>
      <c r="BHL75" s="53"/>
      <c r="BHM75" s="53"/>
      <c r="BHN75" s="53"/>
      <c r="BHO75" s="53"/>
      <c r="BHP75" s="53"/>
      <c r="BHQ75" s="53"/>
      <c r="BHR75" s="53"/>
      <c r="BHS75" s="53"/>
      <c r="BHT75" s="53"/>
      <c r="BHU75" s="53"/>
      <c r="BHV75" s="53"/>
      <c r="BHW75" s="53"/>
      <c r="BHX75" s="53"/>
      <c r="BHY75" s="53"/>
      <c r="BHZ75" s="53"/>
      <c r="BIA75" s="53"/>
      <c r="BIB75" s="53"/>
      <c r="BIC75" s="53"/>
      <c r="BID75" s="53"/>
      <c r="BIE75" s="53"/>
      <c r="BIF75" s="53"/>
      <c r="BIG75" s="53"/>
      <c r="BIH75" s="53"/>
      <c r="BII75" s="53"/>
      <c r="BIJ75" s="53"/>
      <c r="BIK75" s="53"/>
      <c r="BIL75" s="53"/>
      <c r="BIM75" s="53"/>
      <c r="BIN75" s="53"/>
      <c r="BIO75" s="53"/>
      <c r="BIP75" s="53"/>
      <c r="BIQ75" s="53"/>
      <c r="BIR75" s="53"/>
      <c r="BIS75" s="53"/>
      <c r="BIT75" s="53"/>
      <c r="BIU75" s="53"/>
      <c r="BIV75" s="53"/>
      <c r="BIW75" s="53"/>
      <c r="BIX75" s="53"/>
      <c r="BIY75" s="53"/>
      <c r="BIZ75" s="53"/>
      <c r="BJA75" s="53"/>
      <c r="BJB75" s="53"/>
      <c r="BJC75" s="53"/>
      <c r="BJD75" s="53"/>
      <c r="BJE75" s="53"/>
      <c r="BJF75" s="53"/>
      <c r="BJG75" s="53"/>
      <c r="BJH75" s="53"/>
      <c r="BJI75" s="53"/>
      <c r="BJJ75" s="53"/>
      <c r="BJK75" s="53"/>
      <c r="BJL75" s="53"/>
      <c r="BJM75" s="53"/>
      <c r="BJN75" s="53"/>
      <c r="BJO75" s="53"/>
      <c r="BJP75" s="53"/>
      <c r="BJQ75" s="53"/>
      <c r="BJR75" s="53"/>
      <c r="BJS75" s="53"/>
      <c r="BJT75" s="53"/>
      <c r="BJU75" s="53"/>
      <c r="BJV75" s="53"/>
      <c r="BJW75" s="53"/>
      <c r="BJX75" s="53"/>
      <c r="BJY75" s="53"/>
      <c r="BJZ75" s="53"/>
      <c r="BKA75" s="53"/>
      <c r="BKB75" s="53"/>
      <c r="BKC75" s="53"/>
      <c r="BKD75" s="53"/>
      <c r="BKE75" s="53"/>
      <c r="BKF75" s="53"/>
      <c r="BKG75" s="53"/>
      <c r="BKH75" s="53"/>
      <c r="BKI75" s="53"/>
      <c r="BKJ75" s="53"/>
      <c r="BKK75" s="53"/>
      <c r="BKL75" s="53"/>
      <c r="BKM75" s="53"/>
      <c r="BKN75" s="53"/>
      <c r="BKO75" s="53"/>
      <c r="BKP75" s="53"/>
      <c r="BKQ75" s="53"/>
      <c r="BKR75" s="53"/>
      <c r="BKS75" s="53"/>
      <c r="BKT75" s="53"/>
      <c r="BKU75" s="53"/>
      <c r="BKV75" s="53"/>
      <c r="BKW75" s="53"/>
      <c r="BKX75" s="53"/>
      <c r="BKY75" s="53"/>
      <c r="BKZ75" s="53"/>
      <c r="BLA75" s="53"/>
      <c r="BLB75" s="53"/>
      <c r="BLC75" s="53"/>
      <c r="BLD75" s="53"/>
      <c r="BLE75" s="53"/>
      <c r="BLF75" s="53"/>
      <c r="BLG75" s="53"/>
      <c r="BLH75" s="53"/>
      <c r="BLI75" s="53"/>
      <c r="BLJ75" s="53"/>
      <c r="BLK75" s="53"/>
      <c r="BLL75" s="53"/>
      <c r="BLM75" s="53"/>
      <c r="BLN75" s="53"/>
      <c r="BLO75" s="53"/>
      <c r="BLP75" s="53"/>
      <c r="BLQ75" s="53"/>
      <c r="BLR75" s="53"/>
      <c r="BLS75" s="53"/>
      <c r="BLT75" s="53"/>
      <c r="BLU75" s="53"/>
      <c r="BLV75" s="53"/>
      <c r="BLW75" s="53"/>
      <c r="BLX75" s="53"/>
      <c r="BLY75" s="53"/>
      <c r="BLZ75" s="53"/>
      <c r="BMA75" s="53"/>
      <c r="BMB75" s="53"/>
      <c r="BMC75" s="53"/>
      <c r="BMD75" s="53"/>
      <c r="BME75" s="53"/>
      <c r="BMF75" s="53"/>
      <c r="BMG75" s="53"/>
      <c r="BMH75" s="53"/>
      <c r="BMI75" s="53"/>
      <c r="BMJ75" s="53"/>
      <c r="BMK75" s="53"/>
      <c r="BML75" s="53"/>
      <c r="BMM75" s="53"/>
      <c r="BMN75" s="53"/>
      <c r="BMO75" s="53"/>
      <c r="BMP75" s="53"/>
      <c r="BMQ75" s="53"/>
      <c r="BMR75" s="53"/>
      <c r="BMS75" s="53"/>
      <c r="BMT75" s="53"/>
      <c r="BMU75" s="53"/>
      <c r="BMV75" s="53"/>
      <c r="BMW75" s="53"/>
      <c r="BMX75" s="53"/>
      <c r="BMY75" s="53"/>
      <c r="BMZ75" s="53"/>
      <c r="BNA75" s="53"/>
      <c r="BNB75" s="53"/>
      <c r="BNC75" s="53"/>
      <c r="BND75" s="53"/>
      <c r="BNE75" s="53"/>
      <c r="BNF75" s="53"/>
      <c r="BNG75" s="53"/>
      <c r="BNH75" s="53"/>
      <c r="BNI75" s="53"/>
      <c r="BNJ75" s="53"/>
      <c r="BNK75" s="53"/>
      <c r="BNL75" s="53"/>
      <c r="BNM75" s="53"/>
      <c r="BNN75" s="53"/>
      <c r="BNO75" s="53"/>
      <c r="BNP75" s="53"/>
      <c r="BNQ75" s="53"/>
      <c r="BNR75" s="53"/>
      <c r="BNS75" s="53"/>
      <c r="BNT75" s="53"/>
      <c r="BNU75" s="53"/>
      <c r="BNV75" s="53"/>
      <c r="BNW75" s="53"/>
      <c r="BNX75" s="53"/>
      <c r="BNY75" s="53"/>
      <c r="BNZ75" s="53"/>
      <c r="BOA75" s="53"/>
      <c r="BOB75" s="53"/>
      <c r="BOC75" s="53"/>
      <c r="BOD75" s="53"/>
      <c r="BOE75" s="53"/>
      <c r="BOF75" s="53"/>
      <c r="BOG75" s="53"/>
      <c r="BOH75" s="53"/>
      <c r="BOI75" s="53"/>
      <c r="BOJ75" s="53"/>
      <c r="BOK75" s="53"/>
      <c r="BOL75" s="53"/>
      <c r="BOM75" s="53"/>
      <c r="BON75" s="53"/>
      <c r="BOO75" s="53"/>
      <c r="BOP75" s="53"/>
      <c r="BOQ75" s="53"/>
      <c r="BOR75" s="53"/>
      <c r="BOS75" s="53"/>
      <c r="BOT75" s="53"/>
      <c r="BOU75" s="53"/>
      <c r="BOV75" s="53"/>
      <c r="BOW75" s="53"/>
      <c r="BOX75" s="53"/>
      <c r="BOY75" s="53"/>
      <c r="BOZ75" s="53"/>
      <c r="BPA75" s="53"/>
      <c r="BPB75" s="53"/>
      <c r="BPC75" s="53"/>
      <c r="BPD75" s="53"/>
      <c r="BPE75" s="53"/>
      <c r="BPF75" s="53"/>
      <c r="BPG75" s="53"/>
      <c r="BPH75" s="53"/>
      <c r="BPI75" s="53"/>
      <c r="BPJ75" s="53"/>
      <c r="BPK75" s="53"/>
      <c r="BPL75" s="53"/>
      <c r="BPM75" s="53"/>
      <c r="BPN75" s="53"/>
      <c r="BPO75" s="53"/>
      <c r="BPP75" s="53"/>
      <c r="BPQ75" s="53"/>
      <c r="BPR75" s="53"/>
      <c r="BPS75" s="53"/>
      <c r="BPT75" s="53"/>
      <c r="BPU75" s="53"/>
      <c r="BPV75" s="53"/>
      <c r="BPW75" s="53"/>
      <c r="BPX75" s="53"/>
      <c r="BPY75" s="53"/>
      <c r="BPZ75" s="53"/>
      <c r="BQA75" s="53"/>
      <c r="BQB75" s="53"/>
      <c r="BQC75" s="53"/>
      <c r="BQD75" s="53"/>
      <c r="BQE75" s="53"/>
      <c r="BQF75" s="53"/>
      <c r="BQG75" s="53"/>
      <c r="BQH75" s="53"/>
      <c r="BQI75" s="53"/>
      <c r="BQJ75" s="53"/>
      <c r="BQK75" s="53"/>
      <c r="BQL75" s="53"/>
      <c r="BQM75" s="53"/>
      <c r="BQN75" s="53"/>
      <c r="BQO75" s="53"/>
      <c r="BQP75" s="53"/>
      <c r="BQQ75" s="53"/>
      <c r="BQR75" s="53"/>
      <c r="BQS75" s="53"/>
      <c r="BQT75" s="53"/>
      <c r="BQU75" s="53"/>
      <c r="BQV75" s="53"/>
      <c r="BQW75" s="53"/>
      <c r="BQX75" s="53"/>
      <c r="BQY75" s="53"/>
      <c r="BQZ75" s="53"/>
      <c r="BRA75" s="53"/>
      <c r="BRB75" s="53"/>
      <c r="BRC75" s="53"/>
      <c r="BRD75" s="53"/>
      <c r="BRE75" s="53"/>
      <c r="BRF75" s="53"/>
      <c r="BRG75" s="53"/>
      <c r="BRH75" s="53"/>
      <c r="BRI75" s="53"/>
      <c r="BRJ75" s="53"/>
      <c r="BRK75" s="53"/>
      <c r="BRL75" s="53"/>
      <c r="BRM75" s="53"/>
      <c r="BRN75" s="53"/>
      <c r="BRO75" s="53"/>
      <c r="BRP75" s="53"/>
      <c r="BRQ75" s="53"/>
      <c r="BRR75" s="53"/>
      <c r="BRS75" s="53"/>
      <c r="BRT75" s="53"/>
      <c r="BRU75" s="53"/>
      <c r="BRV75" s="53"/>
      <c r="BRW75" s="53"/>
      <c r="BRX75" s="53"/>
      <c r="BRY75" s="53"/>
      <c r="BRZ75" s="53"/>
      <c r="BSA75" s="53"/>
      <c r="BSB75" s="53"/>
      <c r="BSC75" s="53"/>
      <c r="BSD75" s="53"/>
      <c r="BSE75" s="53"/>
      <c r="BSF75" s="53"/>
      <c r="BSG75" s="53"/>
      <c r="BSH75" s="53"/>
      <c r="BSI75" s="53"/>
      <c r="BSJ75" s="53"/>
      <c r="BSK75" s="53"/>
      <c r="BSL75" s="53"/>
      <c r="BSM75" s="53"/>
      <c r="BSN75" s="53"/>
      <c r="BSO75" s="53"/>
      <c r="BSP75" s="53"/>
      <c r="BSQ75" s="53"/>
      <c r="BSR75" s="53"/>
      <c r="BSS75" s="53"/>
      <c r="BST75" s="53"/>
      <c r="BSU75" s="53"/>
      <c r="BSV75" s="53"/>
      <c r="BSW75" s="53"/>
      <c r="BSX75" s="53"/>
      <c r="BSY75" s="53"/>
      <c r="BSZ75" s="53"/>
      <c r="BTA75" s="53"/>
      <c r="BTB75" s="53"/>
      <c r="BTC75" s="53"/>
      <c r="BTD75" s="53"/>
      <c r="BTE75" s="53"/>
      <c r="BTF75" s="53"/>
      <c r="BTG75" s="53"/>
      <c r="BTH75" s="53"/>
      <c r="BTI75" s="53"/>
      <c r="BTJ75" s="53"/>
      <c r="BTK75" s="53"/>
      <c r="BTL75" s="53"/>
      <c r="BTM75" s="53"/>
      <c r="BTN75" s="53"/>
      <c r="BTO75" s="53"/>
      <c r="BTP75" s="53"/>
      <c r="BTQ75" s="53"/>
      <c r="BTR75" s="53"/>
      <c r="BTS75" s="53"/>
      <c r="BTT75" s="53"/>
      <c r="BTU75" s="53"/>
      <c r="BTV75" s="53"/>
      <c r="BTW75" s="53"/>
      <c r="BTX75" s="53"/>
      <c r="BTY75" s="53"/>
      <c r="BTZ75" s="53"/>
      <c r="BUA75" s="53"/>
      <c r="BUB75" s="53"/>
      <c r="BUC75" s="53"/>
      <c r="BUD75" s="53"/>
      <c r="BUE75" s="53"/>
      <c r="BUF75" s="53"/>
      <c r="BUG75" s="53"/>
      <c r="BUH75" s="53"/>
      <c r="BUI75" s="53"/>
      <c r="BUJ75" s="53"/>
      <c r="BUK75" s="53"/>
      <c r="BUL75" s="53"/>
      <c r="BUM75" s="53"/>
      <c r="BUN75" s="53"/>
      <c r="BUO75" s="53"/>
      <c r="BUP75" s="53"/>
      <c r="BUQ75" s="53"/>
      <c r="BUR75" s="53"/>
      <c r="BUS75" s="53"/>
      <c r="BUT75" s="53"/>
      <c r="BUU75" s="53"/>
      <c r="BUV75" s="53"/>
      <c r="BUW75" s="53"/>
      <c r="BUX75" s="53"/>
      <c r="BUY75" s="53"/>
      <c r="BUZ75" s="53"/>
      <c r="BVA75" s="53"/>
      <c r="BVB75" s="53"/>
      <c r="BVC75" s="53"/>
      <c r="BVD75" s="53"/>
      <c r="BVE75" s="53"/>
      <c r="BVF75" s="53"/>
      <c r="BVG75" s="53"/>
      <c r="BVH75" s="53"/>
      <c r="BVI75" s="53"/>
      <c r="BVJ75" s="53"/>
      <c r="BVK75" s="53"/>
      <c r="BVL75" s="53"/>
      <c r="BVM75" s="53"/>
      <c r="BVN75" s="53"/>
      <c r="BVO75" s="53"/>
      <c r="BVP75" s="53"/>
      <c r="BVQ75" s="53"/>
      <c r="BVR75" s="53"/>
      <c r="BVS75" s="53"/>
      <c r="BVT75" s="53"/>
      <c r="BVU75" s="53"/>
      <c r="BVV75" s="53"/>
      <c r="BVW75" s="53"/>
      <c r="BVX75" s="53"/>
      <c r="BVY75" s="53"/>
      <c r="BVZ75" s="53"/>
      <c r="BWA75" s="53"/>
      <c r="BWB75" s="53"/>
      <c r="BWC75" s="53"/>
      <c r="BWD75" s="53"/>
      <c r="BWE75" s="53"/>
      <c r="BWF75" s="53"/>
      <c r="BWG75" s="53"/>
      <c r="BWH75" s="53"/>
      <c r="BWI75" s="53"/>
      <c r="BWJ75" s="53"/>
      <c r="BWK75" s="53"/>
      <c r="BWL75" s="53"/>
      <c r="BWM75" s="53"/>
      <c r="BWN75" s="53"/>
      <c r="BWO75" s="53"/>
      <c r="BWP75" s="53"/>
      <c r="BWQ75" s="53"/>
      <c r="BWR75" s="53"/>
      <c r="BWS75" s="53"/>
      <c r="BWT75" s="53"/>
      <c r="BWU75" s="53"/>
      <c r="BWV75" s="53"/>
      <c r="BWW75" s="53"/>
      <c r="BWX75" s="53"/>
      <c r="BWY75" s="53"/>
      <c r="BWZ75" s="53"/>
      <c r="BXA75" s="53"/>
      <c r="BXB75" s="53"/>
      <c r="BXC75" s="53"/>
      <c r="BXD75" s="53"/>
      <c r="BXE75" s="53"/>
      <c r="BXF75" s="53"/>
      <c r="BXG75" s="53"/>
      <c r="BXH75" s="53"/>
      <c r="BXI75" s="53"/>
      <c r="BXJ75" s="53"/>
      <c r="BXK75" s="53"/>
      <c r="BXL75" s="53"/>
      <c r="BXM75" s="53"/>
      <c r="BXN75" s="53"/>
      <c r="BXO75" s="53"/>
      <c r="BXP75" s="53"/>
      <c r="BXQ75" s="53"/>
      <c r="BXR75" s="53"/>
      <c r="BXS75" s="53"/>
      <c r="BXT75" s="53"/>
      <c r="BXU75" s="53"/>
      <c r="BXV75" s="53"/>
      <c r="BXW75" s="53"/>
      <c r="BXX75" s="53"/>
      <c r="BXY75" s="53"/>
      <c r="BXZ75" s="53"/>
      <c r="BYA75" s="53"/>
      <c r="BYB75" s="53"/>
      <c r="BYC75" s="53"/>
      <c r="BYD75" s="53"/>
      <c r="BYE75" s="53"/>
      <c r="BYF75" s="53"/>
      <c r="BYG75" s="53"/>
      <c r="BYH75" s="53"/>
      <c r="BYI75" s="53"/>
      <c r="BYJ75" s="53"/>
      <c r="BYK75" s="53"/>
      <c r="BYL75" s="53"/>
      <c r="BYM75" s="53"/>
      <c r="BYN75" s="53"/>
      <c r="BYO75" s="53"/>
      <c r="BYP75" s="53"/>
      <c r="BYQ75" s="53"/>
      <c r="BYR75" s="53"/>
      <c r="BYS75" s="53"/>
      <c r="BYT75" s="53"/>
      <c r="BYU75" s="53"/>
      <c r="BYV75" s="53"/>
      <c r="BYW75" s="53"/>
      <c r="BYX75" s="53"/>
      <c r="BYY75" s="53"/>
      <c r="BYZ75" s="53"/>
      <c r="BZA75" s="53"/>
      <c r="BZB75" s="53"/>
      <c r="BZC75" s="53"/>
      <c r="BZD75" s="53"/>
      <c r="BZE75" s="53"/>
      <c r="BZF75" s="53"/>
      <c r="BZG75" s="53"/>
      <c r="BZH75" s="53"/>
      <c r="BZI75" s="53"/>
      <c r="BZJ75" s="53"/>
      <c r="BZK75" s="53"/>
      <c r="BZL75" s="53"/>
      <c r="BZM75" s="53"/>
      <c r="BZN75" s="53"/>
      <c r="BZO75" s="53"/>
      <c r="BZP75" s="53"/>
      <c r="BZQ75" s="53"/>
      <c r="BZR75" s="53"/>
      <c r="BZS75" s="53"/>
      <c r="BZT75" s="53"/>
      <c r="BZU75" s="53"/>
      <c r="BZV75" s="53"/>
      <c r="BZW75" s="53"/>
      <c r="BZX75" s="53"/>
      <c r="BZY75" s="53"/>
      <c r="BZZ75" s="53"/>
      <c r="CAA75" s="53"/>
      <c r="CAB75" s="53"/>
      <c r="CAC75" s="53"/>
      <c r="CAD75" s="53"/>
      <c r="CAE75" s="53"/>
      <c r="CAF75" s="53"/>
      <c r="CAG75" s="53"/>
      <c r="CAH75" s="53"/>
      <c r="CAI75" s="53"/>
      <c r="CAJ75" s="53"/>
      <c r="CAK75" s="53"/>
      <c r="CAL75" s="53"/>
      <c r="CAM75" s="53"/>
      <c r="CAN75" s="53"/>
      <c r="CAO75" s="53"/>
      <c r="CAP75" s="53"/>
      <c r="CAQ75" s="53"/>
      <c r="CAR75" s="53"/>
      <c r="CAS75" s="53"/>
      <c r="CAT75" s="53"/>
      <c r="CAU75" s="53"/>
      <c r="CAV75" s="53"/>
      <c r="CAW75" s="53"/>
      <c r="CAX75" s="53"/>
      <c r="CAY75" s="53"/>
      <c r="CAZ75" s="53"/>
      <c r="CBA75" s="53"/>
      <c r="CBB75" s="53"/>
      <c r="CBC75" s="53"/>
      <c r="CBD75" s="53"/>
      <c r="CBE75" s="53"/>
      <c r="CBF75" s="53"/>
      <c r="CBG75" s="53"/>
      <c r="CBH75" s="53"/>
      <c r="CBI75" s="53"/>
      <c r="CBJ75" s="53"/>
      <c r="CBK75" s="53"/>
      <c r="CBL75" s="53"/>
      <c r="CBM75" s="53"/>
      <c r="CBN75" s="53"/>
      <c r="CBO75" s="53"/>
      <c r="CBP75" s="53"/>
      <c r="CBQ75" s="53"/>
      <c r="CBR75" s="53"/>
      <c r="CBS75" s="53"/>
      <c r="CBT75" s="53"/>
      <c r="CBU75" s="53"/>
      <c r="CBV75" s="53"/>
      <c r="CBW75" s="53"/>
      <c r="CBX75" s="53"/>
      <c r="CBY75" s="53"/>
      <c r="CBZ75" s="53"/>
      <c r="CCA75" s="53"/>
      <c r="CCB75" s="53"/>
      <c r="CCC75" s="53"/>
      <c r="CCD75" s="53"/>
      <c r="CCE75" s="53"/>
      <c r="CCF75" s="53"/>
      <c r="CCG75" s="53"/>
      <c r="CCH75" s="53"/>
      <c r="CCI75" s="53"/>
      <c r="CCJ75" s="53"/>
      <c r="CCK75" s="53"/>
      <c r="CCL75" s="53"/>
      <c r="CCM75" s="53"/>
      <c r="CCN75" s="53"/>
      <c r="CCO75" s="53"/>
      <c r="CCP75" s="53"/>
      <c r="CCQ75" s="53"/>
      <c r="CCR75" s="53"/>
      <c r="CCS75" s="53"/>
      <c r="CCT75" s="53"/>
      <c r="CCU75" s="53"/>
      <c r="CCV75" s="53"/>
      <c r="CCW75" s="53"/>
      <c r="CCX75" s="53"/>
      <c r="CCY75" s="53"/>
      <c r="CCZ75" s="53"/>
      <c r="CDA75" s="53"/>
      <c r="CDB75" s="53"/>
      <c r="CDC75" s="53"/>
      <c r="CDD75" s="53"/>
      <c r="CDE75" s="53"/>
      <c r="CDF75" s="53"/>
      <c r="CDG75" s="53"/>
      <c r="CDH75" s="53"/>
      <c r="CDI75" s="53"/>
      <c r="CDJ75" s="53"/>
      <c r="CDK75" s="53"/>
      <c r="CDL75" s="53"/>
      <c r="CDM75" s="53"/>
      <c r="CDN75" s="53"/>
      <c r="CDO75" s="53"/>
      <c r="CDP75" s="53"/>
      <c r="CDQ75" s="53"/>
      <c r="CDR75" s="53"/>
      <c r="CDS75" s="53"/>
      <c r="CDT75" s="53"/>
      <c r="CDU75" s="53"/>
      <c r="CDV75" s="53"/>
      <c r="CDW75" s="53"/>
      <c r="CDX75" s="53"/>
      <c r="CDY75" s="53"/>
      <c r="CDZ75" s="53"/>
      <c r="CEA75" s="53"/>
      <c r="CEB75" s="53"/>
      <c r="CEC75" s="53"/>
      <c r="CED75" s="53"/>
      <c r="CEE75" s="53"/>
      <c r="CEF75" s="53"/>
      <c r="CEG75" s="53"/>
      <c r="CEH75" s="53"/>
      <c r="CEI75" s="53"/>
      <c r="CEJ75" s="53"/>
      <c r="CEK75" s="53"/>
      <c r="CEL75" s="53"/>
      <c r="CEM75" s="53"/>
      <c r="CEN75" s="53"/>
      <c r="CEO75" s="53"/>
      <c r="CEP75" s="53"/>
      <c r="CEQ75" s="53"/>
      <c r="CER75" s="53"/>
      <c r="CES75" s="53"/>
      <c r="CET75" s="53"/>
      <c r="CEU75" s="53"/>
      <c r="CEV75" s="53"/>
      <c r="CEW75" s="53"/>
      <c r="CEX75" s="53"/>
      <c r="CEY75" s="53"/>
      <c r="CEZ75" s="53"/>
      <c r="CFA75" s="53"/>
      <c r="CFB75" s="53"/>
      <c r="CFC75" s="53"/>
      <c r="CFD75" s="53"/>
      <c r="CFE75" s="53"/>
      <c r="CFF75" s="53"/>
      <c r="CFG75" s="53"/>
      <c r="CFH75" s="53"/>
      <c r="CFI75" s="53"/>
      <c r="CFJ75" s="53"/>
      <c r="CFK75" s="53"/>
      <c r="CFL75" s="53"/>
      <c r="CFM75" s="53"/>
      <c r="CFN75" s="53"/>
      <c r="CFO75" s="53"/>
      <c r="CFP75" s="53"/>
      <c r="CFQ75" s="53"/>
      <c r="CFR75" s="53"/>
      <c r="CFS75" s="53"/>
      <c r="CFT75" s="53"/>
      <c r="CFU75" s="53"/>
      <c r="CFV75" s="53"/>
      <c r="CFW75" s="53"/>
      <c r="CFX75" s="53"/>
      <c r="CFY75" s="53"/>
      <c r="CFZ75" s="53"/>
      <c r="CGA75" s="53"/>
      <c r="CGB75" s="53"/>
      <c r="CGC75" s="53"/>
      <c r="CGD75" s="53"/>
      <c r="CGE75" s="53"/>
      <c r="CGF75" s="53"/>
      <c r="CGG75" s="53"/>
      <c r="CGH75" s="53"/>
      <c r="CGI75" s="53"/>
      <c r="CGJ75" s="53"/>
      <c r="CGK75" s="53"/>
      <c r="CGL75" s="53"/>
      <c r="CGM75" s="53"/>
      <c r="CGN75" s="53"/>
      <c r="CGO75" s="53"/>
      <c r="CGP75" s="53"/>
      <c r="CGQ75" s="53"/>
      <c r="CGR75" s="53"/>
      <c r="CGS75" s="53"/>
      <c r="CGT75" s="53"/>
      <c r="CGU75" s="53"/>
      <c r="CGV75" s="53"/>
      <c r="CGW75" s="53"/>
      <c r="CGX75" s="53"/>
      <c r="CGY75" s="53"/>
      <c r="CGZ75" s="53"/>
      <c r="CHA75" s="53"/>
      <c r="CHB75" s="53"/>
      <c r="CHC75" s="53"/>
      <c r="CHD75" s="53"/>
      <c r="CHE75" s="53"/>
      <c r="CHF75" s="53"/>
      <c r="CHG75" s="53"/>
      <c r="CHH75" s="53"/>
      <c r="CHI75" s="53"/>
      <c r="CHJ75" s="53"/>
      <c r="CHK75" s="53"/>
      <c r="CHL75" s="53"/>
      <c r="CHM75" s="53"/>
      <c r="CHN75" s="53"/>
      <c r="CHO75" s="53"/>
      <c r="CHP75" s="53"/>
      <c r="CHQ75" s="53"/>
      <c r="CHR75" s="53"/>
      <c r="CHS75" s="53"/>
      <c r="CHT75" s="53"/>
      <c r="CHU75" s="53"/>
      <c r="CHV75" s="53"/>
      <c r="CHW75" s="53"/>
      <c r="CHX75" s="53"/>
      <c r="CHY75" s="53"/>
      <c r="CHZ75" s="53"/>
      <c r="CIA75" s="53"/>
      <c r="CIB75" s="53"/>
      <c r="CIC75" s="53"/>
      <c r="CID75" s="53"/>
      <c r="CIE75" s="53"/>
      <c r="CIF75" s="53"/>
      <c r="CIG75" s="53"/>
      <c r="CIH75" s="53"/>
      <c r="CII75" s="53"/>
      <c r="CIJ75" s="53"/>
      <c r="CIK75" s="53"/>
      <c r="CIL75" s="53"/>
      <c r="CIM75" s="53"/>
      <c r="CIN75" s="53"/>
      <c r="CIO75" s="53"/>
      <c r="CIP75" s="53"/>
      <c r="CIQ75" s="53"/>
      <c r="CIR75" s="53"/>
      <c r="CIS75" s="53"/>
      <c r="CIT75" s="53"/>
      <c r="CIU75" s="53"/>
      <c r="CIV75" s="53"/>
      <c r="CIW75" s="53"/>
      <c r="CIX75" s="53"/>
      <c r="CIY75" s="53"/>
      <c r="CIZ75" s="53"/>
      <c r="CJA75" s="53"/>
      <c r="CJB75" s="53"/>
      <c r="CJC75" s="53"/>
      <c r="CJD75" s="53"/>
      <c r="CJE75" s="53"/>
      <c r="CJF75" s="53"/>
      <c r="CJG75" s="53"/>
      <c r="CJH75" s="53"/>
      <c r="CJI75" s="53"/>
      <c r="CJJ75" s="53"/>
      <c r="CJK75" s="53"/>
      <c r="CJL75" s="53"/>
      <c r="CJM75" s="53"/>
      <c r="CJN75" s="53"/>
      <c r="CJO75" s="53"/>
      <c r="CJP75" s="53"/>
      <c r="CJQ75" s="53"/>
      <c r="CJR75" s="53"/>
      <c r="CJS75" s="53"/>
      <c r="CJT75" s="53"/>
      <c r="CJU75" s="53"/>
      <c r="CJV75" s="53"/>
      <c r="CJW75" s="53"/>
      <c r="CJX75" s="53"/>
      <c r="CJY75" s="53"/>
      <c r="CJZ75" s="53"/>
      <c r="CKA75" s="53"/>
      <c r="CKB75" s="53"/>
      <c r="CKC75" s="53"/>
      <c r="CKD75" s="53"/>
      <c r="CKE75" s="53"/>
      <c r="CKF75" s="53"/>
      <c r="CKG75" s="53"/>
      <c r="CKH75" s="53"/>
      <c r="CKI75" s="53"/>
      <c r="CKJ75" s="53"/>
      <c r="CKK75" s="53"/>
      <c r="CKL75" s="53"/>
      <c r="CKM75" s="53"/>
      <c r="CKN75" s="53"/>
      <c r="CKO75" s="53"/>
      <c r="CKP75" s="53"/>
      <c r="CKQ75" s="53"/>
      <c r="CKR75" s="53"/>
      <c r="CKS75" s="53"/>
      <c r="CKT75" s="53"/>
      <c r="CKU75" s="53"/>
      <c r="CKV75" s="53"/>
      <c r="CKW75" s="53"/>
      <c r="CKX75" s="53"/>
      <c r="CKY75" s="53"/>
      <c r="CKZ75" s="53"/>
      <c r="CLA75" s="53"/>
      <c r="CLB75" s="53"/>
      <c r="CLC75" s="53"/>
      <c r="CLD75" s="53"/>
      <c r="CLE75" s="53"/>
      <c r="CLF75" s="53"/>
      <c r="CLG75" s="53"/>
      <c r="CLH75" s="53"/>
      <c r="CLI75" s="53"/>
      <c r="CLJ75" s="53"/>
      <c r="CLK75" s="53"/>
      <c r="CLL75" s="53"/>
      <c r="CLM75" s="53"/>
      <c r="CLN75" s="53"/>
      <c r="CLO75" s="53"/>
      <c r="CLP75" s="53"/>
      <c r="CLQ75" s="53"/>
      <c r="CLR75" s="53"/>
      <c r="CLS75" s="53"/>
      <c r="CLT75" s="53"/>
      <c r="CLU75" s="53"/>
      <c r="CLV75" s="53"/>
      <c r="CLW75" s="53"/>
      <c r="CLX75" s="53"/>
      <c r="CLY75" s="53"/>
      <c r="CLZ75" s="53"/>
      <c r="CMA75" s="53"/>
      <c r="CMB75" s="53"/>
      <c r="CMC75" s="53"/>
      <c r="CMD75" s="53"/>
      <c r="CME75" s="53"/>
      <c r="CMF75" s="53"/>
      <c r="CMG75" s="53"/>
      <c r="CMH75" s="53"/>
      <c r="CMI75" s="53"/>
      <c r="CMJ75" s="53"/>
      <c r="CMK75" s="53"/>
      <c r="CML75" s="53"/>
      <c r="CMM75" s="53"/>
      <c r="CMN75" s="53"/>
      <c r="CMO75" s="53"/>
      <c r="CMP75" s="53"/>
      <c r="CMQ75" s="53"/>
      <c r="CMR75" s="53"/>
      <c r="CMS75" s="53"/>
      <c r="CMT75" s="53"/>
      <c r="CMU75" s="53"/>
      <c r="CMV75" s="53"/>
      <c r="CMW75" s="53"/>
      <c r="CMX75" s="53"/>
      <c r="CMY75" s="53"/>
      <c r="CMZ75" s="53"/>
      <c r="CNA75" s="53"/>
      <c r="CNB75" s="53"/>
      <c r="CNC75" s="53"/>
      <c r="CND75" s="53"/>
      <c r="CNE75" s="53"/>
      <c r="CNF75" s="53"/>
      <c r="CNG75" s="53"/>
      <c r="CNH75" s="53"/>
      <c r="CNI75" s="53"/>
      <c r="CNJ75" s="53"/>
      <c r="CNK75" s="53"/>
      <c r="CNL75" s="53"/>
      <c r="CNM75" s="53"/>
      <c r="CNN75" s="53"/>
      <c r="CNO75" s="53"/>
      <c r="CNP75" s="53"/>
      <c r="CNQ75" s="53"/>
      <c r="CNR75" s="53"/>
      <c r="CNS75" s="53"/>
      <c r="CNT75" s="53"/>
      <c r="CNU75" s="53"/>
      <c r="CNV75" s="53"/>
      <c r="CNW75" s="53"/>
      <c r="CNX75" s="53"/>
      <c r="CNY75" s="53"/>
      <c r="CNZ75" s="53"/>
      <c r="COA75" s="53"/>
      <c r="COB75" s="53"/>
      <c r="COC75" s="53"/>
      <c r="COD75" s="53"/>
      <c r="COE75" s="53"/>
      <c r="COF75" s="53"/>
      <c r="COG75" s="53"/>
      <c r="COH75" s="53"/>
      <c r="COI75" s="53"/>
      <c r="COJ75" s="53"/>
      <c r="COK75" s="53"/>
      <c r="COL75" s="53"/>
      <c r="COM75" s="53"/>
      <c r="CON75" s="53"/>
      <c r="COO75" s="53"/>
      <c r="COP75" s="53"/>
      <c r="COQ75" s="53"/>
      <c r="COR75" s="53"/>
      <c r="COS75" s="53"/>
      <c r="COT75" s="53"/>
      <c r="COU75" s="53"/>
      <c r="COV75" s="53"/>
      <c r="COW75" s="53"/>
      <c r="COX75" s="53"/>
      <c r="COY75" s="53"/>
      <c r="COZ75" s="53"/>
      <c r="CPA75" s="53"/>
      <c r="CPB75" s="53"/>
      <c r="CPC75" s="53"/>
      <c r="CPD75" s="53"/>
      <c r="CPE75" s="53"/>
      <c r="CPF75" s="53"/>
      <c r="CPG75" s="53"/>
      <c r="CPH75" s="53"/>
      <c r="CPI75" s="53"/>
      <c r="CPJ75" s="53"/>
      <c r="CPK75" s="53"/>
      <c r="CPL75" s="53"/>
      <c r="CPM75" s="53"/>
      <c r="CPN75" s="53"/>
      <c r="CPO75" s="53"/>
      <c r="CPP75" s="53"/>
      <c r="CPQ75" s="53"/>
      <c r="CPR75" s="53"/>
      <c r="CPS75" s="53"/>
      <c r="CPT75" s="53"/>
      <c r="CPU75" s="53"/>
      <c r="CPV75" s="53"/>
      <c r="CPW75" s="53"/>
      <c r="CPX75" s="53"/>
      <c r="CPY75" s="53"/>
      <c r="CPZ75" s="53"/>
      <c r="CQA75" s="53"/>
      <c r="CQB75" s="53"/>
      <c r="CQC75" s="53"/>
      <c r="CQD75" s="53"/>
      <c r="CQE75" s="53"/>
      <c r="CQF75" s="53"/>
      <c r="CQG75" s="53"/>
      <c r="CQH75" s="53"/>
      <c r="CQI75" s="53"/>
      <c r="CQJ75" s="53"/>
      <c r="CQK75" s="53"/>
      <c r="CQL75" s="53"/>
      <c r="CQM75" s="53"/>
      <c r="CQN75" s="53"/>
      <c r="CQO75" s="53"/>
      <c r="CQP75" s="53"/>
      <c r="CQQ75" s="53"/>
      <c r="CQR75" s="53"/>
      <c r="CQS75" s="53"/>
      <c r="CQT75" s="53"/>
      <c r="CQU75" s="53"/>
      <c r="CQV75" s="53"/>
      <c r="CQW75" s="53"/>
      <c r="CQX75" s="53"/>
      <c r="CQY75" s="53"/>
      <c r="CQZ75" s="53"/>
      <c r="CRA75" s="53"/>
      <c r="CRB75" s="53"/>
      <c r="CRC75" s="53"/>
      <c r="CRD75" s="53"/>
      <c r="CRE75" s="53"/>
      <c r="CRF75" s="53"/>
      <c r="CRG75" s="53"/>
      <c r="CRH75" s="53"/>
      <c r="CRI75" s="53"/>
      <c r="CRJ75" s="53"/>
      <c r="CRK75" s="53"/>
      <c r="CRL75" s="53"/>
      <c r="CRM75" s="53"/>
      <c r="CRN75" s="53"/>
      <c r="CRO75" s="53"/>
      <c r="CRP75" s="53"/>
      <c r="CRQ75" s="53"/>
      <c r="CRR75" s="53"/>
      <c r="CRS75" s="53"/>
      <c r="CRT75" s="53"/>
      <c r="CRU75" s="53"/>
      <c r="CRV75" s="53"/>
      <c r="CRW75" s="53"/>
      <c r="CRX75" s="53"/>
      <c r="CRY75" s="53"/>
      <c r="CRZ75" s="53"/>
      <c r="CSA75" s="53"/>
      <c r="CSB75" s="53"/>
      <c r="CSC75" s="53"/>
      <c r="CSD75" s="53"/>
      <c r="CSE75" s="53"/>
      <c r="CSF75" s="53"/>
      <c r="CSG75" s="53"/>
      <c r="CSH75" s="53"/>
      <c r="CSI75" s="53"/>
      <c r="CSJ75" s="53"/>
      <c r="CSK75" s="53"/>
      <c r="CSL75" s="53"/>
      <c r="CSM75" s="53"/>
      <c r="CSN75" s="53"/>
      <c r="CSO75" s="53"/>
      <c r="CSP75" s="53"/>
      <c r="CSQ75" s="53"/>
      <c r="CSR75" s="53"/>
      <c r="CSS75" s="53"/>
      <c r="CST75" s="53"/>
      <c r="CSU75" s="53"/>
      <c r="CSV75" s="53"/>
      <c r="CSW75" s="53"/>
      <c r="CSX75" s="53"/>
      <c r="CSY75" s="53"/>
      <c r="CSZ75" s="53"/>
      <c r="CTA75" s="53"/>
      <c r="CTB75" s="53"/>
      <c r="CTC75" s="53"/>
      <c r="CTD75" s="53"/>
      <c r="CTE75" s="53"/>
      <c r="CTF75" s="53"/>
      <c r="CTG75" s="53"/>
      <c r="CTH75" s="53"/>
      <c r="CTI75" s="53"/>
      <c r="CTJ75" s="53"/>
      <c r="CTK75" s="53"/>
      <c r="CTL75" s="53"/>
      <c r="CTM75" s="53"/>
      <c r="CTN75" s="53"/>
      <c r="CTO75" s="53"/>
      <c r="CTP75" s="53"/>
      <c r="CTQ75" s="53"/>
      <c r="CTR75" s="53"/>
      <c r="CTS75" s="53"/>
      <c r="CTT75" s="53"/>
      <c r="CTU75" s="53"/>
      <c r="CTV75" s="53"/>
      <c r="CTW75" s="53"/>
      <c r="CTX75" s="53"/>
      <c r="CTY75" s="53"/>
      <c r="CTZ75" s="53"/>
      <c r="CUA75" s="53"/>
      <c r="CUB75" s="53"/>
      <c r="CUC75" s="53"/>
      <c r="CUD75" s="53"/>
      <c r="CUE75" s="53"/>
      <c r="CUF75" s="53"/>
      <c r="CUG75" s="53"/>
      <c r="CUH75" s="53"/>
      <c r="CUI75" s="53"/>
      <c r="CUJ75" s="53"/>
      <c r="CUK75" s="53"/>
      <c r="CUL75" s="53"/>
      <c r="CUM75" s="53"/>
      <c r="CUN75" s="53"/>
      <c r="CUO75" s="53"/>
      <c r="CUP75" s="53"/>
      <c r="CUQ75" s="53"/>
      <c r="CUR75" s="53"/>
      <c r="CUS75" s="53"/>
      <c r="CUT75" s="53"/>
      <c r="CUU75" s="53"/>
      <c r="CUV75" s="53"/>
      <c r="CUW75" s="53"/>
      <c r="CUX75" s="53"/>
      <c r="CUY75" s="53"/>
      <c r="CUZ75" s="53"/>
      <c r="CVA75" s="53"/>
      <c r="CVB75" s="53"/>
      <c r="CVC75" s="53"/>
      <c r="CVD75" s="53"/>
      <c r="CVE75" s="53"/>
      <c r="CVF75" s="53"/>
      <c r="CVG75" s="53"/>
      <c r="CVH75" s="53"/>
      <c r="CVI75" s="53"/>
      <c r="CVJ75" s="53"/>
      <c r="CVK75" s="53"/>
      <c r="CVL75" s="53"/>
      <c r="CVM75" s="53"/>
      <c r="CVN75" s="53"/>
      <c r="CVO75" s="53"/>
      <c r="CVP75" s="53"/>
      <c r="CVQ75" s="53"/>
      <c r="CVR75" s="53"/>
      <c r="CVS75" s="53"/>
      <c r="CVT75" s="53"/>
      <c r="CVU75" s="53"/>
      <c r="CVV75" s="53"/>
      <c r="CVW75" s="53"/>
      <c r="CVX75" s="53"/>
      <c r="CVY75" s="53"/>
      <c r="CVZ75" s="53"/>
      <c r="CWA75" s="53"/>
      <c r="CWB75" s="53"/>
      <c r="CWC75" s="53"/>
      <c r="CWD75" s="53"/>
      <c r="CWE75" s="53"/>
      <c r="CWF75" s="53"/>
      <c r="CWG75" s="53"/>
      <c r="CWH75" s="53"/>
      <c r="CWI75" s="53"/>
      <c r="CWJ75" s="53"/>
      <c r="CWK75" s="53"/>
      <c r="CWL75" s="53"/>
      <c r="CWM75" s="53"/>
      <c r="CWN75" s="53"/>
      <c r="CWO75" s="53"/>
      <c r="CWP75" s="53"/>
      <c r="CWQ75" s="53"/>
      <c r="CWR75" s="53"/>
      <c r="CWS75" s="53"/>
      <c r="CWT75" s="53"/>
      <c r="CWU75" s="53"/>
      <c r="CWV75" s="53"/>
      <c r="CWW75" s="53"/>
      <c r="CWX75" s="53"/>
      <c r="CWY75" s="53"/>
      <c r="CWZ75" s="53"/>
      <c r="CXA75" s="53"/>
      <c r="CXB75" s="53"/>
      <c r="CXC75" s="53"/>
      <c r="CXD75" s="53"/>
      <c r="CXE75" s="53"/>
      <c r="CXF75" s="53"/>
      <c r="CXG75" s="53"/>
      <c r="CXH75" s="53"/>
      <c r="CXI75" s="53"/>
      <c r="CXJ75" s="53"/>
      <c r="CXK75" s="53"/>
      <c r="CXL75" s="53"/>
      <c r="CXM75" s="53"/>
      <c r="CXN75" s="53"/>
      <c r="CXO75" s="53"/>
      <c r="CXP75" s="53"/>
      <c r="CXQ75" s="53"/>
      <c r="CXR75" s="53"/>
      <c r="CXS75" s="53"/>
      <c r="CXT75" s="53"/>
      <c r="CXU75" s="53"/>
      <c r="CXV75" s="53"/>
      <c r="CXW75" s="53"/>
      <c r="CXX75" s="53"/>
      <c r="CXY75" s="53"/>
      <c r="CXZ75" s="53"/>
      <c r="CYA75" s="53"/>
      <c r="CYB75" s="53"/>
      <c r="CYC75" s="53"/>
      <c r="CYD75" s="53"/>
      <c r="CYE75" s="53"/>
      <c r="CYF75" s="53"/>
      <c r="CYG75" s="53"/>
      <c r="CYH75" s="53"/>
      <c r="CYI75" s="53"/>
      <c r="CYJ75" s="53"/>
      <c r="CYK75" s="53"/>
      <c r="CYL75" s="53"/>
      <c r="CYM75" s="53"/>
      <c r="CYN75" s="53"/>
      <c r="CYO75" s="53"/>
      <c r="CYP75" s="53"/>
      <c r="CYQ75" s="53"/>
      <c r="CYR75" s="53"/>
      <c r="CYS75" s="53"/>
      <c r="CYT75" s="53"/>
      <c r="CYU75" s="53"/>
      <c r="CYV75" s="53"/>
      <c r="CYW75" s="53"/>
      <c r="CYX75" s="53"/>
      <c r="CYY75" s="53"/>
      <c r="CYZ75" s="53"/>
      <c r="CZA75" s="53"/>
      <c r="CZB75" s="53"/>
      <c r="CZC75" s="53"/>
      <c r="CZD75" s="53"/>
      <c r="CZE75" s="53"/>
      <c r="CZF75" s="53"/>
      <c r="CZG75" s="53"/>
      <c r="CZH75" s="53"/>
      <c r="CZI75" s="53"/>
      <c r="CZJ75" s="53"/>
      <c r="CZK75" s="53"/>
      <c r="CZL75" s="53"/>
      <c r="CZM75" s="53"/>
      <c r="CZN75" s="53"/>
      <c r="CZO75" s="53"/>
      <c r="CZP75" s="53"/>
      <c r="CZQ75" s="53"/>
      <c r="CZR75" s="53"/>
      <c r="CZS75" s="53"/>
      <c r="CZT75" s="53"/>
      <c r="CZU75" s="53"/>
      <c r="CZV75" s="53"/>
      <c r="CZW75" s="53"/>
      <c r="CZX75" s="53"/>
      <c r="CZY75" s="53"/>
      <c r="CZZ75" s="53"/>
      <c r="DAA75" s="53"/>
      <c r="DAB75" s="53"/>
      <c r="DAC75" s="53"/>
      <c r="DAD75" s="53"/>
      <c r="DAE75" s="53"/>
      <c r="DAF75" s="53"/>
      <c r="DAG75" s="53"/>
      <c r="DAH75" s="53"/>
      <c r="DAI75" s="53"/>
      <c r="DAJ75" s="53"/>
      <c r="DAK75" s="53"/>
      <c r="DAL75" s="53"/>
      <c r="DAM75" s="53"/>
      <c r="DAN75" s="53"/>
      <c r="DAO75" s="53"/>
      <c r="DAP75" s="53"/>
      <c r="DAQ75" s="53"/>
      <c r="DAR75" s="53"/>
      <c r="DAS75" s="53"/>
      <c r="DAT75" s="53"/>
      <c r="DAU75" s="53"/>
      <c r="DAV75" s="53"/>
      <c r="DAW75" s="53"/>
      <c r="DAX75" s="53"/>
      <c r="DAY75" s="53"/>
      <c r="DAZ75" s="53"/>
      <c r="DBA75" s="53"/>
      <c r="DBB75" s="53"/>
      <c r="DBC75" s="53"/>
      <c r="DBD75" s="53"/>
      <c r="DBE75" s="53"/>
      <c r="DBF75" s="53"/>
      <c r="DBG75" s="53"/>
      <c r="DBH75" s="53"/>
      <c r="DBI75" s="53"/>
      <c r="DBJ75" s="53"/>
      <c r="DBK75" s="53"/>
      <c r="DBL75" s="53"/>
      <c r="DBM75" s="53"/>
      <c r="DBN75" s="53"/>
      <c r="DBO75" s="53"/>
      <c r="DBP75" s="53"/>
      <c r="DBQ75" s="53"/>
      <c r="DBR75" s="53"/>
      <c r="DBS75" s="53"/>
      <c r="DBT75" s="53"/>
      <c r="DBU75" s="53"/>
      <c r="DBV75" s="53"/>
      <c r="DBW75" s="53"/>
      <c r="DBX75" s="53"/>
      <c r="DBY75" s="53"/>
      <c r="DBZ75" s="53"/>
      <c r="DCA75" s="53"/>
      <c r="DCB75" s="53"/>
      <c r="DCC75" s="53"/>
      <c r="DCD75" s="53"/>
      <c r="DCE75" s="53"/>
      <c r="DCF75" s="53"/>
      <c r="DCG75" s="53"/>
      <c r="DCH75" s="53"/>
      <c r="DCI75" s="53"/>
      <c r="DCJ75" s="53"/>
      <c r="DCK75" s="53"/>
      <c r="DCL75" s="53"/>
      <c r="DCM75" s="53"/>
      <c r="DCN75" s="53"/>
      <c r="DCO75" s="53"/>
      <c r="DCP75" s="53"/>
      <c r="DCQ75" s="53"/>
      <c r="DCR75" s="53"/>
      <c r="DCS75" s="53"/>
      <c r="DCT75" s="53"/>
      <c r="DCU75" s="53"/>
      <c r="DCV75" s="53"/>
      <c r="DCW75" s="53"/>
      <c r="DCX75" s="53"/>
      <c r="DCY75" s="53"/>
      <c r="DCZ75" s="53"/>
      <c r="DDA75" s="53"/>
      <c r="DDB75" s="53"/>
      <c r="DDC75" s="53"/>
      <c r="DDD75" s="53"/>
      <c r="DDE75" s="53"/>
      <c r="DDF75" s="53"/>
      <c r="DDG75" s="53"/>
      <c r="DDH75" s="53"/>
      <c r="DDI75" s="53"/>
      <c r="DDJ75" s="53"/>
      <c r="DDK75" s="53"/>
      <c r="DDL75" s="53"/>
      <c r="DDM75" s="53"/>
      <c r="DDN75" s="53"/>
      <c r="DDO75" s="53"/>
      <c r="DDP75" s="53"/>
      <c r="DDQ75" s="53"/>
      <c r="DDR75" s="53"/>
      <c r="DDS75" s="53"/>
      <c r="DDT75" s="53"/>
      <c r="DDU75" s="53"/>
      <c r="DDV75" s="53"/>
      <c r="DDW75" s="53"/>
      <c r="DDX75" s="53"/>
      <c r="DDY75" s="53"/>
      <c r="DDZ75" s="53"/>
      <c r="DEA75" s="53"/>
      <c r="DEB75" s="53"/>
      <c r="DEC75" s="53"/>
      <c r="DED75" s="53"/>
      <c r="DEE75" s="53"/>
      <c r="DEF75" s="53"/>
      <c r="DEG75" s="53"/>
      <c r="DEH75" s="53"/>
      <c r="DEI75" s="53"/>
      <c r="DEJ75" s="53"/>
      <c r="DEK75" s="53"/>
      <c r="DEL75" s="53"/>
      <c r="DEM75" s="53"/>
      <c r="DEN75" s="53"/>
      <c r="DEO75" s="53"/>
      <c r="DEP75" s="53"/>
      <c r="DEQ75" s="53"/>
      <c r="DER75" s="53"/>
      <c r="DES75" s="53"/>
      <c r="DET75" s="53"/>
      <c r="DEU75" s="53"/>
      <c r="DEV75" s="53"/>
      <c r="DEW75" s="53"/>
      <c r="DEX75" s="53"/>
      <c r="DEY75" s="53"/>
      <c r="DEZ75" s="53"/>
      <c r="DFA75" s="53"/>
      <c r="DFB75" s="53"/>
      <c r="DFC75" s="53"/>
      <c r="DFD75" s="53"/>
      <c r="DFE75" s="53"/>
      <c r="DFF75" s="53"/>
      <c r="DFG75" s="53"/>
      <c r="DFH75" s="53"/>
      <c r="DFI75" s="53"/>
      <c r="DFJ75" s="53"/>
      <c r="DFK75" s="53"/>
      <c r="DFL75" s="53"/>
      <c r="DFM75" s="53"/>
      <c r="DFN75" s="53"/>
      <c r="DFO75" s="53"/>
      <c r="DFP75" s="53"/>
      <c r="DFQ75" s="53"/>
      <c r="DFR75" s="53"/>
      <c r="DFS75" s="53"/>
      <c r="DFT75" s="53"/>
      <c r="DFU75" s="53"/>
      <c r="DFV75" s="53"/>
      <c r="DFW75" s="53"/>
      <c r="DFX75" s="53"/>
      <c r="DFY75" s="53"/>
      <c r="DFZ75" s="53"/>
      <c r="DGA75" s="53"/>
      <c r="DGB75" s="53"/>
      <c r="DGC75" s="53"/>
      <c r="DGD75" s="53"/>
      <c r="DGE75" s="53"/>
      <c r="DGF75" s="53"/>
      <c r="DGG75" s="53"/>
      <c r="DGH75" s="53"/>
      <c r="DGI75" s="53"/>
      <c r="DGJ75" s="53"/>
      <c r="DGK75" s="53"/>
      <c r="DGL75" s="53"/>
      <c r="DGM75" s="53"/>
      <c r="DGN75" s="53"/>
      <c r="DGO75" s="53"/>
      <c r="DGP75" s="53"/>
      <c r="DGQ75" s="53"/>
      <c r="DGR75" s="53"/>
      <c r="DGS75" s="53"/>
      <c r="DGT75" s="53"/>
      <c r="DGU75" s="53"/>
      <c r="DGV75" s="53"/>
      <c r="DGW75" s="53"/>
      <c r="DGX75" s="53"/>
      <c r="DGY75" s="53"/>
      <c r="DGZ75" s="53"/>
      <c r="DHA75" s="53"/>
      <c r="DHB75" s="53"/>
      <c r="DHC75" s="53"/>
      <c r="DHD75" s="53"/>
      <c r="DHE75" s="53"/>
      <c r="DHF75" s="53"/>
      <c r="DHG75" s="53"/>
      <c r="DHH75" s="53"/>
      <c r="DHI75" s="53"/>
      <c r="DHJ75" s="53"/>
      <c r="DHK75" s="53"/>
      <c r="DHL75" s="53"/>
      <c r="DHM75" s="53"/>
      <c r="DHN75" s="53"/>
      <c r="DHO75" s="53"/>
      <c r="DHP75" s="53"/>
      <c r="DHQ75" s="53"/>
      <c r="DHR75" s="53"/>
      <c r="DHS75" s="53"/>
      <c r="DHT75" s="53"/>
      <c r="DHU75" s="53"/>
      <c r="DHV75" s="53"/>
      <c r="DHW75" s="53"/>
      <c r="DHX75" s="53"/>
      <c r="DHY75" s="53"/>
      <c r="DHZ75" s="53"/>
      <c r="DIA75" s="53"/>
      <c r="DIB75" s="53"/>
      <c r="DIC75" s="53"/>
      <c r="DID75" s="53"/>
      <c r="DIE75" s="53"/>
      <c r="DIF75" s="53"/>
      <c r="DIG75" s="53"/>
      <c r="DIH75" s="53"/>
      <c r="DII75" s="53"/>
      <c r="DIJ75" s="53"/>
      <c r="DIK75" s="53"/>
      <c r="DIL75" s="53"/>
      <c r="DIM75" s="53"/>
      <c r="DIN75" s="53"/>
      <c r="DIO75" s="53"/>
      <c r="DIP75" s="53"/>
      <c r="DIQ75" s="53"/>
      <c r="DIR75" s="53"/>
      <c r="DIS75" s="53"/>
      <c r="DIT75" s="53"/>
      <c r="DIU75" s="53"/>
      <c r="DIV75" s="53"/>
      <c r="DIW75" s="53"/>
      <c r="DIX75" s="53"/>
      <c r="DIY75" s="53"/>
      <c r="DIZ75" s="53"/>
      <c r="DJA75" s="53"/>
      <c r="DJB75" s="53"/>
      <c r="DJC75" s="53"/>
      <c r="DJD75" s="53"/>
      <c r="DJE75" s="53"/>
      <c r="DJF75" s="53"/>
      <c r="DJG75" s="53"/>
      <c r="DJH75" s="53"/>
      <c r="DJI75" s="53"/>
      <c r="DJJ75" s="53"/>
      <c r="DJK75" s="53"/>
      <c r="DJL75" s="53"/>
      <c r="DJM75" s="53"/>
      <c r="DJN75" s="53"/>
      <c r="DJO75" s="53"/>
      <c r="DJP75" s="53"/>
      <c r="DJQ75" s="53"/>
      <c r="DJR75" s="53"/>
      <c r="DJS75" s="53"/>
      <c r="DJT75" s="53"/>
      <c r="DJU75" s="53"/>
      <c r="DJV75" s="53"/>
      <c r="DJW75" s="53"/>
      <c r="DJX75" s="53"/>
      <c r="DJY75" s="53"/>
      <c r="DJZ75" s="53"/>
      <c r="DKA75" s="53"/>
      <c r="DKB75" s="53"/>
      <c r="DKC75" s="53"/>
      <c r="DKD75" s="53"/>
      <c r="DKE75" s="53"/>
      <c r="DKF75" s="53"/>
      <c r="DKG75" s="53"/>
      <c r="DKH75" s="53"/>
      <c r="DKI75" s="53"/>
      <c r="DKJ75" s="53"/>
      <c r="DKK75" s="53"/>
      <c r="DKL75" s="53"/>
      <c r="DKM75" s="53"/>
      <c r="DKN75" s="53"/>
      <c r="DKO75" s="53"/>
      <c r="DKP75" s="53"/>
      <c r="DKQ75" s="53"/>
      <c r="DKR75" s="53"/>
      <c r="DKS75" s="53"/>
      <c r="DKT75" s="53"/>
      <c r="DKU75" s="53"/>
      <c r="DKV75" s="53"/>
      <c r="DKW75" s="53"/>
      <c r="DKX75" s="53"/>
      <c r="DKY75" s="53"/>
      <c r="DKZ75" s="53"/>
      <c r="DLA75" s="53"/>
      <c r="DLB75" s="53"/>
      <c r="DLC75" s="53"/>
      <c r="DLD75" s="53"/>
      <c r="DLE75" s="53"/>
      <c r="DLF75" s="53"/>
      <c r="DLG75" s="53"/>
      <c r="DLH75" s="53"/>
      <c r="DLI75" s="53"/>
      <c r="DLJ75" s="53"/>
      <c r="DLK75" s="53"/>
      <c r="DLL75" s="53"/>
      <c r="DLM75" s="53"/>
      <c r="DLN75" s="53"/>
      <c r="DLO75" s="53"/>
      <c r="DLP75" s="53"/>
      <c r="DLQ75" s="53"/>
      <c r="DLR75" s="53"/>
      <c r="DLS75" s="53"/>
      <c r="DLT75" s="53"/>
      <c r="DLU75" s="53"/>
      <c r="DLV75" s="53"/>
      <c r="DLW75" s="53"/>
      <c r="DLX75" s="53"/>
      <c r="DLY75" s="53"/>
      <c r="DLZ75" s="53"/>
      <c r="DMA75" s="53"/>
      <c r="DMB75" s="53"/>
      <c r="DMC75" s="53"/>
      <c r="DMD75" s="53"/>
      <c r="DME75" s="53"/>
      <c r="DMF75" s="53"/>
      <c r="DMG75" s="53"/>
      <c r="DMH75" s="53"/>
      <c r="DMI75" s="53"/>
      <c r="DMJ75" s="53"/>
      <c r="DMK75" s="53"/>
      <c r="DML75" s="53"/>
      <c r="DMM75" s="53"/>
      <c r="DMN75" s="53"/>
      <c r="DMO75" s="53"/>
      <c r="DMP75" s="53"/>
      <c r="DMQ75" s="53"/>
      <c r="DMR75" s="53"/>
      <c r="DMS75" s="53"/>
      <c r="DMT75" s="53"/>
      <c r="DMU75" s="53"/>
      <c r="DMV75" s="53"/>
      <c r="DMW75" s="53"/>
      <c r="DMX75" s="53"/>
      <c r="DMY75" s="53"/>
      <c r="DMZ75" s="53"/>
      <c r="DNA75" s="53"/>
      <c r="DNB75" s="53"/>
      <c r="DNC75" s="53"/>
      <c r="DND75" s="53"/>
      <c r="DNE75" s="53"/>
      <c r="DNF75" s="53"/>
      <c r="DNG75" s="53"/>
      <c r="DNH75" s="53"/>
      <c r="DNI75" s="53"/>
      <c r="DNJ75" s="53"/>
      <c r="DNK75" s="53"/>
      <c r="DNL75" s="53"/>
      <c r="DNM75" s="53"/>
      <c r="DNN75" s="53"/>
      <c r="DNO75" s="53"/>
      <c r="DNP75" s="53"/>
      <c r="DNQ75" s="53"/>
      <c r="DNR75" s="53"/>
      <c r="DNS75" s="53"/>
      <c r="DNT75" s="53"/>
      <c r="DNU75" s="53"/>
      <c r="DNV75" s="53"/>
      <c r="DNW75" s="53"/>
      <c r="DNX75" s="53"/>
      <c r="DNY75" s="53"/>
      <c r="DNZ75" s="53"/>
      <c r="DOA75" s="53"/>
      <c r="DOB75" s="53"/>
      <c r="DOC75" s="53"/>
      <c r="DOD75" s="53"/>
      <c r="DOE75" s="53"/>
      <c r="DOF75" s="53"/>
      <c r="DOG75" s="53"/>
      <c r="DOH75" s="53"/>
      <c r="DOI75" s="53"/>
      <c r="DOJ75" s="53"/>
      <c r="DOK75" s="53"/>
      <c r="DOL75" s="53"/>
      <c r="DOM75" s="53"/>
      <c r="DON75" s="53"/>
      <c r="DOO75" s="53"/>
      <c r="DOP75" s="53"/>
      <c r="DOQ75" s="53"/>
      <c r="DOR75" s="53"/>
      <c r="DOS75" s="53"/>
      <c r="DOT75" s="53"/>
      <c r="DOU75" s="53"/>
      <c r="DOV75" s="53"/>
      <c r="DOW75" s="53"/>
      <c r="DOX75" s="53"/>
      <c r="DOY75" s="53"/>
      <c r="DOZ75" s="53"/>
      <c r="DPA75" s="53"/>
      <c r="DPB75" s="53"/>
      <c r="DPC75" s="53"/>
      <c r="DPD75" s="53"/>
      <c r="DPE75" s="53"/>
      <c r="DPF75" s="53"/>
      <c r="DPG75" s="53"/>
      <c r="DPH75" s="53"/>
      <c r="DPI75" s="53"/>
      <c r="DPJ75" s="53"/>
      <c r="DPK75" s="53"/>
      <c r="DPL75" s="53"/>
      <c r="DPM75" s="53"/>
      <c r="DPN75" s="53"/>
      <c r="DPO75" s="53"/>
      <c r="DPP75" s="53"/>
      <c r="DPQ75" s="53"/>
      <c r="DPR75" s="53"/>
      <c r="DPS75" s="53"/>
      <c r="DPT75" s="53"/>
      <c r="DPU75" s="53"/>
      <c r="DPV75" s="53"/>
      <c r="DPW75" s="53"/>
      <c r="DPX75" s="53"/>
      <c r="DPY75" s="53"/>
      <c r="DPZ75" s="53"/>
      <c r="DQA75" s="53"/>
      <c r="DQB75" s="53"/>
      <c r="DQC75" s="53"/>
      <c r="DQD75" s="53"/>
      <c r="DQE75" s="53"/>
      <c r="DQF75" s="53"/>
      <c r="DQG75" s="53"/>
      <c r="DQH75" s="53"/>
      <c r="DQI75" s="53"/>
      <c r="DQJ75" s="53"/>
      <c r="DQK75" s="53"/>
      <c r="DQL75" s="53"/>
      <c r="DQM75" s="53"/>
      <c r="DQN75" s="53"/>
      <c r="DQO75" s="53"/>
      <c r="DQP75" s="53"/>
      <c r="DQQ75" s="53"/>
      <c r="DQR75" s="53"/>
      <c r="DQS75" s="53"/>
      <c r="DQT75" s="53"/>
      <c r="DQU75" s="53"/>
      <c r="DQV75" s="53"/>
      <c r="DQW75" s="53"/>
      <c r="DQX75" s="53"/>
      <c r="DQY75" s="53"/>
      <c r="DQZ75" s="53"/>
      <c r="DRA75" s="53"/>
      <c r="DRB75" s="53"/>
      <c r="DRC75" s="53"/>
      <c r="DRD75" s="53"/>
      <c r="DRE75" s="53"/>
      <c r="DRF75" s="53"/>
      <c r="DRG75" s="53"/>
      <c r="DRH75" s="53"/>
      <c r="DRI75" s="53"/>
      <c r="DRJ75" s="53"/>
      <c r="DRK75" s="53"/>
      <c r="DRL75" s="53"/>
      <c r="DRM75" s="53"/>
      <c r="DRN75" s="53"/>
      <c r="DRO75" s="53"/>
      <c r="DRP75" s="53"/>
      <c r="DRQ75" s="53"/>
      <c r="DRR75" s="53"/>
      <c r="DRS75" s="53"/>
      <c r="DRT75" s="53"/>
      <c r="DRU75" s="53"/>
      <c r="DRV75" s="53"/>
      <c r="DRW75" s="53"/>
      <c r="DRX75" s="53"/>
      <c r="DRY75" s="53"/>
      <c r="DRZ75" s="53"/>
      <c r="DSA75" s="53"/>
      <c r="DSB75" s="53"/>
      <c r="DSC75" s="53"/>
      <c r="DSD75" s="53"/>
      <c r="DSE75" s="53"/>
      <c r="DSF75" s="53"/>
      <c r="DSG75" s="53"/>
      <c r="DSH75" s="53"/>
      <c r="DSI75" s="53"/>
      <c r="DSJ75" s="53"/>
      <c r="DSK75" s="53"/>
      <c r="DSL75" s="53"/>
      <c r="DSM75" s="53"/>
      <c r="DSN75" s="53"/>
      <c r="DSO75" s="53"/>
      <c r="DSP75" s="53"/>
      <c r="DSQ75" s="53"/>
      <c r="DSR75" s="53"/>
      <c r="DSS75" s="53"/>
      <c r="DST75" s="53"/>
      <c r="DSU75" s="53"/>
      <c r="DSV75" s="53"/>
      <c r="DSW75" s="53"/>
      <c r="DSX75" s="53"/>
      <c r="DSY75" s="53"/>
      <c r="DSZ75" s="53"/>
      <c r="DTA75" s="53"/>
      <c r="DTB75" s="53"/>
      <c r="DTC75" s="53"/>
      <c r="DTD75" s="53"/>
      <c r="DTE75" s="53"/>
      <c r="DTF75" s="53"/>
      <c r="DTG75" s="53"/>
      <c r="DTH75" s="53"/>
      <c r="DTI75" s="53"/>
      <c r="DTJ75" s="53"/>
      <c r="DTK75" s="53"/>
      <c r="DTL75" s="53"/>
      <c r="DTM75" s="53"/>
      <c r="DTN75" s="53"/>
      <c r="DTO75" s="53"/>
      <c r="DTP75" s="53"/>
      <c r="DTQ75" s="53"/>
      <c r="DTR75" s="53"/>
      <c r="DTS75" s="53"/>
      <c r="DTT75" s="53"/>
      <c r="DTU75" s="53"/>
      <c r="DTV75" s="53"/>
      <c r="DTW75" s="53"/>
      <c r="DTX75" s="53"/>
      <c r="DTY75" s="53"/>
      <c r="DTZ75" s="53"/>
      <c r="DUA75" s="53"/>
      <c r="DUB75" s="53"/>
      <c r="DUC75" s="53"/>
      <c r="DUD75" s="53"/>
      <c r="DUE75" s="53"/>
      <c r="DUF75" s="53"/>
      <c r="DUG75" s="53"/>
      <c r="DUH75" s="53"/>
      <c r="DUI75" s="53"/>
      <c r="DUJ75" s="53"/>
      <c r="DUK75" s="53"/>
      <c r="DUL75" s="53"/>
      <c r="DUM75" s="53"/>
      <c r="DUN75" s="53"/>
      <c r="DUO75" s="53"/>
      <c r="DUP75" s="53"/>
      <c r="DUQ75" s="53"/>
      <c r="DUR75" s="53"/>
      <c r="DUS75" s="53"/>
      <c r="DUT75" s="53"/>
      <c r="DUU75" s="53"/>
      <c r="DUV75" s="53"/>
      <c r="DUW75" s="53"/>
      <c r="DUX75" s="53"/>
      <c r="DUY75" s="53"/>
      <c r="DUZ75" s="53"/>
      <c r="DVA75" s="53"/>
      <c r="DVB75" s="53"/>
      <c r="DVC75" s="53"/>
      <c r="DVD75" s="53"/>
      <c r="DVE75" s="53"/>
      <c r="DVF75" s="53"/>
      <c r="DVG75" s="53"/>
      <c r="DVH75" s="53"/>
      <c r="DVI75" s="53"/>
      <c r="DVJ75" s="53"/>
      <c r="DVK75" s="53"/>
      <c r="DVL75" s="53"/>
      <c r="DVM75" s="53"/>
      <c r="DVN75" s="53"/>
      <c r="DVO75" s="53"/>
      <c r="DVP75" s="53"/>
      <c r="DVQ75" s="53"/>
      <c r="DVR75" s="53"/>
      <c r="DVS75" s="53"/>
      <c r="DVT75" s="53"/>
      <c r="DVU75" s="53"/>
      <c r="DVV75" s="53"/>
      <c r="DVW75" s="53"/>
      <c r="DVX75" s="53"/>
      <c r="DVY75" s="53"/>
      <c r="DVZ75" s="53"/>
      <c r="DWA75" s="53"/>
      <c r="DWB75" s="53"/>
      <c r="DWC75" s="53"/>
      <c r="DWD75" s="53"/>
      <c r="DWE75" s="53"/>
      <c r="DWF75" s="53"/>
      <c r="DWG75" s="53"/>
      <c r="DWH75" s="53"/>
      <c r="DWI75" s="53"/>
      <c r="DWJ75" s="53"/>
      <c r="DWK75" s="53"/>
      <c r="DWL75" s="53"/>
      <c r="DWM75" s="53"/>
      <c r="DWN75" s="53"/>
      <c r="DWO75" s="53"/>
      <c r="DWP75" s="53"/>
      <c r="DWQ75" s="53"/>
      <c r="DWR75" s="53"/>
      <c r="DWS75" s="53"/>
      <c r="DWT75" s="53"/>
      <c r="DWU75" s="53"/>
      <c r="DWV75" s="53"/>
      <c r="DWW75" s="53"/>
      <c r="DWX75" s="53"/>
      <c r="DWY75" s="53"/>
      <c r="DWZ75" s="53"/>
      <c r="DXA75" s="53"/>
      <c r="DXB75" s="53"/>
      <c r="DXC75" s="53"/>
      <c r="DXD75" s="53"/>
      <c r="DXE75" s="53"/>
      <c r="DXF75" s="53"/>
      <c r="DXG75" s="53"/>
      <c r="DXH75" s="53"/>
      <c r="DXI75" s="53"/>
      <c r="DXJ75" s="53"/>
      <c r="DXK75" s="53"/>
      <c r="DXL75" s="53"/>
      <c r="DXM75" s="53"/>
      <c r="DXN75" s="53"/>
      <c r="DXO75" s="53"/>
      <c r="DXP75" s="53"/>
      <c r="DXQ75" s="53"/>
      <c r="DXR75" s="53"/>
      <c r="DXS75" s="53"/>
      <c r="DXT75" s="53"/>
      <c r="DXU75" s="53"/>
      <c r="DXV75" s="53"/>
      <c r="DXW75" s="53"/>
      <c r="DXX75" s="53"/>
      <c r="DXY75" s="53"/>
      <c r="DXZ75" s="53"/>
      <c r="DYA75" s="53"/>
      <c r="DYB75" s="53"/>
      <c r="DYC75" s="53"/>
      <c r="DYD75" s="53"/>
      <c r="DYE75" s="53"/>
      <c r="DYF75" s="53"/>
      <c r="DYG75" s="53"/>
      <c r="DYH75" s="53"/>
      <c r="DYI75" s="53"/>
      <c r="DYJ75" s="53"/>
      <c r="DYK75" s="53"/>
      <c r="DYL75" s="53"/>
      <c r="DYM75" s="53"/>
      <c r="DYN75" s="53"/>
      <c r="DYO75" s="53"/>
      <c r="DYP75" s="53"/>
      <c r="DYQ75" s="53"/>
      <c r="DYR75" s="53"/>
      <c r="DYS75" s="53"/>
      <c r="DYT75" s="53"/>
      <c r="DYU75" s="53"/>
      <c r="DYV75" s="53"/>
      <c r="DYW75" s="53"/>
      <c r="DYX75" s="53"/>
      <c r="DYY75" s="53"/>
      <c r="DYZ75" s="53"/>
      <c r="DZA75" s="53"/>
      <c r="DZB75" s="53"/>
      <c r="DZC75" s="53"/>
      <c r="DZD75" s="53"/>
      <c r="DZE75" s="53"/>
      <c r="DZF75" s="53"/>
      <c r="DZG75" s="53"/>
      <c r="DZH75" s="53"/>
      <c r="DZI75" s="53"/>
      <c r="DZJ75" s="53"/>
      <c r="DZK75" s="53"/>
      <c r="DZL75" s="53"/>
      <c r="DZM75" s="53"/>
      <c r="DZN75" s="53"/>
      <c r="DZO75" s="53"/>
      <c r="DZP75" s="53"/>
      <c r="DZQ75" s="53"/>
      <c r="DZR75" s="53"/>
      <c r="DZS75" s="53"/>
      <c r="DZT75" s="53"/>
      <c r="DZU75" s="53"/>
      <c r="DZV75" s="53"/>
      <c r="DZW75" s="53"/>
      <c r="DZX75" s="53"/>
      <c r="DZY75" s="53"/>
      <c r="DZZ75" s="53"/>
      <c r="EAA75" s="53"/>
      <c r="EAB75" s="53"/>
      <c r="EAC75" s="53"/>
      <c r="EAD75" s="53"/>
      <c r="EAE75" s="53"/>
      <c r="EAF75" s="53"/>
      <c r="EAG75" s="53"/>
      <c r="EAH75" s="53"/>
      <c r="EAI75" s="53"/>
      <c r="EAJ75" s="53"/>
      <c r="EAK75" s="53"/>
      <c r="EAL75" s="53"/>
      <c r="EAM75" s="53"/>
      <c r="EAN75" s="53"/>
      <c r="EAO75" s="53"/>
      <c r="EAP75" s="53"/>
      <c r="EAQ75" s="53"/>
      <c r="EAR75" s="53"/>
      <c r="EAS75" s="53"/>
      <c r="EAT75" s="53"/>
      <c r="EAU75" s="53"/>
      <c r="EAV75" s="53"/>
      <c r="EAW75" s="53"/>
      <c r="EAX75" s="53"/>
      <c r="EAY75" s="53"/>
      <c r="EAZ75" s="53"/>
      <c r="EBA75" s="53"/>
      <c r="EBB75" s="53"/>
      <c r="EBC75" s="53"/>
      <c r="EBD75" s="53"/>
      <c r="EBE75" s="53"/>
      <c r="EBF75" s="53"/>
      <c r="EBG75" s="53"/>
      <c r="EBH75" s="53"/>
      <c r="EBI75" s="53"/>
      <c r="EBJ75" s="53"/>
      <c r="EBK75" s="53"/>
      <c r="EBL75" s="53"/>
      <c r="EBM75" s="53"/>
      <c r="EBN75" s="53"/>
      <c r="EBO75" s="53"/>
      <c r="EBP75" s="53"/>
      <c r="EBQ75" s="53"/>
      <c r="EBR75" s="53"/>
      <c r="EBS75" s="53"/>
      <c r="EBT75" s="53"/>
      <c r="EBU75" s="53"/>
      <c r="EBV75" s="53"/>
      <c r="EBW75" s="53"/>
      <c r="EBX75" s="53"/>
      <c r="EBY75" s="53"/>
      <c r="EBZ75" s="53"/>
      <c r="ECA75" s="53"/>
      <c r="ECB75" s="53"/>
      <c r="ECC75" s="53"/>
      <c r="ECD75" s="53"/>
      <c r="ECE75" s="53"/>
      <c r="ECF75" s="53"/>
      <c r="ECG75" s="53"/>
      <c r="ECH75" s="53"/>
      <c r="ECI75" s="53"/>
      <c r="ECJ75" s="53"/>
      <c r="ECK75" s="53"/>
      <c r="ECL75" s="53"/>
      <c r="ECM75" s="53"/>
      <c r="ECN75" s="53"/>
      <c r="ECO75" s="53"/>
      <c r="ECP75" s="53"/>
      <c r="ECQ75" s="53"/>
      <c r="ECR75" s="53"/>
      <c r="ECS75" s="53"/>
      <c r="ECT75" s="53"/>
      <c r="ECU75" s="53"/>
      <c r="ECV75" s="53"/>
      <c r="ECW75" s="53"/>
      <c r="ECX75" s="53"/>
      <c r="ECY75" s="53"/>
      <c r="ECZ75" s="53"/>
      <c r="EDA75" s="53"/>
      <c r="EDB75" s="53"/>
      <c r="EDC75" s="53"/>
      <c r="EDD75" s="53"/>
      <c r="EDE75" s="53"/>
      <c r="EDF75" s="53"/>
      <c r="EDG75" s="53"/>
      <c r="EDH75" s="53"/>
      <c r="EDI75" s="53"/>
      <c r="EDJ75" s="53"/>
      <c r="EDK75" s="53"/>
      <c r="EDL75" s="53"/>
      <c r="EDM75" s="53"/>
      <c r="EDN75" s="53"/>
      <c r="EDO75" s="53"/>
      <c r="EDP75" s="53"/>
      <c r="EDQ75" s="53"/>
      <c r="EDR75" s="53"/>
      <c r="EDS75" s="53"/>
      <c r="EDT75" s="53"/>
      <c r="EDU75" s="53"/>
      <c r="EDV75" s="53"/>
      <c r="EDW75" s="53"/>
      <c r="EDX75" s="53"/>
      <c r="EDY75" s="53"/>
      <c r="EDZ75" s="53"/>
      <c r="EEA75" s="53"/>
      <c r="EEB75" s="53"/>
      <c r="EEC75" s="53"/>
      <c r="EED75" s="53"/>
      <c r="EEE75" s="53"/>
      <c r="EEF75" s="53"/>
      <c r="EEG75" s="53"/>
      <c r="EEH75" s="53"/>
      <c r="EEI75" s="53"/>
      <c r="EEJ75" s="53"/>
      <c r="EEK75" s="53"/>
      <c r="EEL75" s="53"/>
      <c r="EEM75" s="53"/>
      <c r="EEN75" s="53"/>
      <c r="EEO75" s="53"/>
      <c r="EEP75" s="53"/>
      <c r="EEQ75" s="53"/>
      <c r="EER75" s="53"/>
      <c r="EES75" s="53"/>
      <c r="EET75" s="53"/>
      <c r="EEU75" s="53"/>
      <c r="EEV75" s="53"/>
      <c r="EEW75" s="53"/>
      <c r="EEX75" s="53"/>
      <c r="EEY75" s="53"/>
      <c r="EEZ75" s="53"/>
      <c r="EFA75" s="53"/>
      <c r="EFB75" s="53"/>
      <c r="EFC75" s="53"/>
      <c r="EFD75" s="53"/>
      <c r="EFE75" s="53"/>
      <c r="EFF75" s="53"/>
      <c r="EFG75" s="53"/>
      <c r="EFH75" s="53"/>
      <c r="EFI75" s="53"/>
      <c r="EFJ75" s="53"/>
      <c r="EFK75" s="53"/>
      <c r="EFL75" s="53"/>
      <c r="EFM75" s="53"/>
      <c r="EFN75" s="53"/>
      <c r="EFO75" s="53"/>
      <c r="EFP75" s="53"/>
      <c r="EFQ75" s="53"/>
      <c r="EFR75" s="53"/>
      <c r="EFS75" s="53"/>
      <c r="EFT75" s="53"/>
      <c r="EFU75" s="53"/>
      <c r="EFV75" s="53"/>
      <c r="EFW75" s="53"/>
      <c r="EFX75" s="53"/>
      <c r="EFY75" s="53"/>
      <c r="EFZ75" s="53"/>
      <c r="EGA75" s="53"/>
      <c r="EGB75" s="53"/>
      <c r="EGC75" s="53"/>
      <c r="EGD75" s="53"/>
      <c r="EGE75" s="53"/>
      <c r="EGF75" s="53"/>
      <c r="EGG75" s="53"/>
      <c r="EGH75" s="53"/>
      <c r="EGI75" s="53"/>
      <c r="EGJ75" s="53"/>
      <c r="EGK75" s="53"/>
      <c r="EGL75" s="53"/>
      <c r="EGM75" s="53"/>
      <c r="EGN75" s="53"/>
      <c r="EGO75" s="53"/>
      <c r="EGP75" s="53"/>
      <c r="EGQ75" s="53"/>
      <c r="EGR75" s="53"/>
      <c r="EGS75" s="53"/>
      <c r="EGT75" s="53"/>
      <c r="EGU75" s="53"/>
      <c r="EGV75" s="53"/>
      <c r="EGW75" s="53"/>
      <c r="EGX75" s="53"/>
      <c r="EGY75" s="53"/>
      <c r="EGZ75" s="53"/>
      <c r="EHA75" s="53"/>
      <c r="EHB75" s="53"/>
      <c r="EHC75" s="53"/>
      <c r="EHD75" s="53"/>
      <c r="EHE75" s="53"/>
      <c r="EHF75" s="53"/>
      <c r="EHG75" s="53"/>
      <c r="EHH75" s="53"/>
      <c r="EHI75" s="53"/>
      <c r="EHJ75" s="53"/>
      <c r="EHK75" s="53"/>
      <c r="EHL75" s="53"/>
      <c r="EHM75" s="53"/>
      <c r="EHN75" s="53"/>
      <c r="EHO75" s="53"/>
      <c r="EHP75" s="53"/>
      <c r="EHQ75" s="53"/>
      <c r="EHR75" s="53"/>
      <c r="EHS75" s="53"/>
      <c r="EHT75" s="53"/>
      <c r="EHU75" s="53"/>
      <c r="EHV75" s="53"/>
      <c r="EHW75" s="53"/>
      <c r="EHX75" s="53"/>
      <c r="EHY75" s="53"/>
      <c r="EHZ75" s="53"/>
      <c r="EIA75" s="53"/>
      <c r="EIB75" s="53"/>
      <c r="EIC75" s="53"/>
      <c r="EID75" s="53"/>
      <c r="EIE75" s="53"/>
      <c r="EIF75" s="53"/>
      <c r="EIG75" s="53"/>
      <c r="EIH75" s="53"/>
      <c r="EII75" s="53"/>
      <c r="EIJ75" s="53"/>
      <c r="EIK75" s="53"/>
      <c r="EIL75" s="53"/>
      <c r="EIM75" s="53"/>
      <c r="EIN75" s="53"/>
      <c r="EIO75" s="53"/>
      <c r="EIP75" s="53"/>
      <c r="EIQ75" s="53"/>
      <c r="EIR75" s="53"/>
      <c r="EIS75" s="53"/>
      <c r="EIT75" s="53"/>
      <c r="EIU75" s="53"/>
      <c r="EIV75" s="53"/>
      <c r="EIW75" s="53"/>
      <c r="EIX75" s="53"/>
      <c r="EIY75" s="53"/>
      <c r="EIZ75" s="53"/>
      <c r="EJA75" s="53"/>
      <c r="EJB75" s="53"/>
      <c r="EJC75" s="53"/>
      <c r="EJD75" s="53"/>
      <c r="EJE75" s="53"/>
      <c r="EJF75" s="53"/>
      <c r="EJG75" s="53"/>
      <c r="EJH75" s="53"/>
      <c r="EJI75" s="53"/>
      <c r="EJJ75" s="53"/>
      <c r="EJK75" s="53"/>
      <c r="EJL75" s="53"/>
      <c r="EJM75" s="53"/>
      <c r="EJN75" s="53"/>
      <c r="EJO75" s="53"/>
      <c r="EJP75" s="53"/>
      <c r="EJQ75" s="53"/>
      <c r="EJR75" s="53"/>
      <c r="EJS75" s="53"/>
      <c r="EJT75" s="53"/>
      <c r="EJU75" s="53"/>
      <c r="EJV75" s="53"/>
      <c r="EJW75" s="53"/>
      <c r="EJX75" s="53"/>
      <c r="EJY75" s="53"/>
      <c r="EJZ75" s="53"/>
      <c r="EKA75" s="53"/>
      <c r="EKB75" s="53"/>
      <c r="EKC75" s="53"/>
      <c r="EKD75" s="53"/>
      <c r="EKE75" s="53"/>
      <c r="EKF75" s="53"/>
      <c r="EKG75" s="53"/>
      <c r="EKH75" s="53"/>
      <c r="EKI75" s="53"/>
      <c r="EKJ75" s="53"/>
      <c r="EKK75" s="53"/>
      <c r="EKL75" s="53"/>
      <c r="EKM75" s="53"/>
      <c r="EKN75" s="53"/>
      <c r="EKO75" s="53"/>
      <c r="EKP75" s="53"/>
      <c r="EKQ75" s="53"/>
      <c r="EKR75" s="53"/>
      <c r="EKS75" s="53"/>
      <c r="EKT75" s="53"/>
      <c r="EKU75" s="53"/>
      <c r="EKV75" s="53"/>
      <c r="EKW75" s="53"/>
      <c r="EKX75" s="53"/>
      <c r="EKY75" s="53"/>
      <c r="EKZ75" s="53"/>
      <c r="ELA75" s="53"/>
      <c r="ELB75" s="53"/>
      <c r="ELC75" s="53"/>
      <c r="ELD75" s="53"/>
      <c r="ELE75" s="53"/>
      <c r="ELF75" s="53"/>
      <c r="ELG75" s="53"/>
      <c r="ELH75" s="53"/>
      <c r="ELI75" s="53"/>
      <c r="ELJ75" s="53"/>
      <c r="ELK75" s="53"/>
      <c r="ELL75" s="53"/>
      <c r="ELM75" s="53"/>
      <c r="ELN75" s="53"/>
      <c r="ELO75" s="53"/>
      <c r="ELP75" s="53"/>
      <c r="ELQ75" s="53"/>
      <c r="ELR75" s="53"/>
      <c r="ELS75" s="53"/>
      <c r="ELT75" s="53"/>
      <c r="ELU75" s="53"/>
      <c r="ELV75" s="53"/>
      <c r="ELW75" s="53"/>
      <c r="ELX75" s="53"/>
      <c r="ELY75" s="53"/>
      <c r="ELZ75" s="53"/>
      <c r="EMA75" s="53"/>
      <c r="EMB75" s="53"/>
      <c r="EMC75" s="53"/>
      <c r="EMD75" s="53"/>
      <c r="EME75" s="53"/>
      <c r="EMF75" s="53"/>
      <c r="EMG75" s="53"/>
      <c r="EMH75" s="53"/>
      <c r="EMI75" s="53"/>
      <c r="EMJ75" s="53"/>
      <c r="EMK75" s="53"/>
      <c r="EML75" s="53"/>
      <c r="EMM75" s="53"/>
      <c r="EMN75" s="53"/>
      <c r="EMO75" s="53"/>
      <c r="EMP75" s="53"/>
      <c r="EMQ75" s="53"/>
      <c r="EMR75" s="53"/>
      <c r="EMS75" s="53"/>
      <c r="EMT75" s="53"/>
      <c r="EMU75" s="53"/>
      <c r="EMV75" s="53"/>
      <c r="EMW75" s="53"/>
      <c r="EMX75" s="53"/>
      <c r="EMY75" s="53"/>
      <c r="EMZ75" s="53"/>
      <c r="ENA75" s="53"/>
      <c r="ENB75" s="53"/>
      <c r="ENC75" s="53"/>
      <c r="END75" s="53"/>
      <c r="ENE75" s="53"/>
      <c r="ENF75" s="53"/>
      <c r="ENG75" s="53"/>
      <c r="ENH75" s="53"/>
      <c r="ENI75" s="53"/>
      <c r="ENJ75" s="53"/>
      <c r="ENK75" s="53"/>
      <c r="ENL75" s="53"/>
      <c r="ENM75" s="53"/>
      <c r="ENN75" s="53"/>
      <c r="ENO75" s="53"/>
      <c r="ENP75" s="53"/>
      <c r="ENQ75" s="53"/>
      <c r="ENR75" s="53"/>
      <c r="ENS75" s="53"/>
      <c r="ENT75" s="53"/>
      <c r="ENU75" s="53"/>
      <c r="ENV75" s="53"/>
      <c r="ENW75" s="53"/>
      <c r="ENX75" s="53"/>
      <c r="ENY75" s="53"/>
      <c r="ENZ75" s="53"/>
      <c r="EOA75" s="53"/>
      <c r="EOB75" s="53"/>
      <c r="EOC75" s="53"/>
      <c r="EOD75" s="53"/>
      <c r="EOE75" s="53"/>
      <c r="EOF75" s="53"/>
      <c r="EOG75" s="53"/>
      <c r="EOH75" s="53"/>
      <c r="EOI75" s="53"/>
      <c r="EOJ75" s="53"/>
      <c r="EOK75" s="53"/>
      <c r="EOL75" s="53"/>
      <c r="EOM75" s="53"/>
      <c r="EON75" s="53"/>
      <c r="EOO75" s="53"/>
      <c r="EOP75" s="53"/>
      <c r="EOQ75" s="53"/>
      <c r="EOR75" s="53"/>
      <c r="EOS75" s="53"/>
      <c r="EOT75" s="53"/>
      <c r="EOU75" s="53"/>
      <c r="EOV75" s="53"/>
      <c r="EOW75" s="53"/>
      <c r="EOX75" s="53"/>
      <c r="EOY75" s="53"/>
      <c r="EOZ75" s="53"/>
      <c r="EPA75" s="53"/>
      <c r="EPB75" s="53"/>
      <c r="EPC75" s="53"/>
      <c r="EPD75" s="53"/>
      <c r="EPE75" s="53"/>
      <c r="EPF75" s="53"/>
      <c r="EPG75" s="53"/>
      <c r="EPH75" s="53"/>
      <c r="EPI75" s="53"/>
      <c r="EPJ75" s="53"/>
      <c r="EPK75" s="53"/>
      <c r="EPL75" s="53"/>
      <c r="EPM75" s="53"/>
      <c r="EPN75" s="53"/>
      <c r="EPO75" s="53"/>
      <c r="EPP75" s="53"/>
      <c r="EPQ75" s="53"/>
      <c r="EPR75" s="53"/>
      <c r="EPS75" s="53"/>
      <c r="EPT75" s="53"/>
      <c r="EPU75" s="53"/>
      <c r="EPV75" s="53"/>
      <c r="EPW75" s="53"/>
      <c r="EPX75" s="53"/>
      <c r="EPY75" s="53"/>
      <c r="EPZ75" s="53"/>
      <c r="EQA75" s="53"/>
      <c r="EQB75" s="53"/>
      <c r="EQC75" s="53"/>
      <c r="EQD75" s="53"/>
      <c r="EQE75" s="53"/>
      <c r="EQF75" s="53"/>
      <c r="EQG75" s="53"/>
      <c r="EQH75" s="53"/>
      <c r="EQI75" s="53"/>
      <c r="EQJ75" s="53"/>
      <c r="EQK75" s="53"/>
      <c r="EQL75" s="53"/>
      <c r="EQM75" s="53"/>
      <c r="EQN75" s="53"/>
      <c r="EQO75" s="53"/>
      <c r="EQP75" s="53"/>
      <c r="EQQ75" s="53"/>
      <c r="EQR75" s="53"/>
      <c r="EQS75" s="53"/>
      <c r="EQT75" s="53"/>
      <c r="EQU75" s="53"/>
      <c r="EQV75" s="53"/>
      <c r="EQW75" s="53"/>
      <c r="EQX75" s="53"/>
      <c r="EQY75" s="53"/>
      <c r="EQZ75" s="53"/>
      <c r="ERA75" s="53"/>
      <c r="ERB75" s="53"/>
      <c r="ERC75" s="53"/>
      <c r="ERD75" s="53"/>
      <c r="ERE75" s="53"/>
      <c r="ERF75" s="53"/>
      <c r="ERG75" s="53"/>
      <c r="ERH75" s="53"/>
      <c r="ERI75" s="53"/>
      <c r="ERJ75" s="53"/>
      <c r="ERK75" s="53"/>
      <c r="ERL75" s="53"/>
      <c r="ERM75" s="53"/>
      <c r="ERN75" s="53"/>
      <c r="ERO75" s="53"/>
      <c r="ERP75" s="53"/>
      <c r="ERQ75" s="53"/>
      <c r="ERR75" s="53"/>
      <c r="ERS75" s="53"/>
      <c r="ERT75" s="53"/>
      <c r="ERU75" s="53"/>
      <c r="ERV75" s="53"/>
      <c r="ERW75" s="53"/>
      <c r="ERX75" s="53"/>
      <c r="ERY75" s="53"/>
      <c r="ERZ75" s="53"/>
      <c r="ESA75" s="53"/>
      <c r="ESB75" s="53"/>
      <c r="ESC75" s="53"/>
      <c r="ESD75" s="53"/>
      <c r="ESE75" s="53"/>
      <c r="ESF75" s="53"/>
      <c r="ESG75" s="53"/>
      <c r="ESH75" s="53"/>
      <c r="ESI75" s="53"/>
      <c r="ESJ75" s="53"/>
      <c r="ESK75" s="53"/>
      <c r="ESL75" s="53"/>
      <c r="ESM75" s="53"/>
      <c r="ESN75" s="53"/>
      <c r="ESO75" s="53"/>
      <c r="ESP75" s="53"/>
      <c r="ESQ75" s="53"/>
      <c r="ESR75" s="53"/>
      <c r="ESS75" s="53"/>
      <c r="EST75" s="53"/>
      <c r="ESU75" s="53"/>
      <c r="ESV75" s="53"/>
      <c r="ESW75" s="53"/>
      <c r="ESX75" s="53"/>
      <c r="ESY75" s="53"/>
      <c r="ESZ75" s="53"/>
      <c r="ETA75" s="53"/>
      <c r="ETB75" s="53"/>
      <c r="ETC75" s="53"/>
      <c r="ETD75" s="53"/>
      <c r="ETE75" s="53"/>
      <c r="ETF75" s="53"/>
      <c r="ETG75" s="53"/>
      <c r="ETH75" s="53"/>
      <c r="ETI75" s="53"/>
      <c r="ETJ75" s="53"/>
      <c r="ETK75" s="53"/>
      <c r="ETL75" s="53"/>
      <c r="ETM75" s="53"/>
      <c r="ETN75" s="53"/>
      <c r="ETO75" s="53"/>
      <c r="ETP75" s="53"/>
      <c r="ETQ75" s="53"/>
      <c r="ETR75" s="53"/>
      <c r="ETS75" s="53"/>
      <c r="ETT75" s="53"/>
      <c r="ETU75" s="53"/>
      <c r="ETV75" s="53"/>
      <c r="ETW75" s="53"/>
      <c r="ETX75" s="53"/>
      <c r="ETY75" s="53"/>
      <c r="ETZ75" s="53"/>
      <c r="EUA75" s="53"/>
      <c r="EUB75" s="53"/>
      <c r="EUC75" s="53"/>
      <c r="EUD75" s="53"/>
      <c r="EUE75" s="53"/>
      <c r="EUF75" s="53"/>
      <c r="EUG75" s="53"/>
      <c r="EUH75" s="53"/>
      <c r="EUI75" s="53"/>
      <c r="EUJ75" s="53"/>
      <c r="EUK75" s="53"/>
      <c r="EUL75" s="53"/>
      <c r="EUM75" s="53"/>
      <c r="EUN75" s="53"/>
      <c r="EUO75" s="53"/>
      <c r="EUP75" s="53"/>
      <c r="EUQ75" s="53"/>
      <c r="EUR75" s="53"/>
      <c r="EUS75" s="53"/>
      <c r="EUT75" s="53"/>
      <c r="EUU75" s="53"/>
      <c r="EUV75" s="53"/>
      <c r="EUW75" s="53"/>
      <c r="EUX75" s="53"/>
      <c r="EUY75" s="53"/>
      <c r="EUZ75" s="53"/>
      <c r="EVA75" s="53"/>
      <c r="EVB75" s="53"/>
      <c r="EVC75" s="53"/>
      <c r="EVD75" s="53"/>
      <c r="EVE75" s="53"/>
      <c r="EVF75" s="53"/>
      <c r="EVG75" s="53"/>
      <c r="EVH75" s="53"/>
      <c r="EVI75" s="53"/>
      <c r="EVJ75" s="53"/>
      <c r="EVK75" s="53"/>
      <c r="EVL75" s="53"/>
      <c r="EVM75" s="53"/>
      <c r="EVN75" s="53"/>
      <c r="EVO75" s="53"/>
      <c r="EVP75" s="53"/>
      <c r="EVQ75" s="53"/>
      <c r="EVR75" s="53"/>
      <c r="EVS75" s="53"/>
      <c r="EVT75" s="53"/>
      <c r="EVU75" s="53"/>
      <c r="EVV75" s="53"/>
      <c r="EVW75" s="53"/>
      <c r="EVX75" s="53"/>
      <c r="EVY75" s="53"/>
      <c r="EVZ75" s="53"/>
      <c r="EWA75" s="53"/>
      <c r="EWB75" s="53"/>
      <c r="EWC75" s="53"/>
      <c r="EWD75" s="53"/>
      <c r="EWE75" s="53"/>
      <c r="EWF75" s="53"/>
      <c r="EWG75" s="53"/>
      <c r="EWH75" s="53"/>
      <c r="EWI75" s="53"/>
      <c r="EWJ75" s="53"/>
      <c r="EWK75" s="53"/>
      <c r="EWL75" s="53"/>
      <c r="EWM75" s="53"/>
      <c r="EWN75" s="53"/>
      <c r="EWO75" s="53"/>
      <c r="EWP75" s="53"/>
      <c r="EWQ75" s="53"/>
      <c r="EWR75" s="53"/>
      <c r="EWS75" s="53"/>
      <c r="EWT75" s="53"/>
      <c r="EWU75" s="53"/>
      <c r="EWV75" s="53"/>
      <c r="EWW75" s="53"/>
      <c r="EWX75" s="53"/>
      <c r="EWY75" s="53"/>
      <c r="EWZ75" s="53"/>
      <c r="EXA75" s="53"/>
      <c r="EXB75" s="53"/>
      <c r="EXC75" s="53"/>
      <c r="EXD75" s="53"/>
      <c r="EXE75" s="53"/>
      <c r="EXF75" s="53"/>
      <c r="EXG75" s="53"/>
      <c r="EXH75" s="53"/>
      <c r="EXI75" s="53"/>
      <c r="EXJ75" s="53"/>
      <c r="EXK75" s="53"/>
      <c r="EXL75" s="53"/>
      <c r="EXM75" s="53"/>
      <c r="EXN75" s="53"/>
      <c r="EXO75" s="53"/>
      <c r="EXP75" s="53"/>
      <c r="EXQ75" s="53"/>
      <c r="EXR75" s="53"/>
      <c r="EXS75" s="53"/>
      <c r="EXT75" s="53"/>
      <c r="EXU75" s="53"/>
      <c r="EXV75" s="53"/>
      <c r="EXW75" s="53"/>
      <c r="EXX75" s="53"/>
      <c r="EXY75" s="53"/>
      <c r="EXZ75" s="53"/>
      <c r="EYA75" s="53"/>
      <c r="EYB75" s="53"/>
      <c r="EYC75" s="53"/>
      <c r="EYD75" s="53"/>
      <c r="EYE75" s="53"/>
      <c r="EYF75" s="53"/>
      <c r="EYG75" s="53"/>
      <c r="EYH75" s="53"/>
      <c r="EYI75" s="53"/>
      <c r="EYJ75" s="53"/>
      <c r="EYK75" s="53"/>
      <c r="EYL75" s="53"/>
      <c r="EYM75" s="53"/>
      <c r="EYN75" s="53"/>
      <c r="EYO75" s="53"/>
      <c r="EYP75" s="53"/>
      <c r="EYQ75" s="53"/>
      <c r="EYR75" s="53"/>
      <c r="EYS75" s="53"/>
      <c r="EYT75" s="53"/>
      <c r="EYU75" s="53"/>
      <c r="EYV75" s="53"/>
      <c r="EYW75" s="53"/>
      <c r="EYX75" s="53"/>
      <c r="EYY75" s="53"/>
      <c r="EYZ75" s="53"/>
      <c r="EZA75" s="53"/>
      <c r="EZB75" s="53"/>
      <c r="EZC75" s="53"/>
      <c r="EZD75" s="53"/>
      <c r="EZE75" s="53"/>
      <c r="EZF75" s="53"/>
      <c r="EZG75" s="53"/>
      <c r="EZH75" s="53"/>
      <c r="EZI75" s="53"/>
      <c r="EZJ75" s="53"/>
      <c r="EZK75" s="53"/>
      <c r="EZL75" s="53"/>
      <c r="EZM75" s="53"/>
      <c r="EZN75" s="53"/>
      <c r="EZO75" s="53"/>
      <c r="EZP75" s="53"/>
      <c r="EZQ75" s="53"/>
      <c r="EZR75" s="53"/>
      <c r="EZS75" s="53"/>
      <c r="EZT75" s="53"/>
      <c r="EZU75" s="53"/>
      <c r="EZV75" s="53"/>
      <c r="EZW75" s="53"/>
      <c r="EZX75" s="53"/>
      <c r="EZY75" s="53"/>
      <c r="EZZ75" s="53"/>
      <c r="FAA75" s="53"/>
      <c r="FAB75" s="53"/>
      <c r="FAC75" s="53"/>
      <c r="FAD75" s="53"/>
      <c r="FAE75" s="53"/>
      <c r="FAF75" s="53"/>
      <c r="FAG75" s="53"/>
      <c r="FAH75" s="53"/>
      <c r="FAI75" s="53"/>
      <c r="FAJ75" s="53"/>
      <c r="FAK75" s="53"/>
      <c r="FAL75" s="53"/>
      <c r="FAM75" s="53"/>
      <c r="FAN75" s="53"/>
      <c r="FAO75" s="53"/>
      <c r="FAP75" s="53"/>
      <c r="FAQ75" s="53"/>
      <c r="FAR75" s="53"/>
      <c r="FAS75" s="53"/>
      <c r="FAT75" s="53"/>
      <c r="FAU75" s="53"/>
      <c r="FAV75" s="53"/>
      <c r="FAW75" s="53"/>
      <c r="FAX75" s="53"/>
      <c r="FAY75" s="53"/>
      <c r="FAZ75" s="53"/>
      <c r="FBA75" s="53"/>
      <c r="FBB75" s="53"/>
      <c r="FBC75" s="53"/>
      <c r="FBD75" s="53"/>
      <c r="FBE75" s="53"/>
      <c r="FBF75" s="53"/>
      <c r="FBG75" s="53"/>
      <c r="FBH75" s="53"/>
      <c r="FBI75" s="53"/>
      <c r="FBJ75" s="53"/>
      <c r="FBK75" s="53"/>
      <c r="FBL75" s="53"/>
      <c r="FBM75" s="53"/>
      <c r="FBN75" s="53"/>
      <c r="FBO75" s="53"/>
      <c r="FBP75" s="53"/>
      <c r="FBQ75" s="53"/>
      <c r="FBR75" s="53"/>
      <c r="FBS75" s="53"/>
      <c r="FBT75" s="53"/>
      <c r="FBU75" s="53"/>
      <c r="FBV75" s="53"/>
      <c r="FBW75" s="53"/>
      <c r="FBX75" s="53"/>
      <c r="FBY75" s="53"/>
      <c r="FBZ75" s="53"/>
      <c r="FCA75" s="53"/>
      <c r="FCB75" s="53"/>
      <c r="FCC75" s="53"/>
      <c r="FCD75" s="53"/>
      <c r="FCE75" s="53"/>
      <c r="FCF75" s="53"/>
      <c r="FCG75" s="53"/>
      <c r="FCH75" s="53"/>
      <c r="FCI75" s="53"/>
      <c r="FCJ75" s="53"/>
      <c r="FCK75" s="53"/>
      <c r="FCL75" s="53"/>
      <c r="FCM75" s="53"/>
      <c r="FCN75" s="53"/>
      <c r="FCO75" s="53"/>
      <c r="FCP75" s="53"/>
      <c r="FCQ75" s="53"/>
      <c r="FCR75" s="53"/>
      <c r="FCS75" s="53"/>
      <c r="FCT75" s="53"/>
      <c r="FCU75" s="53"/>
      <c r="FCV75" s="53"/>
      <c r="FCW75" s="53"/>
      <c r="FCX75" s="53"/>
      <c r="FCY75" s="53"/>
      <c r="FCZ75" s="53"/>
      <c r="FDA75" s="53"/>
      <c r="FDB75" s="53"/>
      <c r="FDC75" s="53"/>
      <c r="FDD75" s="53"/>
      <c r="FDE75" s="53"/>
      <c r="FDF75" s="53"/>
      <c r="FDG75" s="53"/>
      <c r="FDH75" s="53"/>
      <c r="FDI75" s="53"/>
      <c r="FDJ75" s="53"/>
      <c r="FDK75" s="53"/>
      <c r="FDL75" s="53"/>
      <c r="FDM75" s="53"/>
      <c r="FDN75" s="53"/>
      <c r="FDO75" s="53"/>
      <c r="FDP75" s="53"/>
      <c r="FDQ75" s="53"/>
      <c r="FDR75" s="53"/>
      <c r="FDS75" s="53"/>
      <c r="FDT75" s="53"/>
      <c r="FDU75" s="53"/>
      <c r="FDV75" s="53"/>
      <c r="FDW75" s="53"/>
      <c r="FDX75" s="53"/>
      <c r="FDY75" s="53"/>
      <c r="FDZ75" s="53"/>
      <c r="FEA75" s="53"/>
      <c r="FEB75" s="53"/>
      <c r="FEC75" s="53"/>
      <c r="FED75" s="53"/>
      <c r="FEE75" s="53"/>
      <c r="FEF75" s="53"/>
      <c r="FEG75" s="53"/>
      <c r="FEH75" s="53"/>
      <c r="FEI75" s="53"/>
      <c r="FEJ75" s="53"/>
      <c r="FEK75" s="53"/>
      <c r="FEL75" s="53"/>
      <c r="FEM75" s="53"/>
      <c r="FEN75" s="53"/>
      <c r="FEO75" s="53"/>
      <c r="FEP75" s="53"/>
      <c r="FEQ75" s="53"/>
      <c r="FER75" s="53"/>
      <c r="FES75" s="53"/>
      <c r="FET75" s="53"/>
      <c r="FEU75" s="53"/>
      <c r="FEV75" s="53"/>
      <c r="FEW75" s="53"/>
      <c r="FEX75" s="53"/>
      <c r="FEY75" s="53"/>
      <c r="FEZ75" s="53"/>
      <c r="FFA75" s="53"/>
      <c r="FFB75" s="53"/>
      <c r="FFC75" s="53"/>
      <c r="FFD75" s="53"/>
      <c r="FFE75" s="53"/>
      <c r="FFF75" s="53"/>
      <c r="FFG75" s="53"/>
      <c r="FFH75" s="53"/>
      <c r="FFI75" s="53"/>
      <c r="FFJ75" s="53"/>
      <c r="FFK75" s="53"/>
      <c r="FFL75" s="53"/>
      <c r="FFM75" s="53"/>
      <c r="FFN75" s="53"/>
      <c r="FFO75" s="53"/>
      <c r="FFP75" s="53"/>
      <c r="FFQ75" s="53"/>
      <c r="FFR75" s="53"/>
      <c r="FFS75" s="53"/>
      <c r="FFT75" s="53"/>
      <c r="FFU75" s="53"/>
      <c r="FFV75" s="53"/>
      <c r="FFW75" s="53"/>
      <c r="FFX75" s="53"/>
      <c r="FFY75" s="53"/>
      <c r="FFZ75" s="53"/>
      <c r="FGA75" s="53"/>
      <c r="FGB75" s="53"/>
      <c r="FGC75" s="53"/>
      <c r="FGD75" s="53"/>
      <c r="FGE75" s="53"/>
      <c r="FGF75" s="53"/>
      <c r="FGG75" s="53"/>
      <c r="FGH75" s="53"/>
      <c r="FGI75" s="53"/>
      <c r="FGJ75" s="53"/>
      <c r="FGK75" s="53"/>
      <c r="FGL75" s="53"/>
      <c r="FGM75" s="53"/>
      <c r="FGN75" s="53"/>
      <c r="FGO75" s="53"/>
      <c r="FGP75" s="53"/>
      <c r="FGQ75" s="53"/>
      <c r="FGR75" s="53"/>
      <c r="FGS75" s="53"/>
      <c r="FGT75" s="53"/>
      <c r="FGU75" s="53"/>
      <c r="FGV75" s="53"/>
      <c r="FGW75" s="53"/>
      <c r="FGX75" s="53"/>
      <c r="FGY75" s="53"/>
      <c r="FGZ75" s="53"/>
      <c r="FHA75" s="53"/>
      <c r="FHB75" s="53"/>
      <c r="FHC75" s="53"/>
      <c r="FHD75" s="53"/>
      <c r="FHE75" s="53"/>
      <c r="FHF75" s="53"/>
      <c r="FHG75" s="53"/>
      <c r="FHH75" s="53"/>
      <c r="FHI75" s="53"/>
      <c r="FHJ75" s="53"/>
      <c r="FHK75" s="53"/>
      <c r="FHL75" s="53"/>
      <c r="FHM75" s="53"/>
      <c r="FHN75" s="53"/>
      <c r="FHO75" s="53"/>
      <c r="FHP75" s="53"/>
      <c r="FHQ75" s="53"/>
      <c r="FHR75" s="53"/>
      <c r="FHS75" s="53"/>
      <c r="FHT75" s="53"/>
      <c r="FHU75" s="53"/>
      <c r="FHV75" s="53"/>
      <c r="FHW75" s="53"/>
      <c r="FHX75" s="53"/>
      <c r="FHY75" s="53"/>
      <c r="FHZ75" s="53"/>
      <c r="FIA75" s="53"/>
      <c r="FIB75" s="53"/>
      <c r="FIC75" s="53"/>
      <c r="FID75" s="53"/>
      <c r="FIE75" s="53"/>
      <c r="FIF75" s="53"/>
      <c r="FIG75" s="53"/>
      <c r="FIH75" s="53"/>
      <c r="FII75" s="53"/>
      <c r="FIJ75" s="53"/>
      <c r="FIK75" s="53"/>
      <c r="FIL75" s="53"/>
      <c r="FIM75" s="53"/>
      <c r="FIN75" s="53"/>
      <c r="FIO75" s="53"/>
      <c r="FIP75" s="53"/>
      <c r="FIQ75" s="53"/>
      <c r="FIR75" s="53"/>
      <c r="FIS75" s="53"/>
      <c r="FIT75" s="53"/>
      <c r="FIU75" s="53"/>
      <c r="FIV75" s="53"/>
      <c r="FIW75" s="53"/>
      <c r="FIX75" s="53"/>
      <c r="FIY75" s="53"/>
      <c r="FIZ75" s="53"/>
      <c r="FJA75" s="53"/>
      <c r="FJB75" s="53"/>
      <c r="FJC75" s="53"/>
      <c r="FJD75" s="53"/>
      <c r="FJE75" s="53"/>
      <c r="FJF75" s="53"/>
      <c r="FJG75" s="53"/>
      <c r="FJH75" s="53"/>
      <c r="FJI75" s="53"/>
      <c r="FJJ75" s="53"/>
      <c r="FJK75" s="53"/>
      <c r="FJL75" s="53"/>
      <c r="FJM75" s="53"/>
      <c r="FJN75" s="53"/>
      <c r="FJO75" s="53"/>
      <c r="FJP75" s="53"/>
      <c r="FJQ75" s="53"/>
      <c r="FJR75" s="53"/>
      <c r="FJS75" s="53"/>
      <c r="FJT75" s="53"/>
      <c r="FJU75" s="53"/>
      <c r="FJV75" s="53"/>
      <c r="FJW75" s="53"/>
      <c r="FJX75" s="53"/>
      <c r="FJY75" s="53"/>
      <c r="FJZ75" s="53"/>
      <c r="FKA75" s="53"/>
      <c r="FKB75" s="53"/>
      <c r="FKC75" s="53"/>
      <c r="FKD75" s="53"/>
      <c r="FKE75" s="53"/>
      <c r="FKF75" s="53"/>
      <c r="FKG75" s="53"/>
      <c r="FKH75" s="53"/>
      <c r="FKI75" s="53"/>
      <c r="FKJ75" s="53"/>
      <c r="FKK75" s="53"/>
      <c r="FKL75" s="53"/>
      <c r="FKM75" s="53"/>
      <c r="FKN75" s="53"/>
      <c r="FKO75" s="53"/>
      <c r="FKP75" s="53"/>
      <c r="FKQ75" s="53"/>
      <c r="FKR75" s="53"/>
      <c r="FKS75" s="53"/>
      <c r="FKT75" s="53"/>
      <c r="FKU75" s="53"/>
      <c r="FKV75" s="53"/>
      <c r="FKW75" s="53"/>
      <c r="FKX75" s="53"/>
      <c r="FKY75" s="53"/>
      <c r="FKZ75" s="53"/>
      <c r="FLA75" s="53"/>
      <c r="FLB75" s="53"/>
      <c r="FLC75" s="53"/>
      <c r="FLD75" s="53"/>
      <c r="FLE75" s="53"/>
      <c r="FLF75" s="53"/>
      <c r="FLG75" s="53"/>
      <c r="FLH75" s="53"/>
      <c r="FLI75" s="53"/>
      <c r="FLJ75" s="53"/>
      <c r="FLK75" s="53"/>
      <c r="FLL75" s="53"/>
      <c r="FLM75" s="53"/>
      <c r="FLN75" s="53"/>
      <c r="FLO75" s="53"/>
      <c r="FLP75" s="53"/>
      <c r="FLQ75" s="53"/>
      <c r="FLR75" s="53"/>
      <c r="FLS75" s="53"/>
      <c r="FLT75" s="53"/>
      <c r="FLU75" s="53"/>
      <c r="FLV75" s="53"/>
      <c r="FLW75" s="53"/>
      <c r="FLX75" s="53"/>
      <c r="FLY75" s="53"/>
      <c r="FLZ75" s="53"/>
      <c r="FMA75" s="53"/>
      <c r="FMB75" s="53"/>
      <c r="FMC75" s="53"/>
      <c r="FMD75" s="53"/>
      <c r="FME75" s="53"/>
      <c r="FMF75" s="53"/>
      <c r="FMG75" s="53"/>
      <c r="FMH75" s="53"/>
      <c r="FMI75" s="53"/>
      <c r="FMJ75" s="53"/>
      <c r="FMK75" s="53"/>
      <c r="FML75" s="53"/>
      <c r="FMM75" s="53"/>
      <c r="FMN75" s="53"/>
      <c r="FMO75" s="53"/>
      <c r="FMP75" s="53"/>
      <c r="FMQ75" s="53"/>
      <c r="FMR75" s="53"/>
      <c r="FMS75" s="53"/>
      <c r="FMT75" s="53"/>
      <c r="FMU75" s="53"/>
      <c r="FMV75" s="53"/>
      <c r="FMW75" s="53"/>
      <c r="FMX75" s="53"/>
      <c r="FMY75" s="53"/>
      <c r="FMZ75" s="53"/>
      <c r="FNA75" s="53"/>
      <c r="FNB75" s="53"/>
      <c r="FNC75" s="53"/>
      <c r="FND75" s="53"/>
      <c r="FNE75" s="53"/>
      <c r="FNF75" s="53"/>
      <c r="FNG75" s="53"/>
      <c r="FNH75" s="53"/>
      <c r="FNI75" s="53"/>
      <c r="FNJ75" s="53"/>
      <c r="FNK75" s="53"/>
      <c r="FNL75" s="53"/>
      <c r="FNM75" s="53"/>
      <c r="FNN75" s="53"/>
      <c r="FNO75" s="53"/>
      <c r="FNP75" s="53"/>
      <c r="FNQ75" s="53"/>
      <c r="FNR75" s="53"/>
      <c r="FNS75" s="53"/>
      <c r="FNT75" s="53"/>
      <c r="FNU75" s="53"/>
      <c r="FNV75" s="53"/>
      <c r="FNW75" s="53"/>
      <c r="FNX75" s="53"/>
      <c r="FNY75" s="53"/>
      <c r="FNZ75" s="53"/>
      <c r="FOA75" s="53"/>
      <c r="FOB75" s="53"/>
      <c r="FOC75" s="53"/>
      <c r="FOD75" s="53"/>
      <c r="FOE75" s="53"/>
      <c r="FOF75" s="53"/>
      <c r="FOG75" s="53"/>
      <c r="FOH75" s="53"/>
      <c r="FOI75" s="53"/>
      <c r="FOJ75" s="53"/>
      <c r="FOK75" s="53"/>
      <c r="FOL75" s="53"/>
      <c r="FOM75" s="53"/>
      <c r="FON75" s="53"/>
      <c r="FOO75" s="53"/>
      <c r="FOP75" s="53"/>
      <c r="FOQ75" s="53"/>
      <c r="FOR75" s="53"/>
      <c r="FOS75" s="53"/>
      <c r="FOT75" s="53"/>
      <c r="FOU75" s="53"/>
      <c r="FOV75" s="53"/>
      <c r="FOW75" s="53"/>
      <c r="FOX75" s="53"/>
      <c r="FOY75" s="53"/>
      <c r="FOZ75" s="53"/>
      <c r="FPA75" s="53"/>
      <c r="FPB75" s="53"/>
      <c r="FPC75" s="53"/>
      <c r="FPD75" s="53"/>
      <c r="FPE75" s="53"/>
      <c r="FPF75" s="53"/>
      <c r="FPG75" s="53"/>
      <c r="FPH75" s="53"/>
      <c r="FPI75" s="53"/>
      <c r="FPJ75" s="53"/>
      <c r="FPK75" s="53"/>
      <c r="FPL75" s="53"/>
      <c r="FPM75" s="53"/>
      <c r="FPN75" s="53"/>
      <c r="FPO75" s="53"/>
      <c r="FPP75" s="53"/>
      <c r="FPQ75" s="53"/>
      <c r="FPR75" s="53"/>
      <c r="FPS75" s="53"/>
      <c r="FPT75" s="53"/>
      <c r="FPU75" s="53"/>
      <c r="FPV75" s="53"/>
      <c r="FPW75" s="53"/>
      <c r="FPX75" s="53"/>
      <c r="FPY75" s="53"/>
      <c r="FPZ75" s="53"/>
      <c r="FQA75" s="53"/>
      <c r="FQB75" s="53"/>
      <c r="FQC75" s="53"/>
      <c r="FQD75" s="53"/>
      <c r="FQE75" s="53"/>
      <c r="FQF75" s="53"/>
      <c r="FQG75" s="53"/>
      <c r="FQH75" s="53"/>
      <c r="FQI75" s="53"/>
      <c r="FQJ75" s="53"/>
      <c r="FQK75" s="53"/>
      <c r="FQL75" s="53"/>
      <c r="FQM75" s="53"/>
      <c r="FQN75" s="53"/>
      <c r="FQO75" s="53"/>
      <c r="FQP75" s="53"/>
      <c r="FQQ75" s="53"/>
      <c r="FQR75" s="53"/>
      <c r="FQS75" s="53"/>
      <c r="FQT75" s="53"/>
      <c r="FQU75" s="53"/>
      <c r="FQV75" s="53"/>
      <c r="FQW75" s="53"/>
      <c r="FQX75" s="53"/>
      <c r="FQY75" s="53"/>
      <c r="FQZ75" s="53"/>
      <c r="FRA75" s="53"/>
      <c r="FRB75" s="53"/>
      <c r="FRC75" s="53"/>
      <c r="FRD75" s="53"/>
      <c r="FRE75" s="53"/>
      <c r="FRF75" s="53"/>
      <c r="FRG75" s="53"/>
      <c r="FRH75" s="53"/>
      <c r="FRI75" s="53"/>
      <c r="FRJ75" s="53"/>
      <c r="FRK75" s="53"/>
      <c r="FRL75" s="53"/>
      <c r="FRM75" s="53"/>
      <c r="FRN75" s="53"/>
      <c r="FRO75" s="53"/>
      <c r="FRP75" s="53"/>
      <c r="FRQ75" s="53"/>
      <c r="FRR75" s="53"/>
      <c r="FRS75" s="53"/>
      <c r="FRT75" s="53"/>
      <c r="FRU75" s="53"/>
      <c r="FRV75" s="53"/>
      <c r="FRW75" s="53"/>
      <c r="FRX75" s="53"/>
      <c r="FRY75" s="53"/>
      <c r="FRZ75" s="53"/>
      <c r="FSA75" s="53"/>
      <c r="FSB75" s="53"/>
      <c r="FSC75" s="53"/>
      <c r="FSD75" s="53"/>
      <c r="FSE75" s="53"/>
      <c r="FSF75" s="53"/>
      <c r="FSG75" s="53"/>
      <c r="FSH75" s="53"/>
      <c r="FSI75" s="53"/>
      <c r="FSJ75" s="53"/>
      <c r="FSK75" s="53"/>
      <c r="FSL75" s="53"/>
      <c r="FSM75" s="53"/>
      <c r="FSN75" s="53"/>
      <c r="FSO75" s="53"/>
      <c r="FSP75" s="53"/>
      <c r="FSQ75" s="53"/>
      <c r="FSR75" s="53"/>
      <c r="FSS75" s="53"/>
      <c r="FST75" s="53"/>
      <c r="FSU75" s="53"/>
      <c r="FSV75" s="53"/>
      <c r="FSW75" s="53"/>
      <c r="FSX75" s="53"/>
      <c r="FSY75" s="53"/>
      <c r="FSZ75" s="53"/>
      <c r="FTA75" s="53"/>
      <c r="FTB75" s="53"/>
      <c r="FTC75" s="53"/>
      <c r="FTD75" s="53"/>
      <c r="FTE75" s="53"/>
      <c r="FTF75" s="53"/>
      <c r="FTG75" s="53"/>
      <c r="FTH75" s="53"/>
      <c r="FTI75" s="53"/>
      <c r="FTJ75" s="53"/>
      <c r="FTK75" s="53"/>
      <c r="FTL75" s="53"/>
      <c r="FTM75" s="53"/>
      <c r="FTN75" s="53"/>
      <c r="FTO75" s="53"/>
      <c r="FTP75" s="53"/>
      <c r="FTQ75" s="53"/>
      <c r="FTR75" s="53"/>
      <c r="FTS75" s="53"/>
      <c r="FTT75" s="53"/>
      <c r="FTU75" s="53"/>
      <c r="FTV75" s="53"/>
      <c r="FTW75" s="53"/>
      <c r="FTX75" s="53"/>
      <c r="FTY75" s="53"/>
      <c r="FTZ75" s="53"/>
      <c r="FUA75" s="53"/>
      <c r="FUB75" s="53"/>
      <c r="FUC75" s="53"/>
      <c r="FUD75" s="53"/>
      <c r="FUE75" s="53"/>
      <c r="FUF75" s="53"/>
      <c r="FUG75" s="53"/>
      <c r="FUH75" s="53"/>
      <c r="FUI75" s="53"/>
      <c r="FUJ75" s="53"/>
      <c r="FUK75" s="53"/>
      <c r="FUL75" s="53"/>
      <c r="FUM75" s="53"/>
      <c r="FUN75" s="53"/>
      <c r="FUO75" s="53"/>
      <c r="FUP75" s="53"/>
      <c r="FUQ75" s="53"/>
      <c r="FUR75" s="53"/>
      <c r="FUS75" s="53"/>
      <c r="FUT75" s="53"/>
      <c r="FUU75" s="53"/>
      <c r="FUV75" s="53"/>
      <c r="FUW75" s="53"/>
      <c r="FUX75" s="53"/>
      <c r="FUY75" s="53"/>
      <c r="FUZ75" s="53"/>
      <c r="FVA75" s="53"/>
      <c r="FVB75" s="53"/>
      <c r="FVC75" s="53"/>
      <c r="FVD75" s="53"/>
      <c r="FVE75" s="53"/>
      <c r="FVF75" s="53"/>
      <c r="FVG75" s="53"/>
      <c r="FVH75" s="53"/>
      <c r="FVI75" s="53"/>
      <c r="FVJ75" s="53"/>
      <c r="FVK75" s="53"/>
      <c r="FVL75" s="53"/>
      <c r="FVM75" s="53"/>
      <c r="FVN75" s="53"/>
      <c r="FVO75" s="53"/>
      <c r="FVP75" s="53"/>
      <c r="FVQ75" s="53"/>
      <c r="FVR75" s="53"/>
      <c r="FVS75" s="53"/>
      <c r="FVT75" s="53"/>
      <c r="FVU75" s="53"/>
      <c r="FVV75" s="53"/>
      <c r="FVW75" s="53"/>
      <c r="FVX75" s="53"/>
      <c r="FVY75" s="53"/>
      <c r="FVZ75" s="53"/>
      <c r="FWA75" s="53"/>
      <c r="FWB75" s="53"/>
      <c r="FWC75" s="53"/>
      <c r="FWD75" s="53"/>
      <c r="FWE75" s="53"/>
      <c r="FWF75" s="53"/>
      <c r="FWG75" s="53"/>
      <c r="FWH75" s="53"/>
      <c r="FWI75" s="53"/>
      <c r="FWJ75" s="53"/>
      <c r="FWK75" s="53"/>
      <c r="FWL75" s="53"/>
      <c r="FWM75" s="53"/>
      <c r="FWN75" s="53"/>
      <c r="FWO75" s="53"/>
      <c r="FWP75" s="53"/>
      <c r="FWQ75" s="53"/>
      <c r="FWR75" s="53"/>
      <c r="FWS75" s="53"/>
      <c r="FWT75" s="53"/>
      <c r="FWU75" s="53"/>
      <c r="FWV75" s="53"/>
      <c r="FWW75" s="53"/>
      <c r="FWX75" s="53"/>
      <c r="FWY75" s="53"/>
      <c r="FWZ75" s="53"/>
      <c r="FXA75" s="53"/>
      <c r="FXB75" s="53"/>
      <c r="FXC75" s="53"/>
      <c r="FXD75" s="53"/>
      <c r="FXE75" s="53"/>
      <c r="FXF75" s="53"/>
      <c r="FXG75" s="53"/>
      <c r="FXH75" s="53"/>
      <c r="FXI75" s="53"/>
      <c r="FXJ75" s="53"/>
      <c r="FXK75" s="53"/>
      <c r="FXL75" s="53"/>
      <c r="FXM75" s="53"/>
      <c r="FXN75" s="53"/>
      <c r="FXO75" s="53"/>
      <c r="FXP75" s="53"/>
      <c r="FXQ75" s="53"/>
      <c r="FXR75" s="53"/>
      <c r="FXS75" s="53"/>
      <c r="FXT75" s="53"/>
      <c r="FXU75" s="53"/>
      <c r="FXV75" s="53"/>
      <c r="FXW75" s="53"/>
      <c r="FXX75" s="53"/>
      <c r="FXY75" s="53"/>
      <c r="FXZ75" s="53"/>
      <c r="FYA75" s="53"/>
      <c r="FYB75" s="53"/>
      <c r="FYC75" s="53"/>
      <c r="FYD75" s="53"/>
      <c r="FYE75" s="53"/>
      <c r="FYF75" s="53"/>
      <c r="FYG75" s="53"/>
      <c r="FYH75" s="53"/>
      <c r="FYI75" s="53"/>
      <c r="FYJ75" s="53"/>
      <c r="FYK75" s="53"/>
      <c r="FYL75" s="53"/>
      <c r="FYM75" s="53"/>
      <c r="FYN75" s="53"/>
      <c r="FYO75" s="53"/>
      <c r="FYP75" s="53"/>
      <c r="FYQ75" s="53"/>
      <c r="FYR75" s="53"/>
      <c r="FYS75" s="53"/>
      <c r="FYT75" s="53"/>
      <c r="FYU75" s="53"/>
      <c r="FYV75" s="53"/>
      <c r="FYW75" s="53"/>
      <c r="FYX75" s="53"/>
      <c r="FYY75" s="53"/>
      <c r="FYZ75" s="53"/>
      <c r="FZA75" s="53"/>
      <c r="FZB75" s="53"/>
      <c r="FZC75" s="53"/>
      <c r="FZD75" s="53"/>
      <c r="FZE75" s="53"/>
      <c r="FZF75" s="53"/>
      <c r="FZG75" s="53"/>
      <c r="FZH75" s="53"/>
      <c r="FZI75" s="53"/>
      <c r="FZJ75" s="53"/>
      <c r="FZK75" s="53"/>
      <c r="FZL75" s="53"/>
      <c r="FZM75" s="53"/>
      <c r="FZN75" s="53"/>
      <c r="FZO75" s="53"/>
      <c r="FZP75" s="53"/>
      <c r="FZQ75" s="53"/>
      <c r="FZR75" s="53"/>
      <c r="FZS75" s="53"/>
      <c r="FZT75" s="53"/>
      <c r="FZU75" s="53"/>
      <c r="FZV75" s="53"/>
      <c r="FZW75" s="53"/>
      <c r="FZX75" s="53"/>
      <c r="FZY75" s="53"/>
      <c r="FZZ75" s="53"/>
      <c r="GAA75" s="53"/>
      <c r="GAB75" s="53"/>
      <c r="GAC75" s="53"/>
      <c r="GAD75" s="53"/>
      <c r="GAE75" s="53"/>
      <c r="GAF75" s="53"/>
      <c r="GAG75" s="53"/>
      <c r="GAH75" s="53"/>
      <c r="GAI75" s="53"/>
      <c r="GAJ75" s="53"/>
      <c r="GAK75" s="53"/>
      <c r="GAL75" s="53"/>
      <c r="GAM75" s="53"/>
      <c r="GAN75" s="53"/>
      <c r="GAO75" s="53"/>
      <c r="GAP75" s="53"/>
      <c r="GAQ75" s="53"/>
      <c r="GAR75" s="53"/>
      <c r="GAS75" s="53"/>
      <c r="GAT75" s="53"/>
      <c r="GAU75" s="53"/>
      <c r="GAV75" s="53"/>
      <c r="GAW75" s="53"/>
      <c r="GAX75" s="53"/>
      <c r="GAY75" s="53"/>
      <c r="GAZ75" s="53"/>
      <c r="GBA75" s="53"/>
      <c r="GBB75" s="53"/>
      <c r="GBC75" s="53"/>
      <c r="GBD75" s="53"/>
      <c r="GBE75" s="53"/>
      <c r="GBF75" s="53"/>
      <c r="GBG75" s="53"/>
      <c r="GBH75" s="53"/>
      <c r="GBI75" s="53"/>
      <c r="GBJ75" s="53"/>
      <c r="GBK75" s="53"/>
      <c r="GBL75" s="53"/>
      <c r="GBM75" s="53"/>
      <c r="GBN75" s="53"/>
      <c r="GBO75" s="53"/>
      <c r="GBP75" s="53"/>
      <c r="GBQ75" s="53"/>
      <c r="GBR75" s="53"/>
      <c r="GBS75" s="53"/>
      <c r="GBT75" s="53"/>
      <c r="GBU75" s="53"/>
      <c r="GBV75" s="53"/>
      <c r="GBW75" s="53"/>
      <c r="GBX75" s="53"/>
      <c r="GBY75" s="53"/>
      <c r="GBZ75" s="53"/>
      <c r="GCA75" s="53"/>
      <c r="GCB75" s="53"/>
      <c r="GCC75" s="53"/>
      <c r="GCD75" s="53"/>
      <c r="GCE75" s="53"/>
      <c r="GCF75" s="53"/>
      <c r="GCG75" s="53"/>
      <c r="GCH75" s="53"/>
      <c r="GCI75" s="53"/>
      <c r="GCJ75" s="53"/>
      <c r="GCK75" s="53"/>
      <c r="GCL75" s="53"/>
      <c r="GCM75" s="53"/>
      <c r="GCN75" s="53"/>
      <c r="GCO75" s="53"/>
      <c r="GCP75" s="53"/>
      <c r="GCQ75" s="53"/>
      <c r="GCR75" s="53"/>
      <c r="GCS75" s="53"/>
      <c r="GCT75" s="53"/>
      <c r="GCU75" s="53"/>
      <c r="GCV75" s="53"/>
      <c r="GCW75" s="53"/>
      <c r="GCX75" s="53"/>
      <c r="GCY75" s="53"/>
      <c r="GCZ75" s="53"/>
      <c r="GDA75" s="53"/>
      <c r="GDB75" s="53"/>
      <c r="GDC75" s="53"/>
      <c r="GDD75" s="53"/>
      <c r="GDE75" s="53"/>
      <c r="GDF75" s="53"/>
      <c r="GDG75" s="53"/>
      <c r="GDH75" s="53"/>
      <c r="GDI75" s="53"/>
      <c r="GDJ75" s="53"/>
      <c r="GDK75" s="53"/>
      <c r="GDL75" s="53"/>
      <c r="GDM75" s="53"/>
      <c r="GDN75" s="53"/>
      <c r="GDO75" s="53"/>
      <c r="GDP75" s="53"/>
      <c r="GDQ75" s="53"/>
      <c r="GDR75" s="53"/>
      <c r="GDS75" s="53"/>
      <c r="GDT75" s="53"/>
      <c r="GDU75" s="53"/>
      <c r="GDV75" s="53"/>
      <c r="GDW75" s="53"/>
      <c r="GDX75" s="53"/>
      <c r="GDY75" s="53"/>
      <c r="GDZ75" s="53"/>
      <c r="GEA75" s="53"/>
      <c r="GEB75" s="53"/>
      <c r="GEC75" s="53"/>
      <c r="GED75" s="53"/>
      <c r="GEE75" s="53"/>
      <c r="GEF75" s="53"/>
      <c r="GEG75" s="53"/>
      <c r="GEH75" s="53"/>
      <c r="GEI75" s="53"/>
      <c r="GEJ75" s="53"/>
      <c r="GEK75" s="53"/>
      <c r="GEL75" s="53"/>
      <c r="GEM75" s="53"/>
      <c r="GEN75" s="53"/>
      <c r="GEO75" s="53"/>
      <c r="GEP75" s="53"/>
      <c r="GEQ75" s="53"/>
      <c r="GER75" s="53"/>
      <c r="GES75" s="53"/>
      <c r="GET75" s="53"/>
      <c r="GEU75" s="53"/>
      <c r="GEV75" s="53"/>
      <c r="GEW75" s="53"/>
      <c r="GEX75" s="53"/>
      <c r="GEY75" s="53"/>
      <c r="GEZ75" s="53"/>
      <c r="GFA75" s="53"/>
      <c r="GFB75" s="53"/>
      <c r="GFC75" s="53"/>
      <c r="GFD75" s="53"/>
      <c r="GFE75" s="53"/>
      <c r="GFF75" s="53"/>
      <c r="GFG75" s="53"/>
      <c r="GFH75" s="53"/>
      <c r="GFI75" s="53"/>
      <c r="GFJ75" s="53"/>
      <c r="GFK75" s="53"/>
      <c r="GFL75" s="53"/>
      <c r="GFM75" s="53"/>
      <c r="GFN75" s="53"/>
      <c r="GFO75" s="53"/>
      <c r="GFP75" s="53"/>
      <c r="GFQ75" s="53"/>
      <c r="GFR75" s="53"/>
      <c r="GFS75" s="53"/>
      <c r="GFT75" s="53"/>
      <c r="GFU75" s="53"/>
      <c r="GFV75" s="53"/>
      <c r="GFW75" s="53"/>
      <c r="GFX75" s="53"/>
      <c r="GFY75" s="53"/>
      <c r="GFZ75" s="53"/>
      <c r="GGA75" s="53"/>
      <c r="GGB75" s="53"/>
      <c r="GGC75" s="53"/>
      <c r="GGD75" s="53"/>
      <c r="GGE75" s="53"/>
      <c r="GGF75" s="53"/>
      <c r="GGG75" s="53"/>
      <c r="GGH75" s="53"/>
      <c r="GGI75" s="53"/>
      <c r="GGJ75" s="53"/>
      <c r="GGK75" s="53"/>
      <c r="GGL75" s="53"/>
      <c r="GGM75" s="53"/>
      <c r="GGN75" s="53"/>
      <c r="GGO75" s="53"/>
      <c r="GGP75" s="53"/>
      <c r="GGQ75" s="53"/>
      <c r="GGR75" s="53"/>
      <c r="GGS75" s="53"/>
      <c r="GGT75" s="53"/>
      <c r="GGU75" s="53"/>
      <c r="GGV75" s="53"/>
      <c r="GGW75" s="53"/>
      <c r="GGX75" s="53"/>
      <c r="GGY75" s="53"/>
      <c r="GGZ75" s="53"/>
      <c r="GHA75" s="53"/>
      <c r="GHB75" s="53"/>
      <c r="GHC75" s="53"/>
      <c r="GHD75" s="53"/>
      <c r="GHE75" s="53"/>
      <c r="GHF75" s="53"/>
      <c r="GHG75" s="53"/>
      <c r="GHH75" s="53"/>
      <c r="GHI75" s="53"/>
      <c r="GHJ75" s="53"/>
      <c r="GHK75" s="53"/>
      <c r="GHL75" s="53"/>
      <c r="GHM75" s="53"/>
      <c r="GHN75" s="53"/>
      <c r="GHO75" s="53"/>
      <c r="GHP75" s="53"/>
      <c r="GHQ75" s="53"/>
      <c r="GHR75" s="53"/>
      <c r="GHS75" s="53"/>
      <c r="GHT75" s="53"/>
      <c r="GHU75" s="53"/>
      <c r="GHV75" s="53"/>
      <c r="GHW75" s="53"/>
      <c r="GHX75" s="53"/>
      <c r="GHY75" s="53"/>
      <c r="GHZ75" s="53"/>
      <c r="GIA75" s="53"/>
      <c r="GIB75" s="53"/>
      <c r="GIC75" s="53"/>
      <c r="GID75" s="53"/>
      <c r="GIE75" s="53"/>
      <c r="GIF75" s="53"/>
      <c r="GIG75" s="53"/>
      <c r="GIH75" s="53"/>
      <c r="GII75" s="53"/>
      <c r="GIJ75" s="53"/>
      <c r="GIK75" s="53"/>
      <c r="GIL75" s="53"/>
      <c r="GIM75" s="53"/>
      <c r="GIN75" s="53"/>
      <c r="GIO75" s="53"/>
      <c r="GIP75" s="53"/>
      <c r="GIQ75" s="53"/>
      <c r="GIR75" s="53"/>
      <c r="GIS75" s="53"/>
      <c r="GIT75" s="53"/>
      <c r="GIU75" s="53"/>
      <c r="GIV75" s="53"/>
      <c r="GIW75" s="53"/>
      <c r="GIX75" s="53"/>
      <c r="GIY75" s="53"/>
      <c r="GIZ75" s="53"/>
      <c r="GJA75" s="53"/>
      <c r="GJB75" s="53"/>
      <c r="GJC75" s="53"/>
      <c r="GJD75" s="53"/>
      <c r="GJE75" s="53"/>
      <c r="GJF75" s="53"/>
      <c r="GJG75" s="53"/>
      <c r="GJH75" s="53"/>
      <c r="GJI75" s="53"/>
      <c r="GJJ75" s="53"/>
      <c r="GJK75" s="53"/>
      <c r="GJL75" s="53"/>
      <c r="GJM75" s="53"/>
      <c r="GJN75" s="53"/>
      <c r="GJO75" s="53"/>
      <c r="GJP75" s="53"/>
      <c r="GJQ75" s="53"/>
      <c r="GJR75" s="53"/>
      <c r="GJS75" s="53"/>
      <c r="GJT75" s="53"/>
      <c r="GJU75" s="53"/>
      <c r="GJV75" s="53"/>
      <c r="GJW75" s="53"/>
      <c r="GJX75" s="53"/>
      <c r="GJY75" s="53"/>
      <c r="GJZ75" s="53"/>
      <c r="GKA75" s="53"/>
      <c r="GKB75" s="53"/>
      <c r="GKC75" s="53"/>
      <c r="GKD75" s="53"/>
      <c r="GKE75" s="53"/>
      <c r="GKF75" s="53"/>
      <c r="GKG75" s="53"/>
      <c r="GKH75" s="53"/>
      <c r="GKI75" s="53"/>
      <c r="GKJ75" s="53"/>
      <c r="GKK75" s="53"/>
      <c r="GKL75" s="53"/>
      <c r="GKM75" s="53"/>
      <c r="GKN75" s="53"/>
      <c r="GKO75" s="53"/>
      <c r="GKP75" s="53"/>
      <c r="GKQ75" s="53"/>
      <c r="GKR75" s="53"/>
      <c r="GKS75" s="53"/>
      <c r="GKT75" s="53"/>
      <c r="GKU75" s="53"/>
      <c r="GKV75" s="53"/>
      <c r="GKW75" s="53"/>
      <c r="GKX75" s="53"/>
      <c r="GKY75" s="53"/>
      <c r="GKZ75" s="53"/>
      <c r="GLA75" s="53"/>
      <c r="GLB75" s="53"/>
      <c r="GLC75" s="53"/>
      <c r="GLD75" s="53"/>
      <c r="GLE75" s="53"/>
      <c r="GLF75" s="53"/>
      <c r="GLG75" s="53"/>
      <c r="GLH75" s="53"/>
      <c r="GLI75" s="53"/>
      <c r="GLJ75" s="53"/>
      <c r="GLK75" s="53"/>
      <c r="GLL75" s="53"/>
      <c r="GLM75" s="53"/>
      <c r="GLN75" s="53"/>
      <c r="GLO75" s="53"/>
      <c r="GLP75" s="53"/>
      <c r="GLQ75" s="53"/>
      <c r="GLR75" s="53"/>
      <c r="GLS75" s="53"/>
      <c r="GLT75" s="53"/>
      <c r="GLU75" s="53"/>
      <c r="GLV75" s="53"/>
      <c r="GLW75" s="53"/>
      <c r="GLX75" s="53"/>
      <c r="GLY75" s="53"/>
      <c r="GLZ75" s="53"/>
      <c r="GMA75" s="53"/>
      <c r="GMB75" s="53"/>
      <c r="GMC75" s="53"/>
      <c r="GMD75" s="53"/>
      <c r="GME75" s="53"/>
      <c r="GMF75" s="53"/>
      <c r="GMG75" s="53"/>
      <c r="GMH75" s="53"/>
      <c r="GMI75" s="53"/>
      <c r="GMJ75" s="53"/>
      <c r="GMK75" s="53"/>
      <c r="GML75" s="53"/>
      <c r="GMM75" s="53"/>
      <c r="GMN75" s="53"/>
      <c r="GMO75" s="53"/>
      <c r="GMP75" s="53"/>
      <c r="GMQ75" s="53"/>
      <c r="GMR75" s="53"/>
      <c r="GMS75" s="53"/>
      <c r="GMT75" s="53"/>
      <c r="GMU75" s="53"/>
      <c r="GMV75" s="53"/>
      <c r="GMW75" s="53"/>
      <c r="GMX75" s="53"/>
      <c r="GMY75" s="53"/>
      <c r="GMZ75" s="53"/>
      <c r="GNA75" s="53"/>
      <c r="GNB75" s="53"/>
      <c r="GNC75" s="53"/>
      <c r="GND75" s="53"/>
      <c r="GNE75" s="53"/>
      <c r="GNF75" s="53"/>
      <c r="GNG75" s="53"/>
      <c r="GNH75" s="53"/>
      <c r="GNI75" s="53"/>
      <c r="GNJ75" s="53"/>
      <c r="GNK75" s="53"/>
      <c r="GNL75" s="53"/>
      <c r="GNM75" s="53"/>
      <c r="GNN75" s="53"/>
      <c r="GNO75" s="53"/>
      <c r="GNP75" s="53"/>
      <c r="GNQ75" s="53"/>
      <c r="GNR75" s="53"/>
      <c r="GNS75" s="53"/>
      <c r="GNT75" s="53"/>
      <c r="GNU75" s="53"/>
      <c r="GNV75" s="53"/>
      <c r="GNW75" s="53"/>
      <c r="GNX75" s="53"/>
      <c r="GNY75" s="53"/>
      <c r="GNZ75" s="53"/>
      <c r="GOA75" s="53"/>
      <c r="GOB75" s="53"/>
      <c r="GOC75" s="53"/>
      <c r="GOD75" s="53"/>
      <c r="GOE75" s="53"/>
      <c r="GOF75" s="53"/>
      <c r="GOG75" s="53"/>
      <c r="GOH75" s="53"/>
      <c r="GOI75" s="53"/>
      <c r="GOJ75" s="53"/>
      <c r="GOK75" s="53"/>
      <c r="GOL75" s="53"/>
      <c r="GOM75" s="53"/>
      <c r="GON75" s="53"/>
      <c r="GOO75" s="53"/>
      <c r="GOP75" s="53"/>
      <c r="GOQ75" s="53"/>
      <c r="GOR75" s="53"/>
      <c r="GOS75" s="53"/>
      <c r="GOT75" s="53"/>
      <c r="GOU75" s="53"/>
      <c r="GOV75" s="53"/>
      <c r="GOW75" s="53"/>
      <c r="GOX75" s="53"/>
      <c r="GOY75" s="53"/>
      <c r="GOZ75" s="53"/>
      <c r="GPA75" s="53"/>
      <c r="GPB75" s="53"/>
      <c r="GPC75" s="53"/>
      <c r="GPD75" s="53"/>
      <c r="GPE75" s="53"/>
      <c r="GPF75" s="53"/>
      <c r="GPG75" s="53"/>
      <c r="GPH75" s="53"/>
      <c r="GPI75" s="53"/>
      <c r="GPJ75" s="53"/>
      <c r="GPK75" s="53"/>
      <c r="GPL75" s="53"/>
      <c r="GPM75" s="53"/>
      <c r="GPN75" s="53"/>
      <c r="GPO75" s="53"/>
      <c r="GPP75" s="53"/>
      <c r="GPQ75" s="53"/>
      <c r="GPR75" s="53"/>
      <c r="GPS75" s="53"/>
      <c r="GPT75" s="53"/>
      <c r="GPU75" s="53"/>
      <c r="GPV75" s="53"/>
      <c r="GPW75" s="53"/>
      <c r="GPX75" s="53"/>
      <c r="GPY75" s="53"/>
      <c r="GPZ75" s="53"/>
      <c r="GQA75" s="53"/>
      <c r="GQB75" s="53"/>
      <c r="GQC75" s="53"/>
      <c r="GQD75" s="53"/>
      <c r="GQE75" s="53"/>
      <c r="GQF75" s="53"/>
      <c r="GQG75" s="53"/>
      <c r="GQH75" s="53"/>
      <c r="GQI75" s="53"/>
      <c r="GQJ75" s="53"/>
      <c r="GQK75" s="53"/>
      <c r="GQL75" s="53"/>
      <c r="GQM75" s="53"/>
      <c r="GQN75" s="53"/>
      <c r="GQO75" s="53"/>
      <c r="GQP75" s="53"/>
      <c r="GQQ75" s="53"/>
      <c r="GQR75" s="53"/>
      <c r="GQS75" s="53"/>
      <c r="GQT75" s="53"/>
      <c r="GQU75" s="53"/>
      <c r="GQV75" s="53"/>
      <c r="GQW75" s="53"/>
      <c r="GQX75" s="53"/>
      <c r="GQY75" s="53"/>
      <c r="GQZ75" s="53"/>
      <c r="GRA75" s="53"/>
      <c r="GRB75" s="53"/>
      <c r="GRC75" s="53"/>
      <c r="GRD75" s="53"/>
      <c r="GRE75" s="53"/>
      <c r="GRF75" s="53"/>
      <c r="GRG75" s="53"/>
      <c r="GRH75" s="53"/>
      <c r="GRI75" s="53"/>
      <c r="GRJ75" s="53"/>
      <c r="GRK75" s="53"/>
      <c r="GRL75" s="53"/>
      <c r="GRM75" s="53"/>
      <c r="GRN75" s="53"/>
      <c r="GRO75" s="53"/>
      <c r="GRP75" s="53"/>
      <c r="GRQ75" s="53"/>
      <c r="GRR75" s="53"/>
      <c r="GRS75" s="53"/>
      <c r="GRT75" s="53"/>
      <c r="GRU75" s="53"/>
      <c r="GRV75" s="53"/>
      <c r="GRW75" s="53"/>
      <c r="GRX75" s="53"/>
      <c r="GRY75" s="53"/>
      <c r="GRZ75" s="53"/>
      <c r="GSA75" s="53"/>
      <c r="GSB75" s="53"/>
      <c r="GSC75" s="53"/>
      <c r="GSD75" s="53"/>
      <c r="GSE75" s="53"/>
      <c r="GSF75" s="53"/>
      <c r="GSG75" s="53"/>
      <c r="GSH75" s="53"/>
      <c r="GSI75" s="53"/>
      <c r="GSJ75" s="53"/>
      <c r="GSK75" s="53"/>
      <c r="GSL75" s="53"/>
      <c r="GSM75" s="53"/>
      <c r="GSN75" s="53"/>
      <c r="GSO75" s="53"/>
      <c r="GSP75" s="53"/>
      <c r="GSQ75" s="53"/>
      <c r="GSR75" s="53"/>
      <c r="GSS75" s="53"/>
      <c r="GST75" s="53"/>
      <c r="GSU75" s="53"/>
      <c r="GSV75" s="53"/>
      <c r="GSW75" s="53"/>
      <c r="GSX75" s="53"/>
      <c r="GSY75" s="53"/>
      <c r="GSZ75" s="53"/>
      <c r="GTA75" s="53"/>
      <c r="GTB75" s="53"/>
      <c r="GTC75" s="53"/>
      <c r="GTD75" s="53"/>
      <c r="GTE75" s="53"/>
      <c r="GTF75" s="53"/>
      <c r="GTG75" s="53"/>
      <c r="GTH75" s="53"/>
      <c r="GTI75" s="53"/>
      <c r="GTJ75" s="53"/>
      <c r="GTK75" s="53"/>
      <c r="GTL75" s="53"/>
      <c r="GTM75" s="53"/>
      <c r="GTN75" s="53"/>
      <c r="GTO75" s="53"/>
      <c r="GTP75" s="53"/>
      <c r="GTQ75" s="53"/>
      <c r="GTR75" s="53"/>
      <c r="GTS75" s="53"/>
      <c r="GTT75" s="53"/>
      <c r="GTU75" s="53"/>
      <c r="GTV75" s="53"/>
      <c r="GTW75" s="53"/>
      <c r="GTX75" s="53"/>
      <c r="GTY75" s="53"/>
      <c r="GTZ75" s="53"/>
      <c r="GUA75" s="53"/>
      <c r="GUB75" s="53"/>
      <c r="GUC75" s="53"/>
      <c r="GUD75" s="53"/>
      <c r="GUE75" s="53"/>
      <c r="GUF75" s="53"/>
      <c r="GUG75" s="53"/>
      <c r="GUH75" s="53"/>
      <c r="GUI75" s="53"/>
      <c r="GUJ75" s="53"/>
      <c r="GUK75" s="53"/>
      <c r="GUL75" s="53"/>
      <c r="GUM75" s="53"/>
      <c r="GUN75" s="53"/>
      <c r="GUO75" s="53"/>
      <c r="GUP75" s="53"/>
      <c r="GUQ75" s="53"/>
      <c r="GUR75" s="53"/>
      <c r="GUS75" s="53"/>
      <c r="GUT75" s="53"/>
      <c r="GUU75" s="53"/>
      <c r="GUV75" s="53"/>
      <c r="GUW75" s="53"/>
      <c r="GUX75" s="53"/>
      <c r="GUY75" s="53"/>
      <c r="GUZ75" s="53"/>
      <c r="GVA75" s="53"/>
      <c r="GVB75" s="53"/>
      <c r="GVC75" s="53"/>
      <c r="GVD75" s="53"/>
      <c r="GVE75" s="53"/>
      <c r="GVF75" s="53"/>
      <c r="GVG75" s="53"/>
      <c r="GVH75" s="53"/>
      <c r="GVI75" s="53"/>
      <c r="GVJ75" s="53"/>
      <c r="GVK75" s="53"/>
      <c r="GVL75" s="53"/>
      <c r="GVM75" s="53"/>
      <c r="GVN75" s="53"/>
      <c r="GVO75" s="53"/>
      <c r="GVP75" s="53"/>
      <c r="GVQ75" s="53"/>
      <c r="GVR75" s="53"/>
      <c r="GVS75" s="53"/>
      <c r="GVT75" s="53"/>
      <c r="GVU75" s="53"/>
      <c r="GVV75" s="53"/>
      <c r="GVW75" s="53"/>
      <c r="GVX75" s="53"/>
      <c r="GVY75" s="53"/>
      <c r="GVZ75" s="53"/>
      <c r="GWA75" s="53"/>
      <c r="GWB75" s="53"/>
      <c r="GWC75" s="53"/>
      <c r="GWD75" s="53"/>
      <c r="GWE75" s="53"/>
      <c r="GWF75" s="53"/>
      <c r="GWG75" s="53"/>
      <c r="GWH75" s="53"/>
      <c r="GWI75" s="53"/>
      <c r="GWJ75" s="53"/>
      <c r="GWK75" s="53"/>
      <c r="GWL75" s="53"/>
      <c r="GWM75" s="53"/>
      <c r="GWN75" s="53"/>
      <c r="GWO75" s="53"/>
      <c r="GWP75" s="53"/>
      <c r="GWQ75" s="53"/>
      <c r="GWR75" s="53"/>
      <c r="GWS75" s="53"/>
      <c r="GWT75" s="53"/>
      <c r="GWU75" s="53"/>
      <c r="GWV75" s="53"/>
      <c r="GWW75" s="53"/>
      <c r="GWX75" s="53"/>
      <c r="GWY75" s="53"/>
      <c r="GWZ75" s="53"/>
      <c r="GXA75" s="53"/>
      <c r="GXB75" s="53"/>
      <c r="GXC75" s="53"/>
      <c r="GXD75" s="53"/>
      <c r="GXE75" s="53"/>
      <c r="GXF75" s="53"/>
      <c r="GXG75" s="53"/>
      <c r="GXH75" s="53"/>
      <c r="GXI75" s="53"/>
      <c r="GXJ75" s="53"/>
      <c r="GXK75" s="53"/>
      <c r="GXL75" s="53"/>
      <c r="GXM75" s="53"/>
      <c r="GXN75" s="53"/>
      <c r="GXO75" s="53"/>
      <c r="GXP75" s="53"/>
      <c r="GXQ75" s="53"/>
      <c r="GXR75" s="53"/>
      <c r="GXS75" s="53"/>
      <c r="GXT75" s="53"/>
      <c r="GXU75" s="53"/>
      <c r="GXV75" s="53"/>
      <c r="GXW75" s="53"/>
      <c r="GXX75" s="53"/>
      <c r="GXY75" s="53"/>
      <c r="GXZ75" s="53"/>
      <c r="GYA75" s="53"/>
      <c r="GYB75" s="53"/>
      <c r="GYC75" s="53"/>
      <c r="GYD75" s="53"/>
      <c r="GYE75" s="53"/>
      <c r="GYF75" s="53"/>
      <c r="GYG75" s="53"/>
      <c r="GYH75" s="53"/>
      <c r="GYI75" s="53"/>
      <c r="GYJ75" s="53"/>
      <c r="GYK75" s="53"/>
      <c r="GYL75" s="53"/>
      <c r="GYM75" s="53"/>
      <c r="GYN75" s="53"/>
      <c r="GYO75" s="53"/>
      <c r="GYP75" s="53"/>
      <c r="GYQ75" s="53"/>
      <c r="GYR75" s="53"/>
      <c r="GYS75" s="53"/>
      <c r="GYT75" s="53"/>
      <c r="GYU75" s="53"/>
      <c r="GYV75" s="53"/>
      <c r="GYW75" s="53"/>
      <c r="GYX75" s="53"/>
      <c r="GYY75" s="53"/>
      <c r="GYZ75" s="53"/>
      <c r="GZA75" s="53"/>
      <c r="GZB75" s="53"/>
      <c r="GZC75" s="53"/>
      <c r="GZD75" s="53"/>
      <c r="GZE75" s="53"/>
      <c r="GZF75" s="53"/>
      <c r="GZG75" s="53"/>
      <c r="GZH75" s="53"/>
      <c r="GZI75" s="53"/>
      <c r="GZJ75" s="53"/>
      <c r="GZK75" s="53"/>
      <c r="GZL75" s="53"/>
      <c r="GZM75" s="53"/>
      <c r="GZN75" s="53"/>
      <c r="GZO75" s="53"/>
      <c r="GZP75" s="53"/>
      <c r="GZQ75" s="53"/>
      <c r="GZR75" s="53"/>
      <c r="GZS75" s="53"/>
      <c r="GZT75" s="53"/>
      <c r="GZU75" s="53"/>
      <c r="GZV75" s="53"/>
      <c r="GZW75" s="53"/>
      <c r="GZX75" s="53"/>
      <c r="GZY75" s="53"/>
      <c r="GZZ75" s="53"/>
      <c r="HAA75" s="53"/>
      <c r="HAB75" s="53"/>
      <c r="HAC75" s="53"/>
      <c r="HAD75" s="53"/>
      <c r="HAE75" s="53"/>
      <c r="HAF75" s="53"/>
      <c r="HAG75" s="53"/>
      <c r="HAH75" s="53"/>
      <c r="HAI75" s="53"/>
      <c r="HAJ75" s="53"/>
      <c r="HAK75" s="53"/>
      <c r="HAL75" s="53"/>
      <c r="HAM75" s="53"/>
      <c r="HAN75" s="53"/>
      <c r="HAO75" s="53"/>
      <c r="HAP75" s="53"/>
      <c r="HAQ75" s="53"/>
      <c r="HAR75" s="53"/>
      <c r="HAS75" s="53"/>
      <c r="HAT75" s="53"/>
      <c r="HAU75" s="53"/>
      <c r="HAV75" s="53"/>
      <c r="HAW75" s="53"/>
      <c r="HAX75" s="53"/>
      <c r="HAY75" s="53"/>
      <c r="HAZ75" s="53"/>
      <c r="HBA75" s="53"/>
      <c r="HBB75" s="53"/>
      <c r="HBC75" s="53"/>
      <c r="HBD75" s="53"/>
      <c r="HBE75" s="53"/>
      <c r="HBF75" s="53"/>
      <c r="HBG75" s="53"/>
      <c r="HBH75" s="53"/>
      <c r="HBI75" s="53"/>
      <c r="HBJ75" s="53"/>
      <c r="HBK75" s="53"/>
      <c r="HBL75" s="53"/>
      <c r="HBM75" s="53"/>
      <c r="HBN75" s="53"/>
      <c r="HBO75" s="53"/>
      <c r="HBP75" s="53"/>
      <c r="HBQ75" s="53"/>
      <c r="HBR75" s="53"/>
      <c r="HBS75" s="53"/>
      <c r="HBT75" s="53"/>
      <c r="HBU75" s="53"/>
      <c r="HBV75" s="53"/>
      <c r="HBW75" s="53"/>
      <c r="HBX75" s="53"/>
      <c r="HBY75" s="53"/>
      <c r="HBZ75" s="53"/>
      <c r="HCA75" s="53"/>
      <c r="HCB75" s="53"/>
      <c r="HCC75" s="53"/>
      <c r="HCD75" s="53"/>
      <c r="HCE75" s="53"/>
      <c r="HCF75" s="53"/>
      <c r="HCG75" s="53"/>
      <c r="HCH75" s="53"/>
      <c r="HCI75" s="53"/>
      <c r="HCJ75" s="53"/>
      <c r="HCK75" s="53"/>
      <c r="HCL75" s="53"/>
      <c r="HCM75" s="53"/>
      <c r="HCN75" s="53"/>
      <c r="HCO75" s="53"/>
      <c r="HCP75" s="53"/>
      <c r="HCQ75" s="53"/>
      <c r="HCR75" s="53"/>
      <c r="HCS75" s="53"/>
      <c r="HCT75" s="53"/>
      <c r="HCU75" s="53"/>
      <c r="HCV75" s="53"/>
      <c r="HCW75" s="53"/>
      <c r="HCX75" s="53"/>
      <c r="HCY75" s="53"/>
      <c r="HCZ75" s="53"/>
      <c r="HDA75" s="53"/>
      <c r="HDB75" s="53"/>
      <c r="HDC75" s="53"/>
      <c r="HDD75" s="53"/>
      <c r="HDE75" s="53"/>
      <c r="HDF75" s="53"/>
      <c r="HDG75" s="53"/>
      <c r="HDH75" s="53"/>
      <c r="HDI75" s="53"/>
      <c r="HDJ75" s="53"/>
      <c r="HDK75" s="53"/>
      <c r="HDL75" s="53"/>
      <c r="HDM75" s="53"/>
      <c r="HDN75" s="53"/>
      <c r="HDO75" s="53"/>
      <c r="HDP75" s="53"/>
      <c r="HDQ75" s="53"/>
      <c r="HDR75" s="53"/>
      <c r="HDS75" s="53"/>
      <c r="HDT75" s="53"/>
      <c r="HDU75" s="53"/>
      <c r="HDV75" s="53"/>
      <c r="HDW75" s="53"/>
      <c r="HDX75" s="53"/>
      <c r="HDY75" s="53"/>
      <c r="HDZ75" s="53"/>
      <c r="HEA75" s="53"/>
      <c r="HEB75" s="53"/>
      <c r="HEC75" s="53"/>
      <c r="HED75" s="53"/>
      <c r="HEE75" s="53"/>
      <c r="HEF75" s="53"/>
      <c r="HEG75" s="53"/>
      <c r="HEH75" s="53"/>
      <c r="HEI75" s="53"/>
      <c r="HEJ75" s="53"/>
      <c r="HEK75" s="53"/>
      <c r="HEL75" s="53"/>
      <c r="HEM75" s="53"/>
      <c r="HEN75" s="53"/>
      <c r="HEO75" s="53"/>
      <c r="HEP75" s="53"/>
      <c r="HEQ75" s="53"/>
      <c r="HER75" s="53"/>
      <c r="HES75" s="53"/>
      <c r="HET75" s="53"/>
      <c r="HEU75" s="53"/>
      <c r="HEV75" s="53"/>
      <c r="HEW75" s="53"/>
      <c r="HEX75" s="53"/>
      <c r="HEY75" s="53"/>
      <c r="HEZ75" s="53"/>
      <c r="HFA75" s="53"/>
      <c r="HFB75" s="53"/>
      <c r="HFC75" s="53"/>
      <c r="HFD75" s="53"/>
      <c r="HFE75" s="53"/>
      <c r="HFF75" s="53"/>
      <c r="HFG75" s="53"/>
      <c r="HFH75" s="53"/>
      <c r="HFI75" s="53"/>
      <c r="HFJ75" s="53"/>
      <c r="HFK75" s="53"/>
      <c r="HFL75" s="53"/>
      <c r="HFM75" s="53"/>
      <c r="HFN75" s="53"/>
      <c r="HFO75" s="53"/>
      <c r="HFP75" s="53"/>
      <c r="HFQ75" s="53"/>
      <c r="HFR75" s="53"/>
      <c r="HFS75" s="53"/>
      <c r="HFT75" s="53"/>
      <c r="HFU75" s="53"/>
      <c r="HFV75" s="53"/>
      <c r="HFW75" s="53"/>
      <c r="HFX75" s="53"/>
      <c r="HFY75" s="53"/>
      <c r="HFZ75" s="53"/>
      <c r="HGA75" s="53"/>
      <c r="HGB75" s="53"/>
      <c r="HGC75" s="53"/>
      <c r="HGD75" s="53"/>
      <c r="HGE75" s="53"/>
      <c r="HGF75" s="53"/>
      <c r="HGG75" s="53"/>
      <c r="HGH75" s="53"/>
      <c r="HGI75" s="53"/>
      <c r="HGJ75" s="53"/>
      <c r="HGK75" s="53"/>
      <c r="HGL75" s="53"/>
      <c r="HGM75" s="53"/>
      <c r="HGN75" s="53"/>
      <c r="HGO75" s="53"/>
      <c r="HGP75" s="53"/>
      <c r="HGQ75" s="53"/>
      <c r="HGR75" s="53"/>
      <c r="HGS75" s="53"/>
      <c r="HGT75" s="53"/>
      <c r="HGU75" s="53"/>
      <c r="HGV75" s="53"/>
      <c r="HGW75" s="53"/>
      <c r="HGX75" s="53"/>
      <c r="HGY75" s="53"/>
      <c r="HGZ75" s="53"/>
      <c r="HHA75" s="53"/>
      <c r="HHB75" s="53"/>
      <c r="HHC75" s="53"/>
      <c r="HHD75" s="53"/>
      <c r="HHE75" s="53"/>
      <c r="HHF75" s="53"/>
      <c r="HHG75" s="53"/>
      <c r="HHH75" s="53"/>
      <c r="HHI75" s="53"/>
      <c r="HHJ75" s="53"/>
      <c r="HHK75" s="53"/>
      <c r="HHL75" s="53"/>
      <c r="HHM75" s="53"/>
      <c r="HHN75" s="53"/>
      <c r="HHO75" s="53"/>
      <c r="HHP75" s="53"/>
      <c r="HHQ75" s="53"/>
      <c r="HHR75" s="53"/>
      <c r="HHS75" s="53"/>
      <c r="HHT75" s="53"/>
      <c r="HHU75" s="53"/>
      <c r="HHV75" s="53"/>
      <c r="HHW75" s="53"/>
      <c r="HHX75" s="53"/>
      <c r="HHY75" s="53"/>
      <c r="HHZ75" s="53"/>
      <c r="HIA75" s="53"/>
      <c r="HIB75" s="53"/>
      <c r="HIC75" s="53"/>
      <c r="HID75" s="53"/>
      <c r="HIE75" s="53"/>
      <c r="HIF75" s="53"/>
      <c r="HIG75" s="53"/>
      <c r="HIH75" s="53"/>
      <c r="HII75" s="53"/>
      <c r="HIJ75" s="53"/>
      <c r="HIK75" s="53"/>
      <c r="HIL75" s="53"/>
      <c r="HIM75" s="53"/>
      <c r="HIN75" s="53"/>
      <c r="HIO75" s="53"/>
      <c r="HIP75" s="53"/>
      <c r="HIQ75" s="53"/>
      <c r="HIR75" s="53"/>
      <c r="HIS75" s="53"/>
      <c r="HIT75" s="53"/>
      <c r="HIU75" s="53"/>
      <c r="HIV75" s="53"/>
      <c r="HIW75" s="53"/>
      <c r="HIX75" s="53"/>
      <c r="HIY75" s="53"/>
      <c r="HIZ75" s="53"/>
      <c r="HJA75" s="53"/>
      <c r="HJB75" s="53"/>
      <c r="HJC75" s="53"/>
      <c r="HJD75" s="53"/>
      <c r="HJE75" s="53"/>
      <c r="HJF75" s="53"/>
      <c r="HJG75" s="53"/>
      <c r="HJH75" s="53"/>
      <c r="HJI75" s="53"/>
      <c r="HJJ75" s="53"/>
      <c r="HJK75" s="53"/>
      <c r="HJL75" s="53"/>
      <c r="HJM75" s="53"/>
      <c r="HJN75" s="53"/>
      <c r="HJO75" s="53"/>
      <c r="HJP75" s="53"/>
      <c r="HJQ75" s="53"/>
      <c r="HJR75" s="53"/>
      <c r="HJS75" s="53"/>
      <c r="HJT75" s="53"/>
      <c r="HJU75" s="53"/>
      <c r="HJV75" s="53"/>
      <c r="HJW75" s="53"/>
      <c r="HJX75" s="53"/>
      <c r="HJY75" s="53"/>
      <c r="HJZ75" s="53"/>
      <c r="HKA75" s="53"/>
      <c r="HKB75" s="53"/>
      <c r="HKC75" s="53"/>
      <c r="HKD75" s="53"/>
      <c r="HKE75" s="53"/>
      <c r="HKF75" s="53"/>
      <c r="HKG75" s="53"/>
      <c r="HKH75" s="53"/>
      <c r="HKI75" s="53"/>
      <c r="HKJ75" s="53"/>
      <c r="HKK75" s="53"/>
      <c r="HKL75" s="53"/>
      <c r="HKM75" s="53"/>
      <c r="HKN75" s="53"/>
      <c r="HKO75" s="53"/>
      <c r="HKP75" s="53"/>
      <c r="HKQ75" s="53"/>
      <c r="HKR75" s="53"/>
      <c r="HKS75" s="53"/>
      <c r="HKT75" s="53"/>
      <c r="HKU75" s="53"/>
      <c r="HKV75" s="53"/>
      <c r="HKW75" s="53"/>
      <c r="HKX75" s="53"/>
      <c r="HKY75" s="53"/>
      <c r="HKZ75" s="53"/>
      <c r="HLA75" s="53"/>
      <c r="HLB75" s="53"/>
      <c r="HLC75" s="53"/>
      <c r="HLD75" s="53"/>
      <c r="HLE75" s="53"/>
      <c r="HLF75" s="53"/>
      <c r="HLG75" s="53"/>
      <c r="HLH75" s="53"/>
      <c r="HLI75" s="53"/>
      <c r="HLJ75" s="53"/>
      <c r="HLK75" s="53"/>
      <c r="HLL75" s="53"/>
      <c r="HLM75" s="53"/>
      <c r="HLN75" s="53"/>
      <c r="HLO75" s="53"/>
      <c r="HLP75" s="53"/>
      <c r="HLQ75" s="53"/>
      <c r="HLR75" s="53"/>
      <c r="HLS75" s="53"/>
      <c r="HLT75" s="53"/>
      <c r="HLU75" s="53"/>
      <c r="HLV75" s="53"/>
      <c r="HLW75" s="53"/>
      <c r="HLX75" s="53"/>
      <c r="HLY75" s="53"/>
      <c r="HLZ75" s="53"/>
      <c r="HMA75" s="53"/>
      <c r="HMB75" s="53"/>
      <c r="HMC75" s="53"/>
      <c r="HMD75" s="53"/>
      <c r="HME75" s="53"/>
      <c r="HMF75" s="53"/>
      <c r="HMG75" s="53"/>
      <c r="HMH75" s="53"/>
      <c r="HMI75" s="53"/>
      <c r="HMJ75" s="53"/>
      <c r="HMK75" s="53"/>
      <c r="HML75" s="53"/>
      <c r="HMM75" s="53"/>
      <c r="HMN75" s="53"/>
      <c r="HMO75" s="53"/>
      <c r="HMP75" s="53"/>
      <c r="HMQ75" s="53"/>
      <c r="HMR75" s="53"/>
      <c r="HMS75" s="53"/>
      <c r="HMT75" s="53"/>
      <c r="HMU75" s="53"/>
      <c r="HMV75" s="53"/>
      <c r="HMW75" s="53"/>
      <c r="HMX75" s="53"/>
      <c r="HMY75" s="53"/>
      <c r="HMZ75" s="53"/>
      <c r="HNA75" s="53"/>
      <c r="HNB75" s="53"/>
      <c r="HNC75" s="53"/>
      <c r="HND75" s="53"/>
      <c r="HNE75" s="53"/>
      <c r="HNF75" s="53"/>
      <c r="HNG75" s="53"/>
      <c r="HNH75" s="53"/>
      <c r="HNI75" s="53"/>
      <c r="HNJ75" s="53"/>
      <c r="HNK75" s="53"/>
      <c r="HNL75" s="53"/>
      <c r="HNM75" s="53"/>
      <c r="HNN75" s="53"/>
      <c r="HNO75" s="53"/>
      <c r="HNP75" s="53"/>
      <c r="HNQ75" s="53"/>
      <c r="HNR75" s="53"/>
      <c r="HNS75" s="53"/>
      <c r="HNT75" s="53"/>
      <c r="HNU75" s="53"/>
      <c r="HNV75" s="53"/>
      <c r="HNW75" s="53"/>
      <c r="HNX75" s="53"/>
      <c r="HNY75" s="53"/>
      <c r="HNZ75" s="53"/>
      <c r="HOA75" s="53"/>
      <c r="HOB75" s="53"/>
      <c r="HOC75" s="53"/>
      <c r="HOD75" s="53"/>
      <c r="HOE75" s="53"/>
      <c r="HOF75" s="53"/>
      <c r="HOG75" s="53"/>
      <c r="HOH75" s="53"/>
      <c r="HOI75" s="53"/>
      <c r="HOJ75" s="53"/>
      <c r="HOK75" s="53"/>
      <c r="HOL75" s="53"/>
      <c r="HOM75" s="53"/>
      <c r="HON75" s="53"/>
      <c r="HOO75" s="53"/>
      <c r="HOP75" s="53"/>
      <c r="HOQ75" s="53"/>
      <c r="HOR75" s="53"/>
      <c r="HOS75" s="53"/>
      <c r="HOT75" s="53"/>
      <c r="HOU75" s="53"/>
      <c r="HOV75" s="53"/>
      <c r="HOW75" s="53"/>
      <c r="HOX75" s="53"/>
      <c r="HOY75" s="53"/>
      <c r="HOZ75" s="53"/>
      <c r="HPA75" s="53"/>
      <c r="HPB75" s="53"/>
      <c r="HPC75" s="53"/>
      <c r="HPD75" s="53"/>
      <c r="HPE75" s="53"/>
      <c r="HPF75" s="53"/>
      <c r="HPG75" s="53"/>
      <c r="HPH75" s="53"/>
      <c r="HPI75" s="53"/>
      <c r="HPJ75" s="53"/>
      <c r="HPK75" s="53"/>
      <c r="HPL75" s="53"/>
      <c r="HPM75" s="53"/>
      <c r="HPN75" s="53"/>
      <c r="HPO75" s="53"/>
      <c r="HPP75" s="53"/>
      <c r="HPQ75" s="53"/>
      <c r="HPR75" s="53"/>
      <c r="HPS75" s="53"/>
      <c r="HPT75" s="53"/>
      <c r="HPU75" s="53"/>
      <c r="HPV75" s="53"/>
      <c r="HPW75" s="53"/>
      <c r="HPX75" s="53"/>
      <c r="HPY75" s="53"/>
      <c r="HPZ75" s="53"/>
      <c r="HQA75" s="53"/>
      <c r="HQB75" s="53"/>
      <c r="HQC75" s="53"/>
      <c r="HQD75" s="53"/>
      <c r="HQE75" s="53"/>
      <c r="HQF75" s="53"/>
      <c r="HQG75" s="53"/>
      <c r="HQH75" s="53"/>
      <c r="HQI75" s="53"/>
      <c r="HQJ75" s="53"/>
      <c r="HQK75" s="53"/>
      <c r="HQL75" s="53"/>
      <c r="HQM75" s="53"/>
      <c r="HQN75" s="53"/>
      <c r="HQO75" s="53"/>
      <c r="HQP75" s="53"/>
      <c r="HQQ75" s="53"/>
      <c r="HQR75" s="53"/>
      <c r="HQS75" s="53"/>
      <c r="HQT75" s="53"/>
      <c r="HQU75" s="53"/>
      <c r="HQV75" s="53"/>
      <c r="HQW75" s="53"/>
      <c r="HQX75" s="53"/>
      <c r="HQY75" s="53"/>
      <c r="HQZ75" s="53"/>
      <c r="HRA75" s="53"/>
      <c r="HRB75" s="53"/>
      <c r="HRC75" s="53"/>
      <c r="HRD75" s="53"/>
      <c r="HRE75" s="53"/>
      <c r="HRF75" s="53"/>
      <c r="HRG75" s="53"/>
      <c r="HRH75" s="53"/>
      <c r="HRI75" s="53"/>
      <c r="HRJ75" s="53"/>
      <c r="HRK75" s="53"/>
      <c r="HRL75" s="53"/>
      <c r="HRM75" s="53"/>
      <c r="HRN75" s="53"/>
      <c r="HRO75" s="53"/>
      <c r="HRP75" s="53"/>
      <c r="HRQ75" s="53"/>
      <c r="HRR75" s="53"/>
      <c r="HRS75" s="53"/>
      <c r="HRT75" s="53"/>
      <c r="HRU75" s="53"/>
      <c r="HRV75" s="53"/>
      <c r="HRW75" s="53"/>
      <c r="HRX75" s="53"/>
      <c r="HRY75" s="53"/>
      <c r="HRZ75" s="53"/>
      <c r="HSA75" s="53"/>
      <c r="HSB75" s="53"/>
      <c r="HSC75" s="53"/>
      <c r="HSD75" s="53"/>
      <c r="HSE75" s="53"/>
      <c r="HSF75" s="53"/>
      <c r="HSG75" s="53"/>
      <c r="HSH75" s="53"/>
      <c r="HSI75" s="53"/>
      <c r="HSJ75" s="53"/>
      <c r="HSK75" s="53"/>
      <c r="HSL75" s="53"/>
      <c r="HSM75" s="53"/>
      <c r="HSN75" s="53"/>
      <c r="HSO75" s="53"/>
      <c r="HSP75" s="53"/>
      <c r="HSQ75" s="53"/>
      <c r="HSR75" s="53"/>
      <c r="HSS75" s="53"/>
      <c r="HST75" s="53"/>
      <c r="HSU75" s="53"/>
      <c r="HSV75" s="53"/>
      <c r="HSW75" s="53"/>
      <c r="HSX75" s="53"/>
      <c r="HSY75" s="53"/>
      <c r="HSZ75" s="53"/>
      <c r="HTA75" s="53"/>
      <c r="HTB75" s="53"/>
      <c r="HTC75" s="53"/>
      <c r="HTD75" s="53"/>
      <c r="HTE75" s="53"/>
      <c r="HTF75" s="53"/>
      <c r="HTG75" s="53"/>
      <c r="HTH75" s="53"/>
      <c r="HTI75" s="53"/>
      <c r="HTJ75" s="53"/>
      <c r="HTK75" s="53"/>
      <c r="HTL75" s="53"/>
      <c r="HTM75" s="53"/>
      <c r="HTN75" s="53"/>
      <c r="HTO75" s="53"/>
      <c r="HTP75" s="53"/>
      <c r="HTQ75" s="53"/>
      <c r="HTR75" s="53"/>
      <c r="HTS75" s="53"/>
      <c r="HTT75" s="53"/>
      <c r="HTU75" s="53"/>
      <c r="HTV75" s="53"/>
      <c r="HTW75" s="53"/>
      <c r="HTX75" s="53"/>
      <c r="HTY75" s="53"/>
      <c r="HTZ75" s="53"/>
      <c r="HUA75" s="53"/>
      <c r="HUB75" s="53"/>
      <c r="HUC75" s="53"/>
      <c r="HUD75" s="53"/>
      <c r="HUE75" s="53"/>
      <c r="HUF75" s="53"/>
      <c r="HUG75" s="53"/>
      <c r="HUH75" s="53"/>
      <c r="HUI75" s="53"/>
      <c r="HUJ75" s="53"/>
      <c r="HUK75" s="53"/>
      <c r="HUL75" s="53"/>
      <c r="HUM75" s="53"/>
      <c r="HUN75" s="53"/>
      <c r="HUO75" s="53"/>
      <c r="HUP75" s="53"/>
      <c r="HUQ75" s="53"/>
      <c r="HUR75" s="53"/>
      <c r="HUS75" s="53"/>
      <c r="HUT75" s="53"/>
      <c r="HUU75" s="53"/>
      <c r="HUV75" s="53"/>
      <c r="HUW75" s="53"/>
      <c r="HUX75" s="53"/>
      <c r="HUY75" s="53"/>
      <c r="HUZ75" s="53"/>
      <c r="HVA75" s="53"/>
      <c r="HVB75" s="53"/>
      <c r="HVC75" s="53"/>
      <c r="HVD75" s="53"/>
      <c r="HVE75" s="53"/>
      <c r="HVF75" s="53"/>
      <c r="HVG75" s="53"/>
      <c r="HVH75" s="53"/>
      <c r="HVI75" s="53"/>
      <c r="HVJ75" s="53"/>
      <c r="HVK75" s="53"/>
      <c r="HVL75" s="53"/>
      <c r="HVM75" s="53"/>
      <c r="HVN75" s="53"/>
      <c r="HVO75" s="53"/>
      <c r="HVP75" s="53"/>
      <c r="HVQ75" s="53"/>
      <c r="HVR75" s="53"/>
      <c r="HVS75" s="53"/>
      <c r="HVT75" s="53"/>
      <c r="HVU75" s="53"/>
      <c r="HVV75" s="53"/>
      <c r="HVW75" s="53"/>
      <c r="HVX75" s="53"/>
      <c r="HVY75" s="53"/>
      <c r="HVZ75" s="53"/>
      <c r="HWA75" s="53"/>
      <c r="HWB75" s="53"/>
      <c r="HWC75" s="53"/>
      <c r="HWD75" s="53"/>
      <c r="HWE75" s="53"/>
      <c r="HWF75" s="53"/>
      <c r="HWG75" s="53"/>
      <c r="HWH75" s="53"/>
      <c r="HWI75" s="53"/>
      <c r="HWJ75" s="53"/>
      <c r="HWK75" s="53"/>
      <c r="HWL75" s="53"/>
      <c r="HWM75" s="53"/>
      <c r="HWN75" s="53"/>
      <c r="HWO75" s="53"/>
      <c r="HWP75" s="53"/>
      <c r="HWQ75" s="53"/>
      <c r="HWR75" s="53"/>
      <c r="HWS75" s="53"/>
      <c r="HWT75" s="53"/>
      <c r="HWU75" s="53"/>
      <c r="HWV75" s="53"/>
      <c r="HWW75" s="53"/>
      <c r="HWX75" s="53"/>
      <c r="HWY75" s="53"/>
      <c r="HWZ75" s="53"/>
      <c r="HXA75" s="53"/>
      <c r="HXB75" s="53"/>
      <c r="HXC75" s="53"/>
      <c r="HXD75" s="53"/>
      <c r="HXE75" s="53"/>
      <c r="HXF75" s="53"/>
      <c r="HXG75" s="53"/>
      <c r="HXH75" s="53"/>
      <c r="HXI75" s="53"/>
      <c r="HXJ75" s="53"/>
      <c r="HXK75" s="53"/>
      <c r="HXL75" s="53"/>
      <c r="HXM75" s="53"/>
      <c r="HXN75" s="53"/>
      <c r="HXO75" s="53"/>
      <c r="HXP75" s="53"/>
      <c r="HXQ75" s="53"/>
      <c r="HXR75" s="53"/>
      <c r="HXS75" s="53"/>
      <c r="HXT75" s="53"/>
      <c r="HXU75" s="53"/>
      <c r="HXV75" s="53"/>
      <c r="HXW75" s="53"/>
      <c r="HXX75" s="53"/>
      <c r="HXY75" s="53"/>
      <c r="HXZ75" s="53"/>
      <c r="HYA75" s="53"/>
      <c r="HYB75" s="53"/>
      <c r="HYC75" s="53"/>
      <c r="HYD75" s="53"/>
      <c r="HYE75" s="53"/>
      <c r="HYF75" s="53"/>
      <c r="HYG75" s="53"/>
      <c r="HYH75" s="53"/>
      <c r="HYI75" s="53"/>
      <c r="HYJ75" s="53"/>
      <c r="HYK75" s="53"/>
      <c r="HYL75" s="53"/>
      <c r="HYM75" s="53"/>
      <c r="HYN75" s="53"/>
      <c r="HYO75" s="53"/>
      <c r="HYP75" s="53"/>
      <c r="HYQ75" s="53"/>
      <c r="HYR75" s="53"/>
      <c r="HYS75" s="53"/>
      <c r="HYT75" s="53"/>
      <c r="HYU75" s="53"/>
      <c r="HYV75" s="53"/>
      <c r="HYW75" s="53"/>
      <c r="HYX75" s="53"/>
      <c r="HYY75" s="53"/>
      <c r="HYZ75" s="53"/>
      <c r="HZA75" s="53"/>
      <c r="HZB75" s="53"/>
      <c r="HZC75" s="53"/>
      <c r="HZD75" s="53"/>
      <c r="HZE75" s="53"/>
      <c r="HZF75" s="53"/>
      <c r="HZG75" s="53"/>
      <c r="HZH75" s="53"/>
      <c r="HZI75" s="53"/>
      <c r="HZJ75" s="53"/>
      <c r="HZK75" s="53"/>
      <c r="HZL75" s="53"/>
      <c r="HZM75" s="53"/>
      <c r="HZN75" s="53"/>
      <c r="HZO75" s="53"/>
      <c r="HZP75" s="53"/>
      <c r="HZQ75" s="53"/>
      <c r="HZR75" s="53"/>
      <c r="HZS75" s="53"/>
      <c r="HZT75" s="53"/>
      <c r="HZU75" s="53"/>
      <c r="HZV75" s="53"/>
      <c r="HZW75" s="53"/>
      <c r="HZX75" s="53"/>
      <c r="HZY75" s="53"/>
      <c r="HZZ75" s="53"/>
      <c r="IAA75" s="53"/>
      <c r="IAB75" s="53"/>
      <c r="IAC75" s="53"/>
      <c r="IAD75" s="53"/>
      <c r="IAE75" s="53"/>
      <c r="IAF75" s="53"/>
      <c r="IAG75" s="53"/>
      <c r="IAH75" s="53"/>
      <c r="IAI75" s="53"/>
      <c r="IAJ75" s="53"/>
      <c r="IAK75" s="53"/>
      <c r="IAL75" s="53"/>
      <c r="IAM75" s="53"/>
      <c r="IAN75" s="53"/>
      <c r="IAO75" s="53"/>
      <c r="IAP75" s="53"/>
      <c r="IAQ75" s="53"/>
      <c r="IAR75" s="53"/>
      <c r="IAS75" s="53"/>
      <c r="IAT75" s="53"/>
      <c r="IAU75" s="53"/>
      <c r="IAV75" s="53"/>
      <c r="IAW75" s="53"/>
      <c r="IAX75" s="53"/>
      <c r="IAY75" s="53"/>
      <c r="IAZ75" s="53"/>
      <c r="IBA75" s="53"/>
      <c r="IBB75" s="53"/>
      <c r="IBC75" s="53"/>
      <c r="IBD75" s="53"/>
      <c r="IBE75" s="53"/>
      <c r="IBF75" s="53"/>
      <c r="IBG75" s="53"/>
      <c r="IBH75" s="53"/>
      <c r="IBI75" s="53"/>
      <c r="IBJ75" s="53"/>
      <c r="IBK75" s="53"/>
      <c r="IBL75" s="53"/>
      <c r="IBM75" s="53"/>
      <c r="IBN75" s="53"/>
      <c r="IBO75" s="53"/>
      <c r="IBP75" s="53"/>
      <c r="IBQ75" s="53"/>
      <c r="IBR75" s="53"/>
      <c r="IBS75" s="53"/>
      <c r="IBT75" s="53"/>
      <c r="IBU75" s="53"/>
      <c r="IBV75" s="53"/>
      <c r="IBW75" s="53"/>
      <c r="IBX75" s="53"/>
      <c r="IBY75" s="53"/>
      <c r="IBZ75" s="53"/>
      <c r="ICA75" s="53"/>
      <c r="ICB75" s="53"/>
      <c r="ICC75" s="53"/>
      <c r="ICD75" s="53"/>
      <c r="ICE75" s="53"/>
      <c r="ICF75" s="53"/>
      <c r="ICG75" s="53"/>
      <c r="ICH75" s="53"/>
      <c r="ICI75" s="53"/>
      <c r="ICJ75" s="53"/>
      <c r="ICK75" s="53"/>
      <c r="ICL75" s="53"/>
      <c r="ICM75" s="53"/>
      <c r="ICN75" s="53"/>
      <c r="ICO75" s="53"/>
      <c r="ICP75" s="53"/>
      <c r="ICQ75" s="53"/>
      <c r="ICR75" s="53"/>
      <c r="ICS75" s="53"/>
      <c r="ICT75" s="53"/>
      <c r="ICU75" s="53"/>
      <c r="ICV75" s="53"/>
      <c r="ICW75" s="53"/>
      <c r="ICX75" s="53"/>
      <c r="ICY75" s="53"/>
      <c r="ICZ75" s="53"/>
      <c r="IDA75" s="53"/>
      <c r="IDB75" s="53"/>
      <c r="IDC75" s="53"/>
      <c r="IDD75" s="53"/>
      <c r="IDE75" s="53"/>
      <c r="IDF75" s="53"/>
      <c r="IDG75" s="53"/>
      <c r="IDH75" s="53"/>
      <c r="IDI75" s="53"/>
      <c r="IDJ75" s="53"/>
      <c r="IDK75" s="53"/>
      <c r="IDL75" s="53"/>
      <c r="IDM75" s="53"/>
      <c r="IDN75" s="53"/>
      <c r="IDO75" s="53"/>
      <c r="IDP75" s="53"/>
      <c r="IDQ75" s="53"/>
      <c r="IDR75" s="53"/>
      <c r="IDS75" s="53"/>
      <c r="IDT75" s="53"/>
      <c r="IDU75" s="53"/>
      <c r="IDV75" s="53"/>
      <c r="IDW75" s="53"/>
      <c r="IDX75" s="53"/>
      <c r="IDY75" s="53"/>
      <c r="IDZ75" s="53"/>
      <c r="IEA75" s="53"/>
      <c r="IEB75" s="53"/>
      <c r="IEC75" s="53"/>
      <c r="IED75" s="53"/>
      <c r="IEE75" s="53"/>
      <c r="IEF75" s="53"/>
      <c r="IEG75" s="53"/>
      <c r="IEH75" s="53"/>
      <c r="IEI75" s="53"/>
      <c r="IEJ75" s="53"/>
      <c r="IEK75" s="53"/>
      <c r="IEL75" s="53"/>
      <c r="IEM75" s="53"/>
      <c r="IEN75" s="53"/>
      <c r="IEO75" s="53"/>
      <c r="IEP75" s="53"/>
      <c r="IEQ75" s="53"/>
      <c r="IER75" s="53"/>
      <c r="IES75" s="53"/>
      <c r="IET75" s="53"/>
      <c r="IEU75" s="53"/>
      <c r="IEV75" s="53"/>
      <c r="IEW75" s="53"/>
      <c r="IEX75" s="53"/>
      <c r="IEY75" s="53"/>
      <c r="IEZ75" s="53"/>
      <c r="IFA75" s="53"/>
      <c r="IFB75" s="53"/>
      <c r="IFC75" s="53"/>
      <c r="IFD75" s="53"/>
      <c r="IFE75" s="53"/>
      <c r="IFF75" s="53"/>
      <c r="IFG75" s="53"/>
      <c r="IFH75" s="53"/>
      <c r="IFI75" s="53"/>
      <c r="IFJ75" s="53"/>
      <c r="IFK75" s="53"/>
      <c r="IFL75" s="53"/>
      <c r="IFM75" s="53"/>
      <c r="IFN75" s="53"/>
      <c r="IFO75" s="53"/>
      <c r="IFP75" s="53"/>
      <c r="IFQ75" s="53"/>
      <c r="IFR75" s="53"/>
      <c r="IFS75" s="53"/>
      <c r="IFT75" s="53"/>
      <c r="IFU75" s="53"/>
      <c r="IFV75" s="53"/>
      <c r="IFW75" s="53"/>
      <c r="IFX75" s="53"/>
      <c r="IFY75" s="53"/>
      <c r="IFZ75" s="53"/>
      <c r="IGA75" s="53"/>
      <c r="IGB75" s="53"/>
      <c r="IGC75" s="53"/>
      <c r="IGD75" s="53"/>
      <c r="IGE75" s="53"/>
      <c r="IGF75" s="53"/>
      <c r="IGG75" s="53"/>
      <c r="IGH75" s="53"/>
      <c r="IGI75" s="53"/>
      <c r="IGJ75" s="53"/>
      <c r="IGK75" s="53"/>
      <c r="IGL75" s="53"/>
      <c r="IGM75" s="53"/>
      <c r="IGN75" s="53"/>
      <c r="IGO75" s="53"/>
      <c r="IGP75" s="53"/>
      <c r="IGQ75" s="53"/>
      <c r="IGR75" s="53"/>
      <c r="IGS75" s="53"/>
      <c r="IGT75" s="53"/>
      <c r="IGU75" s="53"/>
      <c r="IGV75" s="53"/>
      <c r="IGW75" s="53"/>
      <c r="IGX75" s="53"/>
      <c r="IGY75" s="53"/>
      <c r="IGZ75" s="53"/>
      <c r="IHA75" s="53"/>
      <c r="IHB75" s="53"/>
      <c r="IHC75" s="53"/>
      <c r="IHD75" s="53"/>
      <c r="IHE75" s="53"/>
      <c r="IHF75" s="53"/>
      <c r="IHG75" s="53"/>
      <c r="IHH75" s="53"/>
      <c r="IHI75" s="53"/>
      <c r="IHJ75" s="53"/>
      <c r="IHK75" s="53"/>
      <c r="IHL75" s="53"/>
      <c r="IHM75" s="53"/>
      <c r="IHN75" s="53"/>
      <c r="IHO75" s="53"/>
      <c r="IHP75" s="53"/>
      <c r="IHQ75" s="53"/>
      <c r="IHR75" s="53"/>
      <c r="IHS75" s="53"/>
      <c r="IHT75" s="53"/>
      <c r="IHU75" s="53"/>
      <c r="IHV75" s="53"/>
      <c r="IHW75" s="53"/>
      <c r="IHX75" s="53"/>
      <c r="IHY75" s="53"/>
      <c r="IHZ75" s="53"/>
      <c r="IIA75" s="53"/>
      <c r="IIB75" s="53"/>
      <c r="IIC75" s="53"/>
      <c r="IID75" s="53"/>
      <c r="IIE75" s="53"/>
      <c r="IIF75" s="53"/>
      <c r="IIG75" s="53"/>
      <c r="IIH75" s="53"/>
      <c r="III75" s="53"/>
      <c r="IIJ75" s="53"/>
      <c r="IIK75" s="53"/>
      <c r="IIL75" s="53"/>
      <c r="IIM75" s="53"/>
      <c r="IIN75" s="53"/>
      <c r="IIO75" s="53"/>
      <c r="IIP75" s="53"/>
      <c r="IIQ75" s="53"/>
      <c r="IIR75" s="53"/>
      <c r="IIS75" s="53"/>
      <c r="IIT75" s="53"/>
      <c r="IIU75" s="53"/>
      <c r="IIV75" s="53"/>
      <c r="IIW75" s="53"/>
      <c r="IIX75" s="53"/>
      <c r="IIY75" s="53"/>
      <c r="IIZ75" s="53"/>
      <c r="IJA75" s="53"/>
      <c r="IJB75" s="53"/>
      <c r="IJC75" s="53"/>
      <c r="IJD75" s="53"/>
      <c r="IJE75" s="53"/>
      <c r="IJF75" s="53"/>
      <c r="IJG75" s="53"/>
      <c r="IJH75" s="53"/>
      <c r="IJI75" s="53"/>
      <c r="IJJ75" s="53"/>
      <c r="IJK75" s="53"/>
      <c r="IJL75" s="53"/>
      <c r="IJM75" s="53"/>
      <c r="IJN75" s="53"/>
      <c r="IJO75" s="53"/>
      <c r="IJP75" s="53"/>
      <c r="IJQ75" s="53"/>
      <c r="IJR75" s="53"/>
      <c r="IJS75" s="53"/>
      <c r="IJT75" s="53"/>
      <c r="IJU75" s="53"/>
      <c r="IJV75" s="53"/>
      <c r="IJW75" s="53"/>
      <c r="IJX75" s="53"/>
      <c r="IJY75" s="53"/>
      <c r="IJZ75" s="53"/>
      <c r="IKA75" s="53"/>
      <c r="IKB75" s="53"/>
      <c r="IKC75" s="53"/>
      <c r="IKD75" s="53"/>
      <c r="IKE75" s="53"/>
      <c r="IKF75" s="53"/>
      <c r="IKG75" s="53"/>
      <c r="IKH75" s="53"/>
      <c r="IKI75" s="53"/>
      <c r="IKJ75" s="53"/>
      <c r="IKK75" s="53"/>
      <c r="IKL75" s="53"/>
      <c r="IKM75" s="53"/>
      <c r="IKN75" s="53"/>
      <c r="IKO75" s="53"/>
      <c r="IKP75" s="53"/>
      <c r="IKQ75" s="53"/>
      <c r="IKR75" s="53"/>
      <c r="IKS75" s="53"/>
      <c r="IKT75" s="53"/>
      <c r="IKU75" s="53"/>
      <c r="IKV75" s="53"/>
      <c r="IKW75" s="53"/>
      <c r="IKX75" s="53"/>
      <c r="IKY75" s="53"/>
      <c r="IKZ75" s="53"/>
      <c r="ILA75" s="53"/>
      <c r="ILB75" s="53"/>
      <c r="ILC75" s="53"/>
      <c r="ILD75" s="53"/>
      <c r="ILE75" s="53"/>
      <c r="ILF75" s="53"/>
      <c r="ILG75" s="53"/>
      <c r="ILH75" s="53"/>
      <c r="ILI75" s="53"/>
      <c r="ILJ75" s="53"/>
      <c r="ILK75" s="53"/>
      <c r="ILL75" s="53"/>
      <c r="ILM75" s="53"/>
      <c r="ILN75" s="53"/>
      <c r="ILO75" s="53"/>
      <c r="ILP75" s="53"/>
      <c r="ILQ75" s="53"/>
      <c r="ILR75" s="53"/>
      <c r="ILS75" s="53"/>
      <c r="ILT75" s="53"/>
      <c r="ILU75" s="53"/>
      <c r="ILV75" s="53"/>
      <c r="ILW75" s="53"/>
      <c r="ILX75" s="53"/>
      <c r="ILY75" s="53"/>
      <c r="ILZ75" s="53"/>
      <c r="IMA75" s="53"/>
      <c r="IMB75" s="53"/>
      <c r="IMC75" s="53"/>
      <c r="IMD75" s="53"/>
      <c r="IME75" s="53"/>
      <c r="IMF75" s="53"/>
      <c r="IMG75" s="53"/>
      <c r="IMH75" s="53"/>
      <c r="IMI75" s="53"/>
      <c r="IMJ75" s="53"/>
      <c r="IMK75" s="53"/>
      <c r="IML75" s="53"/>
      <c r="IMM75" s="53"/>
      <c r="IMN75" s="53"/>
      <c r="IMO75" s="53"/>
      <c r="IMP75" s="53"/>
      <c r="IMQ75" s="53"/>
      <c r="IMR75" s="53"/>
      <c r="IMS75" s="53"/>
      <c r="IMT75" s="53"/>
      <c r="IMU75" s="53"/>
      <c r="IMV75" s="53"/>
      <c r="IMW75" s="53"/>
      <c r="IMX75" s="53"/>
      <c r="IMY75" s="53"/>
      <c r="IMZ75" s="53"/>
      <c r="INA75" s="53"/>
      <c r="INB75" s="53"/>
      <c r="INC75" s="53"/>
      <c r="IND75" s="53"/>
      <c r="INE75" s="53"/>
      <c r="INF75" s="53"/>
      <c r="ING75" s="53"/>
      <c r="INH75" s="53"/>
      <c r="INI75" s="53"/>
      <c r="INJ75" s="53"/>
      <c r="INK75" s="53"/>
      <c r="INL75" s="53"/>
      <c r="INM75" s="53"/>
      <c r="INN75" s="53"/>
      <c r="INO75" s="53"/>
      <c r="INP75" s="53"/>
      <c r="INQ75" s="53"/>
      <c r="INR75" s="53"/>
      <c r="INS75" s="53"/>
      <c r="INT75" s="53"/>
      <c r="INU75" s="53"/>
      <c r="INV75" s="53"/>
      <c r="INW75" s="53"/>
      <c r="INX75" s="53"/>
      <c r="INY75" s="53"/>
      <c r="INZ75" s="53"/>
      <c r="IOA75" s="53"/>
      <c r="IOB75" s="53"/>
      <c r="IOC75" s="53"/>
      <c r="IOD75" s="53"/>
      <c r="IOE75" s="53"/>
      <c r="IOF75" s="53"/>
      <c r="IOG75" s="53"/>
      <c r="IOH75" s="53"/>
      <c r="IOI75" s="53"/>
      <c r="IOJ75" s="53"/>
      <c r="IOK75" s="53"/>
      <c r="IOL75" s="53"/>
      <c r="IOM75" s="53"/>
      <c r="ION75" s="53"/>
      <c r="IOO75" s="53"/>
      <c r="IOP75" s="53"/>
      <c r="IOQ75" s="53"/>
      <c r="IOR75" s="53"/>
      <c r="IOS75" s="53"/>
      <c r="IOT75" s="53"/>
      <c r="IOU75" s="53"/>
      <c r="IOV75" s="53"/>
      <c r="IOW75" s="53"/>
      <c r="IOX75" s="53"/>
      <c r="IOY75" s="53"/>
      <c r="IOZ75" s="53"/>
      <c r="IPA75" s="53"/>
      <c r="IPB75" s="53"/>
      <c r="IPC75" s="53"/>
      <c r="IPD75" s="53"/>
      <c r="IPE75" s="53"/>
      <c r="IPF75" s="53"/>
      <c r="IPG75" s="53"/>
      <c r="IPH75" s="53"/>
      <c r="IPI75" s="53"/>
      <c r="IPJ75" s="53"/>
      <c r="IPK75" s="53"/>
      <c r="IPL75" s="53"/>
      <c r="IPM75" s="53"/>
      <c r="IPN75" s="53"/>
      <c r="IPO75" s="53"/>
      <c r="IPP75" s="53"/>
      <c r="IPQ75" s="53"/>
      <c r="IPR75" s="53"/>
      <c r="IPS75" s="53"/>
      <c r="IPT75" s="53"/>
      <c r="IPU75" s="53"/>
      <c r="IPV75" s="53"/>
      <c r="IPW75" s="53"/>
      <c r="IPX75" s="53"/>
      <c r="IPY75" s="53"/>
      <c r="IPZ75" s="53"/>
      <c r="IQA75" s="53"/>
      <c r="IQB75" s="53"/>
      <c r="IQC75" s="53"/>
      <c r="IQD75" s="53"/>
      <c r="IQE75" s="53"/>
      <c r="IQF75" s="53"/>
      <c r="IQG75" s="53"/>
      <c r="IQH75" s="53"/>
      <c r="IQI75" s="53"/>
      <c r="IQJ75" s="53"/>
      <c r="IQK75" s="53"/>
      <c r="IQL75" s="53"/>
      <c r="IQM75" s="53"/>
      <c r="IQN75" s="53"/>
      <c r="IQO75" s="53"/>
      <c r="IQP75" s="53"/>
      <c r="IQQ75" s="53"/>
      <c r="IQR75" s="53"/>
      <c r="IQS75" s="53"/>
      <c r="IQT75" s="53"/>
      <c r="IQU75" s="53"/>
      <c r="IQV75" s="53"/>
      <c r="IQW75" s="53"/>
      <c r="IQX75" s="53"/>
      <c r="IQY75" s="53"/>
      <c r="IQZ75" s="53"/>
      <c r="IRA75" s="53"/>
      <c r="IRB75" s="53"/>
      <c r="IRC75" s="53"/>
      <c r="IRD75" s="53"/>
      <c r="IRE75" s="53"/>
      <c r="IRF75" s="53"/>
      <c r="IRG75" s="53"/>
      <c r="IRH75" s="53"/>
      <c r="IRI75" s="53"/>
      <c r="IRJ75" s="53"/>
      <c r="IRK75" s="53"/>
      <c r="IRL75" s="53"/>
      <c r="IRM75" s="53"/>
      <c r="IRN75" s="53"/>
      <c r="IRO75" s="53"/>
      <c r="IRP75" s="53"/>
      <c r="IRQ75" s="53"/>
      <c r="IRR75" s="53"/>
      <c r="IRS75" s="53"/>
      <c r="IRT75" s="53"/>
      <c r="IRU75" s="53"/>
      <c r="IRV75" s="53"/>
      <c r="IRW75" s="53"/>
      <c r="IRX75" s="53"/>
      <c r="IRY75" s="53"/>
      <c r="IRZ75" s="53"/>
      <c r="ISA75" s="53"/>
      <c r="ISB75" s="53"/>
      <c r="ISC75" s="53"/>
      <c r="ISD75" s="53"/>
      <c r="ISE75" s="53"/>
      <c r="ISF75" s="53"/>
      <c r="ISG75" s="53"/>
      <c r="ISH75" s="53"/>
      <c r="ISI75" s="53"/>
      <c r="ISJ75" s="53"/>
      <c r="ISK75" s="53"/>
      <c r="ISL75" s="53"/>
      <c r="ISM75" s="53"/>
      <c r="ISN75" s="53"/>
      <c r="ISO75" s="53"/>
      <c r="ISP75" s="53"/>
      <c r="ISQ75" s="53"/>
      <c r="ISR75" s="53"/>
      <c r="ISS75" s="53"/>
      <c r="IST75" s="53"/>
      <c r="ISU75" s="53"/>
      <c r="ISV75" s="53"/>
      <c r="ISW75" s="53"/>
      <c r="ISX75" s="53"/>
      <c r="ISY75" s="53"/>
      <c r="ISZ75" s="53"/>
      <c r="ITA75" s="53"/>
      <c r="ITB75" s="53"/>
      <c r="ITC75" s="53"/>
      <c r="ITD75" s="53"/>
      <c r="ITE75" s="53"/>
      <c r="ITF75" s="53"/>
      <c r="ITG75" s="53"/>
      <c r="ITH75" s="53"/>
      <c r="ITI75" s="53"/>
      <c r="ITJ75" s="53"/>
      <c r="ITK75" s="53"/>
      <c r="ITL75" s="53"/>
      <c r="ITM75" s="53"/>
      <c r="ITN75" s="53"/>
      <c r="ITO75" s="53"/>
      <c r="ITP75" s="53"/>
      <c r="ITQ75" s="53"/>
      <c r="ITR75" s="53"/>
      <c r="ITS75" s="53"/>
      <c r="ITT75" s="53"/>
      <c r="ITU75" s="53"/>
      <c r="ITV75" s="53"/>
      <c r="ITW75" s="53"/>
      <c r="ITX75" s="53"/>
      <c r="ITY75" s="53"/>
      <c r="ITZ75" s="53"/>
      <c r="IUA75" s="53"/>
      <c r="IUB75" s="53"/>
      <c r="IUC75" s="53"/>
      <c r="IUD75" s="53"/>
      <c r="IUE75" s="53"/>
      <c r="IUF75" s="53"/>
      <c r="IUG75" s="53"/>
      <c r="IUH75" s="53"/>
      <c r="IUI75" s="53"/>
      <c r="IUJ75" s="53"/>
      <c r="IUK75" s="53"/>
      <c r="IUL75" s="53"/>
      <c r="IUM75" s="53"/>
      <c r="IUN75" s="53"/>
      <c r="IUO75" s="53"/>
      <c r="IUP75" s="53"/>
      <c r="IUQ75" s="53"/>
      <c r="IUR75" s="53"/>
      <c r="IUS75" s="53"/>
      <c r="IUT75" s="53"/>
      <c r="IUU75" s="53"/>
      <c r="IUV75" s="53"/>
      <c r="IUW75" s="53"/>
      <c r="IUX75" s="53"/>
      <c r="IUY75" s="53"/>
      <c r="IUZ75" s="53"/>
      <c r="IVA75" s="53"/>
      <c r="IVB75" s="53"/>
      <c r="IVC75" s="53"/>
      <c r="IVD75" s="53"/>
      <c r="IVE75" s="53"/>
      <c r="IVF75" s="53"/>
      <c r="IVG75" s="53"/>
      <c r="IVH75" s="53"/>
      <c r="IVI75" s="53"/>
      <c r="IVJ75" s="53"/>
      <c r="IVK75" s="53"/>
      <c r="IVL75" s="53"/>
      <c r="IVM75" s="53"/>
      <c r="IVN75" s="53"/>
      <c r="IVO75" s="53"/>
      <c r="IVP75" s="53"/>
      <c r="IVQ75" s="53"/>
      <c r="IVR75" s="53"/>
      <c r="IVS75" s="53"/>
      <c r="IVT75" s="53"/>
      <c r="IVU75" s="53"/>
      <c r="IVV75" s="53"/>
      <c r="IVW75" s="53"/>
      <c r="IVX75" s="53"/>
      <c r="IVY75" s="53"/>
      <c r="IVZ75" s="53"/>
      <c r="IWA75" s="53"/>
      <c r="IWB75" s="53"/>
      <c r="IWC75" s="53"/>
      <c r="IWD75" s="53"/>
      <c r="IWE75" s="53"/>
      <c r="IWF75" s="53"/>
      <c r="IWG75" s="53"/>
      <c r="IWH75" s="53"/>
      <c r="IWI75" s="53"/>
      <c r="IWJ75" s="53"/>
      <c r="IWK75" s="53"/>
      <c r="IWL75" s="53"/>
      <c r="IWM75" s="53"/>
      <c r="IWN75" s="53"/>
      <c r="IWO75" s="53"/>
      <c r="IWP75" s="53"/>
      <c r="IWQ75" s="53"/>
      <c r="IWR75" s="53"/>
      <c r="IWS75" s="53"/>
      <c r="IWT75" s="53"/>
      <c r="IWU75" s="53"/>
      <c r="IWV75" s="53"/>
      <c r="IWW75" s="53"/>
      <c r="IWX75" s="53"/>
      <c r="IWY75" s="53"/>
      <c r="IWZ75" s="53"/>
      <c r="IXA75" s="53"/>
      <c r="IXB75" s="53"/>
      <c r="IXC75" s="53"/>
      <c r="IXD75" s="53"/>
      <c r="IXE75" s="53"/>
      <c r="IXF75" s="53"/>
      <c r="IXG75" s="53"/>
      <c r="IXH75" s="53"/>
      <c r="IXI75" s="53"/>
      <c r="IXJ75" s="53"/>
      <c r="IXK75" s="53"/>
      <c r="IXL75" s="53"/>
      <c r="IXM75" s="53"/>
      <c r="IXN75" s="53"/>
      <c r="IXO75" s="53"/>
      <c r="IXP75" s="53"/>
      <c r="IXQ75" s="53"/>
      <c r="IXR75" s="53"/>
      <c r="IXS75" s="53"/>
      <c r="IXT75" s="53"/>
      <c r="IXU75" s="53"/>
      <c r="IXV75" s="53"/>
      <c r="IXW75" s="53"/>
      <c r="IXX75" s="53"/>
      <c r="IXY75" s="53"/>
      <c r="IXZ75" s="53"/>
      <c r="IYA75" s="53"/>
      <c r="IYB75" s="53"/>
      <c r="IYC75" s="53"/>
      <c r="IYD75" s="53"/>
      <c r="IYE75" s="53"/>
      <c r="IYF75" s="53"/>
      <c r="IYG75" s="53"/>
      <c r="IYH75" s="53"/>
      <c r="IYI75" s="53"/>
      <c r="IYJ75" s="53"/>
      <c r="IYK75" s="53"/>
      <c r="IYL75" s="53"/>
      <c r="IYM75" s="53"/>
      <c r="IYN75" s="53"/>
      <c r="IYO75" s="53"/>
      <c r="IYP75" s="53"/>
      <c r="IYQ75" s="53"/>
      <c r="IYR75" s="53"/>
      <c r="IYS75" s="53"/>
      <c r="IYT75" s="53"/>
      <c r="IYU75" s="53"/>
      <c r="IYV75" s="53"/>
      <c r="IYW75" s="53"/>
      <c r="IYX75" s="53"/>
      <c r="IYY75" s="53"/>
      <c r="IYZ75" s="53"/>
      <c r="IZA75" s="53"/>
      <c r="IZB75" s="53"/>
      <c r="IZC75" s="53"/>
      <c r="IZD75" s="53"/>
      <c r="IZE75" s="53"/>
      <c r="IZF75" s="53"/>
      <c r="IZG75" s="53"/>
      <c r="IZH75" s="53"/>
      <c r="IZI75" s="53"/>
      <c r="IZJ75" s="53"/>
      <c r="IZK75" s="53"/>
      <c r="IZL75" s="53"/>
      <c r="IZM75" s="53"/>
      <c r="IZN75" s="53"/>
      <c r="IZO75" s="53"/>
      <c r="IZP75" s="53"/>
      <c r="IZQ75" s="53"/>
      <c r="IZR75" s="53"/>
      <c r="IZS75" s="53"/>
      <c r="IZT75" s="53"/>
      <c r="IZU75" s="53"/>
      <c r="IZV75" s="53"/>
      <c r="IZW75" s="53"/>
      <c r="IZX75" s="53"/>
      <c r="IZY75" s="53"/>
      <c r="IZZ75" s="53"/>
      <c r="JAA75" s="53"/>
      <c r="JAB75" s="53"/>
      <c r="JAC75" s="53"/>
      <c r="JAD75" s="53"/>
      <c r="JAE75" s="53"/>
      <c r="JAF75" s="53"/>
      <c r="JAG75" s="53"/>
      <c r="JAH75" s="53"/>
      <c r="JAI75" s="53"/>
      <c r="JAJ75" s="53"/>
      <c r="JAK75" s="53"/>
      <c r="JAL75" s="53"/>
      <c r="JAM75" s="53"/>
      <c r="JAN75" s="53"/>
      <c r="JAO75" s="53"/>
      <c r="JAP75" s="53"/>
      <c r="JAQ75" s="53"/>
      <c r="JAR75" s="53"/>
      <c r="JAS75" s="53"/>
      <c r="JAT75" s="53"/>
      <c r="JAU75" s="53"/>
      <c r="JAV75" s="53"/>
      <c r="JAW75" s="53"/>
      <c r="JAX75" s="53"/>
      <c r="JAY75" s="53"/>
      <c r="JAZ75" s="53"/>
      <c r="JBA75" s="53"/>
      <c r="JBB75" s="53"/>
      <c r="JBC75" s="53"/>
      <c r="JBD75" s="53"/>
      <c r="JBE75" s="53"/>
      <c r="JBF75" s="53"/>
      <c r="JBG75" s="53"/>
      <c r="JBH75" s="53"/>
      <c r="JBI75" s="53"/>
      <c r="JBJ75" s="53"/>
      <c r="JBK75" s="53"/>
      <c r="JBL75" s="53"/>
      <c r="JBM75" s="53"/>
      <c r="JBN75" s="53"/>
      <c r="JBO75" s="53"/>
      <c r="JBP75" s="53"/>
      <c r="JBQ75" s="53"/>
      <c r="JBR75" s="53"/>
      <c r="JBS75" s="53"/>
      <c r="JBT75" s="53"/>
      <c r="JBU75" s="53"/>
      <c r="JBV75" s="53"/>
      <c r="JBW75" s="53"/>
      <c r="JBX75" s="53"/>
      <c r="JBY75" s="53"/>
      <c r="JBZ75" s="53"/>
      <c r="JCA75" s="53"/>
      <c r="JCB75" s="53"/>
      <c r="JCC75" s="53"/>
      <c r="JCD75" s="53"/>
      <c r="JCE75" s="53"/>
      <c r="JCF75" s="53"/>
      <c r="JCG75" s="53"/>
      <c r="JCH75" s="53"/>
      <c r="JCI75" s="53"/>
      <c r="JCJ75" s="53"/>
      <c r="JCK75" s="53"/>
      <c r="JCL75" s="53"/>
      <c r="JCM75" s="53"/>
      <c r="JCN75" s="53"/>
      <c r="JCO75" s="53"/>
      <c r="JCP75" s="53"/>
      <c r="JCQ75" s="53"/>
      <c r="JCR75" s="53"/>
      <c r="JCS75" s="53"/>
      <c r="JCT75" s="53"/>
      <c r="JCU75" s="53"/>
      <c r="JCV75" s="53"/>
      <c r="JCW75" s="53"/>
      <c r="JCX75" s="53"/>
      <c r="JCY75" s="53"/>
      <c r="JCZ75" s="53"/>
      <c r="JDA75" s="53"/>
      <c r="JDB75" s="53"/>
      <c r="JDC75" s="53"/>
      <c r="JDD75" s="53"/>
      <c r="JDE75" s="53"/>
      <c r="JDF75" s="53"/>
      <c r="JDG75" s="53"/>
      <c r="JDH75" s="53"/>
      <c r="JDI75" s="53"/>
      <c r="JDJ75" s="53"/>
      <c r="JDK75" s="53"/>
      <c r="JDL75" s="53"/>
      <c r="JDM75" s="53"/>
      <c r="JDN75" s="53"/>
      <c r="JDO75" s="53"/>
      <c r="JDP75" s="53"/>
      <c r="JDQ75" s="53"/>
      <c r="JDR75" s="53"/>
      <c r="JDS75" s="53"/>
      <c r="JDT75" s="53"/>
      <c r="JDU75" s="53"/>
      <c r="JDV75" s="53"/>
      <c r="JDW75" s="53"/>
      <c r="JDX75" s="53"/>
      <c r="JDY75" s="53"/>
      <c r="JDZ75" s="53"/>
      <c r="JEA75" s="53"/>
      <c r="JEB75" s="53"/>
      <c r="JEC75" s="53"/>
      <c r="JED75" s="53"/>
      <c r="JEE75" s="53"/>
      <c r="JEF75" s="53"/>
      <c r="JEG75" s="53"/>
      <c r="JEH75" s="53"/>
      <c r="JEI75" s="53"/>
      <c r="JEJ75" s="53"/>
      <c r="JEK75" s="53"/>
      <c r="JEL75" s="53"/>
      <c r="JEM75" s="53"/>
      <c r="JEN75" s="53"/>
      <c r="JEO75" s="53"/>
      <c r="JEP75" s="53"/>
      <c r="JEQ75" s="53"/>
      <c r="JER75" s="53"/>
      <c r="JES75" s="53"/>
      <c r="JET75" s="53"/>
      <c r="JEU75" s="53"/>
      <c r="JEV75" s="53"/>
      <c r="JEW75" s="53"/>
      <c r="JEX75" s="53"/>
      <c r="JEY75" s="53"/>
      <c r="JEZ75" s="53"/>
      <c r="JFA75" s="53"/>
      <c r="JFB75" s="53"/>
      <c r="JFC75" s="53"/>
      <c r="JFD75" s="53"/>
      <c r="JFE75" s="53"/>
      <c r="JFF75" s="53"/>
      <c r="JFG75" s="53"/>
      <c r="JFH75" s="53"/>
      <c r="JFI75" s="53"/>
      <c r="JFJ75" s="53"/>
      <c r="JFK75" s="53"/>
      <c r="JFL75" s="53"/>
      <c r="JFM75" s="53"/>
      <c r="JFN75" s="53"/>
      <c r="JFO75" s="53"/>
      <c r="JFP75" s="53"/>
      <c r="JFQ75" s="53"/>
      <c r="JFR75" s="53"/>
      <c r="JFS75" s="53"/>
      <c r="JFT75" s="53"/>
      <c r="JFU75" s="53"/>
      <c r="JFV75" s="53"/>
      <c r="JFW75" s="53"/>
      <c r="JFX75" s="53"/>
      <c r="JFY75" s="53"/>
      <c r="JFZ75" s="53"/>
      <c r="JGA75" s="53"/>
      <c r="JGB75" s="53"/>
      <c r="JGC75" s="53"/>
      <c r="JGD75" s="53"/>
      <c r="JGE75" s="53"/>
      <c r="JGF75" s="53"/>
      <c r="JGG75" s="53"/>
      <c r="JGH75" s="53"/>
      <c r="JGI75" s="53"/>
      <c r="JGJ75" s="53"/>
      <c r="JGK75" s="53"/>
      <c r="JGL75" s="53"/>
      <c r="JGM75" s="53"/>
      <c r="JGN75" s="53"/>
      <c r="JGO75" s="53"/>
      <c r="JGP75" s="53"/>
      <c r="JGQ75" s="53"/>
      <c r="JGR75" s="53"/>
      <c r="JGS75" s="53"/>
      <c r="JGT75" s="53"/>
      <c r="JGU75" s="53"/>
      <c r="JGV75" s="53"/>
      <c r="JGW75" s="53"/>
      <c r="JGX75" s="53"/>
      <c r="JGY75" s="53"/>
      <c r="JGZ75" s="53"/>
      <c r="JHA75" s="53"/>
      <c r="JHB75" s="53"/>
      <c r="JHC75" s="53"/>
      <c r="JHD75" s="53"/>
      <c r="JHE75" s="53"/>
      <c r="JHF75" s="53"/>
      <c r="JHG75" s="53"/>
      <c r="JHH75" s="53"/>
      <c r="JHI75" s="53"/>
      <c r="JHJ75" s="53"/>
      <c r="JHK75" s="53"/>
      <c r="JHL75" s="53"/>
      <c r="JHM75" s="53"/>
      <c r="JHN75" s="53"/>
      <c r="JHO75" s="53"/>
      <c r="JHP75" s="53"/>
      <c r="JHQ75" s="53"/>
      <c r="JHR75" s="53"/>
      <c r="JHS75" s="53"/>
      <c r="JHT75" s="53"/>
      <c r="JHU75" s="53"/>
      <c r="JHV75" s="53"/>
      <c r="JHW75" s="53"/>
      <c r="JHX75" s="53"/>
      <c r="JHY75" s="53"/>
      <c r="JHZ75" s="53"/>
      <c r="JIA75" s="53"/>
      <c r="JIB75" s="53"/>
      <c r="JIC75" s="53"/>
      <c r="JID75" s="53"/>
      <c r="JIE75" s="53"/>
      <c r="JIF75" s="53"/>
      <c r="JIG75" s="53"/>
      <c r="JIH75" s="53"/>
      <c r="JII75" s="53"/>
      <c r="JIJ75" s="53"/>
      <c r="JIK75" s="53"/>
      <c r="JIL75" s="53"/>
      <c r="JIM75" s="53"/>
      <c r="JIN75" s="53"/>
      <c r="JIO75" s="53"/>
      <c r="JIP75" s="53"/>
      <c r="JIQ75" s="53"/>
      <c r="JIR75" s="53"/>
      <c r="JIS75" s="53"/>
      <c r="JIT75" s="53"/>
      <c r="JIU75" s="53"/>
      <c r="JIV75" s="53"/>
      <c r="JIW75" s="53"/>
      <c r="JIX75" s="53"/>
      <c r="JIY75" s="53"/>
      <c r="JIZ75" s="53"/>
      <c r="JJA75" s="53"/>
      <c r="JJB75" s="53"/>
      <c r="JJC75" s="53"/>
      <c r="JJD75" s="53"/>
      <c r="JJE75" s="53"/>
      <c r="JJF75" s="53"/>
      <c r="JJG75" s="53"/>
      <c r="JJH75" s="53"/>
      <c r="JJI75" s="53"/>
      <c r="JJJ75" s="53"/>
      <c r="JJK75" s="53"/>
      <c r="JJL75" s="53"/>
      <c r="JJM75" s="53"/>
      <c r="JJN75" s="53"/>
      <c r="JJO75" s="53"/>
      <c r="JJP75" s="53"/>
      <c r="JJQ75" s="53"/>
      <c r="JJR75" s="53"/>
      <c r="JJS75" s="53"/>
      <c r="JJT75" s="53"/>
      <c r="JJU75" s="53"/>
      <c r="JJV75" s="53"/>
      <c r="JJW75" s="53"/>
      <c r="JJX75" s="53"/>
      <c r="JJY75" s="53"/>
      <c r="JJZ75" s="53"/>
      <c r="JKA75" s="53"/>
      <c r="JKB75" s="53"/>
      <c r="JKC75" s="53"/>
      <c r="JKD75" s="53"/>
      <c r="JKE75" s="53"/>
      <c r="JKF75" s="53"/>
      <c r="JKG75" s="53"/>
      <c r="JKH75" s="53"/>
      <c r="JKI75" s="53"/>
      <c r="JKJ75" s="53"/>
      <c r="JKK75" s="53"/>
      <c r="JKL75" s="53"/>
      <c r="JKM75" s="53"/>
      <c r="JKN75" s="53"/>
      <c r="JKO75" s="53"/>
      <c r="JKP75" s="53"/>
      <c r="JKQ75" s="53"/>
      <c r="JKR75" s="53"/>
      <c r="JKS75" s="53"/>
      <c r="JKT75" s="53"/>
      <c r="JKU75" s="53"/>
      <c r="JKV75" s="53"/>
      <c r="JKW75" s="53"/>
      <c r="JKX75" s="53"/>
      <c r="JKY75" s="53"/>
      <c r="JKZ75" s="53"/>
      <c r="JLA75" s="53"/>
      <c r="JLB75" s="53"/>
      <c r="JLC75" s="53"/>
      <c r="JLD75" s="53"/>
      <c r="JLE75" s="53"/>
      <c r="JLF75" s="53"/>
      <c r="JLG75" s="53"/>
      <c r="JLH75" s="53"/>
      <c r="JLI75" s="53"/>
      <c r="JLJ75" s="53"/>
      <c r="JLK75" s="53"/>
      <c r="JLL75" s="53"/>
      <c r="JLM75" s="53"/>
      <c r="JLN75" s="53"/>
      <c r="JLO75" s="53"/>
      <c r="JLP75" s="53"/>
      <c r="JLQ75" s="53"/>
      <c r="JLR75" s="53"/>
      <c r="JLS75" s="53"/>
      <c r="JLT75" s="53"/>
      <c r="JLU75" s="53"/>
      <c r="JLV75" s="53"/>
      <c r="JLW75" s="53"/>
      <c r="JLX75" s="53"/>
      <c r="JLY75" s="53"/>
      <c r="JLZ75" s="53"/>
      <c r="JMA75" s="53"/>
      <c r="JMB75" s="53"/>
      <c r="JMC75" s="53"/>
      <c r="JMD75" s="53"/>
      <c r="JME75" s="53"/>
      <c r="JMF75" s="53"/>
      <c r="JMG75" s="53"/>
      <c r="JMH75" s="53"/>
      <c r="JMI75" s="53"/>
      <c r="JMJ75" s="53"/>
      <c r="JMK75" s="53"/>
      <c r="JML75" s="53"/>
      <c r="JMM75" s="53"/>
      <c r="JMN75" s="53"/>
      <c r="JMO75" s="53"/>
      <c r="JMP75" s="53"/>
      <c r="JMQ75" s="53"/>
      <c r="JMR75" s="53"/>
      <c r="JMS75" s="53"/>
      <c r="JMT75" s="53"/>
      <c r="JMU75" s="53"/>
      <c r="JMV75" s="53"/>
      <c r="JMW75" s="53"/>
      <c r="JMX75" s="53"/>
      <c r="JMY75" s="53"/>
      <c r="JMZ75" s="53"/>
      <c r="JNA75" s="53"/>
      <c r="JNB75" s="53"/>
      <c r="JNC75" s="53"/>
      <c r="JND75" s="53"/>
      <c r="JNE75" s="53"/>
      <c r="JNF75" s="53"/>
      <c r="JNG75" s="53"/>
      <c r="JNH75" s="53"/>
      <c r="JNI75" s="53"/>
      <c r="JNJ75" s="53"/>
      <c r="JNK75" s="53"/>
      <c r="JNL75" s="53"/>
      <c r="JNM75" s="53"/>
      <c r="JNN75" s="53"/>
      <c r="JNO75" s="53"/>
      <c r="JNP75" s="53"/>
      <c r="JNQ75" s="53"/>
      <c r="JNR75" s="53"/>
      <c r="JNS75" s="53"/>
      <c r="JNT75" s="53"/>
      <c r="JNU75" s="53"/>
      <c r="JNV75" s="53"/>
      <c r="JNW75" s="53"/>
      <c r="JNX75" s="53"/>
      <c r="JNY75" s="53"/>
      <c r="JNZ75" s="53"/>
      <c r="JOA75" s="53"/>
      <c r="JOB75" s="53"/>
      <c r="JOC75" s="53"/>
      <c r="JOD75" s="53"/>
      <c r="JOE75" s="53"/>
      <c r="JOF75" s="53"/>
      <c r="JOG75" s="53"/>
      <c r="JOH75" s="53"/>
      <c r="JOI75" s="53"/>
      <c r="JOJ75" s="53"/>
      <c r="JOK75" s="53"/>
      <c r="JOL75" s="53"/>
      <c r="JOM75" s="53"/>
      <c r="JON75" s="53"/>
      <c r="JOO75" s="53"/>
      <c r="JOP75" s="53"/>
      <c r="JOQ75" s="53"/>
      <c r="JOR75" s="53"/>
      <c r="JOS75" s="53"/>
      <c r="JOT75" s="53"/>
      <c r="JOU75" s="53"/>
      <c r="JOV75" s="53"/>
      <c r="JOW75" s="53"/>
      <c r="JOX75" s="53"/>
      <c r="JOY75" s="53"/>
      <c r="JOZ75" s="53"/>
      <c r="JPA75" s="53"/>
      <c r="JPB75" s="53"/>
      <c r="JPC75" s="53"/>
      <c r="JPD75" s="53"/>
      <c r="JPE75" s="53"/>
      <c r="JPF75" s="53"/>
      <c r="JPG75" s="53"/>
      <c r="JPH75" s="53"/>
      <c r="JPI75" s="53"/>
      <c r="JPJ75" s="53"/>
      <c r="JPK75" s="53"/>
      <c r="JPL75" s="53"/>
      <c r="JPM75" s="53"/>
      <c r="JPN75" s="53"/>
      <c r="JPO75" s="53"/>
      <c r="JPP75" s="53"/>
      <c r="JPQ75" s="53"/>
      <c r="JPR75" s="53"/>
      <c r="JPS75" s="53"/>
      <c r="JPT75" s="53"/>
      <c r="JPU75" s="53"/>
      <c r="JPV75" s="53"/>
      <c r="JPW75" s="53"/>
      <c r="JPX75" s="53"/>
      <c r="JPY75" s="53"/>
      <c r="JPZ75" s="53"/>
      <c r="JQA75" s="53"/>
      <c r="JQB75" s="53"/>
      <c r="JQC75" s="53"/>
      <c r="JQD75" s="53"/>
      <c r="JQE75" s="53"/>
      <c r="JQF75" s="53"/>
      <c r="JQG75" s="53"/>
      <c r="JQH75" s="53"/>
      <c r="JQI75" s="53"/>
      <c r="JQJ75" s="53"/>
      <c r="JQK75" s="53"/>
      <c r="JQL75" s="53"/>
      <c r="JQM75" s="53"/>
      <c r="JQN75" s="53"/>
      <c r="JQO75" s="53"/>
      <c r="JQP75" s="53"/>
      <c r="JQQ75" s="53"/>
      <c r="JQR75" s="53"/>
      <c r="JQS75" s="53"/>
      <c r="JQT75" s="53"/>
      <c r="JQU75" s="53"/>
      <c r="JQV75" s="53"/>
      <c r="JQW75" s="53"/>
      <c r="JQX75" s="53"/>
      <c r="JQY75" s="53"/>
      <c r="JQZ75" s="53"/>
      <c r="JRA75" s="53"/>
      <c r="JRB75" s="53"/>
      <c r="JRC75" s="53"/>
      <c r="JRD75" s="53"/>
      <c r="JRE75" s="53"/>
      <c r="JRF75" s="53"/>
      <c r="JRG75" s="53"/>
      <c r="JRH75" s="53"/>
      <c r="JRI75" s="53"/>
      <c r="JRJ75" s="53"/>
      <c r="JRK75" s="53"/>
      <c r="JRL75" s="53"/>
      <c r="JRM75" s="53"/>
      <c r="JRN75" s="53"/>
      <c r="JRO75" s="53"/>
      <c r="JRP75" s="53"/>
      <c r="JRQ75" s="53"/>
      <c r="JRR75" s="53"/>
      <c r="JRS75" s="53"/>
      <c r="JRT75" s="53"/>
      <c r="JRU75" s="53"/>
      <c r="JRV75" s="53"/>
      <c r="JRW75" s="53"/>
      <c r="JRX75" s="53"/>
      <c r="JRY75" s="53"/>
      <c r="JRZ75" s="53"/>
      <c r="JSA75" s="53"/>
      <c r="JSB75" s="53"/>
      <c r="JSC75" s="53"/>
      <c r="JSD75" s="53"/>
      <c r="JSE75" s="53"/>
      <c r="JSF75" s="53"/>
      <c r="JSG75" s="53"/>
      <c r="JSH75" s="53"/>
      <c r="JSI75" s="53"/>
      <c r="JSJ75" s="53"/>
      <c r="JSK75" s="53"/>
      <c r="JSL75" s="53"/>
      <c r="JSM75" s="53"/>
      <c r="JSN75" s="53"/>
      <c r="JSO75" s="53"/>
      <c r="JSP75" s="53"/>
      <c r="JSQ75" s="53"/>
      <c r="JSR75" s="53"/>
      <c r="JSS75" s="53"/>
      <c r="JST75" s="53"/>
      <c r="JSU75" s="53"/>
      <c r="JSV75" s="53"/>
      <c r="JSW75" s="53"/>
      <c r="JSX75" s="53"/>
      <c r="JSY75" s="53"/>
      <c r="JSZ75" s="53"/>
      <c r="JTA75" s="53"/>
      <c r="JTB75" s="53"/>
      <c r="JTC75" s="53"/>
      <c r="JTD75" s="53"/>
      <c r="JTE75" s="53"/>
      <c r="JTF75" s="53"/>
      <c r="JTG75" s="53"/>
      <c r="JTH75" s="53"/>
      <c r="JTI75" s="53"/>
      <c r="JTJ75" s="53"/>
      <c r="JTK75" s="53"/>
      <c r="JTL75" s="53"/>
      <c r="JTM75" s="53"/>
      <c r="JTN75" s="53"/>
      <c r="JTO75" s="53"/>
      <c r="JTP75" s="53"/>
      <c r="JTQ75" s="53"/>
      <c r="JTR75" s="53"/>
      <c r="JTS75" s="53"/>
      <c r="JTT75" s="53"/>
      <c r="JTU75" s="53"/>
      <c r="JTV75" s="53"/>
      <c r="JTW75" s="53"/>
      <c r="JTX75" s="53"/>
      <c r="JTY75" s="53"/>
      <c r="JTZ75" s="53"/>
      <c r="JUA75" s="53"/>
      <c r="JUB75" s="53"/>
      <c r="JUC75" s="53"/>
      <c r="JUD75" s="53"/>
      <c r="JUE75" s="53"/>
      <c r="JUF75" s="53"/>
      <c r="JUG75" s="53"/>
      <c r="JUH75" s="53"/>
      <c r="JUI75" s="53"/>
      <c r="JUJ75" s="53"/>
      <c r="JUK75" s="53"/>
      <c r="JUL75" s="53"/>
      <c r="JUM75" s="53"/>
      <c r="JUN75" s="53"/>
      <c r="JUO75" s="53"/>
      <c r="JUP75" s="53"/>
      <c r="JUQ75" s="53"/>
      <c r="JUR75" s="53"/>
      <c r="JUS75" s="53"/>
      <c r="JUT75" s="53"/>
      <c r="JUU75" s="53"/>
      <c r="JUV75" s="53"/>
      <c r="JUW75" s="53"/>
      <c r="JUX75" s="53"/>
      <c r="JUY75" s="53"/>
      <c r="JUZ75" s="53"/>
      <c r="JVA75" s="53"/>
      <c r="JVB75" s="53"/>
      <c r="JVC75" s="53"/>
      <c r="JVD75" s="53"/>
      <c r="JVE75" s="53"/>
      <c r="JVF75" s="53"/>
      <c r="JVG75" s="53"/>
      <c r="JVH75" s="53"/>
      <c r="JVI75" s="53"/>
      <c r="JVJ75" s="53"/>
      <c r="JVK75" s="53"/>
      <c r="JVL75" s="53"/>
      <c r="JVM75" s="53"/>
      <c r="JVN75" s="53"/>
      <c r="JVO75" s="53"/>
      <c r="JVP75" s="53"/>
      <c r="JVQ75" s="53"/>
      <c r="JVR75" s="53"/>
      <c r="JVS75" s="53"/>
      <c r="JVT75" s="53"/>
      <c r="JVU75" s="53"/>
      <c r="JVV75" s="53"/>
      <c r="JVW75" s="53"/>
      <c r="JVX75" s="53"/>
      <c r="JVY75" s="53"/>
      <c r="JVZ75" s="53"/>
      <c r="JWA75" s="53"/>
      <c r="JWB75" s="53"/>
      <c r="JWC75" s="53"/>
      <c r="JWD75" s="53"/>
      <c r="JWE75" s="53"/>
      <c r="JWF75" s="53"/>
      <c r="JWG75" s="53"/>
      <c r="JWH75" s="53"/>
      <c r="JWI75" s="53"/>
      <c r="JWJ75" s="53"/>
      <c r="JWK75" s="53"/>
      <c r="JWL75" s="53"/>
      <c r="JWM75" s="53"/>
      <c r="JWN75" s="53"/>
      <c r="JWO75" s="53"/>
      <c r="JWP75" s="53"/>
      <c r="JWQ75" s="53"/>
      <c r="JWR75" s="53"/>
      <c r="JWS75" s="53"/>
      <c r="JWT75" s="53"/>
      <c r="JWU75" s="53"/>
      <c r="JWV75" s="53"/>
      <c r="JWW75" s="53"/>
      <c r="JWX75" s="53"/>
      <c r="JWY75" s="53"/>
      <c r="JWZ75" s="53"/>
      <c r="JXA75" s="53"/>
      <c r="JXB75" s="53"/>
      <c r="JXC75" s="53"/>
      <c r="JXD75" s="53"/>
      <c r="JXE75" s="53"/>
      <c r="JXF75" s="53"/>
      <c r="JXG75" s="53"/>
      <c r="JXH75" s="53"/>
      <c r="JXI75" s="53"/>
      <c r="JXJ75" s="53"/>
      <c r="JXK75" s="53"/>
      <c r="JXL75" s="53"/>
      <c r="JXM75" s="53"/>
      <c r="JXN75" s="53"/>
      <c r="JXO75" s="53"/>
      <c r="JXP75" s="53"/>
      <c r="JXQ75" s="53"/>
      <c r="JXR75" s="53"/>
      <c r="JXS75" s="53"/>
      <c r="JXT75" s="53"/>
      <c r="JXU75" s="53"/>
      <c r="JXV75" s="53"/>
      <c r="JXW75" s="53"/>
      <c r="JXX75" s="53"/>
      <c r="JXY75" s="53"/>
      <c r="JXZ75" s="53"/>
      <c r="JYA75" s="53"/>
      <c r="JYB75" s="53"/>
      <c r="JYC75" s="53"/>
      <c r="JYD75" s="53"/>
      <c r="JYE75" s="53"/>
      <c r="JYF75" s="53"/>
      <c r="JYG75" s="53"/>
      <c r="JYH75" s="53"/>
      <c r="JYI75" s="53"/>
      <c r="JYJ75" s="53"/>
      <c r="JYK75" s="53"/>
      <c r="JYL75" s="53"/>
      <c r="JYM75" s="53"/>
      <c r="JYN75" s="53"/>
      <c r="JYO75" s="53"/>
      <c r="JYP75" s="53"/>
      <c r="JYQ75" s="53"/>
      <c r="JYR75" s="53"/>
      <c r="JYS75" s="53"/>
      <c r="JYT75" s="53"/>
      <c r="JYU75" s="53"/>
      <c r="JYV75" s="53"/>
      <c r="JYW75" s="53"/>
      <c r="JYX75" s="53"/>
      <c r="JYY75" s="53"/>
      <c r="JYZ75" s="53"/>
      <c r="JZA75" s="53"/>
      <c r="JZB75" s="53"/>
      <c r="JZC75" s="53"/>
      <c r="JZD75" s="53"/>
      <c r="JZE75" s="53"/>
      <c r="JZF75" s="53"/>
      <c r="JZG75" s="53"/>
      <c r="JZH75" s="53"/>
      <c r="JZI75" s="53"/>
      <c r="JZJ75" s="53"/>
      <c r="JZK75" s="53"/>
      <c r="JZL75" s="53"/>
      <c r="JZM75" s="53"/>
      <c r="JZN75" s="53"/>
      <c r="JZO75" s="53"/>
      <c r="JZP75" s="53"/>
      <c r="JZQ75" s="53"/>
      <c r="JZR75" s="53"/>
      <c r="JZS75" s="53"/>
      <c r="JZT75" s="53"/>
      <c r="JZU75" s="53"/>
      <c r="JZV75" s="53"/>
      <c r="JZW75" s="53"/>
      <c r="JZX75" s="53"/>
      <c r="JZY75" s="53"/>
      <c r="JZZ75" s="53"/>
      <c r="KAA75" s="53"/>
      <c r="KAB75" s="53"/>
      <c r="KAC75" s="53"/>
      <c r="KAD75" s="53"/>
      <c r="KAE75" s="53"/>
      <c r="KAF75" s="53"/>
      <c r="KAG75" s="53"/>
      <c r="KAH75" s="53"/>
      <c r="KAI75" s="53"/>
      <c r="KAJ75" s="53"/>
      <c r="KAK75" s="53"/>
      <c r="KAL75" s="53"/>
      <c r="KAM75" s="53"/>
      <c r="KAN75" s="53"/>
      <c r="KAO75" s="53"/>
      <c r="KAP75" s="53"/>
      <c r="KAQ75" s="53"/>
      <c r="KAR75" s="53"/>
      <c r="KAS75" s="53"/>
      <c r="KAT75" s="53"/>
      <c r="KAU75" s="53"/>
      <c r="KAV75" s="53"/>
      <c r="KAW75" s="53"/>
      <c r="KAX75" s="53"/>
      <c r="KAY75" s="53"/>
      <c r="KAZ75" s="53"/>
      <c r="KBA75" s="53"/>
      <c r="KBB75" s="53"/>
      <c r="KBC75" s="53"/>
      <c r="KBD75" s="53"/>
      <c r="KBE75" s="53"/>
      <c r="KBF75" s="53"/>
      <c r="KBG75" s="53"/>
      <c r="KBH75" s="53"/>
      <c r="KBI75" s="53"/>
      <c r="KBJ75" s="53"/>
      <c r="KBK75" s="53"/>
      <c r="KBL75" s="53"/>
      <c r="KBM75" s="53"/>
      <c r="KBN75" s="53"/>
      <c r="KBO75" s="53"/>
      <c r="KBP75" s="53"/>
      <c r="KBQ75" s="53"/>
      <c r="KBR75" s="53"/>
      <c r="KBS75" s="53"/>
      <c r="KBT75" s="53"/>
      <c r="KBU75" s="53"/>
      <c r="KBV75" s="53"/>
      <c r="KBW75" s="53"/>
      <c r="KBX75" s="53"/>
      <c r="KBY75" s="53"/>
      <c r="KBZ75" s="53"/>
      <c r="KCA75" s="53"/>
      <c r="KCB75" s="53"/>
      <c r="KCC75" s="53"/>
      <c r="KCD75" s="53"/>
      <c r="KCE75" s="53"/>
      <c r="KCF75" s="53"/>
      <c r="KCG75" s="53"/>
      <c r="KCH75" s="53"/>
      <c r="KCI75" s="53"/>
      <c r="KCJ75" s="53"/>
      <c r="KCK75" s="53"/>
      <c r="KCL75" s="53"/>
      <c r="KCM75" s="53"/>
      <c r="KCN75" s="53"/>
      <c r="KCO75" s="53"/>
      <c r="KCP75" s="53"/>
      <c r="KCQ75" s="53"/>
      <c r="KCR75" s="53"/>
      <c r="KCS75" s="53"/>
      <c r="KCT75" s="53"/>
      <c r="KCU75" s="53"/>
      <c r="KCV75" s="53"/>
      <c r="KCW75" s="53"/>
      <c r="KCX75" s="53"/>
      <c r="KCY75" s="53"/>
      <c r="KCZ75" s="53"/>
      <c r="KDA75" s="53"/>
      <c r="KDB75" s="53"/>
      <c r="KDC75" s="53"/>
      <c r="KDD75" s="53"/>
      <c r="KDE75" s="53"/>
      <c r="KDF75" s="53"/>
      <c r="KDG75" s="53"/>
      <c r="KDH75" s="53"/>
      <c r="KDI75" s="53"/>
      <c r="KDJ75" s="53"/>
      <c r="KDK75" s="53"/>
      <c r="KDL75" s="53"/>
      <c r="KDM75" s="53"/>
      <c r="KDN75" s="53"/>
      <c r="KDO75" s="53"/>
      <c r="KDP75" s="53"/>
      <c r="KDQ75" s="53"/>
      <c r="KDR75" s="53"/>
      <c r="KDS75" s="53"/>
      <c r="KDT75" s="53"/>
      <c r="KDU75" s="53"/>
      <c r="KDV75" s="53"/>
      <c r="KDW75" s="53"/>
      <c r="KDX75" s="53"/>
      <c r="KDY75" s="53"/>
      <c r="KDZ75" s="53"/>
      <c r="KEA75" s="53"/>
      <c r="KEB75" s="53"/>
      <c r="KEC75" s="53"/>
      <c r="KED75" s="53"/>
      <c r="KEE75" s="53"/>
      <c r="KEF75" s="53"/>
      <c r="KEG75" s="53"/>
      <c r="KEH75" s="53"/>
      <c r="KEI75" s="53"/>
      <c r="KEJ75" s="53"/>
      <c r="KEK75" s="53"/>
      <c r="KEL75" s="53"/>
      <c r="KEM75" s="53"/>
      <c r="KEN75" s="53"/>
      <c r="KEO75" s="53"/>
      <c r="KEP75" s="53"/>
      <c r="KEQ75" s="53"/>
      <c r="KER75" s="53"/>
      <c r="KES75" s="53"/>
      <c r="KET75" s="53"/>
      <c r="KEU75" s="53"/>
      <c r="KEV75" s="53"/>
      <c r="KEW75" s="53"/>
      <c r="KEX75" s="53"/>
      <c r="KEY75" s="53"/>
      <c r="KEZ75" s="53"/>
      <c r="KFA75" s="53"/>
      <c r="KFB75" s="53"/>
      <c r="KFC75" s="53"/>
      <c r="KFD75" s="53"/>
      <c r="KFE75" s="53"/>
      <c r="KFF75" s="53"/>
      <c r="KFG75" s="53"/>
      <c r="KFH75" s="53"/>
      <c r="KFI75" s="53"/>
      <c r="KFJ75" s="53"/>
      <c r="KFK75" s="53"/>
      <c r="KFL75" s="53"/>
      <c r="KFM75" s="53"/>
      <c r="KFN75" s="53"/>
      <c r="KFO75" s="53"/>
      <c r="KFP75" s="53"/>
      <c r="KFQ75" s="53"/>
      <c r="KFR75" s="53"/>
      <c r="KFS75" s="53"/>
      <c r="KFT75" s="53"/>
      <c r="KFU75" s="53"/>
      <c r="KFV75" s="53"/>
      <c r="KFW75" s="53"/>
      <c r="KFX75" s="53"/>
      <c r="KFY75" s="53"/>
      <c r="KFZ75" s="53"/>
      <c r="KGA75" s="53"/>
      <c r="KGB75" s="53"/>
      <c r="KGC75" s="53"/>
      <c r="KGD75" s="53"/>
      <c r="KGE75" s="53"/>
      <c r="KGF75" s="53"/>
      <c r="KGG75" s="53"/>
      <c r="KGH75" s="53"/>
      <c r="KGI75" s="53"/>
      <c r="KGJ75" s="53"/>
      <c r="KGK75" s="53"/>
      <c r="KGL75" s="53"/>
      <c r="KGM75" s="53"/>
      <c r="KGN75" s="53"/>
      <c r="KGO75" s="53"/>
      <c r="KGP75" s="53"/>
      <c r="KGQ75" s="53"/>
      <c r="KGR75" s="53"/>
      <c r="KGS75" s="53"/>
      <c r="KGT75" s="53"/>
      <c r="KGU75" s="53"/>
      <c r="KGV75" s="53"/>
      <c r="KGW75" s="53"/>
      <c r="KGX75" s="53"/>
      <c r="KGY75" s="53"/>
      <c r="KGZ75" s="53"/>
      <c r="KHA75" s="53"/>
      <c r="KHB75" s="53"/>
      <c r="KHC75" s="53"/>
      <c r="KHD75" s="53"/>
      <c r="KHE75" s="53"/>
      <c r="KHF75" s="53"/>
      <c r="KHG75" s="53"/>
      <c r="KHH75" s="53"/>
      <c r="KHI75" s="53"/>
      <c r="KHJ75" s="53"/>
      <c r="KHK75" s="53"/>
      <c r="KHL75" s="53"/>
      <c r="KHM75" s="53"/>
      <c r="KHN75" s="53"/>
      <c r="KHO75" s="53"/>
      <c r="KHP75" s="53"/>
      <c r="KHQ75" s="53"/>
      <c r="KHR75" s="53"/>
      <c r="KHS75" s="53"/>
      <c r="KHT75" s="53"/>
      <c r="KHU75" s="53"/>
      <c r="KHV75" s="53"/>
      <c r="KHW75" s="53"/>
      <c r="KHX75" s="53"/>
      <c r="KHY75" s="53"/>
      <c r="KHZ75" s="53"/>
      <c r="KIA75" s="53"/>
      <c r="KIB75" s="53"/>
      <c r="KIC75" s="53"/>
      <c r="KID75" s="53"/>
      <c r="KIE75" s="53"/>
      <c r="KIF75" s="53"/>
      <c r="KIG75" s="53"/>
      <c r="KIH75" s="53"/>
      <c r="KII75" s="53"/>
      <c r="KIJ75" s="53"/>
      <c r="KIK75" s="53"/>
      <c r="KIL75" s="53"/>
      <c r="KIM75" s="53"/>
      <c r="KIN75" s="53"/>
      <c r="KIO75" s="53"/>
      <c r="KIP75" s="53"/>
      <c r="KIQ75" s="53"/>
      <c r="KIR75" s="53"/>
      <c r="KIS75" s="53"/>
      <c r="KIT75" s="53"/>
      <c r="KIU75" s="53"/>
      <c r="KIV75" s="53"/>
      <c r="KIW75" s="53"/>
      <c r="KIX75" s="53"/>
      <c r="KIY75" s="53"/>
      <c r="KIZ75" s="53"/>
      <c r="KJA75" s="53"/>
      <c r="KJB75" s="53"/>
      <c r="KJC75" s="53"/>
      <c r="KJD75" s="53"/>
      <c r="KJE75" s="53"/>
      <c r="KJF75" s="53"/>
      <c r="KJG75" s="53"/>
      <c r="KJH75" s="53"/>
      <c r="KJI75" s="53"/>
      <c r="KJJ75" s="53"/>
      <c r="KJK75" s="53"/>
      <c r="KJL75" s="53"/>
      <c r="KJM75" s="53"/>
      <c r="KJN75" s="53"/>
      <c r="KJO75" s="53"/>
      <c r="KJP75" s="53"/>
      <c r="KJQ75" s="53"/>
      <c r="KJR75" s="53"/>
      <c r="KJS75" s="53"/>
      <c r="KJT75" s="53"/>
      <c r="KJU75" s="53"/>
      <c r="KJV75" s="53"/>
      <c r="KJW75" s="53"/>
      <c r="KJX75" s="53"/>
      <c r="KJY75" s="53"/>
      <c r="KJZ75" s="53"/>
      <c r="KKA75" s="53"/>
      <c r="KKB75" s="53"/>
      <c r="KKC75" s="53"/>
      <c r="KKD75" s="53"/>
      <c r="KKE75" s="53"/>
      <c r="KKF75" s="53"/>
      <c r="KKG75" s="53"/>
      <c r="KKH75" s="53"/>
      <c r="KKI75" s="53"/>
      <c r="KKJ75" s="53"/>
      <c r="KKK75" s="53"/>
      <c r="KKL75" s="53"/>
      <c r="KKM75" s="53"/>
      <c r="KKN75" s="53"/>
      <c r="KKO75" s="53"/>
      <c r="KKP75" s="53"/>
      <c r="KKQ75" s="53"/>
      <c r="KKR75" s="53"/>
      <c r="KKS75" s="53"/>
      <c r="KKT75" s="53"/>
      <c r="KKU75" s="53"/>
      <c r="KKV75" s="53"/>
      <c r="KKW75" s="53"/>
      <c r="KKX75" s="53"/>
      <c r="KKY75" s="53"/>
      <c r="KKZ75" s="53"/>
      <c r="KLA75" s="53"/>
      <c r="KLB75" s="53"/>
      <c r="KLC75" s="53"/>
      <c r="KLD75" s="53"/>
      <c r="KLE75" s="53"/>
      <c r="KLF75" s="53"/>
      <c r="KLG75" s="53"/>
      <c r="KLH75" s="53"/>
      <c r="KLI75" s="53"/>
      <c r="KLJ75" s="53"/>
      <c r="KLK75" s="53"/>
      <c r="KLL75" s="53"/>
      <c r="KLM75" s="53"/>
      <c r="KLN75" s="53"/>
      <c r="KLO75" s="53"/>
      <c r="KLP75" s="53"/>
      <c r="KLQ75" s="53"/>
      <c r="KLR75" s="53"/>
      <c r="KLS75" s="53"/>
      <c r="KLT75" s="53"/>
      <c r="KLU75" s="53"/>
      <c r="KLV75" s="53"/>
      <c r="KLW75" s="53"/>
      <c r="KLX75" s="53"/>
      <c r="KLY75" s="53"/>
      <c r="KLZ75" s="53"/>
      <c r="KMA75" s="53"/>
      <c r="KMB75" s="53"/>
      <c r="KMC75" s="53"/>
      <c r="KMD75" s="53"/>
      <c r="KME75" s="53"/>
      <c r="KMF75" s="53"/>
      <c r="KMG75" s="53"/>
      <c r="KMH75" s="53"/>
      <c r="KMI75" s="53"/>
      <c r="KMJ75" s="53"/>
      <c r="KMK75" s="53"/>
      <c r="KML75" s="53"/>
      <c r="KMM75" s="53"/>
      <c r="KMN75" s="53"/>
      <c r="KMO75" s="53"/>
      <c r="KMP75" s="53"/>
      <c r="KMQ75" s="53"/>
      <c r="KMR75" s="53"/>
      <c r="KMS75" s="53"/>
      <c r="KMT75" s="53"/>
      <c r="KMU75" s="53"/>
      <c r="KMV75" s="53"/>
      <c r="KMW75" s="53"/>
      <c r="KMX75" s="53"/>
      <c r="KMY75" s="53"/>
      <c r="KMZ75" s="53"/>
      <c r="KNA75" s="53"/>
      <c r="KNB75" s="53"/>
      <c r="KNC75" s="53"/>
      <c r="KND75" s="53"/>
      <c r="KNE75" s="53"/>
      <c r="KNF75" s="53"/>
      <c r="KNG75" s="53"/>
      <c r="KNH75" s="53"/>
      <c r="KNI75" s="53"/>
      <c r="KNJ75" s="53"/>
      <c r="KNK75" s="53"/>
      <c r="KNL75" s="53"/>
      <c r="KNM75" s="53"/>
      <c r="KNN75" s="53"/>
      <c r="KNO75" s="53"/>
      <c r="KNP75" s="53"/>
      <c r="KNQ75" s="53"/>
      <c r="KNR75" s="53"/>
      <c r="KNS75" s="53"/>
      <c r="KNT75" s="53"/>
      <c r="KNU75" s="53"/>
      <c r="KNV75" s="53"/>
      <c r="KNW75" s="53"/>
      <c r="KNX75" s="53"/>
      <c r="KNY75" s="53"/>
      <c r="KNZ75" s="53"/>
      <c r="KOA75" s="53"/>
      <c r="KOB75" s="53"/>
      <c r="KOC75" s="53"/>
      <c r="KOD75" s="53"/>
      <c r="KOE75" s="53"/>
      <c r="KOF75" s="53"/>
      <c r="KOG75" s="53"/>
      <c r="KOH75" s="53"/>
      <c r="KOI75" s="53"/>
      <c r="KOJ75" s="53"/>
      <c r="KOK75" s="53"/>
      <c r="KOL75" s="53"/>
      <c r="KOM75" s="53"/>
      <c r="KON75" s="53"/>
      <c r="KOO75" s="53"/>
      <c r="KOP75" s="53"/>
      <c r="KOQ75" s="53"/>
      <c r="KOR75" s="53"/>
      <c r="KOS75" s="53"/>
      <c r="KOT75" s="53"/>
      <c r="KOU75" s="53"/>
      <c r="KOV75" s="53"/>
      <c r="KOW75" s="53"/>
      <c r="KOX75" s="53"/>
      <c r="KOY75" s="53"/>
      <c r="KOZ75" s="53"/>
      <c r="KPA75" s="53"/>
      <c r="KPB75" s="53"/>
      <c r="KPC75" s="53"/>
      <c r="KPD75" s="53"/>
      <c r="KPE75" s="53"/>
      <c r="KPF75" s="53"/>
      <c r="KPG75" s="53"/>
      <c r="KPH75" s="53"/>
      <c r="KPI75" s="53"/>
      <c r="KPJ75" s="53"/>
      <c r="KPK75" s="53"/>
      <c r="KPL75" s="53"/>
      <c r="KPM75" s="53"/>
      <c r="KPN75" s="53"/>
      <c r="KPO75" s="53"/>
      <c r="KPP75" s="53"/>
      <c r="KPQ75" s="53"/>
      <c r="KPR75" s="53"/>
      <c r="KPS75" s="53"/>
      <c r="KPT75" s="53"/>
      <c r="KPU75" s="53"/>
      <c r="KPV75" s="53"/>
      <c r="KPW75" s="53"/>
      <c r="KPX75" s="53"/>
      <c r="KPY75" s="53"/>
      <c r="KPZ75" s="53"/>
      <c r="KQA75" s="53"/>
      <c r="KQB75" s="53"/>
      <c r="KQC75" s="53"/>
      <c r="KQD75" s="53"/>
      <c r="KQE75" s="53"/>
      <c r="KQF75" s="53"/>
      <c r="KQG75" s="53"/>
      <c r="KQH75" s="53"/>
      <c r="KQI75" s="53"/>
      <c r="KQJ75" s="53"/>
      <c r="KQK75" s="53"/>
      <c r="KQL75" s="53"/>
      <c r="KQM75" s="53"/>
      <c r="KQN75" s="53"/>
      <c r="KQO75" s="53"/>
      <c r="KQP75" s="53"/>
      <c r="KQQ75" s="53"/>
      <c r="KQR75" s="53"/>
      <c r="KQS75" s="53"/>
      <c r="KQT75" s="53"/>
      <c r="KQU75" s="53"/>
      <c r="KQV75" s="53"/>
      <c r="KQW75" s="53"/>
      <c r="KQX75" s="53"/>
      <c r="KQY75" s="53"/>
      <c r="KQZ75" s="53"/>
      <c r="KRA75" s="53"/>
      <c r="KRB75" s="53"/>
      <c r="KRC75" s="53"/>
      <c r="KRD75" s="53"/>
      <c r="KRE75" s="53"/>
      <c r="KRF75" s="53"/>
      <c r="KRG75" s="53"/>
      <c r="KRH75" s="53"/>
      <c r="KRI75" s="53"/>
      <c r="KRJ75" s="53"/>
      <c r="KRK75" s="53"/>
      <c r="KRL75" s="53"/>
      <c r="KRM75" s="53"/>
      <c r="KRN75" s="53"/>
      <c r="KRO75" s="53"/>
      <c r="KRP75" s="53"/>
      <c r="KRQ75" s="53"/>
      <c r="KRR75" s="53"/>
      <c r="KRS75" s="53"/>
      <c r="KRT75" s="53"/>
      <c r="KRU75" s="53"/>
      <c r="KRV75" s="53"/>
      <c r="KRW75" s="53"/>
      <c r="KRX75" s="53"/>
      <c r="KRY75" s="53"/>
      <c r="KRZ75" s="53"/>
      <c r="KSA75" s="53"/>
      <c r="KSB75" s="53"/>
      <c r="KSC75" s="53"/>
      <c r="KSD75" s="53"/>
      <c r="KSE75" s="53"/>
      <c r="KSF75" s="53"/>
      <c r="KSG75" s="53"/>
      <c r="KSH75" s="53"/>
      <c r="KSI75" s="53"/>
      <c r="KSJ75" s="53"/>
      <c r="KSK75" s="53"/>
      <c r="KSL75" s="53"/>
      <c r="KSM75" s="53"/>
      <c r="KSN75" s="53"/>
      <c r="KSO75" s="53"/>
      <c r="KSP75" s="53"/>
      <c r="KSQ75" s="53"/>
      <c r="KSR75" s="53"/>
      <c r="KSS75" s="53"/>
      <c r="KST75" s="53"/>
      <c r="KSU75" s="53"/>
      <c r="KSV75" s="53"/>
      <c r="KSW75" s="53"/>
      <c r="KSX75" s="53"/>
      <c r="KSY75" s="53"/>
      <c r="KSZ75" s="53"/>
      <c r="KTA75" s="53"/>
      <c r="KTB75" s="53"/>
      <c r="KTC75" s="53"/>
      <c r="KTD75" s="53"/>
      <c r="KTE75" s="53"/>
      <c r="KTF75" s="53"/>
      <c r="KTG75" s="53"/>
      <c r="KTH75" s="53"/>
      <c r="KTI75" s="53"/>
      <c r="KTJ75" s="53"/>
      <c r="KTK75" s="53"/>
      <c r="KTL75" s="53"/>
      <c r="KTM75" s="53"/>
      <c r="KTN75" s="53"/>
      <c r="KTO75" s="53"/>
      <c r="KTP75" s="53"/>
      <c r="KTQ75" s="53"/>
      <c r="KTR75" s="53"/>
      <c r="KTS75" s="53"/>
      <c r="KTT75" s="53"/>
      <c r="KTU75" s="53"/>
      <c r="KTV75" s="53"/>
      <c r="KTW75" s="53"/>
      <c r="KTX75" s="53"/>
      <c r="KTY75" s="53"/>
      <c r="KTZ75" s="53"/>
      <c r="KUA75" s="53"/>
      <c r="KUB75" s="53"/>
      <c r="KUC75" s="53"/>
      <c r="KUD75" s="53"/>
      <c r="KUE75" s="53"/>
      <c r="KUF75" s="53"/>
      <c r="KUG75" s="53"/>
      <c r="KUH75" s="53"/>
      <c r="KUI75" s="53"/>
      <c r="KUJ75" s="53"/>
      <c r="KUK75" s="53"/>
      <c r="KUL75" s="53"/>
      <c r="KUM75" s="53"/>
      <c r="KUN75" s="53"/>
      <c r="KUO75" s="53"/>
      <c r="KUP75" s="53"/>
      <c r="KUQ75" s="53"/>
      <c r="KUR75" s="53"/>
      <c r="KUS75" s="53"/>
      <c r="KUT75" s="53"/>
      <c r="KUU75" s="53"/>
      <c r="KUV75" s="53"/>
      <c r="KUW75" s="53"/>
      <c r="KUX75" s="53"/>
      <c r="KUY75" s="53"/>
      <c r="KUZ75" s="53"/>
      <c r="KVA75" s="53"/>
      <c r="KVB75" s="53"/>
      <c r="KVC75" s="53"/>
      <c r="KVD75" s="53"/>
      <c r="KVE75" s="53"/>
      <c r="KVF75" s="53"/>
      <c r="KVG75" s="53"/>
      <c r="KVH75" s="53"/>
      <c r="KVI75" s="53"/>
      <c r="KVJ75" s="53"/>
      <c r="KVK75" s="53"/>
      <c r="KVL75" s="53"/>
      <c r="KVM75" s="53"/>
      <c r="KVN75" s="53"/>
      <c r="KVO75" s="53"/>
      <c r="KVP75" s="53"/>
      <c r="KVQ75" s="53"/>
      <c r="KVR75" s="53"/>
      <c r="KVS75" s="53"/>
      <c r="KVT75" s="53"/>
      <c r="KVU75" s="53"/>
      <c r="KVV75" s="53"/>
      <c r="KVW75" s="53"/>
      <c r="KVX75" s="53"/>
      <c r="KVY75" s="53"/>
      <c r="KVZ75" s="53"/>
      <c r="KWA75" s="53"/>
      <c r="KWB75" s="53"/>
      <c r="KWC75" s="53"/>
      <c r="KWD75" s="53"/>
      <c r="KWE75" s="53"/>
      <c r="KWF75" s="53"/>
      <c r="KWG75" s="53"/>
      <c r="KWH75" s="53"/>
      <c r="KWI75" s="53"/>
      <c r="KWJ75" s="53"/>
      <c r="KWK75" s="53"/>
      <c r="KWL75" s="53"/>
      <c r="KWM75" s="53"/>
      <c r="KWN75" s="53"/>
      <c r="KWO75" s="53"/>
      <c r="KWP75" s="53"/>
      <c r="KWQ75" s="53"/>
      <c r="KWR75" s="53"/>
      <c r="KWS75" s="53"/>
      <c r="KWT75" s="53"/>
      <c r="KWU75" s="53"/>
      <c r="KWV75" s="53"/>
      <c r="KWW75" s="53"/>
      <c r="KWX75" s="53"/>
      <c r="KWY75" s="53"/>
      <c r="KWZ75" s="53"/>
      <c r="KXA75" s="53"/>
      <c r="KXB75" s="53"/>
      <c r="KXC75" s="53"/>
      <c r="KXD75" s="53"/>
      <c r="KXE75" s="53"/>
      <c r="KXF75" s="53"/>
      <c r="KXG75" s="53"/>
      <c r="KXH75" s="53"/>
      <c r="KXI75" s="53"/>
      <c r="KXJ75" s="53"/>
      <c r="KXK75" s="53"/>
      <c r="KXL75" s="53"/>
      <c r="KXM75" s="53"/>
      <c r="KXN75" s="53"/>
      <c r="KXO75" s="53"/>
      <c r="KXP75" s="53"/>
      <c r="KXQ75" s="53"/>
      <c r="KXR75" s="53"/>
      <c r="KXS75" s="53"/>
      <c r="KXT75" s="53"/>
      <c r="KXU75" s="53"/>
      <c r="KXV75" s="53"/>
      <c r="KXW75" s="53"/>
      <c r="KXX75" s="53"/>
      <c r="KXY75" s="53"/>
      <c r="KXZ75" s="53"/>
      <c r="KYA75" s="53"/>
      <c r="KYB75" s="53"/>
      <c r="KYC75" s="53"/>
      <c r="KYD75" s="53"/>
      <c r="KYE75" s="53"/>
      <c r="KYF75" s="53"/>
      <c r="KYG75" s="53"/>
      <c r="KYH75" s="53"/>
      <c r="KYI75" s="53"/>
      <c r="KYJ75" s="53"/>
      <c r="KYK75" s="53"/>
      <c r="KYL75" s="53"/>
      <c r="KYM75" s="53"/>
      <c r="KYN75" s="53"/>
      <c r="KYO75" s="53"/>
      <c r="KYP75" s="53"/>
      <c r="KYQ75" s="53"/>
      <c r="KYR75" s="53"/>
      <c r="KYS75" s="53"/>
      <c r="KYT75" s="53"/>
      <c r="KYU75" s="53"/>
      <c r="KYV75" s="53"/>
      <c r="KYW75" s="53"/>
      <c r="KYX75" s="53"/>
      <c r="KYY75" s="53"/>
      <c r="KYZ75" s="53"/>
      <c r="KZA75" s="53"/>
      <c r="KZB75" s="53"/>
      <c r="KZC75" s="53"/>
      <c r="KZD75" s="53"/>
      <c r="KZE75" s="53"/>
      <c r="KZF75" s="53"/>
      <c r="KZG75" s="53"/>
      <c r="KZH75" s="53"/>
      <c r="KZI75" s="53"/>
      <c r="KZJ75" s="53"/>
      <c r="KZK75" s="53"/>
      <c r="KZL75" s="53"/>
      <c r="KZM75" s="53"/>
      <c r="KZN75" s="53"/>
      <c r="KZO75" s="53"/>
      <c r="KZP75" s="53"/>
      <c r="KZQ75" s="53"/>
      <c r="KZR75" s="53"/>
      <c r="KZS75" s="53"/>
      <c r="KZT75" s="53"/>
      <c r="KZU75" s="53"/>
      <c r="KZV75" s="53"/>
      <c r="KZW75" s="53"/>
      <c r="KZX75" s="53"/>
      <c r="KZY75" s="53"/>
      <c r="KZZ75" s="53"/>
      <c r="LAA75" s="53"/>
      <c r="LAB75" s="53"/>
      <c r="LAC75" s="53"/>
      <c r="LAD75" s="53"/>
      <c r="LAE75" s="53"/>
      <c r="LAF75" s="53"/>
      <c r="LAG75" s="53"/>
      <c r="LAH75" s="53"/>
      <c r="LAI75" s="53"/>
      <c r="LAJ75" s="53"/>
      <c r="LAK75" s="53"/>
      <c r="LAL75" s="53"/>
      <c r="LAM75" s="53"/>
      <c r="LAN75" s="53"/>
      <c r="LAO75" s="53"/>
      <c r="LAP75" s="53"/>
      <c r="LAQ75" s="53"/>
      <c r="LAR75" s="53"/>
      <c r="LAS75" s="53"/>
      <c r="LAT75" s="53"/>
      <c r="LAU75" s="53"/>
      <c r="LAV75" s="53"/>
      <c r="LAW75" s="53"/>
      <c r="LAX75" s="53"/>
      <c r="LAY75" s="53"/>
      <c r="LAZ75" s="53"/>
      <c r="LBA75" s="53"/>
      <c r="LBB75" s="53"/>
      <c r="LBC75" s="53"/>
      <c r="LBD75" s="53"/>
      <c r="LBE75" s="53"/>
      <c r="LBF75" s="53"/>
      <c r="LBG75" s="53"/>
      <c r="LBH75" s="53"/>
      <c r="LBI75" s="53"/>
      <c r="LBJ75" s="53"/>
      <c r="LBK75" s="53"/>
      <c r="LBL75" s="53"/>
      <c r="LBM75" s="53"/>
      <c r="LBN75" s="53"/>
      <c r="LBO75" s="53"/>
      <c r="LBP75" s="53"/>
      <c r="LBQ75" s="53"/>
      <c r="LBR75" s="53"/>
      <c r="LBS75" s="53"/>
      <c r="LBT75" s="53"/>
      <c r="LBU75" s="53"/>
      <c r="LBV75" s="53"/>
      <c r="LBW75" s="53"/>
      <c r="LBX75" s="53"/>
      <c r="LBY75" s="53"/>
      <c r="LBZ75" s="53"/>
      <c r="LCA75" s="53"/>
      <c r="LCB75" s="53"/>
      <c r="LCC75" s="53"/>
      <c r="LCD75" s="53"/>
      <c r="LCE75" s="53"/>
      <c r="LCF75" s="53"/>
      <c r="LCG75" s="53"/>
      <c r="LCH75" s="53"/>
      <c r="LCI75" s="53"/>
      <c r="LCJ75" s="53"/>
      <c r="LCK75" s="53"/>
      <c r="LCL75" s="53"/>
      <c r="LCM75" s="53"/>
      <c r="LCN75" s="53"/>
      <c r="LCO75" s="53"/>
      <c r="LCP75" s="53"/>
      <c r="LCQ75" s="53"/>
      <c r="LCR75" s="53"/>
      <c r="LCS75" s="53"/>
      <c r="LCT75" s="53"/>
      <c r="LCU75" s="53"/>
      <c r="LCV75" s="53"/>
      <c r="LCW75" s="53"/>
      <c r="LCX75" s="53"/>
      <c r="LCY75" s="53"/>
      <c r="LCZ75" s="53"/>
      <c r="LDA75" s="53"/>
      <c r="LDB75" s="53"/>
      <c r="LDC75" s="53"/>
      <c r="LDD75" s="53"/>
      <c r="LDE75" s="53"/>
      <c r="LDF75" s="53"/>
      <c r="LDG75" s="53"/>
      <c r="LDH75" s="53"/>
      <c r="LDI75" s="53"/>
      <c r="LDJ75" s="53"/>
      <c r="LDK75" s="53"/>
      <c r="LDL75" s="53"/>
      <c r="LDM75" s="53"/>
      <c r="LDN75" s="53"/>
      <c r="LDO75" s="53"/>
      <c r="LDP75" s="53"/>
      <c r="LDQ75" s="53"/>
      <c r="LDR75" s="53"/>
      <c r="LDS75" s="53"/>
      <c r="LDT75" s="53"/>
      <c r="LDU75" s="53"/>
      <c r="LDV75" s="53"/>
      <c r="LDW75" s="53"/>
      <c r="LDX75" s="53"/>
      <c r="LDY75" s="53"/>
      <c r="LDZ75" s="53"/>
      <c r="LEA75" s="53"/>
      <c r="LEB75" s="53"/>
      <c r="LEC75" s="53"/>
      <c r="LED75" s="53"/>
      <c r="LEE75" s="53"/>
      <c r="LEF75" s="53"/>
      <c r="LEG75" s="53"/>
      <c r="LEH75" s="53"/>
      <c r="LEI75" s="53"/>
      <c r="LEJ75" s="53"/>
      <c r="LEK75" s="53"/>
      <c r="LEL75" s="53"/>
      <c r="LEM75" s="53"/>
      <c r="LEN75" s="53"/>
      <c r="LEO75" s="53"/>
      <c r="LEP75" s="53"/>
      <c r="LEQ75" s="53"/>
      <c r="LER75" s="53"/>
      <c r="LES75" s="53"/>
      <c r="LET75" s="53"/>
      <c r="LEU75" s="53"/>
      <c r="LEV75" s="53"/>
      <c r="LEW75" s="53"/>
      <c r="LEX75" s="53"/>
      <c r="LEY75" s="53"/>
      <c r="LEZ75" s="53"/>
      <c r="LFA75" s="53"/>
      <c r="LFB75" s="53"/>
      <c r="LFC75" s="53"/>
      <c r="LFD75" s="53"/>
      <c r="LFE75" s="53"/>
      <c r="LFF75" s="53"/>
      <c r="LFG75" s="53"/>
      <c r="LFH75" s="53"/>
      <c r="LFI75" s="53"/>
      <c r="LFJ75" s="53"/>
      <c r="LFK75" s="53"/>
      <c r="LFL75" s="53"/>
      <c r="LFM75" s="53"/>
      <c r="LFN75" s="53"/>
      <c r="LFO75" s="53"/>
      <c r="LFP75" s="53"/>
      <c r="LFQ75" s="53"/>
      <c r="LFR75" s="53"/>
      <c r="LFS75" s="53"/>
      <c r="LFT75" s="53"/>
      <c r="LFU75" s="53"/>
      <c r="LFV75" s="53"/>
      <c r="LFW75" s="53"/>
      <c r="LFX75" s="53"/>
      <c r="LFY75" s="53"/>
      <c r="LFZ75" s="53"/>
      <c r="LGA75" s="53"/>
      <c r="LGB75" s="53"/>
      <c r="LGC75" s="53"/>
      <c r="LGD75" s="53"/>
      <c r="LGE75" s="53"/>
      <c r="LGF75" s="53"/>
      <c r="LGG75" s="53"/>
      <c r="LGH75" s="53"/>
      <c r="LGI75" s="53"/>
      <c r="LGJ75" s="53"/>
      <c r="LGK75" s="53"/>
      <c r="LGL75" s="53"/>
      <c r="LGM75" s="53"/>
      <c r="LGN75" s="53"/>
      <c r="LGO75" s="53"/>
      <c r="LGP75" s="53"/>
      <c r="LGQ75" s="53"/>
      <c r="LGR75" s="53"/>
      <c r="LGS75" s="53"/>
      <c r="LGT75" s="53"/>
      <c r="LGU75" s="53"/>
      <c r="LGV75" s="53"/>
      <c r="LGW75" s="53"/>
      <c r="LGX75" s="53"/>
      <c r="LGY75" s="53"/>
      <c r="LGZ75" s="53"/>
      <c r="LHA75" s="53"/>
      <c r="LHB75" s="53"/>
      <c r="LHC75" s="53"/>
      <c r="LHD75" s="53"/>
      <c r="LHE75" s="53"/>
      <c r="LHF75" s="53"/>
      <c r="LHG75" s="53"/>
      <c r="LHH75" s="53"/>
      <c r="LHI75" s="53"/>
      <c r="LHJ75" s="53"/>
      <c r="LHK75" s="53"/>
      <c r="LHL75" s="53"/>
      <c r="LHM75" s="53"/>
      <c r="LHN75" s="53"/>
      <c r="LHO75" s="53"/>
      <c r="LHP75" s="53"/>
      <c r="LHQ75" s="53"/>
      <c r="LHR75" s="53"/>
      <c r="LHS75" s="53"/>
      <c r="LHT75" s="53"/>
      <c r="LHU75" s="53"/>
      <c r="LHV75" s="53"/>
      <c r="LHW75" s="53"/>
      <c r="LHX75" s="53"/>
      <c r="LHY75" s="53"/>
      <c r="LHZ75" s="53"/>
      <c r="LIA75" s="53"/>
      <c r="LIB75" s="53"/>
      <c r="LIC75" s="53"/>
      <c r="LID75" s="53"/>
      <c r="LIE75" s="53"/>
      <c r="LIF75" s="53"/>
      <c r="LIG75" s="53"/>
      <c r="LIH75" s="53"/>
      <c r="LII75" s="53"/>
      <c r="LIJ75" s="53"/>
      <c r="LIK75" s="53"/>
      <c r="LIL75" s="53"/>
      <c r="LIM75" s="53"/>
      <c r="LIN75" s="53"/>
      <c r="LIO75" s="53"/>
      <c r="LIP75" s="53"/>
      <c r="LIQ75" s="53"/>
      <c r="LIR75" s="53"/>
      <c r="LIS75" s="53"/>
      <c r="LIT75" s="53"/>
      <c r="LIU75" s="53"/>
      <c r="LIV75" s="53"/>
      <c r="LIW75" s="53"/>
      <c r="LIX75" s="53"/>
      <c r="LIY75" s="53"/>
      <c r="LIZ75" s="53"/>
      <c r="LJA75" s="53"/>
      <c r="LJB75" s="53"/>
      <c r="LJC75" s="53"/>
      <c r="LJD75" s="53"/>
      <c r="LJE75" s="53"/>
      <c r="LJF75" s="53"/>
      <c r="LJG75" s="53"/>
      <c r="LJH75" s="53"/>
      <c r="LJI75" s="53"/>
      <c r="LJJ75" s="53"/>
      <c r="LJK75" s="53"/>
      <c r="LJL75" s="53"/>
      <c r="LJM75" s="53"/>
      <c r="LJN75" s="53"/>
      <c r="LJO75" s="53"/>
      <c r="LJP75" s="53"/>
      <c r="LJQ75" s="53"/>
      <c r="LJR75" s="53"/>
      <c r="LJS75" s="53"/>
      <c r="LJT75" s="53"/>
      <c r="LJU75" s="53"/>
      <c r="LJV75" s="53"/>
      <c r="LJW75" s="53"/>
      <c r="LJX75" s="53"/>
      <c r="LJY75" s="53"/>
      <c r="LJZ75" s="53"/>
      <c r="LKA75" s="53"/>
      <c r="LKB75" s="53"/>
      <c r="LKC75" s="53"/>
      <c r="LKD75" s="53"/>
      <c r="LKE75" s="53"/>
      <c r="LKF75" s="53"/>
      <c r="LKG75" s="53"/>
      <c r="LKH75" s="53"/>
      <c r="LKI75" s="53"/>
      <c r="LKJ75" s="53"/>
      <c r="LKK75" s="53"/>
      <c r="LKL75" s="53"/>
      <c r="LKM75" s="53"/>
      <c r="LKN75" s="53"/>
      <c r="LKO75" s="53"/>
      <c r="LKP75" s="53"/>
      <c r="LKQ75" s="53"/>
      <c r="LKR75" s="53"/>
      <c r="LKS75" s="53"/>
      <c r="LKT75" s="53"/>
      <c r="LKU75" s="53"/>
      <c r="LKV75" s="53"/>
      <c r="LKW75" s="53"/>
      <c r="LKX75" s="53"/>
      <c r="LKY75" s="53"/>
      <c r="LKZ75" s="53"/>
      <c r="LLA75" s="53"/>
      <c r="LLB75" s="53"/>
      <c r="LLC75" s="53"/>
      <c r="LLD75" s="53"/>
      <c r="LLE75" s="53"/>
      <c r="LLF75" s="53"/>
      <c r="LLG75" s="53"/>
      <c r="LLH75" s="53"/>
      <c r="LLI75" s="53"/>
      <c r="LLJ75" s="53"/>
      <c r="LLK75" s="53"/>
      <c r="LLL75" s="53"/>
      <c r="LLM75" s="53"/>
      <c r="LLN75" s="53"/>
      <c r="LLO75" s="53"/>
      <c r="LLP75" s="53"/>
      <c r="LLQ75" s="53"/>
      <c r="LLR75" s="53"/>
      <c r="LLS75" s="53"/>
      <c r="LLT75" s="53"/>
      <c r="LLU75" s="53"/>
      <c r="LLV75" s="53"/>
      <c r="LLW75" s="53"/>
      <c r="LLX75" s="53"/>
      <c r="LLY75" s="53"/>
      <c r="LLZ75" s="53"/>
      <c r="LMA75" s="53"/>
      <c r="LMB75" s="53"/>
      <c r="LMC75" s="53"/>
      <c r="LMD75" s="53"/>
      <c r="LME75" s="53"/>
      <c r="LMF75" s="53"/>
      <c r="LMG75" s="53"/>
      <c r="LMH75" s="53"/>
      <c r="LMI75" s="53"/>
      <c r="LMJ75" s="53"/>
      <c r="LMK75" s="53"/>
      <c r="LML75" s="53"/>
      <c r="LMM75" s="53"/>
      <c r="LMN75" s="53"/>
      <c r="LMO75" s="53"/>
      <c r="LMP75" s="53"/>
      <c r="LMQ75" s="53"/>
      <c r="LMR75" s="53"/>
      <c r="LMS75" s="53"/>
      <c r="LMT75" s="53"/>
      <c r="LMU75" s="53"/>
      <c r="LMV75" s="53"/>
      <c r="LMW75" s="53"/>
      <c r="LMX75" s="53"/>
      <c r="LMY75" s="53"/>
      <c r="LMZ75" s="53"/>
      <c r="LNA75" s="53"/>
      <c r="LNB75" s="53"/>
      <c r="LNC75" s="53"/>
      <c r="LND75" s="53"/>
      <c r="LNE75" s="53"/>
      <c r="LNF75" s="53"/>
      <c r="LNG75" s="53"/>
      <c r="LNH75" s="53"/>
      <c r="LNI75" s="53"/>
      <c r="LNJ75" s="53"/>
      <c r="LNK75" s="53"/>
      <c r="LNL75" s="53"/>
      <c r="LNM75" s="53"/>
      <c r="LNN75" s="53"/>
      <c r="LNO75" s="53"/>
      <c r="LNP75" s="53"/>
      <c r="LNQ75" s="53"/>
      <c r="LNR75" s="53"/>
      <c r="LNS75" s="53"/>
      <c r="LNT75" s="53"/>
      <c r="LNU75" s="53"/>
      <c r="LNV75" s="53"/>
      <c r="LNW75" s="53"/>
      <c r="LNX75" s="53"/>
      <c r="LNY75" s="53"/>
      <c r="LNZ75" s="53"/>
      <c r="LOA75" s="53"/>
      <c r="LOB75" s="53"/>
      <c r="LOC75" s="53"/>
      <c r="LOD75" s="53"/>
      <c r="LOE75" s="53"/>
      <c r="LOF75" s="53"/>
      <c r="LOG75" s="53"/>
      <c r="LOH75" s="53"/>
      <c r="LOI75" s="53"/>
      <c r="LOJ75" s="53"/>
      <c r="LOK75" s="53"/>
      <c r="LOL75" s="53"/>
      <c r="LOM75" s="53"/>
      <c r="LON75" s="53"/>
      <c r="LOO75" s="53"/>
      <c r="LOP75" s="53"/>
      <c r="LOQ75" s="53"/>
      <c r="LOR75" s="53"/>
      <c r="LOS75" s="53"/>
      <c r="LOT75" s="53"/>
      <c r="LOU75" s="53"/>
      <c r="LOV75" s="53"/>
      <c r="LOW75" s="53"/>
      <c r="LOX75" s="53"/>
      <c r="LOY75" s="53"/>
      <c r="LOZ75" s="53"/>
      <c r="LPA75" s="53"/>
      <c r="LPB75" s="53"/>
      <c r="LPC75" s="53"/>
      <c r="LPD75" s="53"/>
      <c r="LPE75" s="53"/>
      <c r="LPF75" s="53"/>
      <c r="LPG75" s="53"/>
      <c r="LPH75" s="53"/>
      <c r="LPI75" s="53"/>
      <c r="LPJ75" s="53"/>
      <c r="LPK75" s="53"/>
      <c r="LPL75" s="53"/>
      <c r="LPM75" s="53"/>
      <c r="LPN75" s="53"/>
      <c r="LPO75" s="53"/>
      <c r="LPP75" s="53"/>
      <c r="LPQ75" s="53"/>
      <c r="LPR75" s="53"/>
      <c r="LPS75" s="53"/>
      <c r="LPT75" s="53"/>
      <c r="LPU75" s="53"/>
      <c r="LPV75" s="53"/>
      <c r="LPW75" s="53"/>
      <c r="LPX75" s="53"/>
      <c r="LPY75" s="53"/>
      <c r="LPZ75" s="53"/>
      <c r="LQA75" s="53"/>
      <c r="LQB75" s="53"/>
      <c r="LQC75" s="53"/>
      <c r="LQD75" s="53"/>
      <c r="LQE75" s="53"/>
      <c r="LQF75" s="53"/>
      <c r="LQG75" s="53"/>
      <c r="LQH75" s="53"/>
      <c r="LQI75" s="53"/>
      <c r="LQJ75" s="53"/>
      <c r="LQK75" s="53"/>
      <c r="LQL75" s="53"/>
      <c r="LQM75" s="53"/>
      <c r="LQN75" s="53"/>
      <c r="LQO75" s="53"/>
      <c r="LQP75" s="53"/>
      <c r="LQQ75" s="53"/>
      <c r="LQR75" s="53"/>
      <c r="LQS75" s="53"/>
      <c r="LQT75" s="53"/>
      <c r="LQU75" s="53"/>
      <c r="LQV75" s="53"/>
      <c r="LQW75" s="53"/>
      <c r="LQX75" s="53"/>
      <c r="LQY75" s="53"/>
      <c r="LQZ75" s="53"/>
      <c r="LRA75" s="53"/>
      <c r="LRB75" s="53"/>
      <c r="LRC75" s="53"/>
      <c r="LRD75" s="53"/>
      <c r="LRE75" s="53"/>
      <c r="LRF75" s="53"/>
      <c r="LRG75" s="53"/>
      <c r="LRH75" s="53"/>
      <c r="LRI75" s="53"/>
      <c r="LRJ75" s="53"/>
      <c r="LRK75" s="53"/>
      <c r="LRL75" s="53"/>
      <c r="LRM75" s="53"/>
      <c r="LRN75" s="53"/>
      <c r="LRO75" s="53"/>
      <c r="LRP75" s="53"/>
      <c r="LRQ75" s="53"/>
      <c r="LRR75" s="53"/>
      <c r="LRS75" s="53"/>
      <c r="LRT75" s="53"/>
      <c r="LRU75" s="53"/>
      <c r="LRV75" s="53"/>
      <c r="LRW75" s="53"/>
      <c r="LRX75" s="53"/>
      <c r="LRY75" s="53"/>
      <c r="LRZ75" s="53"/>
      <c r="LSA75" s="53"/>
      <c r="LSB75" s="53"/>
      <c r="LSC75" s="53"/>
      <c r="LSD75" s="53"/>
      <c r="LSE75" s="53"/>
      <c r="LSF75" s="53"/>
      <c r="LSG75" s="53"/>
      <c r="LSH75" s="53"/>
      <c r="LSI75" s="53"/>
      <c r="LSJ75" s="53"/>
      <c r="LSK75" s="53"/>
      <c r="LSL75" s="53"/>
      <c r="LSM75" s="53"/>
      <c r="LSN75" s="53"/>
      <c r="LSO75" s="53"/>
      <c r="LSP75" s="53"/>
      <c r="LSQ75" s="53"/>
      <c r="LSR75" s="53"/>
      <c r="LSS75" s="53"/>
      <c r="LST75" s="53"/>
      <c r="LSU75" s="53"/>
      <c r="LSV75" s="53"/>
      <c r="LSW75" s="53"/>
      <c r="LSX75" s="53"/>
      <c r="LSY75" s="53"/>
      <c r="LSZ75" s="53"/>
      <c r="LTA75" s="53"/>
      <c r="LTB75" s="53"/>
      <c r="LTC75" s="53"/>
      <c r="LTD75" s="53"/>
      <c r="LTE75" s="53"/>
      <c r="LTF75" s="53"/>
      <c r="LTG75" s="53"/>
      <c r="LTH75" s="53"/>
      <c r="LTI75" s="53"/>
      <c r="LTJ75" s="53"/>
      <c r="LTK75" s="53"/>
      <c r="LTL75" s="53"/>
      <c r="LTM75" s="53"/>
      <c r="LTN75" s="53"/>
      <c r="LTO75" s="53"/>
      <c r="LTP75" s="53"/>
      <c r="LTQ75" s="53"/>
      <c r="LTR75" s="53"/>
      <c r="LTS75" s="53"/>
      <c r="LTT75" s="53"/>
      <c r="LTU75" s="53"/>
      <c r="LTV75" s="53"/>
      <c r="LTW75" s="53"/>
      <c r="LTX75" s="53"/>
      <c r="LTY75" s="53"/>
      <c r="LTZ75" s="53"/>
      <c r="LUA75" s="53"/>
      <c r="LUB75" s="53"/>
      <c r="LUC75" s="53"/>
      <c r="LUD75" s="53"/>
      <c r="LUE75" s="53"/>
      <c r="LUF75" s="53"/>
      <c r="LUG75" s="53"/>
      <c r="LUH75" s="53"/>
      <c r="LUI75" s="53"/>
      <c r="LUJ75" s="53"/>
      <c r="LUK75" s="53"/>
      <c r="LUL75" s="53"/>
      <c r="LUM75" s="53"/>
      <c r="LUN75" s="53"/>
      <c r="LUO75" s="53"/>
      <c r="LUP75" s="53"/>
      <c r="LUQ75" s="53"/>
      <c r="LUR75" s="53"/>
      <c r="LUS75" s="53"/>
      <c r="LUT75" s="53"/>
      <c r="LUU75" s="53"/>
      <c r="LUV75" s="53"/>
      <c r="LUW75" s="53"/>
      <c r="LUX75" s="53"/>
      <c r="LUY75" s="53"/>
      <c r="LUZ75" s="53"/>
      <c r="LVA75" s="53"/>
      <c r="LVB75" s="53"/>
      <c r="LVC75" s="53"/>
      <c r="LVD75" s="53"/>
      <c r="LVE75" s="53"/>
      <c r="LVF75" s="53"/>
      <c r="LVG75" s="53"/>
      <c r="LVH75" s="53"/>
      <c r="LVI75" s="53"/>
      <c r="LVJ75" s="53"/>
      <c r="LVK75" s="53"/>
      <c r="LVL75" s="53"/>
      <c r="LVM75" s="53"/>
      <c r="LVN75" s="53"/>
      <c r="LVO75" s="53"/>
      <c r="LVP75" s="53"/>
      <c r="LVQ75" s="53"/>
      <c r="LVR75" s="53"/>
      <c r="LVS75" s="53"/>
      <c r="LVT75" s="53"/>
      <c r="LVU75" s="53"/>
      <c r="LVV75" s="53"/>
      <c r="LVW75" s="53"/>
      <c r="LVX75" s="53"/>
      <c r="LVY75" s="53"/>
      <c r="LVZ75" s="53"/>
      <c r="LWA75" s="53"/>
      <c r="LWB75" s="53"/>
      <c r="LWC75" s="53"/>
      <c r="LWD75" s="53"/>
      <c r="LWE75" s="53"/>
      <c r="LWF75" s="53"/>
      <c r="LWG75" s="53"/>
      <c r="LWH75" s="53"/>
      <c r="LWI75" s="53"/>
      <c r="LWJ75" s="53"/>
      <c r="LWK75" s="53"/>
      <c r="LWL75" s="53"/>
      <c r="LWM75" s="53"/>
      <c r="LWN75" s="53"/>
      <c r="LWO75" s="53"/>
      <c r="LWP75" s="53"/>
      <c r="LWQ75" s="53"/>
      <c r="LWR75" s="53"/>
      <c r="LWS75" s="53"/>
      <c r="LWT75" s="53"/>
      <c r="LWU75" s="53"/>
      <c r="LWV75" s="53"/>
      <c r="LWW75" s="53"/>
      <c r="LWX75" s="53"/>
      <c r="LWY75" s="53"/>
      <c r="LWZ75" s="53"/>
      <c r="LXA75" s="53"/>
      <c r="LXB75" s="53"/>
      <c r="LXC75" s="53"/>
      <c r="LXD75" s="53"/>
      <c r="LXE75" s="53"/>
      <c r="LXF75" s="53"/>
      <c r="LXG75" s="53"/>
      <c r="LXH75" s="53"/>
      <c r="LXI75" s="53"/>
      <c r="LXJ75" s="53"/>
      <c r="LXK75" s="53"/>
      <c r="LXL75" s="53"/>
      <c r="LXM75" s="53"/>
      <c r="LXN75" s="53"/>
      <c r="LXO75" s="53"/>
      <c r="LXP75" s="53"/>
      <c r="LXQ75" s="53"/>
      <c r="LXR75" s="53"/>
      <c r="LXS75" s="53"/>
      <c r="LXT75" s="53"/>
      <c r="LXU75" s="53"/>
      <c r="LXV75" s="53"/>
      <c r="LXW75" s="53"/>
      <c r="LXX75" s="53"/>
      <c r="LXY75" s="53"/>
      <c r="LXZ75" s="53"/>
      <c r="LYA75" s="53"/>
      <c r="LYB75" s="53"/>
      <c r="LYC75" s="53"/>
      <c r="LYD75" s="53"/>
      <c r="LYE75" s="53"/>
      <c r="LYF75" s="53"/>
      <c r="LYG75" s="53"/>
      <c r="LYH75" s="53"/>
      <c r="LYI75" s="53"/>
      <c r="LYJ75" s="53"/>
      <c r="LYK75" s="53"/>
      <c r="LYL75" s="53"/>
      <c r="LYM75" s="53"/>
      <c r="LYN75" s="53"/>
      <c r="LYO75" s="53"/>
      <c r="LYP75" s="53"/>
      <c r="LYQ75" s="53"/>
      <c r="LYR75" s="53"/>
      <c r="LYS75" s="53"/>
      <c r="LYT75" s="53"/>
      <c r="LYU75" s="53"/>
      <c r="LYV75" s="53"/>
      <c r="LYW75" s="53"/>
      <c r="LYX75" s="53"/>
      <c r="LYY75" s="53"/>
      <c r="LYZ75" s="53"/>
      <c r="LZA75" s="53"/>
      <c r="LZB75" s="53"/>
      <c r="LZC75" s="53"/>
      <c r="LZD75" s="53"/>
      <c r="LZE75" s="53"/>
      <c r="LZF75" s="53"/>
      <c r="LZG75" s="53"/>
      <c r="LZH75" s="53"/>
      <c r="LZI75" s="53"/>
      <c r="LZJ75" s="53"/>
      <c r="LZK75" s="53"/>
      <c r="LZL75" s="53"/>
      <c r="LZM75" s="53"/>
      <c r="LZN75" s="53"/>
      <c r="LZO75" s="53"/>
      <c r="LZP75" s="53"/>
      <c r="LZQ75" s="53"/>
      <c r="LZR75" s="53"/>
      <c r="LZS75" s="53"/>
      <c r="LZT75" s="53"/>
      <c r="LZU75" s="53"/>
      <c r="LZV75" s="53"/>
      <c r="LZW75" s="53"/>
      <c r="LZX75" s="53"/>
      <c r="LZY75" s="53"/>
      <c r="LZZ75" s="53"/>
      <c r="MAA75" s="53"/>
      <c r="MAB75" s="53"/>
      <c r="MAC75" s="53"/>
      <c r="MAD75" s="53"/>
      <c r="MAE75" s="53"/>
      <c r="MAF75" s="53"/>
      <c r="MAG75" s="53"/>
      <c r="MAH75" s="53"/>
      <c r="MAI75" s="53"/>
      <c r="MAJ75" s="53"/>
      <c r="MAK75" s="53"/>
      <c r="MAL75" s="53"/>
      <c r="MAM75" s="53"/>
      <c r="MAN75" s="53"/>
      <c r="MAO75" s="53"/>
      <c r="MAP75" s="53"/>
      <c r="MAQ75" s="53"/>
      <c r="MAR75" s="53"/>
      <c r="MAS75" s="53"/>
      <c r="MAT75" s="53"/>
      <c r="MAU75" s="53"/>
      <c r="MAV75" s="53"/>
      <c r="MAW75" s="53"/>
      <c r="MAX75" s="53"/>
      <c r="MAY75" s="53"/>
      <c r="MAZ75" s="53"/>
      <c r="MBA75" s="53"/>
      <c r="MBB75" s="53"/>
      <c r="MBC75" s="53"/>
      <c r="MBD75" s="53"/>
      <c r="MBE75" s="53"/>
      <c r="MBF75" s="53"/>
      <c r="MBG75" s="53"/>
      <c r="MBH75" s="53"/>
      <c r="MBI75" s="53"/>
      <c r="MBJ75" s="53"/>
      <c r="MBK75" s="53"/>
      <c r="MBL75" s="53"/>
      <c r="MBM75" s="53"/>
      <c r="MBN75" s="53"/>
      <c r="MBO75" s="53"/>
      <c r="MBP75" s="53"/>
      <c r="MBQ75" s="53"/>
      <c r="MBR75" s="53"/>
      <c r="MBS75" s="53"/>
      <c r="MBT75" s="53"/>
      <c r="MBU75" s="53"/>
      <c r="MBV75" s="53"/>
      <c r="MBW75" s="53"/>
      <c r="MBX75" s="53"/>
      <c r="MBY75" s="53"/>
      <c r="MBZ75" s="53"/>
      <c r="MCA75" s="53"/>
      <c r="MCB75" s="53"/>
      <c r="MCC75" s="53"/>
      <c r="MCD75" s="53"/>
      <c r="MCE75" s="53"/>
      <c r="MCF75" s="53"/>
      <c r="MCG75" s="53"/>
      <c r="MCH75" s="53"/>
      <c r="MCI75" s="53"/>
      <c r="MCJ75" s="53"/>
      <c r="MCK75" s="53"/>
      <c r="MCL75" s="53"/>
      <c r="MCM75" s="53"/>
      <c r="MCN75" s="53"/>
      <c r="MCO75" s="53"/>
      <c r="MCP75" s="53"/>
      <c r="MCQ75" s="53"/>
      <c r="MCR75" s="53"/>
      <c r="MCS75" s="53"/>
      <c r="MCT75" s="53"/>
      <c r="MCU75" s="53"/>
      <c r="MCV75" s="53"/>
      <c r="MCW75" s="53"/>
      <c r="MCX75" s="53"/>
      <c r="MCY75" s="53"/>
      <c r="MCZ75" s="53"/>
      <c r="MDA75" s="53"/>
      <c r="MDB75" s="53"/>
      <c r="MDC75" s="53"/>
      <c r="MDD75" s="53"/>
      <c r="MDE75" s="53"/>
      <c r="MDF75" s="53"/>
      <c r="MDG75" s="53"/>
      <c r="MDH75" s="53"/>
      <c r="MDI75" s="53"/>
      <c r="MDJ75" s="53"/>
      <c r="MDK75" s="53"/>
      <c r="MDL75" s="53"/>
      <c r="MDM75" s="53"/>
      <c r="MDN75" s="53"/>
      <c r="MDO75" s="53"/>
      <c r="MDP75" s="53"/>
      <c r="MDQ75" s="53"/>
      <c r="MDR75" s="53"/>
      <c r="MDS75" s="53"/>
      <c r="MDT75" s="53"/>
      <c r="MDU75" s="53"/>
      <c r="MDV75" s="53"/>
      <c r="MDW75" s="53"/>
      <c r="MDX75" s="53"/>
      <c r="MDY75" s="53"/>
      <c r="MDZ75" s="53"/>
      <c r="MEA75" s="53"/>
      <c r="MEB75" s="53"/>
      <c r="MEC75" s="53"/>
      <c r="MED75" s="53"/>
      <c r="MEE75" s="53"/>
      <c r="MEF75" s="53"/>
      <c r="MEG75" s="53"/>
      <c r="MEH75" s="53"/>
      <c r="MEI75" s="53"/>
      <c r="MEJ75" s="53"/>
      <c r="MEK75" s="53"/>
      <c r="MEL75" s="53"/>
      <c r="MEM75" s="53"/>
      <c r="MEN75" s="53"/>
      <c r="MEO75" s="53"/>
      <c r="MEP75" s="53"/>
      <c r="MEQ75" s="53"/>
      <c r="MER75" s="53"/>
      <c r="MES75" s="53"/>
      <c r="MET75" s="53"/>
      <c r="MEU75" s="53"/>
      <c r="MEV75" s="53"/>
      <c r="MEW75" s="53"/>
      <c r="MEX75" s="53"/>
      <c r="MEY75" s="53"/>
      <c r="MEZ75" s="53"/>
      <c r="MFA75" s="53"/>
      <c r="MFB75" s="53"/>
      <c r="MFC75" s="53"/>
      <c r="MFD75" s="53"/>
      <c r="MFE75" s="53"/>
      <c r="MFF75" s="53"/>
      <c r="MFG75" s="53"/>
      <c r="MFH75" s="53"/>
      <c r="MFI75" s="53"/>
      <c r="MFJ75" s="53"/>
      <c r="MFK75" s="53"/>
      <c r="MFL75" s="53"/>
      <c r="MFM75" s="53"/>
      <c r="MFN75" s="53"/>
      <c r="MFO75" s="53"/>
      <c r="MFP75" s="53"/>
      <c r="MFQ75" s="53"/>
      <c r="MFR75" s="53"/>
      <c r="MFS75" s="53"/>
      <c r="MFT75" s="53"/>
      <c r="MFU75" s="53"/>
      <c r="MFV75" s="53"/>
      <c r="MFW75" s="53"/>
      <c r="MFX75" s="53"/>
      <c r="MFY75" s="53"/>
      <c r="MFZ75" s="53"/>
      <c r="MGA75" s="53"/>
      <c r="MGB75" s="53"/>
      <c r="MGC75" s="53"/>
      <c r="MGD75" s="53"/>
      <c r="MGE75" s="53"/>
      <c r="MGF75" s="53"/>
      <c r="MGG75" s="53"/>
      <c r="MGH75" s="53"/>
      <c r="MGI75" s="53"/>
      <c r="MGJ75" s="53"/>
      <c r="MGK75" s="53"/>
      <c r="MGL75" s="53"/>
      <c r="MGM75" s="53"/>
      <c r="MGN75" s="53"/>
      <c r="MGO75" s="53"/>
      <c r="MGP75" s="53"/>
      <c r="MGQ75" s="53"/>
      <c r="MGR75" s="53"/>
      <c r="MGS75" s="53"/>
      <c r="MGT75" s="53"/>
      <c r="MGU75" s="53"/>
      <c r="MGV75" s="53"/>
      <c r="MGW75" s="53"/>
      <c r="MGX75" s="53"/>
      <c r="MGY75" s="53"/>
      <c r="MGZ75" s="53"/>
      <c r="MHA75" s="53"/>
      <c r="MHB75" s="53"/>
      <c r="MHC75" s="53"/>
      <c r="MHD75" s="53"/>
      <c r="MHE75" s="53"/>
      <c r="MHF75" s="53"/>
      <c r="MHG75" s="53"/>
      <c r="MHH75" s="53"/>
      <c r="MHI75" s="53"/>
      <c r="MHJ75" s="53"/>
      <c r="MHK75" s="53"/>
      <c r="MHL75" s="53"/>
      <c r="MHM75" s="53"/>
      <c r="MHN75" s="53"/>
      <c r="MHO75" s="53"/>
      <c r="MHP75" s="53"/>
      <c r="MHQ75" s="53"/>
      <c r="MHR75" s="53"/>
      <c r="MHS75" s="53"/>
      <c r="MHT75" s="53"/>
      <c r="MHU75" s="53"/>
      <c r="MHV75" s="53"/>
      <c r="MHW75" s="53"/>
      <c r="MHX75" s="53"/>
      <c r="MHY75" s="53"/>
      <c r="MHZ75" s="53"/>
      <c r="MIA75" s="53"/>
      <c r="MIB75" s="53"/>
      <c r="MIC75" s="53"/>
      <c r="MID75" s="53"/>
      <c r="MIE75" s="53"/>
      <c r="MIF75" s="53"/>
      <c r="MIG75" s="53"/>
      <c r="MIH75" s="53"/>
      <c r="MII75" s="53"/>
      <c r="MIJ75" s="53"/>
      <c r="MIK75" s="53"/>
      <c r="MIL75" s="53"/>
      <c r="MIM75" s="53"/>
      <c r="MIN75" s="53"/>
      <c r="MIO75" s="53"/>
      <c r="MIP75" s="53"/>
      <c r="MIQ75" s="53"/>
      <c r="MIR75" s="53"/>
      <c r="MIS75" s="53"/>
      <c r="MIT75" s="53"/>
      <c r="MIU75" s="53"/>
      <c r="MIV75" s="53"/>
      <c r="MIW75" s="53"/>
      <c r="MIX75" s="53"/>
      <c r="MIY75" s="53"/>
      <c r="MIZ75" s="53"/>
      <c r="MJA75" s="53"/>
      <c r="MJB75" s="53"/>
      <c r="MJC75" s="53"/>
      <c r="MJD75" s="53"/>
      <c r="MJE75" s="53"/>
      <c r="MJF75" s="53"/>
      <c r="MJG75" s="53"/>
      <c r="MJH75" s="53"/>
      <c r="MJI75" s="53"/>
      <c r="MJJ75" s="53"/>
      <c r="MJK75" s="53"/>
      <c r="MJL75" s="53"/>
      <c r="MJM75" s="53"/>
      <c r="MJN75" s="53"/>
      <c r="MJO75" s="53"/>
      <c r="MJP75" s="53"/>
      <c r="MJQ75" s="53"/>
      <c r="MJR75" s="53"/>
      <c r="MJS75" s="53"/>
      <c r="MJT75" s="53"/>
      <c r="MJU75" s="53"/>
      <c r="MJV75" s="53"/>
      <c r="MJW75" s="53"/>
      <c r="MJX75" s="53"/>
      <c r="MJY75" s="53"/>
      <c r="MJZ75" s="53"/>
      <c r="MKA75" s="53"/>
      <c r="MKB75" s="53"/>
      <c r="MKC75" s="53"/>
      <c r="MKD75" s="53"/>
      <c r="MKE75" s="53"/>
      <c r="MKF75" s="53"/>
      <c r="MKG75" s="53"/>
      <c r="MKH75" s="53"/>
      <c r="MKI75" s="53"/>
      <c r="MKJ75" s="53"/>
      <c r="MKK75" s="53"/>
      <c r="MKL75" s="53"/>
      <c r="MKM75" s="53"/>
      <c r="MKN75" s="53"/>
      <c r="MKO75" s="53"/>
      <c r="MKP75" s="53"/>
      <c r="MKQ75" s="53"/>
      <c r="MKR75" s="53"/>
      <c r="MKS75" s="53"/>
      <c r="MKT75" s="53"/>
      <c r="MKU75" s="53"/>
      <c r="MKV75" s="53"/>
      <c r="MKW75" s="53"/>
      <c r="MKX75" s="53"/>
      <c r="MKY75" s="53"/>
      <c r="MKZ75" s="53"/>
      <c r="MLA75" s="53"/>
      <c r="MLB75" s="53"/>
      <c r="MLC75" s="53"/>
      <c r="MLD75" s="53"/>
      <c r="MLE75" s="53"/>
      <c r="MLF75" s="53"/>
      <c r="MLG75" s="53"/>
      <c r="MLH75" s="53"/>
      <c r="MLI75" s="53"/>
      <c r="MLJ75" s="53"/>
      <c r="MLK75" s="53"/>
      <c r="MLL75" s="53"/>
      <c r="MLM75" s="53"/>
      <c r="MLN75" s="53"/>
      <c r="MLO75" s="53"/>
      <c r="MLP75" s="53"/>
      <c r="MLQ75" s="53"/>
      <c r="MLR75" s="53"/>
      <c r="MLS75" s="53"/>
      <c r="MLT75" s="53"/>
      <c r="MLU75" s="53"/>
      <c r="MLV75" s="53"/>
      <c r="MLW75" s="53"/>
      <c r="MLX75" s="53"/>
      <c r="MLY75" s="53"/>
      <c r="MLZ75" s="53"/>
      <c r="MMA75" s="53"/>
      <c r="MMB75" s="53"/>
      <c r="MMC75" s="53"/>
      <c r="MMD75" s="53"/>
      <c r="MME75" s="53"/>
      <c r="MMF75" s="53"/>
      <c r="MMG75" s="53"/>
      <c r="MMH75" s="53"/>
      <c r="MMI75" s="53"/>
      <c r="MMJ75" s="53"/>
      <c r="MMK75" s="53"/>
      <c r="MML75" s="53"/>
      <c r="MMM75" s="53"/>
      <c r="MMN75" s="53"/>
      <c r="MMO75" s="53"/>
      <c r="MMP75" s="53"/>
      <c r="MMQ75" s="53"/>
      <c r="MMR75" s="53"/>
      <c r="MMS75" s="53"/>
      <c r="MMT75" s="53"/>
      <c r="MMU75" s="53"/>
      <c r="MMV75" s="53"/>
      <c r="MMW75" s="53"/>
      <c r="MMX75" s="53"/>
      <c r="MMY75" s="53"/>
      <c r="MMZ75" s="53"/>
      <c r="MNA75" s="53"/>
      <c r="MNB75" s="53"/>
      <c r="MNC75" s="53"/>
      <c r="MND75" s="53"/>
      <c r="MNE75" s="53"/>
      <c r="MNF75" s="53"/>
      <c r="MNG75" s="53"/>
      <c r="MNH75" s="53"/>
      <c r="MNI75" s="53"/>
      <c r="MNJ75" s="53"/>
      <c r="MNK75" s="53"/>
      <c r="MNL75" s="53"/>
      <c r="MNM75" s="53"/>
      <c r="MNN75" s="53"/>
      <c r="MNO75" s="53"/>
      <c r="MNP75" s="53"/>
      <c r="MNQ75" s="53"/>
      <c r="MNR75" s="53"/>
      <c r="MNS75" s="53"/>
      <c r="MNT75" s="53"/>
      <c r="MNU75" s="53"/>
      <c r="MNV75" s="53"/>
      <c r="MNW75" s="53"/>
      <c r="MNX75" s="53"/>
      <c r="MNY75" s="53"/>
      <c r="MNZ75" s="53"/>
      <c r="MOA75" s="53"/>
      <c r="MOB75" s="53"/>
      <c r="MOC75" s="53"/>
      <c r="MOD75" s="53"/>
      <c r="MOE75" s="53"/>
      <c r="MOF75" s="53"/>
      <c r="MOG75" s="53"/>
      <c r="MOH75" s="53"/>
      <c r="MOI75" s="53"/>
      <c r="MOJ75" s="53"/>
      <c r="MOK75" s="53"/>
      <c r="MOL75" s="53"/>
      <c r="MOM75" s="53"/>
      <c r="MON75" s="53"/>
      <c r="MOO75" s="53"/>
      <c r="MOP75" s="53"/>
      <c r="MOQ75" s="53"/>
      <c r="MOR75" s="53"/>
      <c r="MOS75" s="53"/>
      <c r="MOT75" s="53"/>
      <c r="MOU75" s="53"/>
      <c r="MOV75" s="53"/>
      <c r="MOW75" s="53"/>
      <c r="MOX75" s="53"/>
      <c r="MOY75" s="53"/>
      <c r="MOZ75" s="53"/>
      <c r="MPA75" s="53"/>
      <c r="MPB75" s="53"/>
      <c r="MPC75" s="53"/>
      <c r="MPD75" s="53"/>
      <c r="MPE75" s="53"/>
      <c r="MPF75" s="53"/>
      <c r="MPG75" s="53"/>
      <c r="MPH75" s="53"/>
      <c r="MPI75" s="53"/>
      <c r="MPJ75" s="53"/>
      <c r="MPK75" s="53"/>
      <c r="MPL75" s="53"/>
      <c r="MPM75" s="53"/>
      <c r="MPN75" s="53"/>
      <c r="MPO75" s="53"/>
      <c r="MPP75" s="53"/>
      <c r="MPQ75" s="53"/>
      <c r="MPR75" s="53"/>
      <c r="MPS75" s="53"/>
      <c r="MPT75" s="53"/>
      <c r="MPU75" s="53"/>
      <c r="MPV75" s="53"/>
      <c r="MPW75" s="53"/>
      <c r="MPX75" s="53"/>
      <c r="MPY75" s="53"/>
      <c r="MPZ75" s="53"/>
      <c r="MQA75" s="53"/>
      <c r="MQB75" s="53"/>
      <c r="MQC75" s="53"/>
      <c r="MQD75" s="53"/>
      <c r="MQE75" s="53"/>
      <c r="MQF75" s="53"/>
      <c r="MQG75" s="53"/>
      <c r="MQH75" s="53"/>
      <c r="MQI75" s="53"/>
      <c r="MQJ75" s="53"/>
      <c r="MQK75" s="53"/>
      <c r="MQL75" s="53"/>
      <c r="MQM75" s="53"/>
      <c r="MQN75" s="53"/>
      <c r="MQO75" s="53"/>
      <c r="MQP75" s="53"/>
      <c r="MQQ75" s="53"/>
      <c r="MQR75" s="53"/>
      <c r="MQS75" s="53"/>
      <c r="MQT75" s="53"/>
      <c r="MQU75" s="53"/>
      <c r="MQV75" s="53"/>
      <c r="MQW75" s="53"/>
      <c r="MQX75" s="53"/>
      <c r="MQY75" s="53"/>
      <c r="MQZ75" s="53"/>
      <c r="MRA75" s="53"/>
      <c r="MRB75" s="53"/>
      <c r="MRC75" s="53"/>
      <c r="MRD75" s="53"/>
      <c r="MRE75" s="53"/>
      <c r="MRF75" s="53"/>
      <c r="MRG75" s="53"/>
      <c r="MRH75" s="53"/>
      <c r="MRI75" s="53"/>
      <c r="MRJ75" s="53"/>
      <c r="MRK75" s="53"/>
      <c r="MRL75" s="53"/>
      <c r="MRM75" s="53"/>
      <c r="MRN75" s="53"/>
      <c r="MRO75" s="53"/>
      <c r="MRP75" s="53"/>
      <c r="MRQ75" s="53"/>
      <c r="MRR75" s="53"/>
      <c r="MRS75" s="53"/>
      <c r="MRT75" s="53"/>
      <c r="MRU75" s="53"/>
      <c r="MRV75" s="53"/>
      <c r="MRW75" s="53"/>
      <c r="MRX75" s="53"/>
      <c r="MRY75" s="53"/>
      <c r="MRZ75" s="53"/>
      <c r="MSA75" s="53"/>
      <c r="MSB75" s="53"/>
      <c r="MSC75" s="53"/>
      <c r="MSD75" s="53"/>
      <c r="MSE75" s="53"/>
      <c r="MSF75" s="53"/>
      <c r="MSG75" s="53"/>
      <c r="MSH75" s="53"/>
      <c r="MSI75" s="53"/>
      <c r="MSJ75" s="53"/>
      <c r="MSK75" s="53"/>
      <c r="MSL75" s="53"/>
      <c r="MSM75" s="53"/>
      <c r="MSN75" s="53"/>
      <c r="MSO75" s="53"/>
      <c r="MSP75" s="53"/>
      <c r="MSQ75" s="53"/>
      <c r="MSR75" s="53"/>
      <c r="MSS75" s="53"/>
      <c r="MST75" s="53"/>
      <c r="MSU75" s="53"/>
      <c r="MSV75" s="53"/>
      <c r="MSW75" s="53"/>
      <c r="MSX75" s="53"/>
      <c r="MSY75" s="53"/>
      <c r="MSZ75" s="53"/>
      <c r="MTA75" s="53"/>
      <c r="MTB75" s="53"/>
      <c r="MTC75" s="53"/>
      <c r="MTD75" s="53"/>
      <c r="MTE75" s="53"/>
      <c r="MTF75" s="53"/>
      <c r="MTG75" s="53"/>
      <c r="MTH75" s="53"/>
      <c r="MTI75" s="53"/>
      <c r="MTJ75" s="53"/>
      <c r="MTK75" s="53"/>
      <c r="MTL75" s="53"/>
      <c r="MTM75" s="53"/>
      <c r="MTN75" s="53"/>
      <c r="MTO75" s="53"/>
      <c r="MTP75" s="53"/>
      <c r="MTQ75" s="53"/>
      <c r="MTR75" s="53"/>
      <c r="MTS75" s="53"/>
      <c r="MTT75" s="53"/>
      <c r="MTU75" s="53"/>
      <c r="MTV75" s="53"/>
      <c r="MTW75" s="53"/>
      <c r="MTX75" s="53"/>
      <c r="MTY75" s="53"/>
      <c r="MTZ75" s="53"/>
      <c r="MUA75" s="53"/>
      <c r="MUB75" s="53"/>
      <c r="MUC75" s="53"/>
      <c r="MUD75" s="53"/>
      <c r="MUE75" s="53"/>
      <c r="MUF75" s="53"/>
      <c r="MUG75" s="53"/>
      <c r="MUH75" s="53"/>
      <c r="MUI75" s="53"/>
      <c r="MUJ75" s="53"/>
      <c r="MUK75" s="53"/>
      <c r="MUL75" s="53"/>
      <c r="MUM75" s="53"/>
      <c r="MUN75" s="53"/>
      <c r="MUO75" s="53"/>
      <c r="MUP75" s="53"/>
      <c r="MUQ75" s="53"/>
      <c r="MUR75" s="53"/>
      <c r="MUS75" s="53"/>
      <c r="MUT75" s="53"/>
      <c r="MUU75" s="53"/>
      <c r="MUV75" s="53"/>
      <c r="MUW75" s="53"/>
      <c r="MUX75" s="53"/>
      <c r="MUY75" s="53"/>
      <c r="MUZ75" s="53"/>
      <c r="MVA75" s="53"/>
      <c r="MVB75" s="53"/>
      <c r="MVC75" s="53"/>
      <c r="MVD75" s="53"/>
      <c r="MVE75" s="53"/>
      <c r="MVF75" s="53"/>
      <c r="MVG75" s="53"/>
      <c r="MVH75" s="53"/>
      <c r="MVI75" s="53"/>
      <c r="MVJ75" s="53"/>
      <c r="MVK75" s="53"/>
      <c r="MVL75" s="53"/>
      <c r="MVM75" s="53"/>
      <c r="MVN75" s="53"/>
      <c r="MVO75" s="53"/>
      <c r="MVP75" s="53"/>
      <c r="MVQ75" s="53"/>
      <c r="MVR75" s="53"/>
      <c r="MVS75" s="53"/>
      <c r="MVT75" s="53"/>
      <c r="MVU75" s="53"/>
      <c r="MVV75" s="53"/>
      <c r="MVW75" s="53"/>
      <c r="MVX75" s="53"/>
      <c r="MVY75" s="53"/>
      <c r="MVZ75" s="53"/>
      <c r="MWA75" s="53"/>
      <c r="MWB75" s="53"/>
      <c r="MWC75" s="53"/>
      <c r="MWD75" s="53"/>
      <c r="MWE75" s="53"/>
      <c r="MWF75" s="53"/>
      <c r="MWG75" s="53"/>
      <c r="MWH75" s="53"/>
      <c r="MWI75" s="53"/>
      <c r="MWJ75" s="53"/>
      <c r="MWK75" s="53"/>
      <c r="MWL75" s="53"/>
      <c r="MWM75" s="53"/>
      <c r="MWN75" s="53"/>
      <c r="MWO75" s="53"/>
      <c r="MWP75" s="53"/>
      <c r="MWQ75" s="53"/>
      <c r="MWR75" s="53"/>
      <c r="MWS75" s="53"/>
      <c r="MWT75" s="53"/>
      <c r="MWU75" s="53"/>
      <c r="MWV75" s="53"/>
      <c r="MWW75" s="53"/>
      <c r="MWX75" s="53"/>
      <c r="MWY75" s="53"/>
      <c r="MWZ75" s="53"/>
      <c r="MXA75" s="53"/>
      <c r="MXB75" s="53"/>
      <c r="MXC75" s="53"/>
      <c r="MXD75" s="53"/>
      <c r="MXE75" s="53"/>
      <c r="MXF75" s="53"/>
      <c r="MXG75" s="53"/>
      <c r="MXH75" s="53"/>
      <c r="MXI75" s="53"/>
      <c r="MXJ75" s="53"/>
      <c r="MXK75" s="53"/>
      <c r="MXL75" s="53"/>
      <c r="MXM75" s="53"/>
      <c r="MXN75" s="53"/>
      <c r="MXO75" s="53"/>
      <c r="MXP75" s="53"/>
      <c r="MXQ75" s="53"/>
      <c r="MXR75" s="53"/>
      <c r="MXS75" s="53"/>
      <c r="MXT75" s="53"/>
      <c r="MXU75" s="53"/>
      <c r="MXV75" s="53"/>
      <c r="MXW75" s="53"/>
      <c r="MXX75" s="53"/>
      <c r="MXY75" s="53"/>
      <c r="MXZ75" s="53"/>
      <c r="MYA75" s="53"/>
      <c r="MYB75" s="53"/>
      <c r="MYC75" s="53"/>
      <c r="MYD75" s="53"/>
      <c r="MYE75" s="53"/>
      <c r="MYF75" s="53"/>
      <c r="MYG75" s="53"/>
      <c r="MYH75" s="53"/>
      <c r="MYI75" s="53"/>
      <c r="MYJ75" s="53"/>
      <c r="MYK75" s="53"/>
      <c r="MYL75" s="53"/>
      <c r="MYM75" s="53"/>
      <c r="MYN75" s="53"/>
      <c r="MYO75" s="53"/>
      <c r="MYP75" s="53"/>
      <c r="MYQ75" s="53"/>
      <c r="MYR75" s="53"/>
      <c r="MYS75" s="53"/>
      <c r="MYT75" s="53"/>
      <c r="MYU75" s="53"/>
      <c r="MYV75" s="53"/>
      <c r="MYW75" s="53"/>
      <c r="MYX75" s="53"/>
      <c r="MYY75" s="53"/>
      <c r="MYZ75" s="53"/>
      <c r="MZA75" s="53"/>
      <c r="MZB75" s="53"/>
      <c r="MZC75" s="53"/>
      <c r="MZD75" s="53"/>
      <c r="MZE75" s="53"/>
      <c r="MZF75" s="53"/>
      <c r="MZG75" s="53"/>
      <c r="MZH75" s="53"/>
      <c r="MZI75" s="53"/>
      <c r="MZJ75" s="53"/>
      <c r="MZK75" s="53"/>
      <c r="MZL75" s="53"/>
      <c r="MZM75" s="53"/>
      <c r="MZN75" s="53"/>
      <c r="MZO75" s="53"/>
      <c r="MZP75" s="53"/>
      <c r="MZQ75" s="53"/>
      <c r="MZR75" s="53"/>
      <c r="MZS75" s="53"/>
      <c r="MZT75" s="53"/>
      <c r="MZU75" s="53"/>
      <c r="MZV75" s="53"/>
      <c r="MZW75" s="53"/>
      <c r="MZX75" s="53"/>
      <c r="MZY75" s="53"/>
      <c r="MZZ75" s="53"/>
      <c r="NAA75" s="53"/>
      <c r="NAB75" s="53"/>
      <c r="NAC75" s="53"/>
      <c r="NAD75" s="53"/>
      <c r="NAE75" s="53"/>
      <c r="NAF75" s="53"/>
      <c r="NAG75" s="53"/>
      <c r="NAH75" s="53"/>
      <c r="NAI75" s="53"/>
      <c r="NAJ75" s="53"/>
      <c r="NAK75" s="53"/>
      <c r="NAL75" s="53"/>
      <c r="NAM75" s="53"/>
      <c r="NAN75" s="53"/>
      <c r="NAO75" s="53"/>
      <c r="NAP75" s="53"/>
      <c r="NAQ75" s="53"/>
      <c r="NAR75" s="53"/>
      <c r="NAS75" s="53"/>
      <c r="NAT75" s="53"/>
      <c r="NAU75" s="53"/>
      <c r="NAV75" s="53"/>
      <c r="NAW75" s="53"/>
      <c r="NAX75" s="53"/>
      <c r="NAY75" s="53"/>
      <c r="NAZ75" s="53"/>
      <c r="NBA75" s="53"/>
      <c r="NBB75" s="53"/>
      <c r="NBC75" s="53"/>
      <c r="NBD75" s="53"/>
      <c r="NBE75" s="53"/>
      <c r="NBF75" s="53"/>
      <c r="NBG75" s="53"/>
      <c r="NBH75" s="53"/>
      <c r="NBI75" s="53"/>
      <c r="NBJ75" s="53"/>
      <c r="NBK75" s="53"/>
      <c r="NBL75" s="53"/>
      <c r="NBM75" s="53"/>
      <c r="NBN75" s="53"/>
      <c r="NBO75" s="53"/>
      <c r="NBP75" s="53"/>
      <c r="NBQ75" s="53"/>
      <c r="NBR75" s="53"/>
      <c r="NBS75" s="53"/>
      <c r="NBT75" s="53"/>
      <c r="NBU75" s="53"/>
      <c r="NBV75" s="53"/>
      <c r="NBW75" s="53"/>
      <c r="NBX75" s="53"/>
      <c r="NBY75" s="53"/>
      <c r="NBZ75" s="53"/>
      <c r="NCA75" s="53"/>
      <c r="NCB75" s="53"/>
      <c r="NCC75" s="53"/>
      <c r="NCD75" s="53"/>
      <c r="NCE75" s="53"/>
      <c r="NCF75" s="53"/>
      <c r="NCG75" s="53"/>
      <c r="NCH75" s="53"/>
      <c r="NCI75" s="53"/>
      <c r="NCJ75" s="53"/>
      <c r="NCK75" s="53"/>
      <c r="NCL75" s="53"/>
      <c r="NCM75" s="53"/>
      <c r="NCN75" s="53"/>
      <c r="NCO75" s="53"/>
      <c r="NCP75" s="53"/>
      <c r="NCQ75" s="53"/>
      <c r="NCR75" s="53"/>
      <c r="NCS75" s="53"/>
      <c r="NCT75" s="53"/>
      <c r="NCU75" s="53"/>
      <c r="NCV75" s="53"/>
      <c r="NCW75" s="53"/>
      <c r="NCX75" s="53"/>
      <c r="NCY75" s="53"/>
      <c r="NCZ75" s="53"/>
      <c r="NDA75" s="53"/>
      <c r="NDB75" s="53"/>
      <c r="NDC75" s="53"/>
      <c r="NDD75" s="53"/>
      <c r="NDE75" s="53"/>
      <c r="NDF75" s="53"/>
      <c r="NDG75" s="53"/>
      <c r="NDH75" s="53"/>
      <c r="NDI75" s="53"/>
      <c r="NDJ75" s="53"/>
      <c r="NDK75" s="53"/>
      <c r="NDL75" s="53"/>
      <c r="NDM75" s="53"/>
      <c r="NDN75" s="53"/>
      <c r="NDO75" s="53"/>
      <c r="NDP75" s="53"/>
      <c r="NDQ75" s="53"/>
      <c r="NDR75" s="53"/>
      <c r="NDS75" s="53"/>
      <c r="NDT75" s="53"/>
      <c r="NDU75" s="53"/>
      <c r="NDV75" s="53"/>
      <c r="NDW75" s="53"/>
      <c r="NDX75" s="53"/>
      <c r="NDY75" s="53"/>
      <c r="NDZ75" s="53"/>
      <c r="NEA75" s="53"/>
      <c r="NEB75" s="53"/>
      <c r="NEC75" s="53"/>
      <c r="NED75" s="53"/>
      <c r="NEE75" s="53"/>
      <c r="NEF75" s="53"/>
      <c r="NEG75" s="53"/>
      <c r="NEH75" s="53"/>
      <c r="NEI75" s="53"/>
      <c r="NEJ75" s="53"/>
      <c r="NEK75" s="53"/>
      <c r="NEL75" s="53"/>
      <c r="NEM75" s="53"/>
      <c r="NEN75" s="53"/>
      <c r="NEO75" s="53"/>
      <c r="NEP75" s="53"/>
      <c r="NEQ75" s="53"/>
      <c r="NER75" s="53"/>
      <c r="NES75" s="53"/>
      <c r="NET75" s="53"/>
      <c r="NEU75" s="53"/>
      <c r="NEV75" s="53"/>
      <c r="NEW75" s="53"/>
      <c r="NEX75" s="53"/>
      <c r="NEY75" s="53"/>
      <c r="NEZ75" s="53"/>
      <c r="NFA75" s="53"/>
      <c r="NFB75" s="53"/>
      <c r="NFC75" s="53"/>
      <c r="NFD75" s="53"/>
      <c r="NFE75" s="53"/>
      <c r="NFF75" s="53"/>
      <c r="NFG75" s="53"/>
      <c r="NFH75" s="53"/>
      <c r="NFI75" s="53"/>
      <c r="NFJ75" s="53"/>
      <c r="NFK75" s="53"/>
      <c r="NFL75" s="53"/>
      <c r="NFM75" s="53"/>
      <c r="NFN75" s="53"/>
      <c r="NFO75" s="53"/>
      <c r="NFP75" s="53"/>
      <c r="NFQ75" s="53"/>
      <c r="NFR75" s="53"/>
      <c r="NFS75" s="53"/>
      <c r="NFT75" s="53"/>
      <c r="NFU75" s="53"/>
      <c r="NFV75" s="53"/>
      <c r="NFW75" s="53"/>
      <c r="NFX75" s="53"/>
      <c r="NFY75" s="53"/>
      <c r="NFZ75" s="53"/>
      <c r="NGA75" s="53"/>
      <c r="NGB75" s="53"/>
      <c r="NGC75" s="53"/>
      <c r="NGD75" s="53"/>
      <c r="NGE75" s="53"/>
      <c r="NGF75" s="53"/>
      <c r="NGG75" s="53"/>
      <c r="NGH75" s="53"/>
      <c r="NGI75" s="53"/>
      <c r="NGJ75" s="53"/>
      <c r="NGK75" s="53"/>
      <c r="NGL75" s="53"/>
      <c r="NGM75" s="53"/>
      <c r="NGN75" s="53"/>
      <c r="NGO75" s="53"/>
      <c r="NGP75" s="53"/>
      <c r="NGQ75" s="53"/>
      <c r="NGR75" s="53"/>
      <c r="NGS75" s="53"/>
      <c r="NGT75" s="53"/>
      <c r="NGU75" s="53"/>
      <c r="NGV75" s="53"/>
      <c r="NGW75" s="53"/>
      <c r="NGX75" s="53"/>
      <c r="NGY75" s="53"/>
      <c r="NGZ75" s="53"/>
      <c r="NHA75" s="53"/>
      <c r="NHB75" s="53"/>
      <c r="NHC75" s="53"/>
      <c r="NHD75" s="53"/>
      <c r="NHE75" s="53"/>
      <c r="NHF75" s="53"/>
      <c r="NHG75" s="53"/>
      <c r="NHH75" s="53"/>
      <c r="NHI75" s="53"/>
      <c r="NHJ75" s="53"/>
      <c r="NHK75" s="53"/>
      <c r="NHL75" s="53"/>
      <c r="NHM75" s="53"/>
      <c r="NHN75" s="53"/>
      <c r="NHO75" s="53"/>
      <c r="NHP75" s="53"/>
      <c r="NHQ75" s="53"/>
      <c r="NHR75" s="53"/>
      <c r="NHS75" s="53"/>
      <c r="NHT75" s="53"/>
      <c r="NHU75" s="53"/>
      <c r="NHV75" s="53"/>
      <c r="NHW75" s="53"/>
      <c r="NHX75" s="53"/>
      <c r="NHY75" s="53"/>
      <c r="NHZ75" s="53"/>
      <c r="NIA75" s="53"/>
      <c r="NIB75" s="53"/>
      <c r="NIC75" s="53"/>
      <c r="NID75" s="53"/>
      <c r="NIE75" s="53"/>
      <c r="NIF75" s="53"/>
      <c r="NIG75" s="53"/>
      <c r="NIH75" s="53"/>
      <c r="NII75" s="53"/>
      <c r="NIJ75" s="53"/>
      <c r="NIK75" s="53"/>
      <c r="NIL75" s="53"/>
      <c r="NIM75" s="53"/>
      <c r="NIN75" s="53"/>
      <c r="NIO75" s="53"/>
      <c r="NIP75" s="53"/>
      <c r="NIQ75" s="53"/>
      <c r="NIR75" s="53"/>
      <c r="NIS75" s="53"/>
      <c r="NIT75" s="53"/>
      <c r="NIU75" s="53"/>
      <c r="NIV75" s="53"/>
      <c r="NIW75" s="53"/>
      <c r="NIX75" s="53"/>
      <c r="NIY75" s="53"/>
      <c r="NIZ75" s="53"/>
      <c r="NJA75" s="53"/>
      <c r="NJB75" s="53"/>
      <c r="NJC75" s="53"/>
      <c r="NJD75" s="53"/>
      <c r="NJE75" s="53"/>
      <c r="NJF75" s="53"/>
      <c r="NJG75" s="53"/>
      <c r="NJH75" s="53"/>
      <c r="NJI75" s="53"/>
      <c r="NJJ75" s="53"/>
      <c r="NJK75" s="53"/>
      <c r="NJL75" s="53"/>
      <c r="NJM75" s="53"/>
      <c r="NJN75" s="53"/>
      <c r="NJO75" s="53"/>
      <c r="NJP75" s="53"/>
      <c r="NJQ75" s="53"/>
      <c r="NJR75" s="53"/>
      <c r="NJS75" s="53"/>
      <c r="NJT75" s="53"/>
      <c r="NJU75" s="53"/>
      <c r="NJV75" s="53"/>
      <c r="NJW75" s="53"/>
      <c r="NJX75" s="53"/>
      <c r="NJY75" s="53"/>
      <c r="NJZ75" s="53"/>
      <c r="NKA75" s="53"/>
      <c r="NKB75" s="53"/>
      <c r="NKC75" s="53"/>
      <c r="NKD75" s="53"/>
      <c r="NKE75" s="53"/>
      <c r="NKF75" s="53"/>
      <c r="NKG75" s="53"/>
      <c r="NKH75" s="53"/>
      <c r="NKI75" s="53"/>
      <c r="NKJ75" s="53"/>
      <c r="NKK75" s="53"/>
      <c r="NKL75" s="53"/>
      <c r="NKM75" s="53"/>
      <c r="NKN75" s="53"/>
      <c r="NKO75" s="53"/>
      <c r="NKP75" s="53"/>
      <c r="NKQ75" s="53"/>
      <c r="NKR75" s="53"/>
      <c r="NKS75" s="53"/>
      <c r="NKT75" s="53"/>
      <c r="NKU75" s="53"/>
      <c r="NKV75" s="53"/>
      <c r="NKW75" s="53"/>
      <c r="NKX75" s="53"/>
      <c r="NKY75" s="53"/>
      <c r="NKZ75" s="53"/>
      <c r="NLA75" s="53"/>
      <c r="NLB75" s="53"/>
      <c r="NLC75" s="53"/>
      <c r="NLD75" s="53"/>
      <c r="NLE75" s="53"/>
      <c r="NLF75" s="53"/>
      <c r="NLG75" s="53"/>
      <c r="NLH75" s="53"/>
      <c r="NLI75" s="53"/>
      <c r="NLJ75" s="53"/>
      <c r="NLK75" s="53"/>
      <c r="NLL75" s="53"/>
      <c r="NLM75" s="53"/>
      <c r="NLN75" s="53"/>
      <c r="NLO75" s="53"/>
      <c r="NLP75" s="53"/>
      <c r="NLQ75" s="53"/>
      <c r="NLR75" s="53"/>
      <c r="NLS75" s="53"/>
      <c r="NLT75" s="53"/>
      <c r="NLU75" s="53"/>
      <c r="NLV75" s="53"/>
      <c r="NLW75" s="53"/>
      <c r="NLX75" s="53"/>
      <c r="NLY75" s="53"/>
      <c r="NLZ75" s="53"/>
      <c r="NMA75" s="53"/>
      <c r="NMB75" s="53"/>
      <c r="NMC75" s="53"/>
      <c r="NMD75" s="53"/>
      <c r="NME75" s="53"/>
      <c r="NMF75" s="53"/>
      <c r="NMG75" s="53"/>
      <c r="NMH75" s="53"/>
      <c r="NMI75" s="53"/>
      <c r="NMJ75" s="53"/>
      <c r="NMK75" s="53"/>
      <c r="NML75" s="53"/>
      <c r="NMM75" s="53"/>
      <c r="NMN75" s="53"/>
      <c r="NMO75" s="53"/>
      <c r="NMP75" s="53"/>
      <c r="NMQ75" s="53"/>
      <c r="NMR75" s="53"/>
      <c r="NMS75" s="53"/>
      <c r="NMT75" s="53"/>
      <c r="NMU75" s="53"/>
      <c r="NMV75" s="53"/>
      <c r="NMW75" s="53"/>
      <c r="NMX75" s="53"/>
      <c r="NMY75" s="53"/>
      <c r="NMZ75" s="53"/>
      <c r="NNA75" s="53"/>
      <c r="NNB75" s="53"/>
      <c r="NNC75" s="53"/>
      <c r="NND75" s="53"/>
      <c r="NNE75" s="53"/>
      <c r="NNF75" s="53"/>
      <c r="NNG75" s="53"/>
      <c r="NNH75" s="53"/>
      <c r="NNI75" s="53"/>
      <c r="NNJ75" s="53"/>
      <c r="NNK75" s="53"/>
      <c r="NNL75" s="53"/>
      <c r="NNM75" s="53"/>
      <c r="NNN75" s="53"/>
      <c r="NNO75" s="53"/>
      <c r="NNP75" s="53"/>
      <c r="NNQ75" s="53"/>
      <c r="NNR75" s="53"/>
      <c r="NNS75" s="53"/>
      <c r="NNT75" s="53"/>
      <c r="NNU75" s="53"/>
      <c r="NNV75" s="53"/>
      <c r="NNW75" s="53"/>
      <c r="NNX75" s="53"/>
      <c r="NNY75" s="53"/>
      <c r="NNZ75" s="53"/>
      <c r="NOA75" s="53"/>
      <c r="NOB75" s="53"/>
      <c r="NOC75" s="53"/>
      <c r="NOD75" s="53"/>
      <c r="NOE75" s="53"/>
      <c r="NOF75" s="53"/>
      <c r="NOG75" s="53"/>
      <c r="NOH75" s="53"/>
      <c r="NOI75" s="53"/>
      <c r="NOJ75" s="53"/>
      <c r="NOK75" s="53"/>
      <c r="NOL75" s="53"/>
      <c r="NOM75" s="53"/>
      <c r="NON75" s="53"/>
      <c r="NOO75" s="53"/>
      <c r="NOP75" s="53"/>
      <c r="NOQ75" s="53"/>
      <c r="NOR75" s="53"/>
      <c r="NOS75" s="53"/>
      <c r="NOT75" s="53"/>
      <c r="NOU75" s="53"/>
      <c r="NOV75" s="53"/>
      <c r="NOW75" s="53"/>
      <c r="NOX75" s="53"/>
      <c r="NOY75" s="53"/>
      <c r="NOZ75" s="53"/>
      <c r="NPA75" s="53"/>
      <c r="NPB75" s="53"/>
      <c r="NPC75" s="53"/>
      <c r="NPD75" s="53"/>
      <c r="NPE75" s="53"/>
      <c r="NPF75" s="53"/>
      <c r="NPG75" s="53"/>
      <c r="NPH75" s="53"/>
      <c r="NPI75" s="53"/>
      <c r="NPJ75" s="53"/>
      <c r="NPK75" s="53"/>
      <c r="NPL75" s="53"/>
      <c r="NPM75" s="53"/>
      <c r="NPN75" s="53"/>
      <c r="NPO75" s="53"/>
      <c r="NPP75" s="53"/>
      <c r="NPQ75" s="53"/>
      <c r="NPR75" s="53"/>
      <c r="NPS75" s="53"/>
      <c r="NPT75" s="53"/>
      <c r="NPU75" s="53"/>
      <c r="NPV75" s="53"/>
      <c r="NPW75" s="53"/>
      <c r="NPX75" s="53"/>
      <c r="NPY75" s="53"/>
      <c r="NPZ75" s="53"/>
      <c r="NQA75" s="53"/>
      <c r="NQB75" s="53"/>
      <c r="NQC75" s="53"/>
      <c r="NQD75" s="53"/>
      <c r="NQE75" s="53"/>
      <c r="NQF75" s="53"/>
      <c r="NQG75" s="53"/>
      <c r="NQH75" s="53"/>
      <c r="NQI75" s="53"/>
      <c r="NQJ75" s="53"/>
      <c r="NQK75" s="53"/>
      <c r="NQL75" s="53"/>
      <c r="NQM75" s="53"/>
      <c r="NQN75" s="53"/>
      <c r="NQO75" s="53"/>
      <c r="NQP75" s="53"/>
      <c r="NQQ75" s="53"/>
      <c r="NQR75" s="53"/>
      <c r="NQS75" s="53"/>
      <c r="NQT75" s="53"/>
      <c r="NQU75" s="53"/>
      <c r="NQV75" s="53"/>
      <c r="NQW75" s="53"/>
      <c r="NQX75" s="53"/>
      <c r="NQY75" s="53"/>
      <c r="NQZ75" s="53"/>
      <c r="NRA75" s="53"/>
      <c r="NRB75" s="53"/>
      <c r="NRC75" s="53"/>
      <c r="NRD75" s="53"/>
      <c r="NRE75" s="53"/>
      <c r="NRF75" s="53"/>
      <c r="NRG75" s="53"/>
      <c r="NRH75" s="53"/>
      <c r="NRI75" s="53"/>
      <c r="NRJ75" s="53"/>
      <c r="NRK75" s="53"/>
      <c r="NRL75" s="53"/>
      <c r="NRM75" s="53"/>
      <c r="NRN75" s="53"/>
      <c r="NRO75" s="53"/>
      <c r="NRP75" s="53"/>
      <c r="NRQ75" s="53"/>
      <c r="NRR75" s="53"/>
      <c r="NRS75" s="53"/>
      <c r="NRT75" s="53"/>
      <c r="NRU75" s="53"/>
      <c r="NRV75" s="53"/>
      <c r="NRW75" s="53"/>
      <c r="NRX75" s="53"/>
      <c r="NRY75" s="53"/>
      <c r="NRZ75" s="53"/>
      <c r="NSA75" s="53"/>
      <c r="NSB75" s="53"/>
      <c r="NSC75" s="53"/>
      <c r="NSD75" s="53"/>
      <c r="NSE75" s="53"/>
      <c r="NSF75" s="53"/>
      <c r="NSG75" s="53"/>
      <c r="NSH75" s="53"/>
      <c r="NSI75" s="53"/>
      <c r="NSJ75" s="53"/>
      <c r="NSK75" s="53"/>
      <c r="NSL75" s="53"/>
      <c r="NSM75" s="53"/>
      <c r="NSN75" s="53"/>
      <c r="NSO75" s="53"/>
      <c r="NSP75" s="53"/>
      <c r="NSQ75" s="53"/>
      <c r="NSR75" s="53"/>
      <c r="NSS75" s="53"/>
      <c r="NST75" s="53"/>
      <c r="NSU75" s="53"/>
      <c r="NSV75" s="53"/>
      <c r="NSW75" s="53"/>
      <c r="NSX75" s="53"/>
      <c r="NSY75" s="53"/>
      <c r="NSZ75" s="53"/>
      <c r="NTA75" s="53"/>
      <c r="NTB75" s="53"/>
      <c r="NTC75" s="53"/>
      <c r="NTD75" s="53"/>
      <c r="NTE75" s="53"/>
      <c r="NTF75" s="53"/>
      <c r="NTG75" s="53"/>
      <c r="NTH75" s="53"/>
      <c r="NTI75" s="53"/>
      <c r="NTJ75" s="53"/>
      <c r="NTK75" s="53"/>
      <c r="NTL75" s="53"/>
      <c r="NTM75" s="53"/>
      <c r="NTN75" s="53"/>
      <c r="NTO75" s="53"/>
      <c r="NTP75" s="53"/>
      <c r="NTQ75" s="53"/>
      <c r="NTR75" s="53"/>
      <c r="NTS75" s="53"/>
      <c r="NTT75" s="53"/>
      <c r="NTU75" s="53"/>
      <c r="NTV75" s="53"/>
      <c r="NTW75" s="53"/>
      <c r="NTX75" s="53"/>
      <c r="NTY75" s="53"/>
      <c r="NTZ75" s="53"/>
      <c r="NUA75" s="53"/>
      <c r="NUB75" s="53"/>
      <c r="NUC75" s="53"/>
      <c r="NUD75" s="53"/>
      <c r="NUE75" s="53"/>
      <c r="NUF75" s="53"/>
      <c r="NUG75" s="53"/>
      <c r="NUH75" s="53"/>
      <c r="NUI75" s="53"/>
      <c r="NUJ75" s="53"/>
      <c r="NUK75" s="53"/>
      <c r="NUL75" s="53"/>
      <c r="NUM75" s="53"/>
      <c r="NUN75" s="53"/>
      <c r="NUO75" s="53"/>
      <c r="NUP75" s="53"/>
      <c r="NUQ75" s="53"/>
      <c r="NUR75" s="53"/>
      <c r="NUS75" s="53"/>
      <c r="NUT75" s="53"/>
      <c r="NUU75" s="53"/>
      <c r="NUV75" s="53"/>
      <c r="NUW75" s="53"/>
      <c r="NUX75" s="53"/>
      <c r="NUY75" s="53"/>
      <c r="NUZ75" s="53"/>
      <c r="NVA75" s="53"/>
      <c r="NVB75" s="53"/>
      <c r="NVC75" s="53"/>
      <c r="NVD75" s="53"/>
      <c r="NVE75" s="53"/>
      <c r="NVF75" s="53"/>
      <c r="NVG75" s="53"/>
      <c r="NVH75" s="53"/>
      <c r="NVI75" s="53"/>
      <c r="NVJ75" s="53"/>
      <c r="NVK75" s="53"/>
      <c r="NVL75" s="53"/>
      <c r="NVM75" s="53"/>
      <c r="NVN75" s="53"/>
      <c r="NVO75" s="53"/>
      <c r="NVP75" s="53"/>
      <c r="NVQ75" s="53"/>
      <c r="NVR75" s="53"/>
      <c r="NVS75" s="53"/>
      <c r="NVT75" s="53"/>
      <c r="NVU75" s="53"/>
      <c r="NVV75" s="53"/>
      <c r="NVW75" s="53"/>
      <c r="NVX75" s="53"/>
      <c r="NVY75" s="53"/>
      <c r="NVZ75" s="53"/>
      <c r="NWA75" s="53"/>
      <c r="NWB75" s="53"/>
      <c r="NWC75" s="53"/>
      <c r="NWD75" s="53"/>
      <c r="NWE75" s="53"/>
      <c r="NWF75" s="53"/>
      <c r="NWG75" s="53"/>
      <c r="NWH75" s="53"/>
      <c r="NWI75" s="53"/>
      <c r="NWJ75" s="53"/>
      <c r="NWK75" s="53"/>
      <c r="NWL75" s="53"/>
      <c r="NWM75" s="53"/>
      <c r="NWN75" s="53"/>
      <c r="NWO75" s="53"/>
      <c r="NWP75" s="53"/>
      <c r="NWQ75" s="53"/>
      <c r="NWR75" s="53"/>
      <c r="NWS75" s="53"/>
      <c r="NWT75" s="53"/>
      <c r="NWU75" s="53"/>
      <c r="NWV75" s="53"/>
      <c r="NWW75" s="53"/>
      <c r="NWX75" s="53"/>
      <c r="NWY75" s="53"/>
      <c r="NWZ75" s="53"/>
      <c r="NXA75" s="53"/>
      <c r="NXB75" s="53"/>
      <c r="NXC75" s="53"/>
      <c r="NXD75" s="53"/>
      <c r="NXE75" s="53"/>
      <c r="NXF75" s="53"/>
      <c r="NXG75" s="53"/>
      <c r="NXH75" s="53"/>
      <c r="NXI75" s="53"/>
      <c r="NXJ75" s="53"/>
      <c r="NXK75" s="53"/>
      <c r="NXL75" s="53"/>
      <c r="NXM75" s="53"/>
      <c r="NXN75" s="53"/>
      <c r="NXO75" s="53"/>
      <c r="NXP75" s="53"/>
      <c r="NXQ75" s="53"/>
      <c r="NXR75" s="53"/>
      <c r="NXS75" s="53"/>
      <c r="NXT75" s="53"/>
      <c r="NXU75" s="53"/>
      <c r="NXV75" s="53"/>
      <c r="NXW75" s="53"/>
      <c r="NXX75" s="53"/>
      <c r="NXY75" s="53"/>
      <c r="NXZ75" s="53"/>
      <c r="NYA75" s="53"/>
      <c r="NYB75" s="53"/>
      <c r="NYC75" s="53"/>
      <c r="NYD75" s="53"/>
      <c r="NYE75" s="53"/>
      <c r="NYF75" s="53"/>
      <c r="NYG75" s="53"/>
      <c r="NYH75" s="53"/>
      <c r="NYI75" s="53"/>
      <c r="NYJ75" s="53"/>
      <c r="NYK75" s="53"/>
      <c r="NYL75" s="53"/>
      <c r="NYM75" s="53"/>
      <c r="NYN75" s="53"/>
      <c r="NYO75" s="53"/>
      <c r="NYP75" s="53"/>
      <c r="NYQ75" s="53"/>
      <c r="NYR75" s="53"/>
      <c r="NYS75" s="53"/>
      <c r="NYT75" s="53"/>
      <c r="NYU75" s="53"/>
      <c r="NYV75" s="53"/>
      <c r="NYW75" s="53"/>
      <c r="NYX75" s="53"/>
      <c r="NYY75" s="53"/>
      <c r="NYZ75" s="53"/>
      <c r="NZA75" s="53"/>
      <c r="NZB75" s="53"/>
      <c r="NZC75" s="53"/>
      <c r="NZD75" s="53"/>
      <c r="NZE75" s="53"/>
      <c r="NZF75" s="53"/>
      <c r="NZG75" s="53"/>
      <c r="NZH75" s="53"/>
      <c r="NZI75" s="53"/>
      <c r="NZJ75" s="53"/>
      <c r="NZK75" s="53"/>
      <c r="NZL75" s="53"/>
      <c r="NZM75" s="53"/>
      <c r="NZN75" s="53"/>
      <c r="NZO75" s="53"/>
      <c r="NZP75" s="53"/>
      <c r="NZQ75" s="53"/>
      <c r="NZR75" s="53"/>
      <c r="NZS75" s="53"/>
      <c r="NZT75" s="53"/>
      <c r="NZU75" s="53"/>
      <c r="NZV75" s="53"/>
      <c r="NZW75" s="53"/>
      <c r="NZX75" s="53"/>
      <c r="NZY75" s="53"/>
      <c r="NZZ75" s="53"/>
      <c r="OAA75" s="53"/>
      <c r="OAB75" s="53"/>
      <c r="OAC75" s="53"/>
      <c r="OAD75" s="53"/>
      <c r="OAE75" s="53"/>
      <c r="OAF75" s="53"/>
      <c r="OAG75" s="53"/>
      <c r="OAH75" s="53"/>
      <c r="OAI75" s="53"/>
      <c r="OAJ75" s="53"/>
      <c r="OAK75" s="53"/>
      <c r="OAL75" s="53"/>
      <c r="OAM75" s="53"/>
      <c r="OAN75" s="53"/>
      <c r="OAO75" s="53"/>
      <c r="OAP75" s="53"/>
      <c r="OAQ75" s="53"/>
      <c r="OAR75" s="53"/>
      <c r="OAS75" s="53"/>
      <c r="OAT75" s="53"/>
      <c r="OAU75" s="53"/>
      <c r="OAV75" s="53"/>
      <c r="OAW75" s="53"/>
      <c r="OAX75" s="53"/>
      <c r="OAY75" s="53"/>
      <c r="OAZ75" s="53"/>
      <c r="OBA75" s="53"/>
      <c r="OBB75" s="53"/>
      <c r="OBC75" s="53"/>
      <c r="OBD75" s="53"/>
      <c r="OBE75" s="53"/>
      <c r="OBF75" s="53"/>
      <c r="OBG75" s="53"/>
      <c r="OBH75" s="53"/>
      <c r="OBI75" s="53"/>
      <c r="OBJ75" s="53"/>
      <c r="OBK75" s="53"/>
      <c r="OBL75" s="53"/>
      <c r="OBM75" s="53"/>
      <c r="OBN75" s="53"/>
      <c r="OBO75" s="53"/>
      <c r="OBP75" s="53"/>
      <c r="OBQ75" s="53"/>
      <c r="OBR75" s="53"/>
      <c r="OBS75" s="53"/>
      <c r="OBT75" s="53"/>
      <c r="OBU75" s="53"/>
      <c r="OBV75" s="53"/>
      <c r="OBW75" s="53"/>
      <c r="OBX75" s="53"/>
      <c r="OBY75" s="53"/>
      <c r="OBZ75" s="53"/>
      <c r="OCA75" s="53"/>
      <c r="OCB75" s="53"/>
      <c r="OCC75" s="53"/>
      <c r="OCD75" s="53"/>
      <c r="OCE75" s="53"/>
      <c r="OCF75" s="53"/>
      <c r="OCG75" s="53"/>
      <c r="OCH75" s="53"/>
      <c r="OCI75" s="53"/>
      <c r="OCJ75" s="53"/>
      <c r="OCK75" s="53"/>
      <c r="OCL75" s="53"/>
      <c r="OCM75" s="53"/>
      <c r="OCN75" s="53"/>
      <c r="OCO75" s="53"/>
      <c r="OCP75" s="53"/>
      <c r="OCQ75" s="53"/>
      <c r="OCR75" s="53"/>
      <c r="OCS75" s="53"/>
      <c r="OCT75" s="53"/>
      <c r="OCU75" s="53"/>
      <c r="OCV75" s="53"/>
      <c r="OCW75" s="53"/>
      <c r="OCX75" s="53"/>
      <c r="OCY75" s="53"/>
      <c r="OCZ75" s="53"/>
      <c r="ODA75" s="53"/>
      <c r="ODB75" s="53"/>
      <c r="ODC75" s="53"/>
      <c r="ODD75" s="53"/>
      <c r="ODE75" s="53"/>
      <c r="ODF75" s="53"/>
      <c r="ODG75" s="53"/>
      <c r="ODH75" s="53"/>
      <c r="ODI75" s="53"/>
      <c r="ODJ75" s="53"/>
      <c r="ODK75" s="53"/>
      <c r="ODL75" s="53"/>
      <c r="ODM75" s="53"/>
      <c r="ODN75" s="53"/>
      <c r="ODO75" s="53"/>
      <c r="ODP75" s="53"/>
      <c r="ODQ75" s="53"/>
      <c r="ODR75" s="53"/>
      <c r="ODS75" s="53"/>
      <c r="ODT75" s="53"/>
      <c r="ODU75" s="53"/>
      <c r="ODV75" s="53"/>
      <c r="ODW75" s="53"/>
      <c r="ODX75" s="53"/>
      <c r="ODY75" s="53"/>
      <c r="ODZ75" s="53"/>
      <c r="OEA75" s="53"/>
      <c r="OEB75" s="53"/>
      <c r="OEC75" s="53"/>
      <c r="OED75" s="53"/>
      <c r="OEE75" s="53"/>
      <c r="OEF75" s="53"/>
      <c r="OEG75" s="53"/>
      <c r="OEH75" s="53"/>
      <c r="OEI75" s="53"/>
      <c r="OEJ75" s="53"/>
      <c r="OEK75" s="53"/>
      <c r="OEL75" s="53"/>
      <c r="OEM75" s="53"/>
      <c r="OEN75" s="53"/>
      <c r="OEO75" s="53"/>
      <c r="OEP75" s="53"/>
      <c r="OEQ75" s="53"/>
      <c r="OER75" s="53"/>
      <c r="OES75" s="53"/>
      <c r="OET75" s="53"/>
      <c r="OEU75" s="53"/>
      <c r="OEV75" s="53"/>
      <c r="OEW75" s="53"/>
      <c r="OEX75" s="53"/>
      <c r="OEY75" s="53"/>
      <c r="OEZ75" s="53"/>
      <c r="OFA75" s="53"/>
      <c r="OFB75" s="53"/>
      <c r="OFC75" s="53"/>
      <c r="OFD75" s="53"/>
      <c r="OFE75" s="53"/>
      <c r="OFF75" s="53"/>
      <c r="OFG75" s="53"/>
      <c r="OFH75" s="53"/>
      <c r="OFI75" s="53"/>
      <c r="OFJ75" s="53"/>
      <c r="OFK75" s="53"/>
      <c r="OFL75" s="53"/>
      <c r="OFM75" s="53"/>
      <c r="OFN75" s="53"/>
      <c r="OFO75" s="53"/>
      <c r="OFP75" s="53"/>
      <c r="OFQ75" s="53"/>
      <c r="OFR75" s="53"/>
      <c r="OFS75" s="53"/>
      <c r="OFT75" s="53"/>
      <c r="OFU75" s="53"/>
      <c r="OFV75" s="53"/>
      <c r="OFW75" s="53"/>
      <c r="OFX75" s="53"/>
      <c r="OFY75" s="53"/>
      <c r="OFZ75" s="53"/>
      <c r="OGA75" s="53"/>
      <c r="OGB75" s="53"/>
      <c r="OGC75" s="53"/>
      <c r="OGD75" s="53"/>
      <c r="OGE75" s="53"/>
      <c r="OGF75" s="53"/>
      <c r="OGG75" s="53"/>
      <c r="OGH75" s="53"/>
      <c r="OGI75" s="53"/>
      <c r="OGJ75" s="53"/>
      <c r="OGK75" s="53"/>
      <c r="OGL75" s="53"/>
      <c r="OGM75" s="53"/>
      <c r="OGN75" s="53"/>
      <c r="OGO75" s="53"/>
      <c r="OGP75" s="53"/>
      <c r="OGQ75" s="53"/>
      <c r="OGR75" s="53"/>
      <c r="OGS75" s="53"/>
      <c r="OGT75" s="53"/>
      <c r="OGU75" s="53"/>
      <c r="OGV75" s="53"/>
      <c r="OGW75" s="53"/>
      <c r="OGX75" s="53"/>
      <c r="OGY75" s="53"/>
      <c r="OGZ75" s="53"/>
      <c r="OHA75" s="53"/>
      <c r="OHB75" s="53"/>
      <c r="OHC75" s="53"/>
      <c r="OHD75" s="53"/>
      <c r="OHE75" s="53"/>
      <c r="OHF75" s="53"/>
      <c r="OHG75" s="53"/>
      <c r="OHH75" s="53"/>
      <c r="OHI75" s="53"/>
      <c r="OHJ75" s="53"/>
      <c r="OHK75" s="53"/>
      <c r="OHL75" s="53"/>
      <c r="OHM75" s="53"/>
      <c r="OHN75" s="53"/>
      <c r="OHO75" s="53"/>
      <c r="OHP75" s="53"/>
      <c r="OHQ75" s="53"/>
      <c r="OHR75" s="53"/>
      <c r="OHS75" s="53"/>
      <c r="OHT75" s="53"/>
      <c r="OHU75" s="53"/>
      <c r="OHV75" s="53"/>
      <c r="OHW75" s="53"/>
      <c r="OHX75" s="53"/>
      <c r="OHY75" s="53"/>
      <c r="OHZ75" s="53"/>
      <c r="OIA75" s="53"/>
      <c r="OIB75" s="53"/>
      <c r="OIC75" s="53"/>
      <c r="OID75" s="53"/>
      <c r="OIE75" s="53"/>
      <c r="OIF75" s="53"/>
      <c r="OIG75" s="53"/>
      <c r="OIH75" s="53"/>
      <c r="OII75" s="53"/>
      <c r="OIJ75" s="53"/>
      <c r="OIK75" s="53"/>
      <c r="OIL75" s="53"/>
      <c r="OIM75" s="53"/>
      <c r="OIN75" s="53"/>
      <c r="OIO75" s="53"/>
      <c r="OIP75" s="53"/>
      <c r="OIQ75" s="53"/>
      <c r="OIR75" s="53"/>
      <c r="OIS75" s="53"/>
      <c r="OIT75" s="53"/>
      <c r="OIU75" s="53"/>
      <c r="OIV75" s="53"/>
      <c r="OIW75" s="53"/>
      <c r="OIX75" s="53"/>
      <c r="OIY75" s="53"/>
      <c r="OIZ75" s="53"/>
      <c r="OJA75" s="53"/>
      <c r="OJB75" s="53"/>
      <c r="OJC75" s="53"/>
      <c r="OJD75" s="53"/>
      <c r="OJE75" s="53"/>
      <c r="OJF75" s="53"/>
      <c r="OJG75" s="53"/>
      <c r="OJH75" s="53"/>
      <c r="OJI75" s="53"/>
      <c r="OJJ75" s="53"/>
      <c r="OJK75" s="53"/>
      <c r="OJL75" s="53"/>
      <c r="OJM75" s="53"/>
      <c r="OJN75" s="53"/>
      <c r="OJO75" s="53"/>
      <c r="OJP75" s="53"/>
      <c r="OJQ75" s="53"/>
      <c r="OJR75" s="53"/>
      <c r="OJS75" s="53"/>
      <c r="OJT75" s="53"/>
      <c r="OJU75" s="53"/>
      <c r="OJV75" s="53"/>
      <c r="OJW75" s="53"/>
      <c r="OJX75" s="53"/>
      <c r="OJY75" s="53"/>
      <c r="OJZ75" s="53"/>
      <c r="OKA75" s="53"/>
      <c r="OKB75" s="53"/>
      <c r="OKC75" s="53"/>
      <c r="OKD75" s="53"/>
      <c r="OKE75" s="53"/>
      <c r="OKF75" s="53"/>
      <c r="OKG75" s="53"/>
      <c r="OKH75" s="53"/>
      <c r="OKI75" s="53"/>
      <c r="OKJ75" s="53"/>
      <c r="OKK75" s="53"/>
      <c r="OKL75" s="53"/>
      <c r="OKM75" s="53"/>
      <c r="OKN75" s="53"/>
      <c r="OKO75" s="53"/>
      <c r="OKP75" s="53"/>
      <c r="OKQ75" s="53"/>
      <c r="OKR75" s="53"/>
      <c r="OKS75" s="53"/>
      <c r="OKT75" s="53"/>
      <c r="OKU75" s="53"/>
      <c r="OKV75" s="53"/>
      <c r="OKW75" s="53"/>
      <c r="OKX75" s="53"/>
      <c r="OKY75" s="53"/>
      <c r="OKZ75" s="53"/>
      <c r="OLA75" s="53"/>
      <c r="OLB75" s="53"/>
      <c r="OLC75" s="53"/>
      <c r="OLD75" s="53"/>
      <c r="OLE75" s="53"/>
      <c r="OLF75" s="53"/>
      <c r="OLG75" s="53"/>
      <c r="OLH75" s="53"/>
      <c r="OLI75" s="53"/>
      <c r="OLJ75" s="53"/>
      <c r="OLK75" s="53"/>
      <c r="OLL75" s="53"/>
      <c r="OLM75" s="53"/>
      <c r="OLN75" s="53"/>
      <c r="OLO75" s="53"/>
      <c r="OLP75" s="53"/>
      <c r="OLQ75" s="53"/>
      <c r="OLR75" s="53"/>
      <c r="OLS75" s="53"/>
      <c r="OLT75" s="53"/>
      <c r="OLU75" s="53"/>
      <c r="OLV75" s="53"/>
      <c r="OLW75" s="53"/>
      <c r="OLX75" s="53"/>
      <c r="OLY75" s="53"/>
      <c r="OLZ75" s="53"/>
      <c r="OMA75" s="53"/>
      <c r="OMB75" s="53"/>
      <c r="OMC75" s="53"/>
      <c r="OMD75" s="53"/>
      <c r="OME75" s="53"/>
      <c r="OMF75" s="53"/>
      <c r="OMG75" s="53"/>
      <c r="OMH75" s="53"/>
      <c r="OMI75" s="53"/>
      <c r="OMJ75" s="53"/>
      <c r="OMK75" s="53"/>
      <c r="OML75" s="53"/>
      <c r="OMM75" s="53"/>
      <c r="OMN75" s="53"/>
      <c r="OMO75" s="53"/>
      <c r="OMP75" s="53"/>
      <c r="OMQ75" s="53"/>
      <c r="OMR75" s="53"/>
      <c r="OMS75" s="53"/>
      <c r="OMT75" s="53"/>
      <c r="OMU75" s="53"/>
      <c r="OMV75" s="53"/>
      <c r="OMW75" s="53"/>
      <c r="OMX75" s="53"/>
      <c r="OMY75" s="53"/>
      <c r="OMZ75" s="53"/>
      <c r="ONA75" s="53"/>
      <c r="ONB75" s="53"/>
      <c r="ONC75" s="53"/>
      <c r="OND75" s="53"/>
      <c r="ONE75" s="53"/>
      <c r="ONF75" s="53"/>
      <c r="ONG75" s="53"/>
      <c r="ONH75" s="53"/>
      <c r="ONI75" s="53"/>
      <c r="ONJ75" s="53"/>
      <c r="ONK75" s="53"/>
      <c r="ONL75" s="53"/>
      <c r="ONM75" s="53"/>
      <c r="ONN75" s="53"/>
      <c r="ONO75" s="53"/>
      <c r="ONP75" s="53"/>
      <c r="ONQ75" s="53"/>
      <c r="ONR75" s="53"/>
      <c r="ONS75" s="53"/>
      <c r="ONT75" s="53"/>
      <c r="ONU75" s="53"/>
      <c r="ONV75" s="53"/>
      <c r="ONW75" s="53"/>
      <c r="ONX75" s="53"/>
      <c r="ONY75" s="53"/>
      <c r="ONZ75" s="53"/>
      <c r="OOA75" s="53"/>
      <c r="OOB75" s="53"/>
      <c r="OOC75" s="53"/>
      <c r="OOD75" s="53"/>
      <c r="OOE75" s="53"/>
      <c r="OOF75" s="53"/>
      <c r="OOG75" s="53"/>
      <c r="OOH75" s="53"/>
      <c r="OOI75" s="53"/>
      <c r="OOJ75" s="53"/>
      <c r="OOK75" s="53"/>
      <c r="OOL75" s="53"/>
      <c r="OOM75" s="53"/>
      <c r="OON75" s="53"/>
      <c r="OOO75" s="53"/>
      <c r="OOP75" s="53"/>
      <c r="OOQ75" s="53"/>
      <c r="OOR75" s="53"/>
      <c r="OOS75" s="53"/>
      <c r="OOT75" s="53"/>
      <c r="OOU75" s="53"/>
      <c r="OOV75" s="53"/>
      <c r="OOW75" s="53"/>
      <c r="OOX75" s="53"/>
      <c r="OOY75" s="53"/>
      <c r="OOZ75" s="53"/>
      <c r="OPA75" s="53"/>
      <c r="OPB75" s="53"/>
      <c r="OPC75" s="53"/>
      <c r="OPD75" s="53"/>
      <c r="OPE75" s="53"/>
      <c r="OPF75" s="53"/>
      <c r="OPG75" s="53"/>
      <c r="OPH75" s="53"/>
      <c r="OPI75" s="53"/>
      <c r="OPJ75" s="53"/>
      <c r="OPK75" s="53"/>
      <c r="OPL75" s="53"/>
      <c r="OPM75" s="53"/>
      <c r="OPN75" s="53"/>
      <c r="OPO75" s="53"/>
      <c r="OPP75" s="53"/>
      <c r="OPQ75" s="53"/>
      <c r="OPR75" s="53"/>
      <c r="OPS75" s="53"/>
      <c r="OPT75" s="53"/>
      <c r="OPU75" s="53"/>
      <c r="OPV75" s="53"/>
      <c r="OPW75" s="53"/>
      <c r="OPX75" s="53"/>
      <c r="OPY75" s="53"/>
      <c r="OPZ75" s="53"/>
      <c r="OQA75" s="53"/>
      <c r="OQB75" s="53"/>
      <c r="OQC75" s="53"/>
      <c r="OQD75" s="53"/>
      <c r="OQE75" s="53"/>
      <c r="OQF75" s="53"/>
      <c r="OQG75" s="53"/>
      <c r="OQH75" s="53"/>
      <c r="OQI75" s="53"/>
      <c r="OQJ75" s="53"/>
      <c r="OQK75" s="53"/>
      <c r="OQL75" s="53"/>
      <c r="OQM75" s="53"/>
      <c r="OQN75" s="53"/>
      <c r="OQO75" s="53"/>
      <c r="OQP75" s="53"/>
      <c r="OQQ75" s="53"/>
      <c r="OQR75" s="53"/>
      <c r="OQS75" s="53"/>
      <c r="OQT75" s="53"/>
      <c r="OQU75" s="53"/>
      <c r="OQV75" s="53"/>
      <c r="OQW75" s="53"/>
      <c r="OQX75" s="53"/>
      <c r="OQY75" s="53"/>
      <c r="OQZ75" s="53"/>
      <c r="ORA75" s="53"/>
      <c r="ORB75" s="53"/>
      <c r="ORC75" s="53"/>
      <c r="ORD75" s="53"/>
      <c r="ORE75" s="53"/>
      <c r="ORF75" s="53"/>
      <c r="ORG75" s="53"/>
      <c r="ORH75" s="53"/>
      <c r="ORI75" s="53"/>
      <c r="ORJ75" s="53"/>
      <c r="ORK75" s="53"/>
      <c r="ORL75" s="53"/>
      <c r="ORM75" s="53"/>
      <c r="ORN75" s="53"/>
      <c r="ORO75" s="53"/>
      <c r="ORP75" s="53"/>
      <c r="ORQ75" s="53"/>
      <c r="ORR75" s="53"/>
      <c r="ORS75" s="53"/>
      <c r="ORT75" s="53"/>
      <c r="ORU75" s="53"/>
      <c r="ORV75" s="53"/>
      <c r="ORW75" s="53"/>
      <c r="ORX75" s="53"/>
      <c r="ORY75" s="53"/>
      <c r="ORZ75" s="53"/>
      <c r="OSA75" s="53"/>
      <c r="OSB75" s="53"/>
      <c r="OSC75" s="53"/>
      <c r="OSD75" s="53"/>
      <c r="OSE75" s="53"/>
      <c r="OSF75" s="53"/>
      <c r="OSG75" s="53"/>
      <c r="OSH75" s="53"/>
      <c r="OSI75" s="53"/>
      <c r="OSJ75" s="53"/>
      <c r="OSK75" s="53"/>
      <c r="OSL75" s="53"/>
      <c r="OSM75" s="53"/>
      <c r="OSN75" s="53"/>
      <c r="OSO75" s="53"/>
      <c r="OSP75" s="53"/>
      <c r="OSQ75" s="53"/>
      <c r="OSR75" s="53"/>
      <c r="OSS75" s="53"/>
      <c r="OST75" s="53"/>
      <c r="OSU75" s="53"/>
      <c r="OSV75" s="53"/>
      <c r="OSW75" s="53"/>
      <c r="OSX75" s="53"/>
      <c r="OSY75" s="53"/>
      <c r="OSZ75" s="53"/>
      <c r="OTA75" s="53"/>
      <c r="OTB75" s="53"/>
      <c r="OTC75" s="53"/>
      <c r="OTD75" s="53"/>
      <c r="OTE75" s="53"/>
      <c r="OTF75" s="53"/>
      <c r="OTG75" s="53"/>
      <c r="OTH75" s="53"/>
      <c r="OTI75" s="53"/>
      <c r="OTJ75" s="53"/>
      <c r="OTK75" s="53"/>
      <c r="OTL75" s="53"/>
      <c r="OTM75" s="53"/>
      <c r="OTN75" s="53"/>
      <c r="OTO75" s="53"/>
      <c r="OTP75" s="53"/>
      <c r="OTQ75" s="53"/>
      <c r="OTR75" s="53"/>
      <c r="OTS75" s="53"/>
      <c r="OTT75" s="53"/>
      <c r="OTU75" s="53"/>
      <c r="OTV75" s="53"/>
      <c r="OTW75" s="53"/>
      <c r="OTX75" s="53"/>
      <c r="OTY75" s="53"/>
      <c r="OTZ75" s="53"/>
      <c r="OUA75" s="53"/>
      <c r="OUB75" s="53"/>
      <c r="OUC75" s="53"/>
      <c r="OUD75" s="53"/>
      <c r="OUE75" s="53"/>
      <c r="OUF75" s="53"/>
      <c r="OUG75" s="53"/>
      <c r="OUH75" s="53"/>
      <c r="OUI75" s="53"/>
      <c r="OUJ75" s="53"/>
      <c r="OUK75" s="53"/>
      <c r="OUL75" s="53"/>
      <c r="OUM75" s="53"/>
      <c r="OUN75" s="53"/>
      <c r="OUO75" s="53"/>
      <c r="OUP75" s="53"/>
      <c r="OUQ75" s="53"/>
      <c r="OUR75" s="53"/>
      <c r="OUS75" s="53"/>
      <c r="OUT75" s="53"/>
      <c r="OUU75" s="53"/>
      <c r="OUV75" s="53"/>
      <c r="OUW75" s="53"/>
      <c r="OUX75" s="53"/>
      <c r="OUY75" s="53"/>
      <c r="OUZ75" s="53"/>
      <c r="OVA75" s="53"/>
      <c r="OVB75" s="53"/>
      <c r="OVC75" s="53"/>
      <c r="OVD75" s="53"/>
      <c r="OVE75" s="53"/>
      <c r="OVF75" s="53"/>
      <c r="OVG75" s="53"/>
      <c r="OVH75" s="53"/>
      <c r="OVI75" s="53"/>
      <c r="OVJ75" s="53"/>
      <c r="OVK75" s="53"/>
      <c r="OVL75" s="53"/>
      <c r="OVM75" s="53"/>
      <c r="OVN75" s="53"/>
      <c r="OVO75" s="53"/>
      <c r="OVP75" s="53"/>
      <c r="OVQ75" s="53"/>
      <c r="OVR75" s="53"/>
      <c r="OVS75" s="53"/>
      <c r="OVT75" s="53"/>
      <c r="OVU75" s="53"/>
      <c r="OVV75" s="53"/>
      <c r="OVW75" s="53"/>
      <c r="OVX75" s="53"/>
      <c r="OVY75" s="53"/>
      <c r="OVZ75" s="53"/>
      <c r="OWA75" s="53"/>
      <c r="OWB75" s="53"/>
      <c r="OWC75" s="53"/>
      <c r="OWD75" s="53"/>
      <c r="OWE75" s="53"/>
      <c r="OWF75" s="53"/>
      <c r="OWG75" s="53"/>
      <c r="OWH75" s="53"/>
      <c r="OWI75" s="53"/>
      <c r="OWJ75" s="53"/>
      <c r="OWK75" s="53"/>
      <c r="OWL75" s="53"/>
      <c r="OWM75" s="53"/>
      <c r="OWN75" s="53"/>
      <c r="OWO75" s="53"/>
      <c r="OWP75" s="53"/>
      <c r="OWQ75" s="53"/>
      <c r="OWR75" s="53"/>
      <c r="OWS75" s="53"/>
      <c r="OWT75" s="53"/>
      <c r="OWU75" s="53"/>
      <c r="OWV75" s="53"/>
      <c r="OWW75" s="53"/>
      <c r="OWX75" s="53"/>
      <c r="OWY75" s="53"/>
      <c r="OWZ75" s="53"/>
      <c r="OXA75" s="53"/>
      <c r="OXB75" s="53"/>
      <c r="OXC75" s="53"/>
      <c r="OXD75" s="53"/>
      <c r="OXE75" s="53"/>
      <c r="OXF75" s="53"/>
      <c r="OXG75" s="53"/>
      <c r="OXH75" s="53"/>
      <c r="OXI75" s="53"/>
      <c r="OXJ75" s="53"/>
      <c r="OXK75" s="53"/>
      <c r="OXL75" s="53"/>
      <c r="OXM75" s="53"/>
      <c r="OXN75" s="53"/>
      <c r="OXO75" s="53"/>
      <c r="OXP75" s="53"/>
      <c r="OXQ75" s="53"/>
      <c r="OXR75" s="53"/>
      <c r="OXS75" s="53"/>
      <c r="OXT75" s="53"/>
      <c r="OXU75" s="53"/>
      <c r="OXV75" s="53"/>
      <c r="OXW75" s="53"/>
      <c r="OXX75" s="53"/>
      <c r="OXY75" s="53"/>
      <c r="OXZ75" s="53"/>
      <c r="OYA75" s="53"/>
      <c r="OYB75" s="53"/>
      <c r="OYC75" s="53"/>
      <c r="OYD75" s="53"/>
      <c r="OYE75" s="53"/>
      <c r="OYF75" s="53"/>
      <c r="OYG75" s="53"/>
      <c r="OYH75" s="53"/>
      <c r="OYI75" s="53"/>
      <c r="OYJ75" s="53"/>
      <c r="OYK75" s="53"/>
      <c r="OYL75" s="53"/>
      <c r="OYM75" s="53"/>
      <c r="OYN75" s="53"/>
      <c r="OYO75" s="53"/>
      <c r="OYP75" s="53"/>
      <c r="OYQ75" s="53"/>
      <c r="OYR75" s="53"/>
      <c r="OYS75" s="53"/>
      <c r="OYT75" s="53"/>
      <c r="OYU75" s="53"/>
      <c r="OYV75" s="53"/>
      <c r="OYW75" s="53"/>
      <c r="OYX75" s="53"/>
      <c r="OYY75" s="53"/>
      <c r="OYZ75" s="53"/>
      <c r="OZA75" s="53"/>
      <c r="OZB75" s="53"/>
      <c r="OZC75" s="53"/>
      <c r="OZD75" s="53"/>
      <c r="OZE75" s="53"/>
      <c r="OZF75" s="53"/>
      <c r="OZG75" s="53"/>
      <c r="OZH75" s="53"/>
      <c r="OZI75" s="53"/>
      <c r="OZJ75" s="53"/>
      <c r="OZK75" s="53"/>
      <c r="OZL75" s="53"/>
      <c r="OZM75" s="53"/>
      <c r="OZN75" s="53"/>
      <c r="OZO75" s="53"/>
      <c r="OZP75" s="53"/>
      <c r="OZQ75" s="53"/>
      <c r="OZR75" s="53"/>
      <c r="OZS75" s="53"/>
      <c r="OZT75" s="53"/>
      <c r="OZU75" s="53"/>
      <c r="OZV75" s="53"/>
      <c r="OZW75" s="53"/>
      <c r="OZX75" s="53"/>
      <c r="OZY75" s="53"/>
      <c r="OZZ75" s="53"/>
      <c r="PAA75" s="53"/>
      <c r="PAB75" s="53"/>
      <c r="PAC75" s="53"/>
      <c r="PAD75" s="53"/>
      <c r="PAE75" s="53"/>
      <c r="PAF75" s="53"/>
      <c r="PAG75" s="53"/>
      <c r="PAH75" s="53"/>
      <c r="PAI75" s="53"/>
      <c r="PAJ75" s="53"/>
      <c r="PAK75" s="53"/>
      <c r="PAL75" s="53"/>
      <c r="PAM75" s="53"/>
      <c r="PAN75" s="53"/>
      <c r="PAO75" s="53"/>
      <c r="PAP75" s="53"/>
      <c r="PAQ75" s="53"/>
      <c r="PAR75" s="53"/>
      <c r="PAS75" s="53"/>
      <c r="PAT75" s="53"/>
      <c r="PAU75" s="53"/>
      <c r="PAV75" s="53"/>
      <c r="PAW75" s="53"/>
      <c r="PAX75" s="53"/>
      <c r="PAY75" s="53"/>
      <c r="PAZ75" s="53"/>
      <c r="PBA75" s="53"/>
      <c r="PBB75" s="53"/>
      <c r="PBC75" s="53"/>
      <c r="PBD75" s="53"/>
      <c r="PBE75" s="53"/>
      <c r="PBF75" s="53"/>
      <c r="PBG75" s="53"/>
      <c r="PBH75" s="53"/>
      <c r="PBI75" s="53"/>
      <c r="PBJ75" s="53"/>
      <c r="PBK75" s="53"/>
      <c r="PBL75" s="53"/>
      <c r="PBM75" s="53"/>
      <c r="PBN75" s="53"/>
      <c r="PBO75" s="53"/>
      <c r="PBP75" s="53"/>
      <c r="PBQ75" s="53"/>
      <c r="PBR75" s="53"/>
      <c r="PBS75" s="53"/>
      <c r="PBT75" s="53"/>
      <c r="PBU75" s="53"/>
      <c r="PBV75" s="53"/>
      <c r="PBW75" s="53"/>
      <c r="PBX75" s="53"/>
      <c r="PBY75" s="53"/>
      <c r="PBZ75" s="53"/>
      <c r="PCA75" s="53"/>
      <c r="PCB75" s="53"/>
      <c r="PCC75" s="53"/>
      <c r="PCD75" s="53"/>
      <c r="PCE75" s="53"/>
      <c r="PCF75" s="53"/>
      <c r="PCG75" s="53"/>
      <c r="PCH75" s="53"/>
      <c r="PCI75" s="53"/>
      <c r="PCJ75" s="53"/>
      <c r="PCK75" s="53"/>
      <c r="PCL75" s="53"/>
      <c r="PCM75" s="53"/>
      <c r="PCN75" s="53"/>
      <c r="PCO75" s="53"/>
      <c r="PCP75" s="53"/>
      <c r="PCQ75" s="53"/>
      <c r="PCR75" s="53"/>
      <c r="PCS75" s="53"/>
      <c r="PCT75" s="53"/>
      <c r="PCU75" s="53"/>
      <c r="PCV75" s="53"/>
      <c r="PCW75" s="53"/>
      <c r="PCX75" s="53"/>
      <c r="PCY75" s="53"/>
      <c r="PCZ75" s="53"/>
      <c r="PDA75" s="53"/>
      <c r="PDB75" s="53"/>
      <c r="PDC75" s="53"/>
      <c r="PDD75" s="53"/>
      <c r="PDE75" s="53"/>
      <c r="PDF75" s="53"/>
      <c r="PDG75" s="53"/>
      <c r="PDH75" s="53"/>
      <c r="PDI75" s="53"/>
      <c r="PDJ75" s="53"/>
      <c r="PDK75" s="53"/>
      <c r="PDL75" s="53"/>
      <c r="PDM75" s="53"/>
      <c r="PDN75" s="53"/>
      <c r="PDO75" s="53"/>
      <c r="PDP75" s="53"/>
      <c r="PDQ75" s="53"/>
      <c r="PDR75" s="53"/>
      <c r="PDS75" s="53"/>
      <c r="PDT75" s="53"/>
      <c r="PDU75" s="53"/>
      <c r="PDV75" s="53"/>
      <c r="PDW75" s="53"/>
      <c r="PDX75" s="53"/>
      <c r="PDY75" s="53"/>
      <c r="PDZ75" s="53"/>
      <c r="PEA75" s="53"/>
      <c r="PEB75" s="53"/>
      <c r="PEC75" s="53"/>
      <c r="PED75" s="53"/>
      <c r="PEE75" s="53"/>
      <c r="PEF75" s="53"/>
      <c r="PEG75" s="53"/>
      <c r="PEH75" s="53"/>
      <c r="PEI75" s="53"/>
      <c r="PEJ75" s="53"/>
      <c r="PEK75" s="53"/>
      <c r="PEL75" s="53"/>
      <c r="PEM75" s="53"/>
      <c r="PEN75" s="53"/>
      <c r="PEO75" s="53"/>
      <c r="PEP75" s="53"/>
      <c r="PEQ75" s="53"/>
      <c r="PER75" s="53"/>
      <c r="PES75" s="53"/>
      <c r="PET75" s="53"/>
      <c r="PEU75" s="53"/>
      <c r="PEV75" s="53"/>
      <c r="PEW75" s="53"/>
      <c r="PEX75" s="53"/>
      <c r="PEY75" s="53"/>
      <c r="PEZ75" s="53"/>
      <c r="PFA75" s="53"/>
      <c r="PFB75" s="53"/>
      <c r="PFC75" s="53"/>
      <c r="PFD75" s="53"/>
      <c r="PFE75" s="53"/>
      <c r="PFF75" s="53"/>
      <c r="PFG75" s="53"/>
      <c r="PFH75" s="53"/>
      <c r="PFI75" s="53"/>
      <c r="PFJ75" s="53"/>
      <c r="PFK75" s="53"/>
      <c r="PFL75" s="53"/>
      <c r="PFM75" s="53"/>
      <c r="PFN75" s="53"/>
      <c r="PFO75" s="53"/>
      <c r="PFP75" s="53"/>
      <c r="PFQ75" s="53"/>
      <c r="PFR75" s="53"/>
      <c r="PFS75" s="53"/>
      <c r="PFT75" s="53"/>
      <c r="PFU75" s="53"/>
      <c r="PFV75" s="53"/>
      <c r="PFW75" s="53"/>
      <c r="PFX75" s="53"/>
      <c r="PFY75" s="53"/>
      <c r="PFZ75" s="53"/>
      <c r="PGA75" s="53"/>
      <c r="PGB75" s="53"/>
      <c r="PGC75" s="53"/>
      <c r="PGD75" s="53"/>
      <c r="PGE75" s="53"/>
      <c r="PGF75" s="53"/>
      <c r="PGG75" s="53"/>
      <c r="PGH75" s="53"/>
      <c r="PGI75" s="53"/>
      <c r="PGJ75" s="53"/>
      <c r="PGK75" s="53"/>
      <c r="PGL75" s="53"/>
      <c r="PGM75" s="53"/>
      <c r="PGN75" s="53"/>
      <c r="PGO75" s="53"/>
      <c r="PGP75" s="53"/>
      <c r="PGQ75" s="53"/>
      <c r="PGR75" s="53"/>
      <c r="PGS75" s="53"/>
      <c r="PGT75" s="53"/>
      <c r="PGU75" s="53"/>
      <c r="PGV75" s="53"/>
      <c r="PGW75" s="53"/>
      <c r="PGX75" s="53"/>
      <c r="PGY75" s="53"/>
      <c r="PGZ75" s="53"/>
      <c r="PHA75" s="53"/>
      <c r="PHB75" s="53"/>
      <c r="PHC75" s="53"/>
      <c r="PHD75" s="53"/>
      <c r="PHE75" s="53"/>
      <c r="PHF75" s="53"/>
      <c r="PHG75" s="53"/>
      <c r="PHH75" s="53"/>
      <c r="PHI75" s="53"/>
      <c r="PHJ75" s="53"/>
      <c r="PHK75" s="53"/>
      <c r="PHL75" s="53"/>
      <c r="PHM75" s="53"/>
      <c r="PHN75" s="53"/>
      <c r="PHO75" s="53"/>
      <c r="PHP75" s="53"/>
      <c r="PHQ75" s="53"/>
      <c r="PHR75" s="53"/>
      <c r="PHS75" s="53"/>
      <c r="PHT75" s="53"/>
      <c r="PHU75" s="53"/>
      <c r="PHV75" s="53"/>
      <c r="PHW75" s="53"/>
      <c r="PHX75" s="53"/>
      <c r="PHY75" s="53"/>
      <c r="PHZ75" s="53"/>
      <c r="PIA75" s="53"/>
      <c r="PIB75" s="53"/>
      <c r="PIC75" s="53"/>
      <c r="PID75" s="53"/>
      <c r="PIE75" s="53"/>
      <c r="PIF75" s="53"/>
      <c r="PIG75" s="53"/>
      <c r="PIH75" s="53"/>
      <c r="PII75" s="53"/>
      <c r="PIJ75" s="53"/>
      <c r="PIK75" s="53"/>
      <c r="PIL75" s="53"/>
      <c r="PIM75" s="53"/>
      <c r="PIN75" s="53"/>
      <c r="PIO75" s="53"/>
      <c r="PIP75" s="53"/>
      <c r="PIQ75" s="53"/>
      <c r="PIR75" s="53"/>
      <c r="PIS75" s="53"/>
      <c r="PIT75" s="53"/>
      <c r="PIU75" s="53"/>
      <c r="PIV75" s="53"/>
      <c r="PIW75" s="53"/>
      <c r="PIX75" s="53"/>
      <c r="PIY75" s="53"/>
      <c r="PIZ75" s="53"/>
      <c r="PJA75" s="53"/>
      <c r="PJB75" s="53"/>
      <c r="PJC75" s="53"/>
      <c r="PJD75" s="53"/>
      <c r="PJE75" s="53"/>
      <c r="PJF75" s="53"/>
      <c r="PJG75" s="53"/>
      <c r="PJH75" s="53"/>
      <c r="PJI75" s="53"/>
      <c r="PJJ75" s="53"/>
      <c r="PJK75" s="53"/>
      <c r="PJL75" s="53"/>
      <c r="PJM75" s="53"/>
      <c r="PJN75" s="53"/>
      <c r="PJO75" s="53"/>
      <c r="PJP75" s="53"/>
      <c r="PJQ75" s="53"/>
      <c r="PJR75" s="53"/>
      <c r="PJS75" s="53"/>
      <c r="PJT75" s="53"/>
      <c r="PJU75" s="53"/>
      <c r="PJV75" s="53"/>
      <c r="PJW75" s="53"/>
      <c r="PJX75" s="53"/>
      <c r="PJY75" s="53"/>
      <c r="PJZ75" s="53"/>
      <c r="PKA75" s="53"/>
      <c r="PKB75" s="53"/>
      <c r="PKC75" s="53"/>
      <c r="PKD75" s="53"/>
      <c r="PKE75" s="53"/>
      <c r="PKF75" s="53"/>
      <c r="PKG75" s="53"/>
      <c r="PKH75" s="53"/>
      <c r="PKI75" s="53"/>
      <c r="PKJ75" s="53"/>
      <c r="PKK75" s="53"/>
      <c r="PKL75" s="53"/>
      <c r="PKM75" s="53"/>
      <c r="PKN75" s="53"/>
      <c r="PKO75" s="53"/>
      <c r="PKP75" s="53"/>
      <c r="PKQ75" s="53"/>
      <c r="PKR75" s="53"/>
      <c r="PKS75" s="53"/>
      <c r="PKT75" s="53"/>
      <c r="PKU75" s="53"/>
      <c r="PKV75" s="53"/>
      <c r="PKW75" s="53"/>
      <c r="PKX75" s="53"/>
      <c r="PKY75" s="53"/>
      <c r="PKZ75" s="53"/>
      <c r="PLA75" s="53"/>
      <c r="PLB75" s="53"/>
      <c r="PLC75" s="53"/>
      <c r="PLD75" s="53"/>
      <c r="PLE75" s="53"/>
      <c r="PLF75" s="53"/>
      <c r="PLG75" s="53"/>
      <c r="PLH75" s="53"/>
      <c r="PLI75" s="53"/>
      <c r="PLJ75" s="53"/>
      <c r="PLK75" s="53"/>
      <c r="PLL75" s="53"/>
      <c r="PLM75" s="53"/>
      <c r="PLN75" s="53"/>
      <c r="PLO75" s="53"/>
      <c r="PLP75" s="53"/>
      <c r="PLQ75" s="53"/>
      <c r="PLR75" s="53"/>
      <c r="PLS75" s="53"/>
      <c r="PLT75" s="53"/>
      <c r="PLU75" s="53"/>
      <c r="PLV75" s="53"/>
      <c r="PLW75" s="53"/>
      <c r="PLX75" s="53"/>
      <c r="PLY75" s="53"/>
      <c r="PLZ75" s="53"/>
      <c r="PMA75" s="53"/>
      <c r="PMB75" s="53"/>
      <c r="PMC75" s="53"/>
      <c r="PMD75" s="53"/>
      <c r="PME75" s="53"/>
      <c r="PMF75" s="53"/>
      <c r="PMG75" s="53"/>
      <c r="PMH75" s="53"/>
      <c r="PMI75" s="53"/>
      <c r="PMJ75" s="53"/>
      <c r="PMK75" s="53"/>
      <c r="PML75" s="53"/>
      <c r="PMM75" s="53"/>
      <c r="PMN75" s="53"/>
      <c r="PMO75" s="53"/>
      <c r="PMP75" s="53"/>
      <c r="PMQ75" s="53"/>
      <c r="PMR75" s="53"/>
      <c r="PMS75" s="53"/>
      <c r="PMT75" s="53"/>
      <c r="PMU75" s="53"/>
      <c r="PMV75" s="53"/>
      <c r="PMW75" s="53"/>
      <c r="PMX75" s="53"/>
      <c r="PMY75" s="53"/>
      <c r="PMZ75" s="53"/>
      <c r="PNA75" s="53"/>
      <c r="PNB75" s="53"/>
      <c r="PNC75" s="53"/>
      <c r="PND75" s="53"/>
      <c r="PNE75" s="53"/>
      <c r="PNF75" s="53"/>
      <c r="PNG75" s="53"/>
      <c r="PNH75" s="53"/>
      <c r="PNI75" s="53"/>
      <c r="PNJ75" s="53"/>
      <c r="PNK75" s="53"/>
      <c r="PNL75" s="53"/>
      <c r="PNM75" s="53"/>
      <c r="PNN75" s="53"/>
      <c r="PNO75" s="53"/>
      <c r="PNP75" s="53"/>
      <c r="PNQ75" s="53"/>
      <c r="PNR75" s="53"/>
      <c r="PNS75" s="53"/>
      <c r="PNT75" s="53"/>
      <c r="PNU75" s="53"/>
      <c r="PNV75" s="53"/>
      <c r="PNW75" s="53"/>
      <c r="PNX75" s="53"/>
      <c r="PNY75" s="53"/>
      <c r="PNZ75" s="53"/>
      <c r="POA75" s="53"/>
      <c r="POB75" s="53"/>
      <c r="POC75" s="53"/>
      <c r="POD75" s="53"/>
      <c r="POE75" s="53"/>
      <c r="POF75" s="53"/>
      <c r="POG75" s="53"/>
      <c r="POH75" s="53"/>
      <c r="POI75" s="53"/>
      <c r="POJ75" s="53"/>
      <c r="POK75" s="53"/>
      <c r="POL75" s="53"/>
      <c r="POM75" s="53"/>
      <c r="PON75" s="53"/>
      <c r="POO75" s="53"/>
      <c r="POP75" s="53"/>
      <c r="POQ75" s="53"/>
      <c r="POR75" s="53"/>
      <c r="POS75" s="53"/>
      <c r="POT75" s="53"/>
      <c r="POU75" s="53"/>
      <c r="POV75" s="53"/>
      <c r="POW75" s="53"/>
      <c r="POX75" s="53"/>
      <c r="POY75" s="53"/>
      <c r="POZ75" s="53"/>
      <c r="PPA75" s="53"/>
      <c r="PPB75" s="53"/>
      <c r="PPC75" s="53"/>
      <c r="PPD75" s="53"/>
      <c r="PPE75" s="53"/>
      <c r="PPF75" s="53"/>
      <c r="PPG75" s="53"/>
      <c r="PPH75" s="53"/>
      <c r="PPI75" s="53"/>
      <c r="PPJ75" s="53"/>
      <c r="PPK75" s="53"/>
      <c r="PPL75" s="53"/>
      <c r="PPM75" s="53"/>
      <c r="PPN75" s="53"/>
      <c r="PPO75" s="53"/>
      <c r="PPP75" s="53"/>
      <c r="PPQ75" s="53"/>
      <c r="PPR75" s="53"/>
      <c r="PPS75" s="53"/>
      <c r="PPT75" s="53"/>
      <c r="PPU75" s="53"/>
      <c r="PPV75" s="53"/>
      <c r="PPW75" s="53"/>
      <c r="PPX75" s="53"/>
      <c r="PPY75" s="53"/>
      <c r="PPZ75" s="53"/>
      <c r="PQA75" s="53"/>
      <c r="PQB75" s="53"/>
      <c r="PQC75" s="53"/>
      <c r="PQD75" s="53"/>
      <c r="PQE75" s="53"/>
      <c r="PQF75" s="53"/>
      <c r="PQG75" s="53"/>
      <c r="PQH75" s="53"/>
      <c r="PQI75" s="53"/>
      <c r="PQJ75" s="53"/>
      <c r="PQK75" s="53"/>
      <c r="PQL75" s="53"/>
      <c r="PQM75" s="53"/>
      <c r="PQN75" s="53"/>
      <c r="PQO75" s="53"/>
      <c r="PQP75" s="53"/>
      <c r="PQQ75" s="53"/>
      <c r="PQR75" s="53"/>
      <c r="PQS75" s="53"/>
      <c r="PQT75" s="53"/>
      <c r="PQU75" s="53"/>
      <c r="PQV75" s="53"/>
      <c r="PQW75" s="53"/>
      <c r="PQX75" s="53"/>
      <c r="PQY75" s="53"/>
      <c r="PQZ75" s="53"/>
      <c r="PRA75" s="53"/>
      <c r="PRB75" s="53"/>
      <c r="PRC75" s="53"/>
      <c r="PRD75" s="53"/>
      <c r="PRE75" s="53"/>
      <c r="PRF75" s="53"/>
      <c r="PRG75" s="53"/>
      <c r="PRH75" s="53"/>
      <c r="PRI75" s="53"/>
      <c r="PRJ75" s="53"/>
      <c r="PRK75" s="53"/>
      <c r="PRL75" s="53"/>
      <c r="PRM75" s="53"/>
      <c r="PRN75" s="53"/>
      <c r="PRO75" s="53"/>
      <c r="PRP75" s="53"/>
      <c r="PRQ75" s="53"/>
      <c r="PRR75" s="53"/>
      <c r="PRS75" s="53"/>
      <c r="PRT75" s="53"/>
      <c r="PRU75" s="53"/>
      <c r="PRV75" s="53"/>
      <c r="PRW75" s="53"/>
      <c r="PRX75" s="53"/>
      <c r="PRY75" s="53"/>
      <c r="PRZ75" s="53"/>
      <c r="PSA75" s="53"/>
      <c r="PSB75" s="53"/>
      <c r="PSC75" s="53"/>
      <c r="PSD75" s="53"/>
      <c r="PSE75" s="53"/>
      <c r="PSF75" s="53"/>
      <c r="PSG75" s="53"/>
      <c r="PSH75" s="53"/>
      <c r="PSI75" s="53"/>
      <c r="PSJ75" s="53"/>
      <c r="PSK75" s="53"/>
      <c r="PSL75" s="53"/>
      <c r="PSM75" s="53"/>
      <c r="PSN75" s="53"/>
      <c r="PSO75" s="53"/>
      <c r="PSP75" s="53"/>
      <c r="PSQ75" s="53"/>
      <c r="PSR75" s="53"/>
      <c r="PSS75" s="53"/>
      <c r="PST75" s="53"/>
      <c r="PSU75" s="53"/>
      <c r="PSV75" s="53"/>
      <c r="PSW75" s="53"/>
      <c r="PSX75" s="53"/>
      <c r="PSY75" s="53"/>
      <c r="PSZ75" s="53"/>
      <c r="PTA75" s="53"/>
      <c r="PTB75" s="53"/>
      <c r="PTC75" s="53"/>
      <c r="PTD75" s="53"/>
      <c r="PTE75" s="53"/>
      <c r="PTF75" s="53"/>
      <c r="PTG75" s="53"/>
      <c r="PTH75" s="53"/>
      <c r="PTI75" s="53"/>
      <c r="PTJ75" s="53"/>
      <c r="PTK75" s="53"/>
      <c r="PTL75" s="53"/>
      <c r="PTM75" s="53"/>
      <c r="PTN75" s="53"/>
      <c r="PTO75" s="53"/>
      <c r="PTP75" s="53"/>
      <c r="PTQ75" s="53"/>
      <c r="PTR75" s="53"/>
      <c r="PTS75" s="53"/>
      <c r="PTT75" s="53"/>
      <c r="PTU75" s="53"/>
      <c r="PTV75" s="53"/>
      <c r="PTW75" s="53"/>
      <c r="PTX75" s="53"/>
      <c r="PTY75" s="53"/>
      <c r="PTZ75" s="53"/>
      <c r="PUA75" s="53"/>
      <c r="PUB75" s="53"/>
      <c r="PUC75" s="53"/>
      <c r="PUD75" s="53"/>
      <c r="PUE75" s="53"/>
      <c r="PUF75" s="53"/>
      <c r="PUG75" s="53"/>
      <c r="PUH75" s="53"/>
      <c r="PUI75" s="53"/>
      <c r="PUJ75" s="53"/>
      <c r="PUK75" s="53"/>
      <c r="PUL75" s="53"/>
      <c r="PUM75" s="53"/>
      <c r="PUN75" s="53"/>
      <c r="PUO75" s="53"/>
      <c r="PUP75" s="53"/>
      <c r="PUQ75" s="53"/>
      <c r="PUR75" s="53"/>
      <c r="PUS75" s="53"/>
      <c r="PUT75" s="53"/>
      <c r="PUU75" s="53"/>
      <c r="PUV75" s="53"/>
      <c r="PUW75" s="53"/>
      <c r="PUX75" s="53"/>
      <c r="PUY75" s="53"/>
      <c r="PUZ75" s="53"/>
      <c r="PVA75" s="53"/>
      <c r="PVB75" s="53"/>
      <c r="PVC75" s="53"/>
      <c r="PVD75" s="53"/>
      <c r="PVE75" s="53"/>
      <c r="PVF75" s="53"/>
      <c r="PVG75" s="53"/>
      <c r="PVH75" s="53"/>
      <c r="PVI75" s="53"/>
      <c r="PVJ75" s="53"/>
      <c r="PVK75" s="53"/>
      <c r="PVL75" s="53"/>
      <c r="PVM75" s="53"/>
      <c r="PVN75" s="53"/>
      <c r="PVO75" s="53"/>
      <c r="PVP75" s="53"/>
      <c r="PVQ75" s="53"/>
      <c r="PVR75" s="53"/>
      <c r="PVS75" s="53"/>
      <c r="PVT75" s="53"/>
      <c r="PVU75" s="53"/>
      <c r="PVV75" s="53"/>
      <c r="PVW75" s="53"/>
      <c r="PVX75" s="53"/>
      <c r="PVY75" s="53"/>
      <c r="PVZ75" s="53"/>
      <c r="PWA75" s="53"/>
      <c r="PWB75" s="53"/>
      <c r="PWC75" s="53"/>
      <c r="PWD75" s="53"/>
      <c r="PWE75" s="53"/>
      <c r="PWF75" s="53"/>
      <c r="PWG75" s="53"/>
      <c r="PWH75" s="53"/>
      <c r="PWI75" s="53"/>
      <c r="PWJ75" s="53"/>
      <c r="PWK75" s="53"/>
      <c r="PWL75" s="53"/>
      <c r="PWM75" s="53"/>
      <c r="PWN75" s="53"/>
      <c r="PWO75" s="53"/>
      <c r="PWP75" s="53"/>
      <c r="PWQ75" s="53"/>
      <c r="PWR75" s="53"/>
      <c r="PWS75" s="53"/>
      <c r="PWT75" s="53"/>
      <c r="PWU75" s="53"/>
      <c r="PWV75" s="53"/>
      <c r="PWW75" s="53"/>
      <c r="PWX75" s="53"/>
      <c r="PWY75" s="53"/>
      <c r="PWZ75" s="53"/>
      <c r="PXA75" s="53"/>
      <c r="PXB75" s="53"/>
      <c r="PXC75" s="53"/>
      <c r="PXD75" s="53"/>
      <c r="PXE75" s="53"/>
      <c r="PXF75" s="53"/>
      <c r="PXG75" s="53"/>
      <c r="PXH75" s="53"/>
      <c r="PXI75" s="53"/>
      <c r="PXJ75" s="53"/>
      <c r="PXK75" s="53"/>
      <c r="PXL75" s="53"/>
      <c r="PXM75" s="53"/>
      <c r="PXN75" s="53"/>
      <c r="PXO75" s="53"/>
      <c r="PXP75" s="53"/>
      <c r="PXQ75" s="53"/>
      <c r="PXR75" s="53"/>
      <c r="PXS75" s="53"/>
      <c r="PXT75" s="53"/>
      <c r="PXU75" s="53"/>
      <c r="PXV75" s="53"/>
      <c r="PXW75" s="53"/>
      <c r="PXX75" s="53"/>
      <c r="PXY75" s="53"/>
      <c r="PXZ75" s="53"/>
      <c r="PYA75" s="53"/>
      <c r="PYB75" s="53"/>
      <c r="PYC75" s="53"/>
      <c r="PYD75" s="53"/>
      <c r="PYE75" s="53"/>
      <c r="PYF75" s="53"/>
      <c r="PYG75" s="53"/>
      <c r="PYH75" s="53"/>
      <c r="PYI75" s="53"/>
      <c r="PYJ75" s="53"/>
      <c r="PYK75" s="53"/>
      <c r="PYL75" s="53"/>
      <c r="PYM75" s="53"/>
      <c r="PYN75" s="53"/>
      <c r="PYO75" s="53"/>
      <c r="PYP75" s="53"/>
      <c r="PYQ75" s="53"/>
      <c r="PYR75" s="53"/>
      <c r="PYS75" s="53"/>
      <c r="PYT75" s="53"/>
      <c r="PYU75" s="53"/>
      <c r="PYV75" s="53"/>
      <c r="PYW75" s="53"/>
      <c r="PYX75" s="53"/>
      <c r="PYY75" s="53"/>
      <c r="PYZ75" s="53"/>
      <c r="PZA75" s="53"/>
      <c r="PZB75" s="53"/>
      <c r="PZC75" s="53"/>
      <c r="PZD75" s="53"/>
      <c r="PZE75" s="53"/>
      <c r="PZF75" s="53"/>
      <c r="PZG75" s="53"/>
      <c r="PZH75" s="53"/>
      <c r="PZI75" s="53"/>
      <c r="PZJ75" s="53"/>
      <c r="PZK75" s="53"/>
      <c r="PZL75" s="53"/>
      <c r="PZM75" s="53"/>
      <c r="PZN75" s="53"/>
      <c r="PZO75" s="53"/>
      <c r="PZP75" s="53"/>
      <c r="PZQ75" s="53"/>
      <c r="PZR75" s="53"/>
      <c r="PZS75" s="53"/>
      <c r="PZT75" s="53"/>
      <c r="PZU75" s="53"/>
      <c r="PZV75" s="53"/>
      <c r="PZW75" s="53"/>
      <c r="PZX75" s="53"/>
      <c r="PZY75" s="53"/>
      <c r="PZZ75" s="53"/>
      <c r="QAA75" s="53"/>
      <c r="QAB75" s="53"/>
      <c r="QAC75" s="53"/>
      <c r="QAD75" s="53"/>
      <c r="QAE75" s="53"/>
      <c r="QAF75" s="53"/>
      <c r="QAG75" s="53"/>
      <c r="QAH75" s="53"/>
      <c r="QAI75" s="53"/>
      <c r="QAJ75" s="53"/>
      <c r="QAK75" s="53"/>
      <c r="QAL75" s="53"/>
      <c r="QAM75" s="53"/>
      <c r="QAN75" s="53"/>
      <c r="QAO75" s="53"/>
      <c r="QAP75" s="53"/>
      <c r="QAQ75" s="53"/>
      <c r="QAR75" s="53"/>
      <c r="QAS75" s="53"/>
      <c r="QAT75" s="53"/>
      <c r="QAU75" s="53"/>
      <c r="QAV75" s="53"/>
      <c r="QAW75" s="53"/>
      <c r="QAX75" s="53"/>
      <c r="QAY75" s="53"/>
      <c r="QAZ75" s="53"/>
      <c r="QBA75" s="53"/>
      <c r="QBB75" s="53"/>
      <c r="QBC75" s="53"/>
      <c r="QBD75" s="53"/>
      <c r="QBE75" s="53"/>
      <c r="QBF75" s="53"/>
      <c r="QBG75" s="53"/>
      <c r="QBH75" s="53"/>
      <c r="QBI75" s="53"/>
      <c r="QBJ75" s="53"/>
      <c r="QBK75" s="53"/>
      <c r="QBL75" s="53"/>
      <c r="QBM75" s="53"/>
      <c r="QBN75" s="53"/>
      <c r="QBO75" s="53"/>
      <c r="QBP75" s="53"/>
      <c r="QBQ75" s="53"/>
      <c r="QBR75" s="53"/>
      <c r="QBS75" s="53"/>
      <c r="QBT75" s="53"/>
      <c r="QBU75" s="53"/>
      <c r="QBV75" s="53"/>
      <c r="QBW75" s="53"/>
      <c r="QBX75" s="53"/>
      <c r="QBY75" s="53"/>
      <c r="QBZ75" s="53"/>
      <c r="QCA75" s="53"/>
      <c r="QCB75" s="53"/>
      <c r="QCC75" s="53"/>
      <c r="QCD75" s="53"/>
      <c r="QCE75" s="53"/>
      <c r="QCF75" s="53"/>
      <c r="QCG75" s="53"/>
      <c r="QCH75" s="53"/>
      <c r="QCI75" s="53"/>
      <c r="QCJ75" s="53"/>
      <c r="QCK75" s="53"/>
      <c r="QCL75" s="53"/>
      <c r="QCM75" s="53"/>
      <c r="QCN75" s="53"/>
      <c r="QCO75" s="53"/>
      <c r="QCP75" s="53"/>
      <c r="QCQ75" s="53"/>
      <c r="QCR75" s="53"/>
      <c r="QCS75" s="53"/>
      <c r="QCT75" s="53"/>
      <c r="QCU75" s="53"/>
      <c r="QCV75" s="53"/>
      <c r="QCW75" s="53"/>
      <c r="QCX75" s="53"/>
      <c r="QCY75" s="53"/>
      <c r="QCZ75" s="53"/>
      <c r="QDA75" s="53"/>
      <c r="QDB75" s="53"/>
      <c r="QDC75" s="53"/>
      <c r="QDD75" s="53"/>
      <c r="QDE75" s="53"/>
      <c r="QDF75" s="53"/>
      <c r="QDG75" s="53"/>
      <c r="QDH75" s="53"/>
      <c r="QDI75" s="53"/>
      <c r="QDJ75" s="53"/>
      <c r="QDK75" s="53"/>
      <c r="QDL75" s="53"/>
      <c r="QDM75" s="53"/>
      <c r="QDN75" s="53"/>
      <c r="QDO75" s="53"/>
      <c r="QDP75" s="53"/>
      <c r="QDQ75" s="53"/>
      <c r="QDR75" s="53"/>
      <c r="QDS75" s="53"/>
      <c r="QDT75" s="53"/>
      <c r="QDU75" s="53"/>
      <c r="QDV75" s="53"/>
      <c r="QDW75" s="53"/>
      <c r="QDX75" s="53"/>
      <c r="QDY75" s="53"/>
      <c r="QDZ75" s="53"/>
      <c r="QEA75" s="53"/>
      <c r="QEB75" s="53"/>
      <c r="QEC75" s="53"/>
      <c r="QED75" s="53"/>
      <c r="QEE75" s="53"/>
      <c r="QEF75" s="53"/>
      <c r="QEG75" s="53"/>
      <c r="QEH75" s="53"/>
      <c r="QEI75" s="53"/>
      <c r="QEJ75" s="53"/>
      <c r="QEK75" s="53"/>
      <c r="QEL75" s="53"/>
      <c r="QEM75" s="53"/>
      <c r="QEN75" s="53"/>
      <c r="QEO75" s="53"/>
      <c r="QEP75" s="53"/>
      <c r="QEQ75" s="53"/>
      <c r="QER75" s="53"/>
      <c r="QES75" s="53"/>
      <c r="QET75" s="53"/>
      <c r="QEU75" s="53"/>
      <c r="QEV75" s="53"/>
      <c r="QEW75" s="53"/>
      <c r="QEX75" s="53"/>
      <c r="QEY75" s="53"/>
      <c r="QEZ75" s="53"/>
      <c r="QFA75" s="53"/>
      <c r="QFB75" s="53"/>
      <c r="QFC75" s="53"/>
      <c r="QFD75" s="53"/>
      <c r="QFE75" s="53"/>
      <c r="QFF75" s="53"/>
      <c r="QFG75" s="53"/>
      <c r="QFH75" s="53"/>
      <c r="QFI75" s="53"/>
      <c r="QFJ75" s="53"/>
      <c r="QFK75" s="53"/>
      <c r="QFL75" s="53"/>
      <c r="QFM75" s="53"/>
      <c r="QFN75" s="53"/>
      <c r="QFO75" s="53"/>
      <c r="QFP75" s="53"/>
      <c r="QFQ75" s="53"/>
      <c r="QFR75" s="53"/>
      <c r="QFS75" s="53"/>
      <c r="QFT75" s="53"/>
      <c r="QFU75" s="53"/>
      <c r="QFV75" s="53"/>
      <c r="QFW75" s="53"/>
      <c r="QFX75" s="53"/>
      <c r="QFY75" s="53"/>
      <c r="QFZ75" s="53"/>
      <c r="QGA75" s="53"/>
      <c r="QGB75" s="53"/>
      <c r="QGC75" s="53"/>
      <c r="QGD75" s="53"/>
      <c r="QGE75" s="53"/>
      <c r="QGF75" s="53"/>
      <c r="QGG75" s="53"/>
      <c r="QGH75" s="53"/>
      <c r="QGI75" s="53"/>
      <c r="QGJ75" s="53"/>
      <c r="QGK75" s="53"/>
      <c r="QGL75" s="53"/>
      <c r="QGM75" s="53"/>
      <c r="QGN75" s="53"/>
      <c r="QGO75" s="53"/>
      <c r="QGP75" s="53"/>
      <c r="QGQ75" s="53"/>
      <c r="QGR75" s="53"/>
      <c r="QGS75" s="53"/>
      <c r="QGT75" s="53"/>
      <c r="QGU75" s="53"/>
      <c r="QGV75" s="53"/>
      <c r="QGW75" s="53"/>
      <c r="QGX75" s="53"/>
      <c r="QGY75" s="53"/>
      <c r="QGZ75" s="53"/>
      <c r="QHA75" s="53"/>
      <c r="QHB75" s="53"/>
      <c r="QHC75" s="53"/>
      <c r="QHD75" s="53"/>
      <c r="QHE75" s="53"/>
      <c r="QHF75" s="53"/>
      <c r="QHG75" s="53"/>
      <c r="QHH75" s="53"/>
      <c r="QHI75" s="53"/>
      <c r="QHJ75" s="53"/>
      <c r="QHK75" s="53"/>
      <c r="QHL75" s="53"/>
      <c r="QHM75" s="53"/>
      <c r="QHN75" s="53"/>
      <c r="QHO75" s="53"/>
      <c r="QHP75" s="53"/>
      <c r="QHQ75" s="53"/>
      <c r="QHR75" s="53"/>
      <c r="QHS75" s="53"/>
      <c r="QHT75" s="53"/>
      <c r="QHU75" s="53"/>
      <c r="QHV75" s="53"/>
      <c r="QHW75" s="53"/>
      <c r="QHX75" s="53"/>
      <c r="QHY75" s="53"/>
      <c r="QHZ75" s="53"/>
      <c r="QIA75" s="53"/>
      <c r="QIB75" s="53"/>
      <c r="QIC75" s="53"/>
      <c r="QID75" s="53"/>
      <c r="QIE75" s="53"/>
      <c r="QIF75" s="53"/>
      <c r="QIG75" s="53"/>
      <c r="QIH75" s="53"/>
      <c r="QII75" s="53"/>
      <c r="QIJ75" s="53"/>
      <c r="QIK75" s="53"/>
      <c r="QIL75" s="53"/>
      <c r="QIM75" s="53"/>
      <c r="QIN75" s="53"/>
      <c r="QIO75" s="53"/>
      <c r="QIP75" s="53"/>
      <c r="QIQ75" s="53"/>
      <c r="QIR75" s="53"/>
      <c r="QIS75" s="53"/>
      <c r="QIT75" s="53"/>
      <c r="QIU75" s="53"/>
      <c r="QIV75" s="53"/>
      <c r="QIW75" s="53"/>
      <c r="QIX75" s="53"/>
      <c r="QIY75" s="53"/>
      <c r="QIZ75" s="53"/>
      <c r="QJA75" s="53"/>
      <c r="QJB75" s="53"/>
      <c r="QJC75" s="53"/>
      <c r="QJD75" s="53"/>
      <c r="QJE75" s="53"/>
      <c r="QJF75" s="53"/>
      <c r="QJG75" s="53"/>
      <c r="QJH75" s="53"/>
      <c r="QJI75" s="53"/>
      <c r="QJJ75" s="53"/>
      <c r="QJK75" s="53"/>
      <c r="QJL75" s="53"/>
      <c r="QJM75" s="53"/>
      <c r="QJN75" s="53"/>
      <c r="QJO75" s="53"/>
      <c r="QJP75" s="53"/>
      <c r="QJQ75" s="53"/>
      <c r="QJR75" s="53"/>
      <c r="QJS75" s="53"/>
      <c r="QJT75" s="53"/>
      <c r="QJU75" s="53"/>
      <c r="QJV75" s="53"/>
      <c r="QJW75" s="53"/>
      <c r="QJX75" s="53"/>
      <c r="QJY75" s="53"/>
      <c r="QJZ75" s="53"/>
      <c r="QKA75" s="53"/>
      <c r="QKB75" s="53"/>
      <c r="QKC75" s="53"/>
      <c r="QKD75" s="53"/>
      <c r="QKE75" s="53"/>
      <c r="QKF75" s="53"/>
      <c r="QKG75" s="53"/>
      <c r="QKH75" s="53"/>
      <c r="QKI75" s="53"/>
      <c r="QKJ75" s="53"/>
      <c r="QKK75" s="53"/>
      <c r="QKL75" s="53"/>
      <c r="QKM75" s="53"/>
      <c r="QKN75" s="53"/>
      <c r="QKO75" s="53"/>
      <c r="QKP75" s="53"/>
      <c r="QKQ75" s="53"/>
      <c r="QKR75" s="53"/>
      <c r="QKS75" s="53"/>
      <c r="QKT75" s="53"/>
      <c r="QKU75" s="53"/>
      <c r="QKV75" s="53"/>
      <c r="QKW75" s="53"/>
      <c r="QKX75" s="53"/>
      <c r="QKY75" s="53"/>
      <c r="QKZ75" s="53"/>
      <c r="QLA75" s="53"/>
      <c r="QLB75" s="53"/>
      <c r="QLC75" s="53"/>
      <c r="QLD75" s="53"/>
      <c r="QLE75" s="53"/>
      <c r="QLF75" s="53"/>
      <c r="QLG75" s="53"/>
      <c r="QLH75" s="53"/>
      <c r="QLI75" s="53"/>
      <c r="QLJ75" s="53"/>
      <c r="QLK75" s="53"/>
      <c r="QLL75" s="53"/>
      <c r="QLM75" s="53"/>
      <c r="QLN75" s="53"/>
      <c r="QLO75" s="53"/>
      <c r="QLP75" s="53"/>
      <c r="QLQ75" s="53"/>
      <c r="QLR75" s="53"/>
      <c r="QLS75" s="53"/>
      <c r="QLT75" s="53"/>
      <c r="QLU75" s="53"/>
      <c r="QLV75" s="53"/>
      <c r="QLW75" s="53"/>
      <c r="QLX75" s="53"/>
      <c r="QLY75" s="53"/>
      <c r="QLZ75" s="53"/>
      <c r="QMA75" s="53"/>
      <c r="QMB75" s="53"/>
      <c r="QMC75" s="53"/>
      <c r="QMD75" s="53"/>
      <c r="QME75" s="53"/>
      <c r="QMF75" s="53"/>
      <c r="QMG75" s="53"/>
      <c r="QMH75" s="53"/>
      <c r="QMI75" s="53"/>
      <c r="QMJ75" s="53"/>
      <c r="QMK75" s="53"/>
      <c r="QML75" s="53"/>
      <c r="QMM75" s="53"/>
      <c r="QMN75" s="53"/>
      <c r="QMO75" s="53"/>
      <c r="QMP75" s="53"/>
      <c r="QMQ75" s="53"/>
      <c r="QMR75" s="53"/>
      <c r="QMS75" s="53"/>
      <c r="QMT75" s="53"/>
      <c r="QMU75" s="53"/>
      <c r="QMV75" s="53"/>
      <c r="QMW75" s="53"/>
      <c r="QMX75" s="53"/>
      <c r="QMY75" s="53"/>
      <c r="QMZ75" s="53"/>
      <c r="QNA75" s="53"/>
      <c r="QNB75" s="53"/>
      <c r="QNC75" s="53"/>
      <c r="QND75" s="53"/>
      <c r="QNE75" s="53"/>
      <c r="QNF75" s="53"/>
      <c r="QNG75" s="53"/>
      <c r="QNH75" s="53"/>
      <c r="QNI75" s="53"/>
      <c r="QNJ75" s="53"/>
      <c r="QNK75" s="53"/>
      <c r="QNL75" s="53"/>
      <c r="QNM75" s="53"/>
      <c r="QNN75" s="53"/>
      <c r="QNO75" s="53"/>
      <c r="QNP75" s="53"/>
      <c r="QNQ75" s="53"/>
      <c r="QNR75" s="53"/>
      <c r="QNS75" s="53"/>
      <c r="QNT75" s="53"/>
      <c r="QNU75" s="53"/>
      <c r="QNV75" s="53"/>
      <c r="QNW75" s="53"/>
      <c r="QNX75" s="53"/>
      <c r="QNY75" s="53"/>
      <c r="QNZ75" s="53"/>
      <c r="QOA75" s="53"/>
      <c r="QOB75" s="53"/>
      <c r="QOC75" s="53"/>
      <c r="QOD75" s="53"/>
      <c r="QOE75" s="53"/>
      <c r="QOF75" s="53"/>
      <c r="QOG75" s="53"/>
      <c r="QOH75" s="53"/>
      <c r="QOI75" s="53"/>
      <c r="QOJ75" s="53"/>
      <c r="QOK75" s="53"/>
      <c r="QOL75" s="53"/>
      <c r="QOM75" s="53"/>
      <c r="QON75" s="53"/>
      <c r="QOO75" s="53"/>
      <c r="QOP75" s="53"/>
      <c r="QOQ75" s="53"/>
      <c r="QOR75" s="53"/>
      <c r="QOS75" s="53"/>
      <c r="QOT75" s="53"/>
      <c r="QOU75" s="53"/>
      <c r="QOV75" s="53"/>
      <c r="QOW75" s="53"/>
      <c r="QOX75" s="53"/>
      <c r="QOY75" s="53"/>
      <c r="QOZ75" s="53"/>
      <c r="QPA75" s="53"/>
      <c r="QPB75" s="53"/>
      <c r="QPC75" s="53"/>
      <c r="QPD75" s="53"/>
      <c r="QPE75" s="53"/>
      <c r="QPF75" s="53"/>
      <c r="QPG75" s="53"/>
      <c r="QPH75" s="53"/>
      <c r="QPI75" s="53"/>
      <c r="QPJ75" s="53"/>
      <c r="QPK75" s="53"/>
      <c r="QPL75" s="53"/>
      <c r="QPM75" s="53"/>
      <c r="QPN75" s="53"/>
      <c r="QPO75" s="53"/>
      <c r="QPP75" s="53"/>
      <c r="QPQ75" s="53"/>
      <c r="QPR75" s="53"/>
      <c r="QPS75" s="53"/>
      <c r="QPT75" s="53"/>
      <c r="QPU75" s="53"/>
      <c r="QPV75" s="53"/>
      <c r="QPW75" s="53"/>
      <c r="QPX75" s="53"/>
      <c r="QPY75" s="53"/>
      <c r="QPZ75" s="53"/>
      <c r="QQA75" s="53"/>
      <c r="QQB75" s="53"/>
      <c r="QQC75" s="53"/>
      <c r="QQD75" s="53"/>
      <c r="QQE75" s="53"/>
      <c r="QQF75" s="53"/>
      <c r="QQG75" s="53"/>
      <c r="QQH75" s="53"/>
      <c r="QQI75" s="53"/>
      <c r="QQJ75" s="53"/>
      <c r="QQK75" s="53"/>
      <c r="QQL75" s="53"/>
      <c r="QQM75" s="53"/>
      <c r="QQN75" s="53"/>
      <c r="QQO75" s="53"/>
      <c r="QQP75" s="53"/>
      <c r="QQQ75" s="53"/>
      <c r="QQR75" s="53"/>
      <c r="QQS75" s="53"/>
      <c r="QQT75" s="53"/>
      <c r="QQU75" s="53"/>
      <c r="QQV75" s="53"/>
      <c r="QQW75" s="53"/>
      <c r="QQX75" s="53"/>
      <c r="QQY75" s="53"/>
      <c r="QQZ75" s="53"/>
      <c r="QRA75" s="53"/>
      <c r="QRB75" s="53"/>
      <c r="QRC75" s="53"/>
      <c r="QRD75" s="53"/>
      <c r="QRE75" s="53"/>
      <c r="QRF75" s="53"/>
      <c r="QRG75" s="53"/>
      <c r="QRH75" s="53"/>
      <c r="QRI75" s="53"/>
      <c r="QRJ75" s="53"/>
      <c r="QRK75" s="53"/>
      <c r="QRL75" s="53"/>
      <c r="QRM75" s="53"/>
      <c r="QRN75" s="53"/>
      <c r="QRO75" s="53"/>
      <c r="QRP75" s="53"/>
      <c r="QRQ75" s="53"/>
      <c r="QRR75" s="53"/>
      <c r="QRS75" s="53"/>
      <c r="QRT75" s="53"/>
      <c r="QRU75" s="53"/>
      <c r="QRV75" s="53"/>
      <c r="QRW75" s="53"/>
      <c r="QRX75" s="53"/>
      <c r="QRY75" s="53"/>
      <c r="QRZ75" s="53"/>
      <c r="QSA75" s="53"/>
      <c r="QSB75" s="53"/>
      <c r="QSC75" s="53"/>
      <c r="QSD75" s="53"/>
      <c r="QSE75" s="53"/>
      <c r="QSF75" s="53"/>
      <c r="QSG75" s="53"/>
      <c r="QSH75" s="53"/>
      <c r="QSI75" s="53"/>
      <c r="QSJ75" s="53"/>
      <c r="QSK75" s="53"/>
      <c r="QSL75" s="53"/>
      <c r="QSM75" s="53"/>
      <c r="QSN75" s="53"/>
      <c r="QSO75" s="53"/>
      <c r="QSP75" s="53"/>
      <c r="QSQ75" s="53"/>
      <c r="QSR75" s="53"/>
      <c r="QSS75" s="53"/>
      <c r="QST75" s="53"/>
      <c r="QSU75" s="53"/>
      <c r="QSV75" s="53"/>
      <c r="QSW75" s="53"/>
      <c r="QSX75" s="53"/>
      <c r="QSY75" s="53"/>
      <c r="QSZ75" s="53"/>
      <c r="QTA75" s="53"/>
      <c r="QTB75" s="53"/>
      <c r="QTC75" s="53"/>
      <c r="QTD75" s="53"/>
      <c r="QTE75" s="53"/>
      <c r="QTF75" s="53"/>
      <c r="QTG75" s="53"/>
      <c r="QTH75" s="53"/>
      <c r="QTI75" s="53"/>
      <c r="QTJ75" s="53"/>
      <c r="QTK75" s="53"/>
      <c r="QTL75" s="53"/>
      <c r="QTM75" s="53"/>
      <c r="QTN75" s="53"/>
      <c r="QTO75" s="53"/>
      <c r="QTP75" s="53"/>
      <c r="QTQ75" s="53"/>
      <c r="QTR75" s="53"/>
      <c r="QTS75" s="53"/>
      <c r="QTT75" s="53"/>
      <c r="QTU75" s="53"/>
      <c r="QTV75" s="53"/>
      <c r="QTW75" s="53"/>
      <c r="QTX75" s="53"/>
      <c r="QTY75" s="53"/>
      <c r="QTZ75" s="53"/>
      <c r="QUA75" s="53"/>
      <c r="QUB75" s="53"/>
      <c r="QUC75" s="53"/>
      <c r="QUD75" s="53"/>
      <c r="QUE75" s="53"/>
      <c r="QUF75" s="53"/>
      <c r="QUG75" s="53"/>
      <c r="QUH75" s="53"/>
      <c r="QUI75" s="53"/>
      <c r="QUJ75" s="53"/>
      <c r="QUK75" s="53"/>
      <c r="QUL75" s="53"/>
      <c r="QUM75" s="53"/>
      <c r="QUN75" s="53"/>
      <c r="QUO75" s="53"/>
      <c r="QUP75" s="53"/>
      <c r="QUQ75" s="53"/>
      <c r="QUR75" s="53"/>
      <c r="QUS75" s="53"/>
      <c r="QUT75" s="53"/>
      <c r="QUU75" s="53"/>
      <c r="QUV75" s="53"/>
      <c r="QUW75" s="53"/>
      <c r="QUX75" s="53"/>
      <c r="QUY75" s="53"/>
      <c r="QUZ75" s="53"/>
      <c r="QVA75" s="53"/>
      <c r="QVB75" s="53"/>
      <c r="QVC75" s="53"/>
      <c r="QVD75" s="53"/>
      <c r="QVE75" s="53"/>
      <c r="QVF75" s="53"/>
      <c r="QVG75" s="53"/>
      <c r="QVH75" s="53"/>
      <c r="QVI75" s="53"/>
      <c r="QVJ75" s="53"/>
      <c r="QVK75" s="53"/>
      <c r="QVL75" s="53"/>
      <c r="QVM75" s="53"/>
      <c r="QVN75" s="53"/>
      <c r="QVO75" s="53"/>
      <c r="QVP75" s="53"/>
      <c r="QVQ75" s="53"/>
      <c r="QVR75" s="53"/>
      <c r="QVS75" s="53"/>
      <c r="QVT75" s="53"/>
      <c r="QVU75" s="53"/>
      <c r="QVV75" s="53"/>
      <c r="QVW75" s="53"/>
      <c r="QVX75" s="53"/>
      <c r="QVY75" s="53"/>
      <c r="QVZ75" s="53"/>
      <c r="QWA75" s="53"/>
      <c r="QWB75" s="53"/>
      <c r="QWC75" s="53"/>
      <c r="QWD75" s="53"/>
      <c r="QWE75" s="53"/>
      <c r="QWF75" s="53"/>
      <c r="QWG75" s="53"/>
      <c r="QWH75" s="53"/>
      <c r="QWI75" s="53"/>
      <c r="QWJ75" s="53"/>
      <c r="QWK75" s="53"/>
      <c r="QWL75" s="53"/>
      <c r="QWM75" s="53"/>
      <c r="QWN75" s="53"/>
      <c r="QWO75" s="53"/>
      <c r="QWP75" s="53"/>
      <c r="QWQ75" s="53"/>
      <c r="QWR75" s="53"/>
      <c r="QWS75" s="53"/>
      <c r="QWT75" s="53"/>
      <c r="QWU75" s="53"/>
      <c r="QWV75" s="53"/>
      <c r="QWW75" s="53"/>
      <c r="QWX75" s="53"/>
      <c r="QWY75" s="53"/>
      <c r="QWZ75" s="53"/>
      <c r="QXA75" s="53"/>
      <c r="QXB75" s="53"/>
      <c r="QXC75" s="53"/>
      <c r="QXD75" s="53"/>
      <c r="QXE75" s="53"/>
      <c r="QXF75" s="53"/>
      <c r="QXG75" s="53"/>
      <c r="QXH75" s="53"/>
      <c r="QXI75" s="53"/>
      <c r="QXJ75" s="53"/>
      <c r="QXK75" s="53"/>
      <c r="QXL75" s="53"/>
      <c r="QXM75" s="53"/>
      <c r="QXN75" s="53"/>
      <c r="QXO75" s="53"/>
      <c r="QXP75" s="53"/>
      <c r="QXQ75" s="53"/>
      <c r="QXR75" s="53"/>
      <c r="QXS75" s="53"/>
      <c r="QXT75" s="53"/>
      <c r="QXU75" s="53"/>
      <c r="QXV75" s="53"/>
      <c r="QXW75" s="53"/>
      <c r="QXX75" s="53"/>
      <c r="QXY75" s="53"/>
      <c r="QXZ75" s="53"/>
      <c r="QYA75" s="53"/>
      <c r="QYB75" s="53"/>
      <c r="QYC75" s="53"/>
      <c r="QYD75" s="53"/>
      <c r="QYE75" s="53"/>
      <c r="QYF75" s="53"/>
      <c r="QYG75" s="53"/>
      <c r="QYH75" s="53"/>
      <c r="QYI75" s="53"/>
      <c r="QYJ75" s="53"/>
      <c r="QYK75" s="53"/>
      <c r="QYL75" s="53"/>
      <c r="QYM75" s="53"/>
      <c r="QYN75" s="53"/>
      <c r="QYO75" s="53"/>
      <c r="QYP75" s="53"/>
      <c r="QYQ75" s="53"/>
      <c r="QYR75" s="53"/>
      <c r="QYS75" s="53"/>
      <c r="QYT75" s="53"/>
      <c r="QYU75" s="53"/>
      <c r="QYV75" s="53"/>
      <c r="QYW75" s="53"/>
      <c r="QYX75" s="53"/>
      <c r="QYY75" s="53"/>
      <c r="QYZ75" s="53"/>
      <c r="QZA75" s="53"/>
      <c r="QZB75" s="53"/>
      <c r="QZC75" s="53"/>
      <c r="QZD75" s="53"/>
      <c r="QZE75" s="53"/>
      <c r="QZF75" s="53"/>
      <c r="QZG75" s="53"/>
      <c r="QZH75" s="53"/>
      <c r="QZI75" s="53"/>
      <c r="QZJ75" s="53"/>
      <c r="QZK75" s="53"/>
      <c r="QZL75" s="53"/>
      <c r="QZM75" s="53"/>
      <c r="QZN75" s="53"/>
      <c r="QZO75" s="53"/>
      <c r="QZP75" s="53"/>
      <c r="QZQ75" s="53"/>
      <c r="QZR75" s="53"/>
      <c r="QZS75" s="53"/>
      <c r="QZT75" s="53"/>
      <c r="QZU75" s="53"/>
      <c r="QZV75" s="53"/>
      <c r="QZW75" s="53"/>
      <c r="QZX75" s="53"/>
      <c r="QZY75" s="53"/>
      <c r="QZZ75" s="53"/>
      <c r="RAA75" s="53"/>
      <c r="RAB75" s="53"/>
      <c r="RAC75" s="53"/>
      <c r="RAD75" s="53"/>
      <c r="RAE75" s="53"/>
      <c r="RAF75" s="53"/>
      <c r="RAG75" s="53"/>
      <c r="RAH75" s="53"/>
      <c r="RAI75" s="53"/>
      <c r="RAJ75" s="53"/>
      <c r="RAK75" s="53"/>
      <c r="RAL75" s="53"/>
      <c r="RAM75" s="53"/>
      <c r="RAN75" s="53"/>
      <c r="RAO75" s="53"/>
      <c r="RAP75" s="53"/>
      <c r="RAQ75" s="53"/>
      <c r="RAR75" s="53"/>
      <c r="RAS75" s="53"/>
      <c r="RAT75" s="53"/>
      <c r="RAU75" s="53"/>
      <c r="RAV75" s="53"/>
      <c r="RAW75" s="53"/>
      <c r="RAX75" s="53"/>
      <c r="RAY75" s="53"/>
      <c r="RAZ75" s="53"/>
      <c r="RBA75" s="53"/>
      <c r="RBB75" s="53"/>
      <c r="RBC75" s="53"/>
      <c r="RBD75" s="53"/>
      <c r="RBE75" s="53"/>
      <c r="RBF75" s="53"/>
      <c r="RBG75" s="53"/>
      <c r="RBH75" s="53"/>
      <c r="RBI75" s="53"/>
      <c r="RBJ75" s="53"/>
      <c r="RBK75" s="53"/>
      <c r="RBL75" s="53"/>
      <c r="RBM75" s="53"/>
      <c r="RBN75" s="53"/>
      <c r="RBO75" s="53"/>
      <c r="RBP75" s="53"/>
      <c r="RBQ75" s="53"/>
      <c r="RBR75" s="53"/>
      <c r="RBS75" s="53"/>
      <c r="RBT75" s="53"/>
      <c r="RBU75" s="53"/>
      <c r="RBV75" s="53"/>
      <c r="RBW75" s="53"/>
      <c r="RBX75" s="53"/>
      <c r="RBY75" s="53"/>
      <c r="RBZ75" s="53"/>
      <c r="RCA75" s="53"/>
      <c r="RCB75" s="53"/>
      <c r="RCC75" s="53"/>
      <c r="RCD75" s="53"/>
      <c r="RCE75" s="53"/>
      <c r="RCF75" s="53"/>
      <c r="RCG75" s="53"/>
      <c r="RCH75" s="53"/>
      <c r="RCI75" s="53"/>
      <c r="RCJ75" s="53"/>
      <c r="RCK75" s="53"/>
      <c r="RCL75" s="53"/>
      <c r="RCM75" s="53"/>
      <c r="RCN75" s="53"/>
      <c r="RCO75" s="53"/>
      <c r="RCP75" s="53"/>
      <c r="RCQ75" s="53"/>
      <c r="RCR75" s="53"/>
      <c r="RCS75" s="53"/>
      <c r="RCT75" s="53"/>
      <c r="RCU75" s="53"/>
      <c r="RCV75" s="53"/>
      <c r="RCW75" s="53"/>
      <c r="RCX75" s="53"/>
      <c r="RCY75" s="53"/>
      <c r="RCZ75" s="53"/>
      <c r="RDA75" s="53"/>
      <c r="RDB75" s="53"/>
      <c r="RDC75" s="53"/>
      <c r="RDD75" s="53"/>
      <c r="RDE75" s="53"/>
      <c r="RDF75" s="53"/>
      <c r="RDG75" s="53"/>
      <c r="RDH75" s="53"/>
      <c r="RDI75" s="53"/>
      <c r="RDJ75" s="53"/>
      <c r="RDK75" s="53"/>
      <c r="RDL75" s="53"/>
      <c r="RDM75" s="53"/>
      <c r="RDN75" s="53"/>
      <c r="RDO75" s="53"/>
      <c r="RDP75" s="53"/>
      <c r="RDQ75" s="53"/>
      <c r="RDR75" s="53"/>
      <c r="RDS75" s="53"/>
      <c r="RDT75" s="53"/>
      <c r="RDU75" s="53"/>
      <c r="RDV75" s="53"/>
      <c r="RDW75" s="53"/>
      <c r="RDX75" s="53"/>
      <c r="RDY75" s="53"/>
      <c r="RDZ75" s="53"/>
      <c r="REA75" s="53"/>
      <c r="REB75" s="53"/>
      <c r="REC75" s="53"/>
      <c r="RED75" s="53"/>
      <c r="REE75" s="53"/>
      <c r="REF75" s="53"/>
      <c r="REG75" s="53"/>
      <c r="REH75" s="53"/>
      <c r="REI75" s="53"/>
      <c r="REJ75" s="53"/>
      <c r="REK75" s="53"/>
      <c r="REL75" s="53"/>
      <c r="REM75" s="53"/>
      <c r="REN75" s="53"/>
      <c r="REO75" s="53"/>
      <c r="REP75" s="53"/>
      <c r="REQ75" s="53"/>
      <c r="RER75" s="53"/>
      <c r="RES75" s="53"/>
      <c r="RET75" s="53"/>
      <c r="REU75" s="53"/>
      <c r="REV75" s="53"/>
      <c r="REW75" s="53"/>
      <c r="REX75" s="53"/>
      <c r="REY75" s="53"/>
      <c r="REZ75" s="53"/>
      <c r="RFA75" s="53"/>
      <c r="RFB75" s="53"/>
      <c r="RFC75" s="53"/>
      <c r="RFD75" s="53"/>
      <c r="RFE75" s="53"/>
      <c r="RFF75" s="53"/>
      <c r="RFG75" s="53"/>
      <c r="RFH75" s="53"/>
      <c r="RFI75" s="53"/>
      <c r="RFJ75" s="53"/>
      <c r="RFK75" s="53"/>
      <c r="RFL75" s="53"/>
      <c r="RFM75" s="53"/>
      <c r="RFN75" s="53"/>
      <c r="RFO75" s="53"/>
      <c r="RFP75" s="53"/>
      <c r="RFQ75" s="53"/>
      <c r="RFR75" s="53"/>
      <c r="RFS75" s="53"/>
      <c r="RFT75" s="53"/>
      <c r="RFU75" s="53"/>
      <c r="RFV75" s="53"/>
      <c r="RFW75" s="53"/>
      <c r="RFX75" s="53"/>
      <c r="RFY75" s="53"/>
      <c r="RFZ75" s="53"/>
      <c r="RGA75" s="53"/>
      <c r="RGB75" s="53"/>
      <c r="RGC75" s="53"/>
      <c r="RGD75" s="53"/>
      <c r="RGE75" s="53"/>
      <c r="RGF75" s="53"/>
      <c r="RGG75" s="53"/>
      <c r="RGH75" s="53"/>
      <c r="RGI75" s="53"/>
      <c r="RGJ75" s="53"/>
      <c r="RGK75" s="53"/>
      <c r="RGL75" s="53"/>
      <c r="RGM75" s="53"/>
      <c r="RGN75" s="53"/>
      <c r="RGO75" s="53"/>
      <c r="RGP75" s="53"/>
      <c r="RGQ75" s="53"/>
      <c r="RGR75" s="53"/>
      <c r="RGS75" s="53"/>
      <c r="RGT75" s="53"/>
      <c r="RGU75" s="53"/>
      <c r="RGV75" s="53"/>
      <c r="RGW75" s="53"/>
      <c r="RGX75" s="53"/>
      <c r="RGY75" s="53"/>
      <c r="RGZ75" s="53"/>
      <c r="RHA75" s="53"/>
      <c r="RHB75" s="53"/>
      <c r="RHC75" s="53"/>
      <c r="RHD75" s="53"/>
      <c r="RHE75" s="53"/>
      <c r="RHF75" s="53"/>
      <c r="RHG75" s="53"/>
      <c r="RHH75" s="53"/>
      <c r="RHI75" s="53"/>
      <c r="RHJ75" s="53"/>
      <c r="RHK75" s="53"/>
      <c r="RHL75" s="53"/>
      <c r="RHM75" s="53"/>
      <c r="RHN75" s="53"/>
      <c r="RHO75" s="53"/>
      <c r="RHP75" s="53"/>
      <c r="RHQ75" s="53"/>
      <c r="RHR75" s="53"/>
      <c r="RHS75" s="53"/>
      <c r="RHT75" s="53"/>
      <c r="RHU75" s="53"/>
      <c r="RHV75" s="53"/>
      <c r="RHW75" s="53"/>
      <c r="RHX75" s="53"/>
      <c r="RHY75" s="53"/>
      <c r="RHZ75" s="53"/>
      <c r="RIA75" s="53"/>
      <c r="RIB75" s="53"/>
      <c r="RIC75" s="53"/>
      <c r="RID75" s="53"/>
      <c r="RIE75" s="53"/>
      <c r="RIF75" s="53"/>
      <c r="RIG75" s="53"/>
      <c r="RIH75" s="53"/>
      <c r="RII75" s="53"/>
      <c r="RIJ75" s="53"/>
      <c r="RIK75" s="53"/>
      <c r="RIL75" s="53"/>
      <c r="RIM75" s="53"/>
      <c r="RIN75" s="53"/>
      <c r="RIO75" s="53"/>
      <c r="RIP75" s="53"/>
      <c r="RIQ75" s="53"/>
      <c r="RIR75" s="53"/>
      <c r="RIS75" s="53"/>
      <c r="RIT75" s="53"/>
      <c r="RIU75" s="53"/>
      <c r="RIV75" s="53"/>
      <c r="RIW75" s="53"/>
      <c r="RIX75" s="53"/>
      <c r="RIY75" s="53"/>
      <c r="RIZ75" s="53"/>
      <c r="RJA75" s="53"/>
      <c r="RJB75" s="53"/>
      <c r="RJC75" s="53"/>
      <c r="RJD75" s="53"/>
      <c r="RJE75" s="53"/>
      <c r="RJF75" s="53"/>
      <c r="RJG75" s="53"/>
      <c r="RJH75" s="53"/>
      <c r="RJI75" s="53"/>
      <c r="RJJ75" s="53"/>
      <c r="RJK75" s="53"/>
      <c r="RJL75" s="53"/>
      <c r="RJM75" s="53"/>
      <c r="RJN75" s="53"/>
      <c r="RJO75" s="53"/>
      <c r="RJP75" s="53"/>
      <c r="RJQ75" s="53"/>
      <c r="RJR75" s="53"/>
      <c r="RJS75" s="53"/>
      <c r="RJT75" s="53"/>
      <c r="RJU75" s="53"/>
      <c r="RJV75" s="53"/>
      <c r="RJW75" s="53"/>
      <c r="RJX75" s="53"/>
      <c r="RJY75" s="53"/>
      <c r="RJZ75" s="53"/>
      <c r="RKA75" s="53"/>
      <c r="RKB75" s="53"/>
      <c r="RKC75" s="53"/>
      <c r="RKD75" s="53"/>
      <c r="RKE75" s="53"/>
      <c r="RKF75" s="53"/>
      <c r="RKG75" s="53"/>
      <c r="RKH75" s="53"/>
      <c r="RKI75" s="53"/>
      <c r="RKJ75" s="53"/>
      <c r="RKK75" s="53"/>
      <c r="RKL75" s="53"/>
      <c r="RKM75" s="53"/>
      <c r="RKN75" s="53"/>
      <c r="RKO75" s="53"/>
      <c r="RKP75" s="53"/>
      <c r="RKQ75" s="53"/>
      <c r="RKR75" s="53"/>
      <c r="RKS75" s="53"/>
      <c r="RKT75" s="53"/>
      <c r="RKU75" s="53"/>
      <c r="RKV75" s="53"/>
      <c r="RKW75" s="53"/>
      <c r="RKX75" s="53"/>
      <c r="RKY75" s="53"/>
      <c r="RKZ75" s="53"/>
      <c r="RLA75" s="53"/>
      <c r="RLB75" s="53"/>
      <c r="RLC75" s="53"/>
      <c r="RLD75" s="53"/>
      <c r="RLE75" s="53"/>
      <c r="RLF75" s="53"/>
      <c r="RLG75" s="53"/>
      <c r="RLH75" s="53"/>
      <c r="RLI75" s="53"/>
      <c r="RLJ75" s="53"/>
      <c r="RLK75" s="53"/>
      <c r="RLL75" s="53"/>
      <c r="RLM75" s="53"/>
      <c r="RLN75" s="53"/>
      <c r="RLO75" s="53"/>
      <c r="RLP75" s="53"/>
      <c r="RLQ75" s="53"/>
      <c r="RLR75" s="53"/>
      <c r="RLS75" s="53"/>
      <c r="RLT75" s="53"/>
      <c r="RLU75" s="53"/>
      <c r="RLV75" s="53"/>
      <c r="RLW75" s="53"/>
      <c r="RLX75" s="53"/>
      <c r="RLY75" s="53"/>
      <c r="RLZ75" s="53"/>
      <c r="RMA75" s="53"/>
      <c r="RMB75" s="53"/>
      <c r="RMC75" s="53"/>
      <c r="RMD75" s="53"/>
      <c r="RME75" s="53"/>
      <c r="RMF75" s="53"/>
      <c r="RMG75" s="53"/>
      <c r="RMH75" s="53"/>
      <c r="RMI75" s="53"/>
      <c r="RMJ75" s="53"/>
      <c r="RMK75" s="53"/>
      <c r="RML75" s="53"/>
      <c r="RMM75" s="53"/>
      <c r="RMN75" s="53"/>
      <c r="RMO75" s="53"/>
      <c r="RMP75" s="53"/>
      <c r="RMQ75" s="53"/>
      <c r="RMR75" s="53"/>
      <c r="RMS75" s="53"/>
      <c r="RMT75" s="53"/>
      <c r="RMU75" s="53"/>
      <c r="RMV75" s="53"/>
      <c r="RMW75" s="53"/>
      <c r="RMX75" s="53"/>
      <c r="RMY75" s="53"/>
      <c r="RMZ75" s="53"/>
      <c r="RNA75" s="53"/>
      <c r="RNB75" s="53"/>
      <c r="RNC75" s="53"/>
      <c r="RND75" s="53"/>
      <c r="RNE75" s="53"/>
      <c r="RNF75" s="53"/>
      <c r="RNG75" s="53"/>
      <c r="RNH75" s="53"/>
      <c r="RNI75" s="53"/>
      <c r="RNJ75" s="53"/>
      <c r="RNK75" s="53"/>
      <c r="RNL75" s="53"/>
      <c r="RNM75" s="53"/>
      <c r="RNN75" s="53"/>
      <c r="RNO75" s="53"/>
      <c r="RNP75" s="53"/>
      <c r="RNQ75" s="53"/>
      <c r="RNR75" s="53"/>
      <c r="RNS75" s="53"/>
      <c r="RNT75" s="53"/>
      <c r="RNU75" s="53"/>
      <c r="RNV75" s="53"/>
      <c r="RNW75" s="53"/>
      <c r="RNX75" s="53"/>
      <c r="RNY75" s="53"/>
      <c r="RNZ75" s="53"/>
      <c r="ROA75" s="53"/>
      <c r="ROB75" s="53"/>
      <c r="ROC75" s="53"/>
      <c r="ROD75" s="53"/>
      <c r="ROE75" s="53"/>
      <c r="ROF75" s="53"/>
      <c r="ROG75" s="53"/>
      <c r="ROH75" s="53"/>
      <c r="ROI75" s="53"/>
      <c r="ROJ75" s="53"/>
      <c r="ROK75" s="53"/>
      <c r="ROL75" s="53"/>
      <c r="ROM75" s="53"/>
      <c r="RON75" s="53"/>
      <c r="ROO75" s="53"/>
      <c r="ROP75" s="53"/>
      <c r="ROQ75" s="53"/>
      <c r="ROR75" s="53"/>
      <c r="ROS75" s="53"/>
      <c r="ROT75" s="53"/>
      <c r="ROU75" s="53"/>
      <c r="ROV75" s="53"/>
      <c r="ROW75" s="53"/>
      <c r="ROX75" s="53"/>
      <c r="ROY75" s="53"/>
      <c r="ROZ75" s="53"/>
      <c r="RPA75" s="53"/>
      <c r="RPB75" s="53"/>
      <c r="RPC75" s="53"/>
      <c r="RPD75" s="53"/>
      <c r="RPE75" s="53"/>
      <c r="RPF75" s="53"/>
      <c r="RPG75" s="53"/>
      <c r="RPH75" s="53"/>
      <c r="RPI75" s="53"/>
      <c r="RPJ75" s="53"/>
      <c r="RPK75" s="53"/>
      <c r="RPL75" s="53"/>
      <c r="RPM75" s="53"/>
      <c r="RPN75" s="53"/>
      <c r="RPO75" s="53"/>
      <c r="RPP75" s="53"/>
      <c r="RPQ75" s="53"/>
      <c r="RPR75" s="53"/>
      <c r="RPS75" s="53"/>
      <c r="RPT75" s="53"/>
      <c r="RPU75" s="53"/>
      <c r="RPV75" s="53"/>
      <c r="RPW75" s="53"/>
      <c r="RPX75" s="53"/>
      <c r="RPY75" s="53"/>
      <c r="RPZ75" s="53"/>
      <c r="RQA75" s="53"/>
      <c r="RQB75" s="53"/>
      <c r="RQC75" s="53"/>
      <c r="RQD75" s="53"/>
      <c r="RQE75" s="53"/>
      <c r="RQF75" s="53"/>
      <c r="RQG75" s="53"/>
      <c r="RQH75" s="53"/>
      <c r="RQI75" s="53"/>
      <c r="RQJ75" s="53"/>
      <c r="RQK75" s="53"/>
      <c r="RQL75" s="53"/>
      <c r="RQM75" s="53"/>
      <c r="RQN75" s="53"/>
      <c r="RQO75" s="53"/>
      <c r="RQP75" s="53"/>
      <c r="RQQ75" s="53"/>
      <c r="RQR75" s="53"/>
      <c r="RQS75" s="53"/>
      <c r="RQT75" s="53"/>
      <c r="RQU75" s="53"/>
      <c r="RQV75" s="53"/>
      <c r="RQW75" s="53"/>
      <c r="RQX75" s="53"/>
      <c r="RQY75" s="53"/>
      <c r="RQZ75" s="53"/>
      <c r="RRA75" s="53"/>
      <c r="RRB75" s="53"/>
      <c r="RRC75" s="53"/>
      <c r="RRD75" s="53"/>
      <c r="RRE75" s="53"/>
      <c r="RRF75" s="53"/>
      <c r="RRG75" s="53"/>
      <c r="RRH75" s="53"/>
      <c r="RRI75" s="53"/>
      <c r="RRJ75" s="53"/>
      <c r="RRK75" s="53"/>
      <c r="RRL75" s="53"/>
      <c r="RRM75" s="53"/>
      <c r="RRN75" s="53"/>
      <c r="RRO75" s="53"/>
      <c r="RRP75" s="53"/>
      <c r="RRQ75" s="53"/>
      <c r="RRR75" s="53"/>
      <c r="RRS75" s="53"/>
      <c r="RRT75" s="53"/>
      <c r="RRU75" s="53"/>
      <c r="RRV75" s="53"/>
      <c r="RRW75" s="53"/>
      <c r="RRX75" s="53"/>
      <c r="RRY75" s="53"/>
      <c r="RRZ75" s="53"/>
      <c r="RSA75" s="53"/>
      <c r="RSB75" s="53"/>
      <c r="RSC75" s="53"/>
      <c r="RSD75" s="53"/>
      <c r="RSE75" s="53"/>
      <c r="RSF75" s="53"/>
      <c r="RSG75" s="53"/>
      <c r="RSH75" s="53"/>
      <c r="RSI75" s="53"/>
      <c r="RSJ75" s="53"/>
      <c r="RSK75" s="53"/>
      <c r="RSL75" s="53"/>
      <c r="RSM75" s="53"/>
      <c r="RSN75" s="53"/>
      <c r="RSO75" s="53"/>
      <c r="RSP75" s="53"/>
      <c r="RSQ75" s="53"/>
      <c r="RSR75" s="53"/>
      <c r="RSS75" s="53"/>
      <c r="RST75" s="53"/>
      <c r="RSU75" s="53"/>
      <c r="RSV75" s="53"/>
      <c r="RSW75" s="53"/>
      <c r="RSX75" s="53"/>
      <c r="RSY75" s="53"/>
      <c r="RSZ75" s="53"/>
      <c r="RTA75" s="53"/>
      <c r="RTB75" s="53"/>
      <c r="RTC75" s="53"/>
      <c r="RTD75" s="53"/>
      <c r="RTE75" s="53"/>
      <c r="RTF75" s="53"/>
      <c r="RTG75" s="53"/>
      <c r="RTH75" s="53"/>
      <c r="RTI75" s="53"/>
      <c r="RTJ75" s="53"/>
      <c r="RTK75" s="53"/>
      <c r="RTL75" s="53"/>
      <c r="RTM75" s="53"/>
      <c r="RTN75" s="53"/>
      <c r="RTO75" s="53"/>
      <c r="RTP75" s="53"/>
      <c r="RTQ75" s="53"/>
      <c r="RTR75" s="53"/>
      <c r="RTS75" s="53"/>
      <c r="RTT75" s="53"/>
      <c r="RTU75" s="53"/>
      <c r="RTV75" s="53"/>
      <c r="RTW75" s="53"/>
      <c r="RTX75" s="53"/>
      <c r="RTY75" s="53"/>
      <c r="RTZ75" s="53"/>
      <c r="RUA75" s="53"/>
      <c r="RUB75" s="53"/>
      <c r="RUC75" s="53"/>
      <c r="RUD75" s="53"/>
      <c r="RUE75" s="53"/>
      <c r="RUF75" s="53"/>
      <c r="RUG75" s="53"/>
      <c r="RUH75" s="53"/>
      <c r="RUI75" s="53"/>
      <c r="RUJ75" s="53"/>
      <c r="RUK75" s="53"/>
      <c r="RUL75" s="53"/>
      <c r="RUM75" s="53"/>
      <c r="RUN75" s="53"/>
      <c r="RUO75" s="53"/>
      <c r="RUP75" s="53"/>
      <c r="RUQ75" s="53"/>
      <c r="RUR75" s="53"/>
      <c r="RUS75" s="53"/>
      <c r="RUT75" s="53"/>
      <c r="RUU75" s="53"/>
      <c r="RUV75" s="53"/>
      <c r="RUW75" s="53"/>
      <c r="RUX75" s="53"/>
      <c r="RUY75" s="53"/>
      <c r="RUZ75" s="53"/>
      <c r="RVA75" s="53"/>
      <c r="RVB75" s="53"/>
      <c r="RVC75" s="53"/>
      <c r="RVD75" s="53"/>
      <c r="RVE75" s="53"/>
      <c r="RVF75" s="53"/>
      <c r="RVG75" s="53"/>
      <c r="RVH75" s="53"/>
      <c r="RVI75" s="53"/>
      <c r="RVJ75" s="53"/>
      <c r="RVK75" s="53"/>
      <c r="RVL75" s="53"/>
      <c r="RVM75" s="53"/>
      <c r="RVN75" s="53"/>
      <c r="RVO75" s="53"/>
      <c r="RVP75" s="53"/>
      <c r="RVQ75" s="53"/>
      <c r="RVR75" s="53"/>
      <c r="RVS75" s="53"/>
      <c r="RVT75" s="53"/>
      <c r="RVU75" s="53"/>
      <c r="RVV75" s="53"/>
      <c r="RVW75" s="53"/>
      <c r="RVX75" s="53"/>
      <c r="RVY75" s="53"/>
      <c r="RVZ75" s="53"/>
      <c r="RWA75" s="53"/>
      <c r="RWB75" s="53"/>
      <c r="RWC75" s="53"/>
      <c r="RWD75" s="53"/>
      <c r="RWE75" s="53"/>
      <c r="RWF75" s="53"/>
      <c r="RWG75" s="53"/>
      <c r="RWH75" s="53"/>
      <c r="RWI75" s="53"/>
      <c r="RWJ75" s="53"/>
      <c r="RWK75" s="53"/>
      <c r="RWL75" s="53"/>
      <c r="RWM75" s="53"/>
      <c r="RWN75" s="53"/>
      <c r="RWO75" s="53"/>
      <c r="RWP75" s="53"/>
      <c r="RWQ75" s="53"/>
      <c r="RWR75" s="53"/>
      <c r="RWS75" s="53"/>
      <c r="RWT75" s="53"/>
      <c r="RWU75" s="53"/>
      <c r="RWV75" s="53"/>
      <c r="RWW75" s="53"/>
      <c r="RWX75" s="53"/>
      <c r="RWY75" s="53"/>
      <c r="RWZ75" s="53"/>
      <c r="RXA75" s="53"/>
      <c r="RXB75" s="53"/>
      <c r="RXC75" s="53"/>
      <c r="RXD75" s="53"/>
      <c r="RXE75" s="53"/>
      <c r="RXF75" s="53"/>
      <c r="RXG75" s="53"/>
      <c r="RXH75" s="53"/>
      <c r="RXI75" s="53"/>
      <c r="RXJ75" s="53"/>
      <c r="RXK75" s="53"/>
      <c r="RXL75" s="53"/>
      <c r="RXM75" s="53"/>
      <c r="RXN75" s="53"/>
      <c r="RXO75" s="53"/>
      <c r="RXP75" s="53"/>
      <c r="RXQ75" s="53"/>
      <c r="RXR75" s="53"/>
      <c r="RXS75" s="53"/>
      <c r="RXT75" s="53"/>
      <c r="RXU75" s="53"/>
      <c r="RXV75" s="53"/>
      <c r="RXW75" s="53"/>
      <c r="RXX75" s="53"/>
      <c r="RXY75" s="53"/>
      <c r="RXZ75" s="53"/>
      <c r="RYA75" s="53"/>
      <c r="RYB75" s="53"/>
      <c r="RYC75" s="53"/>
      <c r="RYD75" s="53"/>
      <c r="RYE75" s="53"/>
      <c r="RYF75" s="53"/>
      <c r="RYG75" s="53"/>
      <c r="RYH75" s="53"/>
      <c r="RYI75" s="53"/>
      <c r="RYJ75" s="53"/>
      <c r="RYK75" s="53"/>
      <c r="RYL75" s="53"/>
      <c r="RYM75" s="53"/>
      <c r="RYN75" s="53"/>
      <c r="RYO75" s="53"/>
      <c r="RYP75" s="53"/>
      <c r="RYQ75" s="53"/>
      <c r="RYR75" s="53"/>
      <c r="RYS75" s="53"/>
      <c r="RYT75" s="53"/>
      <c r="RYU75" s="53"/>
      <c r="RYV75" s="53"/>
      <c r="RYW75" s="53"/>
      <c r="RYX75" s="53"/>
      <c r="RYY75" s="53"/>
      <c r="RYZ75" s="53"/>
      <c r="RZA75" s="53"/>
      <c r="RZB75" s="53"/>
      <c r="RZC75" s="53"/>
      <c r="RZD75" s="53"/>
      <c r="RZE75" s="53"/>
      <c r="RZF75" s="53"/>
      <c r="RZG75" s="53"/>
      <c r="RZH75" s="53"/>
      <c r="RZI75" s="53"/>
      <c r="RZJ75" s="53"/>
      <c r="RZK75" s="53"/>
      <c r="RZL75" s="53"/>
      <c r="RZM75" s="53"/>
      <c r="RZN75" s="53"/>
      <c r="RZO75" s="53"/>
      <c r="RZP75" s="53"/>
      <c r="RZQ75" s="53"/>
      <c r="RZR75" s="53"/>
      <c r="RZS75" s="53"/>
      <c r="RZT75" s="53"/>
      <c r="RZU75" s="53"/>
      <c r="RZV75" s="53"/>
      <c r="RZW75" s="53"/>
      <c r="RZX75" s="53"/>
      <c r="RZY75" s="53"/>
      <c r="RZZ75" s="53"/>
      <c r="SAA75" s="53"/>
      <c r="SAB75" s="53"/>
      <c r="SAC75" s="53"/>
      <c r="SAD75" s="53"/>
      <c r="SAE75" s="53"/>
      <c r="SAF75" s="53"/>
      <c r="SAG75" s="53"/>
      <c r="SAH75" s="53"/>
      <c r="SAI75" s="53"/>
      <c r="SAJ75" s="53"/>
      <c r="SAK75" s="53"/>
      <c r="SAL75" s="53"/>
      <c r="SAM75" s="53"/>
      <c r="SAN75" s="53"/>
      <c r="SAO75" s="53"/>
      <c r="SAP75" s="53"/>
      <c r="SAQ75" s="53"/>
      <c r="SAR75" s="53"/>
      <c r="SAS75" s="53"/>
      <c r="SAT75" s="53"/>
      <c r="SAU75" s="53"/>
      <c r="SAV75" s="53"/>
      <c r="SAW75" s="53"/>
      <c r="SAX75" s="53"/>
      <c r="SAY75" s="53"/>
      <c r="SAZ75" s="53"/>
      <c r="SBA75" s="53"/>
      <c r="SBB75" s="53"/>
      <c r="SBC75" s="53"/>
      <c r="SBD75" s="53"/>
      <c r="SBE75" s="53"/>
      <c r="SBF75" s="53"/>
      <c r="SBG75" s="53"/>
      <c r="SBH75" s="53"/>
      <c r="SBI75" s="53"/>
      <c r="SBJ75" s="53"/>
      <c r="SBK75" s="53"/>
      <c r="SBL75" s="53"/>
      <c r="SBM75" s="53"/>
      <c r="SBN75" s="53"/>
      <c r="SBO75" s="53"/>
      <c r="SBP75" s="53"/>
      <c r="SBQ75" s="53"/>
      <c r="SBR75" s="53"/>
      <c r="SBS75" s="53"/>
      <c r="SBT75" s="53"/>
      <c r="SBU75" s="53"/>
      <c r="SBV75" s="53"/>
      <c r="SBW75" s="53"/>
      <c r="SBX75" s="53"/>
      <c r="SBY75" s="53"/>
      <c r="SBZ75" s="53"/>
      <c r="SCA75" s="53"/>
      <c r="SCB75" s="53"/>
      <c r="SCC75" s="53"/>
      <c r="SCD75" s="53"/>
      <c r="SCE75" s="53"/>
      <c r="SCF75" s="53"/>
      <c r="SCG75" s="53"/>
      <c r="SCH75" s="53"/>
      <c r="SCI75" s="53"/>
      <c r="SCJ75" s="53"/>
      <c r="SCK75" s="53"/>
      <c r="SCL75" s="53"/>
      <c r="SCM75" s="53"/>
      <c r="SCN75" s="53"/>
      <c r="SCO75" s="53"/>
      <c r="SCP75" s="53"/>
      <c r="SCQ75" s="53"/>
      <c r="SCR75" s="53"/>
      <c r="SCS75" s="53"/>
      <c r="SCT75" s="53"/>
      <c r="SCU75" s="53"/>
      <c r="SCV75" s="53"/>
      <c r="SCW75" s="53"/>
      <c r="SCX75" s="53"/>
      <c r="SCY75" s="53"/>
      <c r="SCZ75" s="53"/>
      <c r="SDA75" s="53"/>
      <c r="SDB75" s="53"/>
      <c r="SDC75" s="53"/>
      <c r="SDD75" s="53"/>
      <c r="SDE75" s="53"/>
      <c r="SDF75" s="53"/>
      <c r="SDG75" s="53"/>
      <c r="SDH75" s="53"/>
      <c r="SDI75" s="53"/>
      <c r="SDJ75" s="53"/>
      <c r="SDK75" s="53"/>
      <c r="SDL75" s="53"/>
      <c r="SDM75" s="53"/>
      <c r="SDN75" s="53"/>
      <c r="SDO75" s="53"/>
      <c r="SDP75" s="53"/>
      <c r="SDQ75" s="53"/>
      <c r="SDR75" s="53"/>
      <c r="SDS75" s="53"/>
      <c r="SDT75" s="53"/>
      <c r="SDU75" s="53"/>
      <c r="SDV75" s="53"/>
      <c r="SDW75" s="53"/>
      <c r="SDX75" s="53"/>
      <c r="SDY75" s="53"/>
      <c r="SDZ75" s="53"/>
      <c r="SEA75" s="53"/>
      <c r="SEB75" s="53"/>
      <c r="SEC75" s="53"/>
      <c r="SED75" s="53"/>
      <c r="SEE75" s="53"/>
      <c r="SEF75" s="53"/>
      <c r="SEG75" s="53"/>
      <c r="SEH75" s="53"/>
      <c r="SEI75" s="53"/>
      <c r="SEJ75" s="53"/>
      <c r="SEK75" s="53"/>
      <c r="SEL75" s="53"/>
      <c r="SEM75" s="53"/>
      <c r="SEN75" s="53"/>
      <c r="SEO75" s="53"/>
      <c r="SEP75" s="53"/>
      <c r="SEQ75" s="53"/>
      <c r="SER75" s="53"/>
      <c r="SES75" s="53"/>
      <c r="SET75" s="53"/>
      <c r="SEU75" s="53"/>
      <c r="SEV75" s="53"/>
      <c r="SEW75" s="53"/>
      <c r="SEX75" s="53"/>
      <c r="SEY75" s="53"/>
      <c r="SEZ75" s="53"/>
      <c r="SFA75" s="53"/>
      <c r="SFB75" s="53"/>
      <c r="SFC75" s="53"/>
      <c r="SFD75" s="53"/>
      <c r="SFE75" s="53"/>
      <c r="SFF75" s="53"/>
      <c r="SFG75" s="53"/>
      <c r="SFH75" s="53"/>
      <c r="SFI75" s="53"/>
      <c r="SFJ75" s="53"/>
      <c r="SFK75" s="53"/>
      <c r="SFL75" s="53"/>
      <c r="SFM75" s="53"/>
      <c r="SFN75" s="53"/>
      <c r="SFO75" s="53"/>
      <c r="SFP75" s="53"/>
      <c r="SFQ75" s="53"/>
      <c r="SFR75" s="53"/>
      <c r="SFS75" s="53"/>
      <c r="SFT75" s="53"/>
      <c r="SFU75" s="53"/>
      <c r="SFV75" s="53"/>
      <c r="SFW75" s="53"/>
      <c r="SFX75" s="53"/>
      <c r="SFY75" s="53"/>
      <c r="SFZ75" s="53"/>
      <c r="SGA75" s="53"/>
      <c r="SGB75" s="53"/>
      <c r="SGC75" s="53"/>
      <c r="SGD75" s="53"/>
      <c r="SGE75" s="53"/>
      <c r="SGF75" s="53"/>
      <c r="SGG75" s="53"/>
      <c r="SGH75" s="53"/>
      <c r="SGI75" s="53"/>
      <c r="SGJ75" s="53"/>
      <c r="SGK75" s="53"/>
      <c r="SGL75" s="53"/>
      <c r="SGM75" s="53"/>
      <c r="SGN75" s="53"/>
      <c r="SGO75" s="53"/>
      <c r="SGP75" s="53"/>
      <c r="SGQ75" s="53"/>
      <c r="SGR75" s="53"/>
      <c r="SGS75" s="53"/>
      <c r="SGT75" s="53"/>
      <c r="SGU75" s="53"/>
      <c r="SGV75" s="53"/>
      <c r="SGW75" s="53"/>
      <c r="SGX75" s="53"/>
      <c r="SGY75" s="53"/>
      <c r="SGZ75" s="53"/>
      <c r="SHA75" s="53"/>
      <c r="SHB75" s="53"/>
      <c r="SHC75" s="53"/>
      <c r="SHD75" s="53"/>
      <c r="SHE75" s="53"/>
      <c r="SHF75" s="53"/>
      <c r="SHG75" s="53"/>
      <c r="SHH75" s="53"/>
      <c r="SHI75" s="53"/>
      <c r="SHJ75" s="53"/>
      <c r="SHK75" s="53"/>
      <c r="SHL75" s="53"/>
      <c r="SHM75" s="53"/>
      <c r="SHN75" s="53"/>
      <c r="SHO75" s="53"/>
      <c r="SHP75" s="53"/>
      <c r="SHQ75" s="53"/>
      <c r="SHR75" s="53"/>
      <c r="SHS75" s="53"/>
      <c r="SHT75" s="53"/>
      <c r="SHU75" s="53"/>
      <c r="SHV75" s="53"/>
      <c r="SHW75" s="53"/>
      <c r="SHX75" s="53"/>
      <c r="SHY75" s="53"/>
      <c r="SHZ75" s="53"/>
      <c r="SIA75" s="53"/>
      <c r="SIB75" s="53"/>
      <c r="SIC75" s="53"/>
      <c r="SID75" s="53"/>
      <c r="SIE75" s="53"/>
      <c r="SIF75" s="53"/>
      <c r="SIG75" s="53"/>
      <c r="SIH75" s="53"/>
      <c r="SII75" s="53"/>
      <c r="SIJ75" s="53"/>
      <c r="SIK75" s="53"/>
      <c r="SIL75" s="53"/>
      <c r="SIM75" s="53"/>
      <c r="SIN75" s="53"/>
      <c r="SIO75" s="53"/>
      <c r="SIP75" s="53"/>
      <c r="SIQ75" s="53"/>
      <c r="SIR75" s="53"/>
      <c r="SIS75" s="53"/>
      <c r="SIT75" s="53"/>
      <c r="SIU75" s="53"/>
      <c r="SIV75" s="53"/>
      <c r="SIW75" s="53"/>
      <c r="SIX75" s="53"/>
      <c r="SIY75" s="53"/>
      <c r="SIZ75" s="53"/>
      <c r="SJA75" s="53"/>
      <c r="SJB75" s="53"/>
      <c r="SJC75" s="53"/>
      <c r="SJD75" s="53"/>
      <c r="SJE75" s="53"/>
      <c r="SJF75" s="53"/>
      <c r="SJG75" s="53"/>
      <c r="SJH75" s="53"/>
      <c r="SJI75" s="53"/>
      <c r="SJJ75" s="53"/>
      <c r="SJK75" s="53"/>
      <c r="SJL75" s="53"/>
      <c r="SJM75" s="53"/>
      <c r="SJN75" s="53"/>
      <c r="SJO75" s="53"/>
      <c r="SJP75" s="53"/>
      <c r="SJQ75" s="53"/>
      <c r="SJR75" s="53"/>
      <c r="SJS75" s="53"/>
      <c r="SJT75" s="53"/>
      <c r="SJU75" s="53"/>
      <c r="SJV75" s="53"/>
      <c r="SJW75" s="53"/>
      <c r="SJX75" s="53"/>
      <c r="SJY75" s="53"/>
      <c r="SJZ75" s="53"/>
      <c r="SKA75" s="53"/>
      <c r="SKB75" s="53"/>
      <c r="SKC75" s="53"/>
      <c r="SKD75" s="53"/>
      <c r="SKE75" s="53"/>
      <c r="SKF75" s="53"/>
      <c r="SKG75" s="53"/>
      <c r="SKH75" s="53"/>
      <c r="SKI75" s="53"/>
      <c r="SKJ75" s="53"/>
      <c r="SKK75" s="53"/>
      <c r="SKL75" s="53"/>
      <c r="SKM75" s="53"/>
      <c r="SKN75" s="53"/>
      <c r="SKO75" s="53"/>
      <c r="SKP75" s="53"/>
      <c r="SKQ75" s="53"/>
      <c r="SKR75" s="53"/>
      <c r="SKS75" s="53"/>
      <c r="SKT75" s="53"/>
      <c r="SKU75" s="53"/>
      <c r="SKV75" s="53"/>
      <c r="SKW75" s="53"/>
      <c r="SKX75" s="53"/>
      <c r="SKY75" s="53"/>
      <c r="SKZ75" s="53"/>
      <c r="SLA75" s="53"/>
      <c r="SLB75" s="53"/>
      <c r="SLC75" s="53"/>
      <c r="SLD75" s="53"/>
      <c r="SLE75" s="53"/>
      <c r="SLF75" s="53"/>
      <c r="SLG75" s="53"/>
      <c r="SLH75" s="53"/>
      <c r="SLI75" s="53"/>
      <c r="SLJ75" s="53"/>
      <c r="SLK75" s="53"/>
      <c r="SLL75" s="53"/>
      <c r="SLM75" s="53"/>
      <c r="SLN75" s="53"/>
      <c r="SLO75" s="53"/>
      <c r="SLP75" s="53"/>
      <c r="SLQ75" s="53"/>
      <c r="SLR75" s="53"/>
      <c r="SLS75" s="53"/>
      <c r="SLT75" s="53"/>
      <c r="SLU75" s="53"/>
      <c r="SLV75" s="53"/>
      <c r="SLW75" s="53"/>
      <c r="SLX75" s="53"/>
      <c r="SLY75" s="53"/>
      <c r="SLZ75" s="53"/>
      <c r="SMA75" s="53"/>
      <c r="SMB75" s="53"/>
      <c r="SMC75" s="53"/>
      <c r="SMD75" s="53"/>
      <c r="SME75" s="53"/>
      <c r="SMF75" s="53"/>
      <c r="SMG75" s="53"/>
      <c r="SMH75" s="53"/>
      <c r="SMI75" s="53"/>
      <c r="SMJ75" s="53"/>
      <c r="SMK75" s="53"/>
      <c r="SML75" s="53"/>
      <c r="SMM75" s="53"/>
      <c r="SMN75" s="53"/>
      <c r="SMO75" s="53"/>
      <c r="SMP75" s="53"/>
      <c r="SMQ75" s="53"/>
      <c r="SMR75" s="53"/>
      <c r="SMS75" s="53"/>
      <c r="SMT75" s="53"/>
      <c r="SMU75" s="53"/>
      <c r="SMV75" s="53"/>
      <c r="SMW75" s="53"/>
      <c r="SMX75" s="53"/>
      <c r="SMY75" s="53"/>
      <c r="SMZ75" s="53"/>
      <c r="SNA75" s="53"/>
      <c r="SNB75" s="53"/>
      <c r="SNC75" s="53"/>
      <c r="SND75" s="53"/>
      <c r="SNE75" s="53"/>
      <c r="SNF75" s="53"/>
      <c r="SNG75" s="53"/>
      <c r="SNH75" s="53"/>
      <c r="SNI75" s="53"/>
      <c r="SNJ75" s="53"/>
      <c r="SNK75" s="53"/>
      <c r="SNL75" s="53"/>
      <c r="SNM75" s="53"/>
      <c r="SNN75" s="53"/>
      <c r="SNO75" s="53"/>
      <c r="SNP75" s="53"/>
      <c r="SNQ75" s="53"/>
      <c r="SNR75" s="53"/>
      <c r="SNS75" s="53"/>
      <c r="SNT75" s="53"/>
      <c r="SNU75" s="53"/>
      <c r="SNV75" s="53"/>
      <c r="SNW75" s="53"/>
      <c r="SNX75" s="53"/>
      <c r="SNY75" s="53"/>
      <c r="SNZ75" s="53"/>
      <c r="SOA75" s="53"/>
      <c r="SOB75" s="53"/>
      <c r="SOC75" s="53"/>
      <c r="SOD75" s="53"/>
      <c r="SOE75" s="53"/>
      <c r="SOF75" s="53"/>
      <c r="SOG75" s="53"/>
      <c r="SOH75" s="53"/>
      <c r="SOI75" s="53"/>
      <c r="SOJ75" s="53"/>
      <c r="SOK75" s="53"/>
      <c r="SOL75" s="53"/>
      <c r="SOM75" s="53"/>
      <c r="SON75" s="53"/>
      <c r="SOO75" s="53"/>
      <c r="SOP75" s="53"/>
      <c r="SOQ75" s="53"/>
      <c r="SOR75" s="53"/>
      <c r="SOS75" s="53"/>
      <c r="SOT75" s="53"/>
      <c r="SOU75" s="53"/>
      <c r="SOV75" s="53"/>
      <c r="SOW75" s="53"/>
      <c r="SOX75" s="53"/>
      <c r="SOY75" s="53"/>
      <c r="SOZ75" s="53"/>
      <c r="SPA75" s="53"/>
      <c r="SPB75" s="53"/>
      <c r="SPC75" s="53"/>
      <c r="SPD75" s="53"/>
      <c r="SPE75" s="53"/>
      <c r="SPF75" s="53"/>
      <c r="SPG75" s="53"/>
      <c r="SPH75" s="53"/>
      <c r="SPI75" s="53"/>
      <c r="SPJ75" s="53"/>
      <c r="SPK75" s="53"/>
      <c r="SPL75" s="53"/>
      <c r="SPM75" s="53"/>
      <c r="SPN75" s="53"/>
      <c r="SPO75" s="53"/>
      <c r="SPP75" s="53"/>
      <c r="SPQ75" s="53"/>
      <c r="SPR75" s="53"/>
      <c r="SPS75" s="53"/>
      <c r="SPT75" s="53"/>
      <c r="SPU75" s="53"/>
      <c r="SPV75" s="53"/>
      <c r="SPW75" s="53"/>
      <c r="SPX75" s="53"/>
      <c r="SPY75" s="53"/>
      <c r="SPZ75" s="53"/>
      <c r="SQA75" s="53"/>
      <c r="SQB75" s="53"/>
      <c r="SQC75" s="53"/>
      <c r="SQD75" s="53"/>
      <c r="SQE75" s="53"/>
      <c r="SQF75" s="53"/>
      <c r="SQG75" s="53"/>
      <c r="SQH75" s="53"/>
      <c r="SQI75" s="53"/>
      <c r="SQJ75" s="53"/>
      <c r="SQK75" s="53"/>
      <c r="SQL75" s="53"/>
      <c r="SQM75" s="53"/>
      <c r="SQN75" s="53"/>
      <c r="SQO75" s="53"/>
      <c r="SQP75" s="53"/>
      <c r="SQQ75" s="53"/>
      <c r="SQR75" s="53"/>
      <c r="SQS75" s="53"/>
      <c r="SQT75" s="53"/>
      <c r="SQU75" s="53"/>
      <c r="SQV75" s="53"/>
      <c r="SQW75" s="53"/>
      <c r="SQX75" s="53"/>
      <c r="SQY75" s="53"/>
      <c r="SQZ75" s="53"/>
      <c r="SRA75" s="53"/>
      <c r="SRB75" s="53"/>
      <c r="SRC75" s="53"/>
      <c r="SRD75" s="53"/>
      <c r="SRE75" s="53"/>
      <c r="SRF75" s="53"/>
      <c r="SRG75" s="53"/>
      <c r="SRH75" s="53"/>
      <c r="SRI75" s="53"/>
      <c r="SRJ75" s="53"/>
      <c r="SRK75" s="53"/>
      <c r="SRL75" s="53"/>
      <c r="SRM75" s="53"/>
      <c r="SRN75" s="53"/>
      <c r="SRO75" s="53"/>
      <c r="SRP75" s="53"/>
      <c r="SRQ75" s="53"/>
      <c r="SRR75" s="53"/>
      <c r="SRS75" s="53"/>
      <c r="SRT75" s="53"/>
      <c r="SRU75" s="53"/>
      <c r="SRV75" s="53"/>
      <c r="SRW75" s="53"/>
      <c r="SRX75" s="53"/>
      <c r="SRY75" s="53"/>
      <c r="SRZ75" s="53"/>
      <c r="SSA75" s="53"/>
      <c r="SSB75" s="53"/>
      <c r="SSC75" s="53"/>
      <c r="SSD75" s="53"/>
      <c r="SSE75" s="53"/>
      <c r="SSF75" s="53"/>
      <c r="SSG75" s="53"/>
      <c r="SSH75" s="53"/>
      <c r="SSI75" s="53"/>
      <c r="SSJ75" s="53"/>
      <c r="SSK75" s="53"/>
      <c r="SSL75" s="53"/>
      <c r="SSM75" s="53"/>
      <c r="SSN75" s="53"/>
      <c r="SSO75" s="53"/>
      <c r="SSP75" s="53"/>
      <c r="SSQ75" s="53"/>
      <c r="SSR75" s="53"/>
      <c r="SSS75" s="53"/>
      <c r="SST75" s="53"/>
      <c r="SSU75" s="53"/>
      <c r="SSV75" s="53"/>
      <c r="SSW75" s="53"/>
      <c r="SSX75" s="53"/>
      <c r="SSY75" s="53"/>
      <c r="SSZ75" s="53"/>
      <c r="STA75" s="53"/>
      <c r="STB75" s="53"/>
      <c r="STC75" s="53"/>
      <c r="STD75" s="53"/>
      <c r="STE75" s="53"/>
      <c r="STF75" s="53"/>
      <c r="STG75" s="53"/>
      <c r="STH75" s="53"/>
      <c r="STI75" s="53"/>
      <c r="STJ75" s="53"/>
      <c r="STK75" s="53"/>
      <c r="STL75" s="53"/>
      <c r="STM75" s="53"/>
      <c r="STN75" s="53"/>
      <c r="STO75" s="53"/>
      <c r="STP75" s="53"/>
      <c r="STQ75" s="53"/>
      <c r="STR75" s="53"/>
      <c r="STS75" s="53"/>
      <c r="STT75" s="53"/>
      <c r="STU75" s="53"/>
      <c r="STV75" s="53"/>
      <c r="STW75" s="53"/>
      <c r="STX75" s="53"/>
      <c r="STY75" s="53"/>
      <c r="STZ75" s="53"/>
      <c r="SUA75" s="53"/>
      <c r="SUB75" s="53"/>
      <c r="SUC75" s="53"/>
      <c r="SUD75" s="53"/>
      <c r="SUE75" s="53"/>
      <c r="SUF75" s="53"/>
      <c r="SUG75" s="53"/>
      <c r="SUH75" s="53"/>
      <c r="SUI75" s="53"/>
      <c r="SUJ75" s="53"/>
      <c r="SUK75" s="53"/>
      <c r="SUL75" s="53"/>
      <c r="SUM75" s="53"/>
      <c r="SUN75" s="53"/>
      <c r="SUO75" s="53"/>
      <c r="SUP75" s="53"/>
      <c r="SUQ75" s="53"/>
      <c r="SUR75" s="53"/>
      <c r="SUS75" s="53"/>
      <c r="SUT75" s="53"/>
      <c r="SUU75" s="53"/>
      <c r="SUV75" s="53"/>
      <c r="SUW75" s="53"/>
      <c r="SUX75" s="53"/>
      <c r="SUY75" s="53"/>
      <c r="SUZ75" s="53"/>
      <c r="SVA75" s="53"/>
      <c r="SVB75" s="53"/>
      <c r="SVC75" s="53"/>
      <c r="SVD75" s="53"/>
      <c r="SVE75" s="53"/>
      <c r="SVF75" s="53"/>
      <c r="SVG75" s="53"/>
      <c r="SVH75" s="53"/>
      <c r="SVI75" s="53"/>
      <c r="SVJ75" s="53"/>
      <c r="SVK75" s="53"/>
      <c r="SVL75" s="53"/>
      <c r="SVM75" s="53"/>
      <c r="SVN75" s="53"/>
      <c r="SVO75" s="53"/>
      <c r="SVP75" s="53"/>
      <c r="SVQ75" s="53"/>
      <c r="SVR75" s="53"/>
      <c r="SVS75" s="53"/>
      <c r="SVT75" s="53"/>
      <c r="SVU75" s="53"/>
      <c r="SVV75" s="53"/>
      <c r="SVW75" s="53"/>
      <c r="SVX75" s="53"/>
      <c r="SVY75" s="53"/>
      <c r="SVZ75" s="53"/>
      <c r="SWA75" s="53"/>
      <c r="SWB75" s="53"/>
      <c r="SWC75" s="53"/>
      <c r="SWD75" s="53"/>
      <c r="SWE75" s="53"/>
      <c r="SWF75" s="53"/>
      <c r="SWG75" s="53"/>
      <c r="SWH75" s="53"/>
      <c r="SWI75" s="53"/>
      <c r="SWJ75" s="53"/>
      <c r="SWK75" s="53"/>
      <c r="SWL75" s="53"/>
      <c r="SWM75" s="53"/>
      <c r="SWN75" s="53"/>
      <c r="SWO75" s="53"/>
      <c r="SWP75" s="53"/>
      <c r="SWQ75" s="53"/>
      <c r="SWR75" s="53"/>
      <c r="SWS75" s="53"/>
      <c r="SWT75" s="53"/>
      <c r="SWU75" s="53"/>
      <c r="SWV75" s="53"/>
      <c r="SWW75" s="53"/>
      <c r="SWX75" s="53"/>
      <c r="SWY75" s="53"/>
      <c r="SWZ75" s="53"/>
      <c r="SXA75" s="53"/>
      <c r="SXB75" s="53"/>
      <c r="SXC75" s="53"/>
      <c r="SXD75" s="53"/>
      <c r="SXE75" s="53"/>
      <c r="SXF75" s="53"/>
      <c r="SXG75" s="53"/>
      <c r="SXH75" s="53"/>
      <c r="SXI75" s="53"/>
      <c r="SXJ75" s="53"/>
      <c r="SXK75" s="53"/>
      <c r="SXL75" s="53"/>
      <c r="SXM75" s="53"/>
      <c r="SXN75" s="53"/>
      <c r="SXO75" s="53"/>
      <c r="SXP75" s="53"/>
      <c r="SXQ75" s="53"/>
      <c r="SXR75" s="53"/>
      <c r="SXS75" s="53"/>
      <c r="SXT75" s="53"/>
      <c r="SXU75" s="53"/>
      <c r="SXV75" s="53"/>
      <c r="SXW75" s="53"/>
      <c r="SXX75" s="53"/>
      <c r="SXY75" s="53"/>
      <c r="SXZ75" s="53"/>
      <c r="SYA75" s="53"/>
      <c r="SYB75" s="53"/>
      <c r="SYC75" s="53"/>
      <c r="SYD75" s="53"/>
      <c r="SYE75" s="53"/>
      <c r="SYF75" s="53"/>
      <c r="SYG75" s="53"/>
      <c r="SYH75" s="53"/>
      <c r="SYI75" s="53"/>
      <c r="SYJ75" s="53"/>
      <c r="SYK75" s="53"/>
      <c r="SYL75" s="53"/>
      <c r="SYM75" s="53"/>
      <c r="SYN75" s="53"/>
      <c r="SYO75" s="53"/>
      <c r="SYP75" s="53"/>
      <c r="SYQ75" s="53"/>
      <c r="SYR75" s="53"/>
      <c r="SYS75" s="53"/>
      <c r="SYT75" s="53"/>
      <c r="SYU75" s="53"/>
      <c r="SYV75" s="53"/>
      <c r="SYW75" s="53"/>
      <c r="SYX75" s="53"/>
      <c r="SYY75" s="53"/>
      <c r="SYZ75" s="53"/>
      <c r="SZA75" s="53"/>
      <c r="SZB75" s="53"/>
      <c r="SZC75" s="53"/>
      <c r="SZD75" s="53"/>
      <c r="SZE75" s="53"/>
      <c r="SZF75" s="53"/>
      <c r="SZG75" s="53"/>
      <c r="SZH75" s="53"/>
      <c r="SZI75" s="53"/>
      <c r="SZJ75" s="53"/>
      <c r="SZK75" s="53"/>
      <c r="SZL75" s="53"/>
      <c r="SZM75" s="53"/>
      <c r="SZN75" s="53"/>
      <c r="SZO75" s="53"/>
      <c r="SZP75" s="53"/>
      <c r="SZQ75" s="53"/>
      <c r="SZR75" s="53"/>
      <c r="SZS75" s="53"/>
      <c r="SZT75" s="53"/>
      <c r="SZU75" s="53"/>
      <c r="SZV75" s="53"/>
      <c r="SZW75" s="53"/>
      <c r="SZX75" s="53"/>
      <c r="SZY75" s="53"/>
      <c r="SZZ75" s="53"/>
      <c r="TAA75" s="53"/>
      <c r="TAB75" s="53"/>
      <c r="TAC75" s="53"/>
      <c r="TAD75" s="53"/>
      <c r="TAE75" s="53"/>
      <c r="TAF75" s="53"/>
      <c r="TAG75" s="53"/>
      <c r="TAH75" s="53"/>
      <c r="TAI75" s="53"/>
      <c r="TAJ75" s="53"/>
      <c r="TAK75" s="53"/>
      <c r="TAL75" s="53"/>
      <c r="TAM75" s="53"/>
      <c r="TAN75" s="53"/>
      <c r="TAO75" s="53"/>
      <c r="TAP75" s="53"/>
      <c r="TAQ75" s="53"/>
      <c r="TAR75" s="53"/>
      <c r="TAS75" s="53"/>
      <c r="TAT75" s="53"/>
      <c r="TAU75" s="53"/>
      <c r="TAV75" s="53"/>
      <c r="TAW75" s="53"/>
      <c r="TAX75" s="53"/>
      <c r="TAY75" s="53"/>
      <c r="TAZ75" s="53"/>
      <c r="TBA75" s="53"/>
      <c r="TBB75" s="53"/>
      <c r="TBC75" s="53"/>
      <c r="TBD75" s="53"/>
      <c r="TBE75" s="53"/>
      <c r="TBF75" s="53"/>
      <c r="TBG75" s="53"/>
      <c r="TBH75" s="53"/>
      <c r="TBI75" s="53"/>
      <c r="TBJ75" s="53"/>
      <c r="TBK75" s="53"/>
      <c r="TBL75" s="53"/>
      <c r="TBM75" s="53"/>
      <c r="TBN75" s="53"/>
      <c r="TBO75" s="53"/>
      <c r="TBP75" s="53"/>
      <c r="TBQ75" s="53"/>
      <c r="TBR75" s="53"/>
      <c r="TBS75" s="53"/>
      <c r="TBT75" s="53"/>
      <c r="TBU75" s="53"/>
      <c r="TBV75" s="53"/>
      <c r="TBW75" s="53"/>
      <c r="TBX75" s="53"/>
      <c r="TBY75" s="53"/>
      <c r="TBZ75" s="53"/>
      <c r="TCA75" s="53"/>
      <c r="TCB75" s="53"/>
      <c r="TCC75" s="53"/>
      <c r="TCD75" s="53"/>
      <c r="TCE75" s="53"/>
      <c r="TCF75" s="53"/>
      <c r="TCG75" s="53"/>
      <c r="TCH75" s="53"/>
      <c r="TCI75" s="53"/>
      <c r="TCJ75" s="53"/>
      <c r="TCK75" s="53"/>
      <c r="TCL75" s="53"/>
      <c r="TCM75" s="53"/>
      <c r="TCN75" s="53"/>
      <c r="TCO75" s="53"/>
      <c r="TCP75" s="53"/>
      <c r="TCQ75" s="53"/>
      <c r="TCR75" s="53"/>
      <c r="TCS75" s="53"/>
      <c r="TCT75" s="53"/>
      <c r="TCU75" s="53"/>
      <c r="TCV75" s="53"/>
      <c r="TCW75" s="53"/>
      <c r="TCX75" s="53"/>
      <c r="TCY75" s="53"/>
      <c r="TCZ75" s="53"/>
      <c r="TDA75" s="53"/>
      <c r="TDB75" s="53"/>
      <c r="TDC75" s="53"/>
      <c r="TDD75" s="53"/>
      <c r="TDE75" s="53"/>
      <c r="TDF75" s="53"/>
      <c r="TDG75" s="53"/>
      <c r="TDH75" s="53"/>
      <c r="TDI75" s="53"/>
      <c r="TDJ75" s="53"/>
      <c r="TDK75" s="53"/>
      <c r="TDL75" s="53"/>
      <c r="TDM75" s="53"/>
      <c r="TDN75" s="53"/>
      <c r="TDO75" s="53"/>
      <c r="TDP75" s="53"/>
      <c r="TDQ75" s="53"/>
      <c r="TDR75" s="53"/>
      <c r="TDS75" s="53"/>
      <c r="TDT75" s="53"/>
      <c r="TDU75" s="53"/>
      <c r="TDV75" s="53"/>
      <c r="TDW75" s="53"/>
      <c r="TDX75" s="53"/>
      <c r="TDY75" s="53"/>
      <c r="TDZ75" s="53"/>
      <c r="TEA75" s="53"/>
      <c r="TEB75" s="53"/>
      <c r="TEC75" s="53"/>
      <c r="TED75" s="53"/>
      <c r="TEE75" s="53"/>
      <c r="TEF75" s="53"/>
      <c r="TEG75" s="53"/>
      <c r="TEH75" s="53"/>
      <c r="TEI75" s="53"/>
      <c r="TEJ75" s="53"/>
      <c r="TEK75" s="53"/>
      <c r="TEL75" s="53"/>
      <c r="TEM75" s="53"/>
      <c r="TEN75" s="53"/>
      <c r="TEO75" s="53"/>
      <c r="TEP75" s="53"/>
      <c r="TEQ75" s="53"/>
      <c r="TER75" s="53"/>
      <c r="TES75" s="53"/>
      <c r="TET75" s="53"/>
      <c r="TEU75" s="53"/>
      <c r="TEV75" s="53"/>
      <c r="TEW75" s="53"/>
      <c r="TEX75" s="53"/>
      <c r="TEY75" s="53"/>
      <c r="TEZ75" s="53"/>
      <c r="TFA75" s="53"/>
      <c r="TFB75" s="53"/>
      <c r="TFC75" s="53"/>
      <c r="TFD75" s="53"/>
      <c r="TFE75" s="53"/>
      <c r="TFF75" s="53"/>
      <c r="TFG75" s="53"/>
      <c r="TFH75" s="53"/>
      <c r="TFI75" s="53"/>
      <c r="TFJ75" s="53"/>
      <c r="TFK75" s="53"/>
      <c r="TFL75" s="53"/>
      <c r="TFM75" s="53"/>
      <c r="TFN75" s="53"/>
      <c r="TFO75" s="53"/>
      <c r="TFP75" s="53"/>
      <c r="TFQ75" s="53"/>
      <c r="TFR75" s="53"/>
      <c r="TFS75" s="53"/>
      <c r="TFT75" s="53"/>
      <c r="TFU75" s="53"/>
      <c r="TFV75" s="53"/>
      <c r="TFW75" s="53"/>
      <c r="TFX75" s="53"/>
      <c r="TFY75" s="53"/>
      <c r="TFZ75" s="53"/>
      <c r="TGA75" s="53"/>
      <c r="TGB75" s="53"/>
      <c r="TGC75" s="53"/>
      <c r="TGD75" s="53"/>
      <c r="TGE75" s="53"/>
      <c r="TGF75" s="53"/>
      <c r="TGG75" s="53"/>
      <c r="TGH75" s="53"/>
      <c r="TGI75" s="53"/>
      <c r="TGJ75" s="53"/>
      <c r="TGK75" s="53"/>
      <c r="TGL75" s="53"/>
      <c r="TGM75" s="53"/>
      <c r="TGN75" s="53"/>
      <c r="TGO75" s="53"/>
      <c r="TGP75" s="53"/>
      <c r="TGQ75" s="53"/>
      <c r="TGR75" s="53"/>
      <c r="TGS75" s="53"/>
      <c r="TGT75" s="53"/>
      <c r="TGU75" s="53"/>
      <c r="TGV75" s="53"/>
      <c r="TGW75" s="53"/>
      <c r="TGX75" s="53"/>
      <c r="TGY75" s="53"/>
      <c r="TGZ75" s="53"/>
      <c r="THA75" s="53"/>
      <c r="THB75" s="53"/>
      <c r="THC75" s="53"/>
      <c r="THD75" s="53"/>
      <c r="THE75" s="53"/>
      <c r="THF75" s="53"/>
      <c r="THG75" s="53"/>
      <c r="THH75" s="53"/>
      <c r="THI75" s="53"/>
      <c r="THJ75" s="53"/>
      <c r="THK75" s="53"/>
      <c r="THL75" s="53"/>
      <c r="THM75" s="53"/>
      <c r="THN75" s="53"/>
      <c r="THO75" s="53"/>
      <c r="THP75" s="53"/>
      <c r="THQ75" s="53"/>
      <c r="THR75" s="53"/>
      <c r="THS75" s="53"/>
      <c r="THT75" s="53"/>
      <c r="THU75" s="53"/>
      <c r="THV75" s="53"/>
      <c r="THW75" s="53"/>
      <c r="THX75" s="53"/>
      <c r="THY75" s="53"/>
      <c r="THZ75" s="53"/>
      <c r="TIA75" s="53"/>
      <c r="TIB75" s="53"/>
      <c r="TIC75" s="53"/>
      <c r="TID75" s="53"/>
      <c r="TIE75" s="53"/>
      <c r="TIF75" s="53"/>
      <c r="TIG75" s="53"/>
      <c r="TIH75" s="53"/>
      <c r="TII75" s="53"/>
      <c r="TIJ75" s="53"/>
      <c r="TIK75" s="53"/>
      <c r="TIL75" s="53"/>
      <c r="TIM75" s="53"/>
      <c r="TIN75" s="53"/>
      <c r="TIO75" s="53"/>
      <c r="TIP75" s="53"/>
      <c r="TIQ75" s="53"/>
      <c r="TIR75" s="53"/>
      <c r="TIS75" s="53"/>
      <c r="TIT75" s="53"/>
      <c r="TIU75" s="53"/>
      <c r="TIV75" s="53"/>
      <c r="TIW75" s="53"/>
      <c r="TIX75" s="53"/>
      <c r="TIY75" s="53"/>
      <c r="TIZ75" s="53"/>
      <c r="TJA75" s="53"/>
      <c r="TJB75" s="53"/>
      <c r="TJC75" s="53"/>
      <c r="TJD75" s="53"/>
      <c r="TJE75" s="53"/>
      <c r="TJF75" s="53"/>
      <c r="TJG75" s="53"/>
      <c r="TJH75" s="53"/>
      <c r="TJI75" s="53"/>
      <c r="TJJ75" s="53"/>
      <c r="TJK75" s="53"/>
      <c r="TJL75" s="53"/>
      <c r="TJM75" s="53"/>
      <c r="TJN75" s="53"/>
      <c r="TJO75" s="53"/>
      <c r="TJP75" s="53"/>
      <c r="TJQ75" s="53"/>
      <c r="TJR75" s="53"/>
      <c r="TJS75" s="53"/>
      <c r="TJT75" s="53"/>
      <c r="TJU75" s="53"/>
      <c r="TJV75" s="53"/>
      <c r="TJW75" s="53"/>
      <c r="TJX75" s="53"/>
      <c r="TJY75" s="53"/>
      <c r="TJZ75" s="53"/>
      <c r="TKA75" s="53"/>
      <c r="TKB75" s="53"/>
      <c r="TKC75" s="53"/>
      <c r="TKD75" s="53"/>
      <c r="TKE75" s="53"/>
      <c r="TKF75" s="53"/>
      <c r="TKG75" s="53"/>
      <c r="TKH75" s="53"/>
      <c r="TKI75" s="53"/>
      <c r="TKJ75" s="53"/>
      <c r="TKK75" s="53"/>
      <c r="TKL75" s="53"/>
      <c r="TKM75" s="53"/>
      <c r="TKN75" s="53"/>
      <c r="TKO75" s="53"/>
      <c r="TKP75" s="53"/>
      <c r="TKQ75" s="53"/>
      <c r="TKR75" s="53"/>
      <c r="TKS75" s="53"/>
      <c r="TKT75" s="53"/>
      <c r="TKU75" s="53"/>
      <c r="TKV75" s="53"/>
      <c r="TKW75" s="53"/>
      <c r="TKX75" s="53"/>
      <c r="TKY75" s="53"/>
      <c r="TKZ75" s="53"/>
      <c r="TLA75" s="53"/>
      <c r="TLB75" s="53"/>
      <c r="TLC75" s="53"/>
      <c r="TLD75" s="53"/>
      <c r="TLE75" s="53"/>
      <c r="TLF75" s="53"/>
      <c r="TLG75" s="53"/>
      <c r="TLH75" s="53"/>
      <c r="TLI75" s="53"/>
      <c r="TLJ75" s="53"/>
      <c r="TLK75" s="53"/>
      <c r="TLL75" s="53"/>
      <c r="TLM75" s="53"/>
      <c r="TLN75" s="53"/>
      <c r="TLO75" s="53"/>
      <c r="TLP75" s="53"/>
      <c r="TLQ75" s="53"/>
      <c r="TLR75" s="53"/>
      <c r="TLS75" s="53"/>
      <c r="TLT75" s="53"/>
      <c r="TLU75" s="53"/>
      <c r="TLV75" s="53"/>
      <c r="TLW75" s="53"/>
      <c r="TLX75" s="53"/>
      <c r="TLY75" s="53"/>
      <c r="TLZ75" s="53"/>
      <c r="TMA75" s="53"/>
      <c r="TMB75" s="53"/>
      <c r="TMC75" s="53"/>
      <c r="TMD75" s="53"/>
      <c r="TME75" s="53"/>
      <c r="TMF75" s="53"/>
      <c r="TMG75" s="53"/>
      <c r="TMH75" s="53"/>
      <c r="TMI75" s="53"/>
      <c r="TMJ75" s="53"/>
      <c r="TMK75" s="53"/>
      <c r="TML75" s="53"/>
      <c r="TMM75" s="53"/>
      <c r="TMN75" s="53"/>
      <c r="TMO75" s="53"/>
      <c r="TMP75" s="53"/>
      <c r="TMQ75" s="53"/>
      <c r="TMR75" s="53"/>
      <c r="TMS75" s="53"/>
      <c r="TMT75" s="53"/>
      <c r="TMU75" s="53"/>
      <c r="TMV75" s="53"/>
      <c r="TMW75" s="53"/>
      <c r="TMX75" s="53"/>
      <c r="TMY75" s="53"/>
      <c r="TMZ75" s="53"/>
      <c r="TNA75" s="53"/>
      <c r="TNB75" s="53"/>
      <c r="TNC75" s="53"/>
      <c r="TND75" s="53"/>
      <c r="TNE75" s="53"/>
      <c r="TNF75" s="53"/>
      <c r="TNG75" s="53"/>
      <c r="TNH75" s="53"/>
      <c r="TNI75" s="53"/>
      <c r="TNJ75" s="53"/>
      <c r="TNK75" s="53"/>
      <c r="TNL75" s="53"/>
      <c r="TNM75" s="53"/>
      <c r="TNN75" s="53"/>
      <c r="TNO75" s="53"/>
      <c r="TNP75" s="53"/>
      <c r="TNQ75" s="53"/>
      <c r="TNR75" s="53"/>
      <c r="TNS75" s="53"/>
      <c r="TNT75" s="53"/>
      <c r="TNU75" s="53"/>
      <c r="TNV75" s="53"/>
      <c r="TNW75" s="53"/>
      <c r="TNX75" s="53"/>
      <c r="TNY75" s="53"/>
      <c r="TNZ75" s="53"/>
      <c r="TOA75" s="53"/>
      <c r="TOB75" s="53"/>
      <c r="TOC75" s="53"/>
      <c r="TOD75" s="53"/>
      <c r="TOE75" s="53"/>
      <c r="TOF75" s="53"/>
      <c r="TOG75" s="53"/>
      <c r="TOH75" s="53"/>
      <c r="TOI75" s="53"/>
      <c r="TOJ75" s="53"/>
      <c r="TOK75" s="53"/>
      <c r="TOL75" s="53"/>
      <c r="TOM75" s="53"/>
      <c r="TON75" s="53"/>
      <c r="TOO75" s="53"/>
      <c r="TOP75" s="53"/>
      <c r="TOQ75" s="53"/>
      <c r="TOR75" s="53"/>
      <c r="TOS75" s="53"/>
      <c r="TOT75" s="53"/>
      <c r="TOU75" s="53"/>
      <c r="TOV75" s="53"/>
      <c r="TOW75" s="53"/>
      <c r="TOX75" s="53"/>
      <c r="TOY75" s="53"/>
      <c r="TOZ75" s="53"/>
      <c r="TPA75" s="53"/>
      <c r="TPB75" s="53"/>
      <c r="TPC75" s="53"/>
      <c r="TPD75" s="53"/>
      <c r="TPE75" s="53"/>
      <c r="TPF75" s="53"/>
      <c r="TPG75" s="53"/>
      <c r="TPH75" s="53"/>
      <c r="TPI75" s="53"/>
      <c r="TPJ75" s="53"/>
      <c r="TPK75" s="53"/>
      <c r="TPL75" s="53"/>
      <c r="TPM75" s="53"/>
      <c r="TPN75" s="53"/>
      <c r="TPO75" s="53"/>
      <c r="TPP75" s="53"/>
      <c r="TPQ75" s="53"/>
      <c r="TPR75" s="53"/>
      <c r="TPS75" s="53"/>
      <c r="TPT75" s="53"/>
      <c r="TPU75" s="53"/>
      <c r="TPV75" s="53"/>
      <c r="TPW75" s="53"/>
      <c r="TPX75" s="53"/>
      <c r="TPY75" s="53"/>
      <c r="TPZ75" s="53"/>
      <c r="TQA75" s="53"/>
      <c r="TQB75" s="53"/>
      <c r="TQC75" s="53"/>
      <c r="TQD75" s="53"/>
      <c r="TQE75" s="53"/>
      <c r="TQF75" s="53"/>
      <c r="TQG75" s="53"/>
      <c r="TQH75" s="53"/>
      <c r="TQI75" s="53"/>
      <c r="TQJ75" s="53"/>
      <c r="TQK75" s="53"/>
      <c r="TQL75" s="53"/>
      <c r="TQM75" s="53"/>
      <c r="TQN75" s="53"/>
      <c r="TQO75" s="53"/>
      <c r="TQP75" s="53"/>
      <c r="TQQ75" s="53"/>
      <c r="TQR75" s="53"/>
      <c r="TQS75" s="53"/>
      <c r="TQT75" s="53"/>
      <c r="TQU75" s="53"/>
      <c r="TQV75" s="53"/>
      <c r="TQW75" s="53"/>
      <c r="TQX75" s="53"/>
      <c r="TQY75" s="53"/>
      <c r="TQZ75" s="53"/>
      <c r="TRA75" s="53"/>
      <c r="TRB75" s="53"/>
      <c r="TRC75" s="53"/>
      <c r="TRD75" s="53"/>
      <c r="TRE75" s="53"/>
      <c r="TRF75" s="53"/>
      <c r="TRG75" s="53"/>
      <c r="TRH75" s="53"/>
      <c r="TRI75" s="53"/>
      <c r="TRJ75" s="53"/>
      <c r="TRK75" s="53"/>
      <c r="TRL75" s="53"/>
      <c r="TRM75" s="53"/>
      <c r="TRN75" s="53"/>
      <c r="TRO75" s="53"/>
      <c r="TRP75" s="53"/>
      <c r="TRQ75" s="53"/>
      <c r="TRR75" s="53"/>
      <c r="TRS75" s="53"/>
      <c r="TRT75" s="53"/>
      <c r="TRU75" s="53"/>
      <c r="TRV75" s="53"/>
      <c r="TRW75" s="53"/>
      <c r="TRX75" s="53"/>
      <c r="TRY75" s="53"/>
      <c r="TRZ75" s="53"/>
      <c r="TSA75" s="53"/>
      <c r="TSB75" s="53"/>
      <c r="TSC75" s="53"/>
      <c r="TSD75" s="53"/>
      <c r="TSE75" s="53"/>
      <c r="TSF75" s="53"/>
      <c r="TSG75" s="53"/>
      <c r="TSH75" s="53"/>
      <c r="TSI75" s="53"/>
      <c r="TSJ75" s="53"/>
      <c r="TSK75" s="53"/>
      <c r="TSL75" s="53"/>
      <c r="TSM75" s="53"/>
      <c r="TSN75" s="53"/>
      <c r="TSO75" s="53"/>
      <c r="TSP75" s="53"/>
      <c r="TSQ75" s="53"/>
      <c r="TSR75" s="53"/>
      <c r="TSS75" s="53"/>
      <c r="TST75" s="53"/>
      <c r="TSU75" s="53"/>
      <c r="TSV75" s="53"/>
      <c r="TSW75" s="53"/>
      <c r="TSX75" s="53"/>
      <c r="TSY75" s="53"/>
      <c r="TSZ75" s="53"/>
      <c r="TTA75" s="53"/>
      <c r="TTB75" s="53"/>
      <c r="TTC75" s="53"/>
      <c r="TTD75" s="53"/>
      <c r="TTE75" s="53"/>
      <c r="TTF75" s="53"/>
      <c r="TTG75" s="53"/>
      <c r="TTH75" s="53"/>
      <c r="TTI75" s="53"/>
      <c r="TTJ75" s="53"/>
      <c r="TTK75" s="53"/>
      <c r="TTL75" s="53"/>
      <c r="TTM75" s="53"/>
      <c r="TTN75" s="53"/>
      <c r="TTO75" s="53"/>
      <c r="TTP75" s="53"/>
      <c r="TTQ75" s="53"/>
      <c r="TTR75" s="53"/>
      <c r="TTS75" s="53"/>
      <c r="TTT75" s="53"/>
      <c r="TTU75" s="53"/>
      <c r="TTV75" s="53"/>
      <c r="TTW75" s="53"/>
      <c r="TTX75" s="53"/>
      <c r="TTY75" s="53"/>
      <c r="TTZ75" s="53"/>
      <c r="TUA75" s="53"/>
      <c r="TUB75" s="53"/>
      <c r="TUC75" s="53"/>
      <c r="TUD75" s="53"/>
      <c r="TUE75" s="53"/>
      <c r="TUF75" s="53"/>
      <c r="TUG75" s="53"/>
      <c r="TUH75" s="53"/>
      <c r="TUI75" s="53"/>
      <c r="TUJ75" s="53"/>
      <c r="TUK75" s="53"/>
      <c r="TUL75" s="53"/>
      <c r="TUM75" s="53"/>
      <c r="TUN75" s="53"/>
      <c r="TUO75" s="53"/>
      <c r="TUP75" s="53"/>
      <c r="TUQ75" s="53"/>
      <c r="TUR75" s="53"/>
      <c r="TUS75" s="53"/>
      <c r="TUT75" s="53"/>
      <c r="TUU75" s="53"/>
      <c r="TUV75" s="53"/>
      <c r="TUW75" s="53"/>
      <c r="TUX75" s="53"/>
      <c r="TUY75" s="53"/>
      <c r="TUZ75" s="53"/>
      <c r="TVA75" s="53"/>
      <c r="TVB75" s="53"/>
      <c r="TVC75" s="53"/>
      <c r="TVD75" s="53"/>
      <c r="TVE75" s="53"/>
      <c r="TVF75" s="53"/>
      <c r="TVG75" s="53"/>
      <c r="TVH75" s="53"/>
      <c r="TVI75" s="53"/>
      <c r="TVJ75" s="53"/>
      <c r="TVK75" s="53"/>
      <c r="TVL75" s="53"/>
      <c r="TVM75" s="53"/>
      <c r="TVN75" s="53"/>
      <c r="TVO75" s="53"/>
      <c r="TVP75" s="53"/>
      <c r="TVQ75" s="53"/>
      <c r="TVR75" s="53"/>
      <c r="TVS75" s="53"/>
      <c r="TVT75" s="53"/>
      <c r="TVU75" s="53"/>
      <c r="TVV75" s="53"/>
      <c r="TVW75" s="53"/>
      <c r="TVX75" s="53"/>
      <c r="TVY75" s="53"/>
      <c r="TVZ75" s="53"/>
      <c r="TWA75" s="53"/>
      <c r="TWB75" s="53"/>
      <c r="TWC75" s="53"/>
      <c r="TWD75" s="53"/>
      <c r="TWE75" s="53"/>
      <c r="TWF75" s="53"/>
      <c r="TWG75" s="53"/>
      <c r="TWH75" s="53"/>
      <c r="TWI75" s="53"/>
      <c r="TWJ75" s="53"/>
      <c r="TWK75" s="53"/>
      <c r="TWL75" s="53"/>
      <c r="TWM75" s="53"/>
      <c r="TWN75" s="53"/>
      <c r="TWO75" s="53"/>
      <c r="TWP75" s="53"/>
      <c r="TWQ75" s="53"/>
      <c r="TWR75" s="53"/>
      <c r="TWS75" s="53"/>
      <c r="TWT75" s="53"/>
      <c r="TWU75" s="53"/>
      <c r="TWV75" s="53"/>
      <c r="TWW75" s="53"/>
      <c r="TWX75" s="53"/>
      <c r="TWY75" s="53"/>
      <c r="TWZ75" s="53"/>
      <c r="TXA75" s="53"/>
      <c r="TXB75" s="53"/>
      <c r="TXC75" s="53"/>
      <c r="TXD75" s="53"/>
      <c r="TXE75" s="53"/>
      <c r="TXF75" s="53"/>
      <c r="TXG75" s="53"/>
      <c r="TXH75" s="53"/>
      <c r="TXI75" s="53"/>
      <c r="TXJ75" s="53"/>
      <c r="TXK75" s="53"/>
      <c r="TXL75" s="53"/>
      <c r="TXM75" s="53"/>
      <c r="TXN75" s="53"/>
      <c r="TXO75" s="53"/>
      <c r="TXP75" s="53"/>
      <c r="TXQ75" s="53"/>
      <c r="TXR75" s="53"/>
      <c r="TXS75" s="53"/>
      <c r="TXT75" s="53"/>
      <c r="TXU75" s="53"/>
      <c r="TXV75" s="53"/>
      <c r="TXW75" s="53"/>
      <c r="TXX75" s="53"/>
      <c r="TXY75" s="53"/>
      <c r="TXZ75" s="53"/>
      <c r="TYA75" s="53"/>
      <c r="TYB75" s="53"/>
      <c r="TYC75" s="53"/>
      <c r="TYD75" s="53"/>
      <c r="TYE75" s="53"/>
      <c r="TYF75" s="53"/>
      <c r="TYG75" s="53"/>
      <c r="TYH75" s="53"/>
      <c r="TYI75" s="53"/>
      <c r="TYJ75" s="53"/>
      <c r="TYK75" s="53"/>
      <c r="TYL75" s="53"/>
      <c r="TYM75" s="53"/>
      <c r="TYN75" s="53"/>
      <c r="TYO75" s="53"/>
      <c r="TYP75" s="53"/>
      <c r="TYQ75" s="53"/>
      <c r="TYR75" s="53"/>
      <c r="TYS75" s="53"/>
      <c r="TYT75" s="53"/>
      <c r="TYU75" s="53"/>
      <c r="TYV75" s="53"/>
      <c r="TYW75" s="53"/>
      <c r="TYX75" s="53"/>
      <c r="TYY75" s="53"/>
      <c r="TYZ75" s="53"/>
      <c r="TZA75" s="53"/>
      <c r="TZB75" s="53"/>
      <c r="TZC75" s="53"/>
      <c r="TZD75" s="53"/>
      <c r="TZE75" s="53"/>
      <c r="TZF75" s="53"/>
      <c r="TZG75" s="53"/>
      <c r="TZH75" s="53"/>
      <c r="TZI75" s="53"/>
      <c r="TZJ75" s="53"/>
      <c r="TZK75" s="53"/>
      <c r="TZL75" s="53"/>
      <c r="TZM75" s="53"/>
      <c r="TZN75" s="53"/>
      <c r="TZO75" s="53"/>
      <c r="TZP75" s="53"/>
      <c r="TZQ75" s="53"/>
      <c r="TZR75" s="53"/>
      <c r="TZS75" s="53"/>
      <c r="TZT75" s="53"/>
      <c r="TZU75" s="53"/>
      <c r="TZV75" s="53"/>
      <c r="TZW75" s="53"/>
      <c r="TZX75" s="53"/>
      <c r="TZY75" s="53"/>
      <c r="TZZ75" s="53"/>
      <c r="UAA75" s="53"/>
      <c r="UAB75" s="53"/>
      <c r="UAC75" s="53"/>
      <c r="UAD75" s="53"/>
      <c r="UAE75" s="53"/>
      <c r="UAF75" s="53"/>
      <c r="UAG75" s="53"/>
      <c r="UAH75" s="53"/>
      <c r="UAI75" s="53"/>
      <c r="UAJ75" s="53"/>
      <c r="UAK75" s="53"/>
      <c r="UAL75" s="53"/>
      <c r="UAM75" s="53"/>
      <c r="UAN75" s="53"/>
      <c r="UAO75" s="53"/>
      <c r="UAP75" s="53"/>
      <c r="UAQ75" s="53"/>
      <c r="UAR75" s="53"/>
      <c r="UAS75" s="53"/>
      <c r="UAT75" s="53"/>
      <c r="UAU75" s="53"/>
      <c r="UAV75" s="53"/>
      <c r="UAW75" s="53"/>
      <c r="UAX75" s="53"/>
      <c r="UAY75" s="53"/>
      <c r="UAZ75" s="53"/>
      <c r="UBA75" s="53"/>
      <c r="UBB75" s="53"/>
      <c r="UBC75" s="53"/>
      <c r="UBD75" s="53"/>
      <c r="UBE75" s="53"/>
      <c r="UBF75" s="53"/>
      <c r="UBG75" s="53"/>
      <c r="UBH75" s="53"/>
      <c r="UBI75" s="53"/>
      <c r="UBJ75" s="53"/>
      <c r="UBK75" s="53"/>
      <c r="UBL75" s="53"/>
      <c r="UBM75" s="53"/>
      <c r="UBN75" s="53"/>
      <c r="UBO75" s="53"/>
      <c r="UBP75" s="53"/>
      <c r="UBQ75" s="53"/>
      <c r="UBR75" s="53"/>
      <c r="UBS75" s="53"/>
      <c r="UBT75" s="53"/>
      <c r="UBU75" s="53"/>
      <c r="UBV75" s="53"/>
      <c r="UBW75" s="53"/>
      <c r="UBX75" s="53"/>
      <c r="UBY75" s="53"/>
      <c r="UBZ75" s="53"/>
      <c r="UCA75" s="53"/>
      <c r="UCB75" s="53"/>
      <c r="UCC75" s="53"/>
      <c r="UCD75" s="53"/>
      <c r="UCE75" s="53"/>
      <c r="UCF75" s="53"/>
      <c r="UCG75" s="53"/>
      <c r="UCH75" s="53"/>
      <c r="UCI75" s="53"/>
      <c r="UCJ75" s="53"/>
      <c r="UCK75" s="53"/>
      <c r="UCL75" s="53"/>
      <c r="UCM75" s="53"/>
      <c r="UCN75" s="53"/>
      <c r="UCO75" s="53"/>
      <c r="UCP75" s="53"/>
      <c r="UCQ75" s="53"/>
      <c r="UCR75" s="53"/>
      <c r="UCS75" s="53"/>
      <c r="UCT75" s="53"/>
      <c r="UCU75" s="53"/>
      <c r="UCV75" s="53"/>
      <c r="UCW75" s="53"/>
      <c r="UCX75" s="53"/>
      <c r="UCY75" s="53"/>
      <c r="UCZ75" s="53"/>
      <c r="UDA75" s="53"/>
      <c r="UDB75" s="53"/>
      <c r="UDC75" s="53"/>
      <c r="UDD75" s="53"/>
      <c r="UDE75" s="53"/>
      <c r="UDF75" s="53"/>
      <c r="UDG75" s="53"/>
      <c r="UDH75" s="53"/>
      <c r="UDI75" s="53"/>
      <c r="UDJ75" s="53"/>
      <c r="UDK75" s="53"/>
      <c r="UDL75" s="53"/>
      <c r="UDM75" s="53"/>
      <c r="UDN75" s="53"/>
      <c r="UDO75" s="53"/>
      <c r="UDP75" s="53"/>
      <c r="UDQ75" s="53"/>
      <c r="UDR75" s="53"/>
      <c r="UDS75" s="53"/>
      <c r="UDT75" s="53"/>
      <c r="UDU75" s="53"/>
      <c r="UDV75" s="53"/>
      <c r="UDW75" s="53"/>
      <c r="UDX75" s="53"/>
      <c r="UDY75" s="53"/>
      <c r="UDZ75" s="53"/>
      <c r="UEA75" s="53"/>
      <c r="UEB75" s="53"/>
      <c r="UEC75" s="53"/>
      <c r="UED75" s="53"/>
      <c r="UEE75" s="53"/>
      <c r="UEF75" s="53"/>
      <c r="UEG75" s="53"/>
      <c r="UEH75" s="53"/>
      <c r="UEI75" s="53"/>
      <c r="UEJ75" s="53"/>
      <c r="UEK75" s="53"/>
      <c r="UEL75" s="53"/>
      <c r="UEM75" s="53"/>
      <c r="UEN75" s="53"/>
      <c r="UEO75" s="53"/>
      <c r="UEP75" s="53"/>
      <c r="UEQ75" s="53"/>
      <c r="UER75" s="53"/>
      <c r="UES75" s="53"/>
      <c r="UET75" s="53"/>
      <c r="UEU75" s="53"/>
      <c r="UEV75" s="53"/>
      <c r="UEW75" s="53"/>
      <c r="UEX75" s="53"/>
      <c r="UEY75" s="53"/>
      <c r="UEZ75" s="53"/>
      <c r="UFA75" s="53"/>
      <c r="UFB75" s="53"/>
      <c r="UFC75" s="53"/>
      <c r="UFD75" s="53"/>
      <c r="UFE75" s="53"/>
      <c r="UFF75" s="53"/>
      <c r="UFG75" s="53"/>
      <c r="UFH75" s="53"/>
      <c r="UFI75" s="53"/>
      <c r="UFJ75" s="53"/>
      <c r="UFK75" s="53"/>
      <c r="UFL75" s="53"/>
      <c r="UFM75" s="53"/>
      <c r="UFN75" s="53"/>
      <c r="UFO75" s="53"/>
      <c r="UFP75" s="53"/>
      <c r="UFQ75" s="53"/>
      <c r="UFR75" s="53"/>
      <c r="UFS75" s="53"/>
      <c r="UFT75" s="53"/>
      <c r="UFU75" s="53"/>
      <c r="UFV75" s="53"/>
      <c r="UFW75" s="53"/>
      <c r="UFX75" s="53"/>
      <c r="UFY75" s="53"/>
      <c r="UFZ75" s="53"/>
      <c r="UGA75" s="53"/>
      <c r="UGB75" s="53"/>
      <c r="UGC75" s="53"/>
      <c r="UGD75" s="53"/>
      <c r="UGE75" s="53"/>
      <c r="UGF75" s="53"/>
      <c r="UGG75" s="53"/>
      <c r="UGH75" s="53"/>
      <c r="UGI75" s="53"/>
      <c r="UGJ75" s="53"/>
      <c r="UGK75" s="53"/>
      <c r="UGL75" s="53"/>
      <c r="UGM75" s="53"/>
      <c r="UGN75" s="53"/>
      <c r="UGO75" s="53"/>
      <c r="UGP75" s="53"/>
      <c r="UGQ75" s="53"/>
      <c r="UGR75" s="53"/>
      <c r="UGS75" s="53"/>
      <c r="UGT75" s="53"/>
      <c r="UGU75" s="53"/>
      <c r="UGV75" s="53"/>
      <c r="UGW75" s="53"/>
      <c r="UGX75" s="53"/>
      <c r="UGY75" s="53"/>
      <c r="UGZ75" s="53"/>
      <c r="UHA75" s="53"/>
      <c r="UHB75" s="53"/>
      <c r="UHC75" s="53"/>
      <c r="UHD75" s="53"/>
      <c r="UHE75" s="53"/>
      <c r="UHF75" s="53"/>
      <c r="UHG75" s="53"/>
      <c r="UHH75" s="53"/>
      <c r="UHI75" s="53"/>
      <c r="UHJ75" s="53"/>
      <c r="UHK75" s="53"/>
      <c r="UHL75" s="53"/>
      <c r="UHM75" s="53"/>
      <c r="UHN75" s="53"/>
      <c r="UHO75" s="53"/>
      <c r="UHP75" s="53"/>
      <c r="UHQ75" s="53"/>
      <c r="UHR75" s="53"/>
      <c r="UHS75" s="53"/>
      <c r="UHT75" s="53"/>
      <c r="UHU75" s="53"/>
      <c r="UHV75" s="53"/>
      <c r="UHW75" s="53"/>
      <c r="UHX75" s="53"/>
      <c r="UHY75" s="53"/>
      <c r="UHZ75" s="53"/>
      <c r="UIA75" s="53"/>
      <c r="UIB75" s="53"/>
      <c r="UIC75" s="53"/>
      <c r="UID75" s="53"/>
      <c r="UIE75" s="53"/>
      <c r="UIF75" s="53"/>
      <c r="UIG75" s="53"/>
      <c r="UIH75" s="53"/>
      <c r="UII75" s="53"/>
      <c r="UIJ75" s="53"/>
      <c r="UIK75" s="53"/>
      <c r="UIL75" s="53"/>
      <c r="UIM75" s="53"/>
      <c r="UIN75" s="53"/>
      <c r="UIO75" s="53"/>
      <c r="UIP75" s="53"/>
      <c r="UIQ75" s="53"/>
      <c r="UIR75" s="53"/>
      <c r="UIS75" s="53"/>
      <c r="UIT75" s="53"/>
      <c r="UIU75" s="53"/>
      <c r="UIV75" s="53"/>
      <c r="UIW75" s="53"/>
      <c r="UIX75" s="53"/>
      <c r="UIY75" s="53"/>
      <c r="UIZ75" s="53"/>
      <c r="UJA75" s="53"/>
      <c r="UJB75" s="53"/>
      <c r="UJC75" s="53"/>
      <c r="UJD75" s="53"/>
      <c r="UJE75" s="53"/>
      <c r="UJF75" s="53"/>
      <c r="UJG75" s="53"/>
      <c r="UJH75" s="53"/>
      <c r="UJI75" s="53"/>
      <c r="UJJ75" s="53"/>
      <c r="UJK75" s="53"/>
      <c r="UJL75" s="53"/>
      <c r="UJM75" s="53"/>
      <c r="UJN75" s="53"/>
      <c r="UJO75" s="53"/>
      <c r="UJP75" s="53"/>
      <c r="UJQ75" s="53"/>
      <c r="UJR75" s="53"/>
      <c r="UJS75" s="53"/>
      <c r="UJT75" s="53"/>
      <c r="UJU75" s="53"/>
      <c r="UJV75" s="53"/>
      <c r="UJW75" s="53"/>
      <c r="UJX75" s="53"/>
      <c r="UJY75" s="53"/>
      <c r="UJZ75" s="53"/>
      <c r="UKA75" s="53"/>
      <c r="UKB75" s="53"/>
      <c r="UKC75" s="53"/>
      <c r="UKD75" s="53"/>
      <c r="UKE75" s="53"/>
      <c r="UKF75" s="53"/>
      <c r="UKG75" s="53"/>
      <c r="UKH75" s="53"/>
      <c r="UKI75" s="53"/>
      <c r="UKJ75" s="53"/>
      <c r="UKK75" s="53"/>
      <c r="UKL75" s="53"/>
      <c r="UKM75" s="53"/>
      <c r="UKN75" s="53"/>
      <c r="UKO75" s="53"/>
      <c r="UKP75" s="53"/>
      <c r="UKQ75" s="53"/>
      <c r="UKR75" s="53"/>
      <c r="UKS75" s="53"/>
      <c r="UKT75" s="53"/>
      <c r="UKU75" s="53"/>
      <c r="UKV75" s="53"/>
      <c r="UKW75" s="53"/>
      <c r="UKX75" s="53"/>
      <c r="UKY75" s="53"/>
      <c r="UKZ75" s="53"/>
      <c r="ULA75" s="53"/>
      <c r="ULB75" s="53"/>
      <c r="ULC75" s="53"/>
      <c r="ULD75" s="53"/>
      <c r="ULE75" s="53"/>
      <c r="ULF75" s="53"/>
      <c r="ULG75" s="53"/>
      <c r="ULH75" s="53"/>
      <c r="ULI75" s="53"/>
      <c r="ULJ75" s="53"/>
      <c r="ULK75" s="53"/>
      <c r="ULL75" s="53"/>
      <c r="ULM75" s="53"/>
      <c r="ULN75" s="53"/>
      <c r="ULO75" s="53"/>
      <c r="ULP75" s="53"/>
      <c r="ULQ75" s="53"/>
      <c r="ULR75" s="53"/>
      <c r="ULS75" s="53"/>
      <c r="ULT75" s="53"/>
      <c r="ULU75" s="53"/>
      <c r="ULV75" s="53"/>
      <c r="ULW75" s="53"/>
      <c r="ULX75" s="53"/>
      <c r="ULY75" s="53"/>
      <c r="ULZ75" s="53"/>
      <c r="UMA75" s="53"/>
      <c r="UMB75" s="53"/>
      <c r="UMC75" s="53"/>
      <c r="UMD75" s="53"/>
      <c r="UME75" s="53"/>
      <c r="UMF75" s="53"/>
      <c r="UMG75" s="53"/>
      <c r="UMH75" s="53"/>
      <c r="UMI75" s="53"/>
      <c r="UMJ75" s="53"/>
      <c r="UMK75" s="53"/>
      <c r="UML75" s="53"/>
      <c r="UMM75" s="53"/>
      <c r="UMN75" s="53"/>
      <c r="UMO75" s="53"/>
      <c r="UMP75" s="53"/>
      <c r="UMQ75" s="53"/>
      <c r="UMR75" s="53"/>
      <c r="UMS75" s="53"/>
      <c r="UMT75" s="53"/>
      <c r="UMU75" s="53"/>
      <c r="UMV75" s="53"/>
      <c r="UMW75" s="53"/>
      <c r="UMX75" s="53"/>
      <c r="UMY75" s="53"/>
      <c r="UMZ75" s="53"/>
      <c r="UNA75" s="53"/>
      <c r="UNB75" s="53"/>
      <c r="UNC75" s="53"/>
      <c r="UND75" s="53"/>
      <c r="UNE75" s="53"/>
      <c r="UNF75" s="53"/>
      <c r="UNG75" s="53"/>
      <c r="UNH75" s="53"/>
      <c r="UNI75" s="53"/>
      <c r="UNJ75" s="53"/>
      <c r="UNK75" s="53"/>
      <c r="UNL75" s="53"/>
      <c r="UNM75" s="53"/>
      <c r="UNN75" s="53"/>
      <c r="UNO75" s="53"/>
      <c r="UNP75" s="53"/>
      <c r="UNQ75" s="53"/>
      <c r="UNR75" s="53"/>
      <c r="UNS75" s="53"/>
      <c r="UNT75" s="53"/>
      <c r="UNU75" s="53"/>
      <c r="UNV75" s="53"/>
      <c r="UNW75" s="53"/>
      <c r="UNX75" s="53"/>
      <c r="UNY75" s="53"/>
      <c r="UNZ75" s="53"/>
      <c r="UOA75" s="53"/>
      <c r="UOB75" s="53"/>
      <c r="UOC75" s="53"/>
      <c r="UOD75" s="53"/>
      <c r="UOE75" s="53"/>
      <c r="UOF75" s="53"/>
      <c r="UOG75" s="53"/>
      <c r="UOH75" s="53"/>
      <c r="UOI75" s="53"/>
      <c r="UOJ75" s="53"/>
      <c r="UOK75" s="53"/>
      <c r="UOL75" s="53"/>
      <c r="UOM75" s="53"/>
      <c r="UON75" s="53"/>
      <c r="UOO75" s="53"/>
      <c r="UOP75" s="53"/>
      <c r="UOQ75" s="53"/>
      <c r="UOR75" s="53"/>
      <c r="UOS75" s="53"/>
      <c r="UOT75" s="53"/>
      <c r="UOU75" s="53"/>
      <c r="UOV75" s="53"/>
      <c r="UOW75" s="53"/>
      <c r="UOX75" s="53"/>
      <c r="UOY75" s="53"/>
      <c r="UOZ75" s="53"/>
      <c r="UPA75" s="53"/>
      <c r="UPB75" s="53"/>
      <c r="UPC75" s="53"/>
      <c r="UPD75" s="53"/>
      <c r="UPE75" s="53"/>
      <c r="UPF75" s="53"/>
      <c r="UPG75" s="53"/>
      <c r="UPH75" s="53"/>
      <c r="UPI75" s="53"/>
      <c r="UPJ75" s="53"/>
      <c r="UPK75" s="53"/>
      <c r="UPL75" s="53"/>
      <c r="UPM75" s="53"/>
      <c r="UPN75" s="53"/>
      <c r="UPO75" s="53"/>
      <c r="UPP75" s="53"/>
      <c r="UPQ75" s="53"/>
      <c r="UPR75" s="53"/>
      <c r="UPS75" s="53"/>
      <c r="UPT75" s="53"/>
      <c r="UPU75" s="53"/>
      <c r="UPV75" s="53"/>
      <c r="UPW75" s="53"/>
      <c r="UPX75" s="53"/>
      <c r="UPY75" s="53"/>
      <c r="UPZ75" s="53"/>
      <c r="UQA75" s="53"/>
      <c r="UQB75" s="53"/>
      <c r="UQC75" s="53"/>
      <c r="UQD75" s="53"/>
      <c r="UQE75" s="53"/>
      <c r="UQF75" s="53"/>
      <c r="UQG75" s="53"/>
      <c r="UQH75" s="53"/>
      <c r="UQI75" s="53"/>
      <c r="UQJ75" s="53"/>
      <c r="UQK75" s="53"/>
      <c r="UQL75" s="53"/>
      <c r="UQM75" s="53"/>
      <c r="UQN75" s="53"/>
      <c r="UQO75" s="53"/>
      <c r="UQP75" s="53"/>
      <c r="UQQ75" s="53"/>
      <c r="UQR75" s="53"/>
      <c r="UQS75" s="53"/>
      <c r="UQT75" s="53"/>
      <c r="UQU75" s="53"/>
      <c r="UQV75" s="53"/>
      <c r="UQW75" s="53"/>
      <c r="UQX75" s="53"/>
      <c r="UQY75" s="53"/>
      <c r="UQZ75" s="53"/>
      <c r="URA75" s="53"/>
      <c r="URB75" s="53"/>
      <c r="URC75" s="53"/>
      <c r="URD75" s="53"/>
      <c r="URE75" s="53"/>
      <c r="URF75" s="53"/>
      <c r="URG75" s="53"/>
      <c r="URH75" s="53"/>
      <c r="URI75" s="53"/>
      <c r="URJ75" s="53"/>
      <c r="URK75" s="53"/>
      <c r="URL75" s="53"/>
      <c r="URM75" s="53"/>
      <c r="URN75" s="53"/>
      <c r="URO75" s="53"/>
      <c r="URP75" s="53"/>
      <c r="URQ75" s="53"/>
      <c r="URR75" s="53"/>
      <c r="URS75" s="53"/>
      <c r="URT75" s="53"/>
      <c r="URU75" s="53"/>
      <c r="URV75" s="53"/>
      <c r="URW75" s="53"/>
      <c r="URX75" s="53"/>
      <c r="URY75" s="53"/>
      <c r="URZ75" s="53"/>
      <c r="USA75" s="53"/>
      <c r="USB75" s="53"/>
      <c r="USC75" s="53"/>
      <c r="USD75" s="53"/>
      <c r="USE75" s="53"/>
      <c r="USF75" s="53"/>
      <c r="USG75" s="53"/>
      <c r="USH75" s="53"/>
      <c r="USI75" s="53"/>
      <c r="USJ75" s="53"/>
      <c r="USK75" s="53"/>
      <c r="USL75" s="53"/>
      <c r="USM75" s="53"/>
      <c r="USN75" s="53"/>
      <c r="USO75" s="53"/>
      <c r="USP75" s="53"/>
      <c r="USQ75" s="53"/>
      <c r="USR75" s="53"/>
      <c r="USS75" s="53"/>
      <c r="UST75" s="53"/>
      <c r="USU75" s="53"/>
      <c r="USV75" s="53"/>
      <c r="USW75" s="53"/>
      <c r="USX75" s="53"/>
      <c r="USY75" s="53"/>
      <c r="USZ75" s="53"/>
      <c r="UTA75" s="53"/>
      <c r="UTB75" s="53"/>
      <c r="UTC75" s="53"/>
      <c r="UTD75" s="53"/>
      <c r="UTE75" s="53"/>
      <c r="UTF75" s="53"/>
      <c r="UTG75" s="53"/>
      <c r="UTH75" s="53"/>
      <c r="UTI75" s="53"/>
      <c r="UTJ75" s="53"/>
      <c r="UTK75" s="53"/>
      <c r="UTL75" s="53"/>
      <c r="UTM75" s="53"/>
      <c r="UTN75" s="53"/>
      <c r="UTO75" s="53"/>
      <c r="UTP75" s="53"/>
      <c r="UTQ75" s="53"/>
      <c r="UTR75" s="53"/>
      <c r="UTS75" s="53"/>
      <c r="UTT75" s="53"/>
      <c r="UTU75" s="53"/>
      <c r="UTV75" s="53"/>
      <c r="UTW75" s="53"/>
      <c r="UTX75" s="53"/>
      <c r="UTY75" s="53"/>
      <c r="UTZ75" s="53"/>
      <c r="UUA75" s="53"/>
      <c r="UUB75" s="53"/>
      <c r="UUC75" s="53"/>
      <c r="UUD75" s="53"/>
      <c r="UUE75" s="53"/>
      <c r="UUF75" s="53"/>
      <c r="UUG75" s="53"/>
      <c r="UUH75" s="53"/>
      <c r="UUI75" s="53"/>
      <c r="UUJ75" s="53"/>
      <c r="UUK75" s="53"/>
      <c r="UUL75" s="53"/>
      <c r="UUM75" s="53"/>
      <c r="UUN75" s="53"/>
      <c r="UUO75" s="53"/>
      <c r="UUP75" s="53"/>
      <c r="UUQ75" s="53"/>
      <c r="UUR75" s="53"/>
      <c r="UUS75" s="53"/>
      <c r="UUT75" s="53"/>
      <c r="UUU75" s="53"/>
      <c r="UUV75" s="53"/>
      <c r="UUW75" s="53"/>
      <c r="UUX75" s="53"/>
      <c r="UUY75" s="53"/>
      <c r="UUZ75" s="53"/>
      <c r="UVA75" s="53"/>
      <c r="UVB75" s="53"/>
      <c r="UVC75" s="53"/>
      <c r="UVD75" s="53"/>
      <c r="UVE75" s="53"/>
      <c r="UVF75" s="53"/>
      <c r="UVG75" s="53"/>
      <c r="UVH75" s="53"/>
      <c r="UVI75" s="53"/>
      <c r="UVJ75" s="53"/>
      <c r="UVK75" s="53"/>
      <c r="UVL75" s="53"/>
      <c r="UVM75" s="53"/>
      <c r="UVN75" s="53"/>
      <c r="UVO75" s="53"/>
      <c r="UVP75" s="53"/>
      <c r="UVQ75" s="53"/>
      <c r="UVR75" s="53"/>
      <c r="UVS75" s="53"/>
      <c r="UVT75" s="53"/>
      <c r="UVU75" s="53"/>
      <c r="UVV75" s="53"/>
      <c r="UVW75" s="53"/>
      <c r="UVX75" s="53"/>
      <c r="UVY75" s="53"/>
      <c r="UVZ75" s="53"/>
      <c r="UWA75" s="53"/>
      <c r="UWB75" s="53"/>
      <c r="UWC75" s="53"/>
      <c r="UWD75" s="53"/>
      <c r="UWE75" s="53"/>
      <c r="UWF75" s="53"/>
      <c r="UWG75" s="53"/>
      <c r="UWH75" s="53"/>
      <c r="UWI75" s="53"/>
      <c r="UWJ75" s="53"/>
      <c r="UWK75" s="53"/>
      <c r="UWL75" s="53"/>
      <c r="UWM75" s="53"/>
      <c r="UWN75" s="53"/>
      <c r="UWO75" s="53"/>
      <c r="UWP75" s="53"/>
      <c r="UWQ75" s="53"/>
      <c r="UWR75" s="53"/>
      <c r="UWS75" s="53"/>
      <c r="UWT75" s="53"/>
      <c r="UWU75" s="53"/>
      <c r="UWV75" s="53"/>
      <c r="UWW75" s="53"/>
      <c r="UWX75" s="53"/>
      <c r="UWY75" s="53"/>
      <c r="UWZ75" s="53"/>
      <c r="UXA75" s="53"/>
      <c r="UXB75" s="53"/>
      <c r="UXC75" s="53"/>
      <c r="UXD75" s="53"/>
      <c r="UXE75" s="53"/>
      <c r="UXF75" s="53"/>
      <c r="UXG75" s="53"/>
      <c r="UXH75" s="53"/>
      <c r="UXI75" s="53"/>
      <c r="UXJ75" s="53"/>
      <c r="UXK75" s="53"/>
      <c r="UXL75" s="53"/>
      <c r="UXM75" s="53"/>
      <c r="UXN75" s="53"/>
      <c r="UXO75" s="53"/>
      <c r="UXP75" s="53"/>
      <c r="UXQ75" s="53"/>
      <c r="UXR75" s="53"/>
      <c r="UXS75" s="53"/>
      <c r="UXT75" s="53"/>
      <c r="UXU75" s="53"/>
      <c r="UXV75" s="53"/>
      <c r="UXW75" s="53"/>
      <c r="UXX75" s="53"/>
      <c r="UXY75" s="53"/>
      <c r="UXZ75" s="53"/>
      <c r="UYA75" s="53"/>
      <c r="UYB75" s="53"/>
      <c r="UYC75" s="53"/>
      <c r="UYD75" s="53"/>
      <c r="UYE75" s="53"/>
      <c r="UYF75" s="53"/>
      <c r="UYG75" s="53"/>
      <c r="UYH75" s="53"/>
      <c r="UYI75" s="53"/>
      <c r="UYJ75" s="53"/>
      <c r="UYK75" s="53"/>
      <c r="UYL75" s="53"/>
      <c r="UYM75" s="53"/>
      <c r="UYN75" s="53"/>
      <c r="UYO75" s="53"/>
      <c r="UYP75" s="53"/>
      <c r="UYQ75" s="53"/>
      <c r="UYR75" s="53"/>
      <c r="UYS75" s="53"/>
      <c r="UYT75" s="53"/>
      <c r="UYU75" s="53"/>
      <c r="UYV75" s="53"/>
      <c r="UYW75" s="53"/>
      <c r="UYX75" s="53"/>
      <c r="UYY75" s="53"/>
      <c r="UYZ75" s="53"/>
      <c r="UZA75" s="53"/>
      <c r="UZB75" s="53"/>
      <c r="UZC75" s="53"/>
      <c r="UZD75" s="53"/>
      <c r="UZE75" s="53"/>
      <c r="UZF75" s="53"/>
      <c r="UZG75" s="53"/>
      <c r="UZH75" s="53"/>
      <c r="UZI75" s="53"/>
      <c r="UZJ75" s="53"/>
      <c r="UZK75" s="53"/>
      <c r="UZL75" s="53"/>
      <c r="UZM75" s="53"/>
      <c r="UZN75" s="53"/>
      <c r="UZO75" s="53"/>
      <c r="UZP75" s="53"/>
      <c r="UZQ75" s="53"/>
      <c r="UZR75" s="53"/>
      <c r="UZS75" s="53"/>
      <c r="UZT75" s="53"/>
      <c r="UZU75" s="53"/>
      <c r="UZV75" s="53"/>
      <c r="UZW75" s="53"/>
      <c r="UZX75" s="53"/>
      <c r="UZY75" s="53"/>
      <c r="UZZ75" s="53"/>
      <c r="VAA75" s="53"/>
      <c r="VAB75" s="53"/>
      <c r="VAC75" s="53"/>
      <c r="VAD75" s="53"/>
      <c r="VAE75" s="53"/>
      <c r="VAF75" s="53"/>
      <c r="VAG75" s="53"/>
      <c r="VAH75" s="53"/>
      <c r="VAI75" s="53"/>
      <c r="VAJ75" s="53"/>
      <c r="VAK75" s="53"/>
      <c r="VAL75" s="53"/>
      <c r="VAM75" s="53"/>
      <c r="VAN75" s="53"/>
      <c r="VAO75" s="53"/>
      <c r="VAP75" s="53"/>
      <c r="VAQ75" s="53"/>
      <c r="VAR75" s="53"/>
      <c r="VAS75" s="53"/>
      <c r="VAT75" s="53"/>
      <c r="VAU75" s="53"/>
      <c r="VAV75" s="53"/>
      <c r="VAW75" s="53"/>
      <c r="VAX75" s="53"/>
      <c r="VAY75" s="53"/>
      <c r="VAZ75" s="53"/>
      <c r="VBA75" s="53"/>
      <c r="VBB75" s="53"/>
      <c r="VBC75" s="53"/>
      <c r="VBD75" s="53"/>
      <c r="VBE75" s="53"/>
      <c r="VBF75" s="53"/>
      <c r="VBG75" s="53"/>
      <c r="VBH75" s="53"/>
      <c r="VBI75" s="53"/>
      <c r="VBJ75" s="53"/>
      <c r="VBK75" s="53"/>
      <c r="VBL75" s="53"/>
      <c r="VBM75" s="53"/>
      <c r="VBN75" s="53"/>
      <c r="VBO75" s="53"/>
      <c r="VBP75" s="53"/>
      <c r="VBQ75" s="53"/>
      <c r="VBR75" s="53"/>
      <c r="VBS75" s="53"/>
      <c r="VBT75" s="53"/>
      <c r="VBU75" s="53"/>
      <c r="VBV75" s="53"/>
      <c r="VBW75" s="53"/>
      <c r="VBX75" s="53"/>
      <c r="VBY75" s="53"/>
      <c r="VBZ75" s="53"/>
      <c r="VCA75" s="53"/>
      <c r="VCB75" s="53"/>
      <c r="VCC75" s="53"/>
      <c r="VCD75" s="53"/>
      <c r="VCE75" s="53"/>
      <c r="VCF75" s="53"/>
      <c r="VCG75" s="53"/>
      <c r="VCH75" s="53"/>
      <c r="VCI75" s="53"/>
      <c r="VCJ75" s="53"/>
      <c r="VCK75" s="53"/>
      <c r="VCL75" s="53"/>
      <c r="VCM75" s="53"/>
      <c r="VCN75" s="53"/>
      <c r="VCO75" s="53"/>
      <c r="VCP75" s="53"/>
      <c r="VCQ75" s="53"/>
      <c r="VCR75" s="53"/>
      <c r="VCS75" s="53"/>
      <c r="VCT75" s="53"/>
      <c r="VCU75" s="53"/>
      <c r="VCV75" s="53"/>
      <c r="VCW75" s="53"/>
      <c r="VCX75" s="53"/>
      <c r="VCY75" s="53"/>
      <c r="VCZ75" s="53"/>
      <c r="VDA75" s="53"/>
      <c r="VDB75" s="53"/>
      <c r="VDC75" s="53"/>
      <c r="VDD75" s="53"/>
      <c r="VDE75" s="53"/>
      <c r="VDF75" s="53"/>
      <c r="VDG75" s="53"/>
      <c r="VDH75" s="53"/>
      <c r="VDI75" s="53"/>
      <c r="VDJ75" s="53"/>
      <c r="VDK75" s="53"/>
      <c r="VDL75" s="53"/>
      <c r="VDM75" s="53"/>
      <c r="VDN75" s="53"/>
      <c r="VDO75" s="53"/>
      <c r="VDP75" s="53"/>
      <c r="VDQ75" s="53"/>
      <c r="VDR75" s="53"/>
      <c r="VDS75" s="53"/>
      <c r="VDT75" s="53"/>
      <c r="VDU75" s="53"/>
      <c r="VDV75" s="53"/>
      <c r="VDW75" s="53"/>
      <c r="VDX75" s="53"/>
      <c r="VDY75" s="53"/>
      <c r="VDZ75" s="53"/>
      <c r="VEA75" s="53"/>
      <c r="VEB75" s="53"/>
      <c r="VEC75" s="53"/>
      <c r="VED75" s="53"/>
      <c r="VEE75" s="53"/>
      <c r="VEF75" s="53"/>
      <c r="VEG75" s="53"/>
      <c r="VEH75" s="53"/>
      <c r="VEI75" s="53"/>
      <c r="VEJ75" s="53"/>
      <c r="VEK75" s="53"/>
      <c r="VEL75" s="53"/>
      <c r="VEM75" s="53"/>
      <c r="VEN75" s="53"/>
      <c r="VEO75" s="53"/>
      <c r="VEP75" s="53"/>
      <c r="VEQ75" s="53"/>
      <c r="VER75" s="53"/>
      <c r="VES75" s="53"/>
      <c r="VET75" s="53"/>
      <c r="VEU75" s="53"/>
      <c r="VEV75" s="53"/>
      <c r="VEW75" s="53"/>
      <c r="VEX75" s="53"/>
      <c r="VEY75" s="53"/>
      <c r="VEZ75" s="53"/>
      <c r="VFA75" s="53"/>
      <c r="VFB75" s="53"/>
      <c r="VFC75" s="53"/>
      <c r="VFD75" s="53"/>
      <c r="VFE75" s="53"/>
      <c r="VFF75" s="53"/>
      <c r="VFG75" s="53"/>
      <c r="VFH75" s="53"/>
      <c r="VFI75" s="53"/>
      <c r="VFJ75" s="53"/>
      <c r="VFK75" s="53"/>
      <c r="VFL75" s="53"/>
      <c r="VFM75" s="53"/>
      <c r="VFN75" s="53"/>
      <c r="VFO75" s="53"/>
      <c r="VFP75" s="53"/>
      <c r="VFQ75" s="53"/>
      <c r="VFR75" s="53"/>
      <c r="VFS75" s="53"/>
      <c r="VFT75" s="53"/>
      <c r="VFU75" s="53"/>
      <c r="VFV75" s="53"/>
      <c r="VFW75" s="53"/>
      <c r="VFX75" s="53"/>
      <c r="VFY75" s="53"/>
      <c r="VFZ75" s="53"/>
      <c r="VGA75" s="53"/>
      <c r="VGB75" s="53"/>
      <c r="VGC75" s="53"/>
      <c r="VGD75" s="53"/>
      <c r="VGE75" s="53"/>
      <c r="VGF75" s="53"/>
      <c r="VGG75" s="53"/>
      <c r="VGH75" s="53"/>
      <c r="VGI75" s="53"/>
      <c r="VGJ75" s="53"/>
      <c r="VGK75" s="53"/>
      <c r="VGL75" s="53"/>
      <c r="VGM75" s="53"/>
      <c r="VGN75" s="53"/>
      <c r="VGO75" s="53"/>
      <c r="VGP75" s="53"/>
      <c r="VGQ75" s="53"/>
      <c r="VGR75" s="53"/>
      <c r="VGS75" s="53"/>
      <c r="VGT75" s="53"/>
      <c r="VGU75" s="53"/>
      <c r="VGV75" s="53"/>
      <c r="VGW75" s="53"/>
      <c r="VGX75" s="53"/>
      <c r="VGY75" s="53"/>
      <c r="VGZ75" s="53"/>
      <c r="VHA75" s="53"/>
      <c r="VHB75" s="53"/>
      <c r="VHC75" s="53"/>
      <c r="VHD75" s="53"/>
      <c r="VHE75" s="53"/>
      <c r="VHF75" s="53"/>
      <c r="VHG75" s="53"/>
      <c r="VHH75" s="53"/>
      <c r="VHI75" s="53"/>
      <c r="VHJ75" s="53"/>
      <c r="VHK75" s="53"/>
      <c r="VHL75" s="53"/>
      <c r="VHM75" s="53"/>
      <c r="VHN75" s="53"/>
      <c r="VHO75" s="53"/>
      <c r="VHP75" s="53"/>
      <c r="VHQ75" s="53"/>
      <c r="VHR75" s="53"/>
      <c r="VHS75" s="53"/>
      <c r="VHT75" s="53"/>
      <c r="VHU75" s="53"/>
      <c r="VHV75" s="53"/>
      <c r="VHW75" s="53"/>
      <c r="VHX75" s="53"/>
      <c r="VHY75" s="53"/>
      <c r="VHZ75" s="53"/>
      <c r="VIA75" s="53"/>
      <c r="VIB75" s="53"/>
      <c r="VIC75" s="53"/>
      <c r="VID75" s="53"/>
      <c r="VIE75" s="53"/>
      <c r="VIF75" s="53"/>
      <c r="VIG75" s="53"/>
      <c r="VIH75" s="53"/>
      <c r="VII75" s="53"/>
      <c r="VIJ75" s="53"/>
      <c r="VIK75" s="53"/>
      <c r="VIL75" s="53"/>
      <c r="VIM75" s="53"/>
      <c r="VIN75" s="53"/>
      <c r="VIO75" s="53"/>
      <c r="VIP75" s="53"/>
      <c r="VIQ75" s="53"/>
      <c r="VIR75" s="53"/>
      <c r="VIS75" s="53"/>
      <c r="VIT75" s="53"/>
      <c r="VIU75" s="53"/>
      <c r="VIV75" s="53"/>
      <c r="VIW75" s="53"/>
      <c r="VIX75" s="53"/>
      <c r="VIY75" s="53"/>
      <c r="VIZ75" s="53"/>
      <c r="VJA75" s="53"/>
      <c r="VJB75" s="53"/>
      <c r="VJC75" s="53"/>
      <c r="VJD75" s="53"/>
      <c r="VJE75" s="53"/>
      <c r="VJF75" s="53"/>
      <c r="VJG75" s="53"/>
      <c r="VJH75" s="53"/>
      <c r="VJI75" s="53"/>
      <c r="VJJ75" s="53"/>
      <c r="VJK75" s="53"/>
      <c r="VJL75" s="53"/>
      <c r="VJM75" s="53"/>
      <c r="VJN75" s="53"/>
      <c r="VJO75" s="53"/>
      <c r="VJP75" s="53"/>
      <c r="VJQ75" s="53"/>
      <c r="VJR75" s="53"/>
      <c r="VJS75" s="53"/>
      <c r="VJT75" s="53"/>
      <c r="VJU75" s="53"/>
      <c r="VJV75" s="53"/>
      <c r="VJW75" s="53"/>
      <c r="VJX75" s="53"/>
      <c r="VJY75" s="53"/>
      <c r="VJZ75" s="53"/>
      <c r="VKA75" s="53"/>
      <c r="VKB75" s="53"/>
      <c r="VKC75" s="53"/>
      <c r="VKD75" s="53"/>
      <c r="VKE75" s="53"/>
      <c r="VKF75" s="53"/>
      <c r="VKG75" s="53"/>
      <c r="VKH75" s="53"/>
      <c r="VKI75" s="53"/>
      <c r="VKJ75" s="53"/>
      <c r="VKK75" s="53"/>
      <c r="VKL75" s="53"/>
      <c r="VKM75" s="53"/>
      <c r="VKN75" s="53"/>
      <c r="VKO75" s="53"/>
      <c r="VKP75" s="53"/>
      <c r="VKQ75" s="53"/>
      <c r="VKR75" s="53"/>
      <c r="VKS75" s="53"/>
      <c r="VKT75" s="53"/>
      <c r="VKU75" s="53"/>
      <c r="VKV75" s="53"/>
      <c r="VKW75" s="53"/>
      <c r="VKX75" s="53"/>
      <c r="VKY75" s="53"/>
      <c r="VKZ75" s="53"/>
      <c r="VLA75" s="53"/>
      <c r="VLB75" s="53"/>
      <c r="VLC75" s="53"/>
      <c r="VLD75" s="53"/>
      <c r="VLE75" s="53"/>
      <c r="VLF75" s="53"/>
      <c r="VLG75" s="53"/>
      <c r="VLH75" s="53"/>
      <c r="VLI75" s="53"/>
      <c r="VLJ75" s="53"/>
      <c r="VLK75" s="53"/>
      <c r="VLL75" s="53"/>
      <c r="VLM75" s="53"/>
      <c r="VLN75" s="53"/>
      <c r="VLO75" s="53"/>
      <c r="VLP75" s="53"/>
      <c r="VLQ75" s="53"/>
      <c r="VLR75" s="53"/>
      <c r="VLS75" s="53"/>
      <c r="VLT75" s="53"/>
      <c r="VLU75" s="53"/>
      <c r="VLV75" s="53"/>
      <c r="VLW75" s="53"/>
      <c r="VLX75" s="53"/>
      <c r="VLY75" s="53"/>
      <c r="VLZ75" s="53"/>
      <c r="VMA75" s="53"/>
      <c r="VMB75" s="53"/>
      <c r="VMC75" s="53"/>
      <c r="VMD75" s="53"/>
      <c r="VME75" s="53"/>
      <c r="VMF75" s="53"/>
      <c r="VMG75" s="53"/>
      <c r="VMH75" s="53"/>
      <c r="VMI75" s="53"/>
      <c r="VMJ75" s="53"/>
      <c r="VMK75" s="53"/>
      <c r="VML75" s="53"/>
      <c r="VMM75" s="53"/>
      <c r="VMN75" s="53"/>
      <c r="VMO75" s="53"/>
      <c r="VMP75" s="53"/>
      <c r="VMQ75" s="53"/>
      <c r="VMR75" s="53"/>
      <c r="VMS75" s="53"/>
      <c r="VMT75" s="53"/>
      <c r="VMU75" s="53"/>
      <c r="VMV75" s="53"/>
      <c r="VMW75" s="53"/>
      <c r="VMX75" s="53"/>
      <c r="VMY75" s="53"/>
      <c r="VMZ75" s="53"/>
      <c r="VNA75" s="53"/>
      <c r="VNB75" s="53"/>
      <c r="VNC75" s="53"/>
      <c r="VND75" s="53"/>
      <c r="VNE75" s="53"/>
      <c r="VNF75" s="53"/>
      <c r="VNG75" s="53"/>
      <c r="VNH75" s="53"/>
      <c r="VNI75" s="53"/>
      <c r="VNJ75" s="53"/>
      <c r="VNK75" s="53"/>
      <c r="VNL75" s="53"/>
      <c r="VNM75" s="53"/>
      <c r="VNN75" s="53"/>
      <c r="VNO75" s="53"/>
      <c r="VNP75" s="53"/>
      <c r="VNQ75" s="53"/>
      <c r="VNR75" s="53"/>
      <c r="VNS75" s="53"/>
      <c r="VNT75" s="53"/>
      <c r="VNU75" s="53"/>
      <c r="VNV75" s="53"/>
      <c r="VNW75" s="53"/>
      <c r="VNX75" s="53"/>
      <c r="VNY75" s="53"/>
      <c r="VNZ75" s="53"/>
      <c r="VOA75" s="53"/>
      <c r="VOB75" s="53"/>
      <c r="VOC75" s="53"/>
      <c r="VOD75" s="53"/>
      <c r="VOE75" s="53"/>
      <c r="VOF75" s="53"/>
      <c r="VOG75" s="53"/>
      <c r="VOH75" s="53"/>
      <c r="VOI75" s="53"/>
      <c r="VOJ75" s="53"/>
      <c r="VOK75" s="53"/>
      <c r="VOL75" s="53"/>
      <c r="VOM75" s="53"/>
      <c r="VON75" s="53"/>
      <c r="VOO75" s="53"/>
      <c r="VOP75" s="53"/>
      <c r="VOQ75" s="53"/>
      <c r="VOR75" s="53"/>
      <c r="VOS75" s="53"/>
      <c r="VOT75" s="53"/>
      <c r="VOU75" s="53"/>
      <c r="VOV75" s="53"/>
      <c r="VOW75" s="53"/>
      <c r="VOX75" s="53"/>
      <c r="VOY75" s="53"/>
      <c r="VOZ75" s="53"/>
      <c r="VPA75" s="53"/>
      <c r="VPB75" s="53"/>
      <c r="VPC75" s="53"/>
      <c r="VPD75" s="53"/>
      <c r="VPE75" s="53"/>
      <c r="VPF75" s="53"/>
      <c r="VPG75" s="53"/>
      <c r="VPH75" s="53"/>
      <c r="VPI75" s="53"/>
      <c r="VPJ75" s="53"/>
      <c r="VPK75" s="53"/>
      <c r="VPL75" s="53"/>
      <c r="VPM75" s="53"/>
      <c r="VPN75" s="53"/>
      <c r="VPO75" s="53"/>
      <c r="VPP75" s="53"/>
      <c r="VPQ75" s="53"/>
      <c r="VPR75" s="53"/>
      <c r="VPS75" s="53"/>
      <c r="VPT75" s="53"/>
      <c r="VPU75" s="53"/>
      <c r="VPV75" s="53"/>
      <c r="VPW75" s="53"/>
      <c r="VPX75" s="53"/>
      <c r="VPY75" s="53"/>
      <c r="VPZ75" s="53"/>
      <c r="VQA75" s="53"/>
      <c r="VQB75" s="53"/>
      <c r="VQC75" s="53"/>
      <c r="VQD75" s="53"/>
      <c r="VQE75" s="53"/>
      <c r="VQF75" s="53"/>
      <c r="VQG75" s="53"/>
      <c r="VQH75" s="53"/>
      <c r="VQI75" s="53"/>
      <c r="VQJ75" s="53"/>
      <c r="VQK75" s="53"/>
      <c r="VQL75" s="53"/>
      <c r="VQM75" s="53"/>
      <c r="VQN75" s="53"/>
      <c r="VQO75" s="53"/>
      <c r="VQP75" s="53"/>
      <c r="VQQ75" s="53"/>
      <c r="VQR75" s="53"/>
      <c r="VQS75" s="53"/>
      <c r="VQT75" s="53"/>
      <c r="VQU75" s="53"/>
      <c r="VQV75" s="53"/>
      <c r="VQW75" s="53"/>
      <c r="VQX75" s="53"/>
      <c r="VQY75" s="53"/>
      <c r="VQZ75" s="53"/>
      <c r="VRA75" s="53"/>
      <c r="VRB75" s="53"/>
      <c r="VRC75" s="53"/>
      <c r="VRD75" s="53"/>
      <c r="VRE75" s="53"/>
      <c r="VRF75" s="53"/>
      <c r="VRG75" s="53"/>
      <c r="VRH75" s="53"/>
      <c r="VRI75" s="53"/>
      <c r="VRJ75" s="53"/>
      <c r="VRK75" s="53"/>
      <c r="VRL75" s="53"/>
      <c r="VRM75" s="53"/>
      <c r="VRN75" s="53"/>
      <c r="VRO75" s="53"/>
      <c r="VRP75" s="53"/>
      <c r="VRQ75" s="53"/>
      <c r="VRR75" s="53"/>
      <c r="VRS75" s="53"/>
      <c r="VRT75" s="53"/>
      <c r="VRU75" s="53"/>
      <c r="VRV75" s="53"/>
      <c r="VRW75" s="53"/>
      <c r="VRX75" s="53"/>
      <c r="VRY75" s="53"/>
      <c r="VRZ75" s="53"/>
      <c r="VSA75" s="53"/>
      <c r="VSB75" s="53"/>
      <c r="VSC75" s="53"/>
      <c r="VSD75" s="53"/>
      <c r="VSE75" s="53"/>
      <c r="VSF75" s="53"/>
      <c r="VSG75" s="53"/>
      <c r="VSH75" s="53"/>
      <c r="VSI75" s="53"/>
      <c r="VSJ75" s="53"/>
      <c r="VSK75" s="53"/>
      <c r="VSL75" s="53"/>
      <c r="VSM75" s="53"/>
      <c r="VSN75" s="53"/>
      <c r="VSO75" s="53"/>
      <c r="VSP75" s="53"/>
      <c r="VSQ75" s="53"/>
      <c r="VSR75" s="53"/>
      <c r="VSS75" s="53"/>
      <c r="VST75" s="53"/>
      <c r="VSU75" s="53"/>
      <c r="VSV75" s="53"/>
      <c r="VSW75" s="53"/>
      <c r="VSX75" s="53"/>
      <c r="VSY75" s="53"/>
      <c r="VSZ75" s="53"/>
      <c r="VTA75" s="53"/>
      <c r="VTB75" s="53"/>
      <c r="VTC75" s="53"/>
      <c r="VTD75" s="53"/>
      <c r="VTE75" s="53"/>
      <c r="VTF75" s="53"/>
      <c r="VTG75" s="53"/>
      <c r="VTH75" s="53"/>
      <c r="VTI75" s="53"/>
      <c r="VTJ75" s="53"/>
      <c r="VTK75" s="53"/>
      <c r="VTL75" s="53"/>
      <c r="VTM75" s="53"/>
      <c r="VTN75" s="53"/>
      <c r="VTO75" s="53"/>
      <c r="VTP75" s="53"/>
      <c r="VTQ75" s="53"/>
      <c r="VTR75" s="53"/>
      <c r="VTS75" s="53"/>
      <c r="VTT75" s="53"/>
      <c r="VTU75" s="53"/>
      <c r="VTV75" s="53"/>
      <c r="VTW75" s="53"/>
      <c r="VTX75" s="53"/>
      <c r="VTY75" s="53"/>
      <c r="VTZ75" s="53"/>
      <c r="VUA75" s="53"/>
      <c r="VUB75" s="53"/>
      <c r="VUC75" s="53"/>
      <c r="VUD75" s="53"/>
      <c r="VUE75" s="53"/>
      <c r="VUF75" s="53"/>
      <c r="VUG75" s="53"/>
      <c r="VUH75" s="53"/>
      <c r="VUI75" s="53"/>
      <c r="VUJ75" s="53"/>
      <c r="VUK75" s="53"/>
      <c r="VUL75" s="53"/>
      <c r="VUM75" s="53"/>
      <c r="VUN75" s="53"/>
      <c r="VUO75" s="53"/>
      <c r="VUP75" s="53"/>
      <c r="VUQ75" s="53"/>
      <c r="VUR75" s="53"/>
      <c r="VUS75" s="53"/>
      <c r="VUT75" s="53"/>
      <c r="VUU75" s="53"/>
      <c r="VUV75" s="53"/>
      <c r="VUW75" s="53"/>
      <c r="VUX75" s="53"/>
      <c r="VUY75" s="53"/>
      <c r="VUZ75" s="53"/>
      <c r="VVA75" s="53"/>
      <c r="VVB75" s="53"/>
      <c r="VVC75" s="53"/>
      <c r="VVD75" s="53"/>
      <c r="VVE75" s="53"/>
      <c r="VVF75" s="53"/>
      <c r="VVG75" s="53"/>
      <c r="VVH75" s="53"/>
      <c r="VVI75" s="53"/>
      <c r="VVJ75" s="53"/>
      <c r="VVK75" s="53"/>
      <c r="VVL75" s="53"/>
      <c r="VVM75" s="53"/>
      <c r="VVN75" s="53"/>
      <c r="VVO75" s="53"/>
      <c r="VVP75" s="53"/>
      <c r="VVQ75" s="53"/>
      <c r="VVR75" s="53"/>
      <c r="VVS75" s="53"/>
      <c r="VVT75" s="53"/>
      <c r="VVU75" s="53"/>
      <c r="VVV75" s="53"/>
      <c r="VVW75" s="53"/>
      <c r="VVX75" s="53"/>
      <c r="VVY75" s="53"/>
      <c r="VVZ75" s="53"/>
      <c r="VWA75" s="53"/>
      <c r="VWB75" s="53"/>
      <c r="VWC75" s="53"/>
      <c r="VWD75" s="53"/>
      <c r="VWE75" s="53"/>
      <c r="VWF75" s="53"/>
      <c r="VWG75" s="53"/>
      <c r="VWH75" s="53"/>
      <c r="VWI75" s="53"/>
      <c r="VWJ75" s="53"/>
      <c r="VWK75" s="53"/>
      <c r="VWL75" s="53"/>
      <c r="VWM75" s="53"/>
      <c r="VWN75" s="53"/>
      <c r="VWO75" s="53"/>
      <c r="VWP75" s="53"/>
      <c r="VWQ75" s="53"/>
      <c r="VWR75" s="53"/>
      <c r="VWS75" s="53"/>
      <c r="VWT75" s="53"/>
      <c r="VWU75" s="53"/>
      <c r="VWV75" s="53"/>
      <c r="VWW75" s="53"/>
      <c r="VWX75" s="53"/>
      <c r="VWY75" s="53"/>
      <c r="VWZ75" s="53"/>
      <c r="VXA75" s="53"/>
      <c r="VXB75" s="53"/>
      <c r="VXC75" s="53"/>
      <c r="VXD75" s="53"/>
      <c r="VXE75" s="53"/>
      <c r="VXF75" s="53"/>
      <c r="VXG75" s="53"/>
      <c r="VXH75" s="53"/>
      <c r="VXI75" s="53"/>
      <c r="VXJ75" s="53"/>
      <c r="VXK75" s="53"/>
      <c r="VXL75" s="53"/>
      <c r="VXM75" s="53"/>
      <c r="VXN75" s="53"/>
      <c r="VXO75" s="53"/>
      <c r="VXP75" s="53"/>
      <c r="VXQ75" s="53"/>
      <c r="VXR75" s="53"/>
      <c r="VXS75" s="53"/>
      <c r="VXT75" s="53"/>
      <c r="VXU75" s="53"/>
      <c r="VXV75" s="53"/>
      <c r="VXW75" s="53"/>
      <c r="VXX75" s="53"/>
      <c r="VXY75" s="53"/>
      <c r="VXZ75" s="53"/>
      <c r="VYA75" s="53"/>
      <c r="VYB75" s="53"/>
      <c r="VYC75" s="53"/>
      <c r="VYD75" s="53"/>
      <c r="VYE75" s="53"/>
      <c r="VYF75" s="53"/>
      <c r="VYG75" s="53"/>
      <c r="VYH75" s="53"/>
      <c r="VYI75" s="53"/>
      <c r="VYJ75" s="53"/>
      <c r="VYK75" s="53"/>
      <c r="VYL75" s="53"/>
      <c r="VYM75" s="53"/>
      <c r="VYN75" s="53"/>
      <c r="VYO75" s="53"/>
      <c r="VYP75" s="53"/>
      <c r="VYQ75" s="53"/>
      <c r="VYR75" s="53"/>
      <c r="VYS75" s="53"/>
      <c r="VYT75" s="53"/>
      <c r="VYU75" s="53"/>
      <c r="VYV75" s="53"/>
      <c r="VYW75" s="53"/>
      <c r="VYX75" s="53"/>
      <c r="VYY75" s="53"/>
      <c r="VYZ75" s="53"/>
      <c r="VZA75" s="53"/>
      <c r="VZB75" s="53"/>
      <c r="VZC75" s="53"/>
      <c r="VZD75" s="53"/>
      <c r="VZE75" s="53"/>
      <c r="VZF75" s="53"/>
      <c r="VZG75" s="53"/>
      <c r="VZH75" s="53"/>
      <c r="VZI75" s="53"/>
      <c r="VZJ75" s="53"/>
      <c r="VZK75" s="53"/>
      <c r="VZL75" s="53"/>
      <c r="VZM75" s="53"/>
      <c r="VZN75" s="53"/>
      <c r="VZO75" s="53"/>
      <c r="VZP75" s="53"/>
      <c r="VZQ75" s="53"/>
      <c r="VZR75" s="53"/>
      <c r="VZS75" s="53"/>
      <c r="VZT75" s="53"/>
      <c r="VZU75" s="53"/>
      <c r="VZV75" s="53"/>
      <c r="VZW75" s="53"/>
      <c r="VZX75" s="53"/>
      <c r="VZY75" s="53"/>
      <c r="VZZ75" s="53"/>
      <c r="WAA75" s="53"/>
      <c r="WAB75" s="53"/>
      <c r="WAC75" s="53"/>
      <c r="WAD75" s="53"/>
      <c r="WAE75" s="53"/>
      <c r="WAF75" s="53"/>
      <c r="WAG75" s="53"/>
      <c r="WAH75" s="53"/>
      <c r="WAI75" s="53"/>
      <c r="WAJ75" s="53"/>
      <c r="WAK75" s="53"/>
      <c r="WAL75" s="53"/>
      <c r="WAM75" s="53"/>
      <c r="WAN75" s="53"/>
      <c r="WAO75" s="53"/>
      <c r="WAP75" s="53"/>
      <c r="WAQ75" s="53"/>
      <c r="WAR75" s="53"/>
      <c r="WAS75" s="53"/>
      <c r="WAT75" s="53"/>
      <c r="WAU75" s="53"/>
      <c r="WAV75" s="53"/>
      <c r="WAW75" s="53"/>
      <c r="WAX75" s="53"/>
      <c r="WAY75" s="53"/>
      <c r="WAZ75" s="53"/>
      <c r="WBA75" s="53"/>
      <c r="WBB75" s="53"/>
      <c r="WBC75" s="53"/>
      <c r="WBD75" s="53"/>
      <c r="WBE75" s="53"/>
      <c r="WBF75" s="53"/>
      <c r="WBG75" s="53"/>
      <c r="WBH75" s="53"/>
      <c r="WBI75" s="53"/>
      <c r="WBJ75" s="53"/>
      <c r="WBK75" s="53"/>
      <c r="WBL75" s="53"/>
      <c r="WBM75" s="53"/>
      <c r="WBN75" s="53"/>
      <c r="WBO75" s="53"/>
      <c r="WBP75" s="53"/>
      <c r="WBQ75" s="53"/>
      <c r="WBR75" s="53"/>
      <c r="WBS75" s="53"/>
      <c r="WBT75" s="53"/>
      <c r="WBU75" s="53"/>
      <c r="WBV75" s="53"/>
      <c r="WBW75" s="53"/>
      <c r="WBX75" s="53"/>
      <c r="WBY75" s="53"/>
      <c r="WBZ75" s="53"/>
      <c r="WCA75" s="53"/>
      <c r="WCB75" s="53"/>
      <c r="WCC75" s="53"/>
      <c r="WCD75" s="53"/>
      <c r="WCE75" s="53"/>
      <c r="WCF75" s="53"/>
      <c r="WCG75" s="53"/>
      <c r="WCH75" s="53"/>
      <c r="WCI75" s="53"/>
      <c r="WCJ75" s="53"/>
      <c r="WCK75" s="53"/>
      <c r="WCL75" s="53"/>
      <c r="WCM75" s="53"/>
      <c r="WCN75" s="53"/>
      <c r="WCO75" s="53"/>
      <c r="WCP75" s="53"/>
      <c r="WCQ75" s="53"/>
      <c r="WCR75" s="53"/>
      <c r="WCS75" s="53"/>
      <c r="WCT75" s="53"/>
      <c r="WCU75" s="53"/>
      <c r="WCV75" s="53"/>
      <c r="WCW75" s="53"/>
      <c r="WCX75" s="53"/>
      <c r="WCY75" s="53"/>
      <c r="WCZ75" s="53"/>
      <c r="WDA75" s="53"/>
      <c r="WDB75" s="53"/>
      <c r="WDC75" s="53"/>
      <c r="WDD75" s="53"/>
      <c r="WDE75" s="53"/>
      <c r="WDF75" s="53"/>
      <c r="WDG75" s="53"/>
      <c r="WDH75" s="53"/>
      <c r="WDI75" s="53"/>
      <c r="WDJ75" s="53"/>
      <c r="WDK75" s="53"/>
      <c r="WDL75" s="53"/>
      <c r="WDM75" s="53"/>
      <c r="WDN75" s="53"/>
      <c r="WDO75" s="53"/>
      <c r="WDP75" s="53"/>
      <c r="WDQ75" s="53"/>
      <c r="WDR75" s="53"/>
      <c r="WDS75" s="53"/>
      <c r="WDT75" s="53"/>
      <c r="WDU75" s="53"/>
      <c r="WDV75" s="53"/>
      <c r="WDW75" s="53"/>
      <c r="WDX75" s="53"/>
      <c r="WDY75" s="53"/>
      <c r="WDZ75" s="53"/>
      <c r="WEA75" s="53"/>
      <c r="WEB75" s="53"/>
      <c r="WEC75" s="53"/>
      <c r="WED75" s="53"/>
      <c r="WEE75" s="53"/>
      <c r="WEF75" s="53"/>
      <c r="WEG75" s="53"/>
      <c r="WEH75" s="53"/>
      <c r="WEI75" s="53"/>
      <c r="WEJ75" s="53"/>
      <c r="WEK75" s="53"/>
      <c r="WEL75" s="53"/>
      <c r="WEM75" s="53"/>
      <c r="WEN75" s="53"/>
      <c r="WEO75" s="53"/>
      <c r="WEP75" s="53"/>
      <c r="WEQ75" s="53"/>
      <c r="WER75" s="53"/>
      <c r="WES75" s="53"/>
      <c r="WET75" s="53"/>
      <c r="WEU75" s="53"/>
      <c r="WEV75" s="53"/>
      <c r="WEW75" s="53"/>
      <c r="WEX75" s="53"/>
      <c r="WEY75" s="53"/>
      <c r="WEZ75" s="53"/>
      <c r="WFA75" s="53"/>
      <c r="WFB75" s="53"/>
      <c r="WFC75" s="53"/>
      <c r="WFD75" s="53"/>
      <c r="WFE75" s="53"/>
      <c r="WFF75" s="53"/>
      <c r="WFG75" s="53"/>
      <c r="WFH75" s="53"/>
      <c r="WFI75" s="53"/>
      <c r="WFJ75" s="53"/>
      <c r="WFK75" s="53"/>
      <c r="WFL75" s="53"/>
      <c r="WFM75" s="53"/>
      <c r="WFN75" s="53"/>
      <c r="WFO75" s="53"/>
      <c r="WFP75" s="53"/>
      <c r="WFQ75" s="53"/>
      <c r="WFR75" s="53"/>
      <c r="WFS75" s="53"/>
      <c r="WFT75" s="53"/>
      <c r="WFU75" s="53"/>
      <c r="WFV75" s="53"/>
      <c r="WFW75" s="53"/>
      <c r="WFX75" s="53"/>
      <c r="WFY75" s="53"/>
      <c r="WFZ75" s="53"/>
      <c r="WGA75" s="53"/>
      <c r="WGB75" s="53"/>
      <c r="WGC75" s="53"/>
      <c r="WGD75" s="53"/>
      <c r="WGE75" s="53"/>
      <c r="WGF75" s="53"/>
      <c r="WGG75" s="53"/>
      <c r="WGH75" s="53"/>
      <c r="WGI75" s="53"/>
      <c r="WGJ75" s="53"/>
      <c r="WGK75" s="53"/>
      <c r="WGL75" s="53"/>
      <c r="WGM75" s="53"/>
      <c r="WGN75" s="53"/>
      <c r="WGO75" s="53"/>
      <c r="WGP75" s="53"/>
      <c r="WGQ75" s="53"/>
      <c r="WGR75" s="53"/>
      <c r="WGS75" s="53"/>
      <c r="WGT75" s="53"/>
      <c r="WGU75" s="53"/>
      <c r="WGV75" s="53"/>
      <c r="WGW75" s="53"/>
      <c r="WGX75" s="53"/>
      <c r="WGY75" s="53"/>
      <c r="WGZ75" s="53"/>
      <c r="WHA75" s="53"/>
      <c r="WHB75" s="53"/>
      <c r="WHC75" s="53"/>
      <c r="WHD75" s="53"/>
      <c r="WHE75" s="53"/>
      <c r="WHF75" s="53"/>
      <c r="WHG75" s="53"/>
      <c r="WHH75" s="53"/>
      <c r="WHI75" s="53"/>
      <c r="WHJ75" s="53"/>
      <c r="WHK75" s="53"/>
      <c r="WHL75" s="53"/>
      <c r="WHM75" s="53"/>
      <c r="WHN75" s="53"/>
      <c r="WHO75" s="53"/>
      <c r="WHP75" s="53"/>
      <c r="WHQ75" s="53"/>
      <c r="WHR75" s="53"/>
      <c r="WHS75" s="53"/>
      <c r="WHT75" s="53"/>
      <c r="WHU75" s="53"/>
      <c r="WHV75" s="53"/>
      <c r="WHW75" s="53"/>
      <c r="WHX75" s="53"/>
      <c r="WHY75" s="53"/>
      <c r="WHZ75" s="53"/>
      <c r="WIA75" s="53"/>
      <c r="WIB75" s="53"/>
      <c r="WIC75" s="53"/>
      <c r="WID75" s="53"/>
      <c r="WIE75" s="53"/>
      <c r="WIF75" s="53"/>
      <c r="WIG75" s="53"/>
      <c r="WIH75" s="53"/>
      <c r="WII75" s="53"/>
      <c r="WIJ75" s="53"/>
      <c r="WIK75" s="53"/>
      <c r="WIL75" s="53"/>
      <c r="WIM75" s="53"/>
      <c r="WIN75" s="53"/>
      <c r="WIO75" s="53"/>
      <c r="WIP75" s="53"/>
      <c r="WIQ75" s="53"/>
      <c r="WIR75" s="53"/>
      <c r="WIS75" s="53"/>
      <c r="WIT75" s="53"/>
      <c r="WIU75" s="53"/>
      <c r="WIV75" s="53"/>
      <c r="WIW75" s="53"/>
      <c r="WIX75" s="53"/>
      <c r="WIY75" s="53"/>
      <c r="WIZ75" s="53"/>
      <c r="WJA75" s="53"/>
      <c r="WJB75" s="53"/>
      <c r="WJC75" s="53"/>
      <c r="WJD75" s="53"/>
      <c r="WJE75" s="53"/>
      <c r="WJF75" s="53"/>
      <c r="WJG75" s="53"/>
      <c r="WJH75" s="53"/>
      <c r="WJI75" s="53"/>
      <c r="WJJ75" s="53"/>
      <c r="WJK75" s="53"/>
      <c r="WJL75" s="53"/>
      <c r="WJM75" s="53"/>
      <c r="WJN75" s="53"/>
      <c r="WJO75" s="53"/>
      <c r="WJP75" s="53"/>
      <c r="WJQ75" s="53"/>
      <c r="WJR75" s="53"/>
      <c r="WJS75" s="53"/>
      <c r="WJT75" s="53"/>
      <c r="WJU75" s="53"/>
      <c r="WJV75" s="53"/>
      <c r="WJW75" s="53"/>
      <c r="WJX75" s="53"/>
      <c r="WJY75" s="53"/>
      <c r="WJZ75" s="53"/>
      <c r="WKA75" s="53"/>
      <c r="WKB75" s="53"/>
      <c r="WKC75" s="53"/>
      <c r="WKD75" s="53"/>
      <c r="WKE75" s="53"/>
      <c r="WKF75" s="53"/>
      <c r="WKG75" s="53"/>
      <c r="WKH75" s="53"/>
      <c r="WKI75" s="53"/>
      <c r="WKJ75" s="53"/>
      <c r="WKK75" s="53"/>
      <c r="WKL75" s="53"/>
      <c r="WKM75" s="53"/>
      <c r="WKN75" s="53"/>
      <c r="WKO75" s="53"/>
      <c r="WKP75" s="53"/>
      <c r="WKQ75" s="53"/>
      <c r="WKR75" s="53"/>
      <c r="WKS75" s="53"/>
      <c r="WKT75" s="53"/>
      <c r="WKU75" s="53"/>
      <c r="WKV75" s="53"/>
      <c r="WKW75" s="53"/>
      <c r="WKX75" s="53"/>
      <c r="WKY75" s="53"/>
      <c r="WKZ75" s="53"/>
      <c r="WLA75" s="53"/>
      <c r="WLB75" s="53"/>
      <c r="WLC75" s="53"/>
      <c r="WLD75" s="53"/>
      <c r="WLE75" s="53"/>
      <c r="WLF75" s="53"/>
      <c r="WLG75" s="53"/>
      <c r="WLH75" s="53"/>
      <c r="WLI75" s="53"/>
      <c r="WLJ75" s="53"/>
      <c r="WLK75" s="53"/>
      <c r="WLL75" s="53"/>
      <c r="WLM75" s="53"/>
      <c r="WLN75" s="53"/>
      <c r="WLO75" s="53"/>
      <c r="WLP75" s="53"/>
      <c r="WLQ75" s="53"/>
      <c r="WLR75" s="53"/>
      <c r="WLS75" s="53"/>
      <c r="WLT75" s="53"/>
      <c r="WLU75" s="53"/>
      <c r="WLV75" s="53"/>
      <c r="WLW75" s="53"/>
      <c r="WLX75" s="53"/>
      <c r="WLY75" s="53"/>
      <c r="WLZ75" s="53"/>
      <c r="WMA75" s="53"/>
      <c r="WMB75" s="53"/>
      <c r="WMC75" s="53"/>
      <c r="WMD75" s="53"/>
      <c r="WME75" s="53"/>
      <c r="WMF75" s="53"/>
      <c r="WMG75" s="53"/>
      <c r="WMH75" s="53"/>
      <c r="WMI75" s="53"/>
      <c r="WMJ75" s="53"/>
      <c r="WMK75" s="53"/>
      <c r="WML75" s="53"/>
      <c r="WMM75" s="53"/>
      <c r="WMN75" s="53"/>
      <c r="WMO75" s="53"/>
      <c r="WMP75" s="53"/>
      <c r="WMQ75" s="53"/>
      <c r="WMR75" s="53"/>
      <c r="WMS75" s="53"/>
      <c r="WMT75" s="53"/>
      <c r="WMU75" s="53"/>
      <c r="WMV75" s="53"/>
      <c r="WMW75" s="53"/>
      <c r="WMX75" s="53"/>
      <c r="WMY75" s="53"/>
      <c r="WMZ75" s="53"/>
      <c r="WNA75" s="53"/>
      <c r="WNB75" s="53"/>
      <c r="WNC75" s="53"/>
      <c r="WND75" s="53"/>
      <c r="WNE75" s="53"/>
      <c r="WNF75" s="53"/>
      <c r="WNG75" s="53"/>
      <c r="WNH75" s="53"/>
      <c r="WNI75" s="53"/>
      <c r="WNJ75" s="53"/>
      <c r="WNK75" s="53"/>
      <c r="WNL75" s="53"/>
      <c r="WNM75" s="53"/>
      <c r="WNN75" s="53"/>
      <c r="WNO75" s="53"/>
      <c r="WNP75" s="53"/>
      <c r="WNQ75" s="53"/>
      <c r="WNR75" s="53"/>
      <c r="WNS75" s="53"/>
      <c r="WNT75" s="53"/>
      <c r="WNU75" s="53"/>
      <c r="WNV75" s="53"/>
      <c r="WNW75" s="53"/>
      <c r="WNX75" s="53"/>
      <c r="WNY75" s="53"/>
      <c r="WNZ75" s="53"/>
      <c r="WOA75" s="53"/>
      <c r="WOB75" s="53"/>
      <c r="WOC75" s="53"/>
      <c r="WOD75" s="53"/>
      <c r="WOE75" s="53"/>
      <c r="WOF75" s="53"/>
      <c r="WOG75" s="53"/>
      <c r="WOH75" s="53"/>
      <c r="WOI75" s="53"/>
      <c r="WOJ75" s="53"/>
      <c r="WOK75" s="53"/>
      <c r="WOL75" s="53"/>
      <c r="WOM75" s="53"/>
      <c r="WON75" s="53"/>
      <c r="WOO75" s="53"/>
      <c r="WOP75" s="53"/>
      <c r="WOQ75" s="53"/>
      <c r="WOR75" s="53"/>
      <c r="WOS75" s="53"/>
      <c r="WOT75" s="53"/>
      <c r="WOU75" s="53"/>
      <c r="WOV75" s="53"/>
      <c r="WOW75" s="53"/>
      <c r="WOX75" s="53"/>
      <c r="WOY75" s="53"/>
      <c r="WOZ75" s="53"/>
      <c r="WPA75" s="53"/>
      <c r="WPB75" s="53"/>
      <c r="WPC75" s="53"/>
      <c r="WPD75" s="53"/>
      <c r="WPE75" s="53"/>
      <c r="WPF75" s="53"/>
      <c r="WPG75" s="53"/>
      <c r="WPH75" s="53"/>
      <c r="WPI75" s="53"/>
      <c r="WPJ75" s="53"/>
      <c r="WPK75" s="53"/>
      <c r="WPL75" s="53"/>
      <c r="WPM75" s="53"/>
      <c r="WPN75" s="53"/>
      <c r="WPO75" s="53"/>
      <c r="WPP75" s="53"/>
      <c r="WPQ75" s="53"/>
      <c r="WPR75" s="53"/>
      <c r="WPS75" s="53"/>
      <c r="WPT75" s="53"/>
      <c r="WPU75" s="53"/>
      <c r="WPV75" s="53"/>
      <c r="WPW75" s="53"/>
      <c r="WPX75" s="53"/>
      <c r="WPY75" s="53"/>
      <c r="WPZ75" s="53"/>
      <c r="WQA75" s="53"/>
      <c r="WQB75" s="53"/>
      <c r="WQC75" s="53"/>
      <c r="WQD75" s="53"/>
      <c r="WQE75" s="53"/>
      <c r="WQF75" s="53"/>
      <c r="WQG75" s="53"/>
      <c r="WQH75" s="53"/>
      <c r="WQI75" s="53"/>
      <c r="WQJ75" s="53"/>
      <c r="WQK75" s="53"/>
      <c r="WQL75" s="53"/>
      <c r="WQM75" s="53"/>
      <c r="WQN75" s="53"/>
      <c r="WQO75" s="53"/>
      <c r="WQP75" s="53"/>
      <c r="WQQ75" s="53"/>
      <c r="WQR75" s="53"/>
      <c r="WQS75" s="53"/>
      <c r="WQT75" s="53"/>
      <c r="WQU75" s="53"/>
      <c r="WQV75" s="53"/>
      <c r="WQW75" s="53"/>
      <c r="WQX75" s="53"/>
      <c r="WQY75" s="53"/>
      <c r="WQZ75" s="53"/>
      <c r="WRA75" s="53"/>
      <c r="WRB75" s="53"/>
      <c r="WRC75" s="53"/>
      <c r="WRD75" s="53"/>
      <c r="WRE75" s="53"/>
      <c r="WRF75" s="53"/>
      <c r="WRG75" s="53"/>
      <c r="WRH75" s="53"/>
      <c r="WRI75" s="53"/>
      <c r="WRJ75" s="53"/>
      <c r="WRK75" s="53"/>
      <c r="WRL75" s="53"/>
      <c r="WRM75" s="53"/>
      <c r="WRN75" s="53"/>
      <c r="WRO75" s="53"/>
      <c r="WRP75" s="53"/>
      <c r="WRQ75" s="53"/>
      <c r="WRR75" s="53"/>
      <c r="WRS75" s="53"/>
      <c r="WRT75" s="53"/>
      <c r="WRU75" s="53"/>
      <c r="WRV75" s="53"/>
      <c r="WRW75" s="53"/>
      <c r="WRX75" s="53"/>
      <c r="WRY75" s="53"/>
      <c r="WRZ75" s="53"/>
      <c r="WSA75" s="53"/>
      <c r="WSB75" s="53"/>
      <c r="WSC75" s="53"/>
      <c r="WSD75" s="53"/>
      <c r="WSE75" s="53"/>
      <c r="WSF75" s="53"/>
      <c r="WSG75" s="53"/>
      <c r="WSH75" s="53"/>
      <c r="WSI75" s="53"/>
      <c r="WSJ75" s="53"/>
      <c r="WSK75" s="53"/>
      <c r="WSL75" s="53"/>
      <c r="WSM75" s="53"/>
      <c r="WSN75" s="53"/>
      <c r="WSO75" s="53"/>
      <c r="WSP75" s="53"/>
      <c r="WSQ75" s="53"/>
      <c r="WSR75" s="53"/>
      <c r="WSS75" s="53"/>
      <c r="WST75" s="53"/>
      <c r="WSU75" s="53"/>
      <c r="WSV75" s="53"/>
      <c r="WSW75" s="53"/>
      <c r="WSX75" s="53"/>
      <c r="WSY75" s="53"/>
      <c r="WSZ75" s="53"/>
      <c r="WTA75" s="53"/>
      <c r="WTB75" s="53"/>
      <c r="WTC75" s="53"/>
      <c r="WTD75" s="53"/>
      <c r="WTE75" s="53"/>
      <c r="WTF75" s="53"/>
      <c r="WTG75" s="53"/>
      <c r="WTH75" s="53"/>
      <c r="WTI75" s="53"/>
      <c r="WTJ75" s="53"/>
      <c r="WTK75" s="53"/>
      <c r="WTL75" s="53"/>
      <c r="WTM75" s="53"/>
      <c r="WTN75" s="53"/>
      <c r="WTO75" s="53"/>
      <c r="WTP75" s="53"/>
      <c r="WTQ75" s="53"/>
      <c r="WTR75" s="53"/>
      <c r="WTS75" s="53"/>
      <c r="WTT75" s="53"/>
      <c r="WTU75" s="53"/>
      <c r="WTV75" s="53"/>
      <c r="WTW75" s="53"/>
      <c r="WTX75" s="53"/>
      <c r="WTY75" s="53"/>
      <c r="WTZ75" s="53"/>
      <c r="WUA75" s="53"/>
      <c r="WUB75" s="53"/>
      <c r="WUC75" s="53"/>
      <c r="WUD75" s="53"/>
      <c r="WUE75" s="53"/>
      <c r="WUF75" s="53"/>
      <c r="WUG75" s="53"/>
      <c r="WUH75" s="53"/>
      <c r="WUI75" s="53"/>
      <c r="WUJ75" s="53"/>
      <c r="WUK75" s="53"/>
      <c r="WUL75" s="53"/>
      <c r="WUM75" s="53"/>
      <c r="WUN75" s="53"/>
      <c r="WUO75" s="53"/>
      <c r="WUP75" s="53"/>
      <c r="WUQ75" s="53"/>
      <c r="WUR75" s="53"/>
      <c r="WUS75" s="53"/>
      <c r="WUT75" s="53"/>
      <c r="WUU75" s="53"/>
      <c r="WUV75" s="53"/>
      <c r="WUW75" s="53"/>
      <c r="WUX75" s="53"/>
      <c r="WUY75" s="53"/>
      <c r="WUZ75" s="53"/>
      <c r="WVA75" s="53"/>
      <c r="WVB75" s="53"/>
      <c r="WVC75" s="53"/>
      <c r="WVD75" s="53"/>
      <c r="WVE75" s="53"/>
      <c r="WVF75" s="53"/>
      <c r="WVG75" s="53"/>
      <c r="WVH75" s="53"/>
      <c r="WVI75" s="53"/>
      <c r="WVJ75" s="53"/>
      <c r="WVK75" s="53"/>
      <c r="WVL75" s="53"/>
      <c r="WVM75" s="53"/>
      <c r="WVN75" s="53"/>
      <c r="WVO75" s="53"/>
    </row>
    <row r="76" spans="1:16135" hidden="1" x14ac:dyDescent="0.2"/>
    <row r="77" spans="1:16135" ht="29.25" hidden="1" customHeight="1" x14ac:dyDescent="0.2">
      <c r="A77" s="748" t="s">
        <v>141</v>
      </c>
      <c r="B77" s="750" t="s">
        <v>149</v>
      </c>
      <c r="C77" s="751"/>
    </row>
    <row r="78" spans="1:16135" ht="28.5" hidden="1" thickBot="1" x14ac:dyDescent="0.25">
      <c r="A78" s="749"/>
      <c r="B78" s="746" t="s">
        <v>150</v>
      </c>
      <c r="C78" s="747"/>
    </row>
    <row r="79" spans="1:16135" hidden="1" x14ac:dyDescent="0.2">
      <c r="A79" s="742" t="s">
        <v>142</v>
      </c>
      <c r="B79" s="141" t="s">
        <v>151</v>
      </c>
      <c r="C79" s="142"/>
    </row>
    <row r="80" spans="1:16135" ht="28.5" hidden="1" thickBot="1" x14ac:dyDescent="0.25">
      <c r="A80" s="743"/>
      <c r="B80" s="143" t="s">
        <v>152</v>
      </c>
      <c r="C80" s="144"/>
      <c r="D80" s="78"/>
      <c r="E80" s="78"/>
      <c r="F80" s="78"/>
    </row>
    <row r="81" spans="1:8" hidden="1" x14ac:dyDescent="0.2">
      <c r="A81" s="742" t="s">
        <v>143</v>
      </c>
      <c r="B81" s="752" t="s">
        <v>153</v>
      </c>
      <c r="C81" s="753"/>
    </row>
    <row r="82" spans="1:8" ht="28.5" hidden="1" thickBot="1" x14ac:dyDescent="0.25">
      <c r="A82" s="743"/>
      <c r="B82" s="746" t="s">
        <v>154</v>
      </c>
      <c r="C82" s="747"/>
    </row>
    <row r="83" spans="1:8" hidden="1" x14ac:dyDescent="0.2">
      <c r="A83" s="742" t="s">
        <v>144</v>
      </c>
      <c r="B83" s="744" t="s">
        <v>155</v>
      </c>
      <c r="C83" s="745"/>
    </row>
    <row r="84" spans="1:8" ht="28.5" hidden="1" thickBot="1" x14ac:dyDescent="0.25">
      <c r="A84" s="743"/>
      <c r="B84" s="746" t="s">
        <v>156</v>
      </c>
      <c r="C84" s="747"/>
    </row>
    <row r="86" spans="1:8" x14ac:dyDescent="0.2">
      <c r="H86" s="145"/>
    </row>
  </sheetData>
  <mergeCells count="15">
    <mergeCell ref="A83:A84"/>
    <mergeCell ref="B83:C83"/>
    <mergeCell ref="B84:C84"/>
    <mergeCell ref="A77:A78"/>
    <mergeCell ref="B77:C77"/>
    <mergeCell ref="B78:C78"/>
    <mergeCell ref="A79:A80"/>
    <mergeCell ref="A81:A82"/>
    <mergeCell ref="B81:C81"/>
    <mergeCell ref="B82:C82"/>
    <mergeCell ref="A9:A10"/>
    <mergeCell ref="A32:C32"/>
    <mergeCell ref="A43:C43"/>
    <mergeCell ref="A51:C51"/>
    <mergeCell ref="A58:C58"/>
  </mergeCells>
  <printOptions horizontalCentered="1"/>
  <pageMargins left="0" right="0" top="0.19685039370078741" bottom="0" header="0" footer="0"/>
  <pageSetup paperSize="9" scale="71" orientation="portrait" r:id="rId1"/>
  <headerFooter alignWithMargins="0"/>
  <rowBreaks count="2" manualBreakCount="2">
    <brk id="41" max="2" man="1"/>
    <brk id="76"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28</vt:i4>
      </vt:variant>
      <vt:variant>
        <vt:lpstr>النطاقات المسماة</vt:lpstr>
      </vt:variant>
      <vt:variant>
        <vt:i4>29</vt:i4>
      </vt:variant>
    </vt:vector>
  </HeadingPairs>
  <TitlesOfParts>
    <vt:vector size="57" baseType="lpstr">
      <vt:lpstr>Cover</vt:lpstr>
      <vt:lpstr>Index</vt:lpstr>
      <vt:lpstr>Balance Sheet</vt:lpstr>
      <vt:lpstr>Income Statement</vt:lpstr>
      <vt:lpstr>Partners Equity</vt:lpstr>
      <vt:lpstr>Cash Flow</vt:lpstr>
      <vt:lpstr>1</vt:lpstr>
      <vt:lpstr>2 </vt:lpstr>
      <vt:lpstr>3</vt:lpstr>
      <vt:lpstr>4</vt:lpstr>
      <vt:lpstr>5</vt:lpstr>
      <vt:lpstr>6</vt:lpstr>
      <vt:lpstr>F</vt:lpstr>
      <vt:lpstr>D</vt:lpstr>
      <vt:lpstr>م ا</vt:lpstr>
      <vt:lpstr>L</vt:lpstr>
      <vt:lpstr>C</vt:lpstr>
      <vt:lpstr>P</vt:lpstr>
      <vt:lpstr>P2</vt:lpstr>
      <vt:lpstr>S</vt:lpstr>
      <vt:lpstr>G</vt:lpstr>
      <vt:lpstr>ورقة2</vt:lpstr>
      <vt:lpstr>ورقة1</vt:lpstr>
      <vt:lpstr>z</vt:lpstr>
      <vt:lpstr>Mai1n</vt:lpstr>
      <vt:lpstr>تقييم</vt:lpstr>
      <vt:lpstr>تقييم (2)</vt:lpstr>
      <vt:lpstr>نموذج بينش</vt:lpstr>
      <vt:lpstr>'1'!Print_Area</vt:lpstr>
      <vt:lpstr>'2 '!Print_Area</vt:lpstr>
      <vt:lpstr>'3'!Print_Area</vt:lpstr>
      <vt:lpstr>'4'!Print_Area</vt:lpstr>
      <vt:lpstr>'5'!Print_Area</vt:lpstr>
      <vt:lpstr>'6'!Print_Area</vt:lpstr>
      <vt:lpstr>'Balance Sheet'!Print_Area</vt:lpstr>
      <vt:lpstr>'C'!Print_Area</vt:lpstr>
      <vt:lpstr>'Cash Flow'!Print_Area</vt:lpstr>
      <vt:lpstr>D!Print_Area</vt:lpstr>
      <vt:lpstr>F!Print_Area</vt:lpstr>
      <vt:lpstr>G!Print_Area</vt:lpstr>
      <vt:lpstr>'Income Statement'!Print_Area</vt:lpstr>
      <vt:lpstr>Index!Print_Area</vt:lpstr>
      <vt:lpstr>L!Print_Area</vt:lpstr>
      <vt:lpstr>Mai1n!Print_Area</vt:lpstr>
      <vt:lpstr>P!Print_Area</vt:lpstr>
      <vt:lpstr>'P2'!Print_Area</vt:lpstr>
      <vt:lpstr>'Partners Equity'!Print_Area</vt:lpstr>
      <vt:lpstr>S!Print_Area</vt:lpstr>
      <vt:lpstr>z!Print_Area</vt:lpstr>
      <vt:lpstr>تقييم!Print_Area</vt:lpstr>
      <vt:lpstr>'تقييم (2)'!Print_Area</vt:lpstr>
      <vt:lpstr>'م ا'!Print_Area</vt:lpstr>
      <vt:lpstr>'نموذج بينش'!Print_Area</vt:lpstr>
      <vt:lpstr>Mai1n!Print_Titles</vt:lpstr>
      <vt:lpstr>تقييم!Print_Titles</vt:lpstr>
      <vt:lpstr>'تقييم (2)'!Print_Titles</vt:lpstr>
      <vt:lpstr>'نموذج بينش'!Print_Titles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HAYEG</dc:creator>
  <cp:lastModifiedBy>DELL</cp:lastModifiedBy>
  <cp:lastPrinted>2025-05-20T07:48:45Z</cp:lastPrinted>
  <dcterms:created xsi:type="dcterms:W3CDTF">1997-04-06T13:57:27Z</dcterms:created>
  <dcterms:modified xsi:type="dcterms:W3CDTF">2025-05-20T08:07:03Z</dcterms:modified>
</cp:coreProperties>
</file>